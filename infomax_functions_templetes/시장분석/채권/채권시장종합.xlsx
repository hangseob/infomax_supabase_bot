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75" windowWidth="24960" windowHeight="12330"/>
  </bookViews>
  <sheets>
    <sheet name="채권시장종합" sheetId="1" r:id="rId1"/>
  </sheets>
  <calcPr calcId="145621"/>
</workbook>
</file>

<file path=xl/calcChain.xml><?xml version="1.0" encoding="utf-8"?>
<calcChain xmlns="http://schemas.openxmlformats.org/spreadsheetml/2006/main">
  <c r="AZ371" i="1" l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U17" i="1"/>
  <c r="U13" i="1"/>
  <c r="U9" i="1"/>
  <c r="U16" i="1"/>
  <c r="U12" i="1"/>
  <c r="U8" i="1"/>
  <c r="U10" i="1"/>
  <c r="U15" i="1"/>
  <c r="U11" i="1"/>
  <c r="U14" i="1"/>
  <c r="U7" i="1"/>
  <c r="T17" i="1"/>
  <c r="T15" i="1"/>
  <c r="T13" i="1"/>
  <c r="T11" i="1"/>
  <c r="T9" i="1"/>
  <c r="T16" i="1"/>
  <c r="T14" i="1"/>
  <c r="T12" i="1"/>
  <c r="T10" i="1"/>
  <c r="T8" i="1"/>
  <c r="T7" i="1"/>
  <c r="H22" i="1"/>
  <c r="G10" i="1"/>
  <c r="G8" i="1"/>
  <c r="G7" i="1"/>
  <c r="G14" i="1"/>
  <c r="G11" i="1"/>
  <c r="G15" i="1"/>
  <c r="G12" i="1"/>
  <c r="G9" i="1"/>
  <c r="G17" i="1"/>
  <c r="G16" i="1"/>
  <c r="G13" i="1"/>
  <c r="I25" i="1"/>
  <c r="I17" i="1"/>
  <c r="I15" i="1"/>
  <c r="I14" i="1"/>
  <c r="I16" i="1"/>
  <c r="I12" i="1"/>
  <c r="I9" i="1"/>
  <c r="I13" i="1"/>
  <c r="I10" i="1"/>
  <c r="I8" i="1"/>
  <c r="I11" i="1"/>
  <c r="I7" i="1"/>
  <c r="AZ69" i="1" l="1"/>
  <c r="AZ68" i="1"/>
  <c r="AZ67" i="1" l="1"/>
  <c r="AZ66" i="1" l="1"/>
  <c r="AZ65" i="1" l="1"/>
  <c r="AZ64" i="1" l="1"/>
  <c r="AZ63" i="1" l="1"/>
  <c r="AZ62" i="1" l="1"/>
  <c r="AZ61" i="1"/>
  <c r="AZ60" i="1" l="1"/>
  <c r="AZ59" i="1" l="1"/>
  <c r="U41" i="1"/>
  <c r="U34" i="1"/>
  <c r="T37" i="1"/>
  <c r="R41" i="1"/>
  <c r="Q41" i="1"/>
  <c r="R40" i="1"/>
  <c r="P35" i="1"/>
  <c r="Q39" i="1"/>
  <c r="R37" i="1"/>
  <c r="R34" i="1"/>
  <c r="R38" i="1"/>
  <c r="S40" i="1"/>
  <c r="P38" i="1"/>
  <c r="U37" i="1"/>
  <c r="P34" i="1"/>
  <c r="T39" i="1"/>
  <c r="S39" i="1"/>
  <c r="Q35" i="1"/>
  <c r="Q38" i="1"/>
  <c r="P37" i="1"/>
  <c r="Q40" i="1"/>
  <c r="Q36" i="1"/>
  <c r="T35" i="1"/>
  <c r="U35" i="1"/>
  <c r="T34" i="1"/>
  <c r="S36" i="1"/>
  <c r="S34" i="1"/>
  <c r="R39" i="1"/>
  <c r="T38" i="1"/>
  <c r="R35" i="1"/>
  <c r="R36" i="1"/>
  <c r="P39" i="1"/>
  <c r="U38" i="1"/>
  <c r="Q37" i="1"/>
  <c r="P41" i="1"/>
  <c r="P40" i="1"/>
  <c r="T41" i="1"/>
  <c r="S35" i="1"/>
  <c r="U40" i="1"/>
  <c r="T36" i="1"/>
  <c r="T40" i="1"/>
  <c r="U39" i="1"/>
  <c r="S38" i="1"/>
  <c r="S41" i="1"/>
  <c r="U36" i="1"/>
  <c r="S37" i="1"/>
  <c r="Q34" i="1"/>
  <c r="P36" i="1"/>
  <c r="B34" i="1" l="1"/>
  <c r="B35" i="1" s="1"/>
  <c r="B36" i="1" s="1"/>
  <c r="I32" i="1"/>
  <c r="H32" i="1"/>
  <c r="G32" i="1"/>
  <c r="U21" i="1"/>
  <c r="T21" i="1"/>
  <c r="S21" i="1"/>
  <c r="R21" i="1"/>
  <c r="Q21" i="1"/>
  <c r="P21" i="1"/>
  <c r="U18" i="1"/>
  <c r="T18" i="1"/>
  <c r="S18" i="1"/>
  <c r="R18" i="1"/>
  <c r="Q18" i="1"/>
  <c r="P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AI5" i="1"/>
  <c r="AX58" i="1" s="1"/>
  <c r="AG5" i="1"/>
  <c r="AF5" i="1"/>
  <c r="AD5" i="1"/>
  <c r="AC5" i="1"/>
  <c r="AA5" i="1"/>
  <c r="Z5" i="1"/>
  <c r="X5" i="1"/>
  <c r="W5" i="1"/>
  <c r="AT56" i="1" s="1"/>
  <c r="AI4" i="1"/>
  <c r="AG4" i="1"/>
  <c r="AF4" i="1"/>
  <c r="AY56" i="1" s="1"/>
  <c r="AW55" i="1"/>
  <c r="AU55" i="1"/>
  <c r="H17" i="1"/>
  <c r="S8" i="1"/>
  <c r="P24" i="1"/>
  <c r="H9" i="1"/>
  <c r="R9" i="1"/>
  <c r="S25" i="1"/>
  <c r="S17" i="1"/>
  <c r="Q23" i="1"/>
  <c r="T26" i="1"/>
  <c r="R28" i="1"/>
  <c r="R11" i="1"/>
  <c r="U26" i="1"/>
  <c r="Q28" i="1"/>
  <c r="S12" i="1"/>
  <c r="I23" i="1"/>
  <c r="Q13" i="1"/>
  <c r="H8" i="1"/>
  <c r="U25" i="1"/>
  <c r="R15" i="1"/>
  <c r="R24" i="1"/>
  <c r="H12" i="1"/>
  <c r="R27" i="1"/>
  <c r="R16" i="1"/>
  <c r="Q14" i="1"/>
  <c r="P8" i="1"/>
  <c r="P17" i="1"/>
  <c r="Q22" i="1"/>
  <c r="Q24" i="1"/>
  <c r="S26" i="1"/>
  <c r="U22" i="1"/>
  <c r="G23" i="1"/>
  <c r="Q27" i="1"/>
  <c r="T27" i="1"/>
  <c r="S7" i="1"/>
  <c r="Q26" i="1"/>
  <c r="R23" i="1"/>
  <c r="H23" i="1"/>
  <c r="Q9" i="1"/>
  <c r="S11" i="1"/>
  <c r="T23" i="1"/>
  <c r="P27" i="1"/>
  <c r="P13" i="1"/>
  <c r="S15" i="1"/>
  <c r="P22" i="1"/>
  <c r="Q11" i="1"/>
  <c r="P10" i="1"/>
  <c r="P28" i="1"/>
  <c r="T24" i="1"/>
  <c r="H13" i="1"/>
  <c r="U24" i="1"/>
  <c r="T25" i="1"/>
  <c r="T22" i="1"/>
  <c r="S23" i="1"/>
  <c r="S28" i="1"/>
  <c r="U28" i="1"/>
  <c r="P14" i="1"/>
  <c r="S16" i="1"/>
  <c r="R26" i="1"/>
  <c r="R25" i="1"/>
  <c r="T28" i="1"/>
  <c r="R14" i="1"/>
  <c r="I22" i="1"/>
  <c r="S9" i="1"/>
  <c r="Q25" i="1"/>
  <c r="R22" i="1"/>
  <c r="P23" i="1"/>
  <c r="R8" i="1"/>
  <c r="H10" i="1"/>
  <c r="P12" i="1"/>
  <c r="S13" i="1"/>
  <c r="R12" i="1"/>
  <c r="U23" i="1"/>
  <c r="R17" i="1"/>
  <c r="G22" i="1"/>
  <c r="P7" i="1"/>
  <c r="S27" i="1"/>
  <c r="R10" i="1"/>
  <c r="S14" i="1"/>
  <c r="P15" i="1"/>
  <c r="H14" i="1"/>
  <c r="R13" i="1"/>
  <c r="P26" i="1"/>
  <c r="S10" i="1"/>
  <c r="R7" i="1"/>
  <c r="H7" i="1"/>
  <c r="P25" i="1"/>
  <c r="H16" i="1"/>
  <c r="P9" i="1"/>
  <c r="S24" i="1"/>
  <c r="H11" i="1"/>
  <c r="H15" i="1"/>
  <c r="S22" i="1"/>
  <c r="P16" i="1"/>
  <c r="U27" i="1"/>
  <c r="G26" i="1"/>
  <c r="I27" i="1"/>
  <c r="AY57" i="1"/>
  <c r="H26" i="1"/>
  <c r="H28" i="1"/>
  <c r="H25" i="1"/>
  <c r="I28" i="1"/>
  <c r="G25" i="1"/>
  <c r="I26" i="1"/>
  <c r="G28" i="1"/>
  <c r="G27" i="1"/>
  <c r="H27" i="1"/>
  <c r="AX56" i="1" l="1"/>
  <c r="B37" i="1"/>
  <c r="D36" i="1"/>
  <c r="AW58" i="1"/>
  <c r="AY58" i="1"/>
  <c r="Q17" i="1"/>
  <c r="Q12" i="1"/>
  <c r="P11" i="1"/>
  <c r="Q16" i="1"/>
  <c r="Q15" i="1"/>
  <c r="Q8" i="1"/>
  <c r="Q7" i="1"/>
  <c r="Q10" i="1"/>
  <c r="H36" i="1"/>
  <c r="AX57" i="1"/>
  <c r="G36" i="1"/>
  <c r="AW56" i="1" l="1"/>
  <c r="I36" i="1"/>
  <c r="B38" i="1"/>
  <c r="D37" i="1"/>
  <c r="E36" i="1"/>
  <c r="F36" i="1" s="1"/>
  <c r="AV58" i="1"/>
  <c r="H37" i="1"/>
  <c r="G37" i="1"/>
  <c r="AW57" i="1"/>
  <c r="AV56" i="1" l="1"/>
  <c r="I37" i="1"/>
  <c r="E37" i="1"/>
  <c r="F37" i="1" s="1"/>
  <c r="B39" i="1"/>
  <c r="D38" i="1"/>
  <c r="AU58" i="1"/>
  <c r="AT57" i="1"/>
  <c r="G38" i="1"/>
  <c r="H38" i="1"/>
  <c r="AV57" i="1"/>
  <c r="I38" i="1" l="1"/>
  <c r="B40" i="1"/>
  <c r="D39" i="1"/>
  <c r="E38" i="1"/>
  <c r="F38" i="1" s="1"/>
  <c r="H39" i="1"/>
  <c r="G39" i="1"/>
  <c r="I39" i="1" l="1"/>
  <c r="E39" i="1"/>
  <c r="F39" i="1" s="1"/>
  <c r="B41" i="1"/>
  <c r="D40" i="1"/>
  <c r="H40" i="1"/>
  <c r="G40" i="1"/>
  <c r="I40" i="1" l="1"/>
  <c r="E40" i="1"/>
  <c r="F40" i="1" s="1"/>
  <c r="B42" i="1"/>
  <c r="D41" i="1"/>
  <c r="G41" i="1"/>
  <c r="H41" i="1"/>
  <c r="I41" i="1" l="1"/>
  <c r="B43" i="1"/>
  <c r="D42" i="1"/>
  <c r="E41" i="1"/>
  <c r="F41" i="1" s="1"/>
  <c r="B44" i="1" l="1"/>
  <c r="D43" i="1"/>
  <c r="D44" i="1" l="1"/>
  <c r="B45" i="1"/>
  <c r="B46" i="1" l="1"/>
  <c r="D45" i="1"/>
  <c r="B47" i="1" l="1"/>
  <c r="D46" i="1"/>
  <c r="D47" i="1" l="1"/>
  <c r="B48" i="1"/>
  <c r="D48" i="1" l="1"/>
  <c r="B49" i="1"/>
  <c r="D49" i="1" l="1"/>
  <c r="B50" i="1"/>
  <c r="B51" i="1" l="1"/>
  <c r="D50" i="1"/>
  <c r="B52" i="1" l="1"/>
  <c r="D51" i="1"/>
  <c r="B53" i="1" l="1"/>
  <c r="D52" i="1"/>
  <c r="D53" i="1" l="1"/>
  <c r="B54" i="1"/>
  <c r="B55" i="1" l="1"/>
  <c r="D54" i="1"/>
  <c r="B56" i="1" l="1"/>
  <c r="D55" i="1"/>
  <c r="B57" i="1" l="1"/>
  <c r="D56" i="1"/>
  <c r="B58" i="1" l="1"/>
  <c r="D57" i="1"/>
  <c r="D58" i="1" l="1"/>
  <c r="B59" i="1"/>
  <c r="D59" i="1" l="1"/>
  <c r="B60" i="1"/>
  <c r="D60" i="1" l="1"/>
  <c r="B61" i="1"/>
  <c r="B62" i="1" l="1"/>
  <c r="D61" i="1"/>
  <c r="D62" i="1" l="1"/>
  <c r="B63" i="1"/>
  <c r="D63" i="1" l="1"/>
  <c r="B64" i="1"/>
  <c r="D64" i="1" l="1"/>
  <c r="B65" i="1"/>
  <c r="D65" i="1" l="1"/>
  <c r="B66" i="1"/>
  <c r="B67" i="1" l="1"/>
  <c r="D66" i="1"/>
  <c r="B68" i="1" l="1"/>
  <c r="D67" i="1"/>
  <c r="B69" i="1" l="1"/>
  <c r="D68" i="1"/>
  <c r="B70" i="1" l="1"/>
  <c r="D70" i="1" s="1"/>
  <c r="D69" i="1"/>
  <c r="D34" i="1" l="1"/>
  <c r="E34" i="1" s="1"/>
  <c r="F34" i="1" s="1"/>
  <c r="D35" i="1"/>
  <c r="E35" i="1" s="1"/>
  <c r="F35" i="1" s="1"/>
  <c r="G34" i="1"/>
  <c r="G35" i="1"/>
  <c r="H34" i="1"/>
  <c r="H35" i="1"/>
  <c r="I35" i="1" l="1"/>
  <c r="I34" i="1"/>
</calcChain>
</file>

<file path=xl/sharedStrings.xml><?xml version="1.0" encoding="utf-8"?>
<sst xmlns="http://schemas.openxmlformats.org/spreadsheetml/2006/main" count="754" uniqueCount="586">
  <si>
    <t>BONDKSDCAL12</t>
  </si>
  <si>
    <t>BONDKSDCAL13</t>
  </si>
  <si>
    <t>BONDKSDCAL15</t>
  </si>
  <si>
    <t>BONDKSDCAL17</t>
  </si>
  <si>
    <t>BONDKSDCAL05</t>
  </si>
  <si>
    <t>BONDKSDCAL07</t>
  </si>
  <si>
    <t>BONDKSDCAL08</t>
  </si>
  <si>
    <t>KTB</t>
    <phoneticPr fontId="1" type="noConversion"/>
  </si>
  <si>
    <t>LKTB</t>
    <phoneticPr fontId="1" type="noConversion"/>
  </si>
  <si>
    <t>GR10Y</t>
  </si>
  <si>
    <t>ZA10Y</t>
  </si>
  <si>
    <t>NL10Y</t>
  </si>
  <si>
    <t>NO10Y</t>
  </si>
  <si>
    <t>NZ10Y</t>
  </si>
  <si>
    <t>TW10Y</t>
  </si>
  <si>
    <t>DK10Y</t>
  </si>
  <si>
    <t>DE10Y</t>
  </si>
  <si>
    <t>MY10Y</t>
  </si>
  <si>
    <t>MX10Y</t>
  </si>
  <si>
    <t>US10Y</t>
  </si>
  <si>
    <t>BE10Y</t>
  </si>
  <si>
    <t>BR10Y</t>
  </si>
  <si>
    <t>ES10Y</t>
  </si>
  <si>
    <t>SG10Y</t>
  </si>
  <si>
    <t>IE10Y</t>
  </si>
  <si>
    <t>GB10Y</t>
  </si>
  <si>
    <t>IT10Y</t>
  </si>
  <si>
    <t>IN10Y</t>
  </si>
  <si>
    <t>ID10Y</t>
  </si>
  <si>
    <t>JP10Y</t>
  </si>
  <si>
    <t>RM10Y</t>
  </si>
  <si>
    <t>CZ10Y</t>
  </si>
  <si>
    <t>CA10Y</t>
  </si>
  <si>
    <t>CO10Y</t>
  </si>
  <si>
    <t>TH10Y</t>
  </si>
  <si>
    <t>TR10Y</t>
  </si>
  <si>
    <t>PT10Y</t>
  </si>
  <si>
    <t>PL10Y</t>
  </si>
  <si>
    <t>FR10Y</t>
  </si>
  <si>
    <t>PH10Y</t>
  </si>
  <si>
    <t>HU10Y</t>
  </si>
  <si>
    <t>AU10Y</t>
  </si>
  <si>
    <t>HK10Y</t>
  </si>
  <si>
    <t>BRI:BVSP</t>
  </si>
  <si>
    <t>ARI:MERV</t>
  </si>
  <si>
    <t>PEI:IGBVL</t>
  </si>
  <si>
    <t>CAI:SPTSX</t>
  </si>
  <si>
    <t>DJI:DJI</t>
  </si>
  <si>
    <t>NAS:IXIC</t>
  </si>
  <si>
    <t>SPI:SPX</t>
  </si>
  <si>
    <t>TWS:TI01</t>
  </si>
  <si>
    <t>PHI:COMP</t>
  </si>
  <si>
    <t>SHS:000001</t>
  </si>
  <si>
    <t>SZS:399106</t>
  </si>
  <si>
    <t>HSI:HSI</t>
  </si>
  <si>
    <t>HSI:HSCE</t>
  </si>
  <si>
    <t>IDI:JKSE</t>
  </si>
  <si>
    <t>THI:SET</t>
  </si>
  <si>
    <t>INI:BSE30</t>
  </si>
  <si>
    <t>RUI:RTSI</t>
  </si>
  <si>
    <t>TRI:ISE100</t>
  </si>
  <si>
    <t>LNS:FTSE100</t>
  </si>
  <si>
    <t>XTR:DAX30</t>
  </si>
  <si>
    <t>PAS:CAC40</t>
  </si>
  <si>
    <t>ITI:FTSEMIB</t>
  </si>
  <si>
    <t>ESI:IBEX</t>
  </si>
  <si>
    <t>GRI:ASE</t>
  </si>
  <si>
    <t>PTI:PSI20</t>
  </si>
  <si>
    <t>CHI:SSMI</t>
  </si>
  <si>
    <t>DKI:KFX</t>
  </si>
  <si>
    <t>NOI:OSEAX</t>
  </si>
  <si>
    <t>BEI:MFX</t>
  </si>
  <si>
    <t>SEI:SXASI</t>
  </si>
  <si>
    <t>NLI:AEX</t>
  </si>
  <si>
    <t>PLI:WIGI</t>
  </si>
  <si>
    <t>ATI:ATX</t>
  </si>
  <si>
    <t>IEI:ISEQ</t>
  </si>
  <si>
    <t>PSE:PX</t>
  </si>
  <si>
    <t>HUI:BUX</t>
  </si>
  <si>
    <t>MXI:IPC</t>
  </si>
  <si>
    <t>JSE:TOP40</t>
  </si>
  <si>
    <t>MYI:KLSE</t>
  </si>
  <si>
    <t>SGI:STI</t>
  </si>
  <si>
    <t>VNI:VIDX</t>
  </si>
  <si>
    <t>USDBRL</t>
  </si>
  <si>
    <t>USDCAD</t>
  </si>
  <si>
    <t>USDMXN</t>
  </si>
  <si>
    <t>USDMYR</t>
  </si>
  <si>
    <t>USDRUB</t>
  </si>
  <si>
    <t>EURUSD</t>
  </si>
  <si>
    <t>USDNOK</t>
  </si>
  <si>
    <t>NZDUSD</t>
  </si>
  <si>
    <t>USDTWD</t>
  </si>
  <si>
    <t>USDDKK</t>
  </si>
  <si>
    <t>USDVND</t>
  </si>
  <si>
    <t>USDSEK</t>
  </si>
  <si>
    <t>USDCHF</t>
  </si>
  <si>
    <t>USDSGD</t>
  </si>
  <si>
    <t>USDARS</t>
  </si>
  <si>
    <t>GBPUSD</t>
  </si>
  <si>
    <t>USDINR</t>
  </si>
  <si>
    <t>USDIDR</t>
  </si>
  <si>
    <t>USDCZK</t>
  </si>
  <si>
    <t>USDCOP</t>
  </si>
  <si>
    <t>USDTHB</t>
  </si>
  <si>
    <t>USDTRY</t>
  </si>
  <si>
    <t>USDPEN</t>
  </si>
  <si>
    <t>USDPLN</t>
  </si>
  <si>
    <t>USDPHP</t>
  </si>
  <si>
    <t>USDHUF</t>
  </si>
  <si>
    <t>USDHKD</t>
  </si>
  <si>
    <t>잔고</t>
    <phoneticPr fontId="1" type="noConversion"/>
  </si>
  <si>
    <t>전체</t>
    <phoneticPr fontId="1" type="noConversion"/>
  </si>
  <si>
    <t>종목명</t>
  </si>
  <si>
    <t>구분</t>
  </si>
  <si>
    <t>코드</t>
  </si>
  <si>
    <t>채권(장외) 투자주체별 거래 통계 (4556) 채권전체</t>
  </si>
  <si>
    <t>IR</t>
  </si>
  <si>
    <t>채권(장외) 투자주체별 거래 통계 (4556) 국채</t>
  </si>
  <si>
    <t>BNDINV0001</t>
  </si>
  <si>
    <t>채권(장외) 투자주체별 거래 통계 (4556) 지방채</t>
  </si>
  <si>
    <t>채권(장외) 투자주체별 거래 통계 (4556) 특수채</t>
  </si>
  <si>
    <t>채권(장외) 투자주체별 거래 통계 (4556) 통안</t>
  </si>
  <si>
    <t>BNDINV0004</t>
  </si>
  <si>
    <t>채권(장외) 투자주체별 거래 통계 (4556) 금융채</t>
  </si>
  <si>
    <t>BNDINV0005</t>
  </si>
  <si>
    <t>채권(장외) 투자주체별 거래 통계 (4556) 회사채</t>
  </si>
  <si>
    <t>BNDINV0006</t>
  </si>
  <si>
    <t>채권대차거래 일별통계 채권전체</t>
  </si>
  <si>
    <t>IRBONDLOANALL</t>
  </si>
  <si>
    <t>전일잔량</t>
  </si>
  <si>
    <t>채권(장외) 투자주체별 잔고/거래 (4255) 채권전체</t>
  </si>
  <si>
    <t>BNDINV0100</t>
  </si>
  <si>
    <t>채권(장외) 투자주체별 잔고/거래 (4255) 국채</t>
  </si>
  <si>
    <t>BNDINV0101</t>
  </si>
  <si>
    <t>채권(장외) 투자주체별 잔고/거래 (4255) 지방채</t>
  </si>
  <si>
    <t>채권(장외) 투자주체별 잔고/거래 (4255) 공사공단채</t>
  </si>
  <si>
    <t>채권(장외) 투자주체별 잔고/거래 (4255) 통안증권</t>
  </si>
  <si>
    <t>BNDINV0104</t>
  </si>
  <si>
    <t>채권(장외) 투자주체별 잔고/거래 (4255) 금융채</t>
  </si>
  <si>
    <t>채권(장외) 투자주체별 잔고/거래 (4255) 회사채</t>
  </si>
  <si>
    <t>채권(장외) 투자주체별 잔고/거래 (4255) 기타</t>
  </si>
  <si>
    <t>외국인 순매도종목포함잔고 전체</t>
  </si>
  <si>
    <t>외국인 순매수거래량 전체</t>
  </si>
  <si>
    <t>국채</t>
    <phoneticPr fontId="1" type="noConversion"/>
  </si>
  <si>
    <t>통안증권</t>
    <phoneticPr fontId="1" type="noConversion"/>
  </si>
  <si>
    <t>특수채</t>
    <phoneticPr fontId="1" type="noConversion"/>
  </si>
  <si>
    <t>거래소</t>
    <phoneticPr fontId="1" type="noConversion"/>
  </si>
  <si>
    <t>코스닥</t>
    <phoneticPr fontId="1" type="noConversion"/>
  </si>
  <si>
    <t>K200선물</t>
    <phoneticPr fontId="1" type="noConversion"/>
  </si>
  <si>
    <t>현재가</t>
    <phoneticPr fontId="1" type="noConversion"/>
  </si>
  <si>
    <t>이론가</t>
    <phoneticPr fontId="1" type="noConversion"/>
  </si>
  <si>
    <t>저평가</t>
    <phoneticPr fontId="1" type="noConversion"/>
  </si>
  <si>
    <t>국채선물</t>
    <phoneticPr fontId="1" type="noConversion"/>
  </si>
  <si>
    <t>금리</t>
    <phoneticPr fontId="1" type="noConversion"/>
  </si>
  <si>
    <t>전일대비</t>
    <phoneticPr fontId="1" type="noConversion"/>
  </si>
  <si>
    <t>전일</t>
    <phoneticPr fontId="1" type="noConversion"/>
  </si>
  <si>
    <t>대비(bp)</t>
    <phoneticPr fontId="1" type="noConversion"/>
  </si>
  <si>
    <t>지수</t>
    <phoneticPr fontId="1" type="noConversion"/>
  </si>
  <si>
    <t>등락률</t>
    <phoneticPr fontId="1" type="noConversion"/>
  </si>
  <si>
    <t>환율</t>
    <phoneticPr fontId="1" type="noConversion"/>
  </si>
  <si>
    <t>억/수량</t>
    <phoneticPr fontId="1" type="noConversion"/>
  </si>
  <si>
    <t>국가</t>
    <phoneticPr fontId="1" type="noConversion"/>
  </si>
  <si>
    <t>순매수</t>
    <phoneticPr fontId="1" type="noConversion"/>
  </si>
  <si>
    <t>전체</t>
    <phoneticPr fontId="1" type="noConversion"/>
  </si>
  <si>
    <t>회사채</t>
    <phoneticPr fontId="1" type="noConversion"/>
  </si>
  <si>
    <t>거래</t>
    <phoneticPr fontId="1" type="noConversion"/>
  </si>
  <si>
    <t>상환</t>
    <phoneticPr fontId="1" type="noConversion"/>
  </si>
  <si>
    <t>잔량</t>
    <phoneticPr fontId="1" type="noConversion"/>
  </si>
  <si>
    <t>대차거래</t>
    <phoneticPr fontId="1" type="noConversion"/>
  </si>
  <si>
    <t>금융채</t>
    <phoneticPr fontId="1" type="noConversion"/>
  </si>
  <si>
    <t>회사채</t>
    <phoneticPr fontId="1" type="noConversion"/>
  </si>
  <si>
    <t>C65</t>
    <phoneticPr fontId="1" type="noConversion"/>
  </si>
  <si>
    <t>C67</t>
    <phoneticPr fontId="1" type="noConversion"/>
  </si>
  <si>
    <t>외국인 거래</t>
    <phoneticPr fontId="1" type="noConversion"/>
  </si>
  <si>
    <t>구분</t>
    <phoneticPr fontId="1" type="noConversion"/>
  </si>
  <si>
    <t>CALLKMBC01</t>
  </si>
  <si>
    <t>CALLKMBC02</t>
  </si>
  <si>
    <t>CALLKMBC03</t>
  </si>
  <si>
    <t>CALLKMBC04</t>
  </si>
  <si>
    <t>CALLKMBC05</t>
  </si>
  <si>
    <t>CALLKMBC06</t>
  </si>
  <si>
    <t>CALLKMBC07</t>
  </si>
  <si>
    <t>CALLKMBC08</t>
  </si>
  <si>
    <t>CALLKMBC09</t>
  </si>
  <si>
    <t>CALLKMBC10</t>
  </si>
  <si>
    <t>CALLKMBC11</t>
  </si>
  <si>
    <t>CALLKMBC12</t>
  </si>
  <si>
    <t>CALLKMBC13</t>
  </si>
  <si>
    <t>CALLKMBC14</t>
  </si>
  <si>
    <t>CALLKMBC15</t>
  </si>
  <si>
    <t>CALLKMBC16</t>
  </si>
  <si>
    <t>CALLKMBC17</t>
  </si>
  <si>
    <t>CALLKMBC18</t>
  </si>
  <si>
    <t>CALLKMBC19</t>
  </si>
  <si>
    <t>CALLKMBC20</t>
  </si>
  <si>
    <t>CALLKMBC21</t>
  </si>
  <si>
    <t>CALLKMBC22</t>
  </si>
  <si>
    <t>CALLKMBC23</t>
  </si>
  <si>
    <t>CALLKMBC24</t>
  </si>
  <si>
    <t>CALLKMBC25</t>
  </si>
  <si>
    <t>CALLKMBC26</t>
  </si>
  <si>
    <t>CALLKMBC27</t>
  </si>
  <si>
    <t>CALLKMBC28</t>
  </si>
  <si>
    <t>CALLKMBC29</t>
  </si>
  <si>
    <t>CALLKMBC30</t>
  </si>
  <si>
    <t>CALLKMBC31</t>
  </si>
  <si>
    <t>CALLKMBC32</t>
  </si>
  <si>
    <t>CALLKMBC33</t>
  </si>
  <si>
    <t>CALLKMBC34</t>
  </si>
  <si>
    <t>CALLKMBC35</t>
  </si>
  <si>
    <t>CALLKMBC36</t>
  </si>
  <si>
    <t>기물</t>
    <phoneticPr fontId="1" type="noConversion"/>
  </si>
  <si>
    <t>기물</t>
    <phoneticPr fontId="1" type="noConversion"/>
  </si>
  <si>
    <t>CRS</t>
    <phoneticPr fontId="1" type="noConversion"/>
  </si>
  <si>
    <t>IRS</t>
    <phoneticPr fontId="1" type="noConversion"/>
  </si>
  <si>
    <t>IR</t>
    <phoneticPr fontId="1" type="noConversion"/>
  </si>
  <si>
    <t>BNDINV0106</t>
    <phoneticPr fontId="1" type="noConversion"/>
  </si>
  <si>
    <t>CALLKMBC00</t>
    <phoneticPr fontId="1" type="noConversion"/>
  </si>
  <si>
    <t>FSSINV9000</t>
    <phoneticPr fontId="1" type="noConversion"/>
  </si>
  <si>
    <t>채권시장종합</t>
    <phoneticPr fontId="1" type="noConversion"/>
  </si>
  <si>
    <t>외인</t>
    <phoneticPr fontId="1" type="noConversion"/>
  </si>
  <si>
    <t>기금</t>
    <phoneticPr fontId="1" type="noConversion"/>
  </si>
  <si>
    <t>투신</t>
    <phoneticPr fontId="1" type="noConversion"/>
  </si>
  <si>
    <t>은행</t>
    <phoneticPr fontId="1" type="noConversion"/>
  </si>
  <si>
    <t>보험</t>
    <phoneticPr fontId="1" type="noConversion"/>
  </si>
  <si>
    <t>개인</t>
    <phoneticPr fontId="1" type="noConversion"/>
  </si>
  <si>
    <t>증권</t>
    <phoneticPr fontId="1" type="noConversion"/>
  </si>
  <si>
    <t>1Y</t>
    <phoneticPr fontId="1" type="noConversion"/>
  </si>
  <si>
    <t>2Y</t>
    <phoneticPr fontId="1" type="noConversion"/>
  </si>
  <si>
    <t>3Y</t>
    <phoneticPr fontId="1" type="noConversion"/>
  </si>
  <si>
    <t>4Y</t>
    <phoneticPr fontId="1" type="noConversion"/>
  </si>
  <si>
    <t>5Y</t>
    <phoneticPr fontId="1" type="noConversion"/>
  </si>
  <si>
    <t>7Y</t>
    <phoneticPr fontId="1" type="noConversion"/>
  </si>
  <si>
    <t>10Y</t>
    <phoneticPr fontId="1" type="noConversion"/>
  </si>
  <si>
    <t>20Y</t>
    <phoneticPr fontId="1" type="noConversion"/>
  </si>
  <si>
    <t>OFFER</t>
    <phoneticPr fontId="1" type="noConversion"/>
  </si>
  <si>
    <t>BID</t>
    <phoneticPr fontId="1" type="noConversion"/>
  </si>
  <si>
    <t>MID</t>
    <phoneticPr fontId="1" type="noConversion"/>
  </si>
  <si>
    <t>FUT</t>
    <phoneticPr fontId="1" type="noConversion"/>
  </si>
  <si>
    <t>IDX</t>
    <phoneticPr fontId="1" type="noConversion"/>
  </si>
  <si>
    <t>외국인 순매수거래량</t>
    <phoneticPr fontId="1" type="noConversion"/>
  </si>
  <si>
    <t>외국인합순매수수량</t>
    <phoneticPr fontId="1" type="noConversion"/>
  </si>
  <si>
    <t>기금 순매수거래량</t>
    <phoneticPr fontId="1" type="noConversion"/>
  </si>
  <si>
    <t>연기금순매수수량</t>
    <phoneticPr fontId="1" type="noConversion"/>
  </si>
  <si>
    <t>투신 순매수거래량</t>
    <phoneticPr fontId="1" type="noConversion"/>
  </si>
  <si>
    <t>투신순매수수량</t>
    <phoneticPr fontId="1" type="noConversion"/>
  </si>
  <si>
    <t>은행 순매수거래량</t>
    <phoneticPr fontId="1" type="noConversion"/>
  </si>
  <si>
    <t>은행순매수수량</t>
    <phoneticPr fontId="1" type="noConversion"/>
  </si>
  <si>
    <t>보험 순매수거래량</t>
    <phoneticPr fontId="1" type="noConversion"/>
  </si>
  <si>
    <t>보험순매수수량</t>
    <phoneticPr fontId="1" type="noConversion"/>
  </si>
  <si>
    <t>개인 순매수거래량</t>
    <phoneticPr fontId="1" type="noConversion"/>
  </si>
  <si>
    <t>개인순매수수량</t>
    <phoneticPr fontId="1" type="noConversion"/>
  </si>
  <si>
    <t>증권사 순매수거래량</t>
    <phoneticPr fontId="1" type="noConversion"/>
  </si>
  <si>
    <t>증권/선물순매수수량</t>
    <phoneticPr fontId="1" type="noConversion"/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</si>
  <si>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</si>
  <si>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</si>
  <si>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</si>
  <si>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</si>
  <si>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</si>
  <si>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</si>
  <si>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</si>
  <si>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</si>
  <si>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</si>
  <si>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국고채권</t>
  </si>
  <si>
    <t>BONDAV401</t>
  </si>
  <si>
    <t>국민주택1종</t>
  </si>
  <si>
    <t>BONDAV402</t>
  </si>
  <si>
    <t>국민주택2종</t>
  </si>
  <si>
    <t>BONDAV403</t>
  </si>
  <si>
    <t>국민주택3종</t>
  </si>
  <si>
    <t>BONDAV404</t>
  </si>
  <si>
    <t>서울도시철도</t>
  </si>
  <si>
    <t>BONDAV405</t>
  </si>
  <si>
    <t>지역개발채</t>
  </si>
  <si>
    <t>BONDAV406</t>
  </si>
  <si>
    <t>특수채(정부보증)</t>
  </si>
  <si>
    <t>BONDAV409</t>
  </si>
  <si>
    <t>특수채 공사채 AAA</t>
  </si>
  <si>
    <t>BONDAV410</t>
  </si>
  <si>
    <t>특수채 공사채 AA+</t>
  </si>
  <si>
    <t>BONDAV411</t>
  </si>
  <si>
    <t>특수채 공사채 AA</t>
  </si>
  <si>
    <t>BONDAV412</t>
  </si>
  <si>
    <t>특수채 공사채 AA-</t>
  </si>
  <si>
    <t>BONDAV413</t>
  </si>
  <si>
    <t>통안증권</t>
  </si>
  <si>
    <t>BONDAV414</t>
  </si>
  <si>
    <t>이표채외통안채</t>
  </si>
  <si>
    <t>BONDAV415</t>
  </si>
  <si>
    <t>금융채 산금채 AAA</t>
  </si>
  <si>
    <t>BONDAV416</t>
  </si>
  <si>
    <t>금융채I-이표채외산금채</t>
  </si>
  <si>
    <t>BONDAV417</t>
  </si>
  <si>
    <t>금융채 중금채 AAA</t>
  </si>
  <si>
    <t>BONDAV418</t>
  </si>
  <si>
    <t>금융채I-이표채외중기채</t>
  </si>
  <si>
    <t>BONDAV419</t>
  </si>
  <si>
    <t>금융채 은행채 AAA</t>
  </si>
  <si>
    <t>BONDAV420</t>
  </si>
  <si>
    <t>금융채 은행채 AA+</t>
  </si>
  <si>
    <t>BONDAV421</t>
  </si>
  <si>
    <t>금융채 은행채 AA</t>
  </si>
  <si>
    <t>BONDAV422</t>
  </si>
  <si>
    <t>금융채 은행채 AA-</t>
  </si>
  <si>
    <t>BONDAV423</t>
  </si>
  <si>
    <t>금융채 은행채 A+</t>
  </si>
  <si>
    <t>BONDAV424</t>
  </si>
  <si>
    <t>금융채 은행채 A</t>
  </si>
  <si>
    <t>BONDAV425</t>
  </si>
  <si>
    <t>금융채 은행채 A-</t>
  </si>
  <si>
    <t>BONDAV426</t>
  </si>
  <si>
    <t>금융채 카드채 AA+</t>
  </si>
  <si>
    <t>BONDAV481</t>
  </si>
  <si>
    <t>금융채 카드채 AA</t>
  </si>
  <si>
    <t>BONDAV427</t>
  </si>
  <si>
    <t>금융채 카드채 AA-</t>
  </si>
  <si>
    <t>BONDAV428</t>
  </si>
  <si>
    <t>금융채 카드채 A+</t>
  </si>
  <si>
    <t>BONDAV429</t>
  </si>
  <si>
    <t>금융채 카드채 A</t>
  </si>
  <si>
    <t>BONDAV430</t>
  </si>
  <si>
    <t>금융채 카드채 A-</t>
  </si>
  <si>
    <t>BONDAV431</t>
  </si>
  <si>
    <t>금융채 카드채 BBB+</t>
  </si>
  <si>
    <t>BONDAV432</t>
  </si>
  <si>
    <t>금융채 카드채 BBB0</t>
  </si>
  <si>
    <t>BONDAV433</t>
  </si>
  <si>
    <t>금융채 카드채 BBB-</t>
  </si>
  <si>
    <t>BONDAV434</t>
  </si>
  <si>
    <t>기타금융채AA+(3개월이표)</t>
  </si>
  <si>
    <t>BONDAV482</t>
  </si>
  <si>
    <t>기타금융채AA0(3개월이표)</t>
  </si>
  <si>
    <t>BONDAV436</t>
  </si>
  <si>
    <t>기타금융채AA-(3개월이표)</t>
  </si>
  <si>
    <t>BONDAV437</t>
  </si>
  <si>
    <t>기타금융채A+(3개월이표)</t>
  </si>
  <si>
    <t>BONDAV438</t>
  </si>
  <si>
    <t>기타금융채A0(3개월이표)</t>
  </si>
  <si>
    <t>BONDAV439</t>
  </si>
  <si>
    <t>기타금융채A-(3개월이표)</t>
  </si>
  <si>
    <t>BONDAV440</t>
  </si>
  <si>
    <t>기타금융채BBB+(3개월이표)</t>
  </si>
  <si>
    <t>BONDAV441</t>
  </si>
  <si>
    <t>기타금융채BBB0(3개월이표)</t>
  </si>
  <si>
    <t>BONDAV442</t>
  </si>
  <si>
    <t>기타금융채BBB-(3개월이표)</t>
  </si>
  <si>
    <t>BONDAV443</t>
  </si>
  <si>
    <t>회사채 공모/보증 특수은행보증BBB</t>
  </si>
  <si>
    <t>BONDAV444</t>
  </si>
  <si>
    <t>회사채 공모/보증 시중은행보증BBB</t>
  </si>
  <si>
    <t>BONDAV445</t>
  </si>
  <si>
    <t>회사채 공모/보증 우량지방은행보증BBB</t>
  </si>
  <si>
    <t>BONDAV446</t>
  </si>
  <si>
    <t>회사채 공모/보증 기타금융기관보증BBB</t>
  </si>
  <si>
    <t>BONDAV447</t>
  </si>
  <si>
    <t>회사채 공모/보증 AAA</t>
  </si>
  <si>
    <t>BONDAV448</t>
  </si>
  <si>
    <t>회사채 공모/보증 AA+</t>
  </si>
  <si>
    <t>BONDAV449</t>
  </si>
  <si>
    <t>회사채 공모/보증 AA</t>
  </si>
  <si>
    <t>BONDAV450</t>
  </si>
  <si>
    <t>회사채 공모/보증 AA-</t>
  </si>
  <si>
    <t>BONDAV451</t>
  </si>
  <si>
    <t>회사채 공모/보증 A+</t>
  </si>
  <si>
    <t>BONDAV452</t>
  </si>
  <si>
    <t>회사채 공모/보증 A</t>
  </si>
  <si>
    <t>BONDAV453</t>
  </si>
  <si>
    <t>회사채 공모/보증 A-</t>
  </si>
  <si>
    <t>BONDAV454</t>
  </si>
  <si>
    <t>회사채AAA(공모/무보증)</t>
  </si>
  <si>
    <t>BONDAV455</t>
  </si>
  <si>
    <t>회사채AA+(공모/무보증)</t>
  </si>
  <si>
    <t>BONDAV456</t>
  </si>
  <si>
    <t>회사채AA0(공모/무보증)</t>
  </si>
  <si>
    <t>BONDAV457</t>
  </si>
  <si>
    <t>회사채AA-(공모/무보증)</t>
  </si>
  <si>
    <t>BONDAV458</t>
  </si>
  <si>
    <t>회사채A+(공모/무보증)</t>
  </si>
  <si>
    <t>BONDAV459</t>
  </si>
  <si>
    <t>회사채A0(공모/무보증)</t>
  </si>
  <si>
    <t>BONDAV460</t>
  </si>
  <si>
    <t>회사채A-(공모/무보증)</t>
  </si>
  <si>
    <t>BONDAV461</t>
  </si>
  <si>
    <t>회사채BBB+(공모/무보증)</t>
  </si>
  <si>
    <t>BONDAV462</t>
  </si>
  <si>
    <t>회사채BBB0(공모/무보증)</t>
  </si>
  <si>
    <t>BONDAV463</t>
  </si>
  <si>
    <t>회사채BBB-(공모/무보증)</t>
  </si>
  <si>
    <t>BONDAV464</t>
  </si>
  <si>
    <t>회사채BB+(공모/무보증)</t>
  </si>
  <si>
    <t>BONDAV465</t>
  </si>
  <si>
    <t>회사채BB0(공모/무보증)</t>
  </si>
  <si>
    <t>BONDAV466</t>
  </si>
  <si>
    <t>회사채BB-(공모/무보증)</t>
  </si>
  <si>
    <t>BONDAV467</t>
  </si>
  <si>
    <t>회사채B(공모/무보증)</t>
  </si>
  <si>
    <t>BONDAV468</t>
  </si>
  <si>
    <t>회사채AAA(사모/무)</t>
  </si>
  <si>
    <t>BONDAV469</t>
  </si>
  <si>
    <t>회사채AA+(사모/무)</t>
  </si>
  <si>
    <t>BONDAV470</t>
  </si>
  <si>
    <t>회사채AA0(사모/무)</t>
  </si>
  <si>
    <t>BONDAV471</t>
  </si>
  <si>
    <t>회사채AA-(사모/무)</t>
  </si>
  <si>
    <t>BONDAV472</t>
  </si>
  <si>
    <t>회사채A+(사모/무)</t>
  </si>
  <si>
    <t>BONDAV473</t>
  </si>
  <si>
    <t>회사채A0(사모/무)</t>
  </si>
  <si>
    <t>BONDAV474</t>
  </si>
  <si>
    <t>회사채A-(사모/무)</t>
  </si>
  <si>
    <t>BONDAV475</t>
  </si>
  <si>
    <t>회사채BBB+(사모/무)</t>
  </si>
  <si>
    <t>BONDAV476</t>
  </si>
  <si>
    <t>회사채BBB0(사모/무)</t>
  </si>
  <si>
    <t>BONDAV477</t>
  </si>
  <si>
    <t>회사채BBB-(사모/무)</t>
  </si>
  <si>
    <t>BONDAV478</t>
  </si>
  <si>
    <t>유동화증권 KHFC MBS/SLBS AAA</t>
  </si>
  <si>
    <t>BONDAV479</t>
  </si>
  <si>
    <t>3월이하(당일)</t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</si>
  <si>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</si>
  <si>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</si>
  <si>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</si>
  <si>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</si>
  <si>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</si>
  <si>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</si>
  <si>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</si>
  <si>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</si>
  <si>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</si>
  <si>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</si>
  <si>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</si>
  <si>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</si>
  <si>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</si>
  <si>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30년이하(당일)</t>
  </si>
  <si>
    <t>최종호가수익률</t>
    <phoneticPr fontId="1" type="noConversion"/>
  </si>
  <si>
    <t>IR</t>
    <phoneticPr fontId="1" type="noConversion"/>
  </si>
  <si>
    <t>IDX</t>
    <phoneticPr fontId="1" type="noConversion"/>
  </si>
  <si>
    <t>이율</t>
    <phoneticPr fontId="1" type="noConversion"/>
  </si>
  <si>
    <t>외국인 총거래량 전체</t>
    <phoneticPr fontId="1" type="noConversion"/>
  </si>
  <si>
    <t>금액</t>
    <phoneticPr fontId="1" type="noConversion"/>
  </si>
  <si>
    <t>론이율</t>
    <phoneticPr fontId="1" type="noConversion"/>
  </si>
  <si>
    <t>머니이율</t>
    <phoneticPr fontId="1" type="noConversion"/>
  </si>
  <si>
    <t>론신청금액</t>
    <phoneticPr fontId="1" type="noConversion"/>
  </si>
  <si>
    <t>머니신청금액</t>
    <phoneticPr fontId="1" type="noConversion"/>
  </si>
  <si>
    <t>매도호가</t>
    <phoneticPr fontId="1" type="noConversion"/>
  </si>
  <si>
    <t>매수호가</t>
    <phoneticPr fontId="1" type="noConversion"/>
  </si>
  <si>
    <t>MID</t>
    <phoneticPr fontId="1" type="noConversion"/>
  </si>
  <si>
    <t>현재가</t>
    <phoneticPr fontId="1" type="noConversion"/>
  </si>
  <si>
    <t>이론가</t>
    <phoneticPr fontId="1" type="noConversion"/>
  </si>
  <si>
    <t>IR</t>
    <phoneticPr fontId="1" type="noConversion"/>
  </si>
  <si>
    <t>IDX</t>
    <phoneticPr fontId="1" type="noConversion"/>
  </si>
  <si>
    <t>BNDINV0000</t>
    <phoneticPr fontId="1" type="noConversion"/>
  </si>
  <si>
    <t>C65</t>
    <phoneticPr fontId="1" type="noConversion"/>
  </si>
  <si>
    <t>C67</t>
    <phoneticPr fontId="1" type="noConversion"/>
  </si>
  <si>
    <t>001</t>
    <phoneticPr fontId="1" type="noConversion"/>
  </si>
  <si>
    <t>801</t>
    <phoneticPr fontId="1" type="noConversion"/>
  </si>
  <si>
    <t>C01</t>
    <phoneticPr fontId="1" type="noConversion"/>
  </si>
  <si>
    <t>BNDINV0000</t>
    <phoneticPr fontId="1" type="noConversion"/>
  </si>
  <si>
    <t>BNDINV0003</t>
    <phoneticPr fontId="1" type="noConversion"/>
  </si>
  <si>
    <t>대표수익률</t>
    <phoneticPr fontId="1" type="noConversion"/>
  </si>
  <si>
    <t>전일대비</t>
    <phoneticPr fontId="1" type="noConversion"/>
  </si>
  <si>
    <t>IR</t>
    <phoneticPr fontId="1" type="noConversion"/>
  </si>
  <si>
    <t>FRN</t>
    <phoneticPr fontId="1" type="noConversion"/>
  </si>
  <si>
    <t>FX</t>
    <phoneticPr fontId="1" type="noConversion"/>
  </si>
  <si>
    <t>대표수익률</t>
    <phoneticPr fontId="1" type="noConversion"/>
  </si>
  <si>
    <t>국가</t>
    <phoneticPr fontId="1" type="noConversion"/>
  </si>
  <si>
    <t>지수</t>
    <phoneticPr fontId="1" type="noConversion"/>
  </si>
  <si>
    <t>금리</t>
    <phoneticPr fontId="1" type="noConversion"/>
  </si>
  <si>
    <t>환율</t>
    <phoneticPr fontId="1" type="noConversion"/>
  </si>
  <si>
    <t>전체</t>
    <phoneticPr fontId="1" type="noConversion"/>
  </si>
  <si>
    <t>외인</t>
    <phoneticPr fontId="1" type="noConversion"/>
  </si>
  <si>
    <t>그리스</t>
    <phoneticPr fontId="1" type="noConversion"/>
  </si>
  <si>
    <t>채권</t>
    <phoneticPr fontId="1" type="noConversion"/>
  </si>
  <si>
    <t>국채</t>
    <phoneticPr fontId="1" type="noConversion"/>
  </si>
  <si>
    <t>기금</t>
    <phoneticPr fontId="1" type="noConversion"/>
  </si>
  <si>
    <t>남아공</t>
    <phoneticPr fontId="1" type="noConversion"/>
  </si>
  <si>
    <t>USDZAR</t>
    <phoneticPr fontId="1" type="noConversion"/>
  </si>
  <si>
    <t>지방채</t>
    <phoneticPr fontId="1" type="noConversion"/>
  </si>
  <si>
    <t>투신</t>
    <phoneticPr fontId="1" type="noConversion"/>
  </si>
  <si>
    <t>네덜란드</t>
    <phoneticPr fontId="1" type="noConversion"/>
  </si>
  <si>
    <t>특수채</t>
    <phoneticPr fontId="1" type="noConversion"/>
  </si>
  <si>
    <t>은행</t>
    <phoneticPr fontId="1" type="noConversion"/>
  </si>
  <si>
    <t>노르웨이</t>
    <phoneticPr fontId="1" type="noConversion"/>
  </si>
  <si>
    <t>통안채</t>
    <phoneticPr fontId="1" type="noConversion"/>
  </si>
  <si>
    <t>보험</t>
    <phoneticPr fontId="1" type="noConversion"/>
  </si>
  <si>
    <t>뉴질랜드</t>
    <phoneticPr fontId="1" type="noConversion"/>
  </si>
  <si>
    <t>금융채</t>
    <phoneticPr fontId="1" type="noConversion"/>
  </si>
  <si>
    <t>개인</t>
    <phoneticPr fontId="1" type="noConversion"/>
  </si>
  <si>
    <t>대만</t>
    <phoneticPr fontId="1" type="noConversion"/>
  </si>
  <si>
    <t>회사채</t>
    <phoneticPr fontId="1" type="noConversion"/>
  </si>
  <si>
    <t>증권</t>
    <phoneticPr fontId="1" type="noConversion"/>
  </si>
  <si>
    <t>덴마크</t>
    <phoneticPr fontId="1" type="noConversion"/>
  </si>
  <si>
    <t>독일</t>
    <phoneticPr fontId="1" type="noConversion"/>
  </si>
  <si>
    <t>러시아</t>
    <phoneticPr fontId="1" type="noConversion"/>
  </si>
  <si>
    <t>말레이시아</t>
    <phoneticPr fontId="1" type="noConversion"/>
  </si>
  <si>
    <t>멕시코</t>
    <phoneticPr fontId="1" type="noConversion"/>
  </si>
  <si>
    <t>KTB</t>
    <phoneticPr fontId="1" type="noConversion"/>
  </si>
  <si>
    <t>LKTB</t>
    <phoneticPr fontId="1" type="noConversion"/>
  </si>
  <si>
    <t>미국</t>
    <phoneticPr fontId="1" type="noConversion"/>
  </si>
  <si>
    <t>DOLLAR</t>
    <phoneticPr fontId="1" type="noConversion"/>
  </si>
  <si>
    <t>채권계</t>
    <phoneticPr fontId="1" type="noConversion"/>
  </si>
  <si>
    <t>통안</t>
    <phoneticPr fontId="1" type="noConversion"/>
  </si>
  <si>
    <t>미국(DJI)</t>
    <phoneticPr fontId="1" type="noConversion"/>
  </si>
  <si>
    <t>브라질</t>
    <phoneticPr fontId="1" type="noConversion"/>
  </si>
  <si>
    <t>미국(NASDAQ)</t>
    <phoneticPr fontId="1" type="noConversion"/>
  </si>
  <si>
    <t>스페인</t>
    <phoneticPr fontId="1" type="noConversion"/>
  </si>
  <si>
    <t>미국(S&amp;P)</t>
    <phoneticPr fontId="1" type="noConversion"/>
  </si>
  <si>
    <t>벨기에</t>
    <phoneticPr fontId="1" type="noConversion"/>
  </si>
  <si>
    <t>베트남</t>
    <phoneticPr fontId="1" type="noConversion"/>
  </si>
  <si>
    <t>싱가포르</t>
    <phoneticPr fontId="1" type="noConversion"/>
  </si>
  <si>
    <t>아일랜드</t>
    <phoneticPr fontId="1" type="noConversion"/>
  </si>
  <si>
    <t>영국</t>
    <phoneticPr fontId="1" type="noConversion"/>
  </si>
  <si>
    <t>스웨덴</t>
    <phoneticPr fontId="1" type="noConversion"/>
  </si>
  <si>
    <t>이탈리아</t>
    <phoneticPr fontId="1" type="noConversion"/>
  </si>
  <si>
    <t>스위스</t>
    <phoneticPr fontId="1" type="noConversion"/>
  </si>
  <si>
    <t>인도</t>
    <phoneticPr fontId="1" type="noConversion"/>
  </si>
  <si>
    <t>인도네시아</t>
    <phoneticPr fontId="1" type="noConversion"/>
  </si>
  <si>
    <t>일본</t>
    <phoneticPr fontId="1" type="noConversion"/>
  </si>
  <si>
    <t>USDJPY</t>
    <phoneticPr fontId="1" type="noConversion"/>
  </si>
  <si>
    <t>아르헨티나</t>
    <phoneticPr fontId="1" type="noConversion"/>
  </si>
  <si>
    <t>중국</t>
    <phoneticPr fontId="1" type="noConversion"/>
  </si>
  <si>
    <t>USDCNY</t>
    <phoneticPr fontId="1" type="noConversion"/>
  </si>
  <si>
    <t>체코</t>
    <phoneticPr fontId="1" type="noConversion"/>
  </si>
  <si>
    <t xml:space="preserve">캐나다 </t>
    <phoneticPr fontId="1" type="noConversion"/>
  </si>
  <si>
    <t>오스트리아</t>
    <phoneticPr fontId="1" type="noConversion"/>
  </si>
  <si>
    <t>콜롬비아</t>
    <phoneticPr fontId="1" type="noConversion"/>
  </si>
  <si>
    <t>태국</t>
    <phoneticPr fontId="1" type="noConversion"/>
  </si>
  <si>
    <t>터키</t>
    <phoneticPr fontId="1" type="noConversion"/>
  </si>
  <si>
    <t>포르투갈</t>
    <phoneticPr fontId="1" type="noConversion"/>
  </si>
  <si>
    <t>폴란드</t>
    <phoneticPr fontId="1" type="noConversion"/>
  </si>
  <si>
    <t>중국(상해종합)</t>
    <phoneticPr fontId="1" type="noConversion"/>
  </si>
  <si>
    <t>프랑스</t>
    <phoneticPr fontId="1" type="noConversion"/>
  </si>
  <si>
    <t>중국(심천종합)</t>
    <phoneticPr fontId="1" type="noConversion"/>
  </si>
  <si>
    <t>필리핀</t>
    <phoneticPr fontId="1" type="noConversion"/>
  </si>
  <si>
    <t>한국</t>
    <phoneticPr fontId="1" type="noConversion"/>
  </si>
  <si>
    <t>USDKRW</t>
    <phoneticPr fontId="1" type="noConversion"/>
  </si>
  <si>
    <t>헝가리</t>
    <phoneticPr fontId="1" type="noConversion"/>
  </si>
  <si>
    <t>호주</t>
    <phoneticPr fontId="1" type="noConversion"/>
  </si>
  <si>
    <t>AUDUSD</t>
    <phoneticPr fontId="1" type="noConversion"/>
  </si>
  <si>
    <t>홍콩</t>
    <phoneticPr fontId="1" type="noConversion"/>
  </si>
  <si>
    <t>페루</t>
    <phoneticPr fontId="1" type="noConversion"/>
  </si>
  <si>
    <t>한국(KOSPI)</t>
    <phoneticPr fontId="1" type="noConversion"/>
  </si>
  <si>
    <t>001</t>
    <phoneticPr fontId="1" type="noConversion"/>
  </si>
  <si>
    <t>한국(KOSDAQ)</t>
    <phoneticPr fontId="1" type="noConversion"/>
  </si>
  <si>
    <t>801</t>
    <phoneticPr fontId="1" type="noConversion"/>
  </si>
  <si>
    <t>홍콩(항셍)</t>
    <phoneticPr fontId="1" type="noConversion"/>
  </si>
  <si>
    <t>홍콩(항셍H)</t>
    <phoneticPr fontId="1" type="noConversion"/>
  </si>
  <si>
    <t>시작</t>
    <phoneticPr fontId="1" type="noConversion"/>
  </si>
  <si>
    <t>일자</t>
    <phoneticPr fontId="1" type="noConversion"/>
  </si>
  <si>
    <t>SPREAD</t>
    <phoneticPr fontId="1" type="noConversion"/>
  </si>
  <si>
    <t>저평가</t>
    <phoneticPr fontId="1" type="noConversion"/>
  </si>
  <si>
    <t xml:space="preserve">  국가별 금리 비교</t>
    <phoneticPr fontId="1" type="noConversion"/>
  </si>
  <si>
    <t>전일대비(bp)</t>
    <phoneticPr fontId="1" type="noConversion"/>
  </si>
  <si>
    <t>국고 30Y</t>
  </si>
  <si>
    <t>국고 20Y</t>
  </si>
  <si>
    <t>국고 10Y</t>
  </si>
  <si>
    <t>국고 5Y</t>
  </si>
  <si>
    <t>국고 3Y</t>
  </si>
  <si>
    <t>BONDKSDCAL11</t>
  </si>
  <si>
    <t>국고 1Y</t>
    <phoneticPr fontId="1" type="noConversion"/>
  </si>
  <si>
    <t>국고 2Y</t>
    <phoneticPr fontId="1" type="noConversion"/>
  </si>
  <si>
    <t>산금 1년</t>
  </si>
  <si>
    <t>회사채 AA-</t>
  </si>
  <si>
    <t>CD 91일</t>
  </si>
  <si>
    <t>CP 91일</t>
    <phoneticPr fontId="1" type="noConversion"/>
  </si>
  <si>
    <t>BONDKSDCAL10</t>
    <phoneticPr fontId="1" type="noConversion"/>
  </si>
  <si>
    <t>BONDKSDCAL19</t>
    <phoneticPr fontId="1" type="noConversion"/>
  </si>
  <si>
    <t>BONDKSDCAL09</t>
    <phoneticPr fontId="1" type="noConversion"/>
  </si>
  <si>
    <t>USDSP_AMBC</t>
    <phoneticPr fontId="1" type="noConversion"/>
  </si>
  <si>
    <t>CRSALLKRW01Y</t>
    <phoneticPr fontId="1" type="noConversion"/>
  </si>
  <si>
    <t>CRSALLKRW02Y</t>
    <phoneticPr fontId="1" type="noConversion"/>
  </si>
  <si>
    <t>CRSALLKRW03Y</t>
  </si>
  <si>
    <t>CRSALLKRW04Y</t>
  </si>
  <si>
    <t>CRSALLKRW05Y</t>
  </si>
  <si>
    <t>CRSALLKRW07Y</t>
  </si>
  <si>
    <t>CRSALLKRW10Y</t>
  </si>
  <si>
    <t>CRSALLKRW20Y</t>
  </si>
  <si>
    <t>IRSALLKRW01Y</t>
  </si>
  <si>
    <t>IRSALLKRW02Y</t>
  </si>
  <si>
    <t>IRSALLKRW03Y</t>
  </si>
  <si>
    <t>IRSALLKRW04Y</t>
  </si>
  <si>
    <t>IRSALLKRW05Y</t>
  </si>
  <si>
    <t>IRSALLKRW07Y</t>
  </si>
  <si>
    <t>IRSALLKRW10Y</t>
  </si>
  <si>
    <t>IRSALLKRW20Y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</si>
</sst>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176" formatCode="#,##0_ "/>
    <numFmt numFmtId="177" formatCode="#,##0.000_ "/>
    <numFmt numFmtId="178" formatCode="#,##0.0000_ "/>
    <numFmt numFmtId="179" formatCode="#,##0.00000_ "/>
    <numFmt numFmtId="180" formatCode="#,##0.00_ "/>
    <numFmt numFmtId="181" formatCode="#,##0.0_ "/>
    <numFmt numFmtId="182" formatCode="\+#,##0_ ;\-#,##0\ "/>
    <numFmt numFmtId="183" formatCode="\+#,##0.00_ ;\-#,##0.00\ "/>
    <numFmt numFmtId="184" formatCode="\+#,##0.00000_ ;\-#,##0.00000\ "/>
  </numFmts>
  <fonts count="16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6"/>
      <color rgb="FF0070C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sz val="6"/>
      <color theme="0"/>
      <name val="맑은 고딕"/>
      <family val="2"/>
      <charset val="129"/>
      <scheme val="minor"/>
    </font>
    <font>
      <sz val="6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/>
      <diagonal/>
    </border>
    <border>
      <left/>
      <right style="double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4" borderId="0" xfId="0" applyNumberFormat="1" applyFont="1" applyFill="1">
      <alignment vertical="center"/>
    </xf>
    <xf numFmtId="49" fontId="4" fillId="4" borderId="0" xfId="0" applyNumberFormat="1" applyFont="1" applyFill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 applyFill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49" fontId="0" fillId="3" borderId="1" xfId="0" applyNumberFormat="1" applyFill="1" applyBorder="1">
      <alignment vertical="center"/>
    </xf>
    <xf numFmtId="0" fontId="3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>
      <alignment vertical="center"/>
    </xf>
    <xf numFmtId="0" fontId="10" fillId="0" borderId="0" xfId="0" applyFont="1" applyFill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 applyFill="1">
      <alignment vertical="center"/>
    </xf>
    <xf numFmtId="0" fontId="4" fillId="4" borderId="2" xfId="0" applyFont="1" applyFill="1" applyBorder="1" applyAlignment="1">
      <alignment horizontal="center" vertical="center"/>
    </xf>
    <xf numFmtId="49" fontId="0" fillId="3" borderId="3" xfId="0" applyNumberFormat="1" applyFill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>
      <alignment vertical="center"/>
    </xf>
    <xf numFmtId="49" fontId="13" fillId="0" borderId="0" xfId="0" applyNumberFormat="1" applyFont="1" applyFill="1" applyBorder="1" applyAlignment="1">
      <alignment horizontal="center" vertical="center"/>
    </xf>
    <xf numFmtId="0" fontId="13" fillId="0" borderId="0" xfId="0" quotePrefix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4" fillId="4" borderId="3" xfId="0" applyFont="1" applyFill="1" applyBorder="1" applyAlignment="1"/>
    <xf numFmtId="176" fontId="11" fillId="0" borderId="0" xfId="0" applyNumberFormat="1" applyFont="1" applyFill="1" applyBorder="1">
      <alignment vertical="center"/>
    </xf>
    <xf numFmtId="49" fontId="13" fillId="0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>
      <alignment vertical="center"/>
    </xf>
    <xf numFmtId="176" fontId="11" fillId="0" borderId="4" xfId="0" applyNumberFormat="1" applyFont="1" applyFill="1" applyBorder="1">
      <alignment vertical="center"/>
    </xf>
    <xf numFmtId="0" fontId="9" fillId="0" borderId="0" xfId="0" applyFont="1" applyFill="1">
      <alignment vertical="center"/>
    </xf>
    <xf numFmtId="0" fontId="9" fillId="0" borderId="0" xfId="0" applyFo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3" fillId="0" borderId="0" xfId="0" applyFont="1" applyFill="1" applyAlignment="1">
      <alignment horizontal="center" vertical="center"/>
    </xf>
    <xf numFmtId="49" fontId="14" fillId="0" borderId="0" xfId="0" applyNumberFormat="1" applyFont="1" applyFill="1" applyAlignment="1">
      <alignment horizontal="center" vertical="center"/>
    </xf>
    <xf numFmtId="49" fontId="15" fillId="0" borderId="0" xfId="0" applyNumberFormat="1" applyFont="1" applyFill="1">
      <alignment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4" fillId="0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1" fillId="0" borderId="10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2" xfId="1" applyNumberFormat="1" applyFon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82" fontId="0" fillId="0" borderId="3" xfId="0" applyNumberFormat="1" applyBorder="1">
      <alignment vertical="center"/>
    </xf>
    <xf numFmtId="182" fontId="0" fillId="0" borderId="1" xfId="0" applyNumberFormat="1" applyBorder="1">
      <alignment vertical="center"/>
    </xf>
    <xf numFmtId="182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0" xfId="0" quotePrefix="1">
      <alignment vertical="center"/>
    </xf>
    <xf numFmtId="183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0" fontId="0" fillId="0" borderId="3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4" fontId="14" fillId="0" borderId="0" xfId="0" applyNumberFormat="1" applyFont="1">
      <alignment vertical="center"/>
    </xf>
    <xf numFmtId="0" fontId="14" fillId="0" borderId="0" xfId="0" quotePrefix="1" applyFont="1">
      <alignment vertical="center"/>
    </xf>
    <xf numFmtId="184" fontId="0" fillId="0" borderId="1" xfId="0" applyNumberFormat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right" vertical="center"/>
    </xf>
    <xf numFmtId="176" fontId="0" fillId="0" borderId="8" xfId="1" applyNumberFormat="1" applyFont="1" applyBorder="1" applyAlignment="1">
      <alignment horizontal="right" vertical="center"/>
    </xf>
    <xf numFmtId="176" fontId="0" fillId="0" borderId="2" xfId="1" applyNumberFormat="1" applyFont="1" applyBorder="1" applyAlignment="1">
      <alignment horizontal="right" vertical="center"/>
    </xf>
    <xf numFmtId="176" fontId="0" fillId="0" borderId="9" xfId="1" applyNumberFormat="1" applyFon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0" fillId="0" borderId="8" xfId="0" applyNumberForma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3">
    <dxf>
      <font>
        <color rgb="FFFF0000"/>
      </font>
    </dxf>
    <dxf>
      <font>
        <color rgb="FF0070C0"/>
      </font>
    </dxf>
    <dxf>
      <font>
        <color auto="1"/>
      </font>
    </dxf>
  </dxfs>
  <tableStyles count="0" defaultTableStyle="TableStyleMedium9" defaultPivotStyle="PivotStyleLight16"/>
  <colors>
    <mruColors>
      <color rgb="FF006CFF"/>
      <color rgb="FFFF01A2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e">
        <v>#N/A</v>
        <stp/>
        <stp>P</stp>
        <stp>0</stp>
        <stp>FRN</stp>
        <stp>JSE:TOP40</stp>
        <stp>현재가</stp>
        <stp/>
        <stp/>
        <tr r="R17" s="1"/>
      </tp>
      <tp t="e">
        <v>#N/A</v>
        <stp/>
        <stp>P</stp>
        <stp>0</stp>
        <stp>FRN</stp>
        <stp>SHS:000001</stp>
        <stp>현재가</stp>
        <stp/>
        <stp/>
        <tr r="R9" s="1"/>
      </tp>
      <tp t="e">
        <v>#N/A</v>
        <stp/>
        <stp>P</stp>
        <stp>0</stp>
        <stp>FRN</stp>
        <stp>CAI:SPTSX</stp>
        <stp>등락률</stp>
        <stp/>
        <stp/>
        <tr r="S13" s="1"/>
      </tp>
      <tp t="e">
        <v>#N/A</v>
        <stp/>
        <stp>P</stp>
        <stp>0</stp>
        <stp>FRN</stp>
        <stp>SPI:SPX</stp>
        <stp>현재가</stp>
        <stp/>
        <stp/>
        <tr r="R11" s="1"/>
      </tp>
      <tp t="e">
        <v>#N/A</v>
        <stp/>
        <stp>P</stp>
        <stp>0</stp>
        <stp>FRN</stp>
        <stp>BRI:BVSP</stp>
        <stp>현재가</stp>
        <stp/>
        <stp/>
        <tr r="R15" s="1"/>
      </tp>
      <tp t="e">
        <v>#N/A</v>
        <stp/>
        <stp>P</stp>
        <stp>0</stp>
        <stp>FRN</stp>
        <stp>GRI:ASE</stp>
        <stp>현재가</stp>
        <stp/>
        <stp/>
        <tr r="R16" s="1"/>
      </tp>
      <tp t="e">
        <v>#N/A</v>
        <stp/>
        <stp>P</stp>
        <stp>0</stp>
        <stp>IR</stp>
        <stp>BNDINV0000</stp>
        <stp>개인 순매수거래량</stp>
        <stp/>
        <stp/>
        <tr r="P27" s="1"/>
      </tp>
      <tp t="e">
        <v>#N/A</v>
        <stp/>
        <stp>P</stp>
        <stp>0</stp>
        <stp>IR</stp>
        <stp>BNDINV0000</stp>
        <stp>외국인 순매수거래량</stp>
        <stp/>
        <stp/>
        <tr r="P22" s="1"/>
      </tp>
      <tp t="e">
        <v>#N/A</v>
        <stp/>
        <stp>P</stp>
        <stp>0</stp>
        <stp>FRN</stp>
        <stp>DJI:DJI</stp>
        <stp>현재가</stp>
        <stp/>
        <stp/>
        <tr r="R8" s="1"/>
      </tp>
      <tp t="e">
        <v>#N/A</v>
        <stp/>
        <stp>P</stp>
        <stp>0</stp>
        <stp>FRN</stp>
        <stp>HSI:HSI</stp>
        <stp>현재가</stp>
        <stp/>
        <stp/>
        <tr r="R12" s="1"/>
        <tr r="R10" s="1"/>
      </tp>
      <tp t="e">
        <v>#N/A</v>
        <stp/>
        <stp>P</stp>
        <stp>0</stp>
        <stp>FRN</stp>
        <stp>NAS:IXIC</stp>
        <stp>현재가</stp>
        <stp/>
        <stp/>
        <tr r="R14" s="1"/>
      </tp>
      <tp t="e">
        <v>#N/A</v>
        <stp/>
        <stp>P</stp>
        <stp>0</stp>
        <stp>IR</stp>
        <stp>BNDINV0000</stp>
        <stp>투신 순매수거래량</stp>
        <stp/>
        <stp/>
        <tr r="P24" s="1"/>
      </tp>
      <tp t="e">
        <v>#N/A</v>
        <stp/>
        <stp>P</stp>
        <stp>0</stp>
        <stp>IR</stp>
        <stp>BNDINV0100</stp>
        <stp>외국인 순매수거래량 전체</stp>
        <stp>44943</stp>
        <stp/>
        <tr r="H25" s="1"/>
      </tp>
      <tp t="e">
        <v>#N/A</v>
        <stp/>
        <stp>P</stp>
        <stp>0</stp>
        <stp>IR</stp>
        <stp>BNDINV0101</stp>
        <stp>외국인 순매수거래량 전체</stp>
        <stp>44943</stp>
        <stp/>
        <tr r="H26" s="1"/>
      </tp>
      <tp t="e">
        <v>#N/A</v>
        <stp/>
        <stp>P</stp>
        <stp>0</stp>
        <stp>IR</stp>
        <stp>BNDINV0106</stp>
        <stp>외국인 순매수거래량 전체</stp>
        <stp>44943</stp>
        <stp/>
        <tr r="H28" s="1"/>
      </tp>
      <tp t="e">
        <v>#N/A</v>
        <stp/>
        <stp>P</stp>
        <stp>0</stp>
        <stp>IR</stp>
        <stp>BNDINV0104</stp>
        <stp>외국인 순매수거래량 전체</stp>
        <stp>44943</stp>
        <stp/>
        <tr r="H27" s="1"/>
      </tp>
      <tp t="e">
        <v>#N/A</v>
        <stp/>
        <stp>P</stp>
        <stp>0</stp>
        <stp>FUT</stp>
        <stp>C67</stp>
        <stp>저평가</stp>
        <stp/>
        <stp/>
        <tr r="I23" s="1"/>
      </tp>
      <tp t="e">
        <v>#N/A</v>
        <stp/>
        <stp>P</stp>
        <stp>0</stp>
        <stp>FUT</stp>
        <stp>C67</stp>
        <stp>이론가</stp>
        <stp/>
        <stp/>
        <tr r="H23" s="1"/>
      </tp>
      <tp t="e">
        <v>#N/A</v>
        <stp/>
        <stp>P</stp>
        <stp>0</stp>
        <stp>FUT</stp>
        <stp>C67</stp>
        <stp>현재가</stp>
        <stp/>
        <stp/>
        <tr r="G23" s="1"/>
      </tp>
      <tp t="e">
        <v>#N/A</v>
        <stp/>
        <stp>P</stp>
        <stp>0</stp>
        <stp>FUT</stp>
        <stp>C65</stp>
        <stp>저평가</stp>
        <stp/>
        <stp/>
        <tr r="I22" s="1"/>
      </tp>
      <tp t="e">
        <v>#N/A</v>
        <stp/>
        <stp>P</stp>
        <stp>0</stp>
        <stp>FUT</stp>
        <stp>C65</stp>
        <stp>이론가</stp>
        <stp/>
        <stp/>
        <tr r="H22" s="1"/>
      </tp>
      <tp t="e">
        <v>#N/A</v>
        <stp/>
        <stp>P</stp>
        <stp>0</stp>
        <stp>FUT</stp>
        <stp>C65</stp>
        <stp>현재가</stp>
        <stp/>
        <stp/>
        <tr r="G22" s="1"/>
      </tp>
      <tp t="e">
        <v>#N/A</v>
        <stp/>
        <stp>P</stp>
        <stp>0</stp>
        <stp>IDX</stp>
        <stp>001</stp>
        <stp>현재가</stp>
        <stp/>
        <stp/>
        <tr r="R7" s="1"/>
      </tp>
      <tp t="e">
        <v>#N/A</v>
        <stp/>
        <stp>P</stp>
        <stp>0</stp>
        <stp>IR</stp>
        <stp>CALLKMBC01</stp>
        <stp>머니신청금액</stp>
        <stp/>
        <stp/>
        <tr r="H35" s="1"/>
      </tp>
      <tp t="e">
        <v>#N/A</v>
        <stp/>
        <stp>P</stp>
        <stp>0</stp>
        <stp>IR</stp>
        <stp>CALLKMBC00</stp>
        <stp>머니신청금액</stp>
        <stp/>
        <stp/>
        <tr r="H34" s="1"/>
      </tp>
      <tp t="e">
        <v>#N/A</v>
        <stp/>
        <stp>P</stp>
        <stp>0</stp>
        <stp>IR</stp>
        <stp>CALLKMBC03</stp>
        <stp>머니신청금액</stp>
        <stp/>
        <stp/>
        <tr r="H37" s="1"/>
      </tp>
      <tp t="e">
        <v>#N/A</v>
        <stp/>
        <stp>P</stp>
        <stp>0</stp>
        <stp>IR</stp>
        <stp>CALLKMBC02</stp>
        <stp>머니신청금액</stp>
        <stp/>
        <stp/>
        <tr r="H36" s="1"/>
      </tp>
      <tp t="e">
        <v>#N/A</v>
        <stp/>
        <stp>P</stp>
        <stp>0</stp>
        <stp>IR</stp>
        <stp>CALLKMBC05</stp>
        <stp>머니신청금액</stp>
        <stp/>
        <stp/>
        <tr r="H39" s="1"/>
      </tp>
      <tp t="e">
        <v>#N/A</v>
        <stp/>
        <stp>P</stp>
        <stp>0</stp>
        <stp>IR</stp>
        <stp>CALLKMBC04</stp>
        <stp>머니신청금액</stp>
        <stp/>
        <stp/>
        <tr r="H38" s="1"/>
      </tp>
      <tp t="e">
        <v>#N/A</v>
        <stp/>
        <stp>P</stp>
        <stp>0</stp>
        <stp>IR</stp>
        <stp>CALLKMBC07</stp>
        <stp>머니신청금액</stp>
        <stp/>
        <stp/>
        <tr r="H41" s="1"/>
      </tp>
      <tp t="e">
        <v>#N/A</v>
        <stp/>
        <stp>P</stp>
        <stp>0</stp>
        <stp>IR</stp>
        <stp>CALLKMBC06</stp>
        <stp>머니신청금액</stp>
        <stp/>
        <stp/>
        <tr r="H40" s="1"/>
      </tp>
      <tp t="e">
        <v>#N/A</v>
        <stp/>
        <stp>P</stp>
        <stp>0</stp>
        <stp>IR</stp>
        <stp>CRSALLKRW20Y</stp>
        <stp>MID</stp>
        <stp/>
        <stp/>
        <tr r="R41" s="1"/>
      </tp>
      <tp t="e">
        <v>#N/A</v>
        <stp/>
        <stp>P</stp>
        <stp>0</stp>
        <stp>IR</stp>
        <stp>CRSALLKRW02Y</stp>
        <stp>MID</stp>
        <stp/>
        <stp/>
        <tr r="R35" s="1"/>
      </tp>
      <tp t="e">
        <v>#N/A</v>
        <stp/>
        <stp>P</stp>
        <stp>0</stp>
        <stp>IR</stp>
        <stp>CRSALLKRW03Y</stp>
        <stp>MID</stp>
        <stp/>
        <stp/>
        <tr r="R36" s="1"/>
      </tp>
      <tp t="e">
        <v>#N/A</v>
        <stp/>
        <stp>P</stp>
        <stp>0</stp>
        <stp>IR</stp>
        <stp>CRSALLKRW01Y</stp>
        <stp>MID</stp>
        <stp/>
        <stp/>
        <tr r="R34" s="1"/>
      </tp>
      <tp t="e">
        <v>#N/A</v>
        <stp/>
        <stp>P</stp>
        <stp>0</stp>
        <stp>IR</stp>
        <stp>CRSALLKRW07Y</stp>
        <stp>MID</stp>
        <stp/>
        <stp/>
        <tr r="R39" s="1"/>
      </tp>
      <tp t="e">
        <v>#N/A</v>
        <stp/>
        <stp>P</stp>
        <stp>0</stp>
        <stp>IR</stp>
        <stp>CRSALLKRW04Y</stp>
        <stp>MID</stp>
        <stp/>
        <stp/>
        <tr r="R37" s="1"/>
      </tp>
      <tp t="e">
        <v>#N/A</v>
        <stp/>
        <stp>P</stp>
        <stp>0</stp>
        <stp>IR</stp>
        <stp>CRSALLKRW05Y</stp>
        <stp>MID</stp>
        <stp/>
        <stp/>
        <tr r="R38" s="1"/>
      </tp>
      <tp t="e">
        <v>#N/A</v>
        <stp/>
        <stp>P</stp>
        <stp>0</stp>
        <stp>IR</stp>
        <stp>CRSALLKRW10Y</stp>
        <stp>MID</stp>
        <stp/>
        <stp/>
        <tr r="R40" s="1"/>
      </tp>
      <tp t="e">
        <v>#N/A</v>
        <stp/>
        <stp>P</stp>
        <stp>0</stp>
        <stp>IR</stp>
        <stp>IRSALLKRW20Y</stp>
        <stp>MID</stp>
        <stp/>
        <stp/>
        <tr r="U41" s="1"/>
      </tp>
      <tp t="e">
        <v>#N/A</v>
        <stp/>
        <stp>P</stp>
        <stp>0</stp>
        <stp>IR</stp>
        <stp>IRSALLKRW02Y</stp>
        <stp>MID</stp>
        <stp/>
        <stp/>
        <tr r="U35" s="1"/>
      </tp>
      <tp t="e">
        <v>#N/A</v>
        <stp/>
        <stp>P</stp>
        <stp>0</stp>
        <stp>IR</stp>
        <stp>IRSALLKRW03Y</stp>
        <stp>MID</stp>
        <stp/>
        <stp/>
        <tr r="U36" s="1"/>
      </tp>
      <tp t="e">
        <v>#N/A</v>
        <stp/>
        <stp>P</stp>
        <stp>0</stp>
        <stp>IR</stp>
        <stp>IRSALLKRW01Y</stp>
        <stp>MID</stp>
        <stp/>
        <stp/>
        <tr r="U34" s="1"/>
      </tp>
      <tp t="e">
        <v>#N/A</v>
        <stp/>
        <stp>P</stp>
        <stp>0</stp>
        <stp>IR</stp>
        <stp>IRSALLKRW07Y</stp>
        <stp>MID</stp>
        <stp/>
        <stp/>
        <tr r="U39" s="1"/>
      </tp>
      <tp t="e">
        <v>#N/A</v>
        <stp/>
        <stp>P</stp>
        <stp>0</stp>
        <stp>IR</stp>
        <stp>IRSALLKRW04Y</stp>
        <stp>MID</stp>
        <stp/>
        <stp/>
        <tr r="U37" s="1"/>
      </tp>
      <tp t="e">
        <v>#N/A</v>
        <stp/>
        <stp>P</stp>
        <stp>0</stp>
        <stp>IR</stp>
        <stp>IRSALLKRW05Y</stp>
        <stp>MID</stp>
        <stp/>
        <stp/>
        <tr r="U38" s="1"/>
      </tp>
      <tp t="e">
        <v>#N/A</v>
        <stp/>
        <stp>P</stp>
        <stp>0</stp>
        <stp>IR</stp>
        <stp>IRSALLKRW10Y</stp>
        <stp>MID</stp>
        <stp/>
        <stp/>
        <tr r="U40" s="1"/>
      </tp>
      <tp t="e">
        <v>#N/A</v>
        <stp/>
        <stp>P</stp>
        <stp>0</stp>
        <stp>IR</stp>
        <stp>BNDINV0000</stp>
        <stp>기금 순매수거래량</stp>
        <stp/>
        <stp/>
        <tr r="P23" s="1"/>
      </tp>
      <tp>
        <v>0</v>
        <stp/>
        <stp>H</stp>
        <stp>x1.OwtC</stp>
        <stp>336</stp>
        <stp>1842834</stp>
        <tr r="AY57" s="1"/>
      </tp>
      <tp>
        <v>0</v>
        <stp/>
        <stp>H</stp>
        <stp>x3.OwtC</stp>
        <stp>338</stp>
        <stp>1842834</stp>
        <tr r="AW57" s="1"/>
      </tp>
      <tp>
        <v>0</v>
        <stp/>
        <stp>H</stp>
        <stp>x2.OwtC</stp>
        <stp>337</stp>
        <stp>1842834</stp>
        <tr r="AX57" s="1"/>
      </tp>
      <tp>
        <v>0</v>
        <stp/>
        <stp>H</stp>
        <stp>x5.OwtC</stp>
        <stp>340</stp>
        <stp>1842834</stp>
        <tr r="AV57" s="1"/>
      </tp>
      <tp>
        <v>0</v>
        <stp/>
        <stp>H</stp>
        <stp>x4.OwtC</stp>
        <stp>339</stp>
        <stp>1842834</stp>
        <tr r="AT57" s="1"/>
      </tp>
      <tp t="e">
        <v>#N/A</v>
        <stp/>
        <stp>P</stp>
        <stp>0</stp>
        <stp>IR</stp>
        <stp>BNDINV0000</stp>
        <stp>은행 순매수거래량</stp>
        <stp/>
        <stp/>
        <tr r="P25" s="1"/>
      </tp>
      <tp t="e">
        <v>#N/A</v>
        <stp/>
        <stp>P</stp>
        <stp>0</stp>
        <stp>FUT</stp>
        <stp>C01</stp>
        <stp>은행순매수수량</stp>
        <stp/>
        <stp/>
        <tr r="U25" s="1"/>
      </tp>
      <tp t="e">
        <v>#N/A</v>
        <stp/>
        <stp>P</stp>
        <stp>0</stp>
        <stp>FUT</stp>
        <stp>001</stp>
        <stp>은행순매수수량</stp>
        <stp/>
        <stp/>
        <tr r="S25" s="1"/>
      </tp>
      <tp t="e">
        <v>#N/A</v>
        <stp/>
        <stp>P</stp>
        <stp>0</stp>
        <stp>FUT</stp>
        <stp>801</stp>
        <stp>은행순매수수량</stp>
        <stp/>
        <stp/>
        <tr r="T25" s="1"/>
      </tp>
      <tp t="e">
        <v>#N/A</v>
        <stp/>
        <stp>P</stp>
        <stp>0</stp>
        <stp>FUT</stp>
        <stp>801</stp>
        <stp>투신순매수수량</stp>
        <stp/>
        <stp/>
        <tr r="T24" s="1"/>
      </tp>
      <tp t="e">
        <v>#N/A</v>
        <stp/>
        <stp>P</stp>
        <stp>0</stp>
        <stp>FUT</stp>
        <stp>001</stp>
        <stp>투신순매수수량</stp>
        <stp/>
        <stp/>
        <tr r="S24" s="1"/>
      </tp>
      <tp t="e">
        <v>#N/A</v>
        <stp/>
        <stp>P</stp>
        <stp>0</stp>
        <stp>FUT</stp>
        <stp>C01</stp>
        <stp>투신순매수수량</stp>
        <stp/>
        <stp/>
        <tr r="U24" s="1"/>
      </tp>
      <tp t="e">
        <v>#N/A</v>
        <stp/>
        <stp>P</stp>
        <stp>0</stp>
        <stp>IDX</stp>
        <stp>001</stp>
        <stp>등락률</stp>
        <stp/>
        <stp/>
        <tr r="S7" s="1"/>
      </tp>
      <tp t="e">
        <v>#N/A</v>
        <stp/>
        <stp>P</stp>
        <stp>0</stp>
        <stp>FUT</stp>
        <stp>801</stp>
        <stp>개인순매수수량</stp>
        <stp/>
        <stp/>
        <tr r="T27" s="1"/>
      </tp>
      <tp t="e">
        <v>#N/A</v>
        <stp/>
        <stp>P</stp>
        <stp>0</stp>
        <stp>FUT</stp>
        <stp>001</stp>
        <stp>개인순매수수량</stp>
        <stp/>
        <stp/>
        <tr r="S27" s="1"/>
      </tp>
      <tp t="e">
        <v>#N/A</v>
        <stp/>
        <stp>P</stp>
        <stp>0</stp>
        <stp>FUT</stp>
        <stp>C01</stp>
        <stp>개인순매수수량</stp>
        <stp/>
        <stp/>
        <tr r="U27" s="1"/>
      </tp>
      <tp t="e">
        <v>#N/A</v>
        <stp/>
        <stp>P</stp>
        <stp>0</stp>
        <stp>FUT</stp>
        <stp>C01</stp>
        <stp>보험순매수수량</stp>
        <stp/>
        <stp/>
        <tr r="U26" s="1"/>
      </tp>
      <tp t="e">
        <v>#N/A</v>
        <stp/>
        <stp>P</stp>
        <stp>0</stp>
        <stp>FUT</stp>
        <stp>001</stp>
        <stp>보험순매수수량</stp>
        <stp/>
        <stp/>
        <tr r="S26" s="1"/>
      </tp>
      <tp t="e">
        <v>#N/A</v>
        <stp/>
        <stp>P</stp>
        <stp>0</stp>
        <stp>FUT</stp>
        <stp>801</stp>
        <stp>보험순매수수량</stp>
        <stp/>
        <stp/>
        <tr r="T26" s="1"/>
      </tp>
      <tp t="e">
        <v>#N/A</v>
        <stp/>
        <stp>P</stp>
        <stp>0</stp>
        <stp>FUT</stp>
        <stp>C67</stp>
        <stp>은행순매수수량</stp>
        <stp/>
        <stp/>
        <tr r="R25" s="1"/>
      </tp>
      <tp t="e">
        <v>#N/A</v>
        <stp/>
        <stp>P</stp>
        <stp>0</stp>
        <stp>FUT</stp>
        <stp>C67</stp>
        <stp>투신순매수수량</stp>
        <stp/>
        <stp/>
        <tr r="R24" s="1"/>
      </tp>
      <tp t="e">
        <v>#N/A</v>
        <stp/>
        <stp>P</stp>
        <stp>0</stp>
        <stp>FUT</stp>
        <stp>C67</stp>
        <stp>개인순매수수량</stp>
        <stp/>
        <stp/>
        <tr r="R27" s="1"/>
      </tp>
      <tp t="e">
        <v>#N/A</v>
        <stp/>
        <stp>P</stp>
        <stp>0</stp>
        <stp>FUT</stp>
        <stp>C67</stp>
        <stp>보험순매수수량</stp>
        <stp/>
        <stp/>
        <tr r="R26" s="1"/>
      </tp>
      <tp t="e">
        <v>#N/A</v>
        <stp/>
        <stp>P</stp>
        <stp>0</stp>
        <stp>FUT</stp>
        <stp>C65</stp>
        <stp>은행순매수수량</stp>
        <stp/>
        <stp/>
        <tr r="Q25" s="1"/>
      </tp>
      <tp t="e">
        <v>#N/A</v>
        <stp/>
        <stp>P</stp>
        <stp>0</stp>
        <stp>FUT</stp>
        <stp>C65</stp>
        <stp>투신순매수수량</stp>
        <stp/>
        <stp/>
        <tr r="Q24" s="1"/>
      </tp>
      <tp t="e">
        <v>#N/A</v>
        <stp/>
        <stp>P</stp>
        <stp>0</stp>
        <stp>FUT</stp>
        <stp>C65</stp>
        <stp>개인순매수수량</stp>
        <stp/>
        <stp/>
        <tr r="Q27" s="1"/>
      </tp>
      <tp t="e">
        <v>#N/A</v>
        <stp/>
        <stp>P</stp>
        <stp>0</stp>
        <stp>FUT</stp>
        <stp>C65</stp>
        <stp>보험순매수수량</stp>
        <stp/>
        <stp/>
        <tr r="Q26" s="1"/>
      </tp>
      <tp t="e">
        <v>#N/A</v>
        <stp/>
        <stp>P</stp>
        <stp>0</stp>
        <stp>FRN</stp>
        <stp>JSE:TOP40</stp>
        <stp>등락률</stp>
        <stp/>
        <stp/>
        <tr r="S17" s="1"/>
      </tp>
      <tp t="e">
        <v>#N/A</v>
        <stp/>
        <stp>P</stp>
        <stp>0</stp>
        <stp>FRN</stp>
        <stp>SHS:000001</stp>
        <stp>등락률</stp>
        <stp/>
        <stp/>
        <tr r="S9" s="1"/>
      </tp>
      <tp t="e">
        <v>#N/A</v>
        <stp/>
        <stp>P</stp>
        <stp>0</stp>
        <stp>IR</stp>
        <stp>US10Y</stp>
        <stp>현재가</stp>
        <stp/>
        <stp/>
        <tr r="P8" s="1"/>
      </tp>
      <tp t="e">
        <v>#N/A</v>
        <stp/>
        <stp>P</stp>
        <stp>0</stp>
        <stp>IR</stp>
        <stp>RM10Y</stp>
        <stp>현재가</stp>
        <stp/>
        <stp/>
        <tr r="P9" s="1"/>
      </tp>
      <tp t="e">
        <v>#N/A</v>
        <stp/>
        <stp>P</stp>
        <stp>0</stp>
        <stp>FRN</stp>
        <stp>CAI:SPTSX</stp>
        <stp>현재가</stp>
        <stp/>
        <stp/>
        <tr r="R13" s="1"/>
      </tp>
      <tp t="e">
        <v>#N/A</v>
        <stp/>
        <stp>P</stp>
        <stp>0</stp>
        <stp>FRN</stp>
        <stp>BRI:BVSP</stp>
        <stp>등락률</stp>
        <stp/>
        <stp/>
        <tr r="S15" s="1"/>
      </tp>
      <tp t="e">
        <v>#N/A</v>
        <stp/>
        <stp>P</stp>
        <stp>0</stp>
        <stp>IR</stp>
        <stp>ZA10Y</stp>
        <stp>현재가</stp>
        <stp/>
        <stp/>
        <tr r="P17" s="1"/>
      </tp>
      <tp t="e">
        <v>#N/A</v>
        <stp/>
        <stp>P</stp>
        <stp>0</stp>
        <stp>FRN</stp>
        <stp>SPI:SPX</stp>
        <stp>등락률</stp>
        <stp/>
        <stp/>
        <tr r="S11" s="1"/>
      </tp>
      <tp t="e">
        <v>#N/A</v>
        <stp/>
        <stp>P</stp>
        <stp>0</stp>
        <stp>IR</stp>
        <stp>GR10Y</stp>
        <stp>현재가</stp>
        <stp/>
        <stp/>
        <tr r="P16" s="1"/>
      </tp>
      <tp t="e">
        <v>#N/A</v>
        <stp/>
        <stp>P</stp>
        <stp>0</stp>
        <stp>FRN</stp>
        <stp>GRI:ASE</stp>
        <stp>등락률</stp>
        <stp/>
        <stp/>
        <tr r="S16" s="1"/>
      </tp>
      <tp t="e">
        <v>#N/A</v>
        <stp/>
        <stp>P</stp>
        <stp>0</stp>
        <stp>IR</stp>
        <stp>BR10Y</stp>
        <stp>현재가</stp>
        <stp/>
        <stp/>
        <tr r="P15" s="1"/>
      </tp>
      <tp t="e">
        <v>#N/A</v>
        <stp/>
        <stp>P</stp>
        <stp>0</stp>
        <stp>IR</stp>
        <stp>CA10Y</stp>
        <stp>현재가</stp>
        <stp/>
        <stp/>
        <tr r="P13" s="1"/>
      </tp>
      <tp t="e">
        <v>#N/A</v>
        <stp/>
        <stp>P</stp>
        <stp>0</stp>
        <stp>IR</stp>
        <stp>AU10Y</stp>
        <stp>현재가</stp>
        <stp/>
        <stp/>
        <tr r="P14" s="1"/>
      </tp>
      <tp t="e">
        <v>#N/A</v>
        <stp/>
        <stp>P</stp>
        <stp>0</stp>
        <stp>IR</stp>
        <stp>JP10Y</stp>
        <stp>현재가</stp>
        <stp/>
        <stp/>
        <tr r="P11" s="1"/>
      </tp>
      <tp t="e">
        <v>#N/A</v>
        <stp/>
        <stp>P</stp>
        <stp>0</stp>
        <stp>FRN</stp>
        <stp>DJI:DJI</stp>
        <stp>등락률</stp>
        <stp/>
        <stp/>
        <tr r="S8" s="1"/>
      </tp>
      <tp t="e">
        <v>#N/A</v>
        <stp/>
        <stp>P</stp>
        <stp>0</stp>
        <stp>FRN</stp>
        <stp>HSI:HSI</stp>
        <stp>등락률</stp>
        <stp/>
        <stp/>
        <tr r="S12" s="1"/>
        <tr r="S10" s="1"/>
      </tp>
      <tp t="e">
        <v>#N/A</v>
        <stp/>
        <stp>P</stp>
        <stp>0</stp>
        <stp>IR</stp>
        <stp>HK10Y</stp>
        <stp>현재가</stp>
        <stp/>
        <stp/>
        <tr r="P10" s="1"/>
        <tr r="P12" s="1"/>
      </tp>
      <tp t="e">
        <v>#N/A</v>
        <stp/>
        <stp>P</stp>
        <stp>0</stp>
        <stp>FRN</stp>
        <stp>NAS:IXIC</stp>
        <stp>등락률</stp>
        <stp/>
        <stp/>
        <tr r="S14" s="1"/>
      </tp>
      <tp t="e">
        <v>#N/A</v>
        <stp/>
        <stp>P</stp>
        <stp>0</stp>
        <stp>IR</stp>
        <stp>IRSALLKRW10Y</stp>
        <stp>매수호가</stp>
        <stp/>
        <stp/>
        <tr r="T40" s="1"/>
      </tp>
      <tp t="e">
        <v>#N/A</v>
        <stp/>
        <stp>P</stp>
        <stp>0</stp>
        <stp>IR</stp>
        <stp>IRSALLKRW05Y</stp>
        <stp>매수호가</stp>
        <stp/>
        <stp/>
        <tr r="T38" s="1"/>
      </tp>
      <tp t="e">
        <v>#N/A</v>
        <stp/>
        <stp>P</stp>
        <stp>0</stp>
        <stp>IR</stp>
        <stp>IRSALLKRW04Y</stp>
        <stp>매수호가</stp>
        <stp/>
        <stp/>
        <tr r="T37" s="1"/>
      </tp>
      <tp t="e">
        <v>#N/A</v>
        <stp/>
        <stp>P</stp>
        <stp>0</stp>
        <stp>IR</stp>
        <stp>IRSALLKRW07Y</stp>
        <stp>매수호가</stp>
        <stp/>
        <stp/>
        <tr r="T39" s="1"/>
      </tp>
      <tp t="e">
        <v>#N/A</v>
        <stp/>
        <stp>P</stp>
        <stp>0</stp>
        <stp>IR</stp>
        <stp>IRSALLKRW01Y</stp>
        <stp>매수호가</stp>
        <stp/>
        <stp/>
        <tr r="T34" s="1"/>
      </tp>
      <tp t="e">
        <v>#N/A</v>
        <stp/>
        <stp>P</stp>
        <stp>0</stp>
        <stp>IR</stp>
        <stp>IRSALLKRW03Y</stp>
        <stp>매수호가</stp>
        <stp/>
        <stp/>
        <tr r="T36" s="1"/>
      </tp>
      <tp t="e">
        <v>#N/A</v>
        <stp/>
        <stp>P</stp>
        <stp>0</stp>
        <stp>IR</stp>
        <stp>IRSALLKRW02Y</stp>
        <stp>매수호가</stp>
        <stp/>
        <stp/>
        <tr r="T35" s="1"/>
      </tp>
      <tp t="e">
        <v>#N/A</v>
        <stp/>
        <stp>P</stp>
        <stp>0</stp>
        <stp>IR</stp>
        <stp>IRSALLKRW20Y</stp>
        <stp>매수호가</stp>
        <stp/>
        <stp/>
        <tr r="T41" s="1"/>
      </tp>
      <tp t="e">
        <v>#N/A</v>
        <stp/>
        <stp>P</stp>
        <stp>0</stp>
        <stp>IR</stp>
        <stp>IRSALLKRW01Y</stp>
        <stp>매도호가</stp>
        <stp/>
        <stp/>
        <tr r="S34" s="1"/>
      </tp>
      <tp t="e">
        <v>#N/A</v>
        <stp/>
        <stp>P</stp>
        <stp>0</stp>
        <stp>IR</stp>
        <stp>IRSALLKRW03Y</stp>
        <stp>매도호가</stp>
        <stp/>
        <stp/>
        <tr r="S36" s="1"/>
      </tp>
      <tp t="e">
        <v>#N/A</v>
        <stp/>
        <stp>P</stp>
        <stp>0</stp>
        <stp>IR</stp>
        <stp>IRSALLKRW02Y</stp>
        <stp>매도호가</stp>
        <stp/>
        <stp/>
        <tr r="S35" s="1"/>
      </tp>
      <tp t="e">
        <v>#N/A</v>
        <stp/>
        <stp>P</stp>
        <stp>0</stp>
        <stp>IR</stp>
        <stp>IRSALLKRW05Y</stp>
        <stp>매도호가</stp>
        <stp/>
        <stp/>
        <tr r="S38" s="1"/>
      </tp>
      <tp t="e">
        <v>#N/A</v>
        <stp/>
        <stp>P</stp>
        <stp>0</stp>
        <stp>IR</stp>
        <stp>IRSALLKRW04Y</stp>
        <stp>매도호가</stp>
        <stp/>
        <stp/>
        <tr r="S37" s="1"/>
      </tp>
      <tp t="e">
        <v>#N/A</v>
        <stp/>
        <stp>P</stp>
        <stp>0</stp>
        <stp>IR</stp>
        <stp>IRSALLKRW07Y</stp>
        <stp>매도호가</stp>
        <stp/>
        <stp/>
        <tr r="S39" s="1"/>
      </tp>
      <tp t="e">
        <v>#N/A</v>
        <stp/>
        <stp>P</stp>
        <stp>0</stp>
        <stp>IR</stp>
        <stp>IRSALLKRW10Y</stp>
        <stp>매도호가</stp>
        <stp/>
        <stp/>
        <tr r="S40" s="1"/>
      </tp>
      <tp t="e">
        <v>#N/A</v>
        <stp/>
        <stp>P</stp>
        <stp>0</stp>
        <stp>IR</stp>
        <stp>IRSALLKRW20Y</stp>
        <stp>매도호가</stp>
        <stp/>
        <stp/>
        <tr r="S41" s="1"/>
      </tp>
      <tp t="e">
        <v>#N/A</v>
        <stp/>
        <stp>P</stp>
        <stp>0</stp>
        <stp>FX</stp>
        <stp>DOLLAR</stp>
        <stp>전일대비</stp>
        <stp/>
        <stp/>
        <tr r="U8" s="1"/>
      </tp>
      <tp t="e">
        <v>#N/A</v>
        <stp/>
        <stp>P</stp>
        <stp>0</stp>
        <stp>IR</stp>
        <stp>CRSALLKRW10Y</stp>
        <stp>매수호가</stp>
        <stp/>
        <stp/>
        <tr r="Q40" s="1"/>
      </tp>
      <tp t="e">
        <v>#N/A</v>
        <stp/>
        <stp>P</stp>
        <stp>0</stp>
        <stp>IR</stp>
        <stp>CRSALLKRW05Y</stp>
        <stp>매수호가</stp>
        <stp/>
        <stp/>
        <tr r="Q38" s="1"/>
      </tp>
      <tp t="e">
        <v>#N/A</v>
        <stp/>
        <stp>P</stp>
        <stp>0</stp>
        <stp>IR</stp>
        <stp>CRSALLKRW04Y</stp>
        <stp>매수호가</stp>
        <stp/>
        <stp/>
        <tr r="Q37" s="1"/>
      </tp>
      <tp t="e">
        <v>#N/A</v>
        <stp/>
        <stp>P</stp>
        <stp>0</stp>
        <stp>IR</stp>
        <stp>CRSALLKRW07Y</stp>
        <stp>매수호가</stp>
        <stp/>
        <stp/>
        <tr r="Q39" s="1"/>
      </tp>
      <tp t="e">
        <v>#N/A</v>
        <stp/>
        <stp>P</stp>
        <stp>0</stp>
        <stp>IR</stp>
        <stp>CRSALLKRW01Y</stp>
        <stp>매수호가</stp>
        <stp/>
        <stp/>
        <tr r="Q34" s="1"/>
      </tp>
      <tp t="e">
        <v>#N/A</v>
        <stp/>
        <stp>P</stp>
        <stp>0</stp>
        <stp>IR</stp>
        <stp>CRSALLKRW03Y</stp>
        <stp>매수호가</stp>
        <stp/>
        <stp/>
        <tr r="Q36" s="1"/>
      </tp>
      <tp t="e">
        <v>#N/A</v>
        <stp/>
        <stp>P</stp>
        <stp>0</stp>
        <stp>IR</stp>
        <stp>CRSALLKRW02Y</stp>
        <stp>매수호가</stp>
        <stp/>
        <stp/>
        <tr r="Q35" s="1"/>
      </tp>
      <tp t="e">
        <v>#N/A</v>
        <stp/>
        <stp>P</stp>
        <stp>0</stp>
        <stp>IR</stp>
        <stp>CRSALLKRW20Y</stp>
        <stp>매수호가</stp>
        <stp/>
        <stp/>
        <tr r="Q41" s="1"/>
      </tp>
      <tp t="e">
        <v>#N/A</v>
        <stp/>
        <stp>P</stp>
        <stp>0</stp>
        <stp>IR</stp>
        <stp>CRSALLKRW01Y</stp>
        <stp>매도호가</stp>
        <stp/>
        <stp/>
        <tr r="P34" s="1"/>
      </tp>
      <tp t="e">
        <v>#N/A</v>
        <stp/>
        <stp>P</stp>
        <stp>0</stp>
        <stp>IR</stp>
        <stp>CRSALLKRW03Y</stp>
        <stp>매도호가</stp>
        <stp/>
        <stp/>
        <tr r="P36" s="1"/>
      </tp>
      <tp t="e">
        <v>#N/A</v>
        <stp/>
        <stp>P</stp>
        <stp>0</stp>
        <stp>IR</stp>
        <stp>CRSALLKRW02Y</stp>
        <stp>매도호가</stp>
        <stp/>
        <stp/>
        <tr r="P35" s="1"/>
      </tp>
      <tp t="e">
        <v>#N/A</v>
        <stp/>
        <stp>P</stp>
        <stp>0</stp>
        <stp>IR</stp>
        <stp>CRSALLKRW05Y</stp>
        <stp>매도호가</stp>
        <stp/>
        <stp/>
        <tr r="P38" s="1"/>
      </tp>
      <tp t="e">
        <v>#N/A</v>
        <stp/>
        <stp>P</stp>
        <stp>0</stp>
        <stp>IR</stp>
        <stp>CRSALLKRW04Y</stp>
        <stp>매도호가</stp>
        <stp/>
        <stp/>
        <tr r="P37" s="1"/>
      </tp>
      <tp t="e">
        <v>#N/A</v>
        <stp/>
        <stp>P</stp>
        <stp>0</stp>
        <stp>IR</stp>
        <stp>CRSALLKRW07Y</stp>
        <stp>매도호가</stp>
        <stp/>
        <stp/>
        <tr r="P39" s="1"/>
      </tp>
      <tp t="e">
        <v>#N/A</v>
        <stp/>
        <stp>P</stp>
        <stp>0</stp>
        <stp>IR</stp>
        <stp>CRSALLKRW10Y</stp>
        <stp>매도호가</stp>
        <stp/>
        <stp/>
        <tr r="P40" s="1"/>
      </tp>
      <tp t="e">
        <v>#N/A</v>
        <stp/>
        <stp>P</stp>
        <stp>0</stp>
        <stp>IR</stp>
        <stp>CRSALLKRW20Y</stp>
        <stp>매도호가</stp>
        <stp/>
        <stp/>
        <tr r="P41" s="1"/>
      </tp>
      <tp t="e">
        <v>#N/A</v>
        <stp/>
        <stp>P</stp>
        <stp>0</stp>
        <stp>FX</stp>
        <stp>AUDUSD</stp>
        <stp>전일대비</stp>
        <stp/>
        <stp/>
        <tr r="U14" s="1"/>
      </tp>
      <tp t="e">
        <v>#N/A</v>
        <stp/>
        <stp>P</stp>
        <stp>0</stp>
        <stp>FX</stp>
        <stp>USDZAR</stp>
        <stp>전일대비</stp>
        <stp/>
        <stp/>
        <tr r="U17" s="1"/>
      </tp>
      <tp t="e">
        <v>#N/A</v>
        <stp/>
        <stp>P</stp>
        <stp>0</stp>
        <stp>FX</stp>
        <stp>USDBRL</stp>
        <stp>전일대비</stp>
        <stp/>
        <stp/>
        <tr r="U15" s="1"/>
      </tp>
      <tp t="e">
        <v>#N/A</v>
        <stp/>
        <stp>P</stp>
        <stp>0</stp>
        <stp>FX</stp>
        <stp>USDCAD</stp>
        <stp>전일대비</stp>
        <stp/>
        <stp/>
        <tr r="U13" s="1"/>
      </tp>
      <tp t="e">
        <v>#N/A</v>
        <stp/>
        <stp>P</stp>
        <stp>0</stp>
        <stp>FX</stp>
        <stp>USDCNY</stp>
        <stp>전일대비</stp>
        <stp/>
        <stp/>
        <tr r="U9" s="1"/>
      </tp>
      <tp t="e">
        <v>#N/A</v>
        <stp/>
        <stp>P</stp>
        <stp>0</stp>
        <stp>FX</stp>
        <stp>USDJPY</stp>
        <stp>전일대비</stp>
        <stp/>
        <stp/>
        <tr r="U11" s="1"/>
      </tp>
      <tp t="e">
        <v>#N/A</v>
        <stp/>
        <stp>P</stp>
        <stp>0</stp>
        <stp>FX</stp>
        <stp>USDHKD</stp>
        <stp>전일대비</stp>
        <stp/>
        <stp/>
        <tr r="U12" s="1"/>
        <tr r="U10" s="1"/>
      </tp>
      <tp t="e">
        <v>#N/A</v>
        <stp/>
        <stp>P</stp>
        <stp>0</stp>
        <stp>IR</stp>
        <stp>CALLKMBC06</stp>
        <stp>론신청금액</stp>
        <stp/>
        <stp/>
        <tr r="G40" s="1"/>
      </tp>
      <tp t="e">
        <v>#N/A</v>
        <stp/>
        <stp>P</stp>
        <stp>0</stp>
        <stp>IR</stp>
        <stp>CALLKMBC07</stp>
        <stp>론신청금액</stp>
        <stp/>
        <stp/>
        <tr r="G41" s="1"/>
      </tp>
      <tp t="e">
        <v>#N/A</v>
        <stp/>
        <stp>P</stp>
        <stp>0</stp>
        <stp>IR</stp>
        <stp>CALLKMBC04</stp>
        <stp>론신청금액</stp>
        <stp/>
        <stp/>
        <tr r="G38" s="1"/>
      </tp>
      <tp t="e">
        <v>#N/A</v>
        <stp/>
        <stp>P</stp>
        <stp>0</stp>
        <stp>IR</stp>
        <stp>CALLKMBC05</stp>
        <stp>론신청금액</stp>
        <stp/>
        <stp/>
        <tr r="G39" s="1"/>
      </tp>
      <tp t="e">
        <v>#N/A</v>
        <stp/>
        <stp>P</stp>
        <stp>0</stp>
        <stp>IR</stp>
        <stp>CALLKMBC02</stp>
        <stp>론신청금액</stp>
        <stp/>
        <stp/>
        <tr r="G36" s="1"/>
      </tp>
      <tp t="e">
        <v>#N/A</v>
        <stp/>
        <stp>P</stp>
        <stp>0</stp>
        <stp>IR</stp>
        <stp>CALLKMBC03</stp>
        <stp>론신청금액</stp>
        <stp/>
        <stp/>
        <tr r="G37" s="1"/>
      </tp>
      <tp t="e">
        <v>#N/A</v>
        <stp/>
        <stp>P</stp>
        <stp>0</stp>
        <stp>IR</stp>
        <stp>CALLKMBC00</stp>
        <stp>론신청금액</stp>
        <stp/>
        <stp/>
        <tr r="G34" s="1"/>
      </tp>
      <tp t="e">
        <v>#N/A</v>
        <stp/>
        <stp>P</stp>
        <stp>0</stp>
        <stp>IR</stp>
        <stp>CALLKMBC01</stp>
        <stp>론신청금액</stp>
        <stp/>
        <stp/>
        <tr r="G35" s="1"/>
      </tp>
      <tp t="e">
        <v>#N/A</v>
        <stp/>
        <stp>P</stp>
        <stp>0</stp>
        <stp>FUT</stp>
        <stp>C67</stp>
        <stp>증권/선물순매수수량</stp>
        <stp/>
        <stp/>
        <tr r="R28" s="1"/>
      </tp>
      <tp t="e">
        <v>#N/A</v>
        <stp/>
        <stp>P</stp>
        <stp>0</stp>
        <stp>FUT</stp>
        <stp>C65</stp>
        <stp>증권/선물순매수수량</stp>
        <stp/>
        <stp/>
        <tr r="Q28" s="1"/>
      </tp>
      <tp t="e">
        <v>#N/A</v>
        <stp/>
        <stp>P</stp>
        <stp>0</stp>
        <stp>FX</stp>
        <stp>EURUSD</stp>
        <stp>전일대비</stp>
        <stp/>
        <stp/>
        <tr r="U16" s="1"/>
      </tp>
      <tp t="e">
        <v>#N/A</v>
        <stp/>
        <stp>P</stp>
        <stp>0</stp>
        <stp>FUT</stp>
        <stp>C01</stp>
        <stp>증권/선물순매수수량</stp>
        <stp/>
        <stp/>
        <tr r="U28" s="1"/>
      </tp>
      <tp t="e">
        <v>#N/A</v>
        <stp/>
        <stp>P</stp>
        <stp>0</stp>
        <stp>FUT</stp>
        <stp>801</stp>
        <stp>증권/선물순매수수량</stp>
        <stp/>
        <stp/>
        <tr r="T28" s="1"/>
      </tp>
      <tp t="e">
        <v>#N/A</v>
        <stp/>
        <stp>P</stp>
        <stp>0</stp>
        <stp>FUT</stp>
        <stp>001</stp>
        <stp>증권/선물순매수수량</stp>
        <stp/>
        <stp/>
        <tr r="S28" s="1"/>
      </tp>
      <tp t="e">
        <v>#N/A</v>
        <stp/>
        <stp>P</stp>
        <stp>0</stp>
        <stp>FUT</stp>
        <stp>001</stp>
        <stp>외국인합순매수수량</stp>
        <stp/>
        <stp/>
        <tr r="S22" s="1"/>
      </tp>
      <tp t="e">
        <v>#N/A</v>
        <stp/>
        <stp>P</stp>
        <stp>0</stp>
        <stp>FX</stp>
        <stp>USDSP_AMBC</stp>
        <stp>매입</stp>
        <stp/>
        <stp/>
        <tr r="T7" s="1"/>
      </tp>
      <tp t="e">
        <v>#N/A</v>
        <stp/>
        <stp>P</stp>
        <stp>0</stp>
        <stp>IR</stp>
        <stp>BONDKSDCAL07</stp>
        <stp>전일대비</stp>
        <stp/>
        <stp/>
        <tr r="H15" s="1"/>
      </tp>
      <tp t="e">
        <v>#N/A</v>
        <stp/>
        <stp>P</stp>
        <stp>0</stp>
        <stp>IR</stp>
        <stp>BONDKSDCAL05</stp>
        <stp>전일대비</stp>
        <stp/>
        <stp/>
        <tr r="H14" s="1"/>
      </tp>
      <tp t="e">
        <v>#N/A</v>
        <stp/>
        <stp>P</stp>
        <stp>0</stp>
        <stp>IR</stp>
        <stp>BONDKSDCAL08</stp>
        <stp>전일대비</stp>
        <stp/>
        <stp/>
        <tr r="H16" s="1"/>
      </tp>
      <tp t="e">
        <v>#N/A</v>
        <stp/>
        <stp>P</stp>
        <stp>0</stp>
        <stp>IR</stp>
        <stp>BONDKSDCAL09</stp>
        <stp>전일대비</stp>
        <stp/>
        <stp/>
        <tr r="H17" s="1"/>
      </tp>
      <tp t="e">
        <v>#N/A</v>
        <stp/>
        <stp>P</stp>
        <stp>0</stp>
        <stp>IR</stp>
        <stp>BONDKSDCAL17</stp>
        <stp>전일대비</stp>
        <stp/>
        <stp/>
        <tr r="H13" s="1"/>
      </tp>
      <tp t="e">
        <v>#N/A</v>
        <stp/>
        <stp>P</stp>
        <stp>0</stp>
        <stp>IR</stp>
        <stp>BONDKSDCAL15</stp>
        <stp>전일대비</stp>
        <stp/>
        <stp/>
        <tr r="H12" s="1"/>
      </tp>
      <tp t="e">
        <v>#N/A</v>
        <stp/>
        <stp>P</stp>
        <stp>0</stp>
        <stp>IR</stp>
        <stp>BONDKSDCAL12</stp>
        <stp>전일대비</stp>
        <stp/>
        <stp/>
        <tr r="H10" s="1"/>
      </tp>
      <tp t="e">
        <v>#N/A</v>
        <stp/>
        <stp>P</stp>
        <stp>0</stp>
        <stp>IR</stp>
        <stp>BONDKSDCAL13</stp>
        <stp>전일대비</stp>
        <stp/>
        <stp/>
        <tr r="H11" s="1"/>
        <tr r="Q7" s="1"/>
      </tp>
      <tp t="e">
        <v>#N/A</v>
        <stp/>
        <stp>P</stp>
        <stp>0</stp>
        <stp>IR</stp>
        <stp>BONDKSDCAL10</stp>
        <stp>전일대비</stp>
        <stp/>
        <stp/>
        <tr r="H7" s="1"/>
      </tp>
      <tp t="e">
        <v>#N/A</v>
        <stp/>
        <stp>P</stp>
        <stp>0</stp>
        <stp>IR</stp>
        <stp>BONDKSDCAL11</stp>
        <stp>전일대비</stp>
        <stp/>
        <stp/>
        <tr r="H9" s="1"/>
      </tp>
      <tp t="e">
        <v>#N/A</v>
        <stp/>
        <stp>P</stp>
        <stp>0</stp>
        <stp>IR</stp>
        <stp>BONDKSDCAL19</stp>
        <stp>전일대비</stp>
        <stp/>
        <stp/>
        <tr r="H8" s="1"/>
      </tp>
      <tp t="e">
        <v>#N/A</v>
        <stp/>
        <stp>P</stp>
        <stp>0</stp>
        <stp>FUT</stp>
        <stp>801</stp>
        <stp>외국인합순매수수량</stp>
        <stp/>
        <stp/>
        <tr r="T22" s="1"/>
      </tp>
      <tp t="e">
        <v>#N/A</v>
        <stp/>
        <stp>P</stp>
        <stp>0</stp>
        <stp>IR</stp>
        <stp>BONDKSDCAL17</stp>
        <stp>대표수익률</stp>
        <stp/>
        <stp/>
        <tr r="G13" s="1"/>
      </tp>
      <tp t="e">
        <v>#N/A</v>
        <stp/>
        <stp>P</stp>
        <stp>0</stp>
        <stp>IR</stp>
        <stp>BONDKSDCAL15</stp>
        <stp>대표수익률</stp>
        <stp/>
        <stp/>
        <tr r="G12" s="1"/>
      </tp>
      <tp t="e">
        <v>#N/A</v>
        <stp/>
        <stp>P</stp>
        <stp>0</stp>
        <stp>IR</stp>
        <stp>BONDKSDCAL13</stp>
        <stp>대표수익률</stp>
        <stp/>
        <stp/>
        <tr r="G11" s="1"/>
        <tr r="P7" s="1"/>
      </tp>
      <tp t="e">
        <v>#N/A</v>
        <stp/>
        <stp>P</stp>
        <stp>0</stp>
        <stp>IR</stp>
        <stp>BONDKSDCAL12</stp>
        <stp>대표수익률</stp>
        <stp/>
        <stp/>
        <tr r="G10" s="1"/>
      </tp>
      <tp t="e">
        <v>#N/A</v>
        <stp/>
        <stp>P</stp>
        <stp>0</stp>
        <stp>IR</stp>
        <stp>BONDKSDCAL11</stp>
        <stp>대표수익률</stp>
        <stp/>
        <stp/>
        <tr r="G9" s="1"/>
      </tp>
      <tp t="e">
        <v>#N/A</v>
        <stp/>
        <stp>P</stp>
        <stp>0</stp>
        <stp>IR</stp>
        <stp>BONDKSDCAL10</stp>
        <stp>대표수익률</stp>
        <stp/>
        <stp/>
        <tr r="G7" s="1"/>
      </tp>
      <tp t="e">
        <v>#N/A</v>
        <stp/>
        <stp>P</stp>
        <stp>0</stp>
        <stp>IR</stp>
        <stp>BONDKSDCAL19</stp>
        <stp>대표수익률</stp>
        <stp/>
        <stp/>
        <tr r="G8" s="1"/>
      </tp>
      <tp t="e">
        <v>#N/A</v>
        <stp/>
        <stp>P</stp>
        <stp>0</stp>
        <stp>IR</stp>
        <stp>BONDKSDCAL07</stp>
        <stp>대표수익률</stp>
        <stp/>
        <stp/>
        <tr r="G15" s="1"/>
      </tp>
      <tp t="e">
        <v>#N/A</v>
        <stp/>
        <stp>P</stp>
        <stp>0</stp>
        <stp>IR</stp>
        <stp>BONDKSDCAL05</stp>
        <stp>대표수익률</stp>
        <stp/>
        <stp/>
        <tr r="G14" s="1"/>
      </tp>
      <tp t="e">
        <v>#N/A</v>
        <stp/>
        <stp>P</stp>
        <stp>0</stp>
        <stp>IR</stp>
        <stp>BONDKSDCAL09</stp>
        <stp>대표수익률</stp>
        <stp/>
        <stp/>
        <tr r="G17" s="1"/>
      </tp>
      <tp t="e">
        <v>#N/A</v>
        <stp/>
        <stp>P</stp>
        <stp>0</stp>
        <stp>IR</stp>
        <stp>BONDKSDCAL08</stp>
        <stp>대표수익률</stp>
        <stp/>
        <stp/>
        <tr r="G16" s="1"/>
      </tp>
      <tp t="e">
        <v>#N/A</v>
        <stp/>
        <stp>P</stp>
        <stp>0</stp>
        <stp>FUT</stp>
        <stp>C01</stp>
        <stp>연기금순매수수량</stp>
        <stp/>
        <stp/>
        <tr r="U23" s="1"/>
      </tp>
      <tp t="e">
        <v>#N/A</v>
        <stp/>
        <stp>P</stp>
        <stp>0</stp>
        <stp>FUT</stp>
        <stp>C67</stp>
        <stp>연기금순매수수량</stp>
        <stp/>
        <stp/>
        <tr r="R23" s="1"/>
      </tp>
      <tp t="e">
        <v>#N/A</v>
        <stp/>
        <stp>P</stp>
        <stp>0</stp>
        <stp>FUT</stp>
        <stp>C65</stp>
        <stp>연기금순매수수량</stp>
        <stp/>
        <stp/>
        <tr r="Q23" s="1"/>
      </tp>
      <tp t="e">
        <v>#N/A</v>
        <stp/>
        <stp>P</stp>
        <stp>0</stp>
        <stp>FUT</stp>
        <stp>001</stp>
        <stp>연기금순매수수량</stp>
        <stp/>
        <stp/>
        <tr r="S23" s="1"/>
      </tp>
      <tp t="e">
        <v>#N/A</v>
        <stp/>
        <stp>P</stp>
        <stp>0</stp>
        <stp>FUT</stp>
        <stp>801</stp>
        <stp>연기금순매수수량</stp>
        <stp/>
        <stp/>
        <tr r="T23" s="1"/>
      </tp>
      <tp t="e">
        <v>#N/A</v>
        <stp/>
        <stp>P</stp>
        <stp>0</stp>
        <stp>FX</stp>
        <stp>USDSP_AMBC</stp>
        <stp>전일대비</stp>
        <stp/>
        <stp/>
        <tr r="U7" s="1"/>
      </tp>
      <tp t="e">
        <v>#N/A</v>
        <stp/>
        <stp>P</stp>
        <stp>0</stp>
        <stp>FUT</stp>
        <stp>C01</stp>
        <stp>외국인합순매수수량</stp>
        <stp/>
        <stp/>
        <tr r="U22" s="1"/>
      </tp>
      <tp t="e">
        <v>#N/A</v>
        <stp/>
        <stp>P</stp>
        <stp>0</stp>
        <stp>FUT</stp>
        <stp>C65</stp>
        <stp>외국인합순매수수량</stp>
        <stp/>
        <stp/>
        <tr r="Q22" s="1"/>
      </tp>
      <tp t="e">
        <v>#N/A</v>
        <stp/>
        <stp>P</stp>
        <stp>0</stp>
        <stp>FUT</stp>
        <stp>C67</stp>
        <stp>외국인합순매수수량</stp>
        <stp/>
        <stp/>
        <tr r="R22" s="1"/>
      </tp>
      <tp t="e">
        <v>#N/A</v>
        <stp/>
        <stp>P</stp>
        <stp>0</stp>
        <stp>IR</stp>
        <stp>BONDKSDCAL05</stp>
        <stp>대표수익률</stp>
        <stp>44943</stp>
        <stp/>
        <tr r="I14" s="1"/>
      </tp>
      <tp t="e">
        <v>#N/A</v>
        <stp/>
        <stp>P</stp>
        <stp>0</stp>
        <stp>IR</stp>
        <stp>BONDKSDCAL07</stp>
        <stp>대표수익률</stp>
        <stp>44943</stp>
        <stp/>
        <tr r="I15" s="1"/>
      </tp>
      <tp t="e">
        <v>#N/A</v>
        <stp/>
        <stp>P</stp>
        <stp>0</stp>
        <stp>IR</stp>
        <stp>BONDKSDCAL08</stp>
        <stp>대표수익률</stp>
        <stp>44943</stp>
        <stp/>
        <tr r="I16" s="1"/>
      </tp>
      <tp t="e">
        <v>#N/A</v>
        <stp/>
        <stp>P</stp>
        <stp>0</stp>
        <stp>IR</stp>
        <stp>BONDKSDCAL09</stp>
        <stp>대표수익률</stp>
        <stp>44943</stp>
        <stp/>
        <tr r="I17" s="1"/>
      </tp>
      <tp t="e">
        <v>#N/A</v>
        <stp/>
        <stp>P</stp>
        <stp>0</stp>
        <stp>IR</stp>
        <stp>BONDKSDCAL10</stp>
        <stp>대표수익률</stp>
        <stp>44943</stp>
        <stp/>
        <tr r="I7" s="1"/>
      </tp>
      <tp t="e">
        <v>#N/A</v>
        <stp/>
        <stp>P</stp>
        <stp>0</stp>
        <stp>IR</stp>
        <stp>BONDKSDCAL11</stp>
        <stp>대표수익률</stp>
        <stp>44943</stp>
        <stp/>
        <tr r="I9" s="1"/>
      </tp>
      <tp t="e">
        <v>#N/A</v>
        <stp/>
        <stp>P</stp>
        <stp>0</stp>
        <stp>IR</stp>
        <stp>BONDKSDCAL12</stp>
        <stp>대표수익률</stp>
        <stp>44943</stp>
        <stp/>
        <tr r="I10" s="1"/>
      </tp>
      <tp t="e">
        <v>#N/A</v>
        <stp/>
        <stp>P</stp>
        <stp>0</stp>
        <stp>IR</stp>
        <stp>BONDKSDCAL13</stp>
        <stp>대표수익률</stp>
        <stp>44943</stp>
        <stp/>
        <tr r="I11" s="1"/>
      </tp>
      <tp t="e">
        <v>#N/A</v>
        <stp/>
        <stp>P</stp>
        <stp>0</stp>
        <stp>IR</stp>
        <stp>BONDKSDCAL15</stp>
        <stp>대표수익률</stp>
        <stp>44943</stp>
        <stp/>
        <tr r="I12" s="1"/>
      </tp>
      <tp t="e">
        <v>#N/A</v>
        <stp/>
        <stp>P</stp>
        <stp>0</stp>
        <stp>IR</stp>
        <stp>BONDKSDCAL17</stp>
        <stp>대표수익률</stp>
        <stp>44943</stp>
        <stp/>
        <tr r="I13" s="1"/>
      </tp>
      <tp t="e">
        <v>#N/A</v>
        <stp/>
        <stp>P</stp>
        <stp>0</stp>
        <stp>IR</stp>
        <stp>BONDKSDCAL19</stp>
        <stp>대표수익률</stp>
        <stp>44943</stp>
        <stp/>
        <tr r="I8" s="1"/>
      </tp>
      <tp t="e">
        <v>#N/A</v>
        <stp/>
        <stp>P</stp>
        <stp>0</stp>
        <stp>IR</stp>
        <stp>HK10Y</stp>
        <stp>전일대비</stp>
        <stp/>
        <stp/>
        <tr r="Q12" s="1"/>
        <tr r="Q10" s="1"/>
      </tp>
      <tp t="e">
        <v>#N/A</v>
        <stp/>
        <stp>P</stp>
        <stp>0</stp>
        <stp>IR</stp>
        <stp>RM10Y</stp>
        <stp>전일대비</stp>
        <stp/>
        <stp/>
        <tr r="Q9" s="1"/>
      </tp>
      <tp t="e">
        <v>#N/A</v>
        <stp/>
        <stp>P</stp>
        <stp>0</stp>
        <stp>IR</stp>
        <stp>BNDINV0101</stp>
        <stp>외국인 총거래량 전체</stp>
        <stp>44943</stp>
        <stp/>
        <tr r="I26" s="1"/>
      </tp>
      <tp t="e">
        <v>#N/A</v>
        <stp/>
        <stp>P</stp>
        <stp>0</stp>
        <stp>IR</stp>
        <stp>BNDINV0100</stp>
        <stp>외국인 총거래량 전체</stp>
        <stp>44943</stp>
        <stp/>
        <tr r="I25" s="1"/>
      </tp>
      <tp t="e">
        <v>#N/A</v>
        <stp/>
        <stp>P</stp>
        <stp>0</stp>
        <stp>IR</stp>
        <stp>BNDINV0106</stp>
        <stp>외국인 총거래량 전체</stp>
        <stp>44943</stp>
        <stp/>
        <tr r="I28" s="1"/>
      </tp>
      <tp t="e">
        <v>#N/A</v>
        <stp/>
        <stp>P</stp>
        <stp>0</stp>
        <stp>IR</stp>
        <stp>BNDINV0104</stp>
        <stp>외국인 총거래량 전체</stp>
        <stp>44943</stp>
        <stp/>
        <tr r="I27" s="1"/>
      </tp>
      <tp t="e">
        <v>#N/A</v>
        <stp/>
        <stp>P</stp>
        <stp>0</stp>
        <stp>IR</stp>
        <stp>CA10Y</stp>
        <stp>전일대비</stp>
        <stp/>
        <stp/>
        <tr r="Q13" s="1"/>
      </tp>
      <tp t="e">
        <v>#N/A</v>
        <stp/>
        <stp>P</stp>
        <stp>0</stp>
        <stp>IR</stp>
        <stp>ZA10Y</stp>
        <stp>전일대비</stp>
        <stp/>
        <stp/>
        <tr r="Q17" s="1"/>
      </tp>
      <tp t="e">
        <v>#N/A</v>
        <stp/>
        <stp>P</stp>
        <stp>0</stp>
        <stp>FX</stp>
        <stp>USDBRL</stp>
        <stp>매입</stp>
        <stp/>
        <stp/>
        <tr r="T15" s="1"/>
      </tp>
      <tp t="e">
        <v>#N/A</v>
        <stp/>
        <stp>P</stp>
        <stp>0</stp>
        <stp>IR</stp>
        <stp>BNDINV0000</stp>
        <stp>보험 순매수거래량</stp>
        <stp/>
        <stp/>
        <tr r="P26" s="1"/>
      </tp>
      <tp t="e">
        <v>#N/A</v>
        <stp/>
        <stp>P</stp>
        <stp>0</stp>
        <stp>FX</stp>
        <stp>USDJPY</stp>
        <stp>매입</stp>
        <stp/>
        <stp/>
        <tr r="T11" s="1"/>
      </tp>
      <tp t="e">
        <v>#N/A</v>
        <stp/>
        <stp>P</stp>
        <stp>0</stp>
        <stp>FX</stp>
        <stp>DOLLAR</stp>
        <stp>매입</stp>
        <stp/>
        <stp/>
        <tr r="T8" s="1"/>
      </tp>
      <tp t="e">
        <v>#N/A</v>
        <stp/>
        <stp>P</stp>
        <stp>0</stp>
        <stp>IR</stp>
        <stp>BNDINV0000</stp>
        <stp>증권사 순매수거래량</stp>
        <stp/>
        <stp/>
        <tr r="P28" s="1"/>
      </tp>
      <tp t="e">
        <v>#N/A</v>
        <stp/>
        <stp>P</stp>
        <stp>0</stp>
        <stp>FX</stp>
        <stp>USDCNY</stp>
        <stp>매입</stp>
        <stp/>
        <stp/>
        <tr r="T9" s="1"/>
      </tp>
      <tp t="e">
        <v>#N/A</v>
        <stp/>
        <stp>P</stp>
        <stp>0</stp>
        <stp>FX</stp>
        <stp>USDHKD</stp>
        <stp>매입</stp>
        <stp/>
        <stp/>
        <tr r="T12" s="1"/>
        <tr r="T10" s="1"/>
      </tp>
      <tp t="e">
        <v>#N/A</v>
        <stp/>
        <stp>P</stp>
        <stp>0</stp>
        <stp>FX</stp>
        <stp>AUDUSD</stp>
        <stp>매입</stp>
        <stp/>
        <stp/>
        <tr r="T14" s="1"/>
      </tp>
      <tp t="e">
        <v>#N/A</v>
        <stp/>
        <stp>P</stp>
        <stp>0</stp>
        <stp>IR</stp>
        <stp>JP10Y</stp>
        <stp>전일대비</stp>
        <stp/>
        <stp/>
        <tr r="Q11" s="1"/>
      </tp>
      <tp t="e">
        <v>#N/A</v>
        <stp/>
        <stp>P</stp>
        <stp>0</stp>
        <stp>IR</stp>
        <stp>BNDINV0106</stp>
        <stp>외국인 순매도종목포함잔고 전체</stp>
        <stp>44943</stp>
        <stp/>
        <tr r="G28" s="1"/>
      </tp>
      <tp t="e">
        <v>#N/A</v>
        <stp/>
        <stp>P</stp>
        <stp>0</stp>
        <stp>IR</stp>
        <stp>BNDINV0104</stp>
        <stp>외국인 순매도종목포함잔고 전체</stp>
        <stp>44943</stp>
        <stp/>
        <tr r="G27" s="1"/>
      </tp>
      <tp t="e">
        <v>#N/A</v>
        <stp/>
        <stp>P</stp>
        <stp>0</stp>
        <stp>IR</stp>
        <stp>BNDINV0100</stp>
        <stp>외국인 순매도종목포함잔고 전체</stp>
        <stp>44943</stp>
        <stp/>
        <tr r="G25" s="1"/>
      </tp>
      <tp t="e">
        <v>#N/A</v>
        <stp/>
        <stp>P</stp>
        <stp>0</stp>
        <stp>IR</stp>
        <stp>BNDINV0101</stp>
        <stp>외국인 순매도종목포함잔고 전체</stp>
        <stp>44943</stp>
        <stp/>
        <tr r="G26" s="1"/>
      </tp>
      <tp t="e">
        <v>#N/A</v>
        <stp/>
        <stp>P</stp>
        <stp>0</stp>
        <stp>IR</stp>
        <stp>US10Y</stp>
        <stp>전일대비</stp>
        <stp/>
        <stp/>
        <tr r="Q8" s="1"/>
      </tp>
      <tp t="e">
        <v>#N/A</v>
        <stp/>
        <stp>P</stp>
        <stp>0</stp>
        <stp>IR</stp>
        <stp>BR10Y</stp>
        <stp>전일대비</stp>
        <stp/>
        <stp/>
        <tr r="Q15" s="1"/>
      </tp>
      <tp t="e">
        <v>#N/A</v>
        <stp/>
        <stp>P</stp>
        <stp>0</stp>
        <stp>IR</stp>
        <stp>GR10Y</stp>
        <stp>전일대비</stp>
        <stp/>
        <stp/>
        <tr r="Q16" s="1"/>
      </tp>
      <tp t="e">
        <v>#N/A</v>
        <stp/>
        <stp>P</stp>
        <stp>0</stp>
        <stp>FX</stp>
        <stp>EURUSD</stp>
        <stp>매입</stp>
        <stp/>
        <stp/>
        <tr r="T16" s="1"/>
      </tp>
      <tp t="e">
        <v>#N/A</v>
        <stp/>
        <stp>P</stp>
        <stp>0</stp>
        <stp>IR</stp>
        <stp>AU10Y</stp>
        <stp>전일대비</stp>
        <stp/>
        <stp/>
        <tr r="Q14" s="1"/>
      </tp>
      <tp t="e">
        <v>#N/A</v>
        <stp/>
        <stp>P</stp>
        <stp>0</stp>
        <stp>FX</stp>
        <stp>USDZAR</stp>
        <stp>매입</stp>
        <stp/>
        <stp/>
        <tr r="T17" s="1"/>
      </tp>
      <tp t="e">
        <v>#N/A</v>
        <stp/>
        <stp>P</stp>
        <stp>0</stp>
        <stp>FX</stp>
        <stp>USDCAD</stp>
        <stp>매입</stp>
        <stp/>
        <stp/>
        <tr r="T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채권시장종합!$AT$57</c:f>
              <c:strCache>
                <c:ptCount val="1"/>
                <c:pt idx="0">
                  <c:v>한국</c:v>
                </c:pt>
              </c:strCache>
            </c:strRef>
          </c:tx>
          <c:spPr>
            <a:ln w="25400">
              <a:solidFill>
                <a:srgbClr val="006CFF"/>
              </a:solidFill>
            </a:ln>
          </c:spPr>
          <c:marker>
            <c:symbol val="none"/>
          </c:marker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채권시장종합!$AU$59:$AU$423</c:f>
              <c:numCache>
                <c:formatCode>General</c:formatCode>
                <c:ptCount val="365"/>
                <c:pt idx="0">
                  <c:v>3.4359999999999999</c:v>
                </c:pt>
                <c:pt idx="1">
                  <c:v>3.444</c:v>
                </c:pt>
                <c:pt idx="2">
                  <c:v>3.383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3.4119999999999999</c:v>
                </c:pt>
                <c:pt idx="7">
                  <c:v>3.4169999999999998</c:v>
                </c:pt>
                <c:pt idx="8">
                  <c:v>3.4620000000000002</c:v>
                </c:pt>
                <c:pt idx="9">
                  <c:v>3.4769999999999999</c:v>
                </c:pt>
                <c:pt idx="10">
                  <c:v>3.573</c:v>
                </c:pt>
                <c:pt idx="11">
                  <c:v>3.573</c:v>
                </c:pt>
                <c:pt idx="12">
                  <c:v>3.573</c:v>
                </c:pt>
                <c:pt idx="13">
                  <c:v>3.5710000000000002</c:v>
                </c:pt>
                <c:pt idx="14">
                  <c:v>3.597</c:v>
                </c:pt>
                <c:pt idx="15">
                  <c:v>3.661</c:v>
                </c:pt>
                <c:pt idx="16">
                  <c:v>3.8109999999999999</c:v>
                </c:pt>
                <c:pt idx="17">
                  <c:v>3.73</c:v>
                </c:pt>
                <c:pt idx="18">
                  <c:v>3.73</c:v>
                </c:pt>
                <c:pt idx="19">
                  <c:v>3.73</c:v>
                </c:pt>
                <c:pt idx="20">
                  <c:v>3.726</c:v>
                </c:pt>
                <c:pt idx="21">
                  <c:v>3.673</c:v>
                </c:pt>
                <c:pt idx="22">
                  <c:v>3.6110000000000002</c:v>
                </c:pt>
                <c:pt idx="23">
                  <c:v>3.6389999999999998</c:v>
                </c:pt>
                <c:pt idx="24">
                  <c:v>3.552</c:v>
                </c:pt>
                <c:pt idx="25">
                  <c:v>3.552</c:v>
                </c:pt>
                <c:pt idx="26">
                  <c:v>3.552</c:v>
                </c:pt>
                <c:pt idx="27">
                  <c:v>3.4950000000000001</c:v>
                </c:pt>
                <c:pt idx="28">
                  <c:v>3.5659999999999998</c:v>
                </c:pt>
                <c:pt idx="29">
                  <c:v>3.6030000000000002</c:v>
                </c:pt>
                <c:pt idx="30">
                  <c:v>3.395</c:v>
                </c:pt>
                <c:pt idx="31">
                  <c:v>3.36</c:v>
                </c:pt>
                <c:pt idx="32">
                  <c:v>3.36</c:v>
                </c:pt>
                <c:pt idx="33">
                  <c:v>3.36</c:v>
                </c:pt>
                <c:pt idx="34">
                  <c:v>3.38</c:v>
                </c:pt>
                <c:pt idx="35">
                  <c:v>3.4060000000000001</c:v>
                </c:pt>
                <c:pt idx="36">
                  <c:v>3.4689999999999999</c:v>
                </c:pt>
                <c:pt idx="37">
                  <c:v>3.448</c:v>
                </c:pt>
                <c:pt idx="38">
                  <c:v>3.4910000000000001</c:v>
                </c:pt>
                <c:pt idx="39">
                  <c:v>3.4910000000000001</c:v>
                </c:pt>
                <c:pt idx="40">
                  <c:v>3.4910000000000001</c:v>
                </c:pt>
                <c:pt idx="41">
                  <c:v>3.53</c:v>
                </c:pt>
                <c:pt idx="42">
                  <c:v>3.5230000000000001</c:v>
                </c:pt>
                <c:pt idx="43">
                  <c:v>3.504</c:v>
                </c:pt>
                <c:pt idx="44">
                  <c:v>3.5489999999999999</c:v>
                </c:pt>
                <c:pt idx="45">
                  <c:v>3.5830000000000002</c:v>
                </c:pt>
                <c:pt idx="46">
                  <c:v>3.5830000000000002</c:v>
                </c:pt>
                <c:pt idx="47">
                  <c:v>3.5830000000000002</c:v>
                </c:pt>
                <c:pt idx="48">
                  <c:v>3.6629999999999998</c:v>
                </c:pt>
                <c:pt idx="49">
                  <c:v>3.6669999999999998</c:v>
                </c:pt>
                <c:pt idx="50">
                  <c:v>3.673</c:v>
                </c:pt>
                <c:pt idx="51">
                  <c:v>3.6059999999999999</c:v>
                </c:pt>
                <c:pt idx="52">
                  <c:v>3.6230000000000002</c:v>
                </c:pt>
                <c:pt idx="53">
                  <c:v>3.6230000000000002</c:v>
                </c:pt>
                <c:pt idx="54">
                  <c:v>3.6230000000000002</c:v>
                </c:pt>
                <c:pt idx="55">
                  <c:v>3.6219999999999999</c:v>
                </c:pt>
                <c:pt idx="56">
                  <c:v>3.774</c:v>
                </c:pt>
                <c:pt idx="57">
                  <c:v>3.7730000000000001</c:v>
                </c:pt>
                <c:pt idx="58">
                  <c:v>3.7639999999999998</c:v>
                </c:pt>
                <c:pt idx="59">
                  <c:v>3.8010000000000002</c:v>
                </c:pt>
                <c:pt idx="60">
                  <c:v>3.8010000000000002</c:v>
                </c:pt>
                <c:pt idx="61">
                  <c:v>3.8010000000000002</c:v>
                </c:pt>
                <c:pt idx="62">
                  <c:v>3.8530000000000002</c:v>
                </c:pt>
                <c:pt idx="63">
                  <c:v>3.8959999999999999</c:v>
                </c:pt>
                <c:pt idx="64">
                  <c:v>3.8610000000000002</c:v>
                </c:pt>
                <c:pt idx="65">
                  <c:v>3.9279999999999999</c:v>
                </c:pt>
                <c:pt idx="66">
                  <c:v>3.8940000000000001</c:v>
                </c:pt>
                <c:pt idx="67">
                  <c:v>3.8940000000000001</c:v>
                </c:pt>
                <c:pt idx="68">
                  <c:v>3.8940000000000001</c:v>
                </c:pt>
                <c:pt idx="69">
                  <c:v>4.07</c:v>
                </c:pt>
                <c:pt idx="70">
                  <c:v>4.1769999999999996</c:v>
                </c:pt>
                <c:pt idx="71">
                  <c:v>4.2359999999999998</c:v>
                </c:pt>
                <c:pt idx="72">
                  <c:v>4.258</c:v>
                </c:pt>
                <c:pt idx="73">
                  <c:v>4.1820000000000004</c:v>
                </c:pt>
                <c:pt idx="74">
                  <c:v>4.1820000000000004</c:v>
                </c:pt>
                <c:pt idx="75">
                  <c:v>4.1820000000000004</c:v>
                </c:pt>
                <c:pt idx="76">
                  <c:v>4.1970000000000001</c:v>
                </c:pt>
                <c:pt idx="77">
                  <c:v>4.1429999999999998</c:v>
                </c:pt>
                <c:pt idx="78">
                  <c:v>4.1349999999999998</c:v>
                </c:pt>
                <c:pt idx="79">
                  <c:v>4.242</c:v>
                </c:pt>
                <c:pt idx="80">
                  <c:v>4.1669999999999998</c:v>
                </c:pt>
                <c:pt idx="81">
                  <c:v>4.1669999999999998</c:v>
                </c:pt>
                <c:pt idx="82">
                  <c:v>4.1669999999999998</c:v>
                </c:pt>
                <c:pt idx="83">
                  <c:v>4.3129999999999997</c:v>
                </c:pt>
                <c:pt idx="84">
                  <c:v>4.2789999999999999</c:v>
                </c:pt>
                <c:pt idx="85">
                  <c:v>4.3460000000000001</c:v>
                </c:pt>
                <c:pt idx="86">
                  <c:v>4.5030000000000001</c:v>
                </c:pt>
                <c:pt idx="87">
                  <c:v>4.6319999999999997</c:v>
                </c:pt>
                <c:pt idx="88">
                  <c:v>4.6319999999999997</c:v>
                </c:pt>
                <c:pt idx="89">
                  <c:v>4.6319999999999997</c:v>
                </c:pt>
                <c:pt idx="90">
                  <c:v>4.4390000000000001</c:v>
                </c:pt>
                <c:pt idx="91">
                  <c:v>4.3959999999999999</c:v>
                </c:pt>
                <c:pt idx="92">
                  <c:v>4.2770000000000001</c:v>
                </c:pt>
                <c:pt idx="93">
                  <c:v>4.2149999999999999</c:v>
                </c:pt>
                <c:pt idx="94">
                  <c:v>4.181</c:v>
                </c:pt>
                <c:pt idx="95">
                  <c:v>4.181</c:v>
                </c:pt>
                <c:pt idx="96">
                  <c:v>4.181</c:v>
                </c:pt>
                <c:pt idx="97">
                  <c:v>4.2389999999999999</c:v>
                </c:pt>
                <c:pt idx="98">
                  <c:v>4.1100000000000003</c:v>
                </c:pt>
                <c:pt idx="99">
                  <c:v>4.306</c:v>
                </c:pt>
                <c:pt idx="100">
                  <c:v>4.2140000000000004</c:v>
                </c:pt>
                <c:pt idx="101">
                  <c:v>4.2140000000000004</c:v>
                </c:pt>
                <c:pt idx="102">
                  <c:v>4.2140000000000004</c:v>
                </c:pt>
                <c:pt idx="103">
                  <c:v>4.2140000000000004</c:v>
                </c:pt>
                <c:pt idx="104">
                  <c:v>4.1020000000000003</c:v>
                </c:pt>
                <c:pt idx="105">
                  <c:v>4.1020000000000003</c:v>
                </c:pt>
                <c:pt idx="106">
                  <c:v>4.0060000000000002</c:v>
                </c:pt>
                <c:pt idx="107">
                  <c:v>4.0960000000000001</c:v>
                </c:pt>
                <c:pt idx="108">
                  <c:v>4.0960000000000001</c:v>
                </c:pt>
                <c:pt idx="109">
                  <c:v>4.0960000000000001</c:v>
                </c:pt>
                <c:pt idx="110">
                  <c:v>4.0960000000000001</c:v>
                </c:pt>
                <c:pt idx="111">
                  <c:v>4.2290000000000001</c:v>
                </c:pt>
                <c:pt idx="112">
                  <c:v>4.3319999999999999</c:v>
                </c:pt>
                <c:pt idx="113">
                  <c:v>4.2080000000000002</c:v>
                </c:pt>
                <c:pt idx="114">
                  <c:v>4.335</c:v>
                </c:pt>
                <c:pt idx="115">
                  <c:v>4.1120000000000001</c:v>
                </c:pt>
                <c:pt idx="116">
                  <c:v>4.1120000000000001</c:v>
                </c:pt>
                <c:pt idx="117">
                  <c:v>4.1120000000000001</c:v>
                </c:pt>
                <c:pt idx="118">
                  <c:v>3.9969999999999999</c:v>
                </c:pt>
                <c:pt idx="119">
                  <c:v>3.891</c:v>
                </c:pt>
                <c:pt idx="120">
                  <c:v>3.8359999999999999</c:v>
                </c:pt>
                <c:pt idx="121">
                  <c:v>3.794</c:v>
                </c:pt>
                <c:pt idx="122">
                  <c:v>3.7719999999999998</c:v>
                </c:pt>
                <c:pt idx="123">
                  <c:v>3.7719999999999998</c:v>
                </c:pt>
                <c:pt idx="124">
                  <c:v>3.7719999999999998</c:v>
                </c:pt>
                <c:pt idx="125">
                  <c:v>3.7909999999999999</c:v>
                </c:pt>
                <c:pt idx="126">
                  <c:v>3.6509999999999998</c:v>
                </c:pt>
                <c:pt idx="127">
                  <c:v>3.62</c:v>
                </c:pt>
                <c:pt idx="128">
                  <c:v>3.6219999999999999</c:v>
                </c:pt>
                <c:pt idx="129">
                  <c:v>3.6219999999999999</c:v>
                </c:pt>
                <c:pt idx="130">
                  <c:v>3.6219999999999999</c:v>
                </c:pt>
                <c:pt idx="131">
                  <c:v>3.6219999999999999</c:v>
                </c:pt>
                <c:pt idx="132">
                  <c:v>3.6219999999999999</c:v>
                </c:pt>
                <c:pt idx="133">
                  <c:v>3.7360000000000002</c:v>
                </c:pt>
                <c:pt idx="134">
                  <c:v>3.7120000000000002</c:v>
                </c:pt>
                <c:pt idx="135">
                  <c:v>3.67</c:v>
                </c:pt>
                <c:pt idx="136">
                  <c:v>3.738</c:v>
                </c:pt>
                <c:pt idx="137">
                  <c:v>3.738</c:v>
                </c:pt>
                <c:pt idx="138">
                  <c:v>3.738</c:v>
                </c:pt>
                <c:pt idx="139">
                  <c:v>3.8050000000000002</c:v>
                </c:pt>
                <c:pt idx="140">
                  <c:v>3.7210000000000001</c:v>
                </c:pt>
                <c:pt idx="141">
                  <c:v>3.6949999999999998</c:v>
                </c:pt>
                <c:pt idx="142">
                  <c:v>3.7149999999999999</c:v>
                </c:pt>
                <c:pt idx="143">
                  <c:v>3.6160000000000001</c:v>
                </c:pt>
                <c:pt idx="144">
                  <c:v>3.6160000000000001</c:v>
                </c:pt>
                <c:pt idx="145">
                  <c:v>3.6160000000000001</c:v>
                </c:pt>
                <c:pt idx="146">
                  <c:v>3.593</c:v>
                </c:pt>
                <c:pt idx="147">
                  <c:v>3.4329999999999998</c:v>
                </c:pt>
                <c:pt idx="148">
                  <c:v>3.3610000000000002</c:v>
                </c:pt>
                <c:pt idx="149">
                  <c:v>3.3420000000000001</c:v>
                </c:pt>
                <c:pt idx="150">
                  <c:v>3.31</c:v>
                </c:pt>
                <c:pt idx="151">
                  <c:v>3.31</c:v>
                </c:pt>
                <c:pt idx="152">
                  <c:v>3.31</c:v>
                </c:pt>
                <c:pt idx="153">
                  <c:v>3.2210000000000001</c:v>
                </c:pt>
                <c:pt idx="154">
                  <c:v>3.1880000000000002</c:v>
                </c:pt>
                <c:pt idx="155">
                  <c:v>3.1560000000000001</c:v>
                </c:pt>
                <c:pt idx="156">
                  <c:v>3.282</c:v>
                </c:pt>
                <c:pt idx="157">
                  <c:v>3.282</c:v>
                </c:pt>
                <c:pt idx="158">
                  <c:v>3.282</c:v>
                </c:pt>
                <c:pt idx="159">
                  <c:v>3.282</c:v>
                </c:pt>
                <c:pt idx="160">
                  <c:v>3.2189999999999999</c:v>
                </c:pt>
                <c:pt idx="161">
                  <c:v>3.2069999999999999</c:v>
                </c:pt>
                <c:pt idx="162">
                  <c:v>3.1659999999999999</c:v>
                </c:pt>
                <c:pt idx="163">
                  <c:v>3.177</c:v>
                </c:pt>
                <c:pt idx="164">
                  <c:v>3.1240000000000001</c:v>
                </c:pt>
                <c:pt idx="165">
                  <c:v>3.1240000000000001</c:v>
                </c:pt>
                <c:pt idx="166">
                  <c:v>3.1240000000000001</c:v>
                </c:pt>
                <c:pt idx="167">
                  <c:v>3.1520000000000001</c:v>
                </c:pt>
                <c:pt idx="168">
                  <c:v>3.1309999999999998</c:v>
                </c:pt>
                <c:pt idx="169">
                  <c:v>3.0880000000000001</c:v>
                </c:pt>
                <c:pt idx="170">
                  <c:v>3.1840000000000002</c:v>
                </c:pt>
                <c:pt idx="171">
                  <c:v>3.1269999999999998</c:v>
                </c:pt>
                <c:pt idx="172">
                  <c:v>3.1269999999999998</c:v>
                </c:pt>
                <c:pt idx="173">
                  <c:v>3.1269999999999998</c:v>
                </c:pt>
                <c:pt idx="174">
                  <c:v>3.2010000000000001</c:v>
                </c:pt>
                <c:pt idx="175">
                  <c:v>3.121</c:v>
                </c:pt>
                <c:pt idx="176">
                  <c:v>3.1829999999999998</c:v>
                </c:pt>
                <c:pt idx="177">
                  <c:v>3.2109999999999999</c:v>
                </c:pt>
                <c:pt idx="178">
                  <c:v>3.302</c:v>
                </c:pt>
                <c:pt idx="179">
                  <c:v>3.302</c:v>
                </c:pt>
                <c:pt idx="180">
                  <c:v>3.302</c:v>
                </c:pt>
                <c:pt idx="181">
                  <c:v>3.3740000000000001</c:v>
                </c:pt>
                <c:pt idx="182">
                  <c:v>3.36</c:v>
                </c:pt>
                <c:pt idx="183">
                  <c:v>3.2530000000000001</c:v>
                </c:pt>
                <c:pt idx="184">
                  <c:v>3.27</c:v>
                </c:pt>
                <c:pt idx="185">
                  <c:v>3.242</c:v>
                </c:pt>
                <c:pt idx="186">
                  <c:v>3.242</c:v>
                </c:pt>
                <c:pt idx="187">
                  <c:v>3.242</c:v>
                </c:pt>
                <c:pt idx="188">
                  <c:v>3.2949999999999999</c:v>
                </c:pt>
                <c:pt idx="189">
                  <c:v>3.3010000000000002</c:v>
                </c:pt>
                <c:pt idx="190">
                  <c:v>3.3490000000000002</c:v>
                </c:pt>
                <c:pt idx="191">
                  <c:v>3.3849999999999998</c:v>
                </c:pt>
                <c:pt idx="192">
                  <c:v>3.36</c:v>
                </c:pt>
                <c:pt idx="193">
                  <c:v>3.36</c:v>
                </c:pt>
                <c:pt idx="194">
                  <c:v>3.36</c:v>
                </c:pt>
                <c:pt idx="195">
                  <c:v>3.3069999999999999</c:v>
                </c:pt>
                <c:pt idx="196">
                  <c:v>3.2949999999999999</c:v>
                </c:pt>
                <c:pt idx="197">
                  <c:v>3.379</c:v>
                </c:pt>
                <c:pt idx="198">
                  <c:v>3.4889999999999999</c:v>
                </c:pt>
                <c:pt idx="199">
                  <c:v>3.49</c:v>
                </c:pt>
                <c:pt idx="200">
                  <c:v>3.49</c:v>
                </c:pt>
                <c:pt idx="201">
                  <c:v>3.49</c:v>
                </c:pt>
                <c:pt idx="202">
                  <c:v>3.6360000000000001</c:v>
                </c:pt>
                <c:pt idx="203">
                  <c:v>3.6669999999999998</c:v>
                </c:pt>
                <c:pt idx="204">
                  <c:v>3.68</c:v>
                </c:pt>
                <c:pt idx="205">
                  <c:v>3.72</c:v>
                </c:pt>
                <c:pt idx="206">
                  <c:v>3.6349999999999998</c:v>
                </c:pt>
                <c:pt idx="207">
                  <c:v>3.6349999999999998</c:v>
                </c:pt>
                <c:pt idx="208">
                  <c:v>3.6349999999999998</c:v>
                </c:pt>
                <c:pt idx="209">
                  <c:v>3.726</c:v>
                </c:pt>
                <c:pt idx="210">
                  <c:v>3.6819999999999999</c:v>
                </c:pt>
                <c:pt idx="211">
                  <c:v>3.7749999999999999</c:v>
                </c:pt>
                <c:pt idx="212">
                  <c:v>3.7839999999999998</c:v>
                </c:pt>
                <c:pt idx="213">
                  <c:v>3.7949999999999999</c:v>
                </c:pt>
                <c:pt idx="214">
                  <c:v>3.7949999999999999</c:v>
                </c:pt>
                <c:pt idx="215">
                  <c:v>3.7949999999999999</c:v>
                </c:pt>
                <c:pt idx="216">
                  <c:v>3.7669999999999999</c:v>
                </c:pt>
                <c:pt idx="217">
                  <c:v>3.7949999999999999</c:v>
                </c:pt>
                <c:pt idx="218">
                  <c:v>3.6909999999999998</c:v>
                </c:pt>
                <c:pt idx="219">
                  <c:v>3.6539999999999999</c:v>
                </c:pt>
                <c:pt idx="220">
                  <c:v>3.4950000000000001</c:v>
                </c:pt>
                <c:pt idx="221">
                  <c:v>3.4950000000000001</c:v>
                </c:pt>
                <c:pt idx="222">
                  <c:v>3.4950000000000001</c:v>
                </c:pt>
                <c:pt idx="223">
                  <c:v>3.4710000000000001</c:v>
                </c:pt>
                <c:pt idx="224">
                  <c:v>3.472</c:v>
                </c:pt>
                <c:pt idx="225">
                  <c:v>3.5379999999999998</c:v>
                </c:pt>
                <c:pt idx="226">
                  <c:v>3.4049999999999998</c:v>
                </c:pt>
                <c:pt idx="227">
                  <c:v>3.4049999999999998</c:v>
                </c:pt>
                <c:pt idx="228">
                  <c:v>3.4049999999999998</c:v>
                </c:pt>
                <c:pt idx="229">
                  <c:v>3.4049999999999998</c:v>
                </c:pt>
                <c:pt idx="230">
                  <c:v>3.4209999999999998</c:v>
                </c:pt>
                <c:pt idx="231">
                  <c:v>3.3260000000000001</c:v>
                </c:pt>
                <c:pt idx="232">
                  <c:v>3.3260000000000001</c:v>
                </c:pt>
                <c:pt idx="233">
                  <c:v>3.2109999999999999</c:v>
                </c:pt>
                <c:pt idx="234">
                  <c:v>3.2120000000000002</c:v>
                </c:pt>
                <c:pt idx="235">
                  <c:v>3.2120000000000002</c:v>
                </c:pt>
                <c:pt idx="236">
                  <c:v>3.2120000000000002</c:v>
                </c:pt>
                <c:pt idx="237">
                  <c:v>3.238</c:v>
                </c:pt>
                <c:pt idx="238">
                  <c:v>3.177</c:v>
                </c:pt>
                <c:pt idx="239">
                  <c:v>3.214</c:v>
                </c:pt>
                <c:pt idx="240">
                  <c:v>3.258</c:v>
                </c:pt>
                <c:pt idx="241">
                  <c:v>3.2450000000000001</c:v>
                </c:pt>
                <c:pt idx="242">
                  <c:v>3.2450000000000001</c:v>
                </c:pt>
                <c:pt idx="243">
                  <c:v>3.2450000000000001</c:v>
                </c:pt>
                <c:pt idx="244">
                  <c:v>3.3069999999999999</c:v>
                </c:pt>
                <c:pt idx="245">
                  <c:v>3.32</c:v>
                </c:pt>
                <c:pt idx="246">
                  <c:v>3.2869999999999999</c:v>
                </c:pt>
                <c:pt idx="247">
                  <c:v>3.2770000000000001</c:v>
                </c:pt>
                <c:pt idx="248">
                  <c:v>3.2210000000000001</c:v>
                </c:pt>
                <c:pt idx="249">
                  <c:v>3.2210000000000001</c:v>
                </c:pt>
                <c:pt idx="250">
                  <c:v>3.2210000000000001</c:v>
                </c:pt>
                <c:pt idx="251">
                  <c:v>3.169</c:v>
                </c:pt>
                <c:pt idx="252">
                  <c:v>3.2690000000000001</c:v>
                </c:pt>
                <c:pt idx="253">
                  <c:v>3.403</c:v>
                </c:pt>
                <c:pt idx="254">
                  <c:v>3.4140000000000001</c:v>
                </c:pt>
                <c:pt idx="255">
                  <c:v>3.431</c:v>
                </c:pt>
                <c:pt idx="256">
                  <c:v>3.431</c:v>
                </c:pt>
                <c:pt idx="257">
                  <c:v>3.431</c:v>
                </c:pt>
                <c:pt idx="258">
                  <c:v>3.4340000000000002</c:v>
                </c:pt>
                <c:pt idx="259">
                  <c:v>3.4340000000000002</c:v>
                </c:pt>
                <c:pt idx="260">
                  <c:v>3.4060000000000001</c:v>
                </c:pt>
                <c:pt idx="261">
                  <c:v>3.38</c:v>
                </c:pt>
                <c:pt idx="262">
                  <c:v>3.242</c:v>
                </c:pt>
                <c:pt idx="263">
                  <c:v>3.242</c:v>
                </c:pt>
                <c:pt idx="264">
                  <c:v>3.242</c:v>
                </c:pt>
                <c:pt idx="265">
                  <c:v>3.1659999999999999</c:v>
                </c:pt>
                <c:pt idx="266">
                  <c:v>3.1850000000000001</c:v>
                </c:pt>
                <c:pt idx="267">
                  <c:v>3.19</c:v>
                </c:pt>
                <c:pt idx="268">
                  <c:v>3.1880000000000002</c:v>
                </c:pt>
                <c:pt idx="269">
                  <c:v>3.3140000000000001</c:v>
                </c:pt>
                <c:pt idx="270">
                  <c:v>3.3140000000000001</c:v>
                </c:pt>
                <c:pt idx="271">
                  <c:v>3.3140000000000001</c:v>
                </c:pt>
                <c:pt idx="272">
                  <c:v>3.2959999999999998</c:v>
                </c:pt>
                <c:pt idx="273">
                  <c:v>3.3130000000000002</c:v>
                </c:pt>
                <c:pt idx="274">
                  <c:v>3.35</c:v>
                </c:pt>
                <c:pt idx="275">
                  <c:v>3.355</c:v>
                </c:pt>
                <c:pt idx="276">
                  <c:v>3.3010000000000002</c:v>
                </c:pt>
                <c:pt idx="277">
                  <c:v>3.3010000000000002</c:v>
                </c:pt>
                <c:pt idx="278">
                  <c:v>3.3010000000000002</c:v>
                </c:pt>
                <c:pt idx="279">
                  <c:v>3.22</c:v>
                </c:pt>
                <c:pt idx="280">
                  <c:v>3.2869999999999999</c:v>
                </c:pt>
                <c:pt idx="281">
                  <c:v>3.3130000000000002</c:v>
                </c:pt>
                <c:pt idx="282">
                  <c:v>3.3050000000000002</c:v>
                </c:pt>
                <c:pt idx="283">
                  <c:v>3.169</c:v>
                </c:pt>
                <c:pt idx="284">
                  <c:v>3.169</c:v>
                </c:pt>
                <c:pt idx="285">
                  <c:v>3.169</c:v>
                </c:pt>
                <c:pt idx="286">
                  <c:v>3.1280000000000001</c:v>
                </c:pt>
                <c:pt idx="287">
                  <c:v>3.129</c:v>
                </c:pt>
                <c:pt idx="288">
                  <c:v>3.08</c:v>
                </c:pt>
                <c:pt idx="289">
                  <c:v>3.0649999999999999</c:v>
                </c:pt>
                <c:pt idx="290">
                  <c:v>3.0070000000000001</c:v>
                </c:pt>
                <c:pt idx="291">
                  <c:v>3.0070000000000001</c:v>
                </c:pt>
                <c:pt idx="292">
                  <c:v>3.0070000000000001</c:v>
                </c:pt>
                <c:pt idx="293">
                  <c:v>2.9689999999999999</c:v>
                </c:pt>
                <c:pt idx="294">
                  <c:v>2.8849999999999998</c:v>
                </c:pt>
                <c:pt idx="295">
                  <c:v>2.972</c:v>
                </c:pt>
                <c:pt idx="296">
                  <c:v>3.0310000000000001</c:v>
                </c:pt>
                <c:pt idx="297">
                  <c:v>2.871</c:v>
                </c:pt>
                <c:pt idx="298">
                  <c:v>2.871</c:v>
                </c:pt>
                <c:pt idx="299">
                  <c:v>2.871</c:v>
                </c:pt>
                <c:pt idx="300">
                  <c:v>2.8559999999999999</c:v>
                </c:pt>
                <c:pt idx="301">
                  <c:v>2.8279999999999998</c:v>
                </c:pt>
                <c:pt idx="302">
                  <c:v>2.8319999999999999</c:v>
                </c:pt>
                <c:pt idx="303">
                  <c:v>2.7410000000000001</c:v>
                </c:pt>
                <c:pt idx="304">
                  <c:v>2.7370000000000001</c:v>
                </c:pt>
                <c:pt idx="305">
                  <c:v>2.7370000000000001</c:v>
                </c:pt>
                <c:pt idx="306">
                  <c:v>2.7370000000000001</c:v>
                </c:pt>
                <c:pt idx="307">
                  <c:v>2.7040000000000002</c:v>
                </c:pt>
                <c:pt idx="308">
                  <c:v>2.7679999999999998</c:v>
                </c:pt>
                <c:pt idx="309">
                  <c:v>2.7530000000000001</c:v>
                </c:pt>
                <c:pt idx="310">
                  <c:v>2.7389999999999999</c:v>
                </c:pt>
                <c:pt idx="311">
                  <c:v>2.7</c:v>
                </c:pt>
                <c:pt idx="312">
                  <c:v>2.7</c:v>
                </c:pt>
                <c:pt idx="313">
                  <c:v>2.7</c:v>
                </c:pt>
                <c:pt idx="314">
                  <c:v>2.726</c:v>
                </c:pt>
                <c:pt idx="315">
                  <c:v>2.722</c:v>
                </c:pt>
                <c:pt idx="316">
                  <c:v>2.722</c:v>
                </c:pt>
                <c:pt idx="317">
                  <c:v>2.7069999999999999</c:v>
                </c:pt>
                <c:pt idx="318">
                  <c:v>2.6579999999999999</c:v>
                </c:pt>
                <c:pt idx="319">
                  <c:v>2.6579999999999999</c:v>
                </c:pt>
                <c:pt idx="320">
                  <c:v>2.6579999999999999</c:v>
                </c:pt>
                <c:pt idx="321">
                  <c:v>2.6480000000000001</c:v>
                </c:pt>
                <c:pt idx="322">
                  <c:v>2.613</c:v>
                </c:pt>
                <c:pt idx="323">
                  <c:v>2.6749999999999998</c:v>
                </c:pt>
                <c:pt idx="324">
                  <c:v>2.6749999999999998</c:v>
                </c:pt>
                <c:pt idx="325">
                  <c:v>2.6709999999999998</c:v>
                </c:pt>
                <c:pt idx="326">
                  <c:v>2.6709999999999998</c:v>
                </c:pt>
                <c:pt idx="327">
                  <c:v>2.6709999999999998</c:v>
                </c:pt>
                <c:pt idx="328">
                  <c:v>2.6240000000000001</c:v>
                </c:pt>
                <c:pt idx="329">
                  <c:v>2.722</c:v>
                </c:pt>
                <c:pt idx="330">
                  <c:v>2.7170000000000001</c:v>
                </c:pt>
                <c:pt idx="331">
                  <c:v>2.77</c:v>
                </c:pt>
                <c:pt idx="332">
                  <c:v>2.7280000000000002</c:v>
                </c:pt>
                <c:pt idx="333">
                  <c:v>2.7280000000000002</c:v>
                </c:pt>
                <c:pt idx="334">
                  <c:v>2.7280000000000002</c:v>
                </c:pt>
                <c:pt idx="335">
                  <c:v>2.7080000000000002</c:v>
                </c:pt>
                <c:pt idx="336">
                  <c:v>2.702</c:v>
                </c:pt>
                <c:pt idx="337">
                  <c:v>2.71</c:v>
                </c:pt>
                <c:pt idx="338">
                  <c:v>2.714</c:v>
                </c:pt>
                <c:pt idx="339">
                  <c:v>2.7469999999999999</c:v>
                </c:pt>
                <c:pt idx="340">
                  <c:v>2.7469999999999999</c:v>
                </c:pt>
                <c:pt idx="341">
                  <c:v>2.7469999999999999</c:v>
                </c:pt>
                <c:pt idx="342">
                  <c:v>2.6859999999999999</c:v>
                </c:pt>
                <c:pt idx="343">
                  <c:v>2.6909999999999998</c:v>
                </c:pt>
                <c:pt idx="344">
                  <c:v>2.7330000000000001</c:v>
                </c:pt>
                <c:pt idx="345">
                  <c:v>2.6379999999999999</c:v>
                </c:pt>
                <c:pt idx="346">
                  <c:v>2.6190000000000002</c:v>
                </c:pt>
                <c:pt idx="347">
                  <c:v>2.6190000000000002</c:v>
                </c:pt>
                <c:pt idx="348">
                  <c:v>2.6190000000000002</c:v>
                </c:pt>
                <c:pt idx="349">
                  <c:v>2.5659999999999998</c:v>
                </c:pt>
                <c:pt idx="350">
                  <c:v>2.5859999999999999</c:v>
                </c:pt>
                <c:pt idx="351">
                  <c:v>2.5859999999999999</c:v>
                </c:pt>
                <c:pt idx="352">
                  <c:v>2.5859999999999999</c:v>
                </c:pt>
                <c:pt idx="353">
                  <c:v>2.5859999999999999</c:v>
                </c:pt>
                <c:pt idx="354">
                  <c:v>2.5859999999999999</c:v>
                </c:pt>
                <c:pt idx="355">
                  <c:v>2.5859999999999999</c:v>
                </c:pt>
                <c:pt idx="356">
                  <c:v>2.6120000000000001</c:v>
                </c:pt>
                <c:pt idx="357">
                  <c:v>2.573</c:v>
                </c:pt>
                <c:pt idx="358">
                  <c:v>2.5760000000000001</c:v>
                </c:pt>
                <c:pt idx="359">
                  <c:v>2.54</c:v>
                </c:pt>
                <c:pt idx="360">
                  <c:v>2.54</c:v>
                </c:pt>
                <c:pt idx="361">
                  <c:v>2.54</c:v>
                </c:pt>
                <c:pt idx="362">
                  <c:v>2.54</c:v>
                </c:pt>
                <c:pt idx="363">
                  <c:v>2.5579999999999998</c:v>
                </c:pt>
                <c:pt idx="364">
                  <c:v>2.5369999999999999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채권시장종합!$AV$57</c:f>
              <c:strCache>
                <c:ptCount val="1"/>
                <c:pt idx="0">
                  <c:v>미국</c:v>
                </c:pt>
              </c:strCache>
            </c:strRef>
          </c:tx>
          <c:spPr>
            <a:ln w="25400">
              <a:solidFill>
                <a:srgbClr val="FF01A2"/>
              </a:solidFill>
            </a:ln>
          </c:spPr>
          <c:marker>
            <c:symbol val="none"/>
          </c:marker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채권시장종합!$AV$59:$AV$423</c:f>
              <c:numCache>
                <c:formatCode>General</c:formatCode>
                <c:ptCount val="365"/>
                <c:pt idx="0">
                  <c:v>3.4839000000000002</c:v>
                </c:pt>
                <c:pt idx="1">
                  <c:v>3.5493999999999999</c:v>
                </c:pt>
                <c:pt idx="2">
                  <c:v>3.5053000000000001</c:v>
                </c:pt>
                <c:pt idx="3">
                  <c:v>3.5053000000000001</c:v>
                </c:pt>
                <c:pt idx="4">
                  <c:v>3.5053000000000001</c:v>
                </c:pt>
                <c:pt idx="5">
                  <c:v>3.5053000000000001</c:v>
                </c:pt>
                <c:pt idx="6">
                  <c:v>3.4464000000000001</c:v>
                </c:pt>
                <c:pt idx="7">
                  <c:v>3.5409999999999999</c:v>
                </c:pt>
                <c:pt idx="8">
                  <c:v>3.6206999999999998</c:v>
                </c:pt>
                <c:pt idx="9">
                  <c:v>3.5385</c:v>
                </c:pt>
                <c:pt idx="10">
                  <c:v>3.5626000000000002</c:v>
                </c:pt>
                <c:pt idx="11">
                  <c:v>3.5626000000000002</c:v>
                </c:pt>
                <c:pt idx="12">
                  <c:v>3.5626000000000002</c:v>
                </c:pt>
                <c:pt idx="13">
                  <c:v>3.7191000000000001</c:v>
                </c:pt>
                <c:pt idx="14">
                  <c:v>3.6865000000000001</c:v>
                </c:pt>
                <c:pt idx="15">
                  <c:v>3.7454999999999998</c:v>
                </c:pt>
                <c:pt idx="16">
                  <c:v>3.8795000000000002</c:v>
                </c:pt>
                <c:pt idx="17">
                  <c:v>3.8795000000000002</c:v>
                </c:pt>
                <c:pt idx="18">
                  <c:v>3.8795000000000002</c:v>
                </c:pt>
                <c:pt idx="19">
                  <c:v>3.8795000000000002</c:v>
                </c:pt>
                <c:pt idx="20">
                  <c:v>3.8201999999999998</c:v>
                </c:pt>
                <c:pt idx="21">
                  <c:v>3.8835999999999999</c:v>
                </c:pt>
                <c:pt idx="22">
                  <c:v>3.8468</c:v>
                </c:pt>
                <c:pt idx="23">
                  <c:v>3.7490000000000001</c:v>
                </c:pt>
                <c:pt idx="24">
                  <c:v>3.7490000000000001</c:v>
                </c:pt>
                <c:pt idx="25">
                  <c:v>3.7490000000000001</c:v>
                </c:pt>
                <c:pt idx="26">
                  <c:v>3.7490000000000001</c:v>
                </c:pt>
                <c:pt idx="27">
                  <c:v>3.6823000000000001</c:v>
                </c:pt>
                <c:pt idx="28">
                  <c:v>3.6730999999999998</c:v>
                </c:pt>
                <c:pt idx="29">
                  <c:v>3.6899000000000002</c:v>
                </c:pt>
                <c:pt idx="30">
                  <c:v>3.5863999999999998</c:v>
                </c:pt>
                <c:pt idx="31">
                  <c:v>3.4885999999999999</c:v>
                </c:pt>
                <c:pt idx="32">
                  <c:v>3.4885999999999999</c:v>
                </c:pt>
                <c:pt idx="33">
                  <c:v>3.4885999999999999</c:v>
                </c:pt>
                <c:pt idx="34">
                  <c:v>3.4481000000000002</c:v>
                </c:pt>
                <c:pt idx="35">
                  <c:v>3.4792000000000001</c:v>
                </c:pt>
                <c:pt idx="36">
                  <c:v>3.5076000000000001</c:v>
                </c:pt>
                <c:pt idx="37">
                  <c:v>3.6139999999999999</c:v>
                </c:pt>
                <c:pt idx="38">
                  <c:v>3.5838000000000001</c:v>
                </c:pt>
                <c:pt idx="39">
                  <c:v>3.5838000000000001</c:v>
                </c:pt>
                <c:pt idx="40">
                  <c:v>3.5838000000000001</c:v>
                </c:pt>
                <c:pt idx="41">
                  <c:v>3.4883000000000002</c:v>
                </c:pt>
                <c:pt idx="42">
                  <c:v>3.4249999999999998</c:v>
                </c:pt>
                <c:pt idx="43">
                  <c:v>3.5331999999999999</c:v>
                </c:pt>
                <c:pt idx="44">
                  <c:v>3.5846</c:v>
                </c:pt>
                <c:pt idx="45">
                  <c:v>3.4944000000000002</c:v>
                </c:pt>
                <c:pt idx="46">
                  <c:v>3.4944000000000002</c:v>
                </c:pt>
                <c:pt idx="47">
                  <c:v>3.4944000000000002</c:v>
                </c:pt>
                <c:pt idx="48">
                  <c:v>3.5112000000000001</c:v>
                </c:pt>
                <c:pt idx="49">
                  <c:v>3.6063000000000001</c:v>
                </c:pt>
                <c:pt idx="50">
                  <c:v>3.7488000000000001</c:v>
                </c:pt>
                <c:pt idx="51">
                  <c:v>3.6848999999999998</c:v>
                </c:pt>
                <c:pt idx="52">
                  <c:v>3.6878000000000002</c:v>
                </c:pt>
                <c:pt idx="53">
                  <c:v>3.6878000000000002</c:v>
                </c:pt>
                <c:pt idx="54">
                  <c:v>3.6878000000000002</c:v>
                </c:pt>
                <c:pt idx="55">
                  <c:v>3.7000999999999999</c:v>
                </c:pt>
                <c:pt idx="56">
                  <c:v>3.7000999999999999</c:v>
                </c:pt>
                <c:pt idx="57">
                  <c:v>3.7578</c:v>
                </c:pt>
                <c:pt idx="58">
                  <c:v>3.8334000000000001</c:v>
                </c:pt>
                <c:pt idx="59">
                  <c:v>3.827</c:v>
                </c:pt>
                <c:pt idx="60">
                  <c:v>3.827</c:v>
                </c:pt>
                <c:pt idx="61">
                  <c:v>3.827</c:v>
                </c:pt>
                <c:pt idx="62">
                  <c:v>3.7713000000000001</c:v>
                </c:pt>
                <c:pt idx="63">
                  <c:v>3.6926000000000001</c:v>
                </c:pt>
                <c:pt idx="64">
                  <c:v>3.7770000000000001</c:v>
                </c:pt>
                <c:pt idx="65">
                  <c:v>3.8582999999999998</c:v>
                </c:pt>
                <c:pt idx="66">
                  <c:v>3.8191000000000002</c:v>
                </c:pt>
                <c:pt idx="67">
                  <c:v>3.8191000000000002</c:v>
                </c:pt>
                <c:pt idx="68">
                  <c:v>3.8191000000000002</c:v>
                </c:pt>
                <c:pt idx="69">
                  <c:v>3.8191000000000002</c:v>
                </c:pt>
                <c:pt idx="70">
                  <c:v>4.0975999999999999</c:v>
                </c:pt>
                <c:pt idx="71">
                  <c:v>4.1327999999999996</c:v>
                </c:pt>
                <c:pt idx="72">
                  <c:v>4.2156000000000002</c:v>
                </c:pt>
                <c:pt idx="73">
                  <c:v>4.1635999999999997</c:v>
                </c:pt>
                <c:pt idx="74">
                  <c:v>4.1635999999999997</c:v>
                </c:pt>
                <c:pt idx="75">
                  <c:v>4.1635999999999997</c:v>
                </c:pt>
                <c:pt idx="76">
                  <c:v>4.1542000000000003</c:v>
                </c:pt>
                <c:pt idx="77">
                  <c:v>4.1047000000000002</c:v>
                </c:pt>
                <c:pt idx="78">
                  <c:v>4.0460000000000003</c:v>
                </c:pt>
                <c:pt idx="79">
                  <c:v>4.0540000000000003</c:v>
                </c:pt>
                <c:pt idx="80">
                  <c:v>4.0164</c:v>
                </c:pt>
                <c:pt idx="81">
                  <c:v>4.0164</c:v>
                </c:pt>
                <c:pt idx="82">
                  <c:v>4.0164</c:v>
                </c:pt>
                <c:pt idx="83">
                  <c:v>3.9239000000000002</c:v>
                </c:pt>
                <c:pt idx="84">
                  <c:v>4.0058999999999996</c:v>
                </c:pt>
                <c:pt idx="85">
                  <c:v>4.1031000000000004</c:v>
                </c:pt>
                <c:pt idx="86">
                  <c:v>4.2476000000000003</c:v>
                </c:pt>
                <c:pt idx="87">
                  <c:v>4.2282999999999999</c:v>
                </c:pt>
                <c:pt idx="88">
                  <c:v>4.2282999999999999</c:v>
                </c:pt>
                <c:pt idx="89">
                  <c:v>4.2282999999999999</c:v>
                </c:pt>
                <c:pt idx="90">
                  <c:v>4.2324999999999999</c:v>
                </c:pt>
                <c:pt idx="91">
                  <c:v>4.1387</c:v>
                </c:pt>
                <c:pt idx="92">
                  <c:v>4.0106999999999999</c:v>
                </c:pt>
                <c:pt idx="93">
                  <c:v>4.0156000000000001</c:v>
                </c:pt>
                <c:pt idx="94">
                  <c:v>4.0235000000000003</c:v>
                </c:pt>
                <c:pt idx="95">
                  <c:v>4.0235000000000003</c:v>
                </c:pt>
                <c:pt idx="96">
                  <c:v>4.0235000000000003</c:v>
                </c:pt>
                <c:pt idx="97">
                  <c:v>3.9445000000000001</c:v>
                </c:pt>
                <c:pt idx="98">
                  <c:v>3.9003000000000001</c:v>
                </c:pt>
                <c:pt idx="99">
                  <c:v>3.9449000000000001</c:v>
                </c:pt>
                <c:pt idx="100">
                  <c:v>3.8895</c:v>
                </c:pt>
                <c:pt idx="101">
                  <c:v>3.8895</c:v>
                </c:pt>
                <c:pt idx="102">
                  <c:v>3.8895</c:v>
                </c:pt>
                <c:pt idx="103">
                  <c:v>3.8895</c:v>
                </c:pt>
                <c:pt idx="104">
                  <c:v>3.8235999999999999</c:v>
                </c:pt>
                <c:pt idx="105">
                  <c:v>3.7568999999999999</c:v>
                </c:pt>
                <c:pt idx="106">
                  <c:v>3.6368999999999998</c:v>
                </c:pt>
                <c:pt idx="107">
                  <c:v>3.6356999999999999</c:v>
                </c:pt>
                <c:pt idx="108">
                  <c:v>3.8285999999999998</c:v>
                </c:pt>
                <c:pt idx="109">
                  <c:v>3.8285999999999998</c:v>
                </c:pt>
                <c:pt idx="110">
                  <c:v>3.8285999999999998</c:v>
                </c:pt>
                <c:pt idx="111">
                  <c:v>3.7875999999999999</c:v>
                </c:pt>
                <c:pt idx="112">
                  <c:v>3.7362000000000002</c:v>
                </c:pt>
                <c:pt idx="113">
                  <c:v>3.9481999999999999</c:v>
                </c:pt>
                <c:pt idx="114">
                  <c:v>3.9192999999999998</c:v>
                </c:pt>
                <c:pt idx="115">
                  <c:v>3.6876000000000002</c:v>
                </c:pt>
                <c:pt idx="116">
                  <c:v>3.6876000000000002</c:v>
                </c:pt>
                <c:pt idx="117">
                  <c:v>3.6876000000000002</c:v>
                </c:pt>
                <c:pt idx="118">
                  <c:v>3.7147999999999999</c:v>
                </c:pt>
                <c:pt idx="119">
                  <c:v>3.5308999999999999</c:v>
                </c:pt>
                <c:pt idx="120">
                  <c:v>3.5640000000000001</c:v>
                </c:pt>
                <c:pt idx="121">
                  <c:v>3.4923999999999999</c:v>
                </c:pt>
                <c:pt idx="122">
                  <c:v>3.4533</c:v>
                </c:pt>
                <c:pt idx="123">
                  <c:v>3.4533</c:v>
                </c:pt>
                <c:pt idx="124">
                  <c:v>3.4533</c:v>
                </c:pt>
                <c:pt idx="125">
                  <c:v>3.4548000000000001</c:v>
                </c:pt>
                <c:pt idx="126">
                  <c:v>3.4081000000000001</c:v>
                </c:pt>
                <c:pt idx="127">
                  <c:v>3.4146999999999998</c:v>
                </c:pt>
                <c:pt idx="128">
                  <c:v>3.3578000000000001</c:v>
                </c:pt>
                <c:pt idx="129">
                  <c:v>3.3144999999999998</c:v>
                </c:pt>
                <c:pt idx="130">
                  <c:v>3.3144999999999998</c:v>
                </c:pt>
                <c:pt idx="131">
                  <c:v>3.3144999999999998</c:v>
                </c:pt>
                <c:pt idx="132">
                  <c:v>3.3227000000000002</c:v>
                </c:pt>
                <c:pt idx="133">
                  <c:v>3.2673000000000001</c:v>
                </c:pt>
                <c:pt idx="134">
                  <c:v>3.3492000000000002</c:v>
                </c:pt>
                <c:pt idx="135">
                  <c:v>3.1987999999999999</c:v>
                </c:pt>
                <c:pt idx="136">
                  <c:v>3.1987999999999999</c:v>
                </c:pt>
                <c:pt idx="137">
                  <c:v>3.1987999999999999</c:v>
                </c:pt>
                <c:pt idx="138">
                  <c:v>3.1987999999999999</c:v>
                </c:pt>
                <c:pt idx="139">
                  <c:v>3.2637</c:v>
                </c:pt>
                <c:pt idx="140">
                  <c:v>3.1936</c:v>
                </c:pt>
                <c:pt idx="141">
                  <c:v>3.1099000000000001</c:v>
                </c:pt>
                <c:pt idx="142">
                  <c:v>3.1042000000000001</c:v>
                </c:pt>
                <c:pt idx="143">
                  <c:v>3.0427</c:v>
                </c:pt>
                <c:pt idx="144">
                  <c:v>3.0427</c:v>
                </c:pt>
                <c:pt idx="145">
                  <c:v>3.0427</c:v>
                </c:pt>
                <c:pt idx="146">
                  <c:v>3.0286</c:v>
                </c:pt>
                <c:pt idx="147">
                  <c:v>3.1084999999999998</c:v>
                </c:pt>
                <c:pt idx="148">
                  <c:v>3.0489000000000002</c:v>
                </c:pt>
                <c:pt idx="149">
                  <c:v>3.0266000000000002</c:v>
                </c:pt>
                <c:pt idx="150">
                  <c:v>2.9729999999999999</c:v>
                </c:pt>
                <c:pt idx="151">
                  <c:v>2.9729999999999999</c:v>
                </c:pt>
                <c:pt idx="152">
                  <c:v>2.9729999999999999</c:v>
                </c:pt>
                <c:pt idx="153">
                  <c:v>2.8831000000000002</c:v>
                </c:pt>
                <c:pt idx="154">
                  <c:v>2.9003999999999999</c:v>
                </c:pt>
                <c:pt idx="155">
                  <c:v>2.8121999999999998</c:v>
                </c:pt>
                <c:pt idx="156">
                  <c:v>2.7869000000000002</c:v>
                </c:pt>
                <c:pt idx="157">
                  <c:v>2.8384999999999998</c:v>
                </c:pt>
                <c:pt idx="158">
                  <c:v>2.8384999999999998</c:v>
                </c:pt>
                <c:pt idx="159">
                  <c:v>2.8384999999999998</c:v>
                </c:pt>
                <c:pt idx="160">
                  <c:v>2.8866000000000001</c:v>
                </c:pt>
                <c:pt idx="161">
                  <c:v>2.7883</c:v>
                </c:pt>
                <c:pt idx="162">
                  <c:v>2.7846000000000002</c:v>
                </c:pt>
                <c:pt idx="163">
                  <c:v>2.7581000000000002</c:v>
                </c:pt>
                <c:pt idx="164">
                  <c:v>2.8342000000000001</c:v>
                </c:pt>
                <c:pt idx="165">
                  <c:v>2.8342000000000001</c:v>
                </c:pt>
                <c:pt idx="166">
                  <c:v>2.8342000000000001</c:v>
                </c:pt>
                <c:pt idx="167">
                  <c:v>2.6972999999999998</c:v>
                </c:pt>
                <c:pt idx="168">
                  <c:v>2.7054999999999998</c:v>
                </c:pt>
                <c:pt idx="169">
                  <c:v>2.7528000000000001</c:v>
                </c:pt>
                <c:pt idx="170">
                  <c:v>2.5722999999999998</c:v>
                </c:pt>
                <c:pt idx="171">
                  <c:v>2.6514000000000002</c:v>
                </c:pt>
                <c:pt idx="172">
                  <c:v>2.6514000000000002</c:v>
                </c:pt>
                <c:pt idx="173">
                  <c:v>2.6514000000000002</c:v>
                </c:pt>
                <c:pt idx="174">
                  <c:v>2.6758999999999999</c:v>
                </c:pt>
                <c:pt idx="175">
                  <c:v>2.7904</c:v>
                </c:pt>
                <c:pt idx="176">
                  <c:v>2.8058999999999998</c:v>
                </c:pt>
                <c:pt idx="177">
                  <c:v>2.8041</c:v>
                </c:pt>
                <c:pt idx="178">
                  <c:v>2.7585999999999999</c:v>
                </c:pt>
                <c:pt idx="179">
                  <c:v>2.7585999999999999</c:v>
                </c:pt>
                <c:pt idx="180">
                  <c:v>2.7585999999999999</c:v>
                </c:pt>
                <c:pt idx="181">
                  <c:v>2.8812000000000002</c:v>
                </c:pt>
                <c:pt idx="182">
                  <c:v>3.0312000000000001</c:v>
                </c:pt>
                <c:pt idx="183">
                  <c:v>3.0255999999999998</c:v>
                </c:pt>
                <c:pt idx="184">
                  <c:v>2.9864999999999999</c:v>
                </c:pt>
                <c:pt idx="185">
                  <c:v>2.9188999999999998</c:v>
                </c:pt>
                <c:pt idx="186">
                  <c:v>2.9188999999999998</c:v>
                </c:pt>
                <c:pt idx="187">
                  <c:v>2.9188999999999998</c:v>
                </c:pt>
                <c:pt idx="188">
                  <c:v>2.9641000000000002</c:v>
                </c:pt>
                <c:pt idx="189">
                  <c:v>2.9363999999999999</c:v>
                </c:pt>
                <c:pt idx="190">
                  <c:v>2.9761000000000002</c:v>
                </c:pt>
                <c:pt idx="191">
                  <c:v>2.9946000000000002</c:v>
                </c:pt>
                <c:pt idx="192">
                  <c:v>3.0840000000000001</c:v>
                </c:pt>
                <c:pt idx="193">
                  <c:v>3.0840000000000001</c:v>
                </c:pt>
                <c:pt idx="194">
                  <c:v>3.0840000000000001</c:v>
                </c:pt>
                <c:pt idx="195">
                  <c:v>3.0019999999999998</c:v>
                </c:pt>
                <c:pt idx="196">
                  <c:v>2.9354</c:v>
                </c:pt>
                <c:pt idx="197">
                  <c:v>2.8054000000000001</c:v>
                </c:pt>
                <c:pt idx="198">
                  <c:v>2.8940000000000001</c:v>
                </c:pt>
                <c:pt idx="199">
                  <c:v>2.8940000000000001</c:v>
                </c:pt>
                <c:pt idx="200">
                  <c:v>2.8940000000000001</c:v>
                </c:pt>
                <c:pt idx="201">
                  <c:v>2.8940000000000001</c:v>
                </c:pt>
                <c:pt idx="202">
                  <c:v>3.0129000000000001</c:v>
                </c:pt>
                <c:pt idx="203">
                  <c:v>3.0956999999999999</c:v>
                </c:pt>
                <c:pt idx="204">
                  <c:v>3.18</c:v>
                </c:pt>
                <c:pt idx="205">
                  <c:v>3.2101000000000002</c:v>
                </c:pt>
                <c:pt idx="206">
                  <c:v>3.1356999999999999</c:v>
                </c:pt>
                <c:pt idx="207">
                  <c:v>3.1356999999999999</c:v>
                </c:pt>
                <c:pt idx="208">
                  <c:v>3.1356999999999999</c:v>
                </c:pt>
                <c:pt idx="209">
                  <c:v>3.0897999999999999</c:v>
                </c:pt>
                <c:pt idx="210">
                  <c:v>3.1627000000000001</c:v>
                </c:pt>
                <c:pt idx="211">
                  <c:v>3.2835000000000001</c:v>
                </c:pt>
                <c:pt idx="212">
                  <c:v>3.2360000000000002</c:v>
                </c:pt>
                <c:pt idx="213">
                  <c:v>3.2360000000000002</c:v>
                </c:pt>
                <c:pt idx="214">
                  <c:v>3.2360000000000002</c:v>
                </c:pt>
                <c:pt idx="215">
                  <c:v>3.2360000000000002</c:v>
                </c:pt>
                <c:pt idx="216">
                  <c:v>3.2008000000000001</c:v>
                </c:pt>
                <c:pt idx="217">
                  <c:v>3.2886000000000002</c:v>
                </c:pt>
                <c:pt idx="218">
                  <c:v>3.4801000000000002</c:v>
                </c:pt>
                <c:pt idx="219">
                  <c:v>3.3637000000000001</c:v>
                </c:pt>
                <c:pt idx="220">
                  <c:v>3.1629999999999998</c:v>
                </c:pt>
                <c:pt idx="221">
                  <c:v>3.1629999999999998</c:v>
                </c:pt>
                <c:pt idx="222">
                  <c:v>3.1629999999999998</c:v>
                </c:pt>
                <c:pt idx="223">
                  <c:v>3.0465</c:v>
                </c:pt>
                <c:pt idx="224">
                  <c:v>3.0215000000000001</c:v>
                </c:pt>
                <c:pt idx="225">
                  <c:v>2.9828000000000001</c:v>
                </c:pt>
                <c:pt idx="226">
                  <c:v>3.0491000000000001</c:v>
                </c:pt>
                <c:pt idx="227">
                  <c:v>2.9396</c:v>
                </c:pt>
                <c:pt idx="228">
                  <c:v>2.9396</c:v>
                </c:pt>
                <c:pt idx="229">
                  <c:v>2.9396</c:v>
                </c:pt>
                <c:pt idx="230">
                  <c:v>2.9121999999999999</c:v>
                </c:pt>
                <c:pt idx="231">
                  <c:v>2.9140000000000001</c:v>
                </c:pt>
                <c:pt idx="232">
                  <c:v>2.8531</c:v>
                </c:pt>
                <c:pt idx="233">
                  <c:v>2.7450000000000001</c:v>
                </c:pt>
                <c:pt idx="234">
                  <c:v>2.7450000000000001</c:v>
                </c:pt>
                <c:pt idx="235">
                  <c:v>2.7450000000000001</c:v>
                </c:pt>
                <c:pt idx="236">
                  <c:v>2.7450000000000001</c:v>
                </c:pt>
                <c:pt idx="237">
                  <c:v>2.7443</c:v>
                </c:pt>
                <c:pt idx="238">
                  <c:v>2.7505999999999999</c:v>
                </c:pt>
                <c:pt idx="239">
                  <c:v>2.7542</c:v>
                </c:pt>
                <c:pt idx="240">
                  <c:v>2.8540999999999999</c:v>
                </c:pt>
                <c:pt idx="241">
                  <c:v>2.7847</c:v>
                </c:pt>
                <c:pt idx="242">
                  <c:v>2.7847</c:v>
                </c:pt>
                <c:pt idx="243">
                  <c:v>2.7847</c:v>
                </c:pt>
                <c:pt idx="244">
                  <c:v>2.8460000000000001</c:v>
                </c:pt>
                <c:pt idx="245">
                  <c:v>2.8921999999999999</c:v>
                </c:pt>
                <c:pt idx="246">
                  <c:v>2.9897</c:v>
                </c:pt>
                <c:pt idx="247">
                  <c:v>2.8831000000000002</c:v>
                </c:pt>
                <c:pt idx="248">
                  <c:v>2.9176000000000002</c:v>
                </c:pt>
                <c:pt idx="249">
                  <c:v>2.9176000000000002</c:v>
                </c:pt>
                <c:pt idx="250">
                  <c:v>2.9176000000000002</c:v>
                </c:pt>
                <c:pt idx="251">
                  <c:v>2.8542999999999998</c:v>
                </c:pt>
                <c:pt idx="252">
                  <c:v>2.9306000000000001</c:v>
                </c:pt>
                <c:pt idx="253">
                  <c:v>2.9939</c:v>
                </c:pt>
                <c:pt idx="254">
                  <c:v>3.0398000000000001</c:v>
                </c:pt>
                <c:pt idx="255">
                  <c:v>3.1396000000000002</c:v>
                </c:pt>
                <c:pt idx="256">
                  <c:v>3.1396000000000002</c:v>
                </c:pt>
                <c:pt idx="257">
                  <c:v>3.1396000000000002</c:v>
                </c:pt>
                <c:pt idx="258">
                  <c:v>3.0426000000000002</c:v>
                </c:pt>
                <c:pt idx="259">
                  <c:v>2.9373999999999998</c:v>
                </c:pt>
                <c:pt idx="260">
                  <c:v>2.9693999999999998</c:v>
                </c:pt>
                <c:pt idx="261">
                  <c:v>2.9807999999999999</c:v>
                </c:pt>
                <c:pt idx="262">
                  <c:v>2.9337</c:v>
                </c:pt>
                <c:pt idx="263">
                  <c:v>2.9337</c:v>
                </c:pt>
                <c:pt idx="264">
                  <c:v>2.9337</c:v>
                </c:pt>
                <c:pt idx="265">
                  <c:v>2.8264</c:v>
                </c:pt>
                <c:pt idx="266">
                  <c:v>2.8338999999999999</c:v>
                </c:pt>
                <c:pt idx="267">
                  <c:v>2.7302</c:v>
                </c:pt>
                <c:pt idx="268">
                  <c:v>2.8275999999999999</c:v>
                </c:pt>
                <c:pt idx="269">
                  <c:v>2.8959000000000001</c:v>
                </c:pt>
                <c:pt idx="270">
                  <c:v>2.8959000000000001</c:v>
                </c:pt>
                <c:pt idx="271">
                  <c:v>2.8959000000000001</c:v>
                </c:pt>
                <c:pt idx="272">
                  <c:v>2.9106000000000001</c:v>
                </c:pt>
                <c:pt idx="273">
                  <c:v>2.8399000000000001</c:v>
                </c:pt>
                <c:pt idx="274">
                  <c:v>2.9411999999999998</c:v>
                </c:pt>
                <c:pt idx="275">
                  <c:v>2.8614999999999999</c:v>
                </c:pt>
                <c:pt idx="276">
                  <c:v>2.8298000000000001</c:v>
                </c:pt>
                <c:pt idx="277">
                  <c:v>2.8298000000000001</c:v>
                </c:pt>
                <c:pt idx="278">
                  <c:v>2.8298000000000001</c:v>
                </c:pt>
                <c:pt idx="279">
                  <c:v>2.8298000000000001</c:v>
                </c:pt>
                <c:pt idx="280">
                  <c:v>2.6979000000000002</c:v>
                </c:pt>
                <c:pt idx="281">
                  <c:v>2.73</c:v>
                </c:pt>
                <c:pt idx="282">
                  <c:v>2.7822</c:v>
                </c:pt>
                <c:pt idx="283">
                  <c:v>2.7096</c:v>
                </c:pt>
                <c:pt idx="284">
                  <c:v>2.7096</c:v>
                </c:pt>
                <c:pt idx="285">
                  <c:v>2.7096</c:v>
                </c:pt>
                <c:pt idx="286">
                  <c:v>2.6636000000000002</c:v>
                </c:pt>
                <c:pt idx="287">
                  <c:v>2.5985999999999998</c:v>
                </c:pt>
                <c:pt idx="288">
                  <c:v>2.5545</c:v>
                </c:pt>
                <c:pt idx="289">
                  <c:v>2.4045000000000001</c:v>
                </c:pt>
                <c:pt idx="290">
                  <c:v>2.3851</c:v>
                </c:pt>
                <c:pt idx="291">
                  <c:v>2.3851</c:v>
                </c:pt>
                <c:pt idx="292">
                  <c:v>2.3851</c:v>
                </c:pt>
                <c:pt idx="293">
                  <c:v>2.339</c:v>
                </c:pt>
                <c:pt idx="294">
                  <c:v>2.3544</c:v>
                </c:pt>
                <c:pt idx="295">
                  <c:v>2.4009</c:v>
                </c:pt>
                <c:pt idx="296">
                  <c:v>2.4651000000000001</c:v>
                </c:pt>
                <c:pt idx="297">
                  <c:v>2.4788000000000001</c:v>
                </c:pt>
                <c:pt idx="298">
                  <c:v>2.4788000000000001</c:v>
                </c:pt>
                <c:pt idx="299">
                  <c:v>2.4788000000000001</c:v>
                </c:pt>
                <c:pt idx="300">
                  <c:v>2.3746999999999998</c:v>
                </c:pt>
                <c:pt idx="301">
                  <c:v>2.2953999999999999</c:v>
                </c:pt>
                <c:pt idx="302">
                  <c:v>2.3854000000000002</c:v>
                </c:pt>
                <c:pt idx="303">
                  <c:v>2.2942999999999998</c:v>
                </c:pt>
                <c:pt idx="304">
                  <c:v>2.1530999999999998</c:v>
                </c:pt>
                <c:pt idx="305">
                  <c:v>2.1530999999999998</c:v>
                </c:pt>
                <c:pt idx="306">
                  <c:v>2.1530999999999998</c:v>
                </c:pt>
                <c:pt idx="307">
                  <c:v>2.177</c:v>
                </c:pt>
                <c:pt idx="308">
                  <c:v>2.1957</c:v>
                </c:pt>
                <c:pt idx="309">
                  <c:v>2.1482999999999999</c:v>
                </c:pt>
                <c:pt idx="310">
                  <c:v>2.1438000000000001</c:v>
                </c:pt>
                <c:pt idx="311">
                  <c:v>1.9978</c:v>
                </c:pt>
                <c:pt idx="312">
                  <c:v>1.9978</c:v>
                </c:pt>
                <c:pt idx="313">
                  <c:v>1.9978</c:v>
                </c:pt>
                <c:pt idx="314">
                  <c:v>1.9942</c:v>
                </c:pt>
                <c:pt idx="315">
                  <c:v>1.9549000000000001</c:v>
                </c:pt>
                <c:pt idx="316">
                  <c:v>1.8482000000000001</c:v>
                </c:pt>
                <c:pt idx="317">
                  <c:v>1.7725</c:v>
                </c:pt>
                <c:pt idx="318">
                  <c:v>1.7323999999999999</c:v>
                </c:pt>
                <c:pt idx="319">
                  <c:v>1.7323999999999999</c:v>
                </c:pt>
                <c:pt idx="320">
                  <c:v>1.7323999999999999</c:v>
                </c:pt>
                <c:pt idx="321">
                  <c:v>1.8448</c:v>
                </c:pt>
                <c:pt idx="322">
                  <c:v>1.8775999999999999</c:v>
                </c:pt>
                <c:pt idx="323">
                  <c:v>1.7250000000000001</c:v>
                </c:pt>
                <c:pt idx="324">
                  <c:v>1.8275999999999999</c:v>
                </c:pt>
                <c:pt idx="325">
                  <c:v>1.9685999999999999</c:v>
                </c:pt>
                <c:pt idx="326">
                  <c:v>1.9685999999999999</c:v>
                </c:pt>
                <c:pt idx="327">
                  <c:v>1.9685999999999999</c:v>
                </c:pt>
                <c:pt idx="328">
                  <c:v>1.9712000000000001</c:v>
                </c:pt>
                <c:pt idx="329">
                  <c:v>1.9973000000000001</c:v>
                </c:pt>
                <c:pt idx="330">
                  <c:v>1.9441999999999999</c:v>
                </c:pt>
                <c:pt idx="331">
                  <c:v>1.9277</c:v>
                </c:pt>
                <c:pt idx="332">
                  <c:v>1.9277</c:v>
                </c:pt>
                <c:pt idx="333">
                  <c:v>1.9277</c:v>
                </c:pt>
                <c:pt idx="334">
                  <c:v>1.9277</c:v>
                </c:pt>
                <c:pt idx="335">
                  <c:v>1.9641</c:v>
                </c:pt>
                <c:pt idx="336">
                  <c:v>2.0417000000000001</c:v>
                </c:pt>
                <c:pt idx="337">
                  <c:v>2.0478000000000001</c:v>
                </c:pt>
                <c:pt idx="338">
                  <c:v>1.9883999999999999</c:v>
                </c:pt>
                <c:pt idx="339">
                  <c:v>1.9432</c:v>
                </c:pt>
                <c:pt idx="340">
                  <c:v>1.9432</c:v>
                </c:pt>
                <c:pt idx="341">
                  <c:v>1.9432</c:v>
                </c:pt>
                <c:pt idx="342">
                  <c:v>2.0327000000000002</c:v>
                </c:pt>
                <c:pt idx="343">
                  <c:v>1.9471000000000001</c:v>
                </c:pt>
                <c:pt idx="344">
                  <c:v>1.9641999999999999</c:v>
                </c:pt>
                <c:pt idx="345">
                  <c:v>1.9205000000000001</c:v>
                </c:pt>
                <c:pt idx="346">
                  <c:v>1.9131</c:v>
                </c:pt>
                <c:pt idx="347">
                  <c:v>1.9131</c:v>
                </c:pt>
                <c:pt idx="348">
                  <c:v>1.9131</c:v>
                </c:pt>
                <c:pt idx="349">
                  <c:v>1.8389</c:v>
                </c:pt>
                <c:pt idx="350">
                  <c:v>1.7787999999999999</c:v>
                </c:pt>
                <c:pt idx="351">
                  <c:v>1.7921</c:v>
                </c:pt>
                <c:pt idx="352">
                  <c:v>1.7813000000000001</c:v>
                </c:pt>
                <c:pt idx="353">
                  <c:v>1.7714000000000001</c:v>
                </c:pt>
                <c:pt idx="354">
                  <c:v>1.7714000000000001</c:v>
                </c:pt>
                <c:pt idx="355">
                  <c:v>1.7714000000000001</c:v>
                </c:pt>
                <c:pt idx="356">
                  <c:v>1.804</c:v>
                </c:pt>
                <c:pt idx="357">
                  <c:v>1.8693</c:v>
                </c:pt>
                <c:pt idx="358">
                  <c:v>1.7762</c:v>
                </c:pt>
                <c:pt idx="359">
                  <c:v>1.7707999999999999</c:v>
                </c:pt>
                <c:pt idx="360">
                  <c:v>1.7626999999999999</c:v>
                </c:pt>
                <c:pt idx="361">
                  <c:v>1.7626999999999999</c:v>
                </c:pt>
                <c:pt idx="362">
                  <c:v>1.7626999999999999</c:v>
                </c:pt>
                <c:pt idx="363">
                  <c:v>1.8104</c:v>
                </c:pt>
                <c:pt idx="364">
                  <c:v>1.8693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채권시장종합!$AW$57</c:f>
              <c:strCache>
                <c:ptCount val="1"/>
                <c:pt idx="0">
                  <c:v>중국</c:v>
                </c:pt>
              </c:strCache>
            </c:strRef>
          </c:tx>
          <c:spPr>
            <a:ln w="25400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채권시장종합!$AW$59:$AW$423</c:f>
              <c:numCache>
                <c:formatCode>General</c:formatCode>
                <c:ptCount val="365"/>
                <c:pt idx="0">
                  <c:v>2.9451999999999998</c:v>
                </c:pt>
                <c:pt idx="1">
                  <c:v>2.9441999999999999</c:v>
                </c:pt>
                <c:pt idx="2">
                  <c:v>2.9594999999999998</c:v>
                </c:pt>
                <c:pt idx="3">
                  <c:v>2.9260000000000002</c:v>
                </c:pt>
                <c:pt idx="4">
                  <c:v>2.9260000000000002</c:v>
                </c:pt>
                <c:pt idx="5">
                  <c:v>2.9260000000000002</c:v>
                </c:pt>
                <c:pt idx="6">
                  <c:v>2.9203999999999999</c:v>
                </c:pt>
                <c:pt idx="7">
                  <c:v>2.9249999999999998</c:v>
                </c:pt>
                <c:pt idx="8">
                  <c:v>2.9266000000000001</c:v>
                </c:pt>
                <c:pt idx="9">
                  <c:v>2.9056999999999999</c:v>
                </c:pt>
                <c:pt idx="10">
                  <c:v>2.8959000000000001</c:v>
                </c:pt>
                <c:pt idx="11">
                  <c:v>2.8959000000000001</c:v>
                </c:pt>
                <c:pt idx="12">
                  <c:v>2.8959000000000001</c:v>
                </c:pt>
                <c:pt idx="13">
                  <c:v>2.8879999999999999</c:v>
                </c:pt>
                <c:pt idx="14">
                  <c:v>2.8708</c:v>
                </c:pt>
                <c:pt idx="15">
                  <c:v>2.8852000000000002</c:v>
                </c:pt>
                <c:pt idx="16">
                  <c:v>2.883</c:v>
                </c:pt>
                <c:pt idx="17">
                  <c:v>2.883</c:v>
                </c:pt>
                <c:pt idx="18">
                  <c:v>2.883</c:v>
                </c:pt>
                <c:pt idx="19">
                  <c:v>2.883</c:v>
                </c:pt>
                <c:pt idx="20">
                  <c:v>2.8837999999999999</c:v>
                </c:pt>
                <c:pt idx="21">
                  <c:v>2.9085000000000001</c:v>
                </c:pt>
                <c:pt idx="22">
                  <c:v>2.9140999999999999</c:v>
                </c:pt>
                <c:pt idx="23">
                  <c:v>2.8862000000000001</c:v>
                </c:pt>
                <c:pt idx="24">
                  <c:v>2.8753000000000002</c:v>
                </c:pt>
                <c:pt idx="25">
                  <c:v>2.8753000000000002</c:v>
                </c:pt>
                <c:pt idx="26">
                  <c:v>2.8753000000000002</c:v>
                </c:pt>
                <c:pt idx="27">
                  <c:v>2.8934000000000002</c:v>
                </c:pt>
                <c:pt idx="28">
                  <c:v>2.9056000000000002</c:v>
                </c:pt>
                <c:pt idx="29">
                  <c:v>2.9066000000000001</c:v>
                </c:pt>
                <c:pt idx="30">
                  <c:v>2.9094000000000002</c:v>
                </c:pt>
                <c:pt idx="31">
                  <c:v>2.9249999999999998</c:v>
                </c:pt>
                <c:pt idx="32">
                  <c:v>2.9249999999999998</c:v>
                </c:pt>
                <c:pt idx="33">
                  <c:v>2.9249999999999998</c:v>
                </c:pt>
                <c:pt idx="34">
                  <c:v>2.9277000000000002</c:v>
                </c:pt>
                <c:pt idx="35">
                  <c:v>2.9106999999999998</c:v>
                </c:pt>
                <c:pt idx="36">
                  <c:v>2.9382000000000001</c:v>
                </c:pt>
                <c:pt idx="37">
                  <c:v>2.9394</c:v>
                </c:pt>
                <c:pt idx="38">
                  <c:v>2.9382000000000001</c:v>
                </c:pt>
                <c:pt idx="39">
                  <c:v>2.9382000000000001</c:v>
                </c:pt>
                <c:pt idx="40">
                  <c:v>2.9382000000000001</c:v>
                </c:pt>
                <c:pt idx="41">
                  <c:v>2.9289999999999998</c:v>
                </c:pt>
                <c:pt idx="42">
                  <c:v>2.9249000000000001</c:v>
                </c:pt>
                <c:pt idx="43">
                  <c:v>2.9628999999999999</c:v>
                </c:pt>
                <c:pt idx="44">
                  <c:v>2.9380999999999999</c:v>
                </c:pt>
                <c:pt idx="45">
                  <c:v>2.9230999999999998</c:v>
                </c:pt>
                <c:pt idx="46">
                  <c:v>2.9230999999999998</c:v>
                </c:pt>
                <c:pt idx="47">
                  <c:v>2.9230999999999998</c:v>
                </c:pt>
                <c:pt idx="48">
                  <c:v>2.9129</c:v>
                </c:pt>
                <c:pt idx="49">
                  <c:v>2.9352</c:v>
                </c:pt>
                <c:pt idx="50">
                  <c:v>2.9188999999999998</c:v>
                </c:pt>
                <c:pt idx="51">
                  <c:v>2.8877999999999999</c:v>
                </c:pt>
                <c:pt idx="52">
                  <c:v>2.8597999999999999</c:v>
                </c:pt>
                <c:pt idx="53">
                  <c:v>2.8597999999999999</c:v>
                </c:pt>
                <c:pt idx="54">
                  <c:v>2.8597999999999999</c:v>
                </c:pt>
                <c:pt idx="55">
                  <c:v>2.8247</c:v>
                </c:pt>
                <c:pt idx="56">
                  <c:v>2.8296999999999999</c:v>
                </c:pt>
                <c:pt idx="57">
                  <c:v>2.8551000000000002</c:v>
                </c:pt>
                <c:pt idx="58">
                  <c:v>2.8443000000000001</c:v>
                </c:pt>
                <c:pt idx="59">
                  <c:v>2.8428</c:v>
                </c:pt>
                <c:pt idx="60">
                  <c:v>2.8428</c:v>
                </c:pt>
                <c:pt idx="61">
                  <c:v>2.8428</c:v>
                </c:pt>
                <c:pt idx="62">
                  <c:v>2.8275999999999999</c:v>
                </c:pt>
                <c:pt idx="63">
                  <c:v>2.8559000000000001</c:v>
                </c:pt>
                <c:pt idx="64">
                  <c:v>2.8311999999999999</c:v>
                </c:pt>
                <c:pt idx="65">
                  <c:v>2.8500999999999999</c:v>
                </c:pt>
                <c:pt idx="66">
                  <c:v>2.7545999999999999</c:v>
                </c:pt>
                <c:pt idx="67">
                  <c:v>2.7545999999999999</c:v>
                </c:pt>
                <c:pt idx="68">
                  <c:v>2.7545999999999999</c:v>
                </c:pt>
                <c:pt idx="69">
                  <c:v>2.7204999999999999</c:v>
                </c:pt>
                <c:pt idx="70">
                  <c:v>2.7155999999999998</c:v>
                </c:pt>
                <c:pt idx="71">
                  <c:v>2.7054</c:v>
                </c:pt>
                <c:pt idx="72">
                  <c:v>2.7178</c:v>
                </c:pt>
                <c:pt idx="73">
                  <c:v>2.7210999999999999</c:v>
                </c:pt>
                <c:pt idx="74">
                  <c:v>2.7210999999999999</c:v>
                </c:pt>
                <c:pt idx="75">
                  <c:v>2.7210999999999999</c:v>
                </c:pt>
                <c:pt idx="76">
                  <c:v>2.6983000000000001</c:v>
                </c:pt>
                <c:pt idx="77">
                  <c:v>2.7010000000000001</c:v>
                </c:pt>
                <c:pt idx="78">
                  <c:v>2.6844000000000001</c:v>
                </c:pt>
                <c:pt idx="79">
                  <c:v>2.6629999999999998</c:v>
                </c:pt>
                <c:pt idx="80">
                  <c:v>2.6873999999999998</c:v>
                </c:pt>
                <c:pt idx="81">
                  <c:v>2.6873999999999998</c:v>
                </c:pt>
                <c:pt idx="82">
                  <c:v>2.6873999999999998</c:v>
                </c:pt>
                <c:pt idx="83">
                  <c:v>2.7161</c:v>
                </c:pt>
                <c:pt idx="84">
                  <c:v>2.726</c:v>
                </c:pt>
                <c:pt idx="85">
                  <c:v>2.7486000000000002</c:v>
                </c:pt>
                <c:pt idx="86">
                  <c:v>2.7343999999999999</c:v>
                </c:pt>
                <c:pt idx="87">
                  <c:v>2.7494999999999998</c:v>
                </c:pt>
                <c:pt idx="88">
                  <c:v>2.7494999999999998</c:v>
                </c:pt>
                <c:pt idx="89">
                  <c:v>2.7494999999999998</c:v>
                </c:pt>
                <c:pt idx="90">
                  <c:v>2.7376</c:v>
                </c:pt>
                <c:pt idx="91">
                  <c:v>2.7275999999999998</c:v>
                </c:pt>
                <c:pt idx="92">
                  <c:v>2.7218</c:v>
                </c:pt>
                <c:pt idx="93">
                  <c:v>2.7238000000000002</c:v>
                </c:pt>
                <c:pt idx="94">
                  <c:v>2.7187000000000001</c:v>
                </c:pt>
                <c:pt idx="95">
                  <c:v>2.7187000000000001</c:v>
                </c:pt>
                <c:pt idx="96">
                  <c:v>2.7187000000000001</c:v>
                </c:pt>
                <c:pt idx="97">
                  <c:v>2.7467000000000001</c:v>
                </c:pt>
                <c:pt idx="98">
                  <c:v>2.7562000000000002</c:v>
                </c:pt>
                <c:pt idx="99">
                  <c:v>2.7648999999999999</c:v>
                </c:pt>
                <c:pt idx="100">
                  <c:v>2.7610000000000001</c:v>
                </c:pt>
                <c:pt idx="101">
                  <c:v>2.7761</c:v>
                </c:pt>
                <c:pt idx="102">
                  <c:v>2.7761</c:v>
                </c:pt>
                <c:pt idx="103">
                  <c:v>2.7761</c:v>
                </c:pt>
                <c:pt idx="104">
                  <c:v>2.7761</c:v>
                </c:pt>
                <c:pt idx="105">
                  <c:v>2.7761</c:v>
                </c:pt>
                <c:pt idx="106">
                  <c:v>2.7761</c:v>
                </c:pt>
                <c:pt idx="107">
                  <c:v>2.7761</c:v>
                </c:pt>
                <c:pt idx="108">
                  <c:v>2.7761</c:v>
                </c:pt>
                <c:pt idx="109">
                  <c:v>2.7761</c:v>
                </c:pt>
                <c:pt idx="110">
                  <c:v>2.7761</c:v>
                </c:pt>
                <c:pt idx="111">
                  <c:v>2.7713000000000001</c:v>
                </c:pt>
                <c:pt idx="112">
                  <c:v>2.7635999999999998</c:v>
                </c:pt>
                <c:pt idx="113">
                  <c:v>2.7259000000000002</c:v>
                </c:pt>
                <c:pt idx="114">
                  <c:v>2.7427000000000001</c:v>
                </c:pt>
                <c:pt idx="115">
                  <c:v>2.7134</c:v>
                </c:pt>
                <c:pt idx="116">
                  <c:v>2.7134</c:v>
                </c:pt>
                <c:pt idx="117">
                  <c:v>2.7134</c:v>
                </c:pt>
                <c:pt idx="118">
                  <c:v>2.6964000000000001</c:v>
                </c:pt>
                <c:pt idx="119">
                  <c:v>2.6835</c:v>
                </c:pt>
                <c:pt idx="120">
                  <c:v>2.6793999999999998</c:v>
                </c:pt>
                <c:pt idx="121">
                  <c:v>2.6915</c:v>
                </c:pt>
                <c:pt idx="122">
                  <c:v>2.6913</c:v>
                </c:pt>
                <c:pt idx="123">
                  <c:v>2.6913</c:v>
                </c:pt>
                <c:pt idx="124">
                  <c:v>2.6913</c:v>
                </c:pt>
                <c:pt idx="125">
                  <c:v>2.6815000000000002</c:v>
                </c:pt>
                <c:pt idx="126">
                  <c:v>2.6844000000000001</c:v>
                </c:pt>
                <c:pt idx="127">
                  <c:v>2.6699000000000002</c:v>
                </c:pt>
                <c:pt idx="128">
                  <c:v>2.6631</c:v>
                </c:pt>
                <c:pt idx="129">
                  <c:v>2.6631</c:v>
                </c:pt>
                <c:pt idx="130">
                  <c:v>2.6631</c:v>
                </c:pt>
                <c:pt idx="131">
                  <c:v>2.6631</c:v>
                </c:pt>
                <c:pt idx="132">
                  <c:v>2.6518999999999999</c:v>
                </c:pt>
                <c:pt idx="133">
                  <c:v>2.6438999999999999</c:v>
                </c:pt>
                <c:pt idx="134">
                  <c:v>2.6385000000000001</c:v>
                </c:pt>
                <c:pt idx="135">
                  <c:v>2.6461999999999999</c:v>
                </c:pt>
                <c:pt idx="136">
                  <c:v>2.6543000000000001</c:v>
                </c:pt>
                <c:pt idx="137">
                  <c:v>2.6543000000000001</c:v>
                </c:pt>
                <c:pt idx="138">
                  <c:v>2.6543000000000001</c:v>
                </c:pt>
                <c:pt idx="139">
                  <c:v>2.6461999999999999</c:v>
                </c:pt>
                <c:pt idx="140">
                  <c:v>2.6585999999999999</c:v>
                </c:pt>
                <c:pt idx="141">
                  <c:v>2.6507000000000001</c:v>
                </c:pt>
                <c:pt idx="142">
                  <c:v>2.6610999999999998</c:v>
                </c:pt>
                <c:pt idx="143">
                  <c:v>2.6831999999999998</c:v>
                </c:pt>
                <c:pt idx="144">
                  <c:v>2.6831999999999998</c:v>
                </c:pt>
                <c:pt idx="145">
                  <c:v>2.6831999999999998</c:v>
                </c:pt>
                <c:pt idx="146">
                  <c:v>2.6789999999999998</c:v>
                </c:pt>
                <c:pt idx="147">
                  <c:v>2.6556000000000002</c:v>
                </c:pt>
                <c:pt idx="148">
                  <c:v>2.6587999999999998</c:v>
                </c:pt>
                <c:pt idx="149">
                  <c:v>2.6456</c:v>
                </c:pt>
                <c:pt idx="150">
                  <c:v>2.6406000000000001</c:v>
                </c:pt>
                <c:pt idx="151">
                  <c:v>2.6406000000000001</c:v>
                </c:pt>
                <c:pt idx="152">
                  <c:v>2.6406000000000001</c:v>
                </c:pt>
                <c:pt idx="153">
                  <c:v>2.6343999999999999</c:v>
                </c:pt>
                <c:pt idx="154">
                  <c:v>2.6511999999999998</c:v>
                </c:pt>
                <c:pt idx="155">
                  <c:v>2.6530999999999998</c:v>
                </c:pt>
                <c:pt idx="156">
                  <c:v>2.6781999999999999</c:v>
                </c:pt>
                <c:pt idx="157">
                  <c:v>2.7545000000000002</c:v>
                </c:pt>
                <c:pt idx="158">
                  <c:v>2.7545000000000002</c:v>
                </c:pt>
                <c:pt idx="159">
                  <c:v>2.7545000000000002</c:v>
                </c:pt>
                <c:pt idx="160">
                  <c:v>2.7530000000000001</c:v>
                </c:pt>
                <c:pt idx="161">
                  <c:v>2.7559</c:v>
                </c:pt>
                <c:pt idx="162">
                  <c:v>2.7570999999999999</c:v>
                </c:pt>
                <c:pt idx="163">
                  <c:v>2.7585999999999999</c:v>
                </c:pt>
                <c:pt idx="164">
                  <c:v>2.7517</c:v>
                </c:pt>
                <c:pt idx="165">
                  <c:v>2.7517</c:v>
                </c:pt>
                <c:pt idx="166">
                  <c:v>2.7517</c:v>
                </c:pt>
                <c:pt idx="167">
                  <c:v>2.7383999999999999</c:v>
                </c:pt>
                <c:pt idx="168">
                  <c:v>2.7397999999999998</c:v>
                </c:pt>
                <c:pt idx="169">
                  <c:v>2.75</c:v>
                </c:pt>
                <c:pt idx="170">
                  <c:v>2.7486000000000002</c:v>
                </c:pt>
                <c:pt idx="171">
                  <c:v>2.7747999999999999</c:v>
                </c:pt>
                <c:pt idx="172">
                  <c:v>2.7747999999999999</c:v>
                </c:pt>
                <c:pt idx="173">
                  <c:v>2.7747999999999999</c:v>
                </c:pt>
                <c:pt idx="174">
                  <c:v>2.8048999999999999</c:v>
                </c:pt>
                <c:pt idx="175">
                  <c:v>2.7888000000000002</c:v>
                </c:pt>
                <c:pt idx="176">
                  <c:v>2.7898000000000001</c:v>
                </c:pt>
                <c:pt idx="177">
                  <c:v>2.8005</c:v>
                </c:pt>
                <c:pt idx="178">
                  <c:v>2.806</c:v>
                </c:pt>
                <c:pt idx="179">
                  <c:v>2.806</c:v>
                </c:pt>
                <c:pt idx="180">
                  <c:v>2.806</c:v>
                </c:pt>
                <c:pt idx="181">
                  <c:v>2.7833999999999999</c:v>
                </c:pt>
                <c:pt idx="182">
                  <c:v>2.7900999999999998</c:v>
                </c:pt>
                <c:pt idx="183">
                  <c:v>2.8079999999999998</c:v>
                </c:pt>
                <c:pt idx="184">
                  <c:v>2.8039000000000001</c:v>
                </c:pt>
                <c:pt idx="185">
                  <c:v>2.8079999999999998</c:v>
                </c:pt>
                <c:pt idx="186">
                  <c:v>2.8079999999999998</c:v>
                </c:pt>
                <c:pt idx="187">
                  <c:v>2.8079999999999998</c:v>
                </c:pt>
                <c:pt idx="188">
                  <c:v>2.8130999999999999</c:v>
                </c:pt>
                <c:pt idx="189">
                  <c:v>2.8260999999999998</c:v>
                </c:pt>
                <c:pt idx="190">
                  <c:v>2.8315000000000001</c:v>
                </c:pt>
                <c:pt idx="191">
                  <c:v>2.8443999999999998</c:v>
                </c:pt>
                <c:pt idx="192">
                  <c:v>2.8580000000000001</c:v>
                </c:pt>
                <c:pt idx="193">
                  <c:v>2.8580000000000001</c:v>
                </c:pt>
                <c:pt idx="194">
                  <c:v>2.8580000000000001</c:v>
                </c:pt>
                <c:pt idx="195">
                  <c:v>2.855</c:v>
                </c:pt>
                <c:pt idx="196">
                  <c:v>2.8431999999999999</c:v>
                </c:pt>
                <c:pt idx="197">
                  <c:v>2.8561999999999999</c:v>
                </c:pt>
                <c:pt idx="198">
                  <c:v>2.8643999999999998</c:v>
                </c:pt>
                <c:pt idx="199">
                  <c:v>2.8466999999999998</c:v>
                </c:pt>
                <c:pt idx="200">
                  <c:v>2.8466999999999998</c:v>
                </c:pt>
                <c:pt idx="201">
                  <c:v>2.8466999999999998</c:v>
                </c:pt>
                <c:pt idx="202">
                  <c:v>2.8371</c:v>
                </c:pt>
                <c:pt idx="203">
                  <c:v>2.851</c:v>
                </c:pt>
                <c:pt idx="204">
                  <c:v>2.8614000000000002</c:v>
                </c:pt>
                <c:pt idx="205">
                  <c:v>2.8553999999999999</c:v>
                </c:pt>
                <c:pt idx="206">
                  <c:v>2.8157999999999999</c:v>
                </c:pt>
                <c:pt idx="207">
                  <c:v>2.8157999999999999</c:v>
                </c:pt>
                <c:pt idx="208">
                  <c:v>2.8157999999999999</c:v>
                </c:pt>
                <c:pt idx="209">
                  <c:v>2.7966000000000002</c:v>
                </c:pt>
                <c:pt idx="210">
                  <c:v>2.7966000000000002</c:v>
                </c:pt>
                <c:pt idx="211">
                  <c:v>2.8048000000000002</c:v>
                </c:pt>
                <c:pt idx="212">
                  <c:v>2.8452999999999999</c:v>
                </c:pt>
                <c:pt idx="213">
                  <c:v>2.8287</c:v>
                </c:pt>
                <c:pt idx="214">
                  <c:v>2.8287</c:v>
                </c:pt>
                <c:pt idx="215">
                  <c:v>2.8287</c:v>
                </c:pt>
                <c:pt idx="216">
                  <c:v>2.8338999999999999</c:v>
                </c:pt>
                <c:pt idx="217">
                  <c:v>2.8409</c:v>
                </c:pt>
                <c:pt idx="218">
                  <c:v>2.8302999999999998</c:v>
                </c:pt>
                <c:pt idx="219">
                  <c:v>2.8241000000000001</c:v>
                </c:pt>
                <c:pt idx="220">
                  <c:v>2.8138999999999998</c:v>
                </c:pt>
                <c:pt idx="221">
                  <c:v>2.8138999999999998</c:v>
                </c:pt>
                <c:pt idx="222">
                  <c:v>2.8138999999999998</c:v>
                </c:pt>
                <c:pt idx="223">
                  <c:v>2.8201000000000001</c:v>
                </c:pt>
                <c:pt idx="224">
                  <c:v>2.8298999999999999</c:v>
                </c:pt>
                <c:pt idx="225">
                  <c:v>2.8260999999999998</c:v>
                </c:pt>
                <c:pt idx="226">
                  <c:v>2.8363</c:v>
                </c:pt>
                <c:pt idx="227">
                  <c:v>2.8247</c:v>
                </c:pt>
                <c:pt idx="228">
                  <c:v>2.8247</c:v>
                </c:pt>
                <c:pt idx="229">
                  <c:v>2.8247</c:v>
                </c:pt>
                <c:pt idx="230">
                  <c:v>2.8247</c:v>
                </c:pt>
                <c:pt idx="231">
                  <c:v>2.8197000000000001</c:v>
                </c:pt>
                <c:pt idx="232">
                  <c:v>2.8102</c:v>
                </c:pt>
                <c:pt idx="233">
                  <c:v>2.7822</c:v>
                </c:pt>
                <c:pt idx="234">
                  <c:v>2.7562000000000002</c:v>
                </c:pt>
                <c:pt idx="235">
                  <c:v>2.7562000000000002</c:v>
                </c:pt>
                <c:pt idx="236">
                  <c:v>2.7562000000000002</c:v>
                </c:pt>
                <c:pt idx="237">
                  <c:v>2.7606999999999999</c:v>
                </c:pt>
                <c:pt idx="238">
                  <c:v>2.806</c:v>
                </c:pt>
                <c:pt idx="239">
                  <c:v>2.8155999999999999</c:v>
                </c:pt>
                <c:pt idx="240">
                  <c:v>2.8191000000000002</c:v>
                </c:pt>
                <c:pt idx="241">
                  <c:v>2.8317999999999999</c:v>
                </c:pt>
                <c:pt idx="242">
                  <c:v>2.8317999999999999</c:v>
                </c:pt>
                <c:pt idx="243">
                  <c:v>2.8317999999999999</c:v>
                </c:pt>
                <c:pt idx="244">
                  <c:v>2.823</c:v>
                </c:pt>
                <c:pt idx="245">
                  <c:v>2.8271999999999999</c:v>
                </c:pt>
                <c:pt idx="246">
                  <c:v>2.8363</c:v>
                </c:pt>
                <c:pt idx="247">
                  <c:v>2.8412999999999999</c:v>
                </c:pt>
                <c:pt idx="248">
                  <c:v>2.8342000000000001</c:v>
                </c:pt>
                <c:pt idx="249">
                  <c:v>2.8342000000000001</c:v>
                </c:pt>
                <c:pt idx="250">
                  <c:v>2.8342000000000001</c:v>
                </c:pt>
                <c:pt idx="251">
                  <c:v>2.8233000000000001</c:v>
                </c:pt>
                <c:pt idx="252">
                  <c:v>2.8422000000000001</c:v>
                </c:pt>
                <c:pt idx="253">
                  <c:v>2.827</c:v>
                </c:pt>
                <c:pt idx="254">
                  <c:v>2.8351000000000002</c:v>
                </c:pt>
                <c:pt idx="255">
                  <c:v>2.8479999999999999</c:v>
                </c:pt>
                <c:pt idx="256">
                  <c:v>2.8479999999999999</c:v>
                </c:pt>
                <c:pt idx="257">
                  <c:v>2.8479999999999999</c:v>
                </c:pt>
                <c:pt idx="258">
                  <c:v>2.8481999999999998</c:v>
                </c:pt>
                <c:pt idx="259">
                  <c:v>2.8540000000000001</c:v>
                </c:pt>
                <c:pt idx="260">
                  <c:v>2.8540000000000001</c:v>
                </c:pt>
                <c:pt idx="261">
                  <c:v>2.8540000000000001</c:v>
                </c:pt>
                <c:pt idx="262">
                  <c:v>2.8540000000000001</c:v>
                </c:pt>
                <c:pt idx="263">
                  <c:v>2.8540000000000001</c:v>
                </c:pt>
                <c:pt idx="264">
                  <c:v>2.8540000000000001</c:v>
                </c:pt>
                <c:pt idx="265">
                  <c:v>2.8687</c:v>
                </c:pt>
                <c:pt idx="266">
                  <c:v>2.8626999999999998</c:v>
                </c:pt>
                <c:pt idx="267">
                  <c:v>2.8477000000000001</c:v>
                </c:pt>
                <c:pt idx="268">
                  <c:v>2.8643999999999998</c:v>
                </c:pt>
                <c:pt idx="269">
                  <c:v>2.8841000000000001</c:v>
                </c:pt>
                <c:pt idx="270">
                  <c:v>2.8841000000000001</c:v>
                </c:pt>
                <c:pt idx="271">
                  <c:v>2.8841000000000001</c:v>
                </c:pt>
                <c:pt idx="272">
                  <c:v>2.8681999999999999</c:v>
                </c:pt>
                <c:pt idx="273">
                  <c:v>2.8754</c:v>
                </c:pt>
                <c:pt idx="274">
                  <c:v>2.8690000000000002</c:v>
                </c:pt>
                <c:pt idx="275">
                  <c:v>2.8658999999999999</c:v>
                </c:pt>
                <c:pt idx="276">
                  <c:v>2.8184999999999998</c:v>
                </c:pt>
                <c:pt idx="277">
                  <c:v>2.8184999999999998</c:v>
                </c:pt>
                <c:pt idx="278">
                  <c:v>2.8184999999999998</c:v>
                </c:pt>
                <c:pt idx="279">
                  <c:v>2.8203</c:v>
                </c:pt>
                <c:pt idx="280">
                  <c:v>2.823</c:v>
                </c:pt>
                <c:pt idx="281">
                  <c:v>2.8292000000000002</c:v>
                </c:pt>
                <c:pt idx="282">
                  <c:v>2.8275999999999999</c:v>
                </c:pt>
                <c:pt idx="283">
                  <c:v>2.8062</c:v>
                </c:pt>
                <c:pt idx="284">
                  <c:v>2.8062</c:v>
                </c:pt>
                <c:pt idx="285">
                  <c:v>2.8062</c:v>
                </c:pt>
                <c:pt idx="286">
                  <c:v>2.7995000000000001</c:v>
                </c:pt>
                <c:pt idx="287">
                  <c:v>2.8203</c:v>
                </c:pt>
                <c:pt idx="288">
                  <c:v>2.8243</c:v>
                </c:pt>
                <c:pt idx="289">
                  <c:v>2.8243</c:v>
                </c:pt>
                <c:pt idx="290">
                  <c:v>2.8243</c:v>
                </c:pt>
                <c:pt idx="291">
                  <c:v>2.8243</c:v>
                </c:pt>
                <c:pt idx="292">
                  <c:v>2.8243</c:v>
                </c:pt>
                <c:pt idx="293">
                  <c:v>2.8342000000000001</c:v>
                </c:pt>
                <c:pt idx="294">
                  <c:v>2.8155000000000001</c:v>
                </c:pt>
                <c:pt idx="295">
                  <c:v>2.8247</c:v>
                </c:pt>
                <c:pt idx="296">
                  <c:v>2.8245</c:v>
                </c:pt>
                <c:pt idx="297">
                  <c:v>2.8258999999999999</c:v>
                </c:pt>
                <c:pt idx="298">
                  <c:v>2.8258999999999999</c:v>
                </c:pt>
                <c:pt idx="299">
                  <c:v>2.8258999999999999</c:v>
                </c:pt>
                <c:pt idx="300">
                  <c:v>2.8329</c:v>
                </c:pt>
                <c:pt idx="301">
                  <c:v>2.8525</c:v>
                </c:pt>
                <c:pt idx="302">
                  <c:v>2.8542999999999998</c:v>
                </c:pt>
                <c:pt idx="303">
                  <c:v>2.8315000000000001</c:v>
                </c:pt>
                <c:pt idx="304">
                  <c:v>2.8201999999999998</c:v>
                </c:pt>
                <c:pt idx="305">
                  <c:v>2.8201999999999998</c:v>
                </c:pt>
                <c:pt idx="306">
                  <c:v>2.8201999999999998</c:v>
                </c:pt>
                <c:pt idx="307">
                  <c:v>2.8180999999999998</c:v>
                </c:pt>
                <c:pt idx="308">
                  <c:v>2.8161999999999998</c:v>
                </c:pt>
                <c:pt idx="309">
                  <c:v>2.8460000000000001</c:v>
                </c:pt>
                <c:pt idx="310">
                  <c:v>2.7911999999999999</c:v>
                </c:pt>
                <c:pt idx="311">
                  <c:v>2.8363</c:v>
                </c:pt>
                <c:pt idx="312">
                  <c:v>2.8363</c:v>
                </c:pt>
                <c:pt idx="313">
                  <c:v>2.8363</c:v>
                </c:pt>
                <c:pt idx="314">
                  <c:v>2.8782999999999999</c:v>
                </c:pt>
                <c:pt idx="315">
                  <c:v>2.8738000000000001</c:v>
                </c:pt>
                <c:pt idx="316">
                  <c:v>2.8580000000000001</c:v>
                </c:pt>
                <c:pt idx="317">
                  <c:v>2.8490000000000002</c:v>
                </c:pt>
                <c:pt idx="318">
                  <c:v>2.8416000000000001</c:v>
                </c:pt>
                <c:pt idx="319">
                  <c:v>2.8416000000000001</c:v>
                </c:pt>
                <c:pt idx="320">
                  <c:v>2.8416000000000001</c:v>
                </c:pt>
                <c:pt idx="321">
                  <c:v>2.8611</c:v>
                </c:pt>
                <c:pt idx="322">
                  <c:v>2.8468</c:v>
                </c:pt>
                <c:pt idx="323">
                  <c:v>2.8365999999999998</c:v>
                </c:pt>
                <c:pt idx="324">
                  <c:v>2.8075999999999999</c:v>
                </c:pt>
                <c:pt idx="325">
                  <c:v>2.8056000000000001</c:v>
                </c:pt>
                <c:pt idx="326">
                  <c:v>2.8056000000000001</c:v>
                </c:pt>
                <c:pt idx="327">
                  <c:v>2.8056000000000001</c:v>
                </c:pt>
                <c:pt idx="328">
                  <c:v>2.8214000000000001</c:v>
                </c:pt>
                <c:pt idx="329">
                  <c:v>2.8342999999999998</c:v>
                </c:pt>
                <c:pt idx="330">
                  <c:v>2.8588</c:v>
                </c:pt>
                <c:pt idx="331">
                  <c:v>2.8633000000000002</c:v>
                </c:pt>
                <c:pt idx="332">
                  <c:v>2.8136000000000001</c:v>
                </c:pt>
                <c:pt idx="333">
                  <c:v>2.8136000000000001</c:v>
                </c:pt>
                <c:pt idx="334">
                  <c:v>2.8136000000000001</c:v>
                </c:pt>
                <c:pt idx="335">
                  <c:v>2.7989000000000002</c:v>
                </c:pt>
                <c:pt idx="336">
                  <c:v>2.8075999999999999</c:v>
                </c:pt>
                <c:pt idx="337">
                  <c:v>2.8157000000000001</c:v>
                </c:pt>
                <c:pt idx="338">
                  <c:v>2.8231000000000002</c:v>
                </c:pt>
                <c:pt idx="339">
                  <c:v>2.8068</c:v>
                </c:pt>
                <c:pt idx="340">
                  <c:v>2.8068</c:v>
                </c:pt>
                <c:pt idx="341">
                  <c:v>2.8068</c:v>
                </c:pt>
                <c:pt idx="342">
                  <c:v>2.7494999999999998</c:v>
                </c:pt>
                <c:pt idx="343">
                  <c:v>2.7503000000000002</c:v>
                </c:pt>
                <c:pt idx="344">
                  <c:v>2.7391000000000001</c:v>
                </c:pt>
                <c:pt idx="345">
                  <c:v>2.7412000000000001</c:v>
                </c:pt>
                <c:pt idx="346">
                  <c:v>2.7275999999999998</c:v>
                </c:pt>
                <c:pt idx="347">
                  <c:v>2.7275999999999998</c:v>
                </c:pt>
                <c:pt idx="348">
                  <c:v>2.7275999999999998</c:v>
                </c:pt>
                <c:pt idx="349">
                  <c:v>2.7275999999999998</c:v>
                </c:pt>
                <c:pt idx="350">
                  <c:v>2.7275999999999998</c:v>
                </c:pt>
                <c:pt idx="351">
                  <c:v>2.7275999999999998</c:v>
                </c:pt>
                <c:pt idx="352">
                  <c:v>2.7275999999999998</c:v>
                </c:pt>
                <c:pt idx="353">
                  <c:v>2.7275999999999998</c:v>
                </c:pt>
                <c:pt idx="354">
                  <c:v>2.7275999999999998</c:v>
                </c:pt>
                <c:pt idx="355">
                  <c:v>2.7275999999999998</c:v>
                </c:pt>
                <c:pt idx="356">
                  <c:v>2.7515000000000001</c:v>
                </c:pt>
                <c:pt idx="357">
                  <c:v>2.7336999999999998</c:v>
                </c:pt>
                <c:pt idx="358">
                  <c:v>2.7136</c:v>
                </c:pt>
                <c:pt idx="359">
                  <c:v>2.6941000000000002</c:v>
                </c:pt>
                <c:pt idx="360">
                  <c:v>2.7259000000000002</c:v>
                </c:pt>
                <c:pt idx="361">
                  <c:v>2.7259000000000002</c:v>
                </c:pt>
                <c:pt idx="362">
                  <c:v>2.7259000000000002</c:v>
                </c:pt>
                <c:pt idx="363">
                  <c:v>2.7444999999999999</c:v>
                </c:pt>
                <c:pt idx="364">
                  <c:v>2.7488000000000001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95136"/>
        <c:axId val="234396672"/>
      </c:lineChart>
      <c:dateAx>
        <c:axId val="234395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34396672"/>
        <c:crosses val="autoZero"/>
        <c:auto val="1"/>
        <c:lblOffset val="100"/>
        <c:baseTimeUnit val="days"/>
      </c:dateAx>
      <c:valAx>
        <c:axId val="234396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34395136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채권시장종합!$AZ$58</c:f>
              <c:strCache>
                <c:ptCount val="1"/>
                <c:pt idx="0">
                  <c:v>SPREAD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채권시장종합!$AZ$59:$AZ$423</c:f>
              <c:numCache>
                <c:formatCode>General</c:formatCode>
                <c:ptCount val="365"/>
                <c:pt idx="0">
                  <c:v>0</c:v>
                </c:pt>
                <c:pt idx="1">
                  <c:v>-0.62699999999999978</c:v>
                </c:pt>
                <c:pt idx="2">
                  <c:v>-0.66299999999999981</c:v>
                </c:pt>
                <c:pt idx="3">
                  <c:v>-0.70000000000000018</c:v>
                </c:pt>
                <c:pt idx="4">
                  <c:v>-0.70000000000000018</c:v>
                </c:pt>
                <c:pt idx="5">
                  <c:v>-0.70000000000000018</c:v>
                </c:pt>
                <c:pt idx="6">
                  <c:v>-0.68500000000000005</c:v>
                </c:pt>
                <c:pt idx="7">
                  <c:v>-0.69399999999999995</c:v>
                </c:pt>
                <c:pt idx="8">
                  <c:v>-0.70399999999999974</c:v>
                </c:pt>
                <c:pt idx="9">
                  <c:v>-0.73799999999999999</c:v>
                </c:pt>
                <c:pt idx="10">
                  <c:v>-0.73499999999999988</c:v>
                </c:pt>
                <c:pt idx="11">
                  <c:v>-0.73499999999999988</c:v>
                </c:pt>
                <c:pt idx="12">
                  <c:v>-0.73499999999999988</c:v>
                </c:pt>
                <c:pt idx="13">
                  <c:v>-0.74600000000000044</c:v>
                </c:pt>
                <c:pt idx="14">
                  <c:v>-0.77</c:v>
                </c:pt>
                <c:pt idx="15">
                  <c:v>-0.79499999999999993</c:v>
                </c:pt>
                <c:pt idx="16">
                  <c:v>-0.81200000000000028</c:v>
                </c:pt>
                <c:pt idx="17">
                  <c:v>-0.83099999999999996</c:v>
                </c:pt>
                <c:pt idx="18">
                  <c:v>-0.83099999999999996</c:v>
                </c:pt>
                <c:pt idx="19">
                  <c:v>-0.83099999999999996</c:v>
                </c:pt>
                <c:pt idx="20">
                  <c:v>-0.83099999999999996</c:v>
                </c:pt>
                <c:pt idx="21">
                  <c:v>-0.8360000000000003</c:v>
                </c:pt>
                <c:pt idx="22">
                  <c:v>-0.84699999999999953</c:v>
                </c:pt>
                <c:pt idx="23">
                  <c:v>-0.85599999999999987</c:v>
                </c:pt>
                <c:pt idx="24">
                  <c:v>-0.85499999999999998</c:v>
                </c:pt>
                <c:pt idx="25">
                  <c:v>-0.85499999999999998</c:v>
                </c:pt>
                <c:pt idx="26">
                  <c:v>-0.85499999999999998</c:v>
                </c:pt>
                <c:pt idx="27">
                  <c:v>-0.87000000000000011</c:v>
                </c:pt>
                <c:pt idx="28">
                  <c:v>-0.88300000000000001</c:v>
                </c:pt>
                <c:pt idx="29">
                  <c:v>-0.91699999999999982</c:v>
                </c:pt>
                <c:pt idx="30">
                  <c:v>-0.92600000000000016</c:v>
                </c:pt>
                <c:pt idx="31">
                  <c:v>-0.9430000000000005</c:v>
                </c:pt>
                <c:pt idx="32">
                  <c:v>-0.9430000000000005</c:v>
                </c:pt>
                <c:pt idx="33">
                  <c:v>-0.9430000000000005</c:v>
                </c:pt>
                <c:pt idx="34">
                  <c:v>-0.96400000000000041</c:v>
                </c:pt>
                <c:pt idx="35">
                  <c:v>-0.99199999999999955</c:v>
                </c:pt>
                <c:pt idx="36">
                  <c:v>-1.0180000000000002</c:v>
                </c:pt>
                <c:pt idx="37">
                  <c:v>-1.0219999999999998</c:v>
                </c:pt>
                <c:pt idx="38">
                  <c:v>-1.1150000000000002</c:v>
                </c:pt>
                <c:pt idx="39">
                  <c:v>-1.1150000000000002</c:v>
                </c:pt>
                <c:pt idx="40">
                  <c:v>-1.1150000000000002</c:v>
                </c:pt>
                <c:pt idx="41">
                  <c:v>-1.1200000000000001</c:v>
                </c:pt>
                <c:pt idx="42">
                  <c:v>-1.1190000000000002</c:v>
                </c:pt>
                <c:pt idx="43">
                  <c:v>-1.1219999999999999</c:v>
                </c:pt>
                <c:pt idx="44">
                  <c:v>-1.1279999999999997</c:v>
                </c:pt>
                <c:pt idx="45">
                  <c:v>-1.1369999999999996</c:v>
                </c:pt>
                <c:pt idx="46">
                  <c:v>-1.1369999999999996</c:v>
                </c:pt>
                <c:pt idx="47">
                  <c:v>-1.1369999999999996</c:v>
                </c:pt>
                <c:pt idx="48">
                  <c:v>-1.1679999999999997</c:v>
                </c:pt>
                <c:pt idx="49">
                  <c:v>-1.2109999999999999</c:v>
                </c:pt>
                <c:pt idx="50">
                  <c:v>-1.2140000000000004</c:v>
                </c:pt>
                <c:pt idx="51">
                  <c:v>-1.1949999999999998</c:v>
                </c:pt>
                <c:pt idx="52">
                  <c:v>-1.1720000000000002</c:v>
                </c:pt>
                <c:pt idx="53">
                  <c:v>-1.1720000000000002</c:v>
                </c:pt>
                <c:pt idx="54">
                  <c:v>-1.1720000000000002</c:v>
                </c:pt>
                <c:pt idx="55">
                  <c:v>-1.1570000000000005</c:v>
                </c:pt>
                <c:pt idx="56">
                  <c:v>-1.2400000000000002</c:v>
                </c:pt>
                <c:pt idx="57">
                  <c:v>-1.2440000000000002</c:v>
                </c:pt>
                <c:pt idx="58">
                  <c:v>-1.2539999999999996</c:v>
                </c:pt>
                <c:pt idx="59">
                  <c:v>-1.2659999999999996</c:v>
                </c:pt>
                <c:pt idx="60">
                  <c:v>-1.2659999999999996</c:v>
                </c:pt>
                <c:pt idx="61">
                  <c:v>-1.2659999999999996</c:v>
                </c:pt>
                <c:pt idx="62">
                  <c:v>-1.2650000000000006</c:v>
                </c:pt>
                <c:pt idx="63">
                  <c:v>-1.2560000000000002</c:v>
                </c:pt>
                <c:pt idx="64">
                  <c:v>-1.2319999999999998</c:v>
                </c:pt>
                <c:pt idx="65">
                  <c:v>-1.2270000000000003</c:v>
                </c:pt>
                <c:pt idx="66">
                  <c:v>-1.2320000000000002</c:v>
                </c:pt>
                <c:pt idx="67">
                  <c:v>-1.2320000000000002</c:v>
                </c:pt>
                <c:pt idx="68">
                  <c:v>-1.2320000000000002</c:v>
                </c:pt>
                <c:pt idx="69">
                  <c:v>-1.2489999999999997</c:v>
                </c:pt>
                <c:pt idx="70">
                  <c:v>-1.2450000000000001</c:v>
                </c:pt>
                <c:pt idx="71">
                  <c:v>-1.2280000000000002</c:v>
                </c:pt>
                <c:pt idx="72">
                  <c:v>-1.2030000000000003</c:v>
                </c:pt>
                <c:pt idx="73">
                  <c:v>-1.1999999999999997</c:v>
                </c:pt>
                <c:pt idx="74">
                  <c:v>-1.1999999999999997</c:v>
                </c:pt>
                <c:pt idx="75">
                  <c:v>-1.1999999999999997</c:v>
                </c:pt>
                <c:pt idx="76">
                  <c:v>-1.1809999999999996</c:v>
                </c:pt>
                <c:pt idx="77">
                  <c:v>-1.1369999999999996</c:v>
                </c:pt>
                <c:pt idx="78">
                  <c:v>-1.0869999999999997</c:v>
                </c:pt>
                <c:pt idx="79">
                  <c:v>-1.0679999999999996</c:v>
                </c:pt>
                <c:pt idx="80">
                  <c:v>-1.0449999999999999</c:v>
                </c:pt>
                <c:pt idx="81">
                  <c:v>-1.0449999999999999</c:v>
                </c:pt>
                <c:pt idx="82">
                  <c:v>-1.0449999999999999</c:v>
                </c:pt>
                <c:pt idx="83">
                  <c:v>-1.0509999999999997</c:v>
                </c:pt>
                <c:pt idx="84">
                  <c:v>-1.0329999999999999</c:v>
                </c:pt>
                <c:pt idx="85">
                  <c:v>-1.0169999999999999</c:v>
                </c:pt>
                <c:pt idx="86">
                  <c:v>-0.98100000000000032</c:v>
                </c:pt>
                <c:pt idx="87">
                  <c:v>-0.93900000000000006</c:v>
                </c:pt>
                <c:pt idx="88">
                  <c:v>-0.93900000000000006</c:v>
                </c:pt>
                <c:pt idx="89">
                  <c:v>-0.93900000000000006</c:v>
                </c:pt>
                <c:pt idx="90">
                  <c:v>-0.8580000000000001</c:v>
                </c:pt>
                <c:pt idx="91">
                  <c:v>-0.82600000000000007</c:v>
                </c:pt>
                <c:pt idx="92">
                  <c:v>-0.79099999999999993</c:v>
                </c:pt>
                <c:pt idx="93">
                  <c:v>-0.7669999999999999</c:v>
                </c:pt>
                <c:pt idx="94">
                  <c:v>-0.74500000000000011</c:v>
                </c:pt>
                <c:pt idx="95">
                  <c:v>-0.74500000000000011</c:v>
                </c:pt>
                <c:pt idx="96">
                  <c:v>-0.74500000000000011</c:v>
                </c:pt>
                <c:pt idx="97">
                  <c:v>-0.71300000000000008</c:v>
                </c:pt>
                <c:pt idx="98">
                  <c:v>-0.67899999999999983</c:v>
                </c:pt>
                <c:pt idx="99">
                  <c:v>-0.72299999999999986</c:v>
                </c:pt>
                <c:pt idx="100">
                  <c:v>-0.72699999999999987</c:v>
                </c:pt>
                <c:pt idx="101">
                  <c:v>-0.72699999999999987</c:v>
                </c:pt>
                <c:pt idx="102">
                  <c:v>-0.72699999999999987</c:v>
                </c:pt>
                <c:pt idx="103">
                  <c:v>-0.72699999999999987</c:v>
                </c:pt>
                <c:pt idx="104">
                  <c:v>-0.69700000000000006</c:v>
                </c:pt>
                <c:pt idx="105">
                  <c:v>-0.69200000000000017</c:v>
                </c:pt>
                <c:pt idx="106">
                  <c:v>-0.67700000000000005</c:v>
                </c:pt>
                <c:pt idx="107">
                  <c:v>-0.68699999999999983</c:v>
                </c:pt>
                <c:pt idx="108">
                  <c:v>-0.68699999999999983</c:v>
                </c:pt>
                <c:pt idx="109">
                  <c:v>-0.68699999999999983</c:v>
                </c:pt>
                <c:pt idx="110">
                  <c:v>-0.68699999999999983</c:v>
                </c:pt>
                <c:pt idx="111">
                  <c:v>-0.67700000000000005</c:v>
                </c:pt>
                <c:pt idx="112">
                  <c:v>-0.66700000000000026</c:v>
                </c:pt>
                <c:pt idx="113">
                  <c:v>-0.67000000000000037</c:v>
                </c:pt>
                <c:pt idx="114">
                  <c:v>-0.64800000000000013</c:v>
                </c:pt>
                <c:pt idx="115">
                  <c:v>-0.64299999999999979</c:v>
                </c:pt>
                <c:pt idx="116">
                  <c:v>-0.64299999999999979</c:v>
                </c:pt>
                <c:pt idx="117">
                  <c:v>-0.64299999999999979</c:v>
                </c:pt>
                <c:pt idx="118">
                  <c:v>-0.61799999999999988</c:v>
                </c:pt>
                <c:pt idx="119">
                  <c:v>-0.59799999999999986</c:v>
                </c:pt>
                <c:pt idx="120">
                  <c:v>-0.58999999999999986</c:v>
                </c:pt>
                <c:pt idx="121">
                  <c:v>-0.56900000000000039</c:v>
                </c:pt>
                <c:pt idx="122">
                  <c:v>-0.55900000000000016</c:v>
                </c:pt>
                <c:pt idx="123">
                  <c:v>-0.55900000000000016</c:v>
                </c:pt>
                <c:pt idx="124">
                  <c:v>-0.55900000000000016</c:v>
                </c:pt>
                <c:pt idx="125">
                  <c:v>-0.55499999999999972</c:v>
                </c:pt>
                <c:pt idx="126">
                  <c:v>-0.54</c:v>
                </c:pt>
                <c:pt idx="127">
                  <c:v>-0.53600000000000003</c:v>
                </c:pt>
                <c:pt idx="128">
                  <c:v>-0.63600000000000012</c:v>
                </c:pt>
                <c:pt idx="129">
                  <c:v>-0.63600000000000012</c:v>
                </c:pt>
                <c:pt idx="130">
                  <c:v>-0.63600000000000012</c:v>
                </c:pt>
                <c:pt idx="131">
                  <c:v>-0.63600000000000012</c:v>
                </c:pt>
                <c:pt idx="132">
                  <c:v>-0.63600000000000012</c:v>
                </c:pt>
                <c:pt idx="133">
                  <c:v>-0.63700000000000001</c:v>
                </c:pt>
                <c:pt idx="134">
                  <c:v>-0.63700000000000001</c:v>
                </c:pt>
                <c:pt idx="135">
                  <c:v>-0.62800000000000011</c:v>
                </c:pt>
                <c:pt idx="136">
                  <c:v>-0.6339999999999999</c:v>
                </c:pt>
                <c:pt idx="137">
                  <c:v>-0.6339999999999999</c:v>
                </c:pt>
                <c:pt idx="138">
                  <c:v>-0.6339999999999999</c:v>
                </c:pt>
                <c:pt idx="139">
                  <c:v>-0.63200000000000012</c:v>
                </c:pt>
                <c:pt idx="140">
                  <c:v>-0.62800000000000011</c:v>
                </c:pt>
                <c:pt idx="141">
                  <c:v>-0.63199999999999967</c:v>
                </c:pt>
                <c:pt idx="142">
                  <c:v>-0.61500000000000021</c:v>
                </c:pt>
                <c:pt idx="143">
                  <c:v>-0.60499999999999998</c:v>
                </c:pt>
                <c:pt idx="144">
                  <c:v>-0.60499999999999998</c:v>
                </c:pt>
                <c:pt idx="145">
                  <c:v>-0.60499999999999998</c:v>
                </c:pt>
                <c:pt idx="146">
                  <c:v>-0.6080000000000001</c:v>
                </c:pt>
                <c:pt idx="147">
                  <c:v>-0.63200000000000012</c:v>
                </c:pt>
                <c:pt idx="148">
                  <c:v>-0.64999999999999991</c:v>
                </c:pt>
                <c:pt idx="149">
                  <c:v>-0.66299999999999981</c:v>
                </c:pt>
                <c:pt idx="150">
                  <c:v>-0.65500000000000025</c:v>
                </c:pt>
                <c:pt idx="151">
                  <c:v>-0.65500000000000025</c:v>
                </c:pt>
                <c:pt idx="152">
                  <c:v>-0.65500000000000025</c:v>
                </c:pt>
                <c:pt idx="153">
                  <c:v>-0.6549999999999998</c:v>
                </c:pt>
                <c:pt idx="154">
                  <c:v>-0.67300000000000004</c:v>
                </c:pt>
                <c:pt idx="155">
                  <c:v>-0.69</c:v>
                </c:pt>
                <c:pt idx="156">
                  <c:v>-0.68400000000000016</c:v>
                </c:pt>
                <c:pt idx="157">
                  <c:v>-0.68400000000000016</c:v>
                </c:pt>
                <c:pt idx="158">
                  <c:v>-0.68400000000000016</c:v>
                </c:pt>
                <c:pt idx="159">
                  <c:v>-0.68400000000000016</c:v>
                </c:pt>
                <c:pt idx="160">
                  <c:v>-0.68199999999999994</c:v>
                </c:pt>
                <c:pt idx="161">
                  <c:v>-0.68499999999999961</c:v>
                </c:pt>
                <c:pt idx="162">
                  <c:v>-0.67599999999999971</c:v>
                </c:pt>
                <c:pt idx="163">
                  <c:v>-0.67199999999999971</c:v>
                </c:pt>
                <c:pt idx="164">
                  <c:v>-0.66999999999999993</c:v>
                </c:pt>
                <c:pt idx="165">
                  <c:v>-0.66999999999999993</c:v>
                </c:pt>
                <c:pt idx="166">
                  <c:v>-0.66999999999999993</c:v>
                </c:pt>
                <c:pt idx="167">
                  <c:v>-0.66999999999999993</c:v>
                </c:pt>
                <c:pt idx="168">
                  <c:v>-0.66799999999999971</c:v>
                </c:pt>
                <c:pt idx="169">
                  <c:v>-0.66699999999999982</c:v>
                </c:pt>
                <c:pt idx="170">
                  <c:v>-0.66199999999999992</c:v>
                </c:pt>
                <c:pt idx="171">
                  <c:v>-0.64999999999999991</c:v>
                </c:pt>
                <c:pt idx="172">
                  <c:v>-0.64999999999999991</c:v>
                </c:pt>
                <c:pt idx="173">
                  <c:v>-0.64999999999999991</c:v>
                </c:pt>
                <c:pt idx="174">
                  <c:v>-0.6509999999999998</c:v>
                </c:pt>
                <c:pt idx="175">
                  <c:v>-0.64399999999999968</c:v>
                </c:pt>
                <c:pt idx="176">
                  <c:v>-0.6379999999999999</c:v>
                </c:pt>
                <c:pt idx="177">
                  <c:v>-0.62799999999999967</c:v>
                </c:pt>
                <c:pt idx="178">
                  <c:v>-0.61799999999999988</c:v>
                </c:pt>
                <c:pt idx="179">
                  <c:v>-0.61799999999999988</c:v>
                </c:pt>
                <c:pt idx="180">
                  <c:v>-0.61799999999999988</c:v>
                </c:pt>
                <c:pt idx="181">
                  <c:v>-0.61699999999999999</c:v>
                </c:pt>
                <c:pt idx="182">
                  <c:v>-0.6120000000000001</c:v>
                </c:pt>
                <c:pt idx="183">
                  <c:v>-0.60000000000000009</c:v>
                </c:pt>
                <c:pt idx="184">
                  <c:v>-0.58300000000000018</c:v>
                </c:pt>
                <c:pt idx="185">
                  <c:v>-0.57699999999999996</c:v>
                </c:pt>
                <c:pt idx="186">
                  <c:v>-0.57699999999999996</c:v>
                </c:pt>
                <c:pt idx="187">
                  <c:v>-0.57699999999999996</c:v>
                </c:pt>
                <c:pt idx="188">
                  <c:v>-0.55600000000000005</c:v>
                </c:pt>
                <c:pt idx="189">
                  <c:v>-0.55600000000000005</c:v>
                </c:pt>
                <c:pt idx="190">
                  <c:v>-0.69200000000000017</c:v>
                </c:pt>
                <c:pt idx="191">
                  <c:v>-0.72699999999999987</c:v>
                </c:pt>
                <c:pt idx="192">
                  <c:v>-0.71700000000000008</c:v>
                </c:pt>
                <c:pt idx="193">
                  <c:v>-0.71700000000000008</c:v>
                </c:pt>
                <c:pt idx="194">
                  <c:v>-0.71700000000000008</c:v>
                </c:pt>
                <c:pt idx="195">
                  <c:v>-0.70499999999999985</c:v>
                </c:pt>
                <c:pt idx="196">
                  <c:v>-0.69200000000000017</c:v>
                </c:pt>
                <c:pt idx="197">
                  <c:v>-0.69800000000000018</c:v>
                </c:pt>
                <c:pt idx="198">
                  <c:v>-0.69300000000000006</c:v>
                </c:pt>
                <c:pt idx="199">
                  <c:v>-0.67699999999999982</c:v>
                </c:pt>
                <c:pt idx="200">
                  <c:v>-0.67699999999999982</c:v>
                </c:pt>
                <c:pt idx="201">
                  <c:v>-0.67699999999999982</c:v>
                </c:pt>
                <c:pt idx="202">
                  <c:v>-0.66599999999999993</c:v>
                </c:pt>
                <c:pt idx="203">
                  <c:v>-0.65300000000000002</c:v>
                </c:pt>
                <c:pt idx="204">
                  <c:v>-0.64599999999999991</c:v>
                </c:pt>
                <c:pt idx="205">
                  <c:v>-0.621</c:v>
                </c:pt>
                <c:pt idx="206">
                  <c:v>-0.62200000000000011</c:v>
                </c:pt>
                <c:pt idx="207">
                  <c:v>-0.62200000000000011</c:v>
                </c:pt>
                <c:pt idx="208">
                  <c:v>-0.62200000000000011</c:v>
                </c:pt>
                <c:pt idx="209">
                  <c:v>-0.60599999999999987</c:v>
                </c:pt>
                <c:pt idx="210">
                  <c:v>-0.59999999999999987</c:v>
                </c:pt>
                <c:pt idx="211">
                  <c:v>-0.57699999999999996</c:v>
                </c:pt>
                <c:pt idx="212">
                  <c:v>-0.55299999999999971</c:v>
                </c:pt>
                <c:pt idx="213">
                  <c:v>-0.52699999999999969</c:v>
                </c:pt>
                <c:pt idx="214">
                  <c:v>-0.52699999999999969</c:v>
                </c:pt>
                <c:pt idx="215">
                  <c:v>-0.52699999999999969</c:v>
                </c:pt>
                <c:pt idx="216">
                  <c:v>-0.52</c:v>
                </c:pt>
                <c:pt idx="217">
                  <c:v>-0.498</c:v>
                </c:pt>
                <c:pt idx="218">
                  <c:v>-0.4890000000000001</c:v>
                </c:pt>
                <c:pt idx="219">
                  <c:v>-0.47799999999999976</c:v>
                </c:pt>
                <c:pt idx="220">
                  <c:v>-0.47500000000000009</c:v>
                </c:pt>
                <c:pt idx="221">
                  <c:v>-0.47500000000000009</c:v>
                </c:pt>
                <c:pt idx="222">
                  <c:v>-0.47500000000000009</c:v>
                </c:pt>
                <c:pt idx="223">
                  <c:v>-0.45900000000000007</c:v>
                </c:pt>
                <c:pt idx="224">
                  <c:v>-0.45600000000000018</c:v>
                </c:pt>
                <c:pt idx="225">
                  <c:v>-0.46100000000000008</c:v>
                </c:pt>
                <c:pt idx="226">
                  <c:v>-0.45700000000000007</c:v>
                </c:pt>
                <c:pt idx="227">
                  <c:v>-0.45700000000000007</c:v>
                </c:pt>
                <c:pt idx="228">
                  <c:v>-0.45700000000000007</c:v>
                </c:pt>
                <c:pt idx="229">
                  <c:v>-0.45700000000000007</c:v>
                </c:pt>
                <c:pt idx="230">
                  <c:v>-0.44999999999999996</c:v>
                </c:pt>
                <c:pt idx="231">
                  <c:v>-0.44099999999999984</c:v>
                </c:pt>
                <c:pt idx="232">
                  <c:v>-0.44099999999999984</c:v>
                </c:pt>
                <c:pt idx="233">
                  <c:v>-0.43500000000000005</c:v>
                </c:pt>
                <c:pt idx="234">
                  <c:v>-0.43300000000000005</c:v>
                </c:pt>
                <c:pt idx="235">
                  <c:v>-0.43300000000000005</c:v>
                </c:pt>
                <c:pt idx="236">
                  <c:v>-0.43300000000000005</c:v>
                </c:pt>
                <c:pt idx="237">
                  <c:v>-0.42199999999999993</c:v>
                </c:pt>
                <c:pt idx="238">
                  <c:v>-0.50200000000000022</c:v>
                </c:pt>
                <c:pt idx="239">
                  <c:v>-0.51500000000000012</c:v>
                </c:pt>
                <c:pt idx="240">
                  <c:v>-0.51900000000000013</c:v>
                </c:pt>
                <c:pt idx="241">
                  <c:v>-0.51599999999999979</c:v>
                </c:pt>
                <c:pt idx="242">
                  <c:v>-0.51599999999999979</c:v>
                </c:pt>
                <c:pt idx="243">
                  <c:v>-0.51599999999999979</c:v>
                </c:pt>
                <c:pt idx="244">
                  <c:v>-0.50800000000000001</c:v>
                </c:pt>
                <c:pt idx="245">
                  <c:v>-0.5069999999999999</c:v>
                </c:pt>
                <c:pt idx="246">
                  <c:v>-0.51400000000000001</c:v>
                </c:pt>
                <c:pt idx="247">
                  <c:v>-0.52300000000000013</c:v>
                </c:pt>
                <c:pt idx="248">
                  <c:v>-0.52900000000000014</c:v>
                </c:pt>
                <c:pt idx="249">
                  <c:v>-0.52900000000000014</c:v>
                </c:pt>
                <c:pt idx="250">
                  <c:v>-0.52900000000000014</c:v>
                </c:pt>
                <c:pt idx="251">
                  <c:v>-0.54200000000000004</c:v>
                </c:pt>
                <c:pt idx="252">
                  <c:v>-0.53899999999999992</c:v>
                </c:pt>
                <c:pt idx="253">
                  <c:v>-0.53800000000000003</c:v>
                </c:pt>
                <c:pt idx="254">
                  <c:v>-0.52900000000000014</c:v>
                </c:pt>
                <c:pt idx="255">
                  <c:v>-0.51100000000000012</c:v>
                </c:pt>
                <c:pt idx="256">
                  <c:v>-0.51100000000000012</c:v>
                </c:pt>
                <c:pt idx="257">
                  <c:v>-0.51100000000000012</c:v>
                </c:pt>
                <c:pt idx="258">
                  <c:v>-0.496</c:v>
                </c:pt>
                <c:pt idx="259">
                  <c:v>-0.496</c:v>
                </c:pt>
                <c:pt idx="260">
                  <c:v>-0.50299999999999989</c:v>
                </c:pt>
                <c:pt idx="261">
                  <c:v>-0.51200000000000001</c:v>
                </c:pt>
                <c:pt idx="262">
                  <c:v>-0.502</c:v>
                </c:pt>
                <c:pt idx="263">
                  <c:v>-0.502</c:v>
                </c:pt>
                <c:pt idx="264">
                  <c:v>-0.502</c:v>
                </c:pt>
                <c:pt idx="265">
                  <c:v>-0.50700000000000012</c:v>
                </c:pt>
                <c:pt idx="266">
                  <c:v>-0.49899999999999989</c:v>
                </c:pt>
                <c:pt idx="267">
                  <c:v>-0.4910000000000001</c:v>
                </c:pt>
                <c:pt idx="268">
                  <c:v>-0.48599999999999999</c:v>
                </c:pt>
                <c:pt idx="269">
                  <c:v>-0.48699999999999988</c:v>
                </c:pt>
                <c:pt idx="270">
                  <c:v>-0.48699999999999988</c:v>
                </c:pt>
                <c:pt idx="271">
                  <c:v>-0.48699999999999988</c:v>
                </c:pt>
                <c:pt idx="272">
                  <c:v>-0.47499999999999987</c:v>
                </c:pt>
                <c:pt idx="273">
                  <c:v>-0.47700000000000009</c:v>
                </c:pt>
                <c:pt idx="274">
                  <c:v>-0.46199999999999997</c:v>
                </c:pt>
                <c:pt idx="275">
                  <c:v>-0.46500000000000008</c:v>
                </c:pt>
                <c:pt idx="276">
                  <c:v>-0.46199999999999997</c:v>
                </c:pt>
                <c:pt idx="277">
                  <c:v>-0.46199999999999997</c:v>
                </c:pt>
                <c:pt idx="278">
                  <c:v>-0.46199999999999997</c:v>
                </c:pt>
                <c:pt idx="279">
                  <c:v>-0.46600000000000019</c:v>
                </c:pt>
                <c:pt idx="280">
                  <c:v>-0.46399999999999997</c:v>
                </c:pt>
                <c:pt idx="281">
                  <c:v>-0.47100000000000009</c:v>
                </c:pt>
                <c:pt idx="282">
                  <c:v>-0.46800000000000019</c:v>
                </c:pt>
                <c:pt idx="283">
                  <c:v>-0.46100000000000008</c:v>
                </c:pt>
                <c:pt idx="284">
                  <c:v>-0.46100000000000008</c:v>
                </c:pt>
                <c:pt idx="285">
                  <c:v>-0.46100000000000008</c:v>
                </c:pt>
                <c:pt idx="286">
                  <c:v>-0.45400000000000018</c:v>
                </c:pt>
                <c:pt idx="287">
                  <c:v>-0.45600000000000018</c:v>
                </c:pt>
                <c:pt idx="288">
                  <c:v>-0.45700000000000007</c:v>
                </c:pt>
                <c:pt idx="289">
                  <c:v>-0.44400000000000017</c:v>
                </c:pt>
                <c:pt idx="290">
                  <c:v>-0.44300000000000006</c:v>
                </c:pt>
                <c:pt idx="291">
                  <c:v>-0.44300000000000006</c:v>
                </c:pt>
                <c:pt idx="292">
                  <c:v>-0.44300000000000006</c:v>
                </c:pt>
                <c:pt idx="293">
                  <c:v>-0.43200000000000016</c:v>
                </c:pt>
                <c:pt idx="294">
                  <c:v>-0.44399999999999995</c:v>
                </c:pt>
                <c:pt idx="295">
                  <c:v>-0.44200000000000017</c:v>
                </c:pt>
                <c:pt idx="296">
                  <c:v>-0.43200000000000016</c:v>
                </c:pt>
                <c:pt idx="297">
                  <c:v>-0.43399999999999994</c:v>
                </c:pt>
                <c:pt idx="298">
                  <c:v>-0.43399999999999994</c:v>
                </c:pt>
                <c:pt idx="299">
                  <c:v>-0.43399999999999994</c:v>
                </c:pt>
                <c:pt idx="300">
                  <c:v>-0.42999999999999994</c:v>
                </c:pt>
                <c:pt idx="301">
                  <c:v>-0.42000000000000015</c:v>
                </c:pt>
                <c:pt idx="302">
                  <c:v>-0.42999999999999994</c:v>
                </c:pt>
                <c:pt idx="303">
                  <c:v>-0.44700000000000006</c:v>
                </c:pt>
                <c:pt idx="304">
                  <c:v>-0.45400000000000018</c:v>
                </c:pt>
                <c:pt idx="305">
                  <c:v>-0.45400000000000018</c:v>
                </c:pt>
                <c:pt idx="306">
                  <c:v>-0.45400000000000018</c:v>
                </c:pt>
                <c:pt idx="307">
                  <c:v>-0.45000000000000018</c:v>
                </c:pt>
                <c:pt idx="308">
                  <c:v>-0.43900000000000006</c:v>
                </c:pt>
                <c:pt idx="309">
                  <c:v>-0.44500000000000006</c:v>
                </c:pt>
                <c:pt idx="310">
                  <c:v>-0.44900000000000007</c:v>
                </c:pt>
                <c:pt idx="311">
                  <c:v>-0.44500000000000006</c:v>
                </c:pt>
                <c:pt idx="312">
                  <c:v>-0.44500000000000006</c:v>
                </c:pt>
                <c:pt idx="313">
                  <c:v>-0.44500000000000006</c:v>
                </c:pt>
                <c:pt idx="314">
                  <c:v>-0.44399999999999995</c:v>
                </c:pt>
                <c:pt idx="315">
                  <c:v>-0.46899999999999986</c:v>
                </c:pt>
                <c:pt idx="316">
                  <c:v>-0.46899999999999986</c:v>
                </c:pt>
                <c:pt idx="317">
                  <c:v>-0.46900000000000008</c:v>
                </c:pt>
                <c:pt idx="318">
                  <c:v>-0.47099999999999986</c:v>
                </c:pt>
                <c:pt idx="319">
                  <c:v>-0.47099999999999986</c:v>
                </c:pt>
                <c:pt idx="320">
                  <c:v>-0.47099999999999986</c:v>
                </c:pt>
                <c:pt idx="321">
                  <c:v>-0.47599999999999998</c:v>
                </c:pt>
                <c:pt idx="322">
                  <c:v>-0.48899999999999988</c:v>
                </c:pt>
                <c:pt idx="323">
                  <c:v>-0.49099999999999988</c:v>
                </c:pt>
                <c:pt idx="324">
                  <c:v>-0.49099999999999988</c:v>
                </c:pt>
                <c:pt idx="325">
                  <c:v>-0.49</c:v>
                </c:pt>
                <c:pt idx="326">
                  <c:v>-0.49</c:v>
                </c:pt>
                <c:pt idx="327">
                  <c:v>-0.49</c:v>
                </c:pt>
                <c:pt idx="328">
                  <c:v>-0.49700000000000011</c:v>
                </c:pt>
                <c:pt idx="329">
                  <c:v>-0.504</c:v>
                </c:pt>
                <c:pt idx="330">
                  <c:v>-0.50499999999999989</c:v>
                </c:pt>
                <c:pt idx="331">
                  <c:v>-0.51200000000000001</c:v>
                </c:pt>
                <c:pt idx="332">
                  <c:v>-0.5169999999999999</c:v>
                </c:pt>
                <c:pt idx="333">
                  <c:v>-0.5169999999999999</c:v>
                </c:pt>
                <c:pt idx="334">
                  <c:v>-0.5169999999999999</c:v>
                </c:pt>
                <c:pt idx="335">
                  <c:v>-0.5169999999999999</c:v>
                </c:pt>
                <c:pt idx="336">
                  <c:v>-0.52</c:v>
                </c:pt>
                <c:pt idx="337">
                  <c:v>-0.51899999999999991</c:v>
                </c:pt>
                <c:pt idx="338">
                  <c:v>-0.52099999999999991</c:v>
                </c:pt>
                <c:pt idx="339">
                  <c:v>-0.52200000000000002</c:v>
                </c:pt>
                <c:pt idx="340">
                  <c:v>-0.52200000000000002</c:v>
                </c:pt>
                <c:pt idx="341">
                  <c:v>-0.52200000000000002</c:v>
                </c:pt>
                <c:pt idx="342">
                  <c:v>-0.51200000000000001</c:v>
                </c:pt>
                <c:pt idx="343">
                  <c:v>-0.5149999999999999</c:v>
                </c:pt>
                <c:pt idx="344">
                  <c:v>-0.51400000000000001</c:v>
                </c:pt>
                <c:pt idx="345">
                  <c:v>-0.5149999999999999</c:v>
                </c:pt>
                <c:pt idx="346">
                  <c:v>-0.51900000000000013</c:v>
                </c:pt>
                <c:pt idx="347">
                  <c:v>-0.51900000000000013</c:v>
                </c:pt>
                <c:pt idx="348">
                  <c:v>-0.51900000000000013</c:v>
                </c:pt>
                <c:pt idx="349">
                  <c:v>-0.53</c:v>
                </c:pt>
                <c:pt idx="350">
                  <c:v>-0.53299999999999992</c:v>
                </c:pt>
                <c:pt idx="351">
                  <c:v>-0.53299999999999992</c:v>
                </c:pt>
                <c:pt idx="352">
                  <c:v>-0.53299999999999992</c:v>
                </c:pt>
                <c:pt idx="353">
                  <c:v>-0.53299999999999992</c:v>
                </c:pt>
                <c:pt idx="354">
                  <c:v>-0.53299999999999992</c:v>
                </c:pt>
                <c:pt idx="355">
                  <c:v>-0.53299999999999992</c:v>
                </c:pt>
                <c:pt idx="356">
                  <c:v>-0.5279999999999998</c:v>
                </c:pt>
                <c:pt idx="357">
                  <c:v>-0.52</c:v>
                </c:pt>
                <c:pt idx="358">
                  <c:v>-0.51200000000000001</c:v>
                </c:pt>
                <c:pt idx="359">
                  <c:v>-0.50600000000000001</c:v>
                </c:pt>
                <c:pt idx="360">
                  <c:v>-0.504</c:v>
                </c:pt>
                <c:pt idx="361">
                  <c:v>-0.504</c:v>
                </c:pt>
                <c:pt idx="362">
                  <c:v>-0.504</c:v>
                </c:pt>
                <c:pt idx="363">
                  <c:v>-0.50100000000000011</c:v>
                </c:pt>
                <c:pt idx="364">
                  <c:v>-0.50300000000000011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740928"/>
        <c:axId val="233739392"/>
      </c:barChart>
      <c:lineChart>
        <c:grouping val="standard"/>
        <c:varyColors val="0"/>
        <c:ser>
          <c:idx val="0"/>
          <c:order val="0"/>
          <c:tx>
            <c:strRef>
              <c:f>채권시장종합!$AX$57</c:f>
              <c:strCache>
                <c:ptCount val="1"/>
                <c:pt idx="0">
                  <c:v>국고채권</c:v>
                </c:pt>
              </c:strCache>
            </c:strRef>
          </c:tx>
          <c:spPr>
            <a:ln w="25400">
              <a:solidFill>
                <a:srgbClr val="FF01A2"/>
              </a:solidFill>
            </a:ln>
          </c:spPr>
          <c:marker>
            <c:symbol val="none"/>
          </c:marker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채권시장종합!$AX$59:$AX$423</c:f>
              <c:numCache>
                <c:formatCode>General</c:formatCode>
                <c:ptCount val="365"/>
                <c:pt idx="1">
                  <c:v>3.4950000000000001</c:v>
                </c:pt>
                <c:pt idx="2">
                  <c:v>3.488</c:v>
                </c:pt>
                <c:pt idx="3">
                  <c:v>3.4820000000000002</c:v>
                </c:pt>
                <c:pt idx="4">
                  <c:v>3.4820000000000002</c:v>
                </c:pt>
                <c:pt idx="5">
                  <c:v>3.4820000000000002</c:v>
                </c:pt>
                <c:pt idx="6">
                  <c:v>3.472</c:v>
                </c:pt>
                <c:pt idx="7">
                  <c:v>3.4729999999999999</c:v>
                </c:pt>
                <c:pt idx="8">
                  <c:v>3.492</c:v>
                </c:pt>
                <c:pt idx="9">
                  <c:v>3.4830000000000001</c:v>
                </c:pt>
                <c:pt idx="10">
                  <c:v>3.53</c:v>
                </c:pt>
                <c:pt idx="11">
                  <c:v>3.53</c:v>
                </c:pt>
                <c:pt idx="12">
                  <c:v>3.53</c:v>
                </c:pt>
                <c:pt idx="13">
                  <c:v>3.55</c:v>
                </c:pt>
                <c:pt idx="14">
                  <c:v>3.57</c:v>
                </c:pt>
                <c:pt idx="15">
                  <c:v>3.6120000000000001</c:v>
                </c:pt>
                <c:pt idx="16">
                  <c:v>3.67</c:v>
                </c:pt>
                <c:pt idx="17">
                  <c:v>3.6819999999999999</c:v>
                </c:pt>
                <c:pt idx="18">
                  <c:v>3.6819999999999999</c:v>
                </c:pt>
                <c:pt idx="19">
                  <c:v>3.6819999999999999</c:v>
                </c:pt>
                <c:pt idx="20">
                  <c:v>3.6819999999999999</c:v>
                </c:pt>
                <c:pt idx="21">
                  <c:v>3.681</c:v>
                </c:pt>
                <c:pt idx="22">
                  <c:v>3.681</c:v>
                </c:pt>
                <c:pt idx="23">
                  <c:v>3.6859999999999999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3.6619999999999999</c:v>
                </c:pt>
                <c:pt idx="28">
                  <c:v>3.6669999999999998</c:v>
                </c:pt>
                <c:pt idx="29">
                  <c:v>3.641</c:v>
                </c:pt>
                <c:pt idx="30">
                  <c:v>3.6059999999999999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3.5659999999999998</c:v>
                </c:pt>
                <c:pt idx="35">
                  <c:v>3.5310000000000001</c:v>
                </c:pt>
                <c:pt idx="36">
                  <c:v>3.5070000000000001</c:v>
                </c:pt>
                <c:pt idx="37">
                  <c:v>3.4750000000000001</c:v>
                </c:pt>
                <c:pt idx="38">
                  <c:v>3.375</c:v>
                </c:pt>
                <c:pt idx="39">
                  <c:v>3.375</c:v>
                </c:pt>
                <c:pt idx="40">
                  <c:v>3.375</c:v>
                </c:pt>
                <c:pt idx="41">
                  <c:v>3.3650000000000002</c:v>
                </c:pt>
                <c:pt idx="42">
                  <c:v>3.3450000000000002</c:v>
                </c:pt>
                <c:pt idx="43">
                  <c:v>3.3220000000000001</c:v>
                </c:pt>
                <c:pt idx="44">
                  <c:v>3.3050000000000002</c:v>
                </c:pt>
                <c:pt idx="45">
                  <c:v>3.3010000000000002</c:v>
                </c:pt>
                <c:pt idx="46">
                  <c:v>3.3010000000000002</c:v>
                </c:pt>
                <c:pt idx="47">
                  <c:v>3.3010000000000002</c:v>
                </c:pt>
                <c:pt idx="48">
                  <c:v>3.302</c:v>
                </c:pt>
                <c:pt idx="49">
                  <c:v>3.3050000000000002</c:v>
                </c:pt>
                <c:pt idx="50">
                  <c:v>3.2919999999999998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3.2879999999999998</c:v>
                </c:pt>
                <c:pt idx="54">
                  <c:v>3.2879999999999998</c:v>
                </c:pt>
                <c:pt idx="55">
                  <c:v>3.2909999999999999</c:v>
                </c:pt>
                <c:pt idx="56">
                  <c:v>3.1859999999999999</c:v>
                </c:pt>
                <c:pt idx="57">
                  <c:v>3.177</c:v>
                </c:pt>
                <c:pt idx="58">
                  <c:v>3.165</c:v>
                </c:pt>
                <c:pt idx="59">
                  <c:v>3.145</c:v>
                </c:pt>
                <c:pt idx="60">
                  <c:v>3.145</c:v>
                </c:pt>
                <c:pt idx="61">
                  <c:v>3.145</c:v>
                </c:pt>
                <c:pt idx="62">
                  <c:v>3.1429999999999998</c:v>
                </c:pt>
                <c:pt idx="63">
                  <c:v>3.1379999999999999</c:v>
                </c:pt>
                <c:pt idx="64">
                  <c:v>3.1259999999999999</c:v>
                </c:pt>
                <c:pt idx="65">
                  <c:v>3.133</c:v>
                </c:pt>
                <c:pt idx="66">
                  <c:v>3.1120000000000001</c:v>
                </c:pt>
                <c:pt idx="67">
                  <c:v>3.1120000000000001</c:v>
                </c:pt>
                <c:pt idx="68">
                  <c:v>3.1120000000000001</c:v>
                </c:pt>
                <c:pt idx="69">
                  <c:v>3.1070000000000002</c:v>
                </c:pt>
                <c:pt idx="70">
                  <c:v>3.09</c:v>
                </c:pt>
                <c:pt idx="71">
                  <c:v>3.0920000000000001</c:v>
                </c:pt>
                <c:pt idx="72">
                  <c:v>3.0960000000000001</c:v>
                </c:pt>
                <c:pt idx="73">
                  <c:v>3.0779999999999998</c:v>
                </c:pt>
                <c:pt idx="74">
                  <c:v>3.0779999999999998</c:v>
                </c:pt>
                <c:pt idx="75">
                  <c:v>3.0779999999999998</c:v>
                </c:pt>
                <c:pt idx="76">
                  <c:v>3.073</c:v>
                </c:pt>
                <c:pt idx="77">
                  <c:v>3.0720000000000001</c:v>
                </c:pt>
                <c:pt idx="78">
                  <c:v>3.0880000000000001</c:v>
                </c:pt>
                <c:pt idx="79">
                  <c:v>3.093</c:v>
                </c:pt>
                <c:pt idx="80">
                  <c:v>3.0830000000000002</c:v>
                </c:pt>
                <c:pt idx="81">
                  <c:v>3.0830000000000002</c:v>
                </c:pt>
                <c:pt idx="82">
                  <c:v>3.0830000000000002</c:v>
                </c:pt>
                <c:pt idx="83">
                  <c:v>3.0680000000000001</c:v>
                </c:pt>
                <c:pt idx="84">
                  <c:v>3.0310000000000001</c:v>
                </c:pt>
                <c:pt idx="85">
                  <c:v>2.9929999999999999</c:v>
                </c:pt>
                <c:pt idx="86">
                  <c:v>3.0019999999999998</c:v>
                </c:pt>
                <c:pt idx="87">
                  <c:v>3.016</c:v>
                </c:pt>
                <c:pt idx="88">
                  <c:v>3.016</c:v>
                </c:pt>
                <c:pt idx="89">
                  <c:v>3.016</c:v>
                </c:pt>
                <c:pt idx="90">
                  <c:v>3.01</c:v>
                </c:pt>
                <c:pt idx="91">
                  <c:v>3.0070000000000001</c:v>
                </c:pt>
                <c:pt idx="92">
                  <c:v>2.9980000000000002</c:v>
                </c:pt>
                <c:pt idx="93">
                  <c:v>2.9929999999999999</c:v>
                </c:pt>
                <c:pt idx="94">
                  <c:v>2.9929999999999999</c:v>
                </c:pt>
                <c:pt idx="95">
                  <c:v>2.9929999999999999</c:v>
                </c:pt>
                <c:pt idx="96">
                  <c:v>2.9929999999999999</c:v>
                </c:pt>
                <c:pt idx="97">
                  <c:v>3</c:v>
                </c:pt>
                <c:pt idx="98">
                  <c:v>3</c:v>
                </c:pt>
                <c:pt idx="99">
                  <c:v>2.8010000000000002</c:v>
                </c:pt>
                <c:pt idx="100">
                  <c:v>2.7480000000000002</c:v>
                </c:pt>
                <c:pt idx="101">
                  <c:v>2.7480000000000002</c:v>
                </c:pt>
                <c:pt idx="102">
                  <c:v>2.7480000000000002</c:v>
                </c:pt>
                <c:pt idx="103">
                  <c:v>2.7480000000000002</c:v>
                </c:pt>
                <c:pt idx="104">
                  <c:v>2.766</c:v>
                </c:pt>
                <c:pt idx="105">
                  <c:v>2.766</c:v>
                </c:pt>
                <c:pt idx="106">
                  <c:v>2.758</c:v>
                </c:pt>
                <c:pt idx="107">
                  <c:v>2.7530000000000001</c:v>
                </c:pt>
                <c:pt idx="108">
                  <c:v>2.7530000000000001</c:v>
                </c:pt>
                <c:pt idx="109">
                  <c:v>2.7530000000000001</c:v>
                </c:pt>
                <c:pt idx="110">
                  <c:v>2.7530000000000001</c:v>
                </c:pt>
                <c:pt idx="111">
                  <c:v>2.7879999999999998</c:v>
                </c:pt>
                <c:pt idx="112">
                  <c:v>2.8279999999999998</c:v>
                </c:pt>
                <c:pt idx="113">
                  <c:v>2.7959999999999998</c:v>
                </c:pt>
                <c:pt idx="114">
                  <c:v>2.8159999999999998</c:v>
                </c:pt>
                <c:pt idx="115">
                  <c:v>2.7360000000000002</c:v>
                </c:pt>
                <c:pt idx="116">
                  <c:v>2.7360000000000002</c:v>
                </c:pt>
                <c:pt idx="117">
                  <c:v>2.7360000000000002</c:v>
                </c:pt>
                <c:pt idx="118">
                  <c:v>2.7210000000000001</c:v>
                </c:pt>
                <c:pt idx="119">
                  <c:v>2.625</c:v>
                </c:pt>
                <c:pt idx="120">
                  <c:v>2.625</c:v>
                </c:pt>
                <c:pt idx="121">
                  <c:v>2.6269999999999998</c:v>
                </c:pt>
                <c:pt idx="122">
                  <c:v>2.645</c:v>
                </c:pt>
                <c:pt idx="123">
                  <c:v>2.645</c:v>
                </c:pt>
                <c:pt idx="124">
                  <c:v>2.645</c:v>
                </c:pt>
                <c:pt idx="125">
                  <c:v>2.6480000000000001</c:v>
                </c:pt>
                <c:pt idx="126">
                  <c:v>2.65</c:v>
                </c:pt>
                <c:pt idx="127">
                  <c:v>2.64</c:v>
                </c:pt>
                <c:pt idx="128">
                  <c:v>2.5369999999999999</c:v>
                </c:pt>
                <c:pt idx="129">
                  <c:v>2.5369999999999999</c:v>
                </c:pt>
                <c:pt idx="130">
                  <c:v>2.5369999999999999</c:v>
                </c:pt>
                <c:pt idx="131">
                  <c:v>2.5369999999999999</c:v>
                </c:pt>
                <c:pt idx="132">
                  <c:v>2.5369999999999999</c:v>
                </c:pt>
                <c:pt idx="133">
                  <c:v>2.5470000000000002</c:v>
                </c:pt>
                <c:pt idx="134">
                  <c:v>2.548</c:v>
                </c:pt>
                <c:pt idx="135">
                  <c:v>2.556</c:v>
                </c:pt>
                <c:pt idx="136">
                  <c:v>2.56</c:v>
                </c:pt>
                <c:pt idx="137">
                  <c:v>2.56</c:v>
                </c:pt>
                <c:pt idx="138">
                  <c:v>2.56</c:v>
                </c:pt>
                <c:pt idx="139">
                  <c:v>2.5720000000000001</c:v>
                </c:pt>
                <c:pt idx="140">
                  <c:v>2.5579999999999998</c:v>
                </c:pt>
                <c:pt idx="141">
                  <c:v>2.5430000000000001</c:v>
                </c:pt>
                <c:pt idx="142">
                  <c:v>2.5609999999999999</c:v>
                </c:pt>
                <c:pt idx="143">
                  <c:v>2.5499999999999998</c:v>
                </c:pt>
                <c:pt idx="144">
                  <c:v>2.5499999999999998</c:v>
                </c:pt>
                <c:pt idx="145">
                  <c:v>2.5499999999999998</c:v>
                </c:pt>
                <c:pt idx="146">
                  <c:v>2.548</c:v>
                </c:pt>
                <c:pt idx="147">
                  <c:v>2.423</c:v>
                </c:pt>
                <c:pt idx="148">
                  <c:v>2.3530000000000002</c:v>
                </c:pt>
                <c:pt idx="149">
                  <c:v>2.3130000000000002</c:v>
                </c:pt>
                <c:pt idx="150">
                  <c:v>2.2989999999999999</c:v>
                </c:pt>
                <c:pt idx="151">
                  <c:v>2.2989999999999999</c:v>
                </c:pt>
                <c:pt idx="152">
                  <c:v>2.2989999999999999</c:v>
                </c:pt>
                <c:pt idx="153">
                  <c:v>2.2850000000000001</c:v>
                </c:pt>
                <c:pt idx="154">
                  <c:v>2.2679999999999998</c:v>
                </c:pt>
                <c:pt idx="155">
                  <c:v>2.2509999999999999</c:v>
                </c:pt>
                <c:pt idx="156">
                  <c:v>2.2639999999999998</c:v>
                </c:pt>
                <c:pt idx="157">
                  <c:v>2.2639999999999998</c:v>
                </c:pt>
                <c:pt idx="158">
                  <c:v>2.2639999999999998</c:v>
                </c:pt>
                <c:pt idx="159">
                  <c:v>2.2639999999999998</c:v>
                </c:pt>
                <c:pt idx="160">
                  <c:v>2.2480000000000002</c:v>
                </c:pt>
                <c:pt idx="161">
                  <c:v>2.2480000000000002</c:v>
                </c:pt>
                <c:pt idx="162">
                  <c:v>2.2480000000000002</c:v>
                </c:pt>
                <c:pt idx="163">
                  <c:v>2.2480000000000002</c:v>
                </c:pt>
                <c:pt idx="164">
                  <c:v>2.238</c:v>
                </c:pt>
                <c:pt idx="165">
                  <c:v>2.238</c:v>
                </c:pt>
                <c:pt idx="166">
                  <c:v>2.238</c:v>
                </c:pt>
                <c:pt idx="167">
                  <c:v>2.2400000000000002</c:v>
                </c:pt>
                <c:pt idx="168">
                  <c:v>2.2400000000000002</c:v>
                </c:pt>
                <c:pt idx="169">
                  <c:v>2.2400000000000002</c:v>
                </c:pt>
                <c:pt idx="170">
                  <c:v>2.2509999999999999</c:v>
                </c:pt>
                <c:pt idx="171">
                  <c:v>2.2429999999999999</c:v>
                </c:pt>
                <c:pt idx="172">
                  <c:v>2.2429999999999999</c:v>
                </c:pt>
                <c:pt idx="173">
                  <c:v>2.2429999999999999</c:v>
                </c:pt>
                <c:pt idx="174">
                  <c:v>2.2450000000000001</c:v>
                </c:pt>
                <c:pt idx="175">
                  <c:v>2.2410000000000001</c:v>
                </c:pt>
                <c:pt idx="176">
                  <c:v>2.2400000000000002</c:v>
                </c:pt>
                <c:pt idx="177">
                  <c:v>2.2400000000000002</c:v>
                </c:pt>
                <c:pt idx="178">
                  <c:v>2.2480000000000002</c:v>
                </c:pt>
                <c:pt idx="179">
                  <c:v>2.2480000000000002</c:v>
                </c:pt>
                <c:pt idx="180">
                  <c:v>2.2480000000000002</c:v>
                </c:pt>
                <c:pt idx="181">
                  <c:v>2.2530000000000001</c:v>
                </c:pt>
                <c:pt idx="182">
                  <c:v>2.2530000000000001</c:v>
                </c:pt>
                <c:pt idx="183">
                  <c:v>2.25</c:v>
                </c:pt>
                <c:pt idx="184">
                  <c:v>2.2629999999999999</c:v>
                </c:pt>
                <c:pt idx="185">
                  <c:v>2.2629999999999999</c:v>
                </c:pt>
                <c:pt idx="186">
                  <c:v>2.2629999999999999</c:v>
                </c:pt>
                <c:pt idx="187">
                  <c:v>2.2629999999999999</c:v>
                </c:pt>
                <c:pt idx="188">
                  <c:v>2.2770000000000001</c:v>
                </c:pt>
                <c:pt idx="189">
                  <c:v>2.2509999999999999</c:v>
                </c:pt>
                <c:pt idx="190">
                  <c:v>2.0299999999999998</c:v>
                </c:pt>
                <c:pt idx="191">
                  <c:v>1.9590000000000001</c:v>
                </c:pt>
                <c:pt idx="192">
                  <c:v>1.9430000000000001</c:v>
                </c:pt>
                <c:pt idx="193">
                  <c:v>1.9430000000000001</c:v>
                </c:pt>
                <c:pt idx="194">
                  <c:v>1.9430000000000001</c:v>
                </c:pt>
                <c:pt idx="195">
                  <c:v>1.9330000000000001</c:v>
                </c:pt>
                <c:pt idx="196">
                  <c:v>1.92</c:v>
                </c:pt>
                <c:pt idx="197">
                  <c:v>1.909</c:v>
                </c:pt>
                <c:pt idx="198">
                  <c:v>1.9039999999999999</c:v>
                </c:pt>
                <c:pt idx="199">
                  <c:v>1.901</c:v>
                </c:pt>
                <c:pt idx="200">
                  <c:v>1.901</c:v>
                </c:pt>
                <c:pt idx="201">
                  <c:v>1.901</c:v>
                </c:pt>
                <c:pt idx="202">
                  <c:v>1.88</c:v>
                </c:pt>
                <c:pt idx="203">
                  <c:v>1.8540000000000001</c:v>
                </c:pt>
                <c:pt idx="204">
                  <c:v>1.839</c:v>
                </c:pt>
                <c:pt idx="205">
                  <c:v>1.839</c:v>
                </c:pt>
                <c:pt idx="206">
                  <c:v>1.8129999999999999</c:v>
                </c:pt>
                <c:pt idx="207">
                  <c:v>1.8129999999999999</c:v>
                </c:pt>
                <c:pt idx="208">
                  <c:v>1.8129999999999999</c:v>
                </c:pt>
                <c:pt idx="209">
                  <c:v>1.819</c:v>
                </c:pt>
                <c:pt idx="210">
                  <c:v>1.8129999999999999</c:v>
                </c:pt>
                <c:pt idx="211">
                  <c:v>1.8260000000000001</c:v>
                </c:pt>
                <c:pt idx="212">
                  <c:v>1.8440000000000001</c:v>
                </c:pt>
                <c:pt idx="213">
                  <c:v>1.87</c:v>
                </c:pt>
                <c:pt idx="214">
                  <c:v>1.87</c:v>
                </c:pt>
                <c:pt idx="215">
                  <c:v>1.87</c:v>
                </c:pt>
                <c:pt idx="216">
                  <c:v>1.863</c:v>
                </c:pt>
                <c:pt idx="217">
                  <c:v>1.84</c:v>
                </c:pt>
                <c:pt idx="218">
                  <c:v>1.784</c:v>
                </c:pt>
                <c:pt idx="219">
                  <c:v>1.778</c:v>
                </c:pt>
                <c:pt idx="220">
                  <c:v>1.746</c:v>
                </c:pt>
                <c:pt idx="221">
                  <c:v>1.746</c:v>
                </c:pt>
                <c:pt idx="222">
                  <c:v>1.746</c:v>
                </c:pt>
                <c:pt idx="223">
                  <c:v>1.762</c:v>
                </c:pt>
                <c:pt idx="224">
                  <c:v>1.7609999999999999</c:v>
                </c:pt>
                <c:pt idx="225">
                  <c:v>1.7609999999999999</c:v>
                </c:pt>
                <c:pt idx="226">
                  <c:v>1.7609999999999999</c:v>
                </c:pt>
                <c:pt idx="227">
                  <c:v>1.7609999999999999</c:v>
                </c:pt>
                <c:pt idx="228">
                  <c:v>1.7609999999999999</c:v>
                </c:pt>
                <c:pt idx="229">
                  <c:v>1.7609999999999999</c:v>
                </c:pt>
                <c:pt idx="230">
                  <c:v>1.768</c:v>
                </c:pt>
                <c:pt idx="231">
                  <c:v>1.77</c:v>
                </c:pt>
                <c:pt idx="232">
                  <c:v>1.77</c:v>
                </c:pt>
                <c:pt idx="233">
                  <c:v>1.7629999999999999</c:v>
                </c:pt>
                <c:pt idx="234">
                  <c:v>1.7649999999999999</c:v>
                </c:pt>
                <c:pt idx="235">
                  <c:v>1.7649999999999999</c:v>
                </c:pt>
                <c:pt idx="236">
                  <c:v>1.7649999999999999</c:v>
                </c:pt>
                <c:pt idx="237">
                  <c:v>1.7649999999999999</c:v>
                </c:pt>
                <c:pt idx="238">
                  <c:v>1.5529999999999999</c:v>
                </c:pt>
                <c:pt idx="239">
                  <c:v>1.5249999999999999</c:v>
                </c:pt>
                <c:pt idx="240">
                  <c:v>1.512</c:v>
                </c:pt>
                <c:pt idx="241">
                  <c:v>1.502</c:v>
                </c:pt>
                <c:pt idx="242">
                  <c:v>1.502</c:v>
                </c:pt>
                <c:pt idx="243">
                  <c:v>1.502</c:v>
                </c:pt>
                <c:pt idx="244">
                  <c:v>1.5009999999999999</c:v>
                </c:pt>
                <c:pt idx="245">
                  <c:v>1.4930000000000001</c:v>
                </c:pt>
                <c:pt idx="246">
                  <c:v>1.478</c:v>
                </c:pt>
                <c:pt idx="247">
                  <c:v>1.456</c:v>
                </c:pt>
                <c:pt idx="248">
                  <c:v>1.42</c:v>
                </c:pt>
                <c:pt idx="249">
                  <c:v>1.42</c:v>
                </c:pt>
                <c:pt idx="250">
                  <c:v>1.42</c:v>
                </c:pt>
                <c:pt idx="251">
                  <c:v>1.393</c:v>
                </c:pt>
                <c:pt idx="252">
                  <c:v>1.395</c:v>
                </c:pt>
                <c:pt idx="253">
                  <c:v>1.391</c:v>
                </c:pt>
                <c:pt idx="254">
                  <c:v>1.4</c:v>
                </c:pt>
                <c:pt idx="255">
                  <c:v>1.4179999999999999</c:v>
                </c:pt>
                <c:pt idx="256">
                  <c:v>1.4179999999999999</c:v>
                </c:pt>
                <c:pt idx="257">
                  <c:v>1.4179999999999999</c:v>
                </c:pt>
                <c:pt idx="258">
                  <c:v>1.4330000000000001</c:v>
                </c:pt>
                <c:pt idx="259">
                  <c:v>1.4330000000000001</c:v>
                </c:pt>
                <c:pt idx="260">
                  <c:v>1.4330000000000001</c:v>
                </c:pt>
                <c:pt idx="261">
                  <c:v>1.4350000000000001</c:v>
                </c:pt>
                <c:pt idx="262">
                  <c:v>1.4279999999999999</c:v>
                </c:pt>
                <c:pt idx="263">
                  <c:v>1.4279999999999999</c:v>
                </c:pt>
                <c:pt idx="264">
                  <c:v>1.4279999999999999</c:v>
                </c:pt>
                <c:pt idx="265">
                  <c:v>1.4279999999999999</c:v>
                </c:pt>
                <c:pt idx="266">
                  <c:v>1.4350000000000001</c:v>
                </c:pt>
                <c:pt idx="267">
                  <c:v>1.446</c:v>
                </c:pt>
                <c:pt idx="268">
                  <c:v>1.456</c:v>
                </c:pt>
                <c:pt idx="269">
                  <c:v>1.4730000000000001</c:v>
                </c:pt>
                <c:pt idx="270">
                  <c:v>1.4730000000000001</c:v>
                </c:pt>
                <c:pt idx="271">
                  <c:v>1.4730000000000001</c:v>
                </c:pt>
                <c:pt idx="272">
                  <c:v>1.4850000000000001</c:v>
                </c:pt>
                <c:pt idx="273">
                  <c:v>1.49</c:v>
                </c:pt>
                <c:pt idx="274">
                  <c:v>1.508</c:v>
                </c:pt>
                <c:pt idx="275">
                  <c:v>1.5109999999999999</c:v>
                </c:pt>
                <c:pt idx="276">
                  <c:v>1.508</c:v>
                </c:pt>
                <c:pt idx="277">
                  <c:v>1.508</c:v>
                </c:pt>
                <c:pt idx="278">
                  <c:v>1.508</c:v>
                </c:pt>
                <c:pt idx="279">
                  <c:v>1.5009999999999999</c:v>
                </c:pt>
                <c:pt idx="280">
                  <c:v>1.4159999999999999</c:v>
                </c:pt>
                <c:pt idx="281">
                  <c:v>1.4059999999999999</c:v>
                </c:pt>
                <c:pt idx="282">
                  <c:v>1.4019999999999999</c:v>
                </c:pt>
                <c:pt idx="283">
                  <c:v>1.39</c:v>
                </c:pt>
                <c:pt idx="284">
                  <c:v>1.39</c:v>
                </c:pt>
                <c:pt idx="285">
                  <c:v>1.39</c:v>
                </c:pt>
                <c:pt idx="286">
                  <c:v>1.3759999999999999</c:v>
                </c:pt>
                <c:pt idx="287">
                  <c:v>1.3759999999999999</c:v>
                </c:pt>
                <c:pt idx="288">
                  <c:v>1.367</c:v>
                </c:pt>
                <c:pt idx="289">
                  <c:v>1.3779999999999999</c:v>
                </c:pt>
                <c:pt idx="290">
                  <c:v>1.3779999999999999</c:v>
                </c:pt>
                <c:pt idx="291">
                  <c:v>1.3779999999999999</c:v>
                </c:pt>
                <c:pt idx="292">
                  <c:v>1.3779999999999999</c:v>
                </c:pt>
                <c:pt idx="293">
                  <c:v>1.3879999999999999</c:v>
                </c:pt>
                <c:pt idx="294">
                  <c:v>1.375</c:v>
                </c:pt>
                <c:pt idx="295">
                  <c:v>1.3779999999999999</c:v>
                </c:pt>
                <c:pt idx="296">
                  <c:v>1.3819999999999999</c:v>
                </c:pt>
                <c:pt idx="297">
                  <c:v>1.3480000000000001</c:v>
                </c:pt>
                <c:pt idx="298">
                  <c:v>1.3480000000000001</c:v>
                </c:pt>
                <c:pt idx="299">
                  <c:v>1.3480000000000001</c:v>
                </c:pt>
                <c:pt idx="300">
                  <c:v>1.32</c:v>
                </c:pt>
                <c:pt idx="301">
                  <c:v>1.3149999999999999</c:v>
                </c:pt>
                <c:pt idx="302">
                  <c:v>1.296</c:v>
                </c:pt>
                <c:pt idx="303">
                  <c:v>1.268</c:v>
                </c:pt>
                <c:pt idx="304">
                  <c:v>1.2529999999999999</c:v>
                </c:pt>
                <c:pt idx="305">
                  <c:v>1.2529999999999999</c:v>
                </c:pt>
                <c:pt idx="306">
                  <c:v>1.2529999999999999</c:v>
                </c:pt>
                <c:pt idx="307">
                  <c:v>1.2509999999999999</c:v>
                </c:pt>
                <c:pt idx="308">
                  <c:v>1.2569999999999999</c:v>
                </c:pt>
                <c:pt idx="309">
                  <c:v>1.256</c:v>
                </c:pt>
                <c:pt idx="310">
                  <c:v>1.256</c:v>
                </c:pt>
                <c:pt idx="311">
                  <c:v>1.2549999999999999</c:v>
                </c:pt>
                <c:pt idx="312">
                  <c:v>1.2549999999999999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1.2330000000000001</c:v>
                </c:pt>
                <c:pt idx="316">
                  <c:v>1.2330000000000001</c:v>
                </c:pt>
                <c:pt idx="317">
                  <c:v>1.232</c:v>
                </c:pt>
                <c:pt idx="318">
                  <c:v>1.2310000000000001</c:v>
                </c:pt>
                <c:pt idx="319">
                  <c:v>1.2310000000000001</c:v>
                </c:pt>
                <c:pt idx="320">
                  <c:v>1.2310000000000001</c:v>
                </c:pt>
                <c:pt idx="321">
                  <c:v>1.228</c:v>
                </c:pt>
                <c:pt idx="322">
                  <c:v>1.2250000000000001</c:v>
                </c:pt>
                <c:pt idx="323">
                  <c:v>1.2250000000000001</c:v>
                </c:pt>
                <c:pt idx="324">
                  <c:v>1.2250000000000001</c:v>
                </c:pt>
                <c:pt idx="325">
                  <c:v>1.2270000000000001</c:v>
                </c:pt>
                <c:pt idx="326">
                  <c:v>1.2270000000000001</c:v>
                </c:pt>
                <c:pt idx="327">
                  <c:v>1.2270000000000001</c:v>
                </c:pt>
                <c:pt idx="328">
                  <c:v>1.22</c:v>
                </c:pt>
                <c:pt idx="329">
                  <c:v>1.2150000000000001</c:v>
                </c:pt>
                <c:pt idx="330">
                  <c:v>1.2110000000000001</c:v>
                </c:pt>
                <c:pt idx="331">
                  <c:v>1.21</c:v>
                </c:pt>
                <c:pt idx="332">
                  <c:v>1.2110000000000001</c:v>
                </c:pt>
                <c:pt idx="333">
                  <c:v>1.2110000000000001</c:v>
                </c:pt>
                <c:pt idx="334">
                  <c:v>1.2110000000000001</c:v>
                </c:pt>
                <c:pt idx="335">
                  <c:v>1.2110000000000001</c:v>
                </c:pt>
                <c:pt idx="336">
                  <c:v>1.212</c:v>
                </c:pt>
                <c:pt idx="337">
                  <c:v>1.2130000000000001</c:v>
                </c:pt>
                <c:pt idx="338">
                  <c:v>1.2130000000000001</c:v>
                </c:pt>
                <c:pt idx="339">
                  <c:v>1.2130000000000001</c:v>
                </c:pt>
                <c:pt idx="340">
                  <c:v>1.2130000000000001</c:v>
                </c:pt>
                <c:pt idx="341">
                  <c:v>1.2130000000000001</c:v>
                </c:pt>
                <c:pt idx="342">
                  <c:v>1.212</c:v>
                </c:pt>
                <c:pt idx="343">
                  <c:v>1.2130000000000001</c:v>
                </c:pt>
                <c:pt idx="344">
                  <c:v>1.22</c:v>
                </c:pt>
                <c:pt idx="345">
                  <c:v>1.2230000000000001</c:v>
                </c:pt>
                <c:pt idx="346">
                  <c:v>1.228</c:v>
                </c:pt>
                <c:pt idx="347">
                  <c:v>1.228</c:v>
                </c:pt>
                <c:pt idx="348">
                  <c:v>1.228</c:v>
                </c:pt>
                <c:pt idx="349">
                  <c:v>1.23</c:v>
                </c:pt>
                <c:pt idx="350">
                  <c:v>1.236</c:v>
                </c:pt>
                <c:pt idx="351">
                  <c:v>1.236</c:v>
                </c:pt>
                <c:pt idx="352">
                  <c:v>1.236</c:v>
                </c:pt>
                <c:pt idx="353">
                  <c:v>1.236</c:v>
                </c:pt>
                <c:pt idx="354">
                  <c:v>1.236</c:v>
                </c:pt>
                <c:pt idx="355">
                  <c:v>1.236</c:v>
                </c:pt>
                <c:pt idx="356">
                  <c:v>1.2390000000000001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1.2390000000000001</c:v>
                </c:pt>
                <c:pt idx="360">
                  <c:v>1.2390000000000001</c:v>
                </c:pt>
                <c:pt idx="361">
                  <c:v>1.2390000000000001</c:v>
                </c:pt>
                <c:pt idx="362">
                  <c:v>1.2390000000000001</c:v>
                </c:pt>
                <c:pt idx="363">
                  <c:v>1.24</c:v>
                </c:pt>
                <c:pt idx="364">
                  <c:v>1.24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채권시장종합!$AY$57</c:f>
              <c:strCache>
                <c:ptCount val="1"/>
                <c:pt idx="0">
                  <c:v>회사채AAA(공모/무보증)</c:v>
                </c:pt>
              </c:strCache>
            </c:strRef>
          </c:tx>
          <c:spPr>
            <a:ln w="25400">
              <a:solidFill>
                <a:srgbClr val="006CFF"/>
              </a:solidFill>
            </a:ln>
          </c:spPr>
          <c:marker>
            <c:symbol val="none"/>
          </c:marker>
          <c:cat>
            <c:numRef>
              <c:f>채권시장종합!$AT$59:$AT$423</c:f>
              <c:numCache>
                <c:formatCode>m/d/yyyy</c:formatCode>
                <c:ptCount val="365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44941</c:v>
                </c:pt>
                <c:pt idx="4">
                  <c:v>44940</c:v>
                </c:pt>
                <c:pt idx="5">
                  <c:v>44939</c:v>
                </c:pt>
                <c:pt idx="6">
                  <c:v>44938</c:v>
                </c:pt>
                <c:pt idx="7">
                  <c:v>44937</c:v>
                </c:pt>
                <c:pt idx="8">
                  <c:v>44936</c:v>
                </c:pt>
                <c:pt idx="9">
                  <c:v>44935</c:v>
                </c:pt>
                <c:pt idx="10">
                  <c:v>44934</c:v>
                </c:pt>
                <c:pt idx="11">
                  <c:v>44933</c:v>
                </c:pt>
                <c:pt idx="12">
                  <c:v>44932</c:v>
                </c:pt>
                <c:pt idx="13">
                  <c:v>44931</c:v>
                </c:pt>
                <c:pt idx="14">
                  <c:v>44930</c:v>
                </c:pt>
                <c:pt idx="15">
                  <c:v>44929</c:v>
                </c:pt>
                <c:pt idx="16">
                  <c:v>44928</c:v>
                </c:pt>
                <c:pt idx="17">
                  <c:v>44927</c:v>
                </c:pt>
                <c:pt idx="18">
                  <c:v>44926</c:v>
                </c:pt>
                <c:pt idx="19">
                  <c:v>44925</c:v>
                </c:pt>
                <c:pt idx="20">
                  <c:v>44924</c:v>
                </c:pt>
                <c:pt idx="21">
                  <c:v>44923</c:v>
                </c:pt>
                <c:pt idx="22">
                  <c:v>44922</c:v>
                </c:pt>
                <c:pt idx="23">
                  <c:v>44921</c:v>
                </c:pt>
                <c:pt idx="24">
                  <c:v>44920</c:v>
                </c:pt>
                <c:pt idx="25">
                  <c:v>44919</c:v>
                </c:pt>
                <c:pt idx="26">
                  <c:v>44918</c:v>
                </c:pt>
                <c:pt idx="27">
                  <c:v>44917</c:v>
                </c:pt>
                <c:pt idx="28">
                  <c:v>44916</c:v>
                </c:pt>
                <c:pt idx="29">
                  <c:v>44915</c:v>
                </c:pt>
                <c:pt idx="30">
                  <c:v>44914</c:v>
                </c:pt>
                <c:pt idx="31">
                  <c:v>44913</c:v>
                </c:pt>
                <c:pt idx="32">
                  <c:v>44912</c:v>
                </c:pt>
                <c:pt idx="33">
                  <c:v>44911</c:v>
                </c:pt>
                <c:pt idx="34">
                  <c:v>44910</c:v>
                </c:pt>
                <c:pt idx="35">
                  <c:v>44909</c:v>
                </c:pt>
                <c:pt idx="36">
                  <c:v>44908</c:v>
                </c:pt>
                <c:pt idx="37">
                  <c:v>44907</c:v>
                </c:pt>
                <c:pt idx="38">
                  <c:v>44906</c:v>
                </c:pt>
                <c:pt idx="39">
                  <c:v>44905</c:v>
                </c:pt>
                <c:pt idx="40">
                  <c:v>44904</c:v>
                </c:pt>
                <c:pt idx="41">
                  <c:v>44903</c:v>
                </c:pt>
                <c:pt idx="42">
                  <c:v>44902</c:v>
                </c:pt>
                <c:pt idx="43">
                  <c:v>44901</c:v>
                </c:pt>
                <c:pt idx="44">
                  <c:v>44900</c:v>
                </c:pt>
                <c:pt idx="45">
                  <c:v>44899</c:v>
                </c:pt>
                <c:pt idx="46">
                  <c:v>44898</c:v>
                </c:pt>
                <c:pt idx="47">
                  <c:v>44897</c:v>
                </c:pt>
                <c:pt idx="48">
                  <c:v>44896</c:v>
                </c:pt>
                <c:pt idx="49">
                  <c:v>44895</c:v>
                </c:pt>
                <c:pt idx="50">
                  <c:v>44894</c:v>
                </c:pt>
                <c:pt idx="51">
                  <c:v>44893</c:v>
                </c:pt>
                <c:pt idx="52">
                  <c:v>44892</c:v>
                </c:pt>
                <c:pt idx="53">
                  <c:v>44891</c:v>
                </c:pt>
                <c:pt idx="54">
                  <c:v>44890</c:v>
                </c:pt>
                <c:pt idx="55">
                  <c:v>44889</c:v>
                </c:pt>
                <c:pt idx="56">
                  <c:v>44888</c:v>
                </c:pt>
                <c:pt idx="57">
                  <c:v>44887</c:v>
                </c:pt>
                <c:pt idx="58">
                  <c:v>44886</c:v>
                </c:pt>
                <c:pt idx="59">
                  <c:v>44885</c:v>
                </c:pt>
                <c:pt idx="60">
                  <c:v>44884</c:v>
                </c:pt>
                <c:pt idx="61">
                  <c:v>44883</c:v>
                </c:pt>
                <c:pt idx="62">
                  <c:v>44882</c:v>
                </c:pt>
                <c:pt idx="63">
                  <c:v>44881</c:v>
                </c:pt>
                <c:pt idx="64">
                  <c:v>44880</c:v>
                </c:pt>
                <c:pt idx="65">
                  <c:v>44879</c:v>
                </c:pt>
                <c:pt idx="66">
                  <c:v>44878</c:v>
                </c:pt>
                <c:pt idx="67">
                  <c:v>44877</c:v>
                </c:pt>
                <c:pt idx="68">
                  <c:v>44876</c:v>
                </c:pt>
                <c:pt idx="69">
                  <c:v>44875</c:v>
                </c:pt>
                <c:pt idx="70">
                  <c:v>44874</c:v>
                </c:pt>
                <c:pt idx="71">
                  <c:v>44873</c:v>
                </c:pt>
                <c:pt idx="72">
                  <c:v>44872</c:v>
                </c:pt>
                <c:pt idx="73">
                  <c:v>44871</c:v>
                </c:pt>
                <c:pt idx="74">
                  <c:v>44870</c:v>
                </c:pt>
                <c:pt idx="75">
                  <c:v>44869</c:v>
                </c:pt>
                <c:pt idx="76">
                  <c:v>44868</c:v>
                </c:pt>
                <c:pt idx="77">
                  <c:v>44867</c:v>
                </c:pt>
                <c:pt idx="78">
                  <c:v>44866</c:v>
                </c:pt>
                <c:pt idx="79">
                  <c:v>44865</c:v>
                </c:pt>
                <c:pt idx="80">
                  <c:v>44864</c:v>
                </c:pt>
                <c:pt idx="81">
                  <c:v>44863</c:v>
                </c:pt>
                <c:pt idx="82">
                  <c:v>44862</c:v>
                </c:pt>
                <c:pt idx="83">
                  <c:v>44861</c:v>
                </c:pt>
                <c:pt idx="84">
                  <c:v>44860</c:v>
                </c:pt>
                <c:pt idx="85">
                  <c:v>44859</c:v>
                </c:pt>
                <c:pt idx="86">
                  <c:v>44858</c:v>
                </c:pt>
                <c:pt idx="87">
                  <c:v>44857</c:v>
                </c:pt>
                <c:pt idx="88">
                  <c:v>44856</c:v>
                </c:pt>
                <c:pt idx="89">
                  <c:v>44855</c:v>
                </c:pt>
                <c:pt idx="90">
                  <c:v>44854</c:v>
                </c:pt>
                <c:pt idx="91">
                  <c:v>44853</c:v>
                </c:pt>
                <c:pt idx="92">
                  <c:v>44852</c:v>
                </c:pt>
                <c:pt idx="93">
                  <c:v>44851</c:v>
                </c:pt>
                <c:pt idx="94">
                  <c:v>44850</c:v>
                </c:pt>
                <c:pt idx="95">
                  <c:v>44849</c:v>
                </c:pt>
                <c:pt idx="96">
                  <c:v>44848</c:v>
                </c:pt>
                <c:pt idx="97">
                  <c:v>44847</c:v>
                </c:pt>
                <c:pt idx="98">
                  <c:v>44846</c:v>
                </c:pt>
                <c:pt idx="99">
                  <c:v>44845</c:v>
                </c:pt>
                <c:pt idx="100">
                  <c:v>44844</c:v>
                </c:pt>
                <c:pt idx="101">
                  <c:v>44843</c:v>
                </c:pt>
                <c:pt idx="102">
                  <c:v>44842</c:v>
                </c:pt>
                <c:pt idx="103">
                  <c:v>44841</c:v>
                </c:pt>
                <c:pt idx="104">
                  <c:v>44840</c:v>
                </c:pt>
                <c:pt idx="105">
                  <c:v>44839</c:v>
                </c:pt>
                <c:pt idx="106">
                  <c:v>44838</c:v>
                </c:pt>
                <c:pt idx="107">
                  <c:v>44837</c:v>
                </c:pt>
                <c:pt idx="108">
                  <c:v>44836</c:v>
                </c:pt>
                <c:pt idx="109">
                  <c:v>44835</c:v>
                </c:pt>
                <c:pt idx="110">
                  <c:v>44834</c:v>
                </c:pt>
                <c:pt idx="111">
                  <c:v>44833</c:v>
                </c:pt>
                <c:pt idx="112">
                  <c:v>44832</c:v>
                </c:pt>
                <c:pt idx="113">
                  <c:v>44831</c:v>
                </c:pt>
                <c:pt idx="114">
                  <c:v>44830</c:v>
                </c:pt>
                <c:pt idx="115">
                  <c:v>44829</c:v>
                </c:pt>
                <c:pt idx="116">
                  <c:v>44828</c:v>
                </c:pt>
                <c:pt idx="117">
                  <c:v>44827</c:v>
                </c:pt>
                <c:pt idx="118">
                  <c:v>44826</c:v>
                </c:pt>
                <c:pt idx="119">
                  <c:v>44825</c:v>
                </c:pt>
                <c:pt idx="120">
                  <c:v>44824</c:v>
                </c:pt>
                <c:pt idx="121">
                  <c:v>44823</c:v>
                </c:pt>
                <c:pt idx="122">
                  <c:v>44822</c:v>
                </c:pt>
                <c:pt idx="123">
                  <c:v>44821</c:v>
                </c:pt>
                <c:pt idx="124">
                  <c:v>44820</c:v>
                </c:pt>
                <c:pt idx="125">
                  <c:v>44819</c:v>
                </c:pt>
                <c:pt idx="126">
                  <c:v>44818</c:v>
                </c:pt>
                <c:pt idx="127">
                  <c:v>44817</c:v>
                </c:pt>
                <c:pt idx="128">
                  <c:v>44816</c:v>
                </c:pt>
                <c:pt idx="129">
                  <c:v>44815</c:v>
                </c:pt>
                <c:pt idx="130">
                  <c:v>44814</c:v>
                </c:pt>
                <c:pt idx="131">
                  <c:v>44813</c:v>
                </c:pt>
                <c:pt idx="132">
                  <c:v>44812</c:v>
                </c:pt>
                <c:pt idx="133">
                  <c:v>44811</c:v>
                </c:pt>
                <c:pt idx="134">
                  <c:v>44810</c:v>
                </c:pt>
                <c:pt idx="135">
                  <c:v>44809</c:v>
                </c:pt>
                <c:pt idx="136">
                  <c:v>44808</c:v>
                </c:pt>
                <c:pt idx="137">
                  <c:v>44807</c:v>
                </c:pt>
                <c:pt idx="138">
                  <c:v>44806</c:v>
                </c:pt>
                <c:pt idx="139">
                  <c:v>44805</c:v>
                </c:pt>
                <c:pt idx="140">
                  <c:v>44804</c:v>
                </c:pt>
                <c:pt idx="141">
                  <c:v>44803</c:v>
                </c:pt>
                <c:pt idx="142">
                  <c:v>44802</c:v>
                </c:pt>
                <c:pt idx="143">
                  <c:v>44801</c:v>
                </c:pt>
                <c:pt idx="144">
                  <c:v>44800</c:v>
                </c:pt>
                <c:pt idx="145">
                  <c:v>44799</c:v>
                </c:pt>
                <c:pt idx="146">
                  <c:v>44798</c:v>
                </c:pt>
                <c:pt idx="147">
                  <c:v>44797</c:v>
                </c:pt>
                <c:pt idx="148">
                  <c:v>44796</c:v>
                </c:pt>
                <c:pt idx="149">
                  <c:v>44795</c:v>
                </c:pt>
                <c:pt idx="150">
                  <c:v>44794</c:v>
                </c:pt>
                <c:pt idx="151">
                  <c:v>44793</c:v>
                </c:pt>
                <c:pt idx="152">
                  <c:v>44792</c:v>
                </c:pt>
                <c:pt idx="153">
                  <c:v>44791</c:v>
                </c:pt>
                <c:pt idx="154">
                  <c:v>44790</c:v>
                </c:pt>
                <c:pt idx="155">
                  <c:v>44789</c:v>
                </c:pt>
                <c:pt idx="156">
                  <c:v>44788</c:v>
                </c:pt>
                <c:pt idx="157">
                  <c:v>44787</c:v>
                </c:pt>
                <c:pt idx="158">
                  <c:v>44786</c:v>
                </c:pt>
                <c:pt idx="159">
                  <c:v>44785</c:v>
                </c:pt>
                <c:pt idx="160">
                  <c:v>44784</c:v>
                </c:pt>
                <c:pt idx="161">
                  <c:v>44783</c:v>
                </c:pt>
                <c:pt idx="162">
                  <c:v>44782</c:v>
                </c:pt>
                <c:pt idx="163">
                  <c:v>44781</c:v>
                </c:pt>
                <c:pt idx="164">
                  <c:v>44780</c:v>
                </c:pt>
                <c:pt idx="165">
                  <c:v>44779</c:v>
                </c:pt>
                <c:pt idx="166">
                  <c:v>44778</c:v>
                </c:pt>
                <c:pt idx="167">
                  <c:v>44777</c:v>
                </c:pt>
                <c:pt idx="168">
                  <c:v>44776</c:v>
                </c:pt>
                <c:pt idx="169">
                  <c:v>44775</c:v>
                </c:pt>
                <c:pt idx="170">
                  <c:v>44774</c:v>
                </c:pt>
                <c:pt idx="171">
                  <c:v>44773</c:v>
                </c:pt>
                <c:pt idx="172">
                  <c:v>44772</c:v>
                </c:pt>
                <c:pt idx="173">
                  <c:v>44771</c:v>
                </c:pt>
                <c:pt idx="174">
                  <c:v>44770</c:v>
                </c:pt>
                <c:pt idx="175">
                  <c:v>44769</c:v>
                </c:pt>
                <c:pt idx="176">
                  <c:v>44768</c:v>
                </c:pt>
                <c:pt idx="177">
                  <c:v>44767</c:v>
                </c:pt>
                <c:pt idx="178">
                  <c:v>44766</c:v>
                </c:pt>
                <c:pt idx="179">
                  <c:v>44765</c:v>
                </c:pt>
                <c:pt idx="180">
                  <c:v>44764</c:v>
                </c:pt>
                <c:pt idx="181">
                  <c:v>44763</c:v>
                </c:pt>
                <c:pt idx="182">
                  <c:v>44762</c:v>
                </c:pt>
                <c:pt idx="183">
                  <c:v>44761</c:v>
                </c:pt>
                <c:pt idx="184">
                  <c:v>44760</c:v>
                </c:pt>
                <c:pt idx="185">
                  <c:v>44759</c:v>
                </c:pt>
                <c:pt idx="186">
                  <c:v>44758</c:v>
                </c:pt>
                <c:pt idx="187">
                  <c:v>44757</c:v>
                </c:pt>
                <c:pt idx="188">
                  <c:v>44756</c:v>
                </c:pt>
                <c:pt idx="189">
                  <c:v>44755</c:v>
                </c:pt>
                <c:pt idx="190">
                  <c:v>44754</c:v>
                </c:pt>
                <c:pt idx="191">
                  <c:v>44753</c:v>
                </c:pt>
                <c:pt idx="192">
                  <c:v>44752</c:v>
                </c:pt>
                <c:pt idx="193">
                  <c:v>44751</c:v>
                </c:pt>
                <c:pt idx="194">
                  <c:v>44750</c:v>
                </c:pt>
                <c:pt idx="195">
                  <c:v>44749</c:v>
                </c:pt>
                <c:pt idx="196">
                  <c:v>44748</c:v>
                </c:pt>
                <c:pt idx="197">
                  <c:v>44747</c:v>
                </c:pt>
                <c:pt idx="198">
                  <c:v>44746</c:v>
                </c:pt>
                <c:pt idx="199">
                  <c:v>44745</c:v>
                </c:pt>
                <c:pt idx="200">
                  <c:v>44744</c:v>
                </c:pt>
                <c:pt idx="201">
                  <c:v>44743</c:v>
                </c:pt>
                <c:pt idx="202">
                  <c:v>44742</c:v>
                </c:pt>
                <c:pt idx="203">
                  <c:v>44741</c:v>
                </c:pt>
                <c:pt idx="204">
                  <c:v>44740</c:v>
                </c:pt>
                <c:pt idx="205">
                  <c:v>44739</c:v>
                </c:pt>
                <c:pt idx="206">
                  <c:v>44738</c:v>
                </c:pt>
                <c:pt idx="207">
                  <c:v>44737</c:v>
                </c:pt>
                <c:pt idx="208">
                  <c:v>44736</c:v>
                </c:pt>
                <c:pt idx="209">
                  <c:v>44735</c:v>
                </c:pt>
                <c:pt idx="210">
                  <c:v>44734</c:v>
                </c:pt>
                <c:pt idx="211">
                  <c:v>44733</c:v>
                </c:pt>
                <c:pt idx="212">
                  <c:v>44732</c:v>
                </c:pt>
                <c:pt idx="213">
                  <c:v>44731</c:v>
                </c:pt>
                <c:pt idx="214">
                  <c:v>44730</c:v>
                </c:pt>
                <c:pt idx="215">
                  <c:v>44729</c:v>
                </c:pt>
                <c:pt idx="216">
                  <c:v>44728</c:v>
                </c:pt>
                <c:pt idx="217">
                  <c:v>44727</c:v>
                </c:pt>
                <c:pt idx="218">
                  <c:v>44726</c:v>
                </c:pt>
                <c:pt idx="219">
                  <c:v>44725</c:v>
                </c:pt>
                <c:pt idx="220">
                  <c:v>44724</c:v>
                </c:pt>
                <c:pt idx="221">
                  <c:v>44723</c:v>
                </c:pt>
                <c:pt idx="222">
                  <c:v>44722</c:v>
                </c:pt>
                <c:pt idx="223">
                  <c:v>44721</c:v>
                </c:pt>
                <c:pt idx="224">
                  <c:v>44720</c:v>
                </c:pt>
                <c:pt idx="225">
                  <c:v>44719</c:v>
                </c:pt>
                <c:pt idx="226">
                  <c:v>44718</c:v>
                </c:pt>
                <c:pt idx="227">
                  <c:v>44717</c:v>
                </c:pt>
                <c:pt idx="228">
                  <c:v>44716</c:v>
                </c:pt>
                <c:pt idx="229">
                  <c:v>44715</c:v>
                </c:pt>
                <c:pt idx="230">
                  <c:v>44714</c:v>
                </c:pt>
                <c:pt idx="231">
                  <c:v>44713</c:v>
                </c:pt>
                <c:pt idx="232">
                  <c:v>44712</c:v>
                </c:pt>
                <c:pt idx="233">
                  <c:v>44711</c:v>
                </c:pt>
                <c:pt idx="234">
                  <c:v>44710</c:v>
                </c:pt>
                <c:pt idx="235">
                  <c:v>44709</c:v>
                </c:pt>
                <c:pt idx="236">
                  <c:v>44708</c:v>
                </c:pt>
                <c:pt idx="237">
                  <c:v>44707</c:v>
                </c:pt>
                <c:pt idx="238">
                  <c:v>44706</c:v>
                </c:pt>
                <c:pt idx="239">
                  <c:v>44705</c:v>
                </c:pt>
                <c:pt idx="240">
                  <c:v>44704</c:v>
                </c:pt>
                <c:pt idx="241">
                  <c:v>44703</c:v>
                </c:pt>
                <c:pt idx="242">
                  <c:v>44702</c:v>
                </c:pt>
                <c:pt idx="243">
                  <c:v>44701</c:v>
                </c:pt>
                <c:pt idx="244">
                  <c:v>44700</c:v>
                </c:pt>
                <c:pt idx="245">
                  <c:v>44699</c:v>
                </c:pt>
                <c:pt idx="246">
                  <c:v>44698</c:v>
                </c:pt>
                <c:pt idx="247">
                  <c:v>44697</c:v>
                </c:pt>
                <c:pt idx="248">
                  <c:v>44696</c:v>
                </c:pt>
                <c:pt idx="249">
                  <c:v>44695</c:v>
                </c:pt>
                <c:pt idx="250">
                  <c:v>44694</c:v>
                </c:pt>
                <c:pt idx="251">
                  <c:v>44693</c:v>
                </c:pt>
                <c:pt idx="252">
                  <c:v>44692</c:v>
                </c:pt>
                <c:pt idx="253">
                  <c:v>44691</c:v>
                </c:pt>
                <c:pt idx="254">
                  <c:v>44690</c:v>
                </c:pt>
                <c:pt idx="255">
                  <c:v>44689</c:v>
                </c:pt>
                <c:pt idx="256">
                  <c:v>44688</c:v>
                </c:pt>
                <c:pt idx="257">
                  <c:v>44687</c:v>
                </c:pt>
                <c:pt idx="258">
                  <c:v>44686</c:v>
                </c:pt>
                <c:pt idx="259">
                  <c:v>44685</c:v>
                </c:pt>
                <c:pt idx="260">
                  <c:v>44684</c:v>
                </c:pt>
                <c:pt idx="261">
                  <c:v>44683</c:v>
                </c:pt>
                <c:pt idx="262">
                  <c:v>44682</c:v>
                </c:pt>
                <c:pt idx="263">
                  <c:v>44681</c:v>
                </c:pt>
                <c:pt idx="264">
                  <c:v>44680</c:v>
                </c:pt>
                <c:pt idx="265">
                  <c:v>44679</c:v>
                </c:pt>
                <c:pt idx="266">
                  <c:v>44678</c:v>
                </c:pt>
                <c:pt idx="267">
                  <c:v>44677</c:v>
                </c:pt>
                <c:pt idx="268">
                  <c:v>44676</c:v>
                </c:pt>
                <c:pt idx="269">
                  <c:v>44675</c:v>
                </c:pt>
                <c:pt idx="270">
                  <c:v>44674</c:v>
                </c:pt>
                <c:pt idx="271">
                  <c:v>44673</c:v>
                </c:pt>
                <c:pt idx="272">
                  <c:v>44672</c:v>
                </c:pt>
                <c:pt idx="273">
                  <c:v>44671</c:v>
                </c:pt>
                <c:pt idx="274">
                  <c:v>44670</c:v>
                </c:pt>
                <c:pt idx="275">
                  <c:v>44669</c:v>
                </c:pt>
                <c:pt idx="276">
                  <c:v>44668</c:v>
                </c:pt>
                <c:pt idx="277">
                  <c:v>44667</c:v>
                </c:pt>
                <c:pt idx="278">
                  <c:v>44666</c:v>
                </c:pt>
                <c:pt idx="279">
                  <c:v>44665</c:v>
                </c:pt>
                <c:pt idx="280">
                  <c:v>44664</c:v>
                </c:pt>
                <c:pt idx="281">
                  <c:v>44663</c:v>
                </c:pt>
                <c:pt idx="282">
                  <c:v>44662</c:v>
                </c:pt>
                <c:pt idx="283">
                  <c:v>44661</c:v>
                </c:pt>
                <c:pt idx="284">
                  <c:v>44660</c:v>
                </c:pt>
                <c:pt idx="285">
                  <c:v>44659</c:v>
                </c:pt>
                <c:pt idx="286">
                  <c:v>44658</c:v>
                </c:pt>
                <c:pt idx="287">
                  <c:v>44657</c:v>
                </c:pt>
                <c:pt idx="288">
                  <c:v>44656</c:v>
                </c:pt>
                <c:pt idx="289">
                  <c:v>44655</c:v>
                </c:pt>
                <c:pt idx="290">
                  <c:v>44654</c:v>
                </c:pt>
                <c:pt idx="291">
                  <c:v>44653</c:v>
                </c:pt>
                <c:pt idx="292">
                  <c:v>44652</c:v>
                </c:pt>
                <c:pt idx="293">
                  <c:v>44651</c:v>
                </c:pt>
                <c:pt idx="294">
                  <c:v>44650</c:v>
                </c:pt>
                <c:pt idx="295">
                  <c:v>44649</c:v>
                </c:pt>
                <c:pt idx="296">
                  <c:v>44648</c:v>
                </c:pt>
                <c:pt idx="297">
                  <c:v>44647</c:v>
                </c:pt>
                <c:pt idx="298">
                  <c:v>44646</c:v>
                </c:pt>
                <c:pt idx="299">
                  <c:v>44645</c:v>
                </c:pt>
                <c:pt idx="300">
                  <c:v>44644</c:v>
                </c:pt>
                <c:pt idx="301">
                  <c:v>44643</c:v>
                </c:pt>
                <c:pt idx="302">
                  <c:v>44642</c:v>
                </c:pt>
                <c:pt idx="303">
                  <c:v>44641</c:v>
                </c:pt>
                <c:pt idx="304">
                  <c:v>44640</c:v>
                </c:pt>
                <c:pt idx="305">
                  <c:v>44639</c:v>
                </c:pt>
                <c:pt idx="306">
                  <c:v>44638</c:v>
                </c:pt>
                <c:pt idx="307">
                  <c:v>44637</c:v>
                </c:pt>
                <c:pt idx="308">
                  <c:v>44636</c:v>
                </c:pt>
                <c:pt idx="309">
                  <c:v>44635</c:v>
                </c:pt>
                <c:pt idx="310">
                  <c:v>44634</c:v>
                </c:pt>
                <c:pt idx="311">
                  <c:v>44633</c:v>
                </c:pt>
                <c:pt idx="312">
                  <c:v>44632</c:v>
                </c:pt>
                <c:pt idx="313">
                  <c:v>44631</c:v>
                </c:pt>
                <c:pt idx="314">
                  <c:v>44630</c:v>
                </c:pt>
                <c:pt idx="315">
                  <c:v>44629</c:v>
                </c:pt>
                <c:pt idx="316">
                  <c:v>44628</c:v>
                </c:pt>
                <c:pt idx="317">
                  <c:v>44627</c:v>
                </c:pt>
                <c:pt idx="318">
                  <c:v>44626</c:v>
                </c:pt>
                <c:pt idx="319">
                  <c:v>44625</c:v>
                </c:pt>
                <c:pt idx="320">
                  <c:v>44624</c:v>
                </c:pt>
                <c:pt idx="321">
                  <c:v>44623</c:v>
                </c:pt>
                <c:pt idx="322">
                  <c:v>44622</c:v>
                </c:pt>
                <c:pt idx="323">
                  <c:v>44621</c:v>
                </c:pt>
                <c:pt idx="324">
                  <c:v>44620</c:v>
                </c:pt>
                <c:pt idx="325">
                  <c:v>44619</c:v>
                </c:pt>
                <c:pt idx="326">
                  <c:v>44618</c:v>
                </c:pt>
                <c:pt idx="327">
                  <c:v>44617</c:v>
                </c:pt>
                <c:pt idx="328">
                  <c:v>44616</c:v>
                </c:pt>
                <c:pt idx="329">
                  <c:v>44615</c:v>
                </c:pt>
                <c:pt idx="330">
                  <c:v>44614</c:v>
                </c:pt>
                <c:pt idx="331">
                  <c:v>44613</c:v>
                </c:pt>
                <c:pt idx="332">
                  <c:v>44612</c:v>
                </c:pt>
                <c:pt idx="333">
                  <c:v>44611</c:v>
                </c:pt>
                <c:pt idx="334">
                  <c:v>44610</c:v>
                </c:pt>
                <c:pt idx="335">
                  <c:v>44609</c:v>
                </c:pt>
                <c:pt idx="336">
                  <c:v>44608</c:v>
                </c:pt>
                <c:pt idx="337">
                  <c:v>44607</c:v>
                </c:pt>
                <c:pt idx="338">
                  <c:v>44606</c:v>
                </c:pt>
                <c:pt idx="339">
                  <c:v>44605</c:v>
                </c:pt>
                <c:pt idx="340">
                  <c:v>44604</c:v>
                </c:pt>
                <c:pt idx="341">
                  <c:v>44603</c:v>
                </c:pt>
                <c:pt idx="342">
                  <c:v>44602</c:v>
                </c:pt>
                <c:pt idx="343">
                  <c:v>44601</c:v>
                </c:pt>
                <c:pt idx="344">
                  <c:v>44600</c:v>
                </c:pt>
                <c:pt idx="345">
                  <c:v>44599</c:v>
                </c:pt>
                <c:pt idx="346">
                  <c:v>44598</c:v>
                </c:pt>
                <c:pt idx="347">
                  <c:v>44597</c:v>
                </c:pt>
                <c:pt idx="348">
                  <c:v>44596</c:v>
                </c:pt>
                <c:pt idx="349">
                  <c:v>44595</c:v>
                </c:pt>
                <c:pt idx="350">
                  <c:v>44594</c:v>
                </c:pt>
                <c:pt idx="351">
                  <c:v>44593</c:v>
                </c:pt>
                <c:pt idx="352">
                  <c:v>44592</c:v>
                </c:pt>
                <c:pt idx="353">
                  <c:v>44591</c:v>
                </c:pt>
                <c:pt idx="354">
                  <c:v>44590</c:v>
                </c:pt>
                <c:pt idx="355">
                  <c:v>44589</c:v>
                </c:pt>
                <c:pt idx="356">
                  <c:v>44588</c:v>
                </c:pt>
                <c:pt idx="357">
                  <c:v>44587</c:v>
                </c:pt>
                <c:pt idx="358">
                  <c:v>44586</c:v>
                </c:pt>
                <c:pt idx="359">
                  <c:v>44585</c:v>
                </c:pt>
                <c:pt idx="360">
                  <c:v>44584</c:v>
                </c:pt>
                <c:pt idx="361">
                  <c:v>44583</c:v>
                </c:pt>
                <c:pt idx="362">
                  <c:v>44582</c:v>
                </c:pt>
                <c:pt idx="363">
                  <c:v>44581</c:v>
                </c:pt>
                <c:pt idx="364">
                  <c:v>44580</c:v>
                </c:pt>
              </c:numCache>
            </c:numRef>
          </c:cat>
          <c:val>
            <c:numRef>
              <c:f>채권시장종합!$AY$59:$AY$423</c:f>
              <c:numCache>
                <c:formatCode>General</c:formatCode>
                <c:ptCount val="365"/>
                <c:pt idx="1">
                  <c:v>4.1219999999999999</c:v>
                </c:pt>
                <c:pt idx="2">
                  <c:v>4.1509999999999998</c:v>
                </c:pt>
                <c:pt idx="3">
                  <c:v>4.1820000000000004</c:v>
                </c:pt>
                <c:pt idx="4">
                  <c:v>4.1820000000000004</c:v>
                </c:pt>
                <c:pt idx="5">
                  <c:v>4.1820000000000004</c:v>
                </c:pt>
                <c:pt idx="6">
                  <c:v>4.157</c:v>
                </c:pt>
                <c:pt idx="7">
                  <c:v>4.1669999999999998</c:v>
                </c:pt>
                <c:pt idx="8">
                  <c:v>4.1959999999999997</c:v>
                </c:pt>
                <c:pt idx="9">
                  <c:v>4.2210000000000001</c:v>
                </c:pt>
                <c:pt idx="10">
                  <c:v>4.2649999999999997</c:v>
                </c:pt>
                <c:pt idx="11">
                  <c:v>4.2649999999999997</c:v>
                </c:pt>
                <c:pt idx="12">
                  <c:v>4.2649999999999997</c:v>
                </c:pt>
                <c:pt idx="13">
                  <c:v>4.2960000000000003</c:v>
                </c:pt>
                <c:pt idx="14">
                  <c:v>4.34</c:v>
                </c:pt>
                <c:pt idx="15">
                  <c:v>4.407</c:v>
                </c:pt>
                <c:pt idx="16">
                  <c:v>4.4820000000000002</c:v>
                </c:pt>
                <c:pt idx="17">
                  <c:v>4.5129999999999999</c:v>
                </c:pt>
                <c:pt idx="18">
                  <c:v>4.5129999999999999</c:v>
                </c:pt>
                <c:pt idx="19">
                  <c:v>4.5129999999999999</c:v>
                </c:pt>
                <c:pt idx="20">
                  <c:v>4.5129999999999999</c:v>
                </c:pt>
                <c:pt idx="21">
                  <c:v>4.5170000000000003</c:v>
                </c:pt>
                <c:pt idx="22">
                  <c:v>4.5279999999999996</c:v>
                </c:pt>
                <c:pt idx="23">
                  <c:v>4.5419999999999998</c:v>
                </c:pt>
                <c:pt idx="24">
                  <c:v>4.55</c:v>
                </c:pt>
                <c:pt idx="25">
                  <c:v>4.55</c:v>
                </c:pt>
                <c:pt idx="26">
                  <c:v>4.55</c:v>
                </c:pt>
                <c:pt idx="27">
                  <c:v>4.532</c:v>
                </c:pt>
                <c:pt idx="28">
                  <c:v>4.55</c:v>
                </c:pt>
                <c:pt idx="29">
                  <c:v>4.5579999999999998</c:v>
                </c:pt>
                <c:pt idx="30">
                  <c:v>4.532</c:v>
                </c:pt>
                <c:pt idx="31">
                  <c:v>4.5330000000000004</c:v>
                </c:pt>
                <c:pt idx="32">
                  <c:v>4.5330000000000004</c:v>
                </c:pt>
                <c:pt idx="33">
                  <c:v>4.5330000000000004</c:v>
                </c:pt>
                <c:pt idx="34">
                  <c:v>4.53</c:v>
                </c:pt>
                <c:pt idx="35">
                  <c:v>4.5229999999999997</c:v>
                </c:pt>
                <c:pt idx="36">
                  <c:v>4.5250000000000004</c:v>
                </c:pt>
                <c:pt idx="37">
                  <c:v>4.4969999999999999</c:v>
                </c:pt>
                <c:pt idx="38">
                  <c:v>4.49</c:v>
                </c:pt>
                <c:pt idx="39">
                  <c:v>4.49</c:v>
                </c:pt>
                <c:pt idx="40">
                  <c:v>4.49</c:v>
                </c:pt>
                <c:pt idx="41">
                  <c:v>4.4850000000000003</c:v>
                </c:pt>
                <c:pt idx="42">
                  <c:v>4.4640000000000004</c:v>
                </c:pt>
                <c:pt idx="43">
                  <c:v>4.444</c:v>
                </c:pt>
                <c:pt idx="44">
                  <c:v>4.4329999999999998</c:v>
                </c:pt>
                <c:pt idx="45">
                  <c:v>4.4379999999999997</c:v>
                </c:pt>
                <c:pt idx="46">
                  <c:v>4.4379999999999997</c:v>
                </c:pt>
                <c:pt idx="47">
                  <c:v>4.4379999999999997</c:v>
                </c:pt>
                <c:pt idx="48">
                  <c:v>4.47</c:v>
                </c:pt>
                <c:pt idx="49">
                  <c:v>4.516</c:v>
                </c:pt>
                <c:pt idx="50">
                  <c:v>4.5060000000000002</c:v>
                </c:pt>
                <c:pt idx="51">
                  <c:v>4.4829999999999997</c:v>
                </c:pt>
                <c:pt idx="52">
                  <c:v>4.46</c:v>
                </c:pt>
                <c:pt idx="53">
                  <c:v>4.46</c:v>
                </c:pt>
                <c:pt idx="54">
                  <c:v>4.46</c:v>
                </c:pt>
                <c:pt idx="55">
                  <c:v>4.4480000000000004</c:v>
                </c:pt>
                <c:pt idx="56">
                  <c:v>4.4260000000000002</c:v>
                </c:pt>
                <c:pt idx="57">
                  <c:v>4.4210000000000003</c:v>
                </c:pt>
                <c:pt idx="58">
                  <c:v>4.4189999999999996</c:v>
                </c:pt>
                <c:pt idx="59">
                  <c:v>4.4109999999999996</c:v>
                </c:pt>
                <c:pt idx="60">
                  <c:v>4.4109999999999996</c:v>
                </c:pt>
                <c:pt idx="61">
                  <c:v>4.4109999999999996</c:v>
                </c:pt>
                <c:pt idx="62">
                  <c:v>4.4080000000000004</c:v>
                </c:pt>
                <c:pt idx="63">
                  <c:v>4.3940000000000001</c:v>
                </c:pt>
                <c:pt idx="64">
                  <c:v>4.3579999999999997</c:v>
                </c:pt>
                <c:pt idx="65">
                  <c:v>4.3600000000000003</c:v>
                </c:pt>
                <c:pt idx="66">
                  <c:v>4.3440000000000003</c:v>
                </c:pt>
                <c:pt idx="67">
                  <c:v>4.3440000000000003</c:v>
                </c:pt>
                <c:pt idx="68">
                  <c:v>4.3440000000000003</c:v>
                </c:pt>
                <c:pt idx="69">
                  <c:v>4.3559999999999999</c:v>
                </c:pt>
                <c:pt idx="70">
                  <c:v>4.335</c:v>
                </c:pt>
                <c:pt idx="71">
                  <c:v>4.32</c:v>
                </c:pt>
                <c:pt idx="72">
                  <c:v>4.2990000000000004</c:v>
                </c:pt>
                <c:pt idx="73">
                  <c:v>4.2779999999999996</c:v>
                </c:pt>
                <c:pt idx="74">
                  <c:v>4.2779999999999996</c:v>
                </c:pt>
                <c:pt idx="75">
                  <c:v>4.2779999999999996</c:v>
                </c:pt>
                <c:pt idx="76">
                  <c:v>4.2539999999999996</c:v>
                </c:pt>
                <c:pt idx="77">
                  <c:v>4.2089999999999996</c:v>
                </c:pt>
                <c:pt idx="78">
                  <c:v>4.1749999999999998</c:v>
                </c:pt>
                <c:pt idx="79">
                  <c:v>4.1609999999999996</c:v>
                </c:pt>
                <c:pt idx="80">
                  <c:v>4.1280000000000001</c:v>
                </c:pt>
                <c:pt idx="81">
                  <c:v>4.1280000000000001</c:v>
                </c:pt>
                <c:pt idx="82">
                  <c:v>4.1280000000000001</c:v>
                </c:pt>
                <c:pt idx="83">
                  <c:v>4.1189999999999998</c:v>
                </c:pt>
                <c:pt idx="84">
                  <c:v>4.0640000000000001</c:v>
                </c:pt>
                <c:pt idx="85">
                  <c:v>4.01</c:v>
                </c:pt>
                <c:pt idx="86">
                  <c:v>3.9830000000000001</c:v>
                </c:pt>
                <c:pt idx="87">
                  <c:v>3.9550000000000001</c:v>
                </c:pt>
                <c:pt idx="88">
                  <c:v>3.9550000000000001</c:v>
                </c:pt>
                <c:pt idx="89">
                  <c:v>3.9550000000000001</c:v>
                </c:pt>
                <c:pt idx="90">
                  <c:v>3.8679999999999999</c:v>
                </c:pt>
                <c:pt idx="91">
                  <c:v>3.8330000000000002</c:v>
                </c:pt>
                <c:pt idx="92">
                  <c:v>3.7890000000000001</c:v>
                </c:pt>
                <c:pt idx="93">
                  <c:v>3.76</c:v>
                </c:pt>
                <c:pt idx="94">
                  <c:v>3.738</c:v>
                </c:pt>
                <c:pt idx="95">
                  <c:v>3.738</c:v>
                </c:pt>
                <c:pt idx="96">
                  <c:v>3.738</c:v>
                </c:pt>
                <c:pt idx="97">
                  <c:v>3.7130000000000001</c:v>
                </c:pt>
                <c:pt idx="98">
                  <c:v>3.6789999999999998</c:v>
                </c:pt>
                <c:pt idx="99">
                  <c:v>3.524</c:v>
                </c:pt>
                <c:pt idx="100">
                  <c:v>3.4750000000000001</c:v>
                </c:pt>
                <c:pt idx="101">
                  <c:v>3.4750000000000001</c:v>
                </c:pt>
                <c:pt idx="102">
                  <c:v>3.4750000000000001</c:v>
                </c:pt>
                <c:pt idx="103">
                  <c:v>3.4750000000000001</c:v>
                </c:pt>
                <c:pt idx="104">
                  <c:v>3.4630000000000001</c:v>
                </c:pt>
                <c:pt idx="105">
                  <c:v>3.4580000000000002</c:v>
                </c:pt>
                <c:pt idx="106">
                  <c:v>3.4350000000000001</c:v>
                </c:pt>
                <c:pt idx="107">
                  <c:v>3.44</c:v>
                </c:pt>
                <c:pt idx="108">
                  <c:v>3.44</c:v>
                </c:pt>
                <c:pt idx="109">
                  <c:v>3.44</c:v>
                </c:pt>
                <c:pt idx="110">
                  <c:v>3.44</c:v>
                </c:pt>
                <c:pt idx="111">
                  <c:v>3.4649999999999999</c:v>
                </c:pt>
                <c:pt idx="112">
                  <c:v>3.4950000000000001</c:v>
                </c:pt>
                <c:pt idx="113">
                  <c:v>3.4660000000000002</c:v>
                </c:pt>
                <c:pt idx="114">
                  <c:v>3.464</c:v>
                </c:pt>
                <c:pt idx="115">
                  <c:v>3.379</c:v>
                </c:pt>
                <c:pt idx="116">
                  <c:v>3.379</c:v>
                </c:pt>
                <c:pt idx="117">
                  <c:v>3.379</c:v>
                </c:pt>
                <c:pt idx="118">
                  <c:v>3.339</c:v>
                </c:pt>
                <c:pt idx="119">
                  <c:v>3.2229999999999999</c:v>
                </c:pt>
                <c:pt idx="120">
                  <c:v>3.2149999999999999</c:v>
                </c:pt>
                <c:pt idx="121">
                  <c:v>3.1960000000000002</c:v>
                </c:pt>
                <c:pt idx="122">
                  <c:v>3.2040000000000002</c:v>
                </c:pt>
                <c:pt idx="123">
                  <c:v>3.2040000000000002</c:v>
                </c:pt>
                <c:pt idx="124">
                  <c:v>3.2040000000000002</c:v>
                </c:pt>
                <c:pt idx="125">
                  <c:v>3.2029999999999998</c:v>
                </c:pt>
                <c:pt idx="126">
                  <c:v>3.19</c:v>
                </c:pt>
                <c:pt idx="127">
                  <c:v>3.1760000000000002</c:v>
                </c:pt>
                <c:pt idx="128">
                  <c:v>3.173</c:v>
                </c:pt>
                <c:pt idx="129">
                  <c:v>3.173</c:v>
                </c:pt>
                <c:pt idx="130">
                  <c:v>3.173</c:v>
                </c:pt>
                <c:pt idx="131">
                  <c:v>3.173</c:v>
                </c:pt>
                <c:pt idx="132">
                  <c:v>3.173</c:v>
                </c:pt>
                <c:pt idx="133">
                  <c:v>3.1840000000000002</c:v>
                </c:pt>
                <c:pt idx="134">
                  <c:v>3.1850000000000001</c:v>
                </c:pt>
                <c:pt idx="135">
                  <c:v>3.1840000000000002</c:v>
                </c:pt>
                <c:pt idx="136">
                  <c:v>3.194</c:v>
                </c:pt>
                <c:pt idx="137">
                  <c:v>3.194</c:v>
                </c:pt>
                <c:pt idx="138">
                  <c:v>3.194</c:v>
                </c:pt>
                <c:pt idx="139">
                  <c:v>3.2040000000000002</c:v>
                </c:pt>
                <c:pt idx="140">
                  <c:v>3.1859999999999999</c:v>
                </c:pt>
                <c:pt idx="141">
                  <c:v>3.1749999999999998</c:v>
                </c:pt>
                <c:pt idx="142">
                  <c:v>3.1760000000000002</c:v>
                </c:pt>
                <c:pt idx="143">
                  <c:v>3.1549999999999998</c:v>
                </c:pt>
                <c:pt idx="144">
                  <c:v>3.1549999999999998</c:v>
                </c:pt>
                <c:pt idx="145">
                  <c:v>3.1549999999999998</c:v>
                </c:pt>
                <c:pt idx="146">
                  <c:v>3.1560000000000001</c:v>
                </c:pt>
                <c:pt idx="147">
                  <c:v>3.0550000000000002</c:v>
                </c:pt>
                <c:pt idx="148">
                  <c:v>3.0030000000000001</c:v>
                </c:pt>
                <c:pt idx="149">
                  <c:v>2.976</c:v>
                </c:pt>
                <c:pt idx="150">
                  <c:v>2.9540000000000002</c:v>
                </c:pt>
                <c:pt idx="151">
                  <c:v>2.9540000000000002</c:v>
                </c:pt>
                <c:pt idx="152">
                  <c:v>2.9540000000000002</c:v>
                </c:pt>
                <c:pt idx="153">
                  <c:v>2.94</c:v>
                </c:pt>
                <c:pt idx="154">
                  <c:v>2.9409999999999998</c:v>
                </c:pt>
                <c:pt idx="155">
                  <c:v>2.9409999999999998</c:v>
                </c:pt>
                <c:pt idx="156">
                  <c:v>2.948</c:v>
                </c:pt>
                <c:pt idx="157">
                  <c:v>2.948</c:v>
                </c:pt>
                <c:pt idx="158">
                  <c:v>2.948</c:v>
                </c:pt>
                <c:pt idx="159">
                  <c:v>2.948</c:v>
                </c:pt>
                <c:pt idx="160">
                  <c:v>2.93</c:v>
                </c:pt>
                <c:pt idx="161">
                  <c:v>2.9329999999999998</c:v>
                </c:pt>
                <c:pt idx="162">
                  <c:v>2.9239999999999999</c:v>
                </c:pt>
                <c:pt idx="163">
                  <c:v>2.92</c:v>
                </c:pt>
                <c:pt idx="164">
                  <c:v>2.9079999999999999</c:v>
                </c:pt>
                <c:pt idx="165">
                  <c:v>2.9079999999999999</c:v>
                </c:pt>
                <c:pt idx="166">
                  <c:v>2.9079999999999999</c:v>
                </c:pt>
                <c:pt idx="167">
                  <c:v>2.91</c:v>
                </c:pt>
                <c:pt idx="168">
                  <c:v>2.9079999999999999</c:v>
                </c:pt>
                <c:pt idx="169">
                  <c:v>2.907</c:v>
                </c:pt>
                <c:pt idx="170">
                  <c:v>2.9129999999999998</c:v>
                </c:pt>
                <c:pt idx="171">
                  <c:v>2.8929999999999998</c:v>
                </c:pt>
                <c:pt idx="172">
                  <c:v>2.8929999999999998</c:v>
                </c:pt>
                <c:pt idx="173">
                  <c:v>2.8929999999999998</c:v>
                </c:pt>
                <c:pt idx="174">
                  <c:v>2.8959999999999999</c:v>
                </c:pt>
                <c:pt idx="175">
                  <c:v>2.8849999999999998</c:v>
                </c:pt>
                <c:pt idx="176">
                  <c:v>2.8780000000000001</c:v>
                </c:pt>
                <c:pt idx="177">
                  <c:v>2.8679999999999999</c:v>
                </c:pt>
                <c:pt idx="178">
                  <c:v>2.8660000000000001</c:v>
                </c:pt>
                <c:pt idx="179">
                  <c:v>2.8660000000000001</c:v>
                </c:pt>
                <c:pt idx="180">
                  <c:v>2.8660000000000001</c:v>
                </c:pt>
                <c:pt idx="181">
                  <c:v>2.87</c:v>
                </c:pt>
                <c:pt idx="182">
                  <c:v>2.8650000000000002</c:v>
                </c:pt>
                <c:pt idx="183">
                  <c:v>2.85</c:v>
                </c:pt>
                <c:pt idx="184">
                  <c:v>2.8460000000000001</c:v>
                </c:pt>
                <c:pt idx="185">
                  <c:v>2.84</c:v>
                </c:pt>
                <c:pt idx="186">
                  <c:v>2.84</c:v>
                </c:pt>
                <c:pt idx="187">
                  <c:v>2.84</c:v>
                </c:pt>
                <c:pt idx="188">
                  <c:v>2.8330000000000002</c:v>
                </c:pt>
                <c:pt idx="189">
                  <c:v>2.8069999999999999</c:v>
                </c:pt>
                <c:pt idx="190">
                  <c:v>2.722</c:v>
                </c:pt>
                <c:pt idx="191">
                  <c:v>2.6859999999999999</c:v>
                </c:pt>
                <c:pt idx="192">
                  <c:v>2.66</c:v>
                </c:pt>
                <c:pt idx="193">
                  <c:v>2.66</c:v>
                </c:pt>
                <c:pt idx="194">
                  <c:v>2.66</c:v>
                </c:pt>
                <c:pt idx="195">
                  <c:v>2.6379999999999999</c:v>
                </c:pt>
                <c:pt idx="196">
                  <c:v>2.6120000000000001</c:v>
                </c:pt>
                <c:pt idx="197">
                  <c:v>2.6070000000000002</c:v>
                </c:pt>
                <c:pt idx="198">
                  <c:v>2.597</c:v>
                </c:pt>
                <c:pt idx="199">
                  <c:v>2.5779999999999998</c:v>
                </c:pt>
                <c:pt idx="200">
                  <c:v>2.5779999999999998</c:v>
                </c:pt>
                <c:pt idx="201">
                  <c:v>2.5779999999999998</c:v>
                </c:pt>
                <c:pt idx="202">
                  <c:v>2.5459999999999998</c:v>
                </c:pt>
                <c:pt idx="203">
                  <c:v>2.5070000000000001</c:v>
                </c:pt>
                <c:pt idx="204">
                  <c:v>2.4849999999999999</c:v>
                </c:pt>
                <c:pt idx="205">
                  <c:v>2.46</c:v>
                </c:pt>
                <c:pt idx="206">
                  <c:v>2.4350000000000001</c:v>
                </c:pt>
                <c:pt idx="207">
                  <c:v>2.4350000000000001</c:v>
                </c:pt>
                <c:pt idx="208">
                  <c:v>2.4350000000000001</c:v>
                </c:pt>
                <c:pt idx="209">
                  <c:v>2.4249999999999998</c:v>
                </c:pt>
                <c:pt idx="210">
                  <c:v>2.4129999999999998</c:v>
                </c:pt>
                <c:pt idx="211">
                  <c:v>2.403</c:v>
                </c:pt>
                <c:pt idx="212">
                  <c:v>2.3969999999999998</c:v>
                </c:pt>
                <c:pt idx="213">
                  <c:v>2.3969999999999998</c:v>
                </c:pt>
                <c:pt idx="214">
                  <c:v>2.3969999999999998</c:v>
                </c:pt>
                <c:pt idx="215">
                  <c:v>2.3969999999999998</c:v>
                </c:pt>
                <c:pt idx="216">
                  <c:v>2.383</c:v>
                </c:pt>
                <c:pt idx="217">
                  <c:v>2.3380000000000001</c:v>
                </c:pt>
                <c:pt idx="218">
                  <c:v>2.2730000000000001</c:v>
                </c:pt>
                <c:pt idx="219">
                  <c:v>2.2559999999999998</c:v>
                </c:pt>
                <c:pt idx="220">
                  <c:v>2.2210000000000001</c:v>
                </c:pt>
                <c:pt idx="221">
                  <c:v>2.2210000000000001</c:v>
                </c:pt>
                <c:pt idx="222">
                  <c:v>2.2210000000000001</c:v>
                </c:pt>
                <c:pt idx="223">
                  <c:v>2.2210000000000001</c:v>
                </c:pt>
                <c:pt idx="224">
                  <c:v>2.2170000000000001</c:v>
                </c:pt>
                <c:pt idx="225">
                  <c:v>2.222</c:v>
                </c:pt>
                <c:pt idx="226">
                  <c:v>2.218</c:v>
                </c:pt>
                <c:pt idx="227">
                  <c:v>2.218</c:v>
                </c:pt>
                <c:pt idx="228">
                  <c:v>2.218</c:v>
                </c:pt>
                <c:pt idx="229">
                  <c:v>2.218</c:v>
                </c:pt>
                <c:pt idx="230">
                  <c:v>2.218</c:v>
                </c:pt>
                <c:pt idx="231">
                  <c:v>2.2109999999999999</c:v>
                </c:pt>
                <c:pt idx="232">
                  <c:v>2.2109999999999999</c:v>
                </c:pt>
                <c:pt idx="233">
                  <c:v>2.198</c:v>
                </c:pt>
                <c:pt idx="234">
                  <c:v>2.198</c:v>
                </c:pt>
                <c:pt idx="235">
                  <c:v>2.198</c:v>
                </c:pt>
                <c:pt idx="236">
                  <c:v>2.198</c:v>
                </c:pt>
                <c:pt idx="237">
                  <c:v>2.1869999999999998</c:v>
                </c:pt>
                <c:pt idx="238">
                  <c:v>2.0550000000000002</c:v>
                </c:pt>
                <c:pt idx="239">
                  <c:v>2.04</c:v>
                </c:pt>
                <c:pt idx="240">
                  <c:v>2.0310000000000001</c:v>
                </c:pt>
                <c:pt idx="241">
                  <c:v>2.0179999999999998</c:v>
                </c:pt>
                <c:pt idx="242">
                  <c:v>2.0179999999999998</c:v>
                </c:pt>
                <c:pt idx="243">
                  <c:v>2.0179999999999998</c:v>
                </c:pt>
                <c:pt idx="244">
                  <c:v>2.0089999999999999</c:v>
                </c:pt>
                <c:pt idx="245">
                  <c:v>2</c:v>
                </c:pt>
                <c:pt idx="246">
                  <c:v>1.992</c:v>
                </c:pt>
                <c:pt idx="247">
                  <c:v>1.9790000000000001</c:v>
                </c:pt>
                <c:pt idx="248">
                  <c:v>1.9490000000000001</c:v>
                </c:pt>
                <c:pt idx="249">
                  <c:v>1.9490000000000001</c:v>
                </c:pt>
                <c:pt idx="250">
                  <c:v>1.9490000000000001</c:v>
                </c:pt>
                <c:pt idx="251">
                  <c:v>1.9350000000000001</c:v>
                </c:pt>
                <c:pt idx="252">
                  <c:v>1.9339999999999999</c:v>
                </c:pt>
                <c:pt idx="253">
                  <c:v>1.929</c:v>
                </c:pt>
                <c:pt idx="254">
                  <c:v>1.929</c:v>
                </c:pt>
                <c:pt idx="255">
                  <c:v>1.929</c:v>
                </c:pt>
                <c:pt idx="256">
                  <c:v>1.929</c:v>
                </c:pt>
                <c:pt idx="257">
                  <c:v>1.929</c:v>
                </c:pt>
                <c:pt idx="258">
                  <c:v>1.929</c:v>
                </c:pt>
                <c:pt idx="259">
                  <c:v>1.929</c:v>
                </c:pt>
                <c:pt idx="260">
                  <c:v>1.9359999999999999</c:v>
                </c:pt>
                <c:pt idx="261">
                  <c:v>1.9470000000000001</c:v>
                </c:pt>
                <c:pt idx="262">
                  <c:v>1.93</c:v>
                </c:pt>
                <c:pt idx="263">
                  <c:v>1.93</c:v>
                </c:pt>
                <c:pt idx="264">
                  <c:v>1.93</c:v>
                </c:pt>
                <c:pt idx="265">
                  <c:v>1.9350000000000001</c:v>
                </c:pt>
                <c:pt idx="266">
                  <c:v>1.9339999999999999</c:v>
                </c:pt>
                <c:pt idx="267">
                  <c:v>1.9370000000000001</c:v>
                </c:pt>
                <c:pt idx="268">
                  <c:v>1.9419999999999999</c:v>
                </c:pt>
                <c:pt idx="269">
                  <c:v>1.96</c:v>
                </c:pt>
                <c:pt idx="270">
                  <c:v>1.96</c:v>
                </c:pt>
                <c:pt idx="271">
                  <c:v>1.96</c:v>
                </c:pt>
                <c:pt idx="272">
                  <c:v>1.96</c:v>
                </c:pt>
                <c:pt idx="273">
                  <c:v>1.9670000000000001</c:v>
                </c:pt>
                <c:pt idx="274">
                  <c:v>1.97</c:v>
                </c:pt>
                <c:pt idx="275">
                  <c:v>1.976</c:v>
                </c:pt>
                <c:pt idx="276">
                  <c:v>1.97</c:v>
                </c:pt>
                <c:pt idx="277">
                  <c:v>1.97</c:v>
                </c:pt>
                <c:pt idx="278">
                  <c:v>1.97</c:v>
                </c:pt>
                <c:pt idx="279">
                  <c:v>1.9670000000000001</c:v>
                </c:pt>
                <c:pt idx="280">
                  <c:v>1.88</c:v>
                </c:pt>
                <c:pt idx="281">
                  <c:v>1.877</c:v>
                </c:pt>
                <c:pt idx="282">
                  <c:v>1.87</c:v>
                </c:pt>
                <c:pt idx="283">
                  <c:v>1.851</c:v>
                </c:pt>
                <c:pt idx="284">
                  <c:v>1.851</c:v>
                </c:pt>
                <c:pt idx="285">
                  <c:v>1.851</c:v>
                </c:pt>
                <c:pt idx="286">
                  <c:v>1.83</c:v>
                </c:pt>
                <c:pt idx="287">
                  <c:v>1.8320000000000001</c:v>
                </c:pt>
                <c:pt idx="288">
                  <c:v>1.8240000000000001</c:v>
                </c:pt>
                <c:pt idx="289">
                  <c:v>1.8220000000000001</c:v>
                </c:pt>
                <c:pt idx="290">
                  <c:v>1.821</c:v>
                </c:pt>
                <c:pt idx="291">
                  <c:v>1.821</c:v>
                </c:pt>
                <c:pt idx="292">
                  <c:v>1.821</c:v>
                </c:pt>
                <c:pt idx="293">
                  <c:v>1.82</c:v>
                </c:pt>
                <c:pt idx="294">
                  <c:v>1.819</c:v>
                </c:pt>
                <c:pt idx="295">
                  <c:v>1.82</c:v>
                </c:pt>
                <c:pt idx="296">
                  <c:v>1.8140000000000001</c:v>
                </c:pt>
                <c:pt idx="297">
                  <c:v>1.782</c:v>
                </c:pt>
                <c:pt idx="298">
                  <c:v>1.782</c:v>
                </c:pt>
                <c:pt idx="299">
                  <c:v>1.782</c:v>
                </c:pt>
                <c:pt idx="300">
                  <c:v>1.75</c:v>
                </c:pt>
                <c:pt idx="301">
                  <c:v>1.7350000000000001</c:v>
                </c:pt>
                <c:pt idx="302">
                  <c:v>1.726</c:v>
                </c:pt>
                <c:pt idx="303">
                  <c:v>1.7150000000000001</c:v>
                </c:pt>
                <c:pt idx="304">
                  <c:v>1.7070000000000001</c:v>
                </c:pt>
                <c:pt idx="305">
                  <c:v>1.7070000000000001</c:v>
                </c:pt>
                <c:pt idx="306">
                  <c:v>1.7070000000000001</c:v>
                </c:pt>
                <c:pt idx="307">
                  <c:v>1.7010000000000001</c:v>
                </c:pt>
                <c:pt idx="308">
                  <c:v>1.696</c:v>
                </c:pt>
                <c:pt idx="309">
                  <c:v>1.7010000000000001</c:v>
                </c:pt>
                <c:pt idx="310">
                  <c:v>1.7050000000000001</c:v>
                </c:pt>
                <c:pt idx="311">
                  <c:v>1.7</c:v>
                </c:pt>
                <c:pt idx="312">
                  <c:v>1.7</c:v>
                </c:pt>
                <c:pt idx="313">
                  <c:v>1.7</c:v>
                </c:pt>
                <c:pt idx="314">
                  <c:v>1.704</c:v>
                </c:pt>
                <c:pt idx="315">
                  <c:v>1.702</c:v>
                </c:pt>
                <c:pt idx="316">
                  <c:v>1.702</c:v>
                </c:pt>
                <c:pt idx="317">
                  <c:v>1.7010000000000001</c:v>
                </c:pt>
                <c:pt idx="318">
                  <c:v>1.702</c:v>
                </c:pt>
                <c:pt idx="319">
                  <c:v>1.702</c:v>
                </c:pt>
                <c:pt idx="320">
                  <c:v>1.702</c:v>
                </c:pt>
                <c:pt idx="321">
                  <c:v>1.704</c:v>
                </c:pt>
                <c:pt idx="322">
                  <c:v>1.714</c:v>
                </c:pt>
                <c:pt idx="323">
                  <c:v>1.716</c:v>
                </c:pt>
                <c:pt idx="324">
                  <c:v>1.716</c:v>
                </c:pt>
                <c:pt idx="325">
                  <c:v>1.7170000000000001</c:v>
                </c:pt>
                <c:pt idx="326">
                  <c:v>1.7170000000000001</c:v>
                </c:pt>
                <c:pt idx="327">
                  <c:v>1.7170000000000001</c:v>
                </c:pt>
                <c:pt idx="328">
                  <c:v>1.7170000000000001</c:v>
                </c:pt>
                <c:pt idx="329">
                  <c:v>1.7190000000000001</c:v>
                </c:pt>
                <c:pt idx="330">
                  <c:v>1.716</c:v>
                </c:pt>
                <c:pt idx="331">
                  <c:v>1.722</c:v>
                </c:pt>
                <c:pt idx="332">
                  <c:v>1.728</c:v>
                </c:pt>
                <c:pt idx="333">
                  <c:v>1.728</c:v>
                </c:pt>
                <c:pt idx="334">
                  <c:v>1.728</c:v>
                </c:pt>
                <c:pt idx="335">
                  <c:v>1.728</c:v>
                </c:pt>
                <c:pt idx="336">
                  <c:v>1.732</c:v>
                </c:pt>
                <c:pt idx="337">
                  <c:v>1.732</c:v>
                </c:pt>
                <c:pt idx="338">
                  <c:v>1.734</c:v>
                </c:pt>
                <c:pt idx="339">
                  <c:v>1.7350000000000001</c:v>
                </c:pt>
                <c:pt idx="340">
                  <c:v>1.7350000000000001</c:v>
                </c:pt>
                <c:pt idx="341">
                  <c:v>1.7350000000000001</c:v>
                </c:pt>
                <c:pt idx="342">
                  <c:v>1.724</c:v>
                </c:pt>
                <c:pt idx="343">
                  <c:v>1.728</c:v>
                </c:pt>
                <c:pt idx="344">
                  <c:v>1.734</c:v>
                </c:pt>
                <c:pt idx="345">
                  <c:v>1.738</c:v>
                </c:pt>
                <c:pt idx="346">
                  <c:v>1.7470000000000001</c:v>
                </c:pt>
                <c:pt idx="347">
                  <c:v>1.7470000000000001</c:v>
                </c:pt>
                <c:pt idx="348">
                  <c:v>1.7470000000000001</c:v>
                </c:pt>
                <c:pt idx="349">
                  <c:v>1.76</c:v>
                </c:pt>
                <c:pt idx="350">
                  <c:v>1.7689999999999999</c:v>
                </c:pt>
                <c:pt idx="351">
                  <c:v>1.7689999999999999</c:v>
                </c:pt>
                <c:pt idx="352">
                  <c:v>1.7689999999999999</c:v>
                </c:pt>
                <c:pt idx="353">
                  <c:v>1.7689999999999999</c:v>
                </c:pt>
                <c:pt idx="354">
                  <c:v>1.7689999999999999</c:v>
                </c:pt>
                <c:pt idx="355">
                  <c:v>1.7689999999999999</c:v>
                </c:pt>
                <c:pt idx="356">
                  <c:v>1.7669999999999999</c:v>
                </c:pt>
                <c:pt idx="357">
                  <c:v>1.76</c:v>
                </c:pt>
                <c:pt idx="358">
                  <c:v>1.752</c:v>
                </c:pt>
                <c:pt idx="359">
                  <c:v>1.7450000000000001</c:v>
                </c:pt>
                <c:pt idx="360">
                  <c:v>1.7430000000000001</c:v>
                </c:pt>
                <c:pt idx="361">
                  <c:v>1.7430000000000001</c:v>
                </c:pt>
                <c:pt idx="362">
                  <c:v>1.7430000000000001</c:v>
                </c:pt>
                <c:pt idx="363">
                  <c:v>1.7410000000000001</c:v>
                </c:pt>
                <c:pt idx="364">
                  <c:v>1.7430000000000001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731968"/>
        <c:axId val="233733504"/>
      </c:lineChart>
      <c:dateAx>
        <c:axId val="233731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33733504"/>
        <c:crosses val="autoZero"/>
        <c:auto val="1"/>
        <c:lblOffset val="100"/>
        <c:baseTimeUnit val="days"/>
      </c:dateAx>
      <c:valAx>
        <c:axId val="233733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33731968"/>
        <c:crosses val="autoZero"/>
        <c:crossBetween val="between"/>
      </c:valAx>
      <c:valAx>
        <c:axId val="233739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33740928"/>
        <c:crosses val="max"/>
        <c:crossBetween val="between"/>
      </c:valAx>
      <c:dateAx>
        <c:axId val="2337409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33739392"/>
        <c:crosses val="autoZero"/>
        <c:auto val="1"/>
        <c:lblOffset val="100"/>
        <c:baseTimeUnit val="days"/>
      </c:dateAx>
    </c:plotArea>
    <c:legend>
      <c:legendPos val="t"/>
      <c:layout/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trlProps/ctrlProp1.xml><?xml version="1.0" encoding="utf-8"?>
<formControlPr xmlns="http://schemas.microsoft.com/office/spreadsheetml/2009/9/main" objectType="Drop" dropLines="20" dropStyle="combo" dx="16" fmlaLink="$L$7" fmlaRange="$BC$6:$BC$52" sel="42" val="27"/>
</file>

<file path=xl/ctrlProps/ctrlProp2.xml><?xml version="1.0" encoding="utf-8"?>
<formControlPr xmlns="http://schemas.microsoft.com/office/spreadsheetml/2009/9/main" objectType="Drop" dropLines="20" dropStyle="combo" dx="16" fmlaLink="$L$8" fmlaRange="$BC$6:$BC$52" sel="12" val="8"/>
</file>

<file path=xl/ctrlProps/ctrlProp3.xml><?xml version="1.0" encoding="utf-8"?>
<formControlPr xmlns="http://schemas.microsoft.com/office/spreadsheetml/2009/9/main" objectType="Drop" dropLines="20" dropStyle="combo" dx="16" fmlaLink="$L$9" fmlaRange="$BC$6:$BC$52" sel="30" val="11"/>
</file>

<file path=xl/ctrlProps/ctrlProp4.xml><?xml version="1.0" encoding="utf-8"?>
<formControlPr xmlns="http://schemas.microsoft.com/office/spreadsheetml/2009/9/main" objectType="Drop" dropLines="20" dropStyle="combo" dx="16" fmlaLink="$L$10" fmlaRange="$BC$6:$BC$52" sel="46" val="27"/>
</file>

<file path=xl/ctrlProps/ctrlProp5.xml><?xml version="1.0" encoding="utf-8"?>
<formControlPr xmlns="http://schemas.microsoft.com/office/spreadsheetml/2009/9/main" objectType="Drop" dropLines="20" dropStyle="combo" dx="16" fmlaLink="$L$11" fmlaRange="$BC$6:$BC$52" sel="29" val="27"/>
</file>

<file path=xl/ctrlProps/ctrlProp6.xml><?xml version="1.0" encoding="utf-8"?>
<formControlPr xmlns="http://schemas.microsoft.com/office/spreadsheetml/2009/9/main" objectType="Drop" dropStyle="combo" dx="16" fmlaLink="$L$12" fmlaRange="$BC$6:$BC$52" sel="46" val="39"/>
</file>

<file path=xl/ctrlProps/ctrlProp7.xml><?xml version="1.0" encoding="utf-8"?>
<formControlPr xmlns="http://schemas.microsoft.com/office/spreadsheetml/2009/9/main" objectType="Drop" dropStyle="combo" dx="16" fmlaLink="$L$13" fmlaRange="$BC$6:$BC$52" sel="33" val="28"/>
</file>

<file path=xl/ctrlProps/ctrlProp8.xml><?xml version="1.0" encoding="utf-8"?>
<formControlPr xmlns="http://schemas.microsoft.com/office/spreadsheetml/2009/9/main" objectType="Drop" dropStyle="combo" dx="16" fmlaLink="$L$14" fmlaRange="$BC$6:$BC$52" sel="45" val="39"/>
</file>

<file path=xl/ctrlProps/ctrlProp9.xml><?xml version="1.0" encoding="utf-8"?>
<formControlPr xmlns="http://schemas.microsoft.com/office/spreadsheetml/2009/9/main" objectType="Drop" dropStyle="combo" dx="16" fmlaLink="$L$15" fmlaRange="$BC$6:$BC$52" sel="17" val="10"/>
</file>

<file path=xl/ctrlProps/ctrlProp10.xml><?xml version="1.0" encoding="utf-8"?>
<formControlPr xmlns="http://schemas.microsoft.com/office/spreadsheetml/2009/9/main" objectType="Drop" dropStyle="combo" dx="16" fmlaLink="$L$17" fmlaRange="$BC$6:$BC$52" sel="2" val="0"/>
</file>

<file path=xl/ctrlProps/ctrlProp11.xml><?xml version="1.0" encoding="utf-8"?>
<formControlPr xmlns="http://schemas.microsoft.com/office/spreadsheetml/2009/9/main" objectType="Drop" dropStyle="combo" dx="16" fmlaLink="$L$16" fmlaRange="$BC$6:$BC$52" val="0"/>
</file>

<file path=xl/ctrlProps/ctrlProp12.xml><?xml version="1.0" encoding="utf-8"?>
<formControlPr xmlns="http://schemas.microsoft.com/office/spreadsheetml/2009/9/main" objectType="Drop" dropStyle="combo" dx="16" fmlaLink="$L$18" fmlaRange="$BM$5:$BM$6" val="0"/>
</file>

<file path=xl/ctrlProps/ctrlProp13.xml><?xml version="1.0" encoding="utf-8"?>
<formControlPr xmlns="http://schemas.microsoft.com/office/spreadsheetml/2009/9/main" objectType="Scroll" dx="16" fmlaLink="$B$33" max="29" page="10" val="0"/>
</file>

<file path=xl/ctrlProps/ctrlProp14.xml><?xml version="1.0" encoding="utf-8"?>
<formControlPr xmlns="http://schemas.microsoft.com/office/spreadsheetml/2009/9/main" objectType="Drop" dropStyle="combo" dx="16" fmlaLink="$E$30" fmlaRange="$B$29:$B$30" noThreeD="1" sel="2" val="0"/>
</file>

<file path=xl/ctrlProps/ctrlProp15.xml><?xml version="1.0" encoding="utf-8"?>
<formControlPr xmlns="http://schemas.microsoft.com/office/spreadsheetml/2009/9/main" objectType="Drop" dropLines="20" dropStyle="combo" dx="16" fmlaLink="$V$5" fmlaRange="$BI$6:$BI$40" sel="32" val="15"/>
</file>

<file path=xl/ctrlProps/ctrlProp16.xml><?xml version="1.0" encoding="utf-8"?>
<formControlPr xmlns="http://schemas.microsoft.com/office/spreadsheetml/2009/9/main" objectType="Drop" dropLines="20" dropStyle="combo" dx="16" fmlaLink="$Y$5" fmlaRange="$BI$6:$BI$40" sel="11" val="10"/>
</file>

<file path=xl/ctrlProps/ctrlProp17.xml><?xml version="1.0" encoding="utf-8"?>
<formControlPr xmlns="http://schemas.microsoft.com/office/spreadsheetml/2009/9/main" objectType="Drop" dropLines="20" dropStyle="combo" dx="16" fmlaLink="$AB$5" fmlaRange="$BI$6:$BI$40" sel="22" val="15"/>
</file>

<file path=xl/ctrlProps/ctrlProp18.xml><?xml version="1.0" encoding="utf-8"?>
<formControlPr xmlns="http://schemas.microsoft.com/office/spreadsheetml/2009/9/main" objectType="Drop" dropLines="20" dropStyle="combo" dx="16" fmlaLink="$AE$5" fmlaRange="$AN$5:$AN$82" val="30"/>
</file>

<file path=xl/ctrlProps/ctrlProp19.xml><?xml version="1.0" encoding="utf-8"?>
<formControlPr xmlns="http://schemas.microsoft.com/office/spreadsheetml/2009/9/main" objectType="Drop" dropLines="20" dropStyle="combo" dx="16" fmlaLink="$AH$5" fmlaRange="$AQ$5:$AQ$19" val="0"/>
</file>

<file path=xl/ctrlProps/ctrlProp20.xml><?xml version="1.0" encoding="utf-8"?>
<formControlPr xmlns="http://schemas.microsoft.com/office/spreadsheetml/2009/9/main" objectType="Drop" dropLines="20" dropStyle="combo" dx="16" fmlaLink="$AE$4" fmlaRange="$AN$5:$AN$82" sel="54" val="53"/>
</file>

<file path=xl/ctrlProps/ctrlProp21.xml><?xml version="1.0" encoding="utf-8"?>
<formControlPr xmlns="http://schemas.microsoft.com/office/spreadsheetml/2009/9/main" objectType="Drop" dropLines="20" dropStyle="combo" dx="16" fmlaLink="$AH$4" fmlaRange="$AQ$5:$AQ$19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57149</xdr:colOff>
      <xdr:row>6</xdr:row>
      <xdr:rowOff>9525</xdr:rowOff>
    </xdr:from>
    <xdr:to>
      <xdr:col>31</xdr:col>
      <xdr:colOff>581024</xdr:colOff>
      <xdr:row>22</xdr:row>
      <xdr:rowOff>9525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38099</xdr:colOff>
      <xdr:row>23</xdr:row>
      <xdr:rowOff>161925</xdr:rowOff>
    </xdr:from>
    <xdr:to>
      <xdr:col>31</xdr:col>
      <xdr:colOff>609600</xdr:colOff>
      <xdr:row>41</xdr:row>
      <xdr:rowOff>9525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6</xdr:row>
          <xdr:rowOff>9525</xdr:rowOff>
        </xdr:from>
        <xdr:to>
          <xdr:col>10</xdr:col>
          <xdr:colOff>1257300</xdr:colOff>
          <xdr:row>7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</xdr:row>
          <xdr:rowOff>9525</xdr:rowOff>
        </xdr:from>
        <xdr:to>
          <xdr:col>10</xdr:col>
          <xdr:colOff>1257300</xdr:colOff>
          <xdr:row>8</xdr:row>
          <xdr:rowOff>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8</xdr:row>
          <xdr:rowOff>9525</xdr:rowOff>
        </xdr:from>
        <xdr:to>
          <xdr:col>10</xdr:col>
          <xdr:colOff>1257300</xdr:colOff>
          <xdr:row>9</xdr:row>
          <xdr:rowOff>0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9</xdr:row>
          <xdr:rowOff>9525</xdr:rowOff>
        </xdr:from>
        <xdr:to>
          <xdr:col>10</xdr:col>
          <xdr:colOff>1257300</xdr:colOff>
          <xdr:row>10</xdr:row>
          <xdr:rowOff>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10</xdr:row>
          <xdr:rowOff>9525</xdr:rowOff>
        </xdr:from>
        <xdr:to>
          <xdr:col>10</xdr:col>
          <xdr:colOff>1257300</xdr:colOff>
          <xdr:row>11</xdr:row>
          <xdr:rowOff>0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11</xdr:row>
          <xdr:rowOff>9525</xdr:rowOff>
        </xdr:from>
        <xdr:to>
          <xdr:col>10</xdr:col>
          <xdr:colOff>1257300</xdr:colOff>
          <xdr:row>12</xdr:row>
          <xdr:rowOff>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12</xdr:row>
          <xdr:rowOff>9525</xdr:rowOff>
        </xdr:from>
        <xdr:to>
          <xdr:col>10</xdr:col>
          <xdr:colOff>1257300</xdr:colOff>
          <xdr:row>13</xdr:row>
          <xdr:rowOff>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13</xdr:row>
          <xdr:rowOff>9525</xdr:rowOff>
        </xdr:from>
        <xdr:to>
          <xdr:col>10</xdr:col>
          <xdr:colOff>1257300</xdr:colOff>
          <xdr:row>14</xdr:row>
          <xdr:rowOff>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14</xdr:row>
          <xdr:rowOff>9525</xdr:rowOff>
        </xdr:from>
        <xdr:to>
          <xdr:col>10</xdr:col>
          <xdr:colOff>1257300</xdr:colOff>
          <xdr:row>15</xdr:row>
          <xdr:rowOff>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16</xdr:row>
          <xdr:rowOff>9525</xdr:rowOff>
        </xdr:from>
        <xdr:to>
          <xdr:col>10</xdr:col>
          <xdr:colOff>1257300</xdr:colOff>
          <xdr:row>17</xdr:row>
          <xdr:rowOff>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15</xdr:row>
          <xdr:rowOff>9525</xdr:rowOff>
        </xdr:from>
        <xdr:to>
          <xdr:col>10</xdr:col>
          <xdr:colOff>1257300</xdr:colOff>
          <xdr:row>16</xdr:row>
          <xdr:rowOff>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17</xdr:row>
          <xdr:rowOff>0</xdr:rowOff>
        </xdr:from>
        <xdr:to>
          <xdr:col>10</xdr:col>
          <xdr:colOff>1257300</xdr:colOff>
          <xdr:row>17</xdr:row>
          <xdr:rowOff>200025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0</xdr:colOff>
          <xdr:row>33</xdr:row>
          <xdr:rowOff>19050</xdr:rowOff>
        </xdr:from>
        <xdr:to>
          <xdr:col>9</xdr:col>
          <xdr:colOff>161925</xdr:colOff>
          <xdr:row>41</xdr:row>
          <xdr:rowOff>28575</xdr:rowOff>
        </xdr:to>
        <xdr:sp macro="" textlink="">
          <xdr:nvSpPr>
            <xdr:cNvPr id="1052" name="Scroll Bar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31</xdr:row>
          <xdr:rowOff>9525</xdr:rowOff>
        </xdr:from>
        <xdr:to>
          <xdr:col>5</xdr:col>
          <xdr:colOff>828675</xdr:colOff>
          <xdr:row>32</xdr:row>
          <xdr:rowOff>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257175</xdr:colOff>
          <xdr:row>2</xdr:row>
          <xdr:rowOff>47625</xdr:rowOff>
        </xdr:from>
        <xdr:to>
          <xdr:col>26</xdr:col>
          <xdr:colOff>38100</xdr:colOff>
          <xdr:row>5</xdr:row>
          <xdr:rowOff>161925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257175</xdr:colOff>
          <xdr:row>2</xdr:row>
          <xdr:rowOff>47625</xdr:rowOff>
        </xdr:from>
        <xdr:to>
          <xdr:col>29</xdr:col>
          <xdr:colOff>38100</xdr:colOff>
          <xdr:row>5</xdr:row>
          <xdr:rowOff>161925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314325</xdr:colOff>
          <xdr:row>2</xdr:row>
          <xdr:rowOff>38100</xdr:rowOff>
        </xdr:from>
        <xdr:to>
          <xdr:col>31</xdr:col>
          <xdr:colOff>581025</xdr:colOff>
          <xdr:row>5</xdr:row>
          <xdr:rowOff>152400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22</xdr:row>
          <xdr:rowOff>95250</xdr:rowOff>
        </xdr:from>
        <xdr:to>
          <xdr:col>24</xdr:col>
          <xdr:colOff>66675</xdr:colOff>
          <xdr:row>23</xdr:row>
          <xdr:rowOff>66675</xdr:rowOff>
        </xdr:to>
        <xdr:sp macro="" textlink="">
          <xdr:nvSpPr>
            <xdr:cNvPr id="1057" name="Drop Down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180975</xdr:colOff>
          <xdr:row>22</xdr:row>
          <xdr:rowOff>95250</xdr:rowOff>
        </xdr:from>
        <xdr:to>
          <xdr:col>26</xdr:col>
          <xdr:colOff>228600</xdr:colOff>
          <xdr:row>23</xdr:row>
          <xdr:rowOff>76200</xdr:rowOff>
        </xdr:to>
        <xdr:sp macro="" textlink="">
          <xdr:nvSpPr>
            <xdr:cNvPr id="1058" name="Drop Down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371475</xdr:colOff>
          <xdr:row>22</xdr:row>
          <xdr:rowOff>95250</xdr:rowOff>
        </xdr:from>
        <xdr:to>
          <xdr:col>29</xdr:col>
          <xdr:colOff>390525</xdr:colOff>
          <xdr:row>23</xdr:row>
          <xdr:rowOff>85725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22</xdr:row>
          <xdr:rowOff>95250</xdr:rowOff>
        </xdr:from>
        <xdr:to>
          <xdr:col>31</xdr:col>
          <xdr:colOff>581025</xdr:colOff>
          <xdr:row>23</xdr:row>
          <xdr:rowOff>66675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R423"/>
  <sheetViews>
    <sheetView showGridLines="0" tabSelected="1" workbookViewId="0"/>
  </sheetViews>
  <sheetFormatPr defaultRowHeight="13.5" x14ac:dyDescent="0.25"/>
  <cols>
    <col min="1" max="1" width="1.140625" style="24" customWidth="1"/>
    <col min="2" max="4" width="3.28515625" style="26" hidden="1" customWidth="1"/>
    <col min="5" max="5" width="16.42578125" style="26" hidden="1" customWidth="1"/>
    <col min="6" max="6" width="12.5703125" customWidth="1"/>
    <col min="7" max="7" width="14.5703125" customWidth="1"/>
    <col min="8" max="8" width="14.28515625" customWidth="1"/>
    <col min="9" max="9" width="12.7109375" customWidth="1"/>
    <col min="10" max="10" width="2.7109375" style="14" customWidth="1"/>
    <col min="11" max="11" width="19" style="2" customWidth="1"/>
    <col min="12" max="15" width="3" style="26" hidden="1" customWidth="1"/>
    <col min="16" max="21" width="11.85546875" customWidth="1"/>
    <col min="22" max="31" width="7.28515625" style="2" customWidth="1"/>
    <col min="32" max="32" width="11.5703125" style="2" customWidth="1"/>
    <col min="33" max="33" width="8.140625" style="26" customWidth="1"/>
    <col min="34" max="37" width="6.5703125" style="26" customWidth="1"/>
    <col min="38" max="38" width="11.140625" style="26" customWidth="1"/>
    <col min="39" max="39" width="3.7109375" style="26" hidden="1" customWidth="1"/>
    <col min="40" max="44" width="11.140625" style="26" hidden="1" customWidth="1"/>
    <col min="45" max="53" width="11.140625" style="26" customWidth="1"/>
    <col min="54" max="54" width="3.7109375" style="26" hidden="1" customWidth="1"/>
    <col min="55" max="55" width="18.28515625" style="26" hidden="1" customWidth="1"/>
    <col min="56" max="58" width="13.5703125" style="26" hidden="1" customWidth="1"/>
    <col min="59" max="59" width="12.7109375" style="26" hidden="1" customWidth="1"/>
    <col min="60" max="60" width="3.7109375" style="26" hidden="1" customWidth="1"/>
    <col min="61" max="61" width="14.85546875" style="26" hidden="1" customWidth="1"/>
    <col min="62" max="63" width="12.7109375" style="26" hidden="1" customWidth="1"/>
    <col min="64" max="69" width="12.7109375" style="26" customWidth="1"/>
    <col min="70" max="70" width="9.28515625" style="26" customWidth="1"/>
    <col min="71" max="16384" width="9.140625" style="26"/>
  </cols>
  <sheetData>
    <row r="1" spans="1:70" ht="8.25" customHeight="1" x14ac:dyDescent="0.25">
      <c r="F1" s="26"/>
      <c r="G1" s="26"/>
      <c r="H1" s="26"/>
      <c r="I1" s="26"/>
      <c r="J1" s="26"/>
      <c r="P1" s="26"/>
      <c r="Q1" s="26"/>
      <c r="R1" s="26"/>
      <c r="S1" s="26"/>
      <c r="T1" s="26"/>
      <c r="U1" s="26"/>
    </row>
    <row r="2" spans="1:70" ht="13.5" customHeight="1" x14ac:dyDescent="0.25">
      <c r="F2" s="19" t="s">
        <v>220</v>
      </c>
      <c r="G2" s="14"/>
      <c r="H2" s="14"/>
      <c r="I2" s="14"/>
      <c r="P2" s="14"/>
      <c r="Q2" s="14"/>
      <c r="R2" s="14"/>
      <c r="S2" s="14"/>
      <c r="T2" s="14"/>
      <c r="U2" s="14"/>
      <c r="BB2" s="51"/>
      <c r="BC2" s="51"/>
      <c r="BD2" s="51" t="s">
        <v>261</v>
      </c>
      <c r="BE2" s="51">
        <v>2</v>
      </c>
      <c r="BF2" s="51" t="s">
        <v>262</v>
      </c>
      <c r="BG2" s="51" t="s">
        <v>263</v>
      </c>
      <c r="BH2" s="51"/>
      <c r="BI2" s="51"/>
      <c r="BJ2" s="51"/>
      <c r="BK2" s="51"/>
    </row>
    <row r="3" spans="1:70" ht="6.75" customHeight="1" x14ac:dyDescent="0.25">
      <c r="G3" s="14"/>
      <c r="H3" s="14"/>
      <c r="I3" s="14"/>
      <c r="P3" s="14"/>
      <c r="Q3" s="14"/>
      <c r="R3" s="14"/>
      <c r="S3" s="14"/>
      <c r="T3" s="14"/>
      <c r="U3" s="14"/>
      <c r="BB3" s="51"/>
      <c r="BC3" s="51"/>
      <c r="BD3" s="51"/>
      <c r="BE3" s="51"/>
      <c r="BF3" s="51"/>
      <c r="BG3" s="51"/>
      <c r="BH3" s="51"/>
      <c r="BI3" s="51"/>
      <c r="BJ3" s="51"/>
      <c r="BK3" s="51"/>
    </row>
    <row r="4" spans="1:70" ht="20.25" hidden="1" customHeight="1" x14ac:dyDescent="0.25">
      <c r="A4" s="50"/>
      <c r="F4" s="51"/>
      <c r="G4" s="51"/>
      <c r="H4" s="51"/>
      <c r="I4" s="51"/>
      <c r="J4" s="51"/>
      <c r="K4" s="50"/>
      <c r="N4" s="26" t="s">
        <v>437</v>
      </c>
      <c r="P4" s="51"/>
      <c r="Q4" s="51"/>
      <c r="R4" s="51"/>
      <c r="S4" s="51"/>
      <c r="T4" s="51"/>
      <c r="U4" s="51"/>
      <c r="V4" s="50"/>
      <c r="W4" s="50"/>
      <c r="X4" s="50"/>
      <c r="Y4" s="50"/>
      <c r="Z4" s="50"/>
      <c r="AA4" s="50"/>
      <c r="AB4" s="50"/>
      <c r="AC4" s="50"/>
      <c r="AD4" s="50"/>
      <c r="AE4" s="52">
        <v>54</v>
      </c>
      <c r="AF4" s="53" t="str">
        <f>VLOOKUP($AE4,$AM$5:$AO$82,3,0)</f>
        <v>BONDAV455</v>
      </c>
      <c r="AG4" s="26" t="str">
        <f>VLOOKUP($AE4,$AM$5:$AO$82,2,0)</f>
        <v>회사채AAA(공모/무보증)</v>
      </c>
      <c r="AH4" s="26">
        <v>1</v>
      </c>
      <c r="AI4" s="26" t="str">
        <f>VLOOKUP($AH4,$AP$5:$AQ$19,2,0)</f>
        <v>3월이하(당일)</v>
      </c>
      <c r="BB4" s="51"/>
      <c r="BC4" s="51"/>
      <c r="BD4" s="51"/>
      <c r="BE4" s="51"/>
      <c r="BF4" s="51"/>
      <c r="BG4" s="51"/>
      <c r="BH4" s="51"/>
      <c r="BI4" s="51"/>
      <c r="BJ4" s="51"/>
      <c r="BK4" s="51"/>
    </row>
    <row r="5" spans="1:70" hidden="1" x14ac:dyDescent="0.25">
      <c r="A5" s="50"/>
      <c r="F5" s="54"/>
      <c r="G5" s="55" t="s">
        <v>460</v>
      </c>
      <c r="H5" s="55" t="s">
        <v>461</v>
      </c>
      <c r="I5" s="55" t="s">
        <v>460</v>
      </c>
      <c r="J5" s="55"/>
      <c r="K5" s="54"/>
      <c r="M5" s="26" t="s">
        <v>462</v>
      </c>
      <c r="N5" s="26" t="s">
        <v>463</v>
      </c>
      <c r="O5" s="26" t="s">
        <v>464</v>
      </c>
      <c r="P5" s="54" t="s">
        <v>465</v>
      </c>
      <c r="Q5" s="54"/>
      <c r="R5" s="54"/>
      <c r="S5" s="54"/>
      <c r="T5" s="54"/>
      <c r="U5" s="54"/>
      <c r="V5" s="53">
        <v>32</v>
      </c>
      <c r="W5" s="53" t="str">
        <f>VLOOKUP($V5,$BH$6:$BK$40,3,0)</f>
        <v>BONDKSDCAL13</v>
      </c>
      <c r="X5" s="53" t="str">
        <f>VLOOKUP($V5,$BH$6:$BK$40,2,0)</f>
        <v>한국</v>
      </c>
      <c r="Y5" s="53">
        <v>11</v>
      </c>
      <c r="Z5" s="53" t="str">
        <f>VLOOKUP($Y5,$BH$6:$BK$40,3,0)</f>
        <v>US10Y</v>
      </c>
      <c r="AA5" s="53" t="str">
        <f>VLOOKUP($Y5,$BH$6:$BK$40,2,0)</f>
        <v>미국</v>
      </c>
      <c r="AB5" s="53">
        <v>22</v>
      </c>
      <c r="AC5" s="53" t="str">
        <f>VLOOKUP($AB5,$BH$6:$BK$40,3,0)</f>
        <v>RM10Y</v>
      </c>
      <c r="AD5" s="53" t="str">
        <f>VLOOKUP($AB5,$BH$6:$BK$40,2,0)</f>
        <v>중국</v>
      </c>
      <c r="AE5" s="56">
        <v>1</v>
      </c>
      <c r="AF5" s="53" t="str">
        <f>VLOOKUP($AE5,$AM$5:$AO$82,3,0)</f>
        <v>BONDAV401</v>
      </c>
      <c r="AG5" s="26" t="str">
        <f>VLOOKUP($AE5,$AM$5:$AO$82,2,0)</f>
        <v>국고채권</v>
      </c>
      <c r="AH5" s="26">
        <v>1</v>
      </c>
      <c r="AI5" s="26" t="str">
        <f>VLOOKUP($AH5,$AP$5:$AQ$19,2,0)</f>
        <v>3월이하(당일)</v>
      </c>
      <c r="AM5" s="26">
        <v>1</v>
      </c>
      <c r="AN5" s="26" t="s">
        <v>264</v>
      </c>
      <c r="AO5" s="26" t="s">
        <v>265</v>
      </c>
      <c r="AP5" s="26">
        <v>1</v>
      </c>
      <c r="AQ5" s="26" t="s">
        <v>420</v>
      </c>
      <c r="BB5" s="51"/>
      <c r="BC5" s="51" t="s">
        <v>466</v>
      </c>
      <c r="BD5" s="51" t="s">
        <v>467</v>
      </c>
      <c r="BE5" s="51" t="s">
        <v>468</v>
      </c>
      <c r="BF5" s="51" t="s">
        <v>469</v>
      </c>
      <c r="BG5" s="51"/>
      <c r="BH5" s="51"/>
      <c r="BI5" s="51" t="s">
        <v>466</v>
      </c>
      <c r="BJ5" s="51" t="s">
        <v>468</v>
      </c>
      <c r="BK5" s="51" t="s">
        <v>469</v>
      </c>
      <c r="BM5" s="26" t="s">
        <v>470</v>
      </c>
      <c r="BN5" s="26" t="s">
        <v>470</v>
      </c>
      <c r="BO5" s="26" t="s">
        <v>471</v>
      </c>
    </row>
    <row r="6" spans="1:70" ht="16.5" customHeight="1" x14ac:dyDescent="0.25">
      <c r="C6" s="26" t="s">
        <v>435</v>
      </c>
      <c r="F6" s="21" t="s">
        <v>175</v>
      </c>
      <c r="G6" s="21" t="s">
        <v>154</v>
      </c>
      <c r="H6" s="27" t="s">
        <v>553</v>
      </c>
      <c r="I6" s="89" t="s">
        <v>156</v>
      </c>
      <c r="J6" s="90"/>
      <c r="K6" s="58" t="s">
        <v>162</v>
      </c>
      <c r="M6" s="26" t="s">
        <v>154</v>
      </c>
      <c r="N6" s="26" t="s">
        <v>158</v>
      </c>
      <c r="O6" s="26" t="s">
        <v>160</v>
      </c>
      <c r="P6" s="23" t="s">
        <v>154</v>
      </c>
      <c r="Q6" s="23" t="s">
        <v>157</v>
      </c>
      <c r="R6" s="23" t="s">
        <v>158</v>
      </c>
      <c r="S6" s="21" t="s">
        <v>159</v>
      </c>
      <c r="T6" s="21" t="s">
        <v>160</v>
      </c>
      <c r="U6" s="21" t="s">
        <v>155</v>
      </c>
      <c r="V6" s="57" t="s">
        <v>552</v>
      </c>
      <c r="AM6" s="26">
        <v>2</v>
      </c>
      <c r="AN6" s="26" t="s">
        <v>266</v>
      </c>
      <c r="AO6" s="26" t="s">
        <v>267</v>
      </c>
      <c r="AP6" s="26">
        <v>2</v>
      </c>
      <c r="AQ6" s="26" t="s">
        <v>421</v>
      </c>
      <c r="BB6" s="51">
        <v>1</v>
      </c>
      <c r="BC6" s="51" t="s">
        <v>472</v>
      </c>
      <c r="BD6" s="51" t="s">
        <v>66</v>
      </c>
      <c r="BE6" s="51" t="s">
        <v>9</v>
      </c>
      <c r="BF6" s="51" t="s">
        <v>89</v>
      </c>
      <c r="BG6" s="51"/>
      <c r="BH6" s="51">
        <v>1</v>
      </c>
      <c r="BI6" s="51" t="s">
        <v>472</v>
      </c>
      <c r="BJ6" s="51" t="s">
        <v>9</v>
      </c>
      <c r="BK6" s="51" t="s">
        <v>89</v>
      </c>
      <c r="BM6" s="26" t="s">
        <v>473</v>
      </c>
      <c r="BN6" s="26" t="s">
        <v>474</v>
      </c>
      <c r="BO6" s="26" t="s">
        <v>475</v>
      </c>
    </row>
    <row r="7" spans="1:70" ht="16.5" customHeight="1" x14ac:dyDescent="0.25">
      <c r="B7" s="26">
        <v>1</v>
      </c>
      <c r="C7" s="26" t="s">
        <v>436</v>
      </c>
      <c r="D7" s="26" t="s">
        <v>566</v>
      </c>
      <c r="F7" s="17" t="s">
        <v>560</v>
      </c>
      <c r="G7" s="73">
        <f>_xll.IMDP($C7,$D7,G$5)</f>
        <v>3.593</v>
      </c>
      <c r="H7" s="75">
        <f>_xll.IMDP($C7,$D7,H$5)*100</f>
        <v>-1.2</v>
      </c>
      <c r="I7" s="95">
        <f ca="1">_xll.IMDP($C7,$D7,I$5,WORKDAY(TODAY(),-1))</f>
        <v>0</v>
      </c>
      <c r="J7" s="96"/>
      <c r="K7" s="59"/>
      <c r="L7" s="26">
        <v>42</v>
      </c>
      <c r="M7" s="26" t="str">
        <f t="shared" ref="M7:M17" si="0">VLOOKUP($L7,$BB$6:$BF$52,4,0)</f>
        <v>BONDKSDCAL13</v>
      </c>
      <c r="N7" s="26" t="str">
        <f t="shared" ref="N7:N17" si="1">VLOOKUP($L7,$BB$6:$BF$52,3,0)</f>
        <v>001</v>
      </c>
      <c r="O7" s="26" t="str">
        <f t="shared" ref="O7:O17" si="2">VLOOKUP($L7,$BB$6:$BF$52,5,0)</f>
        <v>USDSP_AMBC</v>
      </c>
      <c r="P7" s="79">
        <f>IF(M7=0,"",IF(OR($L7=42,$L7=43),_xll.IMDP($M$5,$M7,"대표수익률"),_xll.IMDP($M$5,$M7,"현재가")))</f>
        <v>3.4359999999999999</v>
      </c>
      <c r="Q7" s="81">
        <f>IF(M7=0,"",_xll.IMDP($M$5,$M7,"전일대비")*100)</f>
        <v>-0.8</v>
      </c>
      <c r="R7" s="82">
        <f>IF(OR($L7=42,$L7=43),_xll.IMDP($N$4,$N7,"현재가"),_xll.IMDP($N$5,$N7,"현재가"))</f>
        <v>2363.27</v>
      </c>
      <c r="S7" s="81">
        <f>IF(OR($L7=42,$L7=43),_xll.IMDP($N$4,$N7,"등락률"),_xll.IMDP($N$5,$N7,"등락률"))</f>
        <v>-0.68</v>
      </c>
      <c r="T7" s="74" t="str">
        <f>IF( $L7=42, TEXT(_xll.IMDP($O$5,$O7,"매입"), "#,##0.00 "), IF( OR($L7=12,$L7=29), TEXT(_xll.IMDP($O$5,$O7,"매입"), "#,##0.000 "), _xll.IMDP($O$5,$O7,"매입") ) )</f>
        <v xml:space="preserve">1,242.70 </v>
      </c>
      <c r="U7" s="87" t="str">
        <f>IF( $L7=42, TEXT(_xll.IMDP($O$5,$O7,"전일대비"), "+#,##0.00 ;-#,##0.00 "), IF( OR($L7=12,$L7=29), TEXT(_xll.IMDP($O$5,$O7,"전일대비"), "+#,##0.000 ;-#,##0.000"), _xll.IMDP($O$5,$O7,"전일대비") ) )</f>
        <v xml:space="preserve">+4.10 </v>
      </c>
      <c r="V7" s="3"/>
      <c r="AM7" s="26">
        <v>3</v>
      </c>
      <c r="AN7" s="26" t="s">
        <v>268</v>
      </c>
      <c r="AO7" s="26" t="s">
        <v>269</v>
      </c>
      <c r="AP7" s="26">
        <v>3</v>
      </c>
      <c r="AQ7" s="26" t="s">
        <v>422</v>
      </c>
      <c r="BB7" s="51">
        <v>2</v>
      </c>
      <c r="BC7" s="51" t="s">
        <v>476</v>
      </c>
      <c r="BD7" s="51" t="s">
        <v>80</v>
      </c>
      <c r="BE7" s="51" t="s">
        <v>10</v>
      </c>
      <c r="BF7" s="51" t="s">
        <v>477</v>
      </c>
      <c r="BG7" s="51"/>
      <c r="BH7" s="51">
        <v>2</v>
      </c>
      <c r="BI7" s="51" t="s">
        <v>476</v>
      </c>
      <c r="BJ7" s="51" t="s">
        <v>10</v>
      </c>
      <c r="BK7" s="51" t="s">
        <v>477</v>
      </c>
      <c r="BN7" s="26" t="s">
        <v>478</v>
      </c>
      <c r="BO7" s="26" t="s">
        <v>479</v>
      </c>
    </row>
    <row r="8" spans="1:70" ht="16.5" customHeight="1" x14ac:dyDescent="0.25">
      <c r="B8" s="26">
        <v>2</v>
      </c>
      <c r="C8" s="26" t="s">
        <v>216</v>
      </c>
      <c r="D8" s="26" t="s">
        <v>567</v>
      </c>
      <c r="F8" s="17" t="s">
        <v>561</v>
      </c>
      <c r="G8" s="73">
        <f>_xll.IMDP($C8,$D8,G$5)</f>
        <v>3.4950000000000001</v>
      </c>
      <c r="H8" s="75">
        <f>_xll.IMDP($C8,$D8,H$5)*100</f>
        <v>-3.5000000000000004</v>
      </c>
      <c r="I8" s="95">
        <f ca="1">_xll.IMDP($C8,$D8,I$5,WORKDAY(TODAY(),-1))</f>
        <v>0</v>
      </c>
      <c r="J8" s="96"/>
      <c r="K8" s="59"/>
      <c r="L8" s="26">
        <v>12</v>
      </c>
      <c r="M8" s="26" t="str">
        <f t="shared" si="0"/>
        <v>US10Y</v>
      </c>
      <c r="N8" s="26" t="str">
        <f t="shared" si="1"/>
        <v>DJI:DJI</v>
      </c>
      <c r="O8" s="26" t="str">
        <f t="shared" si="2"/>
        <v>DOLLAR</v>
      </c>
      <c r="P8" s="79">
        <f>IF(M8=0,"",IF(OR($L8=42,$L8=43),_xll.IMDP($M$5,$M8,"대표수익률"),_xll.IMDP($M$5,$M8,"현재가")))</f>
        <v>3.4839000000000002</v>
      </c>
      <c r="Q8" s="81">
        <f>IF(M8=0,"",_xll.IMDP($M$5,$M8,"전일대비")*100)</f>
        <v>-6.5500000000000007</v>
      </c>
      <c r="R8" s="82">
        <f>IF(OR($L8=42,$L8=43),_xll.IMDP($N$4,$N8,"현재가"),_xll.IMDP($N$5,$N8,"현재가"))</f>
        <v>33910.85</v>
      </c>
      <c r="S8" s="81">
        <f>IF(OR($L8=42,$L8=43),_xll.IMDP($N$4,$N8,"등락률"),_xll.IMDP($N$5,$N8,"등락률"))</f>
        <v>-1.1399999999999999</v>
      </c>
      <c r="T8" s="74" t="str">
        <f>IF( $L8=42, TEXT(_xll.IMDP($O$5,$O8,"매입"), "#,##0.00 "), IF( OR($L8=12,$L8=29), TEXT(_xll.IMDP($O$5,$O8,"매입"), "#,##0.000 "), _xll.IMDP($O$5,$O8,"매입") ) )</f>
        <v xml:space="preserve">102.813 </v>
      </c>
      <c r="U8" s="87" t="str">
        <f>IF( $L8=42, TEXT(_xll.IMDP($O$5,$O8,"전일대비"), "+#,##0.00 ;-#,##0.00 "), IF( OR($L8=12,$L8=29), TEXT(_xll.IMDP($O$5,$O8,"전일대비"), "+#,##0.000 ;-#,##0.000"), _xll.IMDP($O$5,$O8,"전일대비") ) )</f>
        <v xml:space="preserve">+0.458 </v>
      </c>
      <c r="V8" s="3"/>
      <c r="AM8" s="26">
        <v>4</v>
      </c>
      <c r="AN8" s="26" t="s">
        <v>270</v>
      </c>
      <c r="AO8" s="26" t="s">
        <v>271</v>
      </c>
      <c r="AP8" s="26">
        <v>4</v>
      </c>
      <c r="AQ8" s="26" t="s">
        <v>423</v>
      </c>
      <c r="BB8" s="51">
        <v>3</v>
      </c>
      <c r="BC8" s="51" t="s">
        <v>480</v>
      </c>
      <c r="BD8" s="51" t="s">
        <v>73</v>
      </c>
      <c r="BE8" s="51" t="s">
        <v>11</v>
      </c>
      <c r="BF8" s="51" t="s">
        <v>89</v>
      </c>
      <c r="BG8" s="51"/>
      <c r="BH8" s="51">
        <v>3</v>
      </c>
      <c r="BI8" s="51" t="s">
        <v>480</v>
      </c>
      <c r="BJ8" s="51" t="s">
        <v>11</v>
      </c>
      <c r="BK8" s="51" t="s">
        <v>89</v>
      </c>
      <c r="BN8" s="26" t="s">
        <v>481</v>
      </c>
      <c r="BO8" s="26" t="s">
        <v>482</v>
      </c>
    </row>
    <row r="9" spans="1:70" ht="16.5" customHeight="1" x14ac:dyDescent="0.25">
      <c r="B9" s="26">
        <v>3</v>
      </c>
      <c r="C9" s="26" t="s">
        <v>117</v>
      </c>
      <c r="D9" s="26" t="s">
        <v>559</v>
      </c>
      <c r="F9" s="17" t="s">
        <v>558</v>
      </c>
      <c r="G9" s="73">
        <f>_xll.IMDP($C9,$D9,G$5)</f>
        <v>3.4550000000000001</v>
      </c>
      <c r="H9" s="75">
        <f>_xll.IMDP($C9,$D9,H$5)*100</f>
        <v>-2.9000000000000004</v>
      </c>
      <c r="I9" s="95">
        <f ca="1">_xll.IMDP($C9,$D9,I$5,WORKDAY(TODAY(),-1))</f>
        <v>0</v>
      </c>
      <c r="J9" s="96"/>
      <c r="K9" s="59"/>
      <c r="L9" s="26">
        <v>30</v>
      </c>
      <c r="M9" s="26" t="str">
        <f t="shared" si="0"/>
        <v>RM10Y</v>
      </c>
      <c r="N9" s="26" t="str">
        <f t="shared" si="1"/>
        <v>SHS:000001</v>
      </c>
      <c r="O9" s="26" t="str">
        <f t="shared" si="2"/>
        <v>USDCNY</v>
      </c>
      <c r="P9" s="79">
        <f>IF(M9=0,"",IF(OR($L9=42,$L9=43),_xll.IMDP($M$5,$M9,"대표수익률"),_xll.IMDP($M$5,$M9,"현재가")))</f>
        <v>2.9451999999999998</v>
      </c>
      <c r="Q9" s="81">
        <f>IF(M9=0,"",_xll.IMDP($M$5,$M9,"전일대비")*100)</f>
        <v>0.1</v>
      </c>
      <c r="R9" s="82">
        <f>IF(OR($L9=42,$L9=43),_xll.IMDP($N$4,$N9,"현재가"),_xll.IMDP($N$5,$N9,"현재가"))</f>
        <v>3223.62</v>
      </c>
      <c r="S9" s="81">
        <f>IF(OR($L9=42,$L9=43),_xll.IMDP($N$4,$N9,"등락률"),_xll.IMDP($N$5,$N9,"등락률"))</f>
        <v>-0.02</v>
      </c>
      <c r="T9" s="74">
        <f>IF( $L9=42, TEXT(_xll.IMDP($O$5,$O9,"매입"), "#,##0.00 "), IF( OR($L9=12,$L9=29), TEXT(_xll.IMDP($O$5,$O9,"매입"), "#,##0.000 "), _xll.IMDP($O$5,$O9,"매입") ) )</f>
        <v>6.7801</v>
      </c>
      <c r="U9" s="87">
        <f>IF( $L9=42, TEXT(_xll.IMDP($O$5,$O9,"전일대비"), "+#,##0.00 ;-#,##0.00 "), IF( OR($L9=12,$L9=29), TEXT(_xll.IMDP($O$5,$O9,"전일대비"), "+#,##0.000 ;-#,##0.000"), _xll.IMDP($O$5,$O9,"전일대비") ) )</f>
        <v>8.7999999999999988E-3</v>
      </c>
      <c r="V9" s="3"/>
      <c r="AM9" s="26">
        <v>5</v>
      </c>
      <c r="AN9" s="26" t="s">
        <v>272</v>
      </c>
      <c r="AO9" s="26" t="s">
        <v>273</v>
      </c>
      <c r="AP9" s="26">
        <v>5</v>
      </c>
      <c r="AQ9" s="26" t="s">
        <v>424</v>
      </c>
      <c r="BB9" s="51">
        <v>4</v>
      </c>
      <c r="BC9" s="51" t="s">
        <v>483</v>
      </c>
      <c r="BD9" s="51" t="s">
        <v>70</v>
      </c>
      <c r="BE9" s="51" t="s">
        <v>12</v>
      </c>
      <c r="BF9" s="51" t="s">
        <v>90</v>
      </c>
      <c r="BG9" s="51"/>
      <c r="BH9" s="51">
        <v>4</v>
      </c>
      <c r="BI9" s="51" t="s">
        <v>483</v>
      </c>
      <c r="BJ9" s="51" t="s">
        <v>12</v>
      </c>
      <c r="BK9" s="51" t="s">
        <v>90</v>
      </c>
      <c r="BN9" s="26" t="s">
        <v>484</v>
      </c>
      <c r="BO9" s="26" t="s">
        <v>485</v>
      </c>
    </row>
    <row r="10" spans="1:70" ht="16.5" customHeight="1" x14ac:dyDescent="0.25">
      <c r="B10" s="26">
        <v>4</v>
      </c>
      <c r="C10" s="26" t="s">
        <v>117</v>
      </c>
      <c r="D10" s="26" t="s">
        <v>0</v>
      </c>
      <c r="F10" s="17" t="s">
        <v>557</v>
      </c>
      <c r="G10" s="73">
        <f>_xll.IMDP($C10,$D10,G$5)</f>
        <v>3.4089999999999998</v>
      </c>
      <c r="H10" s="75">
        <f>_xll.IMDP($C10,$D10,H$5)*100</f>
        <v>-3.6999999999999997</v>
      </c>
      <c r="I10" s="95">
        <f ca="1">_xll.IMDP($C10,$D10,I$5,WORKDAY(TODAY(),-1))</f>
        <v>0</v>
      </c>
      <c r="J10" s="96"/>
      <c r="K10" s="59"/>
      <c r="L10" s="26">
        <v>46</v>
      </c>
      <c r="M10" s="26" t="str">
        <f t="shared" si="0"/>
        <v>HK10Y</v>
      </c>
      <c r="N10" s="26" t="str">
        <f t="shared" si="1"/>
        <v>HSI:HSI</v>
      </c>
      <c r="O10" s="26" t="str">
        <f t="shared" si="2"/>
        <v>USDHKD</v>
      </c>
      <c r="P10" s="79">
        <f>IF(M10=0,"",IF(OR($L10=42,$L10=43),_xll.IMDP($M$5,$M10,"대표수익률"),_xll.IMDP($M$5,$M10,"현재가")))</f>
        <v>2.6150000000000002</v>
      </c>
      <c r="Q10" s="81">
        <f>IF(M10=0,"",_xll.IMDP($M$5,$M10,"전일대비")*100)</f>
        <v>0</v>
      </c>
      <c r="R10" s="82">
        <f>IF(OR($L10=42,$L10=43),_xll.IMDP($N$4,$N10,"현재가"),_xll.IMDP($N$5,$N10,"현재가"))</f>
        <v>21549.040000000001</v>
      </c>
      <c r="S10" s="81">
        <f>IF(OR($L10=42,$L10=43),_xll.IMDP($N$4,$N10,"등락률"),_xll.IMDP($N$5,$N10,"등락률"))</f>
        <v>-0.13</v>
      </c>
      <c r="T10" s="74">
        <f>IF( $L10=42, TEXT(_xll.IMDP($O$5,$O10,"매입"), "#,##0.00 "), IF( OR($L10=12,$L10=29), TEXT(_xll.IMDP($O$5,$O10,"매입"), "#,##0.000 "), _xll.IMDP($O$5,$O10,"매입") ) )</f>
        <v>7.8246000000000002</v>
      </c>
      <c r="U10" s="87">
        <f>IF( $L10=42, TEXT(_xll.IMDP($O$5,$O10,"전일대비"), "+#,##0.00 ;-#,##0.00 "), IF( OR($L10=12,$L10=29), TEXT(_xll.IMDP($O$5,$O10,"전일대비"), "+#,##0.000 ;-#,##0.000"), _xll.IMDP($O$5,$O10,"전일대비") ) )</f>
        <v>8.6E-3</v>
      </c>
      <c r="V10" s="3"/>
      <c r="AM10" s="26">
        <v>6</v>
      </c>
      <c r="AN10" s="26" t="s">
        <v>274</v>
      </c>
      <c r="AO10" s="26" t="s">
        <v>275</v>
      </c>
      <c r="AP10" s="26">
        <v>6</v>
      </c>
      <c r="AQ10" s="26" t="s">
        <v>425</v>
      </c>
      <c r="BB10" s="51">
        <v>5</v>
      </c>
      <c r="BC10" s="51" t="s">
        <v>486</v>
      </c>
      <c r="BD10" s="51" t="s">
        <v>47</v>
      </c>
      <c r="BE10" s="51" t="s">
        <v>13</v>
      </c>
      <c r="BF10" s="51" t="s">
        <v>91</v>
      </c>
      <c r="BG10" s="51"/>
      <c r="BH10" s="51">
        <v>5</v>
      </c>
      <c r="BI10" s="51" t="s">
        <v>486</v>
      </c>
      <c r="BJ10" s="51" t="s">
        <v>13</v>
      </c>
      <c r="BK10" s="51" t="s">
        <v>91</v>
      </c>
      <c r="BN10" s="26" t="s">
        <v>487</v>
      </c>
      <c r="BO10" s="26" t="s">
        <v>488</v>
      </c>
    </row>
    <row r="11" spans="1:70" ht="16.5" customHeight="1" x14ac:dyDescent="0.25">
      <c r="B11" s="26">
        <v>5</v>
      </c>
      <c r="C11" s="26" t="s">
        <v>117</v>
      </c>
      <c r="D11" s="26" t="s">
        <v>1</v>
      </c>
      <c r="F11" s="17" t="s">
        <v>556</v>
      </c>
      <c r="G11" s="73">
        <f>_xll.IMDP($C11,$D11,G$5)</f>
        <v>3.4359999999999999</v>
      </c>
      <c r="H11" s="75">
        <f>_xll.IMDP($C11,$D11,H$5)*100</f>
        <v>-0.8</v>
      </c>
      <c r="I11" s="95">
        <f ca="1">_xll.IMDP($C11,$D11,I$5,WORKDAY(TODAY(),-1))</f>
        <v>0</v>
      </c>
      <c r="J11" s="96"/>
      <c r="K11" s="59"/>
      <c r="L11" s="26">
        <v>29</v>
      </c>
      <c r="M11" s="26" t="str">
        <f t="shared" si="0"/>
        <v>JP10Y</v>
      </c>
      <c r="N11" s="26" t="str">
        <f t="shared" si="1"/>
        <v>SPI:SPX</v>
      </c>
      <c r="O11" s="26" t="str">
        <f t="shared" si="2"/>
        <v>USDJPY</v>
      </c>
      <c r="P11" s="79">
        <f>IF(M11=0,"",IF(OR($L11=42,$L11=43),_xll.IMDP($M$5,$M11,"대표수익률"),_xll.IMDP($M$5,$M11,"현재가")))</f>
        <v>0.37869999999999998</v>
      </c>
      <c r="Q11" s="81">
        <f>IF(M11=0,"",_xll.IMDP($M$5,$M11,"전일대비")*100)</f>
        <v>-12.520000000000001</v>
      </c>
      <c r="R11" s="82">
        <f>IF(OR($L11=42,$L11=43),_xll.IMDP($N$4,$N11,"현재가"),_xll.IMDP($N$5,$N11,"현재가"))</f>
        <v>3990.97</v>
      </c>
      <c r="S11" s="81">
        <f>IF(OR($L11=42,$L11=43),_xll.IMDP($N$4,$N11,"등락률"),_xll.IMDP($N$5,$N11,"등락률"))</f>
        <v>-0.2</v>
      </c>
      <c r="T11" s="74" t="str">
        <f>IF( $L11=42, TEXT(_xll.IMDP($O$5,$O11,"매입"), "#,##0.00 "), IF( OR($L11=12,$L11=29), TEXT(_xll.IMDP($O$5,$O11,"매입"), "#,##0.000 "), _xll.IMDP($O$5,$O11,"매입") ) )</f>
        <v xml:space="preserve">131.360 </v>
      </c>
      <c r="U11" s="87" t="str">
        <f>IF( $L11=42, TEXT(_xll.IMDP($O$5,$O11,"전일대비"), "+#,##0.00 ;-#,##0.00 "), IF( OR($L11=12,$L11=29), TEXT(_xll.IMDP($O$5,$O11,"전일대비"), "+#,##0.000 ;-#,##0.000"), _xll.IMDP($O$5,$O11,"전일대비") ) )</f>
        <v xml:space="preserve">+3.163 </v>
      </c>
      <c r="V11" s="3"/>
      <c r="AM11" s="26">
        <v>7</v>
      </c>
      <c r="AN11" s="26" t="s">
        <v>276</v>
      </c>
      <c r="AO11" s="26" t="s">
        <v>277</v>
      </c>
      <c r="AP11" s="26">
        <v>7</v>
      </c>
      <c r="AQ11" s="26" t="s">
        <v>426</v>
      </c>
      <c r="BB11" s="51">
        <v>6</v>
      </c>
      <c r="BC11" s="51" t="s">
        <v>489</v>
      </c>
      <c r="BD11" s="51" t="s">
        <v>50</v>
      </c>
      <c r="BE11" s="51" t="s">
        <v>14</v>
      </c>
      <c r="BF11" s="51" t="s">
        <v>92</v>
      </c>
      <c r="BG11" s="51"/>
      <c r="BH11" s="51">
        <v>6</v>
      </c>
      <c r="BI11" s="51" t="s">
        <v>489</v>
      </c>
      <c r="BJ11" s="51" t="s">
        <v>14</v>
      </c>
      <c r="BK11" s="51" t="s">
        <v>92</v>
      </c>
      <c r="BN11" s="26" t="s">
        <v>490</v>
      </c>
      <c r="BO11" s="26" t="s">
        <v>491</v>
      </c>
    </row>
    <row r="12" spans="1:70" ht="16.5" customHeight="1" x14ac:dyDescent="0.25">
      <c r="B12" s="26">
        <v>6</v>
      </c>
      <c r="C12" s="26" t="s">
        <v>117</v>
      </c>
      <c r="D12" s="26" t="s">
        <v>2</v>
      </c>
      <c r="F12" s="17" t="s">
        <v>555</v>
      </c>
      <c r="G12" s="73">
        <f>_xll.IMDP($C12,$D12,G$5)</f>
        <v>3.4129999999999998</v>
      </c>
      <c r="H12" s="75">
        <f>_xll.IMDP($C12,$D12,H$5)*100</f>
        <v>-1.7000000000000002</v>
      </c>
      <c r="I12" s="95">
        <f ca="1">_xll.IMDP($C12,$D12,I$5,WORKDAY(TODAY(),-1))</f>
        <v>0</v>
      </c>
      <c r="J12" s="96"/>
      <c r="K12" s="59"/>
      <c r="L12" s="26">
        <v>46</v>
      </c>
      <c r="M12" s="26" t="str">
        <f t="shared" si="0"/>
        <v>HK10Y</v>
      </c>
      <c r="N12" s="26" t="str">
        <f t="shared" si="1"/>
        <v>HSI:HSI</v>
      </c>
      <c r="O12" s="26" t="str">
        <f t="shared" si="2"/>
        <v>USDHKD</v>
      </c>
      <c r="P12" s="79">
        <f>IF(M12=0,"",IF(OR($L12=42,$L12=43),_xll.IMDP($M$5,$M12,"대표수익률"),_xll.IMDP($M$5,$M12,"현재가")))</f>
        <v>2.6150000000000002</v>
      </c>
      <c r="Q12" s="81">
        <f>IF(M12=0,"",_xll.IMDP($M$5,$M12,"전일대비")*100)</f>
        <v>0</v>
      </c>
      <c r="R12" s="82">
        <f>IF(OR($L12=42,$L12=43),_xll.IMDP($N$4,$N12,"현재가"),_xll.IMDP($N$5,$N12,"현재가"))</f>
        <v>21549.040000000001</v>
      </c>
      <c r="S12" s="81">
        <f>IF(OR($L12=42,$L12=43),_xll.IMDP($N$4,$N12,"등락률"),_xll.IMDP($N$5,$N12,"등락률"))</f>
        <v>-0.13</v>
      </c>
      <c r="T12" s="74">
        <f>IF( $L12=42, TEXT(_xll.IMDP($O$5,$O12,"매입"), "#,##0.00 "), IF( OR($L12=12,$L12=29), TEXT(_xll.IMDP($O$5,$O12,"매입"), "#,##0.000 "), _xll.IMDP($O$5,$O12,"매입") ) )</f>
        <v>7.8246000000000002</v>
      </c>
      <c r="U12" s="87">
        <f>IF( $L12=42, TEXT(_xll.IMDP($O$5,$O12,"전일대비"), "+#,##0.00 ;-#,##0.00 "), IF( OR($L12=12,$L12=29), TEXT(_xll.IMDP($O$5,$O12,"전일대비"), "+#,##0.000 ;-#,##0.000"), _xll.IMDP($O$5,$O12,"전일대비") ) )</f>
        <v>8.6E-3</v>
      </c>
      <c r="V12" s="3"/>
      <c r="AM12" s="26">
        <v>8</v>
      </c>
      <c r="AN12" s="26" t="s">
        <v>278</v>
      </c>
      <c r="AO12" s="26" t="s">
        <v>279</v>
      </c>
      <c r="AP12" s="26">
        <v>8</v>
      </c>
      <c r="AQ12" s="26" t="s">
        <v>427</v>
      </c>
      <c r="BB12" s="51">
        <v>7</v>
      </c>
      <c r="BC12" s="51" t="s">
        <v>492</v>
      </c>
      <c r="BD12" s="51" t="s">
        <v>69</v>
      </c>
      <c r="BE12" s="51" t="s">
        <v>15</v>
      </c>
      <c r="BF12" s="51" t="s">
        <v>93</v>
      </c>
      <c r="BG12" s="51"/>
      <c r="BH12" s="51">
        <v>7</v>
      </c>
      <c r="BI12" s="51" t="s">
        <v>492</v>
      </c>
      <c r="BJ12" s="51" t="s">
        <v>15</v>
      </c>
      <c r="BK12" s="51" t="s">
        <v>93</v>
      </c>
    </row>
    <row r="13" spans="1:70" ht="16.5" customHeight="1" x14ac:dyDescent="0.25">
      <c r="B13" s="26">
        <v>7</v>
      </c>
      <c r="C13" s="26" t="s">
        <v>117</v>
      </c>
      <c r="D13" s="26" t="s">
        <v>3</v>
      </c>
      <c r="F13" s="17" t="s">
        <v>554</v>
      </c>
      <c r="G13" s="73">
        <f>_xll.IMDP($C13,$D13,G$5)</f>
        <v>3.3940000000000001</v>
      </c>
      <c r="H13" s="75">
        <f>_xll.IMDP($C13,$D13,H$5)*100</f>
        <v>-2.6</v>
      </c>
      <c r="I13" s="95">
        <f ca="1">_xll.IMDP($C13,$D13,I$5,WORKDAY(TODAY(),-1))</f>
        <v>0</v>
      </c>
      <c r="J13" s="96"/>
      <c r="K13" s="59"/>
      <c r="L13" s="26">
        <v>33</v>
      </c>
      <c r="M13" s="26" t="str">
        <f t="shared" si="0"/>
        <v>CA10Y</v>
      </c>
      <c r="N13" s="26" t="str">
        <f t="shared" si="1"/>
        <v>CAI:SPTSX</v>
      </c>
      <c r="O13" s="26" t="str">
        <f t="shared" si="2"/>
        <v>USDCAD</v>
      </c>
      <c r="P13" s="79">
        <f>IF(M13=0,"",IF(OR($L13=42,$L13=43),_xll.IMDP($M$5,$M13,"대표수익률"),_xll.IMDP($M$5,$M13,"현재가")))</f>
        <v>2.8468</v>
      </c>
      <c r="Q13" s="81">
        <f>IF(M13=0,"",_xll.IMDP($M$5,$M13,"전일대비")*100)</f>
        <v>-1.79</v>
      </c>
      <c r="R13" s="82">
        <f>IF(OR($L13=42,$L13=43),_xll.IMDP($N$4,$N13,"현재가"),_xll.IMDP($N$5,$N13,"현재가"))</f>
        <v>20457.46</v>
      </c>
      <c r="S13" s="81">
        <f>IF(OR($L13=42,$L13=43),_xll.IMDP($N$4,$N13,"등락률"),_xll.IMDP($N$5,$N13,"등락률"))</f>
        <v>0.33</v>
      </c>
      <c r="T13" s="74">
        <f>IF( $L13=42, TEXT(_xll.IMDP($O$5,$O13,"매입"), "#,##0.00 "), IF( OR($L13=12,$L13=29), TEXT(_xll.IMDP($O$5,$O13,"매입"), "#,##0.000 "), _xll.IMDP($O$5,$O13,"매입") ) )</f>
        <v>1.3378000000000001</v>
      </c>
      <c r="U13" s="87">
        <f>IF( $L13=42, TEXT(_xll.IMDP($O$5,$O13,"전일대비"), "+#,##0.00 ;-#,##0.00 "), IF( OR($L13=12,$L13=29), TEXT(_xll.IMDP($O$5,$O13,"전일대비"), "+#,##0.000 ;-#,##0.000"), _xll.IMDP($O$5,$O13,"전일대비") ) )</f>
        <v>1E-3</v>
      </c>
      <c r="V13" s="3"/>
      <c r="AM13" s="26">
        <v>9</v>
      </c>
      <c r="AN13" s="26" t="s">
        <v>280</v>
      </c>
      <c r="AO13" s="26" t="s">
        <v>281</v>
      </c>
      <c r="AP13" s="26">
        <v>9</v>
      </c>
      <c r="AQ13" s="26" t="s">
        <v>428</v>
      </c>
      <c r="BB13" s="51">
        <v>8</v>
      </c>
      <c r="BC13" s="51" t="s">
        <v>493</v>
      </c>
      <c r="BD13" s="51" t="s">
        <v>62</v>
      </c>
      <c r="BE13" s="51" t="s">
        <v>16</v>
      </c>
      <c r="BF13" s="51" t="s">
        <v>89</v>
      </c>
      <c r="BG13" s="51"/>
      <c r="BH13" s="51">
        <v>8</v>
      </c>
      <c r="BI13" s="51" t="s">
        <v>493</v>
      </c>
      <c r="BJ13" s="51" t="s">
        <v>16</v>
      </c>
      <c r="BK13" s="51" t="s">
        <v>89</v>
      </c>
    </row>
    <row r="14" spans="1:70" ht="16.5" customHeight="1" x14ac:dyDescent="0.25">
      <c r="B14" s="26">
        <v>8</v>
      </c>
      <c r="C14" s="26" t="s">
        <v>117</v>
      </c>
      <c r="D14" s="26" t="s">
        <v>4</v>
      </c>
      <c r="F14" s="17" t="s">
        <v>562</v>
      </c>
      <c r="G14" s="73">
        <f>_xll.IMDP($C14,$D14,G$5)</f>
        <v>3.7029999999999998</v>
      </c>
      <c r="H14" s="75">
        <f>_xll.IMDP($C14,$D14,H$5)*100</f>
        <v>-4</v>
      </c>
      <c r="I14" s="95">
        <f ca="1">_xll.IMDP($C14,$D14,I$5,WORKDAY(TODAY(),-1))</f>
        <v>0</v>
      </c>
      <c r="J14" s="96"/>
      <c r="K14" s="59"/>
      <c r="L14" s="26">
        <v>45</v>
      </c>
      <c r="M14" s="26" t="str">
        <f t="shared" si="0"/>
        <v>AU10Y</v>
      </c>
      <c r="N14" s="26" t="str">
        <f t="shared" si="1"/>
        <v>NAS:IXIC</v>
      </c>
      <c r="O14" s="26" t="str">
        <f t="shared" si="2"/>
        <v>AUDUSD</v>
      </c>
      <c r="P14" s="79">
        <f>IF(M14=0,"",IF(OR($L14=42,$L14=43),_xll.IMDP($M$5,$M14,"대표수익률"),_xll.IMDP($M$5,$M14,"현재가")))</f>
        <v>3.5672000000000001</v>
      </c>
      <c r="Q14" s="81">
        <f>IF(M14=0,"",_xll.IMDP($M$5,$M14,"전일대비")*100)</f>
        <v>-5.08</v>
      </c>
      <c r="R14" s="82">
        <f>IF(OR($L14=42,$L14=43),_xll.IMDP($N$4,$N14,"현재가"),_xll.IMDP($N$5,$N14,"현재가"))</f>
        <v>11095.11</v>
      </c>
      <c r="S14" s="81">
        <f>IF(OR($L14=42,$L14=43),_xll.IMDP($N$4,$N14,"등락률"),_xll.IMDP($N$5,$N14,"등락률"))</f>
        <v>0.14000000000000001</v>
      </c>
      <c r="T14" s="74">
        <f>IF( $L14=42, TEXT(_xll.IMDP($O$5,$O14,"매입"), "#,##0.00 "), IF( OR($L14=12,$L14=29), TEXT(_xll.IMDP($O$5,$O14,"매입"), "#,##0.000 "), _xll.IMDP($O$5,$O14,"매입") ) )</f>
        <v>0.69889999999999997</v>
      </c>
      <c r="U14" s="87">
        <f>IF( $L14=42, TEXT(_xll.IMDP($O$5,$O14,"전일대비"), "+#,##0.00 ;-#,##0.00 "), IF( OR($L14=12,$L14=29), TEXT(_xll.IMDP($O$5,$O14,"전일대비"), "+#,##0.000 ;-#,##0.000"), _xll.IMDP($O$5,$O14,"전일대비") ) )</f>
        <v>4.0000000000000002E-4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M14" s="26">
        <v>10</v>
      </c>
      <c r="AN14" s="26" t="s">
        <v>282</v>
      </c>
      <c r="AO14" s="26" t="s">
        <v>283</v>
      </c>
      <c r="AP14" s="26">
        <v>10</v>
      </c>
      <c r="AQ14" s="26" t="s">
        <v>429</v>
      </c>
      <c r="BB14" s="51">
        <v>9</v>
      </c>
      <c r="BC14" s="51" t="s">
        <v>494</v>
      </c>
      <c r="BD14" s="51" t="s">
        <v>59</v>
      </c>
      <c r="BE14" s="51"/>
      <c r="BF14" s="51" t="s">
        <v>88</v>
      </c>
      <c r="BG14" s="51"/>
      <c r="BH14" s="51">
        <v>9</v>
      </c>
      <c r="BI14" s="51" t="s">
        <v>495</v>
      </c>
      <c r="BJ14" s="51" t="s">
        <v>17</v>
      </c>
      <c r="BK14" s="51" t="s">
        <v>87</v>
      </c>
    </row>
    <row r="15" spans="1:70" ht="16.5" customHeight="1" x14ac:dyDescent="0.25">
      <c r="B15" s="26">
        <v>9</v>
      </c>
      <c r="C15" s="26" t="s">
        <v>117</v>
      </c>
      <c r="D15" s="26" t="s">
        <v>5</v>
      </c>
      <c r="F15" s="17" t="s">
        <v>563</v>
      </c>
      <c r="G15" s="73">
        <f>_xll.IMDP($C15,$D15,G$5)</f>
        <v>4.6189999999999998</v>
      </c>
      <c r="H15" s="75">
        <f>_xll.IMDP($C15,$D15,H$5)*100</f>
        <v>-5.8000000000000007</v>
      </c>
      <c r="I15" s="95">
        <f ca="1">_xll.IMDP($C15,$D15,I$5,WORKDAY(TODAY(),-1))</f>
        <v>0</v>
      </c>
      <c r="J15" s="96"/>
      <c r="K15" s="59"/>
      <c r="L15" s="26">
        <v>17</v>
      </c>
      <c r="M15" s="26" t="str">
        <f t="shared" si="0"/>
        <v>BR10Y</v>
      </c>
      <c r="N15" s="26" t="str">
        <f t="shared" si="1"/>
        <v>BRI:BVSP</v>
      </c>
      <c r="O15" s="26" t="str">
        <f t="shared" si="2"/>
        <v>USDBRL</v>
      </c>
      <c r="P15" s="79">
        <f>IF(M15=0,"",IF(OR($L15=42,$L15=43),_xll.IMDP($M$5,$M15,"대표수익률"),_xll.IMDP($M$5,$M15,"현재가")))</f>
        <v>12.148</v>
      </c>
      <c r="Q15" s="81">
        <f>IF(M15=0,"",_xll.IMDP($M$5,$M15,"전일대비")*100)</f>
        <v>13.4</v>
      </c>
      <c r="R15" s="82">
        <f>IF(OR($L15=42,$L15=43),_xll.IMDP($N$4,$N15,"현재가"),_xll.IMDP($N$5,$N15,"현재가"))</f>
        <v>111439.12</v>
      </c>
      <c r="S15" s="81">
        <f>IF(OR($L15=42,$L15=43),_xll.IMDP($N$4,$N15,"등락률"),_xll.IMDP($N$5,$N15,"등락률"))</f>
        <v>2.04</v>
      </c>
      <c r="T15" s="74">
        <f>IF( $L15=42, TEXT(_xll.IMDP($O$5,$O15,"매입"), "#,##0.00 "), IF( OR($L15=12,$L15=29), TEXT(_xll.IMDP($O$5,$O15,"매입"), "#,##0.000 "), _xll.IMDP($O$5,$O15,"매입") ) )</f>
        <v>5.1071999999999997</v>
      </c>
      <c r="U15" s="87">
        <f>IF( $L15=42, TEXT(_xll.IMDP($O$5,$O15,"전일대비"), "+#,##0.00 ;-#,##0.00 "), IF( OR($L15=12,$L15=29), TEXT(_xll.IMDP($O$5,$O15,"전일대비"), "+#,##0.000 ;-#,##0.000"), _xll.IMDP($O$5,$O15,"전일대비") ) )</f>
        <v>3.8E-3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M15" s="26">
        <v>11</v>
      </c>
      <c r="AN15" s="26" t="s">
        <v>284</v>
      </c>
      <c r="AO15" s="26" t="s">
        <v>285</v>
      </c>
      <c r="AP15" s="26">
        <v>11</v>
      </c>
      <c r="AQ15" s="26" t="s">
        <v>430</v>
      </c>
      <c r="BB15" s="51">
        <v>10</v>
      </c>
      <c r="BC15" s="51" t="s">
        <v>495</v>
      </c>
      <c r="BD15" s="51" t="s">
        <v>81</v>
      </c>
      <c r="BE15" s="51" t="s">
        <v>17</v>
      </c>
      <c r="BF15" s="51" t="s">
        <v>87</v>
      </c>
      <c r="BG15" s="51"/>
      <c r="BH15" s="51">
        <v>10</v>
      </c>
      <c r="BI15" s="51" t="s">
        <v>496</v>
      </c>
      <c r="BJ15" s="51" t="s">
        <v>18</v>
      </c>
      <c r="BK15" s="51" t="s">
        <v>86</v>
      </c>
      <c r="BM15" s="26" t="s">
        <v>473</v>
      </c>
      <c r="BN15" s="26" t="s">
        <v>497</v>
      </c>
      <c r="BO15" s="26" t="s">
        <v>498</v>
      </c>
      <c r="BP15" s="26" t="s">
        <v>147</v>
      </c>
      <c r="BQ15" s="26" t="s">
        <v>148</v>
      </c>
      <c r="BR15" s="26" t="s">
        <v>149</v>
      </c>
    </row>
    <row r="16" spans="1:70" ht="16.5" customHeight="1" x14ac:dyDescent="0.25">
      <c r="B16" s="26">
        <v>10</v>
      </c>
      <c r="C16" s="26" t="s">
        <v>117</v>
      </c>
      <c r="D16" s="26" t="s">
        <v>6</v>
      </c>
      <c r="F16" s="17" t="s">
        <v>564</v>
      </c>
      <c r="G16" s="73">
        <f>_xll.IMDP($C16,$D16,G$5)</f>
        <v>3.72</v>
      </c>
      <c r="H16" s="75">
        <f>_xll.IMDP($C16,$D16,H$5)*100</f>
        <v>-2</v>
      </c>
      <c r="I16" s="95">
        <f ca="1">_xll.IMDP($C16,$D16,I$5,WORKDAY(TODAY(),-1))</f>
        <v>0</v>
      </c>
      <c r="J16" s="96"/>
      <c r="K16" s="59"/>
      <c r="L16" s="26">
        <v>1</v>
      </c>
      <c r="M16" s="26" t="str">
        <f t="shared" si="0"/>
        <v>GR10Y</v>
      </c>
      <c r="N16" s="26" t="str">
        <f t="shared" si="1"/>
        <v>GRI:ASE</v>
      </c>
      <c r="O16" s="26" t="str">
        <f t="shared" si="2"/>
        <v>EURUSD</v>
      </c>
      <c r="P16" s="79">
        <f>IF(M16=0,"",IF(OR($L16=42,$L16=43),_xll.IMDP($M$5,$M16,"대표수익률"),_xll.IMDP($M$5,$M16,"현재가")))</f>
        <v>4.0968</v>
      </c>
      <c r="Q16" s="81">
        <f>IF(M16=0,"",_xll.IMDP($M$5,$M16,"전일대비")*100)</f>
        <v>-3.9600000000000004</v>
      </c>
      <c r="R16" s="82">
        <f>IF(OR($L16=42,$L16=43),_xll.IMDP($N$4,$N16,"현재가"),_xll.IMDP($N$5,$N16,"현재가"))</f>
        <v>987.01</v>
      </c>
      <c r="S16" s="81">
        <f>IF(OR($L16=42,$L16=43),_xll.IMDP($N$4,$N16,"등락률"),_xll.IMDP($N$5,$N16,"등락률"))</f>
        <v>0</v>
      </c>
      <c r="T16" s="74">
        <f>IF( $L16=42, TEXT(_xll.IMDP($O$5,$O16,"매입"), "#,##0.00 "), IF( OR($L16=12,$L16=29), TEXT(_xll.IMDP($O$5,$O16,"매입"), "#,##0.000 "), _xll.IMDP($O$5,$O16,"매입") ) )</f>
        <v>1.0770999999999999</v>
      </c>
      <c r="U16" s="87">
        <f>IF( $L16=42, TEXT(_xll.IMDP($O$5,$O16,"전일대비"), "+#,##0.00 ;-#,##0.00 "), IF( OR($L16=12,$L16=29), TEXT(_xll.IMDP($O$5,$O16,"전일대비"), "+#,##0.000 ;-#,##0.000"), _xll.IMDP($O$5,$O16,"전일대비") ) )</f>
        <v>2.2599999999999999E-3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M16" s="26">
        <v>12</v>
      </c>
      <c r="AN16" s="26" t="s">
        <v>286</v>
      </c>
      <c r="AO16" s="26" t="s">
        <v>287</v>
      </c>
      <c r="AP16" s="26">
        <v>12</v>
      </c>
      <c r="AQ16" s="26" t="s">
        <v>431</v>
      </c>
      <c r="BB16" s="51">
        <v>11</v>
      </c>
      <c r="BC16" s="51" t="s">
        <v>496</v>
      </c>
      <c r="BD16" s="51" t="s">
        <v>79</v>
      </c>
      <c r="BE16" s="51" t="s">
        <v>18</v>
      </c>
      <c r="BF16" s="51" t="s">
        <v>86</v>
      </c>
      <c r="BG16" s="51"/>
      <c r="BH16" s="51">
        <v>11</v>
      </c>
      <c r="BI16" s="51" t="s">
        <v>499</v>
      </c>
      <c r="BJ16" s="51" t="s">
        <v>19</v>
      </c>
      <c r="BK16" s="51" t="s">
        <v>500</v>
      </c>
      <c r="BM16" s="26" t="s">
        <v>501</v>
      </c>
      <c r="BN16" s="26" t="s">
        <v>474</v>
      </c>
      <c r="BO16" s="26" t="s">
        <v>502</v>
      </c>
      <c r="BP16" s="26" t="s">
        <v>170</v>
      </c>
      <c r="BQ16" s="26" t="s">
        <v>171</v>
      </c>
      <c r="BR16" s="26" t="s">
        <v>146</v>
      </c>
    </row>
    <row r="17" spans="1:63" ht="16.5" customHeight="1" x14ac:dyDescent="0.25">
      <c r="B17" s="26">
        <v>11</v>
      </c>
      <c r="C17" s="26" t="s">
        <v>216</v>
      </c>
      <c r="D17" s="26" t="s">
        <v>568</v>
      </c>
      <c r="F17" s="17" t="s">
        <v>565</v>
      </c>
      <c r="G17" s="73">
        <f>_xll.IMDP($C17,$D17,G$5)</f>
        <v>4.8099999999999996</v>
      </c>
      <c r="H17" s="75">
        <f>_xll.IMDP($C17,$D17,H$5)*100</f>
        <v>-2</v>
      </c>
      <c r="I17" s="95">
        <f ca="1">_xll.IMDP($C17,$D17,I$5,WORKDAY(TODAY(),-1))</f>
        <v>0</v>
      </c>
      <c r="J17" s="96"/>
      <c r="K17" s="59"/>
      <c r="L17" s="26">
        <v>2</v>
      </c>
      <c r="M17" s="26" t="str">
        <f t="shared" si="0"/>
        <v>ZA10Y</v>
      </c>
      <c r="N17" s="26" t="str">
        <f t="shared" si="1"/>
        <v>JSE:TOP40</v>
      </c>
      <c r="O17" s="26" t="str">
        <f t="shared" si="2"/>
        <v>USDZAR</v>
      </c>
      <c r="P17" s="79">
        <f>IF(M17=0,"",IF(OR($L17=42,$L17=43),_xll.IMDP($M$5,$M17,"대표수익률"),_xll.IMDP($M$5,$M17,"현재가")))</f>
        <v>8.8800000000000008</v>
      </c>
      <c r="Q17" s="81">
        <f>IF(M17=0,"",_xll.IMDP($M$5,$M17,"전일대비")*100)</f>
        <v>0</v>
      </c>
      <c r="R17" s="82">
        <f>IF(OR($L17=42,$L17=43),_xll.IMDP($N$4,$N17,"현재가"),_xll.IMDP($N$5,$N17,"현재가"))</f>
        <v>66524.92</v>
      </c>
      <c r="S17" s="81">
        <f>IF(OR($L17=42,$L17=43),_xll.IMDP($N$4,$N17,"등락률"),_xll.IMDP($N$5,$N17,"등락률"))</f>
        <v>0.36</v>
      </c>
      <c r="T17" s="74">
        <f>IF( $L17=42, TEXT(_xll.IMDP($O$5,$O17,"매입"), "#,##0.00 "), IF( OR($L17=12,$L17=29), TEXT(_xll.IMDP($O$5,$O17,"매입"), "#,##0.000 "), _xll.IMDP($O$5,$O17,"매입") ) )</f>
        <v>17.081800000000001</v>
      </c>
      <c r="U17" s="87">
        <f>IF( $L17=42, TEXT(_xll.IMDP($O$5,$O17,"전일대비"), "+#,##0.00 ;-#,##0.00 "), IF( OR($L17=12,$L17=29), TEXT(_xll.IMDP($O$5,$O17,"전일대비"), "+#,##0.000 ;-#,##0.000"), _xll.IMDP($O$5,$O17,"전일대비") ) )</f>
        <v>3.6600000000000001E-2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M17" s="26">
        <v>13</v>
      </c>
      <c r="AN17" s="26" t="s">
        <v>288</v>
      </c>
      <c r="AO17" s="26" t="s">
        <v>289</v>
      </c>
      <c r="AP17" s="26">
        <v>13</v>
      </c>
      <c r="AQ17" s="26" t="s">
        <v>432</v>
      </c>
      <c r="BB17" s="51">
        <v>12</v>
      </c>
      <c r="BC17" s="51" t="s">
        <v>503</v>
      </c>
      <c r="BD17" s="51" t="s">
        <v>47</v>
      </c>
      <c r="BE17" s="51" t="s">
        <v>19</v>
      </c>
      <c r="BF17" s="51" t="s">
        <v>500</v>
      </c>
      <c r="BG17" s="51"/>
      <c r="BH17" s="51">
        <v>12</v>
      </c>
      <c r="BI17" s="51" t="s">
        <v>504</v>
      </c>
      <c r="BJ17" s="51" t="s">
        <v>21</v>
      </c>
      <c r="BK17" s="51" t="s">
        <v>84</v>
      </c>
    </row>
    <row r="18" spans="1:63" ht="16.5" customHeight="1" x14ac:dyDescent="0.25">
      <c r="F18" s="34" t="s">
        <v>153</v>
      </c>
      <c r="G18" s="34" t="s">
        <v>150</v>
      </c>
      <c r="H18" s="34" t="s">
        <v>151</v>
      </c>
      <c r="I18" s="97" t="s">
        <v>152</v>
      </c>
      <c r="J18" s="98"/>
      <c r="K18" s="60" t="s">
        <v>161</v>
      </c>
      <c r="L18" s="26">
        <v>1</v>
      </c>
      <c r="P18" s="34" t="str">
        <f t="shared" ref="P18:U18" si="3">IF($L$18=1,BM15,BM16)</f>
        <v>채권</v>
      </c>
      <c r="Q18" s="34" t="str">
        <f t="shared" si="3"/>
        <v>KTB</v>
      </c>
      <c r="R18" s="34" t="str">
        <f t="shared" si="3"/>
        <v>LKTB</v>
      </c>
      <c r="S18" s="34" t="str">
        <f t="shared" si="3"/>
        <v>거래소</v>
      </c>
      <c r="T18" s="34" t="str">
        <f t="shared" si="3"/>
        <v>코스닥</v>
      </c>
      <c r="U18" s="34" t="str">
        <f t="shared" si="3"/>
        <v>K200선물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M18" s="26">
        <v>14</v>
      </c>
      <c r="AN18" s="26" t="s">
        <v>290</v>
      </c>
      <c r="AO18" s="26" t="s">
        <v>291</v>
      </c>
      <c r="AP18" s="26">
        <v>14</v>
      </c>
      <c r="AQ18" s="26" t="s">
        <v>433</v>
      </c>
      <c r="BB18" s="51">
        <v>13</v>
      </c>
      <c r="BC18" s="51" t="s">
        <v>505</v>
      </c>
      <c r="BD18" s="51" t="s">
        <v>48</v>
      </c>
      <c r="BE18" s="51" t="s">
        <v>19</v>
      </c>
      <c r="BF18" s="51" t="s">
        <v>500</v>
      </c>
      <c r="BG18" s="51"/>
      <c r="BH18" s="51">
        <v>13</v>
      </c>
      <c r="BI18" s="51" t="s">
        <v>506</v>
      </c>
      <c r="BJ18" s="51" t="s">
        <v>22</v>
      </c>
      <c r="BK18" s="51" t="s">
        <v>89</v>
      </c>
    </row>
    <row r="19" spans="1:63" ht="16.5" hidden="1" customHeight="1" x14ac:dyDescent="0.25">
      <c r="A19" s="25"/>
      <c r="F19" s="36"/>
      <c r="G19" s="37" t="s">
        <v>448</v>
      </c>
      <c r="H19" s="38" t="s">
        <v>449</v>
      </c>
      <c r="I19" s="38" t="s">
        <v>551</v>
      </c>
      <c r="J19" s="64"/>
      <c r="K19" s="39"/>
      <c r="M19" s="26" t="s">
        <v>450</v>
      </c>
      <c r="N19" s="26" t="s">
        <v>451</v>
      </c>
      <c r="P19" s="46" t="s">
        <v>452</v>
      </c>
      <c r="Q19" s="38" t="s">
        <v>453</v>
      </c>
      <c r="R19" s="38" t="s">
        <v>454</v>
      </c>
      <c r="S19" s="41" t="s">
        <v>455</v>
      </c>
      <c r="T19" s="41" t="s">
        <v>456</v>
      </c>
      <c r="U19" s="40" t="s">
        <v>457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M19" s="26">
        <v>15</v>
      </c>
      <c r="AN19" s="26" t="s">
        <v>292</v>
      </c>
      <c r="AO19" s="26" t="s">
        <v>293</v>
      </c>
      <c r="AP19" s="26">
        <v>15</v>
      </c>
      <c r="AQ19" s="26" t="s">
        <v>434</v>
      </c>
      <c r="BB19" s="51">
        <v>14</v>
      </c>
      <c r="BC19" s="51" t="s">
        <v>507</v>
      </c>
      <c r="BD19" s="51" t="s">
        <v>49</v>
      </c>
      <c r="BE19" s="51" t="s">
        <v>19</v>
      </c>
      <c r="BF19" s="51" t="s">
        <v>500</v>
      </c>
      <c r="BG19" s="51"/>
      <c r="BH19" s="51">
        <v>14</v>
      </c>
      <c r="BI19" s="51" t="s">
        <v>508</v>
      </c>
      <c r="BJ19" s="51" t="s">
        <v>20</v>
      </c>
      <c r="BK19" s="51" t="s">
        <v>89</v>
      </c>
    </row>
    <row r="20" spans="1:63" ht="16.5" hidden="1" customHeight="1" x14ac:dyDescent="0.25">
      <c r="A20" s="25"/>
      <c r="F20" s="39"/>
      <c r="G20" s="38"/>
      <c r="H20" s="38"/>
      <c r="I20" s="38"/>
      <c r="J20" s="64"/>
      <c r="K20" s="39"/>
      <c r="P20" s="46" t="s">
        <v>458</v>
      </c>
      <c r="Q20" s="40" t="s">
        <v>119</v>
      </c>
      <c r="R20" s="40" t="s">
        <v>123</v>
      </c>
      <c r="S20" s="40" t="s">
        <v>125</v>
      </c>
      <c r="T20" s="40" t="s">
        <v>127</v>
      </c>
      <c r="U20" s="40" t="s">
        <v>459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M20" s="26">
        <v>16</v>
      </c>
      <c r="AN20" s="26" t="s">
        <v>294</v>
      </c>
      <c r="AO20" s="26" t="s">
        <v>295</v>
      </c>
      <c r="BB20" s="51">
        <v>15</v>
      </c>
      <c r="BC20" s="51" t="s">
        <v>509</v>
      </c>
      <c r="BD20" s="51" t="s">
        <v>83</v>
      </c>
      <c r="BE20" s="51"/>
      <c r="BF20" s="51" t="s">
        <v>94</v>
      </c>
      <c r="BG20" s="51"/>
      <c r="BH20" s="51">
        <v>15</v>
      </c>
      <c r="BI20" s="51" t="s">
        <v>510</v>
      </c>
      <c r="BJ20" s="51" t="s">
        <v>23</v>
      </c>
      <c r="BK20" s="51" t="s">
        <v>97</v>
      </c>
    </row>
    <row r="21" spans="1:63" ht="16.5" hidden="1" customHeight="1" x14ac:dyDescent="0.25">
      <c r="A21" s="25"/>
      <c r="F21" s="39"/>
      <c r="G21" s="38"/>
      <c r="H21" s="38"/>
      <c r="I21" s="38"/>
      <c r="J21" s="64"/>
      <c r="K21" s="39"/>
      <c r="P21" s="47" t="str">
        <f t="shared" ref="P21:U21" si="4">IF($L$18=1,P$19,P$20)</f>
        <v>BNDINV0000</v>
      </c>
      <c r="Q21" s="42" t="str">
        <f t="shared" si="4"/>
        <v>C65</v>
      </c>
      <c r="R21" s="42" t="str">
        <f t="shared" si="4"/>
        <v>C67</v>
      </c>
      <c r="S21" s="42" t="str">
        <f t="shared" si="4"/>
        <v>001</v>
      </c>
      <c r="T21" s="42" t="str">
        <f t="shared" si="4"/>
        <v>801</v>
      </c>
      <c r="U21" s="42" t="str">
        <f t="shared" si="4"/>
        <v>C01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M21" s="26">
        <v>17</v>
      </c>
      <c r="AN21" s="26" t="s">
        <v>296</v>
      </c>
      <c r="AO21" s="26" t="s">
        <v>297</v>
      </c>
      <c r="BB21" s="51">
        <v>16</v>
      </c>
      <c r="BC21" s="51" t="s">
        <v>508</v>
      </c>
      <c r="BD21" s="51" t="s">
        <v>71</v>
      </c>
      <c r="BE21" s="51" t="s">
        <v>20</v>
      </c>
      <c r="BF21" s="51" t="s">
        <v>89</v>
      </c>
      <c r="BG21" s="51"/>
      <c r="BH21" s="51">
        <v>16</v>
      </c>
      <c r="BI21" s="51" t="s">
        <v>511</v>
      </c>
      <c r="BJ21" s="51" t="s">
        <v>24</v>
      </c>
      <c r="BK21" s="51" t="s">
        <v>89</v>
      </c>
    </row>
    <row r="22" spans="1:63" ht="17.25" customHeight="1" x14ac:dyDescent="0.25">
      <c r="B22" s="26" t="s">
        <v>239</v>
      </c>
      <c r="C22" s="26" t="s">
        <v>172</v>
      </c>
      <c r="F22" s="35" t="s">
        <v>7</v>
      </c>
      <c r="G22" s="83">
        <f>_xll.IMDP($B22,$C22,G$19)</f>
        <v>104.71</v>
      </c>
      <c r="H22" s="83">
        <f>_xll.IMDP($B22,$C22,H$19)</f>
        <v>104.63</v>
      </c>
      <c r="I22" s="99">
        <f>_xll.IMDP($B22,$C22,I$19)</f>
        <v>0.25</v>
      </c>
      <c r="J22" s="100"/>
      <c r="K22" s="61" t="s">
        <v>221</v>
      </c>
      <c r="L22" s="26" t="s">
        <v>216</v>
      </c>
      <c r="M22" s="26" t="s">
        <v>241</v>
      </c>
      <c r="N22" s="26" t="s">
        <v>242</v>
      </c>
      <c r="P22" s="76">
        <f>_xll.IMDP($L$22,P$21,$M22)/100000</f>
        <v>-2582.1511</v>
      </c>
      <c r="Q22" s="76">
        <f>IF($L$18=1,_xll.IMDP($L$24,Q$21,$N22),_xll.IMDP($L$22,Q$21,$M22)/100000)</f>
        <v>6234</v>
      </c>
      <c r="R22" s="76">
        <f>IF($L$18=1,_xll.IMDP($L$24,R$21,$N22),_xll.IMDP($L$22,R$21,$M22)/100000)</f>
        <v>2077</v>
      </c>
      <c r="S22" s="76">
        <f>IF($L$18=1,_xll.IMDP($L$24,S$21,$N22),_xll.IMDP($L$22,S$21,$M22)/100000)</f>
        <v>-5763</v>
      </c>
      <c r="T22" s="76">
        <f>IF($L$18=1,_xll.IMDP($L$24,T$21,$N22),_xll.IMDP($L$22,T$21,$M22)/100000)</f>
        <v>-5763</v>
      </c>
      <c r="U22" s="76">
        <f>IF($L$18=1,_xll.IMDP($L$24,U$21,$N22),_xll.IMDP($L$22,U$21,$M22)/100000)</f>
        <v>-5763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M22" s="26">
        <v>18</v>
      </c>
      <c r="AN22" s="26" t="s">
        <v>298</v>
      </c>
      <c r="AO22" s="26" t="s">
        <v>299</v>
      </c>
      <c r="BB22" s="51">
        <v>17</v>
      </c>
      <c r="BC22" s="51" t="s">
        <v>504</v>
      </c>
      <c r="BD22" s="51" t="s">
        <v>43</v>
      </c>
      <c r="BE22" s="51" t="s">
        <v>21</v>
      </c>
      <c r="BF22" s="51" t="s">
        <v>84</v>
      </c>
      <c r="BG22" s="51"/>
      <c r="BH22" s="51">
        <v>17</v>
      </c>
      <c r="BI22" s="51" t="s">
        <v>512</v>
      </c>
      <c r="BJ22" s="51" t="s">
        <v>25</v>
      </c>
      <c r="BK22" s="51" t="s">
        <v>99</v>
      </c>
    </row>
    <row r="23" spans="1:63" ht="17.25" customHeight="1" x14ac:dyDescent="0.25">
      <c r="B23" s="26" t="s">
        <v>239</v>
      </c>
      <c r="C23" s="26" t="s">
        <v>173</v>
      </c>
      <c r="F23" s="18" t="s">
        <v>8</v>
      </c>
      <c r="G23" s="84">
        <f>_xll.IMDP($B23,$C23,G$19)</f>
        <v>114.01</v>
      </c>
      <c r="H23" s="84">
        <f>_xll.IMDP($B23,$C23,H$19)</f>
        <v>113.98</v>
      </c>
      <c r="I23" s="104">
        <f>_xll.IMDP($B23,$C23,I$19)</f>
        <v>0.94</v>
      </c>
      <c r="J23" s="105"/>
      <c r="K23" s="62" t="s">
        <v>222</v>
      </c>
      <c r="L23" s="26" t="s">
        <v>240</v>
      </c>
      <c r="M23" s="26" t="s">
        <v>243</v>
      </c>
      <c r="N23" s="26" t="s">
        <v>244</v>
      </c>
      <c r="P23" s="77">
        <f>_xll.IMDP($L$22,P$21,$M23)/100000</f>
        <v>1780</v>
      </c>
      <c r="Q23" s="77">
        <f>IF($L$18=1,_xll.IMDP($L$24,Q$21,$N23),_xll.IMDP($L$22,Q$21,$M23)/100000)</f>
        <v>-246</v>
      </c>
      <c r="R23" s="77">
        <f>IF($L$18=1,_xll.IMDP($L$24,R$21,$N23),_xll.IMDP($L$22,R$21,$M23)/100000)</f>
        <v>-205</v>
      </c>
      <c r="S23" s="77">
        <f>IF($L$18=1,_xll.IMDP($L$24,S$21,$N23),_xll.IMDP($L$22,S$21,$M23)/100000)</f>
        <v>176</v>
      </c>
      <c r="T23" s="77">
        <f>IF($L$18=1,_xll.IMDP($L$24,T$21,$N23),_xll.IMDP($L$22,T$21,$M23)/100000)</f>
        <v>176</v>
      </c>
      <c r="U23" s="77">
        <f>IF($L$18=1,_xll.IMDP($L$24,U$21,$N23),_xll.IMDP($L$22,U$21,$M23)/100000)</f>
        <v>176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M23" s="26">
        <v>19</v>
      </c>
      <c r="AN23" s="26" t="s">
        <v>300</v>
      </c>
      <c r="AO23" s="26" t="s">
        <v>301</v>
      </c>
      <c r="BB23" s="51">
        <v>18</v>
      </c>
      <c r="BC23" s="51" t="s">
        <v>513</v>
      </c>
      <c r="BD23" s="51" t="s">
        <v>72</v>
      </c>
      <c r="BE23" s="51"/>
      <c r="BF23" s="51" t="s">
        <v>95</v>
      </c>
      <c r="BG23" s="51"/>
      <c r="BH23" s="51">
        <v>18</v>
      </c>
      <c r="BI23" s="51" t="s">
        <v>514</v>
      </c>
      <c r="BJ23" s="51" t="s">
        <v>26</v>
      </c>
      <c r="BK23" s="51" t="s">
        <v>89</v>
      </c>
    </row>
    <row r="24" spans="1:63" ht="17.25" customHeight="1" x14ac:dyDescent="0.25">
      <c r="F24" s="21" t="s">
        <v>174</v>
      </c>
      <c r="G24" s="21" t="s">
        <v>111</v>
      </c>
      <c r="H24" s="21" t="s">
        <v>163</v>
      </c>
      <c r="I24" s="89" t="s">
        <v>164</v>
      </c>
      <c r="J24" s="90"/>
      <c r="K24" s="62" t="s">
        <v>223</v>
      </c>
      <c r="L24" s="26" t="s">
        <v>239</v>
      </c>
      <c r="M24" s="26" t="s">
        <v>245</v>
      </c>
      <c r="N24" s="26" t="s">
        <v>246</v>
      </c>
      <c r="P24" s="77">
        <f>_xll.IMDP($L$22,P$21,$M24)/100000</f>
        <v>10745.8</v>
      </c>
      <c r="Q24" s="77">
        <f>IF($L$18=1,_xll.IMDP($L$24,Q$21,$N24),_xll.IMDP($L$22,Q$21,$M24)/100000)</f>
        <v>-1393</v>
      </c>
      <c r="R24" s="77">
        <f>IF($L$18=1,_xll.IMDP($L$24,R$21,$N24),_xll.IMDP($L$22,R$21,$M24)/100000)</f>
        <v>-574</v>
      </c>
      <c r="S24" s="77">
        <f>IF($L$18=1,_xll.IMDP($L$24,S$21,$N24),_xll.IMDP($L$22,S$21,$M24)/100000)</f>
        <v>-1007</v>
      </c>
      <c r="T24" s="77">
        <f>IF($L$18=1,_xll.IMDP($L$24,T$21,$N24),_xll.IMDP($L$22,T$21,$M24)/100000)</f>
        <v>-1007</v>
      </c>
      <c r="U24" s="77">
        <f>IF($L$18=1,_xll.IMDP($L$24,U$21,$N24),_xll.IMDP($L$22,U$21,$M24)/100000)</f>
        <v>-1007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M24" s="26">
        <v>20</v>
      </c>
      <c r="AN24" s="26" t="s">
        <v>302</v>
      </c>
      <c r="AO24" s="26" t="s">
        <v>303</v>
      </c>
      <c r="BB24" s="51">
        <v>19</v>
      </c>
      <c r="BC24" s="51" t="s">
        <v>515</v>
      </c>
      <c r="BD24" s="51" t="s">
        <v>68</v>
      </c>
      <c r="BE24" s="51"/>
      <c r="BF24" s="51" t="s">
        <v>96</v>
      </c>
      <c r="BG24" s="51"/>
      <c r="BH24" s="51">
        <v>19</v>
      </c>
      <c r="BI24" s="51" t="s">
        <v>516</v>
      </c>
      <c r="BJ24" s="51" t="s">
        <v>27</v>
      </c>
      <c r="BK24" s="51" t="s">
        <v>100</v>
      </c>
    </row>
    <row r="25" spans="1:63" ht="17.25" customHeight="1" x14ac:dyDescent="0.25">
      <c r="B25" s="26" t="s">
        <v>216</v>
      </c>
      <c r="C25" s="26" t="s">
        <v>132</v>
      </c>
      <c r="F25" s="17" t="s">
        <v>112</v>
      </c>
      <c r="G25" s="69">
        <f ca="1">_xll.IMDP($B25,$C25,G$29,WORKDAY(TODAY(),-1))/10000</f>
        <v>0</v>
      </c>
      <c r="H25" s="70">
        <f ca="1">_xll.IMDP($B25,$C25,H$29,WORKDAY(TODAY(),-1))</f>
        <v>0</v>
      </c>
      <c r="I25" s="91">
        <f ca="1">_xll.IMDP($B25,$C25,I$29,WORKDAY(TODAY(),-1))</f>
        <v>0</v>
      </c>
      <c r="J25" s="92"/>
      <c r="K25" s="62" t="s">
        <v>224</v>
      </c>
      <c r="M25" s="26" t="s">
        <v>247</v>
      </c>
      <c r="N25" s="26" t="s">
        <v>248</v>
      </c>
      <c r="P25" s="77">
        <f>_xll.IMDP($L$22,P$21,$M25)/100000</f>
        <v>1272.1599000000001</v>
      </c>
      <c r="Q25" s="77">
        <f>IF($L$18=1,_xll.IMDP($L$24,Q$21,$N25),_xll.IMDP($L$22,Q$21,$M25)/100000)</f>
        <v>-1787</v>
      </c>
      <c r="R25" s="77">
        <f>IF($L$18=1,_xll.IMDP($L$24,R$21,$N25),_xll.IMDP($L$22,R$21,$M25)/100000)</f>
        <v>1259</v>
      </c>
      <c r="S25" s="77">
        <f>IF($L$18=1,_xll.IMDP($L$24,S$21,$N25),_xll.IMDP($L$22,S$21,$M25)/100000)</f>
        <v>-100</v>
      </c>
      <c r="T25" s="77">
        <f>IF($L$18=1,_xll.IMDP($L$24,T$21,$N25),_xll.IMDP($L$22,T$21,$M25)/100000)</f>
        <v>-100</v>
      </c>
      <c r="U25" s="77">
        <f>IF($L$18=1,_xll.IMDP($L$24,U$21,$N25),_xll.IMDP($L$22,U$21,$M25)/100000)</f>
        <v>-100</v>
      </c>
      <c r="AM25" s="26">
        <v>21</v>
      </c>
      <c r="AN25" s="26" t="s">
        <v>304</v>
      </c>
      <c r="AO25" s="26" t="s">
        <v>305</v>
      </c>
      <c r="BB25" s="51">
        <v>20</v>
      </c>
      <c r="BC25" s="51" t="s">
        <v>506</v>
      </c>
      <c r="BD25" s="51" t="s">
        <v>65</v>
      </c>
      <c r="BE25" s="51" t="s">
        <v>22</v>
      </c>
      <c r="BF25" s="51" t="s">
        <v>89</v>
      </c>
      <c r="BG25" s="51"/>
      <c r="BH25" s="51">
        <v>20</v>
      </c>
      <c r="BI25" s="51" t="s">
        <v>517</v>
      </c>
      <c r="BJ25" s="51" t="s">
        <v>28</v>
      </c>
      <c r="BK25" s="51" t="s">
        <v>101</v>
      </c>
    </row>
    <row r="26" spans="1:63" ht="17.25" customHeight="1" x14ac:dyDescent="0.25">
      <c r="B26" s="26" t="s">
        <v>216</v>
      </c>
      <c r="C26" s="26" t="s">
        <v>134</v>
      </c>
      <c r="F26" s="17" t="s">
        <v>144</v>
      </c>
      <c r="G26" s="69">
        <f ca="1">_xll.IMDP($B26,$C26,G$29,WORKDAY(TODAY(),-1))/10000</f>
        <v>0</v>
      </c>
      <c r="H26" s="70">
        <f ca="1">_xll.IMDP($B26,$C26,H$29,WORKDAY(TODAY(),-1))</f>
        <v>0</v>
      </c>
      <c r="I26" s="91">
        <f ca="1">_xll.IMDP($B26,$C26,I$29,WORKDAY(TODAY(),-1))</f>
        <v>0</v>
      </c>
      <c r="J26" s="92"/>
      <c r="K26" s="62" t="s">
        <v>225</v>
      </c>
      <c r="M26" s="26" t="s">
        <v>249</v>
      </c>
      <c r="N26" s="26" t="s">
        <v>250</v>
      </c>
      <c r="P26" s="77">
        <f>_xll.IMDP($L$22,P$21,$M26)/100000</f>
        <v>-1277.7</v>
      </c>
      <c r="Q26" s="77">
        <f>IF($L$18=1,_xll.IMDP($L$24,Q$21,$N26),_xll.IMDP($L$22,Q$21,$M26)/100000)</f>
        <v>-83</v>
      </c>
      <c r="R26" s="77">
        <f>IF($L$18=1,_xll.IMDP($L$24,R$21,$N26),_xll.IMDP($L$22,R$21,$M26)/100000)</f>
        <v>-175</v>
      </c>
      <c r="S26" s="77">
        <f>IF($L$18=1,_xll.IMDP($L$24,S$21,$N26),_xll.IMDP($L$22,S$21,$M26)/100000)</f>
        <v>-16</v>
      </c>
      <c r="T26" s="77">
        <f>IF($L$18=1,_xll.IMDP($L$24,T$21,$N26),_xll.IMDP($L$22,T$21,$M26)/100000)</f>
        <v>-16</v>
      </c>
      <c r="U26" s="77">
        <f>IF($L$18=1,_xll.IMDP($L$24,U$21,$N26),_xll.IMDP($L$22,U$21,$M26)/100000)</f>
        <v>-16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M26" s="26">
        <v>22</v>
      </c>
      <c r="AN26" s="26" t="s">
        <v>306</v>
      </c>
      <c r="AO26" s="26" t="s">
        <v>307</v>
      </c>
      <c r="BB26" s="51">
        <v>21</v>
      </c>
      <c r="BC26" s="51" t="s">
        <v>510</v>
      </c>
      <c r="BD26" s="51" t="s">
        <v>82</v>
      </c>
      <c r="BE26" s="51" t="s">
        <v>23</v>
      </c>
      <c r="BF26" s="51" t="s">
        <v>97</v>
      </c>
      <c r="BG26" s="51"/>
      <c r="BH26" s="51">
        <v>21</v>
      </c>
      <c r="BI26" s="51" t="s">
        <v>518</v>
      </c>
      <c r="BJ26" s="51" t="s">
        <v>29</v>
      </c>
      <c r="BK26" s="51" t="s">
        <v>519</v>
      </c>
    </row>
    <row r="27" spans="1:63" ht="17.25" customHeight="1" x14ac:dyDescent="0.25">
      <c r="B27" s="26" t="s">
        <v>216</v>
      </c>
      <c r="C27" s="26" t="s">
        <v>138</v>
      </c>
      <c r="F27" s="17" t="s">
        <v>145</v>
      </c>
      <c r="G27" s="69">
        <f ca="1">_xll.IMDP($B27,$C27,G$29,WORKDAY(TODAY(),-1))/10000</f>
        <v>0</v>
      </c>
      <c r="H27" s="70">
        <f ca="1">_xll.IMDP($B27,$C27,H$29,WORKDAY(TODAY(),-1))</f>
        <v>0</v>
      </c>
      <c r="I27" s="91">
        <f ca="1">_xll.IMDP($B27,$C27,I$29,WORKDAY(TODAY(),-1))</f>
        <v>0</v>
      </c>
      <c r="J27" s="92"/>
      <c r="K27" s="62" t="s">
        <v>226</v>
      </c>
      <c r="M27" s="26" t="s">
        <v>251</v>
      </c>
      <c r="N27" s="26" t="s">
        <v>252</v>
      </c>
      <c r="P27" s="77">
        <f>_xll.IMDP($L$22,P$21,$M27)/100000</f>
        <v>785.09634000000005</v>
      </c>
      <c r="Q27" s="77">
        <f>IF($L$18=1,_xll.IMDP($L$24,Q$21,$N27),_xll.IMDP($L$22,Q$21,$M27)/100000)</f>
        <v>-24</v>
      </c>
      <c r="R27" s="77">
        <f>IF($L$18=1,_xll.IMDP($L$24,R$21,$N27),_xll.IMDP($L$22,R$21,$M27)/100000)</f>
        <v>-122</v>
      </c>
      <c r="S27" s="77">
        <f>IF($L$18=1,_xll.IMDP($L$24,S$21,$N27),_xll.IMDP($L$22,S$21,$M27)/100000)</f>
        <v>2882</v>
      </c>
      <c r="T27" s="77">
        <f>IF($L$18=1,_xll.IMDP($L$24,T$21,$N27),_xll.IMDP($L$22,T$21,$M27)/100000)</f>
        <v>2882</v>
      </c>
      <c r="U27" s="77">
        <f>IF($L$18=1,_xll.IMDP($L$24,U$21,$N27),_xll.IMDP($L$22,U$21,$M27)/100000)</f>
        <v>2882</v>
      </c>
      <c r="AM27" s="26">
        <v>23</v>
      </c>
      <c r="AN27" s="26" t="s">
        <v>308</v>
      </c>
      <c r="AO27" s="26" t="s">
        <v>309</v>
      </c>
      <c r="BB27" s="51">
        <v>22</v>
      </c>
      <c r="BC27" s="51" t="s">
        <v>520</v>
      </c>
      <c r="BD27" s="51" t="s">
        <v>44</v>
      </c>
      <c r="BE27" s="51"/>
      <c r="BF27" s="51" t="s">
        <v>98</v>
      </c>
      <c r="BG27" s="51"/>
      <c r="BH27" s="51">
        <v>22</v>
      </c>
      <c r="BI27" s="51" t="s">
        <v>521</v>
      </c>
      <c r="BJ27" s="51" t="s">
        <v>30</v>
      </c>
      <c r="BK27" s="51" t="s">
        <v>522</v>
      </c>
    </row>
    <row r="28" spans="1:63" ht="17.25" customHeight="1" x14ac:dyDescent="0.25">
      <c r="B28" s="26" t="s">
        <v>216</v>
      </c>
      <c r="C28" s="26" t="s">
        <v>217</v>
      </c>
      <c r="F28" s="43" t="s">
        <v>165</v>
      </c>
      <c r="G28" s="71">
        <f ca="1">_xll.IMDP($B28,$C28,G$29,WORKDAY(TODAY(),-1))/10000</f>
        <v>0</v>
      </c>
      <c r="H28" s="72">
        <f ca="1">_xll.IMDP($B28,$C28,H$29,WORKDAY(TODAY(),-1))</f>
        <v>0</v>
      </c>
      <c r="I28" s="93">
        <f ca="1">_xll.IMDP($B28,$C28,I$29,WORKDAY(TODAY(),-1))</f>
        <v>0</v>
      </c>
      <c r="J28" s="94"/>
      <c r="K28" s="63" t="s">
        <v>227</v>
      </c>
      <c r="M28" s="26" t="s">
        <v>253</v>
      </c>
      <c r="N28" s="26" t="s">
        <v>254</v>
      </c>
      <c r="P28" s="78">
        <f>_xll.IMDP($L$22,P$21,$M28)/100000</f>
        <v>-2586.1</v>
      </c>
      <c r="Q28" s="78">
        <f>IF($L$18=1,_xll.IMDP($L$24,Q$21,$N28),_xll.IMDP($L$22,Q$21,$M28)/100000)</f>
        <v>-2493</v>
      </c>
      <c r="R28" s="78">
        <f>IF($L$18=1,_xll.IMDP($L$24,R$21,$N28),_xll.IMDP($L$22,R$21,$M28)/100000)</f>
        <v>-2236</v>
      </c>
      <c r="S28" s="78">
        <f>IF($L$18=1,_xll.IMDP($L$24,S$21,$N28),_xll.IMDP($L$22,S$21,$M28)/100000)</f>
        <v>3686</v>
      </c>
      <c r="T28" s="78">
        <f>IF($L$18=1,_xll.IMDP($L$24,T$21,$N28),_xll.IMDP($L$22,T$21,$M28)/100000)</f>
        <v>3686</v>
      </c>
      <c r="U28" s="78">
        <f>IF($L$18=1,_xll.IMDP($L$24,U$21,$N28),_xll.IMDP($L$22,U$21,$M28)/100000)</f>
        <v>3686</v>
      </c>
      <c r="AM28" s="26">
        <v>24</v>
      </c>
      <c r="AN28" s="26" t="s">
        <v>310</v>
      </c>
      <c r="AO28" s="26" t="s">
        <v>311</v>
      </c>
      <c r="BB28" s="51">
        <v>23</v>
      </c>
      <c r="BC28" s="51" t="s">
        <v>511</v>
      </c>
      <c r="BD28" s="51" t="s">
        <v>76</v>
      </c>
      <c r="BE28" s="51" t="s">
        <v>24</v>
      </c>
      <c r="BF28" s="51" t="s">
        <v>89</v>
      </c>
      <c r="BG28" s="51"/>
      <c r="BH28" s="51">
        <v>23</v>
      </c>
      <c r="BI28" s="51" t="s">
        <v>523</v>
      </c>
      <c r="BJ28" s="51" t="s">
        <v>31</v>
      </c>
      <c r="BK28" s="51" t="s">
        <v>102</v>
      </c>
    </row>
    <row r="29" spans="1:63" hidden="1" x14ac:dyDescent="0.25">
      <c r="A29" s="31"/>
      <c r="B29" s="26" t="s">
        <v>438</v>
      </c>
      <c r="F29" s="28"/>
      <c r="G29" s="30" t="s">
        <v>142</v>
      </c>
      <c r="H29" s="30" t="s">
        <v>143</v>
      </c>
      <c r="I29" s="28" t="s">
        <v>439</v>
      </c>
      <c r="J29" s="65"/>
      <c r="K29" s="29"/>
      <c r="P29" s="48"/>
      <c r="Q29" s="28"/>
      <c r="R29" s="28"/>
      <c r="S29" s="28"/>
      <c r="T29" s="28"/>
      <c r="U29" s="28"/>
      <c r="V29" s="32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M29" s="26">
        <v>25</v>
      </c>
      <c r="AN29" s="26" t="s">
        <v>312</v>
      </c>
      <c r="AO29" s="26" t="s">
        <v>313</v>
      </c>
      <c r="BB29" s="51">
        <v>24</v>
      </c>
      <c r="BC29" s="51" t="s">
        <v>512</v>
      </c>
      <c r="BD29" s="51" t="s">
        <v>61</v>
      </c>
      <c r="BE29" s="51" t="s">
        <v>25</v>
      </c>
      <c r="BF29" s="51" t="s">
        <v>99</v>
      </c>
      <c r="BG29" s="51"/>
      <c r="BH29" s="51">
        <v>24</v>
      </c>
      <c r="BI29" s="51" t="s">
        <v>524</v>
      </c>
      <c r="BJ29" s="51" t="s">
        <v>32</v>
      </c>
      <c r="BK29" s="51" t="s">
        <v>85</v>
      </c>
    </row>
    <row r="30" spans="1:63" hidden="1" x14ac:dyDescent="0.25">
      <c r="A30" s="31"/>
      <c r="B30" s="26" t="s">
        <v>440</v>
      </c>
      <c r="E30" s="26">
        <v>2</v>
      </c>
      <c r="F30" s="28"/>
      <c r="G30" s="28" t="s">
        <v>441</v>
      </c>
      <c r="H30" s="28" t="s">
        <v>442</v>
      </c>
      <c r="I30" s="28"/>
      <c r="J30" s="65"/>
      <c r="K30" s="29"/>
      <c r="P30" s="49"/>
      <c r="Q30" s="45"/>
      <c r="R30" s="45"/>
      <c r="S30" s="45"/>
      <c r="T30" s="45"/>
      <c r="U30" s="45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M30" s="26">
        <v>26</v>
      </c>
      <c r="AN30" s="26" t="s">
        <v>314</v>
      </c>
      <c r="AO30" s="26" t="s">
        <v>315</v>
      </c>
      <c r="BB30" s="51">
        <v>25</v>
      </c>
      <c r="BC30" s="51" t="s">
        <v>525</v>
      </c>
      <c r="BD30" s="51" t="s">
        <v>75</v>
      </c>
      <c r="BE30" s="51"/>
      <c r="BF30" s="51" t="s">
        <v>89</v>
      </c>
      <c r="BG30" s="51"/>
      <c r="BH30" s="51">
        <v>25</v>
      </c>
      <c r="BI30" s="51" t="s">
        <v>526</v>
      </c>
      <c r="BJ30" s="51" t="s">
        <v>33</v>
      </c>
      <c r="BK30" s="51" t="s">
        <v>103</v>
      </c>
    </row>
    <row r="31" spans="1:63" hidden="1" x14ac:dyDescent="0.25">
      <c r="A31" s="31"/>
      <c r="F31" s="28"/>
      <c r="G31" s="28" t="s">
        <v>443</v>
      </c>
      <c r="H31" s="28" t="s">
        <v>444</v>
      </c>
      <c r="I31" s="28"/>
      <c r="J31" s="65"/>
      <c r="K31" s="29"/>
      <c r="P31" s="48" t="s">
        <v>445</v>
      </c>
      <c r="Q31" s="45" t="s">
        <v>446</v>
      </c>
      <c r="R31" s="45" t="s">
        <v>447</v>
      </c>
      <c r="S31" s="28" t="s">
        <v>445</v>
      </c>
      <c r="T31" s="45" t="s">
        <v>446</v>
      </c>
      <c r="U31" s="45" t="s">
        <v>447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M31" s="26">
        <v>27</v>
      </c>
      <c r="AN31" s="26" t="s">
        <v>316</v>
      </c>
      <c r="AO31" s="26" t="s">
        <v>317</v>
      </c>
      <c r="BB31" s="51">
        <v>26</v>
      </c>
      <c r="BC31" s="51" t="s">
        <v>514</v>
      </c>
      <c r="BD31" s="51" t="s">
        <v>64</v>
      </c>
      <c r="BE31" s="51" t="s">
        <v>26</v>
      </c>
      <c r="BF31" s="51" t="s">
        <v>89</v>
      </c>
      <c r="BG31" s="51"/>
      <c r="BH31" s="51">
        <v>26</v>
      </c>
      <c r="BI31" s="51" t="s">
        <v>527</v>
      </c>
      <c r="BJ31" s="51" t="s">
        <v>34</v>
      </c>
      <c r="BK31" s="51" t="s">
        <v>104</v>
      </c>
    </row>
    <row r="32" spans="1:63" ht="17.25" customHeight="1" x14ac:dyDescent="0.25">
      <c r="F32" s="44"/>
      <c r="G32" s="88" t="str">
        <f>IF($E$30=1,"콜론(%)","콜론(억)")</f>
        <v>콜론(억)</v>
      </c>
      <c r="H32" s="88" t="str">
        <f>IF($E$30=1,"콜머니(%)","콜머니(억)")</f>
        <v>콜머니(억)</v>
      </c>
      <c r="I32" s="88" t="str">
        <f>IF($E$30=1,"SPREAD","순")</f>
        <v>순</v>
      </c>
      <c r="J32" s="103"/>
      <c r="K32" s="101" t="s">
        <v>213</v>
      </c>
      <c r="P32" s="88" t="s">
        <v>214</v>
      </c>
      <c r="Q32" s="88"/>
      <c r="R32" s="88"/>
      <c r="S32" s="88" t="s">
        <v>215</v>
      </c>
      <c r="T32" s="88"/>
      <c r="U32" s="88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M32" s="26">
        <v>28</v>
      </c>
      <c r="AN32" s="26" t="s">
        <v>318</v>
      </c>
      <c r="AO32" s="26" t="s">
        <v>319</v>
      </c>
      <c r="BB32" s="51">
        <v>27</v>
      </c>
      <c r="BC32" s="51" t="s">
        <v>516</v>
      </c>
      <c r="BD32" s="51" t="s">
        <v>58</v>
      </c>
      <c r="BE32" s="51" t="s">
        <v>27</v>
      </c>
      <c r="BF32" s="51" t="s">
        <v>100</v>
      </c>
      <c r="BG32" s="51"/>
      <c r="BH32" s="51">
        <v>27</v>
      </c>
      <c r="BI32" s="51" t="s">
        <v>528</v>
      </c>
      <c r="BJ32" s="51" t="s">
        <v>35</v>
      </c>
      <c r="BK32" s="51" t="s">
        <v>105</v>
      </c>
    </row>
    <row r="33" spans="2:63" x14ac:dyDescent="0.25">
      <c r="B33" s="26">
        <v>0</v>
      </c>
      <c r="E33" s="26" t="s">
        <v>216</v>
      </c>
      <c r="F33" s="21" t="s">
        <v>212</v>
      </c>
      <c r="G33" s="89"/>
      <c r="H33" s="89"/>
      <c r="I33" s="89"/>
      <c r="J33" s="90"/>
      <c r="K33" s="102"/>
      <c r="P33" s="22" t="s">
        <v>236</v>
      </c>
      <c r="Q33" s="22" t="s">
        <v>237</v>
      </c>
      <c r="R33" s="22" t="s">
        <v>238</v>
      </c>
      <c r="S33" s="22" t="s">
        <v>236</v>
      </c>
      <c r="T33" s="22" t="s">
        <v>237</v>
      </c>
      <c r="U33" s="22" t="s">
        <v>238</v>
      </c>
      <c r="AM33" s="26">
        <v>29</v>
      </c>
      <c r="AN33" s="26" t="s">
        <v>320</v>
      </c>
      <c r="AO33" s="26" t="s">
        <v>321</v>
      </c>
      <c r="BB33" s="51">
        <v>28</v>
      </c>
      <c r="BC33" s="51" t="s">
        <v>517</v>
      </c>
      <c r="BD33" s="51" t="s">
        <v>56</v>
      </c>
      <c r="BE33" s="51" t="s">
        <v>28</v>
      </c>
      <c r="BF33" s="51" t="s">
        <v>101</v>
      </c>
      <c r="BG33" s="51"/>
      <c r="BH33" s="51">
        <v>28</v>
      </c>
      <c r="BI33" s="51" t="s">
        <v>529</v>
      </c>
      <c r="BJ33" s="51" t="s">
        <v>36</v>
      </c>
      <c r="BK33" s="51" t="s">
        <v>89</v>
      </c>
    </row>
    <row r="34" spans="2:63" x14ac:dyDescent="0.25">
      <c r="B34" s="26">
        <f>B33+1</f>
        <v>1</v>
      </c>
      <c r="C34" s="26" t="s">
        <v>218</v>
      </c>
      <c r="D34" s="26" t="str">
        <f ca="1">OFFSET($B$33,0+B34,1)</f>
        <v>CALLKMBC00</v>
      </c>
      <c r="E34" s="26" t="str">
        <f ca="1">IF(RIGHT(D34,2)="00","종합",RIGHT(D34,2)&amp;"일")</f>
        <v>종합</v>
      </c>
      <c r="F34" s="20" t="str">
        <f ca="1">E34</f>
        <v>종합</v>
      </c>
      <c r="G34" s="10">
        <f ca="1">IF($E$30=1,_xll.IMDP($E$33,$D34,G$30),_xll.IMDP($E$33,$D34,G$31))</f>
        <v>0</v>
      </c>
      <c r="H34" s="10">
        <f ca="1">IF($E$30=1,_xll.IMDP($E$33,$D34,H$30),_xll.IMDP($E$33,$D34,H$31))</f>
        <v>0</v>
      </c>
      <c r="I34" s="10">
        <f ca="1">IF(ISERROR(G34-H34),"",(G34-H34))</f>
        <v>0</v>
      </c>
      <c r="J34" s="66"/>
      <c r="K34" s="62" t="s">
        <v>228</v>
      </c>
      <c r="L34" s="26" t="s">
        <v>570</v>
      </c>
      <c r="M34" s="26" t="s">
        <v>578</v>
      </c>
      <c r="P34" s="79">
        <f>_xll.IMDP($E$33,$L34,P$31)</f>
        <v>3.74</v>
      </c>
      <c r="Q34" s="79">
        <f>_xll.IMDP($E$33,$L34,Q$31)</f>
        <v>3.14</v>
      </c>
      <c r="R34" s="79">
        <f>_xll.IMDP($E$33,$L34,R$31)</f>
        <v>3.44</v>
      </c>
      <c r="S34" s="79">
        <f>_xll.IMDP($E$33,$M34,S$31)</f>
        <v>3.66</v>
      </c>
      <c r="T34" s="79">
        <f>_xll.IMDP($E$33,$M34,T$31)</f>
        <v>3.64</v>
      </c>
      <c r="U34" s="79">
        <f>_xll.IMDP($E$33,$M34,U$31)</f>
        <v>3.65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M34" s="26">
        <v>30</v>
      </c>
      <c r="AN34" s="26" t="s">
        <v>322</v>
      </c>
      <c r="AO34" s="26" t="s">
        <v>323</v>
      </c>
      <c r="BB34" s="51">
        <v>29</v>
      </c>
      <c r="BC34" s="51" t="s">
        <v>518</v>
      </c>
      <c r="BD34" s="51" t="s">
        <v>49</v>
      </c>
      <c r="BE34" s="51" t="s">
        <v>29</v>
      </c>
      <c r="BF34" s="51" t="s">
        <v>519</v>
      </c>
      <c r="BG34" s="51"/>
      <c r="BH34" s="51">
        <v>29</v>
      </c>
      <c r="BI34" s="51" t="s">
        <v>530</v>
      </c>
      <c r="BJ34" s="51" t="s">
        <v>37</v>
      </c>
      <c r="BK34" s="51" t="s">
        <v>107</v>
      </c>
    </row>
    <row r="35" spans="2:63" x14ac:dyDescent="0.25">
      <c r="B35" s="26">
        <f t="shared" ref="B35:B70" si="5">B34+1</f>
        <v>2</v>
      </c>
      <c r="C35" s="26" t="s">
        <v>176</v>
      </c>
      <c r="D35" s="26" t="str">
        <f t="shared" ref="D35:D70" ca="1" si="6">OFFSET($B$33,0+B35,1)</f>
        <v>CALLKMBC01</v>
      </c>
      <c r="E35" s="26" t="str">
        <f t="shared" ref="E35:E41" ca="1" si="7">IF(RIGHT(D35,2)="00","종합",RIGHT(D35,2)&amp;"일")</f>
        <v>01일</v>
      </c>
      <c r="F35" s="20" t="str">
        <f t="shared" ref="F35:F41" ca="1" si="8">E35</f>
        <v>01일</v>
      </c>
      <c r="G35" s="10">
        <f ca="1">IF($E$30=1,_xll.IMDP($E$33,$D35,G$30),_xll.IMDP($E$33,$D35,G$31))</f>
        <v>0</v>
      </c>
      <c r="H35" s="10">
        <f ca="1">IF($E$30=1,_xll.IMDP($E$33,$D35,H$30),_xll.IMDP($E$33,$D35,H$31))</f>
        <v>0</v>
      </c>
      <c r="I35" s="10">
        <f ca="1">IF(ISERROR(G35-H35),"",(G35-H35))</f>
        <v>0</v>
      </c>
      <c r="J35" s="67"/>
      <c r="K35" s="62" t="s">
        <v>229</v>
      </c>
      <c r="L35" s="26" t="s">
        <v>571</v>
      </c>
      <c r="M35" s="26" t="s">
        <v>579</v>
      </c>
      <c r="P35" s="79">
        <f>_xll.IMDP($E$33,$L35,P$31)</f>
        <v>3.5950000000000002</v>
      </c>
      <c r="Q35" s="79">
        <f>_xll.IMDP($E$33,$L35,Q$31)</f>
        <v>2.9950000000000001</v>
      </c>
      <c r="R35" s="79">
        <f>_xll.IMDP($E$33,$L35,R$31)</f>
        <v>3.2949999999999999</v>
      </c>
      <c r="S35" s="79">
        <f>_xll.IMDP($E$33,$M35,S$31)</f>
        <v>3.415</v>
      </c>
      <c r="T35" s="79">
        <f>_xll.IMDP($E$33,$M35,T$31)</f>
        <v>3.395</v>
      </c>
      <c r="U35" s="79">
        <f>_xll.IMDP($E$33,$M35,U$31)</f>
        <v>3.4049999999999998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M35" s="26">
        <v>31</v>
      </c>
      <c r="AN35" s="26" t="s">
        <v>324</v>
      </c>
      <c r="AO35" s="26" t="s">
        <v>325</v>
      </c>
      <c r="BB35" s="51">
        <v>30</v>
      </c>
      <c r="BC35" s="51" t="s">
        <v>531</v>
      </c>
      <c r="BD35" s="51" t="s">
        <v>52</v>
      </c>
      <c r="BE35" s="51" t="s">
        <v>30</v>
      </c>
      <c r="BF35" s="51" t="s">
        <v>522</v>
      </c>
      <c r="BG35" s="51"/>
      <c r="BH35" s="51">
        <v>30</v>
      </c>
      <c r="BI35" s="51" t="s">
        <v>532</v>
      </c>
      <c r="BJ35" s="51" t="s">
        <v>38</v>
      </c>
      <c r="BK35" s="51" t="s">
        <v>89</v>
      </c>
    </row>
    <row r="36" spans="2:63" x14ac:dyDescent="0.25">
      <c r="B36" s="26">
        <f t="shared" si="5"/>
        <v>3</v>
      </c>
      <c r="C36" s="26" t="s">
        <v>177</v>
      </c>
      <c r="D36" s="26" t="str">
        <f t="shared" ca="1" si="6"/>
        <v>CALLKMBC02</v>
      </c>
      <c r="E36" s="26" t="str">
        <f t="shared" ca="1" si="7"/>
        <v>02일</v>
      </c>
      <c r="F36" s="20" t="str">
        <f t="shared" ca="1" si="8"/>
        <v>02일</v>
      </c>
      <c r="G36" s="10">
        <f ca="1">IF($E$30=1,_xll.IMDP($E$33,$D36,G$30),_xll.IMDP($E$33,$D36,G$31))</f>
        <v>0</v>
      </c>
      <c r="H36" s="10">
        <f ca="1">IF($E$30=1,_xll.IMDP($E$33,$D36,H$30),_xll.IMDP($E$33,$D36,H$31))</f>
        <v>0</v>
      </c>
      <c r="I36" s="10">
        <f t="shared" ref="I36:I41" ca="1" si="9">IF(ISERROR(G36-H36),"",(G36-H36))</f>
        <v>0</v>
      </c>
      <c r="J36" s="67"/>
      <c r="K36" s="62" t="s">
        <v>230</v>
      </c>
      <c r="L36" s="26" t="s">
        <v>572</v>
      </c>
      <c r="M36" s="26" t="s">
        <v>580</v>
      </c>
      <c r="P36" s="79">
        <f>_xll.IMDP($E$33,$L36,P$31)</f>
        <v>3.56</v>
      </c>
      <c r="Q36" s="79">
        <f>_xll.IMDP($E$33,$L36,Q$31)</f>
        <v>2.96</v>
      </c>
      <c r="R36" s="79">
        <f>_xll.IMDP($E$33,$L36,R$31)</f>
        <v>3.26</v>
      </c>
      <c r="S36" s="79">
        <f>_xll.IMDP($E$33,$M36,S$31)</f>
        <v>3.26</v>
      </c>
      <c r="T36" s="79">
        <f>_xll.IMDP($E$33,$M36,T$31)</f>
        <v>3.24</v>
      </c>
      <c r="U36" s="79">
        <f>_xll.IMDP($E$33,$M36,U$31)</f>
        <v>3.25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M36" s="26">
        <v>32</v>
      </c>
      <c r="AN36" s="26" t="s">
        <v>326</v>
      </c>
      <c r="AO36" s="26" t="s">
        <v>327</v>
      </c>
      <c r="BB36" s="51">
        <v>31</v>
      </c>
      <c r="BC36" s="51" t="s">
        <v>533</v>
      </c>
      <c r="BD36" s="51" t="s">
        <v>53</v>
      </c>
      <c r="BE36" s="51" t="s">
        <v>30</v>
      </c>
      <c r="BF36" s="51" t="s">
        <v>522</v>
      </c>
      <c r="BG36" s="51"/>
      <c r="BH36" s="51">
        <v>31</v>
      </c>
      <c r="BI36" s="51" t="s">
        <v>534</v>
      </c>
      <c r="BJ36" s="51" t="s">
        <v>39</v>
      </c>
      <c r="BK36" s="51" t="s">
        <v>108</v>
      </c>
    </row>
    <row r="37" spans="2:63" x14ac:dyDescent="0.25">
      <c r="B37" s="26">
        <f t="shared" si="5"/>
        <v>4</v>
      </c>
      <c r="C37" s="26" t="s">
        <v>178</v>
      </c>
      <c r="D37" s="26" t="str">
        <f t="shared" ca="1" si="6"/>
        <v>CALLKMBC03</v>
      </c>
      <c r="E37" s="26" t="str">
        <f t="shared" ca="1" si="7"/>
        <v>03일</v>
      </c>
      <c r="F37" s="20" t="str">
        <f t="shared" ca="1" si="8"/>
        <v>03일</v>
      </c>
      <c r="G37" s="10">
        <f ca="1">IF($E$30=1,_xll.IMDP($E$33,$D37,G$30),_xll.IMDP($E$33,$D37,G$31))</f>
        <v>0</v>
      </c>
      <c r="H37" s="10">
        <f ca="1">IF($E$30=1,_xll.IMDP($E$33,$D37,H$30),_xll.IMDP($E$33,$D37,H$31))</f>
        <v>0</v>
      </c>
      <c r="I37" s="10">
        <f t="shared" ca="1" si="9"/>
        <v>0</v>
      </c>
      <c r="J37" s="67"/>
      <c r="K37" s="62" t="s">
        <v>231</v>
      </c>
      <c r="L37" s="26" t="s">
        <v>573</v>
      </c>
      <c r="M37" s="26" t="s">
        <v>581</v>
      </c>
      <c r="P37" s="79">
        <f>_xll.IMDP($E$33,$L37,P$31)</f>
        <v>3.56</v>
      </c>
      <c r="Q37" s="79">
        <f>_xll.IMDP($E$33,$L37,Q$31)</f>
        <v>2.96</v>
      </c>
      <c r="R37" s="79">
        <f>_xll.IMDP($E$33,$L37,R$31)</f>
        <v>3.26</v>
      </c>
      <c r="S37" s="79">
        <f>_xll.IMDP($E$33,$M37,S$31)</f>
        <v>3.2</v>
      </c>
      <c r="T37" s="79">
        <f>_xll.IMDP($E$33,$M37,T$31)</f>
        <v>3.18</v>
      </c>
      <c r="U37" s="79">
        <f>_xll.IMDP($E$33,$M37,U$31)</f>
        <v>3.19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M37" s="26">
        <v>33</v>
      </c>
      <c r="AN37" s="26" t="s">
        <v>328</v>
      </c>
      <c r="AO37" s="26" t="s">
        <v>329</v>
      </c>
      <c r="BB37" s="51">
        <v>32</v>
      </c>
      <c r="BC37" s="51" t="s">
        <v>523</v>
      </c>
      <c r="BD37" s="51" t="s">
        <v>77</v>
      </c>
      <c r="BE37" s="51" t="s">
        <v>31</v>
      </c>
      <c r="BF37" s="51" t="s">
        <v>102</v>
      </c>
      <c r="BG37" s="51"/>
      <c r="BH37" s="51">
        <v>32</v>
      </c>
      <c r="BI37" s="51" t="s">
        <v>535</v>
      </c>
      <c r="BJ37" s="51" t="s">
        <v>1</v>
      </c>
      <c r="BK37" s="51" t="s">
        <v>536</v>
      </c>
    </row>
    <row r="38" spans="2:63" x14ac:dyDescent="0.25">
      <c r="B38" s="26">
        <f t="shared" si="5"/>
        <v>5</v>
      </c>
      <c r="C38" s="26" t="s">
        <v>179</v>
      </c>
      <c r="D38" s="26" t="str">
        <f t="shared" ca="1" si="6"/>
        <v>CALLKMBC04</v>
      </c>
      <c r="E38" s="26" t="str">
        <f t="shared" ca="1" si="7"/>
        <v>04일</v>
      </c>
      <c r="F38" s="20" t="str">
        <f t="shared" ca="1" si="8"/>
        <v>04일</v>
      </c>
      <c r="G38" s="10">
        <f ca="1">IF($E$30=1,_xll.IMDP($E$33,$D38,G$30),_xll.IMDP($E$33,$D38,G$31))</f>
        <v>0</v>
      </c>
      <c r="H38" s="10">
        <f ca="1">IF($E$30=1,_xll.IMDP($E$33,$D38,H$30),_xll.IMDP($E$33,$D38,H$31))</f>
        <v>0</v>
      </c>
      <c r="I38" s="10">
        <f t="shared" ca="1" si="9"/>
        <v>0</v>
      </c>
      <c r="J38" s="67"/>
      <c r="K38" s="62" t="s">
        <v>232</v>
      </c>
      <c r="L38" s="26" t="s">
        <v>574</v>
      </c>
      <c r="M38" s="26" t="s">
        <v>582</v>
      </c>
      <c r="P38" s="79">
        <f>_xll.IMDP($E$33,$L38,P$31)</f>
        <v>3.5550000000000002</v>
      </c>
      <c r="Q38" s="79">
        <f>_xll.IMDP($E$33,$L38,Q$31)</f>
        <v>2.9550000000000001</v>
      </c>
      <c r="R38" s="79">
        <f>_xll.IMDP($E$33,$L38,R$31)</f>
        <v>3.2549999999999999</v>
      </c>
      <c r="S38" s="79">
        <f>_xll.IMDP($E$33,$M38,S$31)</f>
        <v>3.1349999999999998</v>
      </c>
      <c r="T38" s="79">
        <f>_xll.IMDP($E$33,$M38,T$31)</f>
        <v>3.1150000000000002</v>
      </c>
      <c r="U38" s="79">
        <f>_xll.IMDP($E$33,$M38,U$31)</f>
        <v>3.125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M38" s="26">
        <v>34</v>
      </c>
      <c r="AN38" s="26" t="s">
        <v>330</v>
      </c>
      <c r="AO38" s="26" t="s">
        <v>331</v>
      </c>
      <c r="BB38" s="51">
        <v>33</v>
      </c>
      <c r="BC38" s="51" t="s">
        <v>524</v>
      </c>
      <c r="BD38" s="51" t="s">
        <v>46</v>
      </c>
      <c r="BE38" s="51" t="s">
        <v>32</v>
      </c>
      <c r="BF38" s="51" t="s">
        <v>85</v>
      </c>
      <c r="BG38" s="51"/>
      <c r="BH38" s="51">
        <v>33</v>
      </c>
      <c r="BI38" s="51" t="s">
        <v>537</v>
      </c>
      <c r="BJ38" s="51" t="s">
        <v>40</v>
      </c>
      <c r="BK38" s="51" t="s">
        <v>109</v>
      </c>
    </row>
    <row r="39" spans="2:63" x14ac:dyDescent="0.25">
      <c r="B39" s="26">
        <f t="shared" si="5"/>
        <v>6</v>
      </c>
      <c r="C39" s="26" t="s">
        <v>180</v>
      </c>
      <c r="D39" s="26" t="str">
        <f t="shared" ca="1" si="6"/>
        <v>CALLKMBC05</v>
      </c>
      <c r="E39" s="26" t="str">
        <f t="shared" ca="1" si="7"/>
        <v>05일</v>
      </c>
      <c r="F39" s="20" t="str">
        <f t="shared" ca="1" si="8"/>
        <v>05일</v>
      </c>
      <c r="G39" s="10">
        <f ca="1">IF($E$30=1,_xll.IMDP($E$33,$D39,G$30),_xll.IMDP($E$33,$D39,G$31))</f>
        <v>0</v>
      </c>
      <c r="H39" s="10">
        <f ca="1">IF($E$30=1,_xll.IMDP($E$33,$D39,H$30),_xll.IMDP($E$33,$D39,H$31))</f>
        <v>0</v>
      </c>
      <c r="I39" s="10">
        <f t="shared" ca="1" si="9"/>
        <v>0</v>
      </c>
      <c r="J39" s="67"/>
      <c r="K39" s="62" t="s">
        <v>233</v>
      </c>
      <c r="L39" s="26" t="s">
        <v>575</v>
      </c>
      <c r="M39" s="26" t="s">
        <v>583</v>
      </c>
      <c r="P39" s="79">
        <f>_xll.IMDP($E$33,$L39,P$31)</f>
        <v>3.4550000000000001</v>
      </c>
      <c r="Q39" s="79">
        <f>_xll.IMDP($E$33,$L39,Q$31)</f>
        <v>2.855</v>
      </c>
      <c r="R39" s="79">
        <f>_xll.IMDP($E$33,$L39,R$31)</f>
        <v>3.1549999999999998</v>
      </c>
      <c r="S39" s="79">
        <f>_xll.IMDP($E$33,$M39,S$31)</f>
        <v>3.0975000000000001</v>
      </c>
      <c r="T39" s="79">
        <f>_xll.IMDP($E$33,$M39,T$31)</f>
        <v>3.0775000000000001</v>
      </c>
      <c r="U39" s="79">
        <f>_xll.IMDP($E$33,$M39,U$31)</f>
        <v>3.0874999999999999</v>
      </c>
      <c r="AM39" s="26">
        <v>35</v>
      </c>
      <c r="AN39" s="26" t="s">
        <v>332</v>
      </c>
      <c r="AO39" s="26" t="s">
        <v>333</v>
      </c>
      <c r="BB39" s="51">
        <v>34</v>
      </c>
      <c r="BC39" s="51" t="s">
        <v>526</v>
      </c>
      <c r="BD39" s="51" t="s">
        <v>51</v>
      </c>
      <c r="BE39" s="51" t="s">
        <v>33</v>
      </c>
      <c r="BF39" s="51" t="s">
        <v>103</v>
      </c>
      <c r="BG39" s="51"/>
      <c r="BH39" s="51">
        <v>34</v>
      </c>
      <c r="BI39" s="51" t="s">
        <v>538</v>
      </c>
      <c r="BJ39" s="51" t="s">
        <v>41</v>
      </c>
      <c r="BK39" s="51" t="s">
        <v>539</v>
      </c>
    </row>
    <row r="40" spans="2:63" x14ac:dyDescent="0.25">
      <c r="B40" s="26">
        <f t="shared" si="5"/>
        <v>7</v>
      </c>
      <c r="C40" s="26" t="s">
        <v>181</v>
      </c>
      <c r="D40" s="26" t="str">
        <f t="shared" ca="1" si="6"/>
        <v>CALLKMBC06</v>
      </c>
      <c r="E40" s="26" t="str">
        <f t="shared" ca="1" si="7"/>
        <v>06일</v>
      </c>
      <c r="F40" s="20" t="str">
        <f t="shared" ca="1" si="8"/>
        <v>06일</v>
      </c>
      <c r="G40" s="10">
        <f ca="1">IF($E$30=1,_xll.IMDP($E$33,$D40,G$30),_xll.IMDP($E$33,$D40,G$31))</f>
        <v>0</v>
      </c>
      <c r="H40" s="10">
        <f ca="1">IF($E$30=1,_xll.IMDP($E$33,$D40,H$30),_xll.IMDP($E$33,$D40,H$31))</f>
        <v>0</v>
      </c>
      <c r="I40" s="10">
        <f t="shared" ca="1" si="9"/>
        <v>0</v>
      </c>
      <c r="J40" s="67"/>
      <c r="K40" s="62" t="s">
        <v>234</v>
      </c>
      <c r="L40" s="26" t="s">
        <v>576</v>
      </c>
      <c r="M40" s="26" t="s">
        <v>584</v>
      </c>
      <c r="P40" s="79">
        <f>_xll.IMDP($E$33,$L40,P$31)</f>
        <v>3.43</v>
      </c>
      <c r="Q40" s="79">
        <f>_xll.IMDP($E$33,$L40,Q$31)</f>
        <v>2.83</v>
      </c>
      <c r="R40" s="79">
        <f>_xll.IMDP($E$33,$L40,R$31)</f>
        <v>3.13</v>
      </c>
      <c r="S40" s="79">
        <f>_xll.IMDP($E$33,$M40,S$31)</f>
        <v>3.085</v>
      </c>
      <c r="T40" s="79">
        <f>_xll.IMDP($E$33,$M40,T$31)</f>
        <v>3.0649999999999999</v>
      </c>
      <c r="U40" s="79">
        <f>_xll.IMDP($E$33,$M40,U$31)</f>
        <v>3.0750000000000002</v>
      </c>
      <c r="AM40" s="26">
        <v>36</v>
      </c>
      <c r="AN40" s="26" t="s">
        <v>334</v>
      </c>
      <c r="AO40" s="26" t="s">
        <v>335</v>
      </c>
      <c r="BB40" s="51">
        <v>35</v>
      </c>
      <c r="BC40" s="51" t="s">
        <v>527</v>
      </c>
      <c r="BD40" s="51" t="s">
        <v>57</v>
      </c>
      <c r="BE40" s="51" t="s">
        <v>34</v>
      </c>
      <c r="BF40" s="51" t="s">
        <v>104</v>
      </c>
      <c r="BG40" s="51"/>
      <c r="BH40" s="51">
        <v>35</v>
      </c>
      <c r="BI40" s="51" t="s">
        <v>540</v>
      </c>
      <c r="BJ40" s="51" t="s">
        <v>42</v>
      </c>
      <c r="BK40" s="51" t="s">
        <v>110</v>
      </c>
    </row>
    <row r="41" spans="2:63" x14ac:dyDescent="0.25">
      <c r="B41" s="26">
        <f t="shared" si="5"/>
        <v>8</v>
      </c>
      <c r="C41" s="26" t="s">
        <v>182</v>
      </c>
      <c r="D41" s="26" t="str">
        <f t="shared" ca="1" si="6"/>
        <v>CALLKMBC07</v>
      </c>
      <c r="E41" s="26" t="str">
        <f t="shared" ca="1" si="7"/>
        <v>07일</v>
      </c>
      <c r="F41" s="20" t="str">
        <f t="shared" ca="1" si="8"/>
        <v>07일</v>
      </c>
      <c r="G41" s="10">
        <f ca="1">IF($E$30=1,_xll.IMDP($E$33,$D41,G$30),_xll.IMDP($E$33,$D41,G$31))</f>
        <v>0</v>
      </c>
      <c r="H41" s="10">
        <f ca="1">IF($E$30=1,_xll.IMDP($E$33,$D41,H$30),_xll.IMDP($E$33,$D41,H$31))</f>
        <v>0</v>
      </c>
      <c r="I41" s="10">
        <f t="shared" ca="1" si="9"/>
        <v>0</v>
      </c>
      <c r="J41" s="68"/>
      <c r="K41" s="62" t="s">
        <v>235</v>
      </c>
      <c r="L41" s="26" t="s">
        <v>577</v>
      </c>
      <c r="M41" s="26" t="s">
        <v>585</v>
      </c>
      <c r="P41" s="79">
        <f>_xll.IMDP($E$33,$L41,P$31)</f>
        <v>3.4</v>
      </c>
      <c r="Q41" s="79">
        <f>_xll.IMDP($E$33,$L41,Q$31)</f>
        <v>2.8</v>
      </c>
      <c r="R41" s="79">
        <f>_xll.IMDP($E$33,$L41,R$31)</f>
        <v>3.1</v>
      </c>
      <c r="S41" s="79">
        <f>_xll.IMDP($E$33,$M41,S$31)</f>
        <v>2.915</v>
      </c>
      <c r="T41" s="79">
        <f>_xll.IMDP($E$33,$M41,T$31)</f>
        <v>2.895</v>
      </c>
      <c r="U41" s="79">
        <f>_xll.IMDP($E$33,$M41,U$31)</f>
        <v>2.9049999999999998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M41" s="26">
        <v>37</v>
      </c>
      <c r="AN41" s="26" t="s">
        <v>336</v>
      </c>
      <c r="AO41" s="26" t="s">
        <v>337</v>
      </c>
      <c r="BB41" s="51">
        <v>36</v>
      </c>
      <c r="BC41" s="51" t="s">
        <v>528</v>
      </c>
      <c r="BD41" s="51" t="s">
        <v>60</v>
      </c>
      <c r="BE41" s="51" t="s">
        <v>35</v>
      </c>
      <c r="BF41" s="51" t="s">
        <v>105</v>
      </c>
      <c r="BG41" s="51"/>
      <c r="BH41" s="51"/>
      <c r="BI41" s="51"/>
      <c r="BJ41" s="51"/>
      <c r="BK41" s="51"/>
    </row>
    <row r="42" spans="2:63" x14ac:dyDescent="0.25">
      <c r="B42" s="26">
        <f t="shared" si="5"/>
        <v>9</v>
      </c>
      <c r="C42" s="26" t="s">
        <v>183</v>
      </c>
      <c r="D42" s="26" t="str">
        <f t="shared" ca="1" si="6"/>
        <v>CALLKMBC08</v>
      </c>
      <c r="F42" s="16"/>
      <c r="G42" s="16"/>
      <c r="H42" s="16"/>
      <c r="I42" s="16"/>
      <c r="J42" s="16"/>
      <c r="S42" s="11"/>
      <c r="T42" s="12"/>
      <c r="U42" s="1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M42" s="26">
        <v>38</v>
      </c>
      <c r="AN42" s="26" t="s">
        <v>338</v>
      </c>
      <c r="AO42" s="26" t="s">
        <v>339</v>
      </c>
      <c r="BB42" s="51">
        <v>37</v>
      </c>
      <c r="BC42" s="51" t="s">
        <v>541</v>
      </c>
      <c r="BD42" s="51" t="s">
        <v>45</v>
      </c>
      <c r="BE42" s="51"/>
      <c r="BF42" s="51" t="s">
        <v>106</v>
      </c>
      <c r="BG42" s="51"/>
      <c r="BH42" s="51"/>
      <c r="BI42" s="51"/>
      <c r="BJ42" s="51"/>
      <c r="BK42" s="51"/>
    </row>
    <row r="43" spans="2:63" x14ac:dyDescent="0.25">
      <c r="B43" s="26">
        <f t="shared" si="5"/>
        <v>10</v>
      </c>
      <c r="C43" s="26" t="s">
        <v>184</v>
      </c>
      <c r="D43" s="26" t="str">
        <f t="shared" ca="1" si="6"/>
        <v>CALLKMBC09</v>
      </c>
      <c r="F43" s="16"/>
      <c r="G43" s="16"/>
      <c r="H43" s="16"/>
      <c r="I43" s="16"/>
      <c r="J43" s="16"/>
      <c r="S43" s="11"/>
      <c r="T43" s="2"/>
      <c r="U43" s="1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M43" s="26">
        <v>39</v>
      </c>
      <c r="AN43" s="26" t="s">
        <v>340</v>
      </c>
      <c r="AO43" s="26" t="s">
        <v>341</v>
      </c>
      <c r="BB43" s="51">
        <v>38</v>
      </c>
      <c r="BC43" s="51" t="s">
        <v>529</v>
      </c>
      <c r="BD43" s="51" t="s">
        <v>67</v>
      </c>
      <c r="BE43" s="51" t="s">
        <v>36</v>
      </c>
      <c r="BF43" s="51" t="s">
        <v>89</v>
      </c>
      <c r="BG43" s="51"/>
      <c r="BH43" s="51"/>
      <c r="BI43" s="51"/>
      <c r="BJ43" s="51"/>
      <c r="BK43" s="51"/>
    </row>
    <row r="44" spans="2:63" x14ac:dyDescent="0.25">
      <c r="B44" s="26">
        <f t="shared" si="5"/>
        <v>11</v>
      </c>
      <c r="C44" s="26" t="s">
        <v>185</v>
      </c>
      <c r="D44" s="26" t="str">
        <f t="shared" ca="1" si="6"/>
        <v>CALLKMBC10</v>
      </c>
      <c r="F44" s="16"/>
      <c r="G44" s="16"/>
      <c r="H44" s="16"/>
      <c r="I44" s="16"/>
      <c r="J44" s="16"/>
      <c r="S44" s="11"/>
      <c r="T44" s="2"/>
      <c r="U44" s="1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M44" s="26">
        <v>40</v>
      </c>
      <c r="AN44" s="26" t="s">
        <v>342</v>
      </c>
      <c r="AO44" s="26" t="s">
        <v>343</v>
      </c>
      <c r="BB44" s="51">
        <v>39</v>
      </c>
      <c r="BC44" s="51" t="s">
        <v>530</v>
      </c>
      <c r="BD44" s="51" t="s">
        <v>74</v>
      </c>
      <c r="BE44" s="51" t="s">
        <v>37</v>
      </c>
      <c r="BF44" s="51" t="s">
        <v>107</v>
      </c>
      <c r="BG44" s="51"/>
      <c r="BH44" s="51"/>
      <c r="BI44" s="51"/>
      <c r="BJ44" s="51"/>
      <c r="BK44" s="51"/>
    </row>
    <row r="45" spans="2:63" x14ac:dyDescent="0.25">
      <c r="B45" s="26">
        <f t="shared" si="5"/>
        <v>12</v>
      </c>
      <c r="C45" s="26" t="s">
        <v>186</v>
      </c>
      <c r="D45" s="26" t="str">
        <f t="shared" ca="1" si="6"/>
        <v>CALLKMBC11</v>
      </c>
      <c r="F45" s="15"/>
      <c r="S45" s="11"/>
      <c r="T45" s="2"/>
      <c r="U45" s="1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M45" s="26">
        <v>41</v>
      </c>
      <c r="AN45" s="26" t="s">
        <v>344</v>
      </c>
      <c r="AO45" s="26" t="s">
        <v>345</v>
      </c>
      <c r="BB45" s="51">
        <v>40</v>
      </c>
      <c r="BC45" s="51" t="s">
        <v>532</v>
      </c>
      <c r="BD45" s="51" t="s">
        <v>63</v>
      </c>
      <c r="BE45" s="51" t="s">
        <v>38</v>
      </c>
      <c r="BF45" s="51" t="s">
        <v>89</v>
      </c>
      <c r="BG45" s="51"/>
      <c r="BH45" s="51"/>
      <c r="BI45" s="51"/>
      <c r="BJ45" s="51"/>
      <c r="BK45" s="51"/>
    </row>
    <row r="46" spans="2:63" x14ac:dyDescent="0.25">
      <c r="B46" s="26">
        <f t="shared" si="5"/>
        <v>13</v>
      </c>
      <c r="C46" s="26" t="s">
        <v>187</v>
      </c>
      <c r="D46" s="26" t="str">
        <f t="shared" ca="1" si="6"/>
        <v>CALLKMBC12</v>
      </c>
      <c r="F46" s="15"/>
      <c r="U46" s="1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M46" s="26">
        <v>42</v>
      </c>
      <c r="AN46" s="26" t="s">
        <v>346</v>
      </c>
      <c r="AO46" s="26" t="s">
        <v>347</v>
      </c>
      <c r="BB46" s="51">
        <v>41</v>
      </c>
      <c r="BC46" s="51" t="s">
        <v>534</v>
      </c>
      <c r="BD46" s="51" t="s">
        <v>51</v>
      </c>
      <c r="BE46" s="51" t="s">
        <v>39</v>
      </c>
      <c r="BF46" s="51" t="s">
        <v>108</v>
      </c>
      <c r="BG46" s="51"/>
      <c r="BH46" s="51"/>
      <c r="BI46" s="51"/>
      <c r="BJ46" s="51"/>
      <c r="BK46" s="51"/>
    </row>
    <row r="47" spans="2:63" x14ac:dyDescent="0.25">
      <c r="B47" s="26">
        <f t="shared" si="5"/>
        <v>14</v>
      </c>
      <c r="C47" s="26" t="s">
        <v>188</v>
      </c>
      <c r="D47" s="26" t="str">
        <f t="shared" ca="1" si="6"/>
        <v>CALLKMBC13</v>
      </c>
      <c r="F47" s="1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M47" s="26">
        <v>43</v>
      </c>
      <c r="AN47" s="26" t="s">
        <v>348</v>
      </c>
      <c r="AO47" s="26" t="s">
        <v>349</v>
      </c>
      <c r="BB47" s="51">
        <v>42</v>
      </c>
      <c r="BC47" s="51" t="s">
        <v>542</v>
      </c>
      <c r="BD47" s="86" t="s">
        <v>543</v>
      </c>
      <c r="BE47" s="51" t="s">
        <v>1</v>
      </c>
      <c r="BF47" s="51" t="s">
        <v>569</v>
      </c>
      <c r="BG47" s="51"/>
      <c r="BH47" s="51"/>
      <c r="BI47" s="51"/>
      <c r="BJ47" s="51"/>
      <c r="BK47" s="51"/>
    </row>
    <row r="48" spans="2:63" x14ac:dyDescent="0.25">
      <c r="B48" s="26">
        <f t="shared" si="5"/>
        <v>15</v>
      </c>
      <c r="C48" s="26" t="s">
        <v>189</v>
      </c>
      <c r="D48" s="26" t="str">
        <f t="shared" ca="1" si="6"/>
        <v>CALLKMBC14</v>
      </c>
      <c r="F48" s="1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M48" s="26">
        <v>44</v>
      </c>
      <c r="AN48" s="26" t="s">
        <v>350</v>
      </c>
      <c r="AO48" s="26" t="s">
        <v>351</v>
      </c>
      <c r="BB48" s="51">
        <v>43</v>
      </c>
      <c r="BC48" s="51" t="s">
        <v>544</v>
      </c>
      <c r="BD48" s="86" t="s">
        <v>545</v>
      </c>
      <c r="BE48" s="51" t="s">
        <v>1</v>
      </c>
      <c r="BF48" s="51" t="s">
        <v>569</v>
      </c>
      <c r="BG48" s="51"/>
      <c r="BH48" s="51"/>
      <c r="BI48" s="51"/>
      <c r="BJ48" s="51"/>
      <c r="BK48" s="51"/>
    </row>
    <row r="49" spans="2:63" x14ac:dyDescent="0.25">
      <c r="B49" s="26">
        <f t="shared" si="5"/>
        <v>16</v>
      </c>
      <c r="C49" s="26" t="s">
        <v>190</v>
      </c>
      <c r="D49" s="26" t="str">
        <f t="shared" ca="1" si="6"/>
        <v>CALLKMBC15</v>
      </c>
      <c r="F49" s="15"/>
      <c r="AM49" s="26">
        <v>45</v>
      </c>
      <c r="AN49" s="26" t="s">
        <v>352</v>
      </c>
      <c r="AO49" s="26" t="s">
        <v>353</v>
      </c>
      <c r="BB49" s="51">
        <v>44</v>
      </c>
      <c r="BC49" s="51" t="s">
        <v>537</v>
      </c>
      <c r="BD49" s="51" t="s">
        <v>78</v>
      </c>
      <c r="BE49" s="51" t="s">
        <v>40</v>
      </c>
      <c r="BF49" s="51" t="s">
        <v>109</v>
      </c>
      <c r="BG49" s="51"/>
      <c r="BH49" s="51"/>
      <c r="BI49" s="51"/>
      <c r="BJ49" s="51"/>
      <c r="BK49" s="51"/>
    </row>
    <row r="50" spans="2:63" x14ac:dyDescent="0.25">
      <c r="B50" s="26">
        <f t="shared" si="5"/>
        <v>17</v>
      </c>
      <c r="C50" s="26" t="s">
        <v>191</v>
      </c>
      <c r="D50" s="26" t="str">
        <f t="shared" ca="1" si="6"/>
        <v>CALLKMBC16</v>
      </c>
      <c r="F50" s="15"/>
      <c r="G50" s="14"/>
      <c r="AM50" s="26">
        <v>46</v>
      </c>
      <c r="AN50" s="26" t="s">
        <v>354</v>
      </c>
      <c r="AO50" s="26" t="s">
        <v>355</v>
      </c>
      <c r="BB50" s="51">
        <v>45</v>
      </c>
      <c r="BC50" s="51" t="s">
        <v>538</v>
      </c>
      <c r="BD50" s="51" t="s">
        <v>48</v>
      </c>
      <c r="BE50" s="51" t="s">
        <v>41</v>
      </c>
      <c r="BF50" s="51" t="s">
        <v>539</v>
      </c>
      <c r="BG50" s="51"/>
      <c r="BH50" s="51"/>
      <c r="BI50" s="51"/>
      <c r="BJ50" s="51"/>
      <c r="BK50" s="51"/>
    </row>
    <row r="51" spans="2:63" x14ac:dyDescent="0.25">
      <c r="B51" s="26">
        <f t="shared" si="5"/>
        <v>18</v>
      </c>
      <c r="C51" s="26" t="s">
        <v>192</v>
      </c>
      <c r="D51" s="26" t="str">
        <f t="shared" ca="1" si="6"/>
        <v>CALLKMBC17</v>
      </c>
      <c r="F51" s="15"/>
      <c r="I51" s="14"/>
      <c r="AM51" s="26">
        <v>47</v>
      </c>
      <c r="AN51" s="26" t="s">
        <v>356</v>
      </c>
      <c r="AO51" s="26" t="s">
        <v>357</v>
      </c>
      <c r="BB51" s="51">
        <v>46</v>
      </c>
      <c r="BC51" s="51" t="s">
        <v>546</v>
      </c>
      <c r="BD51" s="51" t="s">
        <v>54</v>
      </c>
      <c r="BE51" s="51" t="s">
        <v>42</v>
      </c>
      <c r="BF51" s="51" t="s">
        <v>110</v>
      </c>
      <c r="BG51" s="51"/>
      <c r="BH51" s="51"/>
      <c r="BI51" s="51"/>
      <c r="BJ51" s="51"/>
      <c r="BK51" s="51"/>
    </row>
    <row r="52" spans="2:63" x14ac:dyDescent="0.25">
      <c r="B52" s="26">
        <f t="shared" si="5"/>
        <v>19</v>
      </c>
      <c r="C52" s="26" t="s">
        <v>193</v>
      </c>
      <c r="D52" s="26" t="str">
        <f t="shared" ca="1" si="6"/>
        <v>CALLKMBC18</v>
      </c>
      <c r="F52" s="15"/>
      <c r="T52" s="6"/>
      <c r="U52" s="6"/>
      <c r="AM52" s="26">
        <v>48</v>
      </c>
      <c r="AN52" s="26" t="s">
        <v>358</v>
      </c>
      <c r="AO52" s="26" t="s">
        <v>359</v>
      </c>
      <c r="BB52" s="51">
        <v>47</v>
      </c>
      <c r="BC52" s="51" t="s">
        <v>547</v>
      </c>
      <c r="BD52" s="51" t="s">
        <v>55</v>
      </c>
      <c r="BE52" s="51" t="s">
        <v>42</v>
      </c>
      <c r="BF52" s="51" t="s">
        <v>110</v>
      </c>
      <c r="BG52" s="51"/>
      <c r="BH52" s="51"/>
      <c r="BI52" s="51"/>
      <c r="BJ52" s="51"/>
      <c r="BK52" s="51"/>
    </row>
    <row r="53" spans="2:63" x14ac:dyDescent="0.25">
      <c r="B53" s="26">
        <f t="shared" si="5"/>
        <v>20</v>
      </c>
      <c r="C53" s="26" t="s">
        <v>194</v>
      </c>
      <c r="D53" s="26" t="str">
        <f t="shared" ca="1" si="6"/>
        <v>CALLKMBC19</v>
      </c>
      <c r="F53" s="15"/>
      <c r="T53" s="6"/>
      <c r="U53" s="6"/>
      <c r="AM53" s="26">
        <v>49</v>
      </c>
      <c r="AN53" s="26" t="s">
        <v>360</v>
      </c>
      <c r="AO53" s="26" t="s">
        <v>361</v>
      </c>
      <c r="BB53" s="51"/>
      <c r="BC53" s="51"/>
      <c r="BD53" s="51"/>
      <c r="BE53" s="51"/>
      <c r="BF53" s="51"/>
      <c r="BG53" s="51"/>
      <c r="BH53" s="51"/>
      <c r="BI53" s="51"/>
      <c r="BJ53" s="51"/>
      <c r="BK53" s="51"/>
    </row>
    <row r="54" spans="2:63" x14ac:dyDescent="0.25">
      <c r="B54" s="26">
        <f t="shared" si="5"/>
        <v>21</v>
      </c>
      <c r="C54" s="26" t="s">
        <v>195</v>
      </c>
      <c r="D54" s="26" t="str">
        <f t="shared" ca="1" si="6"/>
        <v>CALLKMBC20</v>
      </c>
      <c r="F54" s="15"/>
      <c r="T54" s="6"/>
      <c r="U54" s="6"/>
      <c r="V54" s="3"/>
      <c r="AM54" s="26">
        <v>50</v>
      </c>
      <c r="AN54" s="26" t="s">
        <v>362</v>
      </c>
      <c r="AO54" s="26" t="s">
        <v>363</v>
      </c>
      <c r="BB54" s="51"/>
      <c r="BC54" s="51"/>
      <c r="BD54" s="51"/>
      <c r="BE54" s="51"/>
      <c r="BF54" s="51"/>
      <c r="BG54" s="51"/>
      <c r="BH54" s="51"/>
      <c r="BI54" s="51"/>
      <c r="BJ54" s="51"/>
      <c r="BK54" s="51"/>
    </row>
    <row r="55" spans="2:63" x14ac:dyDescent="0.25">
      <c r="B55" s="26">
        <f t="shared" si="5"/>
        <v>22</v>
      </c>
      <c r="C55" s="26" t="s">
        <v>196</v>
      </c>
      <c r="D55" s="26" t="str">
        <f t="shared" ca="1" si="6"/>
        <v>CALLKMBC21</v>
      </c>
      <c r="F55" s="15"/>
      <c r="T55" s="6"/>
      <c r="U55" s="6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M55" s="26">
        <v>51</v>
      </c>
      <c r="AN55" s="26" t="s">
        <v>364</v>
      </c>
      <c r="AO55" s="26" t="s">
        <v>365</v>
      </c>
      <c r="AT55" s="51" t="s">
        <v>548</v>
      </c>
      <c r="AU55" s="51">
        <f ca="1">TODAY()-365</f>
        <v>44579</v>
      </c>
      <c r="AV55" s="51" t="s">
        <v>255</v>
      </c>
      <c r="AW55" s="51">
        <f ca="1">TODAY()</f>
        <v>44944</v>
      </c>
      <c r="AX55" s="51" t="s">
        <v>256</v>
      </c>
      <c r="AY55" s="51">
        <v>365</v>
      </c>
      <c r="AZ55" s="51" t="s">
        <v>257</v>
      </c>
      <c r="BA55" s="51" t="s">
        <v>258</v>
      </c>
      <c r="BB55" s="51" t="s">
        <v>259</v>
      </c>
      <c r="BC55" s="51" t="s">
        <v>260</v>
      </c>
      <c r="BD55" s="51"/>
      <c r="BE55" s="51"/>
      <c r="BF55" s="51"/>
      <c r="BG55" s="51"/>
      <c r="BH55" s="51"/>
      <c r="BI55" s="51"/>
      <c r="BJ55" s="51"/>
      <c r="BK55" s="51"/>
    </row>
    <row r="56" spans="2:63" x14ac:dyDescent="0.25">
      <c r="B56" s="26">
        <f t="shared" si="5"/>
        <v>23</v>
      </c>
      <c r="C56" s="26" t="s">
        <v>197</v>
      </c>
      <c r="D56" s="26" t="str">
        <f t="shared" ca="1" si="6"/>
        <v>CALLKMBC22</v>
      </c>
      <c r="F56" s="15"/>
      <c r="T56" s="6"/>
      <c r="U56" s="6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M56" s="26">
        <v>52</v>
      </c>
      <c r="AN56" s="26" t="s">
        <v>366</v>
      </c>
      <c r="AO56" s="26" t="s">
        <v>367</v>
      </c>
      <c r="AT56" s="51" t="str">
        <f>$W$5</f>
        <v>BONDKSDCAL13</v>
      </c>
      <c r="AU56" s="51"/>
      <c r="AV56" s="51" t="str">
        <f>$Z$5</f>
        <v>US10Y</v>
      </c>
      <c r="AW56" s="51" t="str">
        <f>$AC$5</f>
        <v>RM10Y</v>
      </c>
      <c r="AX56" s="51" t="str">
        <f>$AF$5</f>
        <v>BONDAV401</v>
      </c>
      <c r="AY56" s="51" t="str">
        <f>$AF$4</f>
        <v>BONDAV455</v>
      </c>
      <c r="AZ56" s="51"/>
      <c r="BA56" s="51"/>
    </row>
    <row r="57" spans="2:63" x14ac:dyDescent="0.25">
      <c r="B57" s="26">
        <f t="shared" si="5"/>
        <v>24</v>
      </c>
      <c r="C57" s="26" t="s">
        <v>198</v>
      </c>
      <c r="D57" s="26" t="str">
        <f t="shared" ca="1" si="6"/>
        <v>CALLKMBC23</v>
      </c>
      <c r="F57" s="15"/>
      <c r="T57" s="6"/>
      <c r="U57" s="6"/>
      <c r="V57" s="3"/>
      <c r="AM57" s="26">
        <v>53</v>
      </c>
      <c r="AN57" s="26" t="s">
        <v>368</v>
      </c>
      <c r="AO57" s="26" t="s">
        <v>369</v>
      </c>
      <c r="AT57" s="51" t="str">
        <f ca="1">_xll.IMDH("IR",$AT$56,$AT$58:$AU$58,$AU$55,$AW$55,$AY$55,"Per="&amp;$BA$55&amp;",sort="&amp;$BC$55&amp;",real=true,Bizday="&amp;$BE$2&amp;",Quote="&amp;$BG$2&amp;",Pos=20,Orient=V,Title="&amp;$X$5&amp;",DtFmt=1,TmFmt=1,unit=true")</f>
        <v>한국</v>
      </c>
      <c r="AU57" s="51"/>
      <c r="AV57" s="51" t="str">
        <f ca="1">_xll.IMDH("IR",$AV$56,$AV$58,$AU$55,$AW$55,$AY$55,"Per="&amp;$BA$55&amp;",sort="&amp;$BC$55&amp;",real=true,Bizday="&amp;$BE$2&amp;",Quote="&amp;$BG$2&amp;",Pos=20,Orient=V,Title="&amp;$AA$5&amp;",DtFmt=1,TmFmt=1,unit=true")</f>
        <v>미국</v>
      </c>
      <c r="AW57" s="51" t="str">
        <f ca="1">_xll.IMDH("IR",$AW$56,$AW$58,$AU$55,$AW$55,$AY$55,"Per="&amp;$BA$55&amp;",sort="&amp;$BC$55&amp;",real=true,Bizday="&amp;$BE$2&amp;",Quote="&amp;$BG$2&amp;",Pos=20,Orient=V,Title="&amp;$AD$5&amp;",DtFmt=1,TmFmt=1,unit=true")</f>
        <v>중국</v>
      </c>
      <c r="AX57" s="51" t="str">
        <f ca="1">_xll.IMDH("IR",$AX$56,$AX$58,$AU$55,$AW$55,$AY$55,"Per="&amp;$BA$55&amp;",sort="&amp;$BC$55&amp;",real=true,Bizday="&amp;$BE$2&amp;",Quote="&amp;$BG$2&amp;",Pos=20,Orient=V,Title="&amp;$AG$5&amp;",DtFmt=1,TmFmt=1,unit=true")</f>
        <v>국고채권</v>
      </c>
      <c r="AY57" s="51" t="str">
        <f ca="1">_xll.IMDH("IR",$AY$56,$AX$58,$AU$55,$AW$55,$AY$55,"Per="&amp;$BA$55&amp;",sort="&amp;$BC$55&amp;",real=true,Bizday="&amp;$BE$2&amp;",Quote="&amp;$BG$2&amp;",Pos=20,Orient=V,Title="&amp;$AG$4&amp;",DtFmt=1,TmFmt=1,unit=true")</f>
        <v>회사채AAA(공모/무보증)</v>
      </c>
      <c r="AZ57" s="51"/>
      <c r="BA57" s="51"/>
      <c r="BD57" s="80"/>
    </row>
    <row r="58" spans="2:63" x14ac:dyDescent="0.25">
      <c r="B58" s="26">
        <f t="shared" si="5"/>
        <v>25</v>
      </c>
      <c r="C58" s="26" t="s">
        <v>199</v>
      </c>
      <c r="D58" s="26" t="str">
        <f t="shared" ca="1" si="6"/>
        <v>CALLKMBC24</v>
      </c>
      <c r="F58" s="15"/>
      <c r="T58" s="6"/>
      <c r="U58" s="6"/>
      <c r="V58" s="3"/>
      <c r="AM58" s="26">
        <v>54</v>
      </c>
      <c r="AN58" s="26" t="s">
        <v>370</v>
      </c>
      <c r="AO58" s="26" t="s">
        <v>371</v>
      </c>
      <c r="AT58" s="51" t="s">
        <v>549</v>
      </c>
      <c r="AU58" s="51" t="str">
        <f>IF($X$5="한국","대표수익률","종가")</f>
        <v>대표수익률</v>
      </c>
      <c r="AV58" s="51" t="str">
        <f>IF($AA$5="한국","대표수익률","종가")</f>
        <v>종가</v>
      </c>
      <c r="AW58" s="51" t="str">
        <f>IF($AD$5="한국","대표수익률","종가")</f>
        <v>종가</v>
      </c>
      <c r="AX58" s="51" t="str">
        <f>AI5</f>
        <v>3월이하(당일)</v>
      </c>
      <c r="AY58" s="51" t="str">
        <f>AI4</f>
        <v>3월이하(당일)</v>
      </c>
      <c r="AZ58" s="51" t="s">
        <v>550</v>
      </c>
      <c r="BA58" s="51"/>
    </row>
    <row r="59" spans="2:63" x14ac:dyDescent="0.25">
      <c r="B59" s="26">
        <f t="shared" si="5"/>
        <v>26</v>
      </c>
      <c r="C59" s="26" t="s">
        <v>200</v>
      </c>
      <c r="D59" s="26" t="str">
        <f t="shared" ca="1" si="6"/>
        <v>CALLKMBC25</v>
      </c>
      <c r="F59" s="15"/>
      <c r="T59" s="6"/>
      <c r="U59" s="6"/>
      <c r="V59" s="3"/>
      <c r="AM59" s="26">
        <v>55</v>
      </c>
      <c r="AN59" s="26" t="s">
        <v>372</v>
      </c>
      <c r="AO59" s="26" t="s">
        <v>373</v>
      </c>
      <c r="AT59" s="85">
        <v>44944</v>
      </c>
      <c r="AU59" s="51">
        <v>3.4359999999999999</v>
      </c>
      <c r="AV59" s="51">
        <v>3.4839000000000002</v>
      </c>
      <c r="AW59" s="51">
        <v>2.9451999999999998</v>
      </c>
      <c r="AX59" s="51"/>
      <c r="AY59" s="51"/>
      <c r="AZ59" s="51">
        <f t="shared" ref="AZ59:AZ71" si="10">AX59-AY59</f>
        <v>0</v>
      </c>
      <c r="BA59" s="51"/>
    </row>
    <row r="60" spans="2:63" x14ac:dyDescent="0.25">
      <c r="B60" s="26">
        <f t="shared" si="5"/>
        <v>27</v>
      </c>
      <c r="C60" s="26" t="s">
        <v>201</v>
      </c>
      <c r="D60" s="26" t="str">
        <f t="shared" ca="1" si="6"/>
        <v>CALLKMBC26</v>
      </c>
      <c r="F60" s="15"/>
      <c r="V60" s="3"/>
      <c r="AM60" s="26">
        <v>56</v>
      </c>
      <c r="AN60" s="26" t="s">
        <v>374</v>
      </c>
      <c r="AO60" s="26" t="s">
        <v>375</v>
      </c>
      <c r="AT60" s="85">
        <v>44943</v>
      </c>
      <c r="AU60" s="51">
        <v>3.444</v>
      </c>
      <c r="AV60" s="51">
        <v>3.5493999999999999</v>
      </c>
      <c r="AW60" s="51">
        <v>2.9441999999999999</v>
      </c>
      <c r="AX60" s="51">
        <v>3.4950000000000001</v>
      </c>
      <c r="AY60" s="51">
        <v>4.1219999999999999</v>
      </c>
      <c r="AZ60" s="51">
        <f t="shared" si="10"/>
        <v>-0.62699999999999978</v>
      </c>
      <c r="BA60" s="51"/>
    </row>
    <row r="61" spans="2:63" x14ac:dyDescent="0.25">
      <c r="B61" s="26">
        <f t="shared" si="5"/>
        <v>28</v>
      </c>
      <c r="C61" s="26" t="s">
        <v>202</v>
      </c>
      <c r="D61" s="26" t="str">
        <f t="shared" ca="1" si="6"/>
        <v>CALLKMBC27</v>
      </c>
      <c r="F61" s="15"/>
      <c r="T61" s="6"/>
      <c r="U61" s="6"/>
      <c r="V61" s="3"/>
      <c r="AM61" s="26">
        <v>57</v>
      </c>
      <c r="AN61" s="26" t="s">
        <v>376</v>
      </c>
      <c r="AO61" s="26" t="s">
        <v>377</v>
      </c>
      <c r="AT61" s="85">
        <v>44942</v>
      </c>
      <c r="AU61" s="51">
        <v>3.383</v>
      </c>
      <c r="AV61" s="51">
        <v>3.5053000000000001</v>
      </c>
      <c r="AW61" s="51">
        <v>2.9594999999999998</v>
      </c>
      <c r="AX61" s="51">
        <v>3.488</v>
      </c>
      <c r="AY61" s="51">
        <v>4.1509999999999998</v>
      </c>
      <c r="AZ61" s="51">
        <f t="shared" si="10"/>
        <v>-0.66299999999999981</v>
      </c>
      <c r="BA61" s="51"/>
    </row>
    <row r="62" spans="2:63" x14ac:dyDescent="0.25">
      <c r="B62" s="26">
        <f t="shared" si="5"/>
        <v>29</v>
      </c>
      <c r="C62" s="26" t="s">
        <v>203</v>
      </c>
      <c r="D62" s="26" t="str">
        <f t="shared" ca="1" si="6"/>
        <v>CALLKMBC28</v>
      </c>
      <c r="F62" s="15"/>
      <c r="T62" s="6"/>
      <c r="U62" s="6"/>
      <c r="AM62" s="26">
        <v>58</v>
      </c>
      <c r="AN62" s="26" t="s">
        <v>378</v>
      </c>
      <c r="AO62" s="26" t="s">
        <v>379</v>
      </c>
      <c r="AT62" s="85">
        <v>44941</v>
      </c>
      <c r="AU62" s="51">
        <v>3.3</v>
      </c>
      <c r="AV62" s="51">
        <v>3.5053000000000001</v>
      </c>
      <c r="AW62" s="51">
        <v>2.9260000000000002</v>
      </c>
      <c r="AX62" s="51">
        <v>3.4820000000000002</v>
      </c>
      <c r="AY62" s="51">
        <v>4.1820000000000004</v>
      </c>
      <c r="AZ62" s="51">
        <f t="shared" si="10"/>
        <v>-0.70000000000000018</v>
      </c>
      <c r="BA62" s="51"/>
    </row>
    <row r="63" spans="2:63" x14ac:dyDescent="0.25">
      <c r="B63" s="26">
        <f t="shared" si="5"/>
        <v>30</v>
      </c>
      <c r="C63" s="26" t="s">
        <v>204</v>
      </c>
      <c r="D63" s="26" t="str">
        <f t="shared" ca="1" si="6"/>
        <v>CALLKMBC29</v>
      </c>
      <c r="F63" s="15"/>
      <c r="T63" s="6"/>
      <c r="U63" s="6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M63" s="26">
        <v>59</v>
      </c>
      <c r="AN63" s="26" t="s">
        <v>380</v>
      </c>
      <c r="AO63" s="26" t="s">
        <v>381</v>
      </c>
      <c r="AT63" s="85">
        <v>44940</v>
      </c>
      <c r="AU63" s="51">
        <v>3.3</v>
      </c>
      <c r="AV63" s="51">
        <v>3.5053000000000001</v>
      </c>
      <c r="AW63" s="51">
        <v>2.9260000000000002</v>
      </c>
      <c r="AX63" s="51">
        <v>3.4820000000000002</v>
      </c>
      <c r="AY63" s="51">
        <v>4.1820000000000004</v>
      </c>
      <c r="AZ63" s="51">
        <f t="shared" si="10"/>
        <v>-0.70000000000000018</v>
      </c>
      <c r="BA63" s="51"/>
    </row>
    <row r="64" spans="2:63" x14ac:dyDescent="0.25">
      <c r="B64" s="26">
        <f t="shared" si="5"/>
        <v>31</v>
      </c>
      <c r="C64" s="26" t="s">
        <v>205</v>
      </c>
      <c r="D64" s="26" t="str">
        <f t="shared" ca="1" si="6"/>
        <v>CALLKMBC30</v>
      </c>
      <c r="F64" s="15"/>
      <c r="T64" s="6"/>
      <c r="U64" s="6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M64" s="26">
        <v>60</v>
      </c>
      <c r="AN64" s="26" t="s">
        <v>382</v>
      </c>
      <c r="AO64" s="26" t="s">
        <v>383</v>
      </c>
      <c r="AT64" s="85">
        <v>44939</v>
      </c>
      <c r="AU64" s="51">
        <v>3.3</v>
      </c>
      <c r="AV64" s="51">
        <v>3.5053000000000001</v>
      </c>
      <c r="AW64" s="51">
        <v>2.9260000000000002</v>
      </c>
      <c r="AX64" s="51">
        <v>3.4820000000000002</v>
      </c>
      <c r="AY64" s="51">
        <v>4.1820000000000004</v>
      </c>
      <c r="AZ64" s="51">
        <f t="shared" si="10"/>
        <v>-0.70000000000000018</v>
      </c>
      <c r="BA64" s="51"/>
    </row>
    <row r="65" spans="2:53" x14ac:dyDescent="0.25">
      <c r="B65" s="26">
        <f t="shared" si="5"/>
        <v>32</v>
      </c>
      <c r="C65" s="26" t="s">
        <v>206</v>
      </c>
      <c r="D65" s="26" t="str">
        <f t="shared" ca="1" si="6"/>
        <v>CALLKMBC31</v>
      </c>
      <c r="F65" s="15"/>
      <c r="T65" s="6"/>
      <c r="U65" s="6"/>
      <c r="V65" s="3"/>
      <c r="AM65" s="26">
        <v>61</v>
      </c>
      <c r="AN65" s="26" t="s">
        <v>384</v>
      </c>
      <c r="AO65" s="26" t="s">
        <v>385</v>
      </c>
      <c r="AT65" s="85">
        <v>44938</v>
      </c>
      <c r="AU65" s="51">
        <v>3.4119999999999999</v>
      </c>
      <c r="AV65" s="51">
        <v>3.4464000000000001</v>
      </c>
      <c r="AW65" s="51">
        <v>2.9203999999999999</v>
      </c>
      <c r="AX65" s="51">
        <v>3.472</v>
      </c>
      <c r="AY65" s="51">
        <v>4.157</v>
      </c>
      <c r="AZ65" s="51">
        <f t="shared" si="10"/>
        <v>-0.68500000000000005</v>
      </c>
      <c r="BA65" s="51"/>
    </row>
    <row r="66" spans="2:53" x14ac:dyDescent="0.25">
      <c r="B66" s="26">
        <f t="shared" si="5"/>
        <v>33</v>
      </c>
      <c r="C66" s="26" t="s">
        <v>207</v>
      </c>
      <c r="D66" s="26" t="str">
        <f t="shared" ca="1" si="6"/>
        <v>CALLKMBC32</v>
      </c>
      <c r="F66" s="15"/>
      <c r="T66" s="6"/>
      <c r="U66" s="6"/>
      <c r="V66" s="3"/>
      <c r="AM66" s="26">
        <v>62</v>
      </c>
      <c r="AN66" s="26" t="s">
        <v>386</v>
      </c>
      <c r="AO66" s="26" t="s">
        <v>387</v>
      </c>
      <c r="AT66" s="85">
        <v>44937</v>
      </c>
      <c r="AU66" s="51">
        <v>3.4169999999999998</v>
      </c>
      <c r="AV66" s="51">
        <v>3.5409999999999999</v>
      </c>
      <c r="AW66" s="51">
        <v>2.9249999999999998</v>
      </c>
      <c r="AX66" s="51">
        <v>3.4729999999999999</v>
      </c>
      <c r="AY66" s="51">
        <v>4.1669999999999998</v>
      </c>
      <c r="AZ66" s="51">
        <f t="shared" si="10"/>
        <v>-0.69399999999999995</v>
      </c>
      <c r="BA66" s="51"/>
    </row>
    <row r="67" spans="2:53" x14ac:dyDescent="0.25">
      <c r="B67" s="26">
        <f t="shared" si="5"/>
        <v>34</v>
      </c>
      <c r="C67" s="26" t="s">
        <v>208</v>
      </c>
      <c r="D67" s="26" t="str">
        <f t="shared" ca="1" si="6"/>
        <v>CALLKMBC33</v>
      </c>
      <c r="F67" s="15"/>
      <c r="T67" s="6"/>
      <c r="U67" s="6"/>
      <c r="V67" s="3"/>
      <c r="AM67" s="26">
        <v>63</v>
      </c>
      <c r="AN67" s="26" t="s">
        <v>388</v>
      </c>
      <c r="AO67" s="26" t="s">
        <v>389</v>
      </c>
      <c r="AT67" s="85">
        <v>44936</v>
      </c>
      <c r="AU67" s="51">
        <v>3.4620000000000002</v>
      </c>
      <c r="AV67" s="51">
        <v>3.6206999999999998</v>
      </c>
      <c r="AW67" s="51">
        <v>2.9266000000000001</v>
      </c>
      <c r="AX67" s="51">
        <v>3.492</v>
      </c>
      <c r="AY67" s="51">
        <v>4.1959999999999997</v>
      </c>
      <c r="AZ67" s="51">
        <f t="shared" si="10"/>
        <v>-0.70399999999999974</v>
      </c>
      <c r="BA67" s="51"/>
    </row>
    <row r="68" spans="2:53" x14ac:dyDescent="0.25">
      <c r="B68" s="26">
        <f t="shared" si="5"/>
        <v>35</v>
      </c>
      <c r="C68" s="26" t="s">
        <v>209</v>
      </c>
      <c r="D68" s="26" t="str">
        <f t="shared" ca="1" si="6"/>
        <v>CALLKMBC34</v>
      </c>
      <c r="F68" s="15"/>
      <c r="T68" s="6"/>
      <c r="U68" s="6"/>
      <c r="V68" s="3"/>
      <c r="AM68" s="26">
        <v>64</v>
      </c>
      <c r="AN68" s="26" t="s">
        <v>390</v>
      </c>
      <c r="AO68" s="26" t="s">
        <v>391</v>
      </c>
      <c r="AT68" s="85">
        <v>44935</v>
      </c>
      <c r="AU68" s="51">
        <v>3.4769999999999999</v>
      </c>
      <c r="AV68" s="51">
        <v>3.5385</v>
      </c>
      <c r="AW68" s="51">
        <v>2.9056999999999999</v>
      </c>
      <c r="AX68" s="51">
        <v>3.4830000000000001</v>
      </c>
      <c r="AY68" s="51">
        <v>4.2210000000000001</v>
      </c>
      <c r="AZ68" s="51">
        <f t="shared" si="10"/>
        <v>-0.73799999999999999</v>
      </c>
      <c r="BA68" s="51"/>
    </row>
    <row r="69" spans="2:53" x14ac:dyDescent="0.25">
      <c r="B69" s="26">
        <f t="shared" si="5"/>
        <v>36</v>
      </c>
      <c r="C69" s="26" t="s">
        <v>210</v>
      </c>
      <c r="D69" s="26" t="str">
        <f t="shared" ca="1" si="6"/>
        <v>CALLKMBC35</v>
      </c>
      <c r="F69" s="15"/>
      <c r="T69" s="6"/>
      <c r="U69" s="6"/>
      <c r="V69" s="3"/>
      <c r="AM69" s="26">
        <v>65</v>
      </c>
      <c r="AN69" s="26" t="s">
        <v>392</v>
      </c>
      <c r="AO69" s="26" t="s">
        <v>393</v>
      </c>
      <c r="AT69" s="85">
        <v>44934</v>
      </c>
      <c r="AU69" s="51">
        <v>3.573</v>
      </c>
      <c r="AV69" s="51">
        <v>3.5626000000000002</v>
      </c>
      <c r="AW69" s="51">
        <v>2.8959000000000001</v>
      </c>
      <c r="AX69" s="51">
        <v>3.53</v>
      </c>
      <c r="AY69" s="51">
        <v>4.2649999999999997</v>
      </c>
      <c r="AZ69" s="51">
        <f t="shared" si="10"/>
        <v>-0.73499999999999988</v>
      </c>
      <c r="BA69" s="51"/>
    </row>
    <row r="70" spans="2:53" x14ac:dyDescent="0.25">
      <c r="B70" s="26">
        <f t="shared" si="5"/>
        <v>37</v>
      </c>
      <c r="C70" s="26" t="s">
        <v>211</v>
      </c>
      <c r="D70" s="26" t="str">
        <f t="shared" ca="1" si="6"/>
        <v>CALLKMBC36</v>
      </c>
      <c r="F70" s="15"/>
      <c r="V70" s="3"/>
      <c r="AM70" s="26">
        <v>66</v>
      </c>
      <c r="AN70" s="26" t="s">
        <v>394</v>
      </c>
      <c r="AO70" s="26" t="s">
        <v>395</v>
      </c>
      <c r="AT70" s="85">
        <v>44933</v>
      </c>
      <c r="AU70" s="51">
        <v>3.573</v>
      </c>
      <c r="AV70" s="51">
        <v>3.5626000000000002</v>
      </c>
      <c r="AW70" s="51">
        <v>2.8959000000000001</v>
      </c>
      <c r="AX70" s="51">
        <v>3.53</v>
      </c>
      <c r="AY70" s="51">
        <v>4.2649999999999997</v>
      </c>
      <c r="AZ70" s="51">
        <f t="shared" si="10"/>
        <v>-0.73499999999999988</v>
      </c>
      <c r="BA70" s="51"/>
    </row>
    <row r="71" spans="2:53" x14ac:dyDescent="0.25">
      <c r="V71" s="3"/>
      <c r="AM71" s="26">
        <v>67</v>
      </c>
      <c r="AN71" s="26" t="s">
        <v>396</v>
      </c>
      <c r="AO71" s="26" t="s">
        <v>397</v>
      </c>
      <c r="AT71" s="85">
        <v>44932</v>
      </c>
      <c r="AU71" s="51">
        <v>3.573</v>
      </c>
      <c r="AV71" s="51">
        <v>3.5626000000000002</v>
      </c>
      <c r="AW71" s="51">
        <v>2.8959000000000001</v>
      </c>
      <c r="AX71" s="51">
        <v>3.53</v>
      </c>
      <c r="AY71" s="51">
        <v>4.2649999999999997</v>
      </c>
      <c r="AZ71" s="51">
        <f t="shared" si="10"/>
        <v>-0.73499999999999988</v>
      </c>
      <c r="BA71" s="51"/>
    </row>
    <row r="72" spans="2:53" x14ac:dyDescent="0.25">
      <c r="AM72" s="26">
        <v>68</v>
      </c>
      <c r="AN72" s="26" t="s">
        <v>398</v>
      </c>
      <c r="AO72" s="26" t="s">
        <v>399</v>
      </c>
      <c r="AT72" s="85">
        <v>44931</v>
      </c>
      <c r="AU72" s="51">
        <v>3.5710000000000002</v>
      </c>
      <c r="AV72" s="51">
        <v>3.7191000000000001</v>
      </c>
      <c r="AW72" s="51">
        <v>2.8879999999999999</v>
      </c>
      <c r="AX72" s="51">
        <v>3.55</v>
      </c>
      <c r="AY72" s="51">
        <v>4.2960000000000003</v>
      </c>
      <c r="AZ72" s="51">
        <f t="shared" ref="AZ72:AZ135" si="11">AX72-AY72</f>
        <v>-0.74600000000000044</v>
      </c>
      <c r="BA72" s="51"/>
    </row>
    <row r="73" spans="2:53" x14ac:dyDescent="0.25">
      <c r="AM73" s="26">
        <v>69</v>
      </c>
      <c r="AN73" s="26" t="s">
        <v>400</v>
      </c>
      <c r="AO73" s="26" t="s">
        <v>401</v>
      </c>
      <c r="AT73" s="85">
        <v>44930</v>
      </c>
      <c r="AU73" s="51">
        <v>3.597</v>
      </c>
      <c r="AV73" s="51">
        <v>3.6865000000000001</v>
      </c>
      <c r="AW73" s="51">
        <v>2.8708</v>
      </c>
      <c r="AX73" s="51">
        <v>3.57</v>
      </c>
      <c r="AY73" s="51">
        <v>4.34</v>
      </c>
      <c r="AZ73" s="51">
        <f t="shared" si="11"/>
        <v>-0.77</v>
      </c>
      <c r="BA73" s="51"/>
    </row>
    <row r="74" spans="2:53" x14ac:dyDescent="0.25">
      <c r="AM74" s="26">
        <v>70</v>
      </c>
      <c r="AN74" s="26" t="s">
        <v>402</v>
      </c>
      <c r="AO74" s="26" t="s">
        <v>403</v>
      </c>
      <c r="AT74" s="85">
        <v>44929</v>
      </c>
      <c r="AU74" s="51">
        <v>3.661</v>
      </c>
      <c r="AV74" s="51">
        <v>3.7454999999999998</v>
      </c>
      <c r="AW74" s="51">
        <v>2.8852000000000002</v>
      </c>
      <c r="AX74" s="51">
        <v>3.6120000000000001</v>
      </c>
      <c r="AY74" s="51">
        <v>4.407</v>
      </c>
      <c r="AZ74" s="51">
        <f t="shared" si="11"/>
        <v>-0.79499999999999993</v>
      </c>
      <c r="BA74" s="51"/>
    </row>
    <row r="75" spans="2:53" x14ac:dyDescent="0.25">
      <c r="AM75" s="26">
        <v>71</v>
      </c>
      <c r="AN75" s="26" t="s">
        <v>404</v>
      </c>
      <c r="AO75" s="26" t="s">
        <v>405</v>
      </c>
      <c r="AT75" s="85">
        <v>44928</v>
      </c>
      <c r="AU75" s="51">
        <v>3.8109999999999999</v>
      </c>
      <c r="AV75" s="51">
        <v>3.8795000000000002</v>
      </c>
      <c r="AW75" s="51">
        <v>2.883</v>
      </c>
      <c r="AX75" s="51">
        <v>3.67</v>
      </c>
      <c r="AY75" s="51">
        <v>4.4820000000000002</v>
      </c>
      <c r="AZ75" s="51">
        <f t="shared" si="11"/>
        <v>-0.81200000000000028</v>
      </c>
      <c r="BA75" s="51"/>
    </row>
    <row r="76" spans="2:53" x14ac:dyDescent="0.25">
      <c r="AM76" s="26">
        <v>72</v>
      </c>
      <c r="AN76" s="26" t="s">
        <v>406</v>
      </c>
      <c r="AO76" s="26" t="s">
        <v>407</v>
      </c>
      <c r="AT76" s="85">
        <v>44927</v>
      </c>
      <c r="AU76" s="51">
        <v>3.73</v>
      </c>
      <c r="AV76" s="51">
        <v>3.8795000000000002</v>
      </c>
      <c r="AW76" s="51">
        <v>2.883</v>
      </c>
      <c r="AX76" s="51">
        <v>3.6819999999999999</v>
      </c>
      <c r="AY76" s="51">
        <v>4.5129999999999999</v>
      </c>
      <c r="AZ76" s="51">
        <f t="shared" si="11"/>
        <v>-0.83099999999999996</v>
      </c>
      <c r="BA76" s="51"/>
    </row>
    <row r="77" spans="2:53" x14ac:dyDescent="0.25">
      <c r="AM77" s="26">
        <v>73</v>
      </c>
      <c r="AN77" s="26" t="s">
        <v>408</v>
      </c>
      <c r="AO77" s="26" t="s">
        <v>409</v>
      </c>
      <c r="AT77" s="85">
        <v>44926</v>
      </c>
      <c r="AU77" s="51">
        <v>3.73</v>
      </c>
      <c r="AV77" s="51">
        <v>3.8795000000000002</v>
      </c>
      <c r="AW77" s="51">
        <v>2.883</v>
      </c>
      <c r="AX77" s="51">
        <v>3.6819999999999999</v>
      </c>
      <c r="AY77" s="51">
        <v>4.5129999999999999</v>
      </c>
      <c r="AZ77" s="51">
        <f t="shared" si="11"/>
        <v>-0.83099999999999996</v>
      </c>
      <c r="BA77" s="51"/>
    </row>
    <row r="78" spans="2:53" x14ac:dyDescent="0.25">
      <c r="AM78" s="26">
        <v>74</v>
      </c>
      <c r="AN78" s="26" t="s">
        <v>410</v>
      </c>
      <c r="AO78" s="26" t="s">
        <v>411</v>
      </c>
      <c r="AT78" s="85">
        <v>44925</v>
      </c>
      <c r="AU78" s="51">
        <v>3.73</v>
      </c>
      <c r="AV78" s="51">
        <v>3.8795000000000002</v>
      </c>
      <c r="AW78" s="51">
        <v>2.883</v>
      </c>
      <c r="AX78" s="51">
        <v>3.6819999999999999</v>
      </c>
      <c r="AY78" s="51">
        <v>4.5129999999999999</v>
      </c>
      <c r="AZ78" s="51">
        <f t="shared" si="11"/>
        <v>-0.83099999999999996</v>
      </c>
      <c r="BA78" s="51"/>
    </row>
    <row r="79" spans="2:53" x14ac:dyDescent="0.25">
      <c r="AM79" s="26">
        <v>75</v>
      </c>
      <c r="AN79" s="26" t="s">
        <v>412</v>
      </c>
      <c r="AO79" s="26" t="s">
        <v>413</v>
      </c>
      <c r="AT79" s="85">
        <v>44924</v>
      </c>
      <c r="AU79" s="51">
        <v>3.726</v>
      </c>
      <c r="AV79" s="51">
        <v>3.8201999999999998</v>
      </c>
      <c r="AW79" s="51">
        <v>2.8837999999999999</v>
      </c>
      <c r="AX79" s="51">
        <v>3.6819999999999999</v>
      </c>
      <c r="AY79" s="51">
        <v>4.5129999999999999</v>
      </c>
      <c r="AZ79" s="51">
        <f t="shared" si="11"/>
        <v>-0.83099999999999996</v>
      </c>
      <c r="BA79" s="51"/>
    </row>
    <row r="80" spans="2:53" x14ac:dyDescent="0.25">
      <c r="AM80" s="26">
        <v>76</v>
      </c>
      <c r="AN80" s="26" t="s">
        <v>414</v>
      </c>
      <c r="AO80" s="26" t="s">
        <v>415</v>
      </c>
      <c r="AT80" s="85">
        <v>44923</v>
      </c>
      <c r="AU80" s="51">
        <v>3.673</v>
      </c>
      <c r="AV80" s="51">
        <v>3.8835999999999999</v>
      </c>
      <c r="AW80" s="51">
        <v>2.9085000000000001</v>
      </c>
      <c r="AX80" s="51">
        <v>3.681</v>
      </c>
      <c r="AY80" s="51">
        <v>4.5170000000000003</v>
      </c>
      <c r="AZ80" s="51">
        <f t="shared" si="11"/>
        <v>-0.8360000000000003</v>
      </c>
      <c r="BA80" s="51"/>
    </row>
    <row r="81" spans="2:53" x14ac:dyDescent="0.25">
      <c r="AM81" s="26">
        <v>77</v>
      </c>
      <c r="AN81" s="26" t="s">
        <v>416</v>
      </c>
      <c r="AO81" s="26" t="s">
        <v>417</v>
      </c>
      <c r="AT81" s="85">
        <v>44922</v>
      </c>
      <c r="AU81" s="51">
        <v>3.6110000000000002</v>
      </c>
      <c r="AV81" s="51">
        <v>3.8468</v>
      </c>
      <c r="AW81" s="51">
        <v>2.9140999999999999</v>
      </c>
      <c r="AX81" s="51">
        <v>3.681</v>
      </c>
      <c r="AY81" s="51">
        <v>4.5279999999999996</v>
      </c>
      <c r="AZ81" s="51">
        <f t="shared" si="11"/>
        <v>-0.84699999999999953</v>
      </c>
      <c r="BA81" s="51"/>
    </row>
    <row r="82" spans="2:53" x14ac:dyDescent="0.25">
      <c r="AM82" s="26">
        <v>78</v>
      </c>
      <c r="AN82" s="26" t="s">
        <v>418</v>
      </c>
      <c r="AO82" s="26" t="s">
        <v>419</v>
      </c>
      <c r="AT82" s="85">
        <v>44921</v>
      </c>
      <c r="AU82" s="51">
        <v>3.6389999999999998</v>
      </c>
      <c r="AV82" s="51">
        <v>3.7490000000000001</v>
      </c>
      <c r="AW82" s="51">
        <v>2.8862000000000001</v>
      </c>
      <c r="AX82" s="51">
        <v>3.6859999999999999</v>
      </c>
      <c r="AY82" s="51">
        <v>4.5419999999999998</v>
      </c>
      <c r="AZ82" s="51">
        <f t="shared" si="11"/>
        <v>-0.85599999999999987</v>
      </c>
      <c r="BA82" s="51"/>
    </row>
    <row r="83" spans="2:53" x14ac:dyDescent="0.25">
      <c r="AT83" s="85">
        <v>44920</v>
      </c>
      <c r="AU83" s="51">
        <v>3.552</v>
      </c>
      <c r="AV83" s="51">
        <v>3.7490000000000001</v>
      </c>
      <c r="AW83" s="51">
        <v>2.8753000000000002</v>
      </c>
      <c r="AX83" s="51">
        <v>3.6949999999999998</v>
      </c>
      <c r="AY83" s="51">
        <v>4.55</v>
      </c>
      <c r="AZ83" s="51">
        <f t="shared" si="11"/>
        <v>-0.85499999999999998</v>
      </c>
      <c r="BA83" s="51"/>
    </row>
    <row r="84" spans="2:53" x14ac:dyDescent="0.25">
      <c r="AT84" s="85">
        <v>44919</v>
      </c>
      <c r="AU84" s="51">
        <v>3.552</v>
      </c>
      <c r="AV84" s="51">
        <v>3.7490000000000001</v>
      </c>
      <c r="AW84" s="51">
        <v>2.8753000000000002</v>
      </c>
      <c r="AX84" s="51">
        <v>3.6949999999999998</v>
      </c>
      <c r="AY84" s="51">
        <v>4.55</v>
      </c>
      <c r="AZ84" s="51">
        <f t="shared" si="11"/>
        <v>-0.85499999999999998</v>
      </c>
      <c r="BA84" s="51"/>
    </row>
    <row r="85" spans="2:53" x14ac:dyDescent="0.25">
      <c r="AT85" s="85">
        <v>44918</v>
      </c>
      <c r="AU85" s="51">
        <v>3.552</v>
      </c>
      <c r="AV85" s="51">
        <v>3.7490000000000001</v>
      </c>
      <c r="AW85" s="51">
        <v>2.8753000000000002</v>
      </c>
      <c r="AX85" s="51">
        <v>3.6949999999999998</v>
      </c>
      <c r="AY85" s="51">
        <v>4.55</v>
      </c>
      <c r="AZ85" s="51">
        <f t="shared" si="11"/>
        <v>-0.85499999999999998</v>
      </c>
      <c r="BA85" s="51"/>
    </row>
    <row r="86" spans="2:53" x14ac:dyDescent="0.25">
      <c r="AT86" s="85">
        <v>44917</v>
      </c>
      <c r="AU86" s="51">
        <v>3.4950000000000001</v>
      </c>
      <c r="AV86" s="51">
        <v>3.6823000000000001</v>
      </c>
      <c r="AW86" s="51">
        <v>2.8934000000000002</v>
      </c>
      <c r="AX86" s="51">
        <v>3.6619999999999999</v>
      </c>
      <c r="AY86" s="51">
        <v>4.532</v>
      </c>
      <c r="AZ86" s="51">
        <f t="shared" si="11"/>
        <v>-0.87000000000000011</v>
      </c>
      <c r="BA86" s="51"/>
    </row>
    <row r="87" spans="2:53" x14ac:dyDescent="0.25">
      <c r="AT87" s="85">
        <v>44916</v>
      </c>
      <c r="AU87" s="51">
        <v>3.5659999999999998</v>
      </c>
      <c r="AV87" s="51">
        <v>3.6730999999999998</v>
      </c>
      <c r="AW87" s="51">
        <v>2.9056000000000002</v>
      </c>
      <c r="AX87" s="51">
        <v>3.6669999999999998</v>
      </c>
      <c r="AY87" s="51">
        <v>4.55</v>
      </c>
      <c r="AZ87" s="51">
        <f t="shared" si="11"/>
        <v>-0.88300000000000001</v>
      </c>
      <c r="BA87" s="51"/>
    </row>
    <row r="88" spans="2:53" x14ac:dyDescent="0.25">
      <c r="AT88" s="85">
        <v>44915</v>
      </c>
      <c r="AU88" s="51">
        <v>3.6030000000000002</v>
      </c>
      <c r="AV88" s="51">
        <v>3.6899000000000002</v>
      </c>
      <c r="AW88" s="51">
        <v>2.9066000000000001</v>
      </c>
      <c r="AX88" s="51">
        <v>3.641</v>
      </c>
      <c r="AY88" s="51">
        <v>4.5579999999999998</v>
      </c>
      <c r="AZ88" s="51">
        <f t="shared" si="11"/>
        <v>-0.91699999999999982</v>
      </c>
      <c r="BA88" s="51"/>
    </row>
    <row r="89" spans="2:53" x14ac:dyDescent="0.25">
      <c r="AT89" s="85">
        <v>44914</v>
      </c>
      <c r="AU89" s="51">
        <v>3.395</v>
      </c>
      <c r="AV89" s="51">
        <v>3.5863999999999998</v>
      </c>
      <c r="AW89" s="51">
        <v>2.9094000000000002</v>
      </c>
      <c r="AX89" s="51">
        <v>3.6059999999999999</v>
      </c>
      <c r="AY89" s="51">
        <v>4.532</v>
      </c>
      <c r="AZ89" s="51">
        <f t="shared" si="11"/>
        <v>-0.92600000000000016</v>
      </c>
      <c r="BA89" s="51"/>
    </row>
    <row r="90" spans="2:53" x14ac:dyDescent="0.25">
      <c r="AT90" s="85">
        <v>44913</v>
      </c>
      <c r="AU90" s="51">
        <v>3.36</v>
      </c>
      <c r="AV90" s="51">
        <v>3.4885999999999999</v>
      </c>
      <c r="AW90" s="51">
        <v>2.9249999999999998</v>
      </c>
      <c r="AX90" s="51">
        <v>3.59</v>
      </c>
      <c r="AY90" s="51">
        <v>4.5330000000000004</v>
      </c>
      <c r="AZ90" s="51">
        <f t="shared" si="11"/>
        <v>-0.9430000000000005</v>
      </c>
      <c r="BA90" s="51"/>
    </row>
    <row r="91" spans="2:53" x14ac:dyDescent="0.25">
      <c r="AT91" s="85">
        <v>44912</v>
      </c>
      <c r="AU91" s="51">
        <v>3.36</v>
      </c>
      <c r="AV91" s="51">
        <v>3.4885999999999999</v>
      </c>
      <c r="AW91" s="51">
        <v>2.9249999999999998</v>
      </c>
      <c r="AX91" s="51">
        <v>3.59</v>
      </c>
      <c r="AY91" s="51">
        <v>4.5330000000000004</v>
      </c>
      <c r="AZ91" s="51">
        <f t="shared" si="11"/>
        <v>-0.9430000000000005</v>
      </c>
      <c r="BA91" s="51"/>
    </row>
    <row r="92" spans="2:53" x14ac:dyDescent="0.25">
      <c r="AT92" s="85">
        <v>44911</v>
      </c>
      <c r="AU92" s="51">
        <v>3.36</v>
      </c>
      <c r="AV92" s="51">
        <v>3.4885999999999999</v>
      </c>
      <c r="AW92" s="51">
        <v>2.9249999999999998</v>
      </c>
      <c r="AX92" s="51">
        <v>3.59</v>
      </c>
      <c r="AY92" s="51">
        <v>4.5330000000000004</v>
      </c>
      <c r="AZ92" s="51">
        <f t="shared" si="11"/>
        <v>-0.9430000000000005</v>
      </c>
      <c r="BA92" s="51"/>
    </row>
    <row r="93" spans="2:53" x14ac:dyDescent="0.25">
      <c r="AT93" s="85">
        <v>44910</v>
      </c>
      <c r="AU93" s="51">
        <v>3.38</v>
      </c>
      <c r="AV93" s="51">
        <v>3.4481000000000002</v>
      </c>
      <c r="AW93" s="51">
        <v>2.9277000000000002</v>
      </c>
      <c r="AX93" s="51">
        <v>3.5659999999999998</v>
      </c>
      <c r="AY93" s="51">
        <v>4.53</v>
      </c>
      <c r="AZ93" s="51">
        <f t="shared" si="11"/>
        <v>-0.96400000000000041</v>
      </c>
      <c r="BA93" s="51"/>
    </row>
    <row r="94" spans="2:53" x14ac:dyDescent="0.25">
      <c r="F94" s="7" t="s">
        <v>130</v>
      </c>
      <c r="AT94" s="85">
        <v>44909</v>
      </c>
      <c r="AU94" s="51">
        <v>3.4060000000000001</v>
      </c>
      <c r="AV94" s="51">
        <v>3.4792000000000001</v>
      </c>
      <c r="AW94" s="51">
        <v>2.9106999999999998</v>
      </c>
      <c r="AX94" s="51">
        <v>3.5310000000000001</v>
      </c>
      <c r="AY94" s="51">
        <v>4.5229999999999997</v>
      </c>
      <c r="AZ94" s="51">
        <f t="shared" si="11"/>
        <v>-0.99199999999999955</v>
      </c>
      <c r="BA94" s="51"/>
    </row>
    <row r="95" spans="2:53" x14ac:dyDescent="0.25">
      <c r="B95" s="26" t="s">
        <v>219</v>
      </c>
      <c r="F95" s="9" t="s">
        <v>169</v>
      </c>
      <c r="G95" s="8" t="s">
        <v>166</v>
      </c>
      <c r="H95" s="8" t="s">
        <v>167</v>
      </c>
      <c r="I95" s="8" t="s">
        <v>168</v>
      </c>
      <c r="J95" s="8"/>
      <c r="AT95" s="85">
        <v>44908</v>
      </c>
      <c r="AU95" s="51">
        <v>3.4689999999999999</v>
      </c>
      <c r="AV95" s="51">
        <v>3.5076000000000001</v>
      </c>
      <c r="AW95" s="51">
        <v>2.9382000000000001</v>
      </c>
      <c r="AX95" s="51">
        <v>3.5070000000000001</v>
      </c>
      <c r="AY95" s="51">
        <v>4.5250000000000004</v>
      </c>
      <c r="AZ95" s="51">
        <f t="shared" si="11"/>
        <v>-1.0180000000000002</v>
      </c>
      <c r="BA95" s="51"/>
    </row>
    <row r="96" spans="2:53" x14ac:dyDescent="0.25">
      <c r="F96" s="6" t="s">
        <v>129</v>
      </c>
      <c r="G96" s="5"/>
      <c r="H96" s="5"/>
      <c r="AT96" s="85">
        <v>44907</v>
      </c>
      <c r="AU96" s="51">
        <v>3.448</v>
      </c>
      <c r="AV96" s="51">
        <v>3.6139999999999999</v>
      </c>
      <c r="AW96" s="51">
        <v>2.9394</v>
      </c>
      <c r="AX96" s="51">
        <v>3.4750000000000001</v>
      </c>
      <c r="AY96" s="51">
        <v>4.4969999999999999</v>
      </c>
      <c r="AZ96" s="51">
        <f t="shared" si="11"/>
        <v>-1.0219999999999998</v>
      </c>
      <c r="BA96" s="51"/>
    </row>
    <row r="97" spans="6:53" x14ac:dyDescent="0.25">
      <c r="AT97" s="85">
        <v>44906</v>
      </c>
      <c r="AU97" s="51">
        <v>3.4910000000000001</v>
      </c>
      <c r="AV97" s="51">
        <v>3.5838000000000001</v>
      </c>
      <c r="AW97" s="51">
        <v>2.9382000000000001</v>
      </c>
      <c r="AX97" s="51">
        <v>3.375</v>
      </c>
      <c r="AY97" s="51">
        <v>4.49</v>
      </c>
      <c r="AZ97" s="51">
        <f t="shared" si="11"/>
        <v>-1.1150000000000002</v>
      </c>
      <c r="BA97" s="51"/>
    </row>
    <row r="98" spans="6:53" x14ac:dyDescent="0.25">
      <c r="G98" s="6" t="s">
        <v>131</v>
      </c>
      <c r="AT98" s="85">
        <v>44905</v>
      </c>
      <c r="AU98" s="51">
        <v>3.4910000000000001</v>
      </c>
      <c r="AV98" s="51">
        <v>3.5838000000000001</v>
      </c>
      <c r="AW98" s="51">
        <v>2.9382000000000001</v>
      </c>
      <c r="AX98" s="51">
        <v>3.375</v>
      </c>
      <c r="AY98" s="51">
        <v>4.49</v>
      </c>
      <c r="AZ98" s="51">
        <f t="shared" si="11"/>
        <v>-1.1150000000000002</v>
      </c>
      <c r="BA98" s="51"/>
    </row>
    <row r="99" spans="6:53" x14ac:dyDescent="0.25">
      <c r="G99" s="6" t="s">
        <v>133</v>
      </c>
      <c r="AT99" s="85">
        <v>44904</v>
      </c>
      <c r="AU99" s="51">
        <v>3.4910000000000001</v>
      </c>
      <c r="AV99" s="51">
        <v>3.5838000000000001</v>
      </c>
      <c r="AW99" s="51">
        <v>2.9382000000000001</v>
      </c>
      <c r="AX99" s="51">
        <v>3.375</v>
      </c>
      <c r="AY99" s="51">
        <v>4.49</v>
      </c>
      <c r="AZ99" s="51">
        <f t="shared" si="11"/>
        <v>-1.1150000000000002</v>
      </c>
      <c r="BA99" s="51"/>
    </row>
    <row r="100" spans="6:53" x14ac:dyDescent="0.25">
      <c r="G100" s="6" t="s">
        <v>135</v>
      </c>
      <c r="AT100" s="85">
        <v>44903</v>
      </c>
      <c r="AU100" s="51">
        <v>3.53</v>
      </c>
      <c r="AV100" s="51">
        <v>3.4883000000000002</v>
      </c>
      <c r="AW100" s="51">
        <v>2.9289999999999998</v>
      </c>
      <c r="AX100" s="51">
        <v>3.3650000000000002</v>
      </c>
      <c r="AY100" s="51">
        <v>4.4850000000000003</v>
      </c>
      <c r="AZ100" s="51">
        <f t="shared" si="11"/>
        <v>-1.1200000000000001</v>
      </c>
      <c r="BA100" s="51"/>
    </row>
    <row r="101" spans="6:53" x14ac:dyDescent="0.25">
      <c r="G101" s="6" t="s">
        <v>136</v>
      </c>
      <c r="AT101" s="85">
        <v>44902</v>
      </c>
      <c r="AU101" s="51">
        <v>3.5230000000000001</v>
      </c>
      <c r="AV101" s="51">
        <v>3.4249999999999998</v>
      </c>
      <c r="AW101" s="51">
        <v>2.9249000000000001</v>
      </c>
      <c r="AX101" s="51">
        <v>3.3450000000000002</v>
      </c>
      <c r="AY101" s="51">
        <v>4.4640000000000004</v>
      </c>
      <c r="AZ101" s="51">
        <f t="shared" si="11"/>
        <v>-1.1190000000000002</v>
      </c>
      <c r="BA101" s="51"/>
    </row>
    <row r="102" spans="6:53" x14ac:dyDescent="0.25">
      <c r="G102" s="6" t="s">
        <v>137</v>
      </c>
      <c r="AT102" s="85">
        <v>44901</v>
      </c>
      <c r="AU102" s="51">
        <v>3.504</v>
      </c>
      <c r="AV102" s="51">
        <v>3.5331999999999999</v>
      </c>
      <c r="AW102" s="51">
        <v>2.9628999999999999</v>
      </c>
      <c r="AX102" s="51">
        <v>3.3220000000000001</v>
      </c>
      <c r="AY102" s="51">
        <v>4.444</v>
      </c>
      <c r="AZ102" s="51">
        <f t="shared" si="11"/>
        <v>-1.1219999999999999</v>
      </c>
      <c r="BA102" s="51"/>
    </row>
    <row r="103" spans="6:53" x14ac:dyDescent="0.25">
      <c r="G103" s="6" t="s">
        <v>139</v>
      </c>
      <c r="AT103" s="85">
        <v>44900</v>
      </c>
      <c r="AU103" s="51">
        <v>3.5489999999999999</v>
      </c>
      <c r="AV103" s="51">
        <v>3.5846</v>
      </c>
      <c r="AW103" s="51">
        <v>2.9380999999999999</v>
      </c>
      <c r="AX103" s="51">
        <v>3.3050000000000002</v>
      </c>
      <c r="AY103" s="51">
        <v>4.4329999999999998</v>
      </c>
      <c r="AZ103" s="51">
        <f t="shared" si="11"/>
        <v>-1.1279999999999997</v>
      </c>
      <c r="BA103" s="51"/>
    </row>
    <row r="104" spans="6:53" x14ac:dyDescent="0.25">
      <c r="G104" s="6" t="s">
        <v>140</v>
      </c>
      <c r="AT104" s="85">
        <v>44899</v>
      </c>
      <c r="AU104" s="51">
        <v>3.5830000000000002</v>
      </c>
      <c r="AV104" s="51">
        <v>3.4944000000000002</v>
      </c>
      <c r="AW104" s="51">
        <v>2.9230999999999998</v>
      </c>
      <c r="AX104" s="51">
        <v>3.3010000000000002</v>
      </c>
      <c r="AY104" s="51">
        <v>4.4379999999999997</v>
      </c>
      <c r="AZ104" s="51">
        <f t="shared" si="11"/>
        <v>-1.1369999999999996</v>
      </c>
      <c r="BA104" s="51"/>
    </row>
    <row r="105" spans="6:53" x14ac:dyDescent="0.25">
      <c r="G105" s="6" t="s">
        <v>141</v>
      </c>
      <c r="AT105" s="85">
        <v>44898</v>
      </c>
      <c r="AU105" s="51">
        <v>3.5830000000000002</v>
      </c>
      <c r="AV105" s="51">
        <v>3.4944000000000002</v>
      </c>
      <c r="AW105" s="51">
        <v>2.9230999999999998</v>
      </c>
      <c r="AX105" s="51">
        <v>3.3010000000000002</v>
      </c>
      <c r="AY105" s="51">
        <v>4.4379999999999997</v>
      </c>
      <c r="AZ105" s="51">
        <f t="shared" si="11"/>
        <v>-1.1369999999999996</v>
      </c>
      <c r="BA105" s="51"/>
    </row>
    <row r="106" spans="6:53" x14ac:dyDescent="0.25">
      <c r="AT106" s="85">
        <v>44897</v>
      </c>
      <c r="AU106" s="51">
        <v>3.5830000000000002</v>
      </c>
      <c r="AV106" s="51">
        <v>3.4944000000000002</v>
      </c>
      <c r="AW106" s="51">
        <v>2.9230999999999998</v>
      </c>
      <c r="AX106" s="51">
        <v>3.3010000000000002</v>
      </c>
      <c r="AY106" s="51">
        <v>4.4379999999999997</v>
      </c>
      <c r="AZ106" s="51">
        <f t="shared" si="11"/>
        <v>-1.1369999999999996</v>
      </c>
      <c r="BA106" s="51"/>
    </row>
    <row r="107" spans="6:53" x14ac:dyDescent="0.25">
      <c r="AT107" s="85">
        <v>44896</v>
      </c>
      <c r="AU107" s="51">
        <v>3.6629999999999998</v>
      </c>
      <c r="AV107" s="51">
        <v>3.5112000000000001</v>
      </c>
      <c r="AW107" s="51">
        <v>2.9129</v>
      </c>
      <c r="AX107" s="51">
        <v>3.302</v>
      </c>
      <c r="AY107" s="51">
        <v>4.47</v>
      </c>
      <c r="AZ107" s="51">
        <f t="shared" si="11"/>
        <v>-1.1679999999999997</v>
      </c>
      <c r="BA107" s="51"/>
    </row>
    <row r="108" spans="6:53" x14ac:dyDescent="0.25">
      <c r="F108" s="6" t="s">
        <v>113</v>
      </c>
      <c r="G108" s="6" t="s">
        <v>114</v>
      </c>
      <c r="H108" s="6" t="s">
        <v>115</v>
      </c>
      <c r="I108" s="4"/>
      <c r="AT108" s="85">
        <v>44895</v>
      </c>
      <c r="AU108" s="51">
        <v>3.6669999999999998</v>
      </c>
      <c r="AV108" s="51">
        <v>3.6063000000000001</v>
      </c>
      <c r="AW108" s="51">
        <v>2.9352</v>
      </c>
      <c r="AX108" s="51">
        <v>3.3050000000000002</v>
      </c>
      <c r="AY108" s="51">
        <v>4.516</v>
      </c>
      <c r="AZ108" s="51">
        <f t="shared" si="11"/>
        <v>-1.2109999999999999</v>
      </c>
      <c r="BA108" s="51"/>
    </row>
    <row r="109" spans="6:53" x14ac:dyDescent="0.25">
      <c r="F109" s="6" t="s">
        <v>128</v>
      </c>
      <c r="G109" s="6" t="s">
        <v>117</v>
      </c>
      <c r="H109" s="2"/>
      <c r="AT109" s="85">
        <v>44894</v>
      </c>
      <c r="AU109" s="51">
        <v>3.673</v>
      </c>
      <c r="AV109" s="51">
        <v>3.7488000000000001</v>
      </c>
      <c r="AW109" s="51">
        <v>2.9188999999999998</v>
      </c>
      <c r="AX109" s="51">
        <v>3.2919999999999998</v>
      </c>
      <c r="AY109" s="51">
        <v>4.5060000000000002</v>
      </c>
      <c r="AZ109" s="51">
        <f t="shared" si="11"/>
        <v>-1.2140000000000004</v>
      </c>
      <c r="BA109" s="51"/>
    </row>
    <row r="110" spans="6:53" x14ac:dyDescent="0.25">
      <c r="H110" s="4"/>
      <c r="AT110" s="85">
        <v>44893</v>
      </c>
      <c r="AU110" s="51">
        <v>3.6059999999999999</v>
      </c>
      <c r="AV110" s="51">
        <v>3.6848999999999998</v>
      </c>
      <c r="AW110" s="51">
        <v>2.8877999999999999</v>
      </c>
      <c r="AX110" s="51">
        <v>3.2879999999999998</v>
      </c>
      <c r="AY110" s="51">
        <v>4.4829999999999997</v>
      </c>
      <c r="AZ110" s="51">
        <f t="shared" si="11"/>
        <v>-1.1949999999999998</v>
      </c>
      <c r="BA110" s="51"/>
    </row>
    <row r="111" spans="6:53" x14ac:dyDescent="0.25">
      <c r="H111" s="4"/>
      <c r="AT111" s="85">
        <v>44892</v>
      </c>
      <c r="AU111" s="51">
        <v>3.6230000000000002</v>
      </c>
      <c r="AV111" s="51">
        <v>3.6878000000000002</v>
      </c>
      <c r="AW111" s="51">
        <v>2.8597999999999999</v>
      </c>
      <c r="AX111" s="51">
        <v>3.2879999999999998</v>
      </c>
      <c r="AY111" s="51">
        <v>4.46</v>
      </c>
      <c r="AZ111" s="51">
        <f t="shared" si="11"/>
        <v>-1.1720000000000002</v>
      </c>
      <c r="BA111" s="51"/>
    </row>
    <row r="112" spans="6:53" x14ac:dyDescent="0.25">
      <c r="H112" s="4"/>
      <c r="AT112" s="85">
        <v>44891</v>
      </c>
      <c r="AU112" s="51">
        <v>3.6230000000000002</v>
      </c>
      <c r="AV112" s="51">
        <v>3.6878000000000002</v>
      </c>
      <c r="AW112" s="51">
        <v>2.8597999999999999</v>
      </c>
      <c r="AX112" s="51">
        <v>3.2879999999999998</v>
      </c>
      <c r="AY112" s="51">
        <v>4.46</v>
      </c>
      <c r="AZ112" s="51">
        <f t="shared" si="11"/>
        <v>-1.1720000000000002</v>
      </c>
      <c r="BA112" s="51"/>
    </row>
    <row r="113" spans="6:53" x14ac:dyDescent="0.25">
      <c r="AT113" s="85">
        <v>44890</v>
      </c>
      <c r="AU113" s="51">
        <v>3.6230000000000002</v>
      </c>
      <c r="AV113" s="51">
        <v>3.6878000000000002</v>
      </c>
      <c r="AW113" s="51">
        <v>2.8597999999999999</v>
      </c>
      <c r="AX113" s="51">
        <v>3.2879999999999998</v>
      </c>
      <c r="AY113" s="51">
        <v>4.46</v>
      </c>
      <c r="AZ113" s="51">
        <f t="shared" si="11"/>
        <v>-1.1720000000000002</v>
      </c>
      <c r="BA113" s="51"/>
    </row>
    <row r="114" spans="6:53" x14ac:dyDescent="0.25">
      <c r="F114" s="11" t="s">
        <v>113</v>
      </c>
      <c r="G114" s="11" t="s">
        <v>114</v>
      </c>
      <c r="H114" s="11" t="s">
        <v>115</v>
      </c>
      <c r="AT114" s="85">
        <v>44889</v>
      </c>
      <c r="AU114" s="51">
        <v>3.6219999999999999</v>
      </c>
      <c r="AV114" s="51">
        <v>3.7000999999999999</v>
      </c>
      <c r="AW114" s="51">
        <v>2.8247</v>
      </c>
      <c r="AX114" s="51">
        <v>3.2909999999999999</v>
      </c>
      <c r="AY114" s="51">
        <v>4.4480000000000004</v>
      </c>
      <c r="AZ114" s="51">
        <f t="shared" si="11"/>
        <v>-1.1570000000000005</v>
      </c>
      <c r="BA114" s="51"/>
    </row>
    <row r="115" spans="6:53" x14ac:dyDescent="0.25">
      <c r="F115" s="11" t="s">
        <v>116</v>
      </c>
      <c r="G115" s="11" t="s">
        <v>117</v>
      </c>
      <c r="H115" s="2"/>
      <c r="I115" s="2"/>
      <c r="J115" s="2"/>
      <c r="AT115" s="85">
        <v>44888</v>
      </c>
      <c r="AU115" s="51">
        <v>3.774</v>
      </c>
      <c r="AV115" s="51">
        <v>3.7000999999999999</v>
      </c>
      <c r="AW115" s="51">
        <v>2.8296999999999999</v>
      </c>
      <c r="AX115" s="51">
        <v>3.1859999999999999</v>
      </c>
      <c r="AY115" s="51">
        <v>4.4260000000000002</v>
      </c>
      <c r="AZ115" s="51">
        <f t="shared" si="11"/>
        <v>-1.2400000000000002</v>
      </c>
      <c r="BA115" s="51"/>
    </row>
    <row r="116" spans="6:53" x14ac:dyDescent="0.25">
      <c r="F116" s="11" t="s">
        <v>118</v>
      </c>
      <c r="G116" s="11" t="s">
        <v>117</v>
      </c>
      <c r="H116" s="2"/>
      <c r="I116" s="2"/>
      <c r="J116" s="2"/>
      <c r="AT116" s="85">
        <v>44887</v>
      </c>
      <c r="AU116" s="51">
        <v>3.7730000000000001</v>
      </c>
      <c r="AV116" s="51">
        <v>3.7578</v>
      </c>
      <c r="AW116" s="51">
        <v>2.8551000000000002</v>
      </c>
      <c r="AX116" s="51">
        <v>3.177</v>
      </c>
      <c r="AY116" s="51">
        <v>4.4210000000000003</v>
      </c>
      <c r="AZ116" s="51">
        <f t="shared" si="11"/>
        <v>-1.2440000000000002</v>
      </c>
      <c r="BA116" s="51"/>
    </row>
    <row r="117" spans="6:53" x14ac:dyDescent="0.25">
      <c r="F117" s="11" t="s">
        <v>120</v>
      </c>
      <c r="G117" s="11" t="s">
        <v>117</v>
      </c>
      <c r="H117" s="2"/>
      <c r="I117" s="2"/>
      <c r="J117" s="2"/>
      <c r="AT117" s="85">
        <v>44886</v>
      </c>
      <c r="AU117" s="51">
        <v>3.7639999999999998</v>
      </c>
      <c r="AV117" s="51">
        <v>3.8334000000000001</v>
      </c>
      <c r="AW117" s="51">
        <v>2.8443000000000001</v>
      </c>
      <c r="AX117" s="51">
        <v>3.165</v>
      </c>
      <c r="AY117" s="51">
        <v>4.4189999999999996</v>
      </c>
      <c r="AZ117" s="51">
        <f t="shared" si="11"/>
        <v>-1.2539999999999996</v>
      </c>
      <c r="BA117" s="51"/>
    </row>
    <row r="118" spans="6:53" x14ac:dyDescent="0.25">
      <c r="F118" s="11" t="s">
        <v>121</v>
      </c>
      <c r="G118" s="11" t="s">
        <v>117</v>
      </c>
      <c r="H118" s="2"/>
      <c r="I118" s="2"/>
      <c r="J118" s="2"/>
      <c r="AT118" s="85">
        <v>44885</v>
      </c>
      <c r="AU118" s="51">
        <v>3.8010000000000002</v>
      </c>
      <c r="AV118" s="51">
        <v>3.827</v>
      </c>
      <c r="AW118" s="51">
        <v>2.8428</v>
      </c>
      <c r="AX118" s="51">
        <v>3.145</v>
      </c>
      <c r="AY118" s="51">
        <v>4.4109999999999996</v>
      </c>
      <c r="AZ118" s="51">
        <f t="shared" si="11"/>
        <v>-1.2659999999999996</v>
      </c>
      <c r="BA118" s="51"/>
    </row>
    <row r="119" spans="6:53" x14ac:dyDescent="0.25">
      <c r="F119" s="11" t="s">
        <v>122</v>
      </c>
      <c r="G119" s="11" t="s">
        <v>117</v>
      </c>
      <c r="H119" s="2"/>
      <c r="I119" s="2"/>
      <c r="J119" s="2"/>
      <c r="AT119" s="85">
        <v>44884</v>
      </c>
      <c r="AU119" s="51">
        <v>3.8010000000000002</v>
      </c>
      <c r="AV119" s="51">
        <v>3.827</v>
      </c>
      <c r="AW119" s="51">
        <v>2.8428</v>
      </c>
      <c r="AX119" s="51">
        <v>3.145</v>
      </c>
      <c r="AY119" s="51">
        <v>4.4109999999999996</v>
      </c>
      <c r="AZ119" s="51">
        <f t="shared" si="11"/>
        <v>-1.2659999999999996</v>
      </c>
      <c r="BA119" s="51"/>
    </row>
    <row r="120" spans="6:53" x14ac:dyDescent="0.25">
      <c r="F120" s="11" t="s">
        <v>124</v>
      </c>
      <c r="G120" s="11" t="s">
        <v>117</v>
      </c>
      <c r="H120" s="2"/>
      <c r="I120" s="2"/>
      <c r="J120" s="2"/>
      <c r="AT120" s="85">
        <v>44883</v>
      </c>
      <c r="AU120" s="51">
        <v>3.8010000000000002</v>
      </c>
      <c r="AV120" s="51">
        <v>3.827</v>
      </c>
      <c r="AW120" s="51">
        <v>2.8428</v>
      </c>
      <c r="AX120" s="51">
        <v>3.145</v>
      </c>
      <c r="AY120" s="51">
        <v>4.4109999999999996</v>
      </c>
      <c r="AZ120" s="51">
        <f t="shared" si="11"/>
        <v>-1.2659999999999996</v>
      </c>
      <c r="BA120" s="51"/>
    </row>
    <row r="121" spans="6:53" x14ac:dyDescent="0.25">
      <c r="F121" s="11" t="s">
        <v>126</v>
      </c>
      <c r="G121" s="11" t="s">
        <v>117</v>
      </c>
      <c r="H121" s="2"/>
      <c r="I121" s="2"/>
      <c r="J121" s="2"/>
      <c r="AT121" s="85">
        <v>44882</v>
      </c>
      <c r="AU121" s="51">
        <v>3.8530000000000002</v>
      </c>
      <c r="AV121" s="51">
        <v>3.7713000000000001</v>
      </c>
      <c r="AW121" s="51">
        <v>2.8275999999999999</v>
      </c>
      <c r="AX121" s="51">
        <v>3.1429999999999998</v>
      </c>
      <c r="AY121" s="51">
        <v>4.4080000000000004</v>
      </c>
      <c r="AZ121" s="51">
        <f t="shared" si="11"/>
        <v>-1.2650000000000006</v>
      </c>
      <c r="BA121" s="51"/>
    </row>
    <row r="122" spans="6:53" x14ac:dyDescent="0.25">
      <c r="AT122" s="85">
        <v>44881</v>
      </c>
      <c r="AU122" s="51">
        <v>3.8959999999999999</v>
      </c>
      <c r="AV122" s="51">
        <v>3.6926000000000001</v>
      </c>
      <c r="AW122" s="51">
        <v>2.8559000000000001</v>
      </c>
      <c r="AX122" s="51">
        <v>3.1379999999999999</v>
      </c>
      <c r="AY122" s="51">
        <v>4.3940000000000001</v>
      </c>
      <c r="AZ122" s="51">
        <f t="shared" si="11"/>
        <v>-1.2560000000000002</v>
      </c>
      <c r="BA122" s="51"/>
    </row>
    <row r="123" spans="6:53" x14ac:dyDescent="0.25">
      <c r="AT123" s="85">
        <v>44880</v>
      </c>
      <c r="AU123" s="51">
        <v>3.8610000000000002</v>
      </c>
      <c r="AV123" s="51">
        <v>3.7770000000000001</v>
      </c>
      <c r="AW123" s="51">
        <v>2.8311999999999999</v>
      </c>
      <c r="AX123" s="51">
        <v>3.1259999999999999</v>
      </c>
      <c r="AY123" s="51">
        <v>4.3579999999999997</v>
      </c>
      <c r="AZ123" s="51">
        <f t="shared" si="11"/>
        <v>-1.2319999999999998</v>
      </c>
      <c r="BA123" s="51"/>
    </row>
    <row r="124" spans="6:53" x14ac:dyDescent="0.25">
      <c r="AT124" s="85">
        <v>44879</v>
      </c>
      <c r="AU124" s="51">
        <v>3.9279999999999999</v>
      </c>
      <c r="AV124" s="51">
        <v>3.8582999999999998</v>
      </c>
      <c r="AW124" s="51">
        <v>2.8500999999999999</v>
      </c>
      <c r="AX124" s="51">
        <v>3.133</v>
      </c>
      <c r="AY124" s="51">
        <v>4.3600000000000003</v>
      </c>
      <c r="AZ124" s="51">
        <f t="shared" si="11"/>
        <v>-1.2270000000000003</v>
      </c>
      <c r="BA124" s="51"/>
    </row>
    <row r="125" spans="6:53" x14ac:dyDescent="0.25">
      <c r="AT125" s="85">
        <v>44878</v>
      </c>
      <c r="AU125" s="51">
        <v>3.8940000000000001</v>
      </c>
      <c r="AV125" s="51">
        <v>3.8191000000000002</v>
      </c>
      <c r="AW125" s="51">
        <v>2.7545999999999999</v>
      </c>
      <c r="AX125" s="51">
        <v>3.1120000000000001</v>
      </c>
      <c r="AY125" s="51">
        <v>4.3440000000000003</v>
      </c>
      <c r="AZ125" s="51">
        <f t="shared" si="11"/>
        <v>-1.2320000000000002</v>
      </c>
      <c r="BA125" s="51"/>
    </row>
    <row r="126" spans="6:53" x14ac:dyDescent="0.25">
      <c r="AT126" s="85">
        <v>44877</v>
      </c>
      <c r="AU126" s="51">
        <v>3.8940000000000001</v>
      </c>
      <c r="AV126" s="51">
        <v>3.8191000000000002</v>
      </c>
      <c r="AW126" s="51">
        <v>2.7545999999999999</v>
      </c>
      <c r="AX126" s="51">
        <v>3.1120000000000001</v>
      </c>
      <c r="AY126" s="51">
        <v>4.3440000000000003</v>
      </c>
      <c r="AZ126" s="51">
        <f t="shared" si="11"/>
        <v>-1.2320000000000002</v>
      </c>
      <c r="BA126" s="51"/>
    </row>
    <row r="127" spans="6:53" x14ac:dyDescent="0.25">
      <c r="AT127" s="85">
        <v>44876</v>
      </c>
      <c r="AU127" s="51">
        <v>3.8940000000000001</v>
      </c>
      <c r="AV127" s="51">
        <v>3.8191000000000002</v>
      </c>
      <c r="AW127" s="51">
        <v>2.7545999999999999</v>
      </c>
      <c r="AX127" s="51">
        <v>3.1120000000000001</v>
      </c>
      <c r="AY127" s="51">
        <v>4.3440000000000003</v>
      </c>
      <c r="AZ127" s="51">
        <f t="shared" si="11"/>
        <v>-1.2320000000000002</v>
      </c>
      <c r="BA127" s="51"/>
    </row>
    <row r="128" spans="6:53" x14ac:dyDescent="0.25">
      <c r="AT128" s="85">
        <v>44875</v>
      </c>
      <c r="AU128" s="51">
        <v>4.07</v>
      </c>
      <c r="AV128" s="51">
        <v>3.8191000000000002</v>
      </c>
      <c r="AW128" s="51">
        <v>2.7204999999999999</v>
      </c>
      <c r="AX128" s="51">
        <v>3.1070000000000002</v>
      </c>
      <c r="AY128" s="51">
        <v>4.3559999999999999</v>
      </c>
      <c r="AZ128" s="51">
        <f t="shared" si="11"/>
        <v>-1.2489999999999997</v>
      </c>
      <c r="BA128" s="51"/>
    </row>
    <row r="129" spans="46:53" x14ac:dyDescent="0.25">
      <c r="AT129" s="85">
        <v>44874</v>
      </c>
      <c r="AU129" s="51">
        <v>4.1769999999999996</v>
      </c>
      <c r="AV129" s="51">
        <v>4.0975999999999999</v>
      </c>
      <c r="AW129" s="51">
        <v>2.7155999999999998</v>
      </c>
      <c r="AX129" s="51">
        <v>3.09</v>
      </c>
      <c r="AY129" s="51">
        <v>4.335</v>
      </c>
      <c r="AZ129" s="51">
        <f t="shared" si="11"/>
        <v>-1.2450000000000001</v>
      </c>
      <c r="BA129" s="51"/>
    </row>
    <row r="130" spans="46:53" x14ac:dyDescent="0.25">
      <c r="AT130" s="85">
        <v>44873</v>
      </c>
      <c r="AU130" s="51">
        <v>4.2359999999999998</v>
      </c>
      <c r="AV130" s="51">
        <v>4.1327999999999996</v>
      </c>
      <c r="AW130" s="51">
        <v>2.7054</v>
      </c>
      <c r="AX130" s="51">
        <v>3.0920000000000001</v>
      </c>
      <c r="AY130" s="51">
        <v>4.32</v>
      </c>
      <c r="AZ130" s="51">
        <f t="shared" si="11"/>
        <v>-1.2280000000000002</v>
      </c>
      <c r="BA130" s="51"/>
    </row>
    <row r="131" spans="46:53" x14ac:dyDescent="0.25">
      <c r="AT131" s="85">
        <v>44872</v>
      </c>
      <c r="AU131" s="51">
        <v>4.258</v>
      </c>
      <c r="AV131" s="51">
        <v>4.2156000000000002</v>
      </c>
      <c r="AW131" s="51">
        <v>2.7178</v>
      </c>
      <c r="AX131" s="51">
        <v>3.0960000000000001</v>
      </c>
      <c r="AY131" s="51">
        <v>4.2990000000000004</v>
      </c>
      <c r="AZ131" s="51">
        <f t="shared" si="11"/>
        <v>-1.2030000000000003</v>
      </c>
      <c r="BA131" s="51"/>
    </row>
    <row r="132" spans="46:53" x14ac:dyDescent="0.25">
      <c r="AT132" s="85">
        <v>44871</v>
      </c>
      <c r="AU132" s="51">
        <v>4.1820000000000004</v>
      </c>
      <c r="AV132" s="51">
        <v>4.1635999999999997</v>
      </c>
      <c r="AW132" s="51">
        <v>2.7210999999999999</v>
      </c>
      <c r="AX132" s="51">
        <v>3.0779999999999998</v>
      </c>
      <c r="AY132" s="51">
        <v>4.2779999999999996</v>
      </c>
      <c r="AZ132" s="51">
        <f t="shared" si="11"/>
        <v>-1.1999999999999997</v>
      </c>
      <c r="BA132" s="51"/>
    </row>
    <row r="133" spans="46:53" x14ac:dyDescent="0.25">
      <c r="AT133" s="85">
        <v>44870</v>
      </c>
      <c r="AU133" s="51">
        <v>4.1820000000000004</v>
      </c>
      <c r="AV133" s="51">
        <v>4.1635999999999997</v>
      </c>
      <c r="AW133" s="51">
        <v>2.7210999999999999</v>
      </c>
      <c r="AX133" s="51">
        <v>3.0779999999999998</v>
      </c>
      <c r="AY133" s="51">
        <v>4.2779999999999996</v>
      </c>
      <c r="AZ133" s="51">
        <f t="shared" si="11"/>
        <v>-1.1999999999999997</v>
      </c>
      <c r="BA133" s="51"/>
    </row>
    <row r="134" spans="46:53" x14ac:dyDescent="0.25">
      <c r="AT134" s="85">
        <v>44869</v>
      </c>
      <c r="AU134" s="51">
        <v>4.1820000000000004</v>
      </c>
      <c r="AV134" s="51">
        <v>4.1635999999999997</v>
      </c>
      <c r="AW134" s="51">
        <v>2.7210999999999999</v>
      </c>
      <c r="AX134" s="51">
        <v>3.0779999999999998</v>
      </c>
      <c r="AY134" s="51">
        <v>4.2779999999999996</v>
      </c>
      <c r="AZ134" s="51">
        <f t="shared" si="11"/>
        <v>-1.1999999999999997</v>
      </c>
      <c r="BA134" s="51"/>
    </row>
    <row r="135" spans="46:53" x14ac:dyDescent="0.25">
      <c r="AT135" s="85">
        <v>44868</v>
      </c>
      <c r="AU135" s="51">
        <v>4.1970000000000001</v>
      </c>
      <c r="AV135" s="51">
        <v>4.1542000000000003</v>
      </c>
      <c r="AW135" s="51">
        <v>2.6983000000000001</v>
      </c>
      <c r="AX135" s="51">
        <v>3.073</v>
      </c>
      <c r="AY135" s="51">
        <v>4.2539999999999996</v>
      </c>
      <c r="AZ135" s="51">
        <f t="shared" si="11"/>
        <v>-1.1809999999999996</v>
      </c>
      <c r="BA135" s="51"/>
    </row>
    <row r="136" spans="46:53" x14ac:dyDescent="0.25">
      <c r="AT136" s="85">
        <v>44867</v>
      </c>
      <c r="AU136" s="51">
        <v>4.1429999999999998</v>
      </c>
      <c r="AV136" s="51">
        <v>4.1047000000000002</v>
      </c>
      <c r="AW136" s="51">
        <v>2.7010000000000001</v>
      </c>
      <c r="AX136" s="51">
        <v>3.0720000000000001</v>
      </c>
      <c r="AY136" s="51">
        <v>4.2089999999999996</v>
      </c>
      <c r="AZ136" s="51">
        <f t="shared" ref="AZ136:AZ199" si="12">AX136-AY136</f>
        <v>-1.1369999999999996</v>
      </c>
      <c r="BA136" s="51"/>
    </row>
    <row r="137" spans="46:53" x14ac:dyDescent="0.25">
      <c r="AT137" s="85">
        <v>44866</v>
      </c>
      <c r="AU137" s="51">
        <v>4.1349999999999998</v>
      </c>
      <c r="AV137" s="51">
        <v>4.0460000000000003</v>
      </c>
      <c r="AW137" s="51">
        <v>2.6844000000000001</v>
      </c>
      <c r="AX137" s="51">
        <v>3.0880000000000001</v>
      </c>
      <c r="AY137" s="51">
        <v>4.1749999999999998</v>
      </c>
      <c r="AZ137" s="51">
        <f t="shared" si="12"/>
        <v>-1.0869999999999997</v>
      </c>
      <c r="BA137" s="51"/>
    </row>
    <row r="138" spans="46:53" x14ac:dyDescent="0.25">
      <c r="AT138" s="85">
        <v>44865</v>
      </c>
      <c r="AU138" s="51">
        <v>4.242</v>
      </c>
      <c r="AV138" s="51">
        <v>4.0540000000000003</v>
      </c>
      <c r="AW138" s="51">
        <v>2.6629999999999998</v>
      </c>
      <c r="AX138" s="51">
        <v>3.093</v>
      </c>
      <c r="AY138" s="51">
        <v>4.1609999999999996</v>
      </c>
      <c r="AZ138" s="51">
        <f t="shared" si="12"/>
        <v>-1.0679999999999996</v>
      </c>
      <c r="BA138" s="51"/>
    </row>
    <row r="139" spans="46:53" x14ac:dyDescent="0.25">
      <c r="AT139" s="85">
        <v>44864</v>
      </c>
      <c r="AU139" s="51">
        <v>4.1669999999999998</v>
      </c>
      <c r="AV139" s="51">
        <v>4.0164</v>
      </c>
      <c r="AW139" s="51">
        <v>2.6873999999999998</v>
      </c>
      <c r="AX139" s="51">
        <v>3.0830000000000002</v>
      </c>
      <c r="AY139" s="51">
        <v>4.1280000000000001</v>
      </c>
      <c r="AZ139" s="51">
        <f t="shared" si="12"/>
        <v>-1.0449999999999999</v>
      </c>
      <c r="BA139" s="51"/>
    </row>
    <row r="140" spans="46:53" x14ac:dyDescent="0.25">
      <c r="AT140" s="85">
        <v>44863</v>
      </c>
      <c r="AU140" s="51">
        <v>4.1669999999999998</v>
      </c>
      <c r="AV140" s="51">
        <v>4.0164</v>
      </c>
      <c r="AW140" s="51">
        <v>2.6873999999999998</v>
      </c>
      <c r="AX140" s="51">
        <v>3.0830000000000002</v>
      </c>
      <c r="AY140" s="51">
        <v>4.1280000000000001</v>
      </c>
      <c r="AZ140" s="51">
        <f t="shared" si="12"/>
        <v>-1.0449999999999999</v>
      </c>
      <c r="BA140" s="51"/>
    </row>
    <row r="141" spans="46:53" x14ac:dyDescent="0.25">
      <c r="AT141" s="85">
        <v>44862</v>
      </c>
      <c r="AU141" s="51">
        <v>4.1669999999999998</v>
      </c>
      <c r="AV141" s="51">
        <v>4.0164</v>
      </c>
      <c r="AW141" s="51">
        <v>2.6873999999999998</v>
      </c>
      <c r="AX141" s="51">
        <v>3.0830000000000002</v>
      </c>
      <c r="AY141" s="51">
        <v>4.1280000000000001</v>
      </c>
      <c r="AZ141" s="51">
        <f t="shared" si="12"/>
        <v>-1.0449999999999999</v>
      </c>
      <c r="BA141" s="51"/>
    </row>
    <row r="142" spans="46:53" x14ac:dyDescent="0.25">
      <c r="AT142" s="85">
        <v>44861</v>
      </c>
      <c r="AU142" s="51">
        <v>4.3129999999999997</v>
      </c>
      <c r="AV142" s="51">
        <v>3.9239000000000002</v>
      </c>
      <c r="AW142" s="51">
        <v>2.7161</v>
      </c>
      <c r="AX142" s="51">
        <v>3.0680000000000001</v>
      </c>
      <c r="AY142" s="51">
        <v>4.1189999999999998</v>
      </c>
      <c r="AZ142" s="51">
        <f t="shared" si="12"/>
        <v>-1.0509999999999997</v>
      </c>
      <c r="BA142" s="51"/>
    </row>
    <row r="143" spans="46:53" x14ac:dyDescent="0.25">
      <c r="AT143" s="85">
        <v>44860</v>
      </c>
      <c r="AU143" s="51">
        <v>4.2789999999999999</v>
      </c>
      <c r="AV143" s="51">
        <v>4.0058999999999996</v>
      </c>
      <c r="AW143" s="51">
        <v>2.726</v>
      </c>
      <c r="AX143" s="51">
        <v>3.0310000000000001</v>
      </c>
      <c r="AY143" s="51">
        <v>4.0640000000000001</v>
      </c>
      <c r="AZ143" s="51">
        <f t="shared" si="12"/>
        <v>-1.0329999999999999</v>
      </c>
      <c r="BA143" s="51"/>
    </row>
    <row r="144" spans="46:53" x14ac:dyDescent="0.25">
      <c r="AT144" s="85">
        <v>44859</v>
      </c>
      <c r="AU144" s="51">
        <v>4.3460000000000001</v>
      </c>
      <c r="AV144" s="51">
        <v>4.1031000000000004</v>
      </c>
      <c r="AW144" s="51">
        <v>2.7486000000000002</v>
      </c>
      <c r="AX144" s="51">
        <v>2.9929999999999999</v>
      </c>
      <c r="AY144" s="51">
        <v>4.01</v>
      </c>
      <c r="AZ144" s="51">
        <f t="shared" si="12"/>
        <v>-1.0169999999999999</v>
      </c>
      <c r="BA144" s="51"/>
    </row>
    <row r="145" spans="46:53" x14ac:dyDescent="0.25">
      <c r="AT145" s="85">
        <v>44858</v>
      </c>
      <c r="AU145" s="51">
        <v>4.5030000000000001</v>
      </c>
      <c r="AV145" s="51">
        <v>4.2476000000000003</v>
      </c>
      <c r="AW145" s="51">
        <v>2.7343999999999999</v>
      </c>
      <c r="AX145" s="51">
        <v>3.0019999999999998</v>
      </c>
      <c r="AY145" s="51">
        <v>3.9830000000000001</v>
      </c>
      <c r="AZ145" s="51">
        <f t="shared" si="12"/>
        <v>-0.98100000000000032</v>
      </c>
      <c r="BA145" s="51"/>
    </row>
    <row r="146" spans="46:53" x14ac:dyDescent="0.25">
      <c r="AT146" s="85">
        <v>44857</v>
      </c>
      <c r="AU146" s="51">
        <v>4.6319999999999997</v>
      </c>
      <c r="AV146" s="51">
        <v>4.2282999999999999</v>
      </c>
      <c r="AW146" s="51">
        <v>2.7494999999999998</v>
      </c>
      <c r="AX146" s="51">
        <v>3.016</v>
      </c>
      <c r="AY146" s="51">
        <v>3.9550000000000001</v>
      </c>
      <c r="AZ146" s="51">
        <f t="shared" si="12"/>
        <v>-0.93900000000000006</v>
      </c>
      <c r="BA146" s="51"/>
    </row>
    <row r="147" spans="46:53" x14ac:dyDescent="0.25">
      <c r="AT147" s="85">
        <v>44856</v>
      </c>
      <c r="AU147" s="51">
        <v>4.6319999999999997</v>
      </c>
      <c r="AV147" s="51">
        <v>4.2282999999999999</v>
      </c>
      <c r="AW147" s="51">
        <v>2.7494999999999998</v>
      </c>
      <c r="AX147" s="51">
        <v>3.016</v>
      </c>
      <c r="AY147" s="51">
        <v>3.9550000000000001</v>
      </c>
      <c r="AZ147" s="51">
        <f t="shared" si="12"/>
        <v>-0.93900000000000006</v>
      </c>
      <c r="BA147" s="51"/>
    </row>
    <row r="148" spans="46:53" x14ac:dyDescent="0.25">
      <c r="AT148" s="85">
        <v>44855</v>
      </c>
      <c r="AU148" s="51">
        <v>4.6319999999999997</v>
      </c>
      <c r="AV148" s="51">
        <v>4.2282999999999999</v>
      </c>
      <c r="AW148" s="51">
        <v>2.7494999999999998</v>
      </c>
      <c r="AX148" s="51">
        <v>3.016</v>
      </c>
      <c r="AY148" s="51">
        <v>3.9550000000000001</v>
      </c>
      <c r="AZ148" s="51">
        <f t="shared" si="12"/>
        <v>-0.93900000000000006</v>
      </c>
      <c r="BA148" s="51"/>
    </row>
    <row r="149" spans="46:53" x14ac:dyDescent="0.25">
      <c r="AT149" s="85">
        <v>44854</v>
      </c>
      <c r="AU149" s="51">
        <v>4.4390000000000001</v>
      </c>
      <c r="AV149" s="51">
        <v>4.2324999999999999</v>
      </c>
      <c r="AW149" s="51">
        <v>2.7376</v>
      </c>
      <c r="AX149" s="51">
        <v>3.01</v>
      </c>
      <c r="AY149" s="51">
        <v>3.8679999999999999</v>
      </c>
      <c r="AZ149" s="51">
        <f t="shared" si="12"/>
        <v>-0.8580000000000001</v>
      </c>
      <c r="BA149" s="51"/>
    </row>
    <row r="150" spans="46:53" x14ac:dyDescent="0.25">
      <c r="AT150" s="85">
        <v>44853</v>
      </c>
      <c r="AU150" s="51">
        <v>4.3959999999999999</v>
      </c>
      <c r="AV150" s="51">
        <v>4.1387</v>
      </c>
      <c r="AW150" s="51">
        <v>2.7275999999999998</v>
      </c>
      <c r="AX150" s="51">
        <v>3.0070000000000001</v>
      </c>
      <c r="AY150" s="51">
        <v>3.8330000000000002</v>
      </c>
      <c r="AZ150" s="51">
        <f t="shared" si="12"/>
        <v>-0.82600000000000007</v>
      </c>
      <c r="BA150" s="51"/>
    </row>
    <row r="151" spans="46:53" x14ac:dyDescent="0.25">
      <c r="AT151" s="85">
        <v>44852</v>
      </c>
      <c r="AU151" s="51">
        <v>4.2770000000000001</v>
      </c>
      <c r="AV151" s="51">
        <v>4.0106999999999999</v>
      </c>
      <c r="AW151" s="51">
        <v>2.7218</v>
      </c>
      <c r="AX151" s="51">
        <v>2.9980000000000002</v>
      </c>
      <c r="AY151" s="51">
        <v>3.7890000000000001</v>
      </c>
      <c r="AZ151" s="51">
        <f t="shared" si="12"/>
        <v>-0.79099999999999993</v>
      </c>
      <c r="BA151" s="51"/>
    </row>
    <row r="152" spans="46:53" x14ac:dyDescent="0.25">
      <c r="AT152" s="85">
        <v>44851</v>
      </c>
      <c r="AU152" s="51">
        <v>4.2149999999999999</v>
      </c>
      <c r="AV152" s="51">
        <v>4.0156000000000001</v>
      </c>
      <c r="AW152" s="51">
        <v>2.7238000000000002</v>
      </c>
      <c r="AX152" s="51">
        <v>2.9929999999999999</v>
      </c>
      <c r="AY152" s="51">
        <v>3.76</v>
      </c>
      <c r="AZ152" s="51">
        <f t="shared" si="12"/>
        <v>-0.7669999999999999</v>
      </c>
      <c r="BA152" s="51"/>
    </row>
    <row r="153" spans="46:53" x14ac:dyDescent="0.25">
      <c r="AT153" s="85">
        <v>44850</v>
      </c>
      <c r="AU153" s="51">
        <v>4.181</v>
      </c>
      <c r="AV153" s="51">
        <v>4.0235000000000003</v>
      </c>
      <c r="AW153" s="51">
        <v>2.7187000000000001</v>
      </c>
      <c r="AX153" s="51">
        <v>2.9929999999999999</v>
      </c>
      <c r="AY153" s="51">
        <v>3.738</v>
      </c>
      <c r="AZ153" s="51">
        <f t="shared" si="12"/>
        <v>-0.74500000000000011</v>
      </c>
      <c r="BA153" s="51"/>
    </row>
    <row r="154" spans="46:53" x14ac:dyDescent="0.25">
      <c r="AT154" s="85">
        <v>44849</v>
      </c>
      <c r="AU154" s="51">
        <v>4.181</v>
      </c>
      <c r="AV154" s="51">
        <v>4.0235000000000003</v>
      </c>
      <c r="AW154" s="51">
        <v>2.7187000000000001</v>
      </c>
      <c r="AX154" s="51">
        <v>2.9929999999999999</v>
      </c>
      <c r="AY154" s="51">
        <v>3.738</v>
      </c>
      <c r="AZ154" s="51">
        <f t="shared" si="12"/>
        <v>-0.74500000000000011</v>
      </c>
      <c r="BA154" s="51"/>
    </row>
    <row r="155" spans="46:53" x14ac:dyDescent="0.25">
      <c r="AT155" s="85">
        <v>44848</v>
      </c>
      <c r="AU155" s="51">
        <v>4.181</v>
      </c>
      <c r="AV155" s="51">
        <v>4.0235000000000003</v>
      </c>
      <c r="AW155" s="51">
        <v>2.7187000000000001</v>
      </c>
      <c r="AX155" s="51">
        <v>2.9929999999999999</v>
      </c>
      <c r="AY155" s="51">
        <v>3.738</v>
      </c>
      <c r="AZ155" s="51">
        <f t="shared" si="12"/>
        <v>-0.74500000000000011</v>
      </c>
      <c r="BA155" s="51"/>
    </row>
    <row r="156" spans="46:53" x14ac:dyDescent="0.25">
      <c r="AT156" s="85">
        <v>44847</v>
      </c>
      <c r="AU156" s="51">
        <v>4.2389999999999999</v>
      </c>
      <c r="AV156" s="51">
        <v>3.9445000000000001</v>
      </c>
      <c r="AW156" s="51">
        <v>2.7467000000000001</v>
      </c>
      <c r="AX156" s="51">
        <v>3</v>
      </c>
      <c r="AY156" s="51">
        <v>3.7130000000000001</v>
      </c>
      <c r="AZ156" s="51">
        <f t="shared" si="12"/>
        <v>-0.71300000000000008</v>
      </c>
      <c r="BA156" s="51"/>
    </row>
    <row r="157" spans="46:53" x14ac:dyDescent="0.25">
      <c r="AT157" s="85">
        <v>44846</v>
      </c>
      <c r="AU157" s="51">
        <v>4.1100000000000003</v>
      </c>
      <c r="AV157" s="51">
        <v>3.9003000000000001</v>
      </c>
      <c r="AW157" s="51">
        <v>2.7562000000000002</v>
      </c>
      <c r="AX157" s="51">
        <v>3</v>
      </c>
      <c r="AY157" s="51">
        <v>3.6789999999999998</v>
      </c>
      <c r="AZ157" s="51">
        <f t="shared" si="12"/>
        <v>-0.67899999999999983</v>
      </c>
      <c r="BA157" s="51"/>
    </row>
    <row r="158" spans="46:53" x14ac:dyDescent="0.25">
      <c r="AT158" s="85">
        <v>44845</v>
      </c>
      <c r="AU158" s="51">
        <v>4.306</v>
      </c>
      <c r="AV158" s="51">
        <v>3.9449000000000001</v>
      </c>
      <c r="AW158" s="51">
        <v>2.7648999999999999</v>
      </c>
      <c r="AX158" s="51">
        <v>2.8010000000000002</v>
      </c>
      <c r="AY158" s="51">
        <v>3.524</v>
      </c>
      <c r="AZ158" s="51">
        <f t="shared" si="12"/>
        <v>-0.72299999999999986</v>
      </c>
      <c r="BA158" s="51"/>
    </row>
    <row r="159" spans="46:53" x14ac:dyDescent="0.25">
      <c r="AT159" s="85">
        <v>44844</v>
      </c>
      <c r="AU159" s="51">
        <v>4.2140000000000004</v>
      </c>
      <c r="AV159" s="51">
        <v>3.8895</v>
      </c>
      <c r="AW159" s="51">
        <v>2.7610000000000001</v>
      </c>
      <c r="AX159" s="51">
        <v>2.7480000000000002</v>
      </c>
      <c r="AY159" s="51">
        <v>3.4750000000000001</v>
      </c>
      <c r="AZ159" s="51">
        <f t="shared" si="12"/>
        <v>-0.72699999999999987</v>
      </c>
      <c r="BA159" s="51"/>
    </row>
    <row r="160" spans="46:53" x14ac:dyDescent="0.25">
      <c r="AT160" s="85">
        <v>44843</v>
      </c>
      <c r="AU160" s="51">
        <v>4.2140000000000004</v>
      </c>
      <c r="AV160" s="51">
        <v>3.8895</v>
      </c>
      <c r="AW160" s="51">
        <v>2.7761</v>
      </c>
      <c r="AX160" s="51">
        <v>2.7480000000000002</v>
      </c>
      <c r="AY160" s="51">
        <v>3.4750000000000001</v>
      </c>
      <c r="AZ160" s="51">
        <f t="shared" si="12"/>
        <v>-0.72699999999999987</v>
      </c>
      <c r="BA160" s="51"/>
    </row>
    <row r="161" spans="46:53" x14ac:dyDescent="0.25">
      <c r="AT161" s="85">
        <v>44842</v>
      </c>
      <c r="AU161" s="51">
        <v>4.2140000000000004</v>
      </c>
      <c r="AV161" s="51">
        <v>3.8895</v>
      </c>
      <c r="AW161" s="51">
        <v>2.7761</v>
      </c>
      <c r="AX161" s="51">
        <v>2.7480000000000002</v>
      </c>
      <c r="AY161" s="51">
        <v>3.4750000000000001</v>
      </c>
      <c r="AZ161" s="51">
        <f t="shared" si="12"/>
        <v>-0.72699999999999987</v>
      </c>
      <c r="BA161" s="51"/>
    </row>
    <row r="162" spans="46:53" x14ac:dyDescent="0.25">
      <c r="AT162" s="85">
        <v>44841</v>
      </c>
      <c r="AU162" s="51">
        <v>4.2140000000000004</v>
      </c>
      <c r="AV162" s="51">
        <v>3.8895</v>
      </c>
      <c r="AW162" s="51">
        <v>2.7761</v>
      </c>
      <c r="AX162" s="51">
        <v>2.7480000000000002</v>
      </c>
      <c r="AY162" s="51">
        <v>3.4750000000000001</v>
      </c>
      <c r="AZ162" s="51">
        <f t="shared" si="12"/>
        <v>-0.72699999999999987</v>
      </c>
      <c r="BA162" s="51"/>
    </row>
    <row r="163" spans="46:53" x14ac:dyDescent="0.25">
      <c r="AT163" s="85">
        <v>44840</v>
      </c>
      <c r="AU163" s="51">
        <v>4.1020000000000003</v>
      </c>
      <c r="AV163" s="51">
        <v>3.8235999999999999</v>
      </c>
      <c r="AW163" s="51">
        <v>2.7761</v>
      </c>
      <c r="AX163" s="51">
        <v>2.766</v>
      </c>
      <c r="AY163" s="51">
        <v>3.4630000000000001</v>
      </c>
      <c r="AZ163" s="51">
        <f t="shared" si="12"/>
        <v>-0.69700000000000006</v>
      </c>
      <c r="BA163" s="51"/>
    </row>
    <row r="164" spans="46:53" x14ac:dyDescent="0.25">
      <c r="AT164" s="85">
        <v>44839</v>
      </c>
      <c r="AU164" s="51">
        <v>4.1020000000000003</v>
      </c>
      <c r="AV164" s="51">
        <v>3.7568999999999999</v>
      </c>
      <c r="AW164" s="51">
        <v>2.7761</v>
      </c>
      <c r="AX164" s="51">
        <v>2.766</v>
      </c>
      <c r="AY164" s="51">
        <v>3.4580000000000002</v>
      </c>
      <c r="AZ164" s="51">
        <f t="shared" si="12"/>
        <v>-0.69200000000000017</v>
      </c>
      <c r="BA164" s="51"/>
    </row>
    <row r="165" spans="46:53" x14ac:dyDescent="0.25">
      <c r="AT165" s="85">
        <v>44838</v>
      </c>
      <c r="AU165" s="51">
        <v>4.0060000000000002</v>
      </c>
      <c r="AV165" s="51">
        <v>3.6368999999999998</v>
      </c>
      <c r="AW165" s="51">
        <v>2.7761</v>
      </c>
      <c r="AX165" s="51">
        <v>2.758</v>
      </c>
      <c r="AY165" s="51">
        <v>3.4350000000000001</v>
      </c>
      <c r="AZ165" s="51">
        <f t="shared" si="12"/>
        <v>-0.67700000000000005</v>
      </c>
      <c r="BA165" s="51"/>
    </row>
    <row r="166" spans="46:53" x14ac:dyDescent="0.25">
      <c r="AT166" s="85">
        <v>44837</v>
      </c>
      <c r="AU166" s="51">
        <v>4.0960000000000001</v>
      </c>
      <c r="AV166" s="51">
        <v>3.6356999999999999</v>
      </c>
      <c r="AW166" s="51">
        <v>2.7761</v>
      </c>
      <c r="AX166" s="51">
        <v>2.7530000000000001</v>
      </c>
      <c r="AY166" s="51">
        <v>3.44</v>
      </c>
      <c r="AZ166" s="51">
        <f t="shared" si="12"/>
        <v>-0.68699999999999983</v>
      </c>
      <c r="BA166" s="51"/>
    </row>
    <row r="167" spans="46:53" x14ac:dyDescent="0.25">
      <c r="AT167" s="85">
        <v>44836</v>
      </c>
      <c r="AU167" s="51">
        <v>4.0960000000000001</v>
      </c>
      <c r="AV167" s="51">
        <v>3.8285999999999998</v>
      </c>
      <c r="AW167" s="51">
        <v>2.7761</v>
      </c>
      <c r="AX167" s="51">
        <v>2.7530000000000001</v>
      </c>
      <c r="AY167" s="51">
        <v>3.44</v>
      </c>
      <c r="AZ167" s="51">
        <f t="shared" si="12"/>
        <v>-0.68699999999999983</v>
      </c>
      <c r="BA167" s="51"/>
    </row>
    <row r="168" spans="46:53" x14ac:dyDescent="0.25">
      <c r="AT168" s="85">
        <v>44835</v>
      </c>
      <c r="AU168" s="51">
        <v>4.0960000000000001</v>
      </c>
      <c r="AV168" s="51">
        <v>3.8285999999999998</v>
      </c>
      <c r="AW168" s="51">
        <v>2.7761</v>
      </c>
      <c r="AX168" s="51">
        <v>2.7530000000000001</v>
      </c>
      <c r="AY168" s="51">
        <v>3.44</v>
      </c>
      <c r="AZ168" s="51">
        <f t="shared" si="12"/>
        <v>-0.68699999999999983</v>
      </c>
      <c r="BA168" s="51"/>
    </row>
    <row r="169" spans="46:53" x14ac:dyDescent="0.25">
      <c r="AT169" s="85">
        <v>44834</v>
      </c>
      <c r="AU169" s="51">
        <v>4.0960000000000001</v>
      </c>
      <c r="AV169" s="51">
        <v>3.8285999999999998</v>
      </c>
      <c r="AW169" s="51">
        <v>2.7761</v>
      </c>
      <c r="AX169" s="51">
        <v>2.7530000000000001</v>
      </c>
      <c r="AY169" s="51">
        <v>3.44</v>
      </c>
      <c r="AZ169" s="51">
        <f t="shared" si="12"/>
        <v>-0.68699999999999983</v>
      </c>
      <c r="BA169" s="51"/>
    </row>
    <row r="170" spans="46:53" x14ac:dyDescent="0.25">
      <c r="AT170" s="85">
        <v>44833</v>
      </c>
      <c r="AU170" s="51">
        <v>4.2290000000000001</v>
      </c>
      <c r="AV170" s="51">
        <v>3.7875999999999999</v>
      </c>
      <c r="AW170" s="51">
        <v>2.7713000000000001</v>
      </c>
      <c r="AX170" s="51">
        <v>2.7879999999999998</v>
      </c>
      <c r="AY170" s="51">
        <v>3.4649999999999999</v>
      </c>
      <c r="AZ170" s="51">
        <f t="shared" si="12"/>
        <v>-0.67700000000000005</v>
      </c>
      <c r="BA170" s="51"/>
    </row>
    <row r="171" spans="46:53" x14ac:dyDescent="0.25">
      <c r="AT171" s="85">
        <v>44832</v>
      </c>
      <c r="AU171" s="51">
        <v>4.3319999999999999</v>
      </c>
      <c r="AV171" s="51">
        <v>3.7362000000000002</v>
      </c>
      <c r="AW171" s="51">
        <v>2.7635999999999998</v>
      </c>
      <c r="AX171" s="51">
        <v>2.8279999999999998</v>
      </c>
      <c r="AY171" s="51">
        <v>3.4950000000000001</v>
      </c>
      <c r="AZ171" s="51">
        <f t="shared" si="12"/>
        <v>-0.66700000000000026</v>
      </c>
      <c r="BA171" s="51"/>
    </row>
    <row r="172" spans="46:53" x14ac:dyDescent="0.25">
      <c r="AT172" s="85">
        <v>44831</v>
      </c>
      <c r="AU172" s="51">
        <v>4.2080000000000002</v>
      </c>
      <c r="AV172" s="51">
        <v>3.9481999999999999</v>
      </c>
      <c r="AW172" s="51">
        <v>2.7259000000000002</v>
      </c>
      <c r="AX172" s="51">
        <v>2.7959999999999998</v>
      </c>
      <c r="AY172" s="51">
        <v>3.4660000000000002</v>
      </c>
      <c r="AZ172" s="51">
        <f t="shared" si="12"/>
        <v>-0.67000000000000037</v>
      </c>
      <c r="BA172" s="51"/>
    </row>
    <row r="173" spans="46:53" x14ac:dyDescent="0.25">
      <c r="AT173" s="85">
        <v>44830</v>
      </c>
      <c r="AU173" s="51">
        <v>4.335</v>
      </c>
      <c r="AV173" s="51">
        <v>3.9192999999999998</v>
      </c>
      <c r="AW173" s="51">
        <v>2.7427000000000001</v>
      </c>
      <c r="AX173" s="51">
        <v>2.8159999999999998</v>
      </c>
      <c r="AY173" s="51">
        <v>3.464</v>
      </c>
      <c r="AZ173" s="51">
        <f t="shared" si="12"/>
        <v>-0.64800000000000013</v>
      </c>
      <c r="BA173" s="51"/>
    </row>
    <row r="174" spans="46:53" x14ac:dyDescent="0.25">
      <c r="AT174" s="85">
        <v>44829</v>
      </c>
      <c r="AU174" s="51">
        <v>4.1120000000000001</v>
      </c>
      <c r="AV174" s="51">
        <v>3.6876000000000002</v>
      </c>
      <c r="AW174" s="51">
        <v>2.7134</v>
      </c>
      <c r="AX174" s="51">
        <v>2.7360000000000002</v>
      </c>
      <c r="AY174" s="51">
        <v>3.379</v>
      </c>
      <c r="AZ174" s="51">
        <f t="shared" si="12"/>
        <v>-0.64299999999999979</v>
      </c>
      <c r="BA174" s="51"/>
    </row>
    <row r="175" spans="46:53" x14ac:dyDescent="0.25">
      <c r="AT175" s="85">
        <v>44828</v>
      </c>
      <c r="AU175" s="51">
        <v>4.1120000000000001</v>
      </c>
      <c r="AV175" s="51">
        <v>3.6876000000000002</v>
      </c>
      <c r="AW175" s="51">
        <v>2.7134</v>
      </c>
      <c r="AX175" s="51">
        <v>2.7360000000000002</v>
      </c>
      <c r="AY175" s="51">
        <v>3.379</v>
      </c>
      <c r="AZ175" s="51">
        <f t="shared" si="12"/>
        <v>-0.64299999999999979</v>
      </c>
      <c r="BA175" s="51"/>
    </row>
    <row r="176" spans="46:53" x14ac:dyDescent="0.25">
      <c r="AT176" s="85">
        <v>44827</v>
      </c>
      <c r="AU176" s="51">
        <v>4.1120000000000001</v>
      </c>
      <c r="AV176" s="51">
        <v>3.6876000000000002</v>
      </c>
      <c r="AW176" s="51">
        <v>2.7134</v>
      </c>
      <c r="AX176" s="51">
        <v>2.7360000000000002</v>
      </c>
      <c r="AY176" s="51">
        <v>3.379</v>
      </c>
      <c r="AZ176" s="51">
        <f t="shared" si="12"/>
        <v>-0.64299999999999979</v>
      </c>
      <c r="BA176" s="51"/>
    </row>
    <row r="177" spans="46:53" x14ac:dyDescent="0.25">
      <c r="AT177" s="85">
        <v>44826</v>
      </c>
      <c r="AU177" s="51">
        <v>3.9969999999999999</v>
      </c>
      <c r="AV177" s="51">
        <v>3.7147999999999999</v>
      </c>
      <c r="AW177" s="51">
        <v>2.6964000000000001</v>
      </c>
      <c r="AX177" s="51">
        <v>2.7210000000000001</v>
      </c>
      <c r="AY177" s="51">
        <v>3.339</v>
      </c>
      <c r="AZ177" s="51">
        <f t="shared" si="12"/>
        <v>-0.61799999999999988</v>
      </c>
      <c r="BA177" s="51"/>
    </row>
    <row r="178" spans="46:53" x14ac:dyDescent="0.25">
      <c r="AT178" s="85">
        <v>44825</v>
      </c>
      <c r="AU178" s="51">
        <v>3.891</v>
      </c>
      <c r="AV178" s="51">
        <v>3.5308999999999999</v>
      </c>
      <c r="AW178" s="51">
        <v>2.6835</v>
      </c>
      <c r="AX178" s="51">
        <v>2.625</v>
      </c>
      <c r="AY178" s="51">
        <v>3.2229999999999999</v>
      </c>
      <c r="AZ178" s="51">
        <f t="shared" si="12"/>
        <v>-0.59799999999999986</v>
      </c>
      <c r="BA178" s="51"/>
    </row>
    <row r="179" spans="46:53" x14ac:dyDescent="0.25">
      <c r="AT179" s="85">
        <v>44824</v>
      </c>
      <c r="AU179" s="51">
        <v>3.8359999999999999</v>
      </c>
      <c r="AV179" s="51">
        <v>3.5640000000000001</v>
      </c>
      <c r="AW179" s="51">
        <v>2.6793999999999998</v>
      </c>
      <c r="AX179" s="51">
        <v>2.625</v>
      </c>
      <c r="AY179" s="51">
        <v>3.2149999999999999</v>
      </c>
      <c r="AZ179" s="51">
        <f t="shared" si="12"/>
        <v>-0.58999999999999986</v>
      </c>
      <c r="BA179" s="51"/>
    </row>
    <row r="180" spans="46:53" x14ac:dyDescent="0.25">
      <c r="AT180" s="85">
        <v>44823</v>
      </c>
      <c r="AU180" s="51">
        <v>3.794</v>
      </c>
      <c r="AV180" s="51">
        <v>3.4923999999999999</v>
      </c>
      <c r="AW180" s="51">
        <v>2.6915</v>
      </c>
      <c r="AX180" s="51">
        <v>2.6269999999999998</v>
      </c>
      <c r="AY180" s="51">
        <v>3.1960000000000002</v>
      </c>
      <c r="AZ180" s="51">
        <f t="shared" si="12"/>
        <v>-0.56900000000000039</v>
      </c>
      <c r="BA180" s="51"/>
    </row>
    <row r="181" spans="46:53" x14ac:dyDescent="0.25">
      <c r="AT181" s="85">
        <v>44822</v>
      </c>
      <c r="AU181" s="51">
        <v>3.7719999999999998</v>
      </c>
      <c r="AV181" s="51">
        <v>3.4533</v>
      </c>
      <c r="AW181" s="51">
        <v>2.6913</v>
      </c>
      <c r="AX181" s="51">
        <v>2.645</v>
      </c>
      <c r="AY181" s="51">
        <v>3.2040000000000002</v>
      </c>
      <c r="AZ181" s="51">
        <f t="shared" si="12"/>
        <v>-0.55900000000000016</v>
      </c>
      <c r="BA181" s="51"/>
    </row>
    <row r="182" spans="46:53" x14ac:dyDescent="0.25">
      <c r="AT182" s="85">
        <v>44821</v>
      </c>
      <c r="AU182" s="51">
        <v>3.7719999999999998</v>
      </c>
      <c r="AV182" s="51">
        <v>3.4533</v>
      </c>
      <c r="AW182" s="51">
        <v>2.6913</v>
      </c>
      <c r="AX182" s="51">
        <v>2.645</v>
      </c>
      <c r="AY182" s="51">
        <v>3.2040000000000002</v>
      </c>
      <c r="AZ182" s="51">
        <f t="shared" si="12"/>
        <v>-0.55900000000000016</v>
      </c>
      <c r="BA182" s="51"/>
    </row>
    <row r="183" spans="46:53" x14ac:dyDescent="0.25">
      <c r="AT183" s="85">
        <v>44820</v>
      </c>
      <c r="AU183" s="51">
        <v>3.7719999999999998</v>
      </c>
      <c r="AV183" s="51">
        <v>3.4533</v>
      </c>
      <c r="AW183" s="51">
        <v>2.6913</v>
      </c>
      <c r="AX183" s="51">
        <v>2.645</v>
      </c>
      <c r="AY183" s="51">
        <v>3.2040000000000002</v>
      </c>
      <c r="AZ183" s="51">
        <f t="shared" si="12"/>
        <v>-0.55900000000000016</v>
      </c>
      <c r="BA183" s="51"/>
    </row>
    <row r="184" spans="46:53" x14ac:dyDescent="0.25">
      <c r="AT184" s="85">
        <v>44819</v>
      </c>
      <c r="AU184" s="51">
        <v>3.7909999999999999</v>
      </c>
      <c r="AV184" s="51">
        <v>3.4548000000000001</v>
      </c>
      <c r="AW184" s="51">
        <v>2.6815000000000002</v>
      </c>
      <c r="AX184" s="51">
        <v>2.6480000000000001</v>
      </c>
      <c r="AY184" s="51">
        <v>3.2029999999999998</v>
      </c>
      <c r="AZ184" s="51">
        <f t="shared" si="12"/>
        <v>-0.55499999999999972</v>
      </c>
      <c r="BA184" s="51"/>
    </row>
    <row r="185" spans="46:53" x14ac:dyDescent="0.25">
      <c r="AT185" s="85">
        <v>44818</v>
      </c>
      <c r="AU185" s="51">
        <v>3.6509999999999998</v>
      </c>
      <c r="AV185" s="51">
        <v>3.4081000000000001</v>
      </c>
      <c r="AW185" s="51">
        <v>2.6844000000000001</v>
      </c>
      <c r="AX185" s="51">
        <v>2.65</v>
      </c>
      <c r="AY185" s="51">
        <v>3.19</v>
      </c>
      <c r="AZ185" s="51">
        <f t="shared" si="12"/>
        <v>-0.54</v>
      </c>
      <c r="BA185" s="51"/>
    </row>
    <row r="186" spans="46:53" x14ac:dyDescent="0.25">
      <c r="AT186" s="85">
        <v>44817</v>
      </c>
      <c r="AU186" s="51">
        <v>3.62</v>
      </c>
      <c r="AV186" s="51">
        <v>3.4146999999999998</v>
      </c>
      <c r="AW186" s="51">
        <v>2.6699000000000002</v>
      </c>
      <c r="AX186" s="51">
        <v>2.64</v>
      </c>
      <c r="AY186" s="51">
        <v>3.1760000000000002</v>
      </c>
      <c r="AZ186" s="51">
        <f t="shared" si="12"/>
        <v>-0.53600000000000003</v>
      </c>
      <c r="BA186" s="51"/>
    </row>
    <row r="187" spans="46:53" x14ac:dyDescent="0.25">
      <c r="AT187" s="85">
        <v>44816</v>
      </c>
      <c r="AU187" s="51">
        <v>3.6219999999999999</v>
      </c>
      <c r="AV187" s="51">
        <v>3.3578000000000001</v>
      </c>
      <c r="AW187" s="51">
        <v>2.6631</v>
      </c>
      <c r="AX187" s="51">
        <v>2.5369999999999999</v>
      </c>
      <c r="AY187" s="51">
        <v>3.173</v>
      </c>
      <c r="AZ187" s="51">
        <f t="shared" si="12"/>
        <v>-0.63600000000000012</v>
      </c>
      <c r="BA187" s="51"/>
    </row>
    <row r="188" spans="46:53" x14ac:dyDescent="0.25">
      <c r="AT188" s="85">
        <v>44815</v>
      </c>
      <c r="AU188" s="51">
        <v>3.6219999999999999</v>
      </c>
      <c r="AV188" s="51">
        <v>3.3144999999999998</v>
      </c>
      <c r="AW188" s="51">
        <v>2.6631</v>
      </c>
      <c r="AX188" s="51">
        <v>2.5369999999999999</v>
      </c>
      <c r="AY188" s="51">
        <v>3.173</v>
      </c>
      <c r="AZ188" s="51">
        <f t="shared" si="12"/>
        <v>-0.63600000000000012</v>
      </c>
      <c r="BA188" s="51"/>
    </row>
    <row r="189" spans="46:53" x14ac:dyDescent="0.25">
      <c r="AT189" s="85">
        <v>44814</v>
      </c>
      <c r="AU189" s="51">
        <v>3.6219999999999999</v>
      </c>
      <c r="AV189" s="51">
        <v>3.3144999999999998</v>
      </c>
      <c r="AW189" s="51">
        <v>2.6631</v>
      </c>
      <c r="AX189" s="51">
        <v>2.5369999999999999</v>
      </c>
      <c r="AY189" s="51">
        <v>3.173</v>
      </c>
      <c r="AZ189" s="51">
        <f t="shared" si="12"/>
        <v>-0.63600000000000012</v>
      </c>
      <c r="BA189" s="51"/>
    </row>
    <row r="190" spans="46:53" x14ac:dyDescent="0.25">
      <c r="AT190" s="85">
        <v>44813</v>
      </c>
      <c r="AU190" s="51">
        <v>3.6219999999999999</v>
      </c>
      <c r="AV190" s="51">
        <v>3.3144999999999998</v>
      </c>
      <c r="AW190" s="51">
        <v>2.6631</v>
      </c>
      <c r="AX190" s="51">
        <v>2.5369999999999999</v>
      </c>
      <c r="AY190" s="51">
        <v>3.173</v>
      </c>
      <c r="AZ190" s="51">
        <f t="shared" si="12"/>
        <v>-0.63600000000000012</v>
      </c>
      <c r="BA190" s="51"/>
    </row>
    <row r="191" spans="46:53" x14ac:dyDescent="0.25">
      <c r="AT191" s="85">
        <v>44812</v>
      </c>
      <c r="AU191" s="51">
        <v>3.6219999999999999</v>
      </c>
      <c r="AV191" s="51">
        <v>3.3227000000000002</v>
      </c>
      <c r="AW191" s="51">
        <v>2.6518999999999999</v>
      </c>
      <c r="AX191" s="51">
        <v>2.5369999999999999</v>
      </c>
      <c r="AY191" s="51">
        <v>3.173</v>
      </c>
      <c r="AZ191" s="51">
        <f t="shared" si="12"/>
        <v>-0.63600000000000012</v>
      </c>
      <c r="BA191" s="51"/>
    </row>
    <row r="192" spans="46:53" x14ac:dyDescent="0.25">
      <c r="AT192" s="85">
        <v>44811</v>
      </c>
      <c r="AU192" s="51">
        <v>3.7360000000000002</v>
      </c>
      <c r="AV192" s="51">
        <v>3.2673000000000001</v>
      </c>
      <c r="AW192" s="51">
        <v>2.6438999999999999</v>
      </c>
      <c r="AX192" s="51">
        <v>2.5470000000000002</v>
      </c>
      <c r="AY192" s="51">
        <v>3.1840000000000002</v>
      </c>
      <c r="AZ192" s="51">
        <f t="shared" si="12"/>
        <v>-0.63700000000000001</v>
      </c>
      <c r="BA192" s="51"/>
    </row>
    <row r="193" spans="46:53" x14ac:dyDescent="0.25">
      <c r="AT193" s="85">
        <v>44810</v>
      </c>
      <c r="AU193" s="51">
        <v>3.7120000000000002</v>
      </c>
      <c r="AV193" s="51">
        <v>3.3492000000000002</v>
      </c>
      <c r="AW193" s="51">
        <v>2.6385000000000001</v>
      </c>
      <c r="AX193" s="51">
        <v>2.548</v>
      </c>
      <c r="AY193" s="51">
        <v>3.1850000000000001</v>
      </c>
      <c r="AZ193" s="51">
        <f t="shared" si="12"/>
        <v>-0.63700000000000001</v>
      </c>
      <c r="BA193" s="51"/>
    </row>
    <row r="194" spans="46:53" x14ac:dyDescent="0.25">
      <c r="AT194" s="85">
        <v>44809</v>
      </c>
      <c r="AU194" s="51">
        <v>3.67</v>
      </c>
      <c r="AV194" s="51">
        <v>3.1987999999999999</v>
      </c>
      <c r="AW194" s="51">
        <v>2.6461999999999999</v>
      </c>
      <c r="AX194" s="51">
        <v>2.556</v>
      </c>
      <c r="AY194" s="51">
        <v>3.1840000000000002</v>
      </c>
      <c r="AZ194" s="51">
        <f t="shared" si="12"/>
        <v>-0.62800000000000011</v>
      </c>
      <c r="BA194" s="51"/>
    </row>
    <row r="195" spans="46:53" x14ac:dyDescent="0.25">
      <c r="AT195" s="85">
        <v>44808</v>
      </c>
      <c r="AU195" s="51">
        <v>3.738</v>
      </c>
      <c r="AV195" s="51">
        <v>3.1987999999999999</v>
      </c>
      <c r="AW195" s="51">
        <v>2.6543000000000001</v>
      </c>
      <c r="AX195" s="51">
        <v>2.56</v>
      </c>
      <c r="AY195" s="51">
        <v>3.194</v>
      </c>
      <c r="AZ195" s="51">
        <f t="shared" si="12"/>
        <v>-0.6339999999999999</v>
      </c>
      <c r="BA195" s="51"/>
    </row>
    <row r="196" spans="46:53" x14ac:dyDescent="0.25">
      <c r="AT196" s="85">
        <v>44807</v>
      </c>
      <c r="AU196" s="51">
        <v>3.738</v>
      </c>
      <c r="AV196" s="51">
        <v>3.1987999999999999</v>
      </c>
      <c r="AW196" s="51">
        <v>2.6543000000000001</v>
      </c>
      <c r="AX196" s="51">
        <v>2.56</v>
      </c>
      <c r="AY196" s="51">
        <v>3.194</v>
      </c>
      <c r="AZ196" s="51">
        <f t="shared" si="12"/>
        <v>-0.6339999999999999</v>
      </c>
      <c r="BA196" s="51"/>
    </row>
    <row r="197" spans="46:53" x14ac:dyDescent="0.25">
      <c r="AT197" s="85">
        <v>44806</v>
      </c>
      <c r="AU197" s="51">
        <v>3.738</v>
      </c>
      <c r="AV197" s="51">
        <v>3.1987999999999999</v>
      </c>
      <c r="AW197" s="51">
        <v>2.6543000000000001</v>
      </c>
      <c r="AX197" s="51">
        <v>2.56</v>
      </c>
      <c r="AY197" s="51">
        <v>3.194</v>
      </c>
      <c r="AZ197" s="51">
        <f t="shared" si="12"/>
        <v>-0.6339999999999999</v>
      </c>
      <c r="BA197" s="51"/>
    </row>
    <row r="198" spans="46:53" x14ac:dyDescent="0.25">
      <c r="AT198" s="85">
        <v>44805</v>
      </c>
      <c r="AU198" s="51">
        <v>3.8050000000000002</v>
      </c>
      <c r="AV198" s="51">
        <v>3.2637</v>
      </c>
      <c r="AW198" s="51">
        <v>2.6461999999999999</v>
      </c>
      <c r="AX198" s="51">
        <v>2.5720000000000001</v>
      </c>
      <c r="AY198" s="51">
        <v>3.2040000000000002</v>
      </c>
      <c r="AZ198" s="51">
        <f t="shared" si="12"/>
        <v>-0.63200000000000012</v>
      </c>
      <c r="BA198" s="51"/>
    </row>
    <row r="199" spans="46:53" x14ac:dyDescent="0.25">
      <c r="AT199" s="85">
        <v>44804</v>
      </c>
      <c r="AU199" s="51">
        <v>3.7210000000000001</v>
      </c>
      <c r="AV199" s="51">
        <v>3.1936</v>
      </c>
      <c r="AW199" s="51">
        <v>2.6585999999999999</v>
      </c>
      <c r="AX199" s="51">
        <v>2.5579999999999998</v>
      </c>
      <c r="AY199" s="51">
        <v>3.1859999999999999</v>
      </c>
      <c r="AZ199" s="51">
        <f t="shared" si="12"/>
        <v>-0.62800000000000011</v>
      </c>
      <c r="BA199" s="51"/>
    </row>
    <row r="200" spans="46:53" x14ac:dyDescent="0.25">
      <c r="AT200" s="85">
        <v>44803</v>
      </c>
      <c r="AU200" s="51">
        <v>3.6949999999999998</v>
      </c>
      <c r="AV200" s="51">
        <v>3.1099000000000001</v>
      </c>
      <c r="AW200" s="51">
        <v>2.6507000000000001</v>
      </c>
      <c r="AX200" s="51">
        <v>2.5430000000000001</v>
      </c>
      <c r="AY200" s="51">
        <v>3.1749999999999998</v>
      </c>
      <c r="AZ200" s="51">
        <f t="shared" ref="AZ200:AZ263" si="13">AX200-AY200</f>
        <v>-0.63199999999999967</v>
      </c>
      <c r="BA200" s="51"/>
    </row>
    <row r="201" spans="46:53" x14ac:dyDescent="0.25">
      <c r="AT201" s="85">
        <v>44802</v>
      </c>
      <c r="AU201" s="51">
        <v>3.7149999999999999</v>
      </c>
      <c r="AV201" s="51">
        <v>3.1042000000000001</v>
      </c>
      <c r="AW201" s="51">
        <v>2.6610999999999998</v>
      </c>
      <c r="AX201" s="51">
        <v>2.5609999999999999</v>
      </c>
      <c r="AY201" s="51">
        <v>3.1760000000000002</v>
      </c>
      <c r="AZ201" s="51">
        <f t="shared" si="13"/>
        <v>-0.61500000000000021</v>
      </c>
      <c r="BA201" s="51"/>
    </row>
    <row r="202" spans="46:53" x14ac:dyDescent="0.25">
      <c r="AT202" s="85">
        <v>44801</v>
      </c>
      <c r="AU202" s="51">
        <v>3.6160000000000001</v>
      </c>
      <c r="AV202" s="51">
        <v>3.0427</v>
      </c>
      <c r="AW202" s="51">
        <v>2.6831999999999998</v>
      </c>
      <c r="AX202" s="51">
        <v>2.5499999999999998</v>
      </c>
      <c r="AY202" s="51">
        <v>3.1549999999999998</v>
      </c>
      <c r="AZ202" s="51">
        <f t="shared" si="13"/>
        <v>-0.60499999999999998</v>
      </c>
      <c r="BA202" s="51"/>
    </row>
    <row r="203" spans="46:53" x14ac:dyDescent="0.25">
      <c r="AT203" s="85">
        <v>44800</v>
      </c>
      <c r="AU203" s="51">
        <v>3.6160000000000001</v>
      </c>
      <c r="AV203" s="51">
        <v>3.0427</v>
      </c>
      <c r="AW203" s="51">
        <v>2.6831999999999998</v>
      </c>
      <c r="AX203" s="51">
        <v>2.5499999999999998</v>
      </c>
      <c r="AY203" s="51">
        <v>3.1549999999999998</v>
      </c>
      <c r="AZ203" s="51">
        <f t="shared" si="13"/>
        <v>-0.60499999999999998</v>
      </c>
      <c r="BA203" s="51"/>
    </row>
    <row r="204" spans="46:53" x14ac:dyDescent="0.25">
      <c r="AT204" s="85">
        <v>44799</v>
      </c>
      <c r="AU204" s="51">
        <v>3.6160000000000001</v>
      </c>
      <c r="AV204" s="51">
        <v>3.0427</v>
      </c>
      <c r="AW204" s="51">
        <v>2.6831999999999998</v>
      </c>
      <c r="AX204" s="51">
        <v>2.5499999999999998</v>
      </c>
      <c r="AY204" s="51">
        <v>3.1549999999999998</v>
      </c>
      <c r="AZ204" s="51">
        <f t="shared" si="13"/>
        <v>-0.60499999999999998</v>
      </c>
      <c r="BA204" s="51"/>
    </row>
    <row r="205" spans="46:53" x14ac:dyDescent="0.25">
      <c r="AT205" s="85">
        <v>44798</v>
      </c>
      <c r="AU205" s="51">
        <v>3.593</v>
      </c>
      <c r="AV205" s="51">
        <v>3.0286</v>
      </c>
      <c r="AW205" s="51">
        <v>2.6789999999999998</v>
      </c>
      <c r="AX205" s="51">
        <v>2.548</v>
      </c>
      <c r="AY205" s="51">
        <v>3.1560000000000001</v>
      </c>
      <c r="AZ205" s="51">
        <f t="shared" si="13"/>
        <v>-0.6080000000000001</v>
      </c>
      <c r="BA205" s="51"/>
    </row>
    <row r="206" spans="46:53" x14ac:dyDescent="0.25">
      <c r="AT206" s="85">
        <v>44797</v>
      </c>
      <c r="AU206" s="51">
        <v>3.4329999999999998</v>
      </c>
      <c r="AV206" s="51">
        <v>3.1084999999999998</v>
      </c>
      <c r="AW206" s="51">
        <v>2.6556000000000002</v>
      </c>
      <c r="AX206" s="51">
        <v>2.423</v>
      </c>
      <c r="AY206" s="51">
        <v>3.0550000000000002</v>
      </c>
      <c r="AZ206" s="51">
        <f t="shared" si="13"/>
        <v>-0.63200000000000012</v>
      </c>
      <c r="BA206" s="51"/>
    </row>
    <row r="207" spans="46:53" x14ac:dyDescent="0.25">
      <c r="AT207" s="85">
        <v>44796</v>
      </c>
      <c r="AU207" s="51">
        <v>3.3610000000000002</v>
      </c>
      <c r="AV207" s="51">
        <v>3.0489000000000002</v>
      </c>
      <c r="AW207" s="51">
        <v>2.6587999999999998</v>
      </c>
      <c r="AX207" s="51">
        <v>2.3530000000000002</v>
      </c>
      <c r="AY207" s="51">
        <v>3.0030000000000001</v>
      </c>
      <c r="AZ207" s="51">
        <f t="shared" si="13"/>
        <v>-0.64999999999999991</v>
      </c>
      <c r="BA207" s="51"/>
    </row>
    <row r="208" spans="46:53" x14ac:dyDescent="0.25">
      <c r="AT208" s="85">
        <v>44795</v>
      </c>
      <c r="AU208" s="51">
        <v>3.3420000000000001</v>
      </c>
      <c r="AV208" s="51">
        <v>3.0266000000000002</v>
      </c>
      <c r="AW208" s="51">
        <v>2.6456</v>
      </c>
      <c r="AX208" s="51">
        <v>2.3130000000000002</v>
      </c>
      <c r="AY208" s="51">
        <v>2.976</v>
      </c>
      <c r="AZ208" s="51">
        <f t="shared" si="13"/>
        <v>-0.66299999999999981</v>
      </c>
      <c r="BA208" s="51"/>
    </row>
    <row r="209" spans="46:53" x14ac:dyDescent="0.25">
      <c r="AT209" s="85">
        <v>44794</v>
      </c>
      <c r="AU209" s="51">
        <v>3.31</v>
      </c>
      <c r="AV209" s="51">
        <v>2.9729999999999999</v>
      </c>
      <c r="AW209" s="51">
        <v>2.6406000000000001</v>
      </c>
      <c r="AX209" s="51">
        <v>2.2989999999999999</v>
      </c>
      <c r="AY209" s="51">
        <v>2.9540000000000002</v>
      </c>
      <c r="AZ209" s="51">
        <f t="shared" si="13"/>
        <v>-0.65500000000000025</v>
      </c>
      <c r="BA209" s="51"/>
    </row>
    <row r="210" spans="46:53" x14ac:dyDescent="0.25">
      <c r="AT210" s="85">
        <v>44793</v>
      </c>
      <c r="AU210" s="51">
        <v>3.31</v>
      </c>
      <c r="AV210" s="51">
        <v>2.9729999999999999</v>
      </c>
      <c r="AW210" s="51">
        <v>2.6406000000000001</v>
      </c>
      <c r="AX210" s="51">
        <v>2.2989999999999999</v>
      </c>
      <c r="AY210" s="51">
        <v>2.9540000000000002</v>
      </c>
      <c r="AZ210" s="51">
        <f t="shared" si="13"/>
        <v>-0.65500000000000025</v>
      </c>
      <c r="BA210" s="51"/>
    </row>
    <row r="211" spans="46:53" x14ac:dyDescent="0.25">
      <c r="AT211" s="85">
        <v>44792</v>
      </c>
      <c r="AU211" s="51">
        <v>3.31</v>
      </c>
      <c r="AV211" s="51">
        <v>2.9729999999999999</v>
      </c>
      <c r="AW211" s="51">
        <v>2.6406000000000001</v>
      </c>
      <c r="AX211" s="51">
        <v>2.2989999999999999</v>
      </c>
      <c r="AY211" s="51">
        <v>2.9540000000000002</v>
      </c>
      <c r="AZ211" s="51">
        <f t="shared" si="13"/>
        <v>-0.65500000000000025</v>
      </c>
      <c r="BA211" s="51"/>
    </row>
    <row r="212" spans="46:53" x14ac:dyDescent="0.25">
      <c r="AT212" s="85">
        <v>44791</v>
      </c>
      <c r="AU212" s="51">
        <v>3.2210000000000001</v>
      </c>
      <c r="AV212" s="51">
        <v>2.8831000000000002</v>
      </c>
      <c r="AW212" s="51">
        <v>2.6343999999999999</v>
      </c>
      <c r="AX212" s="51">
        <v>2.2850000000000001</v>
      </c>
      <c r="AY212" s="51">
        <v>2.94</v>
      </c>
      <c r="AZ212" s="51">
        <f t="shared" si="13"/>
        <v>-0.6549999999999998</v>
      </c>
      <c r="BA212" s="51"/>
    </row>
    <row r="213" spans="46:53" x14ac:dyDescent="0.25">
      <c r="AT213" s="85">
        <v>44790</v>
      </c>
      <c r="AU213" s="51">
        <v>3.1880000000000002</v>
      </c>
      <c r="AV213" s="51">
        <v>2.9003999999999999</v>
      </c>
      <c r="AW213" s="51">
        <v>2.6511999999999998</v>
      </c>
      <c r="AX213" s="51">
        <v>2.2679999999999998</v>
      </c>
      <c r="AY213" s="51">
        <v>2.9409999999999998</v>
      </c>
      <c r="AZ213" s="51">
        <f t="shared" si="13"/>
        <v>-0.67300000000000004</v>
      </c>
      <c r="BA213" s="51"/>
    </row>
    <row r="214" spans="46:53" x14ac:dyDescent="0.25">
      <c r="AT214" s="85">
        <v>44789</v>
      </c>
      <c r="AU214" s="51">
        <v>3.1560000000000001</v>
      </c>
      <c r="AV214" s="51">
        <v>2.8121999999999998</v>
      </c>
      <c r="AW214" s="51">
        <v>2.6530999999999998</v>
      </c>
      <c r="AX214" s="51">
        <v>2.2509999999999999</v>
      </c>
      <c r="AY214" s="51">
        <v>2.9409999999999998</v>
      </c>
      <c r="AZ214" s="51">
        <f t="shared" si="13"/>
        <v>-0.69</v>
      </c>
      <c r="BA214" s="51"/>
    </row>
    <row r="215" spans="46:53" x14ac:dyDescent="0.25">
      <c r="AT215" s="85">
        <v>44788</v>
      </c>
      <c r="AU215" s="51">
        <v>3.282</v>
      </c>
      <c r="AV215" s="51">
        <v>2.7869000000000002</v>
      </c>
      <c r="AW215" s="51">
        <v>2.6781999999999999</v>
      </c>
      <c r="AX215" s="51">
        <v>2.2639999999999998</v>
      </c>
      <c r="AY215" s="51">
        <v>2.948</v>
      </c>
      <c r="AZ215" s="51">
        <f t="shared" si="13"/>
        <v>-0.68400000000000016</v>
      </c>
      <c r="BA215" s="51"/>
    </row>
    <row r="216" spans="46:53" x14ac:dyDescent="0.25">
      <c r="AT216" s="85">
        <v>44787</v>
      </c>
      <c r="AU216" s="51">
        <v>3.282</v>
      </c>
      <c r="AV216" s="51">
        <v>2.8384999999999998</v>
      </c>
      <c r="AW216" s="51">
        <v>2.7545000000000002</v>
      </c>
      <c r="AX216" s="51">
        <v>2.2639999999999998</v>
      </c>
      <c r="AY216" s="51">
        <v>2.948</v>
      </c>
      <c r="AZ216" s="51">
        <f t="shared" si="13"/>
        <v>-0.68400000000000016</v>
      </c>
      <c r="BA216" s="51"/>
    </row>
    <row r="217" spans="46:53" x14ac:dyDescent="0.25">
      <c r="AT217" s="85">
        <v>44786</v>
      </c>
      <c r="AU217" s="51">
        <v>3.282</v>
      </c>
      <c r="AV217" s="51">
        <v>2.8384999999999998</v>
      </c>
      <c r="AW217" s="51">
        <v>2.7545000000000002</v>
      </c>
      <c r="AX217" s="51">
        <v>2.2639999999999998</v>
      </c>
      <c r="AY217" s="51">
        <v>2.948</v>
      </c>
      <c r="AZ217" s="51">
        <f t="shared" si="13"/>
        <v>-0.68400000000000016</v>
      </c>
      <c r="BA217" s="51"/>
    </row>
    <row r="218" spans="46:53" x14ac:dyDescent="0.25">
      <c r="AT218" s="85">
        <v>44785</v>
      </c>
      <c r="AU218" s="51">
        <v>3.282</v>
      </c>
      <c r="AV218" s="51">
        <v>2.8384999999999998</v>
      </c>
      <c r="AW218" s="51">
        <v>2.7545000000000002</v>
      </c>
      <c r="AX218" s="51">
        <v>2.2639999999999998</v>
      </c>
      <c r="AY218" s="51">
        <v>2.948</v>
      </c>
      <c r="AZ218" s="51">
        <f t="shared" si="13"/>
        <v>-0.68400000000000016</v>
      </c>
      <c r="BA218" s="51"/>
    </row>
    <row r="219" spans="46:53" x14ac:dyDescent="0.25">
      <c r="AT219" s="85">
        <v>44784</v>
      </c>
      <c r="AU219" s="51">
        <v>3.2189999999999999</v>
      </c>
      <c r="AV219" s="51">
        <v>2.8866000000000001</v>
      </c>
      <c r="AW219" s="51">
        <v>2.7530000000000001</v>
      </c>
      <c r="AX219" s="51">
        <v>2.2480000000000002</v>
      </c>
      <c r="AY219" s="51">
        <v>2.93</v>
      </c>
      <c r="AZ219" s="51">
        <f t="shared" si="13"/>
        <v>-0.68199999999999994</v>
      </c>
      <c r="BA219" s="51"/>
    </row>
    <row r="220" spans="46:53" x14ac:dyDescent="0.25">
      <c r="AT220" s="85">
        <v>44783</v>
      </c>
      <c r="AU220" s="51">
        <v>3.2069999999999999</v>
      </c>
      <c r="AV220" s="51">
        <v>2.7883</v>
      </c>
      <c r="AW220" s="51">
        <v>2.7559</v>
      </c>
      <c r="AX220" s="51">
        <v>2.2480000000000002</v>
      </c>
      <c r="AY220" s="51">
        <v>2.9329999999999998</v>
      </c>
      <c r="AZ220" s="51">
        <f t="shared" si="13"/>
        <v>-0.68499999999999961</v>
      </c>
      <c r="BA220" s="51"/>
    </row>
    <row r="221" spans="46:53" x14ac:dyDescent="0.25">
      <c r="AT221" s="85">
        <v>44782</v>
      </c>
      <c r="AU221" s="51">
        <v>3.1659999999999999</v>
      </c>
      <c r="AV221" s="51">
        <v>2.7846000000000002</v>
      </c>
      <c r="AW221" s="51">
        <v>2.7570999999999999</v>
      </c>
      <c r="AX221" s="51">
        <v>2.2480000000000002</v>
      </c>
      <c r="AY221" s="51">
        <v>2.9239999999999999</v>
      </c>
      <c r="AZ221" s="51">
        <f t="shared" si="13"/>
        <v>-0.67599999999999971</v>
      </c>
      <c r="BA221" s="51"/>
    </row>
    <row r="222" spans="46:53" x14ac:dyDescent="0.25">
      <c r="AT222" s="85">
        <v>44781</v>
      </c>
      <c r="AU222" s="51">
        <v>3.177</v>
      </c>
      <c r="AV222" s="51">
        <v>2.7581000000000002</v>
      </c>
      <c r="AW222" s="51">
        <v>2.7585999999999999</v>
      </c>
      <c r="AX222" s="51">
        <v>2.2480000000000002</v>
      </c>
      <c r="AY222" s="51">
        <v>2.92</v>
      </c>
      <c r="AZ222" s="51">
        <f t="shared" si="13"/>
        <v>-0.67199999999999971</v>
      </c>
      <c r="BA222" s="51"/>
    </row>
    <row r="223" spans="46:53" x14ac:dyDescent="0.25">
      <c r="AT223" s="85">
        <v>44780</v>
      </c>
      <c r="AU223" s="51">
        <v>3.1240000000000001</v>
      </c>
      <c r="AV223" s="51">
        <v>2.8342000000000001</v>
      </c>
      <c r="AW223" s="51">
        <v>2.7517</v>
      </c>
      <c r="AX223" s="51">
        <v>2.238</v>
      </c>
      <c r="AY223" s="51">
        <v>2.9079999999999999</v>
      </c>
      <c r="AZ223" s="51">
        <f t="shared" si="13"/>
        <v>-0.66999999999999993</v>
      </c>
      <c r="BA223" s="51"/>
    </row>
    <row r="224" spans="46:53" x14ac:dyDescent="0.25">
      <c r="AT224" s="85">
        <v>44779</v>
      </c>
      <c r="AU224" s="51">
        <v>3.1240000000000001</v>
      </c>
      <c r="AV224" s="51">
        <v>2.8342000000000001</v>
      </c>
      <c r="AW224" s="51">
        <v>2.7517</v>
      </c>
      <c r="AX224" s="51">
        <v>2.238</v>
      </c>
      <c r="AY224" s="51">
        <v>2.9079999999999999</v>
      </c>
      <c r="AZ224" s="51">
        <f t="shared" si="13"/>
        <v>-0.66999999999999993</v>
      </c>
      <c r="BA224" s="51"/>
    </row>
    <row r="225" spans="46:53" x14ac:dyDescent="0.25">
      <c r="AT225" s="85">
        <v>44778</v>
      </c>
      <c r="AU225" s="51">
        <v>3.1240000000000001</v>
      </c>
      <c r="AV225" s="51">
        <v>2.8342000000000001</v>
      </c>
      <c r="AW225" s="51">
        <v>2.7517</v>
      </c>
      <c r="AX225" s="51">
        <v>2.238</v>
      </c>
      <c r="AY225" s="51">
        <v>2.9079999999999999</v>
      </c>
      <c r="AZ225" s="51">
        <f t="shared" si="13"/>
        <v>-0.66999999999999993</v>
      </c>
      <c r="BA225" s="51"/>
    </row>
    <row r="226" spans="46:53" x14ac:dyDescent="0.25">
      <c r="AT226" s="85">
        <v>44777</v>
      </c>
      <c r="AU226" s="51">
        <v>3.1520000000000001</v>
      </c>
      <c r="AV226" s="51">
        <v>2.6972999999999998</v>
      </c>
      <c r="AW226" s="51">
        <v>2.7383999999999999</v>
      </c>
      <c r="AX226" s="51">
        <v>2.2400000000000002</v>
      </c>
      <c r="AY226" s="51">
        <v>2.91</v>
      </c>
      <c r="AZ226" s="51">
        <f t="shared" si="13"/>
        <v>-0.66999999999999993</v>
      </c>
      <c r="BA226" s="51"/>
    </row>
    <row r="227" spans="46:53" x14ac:dyDescent="0.25">
      <c r="AT227" s="85">
        <v>44776</v>
      </c>
      <c r="AU227" s="51">
        <v>3.1309999999999998</v>
      </c>
      <c r="AV227" s="51">
        <v>2.7054999999999998</v>
      </c>
      <c r="AW227" s="51">
        <v>2.7397999999999998</v>
      </c>
      <c r="AX227" s="51">
        <v>2.2400000000000002</v>
      </c>
      <c r="AY227" s="51">
        <v>2.9079999999999999</v>
      </c>
      <c r="AZ227" s="51">
        <f t="shared" si="13"/>
        <v>-0.66799999999999971</v>
      </c>
      <c r="BA227" s="51"/>
    </row>
    <row r="228" spans="46:53" x14ac:dyDescent="0.25">
      <c r="AT228" s="85">
        <v>44775</v>
      </c>
      <c r="AU228" s="51">
        <v>3.0880000000000001</v>
      </c>
      <c r="AV228" s="51">
        <v>2.7528000000000001</v>
      </c>
      <c r="AW228" s="51">
        <v>2.75</v>
      </c>
      <c r="AX228" s="51">
        <v>2.2400000000000002</v>
      </c>
      <c r="AY228" s="51">
        <v>2.907</v>
      </c>
      <c r="AZ228" s="51">
        <f t="shared" si="13"/>
        <v>-0.66699999999999982</v>
      </c>
      <c r="BA228" s="51"/>
    </row>
    <row r="229" spans="46:53" x14ac:dyDescent="0.25">
      <c r="AT229" s="85">
        <v>44774</v>
      </c>
      <c r="AU229" s="51">
        <v>3.1840000000000002</v>
      </c>
      <c r="AV229" s="51">
        <v>2.5722999999999998</v>
      </c>
      <c r="AW229" s="51">
        <v>2.7486000000000002</v>
      </c>
      <c r="AX229" s="51">
        <v>2.2509999999999999</v>
      </c>
      <c r="AY229" s="51">
        <v>2.9129999999999998</v>
      </c>
      <c r="AZ229" s="51">
        <f t="shared" si="13"/>
        <v>-0.66199999999999992</v>
      </c>
      <c r="BA229" s="51"/>
    </row>
    <row r="230" spans="46:53" x14ac:dyDescent="0.25">
      <c r="AT230" s="85">
        <v>44773</v>
      </c>
      <c r="AU230" s="51">
        <v>3.1269999999999998</v>
      </c>
      <c r="AV230" s="51">
        <v>2.6514000000000002</v>
      </c>
      <c r="AW230" s="51">
        <v>2.7747999999999999</v>
      </c>
      <c r="AX230" s="51">
        <v>2.2429999999999999</v>
      </c>
      <c r="AY230" s="51">
        <v>2.8929999999999998</v>
      </c>
      <c r="AZ230" s="51">
        <f t="shared" si="13"/>
        <v>-0.64999999999999991</v>
      </c>
      <c r="BA230" s="51"/>
    </row>
    <row r="231" spans="46:53" x14ac:dyDescent="0.25">
      <c r="AT231" s="85">
        <v>44772</v>
      </c>
      <c r="AU231" s="51">
        <v>3.1269999999999998</v>
      </c>
      <c r="AV231" s="51">
        <v>2.6514000000000002</v>
      </c>
      <c r="AW231" s="51">
        <v>2.7747999999999999</v>
      </c>
      <c r="AX231" s="51">
        <v>2.2429999999999999</v>
      </c>
      <c r="AY231" s="51">
        <v>2.8929999999999998</v>
      </c>
      <c r="AZ231" s="51">
        <f t="shared" si="13"/>
        <v>-0.64999999999999991</v>
      </c>
      <c r="BA231" s="51"/>
    </row>
    <row r="232" spans="46:53" x14ac:dyDescent="0.25">
      <c r="AT232" s="85">
        <v>44771</v>
      </c>
      <c r="AU232" s="51">
        <v>3.1269999999999998</v>
      </c>
      <c r="AV232" s="51">
        <v>2.6514000000000002</v>
      </c>
      <c r="AW232" s="51">
        <v>2.7747999999999999</v>
      </c>
      <c r="AX232" s="51">
        <v>2.2429999999999999</v>
      </c>
      <c r="AY232" s="51">
        <v>2.8929999999999998</v>
      </c>
      <c r="AZ232" s="51">
        <f t="shared" si="13"/>
        <v>-0.64999999999999991</v>
      </c>
      <c r="BA232" s="51"/>
    </row>
    <row r="233" spans="46:53" x14ac:dyDescent="0.25">
      <c r="AT233" s="85">
        <v>44770</v>
      </c>
      <c r="AU233" s="51">
        <v>3.2010000000000001</v>
      </c>
      <c r="AV233" s="51">
        <v>2.6758999999999999</v>
      </c>
      <c r="AW233" s="51">
        <v>2.8048999999999999</v>
      </c>
      <c r="AX233" s="51">
        <v>2.2450000000000001</v>
      </c>
      <c r="AY233" s="51">
        <v>2.8959999999999999</v>
      </c>
      <c r="AZ233" s="51">
        <f t="shared" si="13"/>
        <v>-0.6509999999999998</v>
      </c>
      <c r="BA233" s="51"/>
    </row>
    <row r="234" spans="46:53" x14ac:dyDescent="0.25">
      <c r="AT234" s="85">
        <v>44769</v>
      </c>
      <c r="AU234" s="51">
        <v>3.121</v>
      </c>
      <c r="AV234" s="51">
        <v>2.7904</v>
      </c>
      <c r="AW234" s="51">
        <v>2.7888000000000002</v>
      </c>
      <c r="AX234" s="51">
        <v>2.2410000000000001</v>
      </c>
      <c r="AY234" s="51">
        <v>2.8849999999999998</v>
      </c>
      <c r="AZ234" s="51">
        <f t="shared" si="13"/>
        <v>-0.64399999999999968</v>
      </c>
      <c r="BA234" s="51"/>
    </row>
    <row r="235" spans="46:53" x14ac:dyDescent="0.25">
      <c r="AT235" s="85">
        <v>44768</v>
      </c>
      <c r="AU235" s="51">
        <v>3.1829999999999998</v>
      </c>
      <c r="AV235" s="51">
        <v>2.8058999999999998</v>
      </c>
      <c r="AW235" s="51">
        <v>2.7898000000000001</v>
      </c>
      <c r="AX235" s="51">
        <v>2.2400000000000002</v>
      </c>
      <c r="AY235" s="51">
        <v>2.8780000000000001</v>
      </c>
      <c r="AZ235" s="51">
        <f t="shared" si="13"/>
        <v>-0.6379999999999999</v>
      </c>
      <c r="BA235" s="51"/>
    </row>
    <row r="236" spans="46:53" x14ac:dyDescent="0.25">
      <c r="AT236" s="85">
        <v>44767</v>
      </c>
      <c r="AU236" s="51">
        <v>3.2109999999999999</v>
      </c>
      <c r="AV236" s="51">
        <v>2.8041</v>
      </c>
      <c r="AW236" s="51">
        <v>2.8005</v>
      </c>
      <c r="AX236" s="51">
        <v>2.2400000000000002</v>
      </c>
      <c r="AY236" s="51">
        <v>2.8679999999999999</v>
      </c>
      <c r="AZ236" s="51">
        <f t="shared" si="13"/>
        <v>-0.62799999999999967</v>
      </c>
      <c r="BA236" s="51"/>
    </row>
    <row r="237" spans="46:53" x14ac:dyDescent="0.25">
      <c r="AT237" s="85">
        <v>44766</v>
      </c>
      <c r="AU237" s="51">
        <v>3.302</v>
      </c>
      <c r="AV237" s="51">
        <v>2.7585999999999999</v>
      </c>
      <c r="AW237" s="51">
        <v>2.806</v>
      </c>
      <c r="AX237" s="51">
        <v>2.2480000000000002</v>
      </c>
      <c r="AY237" s="51">
        <v>2.8660000000000001</v>
      </c>
      <c r="AZ237" s="51">
        <f t="shared" si="13"/>
        <v>-0.61799999999999988</v>
      </c>
      <c r="BA237" s="51"/>
    </row>
    <row r="238" spans="46:53" x14ac:dyDescent="0.25">
      <c r="AT238" s="85">
        <v>44765</v>
      </c>
      <c r="AU238" s="51">
        <v>3.302</v>
      </c>
      <c r="AV238" s="51">
        <v>2.7585999999999999</v>
      </c>
      <c r="AW238" s="51">
        <v>2.806</v>
      </c>
      <c r="AX238" s="51">
        <v>2.2480000000000002</v>
      </c>
      <c r="AY238" s="51">
        <v>2.8660000000000001</v>
      </c>
      <c r="AZ238" s="51">
        <f t="shared" si="13"/>
        <v>-0.61799999999999988</v>
      </c>
      <c r="BA238" s="51"/>
    </row>
    <row r="239" spans="46:53" x14ac:dyDescent="0.25">
      <c r="AT239" s="85">
        <v>44764</v>
      </c>
      <c r="AU239" s="51">
        <v>3.302</v>
      </c>
      <c r="AV239" s="51">
        <v>2.7585999999999999</v>
      </c>
      <c r="AW239" s="51">
        <v>2.806</v>
      </c>
      <c r="AX239" s="51">
        <v>2.2480000000000002</v>
      </c>
      <c r="AY239" s="51">
        <v>2.8660000000000001</v>
      </c>
      <c r="AZ239" s="51">
        <f t="shared" si="13"/>
        <v>-0.61799999999999988</v>
      </c>
      <c r="BA239" s="51"/>
    </row>
    <row r="240" spans="46:53" x14ac:dyDescent="0.25">
      <c r="AT240" s="85">
        <v>44763</v>
      </c>
      <c r="AU240" s="51">
        <v>3.3740000000000001</v>
      </c>
      <c r="AV240" s="51">
        <v>2.8812000000000002</v>
      </c>
      <c r="AW240" s="51">
        <v>2.7833999999999999</v>
      </c>
      <c r="AX240" s="51">
        <v>2.2530000000000001</v>
      </c>
      <c r="AY240" s="51">
        <v>2.87</v>
      </c>
      <c r="AZ240" s="51">
        <f t="shared" si="13"/>
        <v>-0.61699999999999999</v>
      </c>
      <c r="BA240" s="51"/>
    </row>
    <row r="241" spans="46:53" x14ac:dyDescent="0.25">
      <c r="AT241" s="85">
        <v>44762</v>
      </c>
      <c r="AU241" s="51">
        <v>3.36</v>
      </c>
      <c r="AV241" s="51">
        <v>3.0312000000000001</v>
      </c>
      <c r="AW241" s="51">
        <v>2.7900999999999998</v>
      </c>
      <c r="AX241" s="51">
        <v>2.2530000000000001</v>
      </c>
      <c r="AY241" s="51">
        <v>2.8650000000000002</v>
      </c>
      <c r="AZ241" s="51">
        <f t="shared" si="13"/>
        <v>-0.6120000000000001</v>
      </c>
      <c r="BA241" s="51"/>
    </row>
    <row r="242" spans="46:53" x14ac:dyDescent="0.25">
      <c r="AT242" s="85">
        <v>44761</v>
      </c>
      <c r="AU242" s="51">
        <v>3.2530000000000001</v>
      </c>
      <c r="AV242" s="51">
        <v>3.0255999999999998</v>
      </c>
      <c r="AW242" s="51">
        <v>2.8079999999999998</v>
      </c>
      <c r="AX242" s="51">
        <v>2.25</v>
      </c>
      <c r="AY242" s="51">
        <v>2.85</v>
      </c>
      <c r="AZ242" s="51">
        <f t="shared" si="13"/>
        <v>-0.60000000000000009</v>
      </c>
      <c r="BA242" s="51"/>
    </row>
    <row r="243" spans="46:53" x14ac:dyDescent="0.25">
      <c r="AT243" s="85">
        <v>44760</v>
      </c>
      <c r="AU243" s="51">
        <v>3.27</v>
      </c>
      <c r="AV243" s="51">
        <v>2.9864999999999999</v>
      </c>
      <c r="AW243" s="51">
        <v>2.8039000000000001</v>
      </c>
      <c r="AX243" s="51">
        <v>2.2629999999999999</v>
      </c>
      <c r="AY243" s="51">
        <v>2.8460000000000001</v>
      </c>
      <c r="AZ243" s="51">
        <f t="shared" si="13"/>
        <v>-0.58300000000000018</v>
      </c>
      <c r="BA243" s="51"/>
    </row>
    <row r="244" spans="46:53" x14ac:dyDescent="0.25">
      <c r="AT244" s="85">
        <v>44759</v>
      </c>
      <c r="AU244" s="51">
        <v>3.242</v>
      </c>
      <c r="AV244" s="51">
        <v>2.9188999999999998</v>
      </c>
      <c r="AW244" s="51">
        <v>2.8079999999999998</v>
      </c>
      <c r="AX244" s="51">
        <v>2.2629999999999999</v>
      </c>
      <c r="AY244" s="51">
        <v>2.84</v>
      </c>
      <c r="AZ244" s="51">
        <f t="shared" si="13"/>
        <v>-0.57699999999999996</v>
      </c>
      <c r="BA244" s="51"/>
    </row>
    <row r="245" spans="46:53" x14ac:dyDescent="0.25">
      <c r="AT245" s="85">
        <v>44758</v>
      </c>
      <c r="AU245" s="51">
        <v>3.242</v>
      </c>
      <c r="AV245" s="51">
        <v>2.9188999999999998</v>
      </c>
      <c r="AW245" s="51">
        <v>2.8079999999999998</v>
      </c>
      <c r="AX245" s="51">
        <v>2.2629999999999999</v>
      </c>
      <c r="AY245" s="51">
        <v>2.84</v>
      </c>
      <c r="AZ245" s="51">
        <f t="shared" si="13"/>
        <v>-0.57699999999999996</v>
      </c>
      <c r="BA245" s="51"/>
    </row>
    <row r="246" spans="46:53" x14ac:dyDescent="0.25">
      <c r="AT246" s="85">
        <v>44757</v>
      </c>
      <c r="AU246" s="51">
        <v>3.242</v>
      </c>
      <c r="AV246" s="51">
        <v>2.9188999999999998</v>
      </c>
      <c r="AW246" s="51">
        <v>2.8079999999999998</v>
      </c>
      <c r="AX246" s="51">
        <v>2.2629999999999999</v>
      </c>
      <c r="AY246" s="51">
        <v>2.84</v>
      </c>
      <c r="AZ246" s="51">
        <f t="shared" si="13"/>
        <v>-0.57699999999999996</v>
      </c>
      <c r="BA246" s="51"/>
    </row>
    <row r="247" spans="46:53" x14ac:dyDescent="0.25">
      <c r="AT247" s="85">
        <v>44756</v>
      </c>
      <c r="AU247" s="51">
        <v>3.2949999999999999</v>
      </c>
      <c r="AV247" s="51">
        <v>2.9641000000000002</v>
      </c>
      <c r="AW247" s="51">
        <v>2.8130999999999999</v>
      </c>
      <c r="AX247" s="51">
        <v>2.2770000000000001</v>
      </c>
      <c r="AY247" s="51">
        <v>2.8330000000000002</v>
      </c>
      <c r="AZ247" s="51">
        <f t="shared" si="13"/>
        <v>-0.55600000000000005</v>
      </c>
      <c r="BA247" s="51"/>
    </row>
    <row r="248" spans="46:53" x14ac:dyDescent="0.25">
      <c r="AT248" s="85">
        <v>44755</v>
      </c>
      <c r="AU248" s="51">
        <v>3.3010000000000002</v>
      </c>
      <c r="AV248" s="51">
        <v>2.9363999999999999</v>
      </c>
      <c r="AW248" s="51">
        <v>2.8260999999999998</v>
      </c>
      <c r="AX248" s="51">
        <v>2.2509999999999999</v>
      </c>
      <c r="AY248" s="51">
        <v>2.8069999999999999</v>
      </c>
      <c r="AZ248" s="51">
        <f t="shared" si="13"/>
        <v>-0.55600000000000005</v>
      </c>
      <c r="BA248" s="51"/>
    </row>
    <row r="249" spans="46:53" x14ac:dyDescent="0.25">
      <c r="AT249" s="85">
        <v>44754</v>
      </c>
      <c r="AU249" s="51">
        <v>3.3490000000000002</v>
      </c>
      <c r="AV249" s="51">
        <v>2.9761000000000002</v>
      </c>
      <c r="AW249" s="51">
        <v>2.8315000000000001</v>
      </c>
      <c r="AX249" s="51">
        <v>2.0299999999999998</v>
      </c>
      <c r="AY249" s="51">
        <v>2.722</v>
      </c>
      <c r="AZ249" s="51">
        <f t="shared" si="13"/>
        <v>-0.69200000000000017</v>
      </c>
      <c r="BA249" s="51"/>
    </row>
    <row r="250" spans="46:53" x14ac:dyDescent="0.25">
      <c r="AT250" s="85">
        <v>44753</v>
      </c>
      <c r="AU250" s="51">
        <v>3.3849999999999998</v>
      </c>
      <c r="AV250" s="51">
        <v>2.9946000000000002</v>
      </c>
      <c r="AW250" s="51">
        <v>2.8443999999999998</v>
      </c>
      <c r="AX250" s="51">
        <v>1.9590000000000001</v>
      </c>
      <c r="AY250" s="51">
        <v>2.6859999999999999</v>
      </c>
      <c r="AZ250" s="51">
        <f t="shared" si="13"/>
        <v>-0.72699999999999987</v>
      </c>
      <c r="BA250" s="51"/>
    </row>
    <row r="251" spans="46:53" x14ac:dyDescent="0.25">
      <c r="AT251" s="85">
        <v>44752</v>
      </c>
      <c r="AU251" s="51">
        <v>3.36</v>
      </c>
      <c r="AV251" s="51">
        <v>3.0840000000000001</v>
      </c>
      <c r="AW251" s="51">
        <v>2.8580000000000001</v>
      </c>
      <c r="AX251" s="51">
        <v>1.9430000000000001</v>
      </c>
      <c r="AY251" s="51">
        <v>2.66</v>
      </c>
      <c r="AZ251" s="51">
        <f t="shared" si="13"/>
        <v>-0.71700000000000008</v>
      </c>
      <c r="BA251" s="51"/>
    </row>
    <row r="252" spans="46:53" x14ac:dyDescent="0.25">
      <c r="AT252" s="85">
        <v>44751</v>
      </c>
      <c r="AU252" s="51">
        <v>3.36</v>
      </c>
      <c r="AV252" s="51">
        <v>3.0840000000000001</v>
      </c>
      <c r="AW252" s="51">
        <v>2.8580000000000001</v>
      </c>
      <c r="AX252" s="51">
        <v>1.9430000000000001</v>
      </c>
      <c r="AY252" s="51">
        <v>2.66</v>
      </c>
      <c r="AZ252" s="51">
        <f t="shared" si="13"/>
        <v>-0.71700000000000008</v>
      </c>
      <c r="BA252" s="51"/>
    </row>
    <row r="253" spans="46:53" x14ac:dyDescent="0.25">
      <c r="AT253" s="85">
        <v>44750</v>
      </c>
      <c r="AU253" s="51">
        <v>3.36</v>
      </c>
      <c r="AV253" s="51">
        <v>3.0840000000000001</v>
      </c>
      <c r="AW253" s="51">
        <v>2.8580000000000001</v>
      </c>
      <c r="AX253" s="51">
        <v>1.9430000000000001</v>
      </c>
      <c r="AY253" s="51">
        <v>2.66</v>
      </c>
      <c r="AZ253" s="51">
        <f t="shared" si="13"/>
        <v>-0.71700000000000008</v>
      </c>
      <c r="BA253" s="51"/>
    </row>
    <row r="254" spans="46:53" x14ac:dyDescent="0.25">
      <c r="AT254" s="85">
        <v>44749</v>
      </c>
      <c r="AU254" s="51">
        <v>3.3069999999999999</v>
      </c>
      <c r="AV254" s="51">
        <v>3.0019999999999998</v>
      </c>
      <c r="AW254" s="51">
        <v>2.855</v>
      </c>
      <c r="AX254" s="51">
        <v>1.9330000000000001</v>
      </c>
      <c r="AY254" s="51">
        <v>2.6379999999999999</v>
      </c>
      <c r="AZ254" s="51">
        <f t="shared" si="13"/>
        <v>-0.70499999999999985</v>
      </c>
      <c r="BA254" s="51"/>
    </row>
    <row r="255" spans="46:53" x14ac:dyDescent="0.25">
      <c r="AT255" s="85">
        <v>44748</v>
      </c>
      <c r="AU255" s="51">
        <v>3.2949999999999999</v>
      </c>
      <c r="AV255" s="51">
        <v>2.9354</v>
      </c>
      <c r="AW255" s="51">
        <v>2.8431999999999999</v>
      </c>
      <c r="AX255" s="51">
        <v>1.92</v>
      </c>
      <c r="AY255" s="51">
        <v>2.6120000000000001</v>
      </c>
      <c r="AZ255" s="51">
        <f t="shared" si="13"/>
        <v>-0.69200000000000017</v>
      </c>
      <c r="BA255" s="51"/>
    </row>
    <row r="256" spans="46:53" x14ac:dyDescent="0.25">
      <c r="AT256" s="85">
        <v>44747</v>
      </c>
      <c r="AU256" s="51">
        <v>3.379</v>
      </c>
      <c r="AV256" s="51">
        <v>2.8054000000000001</v>
      </c>
      <c r="AW256" s="51">
        <v>2.8561999999999999</v>
      </c>
      <c r="AX256" s="51">
        <v>1.909</v>
      </c>
      <c r="AY256" s="51">
        <v>2.6070000000000002</v>
      </c>
      <c r="AZ256" s="51">
        <f t="shared" si="13"/>
        <v>-0.69800000000000018</v>
      </c>
      <c r="BA256" s="51"/>
    </row>
    <row r="257" spans="46:53" x14ac:dyDescent="0.25">
      <c r="AT257" s="85">
        <v>44746</v>
      </c>
      <c r="AU257" s="51">
        <v>3.4889999999999999</v>
      </c>
      <c r="AV257" s="51">
        <v>2.8940000000000001</v>
      </c>
      <c r="AW257" s="51">
        <v>2.8643999999999998</v>
      </c>
      <c r="AX257" s="51">
        <v>1.9039999999999999</v>
      </c>
      <c r="AY257" s="51">
        <v>2.597</v>
      </c>
      <c r="AZ257" s="51">
        <f t="shared" si="13"/>
        <v>-0.69300000000000006</v>
      </c>
      <c r="BA257" s="51"/>
    </row>
    <row r="258" spans="46:53" x14ac:dyDescent="0.25">
      <c r="AT258" s="85">
        <v>44745</v>
      </c>
      <c r="AU258" s="51">
        <v>3.49</v>
      </c>
      <c r="AV258" s="51">
        <v>2.8940000000000001</v>
      </c>
      <c r="AW258" s="51">
        <v>2.8466999999999998</v>
      </c>
      <c r="AX258" s="51">
        <v>1.901</v>
      </c>
      <c r="AY258" s="51">
        <v>2.5779999999999998</v>
      </c>
      <c r="AZ258" s="51">
        <f t="shared" si="13"/>
        <v>-0.67699999999999982</v>
      </c>
      <c r="BA258" s="51"/>
    </row>
    <row r="259" spans="46:53" x14ac:dyDescent="0.25">
      <c r="AT259" s="85">
        <v>44744</v>
      </c>
      <c r="AU259" s="51">
        <v>3.49</v>
      </c>
      <c r="AV259" s="51">
        <v>2.8940000000000001</v>
      </c>
      <c r="AW259" s="51">
        <v>2.8466999999999998</v>
      </c>
      <c r="AX259" s="51">
        <v>1.901</v>
      </c>
      <c r="AY259" s="51">
        <v>2.5779999999999998</v>
      </c>
      <c r="AZ259" s="51">
        <f t="shared" si="13"/>
        <v>-0.67699999999999982</v>
      </c>
      <c r="BA259" s="51"/>
    </row>
    <row r="260" spans="46:53" x14ac:dyDescent="0.25">
      <c r="AT260" s="85">
        <v>44743</v>
      </c>
      <c r="AU260" s="51">
        <v>3.49</v>
      </c>
      <c r="AV260" s="51">
        <v>2.8940000000000001</v>
      </c>
      <c r="AW260" s="51">
        <v>2.8466999999999998</v>
      </c>
      <c r="AX260" s="51">
        <v>1.901</v>
      </c>
      <c r="AY260" s="51">
        <v>2.5779999999999998</v>
      </c>
      <c r="AZ260" s="51">
        <f t="shared" si="13"/>
        <v>-0.67699999999999982</v>
      </c>
      <c r="BA260" s="51"/>
    </row>
    <row r="261" spans="46:53" x14ac:dyDescent="0.25">
      <c r="AT261" s="85">
        <v>44742</v>
      </c>
      <c r="AU261" s="51">
        <v>3.6360000000000001</v>
      </c>
      <c r="AV261" s="51">
        <v>3.0129000000000001</v>
      </c>
      <c r="AW261" s="51">
        <v>2.8371</v>
      </c>
      <c r="AX261" s="51">
        <v>1.88</v>
      </c>
      <c r="AY261" s="51">
        <v>2.5459999999999998</v>
      </c>
      <c r="AZ261" s="51">
        <f t="shared" si="13"/>
        <v>-0.66599999999999993</v>
      </c>
      <c r="BA261" s="51"/>
    </row>
    <row r="262" spans="46:53" x14ac:dyDescent="0.25">
      <c r="AT262" s="85">
        <v>44741</v>
      </c>
      <c r="AU262" s="51">
        <v>3.6669999999999998</v>
      </c>
      <c r="AV262" s="51">
        <v>3.0956999999999999</v>
      </c>
      <c r="AW262" s="51">
        <v>2.851</v>
      </c>
      <c r="AX262" s="51">
        <v>1.8540000000000001</v>
      </c>
      <c r="AY262" s="51">
        <v>2.5070000000000001</v>
      </c>
      <c r="AZ262" s="51">
        <f t="shared" si="13"/>
        <v>-0.65300000000000002</v>
      </c>
      <c r="BA262" s="51"/>
    </row>
    <row r="263" spans="46:53" x14ac:dyDescent="0.25">
      <c r="AT263" s="85">
        <v>44740</v>
      </c>
      <c r="AU263" s="51">
        <v>3.68</v>
      </c>
      <c r="AV263" s="51">
        <v>3.18</v>
      </c>
      <c r="AW263" s="51">
        <v>2.8614000000000002</v>
      </c>
      <c r="AX263" s="51">
        <v>1.839</v>
      </c>
      <c r="AY263" s="51">
        <v>2.4849999999999999</v>
      </c>
      <c r="AZ263" s="51">
        <f t="shared" si="13"/>
        <v>-0.64599999999999991</v>
      </c>
      <c r="BA263" s="51"/>
    </row>
    <row r="264" spans="46:53" x14ac:dyDescent="0.25">
      <c r="AT264" s="85">
        <v>44739</v>
      </c>
      <c r="AU264" s="51">
        <v>3.72</v>
      </c>
      <c r="AV264" s="51">
        <v>3.2101000000000002</v>
      </c>
      <c r="AW264" s="51">
        <v>2.8553999999999999</v>
      </c>
      <c r="AX264" s="51">
        <v>1.839</v>
      </c>
      <c r="AY264" s="51">
        <v>2.46</v>
      </c>
      <c r="AZ264" s="51">
        <f t="shared" ref="AZ264:AZ327" si="14">AX264-AY264</f>
        <v>-0.621</v>
      </c>
      <c r="BA264" s="51"/>
    </row>
    <row r="265" spans="46:53" x14ac:dyDescent="0.25">
      <c r="AT265" s="85">
        <v>44738</v>
      </c>
      <c r="AU265" s="51">
        <v>3.6349999999999998</v>
      </c>
      <c r="AV265" s="51">
        <v>3.1356999999999999</v>
      </c>
      <c r="AW265" s="51">
        <v>2.8157999999999999</v>
      </c>
      <c r="AX265" s="51">
        <v>1.8129999999999999</v>
      </c>
      <c r="AY265" s="51">
        <v>2.4350000000000001</v>
      </c>
      <c r="AZ265" s="51">
        <f t="shared" si="14"/>
        <v>-0.62200000000000011</v>
      </c>
      <c r="BA265" s="51"/>
    </row>
    <row r="266" spans="46:53" x14ac:dyDescent="0.25">
      <c r="AT266" s="85">
        <v>44737</v>
      </c>
      <c r="AU266" s="51">
        <v>3.6349999999999998</v>
      </c>
      <c r="AV266" s="51">
        <v>3.1356999999999999</v>
      </c>
      <c r="AW266" s="51">
        <v>2.8157999999999999</v>
      </c>
      <c r="AX266" s="51">
        <v>1.8129999999999999</v>
      </c>
      <c r="AY266" s="51">
        <v>2.4350000000000001</v>
      </c>
      <c r="AZ266" s="51">
        <f t="shared" si="14"/>
        <v>-0.62200000000000011</v>
      </c>
      <c r="BA266" s="51"/>
    </row>
    <row r="267" spans="46:53" x14ac:dyDescent="0.25">
      <c r="AT267" s="85">
        <v>44736</v>
      </c>
      <c r="AU267" s="51">
        <v>3.6349999999999998</v>
      </c>
      <c r="AV267" s="51">
        <v>3.1356999999999999</v>
      </c>
      <c r="AW267" s="51">
        <v>2.8157999999999999</v>
      </c>
      <c r="AX267" s="51">
        <v>1.8129999999999999</v>
      </c>
      <c r="AY267" s="51">
        <v>2.4350000000000001</v>
      </c>
      <c r="AZ267" s="51">
        <f t="shared" si="14"/>
        <v>-0.62200000000000011</v>
      </c>
      <c r="BA267" s="51"/>
    </row>
    <row r="268" spans="46:53" x14ac:dyDescent="0.25">
      <c r="AT268" s="85">
        <v>44735</v>
      </c>
      <c r="AU268" s="51">
        <v>3.726</v>
      </c>
      <c r="AV268" s="51">
        <v>3.0897999999999999</v>
      </c>
      <c r="AW268" s="51">
        <v>2.7966000000000002</v>
      </c>
      <c r="AX268" s="51">
        <v>1.819</v>
      </c>
      <c r="AY268" s="51">
        <v>2.4249999999999998</v>
      </c>
      <c r="AZ268" s="51">
        <f t="shared" si="14"/>
        <v>-0.60599999999999987</v>
      </c>
      <c r="BA268" s="51"/>
    </row>
    <row r="269" spans="46:53" x14ac:dyDescent="0.25">
      <c r="AT269" s="85">
        <v>44734</v>
      </c>
      <c r="AU269" s="51">
        <v>3.6819999999999999</v>
      </c>
      <c r="AV269" s="51">
        <v>3.1627000000000001</v>
      </c>
      <c r="AW269" s="51">
        <v>2.7966000000000002</v>
      </c>
      <c r="AX269" s="51">
        <v>1.8129999999999999</v>
      </c>
      <c r="AY269" s="51">
        <v>2.4129999999999998</v>
      </c>
      <c r="AZ269" s="51">
        <f t="shared" si="14"/>
        <v>-0.59999999999999987</v>
      </c>
      <c r="BA269" s="51"/>
    </row>
    <row r="270" spans="46:53" x14ac:dyDescent="0.25">
      <c r="AT270" s="85">
        <v>44733</v>
      </c>
      <c r="AU270" s="51">
        <v>3.7749999999999999</v>
      </c>
      <c r="AV270" s="51">
        <v>3.2835000000000001</v>
      </c>
      <c r="AW270" s="51">
        <v>2.8048000000000002</v>
      </c>
      <c r="AX270" s="51">
        <v>1.8260000000000001</v>
      </c>
      <c r="AY270" s="51">
        <v>2.403</v>
      </c>
      <c r="AZ270" s="51">
        <f t="shared" si="14"/>
        <v>-0.57699999999999996</v>
      </c>
      <c r="BA270" s="51"/>
    </row>
    <row r="271" spans="46:53" x14ac:dyDescent="0.25">
      <c r="AT271" s="85">
        <v>44732</v>
      </c>
      <c r="AU271" s="51">
        <v>3.7839999999999998</v>
      </c>
      <c r="AV271" s="51">
        <v>3.2360000000000002</v>
      </c>
      <c r="AW271" s="51">
        <v>2.8452999999999999</v>
      </c>
      <c r="AX271" s="51">
        <v>1.8440000000000001</v>
      </c>
      <c r="AY271" s="51">
        <v>2.3969999999999998</v>
      </c>
      <c r="AZ271" s="51">
        <f t="shared" si="14"/>
        <v>-0.55299999999999971</v>
      </c>
      <c r="BA271" s="51"/>
    </row>
    <row r="272" spans="46:53" x14ac:dyDescent="0.25">
      <c r="AT272" s="85">
        <v>44731</v>
      </c>
      <c r="AU272" s="51">
        <v>3.7949999999999999</v>
      </c>
      <c r="AV272" s="51">
        <v>3.2360000000000002</v>
      </c>
      <c r="AW272" s="51">
        <v>2.8287</v>
      </c>
      <c r="AX272" s="51">
        <v>1.87</v>
      </c>
      <c r="AY272" s="51">
        <v>2.3969999999999998</v>
      </c>
      <c r="AZ272" s="51">
        <f t="shared" si="14"/>
        <v>-0.52699999999999969</v>
      </c>
      <c r="BA272" s="51"/>
    </row>
    <row r="273" spans="46:53" x14ac:dyDescent="0.25">
      <c r="AT273" s="85">
        <v>44730</v>
      </c>
      <c r="AU273" s="51">
        <v>3.7949999999999999</v>
      </c>
      <c r="AV273" s="51">
        <v>3.2360000000000002</v>
      </c>
      <c r="AW273" s="51">
        <v>2.8287</v>
      </c>
      <c r="AX273" s="51">
        <v>1.87</v>
      </c>
      <c r="AY273" s="51">
        <v>2.3969999999999998</v>
      </c>
      <c r="AZ273" s="51">
        <f t="shared" si="14"/>
        <v>-0.52699999999999969</v>
      </c>
      <c r="BA273" s="51"/>
    </row>
    <row r="274" spans="46:53" x14ac:dyDescent="0.25">
      <c r="AT274" s="85">
        <v>44729</v>
      </c>
      <c r="AU274" s="51">
        <v>3.7949999999999999</v>
      </c>
      <c r="AV274" s="51">
        <v>3.2360000000000002</v>
      </c>
      <c r="AW274" s="51">
        <v>2.8287</v>
      </c>
      <c r="AX274" s="51">
        <v>1.87</v>
      </c>
      <c r="AY274" s="51">
        <v>2.3969999999999998</v>
      </c>
      <c r="AZ274" s="51">
        <f t="shared" si="14"/>
        <v>-0.52699999999999969</v>
      </c>
      <c r="BA274" s="51"/>
    </row>
    <row r="275" spans="46:53" x14ac:dyDescent="0.25">
      <c r="AT275" s="85">
        <v>44728</v>
      </c>
      <c r="AU275" s="51">
        <v>3.7669999999999999</v>
      </c>
      <c r="AV275" s="51">
        <v>3.2008000000000001</v>
      </c>
      <c r="AW275" s="51">
        <v>2.8338999999999999</v>
      </c>
      <c r="AX275" s="51">
        <v>1.863</v>
      </c>
      <c r="AY275" s="51">
        <v>2.383</v>
      </c>
      <c r="AZ275" s="51">
        <f t="shared" si="14"/>
        <v>-0.52</v>
      </c>
      <c r="BA275" s="51"/>
    </row>
    <row r="276" spans="46:53" x14ac:dyDescent="0.25">
      <c r="AT276" s="85">
        <v>44727</v>
      </c>
      <c r="AU276" s="51">
        <v>3.7949999999999999</v>
      </c>
      <c r="AV276" s="51">
        <v>3.2886000000000002</v>
      </c>
      <c r="AW276" s="51">
        <v>2.8409</v>
      </c>
      <c r="AX276" s="51">
        <v>1.84</v>
      </c>
      <c r="AY276" s="51">
        <v>2.3380000000000001</v>
      </c>
      <c r="AZ276" s="51">
        <f t="shared" si="14"/>
        <v>-0.498</v>
      </c>
      <c r="BA276" s="51"/>
    </row>
    <row r="277" spans="46:53" x14ac:dyDescent="0.25">
      <c r="AT277" s="85">
        <v>44726</v>
      </c>
      <c r="AU277" s="51">
        <v>3.6909999999999998</v>
      </c>
      <c r="AV277" s="51">
        <v>3.4801000000000002</v>
      </c>
      <c r="AW277" s="51">
        <v>2.8302999999999998</v>
      </c>
      <c r="AX277" s="51">
        <v>1.784</v>
      </c>
      <c r="AY277" s="51">
        <v>2.2730000000000001</v>
      </c>
      <c r="AZ277" s="51">
        <f t="shared" si="14"/>
        <v>-0.4890000000000001</v>
      </c>
      <c r="BA277" s="51"/>
    </row>
    <row r="278" spans="46:53" x14ac:dyDescent="0.25">
      <c r="AT278" s="85">
        <v>44725</v>
      </c>
      <c r="AU278" s="51">
        <v>3.6539999999999999</v>
      </c>
      <c r="AV278" s="51">
        <v>3.3637000000000001</v>
      </c>
      <c r="AW278" s="51">
        <v>2.8241000000000001</v>
      </c>
      <c r="AX278" s="51">
        <v>1.778</v>
      </c>
      <c r="AY278" s="51">
        <v>2.2559999999999998</v>
      </c>
      <c r="AZ278" s="51">
        <f t="shared" si="14"/>
        <v>-0.47799999999999976</v>
      </c>
      <c r="BA278" s="51"/>
    </row>
    <row r="279" spans="46:53" x14ac:dyDescent="0.25">
      <c r="AT279" s="85">
        <v>44724</v>
      </c>
      <c r="AU279" s="51">
        <v>3.4950000000000001</v>
      </c>
      <c r="AV279" s="51">
        <v>3.1629999999999998</v>
      </c>
      <c r="AW279" s="51">
        <v>2.8138999999999998</v>
      </c>
      <c r="AX279" s="51">
        <v>1.746</v>
      </c>
      <c r="AY279" s="51">
        <v>2.2210000000000001</v>
      </c>
      <c r="AZ279" s="51">
        <f t="shared" si="14"/>
        <v>-0.47500000000000009</v>
      </c>
      <c r="BA279" s="51"/>
    </row>
    <row r="280" spans="46:53" x14ac:dyDescent="0.25">
      <c r="AT280" s="85">
        <v>44723</v>
      </c>
      <c r="AU280" s="51">
        <v>3.4950000000000001</v>
      </c>
      <c r="AV280" s="51">
        <v>3.1629999999999998</v>
      </c>
      <c r="AW280" s="51">
        <v>2.8138999999999998</v>
      </c>
      <c r="AX280" s="51">
        <v>1.746</v>
      </c>
      <c r="AY280" s="51">
        <v>2.2210000000000001</v>
      </c>
      <c r="AZ280" s="51">
        <f t="shared" si="14"/>
        <v>-0.47500000000000009</v>
      </c>
      <c r="BA280" s="51"/>
    </row>
    <row r="281" spans="46:53" x14ac:dyDescent="0.25">
      <c r="AT281" s="85">
        <v>44722</v>
      </c>
      <c r="AU281" s="51">
        <v>3.4950000000000001</v>
      </c>
      <c r="AV281" s="51">
        <v>3.1629999999999998</v>
      </c>
      <c r="AW281" s="51">
        <v>2.8138999999999998</v>
      </c>
      <c r="AX281" s="51">
        <v>1.746</v>
      </c>
      <c r="AY281" s="51">
        <v>2.2210000000000001</v>
      </c>
      <c r="AZ281" s="51">
        <f t="shared" si="14"/>
        <v>-0.47500000000000009</v>
      </c>
      <c r="BA281" s="51"/>
    </row>
    <row r="282" spans="46:53" x14ac:dyDescent="0.25">
      <c r="AT282" s="85">
        <v>44721</v>
      </c>
      <c r="AU282" s="51">
        <v>3.4710000000000001</v>
      </c>
      <c r="AV282" s="51">
        <v>3.0465</v>
      </c>
      <c r="AW282" s="51">
        <v>2.8201000000000001</v>
      </c>
      <c r="AX282" s="51">
        <v>1.762</v>
      </c>
      <c r="AY282" s="51">
        <v>2.2210000000000001</v>
      </c>
      <c r="AZ282" s="51">
        <f t="shared" si="14"/>
        <v>-0.45900000000000007</v>
      </c>
      <c r="BA282" s="51"/>
    </row>
    <row r="283" spans="46:53" x14ac:dyDescent="0.25">
      <c r="AT283" s="85">
        <v>44720</v>
      </c>
      <c r="AU283" s="51">
        <v>3.472</v>
      </c>
      <c r="AV283" s="51">
        <v>3.0215000000000001</v>
      </c>
      <c r="AW283" s="51">
        <v>2.8298999999999999</v>
      </c>
      <c r="AX283" s="51">
        <v>1.7609999999999999</v>
      </c>
      <c r="AY283" s="51">
        <v>2.2170000000000001</v>
      </c>
      <c r="AZ283" s="51">
        <f t="shared" si="14"/>
        <v>-0.45600000000000018</v>
      </c>
      <c r="BA283" s="51"/>
    </row>
    <row r="284" spans="46:53" x14ac:dyDescent="0.25">
      <c r="AT284" s="85">
        <v>44719</v>
      </c>
      <c r="AU284" s="51">
        <v>3.5379999999999998</v>
      </c>
      <c r="AV284" s="51">
        <v>2.9828000000000001</v>
      </c>
      <c r="AW284" s="51">
        <v>2.8260999999999998</v>
      </c>
      <c r="AX284" s="51">
        <v>1.7609999999999999</v>
      </c>
      <c r="AY284" s="51">
        <v>2.222</v>
      </c>
      <c r="AZ284" s="51">
        <f t="shared" si="14"/>
        <v>-0.46100000000000008</v>
      </c>
      <c r="BA284" s="51"/>
    </row>
    <row r="285" spans="46:53" x14ac:dyDescent="0.25">
      <c r="AT285" s="85">
        <v>44718</v>
      </c>
      <c r="AU285" s="51">
        <v>3.4049999999999998</v>
      </c>
      <c r="AV285" s="51">
        <v>3.0491000000000001</v>
      </c>
      <c r="AW285" s="51">
        <v>2.8363</v>
      </c>
      <c r="AX285" s="51">
        <v>1.7609999999999999</v>
      </c>
      <c r="AY285" s="51">
        <v>2.218</v>
      </c>
      <c r="AZ285" s="51">
        <f t="shared" si="14"/>
        <v>-0.45700000000000007</v>
      </c>
      <c r="BA285" s="51"/>
    </row>
    <row r="286" spans="46:53" x14ac:dyDescent="0.25">
      <c r="AT286" s="85">
        <v>44717</v>
      </c>
      <c r="AU286" s="51">
        <v>3.4049999999999998</v>
      </c>
      <c r="AV286" s="51">
        <v>2.9396</v>
      </c>
      <c r="AW286" s="51">
        <v>2.8247</v>
      </c>
      <c r="AX286" s="51">
        <v>1.7609999999999999</v>
      </c>
      <c r="AY286" s="51">
        <v>2.218</v>
      </c>
      <c r="AZ286" s="51">
        <f t="shared" si="14"/>
        <v>-0.45700000000000007</v>
      </c>
      <c r="BA286" s="51"/>
    </row>
    <row r="287" spans="46:53" x14ac:dyDescent="0.25">
      <c r="AT287" s="85">
        <v>44716</v>
      </c>
      <c r="AU287" s="51">
        <v>3.4049999999999998</v>
      </c>
      <c r="AV287" s="51">
        <v>2.9396</v>
      </c>
      <c r="AW287" s="51">
        <v>2.8247</v>
      </c>
      <c r="AX287" s="51">
        <v>1.7609999999999999</v>
      </c>
      <c r="AY287" s="51">
        <v>2.218</v>
      </c>
      <c r="AZ287" s="51">
        <f t="shared" si="14"/>
        <v>-0.45700000000000007</v>
      </c>
      <c r="BA287" s="51"/>
    </row>
    <row r="288" spans="46:53" x14ac:dyDescent="0.25">
      <c r="AT288" s="85">
        <v>44715</v>
      </c>
      <c r="AU288" s="51">
        <v>3.4049999999999998</v>
      </c>
      <c r="AV288" s="51">
        <v>2.9396</v>
      </c>
      <c r="AW288" s="51">
        <v>2.8247</v>
      </c>
      <c r="AX288" s="51">
        <v>1.7609999999999999</v>
      </c>
      <c r="AY288" s="51">
        <v>2.218</v>
      </c>
      <c r="AZ288" s="51">
        <f t="shared" si="14"/>
        <v>-0.45700000000000007</v>
      </c>
      <c r="BA288" s="51"/>
    </row>
    <row r="289" spans="46:53" x14ac:dyDescent="0.25">
      <c r="AT289" s="85">
        <v>44714</v>
      </c>
      <c r="AU289" s="51">
        <v>3.4209999999999998</v>
      </c>
      <c r="AV289" s="51">
        <v>2.9121999999999999</v>
      </c>
      <c r="AW289" s="51">
        <v>2.8247</v>
      </c>
      <c r="AX289" s="51">
        <v>1.768</v>
      </c>
      <c r="AY289" s="51">
        <v>2.218</v>
      </c>
      <c r="AZ289" s="51">
        <f t="shared" si="14"/>
        <v>-0.44999999999999996</v>
      </c>
      <c r="BA289" s="51"/>
    </row>
    <row r="290" spans="46:53" x14ac:dyDescent="0.25">
      <c r="AT290" s="85">
        <v>44713</v>
      </c>
      <c r="AU290" s="51">
        <v>3.3260000000000001</v>
      </c>
      <c r="AV290" s="51">
        <v>2.9140000000000001</v>
      </c>
      <c r="AW290" s="51">
        <v>2.8197000000000001</v>
      </c>
      <c r="AX290" s="51">
        <v>1.77</v>
      </c>
      <c r="AY290" s="51">
        <v>2.2109999999999999</v>
      </c>
      <c r="AZ290" s="51">
        <f t="shared" si="14"/>
        <v>-0.44099999999999984</v>
      </c>
      <c r="BA290" s="51"/>
    </row>
    <row r="291" spans="46:53" x14ac:dyDescent="0.25">
      <c r="AT291" s="85">
        <v>44712</v>
      </c>
      <c r="AU291" s="51">
        <v>3.3260000000000001</v>
      </c>
      <c r="AV291" s="51">
        <v>2.8531</v>
      </c>
      <c r="AW291" s="51">
        <v>2.8102</v>
      </c>
      <c r="AX291" s="51">
        <v>1.77</v>
      </c>
      <c r="AY291" s="51">
        <v>2.2109999999999999</v>
      </c>
      <c r="AZ291" s="51">
        <f t="shared" si="14"/>
        <v>-0.44099999999999984</v>
      </c>
      <c r="BA291" s="51"/>
    </row>
    <row r="292" spans="46:53" x14ac:dyDescent="0.25">
      <c r="AT292" s="85">
        <v>44711</v>
      </c>
      <c r="AU292" s="51">
        <v>3.2109999999999999</v>
      </c>
      <c r="AV292" s="51">
        <v>2.7450000000000001</v>
      </c>
      <c r="AW292" s="51">
        <v>2.7822</v>
      </c>
      <c r="AX292" s="51">
        <v>1.7629999999999999</v>
      </c>
      <c r="AY292" s="51">
        <v>2.198</v>
      </c>
      <c r="AZ292" s="51">
        <f t="shared" si="14"/>
        <v>-0.43500000000000005</v>
      </c>
      <c r="BA292" s="51"/>
    </row>
    <row r="293" spans="46:53" x14ac:dyDescent="0.25">
      <c r="AT293" s="85">
        <v>44710</v>
      </c>
      <c r="AU293" s="51">
        <v>3.2120000000000002</v>
      </c>
      <c r="AV293" s="51">
        <v>2.7450000000000001</v>
      </c>
      <c r="AW293" s="51">
        <v>2.7562000000000002</v>
      </c>
      <c r="AX293" s="51">
        <v>1.7649999999999999</v>
      </c>
      <c r="AY293" s="51">
        <v>2.198</v>
      </c>
      <c r="AZ293" s="51">
        <f t="shared" si="14"/>
        <v>-0.43300000000000005</v>
      </c>
      <c r="BA293" s="51"/>
    </row>
    <row r="294" spans="46:53" x14ac:dyDescent="0.25">
      <c r="AT294" s="85">
        <v>44709</v>
      </c>
      <c r="AU294" s="51">
        <v>3.2120000000000002</v>
      </c>
      <c r="AV294" s="51">
        <v>2.7450000000000001</v>
      </c>
      <c r="AW294" s="51">
        <v>2.7562000000000002</v>
      </c>
      <c r="AX294" s="51">
        <v>1.7649999999999999</v>
      </c>
      <c r="AY294" s="51">
        <v>2.198</v>
      </c>
      <c r="AZ294" s="51">
        <f t="shared" si="14"/>
        <v>-0.43300000000000005</v>
      </c>
      <c r="BA294" s="51"/>
    </row>
    <row r="295" spans="46:53" x14ac:dyDescent="0.25">
      <c r="AT295" s="85">
        <v>44708</v>
      </c>
      <c r="AU295" s="51">
        <v>3.2120000000000002</v>
      </c>
      <c r="AV295" s="51">
        <v>2.7450000000000001</v>
      </c>
      <c r="AW295" s="51">
        <v>2.7562000000000002</v>
      </c>
      <c r="AX295" s="51">
        <v>1.7649999999999999</v>
      </c>
      <c r="AY295" s="51">
        <v>2.198</v>
      </c>
      <c r="AZ295" s="51">
        <f t="shared" si="14"/>
        <v>-0.43300000000000005</v>
      </c>
      <c r="BA295" s="51"/>
    </row>
    <row r="296" spans="46:53" x14ac:dyDescent="0.25">
      <c r="AT296" s="85">
        <v>44707</v>
      </c>
      <c r="AU296" s="51">
        <v>3.238</v>
      </c>
      <c r="AV296" s="51">
        <v>2.7443</v>
      </c>
      <c r="AW296" s="51">
        <v>2.7606999999999999</v>
      </c>
      <c r="AX296" s="51">
        <v>1.7649999999999999</v>
      </c>
      <c r="AY296" s="51">
        <v>2.1869999999999998</v>
      </c>
      <c r="AZ296" s="51">
        <f t="shared" si="14"/>
        <v>-0.42199999999999993</v>
      </c>
      <c r="BA296" s="51"/>
    </row>
    <row r="297" spans="46:53" x14ac:dyDescent="0.25">
      <c r="AT297" s="85">
        <v>44706</v>
      </c>
      <c r="AU297" s="51">
        <v>3.177</v>
      </c>
      <c r="AV297" s="51">
        <v>2.7505999999999999</v>
      </c>
      <c r="AW297" s="51">
        <v>2.806</v>
      </c>
      <c r="AX297" s="51">
        <v>1.5529999999999999</v>
      </c>
      <c r="AY297" s="51">
        <v>2.0550000000000002</v>
      </c>
      <c r="AZ297" s="51">
        <f t="shared" si="14"/>
        <v>-0.50200000000000022</v>
      </c>
      <c r="BA297" s="51"/>
    </row>
    <row r="298" spans="46:53" x14ac:dyDescent="0.25">
      <c r="AT298" s="85">
        <v>44705</v>
      </c>
      <c r="AU298" s="51">
        <v>3.214</v>
      </c>
      <c r="AV298" s="51">
        <v>2.7542</v>
      </c>
      <c r="AW298" s="51">
        <v>2.8155999999999999</v>
      </c>
      <c r="AX298" s="51">
        <v>1.5249999999999999</v>
      </c>
      <c r="AY298" s="51">
        <v>2.04</v>
      </c>
      <c r="AZ298" s="51">
        <f t="shared" si="14"/>
        <v>-0.51500000000000012</v>
      </c>
      <c r="BA298" s="51"/>
    </row>
    <row r="299" spans="46:53" x14ac:dyDescent="0.25">
      <c r="AT299" s="85">
        <v>44704</v>
      </c>
      <c r="AU299" s="51">
        <v>3.258</v>
      </c>
      <c r="AV299" s="51">
        <v>2.8540999999999999</v>
      </c>
      <c r="AW299" s="51">
        <v>2.8191000000000002</v>
      </c>
      <c r="AX299" s="51">
        <v>1.512</v>
      </c>
      <c r="AY299" s="51">
        <v>2.0310000000000001</v>
      </c>
      <c r="AZ299" s="51">
        <f t="shared" si="14"/>
        <v>-0.51900000000000013</v>
      </c>
      <c r="BA299" s="51"/>
    </row>
    <row r="300" spans="46:53" x14ac:dyDescent="0.25">
      <c r="AT300" s="85">
        <v>44703</v>
      </c>
      <c r="AU300" s="51">
        <v>3.2450000000000001</v>
      </c>
      <c r="AV300" s="51">
        <v>2.7847</v>
      </c>
      <c r="AW300" s="51">
        <v>2.8317999999999999</v>
      </c>
      <c r="AX300" s="51">
        <v>1.502</v>
      </c>
      <c r="AY300" s="51">
        <v>2.0179999999999998</v>
      </c>
      <c r="AZ300" s="51">
        <f t="shared" si="14"/>
        <v>-0.51599999999999979</v>
      </c>
      <c r="BA300" s="51"/>
    </row>
    <row r="301" spans="46:53" x14ac:dyDescent="0.25">
      <c r="AT301" s="85">
        <v>44702</v>
      </c>
      <c r="AU301" s="51">
        <v>3.2450000000000001</v>
      </c>
      <c r="AV301" s="51">
        <v>2.7847</v>
      </c>
      <c r="AW301" s="51">
        <v>2.8317999999999999</v>
      </c>
      <c r="AX301" s="51">
        <v>1.502</v>
      </c>
      <c r="AY301" s="51">
        <v>2.0179999999999998</v>
      </c>
      <c r="AZ301" s="51">
        <f t="shared" si="14"/>
        <v>-0.51599999999999979</v>
      </c>
      <c r="BA301" s="51"/>
    </row>
    <row r="302" spans="46:53" x14ac:dyDescent="0.25">
      <c r="AT302" s="85">
        <v>44701</v>
      </c>
      <c r="AU302" s="51">
        <v>3.2450000000000001</v>
      </c>
      <c r="AV302" s="51">
        <v>2.7847</v>
      </c>
      <c r="AW302" s="51">
        <v>2.8317999999999999</v>
      </c>
      <c r="AX302" s="51">
        <v>1.502</v>
      </c>
      <c r="AY302" s="51">
        <v>2.0179999999999998</v>
      </c>
      <c r="AZ302" s="51">
        <f t="shared" si="14"/>
        <v>-0.51599999999999979</v>
      </c>
      <c r="BA302" s="51"/>
    </row>
    <row r="303" spans="46:53" x14ac:dyDescent="0.25">
      <c r="AT303" s="85">
        <v>44700</v>
      </c>
      <c r="AU303" s="51">
        <v>3.3069999999999999</v>
      </c>
      <c r="AV303" s="51">
        <v>2.8460000000000001</v>
      </c>
      <c r="AW303" s="51">
        <v>2.823</v>
      </c>
      <c r="AX303" s="51">
        <v>1.5009999999999999</v>
      </c>
      <c r="AY303" s="51">
        <v>2.0089999999999999</v>
      </c>
      <c r="AZ303" s="51">
        <f t="shared" si="14"/>
        <v>-0.50800000000000001</v>
      </c>
      <c r="BA303" s="51"/>
    </row>
    <row r="304" spans="46:53" x14ac:dyDescent="0.25">
      <c r="AT304" s="85">
        <v>44699</v>
      </c>
      <c r="AU304" s="51">
        <v>3.32</v>
      </c>
      <c r="AV304" s="51">
        <v>2.8921999999999999</v>
      </c>
      <c r="AW304" s="51">
        <v>2.8271999999999999</v>
      </c>
      <c r="AX304" s="51">
        <v>1.4930000000000001</v>
      </c>
      <c r="AY304" s="51">
        <v>2</v>
      </c>
      <c r="AZ304" s="51">
        <f t="shared" si="14"/>
        <v>-0.5069999999999999</v>
      </c>
      <c r="BA304" s="51"/>
    </row>
    <row r="305" spans="46:53" x14ac:dyDescent="0.25">
      <c r="AT305" s="85">
        <v>44698</v>
      </c>
      <c r="AU305" s="51">
        <v>3.2869999999999999</v>
      </c>
      <c r="AV305" s="51">
        <v>2.9897</v>
      </c>
      <c r="AW305" s="51">
        <v>2.8363</v>
      </c>
      <c r="AX305" s="51">
        <v>1.478</v>
      </c>
      <c r="AY305" s="51">
        <v>1.992</v>
      </c>
      <c r="AZ305" s="51">
        <f t="shared" si="14"/>
        <v>-0.51400000000000001</v>
      </c>
      <c r="BA305" s="51"/>
    </row>
    <row r="306" spans="46:53" x14ac:dyDescent="0.25">
      <c r="AT306" s="85">
        <v>44697</v>
      </c>
      <c r="AU306" s="51">
        <v>3.2770000000000001</v>
      </c>
      <c r="AV306" s="51">
        <v>2.8831000000000002</v>
      </c>
      <c r="AW306" s="51">
        <v>2.8412999999999999</v>
      </c>
      <c r="AX306" s="51">
        <v>1.456</v>
      </c>
      <c r="AY306" s="51">
        <v>1.9790000000000001</v>
      </c>
      <c r="AZ306" s="51">
        <f t="shared" si="14"/>
        <v>-0.52300000000000013</v>
      </c>
      <c r="BA306" s="51"/>
    </row>
    <row r="307" spans="46:53" x14ac:dyDescent="0.25">
      <c r="AT307" s="85">
        <v>44696</v>
      </c>
      <c r="AU307" s="51">
        <v>3.2210000000000001</v>
      </c>
      <c r="AV307" s="51">
        <v>2.9176000000000002</v>
      </c>
      <c r="AW307" s="51">
        <v>2.8342000000000001</v>
      </c>
      <c r="AX307" s="51">
        <v>1.42</v>
      </c>
      <c r="AY307" s="51">
        <v>1.9490000000000001</v>
      </c>
      <c r="AZ307" s="51">
        <f t="shared" si="14"/>
        <v>-0.52900000000000014</v>
      </c>
      <c r="BA307" s="51"/>
    </row>
    <row r="308" spans="46:53" x14ac:dyDescent="0.25">
      <c r="AT308" s="85">
        <v>44695</v>
      </c>
      <c r="AU308" s="51">
        <v>3.2210000000000001</v>
      </c>
      <c r="AV308" s="51">
        <v>2.9176000000000002</v>
      </c>
      <c r="AW308" s="51">
        <v>2.8342000000000001</v>
      </c>
      <c r="AX308" s="51">
        <v>1.42</v>
      </c>
      <c r="AY308" s="51">
        <v>1.9490000000000001</v>
      </c>
      <c r="AZ308" s="51">
        <f t="shared" si="14"/>
        <v>-0.52900000000000014</v>
      </c>
      <c r="BA308" s="51"/>
    </row>
    <row r="309" spans="46:53" x14ac:dyDescent="0.25">
      <c r="AT309" s="85">
        <v>44694</v>
      </c>
      <c r="AU309" s="51">
        <v>3.2210000000000001</v>
      </c>
      <c r="AV309" s="51">
        <v>2.9176000000000002</v>
      </c>
      <c r="AW309" s="51">
        <v>2.8342000000000001</v>
      </c>
      <c r="AX309" s="51">
        <v>1.42</v>
      </c>
      <c r="AY309" s="51">
        <v>1.9490000000000001</v>
      </c>
      <c r="AZ309" s="51">
        <f t="shared" si="14"/>
        <v>-0.52900000000000014</v>
      </c>
      <c r="BA309" s="51"/>
    </row>
    <row r="310" spans="46:53" x14ac:dyDescent="0.25">
      <c r="AT310" s="85">
        <v>44693</v>
      </c>
      <c r="AU310" s="51">
        <v>3.169</v>
      </c>
      <c r="AV310" s="51">
        <v>2.8542999999999998</v>
      </c>
      <c r="AW310" s="51">
        <v>2.8233000000000001</v>
      </c>
      <c r="AX310" s="51">
        <v>1.393</v>
      </c>
      <c r="AY310" s="51">
        <v>1.9350000000000001</v>
      </c>
      <c r="AZ310" s="51">
        <f t="shared" si="14"/>
        <v>-0.54200000000000004</v>
      </c>
      <c r="BA310" s="51"/>
    </row>
    <row r="311" spans="46:53" x14ac:dyDescent="0.25">
      <c r="AT311" s="85">
        <v>44692</v>
      </c>
      <c r="AU311" s="51">
        <v>3.2690000000000001</v>
      </c>
      <c r="AV311" s="51">
        <v>2.9306000000000001</v>
      </c>
      <c r="AW311" s="51">
        <v>2.8422000000000001</v>
      </c>
      <c r="AX311" s="51">
        <v>1.395</v>
      </c>
      <c r="AY311" s="51">
        <v>1.9339999999999999</v>
      </c>
      <c r="AZ311" s="51">
        <f t="shared" si="14"/>
        <v>-0.53899999999999992</v>
      </c>
      <c r="BA311" s="51"/>
    </row>
    <row r="312" spans="46:53" x14ac:dyDescent="0.25">
      <c r="AT312" s="85">
        <v>44691</v>
      </c>
      <c r="AU312" s="51">
        <v>3.403</v>
      </c>
      <c r="AV312" s="51">
        <v>2.9939</v>
      </c>
      <c r="AW312" s="51">
        <v>2.827</v>
      </c>
      <c r="AX312" s="51">
        <v>1.391</v>
      </c>
      <c r="AY312" s="51">
        <v>1.929</v>
      </c>
      <c r="AZ312" s="51">
        <f t="shared" si="14"/>
        <v>-0.53800000000000003</v>
      </c>
      <c r="BA312" s="51"/>
    </row>
    <row r="313" spans="46:53" x14ac:dyDescent="0.25">
      <c r="AT313" s="85">
        <v>44690</v>
      </c>
      <c r="AU313" s="51">
        <v>3.4140000000000001</v>
      </c>
      <c r="AV313" s="51">
        <v>3.0398000000000001</v>
      </c>
      <c r="AW313" s="51">
        <v>2.8351000000000002</v>
      </c>
      <c r="AX313" s="51">
        <v>1.4</v>
      </c>
      <c r="AY313" s="51">
        <v>1.929</v>
      </c>
      <c r="AZ313" s="51">
        <f t="shared" si="14"/>
        <v>-0.52900000000000014</v>
      </c>
      <c r="BA313" s="51"/>
    </row>
    <row r="314" spans="46:53" x14ac:dyDescent="0.25">
      <c r="AT314" s="85">
        <v>44689</v>
      </c>
      <c r="AU314" s="51">
        <v>3.431</v>
      </c>
      <c r="AV314" s="51">
        <v>3.1396000000000002</v>
      </c>
      <c r="AW314" s="51">
        <v>2.8479999999999999</v>
      </c>
      <c r="AX314" s="51">
        <v>1.4179999999999999</v>
      </c>
      <c r="AY314" s="51">
        <v>1.929</v>
      </c>
      <c r="AZ314" s="51">
        <f t="shared" si="14"/>
        <v>-0.51100000000000012</v>
      </c>
      <c r="BA314" s="51"/>
    </row>
    <row r="315" spans="46:53" x14ac:dyDescent="0.25">
      <c r="AT315" s="85">
        <v>44688</v>
      </c>
      <c r="AU315" s="51">
        <v>3.431</v>
      </c>
      <c r="AV315" s="51">
        <v>3.1396000000000002</v>
      </c>
      <c r="AW315" s="51">
        <v>2.8479999999999999</v>
      </c>
      <c r="AX315" s="51">
        <v>1.4179999999999999</v>
      </c>
      <c r="AY315" s="51">
        <v>1.929</v>
      </c>
      <c r="AZ315" s="51">
        <f t="shared" si="14"/>
        <v>-0.51100000000000012</v>
      </c>
      <c r="BA315" s="51"/>
    </row>
    <row r="316" spans="46:53" x14ac:dyDescent="0.25">
      <c r="AT316" s="85">
        <v>44687</v>
      </c>
      <c r="AU316" s="51">
        <v>3.431</v>
      </c>
      <c r="AV316" s="51">
        <v>3.1396000000000002</v>
      </c>
      <c r="AW316" s="51">
        <v>2.8479999999999999</v>
      </c>
      <c r="AX316" s="51">
        <v>1.4179999999999999</v>
      </c>
      <c r="AY316" s="51">
        <v>1.929</v>
      </c>
      <c r="AZ316" s="51">
        <f t="shared" si="14"/>
        <v>-0.51100000000000012</v>
      </c>
      <c r="BA316" s="51"/>
    </row>
    <row r="317" spans="46:53" x14ac:dyDescent="0.25">
      <c r="AT317" s="85">
        <v>44686</v>
      </c>
      <c r="AU317" s="51">
        <v>3.4340000000000002</v>
      </c>
      <c r="AV317" s="51">
        <v>3.0426000000000002</v>
      </c>
      <c r="AW317" s="51">
        <v>2.8481999999999998</v>
      </c>
      <c r="AX317" s="51">
        <v>1.4330000000000001</v>
      </c>
      <c r="AY317" s="51">
        <v>1.929</v>
      </c>
      <c r="AZ317" s="51">
        <f t="shared" si="14"/>
        <v>-0.496</v>
      </c>
      <c r="BA317" s="51"/>
    </row>
    <row r="318" spans="46:53" x14ac:dyDescent="0.25">
      <c r="AT318" s="85">
        <v>44685</v>
      </c>
      <c r="AU318" s="51">
        <v>3.4340000000000002</v>
      </c>
      <c r="AV318" s="51">
        <v>2.9373999999999998</v>
      </c>
      <c r="AW318" s="51">
        <v>2.8540000000000001</v>
      </c>
      <c r="AX318" s="51">
        <v>1.4330000000000001</v>
      </c>
      <c r="AY318" s="51">
        <v>1.929</v>
      </c>
      <c r="AZ318" s="51">
        <f t="shared" si="14"/>
        <v>-0.496</v>
      </c>
      <c r="BA318" s="51"/>
    </row>
    <row r="319" spans="46:53" x14ac:dyDescent="0.25">
      <c r="AT319" s="85">
        <v>44684</v>
      </c>
      <c r="AU319" s="51">
        <v>3.4060000000000001</v>
      </c>
      <c r="AV319" s="51">
        <v>2.9693999999999998</v>
      </c>
      <c r="AW319" s="51">
        <v>2.8540000000000001</v>
      </c>
      <c r="AX319" s="51">
        <v>1.4330000000000001</v>
      </c>
      <c r="AY319" s="51">
        <v>1.9359999999999999</v>
      </c>
      <c r="AZ319" s="51">
        <f t="shared" si="14"/>
        <v>-0.50299999999999989</v>
      </c>
      <c r="BA319" s="51"/>
    </row>
    <row r="320" spans="46:53" x14ac:dyDescent="0.25">
      <c r="AT320" s="85">
        <v>44683</v>
      </c>
      <c r="AU320" s="51">
        <v>3.38</v>
      </c>
      <c r="AV320" s="51">
        <v>2.9807999999999999</v>
      </c>
      <c r="AW320" s="51">
        <v>2.8540000000000001</v>
      </c>
      <c r="AX320" s="51">
        <v>1.4350000000000001</v>
      </c>
      <c r="AY320" s="51">
        <v>1.9470000000000001</v>
      </c>
      <c r="AZ320" s="51">
        <f t="shared" si="14"/>
        <v>-0.51200000000000001</v>
      </c>
      <c r="BA320" s="51"/>
    </row>
    <row r="321" spans="46:53" x14ac:dyDescent="0.25">
      <c r="AT321" s="85">
        <v>44682</v>
      </c>
      <c r="AU321" s="51">
        <v>3.242</v>
      </c>
      <c r="AV321" s="51">
        <v>2.9337</v>
      </c>
      <c r="AW321" s="51">
        <v>2.8540000000000001</v>
      </c>
      <c r="AX321" s="51">
        <v>1.4279999999999999</v>
      </c>
      <c r="AY321" s="51">
        <v>1.93</v>
      </c>
      <c r="AZ321" s="51">
        <f t="shared" si="14"/>
        <v>-0.502</v>
      </c>
      <c r="BA321" s="51"/>
    </row>
    <row r="322" spans="46:53" x14ac:dyDescent="0.25">
      <c r="AT322" s="85">
        <v>44681</v>
      </c>
      <c r="AU322" s="51">
        <v>3.242</v>
      </c>
      <c r="AV322" s="51">
        <v>2.9337</v>
      </c>
      <c r="AW322" s="51">
        <v>2.8540000000000001</v>
      </c>
      <c r="AX322" s="51">
        <v>1.4279999999999999</v>
      </c>
      <c r="AY322" s="51">
        <v>1.93</v>
      </c>
      <c r="AZ322" s="51">
        <f t="shared" si="14"/>
        <v>-0.502</v>
      </c>
      <c r="BA322" s="51"/>
    </row>
    <row r="323" spans="46:53" x14ac:dyDescent="0.25">
      <c r="AT323" s="85">
        <v>44680</v>
      </c>
      <c r="AU323" s="51">
        <v>3.242</v>
      </c>
      <c r="AV323" s="51">
        <v>2.9337</v>
      </c>
      <c r="AW323" s="51">
        <v>2.8540000000000001</v>
      </c>
      <c r="AX323" s="51">
        <v>1.4279999999999999</v>
      </c>
      <c r="AY323" s="51">
        <v>1.93</v>
      </c>
      <c r="AZ323" s="51">
        <f t="shared" si="14"/>
        <v>-0.502</v>
      </c>
      <c r="BA323" s="51"/>
    </row>
    <row r="324" spans="46:53" x14ac:dyDescent="0.25">
      <c r="AT324" s="85">
        <v>44679</v>
      </c>
      <c r="AU324" s="51">
        <v>3.1659999999999999</v>
      </c>
      <c r="AV324" s="51">
        <v>2.8264</v>
      </c>
      <c r="AW324" s="51">
        <v>2.8687</v>
      </c>
      <c r="AX324" s="51">
        <v>1.4279999999999999</v>
      </c>
      <c r="AY324" s="51">
        <v>1.9350000000000001</v>
      </c>
      <c r="AZ324" s="51">
        <f t="shared" si="14"/>
        <v>-0.50700000000000012</v>
      </c>
      <c r="BA324" s="51"/>
    </row>
    <row r="325" spans="46:53" x14ac:dyDescent="0.25">
      <c r="AT325" s="85">
        <v>44678</v>
      </c>
      <c r="AU325" s="51">
        <v>3.1850000000000001</v>
      </c>
      <c r="AV325" s="51">
        <v>2.8338999999999999</v>
      </c>
      <c r="AW325" s="51">
        <v>2.8626999999999998</v>
      </c>
      <c r="AX325" s="51">
        <v>1.4350000000000001</v>
      </c>
      <c r="AY325" s="51">
        <v>1.9339999999999999</v>
      </c>
      <c r="AZ325" s="51">
        <f t="shared" si="14"/>
        <v>-0.49899999999999989</v>
      </c>
      <c r="BA325" s="51"/>
    </row>
    <row r="326" spans="46:53" x14ac:dyDescent="0.25">
      <c r="AT326" s="85">
        <v>44677</v>
      </c>
      <c r="AU326" s="51">
        <v>3.19</v>
      </c>
      <c r="AV326" s="51">
        <v>2.7302</v>
      </c>
      <c r="AW326" s="51">
        <v>2.8477000000000001</v>
      </c>
      <c r="AX326" s="51">
        <v>1.446</v>
      </c>
      <c r="AY326" s="51">
        <v>1.9370000000000001</v>
      </c>
      <c r="AZ326" s="51">
        <f t="shared" si="14"/>
        <v>-0.4910000000000001</v>
      </c>
      <c r="BA326" s="51"/>
    </row>
    <row r="327" spans="46:53" x14ac:dyDescent="0.25">
      <c r="AT327" s="85">
        <v>44676</v>
      </c>
      <c r="AU327" s="51">
        <v>3.1880000000000002</v>
      </c>
      <c r="AV327" s="51">
        <v>2.8275999999999999</v>
      </c>
      <c r="AW327" s="51">
        <v>2.8643999999999998</v>
      </c>
      <c r="AX327" s="51">
        <v>1.456</v>
      </c>
      <c r="AY327" s="51">
        <v>1.9419999999999999</v>
      </c>
      <c r="AZ327" s="51">
        <f t="shared" si="14"/>
        <v>-0.48599999999999999</v>
      </c>
      <c r="BA327" s="51"/>
    </row>
    <row r="328" spans="46:53" x14ac:dyDescent="0.25">
      <c r="AT328" s="85">
        <v>44675</v>
      </c>
      <c r="AU328" s="51">
        <v>3.3140000000000001</v>
      </c>
      <c r="AV328" s="51">
        <v>2.8959000000000001</v>
      </c>
      <c r="AW328" s="51">
        <v>2.8841000000000001</v>
      </c>
      <c r="AX328" s="51">
        <v>1.4730000000000001</v>
      </c>
      <c r="AY328" s="51">
        <v>1.96</v>
      </c>
      <c r="AZ328" s="51">
        <f t="shared" ref="AZ328:AZ391" si="15">AX328-AY328</f>
        <v>-0.48699999999999988</v>
      </c>
      <c r="BA328" s="51"/>
    </row>
    <row r="329" spans="46:53" x14ac:dyDescent="0.25">
      <c r="AT329" s="85">
        <v>44674</v>
      </c>
      <c r="AU329" s="51">
        <v>3.3140000000000001</v>
      </c>
      <c r="AV329" s="51">
        <v>2.8959000000000001</v>
      </c>
      <c r="AW329" s="51">
        <v>2.8841000000000001</v>
      </c>
      <c r="AX329" s="51">
        <v>1.4730000000000001</v>
      </c>
      <c r="AY329" s="51">
        <v>1.96</v>
      </c>
      <c r="AZ329" s="51">
        <f t="shared" si="15"/>
        <v>-0.48699999999999988</v>
      </c>
      <c r="BA329" s="51"/>
    </row>
    <row r="330" spans="46:53" x14ac:dyDescent="0.25">
      <c r="AT330" s="85">
        <v>44673</v>
      </c>
      <c r="AU330" s="51">
        <v>3.3140000000000001</v>
      </c>
      <c r="AV330" s="51">
        <v>2.8959000000000001</v>
      </c>
      <c r="AW330" s="51">
        <v>2.8841000000000001</v>
      </c>
      <c r="AX330" s="51">
        <v>1.4730000000000001</v>
      </c>
      <c r="AY330" s="51">
        <v>1.96</v>
      </c>
      <c r="AZ330" s="51">
        <f t="shared" si="15"/>
        <v>-0.48699999999999988</v>
      </c>
      <c r="BA330" s="51"/>
    </row>
    <row r="331" spans="46:53" x14ac:dyDescent="0.25">
      <c r="AT331" s="85">
        <v>44672</v>
      </c>
      <c r="AU331" s="51">
        <v>3.2959999999999998</v>
      </c>
      <c r="AV331" s="51">
        <v>2.9106000000000001</v>
      </c>
      <c r="AW331" s="51">
        <v>2.8681999999999999</v>
      </c>
      <c r="AX331" s="51">
        <v>1.4850000000000001</v>
      </c>
      <c r="AY331" s="51">
        <v>1.96</v>
      </c>
      <c r="AZ331" s="51">
        <f t="shared" si="15"/>
        <v>-0.47499999999999987</v>
      </c>
      <c r="BA331" s="51"/>
    </row>
    <row r="332" spans="46:53" x14ac:dyDescent="0.25">
      <c r="AT332" s="85">
        <v>44671</v>
      </c>
      <c r="AU332" s="51">
        <v>3.3130000000000002</v>
      </c>
      <c r="AV332" s="51">
        <v>2.8399000000000001</v>
      </c>
      <c r="AW332" s="51">
        <v>2.8754</v>
      </c>
      <c r="AX332" s="51">
        <v>1.49</v>
      </c>
      <c r="AY332" s="51">
        <v>1.9670000000000001</v>
      </c>
      <c r="AZ332" s="51">
        <f t="shared" si="15"/>
        <v>-0.47700000000000009</v>
      </c>
      <c r="BA332" s="51"/>
    </row>
    <row r="333" spans="46:53" x14ac:dyDescent="0.25">
      <c r="AT333" s="85">
        <v>44670</v>
      </c>
      <c r="AU333" s="51">
        <v>3.35</v>
      </c>
      <c r="AV333" s="51">
        <v>2.9411999999999998</v>
      </c>
      <c r="AW333" s="51">
        <v>2.8690000000000002</v>
      </c>
      <c r="AX333" s="51">
        <v>1.508</v>
      </c>
      <c r="AY333" s="51">
        <v>1.97</v>
      </c>
      <c r="AZ333" s="51">
        <f t="shared" si="15"/>
        <v>-0.46199999999999997</v>
      </c>
      <c r="BA333" s="51"/>
    </row>
    <row r="334" spans="46:53" x14ac:dyDescent="0.25">
      <c r="AT334" s="85">
        <v>44669</v>
      </c>
      <c r="AU334" s="51">
        <v>3.355</v>
      </c>
      <c r="AV334" s="51">
        <v>2.8614999999999999</v>
      </c>
      <c r="AW334" s="51">
        <v>2.8658999999999999</v>
      </c>
      <c r="AX334" s="51">
        <v>1.5109999999999999</v>
      </c>
      <c r="AY334" s="51">
        <v>1.976</v>
      </c>
      <c r="AZ334" s="51">
        <f t="shared" si="15"/>
        <v>-0.46500000000000008</v>
      </c>
      <c r="BA334" s="51"/>
    </row>
    <row r="335" spans="46:53" x14ac:dyDescent="0.25">
      <c r="AT335" s="85">
        <v>44668</v>
      </c>
      <c r="AU335" s="51">
        <v>3.3010000000000002</v>
      </c>
      <c r="AV335" s="51">
        <v>2.8298000000000001</v>
      </c>
      <c r="AW335" s="51">
        <v>2.8184999999999998</v>
      </c>
      <c r="AX335" s="51">
        <v>1.508</v>
      </c>
      <c r="AY335" s="51">
        <v>1.97</v>
      </c>
      <c r="AZ335" s="51">
        <f t="shared" si="15"/>
        <v>-0.46199999999999997</v>
      </c>
      <c r="BA335" s="51"/>
    </row>
    <row r="336" spans="46:53" x14ac:dyDescent="0.25">
      <c r="AT336" s="85">
        <v>44667</v>
      </c>
      <c r="AU336" s="51">
        <v>3.3010000000000002</v>
      </c>
      <c r="AV336" s="51">
        <v>2.8298000000000001</v>
      </c>
      <c r="AW336" s="51">
        <v>2.8184999999999998</v>
      </c>
      <c r="AX336" s="51">
        <v>1.508</v>
      </c>
      <c r="AY336" s="51">
        <v>1.97</v>
      </c>
      <c r="AZ336" s="51">
        <f t="shared" si="15"/>
        <v>-0.46199999999999997</v>
      </c>
      <c r="BA336" s="51"/>
    </row>
    <row r="337" spans="46:53" x14ac:dyDescent="0.25">
      <c r="AT337" s="85">
        <v>44666</v>
      </c>
      <c r="AU337" s="51">
        <v>3.3010000000000002</v>
      </c>
      <c r="AV337" s="51">
        <v>2.8298000000000001</v>
      </c>
      <c r="AW337" s="51">
        <v>2.8184999999999998</v>
      </c>
      <c r="AX337" s="51">
        <v>1.508</v>
      </c>
      <c r="AY337" s="51">
        <v>1.97</v>
      </c>
      <c r="AZ337" s="51">
        <f t="shared" si="15"/>
        <v>-0.46199999999999997</v>
      </c>
      <c r="BA337" s="51"/>
    </row>
    <row r="338" spans="46:53" x14ac:dyDescent="0.25">
      <c r="AT338" s="85">
        <v>44665</v>
      </c>
      <c r="AU338" s="51">
        <v>3.22</v>
      </c>
      <c r="AV338" s="51">
        <v>2.8298000000000001</v>
      </c>
      <c r="AW338" s="51">
        <v>2.8203</v>
      </c>
      <c r="AX338" s="51">
        <v>1.5009999999999999</v>
      </c>
      <c r="AY338" s="51">
        <v>1.9670000000000001</v>
      </c>
      <c r="AZ338" s="51">
        <f t="shared" si="15"/>
        <v>-0.46600000000000019</v>
      </c>
      <c r="BA338" s="51"/>
    </row>
    <row r="339" spans="46:53" x14ac:dyDescent="0.25">
      <c r="AT339" s="85">
        <v>44664</v>
      </c>
      <c r="AU339" s="51">
        <v>3.2869999999999999</v>
      </c>
      <c r="AV339" s="51">
        <v>2.6979000000000002</v>
      </c>
      <c r="AW339" s="51">
        <v>2.823</v>
      </c>
      <c r="AX339" s="51">
        <v>1.4159999999999999</v>
      </c>
      <c r="AY339" s="51">
        <v>1.88</v>
      </c>
      <c r="AZ339" s="51">
        <f t="shared" si="15"/>
        <v>-0.46399999999999997</v>
      </c>
      <c r="BA339" s="51"/>
    </row>
    <row r="340" spans="46:53" x14ac:dyDescent="0.25">
      <c r="AT340" s="85">
        <v>44663</v>
      </c>
      <c r="AU340" s="51">
        <v>3.3130000000000002</v>
      </c>
      <c r="AV340" s="51">
        <v>2.73</v>
      </c>
      <c r="AW340" s="51">
        <v>2.8292000000000002</v>
      </c>
      <c r="AX340" s="51">
        <v>1.4059999999999999</v>
      </c>
      <c r="AY340" s="51">
        <v>1.877</v>
      </c>
      <c r="AZ340" s="51">
        <f t="shared" si="15"/>
        <v>-0.47100000000000009</v>
      </c>
      <c r="BA340" s="51"/>
    </row>
    <row r="341" spans="46:53" x14ac:dyDescent="0.25">
      <c r="AT341" s="85">
        <v>44662</v>
      </c>
      <c r="AU341" s="51">
        <v>3.3050000000000002</v>
      </c>
      <c r="AV341" s="51">
        <v>2.7822</v>
      </c>
      <c r="AW341" s="51">
        <v>2.8275999999999999</v>
      </c>
      <c r="AX341" s="51">
        <v>1.4019999999999999</v>
      </c>
      <c r="AY341" s="51">
        <v>1.87</v>
      </c>
      <c r="AZ341" s="51">
        <f t="shared" si="15"/>
        <v>-0.46800000000000019</v>
      </c>
      <c r="BA341" s="51"/>
    </row>
    <row r="342" spans="46:53" x14ac:dyDescent="0.25">
      <c r="AT342" s="85">
        <v>44661</v>
      </c>
      <c r="AU342" s="51">
        <v>3.169</v>
      </c>
      <c r="AV342" s="51">
        <v>2.7096</v>
      </c>
      <c r="AW342" s="51">
        <v>2.8062</v>
      </c>
      <c r="AX342" s="51">
        <v>1.39</v>
      </c>
      <c r="AY342" s="51">
        <v>1.851</v>
      </c>
      <c r="AZ342" s="51">
        <f t="shared" si="15"/>
        <v>-0.46100000000000008</v>
      </c>
      <c r="BA342" s="51"/>
    </row>
    <row r="343" spans="46:53" x14ac:dyDescent="0.25">
      <c r="AT343" s="85">
        <v>44660</v>
      </c>
      <c r="AU343" s="51">
        <v>3.169</v>
      </c>
      <c r="AV343" s="51">
        <v>2.7096</v>
      </c>
      <c r="AW343" s="51">
        <v>2.8062</v>
      </c>
      <c r="AX343" s="51">
        <v>1.39</v>
      </c>
      <c r="AY343" s="51">
        <v>1.851</v>
      </c>
      <c r="AZ343" s="51">
        <f t="shared" si="15"/>
        <v>-0.46100000000000008</v>
      </c>
      <c r="BA343" s="51"/>
    </row>
    <row r="344" spans="46:53" x14ac:dyDescent="0.25">
      <c r="AT344" s="85">
        <v>44659</v>
      </c>
      <c r="AU344" s="51">
        <v>3.169</v>
      </c>
      <c r="AV344" s="51">
        <v>2.7096</v>
      </c>
      <c r="AW344" s="51">
        <v>2.8062</v>
      </c>
      <c r="AX344" s="51">
        <v>1.39</v>
      </c>
      <c r="AY344" s="51">
        <v>1.851</v>
      </c>
      <c r="AZ344" s="51">
        <f t="shared" si="15"/>
        <v>-0.46100000000000008</v>
      </c>
      <c r="BA344" s="51"/>
    </row>
    <row r="345" spans="46:53" x14ac:dyDescent="0.25">
      <c r="AT345" s="85">
        <v>44658</v>
      </c>
      <c r="AU345" s="51">
        <v>3.1280000000000001</v>
      </c>
      <c r="AV345" s="51">
        <v>2.6636000000000002</v>
      </c>
      <c r="AW345" s="51">
        <v>2.7995000000000001</v>
      </c>
      <c r="AX345" s="51">
        <v>1.3759999999999999</v>
      </c>
      <c r="AY345" s="51">
        <v>1.83</v>
      </c>
      <c r="AZ345" s="51">
        <f t="shared" si="15"/>
        <v>-0.45400000000000018</v>
      </c>
      <c r="BA345" s="51"/>
    </row>
    <row r="346" spans="46:53" x14ac:dyDescent="0.25">
      <c r="AT346" s="85">
        <v>44657</v>
      </c>
      <c r="AU346" s="51">
        <v>3.129</v>
      </c>
      <c r="AV346" s="51">
        <v>2.5985999999999998</v>
      </c>
      <c r="AW346" s="51">
        <v>2.8203</v>
      </c>
      <c r="AX346" s="51">
        <v>1.3759999999999999</v>
      </c>
      <c r="AY346" s="51">
        <v>1.8320000000000001</v>
      </c>
      <c r="AZ346" s="51">
        <f t="shared" si="15"/>
        <v>-0.45600000000000018</v>
      </c>
      <c r="BA346" s="51"/>
    </row>
    <row r="347" spans="46:53" x14ac:dyDescent="0.25">
      <c r="AT347" s="85">
        <v>44656</v>
      </c>
      <c r="AU347" s="51">
        <v>3.08</v>
      </c>
      <c r="AV347" s="51">
        <v>2.5545</v>
      </c>
      <c r="AW347" s="51">
        <v>2.8243</v>
      </c>
      <c r="AX347" s="51">
        <v>1.367</v>
      </c>
      <c r="AY347" s="51">
        <v>1.8240000000000001</v>
      </c>
      <c r="AZ347" s="51">
        <f t="shared" si="15"/>
        <v>-0.45700000000000007</v>
      </c>
      <c r="BA347" s="51"/>
    </row>
    <row r="348" spans="46:53" x14ac:dyDescent="0.25">
      <c r="AT348" s="85">
        <v>44655</v>
      </c>
      <c r="AU348" s="51">
        <v>3.0649999999999999</v>
      </c>
      <c r="AV348" s="51">
        <v>2.4045000000000001</v>
      </c>
      <c r="AW348" s="51">
        <v>2.8243</v>
      </c>
      <c r="AX348" s="51">
        <v>1.3779999999999999</v>
      </c>
      <c r="AY348" s="51">
        <v>1.8220000000000001</v>
      </c>
      <c r="AZ348" s="51">
        <f t="shared" si="15"/>
        <v>-0.44400000000000017</v>
      </c>
      <c r="BA348" s="51"/>
    </row>
    <row r="349" spans="46:53" x14ac:dyDescent="0.25">
      <c r="AT349" s="85">
        <v>44654</v>
      </c>
      <c r="AU349" s="51">
        <v>3.0070000000000001</v>
      </c>
      <c r="AV349" s="51">
        <v>2.3851</v>
      </c>
      <c r="AW349" s="51">
        <v>2.8243</v>
      </c>
      <c r="AX349" s="51">
        <v>1.3779999999999999</v>
      </c>
      <c r="AY349" s="51">
        <v>1.821</v>
      </c>
      <c r="AZ349" s="51">
        <f t="shared" si="15"/>
        <v>-0.44300000000000006</v>
      </c>
      <c r="BA349" s="51"/>
    </row>
    <row r="350" spans="46:53" x14ac:dyDescent="0.25">
      <c r="AT350" s="85">
        <v>44653</v>
      </c>
      <c r="AU350" s="51">
        <v>3.0070000000000001</v>
      </c>
      <c r="AV350" s="51">
        <v>2.3851</v>
      </c>
      <c r="AW350" s="51">
        <v>2.8243</v>
      </c>
      <c r="AX350" s="51">
        <v>1.3779999999999999</v>
      </c>
      <c r="AY350" s="51">
        <v>1.821</v>
      </c>
      <c r="AZ350" s="51">
        <f t="shared" si="15"/>
        <v>-0.44300000000000006</v>
      </c>
      <c r="BA350" s="51"/>
    </row>
    <row r="351" spans="46:53" x14ac:dyDescent="0.25">
      <c r="AT351" s="85">
        <v>44652</v>
      </c>
      <c r="AU351" s="51">
        <v>3.0070000000000001</v>
      </c>
      <c r="AV351" s="51">
        <v>2.3851</v>
      </c>
      <c r="AW351" s="51">
        <v>2.8243</v>
      </c>
      <c r="AX351" s="51">
        <v>1.3779999999999999</v>
      </c>
      <c r="AY351" s="51">
        <v>1.821</v>
      </c>
      <c r="AZ351" s="51">
        <f t="shared" si="15"/>
        <v>-0.44300000000000006</v>
      </c>
      <c r="BA351" s="51"/>
    </row>
    <row r="352" spans="46:53" x14ac:dyDescent="0.25">
      <c r="AT352" s="85">
        <v>44651</v>
      </c>
      <c r="AU352" s="51">
        <v>2.9689999999999999</v>
      </c>
      <c r="AV352" s="51">
        <v>2.339</v>
      </c>
      <c r="AW352" s="51">
        <v>2.8342000000000001</v>
      </c>
      <c r="AX352" s="51">
        <v>1.3879999999999999</v>
      </c>
      <c r="AY352" s="51">
        <v>1.82</v>
      </c>
      <c r="AZ352" s="51">
        <f t="shared" si="15"/>
        <v>-0.43200000000000016</v>
      </c>
      <c r="BA352" s="51"/>
    </row>
    <row r="353" spans="46:53" x14ac:dyDescent="0.25">
      <c r="AT353" s="85">
        <v>44650</v>
      </c>
      <c r="AU353" s="51">
        <v>2.8849999999999998</v>
      </c>
      <c r="AV353" s="51">
        <v>2.3544</v>
      </c>
      <c r="AW353" s="51">
        <v>2.8155000000000001</v>
      </c>
      <c r="AX353" s="51">
        <v>1.375</v>
      </c>
      <c r="AY353" s="51">
        <v>1.819</v>
      </c>
      <c r="AZ353" s="51">
        <f t="shared" si="15"/>
        <v>-0.44399999999999995</v>
      </c>
      <c r="BA353" s="51"/>
    </row>
    <row r="354" spans="46:53" x14ac:dyDescent="0.25">
      <c r="AT354" s="85">
        <v>44649</v>
      </c>
      <c r="AU354" s="51">
        <v>2.972</v>
      </c>
      <c r="AV354" s="51">
        <v>2.4009</v>
      </c>
      <c r="AW354" s="51">
        <v>2.8247</v>
      </c>
      <c r="AX354" s="51">
        <v>1.3779999999999999</v>
      </c>
      <c r="AY354" s="51">
        <v>1.82</v>
      </c>
      <c r="AZ354" s="51">
        <f t="shared" si="15"/>
        <v>-0.44200000000000017</v>
      </c>
      <c r="BA354" s="51"/>
    </row>
    <row r="355" spans="46:53" x14ac:dyDescent="0.25">
      <c r="AT355" s="85">
        <v>44648</v>
      </c>
      <c r="AU355" s="51">
        <v>3.0310000000000001</v>
      </c>
      <c r="AV355" s="51">
        <v>2.4651000000000001</v>
      </c>
      <c r="AW355" s="51">
        <v>2.8245</v>
      </c>
      <c r="AX355" s="51">
        <v>1.3819999999999999</v>
      </c>
      <c r="AY355" s="51">
        <v>1.8140000000000001</v>
      </c>
      <c r="AZ355" s="51">
        <f t="shared" si="15"/>
        <v>-0.43200000000000016</v>
      </c>
      <c r="BA355" s="51"/>
    </row>
    <row r="356" spans="46:53" x14ac:dyDescent="0.25">
      <c r="AT356" s="85">
        <v>44647</v>
      </c>
      <c r="AU356" s="51">
        <v>2.871</v>
      </c>
      <c r="AV356" s="51">
        <v>2.4788000000000001</v>
      </c>
      <c r="AW356" s="51">
        <v>2.8258999999999999</v>
      </c>
      <c r="AX356" s="51">
        <v>1.3480000000000001</v>
      </c>
      <c r="AY356" s="51">
        <v>1.782</v>
      </c>
      <c r="AZ356" s="51">
        <f t="shared" si="15"/>
        <v>-0.43399999999999994</v>
      </c>
      <c r="BA356" s="51"/>
    </row>
    <row r="357" spans="46:53" x14ac:dyDescent="0.25">
      <c r="AT357" s="85">
        <v>44646</v>
      </c>
      <c r="AU357" s="51">
        <v>2.871</v>
      </c>
      <c r="AV357" s="51">
        <v>2.4788000000000001</v>
      </c>
      <c r="AW357" s="51">
        <v>2.8258999999999999</v>
      </c>
      <c r="AX357" s="51">
        <v>1.3480000000000001</v>
      </c>
      <c r="AY357" s="51">
        <v>1.782</v>
      </c>
      <c r="AZ357" s="51">
        <f t="shared" si="15"/>
        <v>-0.43399999999999994</v>
      </c>
      <c r="BA357" s="51"/>
    </row>
    <row r="358" spans="46:53" x14ac:dyDescent="0.25">
      <c r="AT358" s="85">
        <v>44645</v>
      </c>
      <c r="AU358" s="51">
        <v>2.871</v>
      </c>
      <c r="AV358" s="51">
        <v>2.4788000000000001</v>
      </c>
      <c r="AW358" s="51">
        <v>2.8258999999999999</v>
      </c>
      <c r="AX358" s="51">
        <v>1.3480000000000001</v>
      </c>
      <c r="AY358" s="51">
        <v>1.782</v>
      </c>
      <c r="AZ358" s="51">
        <f t="shared" si="15"/>
        <v>-0.43399999999999994</v>
      </c>
      <c r="BA358" s="51"/>
    </row>
    <row r="359" spans="46:53" x14ac:dyDescent="0.25">
      <c r="AT359" s="85">
        <v>44644</v>
      </c>
      <c r="AU359" s="51">
        <v>2.8559999999999999</v>
      </c>
      <c r="AV359" s="51">
        <v>2.3746999999999998</v>
      </c>
      <c r="AW359" s="51">
        <v>2.8329</v>
      </c>
      <c r="AX359" s="51">
        <v>1.32</v>
      </c>
      <c r="AY359" s="51">
        <v>1.75</v>
      </c>
      <c r="AZ359" s="51">
        <f t="shared" si="15"/>
        <v>-0.42999999999999994</v>
      </c>
      <c r="BA359" s="51"/>
    </row>
    <row r="360" spans="46:53" x14ac:dyDescent="0.25">
      <c r="AT360" s="85">
        <v>44643</v>
      </c>
      <c r="AU360" s="51">
        <v>2.8279999999999998</v>
      </c>
      <c r="AV360" s="51">
        <v>2.2953999999999999</v>
      </c>
      <c r="AW360" s="51">
        <v>2.8525</v>
      </c>
      <c r="AX360" s="51">
        <v>1.3149999999999999</v>
      </c>
      <c r="AY360" s="51">
        <v>1.7350000000000001</v>
      </c>
      <c r="AZ360" s="51">
        <f t="shared" si="15"/>
        <v>-0.42000000000000015</v>
      </c>
      <c r="BA360" s="51"/>
    </row>
    <row r="361" spans="46:53" x14ac:dyDescent="0.25">
      <c r="AT361" s="85">
        <v>44642</v>
      </c>
      <c r="AU361" s="51">
        <v>2.8319999999999999</v>
      </c>
      <c r="AV361" s="51">
        <v>2.3854000000000002</v>
      </c>
      <c r="AW361" s="51">
        <v>2.8542999999999998</v>
      </c>
      <c r="AX361" s="51">
        <v>1.296</v>
      </c>
      <c r="AY361" s="51">
        <v>1.726</v>
      </c>
      <c r="AZ361" s="51">
        <f t="shared" si="15"/>
        <v>-0.42999999999999994</v>
      </c>
      <c r="BA361" s="51"/>
    </row>
    <row r="362" spans="46:53" x14ac:dyDescent="0.25">
      <c r="AT362" s="85">
        <v>44641</v>
      </c>
      <c r="AU362" s="51">
        <v>2.7410000000000001</v>
      </c>
      <c r="AV362" s="51">
        <v>2.2942999999999998</v>
      </c>
      <c r="AW362" s="51">
        <v>2.8315000000000001</v>
      </c>
      <c r="AX362" s="51">
        <v>1.268</v>
      </c>
      <c r="AY362" s="51">
        <v>1.7150000000000001</v>
      </c>
      <c r="AZ362" s="51">
        <f t="shared" si="15"/>
        <v>-0.44700000000000006</v>
      </c>
      <c r="BA362" s="51"/>
    </row>
    <row r="363" spans="46:53" x14ac:dyDescent="0.25">
      <c r="AT363" s="85">
        <v>44640</v>
      </c>
      <c r="AU363" s="51">
        <v>2.7370000000000001</v>
      </c>
      <c r="AV363" s="51">
        <v>2.1530999999999998</v>
      </c>
      <c r="AW363" s="51">
        <v>2.8201999999999998</v>
      </c>
      <c r="AX363" s="51">
        <v>1.2529999999999999</v>
      </c>
      <c r="AY363" s="51">
        <v>1.7070000000000001</v>
      </c>
      <c r="AZ363" s="51">
        <f t="shared" si="15"/>
        <v>-0.45400000000000018</v>
      </c>
      <c r="BA363" s="51"/>
    </row>
    <row r="364" spans="46:53" x14ac:dyDescent="0.25">
      <c r="AT364" s="85">
        <v>44639</v>
      </c>
      <c r="AU364" s="51">
        <v>2.7370000000000001</v>
      </c>
      <c r="AV364" s="51">
        <v>2.1530999999999998</v>
      </c>
      <c r="AW364" s="51">
        <v>2.8201999999999998</v>
      </c>
      <c r="AX364" s="51">
        <v>1.2529999999999999</v>
      </c>
      <c r="AY364" s="51">
        <v>1.7070000000000001</v>
      </c>
      <c r="AZ364" s="51">
        <f t="shared" si="15"/>
        <v>-0.45400000000000018</v>
      </c>
      <c r="BA364" s="51"/>
    </row>
    <row r="365" spans="46:53" x14ac:dyDescent="0.25">
      <c r="AT365" s="85">
        <v>44638</v>
      </c>
      <c r="AU365" s="51">
        <v>2.7370000000000001</v>
      </c>
      <c r="AV365" s="51">
        <v>2.1530999999999998</v>
      </c>
      <c r="AW365" s="51">
        <v>2.8201999999999998</v>
      </c>
      <c r="AX365" s="51">
        <v>1.2529999999999999</v>
      </c>
      <c r="AY365" s="51">
        <v>1.7070000000000001</v>
      </c>
      <c r="AZ365" s="51">
        <f t="shared" si="15"/>
        <v>-0.45400000000000018</v>
      </c>
      <c r="BA365" s="51"/>
    </row>
    <row r="366" spans="46:53" x14ac:dyDescent="0.25">
      <c r="AT366" s="85">
        <v>44637</v>
      </c>
      <c r="AU366" s="51">
        <v>2.7040000000000002</v>
      </c>
      <c r="AV366" s="51">
        <v>2.177</v>
      </c>
      <c r="AW366" s="51">
        <v>2.8180999999999998</v>
      </c>
      <c r="AX366" s="51">
        <v>1.2509999999999999</v>
      </c>
      <c r="AY366" s="51">
        <v>1.7010000000000001</v>
      </c>
      <c r="AZ366" s="51">
        <f t="shared" si="15"/>
        <v>-0.45000000000000018</v>
      </c>
      <c r="BA366" s="51"/>
    </row>
    <row r="367" spans="46:53" x14ac:dyDescent="0.25">
      <c r="AT367" s="85">
        <v>44636</v>
      </c>
      <c r="AU367" s="51">
        <v>2.7679999999999998</v>
      </c>
      <c r="AV367" s="51">
        <v>2.1957</v>
      </c>
      <c r="AW367" s="51">
        <v>2.8161999999999998</v>
      </c>
      <c r="AX367" s="51">
        <v>1.2569999999999999</v>
      </c>
      <c r="AY367" s="51">
        <v>1.696</v>
      </c>
      <c r="AZ367" s="51">
        <f t="shared" si="15"/>
        <v>-0.43900000000000006</v>
      </c>
      <c r="BA367" s="51"/>
    </row>
    <row r="368" spans="46:53" x14ac:dyDescent="0.25">
      <c r="AT368" s="85">
        <v>44635</v>
      </c>
      <c r="AU368" s="51">
        <v>2.7530000000000001</v>
      </c>
      <c r="AV368" s="51">
        <v>2.1482999999999999</v>
      </c>
      <c r="AW368" s="51">
        <v>2.8460000000000001</v>
      </c>
      <c r="AX368" s="51">
        <v>1.256</v>
      </c>
      <c r="AY368" s="51">
        <v>1.7010000000000001</v>
      </c>
      <c r="AZ368" s="51">
        <f t="shared" si="15"/>
        <v>-0.44500000000000006</v>
      </c>
      <c r="BA368" s="51"/>
    </row>
    <row r="369" spans="46:53" x14ac:dyDescent="0.25">
      <c r="AT369" s="85">
        <v>44634</v>
      </c>
      <c r="AU369" s="51">
        <v>2.7389999999999999</v>
      </c>
      <c r="AV369" s="51">
        <v>2.1438000000000001</v>
      </c>
      <c r="AW369" s="51">
        <v>2.7911999999999999</v>
      </c>
      <c r="AX369" s="51">
        <v>1.256</v>
      </c>
      <c r="AY369" s="51">
        <v>1.7050000000000001</v>
      </c>
      <c r="AZ369" s="51">
        <f t="shared" si="15"/>
        <v>-0.44900000000000007</v>
      </c>
      <c r="BA369" s="51"/>
    </row>
    <row r="370" spans="46:53" x14ac:dyDescent="0.25">
      <c r="AT370" s="85">
        <v>44633</v>
      </c>
      <c r="AU370" s="51">
        <v>2.7</v>
      </c>
      <c r="AV370" s="51">
        <v>1.9978</v>
      </c>
      <c r="AW370" s="51">
        <v>2.8363</v>
      </c>
      <c r="AX370" s="51">
        <v>1.2549999999999999</v>
      </c>
      <c r="AY370" s="51">
        <v>1.7</v>
      </c>
      <c r="AZ370" s="51">
        <f t="shared" si="15"/>
        <v>-0.44500000000000006</v>
      </c>
      <c r="BA370" s="51"/>
    </row>
    <row r="371" spans="46:53" x14ac:dyDescent="0.25">
      <c r="AT371" s="85">
        <v>44632</v>
      </c>
      <c r="AU371" s="51">
        <v>2.7</v>
      </c>
      <c r="AV371" s="51">
        <v>1.9978</v>
      </c>
      <c r="AW371" s="51">
        <v>2.8363</v>
      </c>
      <c r="AX371" s="51">
        <v>1.2549999999999999</v>
      </c>
      <c r="AY371" s="51">
        <v>1.7</v>
      </c>
      <c r="AZ371" s="51">
        <f t="shared" si="15"/>
        <v>-0.44500000000000006</v>
      </c>
      <c r="BA371" s="51"/>
    </row>
    <row r="372" spans="46:53" x14ac:dyDescent="0.25">
      <c r="AT372" s="85">
        <v>44631</v>
      </c>
      <c r="AU372" s="51">
        <v>2.7</v>
      </c>
      <c r="AV372" s="51">
        <v>1.9978</v>
      </c>
      <c r="AW372" s="51">
        <v>2.8363</v>
      </c>
      <c r="AX372" s="51">
        <v>1.2549999999999999</v>
      </c>
      <c r="AY372" s="51">
        <v>1.7</v>
      </c>
      <c r="AZ372" s="51">
        <f t="shared" si="15"/>
        <v>-0.44500000000000006</v>
      </c>
      <c r="BA372" s="51"/>
    </row>
    <row r="373" spans="46:53" x14ac:dyDescent="0.25">
      <c r="AT373" s="85">
        <v>44630</v>
      </c>
      <c r="AU373" s="51">
        <v>2.726</v>
      </c>
      <c r="AV373" s="51">
        <v>1.9942</v>
      </c>
      <c r="AW373" s="51">
        <v>2.8782999999999999</v>
      </c>
      <c r="AX373" s="51">
        <v>1.26</v>
      </c>
      <c r="AY373" s="51">
        <v>1.704</v>
      </c>
      <c r="AZ373" s="51">
        <f t="shared" si="15"/>
        <v>-0.44399999999999995</v>
      </c>
      <c r="BA373" s="51"/>
    </row>
    <row r="374" spans="46:53" x14ac:dyDescent="0.25">
      <c r="AT374" s="85">
        <v>44629</v>
      </c>
      <c r="AU374" s="51">
        <v>2.722</v>
      </c>
      <c r="AV374" s="51">
        <v>1.9549000000000001</v>
      </c>
      <c r="AW374" s="51">
        <v>2.8738000000000001</v>
      </c>
      <c r="AX374" s="51">
        <v>1.2330000000000001</v>
      </c>
      <c r="AY374" s="51">
        <v>1.702</v>
      </c>
      <c r="AZ374" s="51">
        <f t="shared" si="15"/>
        <v>-0.46899999999999986</v>
      </c>
      <c r="BA374" s="51"/>
    </row>
    <row r="375" spans="46:53" x14ac:dyDescent="0.25">
      <c r="AT375" s="85">
        <v>44628</v>
      </c>
      <c r="AU375" s="51">
        <v>2.722</v>
      </c>
      <c r="AV375" s="51">
        <v>1.8482000000000001</v>
      </c>
      <c r="AW375" s="51">
        <v>2.8580000000000001</v>
      </c>
      <c r="AX375" s="51">
        <v>1.2330000000000001</v>
      </c>
      <c r="AY375" s="51">
        <v>1.702</v>
      </c>
      <c r="AZ375" s="51">
        <f t="shared" si="15"/>
        <v>-0.46899999999999986</v>
      </c>
      <c r="BA375" s="51"/>
    </row>
    <row r="376" spans="46:53" x14ac:dyDescent="0.25">
      <c r="AT376" s="85">
        <v>44627</v>
      </c>
      <c r="AU376" s="51">
        <v>2.7069999999999999</v>
      </c>
      <c r="AV376" s="51">
        <v>1.7725</v>
      </c>
      <c r="AW376" s="51">
        <v>2.8490000000000002</v>
      </c>
      <c r="AX376" s="51">
        <v>1.232</v>
      </c>
      <c r="AY376" s="51">
        <v>1.7010000000000001</v>
      </c>
      <c r="AZ376" s="51">
        <f t="shared" si="15"/>
        <v>-0.46900000000000008</v>
      </c>
      <c r="BA376" s="51"/>
    </row>
    <row r="377" spans="46:53" x14ac:dyDescent="0.25">
      <c r="AT377" s="85">
        <v>44626</v>
      </c>
      <c r="AU377" s="51">
        <v>2.6579999999999999</v>
      </c>
      <c r="AV377" s="51">
        <v>1.7323999999999999</v>
      </c>
      <c r="AW377" s="51">
        <v>2.8416000000000001</v>
      </c>
      <c r="AX377" s="51">
        <v>1.2310000000000001</v>
      </c>
      <c r="AY377" s="51">
        <v>1.702</v>
      </c>
      <c r="AZ377" s="51">
        <f t="shared" si="15"/>
        <v>-0.47099999999999986</v>
      </c>
      <c r="BA377" s="51"/>
    </row>
    <row r="378" spans="46:53" x14ac:dyDescent="0.25">
      <c r="AT378" s="85">
        <v>44625</v>
      </c>
      <c r="AU378" s="51">
        <v>2.6579999999999999</v>
      </c>
      <c r="AV378" s="51">
        <v>1.7323999999999999</v>
      </c>
      <c r="AW378" s="51">
        <v>2.8416000000000001</v>
      </c>
      <c r="AX378" s="51">
        <v>1.2310000000000001</v>
      </c>
      <c r="AY378" s="51">
        <v>1.702</v>
      </c>
      <c r="AZ378" s="51">
        <f t="shared" si="15"/>
        <v>-0.47099999999999986</v>
      </c>
      <c r="BA378" s="51"/>
    </row>
    <row r="379" spans="46:53" x14ac:dyDescent="0.25">
      <c r="AT379" s="85">
        <v>44624</v>
      </c>
      <c r="AU379" s="51">
        <v>2.6579999999999999</v>
      </c>
      <c r="AV379" s="51">
        <v>1.7323999999999999</v>
      </c>
      <c r="AW379" s="51">
        <v>2.8416000000000001</v>
      </c>
      <c r="AX379" s="51">
        <v>1.2310000000000001</v>
      </c>
      <c r="AY379" s="51">
        <v>1.702</v>
      </c>
      <c r="AZ379" s="51">
        <f t="shared" si="15"/>
        <v>-0.47099999999999986</v>
      </c>
      <c r="BA379" s="51"/>
    </row>
    <row r="380" spans="46:53" x14ac:dyDescent="0.25">
      <c r="AT380" s="85">
        <v>44623</v>
      </c>
      <c r="AU380" s="51">
        <v>2.6480000000000001</v>
      </c>
      <c r="AV380" s="51">
        <v>1.8448</v>
      </c>
      <c r="AW380" s="51">
        <v>2.8611</v>
      </c>
      <c r="AX380" s="51">
        <v>1.228</v>
      </c>
      <c r="AY380" s="51">
        <v>1.704</v>
      </c>
      <c r="AZ380" s="51">
        <f t="shared" si="15"/>
        <v>-0.47599999999999998</v>
      </c>
      <c r="BA380" s="51"/>
    </row>
    <row r="381" spans="46:53" x14ac:dyDescent="0.25">
      <c r="AT381" s="85">
        <v>44622</v>
      </c>
      <c r="AU381" s="51">
        <v>2.613</v>
      </c>
      <c r="AV381" s="51">
        <v>1.8775999999999999</v>
      </c>
      <c r="AW381" s="51">
        <v>2.8468</v>
      </c>
      <c r="AX381" s="51">
        <v>1.2250000000000001</v>
      </c>
      <c r="AY381" s="51">
        <v>1.714</v>
      </c>
      <c r="AZ381" s="51">
        <f t="shared" si="15"/>
        <v>-0.48899999999999988</v>
      </c>
      <c r="BA381" s="51"/>
    </row>
    <row r="382" spans="46:53" x14ac:dyDescent="0.25">
      <c r="AT382" s="85">
        <v>44621</v>
      </c>
      <c r="AU382" s="51">
        <v>2.6749999999999998</v>
      </c>
      <c r="AV382" s="51">
        <v>1.7250000000000001</v>
      </c>
      <c r="AW382" s="51">
        <v>2.8365999999999998</v>
      </c>
      <c r="AX382" s="51">
        <v>1.2250000000000001</v>
      </c>
      <c r="AY382" s="51">
        <v>1.716</v>
      </c>
      <c r="AZ382" s="51">
        <f t="shared" si="15"/>
        <v>-0.49099999999999988</v>
      </c>
      <c r="BA382" s="51"/>
    </row>
    <row r="383" spans="46:53" x14ac:dyDescent="0.25">
      <c r="AT383" s="85">
        <v>44620</v>
      </c>
      <c r="AU383" s="51">
        <v>2.6749999999999998</v>
      </c>
      <c r="AV383" s="51">
        <v>1.8275999999999999</v>
      </c>
      <c r="AW383" s="51">
        <v>2.8075999999999999</v>
      </c>
      <c r="AX383" s="51">
        <v>1.2250000000000001</v>
      </c>
      <c r="AY383" s="51">
        <v>1.716</v>
      </c>
      <c r="AZ383" s="51">
        <f t="shared" si="15"/>
        <v>-0.49099999999999988</v>
      </c>
      <c r="BA383" s="51"/>
    </row>
    <row r="384" spans="46:53" x14ac:dyDescent="0.25">
      <c r="AT384" s="85">
        <v>44619</v>
      </c>
      <c r="AU384" s="51">
        <v>2.6709999999999998</v>
      </c>
      <c r="AV384" s="51">
        <v>1.9685999999999999</v>
      </c>
      <c r="AW384" s="51">
        <v>2.8056000000000001</v>
      </c>
      <c r="AX384" s="51">
        <v>1.2270000000000001</v>
      </c>
      <c r="AY384" s="51">
        <v>1.7170000000000001</v>
      </c>
      <c r="AZ384" s="51">
        <f t="shared" si="15"/>
        <v>-0.49</v>
      </c>
      <c r="BA384" s="51"/>
    </row>
    <row r="385" spans="46:53" x14ac:dyDescent="0.25">
      <c r="AT385" s="85">
        <v>44618</v>
      </c>
      <c r="AU385" s="51">
        <v>2.6709999999999998</v>
      </c>
      <c r="AV385" s="51">
        <v>1.9685999999999999</v>
      </c>
      <c r="AW385" s="51">
        <v>2.8056000000000001</v>
      </c>
      <c r="AX385" s="51">
        <v>1.2270000000000001</v>
      </c>
      <c r="AY385" s="51">
        <v>1.7170000000000001</v>
      </c>
      <c r="AZ385" s="51">
        <f t="shared" si="15"/>
        <v>-0.49</v>
      </c>
      <c r="BA385" s="51"/>
    </row>
    <row r="386" spans="46:53" x14ac:dyDescent="0.25">
      <c r="AT386" s="85">
        <v>44617</v>
      </c>
      <c r="AU386" s="51">
        <v>2.6709999999999998</v>
      </c>
      <c r="AV386" s="51">
        <v>1.9685999999999999</v>
      </c>
      <c r="AW386" s="51">
        <v>2.8056000000000001</v>
      </c>
      <c r="AX386" s="51">
        <v>1.2270000000000001</v>
      </c>
      <c r="AY386" s="51">
        <v>1.7170000000000001</v>
      </c>
      <c r="AZ386" s="51">
        <f t="shared" si="15"/>
        <v>-0.49</v>
      </c>
      <c r="BA386" s="51"/>
    </row>
    <row r="387" spans="46:53" x14ac:dyDescent="0.25">
      <c r="AT387" s="85">
        <v>44616</v>
      </c>
      <c r="AU387" s="51">
        <v>2.6240000000000001</v>
      </c>
      <c r="AV387" s="51">
        <v>1.9712000000000001</v>
      </c>
      <c r="AW387" s="51">
        <v>2.8214000000000001</v>
      </c>
      <c r="AX387" s="51">
        <v>1.22</v>
      </c>
      <c r="AY387" s="51">
        <v>1.7170000000000001</v>
      </c>
      <c r="AZ387" s="51">
        <f t="shared" si="15"/>
        <v>-0.49700000000000011</v>
      </c>
      <c r="BA387" s="51"/>
    </row>
    <row r="388" spans="46:53" x14ac:dyDescent="0.25">
      <c r="AT388" s="85">
        <v>44615</v>
      </c>
      <c r="AU388" s="51">
        <v>2.722</v>
      </c>
      <c r="AV388" s="51">
        <v>1.9973000000000001</v>
      </c>
      <c r="AW388" s="51">
        <v>2.8342999999999998</v>
      </c>
      <c r="AX388" s="51">
        <v>1.2150000000000001</v>
      </c>
      <c r="AY388" s="51">
        <v>1.7190000000000001</v>
      </c>
      <c r="AZ388" s="51">
        <f t="shared" si="15"/>
        <v>-0.504</v>
      </c>
      <c r="BA388" s="51"/>
    </row>
    <row r="389" spans="46:53" x14ac:dyDescent="0.25">
      <c r="AT389" s="85">
        <v>44614</v>
      </c>
      <c r="AU389" s="51">
        <v>2.7170000000000001</v>
      </c>
      <c r="AV389" s="51">
        <v>1.9441999999999999</v>
      </c>
      <c r="AW389" s="51">
        <v>2.8588</v>
      </c>
      <c r="AX389" s="51">
        <v>1.2110000000000001</v>
      </c>
      <c r="AY389" s="51">
        <v>1.716</v>
      </c>
      <c r="AZ389" s="51">
        <f t="shared" si="15"/>
        <v>-0.50499999999999989</v>
      </c>
      <c r="BA389" s="51"/>
    </row>
    <row r="390" spans="46:53" x14ac:dyDescent="0.25">
      <c r="AT390" s="85">
        <v>44613</v>
      </c>
      <c r="AU390" s="51">
        <v>2.77</v>
      </c>
      <c r="AV390" s="51">
        <v>1.9277</v>
      </c>
      <c r="AW390" s="51">
        <v>2.8633000000000002</v>
      </c>
      <c r="AX390" s="51">
        <v>1.21</v>
      </c>
      <c r="AY390" s="51">
        <v>1.722</v>
      </c>
      <c r="AZ390" s="51">
        <f t="shared" si="15"/>
        <v>-0.51200000000000001</v>
      </c>
      <c r="BA390" s="51"/>
    </row>
    <row r="391" spans="46:53" x14ac:dyDescent="0.25">
      <c r="AT391" s="85">
        <v>44612</v>
      </c>
      <c r="AU391" s="51">
        <v>2.7280000000000002</v>
      </c>
      <c r="AV391" s="51">
        <v>1.9277</v>
      </c>
      <c r="AW391" s="51">
        <v>2.8136000000000001</v>
      </c>
      <c r="AX391" s="51">
        <v>1.2110000000000001</v>
      </c>
      <c r="AY391" s="51">
        <v>1.728</v>
      </c>
      <c r="AZ391" s="51">
        <f t="shared" si="15"/>
        <v>-0.5169999999999999</v>
      </c>
      <c r="BA391" s="51"/>
    </row>
    <row r="392" spans="46:53" x14ac:dyDescent="0.25">
      <c r="AT392" s="85">
        <v>44611</v>
      </c>
      <c r="AU392" s="51">
        <v>2.7280000000000002</v>
      </c>
      <c r="AV392" s="51">
        <v>1.9277</v>
      </c>
      <c r="AW392" s="51">
        <v>2.8136000000000001</v>
      </c>
      <c r="AX392" s="51">
        <v>1.2110000000000001</v>
      </c>
      <c r="AY392" s="51">
        <v>1.728</v>
      </c>
      <c r="AZ392" s="51">
        <f t="shared" ref="AZ392:AZ423" si="16">AX392-AY392</f>
        <v>-0.5169999999999999</v>
      </c>
      <c r="BA392" s="51"/>
    </row>
    <row r="393" spans="46:53" x14ac:dyDescent="0.25">
      <c r="AT393" s="85">
        <v>44610</v>
      </c>
      <c r="AU393" s="51">
        <v>2.7280000000000002</v>
      </c>
      <c r="AV393" s="51">
        <v>1.9277</v>
      </c>
      <c r="AW393" s="51">
        <v>2.8136000000000001</v>
      </c>
      <c r="AX393" s="51">
        <v>1.2110000000000001</v>
      </c>
      <c r="AY393" s="51">
        <v>1.728</v>
      </c>
      <c r="AZ393" s="51">
        <f t="shared" si="16"/>
        <v>-0.5169999999999999</v>
      </c>
      <c r="BA393" s="51"/>
    </row>
    <row r="394" spans="46:53" x14ac:dyDescent="0.25">
      <c r="AT394" s="85">
        <v>44609</v>
      </c>
      <c r="AU394" s="51">
        <v>2.7080000000000002</v>
      </c>
      <c r="AV394" s="51">
        <v>1.9641</v>
      </c>
      <c r="AW394" s="51">
        <v>2.7989000000000002</v>
      </c>
      <c r="AX394" s="51">
        <v>1.2110000000000001</v>
      </c>
      <c r="AY394" s="51">
        <v>1.728</v>
      </c>
      <c r="AZ394" s="51">
        <f t="shared" si="16"/>
        <v>-0.5169999999999999</v>
      </c>
      <c r="BA394" s="51"/>
    </row>
    <row r="395" spans="46:53" x14ac:dyDescent="0.25">
      <c r="AT395" s="85">
        <v>44608</v>
      </c>
      <c r="AU395" s="51">
        <v>2.702</v>
      </c>
      <c r="AV395" s="51">
        <v>2.0417000000000001</v>
      </c>
      <c r="AW395" s="51">
        <v>2.8075999999999999</v>
      </c>
      <c r="AX395" s="51">
        <v>1.212</v>
      </c>
      <c r="AY395" s="51">
        <v>1.732</v>
      </c>
      <c r="AZ395" s="51">
        <f t="shared" si="16"/>
        <v>-0.52</v>
      </c>
      <c r="BA395" s="51"/>
    </row>
    <row r="396" spans="46:53" x14ac:dyDescent="0.25">
      <c r="AT396" s="85">
        <v>44607</v>
      </c>
      <c r="AU396" s="51">
        <v>2.71</v>
      </c>
      <c r="AV396" s="51">
        <v>2.0478000000000001</v>
      </c>
      <c r="AW396" s="51">
        <v>2.8157000000000001</v>
      </c>
      <c r="AX396" s="51">
        <v>1.2130000000000001</v>
      </c>
      <c r="AY396" s="51">
        <v>1.732</v>
      </c>
      <c r="AZ396" s="51">
        <f t="shared" si="16"/>
        <v>-0.51899999999999991</v>
      </c>
      <c r="BA396" s="51"/>
    </row>
    <row r="397" spans="46:53" x14ac:dyDescent="0.25">
      <c r="AT397" s="85">
        <v>44606</v>
      </c>
      <c r="AU397" s="51">
        <v>2.714</v>
      </c>
      <c r="AV397" s="51">
        <v>1.9883999999999999</v>
      </c>
      <c r="AW397" s="51">
        <v>2.8231000000000002</v>
      </c>
      <c r="AX397" s="51">
        <v>1.2130000000000001</v>
      </c>
      <c r="AY397" s="51">
        <v>1.734</v>
      </c>
      <c r="AZ397" s="51">
        <f t="shared" si="16"/>
        <v>-0.52099999999999991</v>
      </c>
      <c r="BA397" s="51"/>
    </row>
    <row r="398" spans="46:53" x14ac:dyDescent="0.25">
      <c r="AT398" s="85">
        <v>44605</v>
      </c>
      <c r="AU398" s="51">
        <v>2.7469999999999999</v>
      </c>
      <c r="AV398" s="51">
        <v>1.9432</v>
      </c>
      <c r="AW398" s="51">
        <v>2.8068</v>
      </c>
      <c r="AX398" s="51">
        <v>1.2130000000000001</v>
      </c>
      <c r="AY398" s="51">
        <v>1.7350000000000001</v>
      </c>
      <c r="AZ398" s="51">
        <f t="shared" si="16"/>
        <v>-0.52200000000000002</v>
      </c>
      <c r="BA398" s="51"/>
    </row>
    <row r="399" spans="46:53" x14ac:dyDescent="0.25">
      <c r="AT399" s="85">
        <v>44604</v>
      </c>
      <c r="AU399" s="51">
        <v>2.7469999999999999</v>
      </c>
      <c r="AV399" s="51">
        <v>1.9432</v>
      </c>
      <c r="AW399" s="51">
        <v>2.8068</v>
      </c>
      <c r="AX399" s="51">
        <v>1.2130000000000001</v>
      </c>
      <c r="AY399" s="51">
        <v>1.7350000000000001</v>
      </c>
      <c r="AZ399" s="51">
        <f t="shared" si="16"/>
        <v>-0.52200000000000002</v>
      </c>
      <c r="BA399" s="51"/>
    </row>
    <row r="400" spans="46:53" x14ac:dyDescent="0.25">
      <c r="AT400" s="85">
        <v>44603</v>
      </c>
      <c r="AU400" s="51">
        <v>2.7469999999999999</v>
      </c>
      <c r="AV400" s="51">
        <v>1.9432</v>
      </c>
      <c r="AW400" s="51">
        <v>2.8068</v>
      </c>
      <c r="AX400" s="51">
        <v>1.2130000000000001</v>
      </c>
      <c r="AY400" s="51">
        <v>1.7350000000000001</v>
      </c>
      <c r="AZ400" s="51">
        <f t="shared" si="16"/>
        <v>-0.52200000000000002</v>
      </c>
      <c r="BA400" s="51"/>
    </row>
    <row r="401" spans="46:53" x14ac:dyDescent="0.25">
      <c r="AT401" s="85">
        <v>44602</v>
      </c>
      <c r="AU401" s="51">
        <v>2.6859999999999999</v>
      </c>
      <c r="AV401" s="51">
        <v>2.0327000000000002</v>
      </c>
      <c r="AW401" s="51">
        <v>2.7494999999999998</v>
      </c>
      <c r="AX401" s="51">
        <v>1.212</v>
      </c>
      <c r="AY401" s="51">
        <v>1.724</v>
      </c>
      <c r="AZ401" s="51">
        <f t="shared" si="16"/>
        <v>-0.51200000000000001</v>
      </c>
      <c r="BA401" s="51"/>
    </row>
    <row r="402" spans="46:53" x14ac:dyDescent="0.25">
      <c r="AT402" s="85">
        <v>44601</v>
      </c>
      <c r="AU402" s="51">
        <v>2.6909999999999998</v>
      </c>
      <c r="AV402" s="51">
        <v>1.9471000000000001</v>
      </c>
      <c r="AW402" s="51">
        <v>2.7503000000000002</v>
      </c>
      <c r="AX402" s="51">
        <v>1.2130000000000001</v>
      </c>
      <c r="AY402" s="51">
        <v>1.728</v>
      </c>
      <c r="AZ402" s="51">
        <f t="shared" si="16"/>
        <v>-0.5149999999999999</v>
      </c>
      <c r="BA402" s="51"/>
    </row>
    <row r="403" spans="46:53" x14ac:dyDescent="0.25">
      <c r="AT403" s="85">
        <v>44600</v>
      </c>
      <c r="AU403" s="51">
        <v>2.7330000000000001</v>
      </c>
      <c r="AV403" s="51">
        <v>1.9641999999999999</v>
      </c>
      <c r="AW403" s="51">
        <v>2.7391000000000001</v>
      </c>
      <c r="AX403" s="51">
        <v>1.22</v>
      </c>
      <c r="AY403" s="51">
        <v>1.734</v>
      </c>
      <c r="AZ403" s="51">
        <f t="shared" si="16"/>
        <v>-0.51400000000000001</v>
      </c>
      <c r="BA403" s="51"/>
    </row>
    <row r="404" spans="46:53" x14ac:dyDescent="0.25">
      <c r="AT404" s="85">
        <v>44599</v>
      </c>
      <c r="AU404" s="51">
        <v>2.6379999999999999</v>
      </c>
      <c r="AV404" s="51">
        <v>1.9205000000000001</v>
      </c>
      <c r="AW404" s="51">
        <v>2.7412000000000001</v>
      </c>
      <c r="AX404" s="51">
        <v>1.2230000000000001</v>
      </c>
      <c r="AY404" s="51">
        <v>1.738</v>
      </c>
      <c r="AZ404" s="51">
        <f t="shared" si="16"/>
        <v>-0.5149999999999999</v>
      </c>
      <c r="BA404" s="51"/>
    </row>
    <row r="405" spans="46:53" x14ac:dyDescent="0.25">
      <c r="AT405" s="85">
        <v>44598</v>
      </c>
      <c r="AU405" s="51">
        <v>2.6190000000000002</v>
      </c>
      <c r="AV405" s="51">
        <v>1.9131</v>
      </c>
      <c r="AW405" s="51">
        <v>2.7275999999999998</v>
      </c>
      <c r="AX405" s="51">
        <v>1.228</v>
      </c>
      <c r="AY405" s="51">
        <v>1.7470000000000001</v>
      </c>
      <c r="AZ405" s="51">
        <f t="shared" si="16"/>
        <v>-0.51900000000000013</v>
      </c>
      <c r="BA405" s="51"/>
    </row>
    <row r="406" spans="46:53" x14ac:dyDescent="0.25">
      <c r="AT406" s="85">
        <v>44597</v>
      </c>
      <c r="AU406" s="51">
        <v>2.6190000000000002</v>
      </c>
      <c r="AV406" s="51">
        <v>1.9131</v>
      </c>
      <c r="AW406" s="51">
        <v>2.7275999999999998</v>
      </c>
      <c r="AX406" s="51">
        <v>1.228</v>
      </c>
      <c r="AY406" s="51">
        <v>1.7470000000000001</v>
      </c>
      <c r="AZ406" s="51">
        <f t="shared" si="16"/>
        <v>-0.51900000000000013</v>
      </c>
      <c r="BA406" s="51"/>
    </row>
    <row r="407" spans="46:53" x14ac:dyDescent="0.25">
      <c r="AT407" s="85">
        <v>44596</v>
      </c>
      <c r="AU407" s="51">
        <v>2.6190000000000002</v>
      </c>
      <c r="AV407" s="51">
        <v>1.9131</v>
      </c>
      <c r="AW407" s="51">
        <v>2.7275999999999998</v>
      </c>
      <c r="AX407" s="51">
        <v>1.228</v>
      </c>
      <c r="AY407" s="51">
        <v>1.7470000000000001</v>
      </c>
      <c r="AZ407" s="51">
        <f t="shared" si="16"/>
        <v>-0.51900000000000013</v>
      </c>
      <c r="BA407" s="51"/>
    </row>
    <row r="408" spans="46:53" x14ac:dyDescent="0.25">
      <c r="AT408" s="85">
        <v>44595</v>
      </c>
      <c r="AU408" s="51">
        <v>2.5659999999999998</v>
      </c>
      <c r="AV408" s="51">
        <v>1.8389</v>
      </c>
      <c r="AW408" s="51">
        <v>2.7275999999999998</v>
      </c>
      <c r="AX408" s="51">
        <v>1.23</v>
      </c>
      <c r="AY408" s="51">
        <v>1.76</v>
      </c>
      <c r="AZ408" s="51">
        <f t="shared" si="16"/>
        <v>-0.53</v>
      </c>
      <c r="BA408" s="51"/>
    </row>
    <row r="409" spans="46:53" x14ac:dyDescent="0.25">
      <c r="AT409" s="85">
        <v>44594</v>
      </c>
      <c r="AU409" s="51">
        <v>2.5859999999999999</v>
      </c>
      <c r="AV409" s="51">
        <v>1.7787999999999999</v>
      </c>
      <c r="AW409" s="51">
        <v>2.7275999999999998</v>
      </c>
      <c r="AX409" s="51">
        <v>1.236</v>
      </c>
      <c r="AY409" s="51">
        <v>1.7689999999999999</v>
      </c>
      <c r="AZ409" s="51">
        <f t="shared" si="16"/>
        <v>-0.53299999999999992</v>
      </c>
      <c r="BA409" s="51"/>
    </row>
    <row r="410" spans="46:53" x14ac:dyDescent="0.25">
      <c r="AT410" s="85">
        <v>44593</v>
      </c>
      <c r="AU410" s="51">
        <v>2.5859999999999999</v>
      </c>
      <c r="AV410" s="51">
        <v>1.7921</v>
      </c>
      <c r="AW410" s="51">
        <v>2.7275999999999998</v>
      </c>
      <c r="AX410" s="51">
        <v>1.236</v>
      </c>
      <c r="AY410" s="51">
        <v>1.7689999999999999</v>
      </c>
      <c r="AZ410" s="51">
        <f t="shared" si="16"/>
        <v>-0.53299999999999992</v>
      </c>
      <c r="BA410" s="51"/>
    </row>
    <row r="411" spans="46:53" x14ac:dyDescent="0.25">
      <c r="AT411" s="85">
        <v>44592</v>
      </c>
      <c r="AU411" s="51">
        <v>2.5859999999999999</v>
      </c>
      <c r="AV411" s="51">
        <v>1.7813000000000001</v>
      </c>
      <c r="AW411" s="51">
        <v>2.7275999999999998</v>
      </c>
      <c r="AX411" s="51">
        <v>1.236</v>
      </c>
      <c r="AY411" s="51">
        <v>1.7689999999999999</v>
      </c>
      <c r="AZ411" s="51">
        <f t="shared" si="16"/>
        <v>-0.53299999999999992</v>
      </c>
      <c r="BA411" s="51"/>
    </row>
    <row r="412" spans="46:53" x14ac:dyDescent="0.25">
      <c r="AT412" s="85">
        <v>44591</v>
      </c>
      <c r="AU412" s="51">
        <v>2.5859999999999999</v>
      </c>
      <c r="AV412" s="51">
        <v>1.7714000000000001</v>
      </c>
      <c r="AW412" s="51">
        <v>2.7275999999999998</v>
      </c>
      <c r="AX412" s="51">
        <v>1.236</v>
      </c>
      <c r="AY412" s="51">
        <v>1.7689999999999999</v>
      </c>
      <c r="AZ412" s="51">
        <f t="shared" si="16"/>
        <v>-0.53299999999999992</v>
      </c>
      <c r="BA412" s="51"/>
    </row>
    <row r="413" spans="46:53" x14ac:dyDescent="0.25">
      <c r="AT413" s="85">
        <v>44590</v>
      </c>
      <c r="AU413" s="51">
        <v>2.5859999999999999</v>
      </c>
      <c r="AV413" s="51">
        <v>1.7714000000000001</v>
      </c>
      <c r="AW413" s="51">
        <v>2.7275999999999998</v>
      </c>
      <c r="AX413" s="51">
        <v>1.236</v>
      </c>
      <c r="AY413" s="51">
        <v>1.7689999999999999</v>
      </c>
      <c r="AZ413" s="51">
        <f t="shared" si="16"/>
        <v>-0.53299999999999992</v>
      </c>
      <c r="BA413" s="51"/>
    </row>
    <row r="414" spans="46:53" x14ac:dyDescent="0.25">
      <c r="AT414" s="85">
        <v>44589</v>
      </c>
      <c r="AU414" s="51">
        <v>2.5859999999999999</v>
      </c>
      <c r="AV414" s="51">
        <v>1.7714000000000001</v>
      </c>
      <c r="AW414" s="51">
        <v>2.7275999999999998</v>
      </c>
      <c r="AX414" s="51">
        <v>1.236</v>
      </c>
      <c r="AY414" s="51">
        <v>1.7689999999999999</v>
      </c>
      <c r="AZ414" s="51">
        <f t="shared" si="16"/>
        <v>-0.53299999999999992</v>
      </c>
      <c r="BA414" s="51"/>
    </row>
    <row r="415" spans="46:53" x14ac:dyDescent="0.25">
      <c r="AT415" s="85">
        <v>44588</v>
      </c>
      <c r="AU415" s="51">
        <v>2.6120000000000001</v>
      </c>
      <c r="AV415" s="51">
        <v>1.804</v>
      </c>
      <c r="AW415" s="51">
        <v>2.7515000000000001</v>
      </c>
      <c r="AX415" s="51">
        <v>1.2390000000000001</v>
      </c>
      <c r="AY415" s="51">
        <v>1.7669999999999999</v>
      </c>
      <c r="AZ415" s="51">
        <f t="shared" si="16"/>
        <v>-0.5279999999999998</v>
      </c>
      <c r="BA415" s="51"/>
    </row>
    <row r="416" spans="46:53" x14ac:dyDescent="0.25">
      <c r="AT416" s="85">
        <v>44587</v>
      </c>
      <c r="AU416" s="51">
        <v>2.573</v>
      </c>
      <c r="AV416" s="51">
        <v>1.8693</v>
      </c>
      <c r="AW416" s="51">
        <v>2.7336999999999998</v>
      </c>
      <c r="AX416" s="51">
        <v>1.24</v>
      </c>
      <c r="AY416" s="51">
        <v>1.76</v>
      </c>
      <c r="AZ416" s="51">
        <f t="shared" si="16"/>
        <v>-0.52</v>
      </c>
      <c r="BA416" s="51"/>
    </row>
    <row r="417" spans="46:53" x14ac:dyDescent="0.25">
      <c r="AT417" s="85">
        <v>44586</v>
      </c>
      <c r="AU417" s="51">
        <v>2.5760000000000001</v>
      </c>
      <c r="AV417" s="51">
        <v>1.7762</v>
      </c>
      <c r="AW417" s="51">
        <v>2.7136</v>
      </c>
      <c r="AX417" s="51">
        <v>1.24</v>
      </c>
      <c r="AY417" s="51">
        <v>1.752</v>
      </c>
      <c r="AZ417" s="51">
        <f t="shared" si="16"/>
        <v>-0.51200000000000001</v>
      </c>
      <c r="BA417" s="51"/>
    </row>
    <row r="418" spans="46:53" x14ac:dyDescent="0.25">
      <c r="AT418" s="85">
        <v>44585</v>
      </c>
      <c r="AU418" s="51">
        <v>2.54</v>
      </c>
      <c r="AV418" s="51">
        <v>1.7707999999999999</v>
      </c>
      <c r="AW418" s="51">
        <v>2.6941000000000002</v>
      </c>
      <c r="AX418" s="51">
        <v>1.2390000000000001</v>
      </c>
      <c r="AY418" s="51">
        <v>1.7450000000000001</v>
      </c>
      <c r="AZ418" s="51">
        <f t="shared" si="16"/>
        <v>-0.50600000000000001</v>
      </c>
      <c r="BA418" s="51"/>
    </row>
    <row r="419" spans="46:53" x14ac:dyDescent="0.25">
      <c r="AT419" s="85">
        <v>44584</v>
      </c>
      <c r="AU419" s="51">
        <v>2.54</v>
      </c>
      <c r="AV419" s="51">
        <v>1.7626999999999999</v>
      </c>
      <c r="AW419" s="51">
        <v>2.7259000000000002</v>
      </c>
      <c r="AX419" s="51">
        <v>1.2390000000000001</v>
      </c>
      <c r="AY419" s="51">
        <v>1.7430000000000001</v>
      </c>
      <c r="AZ419" s="51">
        <f t="shared" si="16"/>
        <v>-0.504</v>
      </c>
      <c r="BA419" s="51"/>
    </row>
    <row r="420" spans="46:53" x14ac:dyDescent="0.25">
      <c r="AT420" s="85">
        <v>44583</v>
      </c>
      <c r="AU420" s="51">
        <v>2.54</v>
      </c>
      <c r="AV420" s="51">
        <v>1.7626999999999999</v>
      </c>
      <c r="AW420" s="51">
        <v>2.7259000000000002</v>
      </c>
      <c r="AX420" s="51">
        <v>1.2390000000000001</v>
      </c>
      <c r="AY420" s="51">
        <v>1.7430000000000001</v>
      </c>
      <c r="AZ420" s="51">
        <f t="shared" si="16"/>
        <v>-0.504</v>
      </c>
      <c r="BA420" s="51"/>
    </row>
    <row r="421" spans="46:53" x14ac:dyDescent="0.25">
      <c r="AT421" s="85">
        <v>44582</v>
      </c>
      <c r="AU421" s="51">
        <v>2.54</v>
      </c>
      <c r="AV421" s="51">
        <v>1.7626999999999999</v>
      </c>
      <c r="AW421" s="51">
        <v>2.7259000000000002</v>
      </c>
      <c r="AX421" s="51">
        <v>1.2390000000000001</v>
      </c>
      <c r="AY421" s="51">
        <v>1.7430000000000001</v>
      </c>
      <c r="AZ421" s="51">
        <f t="shared" si="16"/>
        <v>-0.504</v>
      </c>
      <c r="BA421" s="51"/>
    </row>
    <row r="422" spans="46:53" x14ac:dyDescent="0.25">
      <c r="AT422" s="85">
        <v>44581</v>
      </c>
      <c r="AU422" s="51">
        <v>2.5579999999999998</v>
      </c>
      <c r="AV422" s="51">
        <v>1.8104</v>
      </c>
      <c r="AW422" s="51">
        <v>2.7444999999999999</v>
      </c>
      <c r="AX422" s="51">
        <v>1.24</v>
      </c>
      <c r="AY422" s="51">
        <v>1.7410000000000001</v>
      </c>
      <c r="AZ422" s="51">
        <f t="shared" si="16"/>
        <v>-0.50100000000000011</v>
      </c>
      <c r="BA422" s="51"/>
    </row>
    <row r="423" spans="46:53" x14ac:dyDescent="0.25">
      <c r="AT423" s="85">
        <v>44580</v>
      </c>
      <c r="AU423" s="51">
        <v>2.5369999999999999</v>
      </c>
      <c r="AV423" s="51">
        <v>1.8693</v>
      </c>
      <c r="AW423" s="51">
        <v>2.7488000000000001</v>
      </c>
      <c r="AX423" s="51">
        <v>1.24</v>
      </c>
      <c r="AY423" s="51">
        <v>1.7430000000000001</v>
      </c>
      <c r="AZ423" s="51">
        <f t="shared" si="16"/>
        <v>-0.50300000000000011</v>
      </c>
      <c r="BA423" s="51"/>
    </row>
  </sheetData>
  <sortState ref="BC2:BE48">
    <sortCondition ref="BC1"/>
  </sortState>
  <mergeCells count="26">
    <mergeCell ref="G32:G33"/>
    <mergeCell ref="H32:H33"/>
    <mergeCell ref="K32:K33"/>
    <mergeCell ref="I32:J33"/>
    <mergeCell ref="I12:J12"/>
    <mergeCell ref="I13:J13"/>
    <mergeCell ref="I14:J14"/>
    <mergeCell ref="I15:J15"/>
    <mergeCell ref="I23:J23"/>
    <mergeCell ref="I6:J6"/>
    <mergeCell ref="I7:J7"/>
    <mergeCell ref="I8:J8"/>
    <mergeCell ref="I9:J9"/>
    <mergeCell ref="I10:J10"/>
    <mergeCell ref="I11:J11"/>
    <mergeCell ref="I16:J16"/>
    <mergeCell ref="I17:J17"/>
    <mergeCell ref="I18:J18"/>
    <mergeCell ref="I22:J22"/>
    <mergeCell ref="P32:R32"/>
    <mergeCell ref="S32:U32"/>
    <mergeCell ref="I24:J24"/>
    <mergeCell ref="I25:J25"/>
    <mergeCell ref="I26:J26"/>
    <mergeCell ref="I27:J27"/>
    <mergeCell ref="I28:J28"/>
  </mergeCells>
  <phoneticPr fontId="1" type="noConversion"/>
  <conditionalFormatting sqref="P22:U28 P30:U30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10</xdr:col>
                    <xdr:colOff>19050</xdr:colOff>
                    <xdr:row>6</xdr:row>
                    <xdr:rowOff>9525</xdr:rowOff>
                  </from>
                  <to>
                    <xdr:col>10</xdr:col>
                    <xdr:colOff>1257300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5" name="Drop Down 16">
              <controlPr defaultSize="0" autoLine="0" autoPict="0">
                <anchor moveWithCells="1">
                  <from>
                    <xdr:col>10</xdr:col>
                    <xdr:colOff>19050</xdr:colOff>
                    <xdr:row>7</xdr:row>
                    <xdr:rowOff>9525</xdr:rowOff>
                  </from>
                  <to>
                    <xdr:col>10</xdr:col>
                    <xdr:colOff>1257300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" name="Drop Down 17">
              <controlPr defaultSize="0" autoLine="0" autoPict="0">
                <anchor moveWithCells="1">
                  <from>
                    <xdr:col>10</xdr:col>
                    <xdr:colOff>19050</xdr:colOff>
                    <xdr:row>8</xdr:row>
                    <xdr:rowOff>9525</xdr:rowOff>
                  </from>
                  <to>
                    <xdr:col>10</xdr:col>
                    <xdr:colOff>1257300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Drop Down 18">
              <controlPr defaultSize="0" autoLine="0" autoPict="0">
                <anchor moveWithCells="1">
                  <from>
                    <xdr:col>10</xdr:col>
                    <xdr:colOff>19050</xdr:colOff>
                    <xdr:row>9</xdr:row>
                    <xdr:rowOff>9525</xdr:rowOff>
                  </from>
                  <to>
                    <xdr:col>10</xdr:col>
                    <xdr:colOff>1257300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Drop Down 19">
              <controlPr defaultSize="0" autoLine="0" autoPict="0">
                <anchor moveWithCells="1">
                  <from>
                    <xdr:col>10</xdr:col>
                    <xdr:colOff>19050</xdr:colOff>
                    <xdr:row>10</xdr:row>
                    <xdr:rowOff>9525</xdr:rowOff>
                  </from>
                  <to>
                    <xdr:col>10</xdr:col>
                    <xdr:colOff>1257300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10</xdr:col>
                    <xdr:colOff>19050</xdr:colOff>
                    <xdr:row>11</xdr:row>
                    <xdr:rowOff>9525</xdr:rowOff>
                  </from>
                  <to>
                    <xdr:col>10</xdr:col>
                    <xdr:colOff>1257300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10</xdr:col>
                    <xdr:colOff>19050</xdr:colOff>
                    <xdr:row>12</xdr:row>
                    <xdr:rowOff>9525</xdr:rowOff>
                  </from>
                  <to>
                    <xdr:col>10</xdr:col>
                    <xdr:colOff>1257300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10</xdr:col>
                    <xdr:colOff>19050</xdr:colOff>
                    <xdr:row>13</xdr:row>
                    <xdr:rowOff>9525</xdr:rowOff>
                  </from>
                  <to>
                    <xdr:col>10</xdr:col>
                    <xdr:colOff>1257300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Drop Down 23">
              <controlPr defaultSize="0" autoLine="0" autoPict="0">
                <anchor moveWithCells="1">
                  <from>
                    <xdr:col>10</xdr:col>
                    <xdr:colOff>19050</xdr:colOff>
                    <xdr:row>14</xdr:row>
                    <xdr:rowOff>9525</xdr:rowOff>
                  </from>
                  <to>
                    <xdr:col>10</xdr:col>
                    <xdr:colOff>1257300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Drop Down 24">
              <controlPr defaultSize="0" autoLine="0" autoPict="0">
                <anchor moveWithCells="1">
                  <from>
                    <xdr:col>10</xdr:col>
                    <xdr:colOff>19050</xdr:colOff>
                    <xdr:row>16</xdr:row>
                    <xdr:rowOff>9525</xdr:rowOff>
                  </from>
                  <to>
                    <xdr:col>10</xdr:col>
                    <xdr:colOff>1257300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4" name="Drop Down 25">
              <controlPr defaultSize="0" autoLine="0" autoPict="0">
                <anchor moveWithCells="1">
                  <from>
                    <xdr:col>10</xdr:col>
                    <xdr:colOff>19050</xdr:colOff>
                    <xdr:row>15</xdr:row>
                    <xdr:rowOff>9525</xdr:rowOff>
                  </from>
                  <to>
                    <xdr:col>10</xdr:col>
                    <xdr:colOff>1257300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5" name="Drop Down 27">
              <controlPr defaultSize="0" autoLine="0" autoPict="0">
                <anchor moveWithCells="1">
                  <from>
                    <xdr:col>10</xdr:col>
                    <xdr:colOff>19050</xdr:colOff>
                    <xdr:row>17</xdr:row>
                    <xdr:rowOff>0</xdr:rowOff>
                  </from>
                  <to>
                    <xdr:col>10</xdr:col>
                    <xdr:colOff>1257300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6" name="Scroll Bar 28">
              <controlPr defaultSize="0" autoPict="0">
                <anchor>
                  <from>
                    <xdr:col>9</xdr:col>
                    <xdr:colOff>0</xdr:colOff>
                    <xdr:row>33</xdr:row>
                    <xdr:rowOff>19050</xdr:rowOff>
                  </from>
                  <to>
                    <xdr:col>9</xdr:col>
                    <xdr:colOff>161925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7" name="Drop Down 29">
              <controlPr defaultSize="0" autoLine="0" autoPict="0">
                <anchor moveWithCells="1">
                  <from>
                    <xdr:col>5</xdr:col>
                    <xdr:colOff>9525</xdr:colOff>
                    <xdr:row>31</xdr:row>
                    <xdr:rowOff>9525</xdr:rowOff>
                  </from>
                  <to>
                    <xdr:col>5</xdr:col>
                    <xdr:colOff>828675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8" name="Drop Down 30">
              <controlPr defaultSize="0" autoLine="0" autoPict="0">
                <anchor moveWithCells="1">
                  <from>
                    <xdr:col>23</xdr:col>
                    <xdr:colOff>257175</xdr:colOff>
                    <xdr:row>2</xdr:row>
                    <xdr:rowOff>47625</xdr:rowOff>
                  </from>
                  <to>
                    <xdr:col>26</xdr:col>
                    <xdr:colOff>38100</xdr:colOff>
                    <xdr:row>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9" name="Drop Down 31">
              <controlPr defaultSize="0" autoLine="0" autoPict="0">
                <anchor moveWithCells="1">
                  <from>
                    <xdr:col>26</xdr:col>
                    <xdr:colOff>257175</xdr:colOff>
                    <xdr:row>2</xdr:row>
                    <xdr:rowOff>47625</xdr:rowOff>
                  </from>
                  <to>
                    <xdr:col>29</xdr:col>
                    <xdr:colOff>38100</xdr:colOff>
                    <xdr:row>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0" name="Drop Down 32">
              <controlPr defaultSize="0" autoLine="0" autoPict="0">
                <anchor moveWithCells="1">
                  <from>
                    <xdr:col>29</xdr:col>
                    <xdr:colOff>314325</xdr:colOff>
                    <xdr:row>2</xdr:row>
                    <xdr:rowOff>38100</xdr:rowOff>
                  </from>
                  <to>
                    <xdr:col>31</xdr:col>
                    <xdr:colOff>581025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1" name="Drop Down 33">
              <controlPr defaultSize="0" autoLine="0" autoPict="0">
                <anchor moveWithCells="1">
                  <from>
                    <xdr:col>21</xdr:col>
                    <xdr:colOff>47625</xdr:colOff>
                    <xdr:row>22</xdr:row>
                    <xdr:rowOff>95250</xdr:rowOff>
                  </from>
                  <to>
                    <xdr:col>24</xdr:col>
                    <xdr:colOff>66675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2" name="Drop Down 34">
              <controlPr defaultSize="0" autoLine="0" autoPict="0">
                <anchor moveWithCells="1">
                  <from>
                    <xdr:col>24</xdr:col>
                    <xdr:colOff>180975</xdr:colOff>
                    <xdr:row>22</xdr:row>
                    <xdr:rowOff>95250</xdr:rowOff>
                  </from>
                  <to>
                    <xdr:col>26</xdr:col>
                    <xdr:colOff>228600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3" name="Drop Down 35">
              <controlPr defaultSize="0" autoLine="0" autoPict="0">
                <anchor moveWithCells="1">
                  <from>
                    <xdr:col>26</xdr:col>
                    <xdr:colOff>371475</xdr:colOff>
                    <xdr:row>22</xdr:row>
                    <xdr:rowOff>95250</xdr:rowOff>
                  </from>
                  <to>
                    <xdr:col>29</xdr:col>
                    <xdr:colOff>390525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4" name="Drop Down 36">
              <controlPr defaultSize="0" autoLine="0" autoPict="0">
                <anchor moveWithCells="1">
                  <from>
                    <xdr:col>30</xdr:col>
                    <xdr:colOff>66675</xdr:colOff>
                    <xdr:row>22</xdr:row>
                    <xdr:rowOff>95250</xdr:rowOff>
                  </from>
                  <to>
                    <xdr:col>31</xdr:col>
                    <xdr:colOff>581025</xdr:colOff>
                    <xdr:row>23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채권시장종합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2015-10-29T02:19:12Z</cp:lastPrinted>
  <dcterms:created xsi:type="dcterms:W3CDTF">2015-10-06T05:54:29Z</dcterms:created>
  <dcterms:modified xsi:type="dcterms:W3CDTF">2023-01-18T05:09:39Z</dcterms:modified>
</cp:coreProperties>
</file>