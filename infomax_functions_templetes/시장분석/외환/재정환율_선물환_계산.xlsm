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dsnow\Downloads\"/>
    </mc:Choice>
  </mc:AlternateContent>
  <xr:revisionPtr revIDLastSave="0" documentId="13_ncr:1_{C263EC94-2CC0-49FF-ACE9-24B998825EF4}" xr6:coauthVersionLast="47" xr6:coauthVersionMax="47" xr10:uidLastSave="{00000000-0000-0000-0000-000000000000}"/>
  <bookViews>
    <workbookView xWindow="825" yWindow="60" windowWidth="26925" windowHeight="14880" xr2:uid="{00000000-000D-0000-FFFF-FFFF00000000}"/>
  </bookViews>
  <sheets>
    <sheet name="cross rate fwd" sheetId="1" r:id="rId1"/>
    <sheet name="code" sheetId="2" state="hidden" r:id="rId2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88" i="2" l="1"/>
  <c r="AA88" i="2"/>
  <c r="AA90" i="2"/>
  <c r="Z90" i="2"/>
  <c r="AA77" i="2"/>
  <c r="Z77" i="2"/>
  <c r="AA75" i="2"/>
  <c r="Z75" i="2"/>
  <c r="T105" i="2"/>
  <c r="T92" i="2"/>
  <c r="T79" i="2"/>
  <c r="T66" i="2"/>
  <c r="T53" i="2"/>
  <c r="T40" i="2"/>
  <c r="T27" i="2"/>
  <c r="T14" i="2"/>
  <c r="T1" i="2"/>
  <c r="Y117" i="2"/>
  <c r="Y112" i="2"/>
  <c r="Y107" i="2"/>
  <c r="X112" i="2"/>
  <c r="X107" i="2"/>
  <c r="W117" i="2"/>
  <c r="W112" i="2"/>
  <c r="W107" i="2"/>
  <c r="V117" i="2"/>
  <c r="V112" i="2"/>
  <c r="V107" i="2"/>
  <c r="Y116" i="2"/>
  <c r="Y111" i="2"/>
  <c r="Y106" i="2"/>
  <c r="X116" i="2"/>
  <c r="X111" i="2"/>
  <c r="X106" i="2"/>
  <c r="W116" i="2"/>
  <c r="W111" i="2"/>
  <c r="W106" i="2"/>
  <c r="V116" i="2"/>
  <c r="V111" i="2"/>
  <c r="V106" i="2"/>
  <c r="Y115" i="2"/>
  <c r="Y110" i="2"/>
  <c r="X108" i="2"/>
  <c r="W108" i="2"/>
  <c r="V108" i="2"/>
  <c r="X117" i="2"/>
  <c r="X115" i="2"/>
  <c r="X110" i="2"/>
  <c r="W110" i="2"/>
  <c r="V115" i="2"/>
  <c r="V110" i="2"/>
  <c r="Y114" i="2"/>
  <c r="X114" i="2"/>
  <c r="X109" i="2"/>
  <c r="W109" i="2"/>
  <c r="Y113" i="2"/>
  <c r="X113" i="2"/>
  <c r="W113" i="2"/>
  <c r="V113" i="2"/>
  <c r="W115" i="2"/>
  <c r="Y109" i="2"/>
  <c r="W114" i="2"/>
  <c r="V114" i="2"/>
  <c r="V109" i="2"/>
  <c r="Y108" i="2"/>
  <c r="Y105" i="2"/>
  <c r="X105" i="2"/>
  <c r="W105" i="2"/>
  <c r="V105" i="2"/>
  <c r="C11" i="2"/>
  <c r="Y91" i="2"/>
  <c r="X91" i="2"/>
  <c r="W91" i="2"/>
  <c r="V91" i="2"/>
  <c r="Y90" i="2"/>
  <c r="V90" i="2"/>
  <c r="X90" i="2"/>
  <c r="W90" i="2"/>
  <c r="Y88" i="2"/>
  <c r="Y83" i="2"/>
  <c r="X88" i="2"/>
  <c r="X83" i="2"/>
  <c r="W88" i="2"/>
  <c r="W83" i="2"/>
  <c r="V88" i="2"/>
  <c r="V83" i="2"/>
  <c r="Y87" i="2"/>
  <c r="Y82" i="2"/>
  <c r="X87" i="2"/>
  <c r="X82" i="2"/>
  <c r="W87" i="2"/>
  <c r="W82" i="2"/>
  <c r="V85" i="2"/>
  <c r="X84" i="2"/>
  <c r="V84" i="2"/>
  <c r="V87" i="2"/>
  <c r="V82" i="2"/>
  <c r="Y86" i="2"/>
  <c r="Y81" i="2"/>
  <c r="X86" i="2"/>
  <c r="X81" i="2"/>
  <c r="W86" i="2"/>
  <c r="W81" i="2"/>
  <c r="V86" i="2"/>
  <c r="V81" i="2"/>
  <c r="Y85" i="2"/>
  <c r="X85" i="2"/>
  <c r="W85" i="2"/>
  <c r="Y84" i="2"/>
  <c r="W84" i="2"/>
  <c r="Y80" i="2"/>
  <c r="X80" i="2"/>
  <c r="W80" i="2"/>
  <c r="V80" i="2"/>
  <c r="Y79" i="2"/>
  <c r="X79" i="2"/>
  <c r="W79" i="2"/>
  <c r="V79" i="2"/>
  <c r="Y78" i="2"/>
  <c r="X78" i="2"/>
  <c r="W78" i="2"/>
  <c r="V78" i="2"/>
  <c r="Y75" i="2"/>
  <c r="V75" i="2"/>
  <c r="X75" i="2"/>
  <c r="W75" i="2"/>
  <c r="Y77" i="2"/>
  <c r="X77" i="2"/>
  <c r="W77" i="2"/>
  <c r="V77" i="2"/>
  <c r="X74" i="2"/>
  <c r="W74" i="2"/>
  <c r="V74" i="2"/>
  <c r="Y73" i="2"/>
  <c r="X73" i="2"/>
  <c r="W73" i="2"/>
  <c r="V73" i="2"/>
  <c r="Y72" i="2"/>
  <c r="X72" i="2"/>
  <c r="W72" i="2"/>
  <c r="V72" i="2"/>
  <c r="Y71" i="2"/>
  <c r="X71" i="2"/>
  <c r="W71" i="2"/>
  <c r="V71" i="2"/>
  <c r="Y70" i="2"/>
  <c r="X70" i="2"/>
  <c r="W70" i="2"/>
  <c r="V70" i="2"/>
  <c r="Y74" i="2"/>
  <c r="Y69" i="2"/>
  <c r="X69" i="2"/>
  <c r="W69" i="2"/>
  <c r="V69" i="2"/>
  <c r="X68" i="2"/>
  <c r="W68" i="2"/>
  <c r="V68" i="2"/>
  <c r="Y67" i="2"/>
  <c r="X67" i="2"/>
  <c r="W67" i="2"/>
  <c r="V67" i="2"/>
  <c r="Y68" i="2"/>
  <c r="Y66" i="2"/>
  <c r="X66" i="2"/>
  <c r="W66" i="2"/>
  <c r="V66" i="2"/>
  <c r="Y65" i="2"/>
  <c r="X65" i="2"/>
  <c r="W65" i="2"/>
  <c r="V65" i="2"/>
  <c r="Y64" i="2"/>
  <c r="X64" i="2"/>
  <c r="W64" i="2"/>
  <c r="V64" i="2"/>
  <c r="Y62" i="2"/>
  <c r="X62" i="2"/>
  <c r="W62" i="2"/>
  <c r="V62" i="2"/>
  <c r="Y59" i="2"/>
  <c r="X59" i="2"/>
  <c r="W59" i="2"/>
  <c r="V59" i="2"/>
  <c r="Y57" i="2"/>
  <c r="X57" i="2"/>
  <c r="W57" i="2"/>
  <c r="V57" i="2"/>
  <c r="Y56" i="2"/>
  <c r="W56" i="2"/>
  <c r="V56" i="2"/>
  <c r="Y55" i="2"/>
  <c r="X55" i="2"/>
  <c r="W55" i="2"/>
  <c r="V55" i="2"/>
  <c r="Y54" i="2"/>
  <c r="X54" i="2"/>
  <c r="W54" i="2"/>
  <c r="V54" i="2"/>
  <c r="X56" i="2"/>
  <c r="Y53" i="2"/>
  <c r="X53" i="2"/>
  <c r="W53" i="2"/>
  <c r="V53" i="2"/>
  <c r="Y39" i="2"/>
  <c r="Y34" i="2"/>
  <c r="Y29" i="2"/>
  <c r="X34" i="2"/>
  <c r="X29" i="2"/>
  <c r="W39" i="2"/>
  <c r="W34" i="2"/>
  <c r="W29" i="2"/>
  <c r="V39" i="2"/>
  <c r="V29" i="2"/>
  <c r="Y38" i="2"/>
  <c r="Y33" i="2"/>
  <c r="X38" i="2"/>
  <c r="X28" i="2"/>
  <c r="W33" i="2"/>
  <c r="W28" i="2"/>
  <c r="V33" i="2"/>
  <c r="Y37" i="2"/>
  <c r="X37" i="2"/>
  <c r="W37" i="2"/>
  <c r="V37" i="2"/>
  <c r="Y36" i="2"/>
  <c r="X36" i="2"/>
  <c r="X31" i="2"/>
  <c r="W31" i="2"/>
  <c r="V31" i="2"/>
  <c r="Y30" i="2"/>
  <c r="X30" i="2"/>
  <c r="V35" i="2"/>
  <c r="V30" i="2"/>
  <c r="X39" i="2"/>
  <c r="V34" i="2"/>
  <c r="Y28" i="2"/>
  <c r="X33" i="2"/>
  <c r="W38" i="2"/>
  <c r="V38" i="2"/>
  <c r="V28" i="2"/>
  <c r="Y32" i="2"/>
  <c r="X32" i="2"/>
  <c r="W32" i="2"/>
  <c r="V32" i="2"/>
  <c r="Y31" i="2"/>
  <c r="W36" i="2"/>
  <c r="V36" i="2"/>
  <c r="Y35" i="2"/>
  <c r="X35" i="2"/>
  <c r="W35" i="2"/>
  <c r="W30" i="2"/>
  <c r="Y27" i="2"/>
  <c r="X27" i="2"/>
  <c r="W27" i="2"/>
  <c r="V27" i="2"/>
  <c r="Y104" i="2"/>
  <c r="X104" i="2"/>
  <c r="W104" i="2"/>
  <c r="V104" i="2"/>
  <c r="Y103" i="2"/>
  <c r="X103" i="2"/>
  <c r="W103" i="2"/>
  <c r="V103" i="2"/>
  <c r="Y101" i="2"/>
  <c r="X101" i="2"/>
  <c r="W101" i="2"/>
  <c r="V101" i="2"/>
  <c r="Y98" i="2"/>
  <c r="Y93" i="2"/>
  <c r="X93" i="2"/>
  <c r="V93" i="2"/>
  <c r="X97" i="2"/>
  <c r="Y96" i="2"/>
  <c r="V96" i="2"/>
  <c r="X95" i="2"/>
  <c r="V95" i="2"/>
  <c r="Y94" i="2"/>
  <c r="V94" i="2"/>
  <c r="X98" i="2"/>
  <c r="X94" i="2"/>
  <c r="W98" i="2"/>
  <c r="W93" i="2"/>
  <c r="V98" i="2"/>
  <c r="Y97" i="2"/>
  <c r="W97" i="2"/>
  <c r="V97" i="2"/>
  <c r="W96" i="2"/>
  <c r="Y95" i="2"/>
  <c r="W95" i="2"/>
  <c r="W94" i="2"/>
  <c r="X96" i="2"/>
  <c r="Y92" i="2"/>
  <c r="X92" i="2"/>
  <c r="W92" i="2"/>
  <c r="V92" i="2"/>
  <c r="Y49" i="2"/>
  <c r="X49" i="2"/>
  <c r="W49" i="2"/>
  <c r="V49" i="2"/>
  <c r="Y46" i="2"/>
  <c r="X46" i="2"/>
  <c r="W46" i="2"/>
  <c r="V46" i="2"/>
  <c r="Y44" i="2"/>
  <c r="X44" i="2"/>
  <c r="W44" i="2"/>
  <c r="V44" i="2"/>
  <c r="Y43" i="2"/>
  <c r="X43" i="2"/>
  <c r="W43" i="2"/>
  <c r="V43" i="2"/>
  <c r="Y42" i="2"/>
  <c r="W41" i="2"/>
  <c r="V41" i="2"/>
  <c r="X42" i="2"/>
  <c r="W42" i="2"/>
  <c r="V42" i="2"/>
  <c r="Y41" i="2"/>
  <c r="X41" i="2"/>
  <c r="Y40" i="2"/>
  <c r="X40" i="2"/>
  <c r="W40" i="2"/>
  <c r="V40" i="2"/>
  <c r="Y26" i="2"/>
  <c r="Y21" i="2"/>
  <c r="Y16" i="2"/>
  <c r="W20" i="2"/>
  <c r="W19" i="2"/>
  <c r="V19" i="2"/>
  <c r="Y23" i="2"/>
  <c r="V22" i="2"/>
  <c r="X26" i="2"/>
  <c r="X21" i="2"/>
  <c r="X16" i="2"/>
  <c r="W21" i="2"/>
  <c r="W16" i="2"/>
  <c r="V26" i="2"/>
  <c r="V21" i="2"/>
  <c r="V16" i="2"/>
  <c r="W15" i="2"/>
  <c r="V20" i="2"/>
  <c r="Y24" i="2"/>
  <c r="X24" i="2"/>
  <c r="V24" i="2"/>
  <c r="Y18" i="2"/>
  <c r="X23" i="2"/>
  <c r="X18" i="2"/>
  <c r="W23" i="2"/>
  <c r="V23" i="2"/>
  <c r="Y22" i="2"/>
  <c r="X22" i="2"/>
  <c r="W22" i="2"/>
  <c r="W26" i="2"/>
  <c r="X19" i="2"/>
  <c r="Y25" i="2"/>
  <c r="Y20" i="2"/>
  <c r="Y15" i="2"/>
  <c r="X25" i="2"/>
  <c r="X20" i="2"/>
  <c r="X15" i="2"/>
  <c r="W25" i="2"/>
  <c r="V15" i="2"/>
  <c r="Y19" i="2"/>
  <c r="W24" i="2"/>
  <c r="W18" i="2"/>
  <c r="V18" i="2"/>
  <c r="Y17" i="2"/>
  <c r="X17" i="2"/>
  <c r="W17" i="2"/>
  <c r="V17" i="2"/>
  <c r="V25" i="2"/>
  <c r="Y14" i="2"/>
  <c r="X14" i="2"/>
  <c r="W14" i="2"/>
  <c r="V14" i="2"/>
  <c r="C1" i="2" l="1"/>
  <c r="Z44" i="2"/>
  <c r="AA44" i="2"/>
  <c r="Z46" i="2"/>
  <c r="AA46" i="2"/>
  <c r="Z49" i="2"/>
  <c r="AA49" i="2"/>
  <c r="Z57" i="2"/>
  <c r="AA57" i="2"/>
  <c r="Z59" i="2"/>
  <c r="AA59" i="2"/>
  <c r="Z62" i="2"/>
  <c r="AA62" i="2"/>
  <c r="Z64" i="2"/>
  <c r="AA64" i="2"/>
  <c r="Z98" i="2"/>
  <c r="AA98" i="2"/>
  <c r="Z101" i="2"/>
  <c r="AA101" i="2"/>
  <c r="Z103" i="2"/>
  <c r="AA103" i="2"/>
  <c r="H26" i="1"/>
  <c r="AJ2" i="2"/>
  <c r="AJ3" i="2"/>
  <c r="AJ4" i="2"/>
  <c r="AJ5" i="2"/>
  <c r="AJ1" i="2"/>
  <c r="AE2" i="2"/>
  <c r="AE3" i="2"/>
  <c r="AE4" i="2"/>
  <c r="AE5" i="2"/>
  <c r="AE1" i="2"/>
  <c r="Y13" i="2"/>
  <c r="Y8" i="2"/>
  <c r="Y3" i="2"/>
  <c r="X8" i="2"/>
  <c r="X3" i="2"/>
  <c r="W3" i="2"/>
  <c r="V13" i="2"/>
  <c r="V3" i="2"/>
  <c r="V7" i="2"/>
  <c r="W11" i="2"/>
  <c r="V11" i="2"/>
  <c r="Y10" i="2"/>
  <c r="W10" i="2"/>
  <c r="Y4" i="2"/>
  <c r="V4" i="2"/>
  <c r="X13" i="2"/>
  <c r="V8" i="2"/>
  <c r="Y5" i="2"/>
  <c r="X10" i="2"/>
  <c r="W5" i="2"/>
  <c r="Y9" i="2"/>
  <c r="X9" i="2"/>
  <c r="V9" i="2"/>
  <c r="W13" i="2"/>
  <c r="W8" i="2"/>
  <c r="X11" i="2"/>
  <c r="X5" i="2"/>
  <c r="V10" i="2"/>
  <c r="W4" i="2"/>
  <c r="Y12" i="2"/>
  <c r="Y7" i="2"/>
  <c r="Y2" i="2"/>
  <c r="X12" i="2"/>
  <c r="X7" i="2"/>
  <c r="X2" i="2"/>
  <c r="W12" i="2"/>
  <c r="W7" i="2"/>
  <c r="W2" i="2"/>
  <c r="V12" i="2"/>
  <c r="V2" i="2"/>
  <c r="Y11" i="2"/>
  <c r="Y6" i="2"/>
  <c r="X6" i="2"/>
  <c r="W6" i="2"/>
  <c r="V6" i="2"/>
  <c r="V5" i="2"/>
  <c r="X4" i="2"/>
  <c r="W9" i="2"/>
  <c r="Y1" i="2"/>
  <c r="X1" i="2"/>
  <c r="W1" i="2"/>
  <c r="V1" i="2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J34" i="1"/>
  <c r="K21" i="1"/>
  <c r="J21" i="1"/>
  <c r="K14" i="1"/>
  <c r="J40" i="1"/>
  <c r="J14" i="1"/>
  <c r="J33" i="1"/>
  <c r="K20" i="1"/>
  <c r="K39" i="1"/>
  <c r="J20" i="1"/>
  <c r="K13" i="1"/>
  <c r="J39" i="1"/>
  <c r="K32" i="1"/>
  <c r="J13" i="1"/>
  <c r="J32" i="1"/>
  <c r="K19" i="1"/>
  <c r="K38" i="1"/>
  <c r="J19" i="1"/>
  <c r="K12" i="1"/>
  <c r="J38" i="1"/>
  <c r="K31" i="1"/>
  <c r="J12" i="1"/>
  <c r="J31" i="1"/>
  <c r="K18" i="1"/>
  <c r="K37" i="1"/>
  <c r="J18" i="1"/>
  <c r="K11" i="1"/>
  <c r="K30" i="1"/>
  <c r="J11" i="1"/>
  <c r="J30" i="1"/>
  <c r="K10" i="1"/>
  <c r="K29" i="1"/>
  <c r="J10" i="1"/>
  <c r="J29" i="1"/>
  <c r="J35" i="1"/>
  <c r="K15" i="1"/>
  <c r="K34" i="1"/>
  <c r="J15" i="1"/>
  <c r="K40" i="1"/>
  <c r="K17" i="1"/>
  <c r="K36" i="1"/>
  <c r="J17" i="1"/>
  <c r="J36" i="1"/>
  <c r="K16" i="1"/>
  <c r="K35" i="1"/>
  <c r="K9" i="1"/>
  <c r="K28" i="1"/>
  <c r="J9" i="1"/>
  <c r="J28" i="1"/>
  <c r="K33" i="1"/>
  <c r="J37" i="1"/>
  <c r="J16" i="1"/>
  <c r="Z48" i="2"/>
  <c r="AA48" i="2"/>
  <c r="AA47" i="2"/>
  <c r="Z50" i="2"/>
  <c r="AA45" i="2"/>
  <c r="Z47" i="2"/>
  <c r="Z102" i="2"/>
  <c r="Z51" i="2"/>
  <c r="AA51" i="2"/>
  <c r="Z100" i="2"/>
  <c r="AA102" i="2"/>
  <c r="Z52" i="2"/>
  <c r="AA50" i="2"/>
  <c r="AA100" i="2"/>
  <c r="Z99" i="2"/>
  <c r="AA52" i="2"/>
  <c r="AA99" i="2"/>
  <c r="D11" i="2" l="1"/>
  <c r="N6" i="1"/>
  <c r="AA1" i="2"/>
  <c r="Q1" i="2"/>
  <c r="I1" i="2"/>
  <c r="K1" i="2"/>
  <c r="G1" i="2"/>
  <c r="AF1" i="2"/>
  <c r="O1" i="2"/>
  <c r="M1" i="2"/>
  <c r="B4" i="1" l="1"/>
  <c r="T5" i="2"/>
  <c r="T82" i="2"/>
  <c r="T4" i="2"/>
  <c r="T94" i="2"/>
  <c r="T29" i="2"/>
  <c r="T95" i="2"/>
  <c r="T30" i="2"/>
  <c r="T31" i="2"/>
  <c r="T96" i="2"/>
  <c r="T43" i="2"/>
  <c r="T56" i="2"/>
  <c r="T81" i="2"/>
  <c r="T57" i="2"/>
  <c r="T70" i="2"/>
  <c r="T44" i="2"/>
  <c r="T55" i="2"/>
  <c r="T69" i="2"/>
  <c r="T107" i="2"/>
  <c r="T18" i="2"/>
  <c r="T3" i="2"/>
  <c r="T83" i="2"/>
  <c r="T109" i="2"/>
  <c r="T108" i="2"/>
  <c r="T42" i="2"/>
  <c r="T16" i="2"/>
  <c r="T17" i="2"/>
  <c r="T68" i="2"/>
  <c r="AC18" i="1" l="1"/>
  <c r="E18" i="1" s="1"/>
  <c r="AC15" i="1"/>
  <c r="E15" i="1" s="1"/>
  <c r="AB10" i="1"/>
  <c r="D10" i="1" s="1"/>
  <c r="B10" i="1" s="1"/>
  <c r="AD16" i="1" a="1"/>
  <c r="AD16" i="1" s="1"/>
  <c r="F16" i="1" s="1"/>
  <c r="AB15" i="1"/>
  <c r="D15" i="1" s="1"/>
  <c r="B15" i="1" s="1"/>
  <c r="AC10" i="1"/>
  <c r="E10" i="1" s="1"/>
  <c r="AB9" i="1"/>
  <c r="D9" i="1" s="1"/>
  <c r="B9" i="1" s="1"/>
  <c r="AD12" i="1" a="1"/>
  <c r="AD12" i="1" s="1"/>
  <c r="F12" i="1" s="1"/>
  <c r="AD21" i="1" a="1"/>
  <c r="AD21" i="1" s="1"/>
  <c r="F21" i="1" s="1"/>
  <c r="AD14" i="1" a="1"/>
  <c r="AD14" i="1" s="1"/>
  <c r="F14" i="1" s="1"/>
  <c r="AD15" i="1" a="1"/>
  <c r="AD15" i="1" s="1"/>
  <c r="F15" i="1" s="1"/>
  <c r="AB11" i="1"/>
  <c r="D11" i="1" s="1"/>
  <c r="B11" i="1" s="1"/>
  <c r="AB13" i="1"/>
  <c r="D13" i="1" s="1"/>
  <c r="B13" i="1" s="1"/>
  <c r="AC12" i="1"/>
  <c r="E12" i="1" s="1"/>
  <c r="AD10" i="1" a="1"/>
  <c r="AD10" i="1" s="1"/>
  <c r="F10" i="1" s="1"/>
  <c r="AD19" i="1" a="1"/>
  <c r="AD19" i="1" s="1"/>
  <c r="F19" i="1" s="1"/>
  <c r="AD17" i="1" a="1"/>
  <c r="AD17" i="1" s="1"/>
  <c r="F17" i="1" s="1"/>
  <c r="AD9" i="1" a="1"/>
  <c r="AD9" i="1" s="1"/>
  <c r="F9" i="1" s="1"/>
  <c r="AC9" i="1"/>
  <c r="E9" i="1" s="1"/>
  <c r="AB18" i="1"/>
  <c r="D18" i="1" s="1"/>
  <c r="B18" i="1" s="1"/>
  <c r="AC11" i="1"/>
  <c r="E11" i="1" s="1"/>
  <c r="AC13" i="1"/>
  <c r="E13" i="1" s="1"/>
  <c r="AB12" i="1"/>
  <c r="D12" i="1" s="1"/>
  <c r="B12" i="1" s="1"/>
  <c r="AD11" i="1" a="1"/>
  <c r="AD11" i="1" s="1"/>
  <c r="F11" i="1" s="1"/>
  <c r="AD20" i="1" a="1"/>
  <c r="AD20" i="1" s="1"/>
  <c r="F20" i="1" s="1"/>
  <c r="AD18" i="1" a="1"/>
  <c r="AD18" i="1" s="1"/>
  <c r="F18" i="1" s="1"/>
  <c r="AD13" i="1" a="1"/>
  <c r="AD13" i="1" s="1"/>
  <c r="F13" i="1" s="1"/>
  <c r="AB8" i="1"/>
  <c r="AC7" i="1"/>
  <c r="AC8" i="1"/>
  <c r="AC27" i="1"/>
  <c r="AB27" i="1"/>
  <c r="AC26" i="1"/>
  <c r="Q27" i="1" s="1"/>
  <c r="AP7" i="1"/>
  <c r="AS8" i="1" s="1"/>
  <c r="AS7" i="1" s="1"/>
  <c r="A13" i="2"/>
  <c r="N18" i="1" l="1"/>
  <c r="N13" i="1"/>
  <c r="N11" i="1"/>
  <c r="N9" i="1"/>
  <c r="N15" i="1"/>
  <c r="N10" i="1"/>
  <c r="N12" i="1"/>
  <c r="Q8" i="1"/>
  <c r="AU21" i="1"/>
  <c r="AT21" i="1" s="1"/>
  <c r="AW12" i="1"/>
  <c r="AV12" i="1" s="1"/>
  <c r="AU19" i="1"/>
  <c r="AT19" i="1" s="1"/>
  <c r="AU16" i="1"/>
  <c r="AT16" i="1" s="1"/>
  <c r="AW16" i="1"/>
  <c r="AV16" i="1" s="1"/>
  <c r="AU15" i="1"/>
  <c r="AT15" i="1" s="1"/>
  <c r="AU12" i="1"/>
  <c r="AT12" i="1" s="1"/>
  <c r="AU18" i="1"/>
  <c r="AT18" i="1" s="1"/>
  <c r="AW14" i="1"/>
  <c r="AV14" i="1" s="1"/>
  <c r="AW15" i="1"/>
  <c r="AV15" i="1" s="1"/>
  <c r="AW9" i="1"/>
  <c r="AV9" i="1" s="1"/>
  <c r="AU20" i="1"/>
  <c r="AT20" i="1" s="1"/>
  <c r="AW10" i="1"/>
  <c r="AV10" i="1" s="1"/>
  <c r="AW18" i="1"/>
  <c r="AV18" i="1" s="1"/>
  <c r="AU17" i="1"/>
  <c r="AT17" i="1" s="1"/>
  <c r="AW19" i="1"/>
  <c r="AV19" i="1" s="1"/>
  <c r="AU13" i="1"/>
  <c r="AT13" i="1" s="1"/>
  <c r="AW20" i="1"/>
  <c r="AV20" i="1" s="1"/>
  <c r="AU11" i="1"/>
  <c r="AT11" i="1" s="1"/>
  <c r="AW13" i="1"/>
  <c r="AV13" i="1" s="1"/>
  <c r="AU14" i="1"/>
  <c r="AT14" i="1" s="1"/>
  <c r="AU9" i="1"/>
  <c r="AT9" i="1" s="1"/>
  <c r="AW17" i="1"/>
  <c r="AV17" i="1" s="1"/>
  <c r="AU10" i="1"/>
  <c r="AT10" i="1" s="1"/>
  <c r="AW11" i="1"/>
  <c r="AV11" i="1" s="1"/>
  <c r="AW21" i="1"/>
  <c r="AV21" i="1" s="1"/>
  <c r="B23" i="2"/>
  <c r="C23" i="2" s="1"/>
  <c r="D23" i="2" s="1"/>
  <c r="B39" i="2"/>
  <c r="C39" i="2" s="1"/>
  <c r="D39" i="2" s="1"/>
  <c r="B30" i="2"/>
  <c r="C30" i="2" s="1"/>
  <c r="D30" i="2" s="1"/>
  <c r="B31" i="2"/>
  <c r="C31" i="2" s="1"/>
  <c r="D31" i="2" s="1"/>
  <c r="B35" i="2"/>
  <c r="C35" i="2" s="1"/>
  <c r="D35" i="2" s="1"/>
  <c r="B40" i="2"/>
  <c r="C40" i="2" s="1"/>
  <c r="D40" i="2" s="1"/>
  <c r="B44" i="2"/>
  <c r="C44" i="2" s="1"/>
  <c r="D44" i="2" s="1"/>
  <c r="B32" i="2"/>
  <c r="C32" i="2" s="1"/>
  <c r="D32" i="2" s="1"/>
  <c r="B36" i="2"/>
  <c r="C36" i="2" s="1"/>
  <c r="D36" i="2" s="1"/>
  <c r="B41" i="2"/>
  <c r="C41" i="2" s="1"/>
  <c r="D41" i="2" s="1"/>
  <c r="B33" i="2"/>
  <c r="C33" i="2" s="1"/>
  <c r="D33" i="2" s="1"/>
  <c r="B37" i="2"/>
  <c r="C37" i="2" s="1"/>
  <c r="D37" i="2" s="1"/>
  <c r="B42" i="2"/>
  <c r="C42" i="2" s="1"/>
  <c r="D42" i="2" s="1"/>
  <c r="B34" i="2"/>
  <c r="C34" i="2" s="1"/>
  <c r="D34" i="2" s="1"/>
  <c r="B38" i="2"/>
  <c r="C38" i="2" s="1"/>
  <c r="D38" i="2" s="1"/>
  <c r="B43" i="2"/>
  <c r="C43" i="2" s="1"/>
  <c r="D43" i="2" s="1"/>
  <c r="B21" i="2"/>
  <c r="C21" i="2" s="1"/>
  <c r="D21" i="2" s="1"/>
  <c r="B16" i="2"/>
  <c r="C16" i="2" s="1"/>
  <c r="D16" i="2" s="1"/>
  <c r="B20" i="2"/>
  <c r="C20" i="2" s="1"/>
  <c r="D20" i="2" s="1"/>
  <c r="B25" i="2"/>
  <c r="C25" i="2" s="1"/>
  <c r="D25" i="2" s="1"/>
  <c r="B15" i="2"/>
  <c r="C15" i="2" s="1"/>
  <c r="D15" i="2" s="1"/>
  <c r="B19" i="2"/>
  <c r="C19" i="2" s="1"/>
  <c r="D19" i="2" s="1"/>
  <c r="B24" i="2"/>
  <c r="C24" i="2" s="1"/>
  <c r="D24" i="2" s="1"/>
  <c r="B28" i="2"/>
  <c r="C28" i="2" s="1"/>
  <c r="D28" i="2" s="1"/>
  <c r="B18" i="2"/>
  <c r="C18" i="2" s="1"/>
  <c r="D18" i="2" s="1"/>
  <c r="B22" i="2"/>
  <c r="C22" i="2" s="1"/>
  <c r="D22" i="2" s="1"/>
  <c r="B27" i="2"/>
  <c r="C27" i="2" s="1"/>
  <c r="D27" i="2" s="1"/>
  <c r="B17" i="2"/>
  <c r="C17" i="2" s="1"/>
  <c r="D17" i="2" s="1"/>
  <c r="B26" i="2"/>
  <c r="C26" i="2" s="1"/>
  <c r="D26" i="2" s="1"/>
  <c r="B14" i="2"/>
  <c r="D3" i="2"/>
  <c r="D4" i="2"/>
  <c r="D5" i="2"/>
  <c r="D6" i="2"/>
  <c r="D7" i="2"/>
  <c r="D8" i="2"/>
  <c r="D9" i="2"/>
  <c r="D2" i="2"/>
  <c r="B25" i="1"/>
  <c r="B6" i="1"/>
  <c r="N25" i="1" l="1"/>
  <c r="C14" i="2"/>
  <c r="D14" i="2" s="1"/>
  <c r="E13" i="2" s="1" a="1"/>
  <c r="E13" i="2" s="1"/>
  <c r="P27" i="1"/>
  <c r="O27" i="1"/>
  <c r="O8" i="1"/>
  <c r="P8" i="1"/>
  <c r="AS10" i="1" l="1"/>
  <c r="AP10" i="1" s="1"/>
  <c r="AP29" i="1" s="1"/>
  <c r="I29" i="1" s="1"/>
  <c r="AQ29" i="1" s="1"/>
  <c r="AS20" i="1"/>
  <c r="AP20" i="1" s="1"/>
  <c r="I20" i="1" s="1"/>
  <c r="AQ20" i="1" s="1"/>
  <c r="AS11" i="1"/>
  <c r="AP11" i="1" s="1"/>
  <c r="I11" i="1" s="1"/>
  <c r="AQ11" i="1" s="1"/>
  <c r="AS15" i="1"/>
  <c r="AP15" i="1" s="1"/>
  <c r="AP34" i="1" s="1"/>
  <c r="I34" i="1" s="1"/>
  <c r="AQ34" i="1" s="1"/>
  <c r="AS21" i="1"/>
  <c r="AP21" i="1" s="1"/>
  <c r="AP40" i="1" s="1"/>
  <c r="I40" i="1" s="1"/>
  <c r="AR40" i="1" s="1"/>
  <c r="AS19" i="1"/>
  <c r="AP19" i="1" s="1"/>
  <c r="AP38" i="1" s="1"/>
  <c r="I38" i="1" s="1"/>
  <c r="AQ38" i="1" s="1"/>
  <c r="AS18" i="1"/>
  <c r="AP18" i="1" s="1"/>
  <c r="I18" i="1" s="1"/>
  <c r="AR18" i="1" s="1"/>
  <c r="AS12" i="1"/>
  <c r="AP12" i="1" s="1"/>
  <c r="AP31" i="1" s="1"/>
  <c r="I31" i="1" s="1"/>
  <c r="AR31" i="1" s="1"/>
  <c r="AS17" i="1"/>
  <c r="AP17" i="1" s="1"/>
  <c r="AP36" i="1" s="1"/>
  <c r="I36" i="1" s="1"/>
  <c r="AR36" i="1" s="1"/>
  <c r="AS13" i="1"/>
  <c r="AP13" i="1" s="1"/>
  <c r="AP32" i="1" s="1"/>
  <c r="I32" i="1" s="1"/>
  <c r="AR32" i="1" s="1"/>
  <c r="AS14" i="1"/>
  <c r="AP14" i="1" s="1"/>
  <c r="I14" i="1" s="1"/>
  <c r="AR14" i="1" s="1"/>
  <c r="AS16" i="1"/>
  <c r="AP16" i="1" s="1"/>
  <c r="I16" i="1" s="1"/>
  <c r="AR16" i="1" s="1"/>
  <c r="AG26" i="1"/>
  <c r="AG7" i="1"/>
  <c r="AR29" i="1" l="1"/>
  <c r="AP39" i="1"/>
  <c r="I39" i="1" s="1"/>
  <c r="AR39" i="1" s="1"/>
  <c r="AQ18" i="1"/>
  <c r="AP33" i="1"/>
  <c r="I33" i="1" s="1"/>
  <c r="AQ33" i="1" s="1"/>
  <c r="AQ40" i="1"/>
  <c r="AR11" i="1"/>
  <c r="AQ36" i="1"/>
  <c r="AR38" i="1"/>
  <c r="AQ32" i="1"/>
  <c r="AR20" i="1"/>
  <c r="I15" i="1"/>
  <c r="AQ15" i="1" s="1"/>
  <c r="AR34" i="1"/>
  <c r="AQ16" i="1"/>
  <c r="AQ31" i="1"/>
  <c r="AP37" i="1"/>
  <c r="I37" i="1" s="1"/>
  <c r="AR37" i="1" s="1"/>
  <c r="I21" i="1"/>
  <c r="AR21" i="1" s="1"/>
  <c r="I13" i="1"/>
  <c r="AQ13" i="1" s="1"/>
  <c r="I10" i="1"/>
  <c r="AR10" i="1" s="1"/>
  <c r="AP30" i="1"/>
  <c r="I30" i="1" s="1"/>
  <c r="AQ30" i="1" s="1"/>
  <c r="AP35" i="1"/>
  <c r="I35" i="1" s="1"/>
  <c r="AR35" i="1" s="1"/>
  <c r="I12" i="1"/>
  <c r="AR12" i="1" s="1"/>
  <c r="I17" i="1"/>
  <c r="AQ17" i="1" s="1"/>
  <c r="I19" i="1"/>
  <c r="AQ19" i="1" s="1"/>
  <c r="AG27" i="1"/>
  <c r="AG8" i="1"/>
  <c r="AQ14" i="1"/>
  <c r="AL40" i="1" l="1"/>
  <c r="AL36" i="1"/>
  <c r="AL32" i="1"/>
  <c r="AL37" i="1"/>
  <c r="AL33" i="1"/>
  <c r="AO40" i="1"/>
  <c r="AN40" i="1" s="1"/>
  <c r="AO32" i="1"/>
  <c r="AN32" i="1" s="1"/>
  <c r="AL31" i="1"/>
  <c r="AO33" i="1"/>
  <c r="AN33" i="1" s="1"/>
  <c r="AO38" i="1"/>
  <c r="AN38" i="1" s="1"/>
  <c r="AO34" i="1"/>
  <c r="AN34" i="1" s="1"/>
  <c r="AO30" i="1"/>
  <c r="AN30" i="1" s="1"/>
  <c r="AL29" i="1"/>
  <c r="AL35" i="1"/>
  <c r="AO37" i="1"/>
  <c r="AN37" i="1" s="1"/>
  <c r="AO39" i="1"/>
  <c r="AN39" i="1" s="1"/>
  <c r="AO35" i="1"/>
  <c r="AN35" i="1" s="1"/>
  <c r="AO31" i="1"/>
  <c r="AN31" i="1" s="1"/>
  <c r="AL38" i="1"/>
  <c r="AL34" i="1"/>
  <c r="AL30" i="1"/>
  <c r="AO36" i="1"/>
  <c r="AN36" i="1" s="1"/>
  <c r="AL39" i="1"/>
  <c r="AO29" i="1"/>
  <c r="AN29" i="1" s="1"/>
  <c r="AO28" i="1"/>
  <c r="AN28" i="1" s="1"/>
  <c r="AL28" i="1"/>
  <c r="AQ39" i="1"/>
  <c r="AR33" i="1"/>
  <c r="AQ37" i="1"/>
  <c r="AQ10" i="1"/>
  <c r="AR17" i="1"/>
  <c r="AR13" i="1"/>
  <c r="AR30" i="1"/>
  <c r="AR15" i="1"/>
  <c r="AQ35" i="1"/>
  <c r="AR19" i="1"/>
  <c r="AQ21" i="1"/>
  <c r="AQ12" i="1"/>
  <c r="AJ27" i="1"/>
  <c r="AJ26" i="1" s="1"/>
  <c r="AJ8" i="1"/>
  <c r="AJ7" i="1" s="1"/>
  <c r="AL9" i="1"/>
  <c r="AL10" i="1"/>
  <c r="AL14" i="1"/>
  <c r="AL18" i="1"/>
  <c r="AL11" i="1"/>
  <c r="AL15" i="1"/>
  <c r="AL19" i="1"/>
  <c r="AL12" i="1"/>
  <c r="AL16" i="1"/>
  <c r="AL20" i="1"/>
  <c r="AL13" i="1"/>
  <c r="AL17" i="1"/>
  <c r="AL21" i="1"/>
  <c r="AO18" i="1"/>
  <c r="AN18" i="1" s="1"/>
  <c r="AO14" i="1"/>
  <c r="AN14" i="1" s="1"/>
  <c r="AO9" i="1"/>
  <c r="AN9" i="1" s="1"/>
  <c r="AO12" i="1"/>
  <c r="AN12" i="1" s="1"/>
  <c r="AO13" i="1"/>
  <c r="AN13" i="1" s="1"/>
  <c r="AO17" i="1"/>
  <c r="AN17" i="1" s="1"/>
  <c r="AO21" i="1"/>
  <c r="AN21" i="1" s="1"/>
  <c r="AO11" i="1"/>
  <c r="AN11" i="1" s="1"/>
  <c r="AO16" i="1"/>
  <c r="AN16" i="1" s="1"/>
  <c r="AO15" i="1"/>
  <c r="AN15" i="1" s="1"/>
  <c r="AO10" i="1"/>
  <c r="AN10" i="1" s="1"/>
  <c r="AO19" i="1"/>
  <c r="AN19" i="1" s="1"/>
  <c r="AO20" i="1"/>
  <c r="AN20" i="1" s="1"/>
  <c r="AK34" i="1" l="1"/>
  <c r="AK39" i="1"/>
  <c r="AK35" i="1"/>
  <c r="AK40" i="1"/>
  <c r="AM37" i="1"/>
  <c r="AK36" i="1"/>
  <c r="AM33" i="1"/>
  <c r="AK32" i="1"/>
  <c r="AM29" i="1"/>
  <c r="AJ29" i="1" s="1"/>
  <c r="AM35" i="1"/>
  <c r="AJ35" i="1" s="1"/>
  <c r="AM31" i="1"/>
  <c r="AM38" i="1"/>
  <c r="AJ38" i="1" s="1"/>
  <c r="AK37" i="1"/>
  <c r="AM34" i="1"/>
  <c r="AK33" i="1"/>
  <c r="AM30" i="1"/>
  <c r="AK29" i="1"/>
  <c r="AM39" i="1"/>
  <c r="AK38" i="1"/>
  <c r="AK30" i="1"/>
  <c r="AM40" i="1"/>
  <c r="AM36" i="1"/>
  <c r="AJ36" i="1" s="1"/>
  <c r="AM32" i="1"/>
  <c r="AJ32" i="1" s="1"/>
  <c r="AK31" i="1"/>
  <c r="AM28" i="1"/>
  <c r="AK28" i="1"/>
  <c r="AS9" i="1"/>
  <c r="AP9" i="1" s="1"/>
  <c r="AM12" i="1"/>
  <c r="AJ12" i="1" s="1"/>
  <c r="AM16" i="1"/>
  <c r="AJ16" i="1" s="1"/>
  <c r="AM20" i="1"/>
  <c r="AM13" i="1"/>
  <c r="AJ13" i="1" s="1"/>
  <c r="AM17" i="1"/>
  <c r="AJ17" i="1" s="1"/>
  <c r="AM21" i="1"/>
  <c r="AJ21" i="1" s="1"/>
  <c r="AM10" i="1"/>
  <c r="AJ10" i="1" s="1"/>
  <c r="AM14" i="1"/>
  <c r="AM18" i="1"/>
  <c r="AJ18" i="1" s="1"/>
  <c r="AM11" i="1"/>
  <c r="AJ11" i="1" s="1"/>
  <c r="AM15" i="1"/>
  <c r="AM19" i="1"/>
  <c r="AJ19" i="1" s="1"/>
  <c r="AM9" i="1"/>
  <c r="AK9" i="1"/>
  <c r="AK21" i="1"/>
  <c r="AK17" i="1"/>
  <c r="AK13" i="1"/>
  <c r="AK15" i="1"/>
  <c r="AK20" i="1"/>
  <c r="AK16" i="1"/>
  <c r="AK12" i="1"/>
  <c r="AK19" i="1"/>
  <c r="AK18" i="1"/>
  <c r="AK14" i="1"/>
  <c r="AK10" i="1"/>
  <c r="AK11" i="1"/>
  <c r="AJ30" i="1" l="1"/>
  <c r="AG30" i="1" s="1"/>
  <c r="AJ31" i="1"/>
  <c r="AG31" i="1" s="1"/>
  <c r="AJ40" i="1"/>
  <c r="AG40" i="1" s="1"/>
  <c r="AJ37" i="1"/>
  <c r="AG37" i="1" s="1"/>
  <c r="U49" i="2" s="1"/>
  <c r="AJ39" i="1"/>
  <c r="AG39" i="1" s="1"/>
  <c r="U51" i="2" s="1"/>
  <c r="AJ33" i="1"/>
  <c r="AG33" i="1" s="1"/>
  <c r="U45" i="2" s="1"/>
  <c r="AJ34" i="1"/>
  <c r="AG34" i="1" s="1"/>
  <c r="U46" i="2" s="1"/>
  <c r="AJ28" i="1"/>
  <c r="AG28" i="1" s="1"/>
  <c r="AP28" i="1"/>
  <c r="I28" i="1" s="1"/>
  <c r="I9" i="1"/>
  <c r="AJ9" i="1"/>
  <c r="AJ14" i="1"/>
  <c r="AG14" i="1" s="1"/>
  <c r="C14" i="1" s="1"/>
  <c r="AJ15" i="1"/>
  <c r="AG15" i="1" s="1"/>
  <c r="C15" i="1" s="1"/>
  <c r="AJ20" i="1"/>
  <c r="AG20" i="1" s="1"/>
  <c r="C20" i="1" s="1"/>
  <c r="AG38" i="1"/>
  <c r="U50" i="2" s="1"/>
  <c r="AG36" i="1"/>
  <c r="U48" i="2" s="1"/>
  <c r="AG35" i="1"/>
  <c r="U47" i="2" s="1"/>
  <c r="AG32" i="1"/>
  <c r="U44" i="2" s="1"/>
  <c r="AG29" i="1"/>
  <c r="AG21" i="1"/>
  <c r="C21" i="1" s="1"/>
  <c r="AG19" i="1"/>
  <c r="C19" i="1" s="1"/>
  <c r="AG18" i="1"/>
  <c r="C18" i="1" s="1"/>
  <c r="AG17" i="1"/>
  <c r="C17" i="1" s="1"/>
  <c r="AG16" i="1"/>
  <c r="C16" i="1" s="1"/>
  <c r="AG13" i="1"/>
  <c r="C13" i="1" s="1"/>
  <c r="AG11" i="1"/>
  <c r="C11" i="1" s="1"/>
  <c r="AG10" i="1"/>
  <c r="C10" i="1" s="1"/>
  <c r="V47" i="2" l="1"/>
  <c r="C40" i="1"/>
  <c r="U52" i="2"/>
  <c r="U57" i="2"/>
  <c r="U99" i="2"/>
  <c r="U60" i="2"/>
  <c r="U100" i="2"/>
  <c r="U61" i="2"/>
  <c r="U102" i="2"/>
  <c r="U89" i="2"/>
  <c r="U63" i="2"/>
  <c r="U76" i="2"/>
  <c r="U98" i="2"/>
  <c r="U59" i="2"/>
  <c r="U103" i="2"/>
  <c r="U90" i="2"/>
  <c r="U64" i="2"/>
  <c r="U77" i="2"/>
  <c r="U58" i="2"/>
  <c r="U101" i="2"/>
  <c r="U62" i="2"/>
  <c r="U75" i="2"/>
  <c r="U88" i="2"/>
  <c r="C28" i="1"/>
  <c r="C29" i="1"/>
  <c r="C31" i="1"/>
  <c r="C37" i="1"/>
  <c r="C32" i="1"/>
  <c r="C38" i="1"/>
  <c r="C34" i="1"/>
  <c r="C35" i="1"/>
  <c r="C33" i="1"/>
  <c r="C36" i="1"/>
  <c r="C39" i="1"/>
  <c r="C30" i="1"/>
  <c r="AQ9" i="1"/>
  <c r="AR9" i="1"/>
  <c r="AQ28" i="1"/>
  <c r="AR28" i="1"/>
  <c r="AG12" i="1"/>
  <c r="C12" i="1" s="1"/>
  <c r="AI12" i="1" s="1"/>
  <c r="P12" i="1" s="1"/>
  <c r="R12" i="1" s="1"/>
  <c r="AI18" i="1"/>
  <c r="P18" i="1" s="1"/>
  <c r="R18" i="1" s="1"/>
  <c r="AH18" i="1"/>
  <c r="O18" i="1" s="1"/>
  <c r="Q18" i="1" s="1"/>
  <c r="AI13" i="1"/>
  <c r="P13" i="1" s="1"/>
  <c r="R13" i="1" s="1"/>
  <c r="AH13" i="1"/>
  <c r="AH10" i="1"/>
  <c r="O10" i="1" s="1"/>
  <c r="Q10" i="1" s="1"/>
  <c r="AI10" i="1"/>
  <c r="P10" i="1" s="1"/>
  <c r="R10" i="1" s="1"/>
  <c r="AH11" i="1"/>
  <c r="O11" i="1" s="1"/>
  <c r="Q11" i="1" s="1"/>
  <c r="AI11" i="1"/>
  <c r="P11" i="1" s="1"/>
  <c r="R11" i="1" s="1"/>
  <c r="AH15" i="1"/>
  <c r="O15" i="1" s="1"/>
  <c r="Q15" i="1" s="1"/>
  <c r="AI15" i="1"/>
  <c r="P15" i="1" s="1"/>
  <c r="R15" i="1" s="1"/>
  <c r="V76" i="2" l="1"/>
  <c r="W76" i="2"/>
  <c r="W99" i="2"/>
  <c r="V100" i="2"/>
  <c r="W100" i="2"/>
  <c r="V99" i="2"/>
  <c r="W102" i="2"/>
  <c r="V102" i="2"/>
  <c r="W89" i="2"/>
  <c r="V89" i="2"/>
  <c r="V63" i="2"/>
  <c r="W63" i="2"/>
  <c r="W61" i="2"/>
  <c r="V61" i="2"/>
  <c r="V60" i="2"/>
  <c r="W60" i="2"/>
  <c r="W58" i="2"/>
  <c r="V58" i="2"/>
  <c r="W48" i="2"/>
  <c r="AC17" i="1" s="1"/>
  <c r="E17" i="1" s="1"/>
  <c r="AH17" i="1" s="1"/>
  <c r="O17" i="1" s="1"/>
  <c r="Q17" i="1" s="1"/>
  <c r="V48" i="2"/>
  <c r="AB17" i="1" s="1"/>
  <c r="D17" i="1" s="1"/>
  <c r="B17" i="1" s="1"/>
  <c r="W47" i="2"/>
  <c r="AC16" i="1" s="1"/>
  <c r="E16" i="1" s="1"/>
  <c r="AH16" i="1" s="1"/>
  <c r="O16" i="1" s="1"/>
  <c r="Q16" i="1" s="1"/>
  <c r="AB16" i="1"/>
  <c r="D16" i="1" s="1"/>
  <c r="B16" i="1" s="1"/>
  <c r="V45" i="2"/>
  <c r="AB14" i="1" s="1"/>
  <c r="D14" i="1" s="1"/>
  <c r="B14" i="1" s="1"/>
  <c r="W45" i="2"/>
  <c r="AC14" i="1" s="1"/>
  <c r="E14" i="1" s="1"/>
  <c r="AH14" i="1" s="1"/>
  <c r="O14" i="1" s="1"/>
  <c r="Q14" i="1" s="1"/>
  <c r="AH12" i="1"/>
  <c r="O12" i="1" s="1"/>
  <c r="Q12" i="1" s="1"/>
  <c r="O13" i="1"/>
  <c r="Q13" i="1" s="1"/>
  <c r="N14" i="1" l="1"/>
  <c r="AI14" i="1"/>
  <c r="P14" i="1" s="1"/>
  <c r="R14" i="1" s="1"/>
  <c r="N16" i="1"/>
  <c r="AI16" i="1"/>
  <c r="P16" i="1" s="1"/>
  <c r="R16" i="1" s="1"/>
  <c r="N17" i="1"/>
  <c r="AI17" i="1"/>
  <c r="P17" i="1" s="1"/>
  <c r="R17" i="1" s="1"/>
  <c r="AG9" i="1"/>
  <c r="C9" i="1" l="1"/>
  <c r="AI9" i="1" s="1"/>
  <c r="P9" i="1" s="1"/>
  <c r="R9" i="1" s="1"/>
  <c r="AH9" i="1" l="1"/>
  <c r="O9" i="1" s="1"/>
  <c r="Q9" i="1" s="1"/>
  <c r="V52" i="2"/>
  <c r="AB21" i="1" s="1"/>
  <c r="D21" i="1" s="1"/>
  <c r="B21" i="1" s="1"/>
  <c r="W52" i="2"/>
  <c r="AC21" i="1" s="1"/>
  <c r="E21" i="1" s="1"/>
  <c r="AH21" i="1" s="1"/>
  <c r="O21" i="1" s="1"/>
  <c r="Q21" i="1" s="1"/>
  <c r="W50" i="2"/>
  <c r="AC19" i="1" s="1"/>
  <c r="E19" i="1" s="1"/>
  <c r="AH19" i="1" s="1"/>
  <c r="O19" i="1" s="1"/>
  <c r="Q19" i="1" s="1"/>
  <c r="V51" i="2"/>
  <c r="AB20" i="1" s="1"/>
  <c r="D20" i="1" s="1"/>
  <c r="B20" i="1" s="1"/>
  <c r="V50" i="2"/>
  <c r="AB19" i="1" s="1"/>
  <c r="D19" i="1" s="1"/>
  <c r="B19" i="1" s="1"/>
  <c r="W51" i="2"/>
  <c r="AC20" i="1" s="1"/>
  <c r="E20" i="1" s="1"/>
  <c r="AH20" i="1" s="1"/>
  <c r="O20" i="1" s="1"/>
  <c r="Q20" i="1" s="1"/>
  <c r="AD38" i="1" a="1"/>
  <c r="AD38" i="1" s="1"/>
  <c r="F38" i="1" s="1"/>
  <c r="AD37" i="1" a="1"/>
  <c r="AD37" i="1" s="1"/>
  <c r="F37" i="1" s="1"/>
  <c r="AD29" i="1" a="1"/>
  <c r="AD29" i="1" s="1"/>
  <c r="F29" i="1" s="1"/>
  <c r="AD40" i="1" a="1"/>
  <c r="AD40" i="1" s="1"/>
  <c r="F40" i="1" s="1"/>
  <c r="AD30" i="1" a="1"/>
  <c r="AD30" i="1" s="1"/>
  <c r="F30" i="1" s="1"/>
  <c r="AD28" i="1" a="1"/>
  <c r="AD28" i="1" s="1"/>
  <c r="F28" i="1" s="1"/>
  <c r="AD39" i="1" a="1"/>
  <c r="AD39" i="1" s="1"/>
  <c r="F39" i="1" s="1"/>
  <c r="AB30" i="1"/>
  <c r="D30" i="1" s="1"/>
  <c r="B30" i="1" s="1"/>
  <c r="AC35" i="1"/>
  <c r="E35" i="1" s="1"/>
  <c r="AH35" i="1" s="1"/>
  <c r="O35" i="1" s="1"/>
  <c r="Q35" i="1" s="1"/>
  <c r="AD34" i="1" a="1"/>
  <c r="AD34" i="1" s="1"/>
  <c r="F34" i="1" s="1"/>
  <c r="AD32" i="1" a="1"/>
  <c r="AD32" i="1" s="1"/>
  <c r="F32" i="1" s="1"/>
  <c r="AD33" i="1" a="1"/>
  <c r="AD33" i="1" s="1"/>
  <c r="F33" i="1" s="1"/>
  <c r="AD31" i="1" a="1"/>
  <c r="AD31" i="1" s="1"/>
  <c r="F31" i="1" s="1"/>
  <c r="AC28" i="1"/>
  <c r="E28" i="1" s="1"/>
  <c r="AH28" i="1" s="1"/>
  <c r="O28" i="1" s="1"/>
  <c r="Q28" i="1" s="1"/>
  <c r="AB34" i="1"/>
  <c r="D34" i="1" s="1"/>
  <c r="B34" i="1" s="1"/>
  <c r="AB36" i="1"/>
  <c r="D36" i="1" s="1"/>
  <c r="B36" i="1" s="1"/>
  <c r="AB28" i="1"/>
  <c r="D28" i="1" s="1"/>
  <c r="B28" i="1" s="1"/>
  <c r="AB32" i="1"/>
  <c r="D32" i="1" s="1"/>
  <c r="B32" i="1" s="1"/>
  <c r="AC32" i="1"/>
  <c r="E32" i="1" s="1"/>
  <c r="AH32" i="1" s="1"/>
  <c r="O32" i="1" s="1"/>
  <c r="Q32" i="1" s="1"/>
  <c r="AC30" i="1"/>
  <c r="E30" i="1" s="1"/>
  <c r="AH30" i="1" s="1"/>
  <c r="O30" i="1" s="1"/>
  <c r="Q30" i="1" s="1"/>
  <c r="AD35" i="1" a="1"/>
  <c r="AD35" i="1" s="1"/>
  <c r="F35" i="1" s="1"/>
  <c r="AC34" i="1"/>
  <c r="E34" i="1" s="1"/>
  <c r="AH34" i="1" s="1"/>
  <c r="O34" i="1" s="1"/>
  <c r="Q34" i="1" s="1"/>
  <c r="AC37" i="1"/>
  <c r="E37" i="1" s="1"/>
  <c r="AH37" i="1" s="1"/>
  <c r="O37" i="1" s="1"/>
  <c r="Q37" i="1" s="1"/>
  <c r="AC33" i="1"/>
  <c r="E33" i="1" s="1"/>
  <c r="AH33" i="1" s="1"/>
  <c r="O33" i="1" s="1"/>
  <c r="Q33" i="1" s="1"/>
  <c r="AD36" i="1" a="1"/>
  <c r="AD36" i="1" s="1"/>
  <c r="F36" i="1" s="1"/>
  <c r="AB31" i="1"/>
  <c r="D31" i="1" s="1"/>
  <c r="B31" i="1" s="1"/>
  <c r="AB35" i="1"/>
  <c r="D35" i="1" s="1"/>
  <c r="B35" i="1" s="1"/>
  <c r="AC31" i="1"/>
  <c r="E31" i="1" s="1"/>
  <c r="AH31" i="1" s="1"/>
  <c r="O31" i="1" s="1"/>
  <c r="Q31" i="1" s="1"/>
  <c r="AC36" i="1"/>
  <c r="E36" i="1" s="1"/>
  <c r="AH36" i="1" s="1"/>
  <c r="O36" i="1" s="1"/>
  <c r="Q36" i="1" s="1"/>
  <c r="AC29" i="1"/>
  <c r="E29" i="1" s="1"/>
  <c r="AH29" i="1" s="1"/>
  <c r="O29" i="1" s="1"/>
  <c r="Q29" i="1" s="1"/>
  <c r="AB33" i="1"/>
  <c r="D33" i="1" s="1"/>
  <c r="B33" i="1" s="1"/>
  <c r="AB29" i="1"/>
  <c r="D29" i="1" s="1"/>
  <c r="B29" i="1" s="1"/>
  <c r="AB37" i="1"/>
  <c r="D37" i="1" s="1"/>
  <c r="B37" i="1" s="1"/>
  <c r="AI37" i="1" l="1"/>
  <c r="P37" i="1" s="1"/>
  <c r="R37" i="1" s="1"/>
  <c r="N37" i="1"/>
  <c r="N30" i="1"/>
  <c r="AB38" i="1"/>
  <c r="D38" i="1" s="1"/>
  <c r="B38" i="1" s="1"/>
  <c r="AC39" i="1"/>
  <c r="E39" i="1" s="1"/>
  <c r="AH39" i="1" s="1"/>
  <c r="O39" i="1" s="1"/>
  <c r="Q39" i="1" s="1"/>
  <c r="AC38" i="1"/>
  <c r="E38" i="1" s="1"/>
  <c r="AH38" i="1" s="1"/>
  <c r="O38" i="1" s="1"/>
  <c r="Q38" i="1" s="1"/>
  <c r="AC40" i="1"/>
  <c r="E40" i="1" s="1"/>
  <c r="AH40" i="1" s="1"/>
  <c r="O40" i="1" s="1"/>
  <c r="Q40" i="1" s="1"/>
  <c r="AB40" i="1"/>
  <c r="D40" i="1" s="1"/>
  <c r="B40" i="1" s="1"/>
  <c r="AB39" i="1"/>
  <c r="D39" i="1" s="1"/>
  <c r="B39" i="1" s="1"/>
  <c r="N20" i="1"/>
  <c r="AI20" i="1"/>
  <c r="P20" i="1" s="1"/>
  <c r="R20" i="1" s="1"/>
  <c r="N19" i="1"/>
  <c r="AI19" i="1"/>
  <c r="P19" i="1" s="1"/>
  <c r="R19" i="1" s="1"/>
  <c r="N21" i="1"/>
  <c r="AI21" i="1"/>
  <c r="P21" i="1" s="1"/>
  <c r="R21" i="1" s="1"/>
  <c r="N35" i="1"/>
  <c r="AI35" i="1"/>
  <c r="P35" i="1" s="1"/>
  <c r="R35" i="1" s="1"/>
  <c r="AI29" i="1"/>
  <c r="P29" i="1" s="1"/>
  <c r="R29" i="1" s="1"/>
  <c r="N29" i="1"/>
  <c r="AI36" i="1"/>
  <c r="P36" i="1" s="1"/>
  <c r="R36" i="1" s="1"/>
  <c r="N36" i="1"/>
  <c r="AI33" i="1"/>
  <c r="P33" i="1" s="1"/>
  <c r="R33" i="1" s="1"/>
  <c r="N33" i="1"/>
  <c r="N31" i="1"/>
  <c r="AI31" i="1"/>
  <c r="P31" i="1" s="1"/>
  <c r="R31" i="1" s="1"/>
  <c r="AI32" i="1"/>
  <c r="P32" i="1" s="1"/>
  <c r="R32" i="1" s="1"/>
  <c r="N32" i="1"/>
  <c r="AI34" i="1"/>
  <c r="P34" i="1" s="1"/>
  <c r="R34" i="1" s="1"/>
  <c r="N34" i="1"/>
  <c r="AI28" i="1"/>
  <c r="P28" i="1" s="1"/>
  <c r="R28" i="1" s="1"/>
  <c r="N28" i="1"/>
  <c r="AI30" i="1"/>
  <c r="P30" i="1" s="1"/>
  <c r="R30" i="1" s="1"/>
  <c r="AI40" i="1" l="1"/>
  <c r="P40" i="1" s="1"/>
  <c r="R40" i="1" s="1"/>
  <c r="N40" i="1"/>
  <c r="N39" i="1"/>
  <c r="AI38" i="1"/>
  <c r="P38" i="1" s="1"/>
  <c r="R38" i="1" s="1"/>
  <c r="N38" i="1"/>
  <c r="AI39" i="1"/>
  <c r="P39" i="1" s="1"/>
  <c r="R3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<sst xmlns="http://schemas.openxmlformats.org/spreadsheetml/2006/main" count="294" uniqueCount="97">
  <si>
    <t>BID</t>
  </si>
  <si>
    <t>ASK</t>
  </si>
  <si>
    <t>SP</t>
  </si>
  <si>
    <t>15Y</t>
  </si>
  <si>
    <t>30/360 Annual VS ACT/360 Quarterly 3M USD LIBOR</t>
  </si>
  <si>
    <t>CNH/USD CRS</t>
    <phoneticPr fontId="1" type="noConversion"/>
  </si>
  <si>
    <t>ACT/365 Quarterly VS ACT/360 Quarterly 3M USD LIBOR</t>
  </si>
  <si>
    <t>ACT/365 Quartely VS ACT/360 3M USD Libor</t>
    <phoneticPr fontId="1" type="noConversion"/>
  </si>
  <si>
    <t>SGD/USD CRS</t>
  </si>
  <si>
    <t>EURKRW</t>
    <phoneticPr fontId="1" type="noConversion"/>
  </si>
  <si>
    <t>CNHKRW</t>
    <phoneticPr fontId="1" type="noConversion"/>
  </si>
  <si>
    <t>HKDKRW</t>
    <phoneticPr fontId="1" type="noConversion"/>
  </si>
  <si>
    <t>AUDKRW</t>
    <phoneticPr fontId="1" type="noConversion"/>
  </si>
  <si>
    <t>DKKKRW</t>
    <phoneticPr fontId="1" type="noConversion"/>
  </si>
  <si>
    <t>SGDKRW</t>
    <phoneticPr fontId="1" type="noConversion"/>
  </si>
  <si>
    <t>GBPKRW</t>
    <phoneticPr fontId="1" type="noConversion"/>
  </si>
  <si>
    <t>01Y</t>
  </si>
  <si>
    <t>02Y</t>
  </si>
  <si>
    <t>03Y</t>
  </si>
  <si>
    <t>04Y</t>
  </si>
  <si>
    <t>05Y</t>
  </si>
  <si>
    <t>06Y</t>
  </si>
  <si>
    <t>07Y</t>
  </si>
  <si>
    <t>08Y</t>
  </si>
  <si>
    <t>09Y</t>
  </si>
  <si>
    <t>10Y</t>
  </si>
  <si>
    <t>11Y</t>
  </si>
  <si>
    <t>12Y</t>
  </si>
  <si>
    <t>JPYKRW</t>
    <phoneticPr fontId="1" type="noConversion"/>
  </si>
  <si>
    <t>일자</t>
    <phoneticPr fontId="1" type="noConversion"/>
  </si>
  <si>
    <t>Time</t>
    <phoneticPr fontId="1" type="noConversion"/>
  </si>
  <si>
    <t>일자</t>
    <phoneticPr fontId="1" type="noConversion"/>
  </si>
  <si>
    <t>현재가</t>
    <phoneticPr fontId="1" type="noConversion"/>
  </si>
  <si>
    <t>NY_BID_Close</t>
    <phoneticPr fontId="1" type="noConversion"/>
  </si>
  <si>
    <t>End-End 체크</t>
    <phoneticPr fontId="1" type="noConversion"/>
  </si>
  <si>
    <t>Month over</t>
    <phoneticPr fontId="1" type="noConversion"/>
  </si>
  <si>
    <t>CRS USDKRW</t>
    <phoneticPr fontId="1" type="noConversion"/>
  </si>
  <si>
    <t>Over End-End</t>
    <phoneticPr fontId="1" type="noConversion"/>
  </si>
  <si>
    <t>Over End-End</t>
    <phoneticPr fontId="1" type="noConversion"/>
  </si>
  <si>
    <t>default</t>
    <phoneticPr fontId="1" type="noConversion"/>
  </si>
  <si>
    <t>FX holi</t>
    <phoneticPr fontId="1" type="noConversion"/>
  </si>
  <si>
    <t>de End-End</t>
    <phoneticPr fontId="1" type="noConversion"/>
  </si>
  <si>
    <t>default</t>
    <phoneticPr fontId="1" type="noConversion"/>
  </si>
  <si>
    <t>T</t>
    <phoneticPr fontId="1" type="noConversion"/>
  </si>
  <si>
    <t>T</t>
    <phoneticPr fontId="1" type="noConversion"/>
  </si>
  <si>
    <t>D</t>
    <phoneticPr fontId="1" type="noConversion"/>
  </si>
  <si>
    <t>OFFER</t>
    <phoneticPr fontId="1" type="noConversion"/>
  </si>
  <si>
    <t>BID</t>
    <phoneticPr fontId="1" type="noConversion"/>
  </si>
  <si>
    <t>Offer</t>
    <phoneticPr fontId="1" type="noConversion"/>
  </si>
  <si>
    <t>Bid</t>
    <phoneticPr fontId="1" type="noConversion"/>
  </si>
  <si>
    <t>Point</t>
    <phoneticPr fontId="1" type="noConversion"/>
  </si>
  <si>
    <t xml:space="preserve"> 1Y ~ CROSS RATE FORWARD (/KRW)</t>
    <phoneticPr fontId="1" type="noConversion"/>
  </si>
  <si>
    <t>USD/KRW</t>
    <phoneticPr fontId="1" type="noConversion"/>
  </si>
  <si>
    <t>US</t>
    <phoneticPr fontId="1" type="noConversion"/>
  </si>
  <si>
    <t>JP|US</t>
    <phoneticPr fontId="1" type="noConversion"/>
  </si>
  <si>
    <t>EU|US</t>
    <phoneticPr fontId="1" type="noConversion"/>
  </si>
  <si>
    <t>HK|US</t>
    <phoneticPr fontId="1" type="noConversion"/>
  </si>
  <si>
    <t>AU|US</t>
    <phoneticPr fontId="1" type="noConversion"/>
  </si>
  <si>
    <t>DK|US</t>
    <phoneticPr fontId="1" type="noConversion"/>
  </si>
  <si>
    <t>SG|US</t>
    <phoneticPr fontId="1" type="noConversion"/>
  </si>
  <si>
    <t>GB|US</t>
    <phoneticPr fontId="1" type="noConversion"/>
  </si>
  <si>
    <t>CN|US</t>
    <phoneticPr fontId="1" type="noConversion"/>
  </si>
  <si>
    <t>보간법</t>
    <phoneticPr fontId="1" type="noConversion"/>
  </si>
  <si>
    <t>매수호가</t>
    <phoneticPr fontId="1" type="noConversion"/>
  </si>
  <si>
    <t>매도호가</t>
    <phoneticPr fontId="1" type="noConversion"/>
  </si>
  <si>
    <t>매수시간</t>
    <phoneticPr fontId="1" type="noConversion"/>
  </si>
  <si>
    <t>* 보간법 (기간)에 의한 산출</t>
    <phoneticPr fontId="1" type="noConversion"/>
  </si>
  <si>
    <t>* 크로스레이트 방식</t>
    <phoneticPr fontId="1" type="noConversion"/>
  </si>
  <si>
    <t xml:space="preserve">* 주요 10개 재정환율 선물환 : 장기(~1Y) 이상 </t>
    <phoneticPr fontId="1" type="noConversion"/>
  </si>
  <si>
    <t>* 실시간(sp)반영, 조회 가능</t>
    <phoneticPr fontId="1" type="noConversion"/>
  </si>
  <si>
    <t>선형</t>
  </si>
  <si>
    <t>선형</t>
    <phoneticPr fontId="1" type="noConversion"/>
  </si>
  <si>
    <t xml:space="preserve"> KRW/USD SOFR CRS</t>
  </si>
  <si>
    <t>USD OIS(RFR IRS)</t>
  </si>
  <si>
    <t>30/360 Annual Fixed VS ACT/360 Annual SOFR</t>
  </si>
  <si>
    <t>ACT/365 Semi-Annual Fixed VS ACT/360 6M USD LIBOR</t>
  </si>
  <si>
    <t>JPY/USD RFR 이론CRS</t>
  </si>
  <si>
    <t>ACT/365 Annual VS ACT/360 Quarterly SOFR</t>
  </si>
  <si>
    <t>IRSTA6USD</t>
  </si>
  <si>
    <t>CRSEA8JPYUSD</t>
  </si>
  <si>
    <t>CRST25USDCNH</t>
  </si>
  <si>
    <t>CRST14USDSGD</t>
  </si>
  <si>
    <t>ACT/360 Quarterly Fixed VS ACT/360 3M USD LIBOR</t>
  </si>
  <si>
    <t>ACT/365 Annual Fixed VS ACT/360 Quarterly SOFR</t>
  </si>
  <si>
    <t>EUR/USD RFR 이론CRS</t>
  </si>
  <si>
    <t>ACTG/360 Annual VS ACT/360 Quarterly SOFR</t>
  </si>
  <si>
    <t>CRSEA4EURUSD</t>
  </si>
  <si>
    <t>CRSE10HKDUSD</t>
  </si>
  <si>
    <t>HKD/USD 이론CRS</t>
  </si>
  <si>
    <t>AUD/USD 이론CRS</t>
  </si>
  <si>
    <t>CRSE12AUDUSD</t>
  </si>
  <si>
    <t>CRSE17AUDUSD</t>
  </si>
  <si>
    <t>DKK/USD 이론CRS</t>
  </si>
  <si>
    <t>CRSE01DKKUSD</t>
  </si>
  <si>
    <t>CRSE02DKKUSD</t>
  </si>
  <si>
    <t>GBP/USD RFR 이론CRS</t>
  </si>
  <si>
    <t>CRSEA9GBPUSD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</si>
</sst>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_-;_-@_-"/>
    <numFmt numFmtId="166" formatCode="00&quot;:&quot;00&quot;:&quot;00"/>
    <numFmt numFmtId="169" formatCode="0.00000_ "/>
    <numFmt numFmtId="171" formatCode="0.000000"/>
    <numFmt numFmtId="172" formatCode="0.0000000"/>
    <numFmt numFmtId="174" formatCode="[$-F400]h:mm:ss\ AM/PM"/>
    <numFmt numFmtId="176" formatCode="#,##0.00_ ;[Red]\-#,##0.00\ "/>
    <numFmt numFmtId="177" formatCode="#,##0_ ;[Red]\-#,##0\ "/>
    <numFmt numFmtId="178" formatCode="#,##0_ ;\-#,##0\ "/>
  </numFmts>
  <fonts count="16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name val="Calibri"/>
      <family val="2"/>
      <charset val="129"/>
      <scheme val="minor"/>
    </font>
    <font>
      <sz val="9"/>
      <color rgb="FF000000"/>
      <name val="굴림"/>
      <family val="3"/>
      <charset val="129"/>
    </font>
    <font>
      <sz val="8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4"/>
      <color theme="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1"/>
      <color rgb="FFC8C8C8"/>
      <name val="맑은 고딕"/>
      <family val="3"/>
      <charset val="129"/>
    </font>
    <font>
      <sz val="8"/>
      <color theme="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6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2" fontId="0" fillId="0" borderId="0" xfId="0" applyNumberFormat="1">
      <alignment vertical="center"/>
    </xf>
    <xf numFmtId="174" fontId="0" fillId="0" borderId="0" xfId="0" applyNumberFormat="1">
      <alignment vertical="center"/>
    </xf>
    <xf numFmtId="0" fontId="0" fillId="3" borderId="0" xfId="0" applyFill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7" borderId="0" xfId="0" applyFont="1" applyFill="1" applyAlignment="1">
      <alignment horizontal="left" vertical="center"/>
    </xf>
    <xf numFmtId="0" fontId="7" fillId="0" borderId="0" xfId="0" applyFont="1">
      <alignment vertical="center"/>
    </xf>
    <xf numFmtId="14" fontId="8" fillId="0" borderId="0" xfId="0" applyNumberFormat="1" applyFont="1" applyAlignment="1">
      <alignment horizontal="left" vertical="center"/>
    </xf>
    <xf numFmtId="0" fontId="8" fillId="0" borderId="0" xfId="0" applyFont="1">
      <alignment vertical="center"/>
    </xf>
    <xf numFmtId="14" fontId="5" fillId="0" borderId="0" xfId="0" applyNumberFormat="1" applyFont="1" applyAlignment="1">
      <alignment horizontal="center" vertical="center"/>
    </xf>
    <xf numFmtId="14" fontId="5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0" fillId="4" borderId="45" xfId="0" applyFont="1" applyFill="1" applyBorder="1" applyAlignment="1">
      <alignment horizontal="center" vertical="center"/>
    </xf>
    <xf numFmtId="0" fontId="10" fillId="4" borderId="46" xfId="0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4" borderId="48" xfId="0" applyFont="1" applyFill="1" applyBorder="1" applyAlignment="1">
      <alignment horizontal="center" vertical="center"/>
    </xf>
    <xf numFmtId="0" fontId="10" fillId="4" borderId="47" xfId="0" applyFont="1" applyFill="1" applyBorder="1" applyAlignment="1">
      <alignment horizontal="center" vertical="center"/>
    </xf>
    <xf numFmtId="0" fontId="11" fillId="0" borderId="45" xfId="0" applyFont="1" applyBorder="1">
      <alignment vertical="center"/>
    </xf>
    <xf numFmtId="0" fontId="11" fillId="0" borderId="46" xfId="0" applyFont="1" applyBorder="1">
      <alignment vertical="center"/>
    </xf>
    <xf numFmtId="0" fontId="5" fillId="0" borderId="46" xfId="0" applyFont="1" applyBorder="1">
      <alignment vertical="center"/>
    </xf>
    <xf numFmtId="0" fontId="5" fillId="0" borderId="47" xfId="0" applyFont="1" applyBorder="1">
      <alignment vertical="center"/>
    </xf>
    <xf numFmtId="0" fontId="11" fillId="0" borderId="0" xfId="0" applyFont="1" applyAlignment="1">
      <alignment horizontal="center" vertical="center"/>
    </xf>
    <xf numFmtId="0" fontId="10" fillId="6" borderId="45" xfId="0" applyFont="1" applyFill="1" applyBorder="1" applyAlignment="1">
      <alignment horizontal="center" vertical="center"/>
    </xf>
    <xf numFmtId="0" fontId="10" fillId="6" borderId="46" xfId="0" applyFont="1" applyFill="1" applyBorder="1" applyAlignment="1">
      <alignment horizontal="center" vertical="center"/>
    </xf>
    <xf numFmtId="0" fontId="10" fillId="6" borderId="47" xfId="0" applyFont="1" applyFill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164" fontId="13" fillId="0" borderId="35" xfId="0" applyNumberFormat="1" applyFont="1" applyBorder="1" applyAlignment="1">
      <alignment horizontal="center" vertical="center"/>
    </xf>
    <xf numFmtId="164" fontId="13" fillId="0" borderId="36" xfId="0" applyNumberFormat="1" applyFont="1" applyBorder="1" applyAlignment="1">
      <alignment horizontal="center" vertical="center"/>
    </xf>
    <xf numFmtId="0" fontId="13" fillId="2" borderId="35" xfId="0" applyFont="1" applyFill="1" applyBorder="1" applyAlignment="1">
      <alignment horizontal="center" vertical="center"/>
    </xf>
    <xf numFmtId="0" fontId="13" fillId="2" borderId="37" xfId="0" applyFont="1" applyFill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14" fontId="5" fillId="0" borderId="1" xfId="0" applyNumberFormat="1" applyFont="1" applyBorder="1">
      <alignment vertical="center"/>
    </xf>
    <xf numFmtId="0" fontId="13" fillId="0" borderId="1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5" borderId="25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13" fillId="0" borderId="45" xfId="0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0" fontId="13" fillId="5" borderId="48" xfId="0" applyFont="1" applyFill="1" applyBorder="1" applyAlignment="1">
      <alignment horizontal="center" vertical="center"/>
    </xf>
    <xf numFmtId="0" fontId="13" fillId="0" borderId="47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166" fontId="11" fillId="0" borderId="16" xfId="0" applyNumberFormat="1" applyFont="1" applyBorder="1" applyAlignment="1">
      <alignment horizontal="center" vertical="center"/>
    </xf>
    <xf numFmtId="166" fontId="11" fillId="0" borderId="59" xfId="0" applyNumberFormat="1" applyFont="1" applyBorder="1" applyAlignment="1">
      <alignment horizontal="center" vertical="center"/>
    </xf>
    <xf numFmtId="14" fontId="5" fillId="0" borderId="2" xfId="0" applyNumberFormat="1" applyFont="1" applyBorder="1">
      <alignment vertical="center"/>
    </xf>
    <xf numFmtId="0" fontId="5" fillId="0" borderId="0" xfId="0" applyFont="1">
      <alignment vertical="center"/>
    </xf>
    <xf numFmtId="0" fontId="5" fillId="0" borderId="7" xfId="0" applyFont="1" applyBorder="1">
      <alignment vertical="center"/>
    </xf>
    <xf numFmtId="14" fontId="5" fillId="0" borderId="0" xfId="0" applyNumberFormat="1" applyFont="1" applyAlignment="1">
      <alignment horizontal="center" vertical="center"/>
    </xf>
    <xf numFmtId="14" fontId="5" fillId="0" borderId="2" xfId="0" applyNumberFormat="1" applyFont="1" applyBorder="1">
      <alignment vertical="center"/>
    </xf>
    <xf numFmtId="0" fontId="11" fillId="0" borderId="22" xfId="0" applyFont="1" applyBorder="1" applyAlignment="1">
      <alignment horizontal="center" vertical="center"/>
    </xf>
    <xf numFmtId="169" fontId="11" fillId="5" borderId="27" xfId="0" applyNumberFormat="1" applyFont="1" applyFill="1" applyBorder="1">
      <alignment vertical="center"/>
    </xf>
    <xf numFmtId="169" fontId="11" fillId="5" borderId="28" xfId="0" applyNumberFormat="1" applyFont="1" applyFill="1" applyBorder="1">
      <alignment vertical="center"/>
    </xf>
    <xf numFmtId="174" fontId="11" fillId="0" borderId="58" xfId="0" applyNumberFormat="1" applyFont="1" applyBorder="1" applyAlignment="1">
      <alignment horizontal="center" vertical="center"/>
    </xf>
    <xf numFmtId="0" fontId="11" fillId="0" borderId="0" xfId="0" applyFont="1">
      <alignment vertical="center"/>
    </xf>
    <xf numFmtId="0" fontId="11" fillId="0" borderId="49" xfId="0" applyFont="1" applyBorder="1" applyAlignment="1">
      <alignment horizontal="center" vertical="center"/>
    </xf>
    <xf numFmtId="169" fontId="11" fillId="5" borderId="50" xfId="0" applyNumberFormat="1" applyFont="1" applyFill="1" applyBorder="1">
      <alignment vertical="center"/>
    </xf>
    <xf numFmtId="174" fontId="11" fillId="0" borderId="51" xfId="0" applyNumberFormat="1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5" fillId="0" borderId="3" xfId="0" applyFont="1" applyBorder="1">
      <alignment vertical="center"/>
    </xf>
    <xf numFmtId="0" fontId="5" fillId="0" borderId="5" xfId="0" applyFont="1" applyBorder="1">
      <alignment vertical="center"/>
    </xf>
    <xf numFmtId="174" fontId="5" fillId="0" borderId="1" xfId="0" applyNumberFormat="1" applyFont="1" applyBorder="1">
      <alignment vertical="center"/>
    </xf>
    <xf numFmtId="0" fontId="5" fillId="0" borderId="6" xfId="0" applyFont="1" applyBorder="1">
      <alignment vertical="center"/>
    </xf>
    <xf numFmtId="14" fontId="5" fillId="3" borderId="0" xfId="0" applyNumberFormat="1" applyFont="1" applyFill="1">
      <alignment vertical="center"/>
    </xf>
    <xf numFmtId="0" fontId="11" fillId="0" borderId="23" xfId="0" applyFont="1" applyBorder="1" applyAlignment="1">
      <alignment horizontal="center" vertical="center"/>
    </xf>
    <xf numFmtId="169" fontId="11" fillId="5" borderId="29" xfId="0" applyNumberFormat="1" applyFont="1" applyFill="1" applyBorder="1">
      <alignment vertical="center"/>
    </xf>
    <xf numFmtId="169" fontId="11" fillId="5" borderId="30" xfId="0" applyNumberFormat="1" applyFont="1" applyFill="1" applyBorder="1">
      <alignment vertical="center"/>
    </xf>
    <xf numFmtId="174" fontId="11" fillId="0" borderId="20" xfId="0" applyNumberFormat="1" applyFont="1" applyBorder="1" applyAlignment="1">
      <alignment horizontal="center" vertical="center"/>
    </xf>
    <xf numFmtId="0" fontId="11" fillId="0" borderId="52" xfId="0" applyFont="1" applyBorder="1" applyAlignment="1">
      <alignment horizontal="center" vertical="center"/>
    </xf>
    <xf numFmtId="169" fontId="11" fillId="5" borderId="53" xfId="0" applyNumberFormat="1" applyFont="1" applyFill="1" applyBorder="1">
      <alignment vertical="center"/>
    </xf>
    <xf numFmtId="174" fontId="11" fillId="0" borderId="54" xfId="0" applyNumberFormat="1" applyFont="1" applyBorder="1" applyAlignment="1">
      <alignment horizontal="center" vertical="center"/>
    </xf>
    <xf numFmtId="0" fontId="5" fillId="0" borderId="7" xfId="0" applyFont="1" applyBorder="1">
      <alignment vertical="center"/>
    </xf>
    <xf numFmtId="174" fontId="5" fillId="0" borderId="10" xfId="0" applyNumberFormat="1" applyFont="1" applyBorder="1">
      <alignment vertical="center"/>
    </xf>
    <xf numFmtId="0" fontId="11" fillId="0" borderId="24" xfId="0" applyFont="1" applyBorder="1" applyAlignment="1">
      <alignment horizontal="center" vertical="center"/>
    </xf>
    <xf numFmtId="169" fontId="11" fillId="5" borderId="31" xfId="0" applyNumberFormat="1" applyFont="1" applyFill="1" applyBorder="1">
      <alignment vertical="center"/>
    </xf>
    <xf numFmtId="169" fontId="11" fillId="5" borderId="32" xfId="0" applyNumberFormat="1" applyFont="1" applyFill="1" applyBorder="1">
      <alignment vertical="center"/>
    </xf>
    <xf numFmtId="174" fontId="11" fillId="0" borderId="21" xfId="0" applyNumberFormat="1" applyFont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169" fontId="11" fillId="5" borderId="56" xfId="0" applyNumberFormat="1" applyFont="1" applyFill="1" applyBorder="1">
      <alignment vertical="center"/>
    </xf>
    <xf numFmtId="174" fontId="11" fillId="0" borderId="57" xfId="0" applyNumberFormat="1" applyFont="1" applyBorder="1" applyAlignment="1">
      <alignment horizontal="center" vertical="center"/>
    </xf>
    <xf numFmtId="0" fontId="5" fillId="0" borderId="8" xfId="0" applyFont="1" applyBorder="1">
      <alignment vertical="center"/>
    </xf>
    <xf numFmtId="0" fontId="5" fillId="0" borderId="9" xfId="0" applyFont="1" applyBorder="1">
      <alignment vertical="center"/>
    </xf>
    <xf numFmtId="174" fontId="5" fillId="0" borderId="2" xfId="0" applyNumberFormat="1" applyFont="1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1" xfId="0" applyNumberFormat="1" applyFont="1" applyBorder="1">
      <alignment vertical="center"/>
    </xf>
    <xf numFmtId="0" fontId="5" fillId="0" borderId="10" xfId="0" applyNumberFormat="1" applyFont="1" applyBorder="1">
      <alignment vertical="center"/>
    </xf>
    <xf numFmtId="0" fontId="5" fillId="0" borderId="2" xfId="0" applyNumberFormat="1" applyFont="1" applyBorder="1">
      <alignment vertical="center"/>
    </xf>
    <xf numFmtId="0" fontId="14" fillId="0" borderId="0" xfId="0" applyFont="1">
      <alignment vertical="center"/>
    </xf>
    <xf numFmtId="0" fontId="15" fillId="0" borderId="3" xfId="0" applyFont="1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4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15" fillId="0" borderId="6" xfId="0" applyFont="1" applyBorder="1">
      <alignment vertical="center"/>
    </xf>
    <xf numFmtId="0" fontId="15" fillId="0" borderId="8" xfId="0" applyFont="1" applyBorder="1">
      <alignment vertical="center"/>
    </xf>
    <xf numFmtId="0" fontId="5" fillId="0" borderId="60" xfId="0" applyFont="1" applyBorder="1" applyAlignment="1">
      <alignment horizontal="center" vertical="center"/>
    </xf>
    <xf numFmtId="0" fontId="5" fillId="0" borderId="60" xfId="0" applyFont="1" applyBorder="1">
      <alignment vertical="center"/>
    </xf>
    <xf numFmtId="169" fontId="5" fillId="0" borderId="0" xfId="0" applyNumberFormat="1" applyFont="1">
      <alignment vertical="center"/>
    </xf>
    <xf numFmtId="171" fontId="5" fillId="0" borderId="0" xfId="0" applyNumberFormat="1" applyFont="1">
      <alignment vertical="center"/>
    </xf>
    <xf numFmtId="0" fontId="14" fillId="0" borderId="0" xfId="0" applyFont="1" applyAlignment="1">
      <alignment horizontal="center" vertical="center"/>
    </xf>
    <xf numFmtId="176" fontId="11" fillId="0" borderId="42" xfId="0" applyNumberFormat="1" applyFont="1" applyBorder="1" applyAlignment="1">
      <alignment horizontal="right" vertical="center"/>
    </xf>
    <xf numFmtId="176" fontId="11" fillId="0" borderId="43" xfId="0" applyNumberFormat="1" applyFont="1" applyBorder="1" applyAlignment="1">
      <alignment horizontal="right" vertical="center"/>
    </xf>
    <xf numFmtId="176" fontId="11" fillId="0" borderId="39" xfId="0" applyNumberFormat="1" applyFont="1" applyBorder="1" applyAlignment="1">
      <alignment horizontal="right" vertical="center"/>
    </xf>
    <xf numFmtId="176" fontId="11" fillId="0" borderId="40" xfId="0" applyNumberFormat="1" applyFont="1" applyBorder="1" applyAlignment="1">
      <alignment horizontal="right" vertical="center"/>
    </xf>
    <xf numFmtId="176" fontId="11" fillId="0" borderId="29" xfId="0" applyNumberFormat="1" applyFont="1" applyBorder="1" applyAlignment="1">
      <alignment horizontal="right" vertical="center"/>
    </xf>
    <xf numFmtId="176" fontId="11" fillId="0" borderId="30" xfId="0" applyNumberFormat="1" applyFont="1" applyBorder="1" applyAlignment="1">
      <alignment horizontal="right" vertical="center"/>
    </xf>
    <xf numFmtId="176" fontId="11" fillId="0" borderId="31" xfId="0" applyNumberFormat="1" applyFont="1" applyBorder="1" applyAlignment="1">
      <alignment horizontal="right" vertical="center"/>
    </xf>
    <xf numFmtId="176" fontId="11" fillId="0" borderId="32" xfId="0" applyNumberFormat="1" applyFont="1" applyBorder="1" applyAlignment="1">
      <alignment horizontal="right" vertical="center"/>
    </xf>
    <xf numFmtId="177" fontId="11" fillId="0" borderId="39" xfId="0" applyNumberFormat="1" applyFont="1" applyBorder="1">
      <alignment vertical="center"/>
    </xf>
    <xf numFmtId="177" fontId="11" fillId="0" borderId="41" xfId="0" applyNumberFormat="1" applyFont="1" applyBorder="1">
      <alignment vertical="center"/>
    </xf>
    <xf numFmtId="177" fontId="11" fillId="0" borderId="29" xfId="0" applyNumberFormat="1" applyFont="1" applyBorder="1">
      <alignment vertical="center"/>
    </xf>
    <xf numFmtId="177" fontId="11" fillId="0" borderId="33" xfId="0" applyNumberFormat="1" applyFont="1" applyBorder="1">
      <alignment vertical="center"/>
    </xf>
    <xf numFmtId="177" fontId="11" fillId="0" borderId="31" xfId="0" applyNumberFormat="1" applyFont="1" applyBorder="1">
      <alignment vertical="center"/>
    </xf>
    <xf numFmtId="177" fontId="11" fillId="0" borderId="34" xfId="0" applyNumberFormat="1" applyFont="1" applyBorder="1">
      <alignment vertical="center"/>
    </xf>
    <xf numFmtId="178" fontId="11" fillId="0" borderId="17" xfId="0" applyNumberFormat="1" applyFont="1" applyBorder="1" applyAlignment="1">
      <alignment horizontal="right" vertical="center"/>
    </xf>
    <xf numFmtId="178" fontId="11" fillId="0" borderId="18" xfId="0" applyNumberFormat="1" applyFont="1" applyBorder="1" applyAlignment="1">
      <alignment horizontal="right" vertical="center"/>
    </xf>
    <xf numFmtId="178" fontId="11" fillId="0" borderId="19" xfId="0" applyNumberFormat="1" applyFont="1" applyBorder="1" applyAlignment="1">
      <alignment horizontal="right" vertical="center"/>
    </xf>
    <xf numFmtId="178" fontId="11" fillId="0" borderId="50" xfId="0" applyNumberFormat="1" applyFont="1" applyBorder="1" applyAlignment="1">
      <alignment horizontal="right" vertical="center"/>
    </xf>
    <xf numFmtId="178" fontId="11" fillId="0" borderId="53" xfId="0" applyNumberFormat="1" applyFont="1" applyBorder="1" applyAlignment="1">
      <alignment horizontal="right" vertical="center"/>
    </xf>
    <xf numFmtId="178" fontId="11" fillId="0" borderId="56" xfId="0" applyNumberFormat="1" applyFont="1" applyBorder="1" applyAlignment="1">
      <alignment horizontal="right" vertical="center"/>
    </xf>
  </cellXfs>
  <cellStyles count="1">
    <cellStyle name="표준" xfId="0" builtinId="0"/>
  </cellStyles>
  <dxfs count="4">
    <dxf>
      <fill>
        <patternFill>
          <bgColor rgb="FFFF6969"/>
        </patternFill>
      </fill>
    </dxf>
    <dxf>
      <fill>
        <patternFill>
          <bgColor rgb="FFFF6969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>
        <v>0.71218749999999997</v>
        <stp/>
        <stp>P</stp>
        <stp>0</stp>
        <stp>IR</stp>
        <stp>IRSTA6USD11Y</stp>
        <stp>시간</stp>
        <stp/>
        <stp>TmFmt=1</stp>
        <tr r="X11" s="2"/>
      </tp>
      <tp>
        <v>0.71218749999999997</v>
        <stp/>
        <stp>P</stp>
        <stp>0</stp>
        <stp>IR</stp>
        <stp>IRSTA6USD10Y</stp>
        <stp>시간</stp>
        <stp/>
        <stp>TmFmt=1</stp>
        <tr r="X10" s="2"/>
      </tp>
      <tp>
        <v>0.71218749999999997</v>
        <stp/>
        <stp>P</stp>
        <stp>0</stp>
        <stp>IR</stp>
        <stp>IRSTA6USD12Y</stp>
        <stp>시간</stp>
        <stp/>
        <stp>TmFmt=1</stp>
        <tr r="X12" s="2"/>
      </tp>
      <tp>
        <v>0.71218749999999997</v>
        <stp/>
        <stp>P</stp>
        <stp>0</stp>
        <stp>IR</stp>
        <stp>IRSTA6USD15Y</stp>
        <stp>시간</stp>
        <stp/>
        <stp>TmFmt=1</stp>
        <tr r="X13" s="2"/>
      </tp>
      <tp>
        <v>0.70625000000000004</v>
        <stp/>
        <stp>P</stp>
        <stp>0</stp>
        <stp>IR</stp>
        <stp>CRSTC7KRW07Y</stp>
        <stp>시간</stp>
        <stp/>
        <stp>TmFmt=1</stp>
        <tr r="L15" s="1"/>
        <tr r="L34" s="1"/>
      </tp>
      <tp>
        <v>0.70623842592592589</v>
        <stp/>
        <stp>P</stp>
        <stp>0</stp>
        <stp>IR</stp>
        <stp>CRSTC7KRW06Y</stp>
        <stp>시간</stp>
        <stp/>
        <stp>TmFmt=1</stp>
        <tr r="L14" s="1"/>
        <tr r="L33" s="1"/>
      </tp>
      <tp>
        <v>0.70621527777777782</v>
        <stp/>
        <stp>P</stp>
        <stp>0</stp>
        <stp>IR</stp>
        <stp>CRSTC7KRW05Y</stp>
        <stp>시간</stp>
        <stp/>
        <stp>TmFmt=1</stp>
        <tr r="L13" s="1"/>
        <tr r="L32" s="1"/>
      </tp>
      <tp>
        <v>0.70620370370370367</v>
        <stp/>
        <stp>P</stp>
        <stp>0</stp>
        <stp>IR</stp>
        <stp>CRSTC7KRW04Y</stp>
        <stp>시간</stp>
        <stp/>
        <stp>TmFmt=1</stp>
        <tr r="L12" s="1"/>
        <tr r="L31" s="1"/>
      </tp>
      <tp>
        <v>0.70619212962962963</v>
        <stp/>
        <stp>P</stp>
        <stp>0</stp>
        <stp>IR</stp>
        <stp>CRSTC7KRW03Y</stp>
        <stp>시간</stp>
        <stp/>
        <stp>TmFmt=1</stp>
        <tr r="L11" s="1"/>
        <tr r="L30" s="1"/>
      </tp>
      <tp>
        <v>0.70618055555555559</v>
        <stp/>
        <stp>P</stp>
        <stp>0</stp>
        <stp>IR</stp>
        <stp>CRSTC7KRW02Y</stp>
        <stp>시간</stp>
        <stp/>
        <stp>TmFmt=1</stp>
        <tr r="L10" s="1"/>
        <tr r="L29" s="1"/>
      </tp>
      <tp>
        <v>0.70616898148148144</v>
        <stp/>
        <stp>P</stp>
        <stp>0</stp>
        <stp>IR</stp>
        <stp>CRSTC7KRW01Y</stp>
        <stp>시간</stp>
        <stp/>
        <stp>TmFmt=1</stp>
        <tr r="L9" s="1"/>
        <tr r="L28" s="1"/>
      </tp>
      <tp>
        <v>0.70628472222222227</v>
        <stp/>
        <stp>P</stp>
        <stp>0</stp>
        <stp>IR</stp>
        <stp>CRSTC7KRW09Y</stp>
        <stp>시간</stp>
        <stp/>
        <stp>TmFmt=1</stp>
        <tr r="L17" s="1"/>
        <tr r="L36" s="1"/>
      </tp>
      <tp>
        <v>0.70626157407407408</v>
        <stp/>
        <stp>P</stp>
        <stp>0</stp>
        <stp>IR</stp>
        <stp>CRSTC7KRW08Y</stp>
        <stp>시간</stp>
        <stp/>
        <stp>TmFmt=1</stp>
        <tr r="L16" s="1"/>
        <tr r="L35" s="1"/>
      </tp>
      <tp>
        <v>0.71218749999999997</v>
        <stp/>
        <stp>P</stp>
        <stp>0</stp>
        <stp>IR</stp>
        <stp>IRSTA6USD09Y</stp>
        <stp>시간</stp>
        <stp/>
        <stp>TmFmt=1</stp>
        <tr r="X9" s="2"/>
      </tp>
      <tp>
        <v>0.71218749999999997</v>
        <stp/>
        <stp>P</stp>
        <stp>0</stp>
        <stp>IR</stp>
        <stp>IRSTA6USD08Y</stp>
        <stp>시간</stp>
        <stp/>
        <stp>TmFmt=1</stp>
        <tr r="X8" s="2"/>
      </tp>
      <tp>
        <v>0.71134259259259258</v>
        <stp/>
        <stp>P</stp>
        <stp>0</stp>
        <stp>IR</stp>
        <stp>IRSTA6USD01Y</stp>
        <stp>시간</stp>
        <stp/>
        <stp>TmFmt=1</stp>
        <tr r="X1" s="2"/>
      </tp>
      <tp>
        <v>0.71218749999999997</v>
        <stp/>
        <stp>P</stp>
        <stp>0</stp>
        <stp>IR</stp>
        <stp>IRSTA6USD03Y</stp>
        <stp>시간</stp>
        <stp/>
        <stp>TmFmt=1</stp>
        <tr r="X3" s="2"/>
      </tp>
      <tp>
        <v>0.71218749999999997</v>
        <stp/>
        <stp>P</stp>
        <stp>0</stp>
        <stp>IR</stp>
        <stp>IRSTA6USD02Y</stp>
        <stp>시간</stp>
        <stp/>
        <stp>TmFmt=1</stp>
        <tr r="X2" s="2"/>
      </tp>
      <tp>
        <v>0.71218749999999997</v>
        <stp/>
        <stp>P</stp>
        <stp>0</stp>
        <stp>IR</stp>
        <stp>IRSTA6USD05Y</stp>
        <stp>시간</stp>
        <stp/>
        <stp>TmFmt=1</stp>
        <tr r="X5" s="2"/>
      </tp>
      <tp>
        <v>0.71218749999999997</v>
        <stp/>
        <stp>P</stp>
        <stp>0</stp>
        <stp>IR</stp>
        <stp>IRSTA6USD04Y</stp>
        <stp>시간</stp>
        <stp/>
        <stp>TmFmt=1</stp>
        <tr r="X4" s="2"/>
      </tp>
      <tp>
        <v>0.71218749999999997</v>
        <stp/>
        <stp>P</stp>
        <stp>0</stp>
        <stp>IR</stp>
        <stp>IRSTA6USD07Y</stp>
        <stp>시간</stp>
        <stp/>
        <stp>TmFmt=1</stp>
        <tr r="X7" s="2"/>
      </tp>
      <tp>
        <v>0.71218749999999997</v>
        <stp/>
        <stp>P</stp>
        <stp>0</stp>
        <stp>IR</stp>
        <stp>IRSTA6USD06Y</stp>
        <stp>시간</stp>
        <stp/>
        <stp>TmFmt=1</stp>
        <tr r="X6" s="2"/>
      </tp>
      <tp>
        <v>0.70633101851851854</v>
        <stp/>
        <stp>P</stp>
        <stp>0</stp>
        <stp>IR</stp>
        <stp>CRSTC7KRW15Y</stp>
        <stp>시간</stp>
        <stp/>
        <stp>TmFmt=1</stp>
        <tr r="L21" s="1"/>
        <tr r="L40" s="1"/>
      </tp>
      <tp>
        <v>0.7063194444444445</v>
        <stp/>
        <stp>P</stp>
        <stp>0</stp>
        <stp>IR</stp>
        <stp>CRSTC7KRW12Y</stp>
        <stp>시간</stp>
        <stp/>
        <stp>TmFmt=1</stp>
        <tr r="L20" s="1"/>
        <tr r="L39" s="1"/>
      </tp>
      <tp>
        <v>0.70630787037037035</v>
        <stp/>
        <stp>P</stp>
        <stp>0</stp>
        <stp>IR</stp>
        <stp>CRSTC7KRW11Y</stp>
        <stp>시간</stp>
        <stp/>
        <stp>TmFmt=1</stp>
        <tr r="L19" s="1"/>
        <tr r="L38" s="1"/>
      </tp>
      <tp>
        <v>0.70629629629629631</v>
        <stp/>
        <stp>P</stp>
        <stp>0</stp>
        <stp>IR</stp>
        <stp>CRSTC7KRW10Y</stp>
        <stp>시간</stp>
        <stp/>
        <stp>TmFmt=1</stp>
        <tr r="L18" s="1"/>
        <tr r="L37" s="1"/>
      </tp>
      <tp>
        <v>0.66945601851851855</v>
        <stp/>
        <stp>P</stp>
        <stp>0</stp>
        <stp>IR</stp>
        <stp>CRSE02DKKUSD10Y</stp>
        <stp>시간</stp>
        <stp/>
        <stp>TmFmt=1</stp>
        <tr r="X88" s="2"/>
      </tp>
      <tp>
        <v>0.66945601851851855</v>
        <stp/>
        <stp>P</stp>
        <stp>0</stp>
        <stp>IR</stp>
        <stp>CRSE02DKKUSD12Y</stp>
        <stp>시간</stp>
        <stp/>
        <stp>TmFmt=1</stp>
        <tr r="X90" s="2"/>
      </tp>
      <tp>
        <v>0.66945601851851855</v>
        <stp/>
        <stp>P</stp>
        <stp>0</stp>
        <stp>IR</stp>
        <stp>CRSE02DKKUSD15Y</stp>
        <stp>시간</stp>
        <stp/>
        <stp>TmFmt=1</stp>
        <tr r="X91" s="2"/>
      </tp>
      <tp>
        <v>0.66945601851851855</v>
        <stp/>
        <stp>P</stp>
        <stp>0</stp>
        <stp>IR</stp>
        <stp>CRSE01DKKUSD01Y</stp>
        <stp>시간</stp>
        <stp/>
        <stp>TmFmt=1</stp>
        <tr r="X79" s="2"/>
      </tp>
      <tp>
        <v>0.66945601851851855</v>
        <stp/>
        <stp>P</stp>
        <stp>0</stp>
        <stp>IR</stp>
        <stp>CRSE02DKKUSD02Y</stp>
        <stp>시간</stp>
        <stp/>
        <stp>TmFmt=1</stp>
        <tr r="X80" s="2"/>
      </tp>
      <tp>
        <v>0.66945601851851855</v>
        <stp/>
        <stp>P</stp>
        <stp>0</stp>
        <stp>IR</stp>
        <stp>CRSE02DKKUSD03Y</stp>
        <stp>시간</stp>
        <stp/>
        <stp>TmFmt=1</stp>
        <tr r="X81" s="2"/>
      </tp>
      <tp>
        <v>0.66945601851851855</v>
        <stp/>
        <stp>P</stp>
        <stp>0</stp>
        <stp>IR</stp>
        <stp>CRSE02DKKUSD04Y</stp>
        <stp>시간</stp>
        <stp/>
        <stp>TmFmt=1</stp>
        <tr r="X82" s="2"/>
      </tp>
      <tp>
        <v>0.66945601851851855</v>
        <stp/>
        <stp>P</stp>
        <stp>0</stp>
        <stp>IR</stp>
        <stp>CRSE02DKKUSD05Y</stp>
        <stp>시간</stp>
        <stp/>
        <stp>TmFmt=1</stp>
        <tr r="X83" s="2"/>
      </tp>
      <tp>
        <v>0.66945601851851855</v>
        <stp/>
        <stp>P</stp>
        <stp>0</stp>
        <stp>IR</stp>
        <stp>CRSE02DKKUSD06Y</stp>
        <stp>시간</stp>
        <stp/>
        <stp>TmFmt=1</stp>
        <tr r="X84" s="2"/>
      </tp>
      <tp>
        <v>0.66945601851851855</v>
        <stp/>
        <stp>P</stp>
        <stp>0</stp>
        <stp>IR</stp>
        <stp>CRSE02DKKUSD07Y</stp>
        <stp>시간</stp>
        <stp/>
        <stp>TmFmt=1</stp>
        <tr r="X85" s="2"/>
      </tp>
      <tp>
        <v>0.66945601851851855</v>
        <stp/>
        <stp>P</stp>
        <stp>0</stp>
        <stp>IR</stp>
        <stp>CRSE02DKKUSD08Y</stp>
        <stp>시간</stp>
        <stp/>
        <stp>TmFmt=1</stp>
        <tr r="X86" s="2"/>
      </tp>
      <tp>
        <v>0.66945601851851855</v>
        <stp/>
        <stp>P</stp>
        <stp>0</stp>
        <stp>IR</stp>
        <stp>CRSE02DKKUSD09Y</stp>
        <stp>시간</stp>
        <stp/>
        <stp>TmFmt=1</stp>
        <tr r="X87" s="2"/>
      </tp>
      <tp>
        <v>0.70853009259259259</v>
        <stp/>
        <stp>P</stp>
        <stp>0</stp>
        <stp>IR</stp>
        <stp>CRSE17AUDUSD15Y</stp>
        <stp>시간</stp>
        <stp/>
        <stp>TmFmt=1</stp>
        <tr r="X78" s="2"/>
      </tp>
      <tp>
        <v>0.65828703703703706</v>
        <stp/>
        <stp>P</stp>
        <stp>0</stp>
        <stp>IR</stp>
        <stp>CRST14USDSGD10Y</stp>
        <stp>시간</stp>
        <stp/>
        <stp>TmFmt=1</stp>
        <tr r="X101" s="2"/>
      </tp>
      <tp>
        <v>0.70877314814814818</v>
        <stp/>
        <stp>P</stp>
        <stp>0</stp>
        <stp>IR</stp>
        <stp>CRSE10HKDUSD12Y</stp>
        <stp>시간</stp>
        <stp/>
        <stp>TmFmt=1</stp>
        <tr r="X64" s="2"/>
      </tp>
      <tp>
        <v>0.6582986111111111</v>
        <stp/>
        <stp>P</stp>
        <stp>0</stp>
        <stp>IR</stp>
        <stp>CRST14USDSGD12Y</stp>
        <stp>시간</stp>
        <stp/>
        <stp>TmFmt=1</stp>
        <tr r="X103" s="2"/>
      </tp>
      <tp>
        <v>0.70877314814814818</v>
        <stp/>
        <stp>P</stp>
        <stp>0</stp>
        <stp>IR</stp>
        <stp>CRSE10HKDUSD10Y</stp>
        <stp>시간</stp>
        <stp/>
        <stp>TmFmt=1</stp>
        <tr r="X62" s="2"/>
      </tp>
      <tp>
        <v>0.70837962962962964</v>
        <stp/>
        <stp>P</stp>
        <stp>0</stp>
        <stp>IR</stp>
        <stp>CRSE17AUDUSD10Y</stp>
        <stp>시간</stp>
        <stp/>
        <stp>TmFmt=1</stp>
        <tr r="X75" s="2"/>
      </tp>
      <tp>
        <v>0.65831018518518514</v>
        <stp/>
        <stp>P</stp>
        <stp>0</stp>
        <stp>IR</stp>
        <stp>CRST14USDSGD15Y</stp>
        <stp>시간</stp>
        <stp/>
        <stp>TmFmt=1</stp>
        <tr r="X104" s="2"/>
      </tp>
      <tp>
        <v>0.70837962962962964</v>
        <stp/>
        <stp>P</stp>
        <stp>0</stp>
        <stp>IR</stp>
        <stp>CRSE17AUDUSD12Y</stp>
        <stp>시간</stp>
        <stp/>
        <stp>TmFmt=1</stp>
        <tr r="X77" s="2"/>
      </tp>
      <tp>
        <v>0.70877314814814818</v>
        <stp/>
        <stp>P</stp>
        <stp>0</stp>
        <stp>IR</stp>
        <stp>CRSE10HKDUSD15Y</stp>
        <stp>시간</stp>
        <stp/>
        <stp>TmFmt=1</stp>
        <tr r="X65" s="2"/>
      </tp>
      <tp>
        <v>0.70837962962962964</v>
        <stp/>
        <stp>P</stp>
        <stp>0</stp>
        <stp>IR</stp>
        <stp>CRSE17AUDUSD05Y</stp>
        <stp>시간</stp>
        <stp/>
        <stp>TmFmt=1</stp>
        <tr r="X70" s="2"/>
      </tp>
      <tp>
        <v>0.70877314814814818</v>
        <stp/>
        <stp>P</stp>
        <stp>0</stp>
        <stp>IR</stp>
        <stp>CRSE10HKDUSD02Y</stp>
        <stp>시간</stp>
        <stp/>
        <stp>TmFmt=1</stp>
        <tr r="X54" s="2"/>
      </tp>
      <tp>
        <v>0.70837962962962964</v>
        <stp/>
        <stp>P</stp>
        <stp>0</stp>
        <stp>IR</stp>
        <stp>CRSE12AUDUSD01Y</stp>
        <stp>시간</stp>
        <stp/>
        <stp>TmFmt=1</stp>
        <tr r="X66" s="2"/>
      </tp>
      <tp>
        <v>0.70837962962962964</v>
        <stp/>
        <stp>P</stp>
        <stp>0</stp>
        <stp>IR</stp>
        <stp>CRSE17AUDUSD04Y</stp>
        <stp>시간</stp>
        <stp/>
        <stp>TmFmt=1</stp>
        <tr r="X69" s="2"/>
      </tp>
      <tp>
        <v>0.65820601851851857</v>
        <stp/>
        <stp>P</stp>
        <stp>0</stp>
        <stp>IR</stp>
        <stp>CRST14USDSGD01Y</stp>
        <stp>시간</stp>
        <stp/>
        <stp>TmFmt=1</stp>
        <tr r="X92" s="2"/>
      </tp>
      <tp>
        <v>0.70877314814814818</v>
        <stp/>
        <stp>P</stp>
        <stp>0</stp>
        <stp>IR</stp>
        <stp>CRSE10HKDUSD03Y</stp>
        <stp>시간</stp>
        <stp/>
        <stp>TmFmt=1</stp>
        <tr r="X55" s="2"/>
      </tp>
      <tp>
        <v>0.70837962962962964</v>
        <stp/>
        <stp>P</stp>
        <stp>0</stp>
        <stp>IR</stp>
        <stp>CRSE12AUDUSD02Y</stp>
        <stp>시간</stp>
        <stp/>
        <stp>TmFmt=1</stp>
        <tr r="X67" s="2"/>
      </tp>
      <tp>
        <v>0.70837962962962964</v>
        <stp/>
        <stp>P</stp>
        <stp>0</stp>
        <stp>IR</stp>
        <stp>CRSE17AUDUSD07Y</stp>
        <stp>시간</stp>
        <stp/>
        <stp>TmFmt=1</stp>
        <tr r="X72" s="2"/>
      </tp>
      <tp>
        <v>0.6582175925925926</v>
        <stp/>
        <stp>P</stp>
        <stp>0</stp>
        <stp>IR</stp>
        <stp>CRST14USDSGD02Y</stp>
        <stp>시간</stp>
        <stp/>
        <stp>TmFmt=1</stp>
        <tr r="X93" s="2"/>
      </tp>
      <tp>
        <v>0.70837962962962964</v>
        <stp/>
        <stp>P</stp>
        <stp>0</stp>
        <stp>IR</stp>
        <stp>CRSE12AUDUSD03Y</stp>
        <stp>시간</stp>
        <stp/>
        <stp>TmFmt=1</stp>
        <tr r="X68" s="2"/>
      </tp>
      <tp>
        <v>0.70837962962962964</v>
        <stp/>
        <stp>P</stp>
        <stp>0</stp>
        <stp>IR</stp>
        <stp>CRSE17AUDUSD06Y</stp>
        <stp>시간</stp>
        <stp/>
        <stp>TmFmt=1</stp>
        <tr r="X71" s="2"/>
      </tp>
      <tp>
        <v>0.65822916666666664</v>
        <stp/>
        <stp>P</stp>
        <stp>0</stp>
        <stp>IR</stp>
        <stp>CRST14USDSGD03Y</stp>
        <stp>시간</stp>
        <stp/>
        <stp>TmFmt=1</stp>
        <tr r="X94" s="2"/>
      </tp>
      <tp>
        <v>0.70877314814814818</v>
        <stp/>
        <stp>P</stp>
        <stp>0</stp>
        <stp>IR</stp>
        <stp>CRSE10HKDUSD01Y</stp>
        <stp>시간</stp>
        <stp/>
        <stp>TmFmt=1</stp>
        <tr r="X53" s="2"/>
      </tp>
      <tp>
        <v>0.65824074074074079</v>
        <stp/>
        <stp>P</stp>
        <stp>0</stp>
        <stp>IR</stp>
        <stp>CRST14USDSGD04Y</stp>
        <stp>시간</stp>
        <stp/>
        <stp>TmFmt=1</stp>
        <tr r="X95" s="2"/>
      </tp>
      <tp>
        <v>0.65825231481481483</v>
        <stp/>
        <stp>P</stp>
        <stp>0</stp>
        <stp>IR</stp>
        <stp>CRST14USDSGD05Y</stp>
        <stp>시간</stp>
        <stp/>
        <stp>TmFmt=1</stp>
        <tr r="X96" s="2"/>
      </tp>
      <tp>
        <v>0.70877314814814818</v>
        <stp/>
        <stp>P</stp>
        <stp>0</stp>
        <stp>IR</stp>
        <stp>CRSE10HKDUSD07Y</stp>
        <stp>시간</stp>
        <stp/>
        <stp>TmFmt=1</stp>
        <tr r="X59" s="2"/>
      </tp>
      <tp>
        <v>0.65826388888888887</v>
        <stp/>
        <stp>P</stp>
        <stp>0</stp>
        <stp>IR</stp>
        <stp>CRST14USDSGD06Y</stp>
        <stp>시간</stp>
        <stp/>
        <stp>TmFmt=1</stp>
        <tr r="X97" s="2"/>
      </tp>
      <tp>
        <v>0.70877314814814818</v>
        <stp/>
        <stp>P</stp>
        <stp>0</stp>
        <stp>IR</stp>
        <stp>CRSE10HKDUSD04Y</stp>
        <stp>시간</stp>
        <stp/>
        <stp>TmFmt=1</stp>
        <tr r="X56" s="2"/>
      </tp>
      <tp>
        <v>0.65827546296296291</v>
        <stp/>
        <stp>P</stp>
        <stp>0</stp>
        <stp>IR</stp>
        <stp>CRST14USDSGD07Y</stp>
        <stp>시간</stp>
        <stp/>
        <stp>TmFmt=1</stp>
        <tr r="X98" s="2"/>
      </tp>
      <tp>
        <v>0.70877314814814818</v>
        <stp/>
        <stp>P</stp>
        <stp>0</stp>
        <stp>IR</stp>
        <stp>CRSE10HKDUSD05Y</stp>
        <stp>시간</stp>
        <stp/>
        <stp>TmFmt=1</stp>
        <tr r="X57" s="2"/>
      </tp>
      <tp>
        <v>0.70837962962962964</v>
        <stp/>
        <stp>P</stp>
        <stp>0</stp>
        <stp>IR</stp>
        <stp>CRSE17AUDUSD09Y</stp>
        <stp>시간</stp>
        <stp/>
        <stp>TmFmt=1</stp>
        <tr r="X74" s="2"/>
      </tp>
      <tp>
        <v>0.70837962962962964</v>
        <stp/>
        <stp>P</stp>
        <stp>0</stp>
        <stp>IR</stp>
        <stp>CRSE17AUDUSD08Y</stp>
        <stp>시간</stp>
        <stp/>
        <stp>TmFmt=1</stp>
        <tr r="X73" s="2"/>
      </tp>
      <tp>
        <v>0.64884259259259258</v>
        <stp/>
        <stp>P</stp>
        <stp>0</stp>
        <stp>IR</stp>
        <stp>CRST25USDCNH01Y</stp>
        <stp>시간</stp>
        <stp/>
        <stp>TmFmt=1</stp>
        <tr r="X40" s="2"/>
      </tp>
      <tp>
        <v>0.64886574074074077</v>
        <stp/>
        <stp>P</stp>
        <stp>0</stp>
        <stp>IR</stp>
        <stp>CRST25USDCNH03Y</stp>
        <stp>시간</stp>
        <stp/>
        <stp>TmFmt=1</stp>
        <tr r="X42" s="2"/>
      </tp>
      <tp>
        <v>0.64886574074074077</v>
        <stp/>
        <stp>P</stp>
        <stp>0</stp>
        <stp>IR</stp>
        <stp>CRST25USDCNH02Y</stp>
        <stp>시간</stp>
        <stp/>
        <stp>TmFmt=1</stp>
        <tr r="X41" s="2"/>
      </tp>
      <tp>
        <v>0.64888888888888885</v>
        <stp/>
        <stp>P</stp>
        <stp>0</stp>
        <stp>IR</stp>
        <stp>CRST25USDCNH05Y</stp>
        <stp>시간</stp>
        <stp/>
        <stp>TmFmt=1</stp>
        <tr r="X44" s="2"/>
      </tp>
      <tp>
        <v>0.64887731481481481</v>
        <stp/>
        <stp>P</stp>
        <stp>0</stp>
        <stp>IR</stp>
        <stp>CRST25USDCNH04Y</stp>
        <stp>시간</stp>
        <stp/>
        <stp>TmFmt=1</stp>
        <tr r="X43" s="2"/>
      </tp>
      <tp>
        <v>0.64891203703703704</v>
        <stp/>
        <stp>P</stp>
        <stp>0</stp>
        <stp>IR</stp>
        <stp>CRST25USDCNH07Y</stp>
        <stp>시간</stp>
        <stp/>
        <stp>TmFmt=1</stp>
        <tr r="X46" s="2"/>
      </tp>
      <tp>
        <v>0.64893518518518523</v>
        <stp/>
        <stp>P</stp>
        <stp>0</stp>
        <stp>IR</stp>
        <stp>CRST25USDCNH10Y</stp>
        <stp>시간</stp>
        <stp/>
        <stp>TmFmt=1</stp>
        <tr r="X49" s="2"/>
      </tp>
      <tp>
        <v>1378.4</v>
        <stp/>
        <stp>P</stp>
        <stp>0</stp>
        <stp>FX</stp>
        <stp>USDSP_SMBCB_EXT</stp>
        <stp>현재가</stp>
        <stp/>
        <stp/>
        <tr r="C11" s="2"/>
      </tp>
      <tp>
        <v>0.70840277777777783</v>
        <stp/>
        <stp>P</stp>
        <stp>0</stp>
        <stp>IR</stp>
        <stp>CRSEA8JPYUSD08Y</stp>
        <stp>시간</stp>
        <stp/>
        <stp>TmFmt=1</stp>
        <tr r="X21" s="2"/>
      </tp>
      <tp>
        <v>0.70840277777777783</v>
        <stp/>
        <stp>P</stp>
        <stp>0</stp>
        <stp>IR</stp>
        <stp>CRSEA8JPYUSD09Y</stp>
        <stp>시간</stp>
        <stp/>
        <stp>TmFmt=1</stp>
        <tr r="X22" s="2"/>
      </tp>
      <tp>
        <v>0.70840277777777783</v>
        <stp/>
        <stp>P</stp>
        <stp>0</stp>
        <stp>IR</stp>
        <stp>CRSEA8JPYUSD02Y</stp>
        <stp>시간</stp>
        <stp/>
        <stp>TmFmt=1</stp>
        <tr r="X15" s="2"/>
      </tp>
      <tp>
        <v>0.70840277777777783</v>
        <stp/>
        <stp>P</stp>
        <stp>0</stp>
        <stp>IR</stp>
        <stp>CRSEA8JPYUSD03Y</stp>
        <stp>시간</stp>
        <stp/>
        <stp>TmFmt=1</stp>
        <tr r="X16" s="2"/>
      </tp>
      <tp>
        <v>0.70840277777777783</v>
        <stp/>
        <stp>P</stp>
        <stp>0</stp>
        <stp>IR</stp>
        <stp>CRSEA8JPYUSD01Y</stp>
        <stp>시간</stp>
        <stp/>
        <stp>TmFmt=1</stp>
        <tr r="X14" s="2"/>
      </tp>
      <tp>
        <v>0.70840277777777783</v>
        <stp/>
        <stp>P</stp>
        <stp>0</stp>
        <stp>IR</stp>
        <stp>CRSEA8JPYUSD06Y</stp>
        <stp>시간</stp>
        <stp/>
        <stp>TmFmt=1</stp>
        <tr r="X19" s="2"/>
      </tp>
      <tp>
        <v>0.70840277777777783</v>
        <stp/>
        <stp>P</stp>
        <stp>0</stp>
        <stp>IR</stp>
        <stp>CRSEA8JPYUSD07Y</stp>
        <stp>시간</stp>
        <stp/>
        <stp>TmFmt=1</stp>
        <tr r="X20" s="2"/>
      </tp>
      <tp>
        <v>0.70840277777777783</v>
        <stp/>
        <stp>P</stp>
        <stp>0</stp>
        <stp>IR</stp>
        <stp>CRSEA8JPYUSD04Y</stp>
        <stp>시간</stp>
        <stp/>
        <stp>TmFmt=1</stp>
        <tr r="X17" s="2"/>
      </tp>
      <tp>
        <v>0.70840277777777783</v>
        <stp/>
        <stp>P</stp>
        <stp>0</stp>
        <stp>IR</stp>
        <stp>CRSEA8JPYUSD05Y</stp>
        <stp>시간</stp>
        <stp/>
        <stp>TmFmt=1</stp>
        <tr r="X18" s="2"/>
      </tp>
      <tp>
        <v>0.70840277777777783</v>
        <stp/>
        <stp>P</stp>
        <stp>0</stp>
        <stp>IR</stp>
        <stp>CRSEA8JPYUSD12Y</stp>
        <stp>시간</stp>
        <stp/>
        <stp>TmFmt=1</stp>
        <tr r="X25" s="2"/>
      </tp>
      <tp>
        <v>0.70840277777777783</v>
        <stp/>
        <stp>P</stp>
        <stp>0</stp>
        <stp>IR</stp>
        <stp>CRSEA8JPYUSD10Y</stp>
        <stp>시간</stp>
        <stp/>
        <stp>TmFmt=1</stp>
        <tr r="X23" s="2"/>
      </tp>
      <tp>
        <v>0.70840277777777783</v>
        <stp/>
        <stp>P</stp>
        <stp>0</stp>
        <stp>IR</stp>
        <stp>CRSEA8JPYUSD11Y</stp>
        <stp>시간</stp>
        <stp/>
        <stp>TmFmt=1</stp>
        <tr r="X24" s="2"/>
      </tp>
      <tp>
        <v>0.70840277777777783</v>
        <stp/>
        <stp>P</stp>
        <stp>0</stp>
        <stp>IR</stp>
        <stp>CRSEA8JPYUSD15Y</stp>
        <stp>시간</stp>
        <stp/>
        <stp>TmFmt=1</stp>
        <tr r="X26" s="2"/>
      </tp>
      <tp>
        <v>0</v>
        <stp/>
        <stp>H</stp>
        <stp>x8.DprG2</stp>
        <stp>179</stp>
        <stp>202268</stp>
        <tr r="M1" s="2"/>
      </tp>
      <tp>
        <v>0</v>
        <stp/>
        <stp>H</stp>
        <stp>x2.DprG2</stp>
        <stp>137</stp>
        <stp>202268</stp>
        <tr r="Q1" s="2"/>
      </tp>
      <tp>
        <v>0</v>
        <stp/>
        <stp>H</stp>
        <stp>x3.DprG2</stp>
        <stp>151</stp>
        <stp>202268</stp>
        <tr r="I1" s="2"/>
      </tp>
      <tp>
        <v>0</v>
        <stp/>
        <stp>H</stp>
        <stp>x1.DprG2</stp>
        <stp>150</stp>
        <stp>202268</stp>
        <tr r="AA1" s="2"/>
      </tp>
      <tp>
        <v>0</v>
        <stp/>
        <stp>H</stp>
        <stp>x6.DprG2</stp>
        <stp>178</stp>
        <stp>202268</stp>
        <tr r="AF1" s="2"/>
      </tp>
      <tp>
        <v>0</v>
        <stp/>
        <stp>H</stp>
        <stp>x7.DprG2</stp>
        <stp>142</stp>
        <stp>202268</stp>
        <tr r="O1" s="2"/>
      </tp>
      <tp>
        <v>0</v>
        <stp/>
        <stp>H</stp>
        <stp>x4.DprG2</stp>
        <stp>177</stp>
        <stp>202268</stp>
        <tr r="K1" s="2"/>
      </tp>
      <tp>
        <v>0</v>
        <stp/>
        <stp>H</stp>
        <stp>x5.DprG2</stp>
        <stp>152</stp>
        <stp>202268</stp>
        <tr r="G1" s="2"/>
      </tp>
      <tp>
        <v>0.70837962962962964</v>
        <stp/>
        <stp>P</stp>
        <stp>0</stp>
        <stp>IR</stp>
        <stp>CRSEA9GBPUSD12Y</stp>
        <stp>시간</stp>
        <stp/>
        <stp>TmFmt=1</stp>
        <tr r="X116" s="2"/>
      </tp>
      <tp>
        <v>0.70837962962962964</v>
        <stp/>
        <stp>P</stp>
        <stp>0</stp>
        <stp>IR</stp>
        <stp>CRSEA9GBPUSD11Y</stp>
        <stp>시간</stp>
        <stp/>
        <stp>TmFmt=1</stp>
        <tr r="X115" s="2"/>
      </tp>
      <tp>
        <v>0.70837962962962964</v>
        <stp/>
        <stp>P</stp>
        <stp>0</stp>
        <stp>IR</stp>
        <stp>CRSEA9GBPUSD10Y</stp>
        <stp>시간</stp>
        <stp/>
        <stp>TmFmt=1</stp>
        <tr r="X114" s="2"/>
      </tp>
      <tp>
        <v>0.70837962962962964</v>
        <stp/>
        <stp>P</stp>
        <stp>0</stp>
        <stp>IR</stp>
        <stp>CRSEA9GBPUSD15Y</stp>
        <stp>시간</stp>
        <stp/>
        <stp>TmFmt=1</stp>
        <tr r="X117" s="2"/>
      </tp>
      <tp>
        <v>0.70837962962962964</v>
        <stp/>
        <stp>P</stp>
        <stp>0</stp>
        <stp>IR</stp>
        <stp>CRSEA9GBPUSD09Y</stp>
        <stp>시간</stp>
        <stp/>
        <stp>TmFmt=1</stp>
        <tr r="X113" s="2"/>
      </tp>
      <tp>
        <v>0.70837962962962964</v>
        <stp/>
        <stp>P</stp>
        <stp>0</stp>
        <stp>IR</stp>
        <stp>CRSEA9GBPUSD08Y</stp>
        <stp>시간</stp>
        <stp/>
        <stp>TmFmt=1</stp>
        <tr r="X112" s="2"/>
      </tp>
      <tp>
        <v>0.70837962962962964</v>
        <stp/>
        <stp>P</stp>
        <stp>0</stp>
        <stp>IR</stp>
        <stp>CRSEA9GBPUSD03Y</stp>
        <stp>시간</stp>
        <stp/>
        <stp>TmFmt=1</stp>
        <tr r="X107" s="2"/>
      </tp>
      <tp>
        <v>0.70837962962962964</v>
        <stp/>
        <stp>P</stp>
        <stp>0</stp>
        <stp>IR</stp>
        <stp>CRSEA9GBPUSD02Y</stp>
        <stp>시간</stp>
        <stp/>
        <stp>TmFmt=1</stp>
        <tr r="X106" s="2"/>
      </tp>
      <tp>
        <v>0.70837962962962964</v>
        <stp/>
        <stp>P</stp>
        <stp>0</stp>
        <stp>IR</stp>
        <stp>CRSEA9GBPUSD01Y</stp>
        <stp>시간</stp>
        <stp/>
        <stp>TmFmt=1</stp>
        <tr r="X105" s="2"/>
      </tp>
      <tp>
        <v>0.70837962962962964</v>
        <stp/>
        <stp>P</stp>
        <stp>0</stp>
        <stp>IR</stp>
        <stp>CRSEA9GBPUSD07Y</stp>
        <stp>시간</stp>
        <stp/>
        <stp>TmFmt=1</stp>
        <tr r="X111" s="2"/>
      </tp>
      <tp>
        <v>0.70837962962962964</v>
        <stp/>
        <stp>P</stp>
        <stp>0</stp>
        <stp>IR</stp>
        <stp>CRSEA9GBPUSD06Y</stp>
        <stp>시간</stp>
        <stp/>
        <stp>TmFmt=1</stp>
        <tr r="X110" s="2"/>
      </tp>
      <tp>
        <v>0.70837962962962964</v>
        <stp/>
        <stp>P</stp>
        <stp>0</stp>
        <stp>IR</stp>
        <stp>CRSEA9GBPUSD05Y</stp>
        <stp>시간</stp>
        <stp/>
        <stp>TmFmt=1</stp>
        <tr r="X109" s="2"/>
      </tp>
      <tp>
        <v>0.70837962962962964</v>
        <stp/>
        <stp>P</stp>
        <stp>0</stp>
        <stp>IR</stp>
        <stp>CRSEA9GBPUSD04Y</stp>
        <stp>시간</stp>
        <stp/>
        <stp>TmFmt=1</stp>
        <tr r="X108" s="2"/>
      </tp>
      <tp>
        <v>0.70834490740740741</v>
        <stp/>
        <stp>P</stp>
        <stp>0</stp>
        <stp>IR</stp>
        <stp>CRSEA4EURUSD15Y</stp>
        <stp>시간</stp>
        <stp/>
        <stp>TmFmt=1</stp>
        <tr r="X39" s="2"/>
      </tp>
      <tp>
        <v>0.70834490740740741</v>
        <stp/>
        <stp>P</stp>
        <stp>0</stp>
        <stp>IR</stp>
        <stp>CRSEA4EURUSD12Y</stp>
        <stp>시간</stp>
        <stp/>
        <stp>TmFmt=1</stp>
        <tr r="X38" s="2"/>
      </tp>
      <tp>
        <v>0.70834490740740741</v>
        <stp/>
        <stp>P</stp>
        <stp>0</stp>
        <stp>IR</stp>
        <stp>CRSEA4EURUSD10Y</stp>
        <stp>시간</stp>
        <stp/>
        <stp>TmFmt=1</stp>
        <tr r="X36" s="2"/>
      </tp>
      <tp>
        <v>0.70834490740740741</v>
        <stp/>
        <stp>P</stp>
        <stp>0</stp>
        <stp>IR</stp>
        <stp>CRSEA4EURUSD11Y</stp>
        <stp>시간</stp>
        <stp/>
        <stp>TmFmt=1</stp>
        <tr r="X37" s="2"/>
      </tp>
      <tp>
        <v>0.70834490740740741</v>
        <stp/>
        <stp>P</stp>
        <stp>0</stp>
        <stp>IR</stp>
        <stp>CRSEA4EURUSD06Y</stp>
        <stp>시간</stp>
        <stp/>
        <stp>TmFmt=1</stp>
        <tr r="X32" s="2"/>
      </tp>
      <tp>
        <v>0.70834490740740741</v>
        <stp/>
        <stp>P</stp>
        <stp>0</stp>
        <stp>IR</stp>
        <stp>CRSEA4EURUSD07Y</stp>
        <stp>시간</stp>
        <stp/>
        <stp>TmFmt=1</stp>
        <tr r="X33" s="2"/>
      </tp>
      <tp>
        <v>0.70834490740740741</v>
        <stp/>
        <stp>P</stp>
        <stp>0</stp>
        <stp>IR</stp>
        <stp>CRSEA4EURUSD04Y</stp>
        <stp>시간</stp>
        <stp/>
        <stp>TmFmt=1</stp>
        <tr r="X30" s="2"/>
      </tp>
      <tp>
        <v>0.70834490740740741</v>
        <stp/>
        <stp>P</stp>
        <stp>0</stp>
        <stp>IR</stp>
        <stp>CRSEA4EURUSD05Y</stp>
        <stp>시간</stp>
        <stp/>
        <stp>TmFmt=1</stp>
        <tr r="X31" s="2"/>
      </tp>
      <tp>
        <v>0.70834490740740741</v>
        <stp/>
        <stp>P</stp>
        <stp>0</stp>
        <stp>IR</stp>
        <stp>CRSEA4EURUSD02Y</stp>
        <stp>시간</stp>
        <stp/>
        <stp>TmFmt=1</stp>
        <tr r="X28" s="2"/>
      </tp>
      <tp>
        <v>0.70834490740740741</v>
        <stp/>
        <stp>P</stp>
        <stp>0</stp>
        <stp>IR</stp>
        <stp>CRSEA4EURUSD03Y</stp>
        <stp>시간</stp>
        <stp/>
        <stp>TmFmt=1</stp>
        <tr r="X29" s="2"/>
      </tp>
      <tp>
        <v>0.70834490740740741</v>
        <stp/>
        <stp>P</stp>
        <stp>0</stp>
        <stp>IR</stp>
        <stp>CRSEA4EURUSD01Y</stp>
        <stp>시간</stp>
        <stp/>
        <stp>TmFmt=1</stp>
        <tr r="X27" s="2"/>
      </tp>
      <tp>
        <v>0.70834490740740741</v>
        <stp/>
        <stp>P</stp>
        <stp>0</stp>
        <stp>IR</stp>
        <stp>CRSEA4EURUSD08Y</stp>
        <stp>시간</stp>
        <stp/>
        <stp>TmFmt=1</stp>
        <tr r="X34" s="2"/>
      </tp>
      <tp>
        <v>0.70834490740740741</v>
        <stp/>
        <stp>P</stp>
        <stp>0</stp>
        <stp>IR</stp>
        <stp>CRSEA4EURUSD09Y</stp>
        <stp>시간</stp>
        <stp/>
        <stp>TmFmt=1</stp>
        <tr r="X35" s="2"/>
      </tp>
      <tp>
        <v>170543</v>
        <stp/>
        <stp>P</stp>
        <stp>0</stp>
        <stp>FX</stp>
        <stp>SGDKRW</stp>
        <stp>시간</stp>
        <stp/>
        <stp/>
        <tr r="T96" s="2"/>
      </tp>
      <tp>
        <v>170545</v>
        <stp/>
        <stp>P</stp>
        <stp>0</stp>
        <stp>FX</stp>
        <stp>HKDKRW</stp>
        <stp>시간</stp>
        <stp/>
        <stp/>
        <tr r="T57" s="2"/>
      </tp>
      <tp>
        <v>170545</v>
        <stp/>
        <stp>P</stp>
        <stp>0</stp>
        <stp>FX</stp>
        <stp>JPYKRW</stp>
        <stp>시간</stp>
        <stp/>
        <stp/>
        <tr r="T18" s="2"/>
      </tp>
      <tp>
        <v>170544</v>
        <stp/>
        <stp>P</stp>
        <stp>0</stp>
        <stp>FX</stp>
        <stp>AUDKRW</stp>
        <stp>시간</stp>
        <stp/>
        <stp/>
        <tr r="T70" s="2"/>
      </tp>
      <tp>
        <v>170544</v>
        <stp/>
        <stp>P</stp>
        <stp>0</stp>
        <stp>FX</stp>
        <stp>CNHKRW</stp>
        <stp>시간</stp>
        <stp/>
        <stp/>
        <tr r="T44" s="2"/>
      </tp>
      <tp>
        <v>170544</v>
        <stp/>
        <stp>P</stp>
        <stp>0</stp>
        <stp>FX</stp>
        <stp>EURKRW</stp>
        <stp>시간</stp>
        <stp/>
        <stp/>
        <tr r="T31" s="2"/>
      </tp>
      <tp>
        <v>170545</v>
        <stp/>
        <stp>P</stp>
        <stp>0</stp>
        <stp>FX</stp>
        <stp>DKKKRW</stp>
        <stp>시간</stp>
        <stp/>
        <stp/>
        <tr r="T83" s="2"/>
      </tp>
      <tp>
        <v>170544</v>
        <stp/>
        <stp>P</stp>
        <stp>0</stp>
        <stp>FX</stp>
        <stp>GBPKRW</stp>
        <stp>시간</stp>
        <stp/>
        <stp/>
        <tr r="T109" s="2"/>
      </tp>
      <tp>
        <v>45596</v>
        <stp/>
        <stp>P</stp>
        <stp>0</stp>
        <stp>IR</stp>
        <stp>CRSEA4EURUSD09Y</stp>
        <stp>일자</stp>
        <stp/>
        <stp>DtFmt=1</stp>
        <tr r="Y35" s="2"/>
      </tp>
      <tp>
        <v>45596</v>
        <stp/>
        <stp>P</stp>
        <stp>0</stp>
        <stp>IR</stp>
        <stp>CRSEA4EURUSD08Y</stp>
        <stp>일자</stp>
        <stp/>
        <stp>DtFmt=1</stp>
        <tr r="Y34" s="2"/>
      </tp>
      <tp>
        <v>45596</v>
        <stp/>
        <stp>P</stp>
        <stp>0</stp>
        <stp>IR</stp>
        <stp>CRSEA4EURUSD03Y</stp>
        <stp>일자</stp>
        <stp/>
        <stp>DtFmt=1</stp>
        <tr r="Y29" s="2"/>
      </tp>
      <tp>
        <v>45596</v>
        <stp/>
        <stp>P</stp>
        <stp>0</stp>
        <stp>IR</stp>
        <stp>CRSEA4EURUSD02Y</stp>
        <stp>일자</stp>
        <stp/>
        <stp>DtFmt=1</stp>
        <tr r="Y28" s="2"/>
      </tp>
      <tp>
        <v>45596</v>
        <stp/>
        <stp>P</stp>
        <stp>0</stp>
        <stp>IR</stp>
        <stp>CRSEA4EURUSD01Y</stp>
        <stp>일자</stp>
        <stp/>
        <stp>DtFmt=1</stp>
        <tr r="Y27" s="2"/>
      </tp>
      <tp>
        <v>45596</v>
        <stp/>
        <stp>P</stp>
        <stp>0</stp>
        <stp>IR</stp>
        <stp>CRSEA4EURUSD07Y</stp>
        <stp>일자</stp>
        <stp/>
        <stp>DtFmt=1</stp>
        <tr r="Y33" s="2"/>
      </tp>
      <tp>
        <v>45596</v>
        <stp/>
        <stp>P</stp>
        <stp>0</stp>
        <stp>IR</stp>
        <stp>CRSEA4EURUSD06Y</stp>
        <stp>일자</stp>
        <stp/>
        <stp>DtFmt=1</stp>
        <tr r="Y32" s="2"/>
      </tp>
      <tp>
        <v>45596</v>
        <stp/>
        <stp>P</stp>
        <stp>0</stp>
        <stp>IR</stp>
        <stp>CRSEA4EURUSD05Y</stp>
        <stp>일자</stp>
        <stp/>
        <stp>DtFmt=1</stp>
        <tr r="Y31" s="2"/>
      </tp>
      <tp>
        <v>45596</v>
        <stp/>
        <stp>P</stp>
        <stp>0</stp>
        <stp>IR</stp>
        <stp>CRSEA4EURUSD04Y</stp>
        <stp>일자</stp>
        <stp/>
        <stp>DtFmt=1</stp>
        <tr r="Y30" s="2"/>
      </tp>
      <tp>
        <v>2.6349999999999998</v>
        <stp/>
        <stp>P</stp>
        <stp>0</stp>
        <stp>IR</stp>
        <stp>CRSTC7KRW11Y</stp>
        <stp>매도호가</stp>
        <stp/>
        <stp/>
        <tr r="J38" s="1"/>
        <tr r="J19" s="1"/>
      </tp>
      <tp>
        <v>2.6349999999999998</v>
        <stp/>
        <stp>P</stp>
        <stp>0</stp>
        <stp>IR</stp>
        <stp>CRSTC7KRW10Y</stp>
        <stp>매도호가</stp>
        <stp/>
        <stp/>
        <tr r="J37" s="1"/>
        <tr r="J18" s="1"/>
      </tp>
      <tp>
        <v>2.6150000000000002</v>
        <stp/>
        <stp>P</stp>
        <stp>0</stp>
        <stp>IR</stp>
        <stp>CRSTC7KRW12Y</stp>
        <stp>매도호가</stp>
        <stp/>
        <stp/>
        <tr r="J39" s="1"/>
        <tr r="J20" s="1"/>
      </tp>
      <tp>
        <v>2.5750000000000002</v>
        <stp/>
        <stp>P</stp>
        <stp>0</stp>
        <stp>IR</stp>
        <stp>CRSTC7KRW15Y</stp>
        <stp>매도호가</stp>
        <stp/>
        <stp/>
        <tr r="J40" s="1"/>
        <tr r="J21" s="1"/>
      </tp>
      <tp>
        <v>2.7349999999999999</v>
        <stp/>
        <stp>P</stp>
        <stp>0</stp>
        <stp>IR</stp>
        <stp>CRSTC7KRW01Y</stp>
        <stp>매도호가</stp>
        <stp/>
        <stp/>
        <tr r="J28" s="1"/>
        <tr r="J9" s="1"/>
      </tp>
      <tp>
        <v>2.5950000000000002</v>
        <stp/>
        <stp>P</stp>
        <stp>0</stp>
        <stp>IR</stp>
        <stp>CRSTC7KRW03Y</stp>
        <stp>매도호가</stp>
        <stp/>
        <stp/>
        <tr r="J30" s="1"/>
        <tr r="J11" s="1"/>
      </tp>
      <tp>
        <v>2.6150000000000002</v>
        <stp/>
        <stp>P</stp>
        <stp>0</stp>
        <stp>IR</stp>
        <stp>CRSTC7KRW02Y</stp>
        <stp>매도호가</stp>
        <stp/>
        <stp/>
        <tr r="J29" s="1"/>
        <tr r="J10" s="1"/>
      </tp>
      <tp>
        <v>2.5750000000000002</v>
        <stp/>
        <stp>P</stp>
        <stp>0</stp>
        <stp>IR</stp>
        <stp>CRSTC7KRW05Y</stp>
        <stp>매도호가</stp>
        <stp/>
        <stp/>
        <tr r="J32" s="1"/>
        <tr r="J13" s="1"/>
      </tp>
      <tp>
        <v>2.58</v>
        <stp/>
        <stp>P</stp>
        <stp>0</stp>
        <stp>IR</stp>
        <stp>CRSTC7KRW04Y</stp>
        <stp>매도호가</stp>
        <stp/>
        <stp/>
        <tr r="J31" s="1"/>
        <tr r="J12" s="1"/>
      </tp>
      <tp>
        <v>2.605</v>
        <stp/>
        <stp>P</stp>
        <stp>0</stp>
        <stp>IR</stp>
        <stp>CRSTC7KRW07Y</stp>
        <stp>매도호가</stp>
        <stp/>
        <stp/>
        <tr r="J15" s="1"/>
        <tr r="J34" s="1"/>
      </tp>
      <tp>
        <v>2.59</v>
        <stp/>
        <stp>P</stp>
        <stp>0</stp>
        <stp>IR</stp>
        <stp>CRSTC7KRW06Y</stp>
        <stp>매도호가</stp>
        <stp/>
        <stp/>
        <tr r="J33" s="1"/>
        <tr r="J14" s="1"/>
      </tp>
      <tp>
        <v>2.605</v>
        <stp/>
        <stp>P</stp>
        <stp>0</stp>
        <stp>IR</stp>
        <stp>CRSTC7KRW09Y</stp>
        <stp>매도호가</stp>
        <stp/>
        <stp/>
        <tr r="J36" s="1"/>
        <tr r="J17" s="1"/>
      </tp>
      <tp>
        <v>2.605</v>
        <stp/>
        <stp>P</stp>
        <stp>0</stp>
        <stp>IR</stp>
        <stp>CRSTC7KRW08Y</stp>
        <stp>매도호가</stp>
        <stp/>
        <stp/>
        <tr r="J16" s="1"/>
        <tr r="J35" s="1"/>
      </tp>
      <tp>
        <v>2.0049999999999999</v>
        <stp/>
        <stp>P</stp>
        <stp>0</stp>
        <stp>IR</stp>
        <stp>CRSTC7KRW09Y</stp>
        <stp>매수호가</stp>
        <stp/>
        <stp/>
        <tr r="K36" s="1"/>
        <tr r="K17" s="1"/>
      </tp>
      <tp>
        <v>2.0049999999999999</v>
        <stp/>
        <stp>P</stp>
        <stp>0</stp>
        <stp>IR</stp>
        <stp>CRSTC7KRW08Y</stp>
        <stp>매수호가</stp>
        <stp/>
        <stp/>
        <tr r="K35" s="1"/>
        <tr r="K16" s="1"/>
      </tp>
      <tp>
        <v>1.9750000000000001</v>
        <stp/>
        <stp>P</stp>
        <stp>0</stp>
        <stp>IR</stp>
        <stp>CRSTC7KRW05Y</stp>
        <stp>매수호가</stp>
        <stp/>
        <stp/>
        <tr r="K32" s="1"/>
        <tr r="K13" s="1"/>
      </tp>
      <tp>
        <v>1.98</v>
        <stp/>
        <stp>P</stp>
        <stp>0</stp>
        <stp>IR</stp>
        <stp>CRSTC7KRW04Y</stp>
        <stp>매수호가</stp>
        <stp/>
        <stp/>
        <tr r="K31" s="1"/>
        <tr r="K12" s="1"/>
      </tp>
      <tp>
        <v>2.0049999999999999</v>
        <stp/>
        <stp>P</stp>
        <stp>0</stp>
        <stp>IR</stp>
        <stp>CRSTC7KRW07Y</stp>
        <stp>매수호가</stp>
        <stp/>
        <stp/>
        <tr r="K34" s="1"/>
        <tr r="K15" s="1"/>
      </tp>
      <tp>
        <v>1.99</v>
        <stp/>
        <stp>P</stp>
        <stp>0</stp>
        <stp>IR</stp>
        <stp>CRSTC7KRW06Y</stp>
        <stp>매수호가</stp>
        <stp/>
        <stp/>
        <tr r="K33" s="1"/>
        <tr r="K14" s="1"/>
      </tp>
      <tp>
        <v>2.1349999999999998</v>
        <stp/>
        <stp>P</stp>
        <stp>0</stp>
        <stp>IR</stp>
        <stp>CRSTC7KRW01Y</stp>
        <stp>매수호가</stp>
        <stp/>
        <stp/>
        <tr r="K28" s="1"/>
        <tr r="K9" s="1"/>
      </tp>
      <tp>
        <v>1.9950000000000001</v>
        <stp/>
        <stp>P</stp>
        <stp>0</stp>
        <stp>IR</stp>
        <stp>CRSTC7KRW03Y</stp>
        <stp>매수호가</stp>
        <stp/>
        <stp/>
        <tr r="K30" s="1"/>
        <tr r="K11" s="1"/>
      </tp>
      <tp>
        <v>2.0150000000000001</v>
        <stp/>
        <stp>P</stp>
        <stp>0</stp>
        <stp>IR</stp>
        <stp>CRSTC7KRW02Y</stp>
        <stp>매수호가</stp>
        <stp/>
        <stp/>
        <tr r="K29" s="1"/>
        <tr r="K10" s="1"/>
      </tp>
      <tp>
        <v>1.9750000000000001</v>
        <stp/>
        <stp>P</stp>
        <stp>0</stp>
        <stp>IR</stp>
        <stp>CRSTC7KRW15Y</stp>
        <stp>매수호가</stp>
        <stp/>
        <stp/>
        <tr r="K40" s="1"/>
        <tr r="K21" s="1"/>
      </tp>
      <tp>
        <v>2.0350000000000001</v>
        <stp/>
        <stp>P</stp>
        <stp>0</stp>
        <stp>IR</stp>
        <stp>CRSTC7KRW11Y</stp>
        <stp>매수호가</stp>
        <stp/>
        <stp/>
        <tr r="K38" s="1"/>
        <tr r="K19" s="1"/>
      </tp>
      <tp>
        <v>2.0350000000000001</v>
        <stp/>
        <stp>P</stp>
        <stp>0</stp>
        <stp>IR</stp>
        <stp>CRSTC7KRW10Y</stp>
        <stp>매수호가</stp>
        <stp/>
        <stp/>
        <tr r="K37" s="1"/>
        <tr r="K18" s="1"/>
      </tp>
      <tp>
        <v>2.0150000000000001</v>
        <stp/>
        <stp>P</stp>
        <stp>0</stp>
        <stp>IR</stp>
        <stp>CRSTC7KRW12Y</stp>
        <stp>매수호가</stp>
        <stp/>
        <stp/>
        <tr r="K39" s="1"/>
        <tr r="K20" s="1"/>
      </tp>
      <tp>
        <v>45596</v>
        <stp/>
        <stp>P</stp>
        <stp>0</stp>
        <stp>IR</stp>
        <stp>CRSEA4EURUSD12Y</stp>
        <stp>일자</stp>
        <stp/>
        <stp>DtFmt=1</stp>
        <tr r="Y38" s="2"/>
      </tp>
      <tp>
        <v>45596</v>
        <stp/>
        <stp>P</stp>
        <stp>0</stp>
        <stp>IR</stp>
        <stp>CRSEA4EURUSD11Y</stp>
        <stp>일자</stp>
        <stp/>
        <stp>DtFmt=1</stp>
        <tr r="Y37" s="2"/>
      </tp>
      <tp>
        <v>45596</v>
        <stp/>
        <stp>P</stp>
        <stp>0</stp>
        <stp>IR</stp>
        <stp>CRSEA4EURUSD10Y</stp>
        <stp>일자</stp>
        <stp/>
        <stp>DtFmt=1</stp>
        <tr r="Y36" s="2"/>
      </tp>
      <tp>
        <v>45596</v>
        <stp/>
        <stp>P</stp>
        <stp>0</stp>
        <stp>IR</stp>
        <stp>CRSEA4EURUSD15Y</stp>
        <stp>일자</stp>
        <stp/>
        <stp>DtFmt=1</stp>
        <tr r="Y39" s="2"/>
      </tp>
      <tp>
        <v>45596</v>
        <stp/>
        <stp>P</stp>
        <stp>0</stp>
        <stp>IR</stp>
        <stp>CRSEA9GBPUSD06Y</stp>
        <stp>일자</stp>
        <stp/>
        <stp>DtFmt=1</stp>
        <tr r="Y110" s="2"/>
      </tp>
      <tp>
        <v>45596</v>
        <stp/>
        <stp>P</stp>
        <stp>0</stp>
        <stp>IR</stp>
        <stp>CRSEA9GBPUSD07Y</stp>
        <stp>일자</stp>
        <stp/>
        <stp>DtFmt=1</stp>
        <tr r="Y111" s="2"/>
      </tp>
      <tp>
        <v>45596</v>
        <stp/>
        <stp>P</stp>
        <stp>0</stp>
        <stp>IR</stp>
        <stp>CRSEA9GBPUSD04Y</stp>
        <stp>일자</stp>
        <stp/>
        <stp>DtFmt=1</stp>
        <tr r="Y108" s="2"/>
      </tp>
      <tp>
        <v>45596</v>
        <stp/>
        <stp>P</stp>
        <stp>0</stp>
        <stp>IR</stp>
        <stp>CRSEA9GBPUSD05Y</stp>
        <stp>일자</stp>
        <stp/>
        <stp>DtFmt=1</stp>
        <tr r="Y109" s="2"/>
      </tp>
      <tp>
        <v>45596</v>
        <stp/>
        <stp>P</stp>
        <stp>0</stp>
        <stp>IR</stp>
        <stp>CRSEA9GBPUSD02Y</stp>
        <stp>일자</stp>
        <stp/>
        <stp>DtFmt=1</stp>
        <tr r="Y106" s="2"/>
      </tp>
      <tp>
        <v>45596</v>
        <stp/>
        <stp>P</stp>
        <stp>0</stp>
        <stp>IR</stp>
        <stp>CRSEA9GBPUSD03Y</stp>
        <stp>일자</stp>
        <stp/>
        <stp>DtFmt=1</stp>
        <tr r="Y107" s="2"/>
      </tp>
      <tp>
        <v>45596</v>
        <stp/>
        <stp>P</stp>
        <stp>0</stp>
        <stp>IR</stp>
        <stp>CRSEA9GBPUSD01Y</stp>
        <stp>일자</stp>
        <stp/>
        <stp>DtFmt=1</stp>
        <tr r="Y105" s="2"/>
      </tp>
      <tp>
        <v>45596</v>
        <stp/>
        <stp>P</stp>
        <stp>0</stp>
        <stp>IR</stp>
        <stp>CRSEA9GBPUSD08Y</stp>
        <stp>일자</stp>
        <stp/>
        <stp>DtFmt=1</stp>
        <tr r="Y112" s="2"/>
      </tp>
      <tp>
        <v>45596</v>
        <stp/>
        <stp>P</stp>
        <stp>0</stp>
        <stp>IR</stp>
        <stp>CRSEA9GBPUSD09Y</stp>
        <stp>일자</stp>
        <stp/>
        <stp>DtFmt=1</stp>
        <tr r="Y113" s="2"/>
      </tp>
      <tp>
        <v>45596</v>
        <stp/>
        <stp>P</stp>
        <stp>0</stp>
        <stp>IR</stp>
        <stp>CRSEA9GBPUSD15Y</stp>
        <stp>일자</stp>
        <stp/>
        <stp>DtFmt=1</stp>
        <tr r="Y117" s="2"/>
      </tp>
      <tp>
        <v>45596</v>
        <stp/>
        <stp>P</stp>
        <stp>0</stp>
        <stp>IR</stp>
        <stp>CRSEA9GBPUSD12Y</stp>
        <stp>일자</stp>
        <stp/>
        <stp>DtFmt=1</stp>
        <tr r="Y116" s="2"/>
      </tp>
      <tp>
        <v>45596</v>
        <stp/>
        <stp>P</stp>
        <stp>0</stp>
        <stp>IR</stp>
        <stp>CRSEA9GBPUSD10Y</stp>
        <stp>일자</stp>
        <stp/>
        <stp>DtFmt=1</stp>
        <tr r="Y114" s="2"/>
      </tp>
      <tp>
        <v>45596</v>
        <stp/>
        <stp>P</stp>
        <stp>0</stp>
        <stp>IR</stp>
        <stp>CRSEA9GBPUSD11Y</stp>
        <stp>일자</stp>
        <stp/>
        <stp>DtFmt=1</stp>
        <tr r="Y115" s="2"/>
      </tp>
      <tp>
        <v>45596</v>
        <stp/>
        <stp>P</stp>
        <stp>0</stp>
        <stp>IR</stp>
        <stp>CRSEA8JPYUSD15Y</stp>
        <stp>일자</stp>
        <stp/>
        <stp>DtFmt=1</stp>
        <tr r="Y26" s="2"/>
      </tp>
      <tp>
        <v>45596</v>
        <stp/>
        <stp>P</stp>
        <stp>0</stp>
        <stp>IR</stp>
        <stp>CRSEA8JPYUSD12Y</stp>
        <stp>일자</stp>
        <stp/>
        <stp>DtFmt=1</stp>
        <tr r="Y25" s="2"/>
      </tp>
      <tp>
        <v>45596</v>
        <stp/>
        <stp>P</stp>
        <stp>0</stp>
        <stp>IR</stp>
        <stp>CRSEA8JPYUSD11Y</stp>
        <stp>일자</stp>
        <stp/>
        <stp>DtFmt=1</stp>
        <tr r="Y24" s="2"/>
      </tp>
      <tp>
        <v>45596</v>
        <stp/>
        <stp>P</stp>
        <stp>0</stp>
        <stp>IR</stp>
        <stp>CRSEA8JPYUSD10Y</stp>
        <stp>일자</stp>
        <stp/>
        <stp>DtFmt=1</stp>
        <tr r="Y23" s="2"/>
      </tp>
      <tp>
        <v>45596</v>
        <stp/>
        <stp>P</stp>
        <stp>0</stp>
        <stp>IR</stp>
        <stp>CRSEA8JPYUSD07Y</stp>
        <stp>일자</stp>
        <stp/>
        <stp>DtFmt=1</stp>
        <tr r="Y20" s="2"/>
      </tp>
      <tp>
        <v>45596</v>
        <stp/>
        <stp>P</stp>
        <stp>0</stp>
        <stp>IR</stp>
        <stp>CRSEA8JPYUSD06Y</stp>
        <stp>일자</stp>
        <stp/>
        <stp>DtFmt=1</stp>
        <tr r="Y19" s="2"/>
      </tp>
      <tp>
        <v>45596</v>
        <stp/>
        <stp>P</stp>
        <stp>0</stp>
        <stp>IR</stp>
        <stp>CRSEA8JPYUSD05Y</stp>
        <stp>일자</stp>
        <stp/>
        <stp>DtFmt=1</stp>
        <tr r="Y18" s="2"/>
      </tp>
      <tp>
        <v>45596</v>
        <stp/>
        <stp>P</stp>
        <stp>0</stp>
        <stp>IR</stp>
        <stp>CRSEA8JPYUSD04Y</stp>
        <stp>일자</stp>
        <stp/>
        <stp>DtFmt=1</stp>
        <tr r="Y17" s="2"/>
      </tp>
      <tp>
        <v>45596</v>
        <stp/>
        <stp>P</stp>
        <stp>0</stp>
        <stp>IR</stp>
        <stp>CRSEA8JPYUSD03Y</stp>
        <stp>일자</stp>
        <stp/>
        <stp>DtFmt=1</stp>
        <tr r="Y16" s="2"/>
      </tp>
      <tp>
        <v>45596</v>
        <stp/>
        <stp>P</stp>
        <stp>0</stp>
        <stp>IR</stp>
        <stp>CRSEA8JPYUSD02Y</stp>
        <stp>일자</stp>
        <stp/>
        <stp>DtFmt=1</stp>
        <tr r="Y15" s="2"/>
      </tp>
      <tp>
        <v>45596</v>
        <stp/>
        <stp>P</stp>
        <stp>0</stp>
        <stp>IR</stp>
        <stp>CRSEA8JPYUSD01Y</stp>
        <stp>일자</stp>
        <stp/>
        <stp>DtFmt=1</stp>
        <tr r="Y14" s="2"/>
      </tp>
      <tp>
        <v>45596</v>
        <stp/>
        <stp>P</stp>
        <stp>0</stp>
        <stp>IR</stp>
        <stp>CRSEA8JPYUSD09Y</stp>
        <stp>일자</stp>
        <stp/>
        <stp>DtFmt=1</stp>
        <tr r="Y22" s="2"/>
      </tp>
      <tp>
        <v>45596</v>
        <stp/>
        <stp>P</stp>
        <stp>0</stp>
        <stp>IR</stp>
        <stp>CRSEA8JPYUSD08Y</stp>
        <stp>일자</stp>
        <stp/>
        <stp>DtFmt=1</stp>
        <tr r="Y21" s="2"/>
      </tp>
      <tp>
        <v>3.7789999999999999</v>
        <stp/>
        <stp>P</stp>
        <stp>0</stp>
        <stp>IR</stp>
        <stp>IRSTA6USD09Y</stp>
        <stp>매도호가</stp>
        <stp/>
        <stp/>
        <tr r="V9" s="2"/>
      </tp>
      <tp>
        <v>3.7759999999999998</v>
        <stp/>
        <stp>P</stp>
        <stp>0</stp>
        <stp>IR</stp>
        <stp>IRSTA6USD08Y</stp>
        <stp>매도호가</stp>
        <stp/>
        <stp/>
        <tr r="V8" s="2"/>
      </tp>
      <tp>
        <v>3.7749999999999999</v>
        <stp/>
        <stp>P</stp>
        <stp>0</stp>
        <stp>IR</stp>
        <stp>IRSTA6USD07Y</stp>
        <stp>매도호가</stp>
        <stp/>
        <stp/>
        <tr r="V7" s="2"/>
      </tp>
      <tp>
        <v>3.786</v>
        <stp/>
        <stp>P</stp>
        <stp>0</stp>
        <stp>IR</stp>
        <stp>IRSTA6USD06Y</stp>
        <stp>매도호가</stp>
        <stp/>
        <stp/>
        <tr r="V6" s="2"/>
      </tp>
      <tp>
        <v>3.7909999999999999</v>
        <stp/>
        <stp>P</stp>
        <stp>0</stp>
        <stp>IR</stp>
        <stp>IRSTA6USD05Y</stp>
        <stp>매도호가</stp>
        <stp/>
        <stp/>
        <tr r="V5" s="2"/>
      </tp>
      <tp>
        <v>3.82</v>
        <stp/>
        <stp>P</stp>
        <stp>0</stp>
        <stp>IR</stp>
        <stp>IRSTA6USD04Y</stp>
        <stp>매도호가</stp>
        <stp/>
        <stp/>
        <tr r="V4" s="2"/>
      </tp>
      <tp>
        <v>3.87</v>
        <stp/>
        <stp>P</stp>
        <stp>0</stp>
        <stp>IR</stp>
        <stp>IRSTA6USD03Y</stp>
        <stp>매도호가</stp>
        <stp/>
        <stp/>
        <tr r="V3" s="2"/>
      </tp>
      <tp>
        <v>3.9529999999999998</v>
        <stp/>
        <stp>P</stp>
        <stp>0</stp>
        <stp>IR</stp>
        <stp>IRSTA6USD02Y</stp>
        <stp>매도호가</stp>
        <stp/>
        <stp/>
        <tr r="V2" s="2"/>
      </tp>
      <tp>
        <v>4.1989999999999998</v>
        <stp/>
        <stp>P</stp>
        <stp>0</stp>
        <stp>IR</stp>
        <stp>IRSTA6USD01Y</stp>
        <stp>매도호가</stp>
        <stp/>
        <stp/>
        <tr r="V1" s="2"/>
      </tp>
      <tp>
        <v>3.8279999999999998</v>
        <stp/>
        <stp>P</stp>
        <stp>0</stp>
        <stp>IR</stp>
        <stp>IRSTA6USD15Y</stp>
        <stp>매도호가</stp>
        <stp/>
        <stp/>
        <tr r="V13" s="2"/>
      </tp>
      <tp>
        <v>3.8050000000000002</v>
        <stp/>
        <stp>P</stp>
        <stp>0</stp>
        <stp>IR</stp>
        <stp>IRSTA6USD12Y</stp>
        <stp>매도호가</stp>
        <stp/>
        <stp/>
        <tr r="V12" s="2"/>
      </tp>
      <tp>
        <v>3.8050000000000002</v>
        <stp/>
        <stp>P</stp>
        <stp>0</stp>
        <stp>IR</stp>
        <stp>IRSTA6USD11Y</stp>
        <stp>매도호가</stp>
        <stp/>
        <stp/>
        <tr r="V11" s="2"/>
      </tp>
      <tp>
        <v>3.7810000000000001</v>
        <stp/>
        <stp>P</stp>
        <stp>0</stp>
        <stp>IR</stp>
        <stp>IRSTA6USD10Y</stp>
        <stp>매도호가</stp>
        <stp/>
        <stp/>
        <tr r="V10" s="2"/>
      </tp>
      <tp>
        <v>3.7949999999999999</v>
        <stp/>
        <stp>P</stp>
        <stp>0</stp>
        <stp>IR</stp>
        <stp>IRSTA6USD12Y</stp>
        <stp>매수호가</stp>
        <stp/>
        <stp/>
        <tr r="W12" s="2"/>
      </tp>
      <tp>
        <v>3.7949999999999999</v>
        <stp/>
        <stp>P</stp>
        <stp>0</stp>
        <stp>IR</stp>
        <stp>IRSTA6USD11Y</stp>
        <stp>매수호가</stp>
        <stp/>
        <stp/>
        <tr r="W11" s="2"/>
      </tp>
      <tp>
        <v>3.7709999999999999</v>
        <stp/>
        <stp>P</stp>
        <stp>0</stp>
        <stp>IR</stp>
        <stp>IRSTA6USD10Y</stp>
        <stp>매수호가</stp>
        <stp/>
        <stp/>
        <tr r="W10" s="2"/>
      </tp>
      <tp>
        <v>3.8180000000000001</v>
        <stp/>
        <stp>P</stp>
        <stp>0</stp>
        <stp>IR</stp>
        <stp>IRSTA6USD15Y</stp>
        <stp>매수호가</stp>
        <stp/>
        <stp/>
        <tr r="W13" s="2"/>
      </tp>
      <tp>
        <v>3.86</v>
        <stp/>
        <stp>P</stp>
        <stp>0</stp>
        <stp>IR</stp>
        <stp>IRSTA6USD03Y</stp>
        <stp>매수호가</stp>
        <stp/>
        <stp/>
        <tr r="W3" s="2"/>
      </tp>
      <tp>
        <v>3.9430000000000001</v>
        <stp/>
        <stp>P</stp>
        <stp>0</stp>
        <stp>IR</stp>
        <stp>IRSTA6USD02Y</stp>
        <stp>매수호가</stp>
        <stp/>
        <stp/>
        <tr r="W2" s="2"/>
      </tp>
      <tp>
        <v>4.1790000000000003</v>
        <stp/>
        <stp>P</stp>
        <stp>0</stp>
        <stp>IR</stp>
        <stp>IRSTA6USD01Y</stp>
        <stp>매수호가</stp>
        <stp/>
        <stp/>
        <tr r="W1" s="2"/>
      </tp>
      <tp>
        <v>3.7650000000000001</v>
        <stp/>
        <stp>P</stp>
        <stp>0</stp>
        <stp>IR</stp>
        <stp>IRSTA6USD07Y</stp>
        <stp>매수호가</stp>
        <stp/>
        <stp/>
        <tr r="W7" s="2"/>
      </tp>
      <tp>
        <v>3.7759999999999998</v>
        <stp/>
        <stp>P</stp>
        <stp>0</stp>
        <stp>IR</stp>
        <stp>IRSTA6USD06Y</stp>
        <stp>매수호가</stp>
        <stp/>
        <stp/>
        <tr r="W6" s="2"/>
      </tp>
      <tp>
        <v>3.7810000000000001</v>
        <stp/>
        <stp>P</stp>
        <stp>0</stp>
        <stp>IR</stp>
        <stp>IRSTA6USD05Y</stp>
        <stp>매수호가</stp>
        <stp/>
        <stp/>
        <tr r="W5" s="2"/>
      </tp>
      <tp>
        <v>3.81</v>
        <stp/>
        <stp>P</stp>
        <stp>0</stp>
        <stp>IR</stp>
        <stp>IRSTA6USD04Y</stp>
        <stp>매수호가</stp>
        <stp/>
        <stp/>
        <tr r="W4" s="2"/>
      </tp>
      <tp>
        <v>3.7690000000000001</v>
        <stp/>
        <stp>P</stp>
        <stp>0</stp>
        <stp>IR</stp>
        <stp>IRSTA6USD09Y</stp>
        <stp>매수호가</stp>
        <stp/>
        <stp/>
        <tr r="W9" s="2"/>
      </tp>
      <tp>
        <v>3.766</v>
        <stp/>
        <stp>P</stp>
        <stp>0</stp>
        <stp>IR</stp>
        <stp>IRSTA6USD08Y</stp>
        <stp>매수호가</stp>
        <stp/>
        <stp/>
        <tr r="W8" s="2"/>
      </tp>
      <tp>
        <v>1378.5</v>
        <stp/>
        <stp>P</stp>
        <stp>0</stp>
        <stp>FX</stp>
        <stp>USDSP_SMBCB_EXT</stp>
        <stp>매도호가</stp>
        <stp/>
        <stp/>
        <tr r="T4" s="2"/>
        <tr r="T4" s="2"/>
      </tp>
      <tp>
        <v>1378.3</v>
        <stp/>
        <stp>P</stp>
        <stp>0</stp>
        <stp>FX</stp>
        <stp>USDSP_SMBCB_EXT</stp>
        <stp>매수호가</stp>
        <stp/>
        <stp/>
        <tr r="T3" s="2"/>
        <tr r="T3" s="2"/>
        <tr r="T5" s="2"/>
      </tp>
      <tp>
        <v>3.8491900000000001</v>
        <stp/>
        <stp>P</stp>
        <stp>0</stp>
        <stp>IR</stp>
        <stp>CRSEA9GBPUSD11Y</stp>
        <stp>매수호가</stp>
        <stp/>
        <stp/>
        <tr r="W115" s="2"/>
      </tp>
      <tp>
        <v>3.8360300000000001</v>
        <stp/>
        <stp>P</stp>
        <stp>0</stp>
        <stp>IR</stp>
        <stp>CRSEA9GBPUSD10Y</stp>
        <stp>매수호가</stp>
        <stp/>
        <stp/>
        <tr r="W114" s="2"/>
      </tp>
      <tp>
        <v>3.8621599999999998</v>
        <stp/>
        <stp>P</stp>
        <stp>0</stp>
        <stp>IR</stp>
        <stp>CRSEA9GBPUSD12Y</stp>
        <stp>매수호가</stp>
        <stp/>
        <stp/>
        <tr r="W116" s="2"/>
      </tp>
      <tp>
        <v>3.8847499999999999</v>
        <stp/>
        <stp>P</stp>
        <stp>0</stp>
        <stp>IR</stp>
        <stp>CRSEA9GBPUSD15Y</stp>
        <stp>매수호가</stp>
        <stp/>
        <stp/>
        <tr r="W117" s="2"/>
      </tp>
      <tp>
        <v>4.3529400000000003</v>
        <stp/>
        <stp>P</stp>
        <stp>0</stp>
        <stp>IR</stp>
        <stp>CRSEA9GBPUSD01Y</stp>
        <stp>매수호가</stp>
        <stp/>
        <stp/>
        <tr r="W105" s="2"/>
      </tp>
      <tp>
        <v>4.05288</v>
        <stp/>
        <stp>P</stp>
        <stp>0</stp>
        <stp>IR</stp>
        <stp>CRSEA9GBPUSD03Y</stp>
        <stp>매수호가</stp>
        <stp/>
        <stp/>
        <tr r="W107" s="2"/>
      </tp>
      <tp>
        <v>4.1550099999999999</v>
        <stp/>
        <stp>P</stp>
        <stp>0</stp>
        <stp>IR</stp>
        <stp>CRSEA9GBPUSD02Y</stp>
        <stp>매수호가</stp>
        <stp/>
        <stp/>
        <tr r="W106" s="2"/>
      </tp>
      <tp>
        <v>3.9079199999999998</v>
        <stp/>
        <stp>P</stp>
        <stp>0</stp>
        <stp>IR</stp>
        <stp>CRSEA9GBPUSD05Y</stp>
        <stp>매수호가</stp>
        <stp/>
        <stp/>
        <tr r="W109" s="2"/>
      </tp>
      <tp>
        <v>3.9710000000000001</v>
        <stp/>
        <stp>P</stp>
        <stp>0</stp>
        <stp>IR</stp>
        <stp>CRSEA9GBPUSD04Y</stp>
        <stp>매수호가</stp>
        <stp/>
        <stp/>
        <tr r="W108" s="2"/>
      </tp>
      <tp>
        <v>3.8450700000000002</v>
        <stp/>
        <stp>P</stp>
        <stp>0</stp>
        <stp>IR</stp>
        <stp>CRSEA9GBPUSD07Y</stp>
        <stp>매수호가</stp>
        <stp/>
        <stp/>
        <tr r="W111" s="2"/>
      </tp>
      <tp>
        <v>3.8680099999999999</v>
        <stp/>
        <stp>P</stp>
        <stp>0</stp>
        <stp>IR</stp>
        <stp>CRSEA9GBPUSD06Y</stp>
        <stp>매수호가</stp>
        <stp/>
        <stp/>
        <tr r="W110" s="2"/>
      </tp>
      <tp>
        <v>3.8364500000000001</v>
        <stp/>
        <stp>P</stp>
        <stp>0</stp>
        <stp>IR</stp>
        <stp>CRSEA9GBPUSD09Y</stp>
        <stp>매수호가</stp>
        <stp/>
        <stp/>
        <tr r="W113" s="2"/>
      </tp>
      <tp>
        <v>3.8348499999999999</v>
        <stp/>
        <stp>P</stp>
        <stp>0</stp>
        <stp>IR</stp>
        <stp>CRSEA9GBPUSD08Y</stp>
        <stp>매수호가</stp>
        <stp/>
        <stp/>
        <tr r="W112" s="2"/>
      </tp>
      <tp>
        <v>2.6949999999999998</v>
        <stp/>
        <stp>P</stp>
        <stp>0</stp>
        <stp>IR</stp>
        <stp>CRST14USDSGD06Y</stp>
        <stp>매도호가</stp>
        <stp/>
        <stp/>
        <tr r="V97" s="2"/>
      </tp>
      <tp>
        <v>2.6970000000000001</v>
        <stp/>
        <stp>P</stp>
        <stp>0</stp>
        <stp>IR</stp>
        <stp>CRST14USDSGD07Y</stp>
        <stp>매도호가</stp>
        <stp/>
        <stp/>
        <tr r="V98" s="2"/>
      </tp>
      <tp>
        <v>2.7229999999999999</v>
        <stp/>
        <stp>P</stp>
        <stp>0</stp>
        <stp>IR</stp>
        <stp>CRST14USDSGD04Y</stp>
        <stp>매도호가</stp>
        <stp/>
        <stp/>
        <tr r="V95" s="2"/>
      </tp>
      <tp>
        <v>2.6859999999999999</v>
        <stp/>
        <stp>P</stp>
        <stp>0</stp>
        <stp>IR</stp>
        <stp>CRST14USDSGD05Y</stp>
        <stp>매도호가</stp>
        <stp/>
        <stp/>
        <tr r="V96" s="2"/>
      </tp>
      <tp>
        <v>2.8889999999999998</v>
        <stp/>
        <stp>P</stp>
        <stp>0</stp>
        <stp>IR</stp>
        <stp>CRST14USDSGD02Y</stp>
        <stp>매도호가</stp>
        <stp/>
        <stp/>
        <tr r="V93" s="2"/>
      </tp>
      <tp>
        <v>2.7650000000000001</v>
        <stp/>
        <stp>P</stp>
        <stp>0</stp>
        <stp>IR</stp>
        <stp>CRST14USDSGD03Y</stp>
        <stp>매도호가</stp>
        <stp/>
        <stp/>
        <tr r="V94" s="2"/>
      </tp>
      <tp>
        <v>3.0390000000000001</v>
        <stp/>
        <stp>P</stp>
        <stp>0</stp>
        <stp>IR</stp>
        <stp>CRST14USDSGD01Y</stp>
        <stp>매도호가</stp>
        <stp/>
        <stp/>
        <tr r="V92" s="2"/>
      </tp>
      <tp t="s">
        <v/>
        <stp/>
        <stp>P</stp>
        <stp>0</stp>
        <stp>IR</stp>
        <stp>CRST14USDSGD08Y</stp>
        <stp>매도호가</stp>
        <stp/>
        <stp/>
        <tr r="Z99" s="2"/>
      </tp>
      <tp t="s">
        <v/>
        <stp/>
        <stp>P</stp>
        <stp>0</stp>
        <stp>IR</stp>
        <stp>CRST14USDSGD09Y</stp>
        <stp>매도호가</stp>
        <stp/>
        <stp/>
        <tr r="Z100" s="2"/>
      </tp>
      <tp>
        <v>2.6419999999999999</v>
        <stp/>
        <stp>P</stp>
        <stp>0</stp>
        <stp>IR</stp>
        <stp>CRST14USDSGD15Y</stp>
        <stp>매도호가</stp>
        <stp/>
        <stp/>
        <tr r="V104" s="2"/>
      </tp>
      <tp>
        <v>2.702</v>
        <stp/>
        <stp>P</stp>
        <stp>0</stp>
        <stp>IR</stp>
        <stp>CRST14USDSGD12Y</stp>
        <stp>매도호가</stp>
        <stp/>
        <stp/>
        <tr r="V103" s="2"/>
      </tp>
      <tp>
        <v>2.6970000000000001</v>
        <stp/>
        <stp>P</stp>
        <stp>0</stp>
        <stp>IR</stp>
        <stp>CRST14USDSGD10Y</stp>
        <stp>매도호가</stp>
        <stp/>
        <stp/>
        <tr r="V101" s="2"/>
      </tp>
      <tp t="s">
        <v/>
        <stp/>
        <stp>P</stp>
        <stp>0</stp>
        <stp>IR</stp>
        <stp>CRST14USDSGD11Y</stp>
        <stp>매도호가</stp>
        <stp/>
        <stp/>
        <tr r="Z102" s="2"/>
      </tp>
      <tp>
        <v>2.5059999999999998</v>
        <stp/>
        <stp>P</stp>
        <stp>0</stp>
        <stp>IR</stp>
        <stp>CRST14USDSGD12Y</stp>
        <stp>매수호가</stp>
        <stp/>
        <stp/>
        <tr r="W103" s="2"/>
      </tp>
      <tp>
        <v>2.5819999999999999</v>
        <stp/>
        <stp>P</stp>
        <stp>0</stp>
        <stp>IR</stp>
        <stp>CRST14USDSGD10Y</stp>
        <stp>매수호가</stp>
        <stp/>
        <stp/>
        <tr r="W101" s="2"/>
      </tp>
      <tp t="s">
        <v/>
        <stp/>
        <stp>P</stp>
        <stp>0</stp>
        <stp>IR</stp>
        <stp>CRST14USDSGD11Y</stp>
        <stp>매수호가</stp>
        <stp/>
        <stp/>
        <tr r="AA102" s="2"/>
      </tp>
      <tp>
        <v>2.4470000000000001</v>
        <stp/>
        <stp>P</stp>
        <stp>0</stp>
        <stp>IR</stp>
        <stp>CRST14USDSGD15Y</stp>
        <stp>매수호가</stp>
        <stp/>
        <stp/>
        <tr r="W104" s="2"/>
      </tp>
      <tp t="s">
        <v/>
        <stp/>
        <stp>P</stp>
        <stp>0</stp>
        <stp>IR</stp>
        <stp>CRST14USDSGD08Y</stp>
        <stp>매수호가</stp>
        <stp/>
        <stp/>
        <tr r="AA99" s="2"/>
      </tp>
      <tp t="s">
        <v/>
        <stp/>
        <stp>P</stp>
        <stp>0</stp>
        <stp>IR</stp>
        <stp>CRST14USDSGD09Y</stp>
        <stp>매수호가</stp>
        <stp/>
        <stp/>
        <tr r="AA100" s="2"/>
      </tp>
      <tp>
        <v>2.62</v>
        <stp/>
        <stp>P</stp>
        <stp>0</stp>
        <stp>IR</stp>
        <stp>CRST14USDSGD02Y</stp>
        <stp>매수호가</stp>
        <stp/>
        <stp/>
        <tr r="W93" s="2"/>
      </tp>
      <tp>
        <v>2.605</v>
        <stp/>
        <stp>P</stp>
        <stp>0</stp>
        <stp>IR</stp>
        <stp>CRST14USDSGD03Y</stp>
        <stp>매수호가</stp>
        <stp/>
        <stp/>
        <tr r="W94" s="2"/>
      </tp>
      <tp>
        <v>2.879</v>
        <stp/>
        <stp>P</stp>
        <stp>0</stp>
        <stp>IR</stp>
        <stp>CRST14USDSGD01Y</stp>
        <stp>매수호가</stp>
        <stp/>
        <stp/>
        <tr r="W92" s="2"/>
      </tp>
      <tp>
        <v>2.58</v>
        <stp/>
        <stp>P</stp>
        <stp>0</stp>
        <stp>IR</stp>
        <stp>CRST14USDSGD06Y</stp>
        <stp>매수호가</stp>
        <stp/>
        <stp/>
        <tr r="W97" s="2"/>
      </tp>
      <tp>
        <v>2.5819999999999999</v>
        <stp/>
        <stp>P</stp>
        <stp>0</stp>
        <stp>IR</stp>
        <stp>CRST14USDSGD07Y</stp>
        <stp>매수호가</stp>
        <stp/>
        <stp/>
        <tr r="W98" s="2"/>
      </tp>
      <tp>
        <v>2.5830000000000002</v>
        <stp/>
        <stp>P</stp>
        <stp>0</stp>
        <stp>IR</stp>
        <stp>CRST14USDSGD04Y</stp>
        <stp>매수호가</stp>
        <stp/>
        <stp/>
        <tr r="W95" s="2"/>
      </tp>
      <tp>
        <v>2.581</v>
        <stp/>
        <stp>P</stp>
        <stp>0</stp>
        <stp>IR</stp>
        <stp>CRST14USDSGD05Y</stp>
        <stp>매수호가</stp>
        <stp/>
        <stp/>
        <tr r="W96" s="2"/>
      </tp>
      <tp>
        <v>3.88131</v>
        <stp/>
        <stp>P</stp>
        <stp>0</stp>
        <stp>IR</stp>
        <stp>CRSEA9GBPUSD09Y</stp>
        <stp>매도호가</stp>
        <stp/>
        <stp/>
        <tr r="V113" s="2"/>
      </tp>
      <tp>
        <v>3.8797000000000001</v>
        <stp/>
        <stp>P</stp>
        <stp>0</stp>
        <stp>IR</stp>
        <stp>CRSEA9GBPUSD08Y</stp>
        <stp>매도호가</stp>
        <stp/>
        <stp/>
        <tr r="V112" s="2"/>
      </tp>
      <tp>
        <v>3.9527700000000001</v>
        <stp/>
        <stp>P</stp>
        <stp>0</stp>
        <stp>IR</stp>
        <stp>CRSEA9GBPUSD05Y</stp>
        <stp>매도호가</stp>
        <stp/>
        <stp/>
        <tr r="V109" s="2"/>
      </tp>
      <tp>
        <v>4.01586</v>
        <stp/>
        <stp>P</stp>
        <stp>0</stp>
        <stp>IR</stp>
        <stp>CRSEA9GBPUSD04Y</stp>
        <stp>매도호가</stp>
        <stp/>
        <stp/>
        <tr r="V108" s="2"/>
      </tp>
      <tp>
        <v>3.88992</v>
        <stp/>
        <stp>P</stp>
        <stp>0</stp>
        <stp>IR</stp>
        <stp>CRSEA9GBPUSD07Y</stp>
        <stp>매도호가</stp>
        <stp/>
        <stp/>
        <tr r="V111" s="2"/>
      </tp>
      <tp>
        <v>3.9128599999999998</v>
        <stp/>
        <stp>P</stp>
        <stp>0</stp>
        <stp>IR</stp>
        <stp>CRSEA9GBPUSD06Y</stp>
        <stp>매도호가</stp>
        <stp/>
        <stp/>
        <tr r="V110" s="2"/>
      </tp>
      <tp>
        <v>4.39778</v>
        <stp/>
        <stp>P</stp>
        <stp>0</stp>
        <stp>IR</stp>
        <stp>CRSEA9GBPUSD01Y</stp>
        <stp>매도호가</stp>
        <stp/>
        <stp/>
        <tr r="V105" s="2"/>
      </tp>
      <tp>
        <v>4.0977300000000003</v>
        <stp/>
        <stp>P</stp>
        <stp>0</stp>
        <stp>IR</stp>
        <stp>CRSEA9GBPUSD03Y</stp>
        <stp>매도호가</stp>
        <stp/>
        <stp/>
        <tr r="V107" s="2"/>
      </tp>
      <tp>
        <v>4.1998499999999996</v>
        <stp/>
        <stp>P</stp>
        <stp>0</stp>
        <stp>IR</stp>
        <stp>CRSEA9GBPUSD02Y</stp>
        <stp>매도호가</stp>
        <stp/>
        <stp/>
        <tr r="V106" s="2"/>
      </tp>
      <tp>
        <v>3.9296099999999998</v>
        <stp/>
        <stp>P</stp>
        <stp>0</stp>
        <stp>IR</stp>
        <stp>CRSEA9GBPUSD15Y</stp>
        <stp>매도호가</stp>
        <stp/>
        <stp/>
        <tr r="V117" s="2"/>
      </tp>
      <tp>
        <v>3.8940399999999999</v>
        <stp/>
        <stp>P</stp>
        <stp>0</stp>
        <stp>IR</stp>
        <stp>CRSEA9GBPUSD11Y</stp>
        <stp>매도호가</stp>
        <stp/>
        <stp/>
        <tr r="V115" s="2"/>
      </tp>
      <tp>
        <v>3.88089</v>
        <stp/>
        <stp>P</stp>
        <stp>0</stp>
        <stp>IR</stp>
        <stp>CRSEA9GBPUSD10Y</stp>
        <stp>매도호가</stp>
        <stp/>
        <stp/>
        <tr r="V114" s="2"/>
      </tp>
      <tp>
        <v>3.9070200000000002</v>
        <stp/>
        <stp>P</stp>
        <stp>0</stp>
        <stp>IR</stp>
        <stp>CRSEA9GBPUSD12Y</stp>
        <stp>매도호가</stp>
        <stp/>
        <stp/>
        <tr r="V116" s="2"/>
      </tp>
      <tp>
        <v>170540</v>
        <stp/>
        <stp>P</stp>
        <stp>0</stp>
        <stp>FX</stp>
        <stp>USDSP_SMBCB_EXT</stp>
        <stp>매수시간</stp>
        <stp/>
        <stp/>
        <tr r="T5" s="2"/>
      </tp>
      <tp>
        <v>905.88</v>
        <stp/>
        <stp>P</stp>
        <stp>0</stp>
        <stp>FX</stp>
        <stp>JPYKRW</stp>
        <stp>매수호가</stp>
        <stp/>
        <stp/>
        <tr r="T16" s="2"/>
        <tr r="T16" s="2"/>
        <tr r="T18" s="2"/>
      </tp>
      <tp>
        <v>906.19</v>
        <stp/>
        <stp>P</stp>
        <stp>0</stp>
        <stp>FX</stp>
        <stp>JPYKRW</stp>
        <stp>매도호가</stp>
        <stp/>
        <stp/>
        <tr r="T17" s="2"/>
        <tr r="T17" s="2"/>
      </tp>
      <tp>
        <v>3.0387499999999998</v>
        <stp/>
        <stp>P</stp>
        <stp>0</stp>
        <stp>IR</stp>
        <stp>CRSE02DKKUSD06Y</stp>
        <stp>매도호가</stp>
        <stp/>
        <stp/>
        <tr r="V84" s="2"/>
      </tp>
      <tp>
        <v>3.0252500000000002</v>
        <stp/>
        <stp>P</stp>
        <stp>0</stp>
        <stp>IR</stp>
        <stp>CRSE02DKKUSD07Y</stp>
        <stp>매도호가</stp>
        <stp/>
        <stp/>
        <tr r="V85" s="2"/>
      </tp>
      <tp>
        <v>3.1339999999999999</v>
        <stp/>
        <stp>P</stp>
        <stp>0</stp>
        <stp>IR</stp>
        <stp>CRSE02DKKUSD04Y</stp>
        <stp>매도호가</stp>
        <stp/>
        <stp/>
        <tr r="V82" s="2"/>
      </tp>
      <tp>
        <v>3.0724999999999998</v>
        <stp/>
        <stp>P</stp>
        <stp>0</stp>
        <stp>IR</stp>
        <stp>CRSE02DKKUSD05Y</stp>
        <stp>매도호가</stp>
        <stp/>
        <stp/>
        <tr r="V83" s="2"/>
      </tp>
      <tp>
        <v>3.6434000000000002</v>
        <stp/>
        <stp>P</stp>
        <stp>0</stp>
        <stp>IR</stp>
        <stp>CRSE01DKKUSD01Y</stp>
        <stp>매도호가</stp>
        <stp/>
        <stp/>
        <tr r="V79" s="2"/>
      </tp>
      <tp>
        <v>3.45825</v>
        <stp/>
        <stp>P</stp>
        <stp>0</stp>
        <stp>IR</stp>
        <stp>CRSE02DKKUSD02Y</stp>
        <stp>매도호가</stp>
        <stp/>
        <stp/>
        <tr r="V80" s="2"/>
      </tp>
      <tp>
        <v>3.2505000000000002</v>
        <stp/>
        <stp>P</stp>
        <stp>0</stp>
        <stp>IR</stp>
        <stp>CRSE02DKKUSD03Y</stp>
        <stp>매도호가</stp>
        <stp/>
        <stp/>
        <tr r="V81" s="2"/>
      </tp>
      <tp>
        <v>3.02</v>
        <stp/>
        <stp>P</stp>
        <stp>0</stp>
        <stp>IR</stp>
        <stp>CRSE02DKKUSD08Y</stp>
        <stp>매도호가</stp>
        <stp/>
        <stp/>
        <tr r="V86" s="2"/>
      </tp>
      <tp>
        <v>3.03775</v>
        <stp/>
        <stp>P</stp>
        <stp>0</stp>
        <stp>IR</stp>
        <stp>CRSE02DKKUSD09Y</stp>
        <stp>매도호가</stp>
        <stp/>
        <stp/>
        <tr r="V87" s="2"/>
      </tp>
      <tp>
        <v>3.1832500000000001</v>
        <stp/>
        <stp>P</stp>
        <stp>0</stp>
        <stp>IR</stp>
        <stp>CRSE02DKKUSD15Y</stp>
        <stp>매도호가</stp>
        <stp/>
        <stp/>
        <tr r="V91" s="2"/>
      </tp>
      <tp>
        <v>3.1274999999999999</v>
        <stp/>
        <stp>P</stp>
        <stp>0</stp>
        <stp>IR</stp>
        <stp>CRSE02DKKUSD12Y</stp>
        <stp>매도호가</stp>
        <stp/>
        <stp/>
        <tr r="V90" s="2"/>
      </tp>
      <tp>
        <v>3.0707499999999999</v>
        <stp/>
        <stp>P</stp>
        <stp>0</stp>
        <stp>IR</stp>
        <stp>CRSE02DKKUSD10Y</stp>
        <stp>매도호가</stp>
        <stp/>
        <stp/>
        <tr r="V88" s="2"/>
      </tp>
      <tp>
        <v>3.45</v>
        <stp/>
        <stp>P</stp>
        <stp>0</stp>
        <stp>IR</stp>
        <stp>CRSE10HKDUSD04Y</stp>
        <stp>매도호가</stp>
        <stp/>
        <stp/>
        <tr r="V56" s="2"/>
      </tp>
      <tp>
        <v>3.38</v>
        <stp/>
        <stp>P</stp>
        <stp>0</stp>
        <stp>IR</stp>
        <stp>CRSE10HKDUSD05Y</stp>
        <stp>매도호가</stp>
        <stp/>
        <stp/>
        <tr r="V57" s="2"/>
      </tp>
      <tp>
        <v>3.35</v>
        <stp/>
        <stp>P</stp>
        <stp>0</stp>
        <stp>IR</stp>
        <stp>CRSE10HKDUSD07Y</stp>
        <stp>매도호가</stp>
        <stp/>
        <stp/>
        <tr r="V59" s="2"/>
      </tp>
      <tp>
        <v>4.05</v>
        <stp/>
        <stp>P</stp>
        <stp>0</stp>
        <stp>IR</stp>
        <stp>CRSE10HKDUSD01Y</stp>
        <stp>매도호가</stp>
        <stp/>
        <stp/>
        <tr r="V53" s="2"/>
      </tp>
      <tp>
        <v>3.76</v>
        <stp/>
        <stp>P</stp>
        <stp>0</stp>
        <stp>IR</stp>
        <stp>CRSE10HKDUSD02Y</stp>
        <stp>매도호가</stp>
        <stp/>
        <stp/>
        <tr r="V54" s="2"/>
      </tp>
      <tp>
        <v>3.59</v>
        <stp/>
        <stp>P</stp>
        <stp>0</stp>
        <stp>IR</stp>
        <stp>CRSE10HKDUSD03Y</stp>
        <stp>매도호가</stp>
        <stp/>
        <stp/>
        <tr r="V55" s="2"/>
      </tp>
      <tp>
        <v>3.38</v>
        <stp/>
        <stp>P</stp>
        <stp>0</stp>
        <stp>IR</stp>
        <stp>CRSE10HKDUSD15Y</stp>
        <stp>매도호가</stp>
        <stp/>
        <stp/>
        <tr r="V65" s="2"/>
      </tp>
      <tp>
        <v>3.35</v>
        <stp/>
        <stp>P</stp>
        <stp>0</stp>
        <stp>IR</stp>
        <stp>CRSE10HKDUSD10Y</stp>
        <stp>매도호가</stp>
        <stp/>
        <stp/>
        <tr r="V62" s="2"/>
      </tp>
      <tp>
        <v>3.37</v>
        <stp/>
        <stp>P</stp>
        <stp>0</stp>
        <stp>IR</stp>
        <stp>CRSE10HKDUSD12Y</stp>
        <stp>매도호가</stp>
        <stp/>
        <stp/>
        <tr r="V64" s="2"/>
      </tp>
      <tp>
        <v>3.0775000000000001</v>
        <stp/>
        <stp>P</stp>
        <stp>0</stp>
        <stp>IR</stp>
        <stp>CRSE02DKKUSD12Y</stp>
        <stp>매수호가</stp>
        <stp/>
        <stp/>
        <tr r="W90" s="2"/>
      </tp>
      <tp>
        <v>3.02075</v>
        <stp/>
        <stp>P</stp>
        <stp>0</stp>
        <stp>IR</stp>
        <stp>CRSE02DKKUSD10Y</stp>
        <stp>매수호가</stp>
        <stp/>
        <stp/>
        <tr r="W88" s="2"/>
      </tp>
      <tp>
        <v>3.1332499999999999</v>
        <stp/>
        <stp>P</stp>
        <stp>0</stp>
        <stp>IR</stp>
        <stp>CRSE02DKKUSD15Y</stp>
        <stp>매수호가</stp>
        <stp/>
        <stp/>
        <tr r="W91" s="2"/>
      </tp>
      <tp>
        <v>2.97</v>
        <stp/>
        <stp>P</stp>
        <stp>0</stp>
        <stp>IR</stp>
        <stp>CRSE02DKKUSD08Y</stp>
        <stp>매수호가</stp>
        <stp/>
        <stp/>
        <tr r="W86" s="2"/>
      </tp>
      <tp>
        <v>2.9877500000000001</v>
        <stp/>
        <stp>P</stp>
        <stp>0</stp>
        <stp>IR</stp>
        <stp>CRSE02DKKUSD09Y</stp>
        <stp>매수호가</stp>
        <stp/>
        <stp/>
        <tr r="W87" s="2"/>
      </tp>
      <tp>
        <v>3.5733999999999999</v>
        <stp/>
        <stp>P</stp>
        <stp>0</stp>
        <stp>IR</stp>
        <stp>CRSE01DKKUSD01Y</stp>
        <stp>매수호가</stp>
        <stp/>
        <stp/>
        <tr r="W79" s="2"/>
      </tp>
      <tp>
        <v>3.4082499999999998</v>
        <stp/>
        <stp>P</stp>
        <stp>0</stp>
        <stp>IR</stp>
        <stp>CRSE02DKKUSD02Y</stp>
        <stp>매수호가</stp>
        <stp/>
        <stp/>
        <tr r="W80" s="2"/>
      </tp>
      <tp>
        <v>3.2004999999999999</v>
        <stp/>
        <stp>P</stp>
        <stp>0</stp>
        <stp>IR</stp>
        <stp>CRSE02DKKUSD03Y</stp>
        <stp>매수호가</stp>
        <stp/>
        <stp/>
        <tr r="W81" s="2"/>
      </tp>
      <tp>
        <v>2.98875</v>
        <stp/>
        <stp>P</stp>
        <stp>0</stp>
        <stp>IR</stp>
        <stp>CRSE02DKKUSD06Y</stp>
        <stp>매수호가</stp>
        <stp/>
        <stp/>
        <tr r="W84" s="2"/>
      </tp>
      <tp>
        <v>2.97525</v>
        <stp/>
        <stp>P</stp>
        <stp>0</stp>
        <stp>IR</stp>
        <stp>CRSE02DKKUSD07Y</stp>
        <stp>매수호가</stp>
        <stp/>
        <stp/>
        <tr r="W85" s="2"/>
      </tp>
      <tp>
        <v>3.0840000000000001</v>
        <stp/>
        <stp>P</stp>
        <stp>0</stp>
        <stp>IR</stp>
        <stp>CRSE02DKKUSD04Y</stp>
        <stp>매수호가</stp>
        <stp/>
        <stp/>
        <tr r="W82" s="2"/>
      </tp>
      <tp>
        <v>3.0225</v>
        <stp/>
        <stp>P</stp>
        <stp>0</stp>
        <stp>IR</stp>
        <stp>CRSE02DKKUSD05Y</stp>
        <stp>매수호가</stp>
        <stp/>
        <stp/>
        <tr r="W83" s="2"/>
      </tp>
      <tp>
        <v>3.15</v>
        <stp/>
        <stp>P</stp>
        <stp>0</stp>
        <stp>IR</stp>
        <stp>CRSE10HKDUSD10Y</stp>
        <stp>매수호가</stp>
        <stp/>
        <stp/>
        <tr r="W62" s="2"/>
      </tp>
      <tp>
        <v>3.17</v>
        <stp/>
        <stp>P</stp>
        <stp>0</stp>
        <stp>IR</stp>
        <stp>CRSE10HKDUSD12Y</stp>
        <stp>매수호가</stp>
        <stp/>
        <stp/>
        <tr r="W64" s="2"/>
      </tp>
      <tp>
        <v>3.18</v>
        <stp/>
        <stp>P</stp>
        <stp>0</stp>
        <stp>IR</stp>
        <stp>CRSE10HKDUSD15Y</stp>
        <stp>매수호가</stp>
        <stp/>
        <stp/>
        <tr r="W65" s="2"/>
      </tp>
      <tp>
        <v>3.85</v>
        <stp/>
        <stp>P</stp>
        <stp>0</stp>
        <stp>IR</stp>
        <stp>CRSE10HKDUSD01Y</stp>
        <stp>매수호가</stp>
        <stp/>
        <stp/>
        <tr r="W53" s="2"/>
      </tp>
      <tp>
        <v>3.55</v>
        <stp/>
        <stp>P</stp>
        <stp>0</stp>
        <stp>IR</stp>
        <stp>CRSE10HKDUSD02Y</stp>
        <stp>매수호가</stp>
        <stp/>
        <stp/>
        <tr r="W54" s="2"/>
      </tp>
      <tp>
        <v>3.39</v>
        <stp/>
        <stp>P</stp>
        <stp>0</stp>
        <stp>IR</stp>
        <stp>CRSE10HKDUSD03Y</stp>
        <stp>매수호가</stp>
        <stp/>
        <stp/>
        <tr r="W55" s="2"/>
      </tp>
      <tp>
        <v>3.25</v>
        <stp/>
        <stp>P</stp>
        <stp>0</stp>
        <stp>IR</stp>
        <stp>CRSE10HKDUSD04Y</stp>
        <stp>매수호가</stp>
        <stp/>
        <stp/>
        <tr r="W56" s="2"/>
      </tp>
      <tp>
        <v>3.18</v>
        <stp/>
        <stp>P</stp>
        <stp>0</stp>
        <stp>IR</stp>
        <stp>CRSE10HKDUSD05Y</stp>
        <stp>매수호가</stp>
        <stp/>
        <stp/>
        <tr r="W57" s="2"/>
      </tp>
      <tp>
        <v>3.15</v>
        <stp/>
        <stp>P</stp>
        <stp>0</stp>
        <stp>IR</stp>
        <stp>CRSE10HKDUSD07Y</stp>
        <stp>매수호가</stp>
        <stp/>
        <stp/>
        <tr r="W59" s="2"/>
      </tp>
      <tp>
        <v>1790.66</v>
        <stp/>
        <stp>P</stp>
        <stp>0</stp>
        <stp>FX</stp>
        <stp>GBPKRW</stp>
        <stp>매수호가</stp>
        <stp/>
        <stp/>
        <tr r="T109" s="2"/>
        <tr r="T107" s="2"/>
        <tr r="T107" s="2"/>
      </tp>
      <tp>
        <v>1791.15</v>
        <stp/>
        <stp>P</stp>
        <stp>0</stp>
        <stp>FX</stp>
        <stp>GBPKRW</stp>
        <stp>매도호가</stp>
        <stp/>
        <stp/>
        <tr r="T108" s="2"/>
        <tr r="T108" s="2"/>
      </tp>
      <tp>
        <v>1496.09</v>
        <stp/>
        <stp>P</stp>
        <stp>0</stp>
        <stp>FX</stp>
        <stp>EURKRW</stp>
        <stp>매수호가</stp>
        <stp/>
        <stp/>
        <tr r="T31" s="2"/>
        <tr r="T29" s="2"/>
        <tr r="T29" s="2"/>
      </tp>
      <tp t="s">
        <v/>
        <stp/>
        <stp>P</stp>
        <stp>0</stp>
        <stp>IR</stp>
        <stp>CRST25USDCNH15Y</stp>
        <stp>매도호가</stp>
        <stp/>
        <stp/>
        <tr r="Z52" s="2"/>
      </tp>
      <tp t="s">
        <v/>
        <stp/>
        <stp>P</stp>
        <stp>0</stp>
        <stp>IR</stp>
        <stp>CRST25USDCNH12Y</stp>
        <stp>매도호가</stp>
        <stp/>
        <stp/>
        <tr r="Z51" s="2"/>
      </tp>
      <tp t="s">
        <v/>
        <stp/>
        <stp>P</stp>
        <stp>0</stp>
        <stp>IR</stp>
        <stp>CRST25USDCNH11Y</stp>
        <stp>매도호가</stp>
        <stp/>
        <stp/>
        <tr r="Z50" s="2"/>
      </tp>
      <tp>
        <v>2.6</v>
        <stp/>
        <stp>P</stp>
        <stp>0</stp>
        <stp>IR</stp>
        <stp>CRST25USDCNH10Y</stp>
        <stp>매도호가</stp>
        <stp/>
        <stp/>
        <tr r="V49" s="2"/>
      </tp>
      <tp>
        <v>2.7</v>
        <stp/>
        <stp>P</stp>
        <stp>0</stp>
        <stp>IR</stp>
        <stp>CRST25USDCNH07Y</stp>
        <stp>매도호가</stp>
        <stp/>
        <stp/>
        <tr r="V46" s="2"/>
      </tp>
      <tp>
        <v>3.11</v>
        <stp/>
        <stp>P</stp>
        <stp>0</stp>
        <stp>IR</stp>
        <stp>CRST25USDCNH05Y</stp>
        <stp>매도호가</stp>
        <stp/>
        <stp/>
        <tr r="V44" s="2"/>
      </tp>
      <tp>
        <v>3.17</v>
        <stp/>
        <stp>P</stp>
        <stp>0</stp>
        <stp>IR</stp>
        <stp>CRST25USDCNH04Y</stp>
        <stp>매도호가</stp>
        <stp/>
        <stp/>
        <tr r="V43" s="2"/>
      </tp>
      <tp>
        <v>3.23</v>
        <stp/>
        <stp>P</stp>
        <stp>0</stp>
        <stp>IR</stp>
        <stp>CRST25USDCNH03Y</stp>
        <stp>매도호가</stp>
        <stp/>
        <stp/>
        <tr r="V42" s="2"/>
      </tp>
      <tp>
        <v>3.14</v>
        <stp/>
        <stp>P</stp>
        <stp>0</stp>
        <stp>IR</stp>
        <stp>CRST25USDCNH02Y</stp>
        <stp>매도호가</stp>
        <stp/>
        <stp/>
        <tr r="V41" s="2"/>
      </tp>
      <tp>
        <v>2.65</v>
        <stp/>
        <stp>P</stp>
        <stp>0</stp>
        <stp>IR</stp>
        <stp>CRST25USDCNH01Y</stp>
        <stp>매도호가</stp>
        <stp/>
        <stp/>
        <tr r="V40" s="2"/>
      </tp>
      <tp t="s">
        <v/>
        <stp/>
        <stp>P</stp>
        <stp>0</stp>
        <stp>IR</stp>
        <stp>CRST25USDCNH09Y</stp>
        <stp>매도호가</stp>
        <stp/>
        <stp/>
        <tr r="Z48" s="2"/>
      </tp>
      <tp t="s">
        <v/>
        <stp/>
        <stp>P</stp>
        <stp>0</stp>
        <stp>IR</stp>
        <stp>CRST25USDCNH08Y</stp>
        <stp>매도호가</stp>
        <stp/>
        <stp/>
        <tr r="Z47" s="2"/>
      </tp>
      <tp>
        <v>1496.45</v>
        <stp/>
        <stp>P</stp>
        <stp>0</stp>
        <stp>FX</stp>
        <stp>EURKRW</stp>
        <stp>매도호가</stp>
        <stp/>
        <stp/>
        <tr r="T30" s="2"/>
        <tr r="T30" s="2"/>
      </tp>
      <tp t="s">
        <v/>
        <stp/>
        <stp>P</stp>
        <stp>0</stp>
        <stp>IR</stp>
        <stp>CRST25USDCNH09Y</stp>
        <stp>매수호가</stp>
        <stp/>
        <stp/>
        <tr r="AA48" s="2"/>
      </tp>
      <tp t="s">
        <v/>
        <stp/>
        <stp>P</stp>
        <stp>0</stp>
        <stp>IR</stp>
        <stp>CRST25USDCNH08Y</stp>
        <stp>매수호가</stp>
        <stp/>
        <stp/>
        <tr r="AA47" s="2"/>
      </tp>
      <tp>
        <v>3.13</v>
        <stp/>
        <stp>P</stp>
        <stp>0</stp>
        <stp>IR</stp>
        <stp>CRST25USDCNH03Y</stp>
        <stp>매수호가</stp>
        <stp/>
        <stp/>
        <tr r="W42" s="2"/>
      </tp>
      <tp>
        <v>3.04</v>
        <stp/>
        <stp>P</stp>
        <stp>0</stp>
        <stp>IR</stp>
        <stp>CRST25USDCNH02Y</stp>
        <stp>매수호가</stp>
        <stp/>
        <stp/>
        <tr r="W41" s="2"/>
      </tp>
      <tp>
        <v>2.5499999999999998</v>
        <stp/>
        <stp>P</stp>
        <stp>0</stp>
        <stp>IR</stp>
        <stp>CRST25USDCNH01Y</stp>
        <stp>매수호가</stp>
        <stp/>
        <stp/>
        <tr r="W40" s="2"/>
      </tp>
      <tp>
        <v>2.6</v>
        <stp/>
        <stp>P</stp>
        <stp>0</stp>
        <stp>IR</stp>
        <stp>CRST25USDCNH07Y</stp>
        <stp>매수호가</stp>
        <stp/>
        <stp/>
        <tr r="W46" s="2"/>
      </tp>
      <tp t="s">
        <v/>
        <stp/>
        <stp>P</stp>
        <stp>0</stp>
        <stp>IR</stp>
        <stp>CRST25USDCNH06Y</stp>
        <stp>매수호가</stp>
        <stp/>
        <stp/>
        <tr r="AA45" s="2"/>
      </tp>
      <tp>
        <v>3.01</v>
        <stp/>
        <stp>P</stp>
        <stp>0</stp>
        <stp>IR</stp>
        <stp>CRST25USDCNH05Y</stp>
        <stp>매수호가</stp>
        <stp/>
        <stp/>
        <tr r="W44" s="2"/>
      </tp>
      <tp>
        <v>3.07</v>
        <stp/>
        <stp>P</stp>
        <stp>0</stp>
        <stp>IR</stp>
        <stp>CRST25USDCNH04Y</stp>
        <stp>매수호가</stp>
        <stp/>
        <stp/>
        <tr r="W43" s="2"/>
      </tp>
      <tp t="s">
        <v/>
        <stp/>
        <stp>P</stp>
        <stp>0</stp>
        <stp>IR</stp>
        <stp>CRST25USDCNH12Y</stp>
        <stp>매수호가</stp>
        <stp/>
        <stp/>
        <tr r="AA51" s="2"/>
      </tp>
      <tp t="s">
        <v/>
        <stp/>
        <stp>P</stp>
        <stp>0</stp>
        <stp>IR</stp>
        <stp>CRST25USDCNH11Y</stp>
        <stp>매수호가</stp>
        <stp/>
        <stp/>
        <tr r="AA50" s="2"/>
      </tp>
      <tp>
        <v>2.5</v>
        <stp/>
        <stp>P</stp>
        <stp>0</stp>
        <stp>IR</stp>
        <stp>CRST25USDCNH10Y</stp>
        <stp>매수호가</stp>
        <stp/>
        <stp/>
        <tr r="W49" s="2"/>
      </tp>
      <tp t="s">
        <v/>
        <stp/>
        <stp>P</stp>
        <stp>0</stp>
        <stp>IR</stp>
        <stp>CRST25USDCNH15Y</stp>
        <stp>매수호가</stp>
        <stp/>
        <stp/>
        <tr r="AA52" s="2"/>
      </tp>
      <tp>
        <v>-1.311E-2</v>
        <stp/>
        <stp>P</stp>
        <stp>0</stp>
        <stp>IR</stp>
        <stp>CRSEA8JPYUSD01Y</stp>
        <stp>매수호가</stp>
        <stp/>
        <stp/>
        <tr r="W14" s="2"/>
      </tp>
      <tp>
        <v>3.0329999999999999E-2</v>
        <stp/>
        <stp>P</stp>
        <stp>0</stp>
        <stp>IR</stp>
        <stp>CRSEA8JPYUSD02Y</stp>
        <stp>매수호가</stp>
        <stp/>
        <stp/>
        <tr r="W15" s="2"/>
      </tp>
      <tp>
        <v>4.6370000000000001E-2</v>
        <stp/>
        <stp>P</stp>
        <stp>0</stp>
        <stp>IR</stp>
        <stp>CRSEA8JPYUSD03Y</stp>
        <stp>매수호가</stp>
        <stp/>
        <stp/>
        <tr r="W16" s="2"/>
      </tp>
      <tp>
        <v>5.432E-2</v>
        <stp/>
        <stp>P</stp>
        <stp>0</stp>
        <stp>IR</stp>
        <stp>CRSEA8JPYUSD04Y</stp>
        <stp>매수호가</stp>
        <stp/>
        <stp/>
        <tr r="W17" s="2"/>
      </tp>
      <tp>
        <v>7.0349999999999996E-2</v>
        <stp/>
        <stp>P</stp>
        <stp>0</stp>
        <stp>IR</stp>
        <stp>CRSEA8JPYUSD05Y</stp>
        <stp>매수호가</stp>
        <stp/>
        <stp/>
        <tr r="W18" s="2"/>
      </tp>
      <tp>
        <v>9.5750000000000002E-2</v>
        <stp/>
        <stp>P</stp>
        <stp>0</stp>
        <stp>IR</stp>
        <stp>CRSEA8JPYUSD06Y</stp>
        <stp>매수호가</stp>
        <stp/>
        <stp/>
        <tr r="W19" s="2"/>
      </tp>
      <tp>
        <v>0.13295999999999999</v>
        <stp/>
        <stp>P</stp>
        <stp>0</stp>
        <stp>IR</stp>
        <stp>CRSEA8JPYUSD07Y</stp>
        <stp>매수호가</stp>
        <stp/>
        <stp/>
        <tr r="W20" s="2"/>
      </tp>
      <tp>
        <v>0.17887</v>
        <stp/>
        <stp>P</stp>
        <stp>0</stp>
        <stp>IR</stp>
        <stp>CRSEA8JPYUSD08Y</stp>
        <stp>매수호가</stp>
        <stp/>
        <stp/>
        <tr r="W21" s="2"/>
      </tp>
      <tp>
        <v>0.23222999999999999</v>
        <stp/>
        <stp>P</stp>
        <stp>0</stp>
        <stp>IR</stp>
        <stp>CRSEA8JPYUSD09Y</stp>
        <stp>매수호가</stp>
        <stp/>
        <stp/>
        <tr r="W22" s="2"/>
      </tp>
      <tp>
        <v>0.29429</v>
        <stp/>
        <stp>P</stp>
        <stp>0</stp>
        <stp>IR</stp>
        <stp>CRSEA8JPYUSD10Y</stp>
        <stp>매수호가</stp>
        <stp/>
        <stp/>
        <tr r="W23" s="2"/>
      </tp>
      <tp>
        <v>0.35138999999999998</v>
        <stp/>
        <stp>P</stp>
        <stp>0</stp>
        <stp>IR</stp>
        <stp>CRSEA8JPYUSD11Y</stp>
        <stp>매수호가</stp>
        <stp/>
        <stp/>
        <tr r="W24" s="2"/>
      </tp>
      <tp>
        <v>0.41839999999999999</v>
        <stp/>
        <stp>P</stp>
        <stp>0</stp>
        <stp>IR</stp>
        <stp>CRSEA8JPYUSD12Y</stp>
        <stp>매수호가</stp>
        <stp/>
        <stp/>
        <tr r="W25" s="2"/>
      </tp>
      <tp>
        <v>0.61116999999999999</v>
        <stp/>
        <stp>P</stp>
        <stp>0</stp>
        <stp>IR</stp>
        <stp>CRSEA8JPYUSD15Y</stp>
        <stp>매수호가</stp>
        <stp/>
        <stp/>
        <tr r="W26" s="2"/>
      </tp>
      <tp>
        <v>0.71062000000000003</v>
        <stp/>
        <stp>P</stp>
        <stp>0</stp>
        <stp>IR</stp>
        <stp>CRSEA8JPYUSD15Y</stp>
        <stp>매도호가</stp>
        <stp/>
        <stp/>
        <tr r="V26" s="2"/>
      </tp>
      <tp>
        <v>0.37401000000000001</v>
        <stp/>
        <stp>P</stp>
        <stp>0</stp>
        <stp>IR</stp>
        <stp>CRSEA8JPYUSD10Y</stp>
        <stp>매도호가</stp>
        <stp/>
        <stp/>
        <tr r="V23" s="2"/>
      </tp>
      <tp>
        <v>0.45094000000000001</v>
        <stp/>
        <stp>P</stp>
        <stp>0</stp>
        <stp>IR</stp>
        <stp>CRSEA8JPYUSD11Y</stp>
        <stp>매도호가</stp>
        <stp/>
        <stp/>
        <tr r="V24" s="2"/>
      </tp>
      <tp>
        <v>0.51792000000000005</v>
        <stp/>
        <stp>P</stp>
        <stp>0</stp>
        <stp>IR</stp>
        <stp>CRSEA8JPYUSD12Y</stp>
        <stp>매도호가</stp>
        <stp/>
        <stp/>
        <tr r="V25" s="2"/>
      </tp>
      <tp>
        <v>0.25862000000000002</v>
        <stp/>
        <stp>P</stp>
        <stp>0</stp>
        <stp>IR</stp>
        <stp>CRSEA8JPYUSD08Y</stp>
        <stp>매도호가</stp>
        <stp/>
        <stp/>
        <tr r="V21" s="2"/>
      </tp>
      <tp>
        <v>0.31197000000000003</v>
        <stp/>
        <stp>P</stp>
        <stp>0</stp>
        <stp>IR</stp>
        <stp>CRSEA8JPYUSD09Y</stp>
        <stp>매도호가</stp>
        <stp/>
        <stp/>
        <tr r="V22" s="2"/>
      </tp>
      <tp>
        <v>0.13413</v>
        <stp/>
        <stp>P</stp>
        <stp>0</stp>
        <stp>IR</stp>
        <stp>CRSEA8JPYUSD04Y</stp>
        <stp>매도호가</stp>
        <stp/>
        <stp/>
        <tr r="V17" s="2"/>
      </tp>
      <tp>
        <v>0.15017</v>
        <stp/>
        <stp>P</stp>
        <stp>0</stp>
        <stp>IR</stp>
        <stp>CRSEA8JPYUSD05Y</stp>
        <stp>매도호가</stp>
        <stp/>
        <stp/>
        <tr r="V18" s="2"/>
      </tp>
      <tp>
        <v>0.17554</v>
        <stp/>
        <stp>P</stp>
        <stp>0</stp>
        <stp>IR</stp>
        <stp>CRSEA8JPYUSD06Y</stp>
        <stp>매도호가</stp>
        <stp/>
        <stp/>
        <tr r="V19" s="2"/>
      </tp>
      <tp>
        <v>0.21273</v>
        <stp/>
        <stp>P</stp>
        <stp>0</stp>
        <stp>IR</stp>
        <stp>CRSEA8JPYUSD07Y</stp>
        <stp>매도호가</stp>
        <stp/>
        <stp/>
        <tr r="V20" s="2"/>
      </tp>
      <tp>
        <v>6.676E-2</v>
        <stp/>
        <stp>P</stp>
        <stp>0</stp>
        <stp>IR</stp>
        <stp>CRSEA8JPYUSD01Y</stp>
        <stp>매도호가</stp>
        <stp/>
        <stp/>
        <tr r="V14" s="2"/>
      </tp>
      <tp>
        <v>0.11018</v>
        <stp/>
        <stp>P</stp>
        <stp>0</stp>
        <stp>IR</stp>
        <stp>CRSEA8JPYUSD02Y</stp>
        <stp>매도호가</stp>
        <stp/>
        <stp/>
        <tr r="V15" s="2"/>
      </tp>
      <tp>
        <v>0.12620000000000001</v>
        <stp/>
        <stp>P</stp>
        <stp>0</stp>
        <stp>IR</stp>
        <stp>CRSEA8JPYUSD03Y</stp>
        <stp>매도호가</stp>
        <stp/>
        <stp/>
        <tr r="V16" s="2"/>
      </tp>
      <tp>
        <v>193.39</v>
        <stp/>
        <stp>P</stp>
        <stp>0</stp>
        <stp>FX</stp>
        <stp>CNHKRW</stp>
        <stp>매수호가</stp>
        <stp/>
        <stp/>
        <tr r="T42" s="2"/>
        <tr r="T42" s="2"/>
        <tr r="T44" s="2"/>
      </tp>
      <tp>
        <v>193.43</v>
        <stp/>
        <stp>P</stp>
        <stp>0</stp>
        <stp>FX</stp>
        <stp>CNHKRW</stp>
        <stp>매도호가</stp>
        <stp/>
        <stp/>
        <tr r="T43" s="2"/>
        <tr r="T43" s="2"/>
      </tp>
      <tp>
        <v>2.2602199999999999</v>
        <stp/>
        <stp>P</stp>
        <stp>0</stp>
        <stp>IR</stp>
        <stp>CRSEA4EURUSD15Y</stp>
        <stp>매수호가</stp>
        <stp/>
        <stp/>
        <tr r="W39" s="2"/>
      </tp>
      <tp>
        <v>2.1806100000000002</v>
        <stp/>
        <stp>P</stp>
        <stp>0</stp>
        <stp>IR</stp>
        <stp>CRSEA4EURUSD10Y</stp>
        <stp>매수호가</stp>
        <stp/>
        <stp/>
        <tr r="W36" s="2"/>
      </tp>
      <tp>
        <v>2.1994699999999998</v>
        <stp/>
        <stp>P</stp>
        <stp>0</stp>
        <stp>IR</stp>
        <stp>CRSEA4EURUSD11Y</stp>
        <stp>매수호가</stp>
        <stp/>
        <stp/>
        <tr r="W37" s="2"/>
      </tp>
      <tp>
        <v>2.2180499999999999</v>
        <stp/>
        <stp>P</stp>
        <stp>0</stp>
        <stp>IR</stp>
        <stp>CRSEA4EURUSD12Y</stp>
        <stp>매수호가</stp>
        <stp/>
        <stp/>
        <tr r="W38" s="2"/>
      </tp>
      <tp>
        <v>2.1369799999999999</v>
        <stp/>
        <stp>P</stp>
        <stp>0</stp>
        <stp>IR</stp>
        <stp>CRSEA4EURUSD08Y</stp>
        <stp>매수호가</stp>
        <stp/>
        <stp/>
        <tr r="W34" s="2"/>
      </tp>
      <tp>
        <v>2.1587900000000002</v>
        <stp/>
        <stp>P</stp>
        <stp>0</stp>
        <stp>IR</stp>
        <stp>CRSEA4EURUSD09Y</stp>
        <stp>매수호가</stp>
        <stp/>
        <stp/>
        <tr r="W35" s="2"/>
      </tp>
      <tp>
        <v>2.0754100000000002</v>
        <stp/>
        <stp>P</stp>
        <stp>0</stp>
        <stp>IR</stp>
        <stp>CRSEA4EURUSD04Y</stp>
        <stp>매수호가</stp>
        <stp/>
        <stp/>
        <tr r="W30" s="2"/>
      </tp>
      <tp>
        <v>2.0849000000000002</v>
        <stp/>
        <stp>P</stp>
        <stp>0</stp>
        <stp>IR</stp>
        <stp>CRSEA4EURUSD05Y</stp>
        <stp>매수호가</stp>
        <stp/>
        <stp/>
        <tr r="W31" s="2"/>
      </tp>
      <tp>
        <v>2.10128</v>
        <stp/>
        <stp>P</stp>
        <stp>0</stp>
        <stp>IR</stp>
        <stp>CRSEA4EURUSD06Y</stp>
        <stp>매수호가</stp>
        <stp/>
        <stp/>
        <tr r="W32" s="2"/>
      </tp>
      <tp>
        <v>2.1176599999999999</v>
        <stp/>
        <stp>P</stp>
        <stp>0</stp>
        <stp>IR</stp>
        <stp>CRSEA4EURUSD07Y</stp>
        <stp>매수호가</stp>
        <stp/>
        <stp/>
        <tr r="W33" s="2"/>
      </tp>
      <tp>
        <v>2.30396</v>
        <stp/>
        <stp>P</stp>
        <stp>0</stp>
        <stp>IR</stp>
        <stp>CRSEA4EURUSD01Y</stp>
        <stp>매수호가</stp>
        <stp/>
        <stp/>
        <tr r="W27" s="2"/>
      </tp>
      <tp>
        <v>2.09972</v>
        <stp/>
        <stp>P</stp>
        <stp>0</stp>
        <stp>IR</stp>
        <stp>CRSEA4EURUSD02Y</stp>
        <stp>매수호가</stp>
        <stp/>
        <stp/>
        <tr r="W28" s="2"/>
      </tp>
      <tp>
        <v>2.0715499999999998</v>
        <stp/>
        <stp>P</stp>
        <stp>0</stp>
        <stp>IR</stp>
        <stp>CRSEA4EURUSD03Y</stp>
        <stp>매수호가</stp>
        <stp/>
        <stp/>
        <tr r="W29" s="2"/>
      </tp>
      <tp>
        <v>4.3937999999999997</v>
        <stp/>
        <stp>P</stp>
        <stp>0</stp>
        <stp>IR</stp>
        <stp>CRSE12AUDUSD02Y</stp>
        <stp>매도호가</stp>
        <stp/>
        <stp/>
        <tr r="V67" s="2"/>
      </tp>
      <tp>
        <v>4.61625</v>
        <stp/>
        <stp>P</stp>
        <stp>0</stp>
        <stp>IR</stp>
        <stp>CRSE17AUDUSD07Y</stp>
        <stp>매도호가</stp>
        <stp/>
        <stp/>
        <tr r="V72" s="2"/>
      </tp>
      <tp>
        <v>4.3525</v>
        <stp/>
        <stp>P</stp>
        <stp>0</stp>
        <stp>IR</stp>
        <stp>CRSE12AUDUSD03Y</stp>
        <stp>매도호가</stp>
        <stp/>
        <stp/>
        <tr r="V68" s="2"/>
      </tp>
      <tp>
        <v>4.5338000000000003</v>
        <stp/>
        <stp>P</stp>
        <stp>0</stp>
        <stp>IR</stp>
        <stp>CRSE17AUDUSD06Y</stp>
        <stp>매도호가</stp>
        <stp/>
        <stp/>
        <tr r="V71" s="2"/>
      </tp>
      <tp>
        <v>4.4512999999999998</v>
        <stp/>
        <stp>P</stp>
        <stp>0</stp>
        <stp>IR</stp>
        <stp>CRSE17AUDUSD05Y</stp>
        <stp>매도호가</stp>
        <stp/>
        <stp/>
        <tr r="V70" s="2"/>
      </tp>
      <tp>
        <v>4.5412999999999997</v>
        <stp/>
        <stp>P</stp>
        <stp>0</stp>
        <stp>IR</stp>
        <stp>CRSE12AUDUSD01Y</stp>
        <stp>매도호가</stp>
        <stp/>
        <stp/>
        <tr r="V66" s="2"/>
      </tp>
      <tp>
        <v>4.3887999999999998</v>
        <stp/>
        <stp>P</stp>
        <stp>0</stp>
        <stp>IR</stp>
        <stp>CRSE17AUDUSD04Y</stp>
        <stp>매도호가</stp>
        <stp/>
        <stp/>
        <tr r="V69" s="2"/>
      </tp>
      <tp>
        <v>4.7600499999999997</v>
        <stp/>
        <stp>P</stp>
        <stp>0</stp>
        <stp>IR</stp>
        <stp>CRSE17AUDUSD09Y</stp>
        <stp>매도호가</stp>
        <stp/>
        <stp/>
        <tr r="V74" s="2"/>
      </tp>
      <tp>
        <v>4.6936999999999998</v>
        <stp/>
        <stp>P</stp>
        <stp>0</stp>
        <stp>IR</stp>
        <stp>CRSE17AUDUSD08Y</stp>
        <stp>매도호가</stp>
        <stp/>
        <stp/>
        <tr r="V73" s="2"/>
      </tp>
      <tp>
        <v>4.9074999999999998</v>
        <stp/>
        <stp>P</stp>
        <stp>0</stp>
        <stp>IR</stp>
        <stp>CRSE17AUDUSD12Y</stp>
        <stp>매도호가</stp>
        <stp/>
        <stp/>
        <tr r="V77" s="2"/>
      </tp>
      <tp>
        <v>4.8163</v>
        <stp/>
        <stp>P</stp>
        <stp>0</stp>
        <stp>IR</stp>
        <stp>CRSE17AUDUSD10Y</stp>
        <stp>매도호가</stp>
        <stp/>
        <stp/>
        <tr r="V75" s="2"/>
      </tp>
      <tp>
        <v>4.9813000000000001</v>
        <stp/>
        <stp>P</stp>
        <stp>0</stp>
        <stp>IR</stp>
        <stp>CRSE17AUDUSD15Y</stp>
        <stp>매도호가</stp>
        <stp/>
        <stp/>
        <tr r="V78" s="2"/>
      </tp>
      <tp>
        <v>4.9112999999999998</v>
        <stp/>
        <stp>P</stp>
        <stp>0</stp>
        <stp>IR</stp>
        <stp>CRSE17AUDUSD15Y</stp>
        <stp>매수호가</stp>
        <stp/>
        <stp/>
        <tr r="W78" s="2"/>
      </tp>
      <tp>
        <v>4.8375000000000004</v>
        <stp/>
        <stp>P</stp>
        <stp>0</stp>
        <stp>IR</stp>
        <stp>CRSE17AUDUSD12Y</stp>
        <stp>매수호가</stp>
        <stp/>
        <stp/>
        <tr r="W77" s="2"/>
      </tp>
      <tp>
        <v>4.7462999999999997</v>
        <stp/>
        <stp>P</stp>
        <stp>0</stp>
        <stp>IR</stp>
        <stp>CRSE17AUDUSD10Y</stp>
        <stp>매수호가</stp>
        <stp/>
        <stp/>
        <tr r="W75" s="2"/>
      </tp>
      <tp>
        <v>4.6900500000000003</v>
        <stp/>
        <stp>P</stp>
        <stp>0</stp>
        <stp>IR</stp>
        <stp>CRSE17AUDUSD09Y</stp>
        <stp>매수호가</stp>
        <stp/>
        <stp/>
        <tr r="W74" s="2"/>
      </tp>
      <tp>
        <v>4.6237000000000004</v>
        <stp/>
        <stp>P</stp>
        <stp>0</stp>
        <stp>IR</stp>
        <stp>CRSE17AUDUSD08Y</stp>
        <stp>매수호가</stp>
        <stp/>
        <stp/>
        <tr r="W73" s="2"/>
      </tp>
      <tp>
        <v>4.3137999999999996</v>
        <stp/>
        <stp>P</stp>
        <stp>0</stp>
        <stp>IR</stp>
        <stp>CRSE12AUDUSD02Y</stp>
        <stp>매수호가</stp>
        <stp/>
        <stp/>
        <tr r="W67" s="2"/>
      </tp>
      <tp>
        <v>4.5462499999999997</v>
        <stp/>
        <stp>P</stp>
        <stp>0</stp>
        <stp>IR</stp>
        <stp>CRSE17AUDUSD07Y</stp>
        <stp>매수호가</stp>
        <stp/>
        <stp/>
        <tr r="W72" s="2"/>
      </tp>
      <tp>
        <v>4.2725</v>
        <stp/>
        <stp>P</stp>
        <stp>0</stp>
        <stp>IR</stp>
        <stp>CRSE12AUDUSD03Y</stp>
        <stp>매수호가</stp>
        <stp/>
        <stp/>
        <tr r="W68" s="2"/>
      </tp>
      <tp>
        <v>4.4638</v>
        <stp/>
        <stp>P</stp>
        <stp>0</stp>
        <stp>IR</stp>
        <stp>CRSE17AUDUSD06Y</stp>
        <stp>매수호가</stp>
        <stp/>
        <stp/>
        <tr r="W71" s="2"/>
      </tp>
      <tp>
        <v>4.3813000000000004</v>
        <stp/>
        <stp>P</stp>
        <stp>0</stp>
        <stp>IR</stp>
        <stp>CRSE17AUDUSD05Y</stp>
        <stp>매수호가</stp>
        <stp/>
        <stp/>
        <tr r="W70" s="2"/>
      </tp>
      <tp>
        <v>4.4813000000000001</v>
        <stp/>
        <stp>P</stp>
        <stp>0</stp>
        <stp>IR</stp>
        <stp>CRSE12AUDUSD01Y</stp>
        <stp>매수호가</stp>
        <stp/>
        <stp/>
        <tr r="W66" s="2"/>
      </tp>
      <tp>
        <v>4.3188000000000004</v>
        <stp/>
        <stp>P</stp>
        <stp>0</stp>
        <stp>IR</stp>
        <stp>CRSE17AUDUSD04Y</stp>
        <stp>매수호가</stp>
        <stp/>
        <stp/>
        <tr r="W69" s="2"/>
      </tp>
      <tp>
        <v>2.3930799999999999</v>
        <stp/>
        <stp>P</stp>
        <stp>0</stp>
        <stp>IR</stp>
        <stp>CRSEA4EURUSD01Y</stp>
        <stp>매도호가</stp>
        <stp/>
        <stp/>
        <tr r="V27" s="2"/>
      </tp>
      <tp>
        <v>2.1889099999999999</v>
        <stp/>
        <stp>P</stp>
        <stp>0</stp>
        <stp>IR</stp>
        <stp>CRSEA4EURUSD02Y</stp>
        <stp>매도호가</stp>
        <stp/>
        <stp/>
        <tr r="V28" s="2"/>
      </tp>
      <tp>
        <v>2.1607500000000002</v>
        <stp/>
        <stp>P</stp>
        <stp>0</stp>
        <stp>IR</stp>
        <stp>CRSEA4EURUSD03Y</stp>
        <stp>매도호가</stp>
        <stp/>
        <stp/>
        <tr r="V29" s="2"/>
      </tp>
      <tp>
        <v>2.1646000000000001</v>
        <stp/>
        <stp>P</stp>
        <stp>0</stp>
        <stp>IR</stp>
        <stp>CRSEA4EURUSD04Y</stp>
        <stp>매도호가</stp>
        <stp/>
        <stp/>
        <tr r="V30" s="2"/>
      </tp>
      <tp>
        <v>2.1740900000000001</v>
        <stp/>
        <stp>P</stp>
        <stp>0</stp>
        <stp>IR</stp>
        <stp>CRSEA4EURUSD05Y</stp>
        <stp>매도호가</stp>
        <stp/>
        <stp/>
        <tr r="V31" s="2"/>
      </tp>
      <tp>
        <v>2.1904599999999999</v>
        <stp/>
        <stp>P</stp>
        <stp>0</stp>
        <stp>IR</stp>
        <stp>CRSEA4EURUSD06Y</stp>
        <stp>매도호가</stp>
        <stp/>
        <stp/>
        <tr r="V32" s="2"/>
      </tp>
      <tp>
        <v>2.2068300000000001</v>
        <stp/>
        <stp>P</stp>
        <stp>0</stp>
        <stp>IR</stp>
        <stp>CRSEA4EURUSD07Y</stp>
        <stp>매도호가</stp>
        <stp/>
        <stp/>
        <tr r="V33" s="2"/>
      </tp>
      <tp>
        <v>2.22614</v>
        <stp/>
        <stp>P</stp>
        <stp>0</stp>
        <stp>IR</stp>
        <stp>CRSEA4EURUSD08Y</stp>
        <stp>매도호가</stp>
        <stp/>
        <stp/>
        <tr r="V34" s="2"/>
      </tp>
      <tp>
        <v>2.2479499999999999</v>
        <stp/>
        <stp>P</stp>
        <stp>0</stp>
        <stp>IR</stp>
        <stp>CRSEA4EURUSD09Y</stp>
        <stp>매도호가</stp>
        <stp/>
        <stp/>
        <tr r="V35" s="2"/>
      </tp>
      <tp>
        <v>2.2697500000000002</v>
        <stp/>
        <stp>P</stp>
        <stp>0</stp>
        <stp>IR</stp>
        <stp>CRSEA4EURUSD10Y</stp>
        <stp>매도호가</stp>
        <stp/>
        <stp/>
        <tr r="V36" s="2"/>
      </tp>
      <tp>
        <v>2.2886000000000002</v>
        <stp/>
        <stp>P</stp>
        <stp>0</stp>
        <stp>IR</stp>
        <stp>CRSEA4EURUSD11Y</stp>
        <stp>매도호가</stp>
        <stp/>
        <stp/>
        <tr r="V37" s="2"/>
      </tp>
      <tp>
        <v>2.3071799999999998</v>
        <stp/>
        <stp>P</stp>
        <stp>0</stp>
        <stp>IR</stp>
        <stp>CRSEA4EURUSD12Y</stp>
        <stp>매도호가</stp>
        <stp/>
        <stp/>
        <tr r="V38" s="2"/>
      </tp>
      <tp>
        <v>2.3493200000000001</v>
        <stp/>
        <stp>P</stp>
        <stp>0</stp>
        <stp>IR</stp>
        <stp>CRSEA4EURUSD15Y</stp>
        <stp>매도호가</stp>
        <stp/>
        <stp/>
        <tr r="V39" s="2"/>
      </tp>
      <tp>
        <v>200.54</v>
        <stp/>
        <stp>P</stp>
        <stp>0</stp>
        <stp>FX</stp>
        <stp>DKKKRW</stp>
        <stp>매수호가</stp>
        <stp/>
        <stp/>
        <tr r="T83" s="2"/>
        <tr r="T81" s="2"/>
        <tr r="T81" s="2"/>
      </tp>
      <tp>
        <v>200.58</v>
        <stp/>
        <stp>P</stp>
        <stp>0</stp>
        <stp>FX</stp>
        <stp>DKKKRW</stp>
        <stp>매도호가</stp>
        <stp/>
        <stp/>
        <tr r="T82" s="2"/>
        <tr r="T82" s="2"/>
      </tp>
      <tp>
        <v>1042.6600000000001</v>
        <stp/>
        <stp>P</stp>
        <stp>0</stp>
        <stp>FX</stp>
        <stp>SGDKRW</stp>
        <stp>매수호가</stp>
        <stp/>
        <stp/>
        <tr r="T96" s="2"/>
        <tr r="T94" s="2"/>
        <tr r="T94" s="2"/>
      </tp>
      <tp>
        <v>905.84</v>
        <stp/>
        <stp>P</stp>
        <stp>0</stp>
        <stp>FX</stp>
        <stp>AUDKRW</stp>
        <stp>매수호가</stp>
        <stp/>
        <stp/>
        <tr r="T68" s="2"/>
        <tr r="T68" s="2"/>
        <tr r="T70" s="2"/>
      </tp>
      <tp>
        <v>177.32</v>
        <stp/>
        <stp>P</stp>
        <stp>0</stp>
        <stp>FX</stp>
        <stp>HKDKRW</stp>
        <stp>매수호가</stp>
        <stp/>
        <stp/>
        <tr r="T55" s="2"/>
        <tr r="T55" s="2"/>
        <tr r="T57" s="2"/>
      </tp>
      <tp>
        <v>177.36</v>
        <stp/>
        <stp>P</stp>
        <stp>0</stp>
        <stp>FX</stp>
        <stp>HKDKRW</stp>
        <stp>매도호가</stp>
        <stp/>
        <stp/>
        <tr r="T56" s="2"/>
        <tr r="T56" s="2"/>
      </tp>
      <tp>
        <v>906.17</v>
        <stp/>
        <stp>P</stp>
        <stp>0</stp>
        <stp>FX</stp>
        <stp>AUDKRW</stp>
        <stp>매도호가</stp>
        <stp/>
        <stp/>
        <tr r="T69" s="2"/>
        <tr r="T69" s="2"/>
      </tp>
      <tp>
        <v>1043.5999999999999</v>
        <stp/>
        <stp>P</stp>
        <stp>0</stp>
        <stp>FX</stp>
        <stp>SGDKRW</stp>
        <stp>매도호가</stp>
        <stp/>
        <stp/>
        <tr r="T95" s="2"/>
        <tr r="T95" s="2"/>
      </tp>
      <tp>
        <v>45596</v>
        <stp/>
        <stp>P</stp>
        <stp>0</stp>
        <stp>IR</stp>
        <stp>CRST25USDCNH10Y</stp>
        <stp>일자</stp>
        <stp/>
        <stp>DtFmt=1</stp>
        <tr r="Y49" s="2"/>
      </tp>
      <tp>
        <v>45596</v>
        <stp/>
        <stp>P</stp>
        <stp>0</stp>
        <stp>IR</stp>
        <stp>CRST25USDCNH04Y</stp>
        <stp>일자</stp>
        <stp/>
        <stp>DtFmt=1</stp>
        <tr r="Y43" s="2"/>
      </tp>
      <tp>
        <v>45596</v>
        <stp/>
        <stp>P</stp>
        <stp>0</stp>
        <stp>IR</stp>
        <stp>CRST25USDCNH05Y</stp>
        <stp>일자</stp>
        <stp/>
        <stp>DtFmt=1</stp>
        <tr r="Y44" s="2"/>
      </tp>
      <tp>
        <v>45596</v>
        <stp/>
        <stp>P</stp>
        <stp>0</stp>
        <stp>IR</stp>
        <stp>CRST25USDCNH07Y</stp>
        <stp>일자</stp>
        <stp/>
        <stp>DtFmt=1</stp>
        <tr r="Y46" s="2"/>
      </tp>
      <tp>
        <v>45596</v>
        <stp/>
        <stp>P</stp>
        <stp>0</stp>
        <stp>IR</stp>
        <stp>CRST25USDCNH01Y</stp>
        <stp>일자</stp>
        <stp/>
        <stp>DtFmt=1</stp>
        <tr r="Y40" s="2"/>
      </tp>
      <tp>
        <v>45596</v>
        <stp/>
        <stp>P</stp>
        <stp>0</stp>
        <stp>IR</stp>
        <stp>CRST25USDCNH02Y</stp>
        <stp>일자</stp>
        <stp/>
        <stp>DtFmt=1</stp>
        <tr r="Y41" s="2"/>
      </tp>
      <tp>
        <v>45596</v>
        <stp/>
        <stp>P</stp>
        <stp>0</stp>
        <stp>IR</stp>
        <stp>CRST25USDCNH03Y</stp>
        <stp>일자</stp>
        <stp/>
        <stp>DtFmt=1</stp>
        <tr r="Y42" s="2"/>
      </tp>
      <tp>
        <v>45596</v>
        <stp/>
        <stp>P</stp>
        <stp>0</stp>
        <stp>IR</stp>
        <stp>CRSE17AUDUSD08Y</stp>
        <stp>일자</stp>
        <stp/>
        <stp>DtFmt=1</stp>
        <tr r="Y73" s="2"/>
      </tp>
      <tp>
        <v>45596</v>
        <stp/>
        <stp>P</stp>
        <stp>0</stp>
        <stp>IR</stp>
        <stp>CRSE17AUDUSD09Y</stp>
        <stp>일자</stp>
        <stp/>
        <stp>DtFmt=1</stp>
        <tr r="Y74" s="2"/>
      </tp>
      <tp>
        <v>45596</v>
        <stp/>
        <stp>P</stp>
        <stp>0</stp>
        <stp>IR</stp>
        <stp>CRST14USDSGD05Y</stp>
        <stp>일자</stp>
        <stp/>
        <stp>DtFmt=1</stp>
        <tr r="Y96" s="2"/>
      </tp>
      <tp>
        <v>45596</v>
        <stp/>
        <stp>P</stp>
        <stp>0</stp>
        <stp>IR</stp>
        <stp>CRSE10HKDUSD07Y</stp>
        <stp>일자</stp>
        <stp/>
        <stp>DtFmt=1</stp>
        <tr r="Y59" s="2"/>
      </tp>
      <tp>
        <v>45596</v>
        <stp/>
        <stp>P</stp>
        <stp>0</stp>
        <stp>IR</stp>
        <stp>CRST14USDSGD04Y</stp>
        <stp>일자</stp>
        <stp/>
        <stp>DtFmt=1</stp>
        <tr r="Y95" s="2"/>
      </tp>
      <tp>
        <v>45596</v>
        <stp/>
        <stp>P</stp>
        <stp>0</stp>
        <stp>IR</stp>
        <stp>CRST14USDSGD07Y</stp>
        <stp>일자</stp>
        <stp/>
        <stp>DtFmt=1</stp>
        <tr r="Y98" s="2"/>
      </tp>
      <tp>
        <v>45596</v>
        <stp/>
        <stp>P</stp>
        <stp>0</stp>
        <stp>IR</stp>
        <stp>CRSE10HKDUSD05Y</stp>
        <stp>일자</stp>
        <stp/>
        <stp>DtFmt=1</stp>
        <tr r="Y57" s="2"/>
      </tp>
      <tp>
        <v>45596</v>
        <stp/>
        <stp>P</stp>
        <stp>0</stp>
        <stp>IR</stp>
        <stp>CRST14USDSGD06Y</stp>
        <stp>일자</stp>
        <stp/>
        <stp>DtFmt=1</stp>
        <tr r="Y97" s="2"/>
      </tp>
      <tp>
        <v>45596</v>
        <stp/>
        <stp>P</stp>
        <stp>0</stp>
        <stp>IR</stp>
        <stp>CRSE10HKDUSD04Y</stp>
        <stp>일자</stp>
        <stp/>
        <stp>DtFmt=1</stp>
        <tr r="Y56" s="2"/>
      </tp>
      <tp>
        <v>45596</v>
        <stp/>
        <stp>P</stp>
        <stp>0</stp>
        <stp>IR</stp>
        <stp>CRSE12AUDUSD01Y</stp>
        <stp>일자</stp>
        <stp/>
        <stp>DtFmt=1</stp>
        <tr r="Y66" s="2"/>
      </tp>
      <tp>
        <v>45596</v>
        <stp/>
        <stp>P</stp>
        <stp>0</stp>
        <stp>IR</stp>
        <stp>CRSE17AUDUSD04Y</stp>
        <stp>일자</stp>
        <stp/>
        <stp>DtFmt=1</stp>
        <tr r="Y69" s="2"/>
      </tp>
      <tp>
        <v>45596</v>
        <stp/>
        <stp>P</stp>
        <stp>0</stp>
        <stp>IR</stp>
        <stp>CRST14USDSGD01Y</stp>
        <stp>일자</stp>
        <stp/>
        <stp>DtFmt=1</stp>
        <tr r="Y92" s="2"/>
      </tp>
      <tp>
        <v>45596</v>
        <stp/>
        <stp>P</stp>
        <stp>0</stp>
        <stp>IR</stp>
        <stp>CRSE10HKDUSD03Y</stp>
        <stp>일자</stp>
        <stp/>
        <stp>DtFmt=1</stp>
        <tr r="Y55" s="2"/>
      </tp>
      <tp>
        <v>45596</v>
        <stp/>
        <stp>P</stp>
        <stp>0</stp>
        <stp>IR</stp>
        <stp>CRSE17AUDUSD05Y</stp>
        <stp>일자</stp>
        <stp/>
        <stp>DtFmt=1</stp>
        <tr r="Y70" s="2"/>
      </tp>
      <tp>
        <v>45596</v>
        <stp/>
        <stp>P</stp>
        <stp>0</stp>
        <stp>IR</stp>
        <stp>CRSE10HKDUSD02Y</stp>
        <stp>일자</stp>
        <stp/>
        <stp>DtFmt=1</stp>
        <tr r="Y54" s="2"/>
      </tp>
      <tp>
        <v>45596</v>
        <stp/>
        <stp>P</stp>
        <stp>0</stp>
        <stp>IR</stp>
        <stp>CRSE12AUDUSD03Y</stp>
        <stp>일자</stp>
        <stp/>
        <stp>DtFmt=1</stp>
        <tr r="Y68" s="2"/>
      </tp>
      <tp>
        <v>45596</v>
        <stp/>
        <stp>P</stp>
        <stp>0</stp>
        <stp>IR</stp>
        <stp>CRSE17AUDUSD06Y</stp>
        <stp>일자</stp>
        <stp/>
        <stp>DtFmt=1</stp>
        <tr r="Y71" s="2"/>
      </tp>
      <tp>
        <v>45596</v>
        <stp/>
        <stp>P</stp>
        <stp>0</stp>
        <stp>IR</stp>
        <stp>CRST14USDSGD03Y</stp>
        <stp>일자</stp>
        <stp/>
        <stp>DtFmt=1</stp>
        <tr r="Y94" s="2"/>
      </tp>
      <tp>
        <v>45596</v>
        <stp/>
        <stp>P</stp>
        <stp>0</stp>
        <stp>IR</stp>
        <stp>CRSE10HKDUSD01Y</stp>
        <stp>일자</stp>
        <stp/>
        <stp>DtFmt=1</stp>
        <tr r="Y53" s="2"/>
      </tp>
      <tp>
        <v>45596</v>
        <stp/>
        <stp>P</stp>
        <stp>0</stp>
        <stp>IR</stp>
        <stp>CRSE12AUDUSD02Y</stp>
        <stp>일자</stp>
        <stp/>
        <stp>DtFmt=1</stp>
        <tr r="Y67" s="2"/>
      </tp>
      <tp>
        <v>45596</v>
        <stp/>
        <stp>P</stp>
        <stp>0</stp>
        <stp>IR</stp>
        <stp>CRSE17AUDUSD07Y</stp>
        <stp>일자</stp>
        <stp/>
        <stp>DtFmt=1</stp>
        <tr r="Y72" s="2"/>
      </tp>
      <tp>
        <v>45596</v>
        <stp/>
        <stp>P</stp>
        <stp>0</stp>
        <stp>IR</stp>
        <stp>CRST14USDSGD02Y</stp>
        <stp>일자</stp>
        <stp/>
        <stp>DtFmt=1</stp>
        <tr r="Y93" s="2"/>
      </tp>
      <tp>
        <v>45596</v>
        <stp/>
        <stp>P</stp>
        <stp>0</stp>
        <stp>IR</stp>
        <stp>CRSE17AUDUSD10Y</stp>
        <stp>일자</stp>
        <stp/>
        <stp>DtFmt=1</stp>
        <tr r="Y75" s="2"/>
      </tp>
      <tp>
        <v>45596</v>
        <stp/>
        <stp>P</stp>
        <stp>0</stp>
        <stp>IR</stp>
        <stp>CRST14USDSGD15Y</stp>
        <stp>일자</stp>
        <stp/>
        <stp>DtFmt=1</stp>
        <tr r="Y104" s="2"/>
      </tp>
      <tp>
        <v>45596</v>
        <stp/>
        <stp>P</stp>
        <stp>0</stp>
        <stp>IR</stp>
        <stp>CRSE17AUDUSD12Y</stp>
        <stp>일자</stp>
        <stp/>
        <stp>DtFmt=1</stp>
        <tr r="Y77" s="2"/>
      </tp>
      <tp>
        <v>45596</v>
        <stp/>
        <stp>P</stp>
        <stp>0</stp>
        <stp>IR</stp>
        <stp>CRSE10HKDUSD15Y</stp>
        <stp>일자</stp>
        <stp/>
        <stp>DtFmt=1</stp>
        <tr r="Y65" s="2"/>
      </tp>
      <tp>
        <v>45596</v>
        <stp/>
        <stp>P</stp>
        <stp>0</stp>
        <stp>IR</stp>
        <stp>CRSE17AUDUSD15Y</stp>
        <stp>일자</stp>
        <stp/>
        <stp>DtFmt=1</stp>
        <tr r="Y78" s="2"/>
      </tp>
      <tp>
        <v>45596</v>
        <stp/>
        <stp>P</stp>
        <stp>0</stp>
        <stp>IR</stp>
        <stp>CRST14USDSGD10Y</stp>
        <stp>일자</stp>
        <stp/>
        <stp>DtFmt=1</stp>
        <tr r="Y101" s="2"/>
      </tp>
      <tp>
        <v>45596</v>
        <stp/>
        <stp>P</stp>
        <stp>0</stp>
        <stp>IR</stp>
        <stp>CRSE10HKDUSD12Y</stp>
        <stp>일자</stp>
        <stp/>
        <stp>DtFmt=1</stp>
        <tr r="Y64" s="2"/>
      </tp>
      <tp>
        <v>45596</v>
        <stp/>
        <stp>P</stp>
        <stp>0</stp>
        <stp>IR</stp>
        <stp>CRST14USDSGD12Y</stp>
        <stp>일자</stp>
        <stp/>
        <stp>DtFmt=1</stp>
        <tr r="Y103" s="2"/>
      </tp>
      <tp>
        <v>45596</v>
        <stp/>
        <stp>P</stp>
        <stp>0</stp>
        <stp>IR</stp>
        <stp>CRSE10HKDUSD10Y</stp>
        <stp>일자</stp>
        <stp/>
        <stp>DtFmt=1</stp>
        <tr r="Y62" s="2"/>
      </tp>
      <tp>
        <v>45189</v>
        <stp/>
        <stp>P</stp>
        <stp>0</stp>
        <stp>IR</stp>
        <stp>CRSE02DKKUSD09Y</stp>
        <stp>일자</stp>
        <stp/>
        <stp>DtFmt=1</stp>
        <tr r="Y87" s="2"/>
      </tp>
      <tp>
        <v>45189</v>
        <stp/>
        <stp>P</stp>
        <stp>0</stp>
        <stp>IR</stp>
        <stp>CRSE02DKKUSD08Y</stp>
        <stp>일자</stp>
        <stp/>
        <stp>DtFmt=1</stp>
        <tr r="Y86" s="2"/>
      </tp>
      <tp>
        <v>45189</v>
        <stp/>
        <stp>P</stp>
        <stp>0</stp>
        <stp>IR</stp>
        <stp>CRSE02DKKUSD05Y</stp>
        <stp>일자</stp>
        <stp/>
        <stp>DtFmt=1</stp>
        <tr r="Y83" s="2"/>
      </tp>
      <tp>
        <v>45189</v>
        <stp/>
        <stp>P</stp>
        <stp>0</stp>
        <stp>IR</stp>
        <stp>CRSE02DKKUSD04Y</stp>
        <stp>일자</stp>
        <stp/>
        <stp>DtFmt=1</stp>
        <tr r="Y82" s="2"/>
      </tp>
      <tp>
        <v>45189</v>
        <stp/>
        <stp>P</stp>
        <stp>0</stp>
        <stp>IR</stp>
        <stp>CRSE02DKKUSD07Y</stp>
        <stp>일자</stp>
        <stp/>
        <stp>DtFmt=1</stp>
        <tr r="Y85" s="2"/>
      </tp>
      <tp>
        <v>45189</v>
        <stp/>
        <stp>P</stp>
        <stp>0</stp>
        <stp>IR</stp>
        <stp>CRSE02DKKUSD06Y</stp>
        <stp>일자</stp>
        <stp/>
        <stp>DtFmt=1</stp>
        <tr r="Y84" s="2"/>
      </tp>
      <tp>
        <v>45189</v>
        <stp/>
        <stp>P</stp>
        <stp>0</stp>
        <stp>IR</stp>
        <stp>CRSE02DKKUSD03Y</stp>
        <stp>일자</stp>
        <stp/>
        <stp>DtFmt=1</stp>
        <tr r="Y81" s="2"/>
      </tp>
      <tp>
        <v>45189</v>
        <stp/>
        <stp>P</stp>
        <stp>0</stp>
        <stp>IR</stp>
        <stp>CRSE01DKKUSD01Y</stp>
        <stp>일자</stp>
        <stp/>
        <stp>DtFmt=1</stp>
        <tr r="Y79" s="2"/>
      </tp>
      <tp>
        <v>45189</v>
        <stp/>
        <stp>P</stp>
        <stp>0</stp>
        <stp>IR</stp>
        <stp>CRSE02DKKUSD02Y</stp>
        <stp>일자</stp>
        <stp/>
        <stp>DtFmt=1</stp>
        <tr r="Y80" s="2"/>
      </tp>
      <tp>
        <v>45189</v>
        <stp/>
        <stp>P</stp>
        <stp>0</stp>
        <stp>IR</stp>
        <stp>CRSE02DKKUSD15Y</stp>
        <stp>일자</stp>
        <stp/>
        <stp>DtFmt=1</stp>
        <tr r="Y91" s="2"/>
      </tp>
      <tp>
        <v>45189</v>
        <stp/>
        <stp>P</stp>
        <stp>0</stp>
        <stp>IR</stp>
        <stp>CRSE02DKKUSD10Y</stp>
        <stp>일자</stp>
        <stp/>
        <stp>DtFmt=1</stp>
        <tr r="Y88" s="2"/>
      </tp>
      <tp>
        <v>45189</v>
        <stp/>
        <stp>P</stp>
        <stp>0</stp>
        <stp>IR</stp>
        <stp>CRSE02DKKUSD12Y</stp>
        <stp>일자</stp>
        <stp/>
        <stp>DtFmt=1</stp>
        <tr r="Y90" s="2"/>
      </tp>
      <tp>
        <v>45596</v>
        <stp/>
        <stp>P</stp>
        <stp>0</stp>
        <stp>IR</stp>
        <stp>IRSTA6USD04Y</stp>
        <stp>일자</stp>
        <stp/>
        <stp>DtFmt=1</stp>
        <tr r="Y4" s="2"/>
      </tp>
      <tp>
        <v>45596</v>
        <stp/>
        <stp>P</stp>
        <stp>0</stp>
        <stp>IR</stp>
        <stp>IRSTA6USD05Y</stp>
        <stp>일자</stp>
        <stp/>
        <stp>DtFmt=1</stp>
        <tr r="Y5" s="2"/>
      </tp>
      <tp>
        <v>45596</v>
        <stp/>
        <stp>P</stp>
        <stp>0</stp>
        <stp>IR</stp>
        <stp>IRSTA6USD06Y</stp>
        <stp>일자</stp>
        <stp/>
        <stp>DtFmt=1</stp>
        <tr r="Y6" s="2"/>
      </tp>
      <tp>
        <v>45596</v>
        <stp/>
        <stp>P</stp>
        <stp>0</stp>
        <stp>IR</stp>
        <stp>IRSTA6USD07Y</stp>
        <stp>일자</stp>
        <stp/>
        <stp>DtFmt=1</stp>
        <tr r="Y7" s="2"/>
      </tp>
      <tp>
        <v>45596</v>
        <stp/>
        <stp>P</stp>
        <stp>0</stp>
        <stp>IR</stp>
        <stp>IRSTA6USD01Y</stp>
        <stp>일자</stp>
        <stp/>
        <stp>DtFmt=1</stp>
        <tr r="Y1" s="2"/>
      </tp>
      <tp>
        <v>45596</v>
        <stp/>
        <stp>P</stp>
        <stp>0</stp>
        <stp>IR</stp>
        <stp>IRSTA6USD02Y</stp>
        <stp>일자</stp>
        <stp/>
        <stp>DtFmt=1</stp>
        <tr r="Y2" s="2"/>
      </tp>
      <tp>
        <v>45596</v>
        <stp/>
        <stp>P</stp>
        <stp>0</stp>
        <stp>IR</stp>
        <stp>IRSTA6USD03Y</stp>
        <stp>일자</stp>
        <stp/>
        <stp>DtFmt=1</stp>
        <tr r="Y3" s="2"/>
      </tp>
      <tp>
        <v>45596</v>
        <stp/>
        <stp>P</stp>
        <stp>0</stp>
        <stp>IR</stp>
        <stp>IRSTA6USD08Y</stp>
        <stp>일자</stp>
        <stp/>
        <stp>DtFmt=1</stp>
        <tr r="Y8" s="2"/>
      </tp>
      <tp>
        <v>45596</v>
        <stp/>
        <stp>P</stp>
        <stp>0</stp>
        <stp>IR</stp>
        <stp>IRSTA6USD09Y</stp>
        <stp>일자</stp>
        <stp/>
        <stp>DtFmt=1</stp>
        <tr r="Y9" s="2"/>
      </tp>
      <tp>
        <v>45596</v>
        <stp/>
        <stp>P</stp>
        <stp>0</stp>
        <stp>IR</stp>
        <stp>IRSTA6USD15Y</stp>
        <stp>일자</stp>
        <stp/>
        <stp>DtFmt=1</stp>
        <tr r="Y13" s="2"/>
      </tp>
      <tp>
        <v>45596</v>
        <stp/>
        <stp>P</stp>
        <stp>0</stp>
        <stp>IR</stp>
        <stp>IRSTA6USD10Y</stp>
        <stp>일자</stp>
        <stp/>
        <stp>DtFmt=1</stp>
        <tr r="Y10" s="2"/>
      </tp>
      <tp>
        <v>45596</v>
        <stp/>
        <stp>P</stp>
        <stp>0</stp>
        <stp>IR</stp>
        <stp>IRSTA6USD11Y</stp>
        <stp>일자</stp>
        <stp/>
        <stp>DtFmt=1</stp>
        <tr r="Y11" s="2"/>
      </tp>
      <tp>
        <v>45596</v>
        <stp/>
        <stp>P</stp>
        <stp>0</stp>
        <stp>IR</stp>
        <stp>IRSTA6USD12Y</stp>
        <stp>일자</stp>
        <stp/>
        <stp>DtFmt=1</stp>
        <tr r="Y12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'cross rate fwd'!$O$7</c:f>
              <c:strCache>
                <c:ptCount val="1"/>
                <c:pt idx="0">
                  <c:v> BID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'cross rate fwd'!$N$8:$N$21</c:f>
              <c:strCache>
                <c:ptCount val="14"/>
                <c:pt idx="0">
                  <c:v>SP</c:v>
                </c:pt>
                <c:pt idx="1">
                  <c:v>01Y</c:v>
                </c:pt>
                <c:pt idx="2">
                  <c:v>02Y</c:v>
                </c:pt>
                <c:pt idx="3">
                  <c:v>03Y</c:v>
                </c:pt>
                <c:pt idx="4">
                  <c:v>04Y</c:v>
                </c:pt>
                <c:pt idx="5">
                  <c:v>05Y</c:v>
                </c:pt>
                <c:pt idx="6">
                  <c:v>06Y</c:v>
                </c:pt>
                <c:pt idx="7">
                  <c:v>07Y</c:v>
                </c:pt>
                <c:pt idx="8">
                  <c:v>08Y</c:v>
                </c:pt>
                <c:pt idx="9">
                  <c:v>09Y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15Y</c:v>
                </c:pt>
              </c:strCache>
            </c:strRef>
          </c:cat>
          <c:val>
            <c:numRef>
              <c:f>'cross rate fwd'!$O$8:$O$21</c:f>
              <c:numCache>
                <c:formatCode>#,##0.00_ ;[Red]\-#,##0.00\ </c:formatCode>
                <c:ptCount val="14"/>
                <c:pt idx="0">
                  <c:v>1378.3</c:v>
                </c:pt>
                <c:pt idx="1">
                  <c:v>1350.5052354629211</c:v>
                </c:pt>
                <c:pt idx="2">
                  <c:v>1327.6896918828174</c:v>
                </c:pt>
                <c:pt idx="3">
                  <c:v>1307.3029898052785</c:v>
                </c:pt>
                <c:pt idx="4">
                  <c:v>1288.2244975990495</c:v>
                </c:pt>
                <c:pt idx="5">
                  <c:v>1270.722704330638</c:v>
                </c:pt>
                <c:pt idx="6">
                  <c:v>1254.6183670995208</c:v>
                </c:pt>
                <c:pt idx="7">
                  <c:v>1240.2757933867194</c:v>
                </c:pt>
                <c:pt idx="8">
                  <c:v>1225.0616559307039</c:v>
                </c:pt>
                <c:pt idx="9">
                  <c:v>1210.5710651286543</c:v>
                </c:pt>
                <c:pt idx="10">
                  <c:v>1199.8435225441513</c:v>
                </c:pt>
                <c:pt idx="11">
                  <c:v>1185.0979599928698</c:v>
                </c:pt>
                <c:pt idx="12">
                  <c:v>1170.8296254548127</c:v>
                </c:pt>
                <c:pt idx="13">
                  <c:v>1130.2190905341959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0-4320-8362-E5217110DF50}"/>
            </c:ext>
          </c:extLst>
        </c:ser>
        <c:ser>
          <c:idx val="1"/>
          <c:order val="1"/>
          <c:tx>
            <c:strRef>
              <c:f>'cross rate fwd'!$P$7</c:f>
              <c:strCache>
                <c:ptCount val="1"/>
                <c:pt idx="0">
                  <c:v> ASK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'cross rate fwd'!$N$8:$N$21</c:f>
              <c:strCache>
                <c:ptCount val="14"/>
                <c:pt idx="0">
                  <c:v>SP</c:v>
                </c:pt>
                <c:pt idx="1">
                  <c:v>01Y</c:v>
                </c:pt>
                <c:pt idx="2">
                  <c:v>02Y</c:v>
                </c:pt>
                <c:pt idx="3">
                  <c:v>03Y</c:v>
                </c:pt>
                <c:pt idx="4">
                  <c:v>04Y</c:v>
                </c:pt>
                <c:pt idx="5">
                  <c:v>05Y</c:v>
                </c:pt>
                <c:pt idx="6">
                  <c:v>06Y</c:v>
                </c:pt>
                <c:pt idx="7">
                  <c:v>07Y</c:v>
                </c:pt>
                <c:pt idx="8">
                  <c:v>08Y</c:v>
                </c:pt>
                <c:pt idx="9">
                  <c:v>09Y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15Y</c:v>
                </c:pt>
              </c:strCache>
            </c:strRef>
          </c:cat>
          <c:val>
            <c:numRef>
              <c:f>'cross rate fwd'!$P$8:$P$21</c:f>
              <c:numCache>
                <c:formatCode>#,##0.00_ ;[Red]\-#,##0.00\ </c:formatCode>
                <c:ptCount val="14"/>
                <c:pt idx="0">
                  <c:v>1378.5</c:v>
                </c:pt>
                <c:pt idx="1">
                  <c:v>1358.1746706566164</c:v>
                </c:pt>
                <c:pt idx="2">
                  <c:v>1342.7526485964374</c:v>
                </c:pt>
                <c:pt idx="3">
                  <c:v>1329.1438138161648</c:v>
                </c:pt>
                <c:pt idx="4">
                  <c:v>1316.4642011653743</c:v>
                </c:pt>
                <c:pt idx="5">
                  <c:v>1304.8971867844382</c:v>
                </c:pt>
                <c:pt idx="6">
                  <c:v>1294.3429129351891</c:v>
                </c:pt>
                <c:pt idx="7">
                  <c:v>1285.251768760231</c:v>
                </c:pt>
                <c:pt idx="8">
                  <c:v>1274.9737143351401</c:v>
                </c:pt>
                <c:pt idx="9">
                  <c:v>1265.1181371971911</c:v>
                </c:pt>
                <c:pt idx="10">
                  <c:v>1258.7916847008537</c:v>
                </c:pt>
                <c:pt idx="11">
                  <c:v>1248.0686288210616</c:v>
                </c:pt>
                <c:pt idx="12">
                  <c:v>1237.721476188603</c:v>
                </c:pt>
                <c:pt idx="13">
                  <c:v>1207.5622932526949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90-4320-8362-E5217110D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552960"/>
        <c:axId val="238555136"/>
      </c:lineChart>
      <c:catAx>
        <c:axId val="23855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55136"/>
        <c:crosses val="autoZero"/>
        <c:auto val="1"/>
        <c:lblAlgn val="ctr"/>
        <c:lblOffset val="100"/>
        <c:noMultiLvlLbl val="0"/>
      </c:catAx>
      <c:valAx>
        <c:axId val="23855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5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'cross rate fwd'!$O$26</c:f>
              <c:strCache>
                <c:ptCount val="1"/>
                <c:pt idx="0">
                  <c:v> BID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'cross rate fwd'!$N$27:$N$40</c:f>
              <c:strCache>
                <c:ptCount val="14"/>
                <c:pt idx="0">
                  <c:v>SP</c:v>
                </c:pt>
                <c:pt idx="1">
                  <c:v>01Y</c:v>
                </c:pt>
                <c:pt idx="2">
                  <c:v>02Y</c:v>
                </c:pt>
                <c:pt idx="3">
                  <c:v>03Y</c:v>
                </c:pt>
                <c:pt idx="4">
                  <c:v>04Y</c:v>
                </c:pt>
                <c:pt idx="5">
                  <c:v>05Y</c:v>
                </c:pt>
                <c:pt idx="6">
                  <c:v>06Y</c:v>
                </c:pt>
                <c:pt idx="7">
                  <c:v>07Y</c:v>
                </c:pt>
                <c:pt idx="8">
                  <c:v>08Y</c:v>
                </c:pt>
                <c:pt idx="9">
                  <c:v>09Y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15Y</c:v>
                </c:pt>
              </c:strCache>
            </c:strRef>
          </c:cat>
          <c:val>
            <c:numRef>
              <c:f>'cross rate fwd'!$O$27:$O$40</c:f>
              <c:numCache>
                <c:formatCode>#,##0.00_ ;[Red]\-#,##0.00\ </c:formatCode>
                <c:ptCount val="14"/>
                <c:pt idx="0">
                  <c:v>905.88</c:v>
                </c:pt>
                <c:pt idx="1">
                  <c:v>925.34353543384964</c:v>
                </c:pt>
                <c:pt idx="2">
                  <c:v>941.80772870165515</c:v>
                </c:pt>
                <c:pt idx="3">
                  <c:v>958.74468452310089</c:v>
                </c:pt>
                <c:pt idx="4">
                  <c:v>975.62090328645672</c:v>
                </c:pt>
                <c:pt idx="5">
                  <c:v>991.89429889650285</c:v>
                </c:pt>
                <c:pt idx="6">
                  <c:v>1008.2161305835034</c:v>
                </c:pt>
                <c:pt idx="7">
                  <c:v>1023.4088758202611</c:v>
                </c:pt>
                <c:pt idx="8">
                  <c:v>1036.2382755486528</c:v>
                </c:pt>
                <c:pt idx="9">
                  <c:v>1047.2267772195171</c:v>
                </c:pt>
                <c:pt idx="10">
                  <c:v>1058.8101396736306</c:v>
                </c:pt>
                <c:pt idx="11">
                  <c:v>1066.9773552004879</c:v>
                </c:pt>
                <c:pt idx="12">
                  <c:v>1070.5383737525485</c:v>
                </c:pt>
                <c:pt idx="13">
                  <c:v>1074.4353519349347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2-480B-9113-39C834A5EE63}"/>
            </c:ext>
          </c:extLst>
        </c:ser>
        <c:ser>
          <c:idx val="1"/>
          <c:order val="1"/>
          <c:tx>
            <c:strRef>
              <c:f>'cross rate fwd'!$P$26</c:f>
              <c:strCache>
                <c:ptCount val="1"/>
                <c:pt idx="0">
                  <c:v> ASK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'cross rate fwd'!$N$27:$N$40</c:f>
              <c:strCache>
                <c:ptCount val="14"/>
                <c:pt idx="0">
                  <c:v>SP</c:v>
                </c:pt>
                <c:pt idx="1">
                  <c:v>01Y</c:v>
                </c:pt>
                <c:pt idx="2">
                  <c:v>02Y</c:v>
                </c:pt>
                <c:pt idx="3">
                  <c:v>03Y</c:v>
                </c:pt>
                <c:pt idx="4">
                  <c:v>04Y</c:v>
                </c:pt>
                <c:pt idx="5">
                  <c:v>05Y</c:v>
                </c:pt>
                <c:pt idx="6">
                  <c:v>06Y</c:v>
                </c:pt>
                <c:pt idx="7">
                  <c:v>07Y</c:v>
                </c:pt>
                <c:pt idx="8">
                  <c:v>08Y</c:v>
                </c:pt>
                <c:pt idx="9">
                  <c:v>09Y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15Y</c:v>
                </c:pt>
              </c:strCache>
            </c:strRef>
          </c:cat>
          <c:val>
            <c:numRef>
              <c:f>'cross rate fwd'!$P$27:$P$40</c:f>
              <c:numCache>
                <c:formatCode>#,##0.00_ ;[Red]\-#,##0.00\ </c:formatCode>
                <c:ptCount val="14"/>
                <c:pt idx="0">
                  <c:v>906.19</c:v>
                </c:pt>
                <c:pt idx="1">
                  <c:v>930.02630902548481</c:v>
                </c:pt>
                <c:pt idx="2">
                  <c:v>951.13249848780902</c:v>
                </c:pt>
                <c:pt idx="3">
                  <c:v>972.6690866551171</c:v>
                </c:pt>
                <c:pt idx="4">
                  <c:v>994.14364441859868</c:v>
                </c:pt>
                <c:pt idx="5">
                  <c:v>1014.9093459999674</c:v>
                </c:pt>
                <c:pt idx="6">
                  <c:v>1035.6535658177895</c:v>
                </c:pt>
                <c:pt idx="7">
                  <c:v>1055.1943937907386</c:v>
                </c:pt>
                <c:pt idx="8">
                  <c:v>1072.28599503542</c:v>
                </c:pt>
                <c:pt idx="9">
                  <c:v>1087.3998803228756</c:v>
                </c:pt>
                <c:pt idx="10">
                  <c:v>1102.9810444610009</c:v>
                </c:pt>
                <c:pt idx="11">
                  <c:v>1112.6593944385372</c:v>
                </c:pt>
                <c:pt idx="12">
                  <c:v>1119.7331045177912</c:v>
                </c:pt>
                <c:pt idx="13">
                  <c:v>1133.3689153091552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D2-480B-9113-39C834A5E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589056"/>
        <c:axId val="238590976"/>
      </c:lineChart>
      <c:catAx>
        <c:axId val="23858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90976"/>
        <c:crosses val="autoZero"/>
        <c:auto val="1"/>
        <c:lblAlgn val="ctr"/>
        <c:lblOffset val="100"/>
        <c:noMultiLvlLbl val="0"/>
      </c:catAx>
      <c:valAx>
        <c:axId val="23859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8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22" fmlaLink="$D$7" fmlaRange="code!$A$1:$A$9" noThreeD="1" sel="1" val="0"/>
</file>

<file path=xl/ctrlProps/ctrlProp2.xml><?xml version="1.0" encoding="utf-8"?>
<formControlPr xmlns="http://schemas.microsoft.com/office/spreadsheetml/2009/9/main" objectType="Drop" dropLines="10" dropStyle="combo" dx="22" fmlaLink="$D$26" fmlaRange="code!$A$1:$A$9" noThreeD="1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AA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9525</xdr:rowOff>
        </xdr:from>
        <xdr:to>
          <xdr:col>5</xdr:col>
          <xdr:colOff>209550</xdr:colOff>
          <xdr:row>6</xdr:row>
          <xdr:rowOff>200025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9525</xdr:rowOff>
        </xdr:from>
        <xdr:to>
          <xdr:col>5</xdr:col>
          <xdr:colOff>209550</xdr:colOff>
          <xdr:row>25</xdr:row>
          <xdr:rowOff>200025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4507</xdr:colOff>
      <xdr:row>5</xdr:row>
      <xdr:rowOff>142874</xdr:rowOff>
    </xdr:from>
    <xdr:to>
      <xdr:col>24</xdr:col>
      <xdr:colOff>731632</xdr:colOff>
      <xdr:row>20</xdr:row>
      <xdr:rowOff>211049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4507</xdr:colOff>
      <xdr:row>24</xdr:row>
      <xdr:rowOff>153431</xdr:rowOff>
    </xdr:from>
    <xdr:to>
      <xdr:col>24</xdr:col>
      <xdr:colOff>731632</xdr:colOff>
      <xdr:row>40</xdr:row>
      <xdr:rowOff>2531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3</xdr:row>
          <xdr:rowOff>28575</xdr:rowOff>
        </xdr:from>
        <xdr:to>
          <xdr:col>17</xdr:col>
          <xdr:colOff>533400</xdr:colOff>
          <xdr:row>4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Stop &amp; 재조회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285750</xdr:colOff>
          <xdr:row>3</xdr:row>
          <xdr:rowOff>38099</xdr:rowOff>
        </xdr:from>
        <xdr:to>
          <xdr:col>16</xdr:col>
          <xdr:colOff>152400</xdr:colOff>
          <xdr:row>4</xdr:row>
          <xdr:rowOff>87974</xdr:rowOff>
        </xdr:to>
        <xdr:grpSp>
          <xdr:nvGrpSpPr>
            <xdr:cNvPr id="4" name="그룹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6219825" y="552449"/>
              <a:ext cx="1104900" cy="268950"/>
              <a:chOff x="5768539" y="552450"/>
              <a:chExt cx="1276350" cy="288000"/>
            </a:xfrm>
          </xdr:grpSpPr>
          <xdr:sp macro="" textlink=""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5768539" y="552450"/>
                <a:ext cx="127635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굴림"/>
                    <a:ea typeface="굴림"/>
                  </a:rPr>
                  <a:t>조회 상태</a:t>
                </a:r>
              </a:p>
            </xdr:txBody>
          </xdr:sp>
          <xdr:sp macro="" textlink="">
            <xdr:nvSpPr>
              <xdr:cNvPr id="1031" name="Option 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5829300" y="609600"/>
                <a:ext cx="540000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굴림"/>
                    <a:ea typeface="굴림"/>
                  </a:rPr>
                  <a:t> Real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6467475" y="609600"/>
                <a:ext cx="468000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굴림"/>
                    <a:ea typeface="굴림"/>
                  </a:rPr>
                  <a:t>Stop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0</xdr:colOff>
      <xdr:row>3</xdr:row>
      <xdr:rowOff>75780</xdr:rowOff>
    </xdr:from>
    <xdr:to>
      <xdr:col>38</xdr:col>
      <xdr:colOff>27720</xdr:colOff>
      <xdr:row>3</xdr:row>
      <xdr:rowOff>95940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잉크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14:cNvPr>
            <xdr14:cNvContentPartPr/>
          </xdr14:nvContentPartPr>
          <xdr14:nvPr macro=""/>
          <xdr14:xfrm>
            <a:off x="22505520" y="738720"/>
            <a:ext cx="27720" cy="20160"/>
          </xdr14:xfrm>
        </xdr:contentPart>
      </mc:Choice>
      <mc:Fallback xmlns="">
        <xdr:pic>
          <xdr:nvPicPr>
            <xdr:cNvPr id="2" name="잉크 1">
              <a:extLst>
                <a:ext uri="{FF2B5EF4-FFF2-40B4-BE49-F238E27FC236}">
                  <a16:creationId xmlns:a16="http://schemas.microsoft.com/office/drawing/2014/main" id="{1991A839-6BA8-40D7-B29E-859E2700FFE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2487520" y="721080"/>
              <a:ext cx="63360" cy="558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2-24T14:53:40.140"/>
    </inkml:context>
    <inkml:brush xml:id="br0">
      <inkml:brushProperty name="width" value="0.1" units="cm"/>
      <inkml:brushProperty name="height" value="0.1" units="cm"/>
      <inkml:brushProperty name="color" value="#333333"/>
    </inkml:brush>
  </inkml:definitions>
  <inkml:trace contextRef="#ctx0" brushRef="#br0">76 1 3041 0 0,'-13'25'1056'0'0,"-8"-10"-832"0"0,6-6-720 0 0,3-5 328 0 0,8-2-16 0 0,-7-7-184 0 0</inkml:trace>
</inkml: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AW58"/>
  <sheetViews>
    <sheetView showGridLines="0" showRowColHeaders="0" tabSelected="1" zoomScaleNormal="100" workbookViewId="0">
      <pane activePane="bottomRight" state="frozen"/>
      <selection activeCell="D26" sqref="D26"/>
    </sheetView>
  </sheetViews>
  <sheetFormatPr defaultColWidth="0" defaultRowHeight="16.5"/>
  <cols>
    <col min="1" max="1" width="1.28515625" style="6" customWidth="1"/>
    <col min="2" max="2" width="6" style="6" customWidth="1"/>
    <col min="3" max="3" width="8" style="7" customWidth="1"/>
    <col min="4" max="5" width="8.7109375" style="6" customWidth="1"/>
    <col min="6" max="6" width="8.42578125" style="6" customWidth="1"/>
    <col min="7" max="7" width="2.28515625" style="6" customWidth="1"/>
    <col min="8" max="8" width="4.7109375" style="6" customWidth="1"/>
    <col min="9" max="9" width="8" style="7" customWidth="1"/>
    <col min="10" max="11" width="8.7109375" style="6" customWidth="1"/>
    <col min="12" max="12" width="8.42578125" style="6" customWidth="1"/>
    <col min="13" max="13" width="2.28515625" style="6" customWidth="1"/>
    <col min="14" max="14" width="4.7109375" style="6" customWidth="1"/>
    <col min="15" max="16" width="9.28515625" style="6" customWidth="1"/>
    <col min="17" max="18" width="9.7109375" style="6" customWidth="1"/>
    <col min="19" max="19" width="0.85546875" style="6" customWidth="1"/>
    <col min="20" max="25" width="11.85546875" style="6" customWidth="1"/>
    <col min="26" max="26" width="8.28515625" style="6" hidden="1"/>
    <col min="27" max="27" width="3.42578125" style="6" hidden="1"/>
    <col min="28" max="30" width="9.28515625" style="6" hidden="1"/>
    <col min="31" max="31" width="9.140625" style="6" hidden="1"/>
    <col min="32" max="32" width="9.28515625" style="6" hidden="1"/>
    <col min="33" max="33" width="11.85546875" style="6" hidden="1"/>
    <col min="34" max="35" width="9.28515625" style="6" hidden="1"/>
    <col min="36" max="42" width="11.85546875" style="6" hidden="1"/>
    <col min="43" max="44" width="9.28515625" style="6" hidden="1"/>
    <col min="45" max="49" width="11.85546875" style="6" hidden="1"/>
    <col min="50" max="16384" width="9.140625" style="6" hidden="1"/>
  </cols>
  <sheetData>
    <row r="1" spans="2:49" ht="9" customHeight="1">
      <c r="Z1" s="6">
        <v>2</v>
      </c>
      <c r="AA1" s="6">
        <v>2</v>
      </c>
    </row>
    <row r="2" spans="2:49" ht="27.6" customHeight="1">
      <c r="B2" s="8" t="s">
        <v>51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</row>
    <row r="3" spans="2:49" ht="4.9000000000000004" customHeight="1">
      <c r="B3" s="9"/>
    </row>
    <row r="4" spans="2:49" ht="17.25">
      <c r="B4" s="10">
        <f ca="1">TODAY()</f>
        <v>45596</v>
      </c>
      <c r="C4" s="10"/>
      <c r="D4" s="10"/>
    </row>
    <row r="5" spans="2:49" ht="11.45" customHeight="1" thickBot="1">
      <c r="G5" s="11"/>
      <c r="H5" s="11"/>
      <c r="I5" s="11"/>
      <c r="J5" s="11"/>
      <c r="K5" s="11"/>
      <c r="L5" s="11"/>
      <c r="M5" s="11"/>
      <c r="Q5" s="12"/>
      <c r="R5" s="12"/>
      <c r="AF5" s="13"/>
      <c r="AJ5" s="13"/>
      <c r="AQ5" s="6" t="s">
        <v>36</v>
      </c>
    </row>
    <row r="6" spans="2:49" ht="17.25" thickBot="1">
      <c r="B6" s="9" t="str">
        <f>INDEX(code!$B$1:$B$9,$D$7)</f>
        <v>30/360 Annual Fixed VS ACT/360 Annual SOFR</v>
      </c>
      <c r="C6" s="14"/>
      <c r="E6" s="15"/>
      <c r="F6" s="15"/>
      <c r="G6" s="15"/>
      <c r="H6" s="14"/>
      <c r="I6" s="14"/>
      <c r="J6" s="15"/>
      <c r="K6" s="15"/>
      <c r="L6" s="15"/>
      <c r="M6" s="15"/>
      <c r="N6" s="16" t="str">
        <f>INDEX(code!$D$1:$D$9,'cross rate fwd'!$D$7)&amp;" Forward"</f>
        <v>USD/KRW Forward</v>
      </c>
      <c r="O6" s="17"/>
      <c r="P6" s="18"/>
      <c r="Q6" s="19" t="s">
        <v>50</v>
      </c>
      <c r="R6" s="20"/>
      <c r="AJ6" s="6" t="s">
        <v>34</v>
      </c>
    </row>
    <row r="7" spans="2:49" ht="17.25" thickBot="1">
      <c r="B7" s="21"/>
      <c r="C7" s="22"/>
      <c r="D7" s="23">
        <v>1</v>
      </c>
      <c r="E7" s="23"/>
      <c r="F7" s="24"/>
      <c r="G7" s="25"/>
      <c r="H7" s="26" t="s">
        <v>72</v>
      </c>
      <c r="I7" s="27"/>
      <c r="J7" s="27"/>
      <c r="K7" s="27"/>
      <c r="L7" s="28"/>
      <c r="M7" s="25"/>
      <c r="N7" s="29" t="s">
        <v>43</v>
      </c>
      <c r="O7" s="30" t="s">
        <v>0</v>
      </c>
      <c r="P7" s="31" t="s">
        <v>1</v>
      </c>
      <c r="Q7" s="32" t="s">
        <v>0</v>
      </c>
      <c r="R7" s="33" t="s">
        <v>1</v>
      </c>
      <c r="AC7" s="6">
        <f>INDEX(code!$T:$T,MATCH('cross rate fwd'!$D$7,code!$T:$T,0)+3)</f>
        <v>170540</v>
      </c>
      <c r="AG7" s="34" t="b">
        <f ca="1">IFERROR(MATCH( INDEX(code!$H:$H,
MATCH($B$4,code!$H:$H,-1)-2),
code!$D$14:$D$44,0 ),FALSE)</f>
        <v>0</v>
      </c>
      <c r="AH7" s="35" t="s">
        <v>0</v>
      </c>
      <c r="AI7" s="36" t="s">
        <v>1</v>
      </c>
      <c r="AJ7" s="6" t="b">
        <f ca="1">(AJ8=AG8)</f>
        <v>0</v>
      </c>
      <c r="AK7" s="7">
        <v>5</v>
      </c>
      <c r="AL7" s="7">
        <v>4</v>
      </c>
      <c r="AM7" s="7">
        <v>3</v>
      </c>
      <c r="AN7" s="7">
        <v>2</v>
      </c>
      <c r="AO7" s="7">
        <v>1</v>
      </c>
      <c r="AP7" s="37">
        <f ca="1">INDEX(code!$P:$P,MATCH($B$4,code!$P:$P,-1)-2)</f>
        <v>45600</v>
      </c>
      <c r="AQ7" s="35" t="s">
        <v>0</v>
      </c>
      <c r="AR7" s="36" t="s">
        <v>1</v>
      </c>
      <c r="AS7" s="6" t="b">
        <f ca="1">(AS8=AP7)</f>
        <v>0</v>
      </c>
      <c r="AT7" s="7">
        <v>4</v>
      </c>
      <c r="AU7" s="7">
        <v>3</v>
      </c>
      <c r="AV7" s="7">
        <v>2</v>
      </c>
      <c r="AW7" s="7">
        <v>1</v>
      </c>
    </row>
    <row r="8" spans="2:49" ht="17.25" thickBot="1">
      <c r="B8" s="38" t="s">
        <v>44</v>
      </c>
      <c r="C8" s="39" t="s">
        <v>45</v>
      </c>
      <c r="D8" s="40" t="s">
        <v>46</v>
      </c>
      <c r="E8" s="41" t="s">
        <v>47</v>
      </c>
      <c r="F8" s="42" t="s">
        <v>30</v>
      </c>
      <c r="G8" s="25"/>
      <c r="H8" s="43" t="s">
        <v>44</v>
      </c>
      <c r="I8" s="44" t="s">
        <v>45</v>
      </c>
      <c r="J8" s="45" t="s">
        <v>46</v>
      </c>
      <c r="K8" s="41" t="s">
        <v>47</v>
      </c>
      <c r="L8" s="46" t="s">
        <v>30</v>
      </c>
      <c r="M8" s="25"/>
      <c r="N8" s="47" t="s">
        <v>2</v>
      </c>
      <c r="O8" s="106">
        <f>AB8</f>
        <v>1378.3</v>
      </c>
      <c r="P8" s="107">
        <f>AC8</f>
        <v>1378.5</v>
      </c>
      <c r="Q8" s="48" t="str">
        <f>TEXT(AC7,"00"":""00"":""00")&amp;IF(D7=1,code!$D$11," (종합)")</f>
        <v>17:05:40 (서환-은행)</v>
      </c>
      <c r="R8" s="49"/>
      <c r="AB8" s="6">
        <f>INDEX(code!$T:$T,MATCH('cross rate fwd'!$D$7,code!$T:$T,0)+1)</f>
        <v>1378.3</v>
      </c>
      <c r="AC8" s="6">
        <f>INDEX(code!$T:$T,MATCH('cross rate fwd'!$D$7,code!$T:$T,0)+2)</f>
        <v>1378.5</v>
      </c>
      <c r="AG8" s="50">
        <f ca="1">INDEX(code!$H:$H,MATCH($B$4,code!$H:$H,-1)-2-IF(AG7,-1,0))</f>
        <v>45600</v>
      </c>
      <c r="AH8" s="51"/>
      <c r="AI8" s="52"/>
      <c r="AJ8" s="53">
        <f ca="1">INDEX(code!$J:$J,MATCH(EOMONTH(AG8,0),code!$J:$J,1))</f>
        <v>45625</v>
      </c>
      <c r="AK8" s="53" t="s">
        <v>37</v>
      </c>
      <c r="AL8" s="53" t="s">
        <v>35</v>
      </c>
      <c r="AM8" s="53" t="s">
        <v>41</v>
      </c>
      <c r="AN8" s="53" t="s">
        <v>40</v>
      </c>
      <c r="AO8" s="7" t="s">
        <v>39</v>
      </c>
      <c r="AP8" s="54"/>
      <c r="AQ8" s="51"/>
      <c r="AR8" s="52"/>
      <c r="AS8" s="53">
        <f ca="1">INDEX(code!$J:$J,MATCH(EOMONTH(AP7,0),code!$J:$J,1))</f>
        <v>45625</v>
      </c>
      <c r="AT8" s="7" t="s">
        <v>38</v>
      </c>
      <c r="AU8" s="7" t="s">
        <v>35</v>
      </c>
      <c r="AV8" s="7" t="s">
        <v>41</v>
      </c>
      <c r="AW8" s="7" t="s">
        <v>42</v>
      </c>
    </row>
    <row r="9" spans="2:49">
      <c r="B9" s="55" t="str">
        <f>IF(D9="","", H9)</f>
        <v>01Y</v>
      </c>
      <c r="C9" s="120">
        <f ca="1">AG9</f>
        <v>365</v>
      </c>
      <c r="D9" s="56">
        <f>IF(AB9=0,"",AB9)</f>
        <v>4.1989999999999998</v>
      </c>
      <c r="E9" s="57">
        <f t="shared" ref="E9:E21" si="0">IF(AC9=0,"",AC9)</f>
        <v>4.1790000000000003</v>
      </c>
      <c r="F9" s="58">
        <f t="shared" ref="F9:F21" si="1">IF(AD9=0,"",AD9)</f>
        <v>0.71134259259259258</v>
      </c>
      <c r="G9" s="59"/>
      <c r="H9" s="60" t="s">
        <v>16</v>
      </c>
      <c r="I9" s="123">
        <f ca="1">$AP9</f>
        <v>365</v>
      </c>
      <c r="J9" s="61">
        <f>_xll.IMDP("IR","CRSTC7KRW"&amp;$H9,"매도호가")</f>
        <v>2.7349999999999999</v>
      </c>
      <c r="K9" s="57">
        <f>_xll.IMDP("IR","CRSTC7KRW"&amp;$H9,"매수호가")</f>
        <v>2.1349999999999998</v>
      </c>
      <c r="L9" s="62">
        <f>_xll.IMDP("IR","CRSTC7KRW"&amp;$H9,"시간",,"TmFmt=1")</f>
        <v>0.70616898148148144</v>
      </c>
      <c r="M9" s="59"/>
      <c r="N9" s="63" t="str">
        <f>IF(B9="","",B9)</f>
        <v>01Y</v>
      </c>
      <c r="O9" s="108">
        <f t="shared" ref="O9:O21" ca="1" si="2">IFERROR($O$8*(AQ9/AH9),NA())</f>
        <v>1350.5052354629211</v>
      </c>
      <c r="P9" s="109">
        <f t="shared" ref="P9:P21" ca="1" si="3">IFERROR($O$8*(AR9/AI9),NA())</f>
        <v>1358.1746706566164</v>
      </c>
      <c r="Q9" s="114">
        <f ca="1">IFERROR((O9-$O$8)*100,"")</f>
        <v>-2779.476453707889</v>
      </c>
      <c r="R9" s="115">
        <f ca="1">IFERROR((P9-$P$8)*100,"")</f>
        <v>-2032.5329343383601</v>
      </c>
      <c r="AA9" s="6">
        <v>0</v>
      </c>
      <c r="AB9" s="64">
        <f>INDEX(code!$V:$Y, MATCH(
INDEX(code!$A$1:$A$9,'cross rate fwd'!$D$7),code!$T:$T,0)+$AA9,
1)</f>
        <v>4.1989999999999998</v>
      </c>
      <c r="AC9" s="65">
        <f>INDEX(code!$V:$Y, MATCH(
INDEX(code!$A$1:$A$9,'cross rate fwd'!$D$7),code!$T:$T,0)+$AA9,
2)</f>
        <v>4.1790000000000003</v>
      </c>
      <c r="AD9" s="66" cm="1">
        <f t="array" ref="AD9">INDEX(code!$V:$Y, MATCH(
INDEX(code!$A$1:$A$9,'cross rate fwd'!$D$7),code!$T:$T,0)+$AA9,
3)</f>
        <v>0.71134259259259258</v>
      </c>
      <c r="AF9" s="6">
        <v>1</v>
      </c>
      <c r="AG9" s="67">
        <f t="shared" ref="AG9:AG21" ca="1" si="4">AJ9-$AG$8</f>
        <v>365</v>
      </c>
      <c r="AH9" s="64">
        <f ca="1">1+E9%*(C9/360)</f>
        <v>1.0423704166666667</v>
      </c>
      <c r="AI9" s="65">
        <f ca="1">1+D9%*(C9/360)</f>
        <v>1.0425731944444445</v>
      </c>
      <c r="AJ9" s="13">
        <f ca="1">IF(MONTH(EDATE($AG$8,12*$AF9))=MONTH(AM9),AM9,AK9)</f>
        <v>45965</v>
      </c>
      <c r="AK9" s="68">
        <f ca="1">IF($AJ$7,INDEX(code!$J:$J,MATCH(EOMONTH(AL9,0),code!$J:$J,1)),AL9)</f>
        <v>45965</v>
      </c>
      <c r="AL9" s="13">
        <f ca="1">INDEX(code!$J:$J,MATCH(EDATE($AG$8,12*$AF9),code!$J:$J,1))</f>
        <v>45965</v>
      </c>
      <c r="AM9" s="68">
        <f ca="1">IF($AJ$7,
INDEX(code!$J:$J,MATCH(EOMONTH(AN9,0),code!$J:$J,1)),
AN9)</f>
        <v>45965</v>
      </c>
      <c r="AN9" s="13">
        <f ca="1">IF(IFERROR(MATCH(AO9,code!$D$14:$D$44,0),FALSE),INDEX(code!$H:$H,MATCH(AO9,code!$H:$H,0)-1),AO9)</f>
        <v>45965</v>
      </c>
      <c r="AO9" s="13">
        <f ca="1">INDEX(code!$H:$H,MATCH(EDATE($AG$8,12*$AF9),code!$H:$H,-1))</f>
        <v>45965</v>
      </c>
      <c r="AP9" s="67">
        <f ca="1">AS9-$AP$7</f>
        <v>365</v>
      </c>
      <c r="AQ9" s="64">
        <f t="shared" ref="AQ9:AQ21" ca="1" si="5">1+K9%*(I9/365)</f>
        <v>1.02135</v>
      </c>
      <c r="AR9" s="65">
        <f t="shared" ref="AR9:AR21" ca="1" si="6">1+J9%*(I9/365)</f>
        <v>1.02735</v>
      </c>
      <c r="AS9" s="13">
        <f ca="1">IF(MONTH(EDATE($AP$7,12*$AF9))=MONTH(AV9),AV9,AT9)</f>
        <v>45965</v>
      </c>
      <c r="AT9" s="68">
        <f ca="1">IF($AS$7,INDEX(code!$R:$R,MATCH(EOMONTH(AU9,0),code!$R:$R,1)),AU9)</f>
        <v>45965</v>
      </c>
      <c r="AU9" s="13">
        <f ca="1">INDEX(code!$R:$R,MATCH(EDATE($AP$7,12*AF9),code!$R:$R,1))</f>
        <v>45965</v>
      </c>
      <c r="AV9" s="68">
        <f ca="1">IF($AS$7,
INDEX(code!$J:$J,MATCH(EOMONTH(AW9,0),code!$J:$J,1)),
AW9)</f>
        <v>45965</v>
      </c>
      <c r="AW9" s="13">
        <f ca="1">INDEX(code!$P:$P,MATCH(EDATE($AP$7,12*AF9),code!$P:$P,-1))</f>
        <v>45965</v>
      </c>
    </row>
    <row r="10" spans="2:49">
      <c r="B10" s="69" t="str">
        <f>IF(D10="","", H10)</f>
        <v>02Y</v>
      </c>
      <c r="C10" s="121">
        <f t="shared" ref="C10:C21" ca="1" si="7">AG10</f>
        <v>730</v>
      </c>
      <c r="D10" s="70">
        <f t="shared" ref="D10:D21" si="8">IF(AB10=0,"",AB10)</f>
        <v>3.9529999999999998</v>
      </c>
      <c r="E10" s="71">
        <f t="shared" si="0"/>
        <v>3.9430000000000001</v>
      </c>
      <c r="F10" s="72">
        <f t="shared" si="1"/>
        <v>0.71218749999999997</v>
      </c>
      <c r="G10" s="59"/>
      <c r="H10" s="73" t="s">
        <v>17</v>
      </c>
      <c r="I10" s="124">
        <f t="shared" ref="I10:I21" ca="1" si="9">$AP10</f>
        <v>730</v>
      </c>
      <c r="J10" s="74">
        <f>_xll.IMDP("IR","CRSTC7KRW"&amp;$H10,"매도호가")</f>
        <v>2.6150000000000002</v>
      </c>
      <c r="K10" s="71">
        <f>_xll.IMDP("IR","CRSTC7KRW"&amp;$H10,"매수호가")</f>
        <v>2.0150000000000001</v>
      </c>
      <c r="L10" s="75">
        <f>_xll.IMDP("IR","CRSTC7KRW"&amp;$H10,"시간",,"TmFmt=1")</f>
        <v>0.70618055555555559</v>
      </c>
      <c r="M10" s="59"/>
      <c r="N10" s="69" t="str">
        <f>IF(B10="","",B10)</f>
        <v>02Y</v>
      </c>
      <c r="O10" s="110">
        <f t="shared" ca="1" si="2"/>
        <v>1327.6896918828174</v>
      </c>
      <c r="P10" s="111">
        <f t="shared" ca="1" si="3"/>
        <v>1342.7526485964374</v>
      </c>
      <c r="Q10" s="116">
        <f t="shared" ref="Q10:Q21" ca="1" si="10">IFERROR((O10-$O$8)*100,"")</f>
        <v>-5061.0308117182512</v>
      </c>
      <c r="R10" s="117">
        <f t="shared" ref="R10:R21" ca="1" si="11">IFERROR((P10-$P$8)*100,"")</f>
        <v>-3574.7351403562561</v>
      </c>
      <c r="AA10" s="6">
        <v>1</v>
      </c>
      <c r="AB10" s="67">
        <f>INDEX(code!$V:$Y, MATCH(
INDEX(code!$A$1:$A$9,'cross rate fwd'!$D$7),code!$T:$T,0)+$AA10,
1)</f>
        <v>3.9529999999999998</v>
      </c>
      <c r="AC10" s="76">
        <f>INDEX(code!$V:$Y, MATCH(
INDEX(code!$A$1:$A$9,'cross rate fwd'!$D$7),code!$T:$T,0)+$AA10,
2)</f>
        <v>3.9430000000000001</v>
      </c>
      <c r="AD10" s="77" cm="1">
        <f t="array" ref="AD10">INDEX(code!$V:$Y, MATCH(
INDEX(code!$A$1:$A$9,'cross rate fwd'!$D$7),code!$T:$T,0)+$AA10,
3)</f>
        <v>0.71218749999999997</v>
      </c>
      <c r="AF10" s="6">
        <v>2</v>
      </c>
      <c r="AG10" s="67">
        <f t="shared" ca="1" si="4"/>
        <v>730</v>
      </c>
      <c r="AH10" s="67">
        <f ca="1">1+E10%*(C10/360)</f>
        <v>1.0799552777777777</v>
      </c>
      <c r="AI10" s="76">
        <f ca="1">1+D10%*(C10/360)</f>
        <v>1.0801580555555554</v>
      </c>
      <c r="AJ10" s="13">
        <f t="shared" ref="AJ10:AJ21" ca="1" si="12">IF(MONTH(EDATE($AG$8,12*$AF10))=MONTH(AM10),AM10,AK10)</f>
        <v>46330</v>
      </c>
      <c r="AK10" s="68">
        <f ca="1">IF($AJ$7,INDEX(code!$J:$J,MATCH(EOMONTH(AL10,0),code!$J:$J,1)),AL10)</f>
        <v>46330</v>
      </c>
      <c r="AL10" s="13">
        <f ca="1">INDEX(code!$J:$J,MATCH(EDATE($AG$8,12*$AF10),code!$J:$J,1))</f>
        <v>46330</v>
      </c>
      <c r="AM10" s="68">
        <f ca="1">IF($AJ$7,
INDEX(code!$J:$J,MATCH(EOMONTH(AN10,0),code!$J:$J,1)),
AN10)</f>
        <v>46330</v>
      </c>
      <c r="AN10" s="13">
        <f ca="1">IF(IFERROR(MATCH(AO10,code!$D$14:$D$44,0),FALSE),INDEX(code!$H:$H,MATCH(AO10,code!$H:$H,0)-1),AO10)</f>
        <v>46330</v>
      </c>
      <c r="AO10" s="13">
        <f ca="1">INDEX(code!$H:$H,MATCH(EDATE($AG$8,12*$AF10),code!$H:$H,-1))</f>
        <v>46330</v>
      </c>
      <c r="AP10" s="67">
        <f t="shared" ref="AP10:AP21" ca="1" si="13">AS10-$AP$7</f>
        <v>730</v>
      </c>
      <c r="AQ10" s="67">
        <f t="shared" ca="1" si="5"/>
        <v>1.0403</v>
      </c>
      <c r="AR10" s="76">
        <f t="shared" ca="1" si="6"/>
        <v>1.0523</v>
      </c>
      <c r="AS10" s="13">
        <f t="shared" ref="AS10:AS21" ca="1" si="14">IF(MONTH(EDATE($AP$7,12*$AF10))=MONTH(AV10),AV10,AT10)</f>
        <v>46330</v>
      </c>
      <c r="AT10" s="68">
        <f ca="1">IF($AS$7,INDEX(code!$R:$R,MATCH(EOMONTH(AU10,0),code!$R:$R,1)),AU10)</f>
        <v>46330</v>
      </c>
      <c r="AU10" s="13">
        <f ca="1">INDEX(code!$R:$R,MATCH(EDATE($AP$7,12*AF10),code!$R:$R,1))</f>
        <v>46330</v>
      </c>
      <c r="AV10" s="68">
        <f ca="1">IF($AS$7,
INDEX(code!$J:$J,MATCH(EOMONTH(AW10,0),code!$J:$J,1)),
AW10)</f>
        <v>46330</v>
      </c>
      <c r="AW10" s="13">
        <f ca="1">INDEX(code!$P:$P,MATCH(EDATE($AP$7,12*AF10),code!$P:$P,-1))</f>
        <v>46330</v>
      </c>
    </row>
    <row r="11" spans="2:49">
      <c r="B11" s="69" t="str">
        <f>IF(D11="","", H11)</f>
        <v>03Y</v>
      </c>
      <c r="C11" s="121">
        <f t="shared" ca="1" si="7"/>
        <v>1095</v>
      </c>
      <c r="D11" s="70">
        <f t="shared" si="8"/>
        <v>3.87</v>
      </c>
      <c r="E11" s="71">
        <f t="shared" si="0"/>
        <v>3.86</v>
      </c>
      <c r="F11" s="72">
        <f t="shared" si="1"/>
        <v>0.71218749999999997</v>
      </c>
      <c r="G11" s="59"/>
      <c r="H11" s="73" t="s">
        <v>18</v>
      </c>
      <c r="I11" s="124">
        <f t="shared" ca="1" si="9"/>
        <v>1095</v>
      </c>
      <c r="J11" s="74">
        <f>_xll.IMDP("IR","CRSTC7KRW"&amp;$H11,"매도호가")</f>
        <v>2.5950000000000002</v>
      </c>
      <c r="K11" s="71">
        <f>_xll.IMDP("IR","CRSTC7KRW"&amp;$H11,"매수호가")</f>
        <v>1.9950000000000001</v>
      </c>
      <c r="L11" s="75">
        <f>_xll.IMDP("IR","CRSTC7KRW"&amp;$H11,"시간",,"TmFmt=1")</f>
        <v>0.70619212962962963</v>
      </c>
      <c r="M11" s="59"/>
      <c r="N11" s="69" t="str">
        <f>IF(B11="","",B11)</f>
        <v>03Y</v>
      </c>
      <c r="O11" s="110">
        <f t="shared" ca="1" si="2"/>
        <v>1307.3029898052785</v>
      </c>
      <c r="P11" s="111">
        <f t="shared" ca="1" si="3"/>
        <v>1329.1438138161648</v>
      </c>
      <c r="Q11" s="116">
        <f t="shared" ca="1" si="10"/>
        <v>-7099.7010194721497</v>
      </c>
      <c r="R11" s="117">
        <f t="shared" ca="1" si="11"/>
        <v>-4935.6186183835234</v>
      </c>
      <c r="AA11" s="6">
        <v>2</v>
      </c>
      <c r="AB11" s="67">
        <f>INDEX(code!$V:$Y, MATCH(
INDEX(code!$A$1:$A$9,'cross rate fwd'!$D$7),code!$T:$T,0)+$AA11,
1)</f>
        <v>3.87</v>
      </c>
      <c r="AC11" s="76">
        <f>INDEX(code!$V:$Y, MATCH(
INDEX(code!$A$1:$A$9,'cross rate fwd'!$D$7),code!$T:$T,0)+$AA11,
2)</f>
        <v>3.86</v>
      </c>
      <c r="AD11" s="77" cm="1">
        <f t="array" ref="AD11">INDEX(code!$V:$Y, MATCH(
INDEX(code!$A$1:$A$9,'cross rate fwd'!$D$7),code!$T:$T,0)+$AA11,
3)</f>
        <v>0.71218749999999997</v>
      </c>
      <c r="AF11" s="6">
        <v>3</v>
      </c>
      <c r="AG11" s="67">
        <f t="shared" ca="1" si="4"/>
        <v>1095</v>
      </c>
      <c r="AH11" s="67">
        <f ca="1">1+E11%*(C11/360)</f>
        <v>1.1174083333333333</v>
      </c>
      <c r="AI11" s="76">
        <f ca="1">1+D11%*(C11/360)</f>
        <v>1.1177124999999999</v>
      </c>
      <c r="AJ11" s="13">
        <f t="shared" ca="1" si="12"/>
        <v>46695</v>
      </c>
      <c r="AK11" s="68">
        <f ca="1">IF($AJ$7,INDEX(code!$J:$J,MATCH(EOMONTH(AL11,0),code!$J:$J,1)),AL11)</f>
        <v>46695</v>
      </c>
      <c r="AL11" s="13">
        <f ca="1">INDEX(code!$J:$J,MATCH(EDATE($AG$8,12*$AF11),code!$J:$J,1))</f>
        <v>46695</v>
      </c>
      <c r="AM11" s="68">
        <f ca="1">IF($AJ$7,
INDEX(code!$J:$J,MATCH(EOMONTH(AN11,0),code!$J:$J,1)),
AN11)</f>
        <v>46695</v>
      </c>
      <c r="AN11" s="13">
        <f ca="1">IF(IFERROR(MATCH(AO11,code!$D$14:$D$44,0),FALSE),INDEX(code!$H:$H,MATCH(AO11,code!$H:$H,0)-1),AO11)</f>
        <v>46695</v>
      </c>
      <c r="AO11" s="13">
        <f ca="1">INDEX(code!$H:$H,MATCH(EDATE($AG$8,12*$AF11),code!$H:$H,-1))</f>
        <v>46695</v>
      </c>
      <c r="AP11" s="67">
        <f t="shared" ca="1" si="13"/>
        <v>1095</v>
      </c>
      <c r="AQ11" s="67">
        <f t="shared" ca="1" si="5"/>
        <v>1.05985</v>
      </c>
      <c r="AR11" s="76">
        <f t="shared" ca="1" si="6"/>
        <v>1.07785</v>
      </c>
      <c r="AS11" s="13">
        <f t="shared" ca="1" si="14"/>
        <v>46695</v>
      </c>
      <c r="AT11" s="68">
        <f ca="1">IF($AS$7,INDEX(code!$R:$R,MATCH(EOMONTH(AU11,0),code!$R:$R,1)),AU11)</f>
        <v>46695</v>
      </c>
      <c r="AU11" s="13">
        <f ca="1">INDEX(code!$R:$R,MATCH(EDATE($AP$7,12*AF11),code!$R:$R,1))</f>
        <v>46695</v>
      </c>
      <c r="AV11" s="68">
        <f ca="1">IF($AS$7,
INDEX(code!$J:$J,MATCH(EOMONTH(AW11,0),code!$J:$J,1)),
AW11)</f>
        <v>46695</v>
      </c>
      <c r="AW11" s="13">
        <f ca="1">INDEX(code!$P:$P,MATCH(EDATE($AP$7,12*AF11),code!$P:$P,-1))</f>
        <v>46695</v>
      </c>
    </row>
    <row r="12" spans="2:49">
      <c r="B12" s="69" t="str">
        <f>IF(D12="","", H12)</f>
        <v>04Y</v>
      </c>
      <c r="C12" s="121">
        <f t="shared" ca="1" si="7"/>
        <v>1463</v>
      </c>
      <c r="D12" s="70">
        <f t="shared" si="8"/>
        <v>3.82</v>
      </c>
      <c r="E12" s="71">
        <f t="shared" si="0"/>
        <v>3.81</v>
      </c>
      <c r="F12" s="72">
        <f t="shared" si="1"/>
        <v>0.71218749999999997</v>
      </c>
      <c r="G12" s="59"/>
      <c r="H12" s="73" t="s">
        <v>19</v>
      </c>
      <c r="I12" s="124">
        <f t="shared" ca="1" si="9"/>
        <v>1463</v>
      </c>
      <c r="J12" s="74">
        <f>_xll.IMDP("IR","CRSTC7KRW"&amp;$H12,"매도호가")</f>
        <v>2.58</v>
      </c>
      <c r="K12" s="71">
        <f>_xll.IMDP("IR","CRSTC7KRW"&amp;$H12,"매수호가")</f>
        <v>1.98</v>
      </c>
      <c r="L12" s="75">
        <f>_xll.IMDP("IR","CRSTC7KRW"&amp;$H12,"시간",,"TmFmt=1")</f>
        <v>0.70620370370370367</v>
      </c>
      <c r="M12" s="59"/>
      <c r="N12" s="69" t="str">
        <f>IF(B12="","",B12)</f>
        <v>04Y</v>
      </c>
      <c r="O12" s="110">
        <f t="shared" ca="1" si="2"/>
        <v>1288.2244975990495</v>
      </c>
      <c r="P12" s="111">
        <f t="shared" ca="1" si="3"/>
        <v>1316.4642011653743</v>
      </c>
      <c r="Q12" s="116">
        <f t="shared" ca="1" si="10"/>
        <v>-9007.5502400950427</v>
      </c>
      <c r="R12" s="117">
        <f t="shared" ca="1" si="11"/>
        <v>-6203.5798834625666</v>
      </c>
      <c r="AA12" s="6">
        <v>3</v>
      </c>
      <c r="AB12" s="67">
        <f>INDEX(code!$V:$Y, MATCH(
INDEX(code!$A$1:$A$9,'cross rate fwd'!$D$7),code!$T:$T,0)+$AA12,
1)</f>
        <v>3.82</v>
      </c>
      <c r="AC12" s="76">
        <f>INDEX(code!$V:$Y, MATCH(
INDEX(code!$A$1:$A$9,'cross rate fwd'!$D$7),code!$T:$T,0)+$AA12,
2)</f>
        <v>3.81</v>
      </c>
      <c r="AD12" s="77" cm="1">
        <f t="array" ref="AD12">INDEX(code!$V:$Y, MATCH(
INDEX(code!$A$1:$A$9,'cross rate fwd'!$D$7),code!$T:$T,0)+$AA12,
3)</f>
        <v>0.71218749999999997</v>
      </c>
      <c r="AF12" s="6">
        <v>4</v>
      </c>
      <c r="AG12" s="67">
        <f t="shared" ca="1" si="4"/>
        <v>1463</v>
      </c>
      <c r="AH12" s="67">
        <f ca="1">1+E12%*(C12/360)</f>
        <v>1.1548341666666666</v>
      </c>
      <c r="AI12" s="76">
        <f ca="1">1+D12%*(C12/360)</f>
        <v>1.1552405555555556</v>
      </c>
      <c r="AJ12" s="13">
        <f t="shared" ca="1" si="12"/>
        <v>47063</v>
      </c>
      <c r="AK12" s="68">
        <f ca="1">IF($AJ$7,INDEX(code!$J:$J,MATCH(EOMONTH(AL12,0),code!$J:$J,1)),AL12)</f>
        <v>47060</v>
      </c>
      <c r="AL12" s="13">
        <f ca="1">INDEX(code!$J:$J,MATCH(EDATE($AG$8,12*$AF12),code!$J:$J,1))</f>
        <v>47060</v>
      </c>
      <c r="AM12" s="68">
        <f ca="1">IF($AJ$7,
INDEX(code!$J:$J,MATCH(EOMONTH(AN12,0),code!$J:$J,1)),
AN12)</f>
        <v>47063</v>
      </c>
      <c r="AN12" s="13">
        <f ca="1">IF(IFERROR(MATCH(AO12,code!$D$14:$D$44,0),FALSE),INDEX(code!$H:$H,MATCH(AO12,code!$H:$H,0)-1),AO12)</f>
        <v>47063</v>
      </c>
      <c r="AO12" s="13">
        <f ca="1">INDEX(code!$H:$H,MATCH(EDATE($AG$8,12*$AF12),code!$H:$H,-1))</f>
        <v>47063</v>
      </c>
      <c r="AP12" s="67">
        <f t="shared" ca="1" si="13"/>
        <v>1463</v>
      </c>
      <c r="AQ12" s="67">
        <f t="shared" ca="1" si="5"/>
        <v>1.0793627397260275</v>
      </c>
      <c r="AR12" s="76">
        <f t="shared" ca="1" si="6"/>
        <v>1.1034120547945205</v>
      </c>
      <c r="AS12" s="13">
        <f t="shared" ca="1" si="14"/>
        <v>47063</v>
      </c>
      <c r="AT12" s="68">
        <f ca="1">IF($AS$7,INDEX(code!$R:$R,MATCH(EOMONTH(AU12,0),code!$R:$R,1)),AU12)</f>
        <v>47060</v>
      </c>
      <c r="AU12" s="13">
        <f ca="1">INDEX(code!$R:$R,MATCH(EDATE($AP$7,12*AF12),code!$R:$R,1))</f>
        <v>47060</v>
      </c>
      <c r="AV12" s="68">
        <f ca="1">IF($AS$7,
INDEX(code!$J:$J,MATCH(EOMONTH(AW12,0),code!$J:$J,1)),
AW12)</f>
        <v>47063</v>
      </c>
      <c r="AW12" s="13">
        <f ca="1">INDEX(code!$P:$P,MATCH(EDATE($AP$7,12*AF12),code!$P:$P,-1))</f>
        <v>47063</v>
      </c>
    </row>
    <row r="13" spans="2:49">
      <c r="B13" s="69" t="str">
        <f>IF(D13="","", H13)</f>
        <v>05Y</v>
      </c>
      <c r="C13" s="121">
        <f t="shared" ca="1" si="7"/>
        <v>1827</v>
      </c>
      <c r="D13" s="70">
        <f t="shared" si="8"/>
        <v>3.7909999999999999</v>
      </c>
      <c r="E13" s="71">
        <f t="shared" si="0"/>
        <v>3.7810000000000001</v>
      </c>
      <c r="F13" s="72">
        <f t="shared" si="1"/>
        <v>0.71218749999999997</v>
      </c>
      <c r="G13" s="59"/>
      <c r="H13" s="73" t="s">
        <v>20</v>
      </c>
      <c r="I13" s="124">
        <f t="shared" ca="1" si="9"/>
        <v>1827</v>
      </c>
      <c r="J13" s="74">
        <f>_xll.IMDP("IR","CRSTC7KRW"&amp;$H13,"매도호가")</f>
        <v>2.5750000000000002</v>
      </c>
      <c r="K13" s="71">
        <f>_xll.IMDP("IR","CRSTC7KRW"&amp;$H13,"매수호가")</f>
        <v>1.9750000000000001</v>
      </c>
      <c r="L13" s="75">
        <f>_xll.IMDP("IR","CRSTC7KRW"&amp;$H13,"시간",,"TmFmt=1")</f>
        <v>0.70621527777777782</v>
      </c>
      <c r="M13" s="59"/>
      <c r="N13" s="69" t="str">
        <f>IF(B13="","",B13)</f>
        <v>05Y</v>
      </c>
      <c r="O13" s="110">
        <f t="shared" ca="1" si="2"/>
        <v>1270.722704330638</v>
      </c>
      <c r="P13" s="111">
        <f t="shared" ca="1" si="3"/>
        <v>1304.8971867844382</v>
      </c>
      <c r="Q13" s="116">
        <f t="shared" ca="1" si="10"/>
        <v>-10757.729566936199</v>
      </c>
      <c r="R13" s="117">
        <f t="shared" ca="1" si="11"/>
        <v>-7360.281321556181</v>
      </c>
      <c r="AA13" s="6">
        <v>4</v>
      </c>
      <c r="AB13" s="67">
        <f>INDEX(code!$V:$Y, MATCH(
INDEX(code!$A$1:$A$9,'cross rate fwd'!$D$7),code!$T:$T,0)+$AA13,
1)</f>
        <v>3.7909999999999999</v>
      </c>
      <c r="AC13" s="76">
        <f>INDEX(code!$V:$Y, MATCH(
INDEX(code!$A$1:$A$9,'cross rate fwd'!$D$7),code!$T:$T,0)+$AA13,
2)</f>
        <v>3.7810000000000001</v>
      </c>
      <c r="AD13" s="77" cm="1">
        <f t="array" ref="AD13">INDEX(code!$V:$Y, MATCH(
INDEX(code!$A$1:$A$9,'cross rate fwd'!$D$7),code!$T:$T,0)+$AA13,
3)</f>
        <v>0.71218749999999997</v>
      </c>
      <c r="AF13" s="6">
        <v>5</v>
      </c>
      <c r="AG13" s="67">
        <f t="shared" ca="1" si="4"/>
        <v>1827</v>
      </c>
      <c r="AH13" s="67">
        <f ca="1">1+E13%*(C13/360)</f>
        <v>1.19188575</v>
      </c>
      <c r="AI13" s="76">
        <f ca="1">1+D13%*(C13/360)</f>
        <v>1.1923932500000001</v>
      </c>
      <c r="AJ13" s="13">
        <f t="shared" ca="1" si="12"/>
        <v>47427</v>
      </c>
      <c r="AK13" s="68">
        <f ca="1">IF($AJ$7,INDEX(code!$J:$J,MATCH(EOMONTH(AL13,0),code!$J:$J,1)),AL13)</f>
        <v>47424</v>
      </c>
      <c r="AL13" s="13">
        <f ca="1">INDEX(code!$J:$J,MATCH(EDATE($AG$8,12*$AF13),code!$J:$J,1))</f>
        <v>47424</v>
      </c>
      <c r="AM13" s="68">
        <f ca="1">IF($AJ$7,
INDEX(code!$J:$J,MATCH(EOMONTH(AN13,0),code!$J:$J,1)),
AN13)</f>
        <v>47427</v>
      </c>
      <c r="AN13" s="13">
        <f ca="1">IF(IFERROR(MATCH(AO13,code!$D$14:$D$44,0),FALSE),INDEX(code!$H:$H,MATCH(AO13,code!$H:$H,0)-1),AO13)</f>
        <v>47427</v>
      </c>
      <c r="AO13" s="13">
        <f ca="1">INDEX(code!$H:$H,MATCH(EDATE($AG$8,12*$AF13),code!$H:$H,-1))</f>
        <v>47427</v>
      </c>
      <c r="AP13" s="67">
        <f t="shared" ca="1" si="13"/>
        <v>1827</v>
      </c>
      <c r="AQ13" s="67">
        <f t="shared" ca="1" si="5"/>
        <v>1.0988582191780822</v>
      </c>
      <c r="AR13" s="76">
        <f t="shared" ca="1" si="6"/>
        <v>1.128891095890411</v>
      </c>
      <c r="AS13" s="13">
        <f t="shared" ca="1" si="14"/>
        <v>47427</v>
      </c>
      <c r="AT13" s="68">
        <f ca="1">IF($AS$7,INDEX(code!$R:$R,MATCH(EOMONTH(AU13,0),code!$R:$R,1)),AU13)</f>
        <v>47424</v>
      </c>
      <c r="AU13" s="13">
        <f ca="1">INDEX(code!$R:$R,MATCH(EDATE($AP$7,12*AF13),code!$R:$R,1))</f>
        <v>47424</v>
      </c>
      <c r="AV13" s="68">
        <f ca="1">IF($AS$7,
INDEX(code!$J:$J,MATCH(EOMONTH(AW13,0),code!$J:$J,1)),
AW13)</f>
        <v>47427</v>
      </c>
      <c r="AW13" s="13">
        <f ca="1">INDEX(code!$P:$P,MATCH(EDATE($AP$7,12*AF13),code!$P:$P,-1))</f>
        <v>47427</v>
      </c>
    </row>
    <row r="14" spans="2:49">
      <c r="B14" s="69" t="str">
        <f>IF(D14="","", H14)</f>
        <v>06Y</v>
      </c>
      <c r="C14" s="121">
        <f t="shared" ca="1" si="7"/>
        <v>2191</v>
      </c>
      <c r="D14" s="70">
        <f t="shared" si="8"/>
        <v>3.786</v>
      </c>
      <c r="E14" s="71">
        <f t="shared" si="0"/>
        <v>3.7759999999999998</v>
      </c>
      <c r="F14" s="72">
        <f t="shared" si="1"/>
        <v>0.71218749999999997</v>
      </c>
      <c r="G14" s="59"/>
      <c r="H14" s="73" t="s">
        <v>21</v>
      </c>
      <c r="I14" s="124">
        <f t="shared" ca="1" si="9"/>
        <v>2191</v>
      </c>
      <c r="J14" s="74">
        <f>_xll.IMDP("IR","CRSTC7KRW"&amp;$H14,"매도호가")</f>
        <v>2.59</v>
      </c>
      <c r="K14" s="71">
        <f>_xll.IMDP("IR","CRSTC7KRW"&amp;$H14,"매수호가")</f>
        <v>1.99</v>
      </c>
      <c r="L14" s="75">
        <f>_xll.IMDP("IR","CRSTC7KRW"&amp;$H14,"시간",,"TmFmt=1")</f>
        <v>0.70623842592592589</v>
      </c>
      <c r="M14" s="59"/>
      <c r="N14" s="69" t="str">
        <f>IF(B14="","",B14)</f>
        <v>06Y</v>
      </c>
      <c r="O14" s="110">
        <f t="shared" ca="1" si="2"/>
        <v>1254.6183670995208</v>
      </c>
      <c r="P14" s="111">
        <f t="shared" ca="1" si="3"/>
        <v>1294.3429129351891</v>
      </c>
      <c r="Q14" s="116">
        <f t="shared" ca="1" si="10"/>
        <v>-12368.163290047914</v>
      </c>
      <c r="R14" s="117">
        <f t="shared" ca="1" si="11"/>
        <v>-8415.7087064810876</v>
      </c>
      <c r="AA14" s="6">
        <v>5</v>
      </c>
      <c r="AB14" s="67">
        <f>INDEX(code!$V:$Y, MATCH(
INDEX(code!$A$1:$A$9,'cross rate fwd'!$D$7),code!$T:$T,0)+$AA14,
1)</f>
        <v>3.786</v>
      </c>
      <c r="AC14" s="76">
        <f>INDEX(code!$V:$Y, MATCH(
INDEX(code!$A$1:$A$9,'cross rate fwd'!$D$7),code!$T:$T,0)+$AA14,
2)</f>
        <v>3.7759999999999998</v>
      </c>
      <c r="AD14" s="77" cm="1">
        <f t="array" ref="AD14">INDEX(code!$V:$Y, MATCH(
INDEX(code!$A$1:$A$9,'cross rate fwd'!$D$7),code!$T:$T,0)+$AA14,
3)</f>
        <v>0.71218749999999997</v>
      </c>
      <c r="AF14" s="6">
        <v>6</v>
      </c>
      <c r="AG14" s="67">
        <f t="shared" ca="1" si="4"/>
        <v>2191</v>
      </c>
      <c r="AH14" s="67">
        <f ca="1">1+E14%*(C14/360)</f>
        <v>1.2298115555555555</v>
      </c>
      <c r="AI14" s="76">
        <f ca="1">1+D14%*(C14/360)</f>
        <v>1.2304201666666668</v>
      </c>
      <c r="AJ14" s="13">
        <f t="shared" ca="1" si="12"/>
        <v>47791</v>
      </c>
      <c r="AK14" s="68">
        <f ca="1">IF($AJ$7,INDEX(code!$J:$J,MATCH(EOMONTH(AL14,0),code!$J:$J,1)),AL14)</f>
        <v>47791</v>
      </c>
      <c r="AL14" s="13">
        <f ca="1">INDEX(code!$J:$J,MATCH(EDATE($AG$8,12*$AF14),code!$J:$J,1))</f>
        <v>47791</v>
      </c>
      <c r="AM14" s="68">
        <f ca="1">IF($AJ$7,
INDEX(code!$J:$J,MATCH(EOMONTH(AN14,0),code!$J:$J,1)),
AN14)</f>
        <v>47791</v>
      </c>
      <c r="AN14" s="13">
        <f ca="1">IF(IFERROR(MATCH(AO14,code!$D$14:$D$44,0),FALSE),INDEX(code!$H:$H,MATCH(AO14,code!$H:$H,0)-1),AO14)</f>
        <v>47791</v>
      </c>
      <c r="AO14" s="13">
        <f ca="1">INDEX(code!$H:$H,MATCH(EDATE($AG$8,12*$AF14),code!$H:$H,-1))</f>
        <v>47791</v>
      </c>
      <c r="AP14" s="67">
        <f t="shared" ca="1" si="13"/>
        <v>2191</v>
      </c>
      <c r="AQ14" s="67">
        <f t="shared" ca="1" si="5"/>
        <v>1.1194545205479451</v>
      </c>
      <c r="AR14" s="76">
        <f t="shared" ca="1" si="6"/>
        <v>1.1554709589041097</v>
      </c>
      <c r="AS14" s="13">
        <f t="shared" ca="1" si="14"/>
        <v>47791</v>
      </c>
      <c r="AT14" s="68">
        <f ca="1">IF($AS$7,INDEX(code!$R:$R,MATCH(EOMONTH(AU14,0),code!$R:$R,1)),AU14)</f>
        <v>47791</v>
      </c>
      <c r="AU14" s="13">
        <f ca="1">INDEX(code!$R:$R,MATCH(EDATE($AP$7,12*AF14),code!$R:$R,1))</f>
        <v>47791</v>
      </c>
      <c r="AV14" s="68">
        <f ca="1">IF($AS$7,
INDEX(code!$J:$J,MATCH(EOMONTH(AW14,0),code!$J:$J,1)),
AW14)</f>
        <v>47791</v>
      </c>
      <c r="AW14" s="13">
        <f ca="1">INDEX(code!$P:$P,MATCH(EDATE($AP$7,12*AF14),code!$P:$P,-1))</f>
        <v>47791</v>
      </c>
    </row>
    <row r="15" spans="2:49">
      <c r="B15" s="69" t="str">
        <f>IF(D15="","", H15)</f>
        <v>07Y</v>
      </c>
      <c r="C15" s="121">
        <f t="shared" ca="1" si="7"/>
        <v>2556</v>
      </c>
      <c r="D15" s="70">
        <f t="shared" si="8"/>
        <v>3.7749999999999999</v>
      </c>
      <c r="E15" s="71">
        <f t="shared" si="0"/>
        <v>3.7650000000000001</v>
      </c>
      <c r="F15" s="72">
        <f t="shared" si="1"/>
        <v>0.71218749999999997</v>
      </c>
      <c r="G15" s="59"/>
      <c r="H15" s="73" t="s">
        <v>22</v>
      </c>
      <c r="I15" s="124">
        <f t="shared" ca="1" si="9"/>
        <v>2556</v>
      </c>
      <c r="J15" s="74">
        <f>_xll.IMDP("IR","CRSTC7KRW"&amp;$H15,"매도호가")</f>
        <v>2.605</v>
      </c>
      <c r="K15" s="71">
        <f>_xll.IMDP("IR","CRSTC7KRW"&amp;$H15,"매수호가")</f>
        <v>2.0049999999999999</v>
      </c>
      <c r="L15" s="75">
        <f>_xll.IMDP("IR","CRSTC7KRW"&amp;$H15,"시간",,"TmFmt=1")</f>
        <v>0.70625000000000004</v>
      </c>
      <c r="M15" s="59"/>
      <c r="N15" s="69" t="str">
        <f>IF(B15="","",B15)</f>
        <v>07Y</v>
      </c>
      <c r="O15" s="110">
        <f t="shared" ca="1" si="2"/>
        <v>1240.2757933867194</v>
      </c>
      <c r="P15" s="111">
        <f t="shared" ca="1" si="3"/>
        <v>1285.251768760231</v>
      </c>
      <c r="Q15" s="116">
        <f t="shared" ca="1" si="10"/>
        <v>-13802.420661328051</v>
      </c>
      <c r="R15" s="117">
        <f t="shared" ca="1" si="11"/>
        <v>-9324.8231239768975</v>
      </c>
      <c r="AA15" s="6">
        <v>6</v>
      </c>
      <c r="AB15" s="67">
        <f>INDEX(code!$V:$Y, MATCH(
INDEX(code!$A$1:$A$9,'cross rate fwd'!$D$7),code!$T:$T,0)+$AA15,
1)</f>
        <v>3.7749999999999999</v>
      </c>
      <c r="AC15" s="76">
        <f>INDEX(code!$V:$Y, MATCH(
INDEX(code!$A$1:$A$9,'cross rate fwd'!$D$7),code!$T:$T,0)+$AA15,
2)</f>
        <v>3.7650000000000001</v>
      </c>
      <c r="AD15" s="77" cm="1">
        <f t="array" ref="AD15">INDEX(code!$V:$Y, MATCH(
INDEX(code!$A$1:$A$9,'cross rate fwd'!$D$7),code!$T:$T,0)+$AA15,
3)</f>
        <v>0.71218749999999997</v>
      </c>
      <c r="AF15" s="6">
        <v>7</v>
      </c>
      <c r="AG15" s="67">
        <f t="shared" ca="1" si="4"/>
        <v>2556</v>
      </c>
      <c r="AH15" s="67">
        <f ca="1">1+E15%*(C15/360)</f>
        <v>1.267315</v>
      </c>
      <c r="AI15" s="76">
        <f ca="1">1+D15%*(C15/360)</f>
        <v>1.268025</v>
      </c>
      <c r="AJ15" s="13">
        <f t="shared" ca="1" si="12"/>
        <v>48156</v>
      </c>
      <c r="AK15" s="68">
        <f ca="1">IF($AJ$7,INDEX(code!$J:$J,MATCH(EOMONTH(AL15,0),code!$J:$J,1)),AL15)</f>
        <v>48156</v>
      </c>
      <c r="AL15" s="13">
        <f ca="1">INDEX(code!$J:$J,MATCH(EDATE($AG$8,12*$AF15),code!$J:$J,1))</f>
        <v>48156</v>
      </c>
      <c r="AM15" s="68">
        <f ca="1">IF($AJ$7,
INDEX(code!$J:$J,MATCH(EOMONTH(AN15,0),code!$J:$J,1)),
AN15)</f>
        <v>48156</v>
      </c>
      <c r="AN15" s="13">
        <f ca="1">IF(IFERROR(MATCH(AO15,code!$D$14:$D$44,0),FALSE),INDEX(code!$H:$H,MATCH(AO15,code!$H:$H,0)-1),AO15)</f>
        <v>48156</v>
      </c>
      <c r="AO15" s="13">
        <f ca="1">INDEX(code!$H:$H,MATCH(EDATE($AG$8,12*$AF15),code!$H:$H,-1))</f>
        <v>48156</v>
      </c>
      <c r="AP15" s="67">
        <f t="shared" ca="1" si="13"/>
        <v>2556</v>
      </c>
      <c r="AQ15" s="67">
        <f t="shared" ca="1" si="5"/>
        <v>1.1404049315068492</v>
      </c>
      <c r="AR15" s="76">
        <f t="shared" ca="1" si="6"/>
        <v>1.1824213698630137</v>
      </c>
      <c r="AS15" s="13">
        <f t="shared" ca="1" si="14"/>
        <v>48156</v>
      </c>
      <c r="AT15" s="68">
        <f ca="1">IF($AS$7,INDEX(code!$R:$R,MATCH(EOMONTH(AU15,0),code!$R:$R,1)),AU15)</f>
        <v>48156</v>
      </c>
      <c r="AU15" s="13">
        <f ca="1">INDEX(code!$R:$R,MATCH(EDATE($AP$7,12*AF15),code!$R:$R,1))</f>
        <v>48156</v>
      </c>
      <c r="AV15" s="68">
        <f ca="1">IF($AS$7,
INDEX(code!$J:$J,MATCH(EOMONTH(AW15,0),code!$J:$J,1)),
AW15)</f>
        <v>48156</v>
      </c>
      <c r="AW15" s="13">
        <f ca="1">INDEX(code!$P:$P,MATCH(EDATE($AP$7,12*AF15),code!$P:$P,-1))</f>
        <v>48156</v>
      </c>
    </row>
    <row r="16" spans="2:49">
      <c r="B16" s="69" t="str">
        <f>IF(D16="","", H16)</f>
        <v>08Y</v>
      </c>
      <c r="C16" s="121">
        <f t="shared" ca="1" si="7"/>
        <v>2922</v>
      </c>
      <c r="D16" s="70">
        <f t="shared" si="8"/>
        <v>3.7759999999999998</v>
      </c>
      <c r="E16" s="71">
        <f t="shared" si="0"/>
        <v>3.766</v>
      </c>
      <c r="F16" s="72">
        <f t="shared" si="1"/>
        <v>0.71218749999999997</v>
      </c>
      <c r="G16" s="59"/>
      <c r="H16" s="73" t="s">
        <v>23</v>
      </c>
      <c r="I16" s="124">
        <f t="shared" ca="1" si="9"/>
        <v>2922</v>
      </c>
      <c r="J16" s="74">
        <f>_xll.IMDP("IR","CRSTC7KRW"&amp;$H16,"매도호가")</f>
        <v>2.605</v>
      </c>
      <c r="K16" s="71">
        <f>_xll.IMDP("IR","CRSTC7KRW"&amp;$H16,"매수호가")</f>
        <v>2.0049999999999999</v>
      </c>
      <c r="L16" s="75">
        <f>_xll.IMDP("IR","CRSTC7KRW"&amp;$H16,"시간",,"TmFmt=1")</f>
        <v>0.70626157407407408</v>
      </c>
      <c r="M16" s="59"/>
      <c r="N16" s="69" t="str">
        <f>IF(B16="","",B16)</f>
        <v>08Y</v>
      </c>
      <c r="O16" s="110">
        <f t="shared" ca="1" si="2"/>
        <v>1225.0616559307039</v>
      </c>
      <c r="P16" s="111">
        <f t="shared" ca="1" si="3"/>
        <v>1274.9737143351401</v>
      </c>
      <c r="Q16" s="116">
        <f t="shared" ca="1" si="10"/>
        <v>-15323.834406929609</v>
      </c>
      <c r="R16" s="117">
        <f t="shared" ca="1" si="11"/>
        <v>-10352.628566485986</v>
      </c>
      <c r="AA16" s="6">
        <v>7</v>
      </c>
      <c r="AB16" s="67">
        <f>INDEX(code!$V:$Y, MATCH(
INDEX(code!$A$1:$A$9,'cross rate fwd'!$D$7),code!$T:$T,0)+$AA16,
1)</f>
        <v>3.7759999999999998</v>
      </c>
      <c r="AC16" s="76">
        <f>INDEX(code!$V:$Y, MATCH(
INDEX(code!$A$1:$A$9,'cross rate fwd'!$D$7),code!$T:$T,0)+$AA16,
2)</f>
        <v>3.766</v>
      </c>
      <c r="AD16" s="77" cm="1">
        <f t="array" ref="AD16">INDEX(code!$V:$Y, MATCH(
INDEX(code!$A$1:$A$9,'cross rate fwd'!$D$7),code!$T:$T,0)+$AA16,
3)</f>
        <v>0.71218749999999997</v>
      </c>
      <c r="AF16" s="6">
        <v>8</v>
      </c>
      <c r="AG16" s="67">
        <f t="shared" ca="1" si="4"/>
        <v>2922</v>
      </c>
      <c r="AH16" s="67">
        <f ca="1">1+E16%*(C16/360)</f>
        <v>1.3056736666666666</v>
      </c>
      <c r="AI16" s="76">
        <f ca="1">1+D16%*(C16/360)</f>
        <v>1.3064853333333333</v>
      </c>
      <c r="AJ16" s="13">
        <f t="shared" ca="1" si="12"/>
        <v>48522</v>
      </c>
      <c r="AK16" s="68">
        <f ca="1">IF($AJ$7,INDEX(code!$J:$J,MATCH(EOMONTH(AL16,0),code!$J:$J,1)),AL16)</f>
        <v>48522</v>
      </c>
      <c r="AL16" s="13">
        <f ca="1">INDEX(code!$J:$J,MATCH(EDATE($AG$8,12*$AF16),code!$J:$J,1))</f>
        <v>48522</v>
      </c>
      <c r="AM16" s="68">
        <f ca="1">IF($AJ$7,
INDEX(code!$J:$J,MATCH(EOMONTH(AN16,0),code!$J:$J,1)),
AN16)</f>
        <v>48522</v>
      </c>
      <c r="AN16" s="13">
        <f ca="1">IF(IFERROR(MATCH(AO16,code!$D$14:$D$44,0),FALSE),INDEX(code!$H:$H,MATCH(AO16,code!$H:$H,0)-1),AO16)</f>
        <v>48522</v>
      </c>
      <c r="AO16" s="13">
        <f ca="1">INDEX(code!$H:$H,MATCH(EDATE($AG$8,12*$AF16),code!$H:$H,-1))</f>
        <v>48522</v>
      </c>
      <c r="AP16" s="67">
        <f t="shared" ca="1" si="13"/>
        <v>2922</v>
      </c>
      <c r="AQ16" s="67">
        <f t="shared" ca="1" si="5"/>
        <v>1.1605098630136985</v>
      </c>
      <c r="AR16" s="76">
        <f t="shared" ca="1" si="6"/>
        <v>1.2085427397260273</v>
      </c>
      <c r="AS16" s="13">
        <f t="shared" ca="1" si="14"/>
        <v>48522</v>
      </c>
      <c r="AT16" s="68">
        <f ca="1">IF($AS$7,INDEX(code!$R:$R,MATCH(EOMONTH(AU16,0),code!$R:$R,1)),AU16)</f>
        <v>48522</v>
      </c>
      <c r="AU16" s="13">
        <f ca="1">INDEX(code!$R:$R,MATCH(EDATE($AP$7,12*AF16),code!$R:$R,1))</f>
        <v>48522</v>
      </c>
      <c r="AV16" s="68">
        <f ca="1">IF($AS$7,
INDEX(code!$J:$J,MATCH(EOMONTH(AW16,0),code!$J:$J,1)),
AW16)</f>
        <v>48522</v>
      </c>
      <c r="AW16" s="13">
        <f ca="1">INDEX(code!$P:$P,MATCH(EDATE($AP$7,12*AF16),code!$P:$P,-1))</f>
        <v>48522</v>
      </c>
    </row>
    <row r="17" spans="2:49">
      <c r="B17" s="69" t="str">
        <f>IF(D17="","", H17)</f>
        <v>09Y</v>
      </c>
      <c r="C17" s="121">
        <f t="shared" ca="1" si="7"/>
        <v>3287</v>
      </c>
      <c r="D17" s="70">
        <f t="shared" si="8"/>
        <v>3.7789999999999999</v>
      </c>
      <c r="E17" s="71">
        <f t="shared" si="0"/>
        <v>3.7690000000000001</v>
      </c>
      <c r="F17" s="72">
        <f t="shared" si="1"/>
        <v>0.71218749999999997</v>
      </c>
      <c r="G17" s="59"/>
      <c r="H17" s="73" t="s">
        <v>24</v>
      </c>
      <c r="I17" s="124">
        <f t="shared" ca="1" si="9"/>
        <v>3287</v>
      </c>
      <c r="J17" s="74">
        <f>_xll.IMDP("IR","CRSTC7KRW"&amp;$H17,"매도호가")</f>
        <v>2.605</v>
      </c>
      <c r="K17" s="71">
        <f>_xll.IMDP("IR","CRSTC7KRW"&amp;$H17,"매수호가")</f>
        <v>2.0049999999999999</v>
      </c>
      <c r="L17" s="75">
        <f>_xll.IMDP("IR","CRSTC7KRW"&amp;$H17,"시간",,"TmFmt=1")</f>
        <v>0.70628472222222227</v>
      </c>
      <c r="M17" s="59"/>
      <c r="N17" s="69" t="str">
        <f>IF(B17="","",B17)</f>
        <v>09Y</v>
      </c>
      <c r="O17" s="110">
        <f t="shared" ca="1" si="2"/>
        <v>1210.5710651286543</v>
      </c>
      <c r="P17" s="111">
        <f t="shared" ca="1" si="3"/>
        <v>1265.1181371971911</v>
      </c>
      <c r="Q17" s="116">
        <f t="shared" ca="1" si="10"/>
        <v>-16772.89348713457</v>
      </c>
      <c r="R17" s="117">
        <f t="shared" ca="1" si="11"/>
        <v>-11338.186280280888</v>
      </c>
      <c r="AA17" s="6">
        <v>8</v>
      </c>
      <c r="AB17" s="67">
        <f>INDEX(code!$V:$Y, MATCH(
INDEX(code!$A$1:$A$9,'cross rate fwd'!$D$7),code!$T:$T,0)+$AA17,
1)</f>
        <v>3.7789999999999999</v>
      </c>
      <c r="AC17" s="76">
        <f>INDEX(code!$V:$Y, MATCH(
INDEX(code!$A$1:$A$9,'cross rate fwd'!$D$7),code!$T:$T,0)+$AA17,
2)</f>
        <v>3.7690000000000001</v>
      </c>
      <c r="AD17" s="77" cm="1">
        <f t="array" ref="AD17">INDEX(code!$V:$Y, MATCH(
INDEX(code!$A$1:$A$9,'cross rate fwd'!$D$7),code!$T:$T,0)+$AA17,
3)</f>
        <v>0.71218749999999997</v>
      </c>
      <c r="AF17" s="6">
        <v>9</v>
      </c>
      <c r="AG17" s="67">
        <f t="shared" ca="1" si="4"/>
        <v>3287</v>
      </c>
      <c r="AH17" s="67">
        <f ca="1">1+E17%*(C17/360)</f>
        <v>1.344130638888889</v>
      </c>
      <c r="AI17" s="76">
        <f ca="1">1+D17%*(C17/360)</f>
        <v>1.3450436944444444</v>
      </c>
      <c r="AJ17" s="13">
        <f t="shared" ca="1" si="12"/>
        <v>48887</v>
      </c>
      <c r="AK17" s="68">
        <f ca="1">IF($AJ$7,INDEX(code!$J:$J,MATCH(EOMONTH(AL17,0),code!$J:$J,1)),AL17)</f>
        <v>48887</v>
      </c>
      <c r="AL17" s="13">
        <f ca="1">INDEX(code!$J:$J,MATCH(EDATE($AG$8,12*$AF17),code!$J:$J,1))</f>
        <v>48887</v>
      </c>
      <c r="AM17" s="68">
        <f ca="1">IF($AJ$7,
INDEX(code!$J:$J,MATCH(EOMONTH(AN17,0),code!$J:$J,1)),
AN17)</f>
        <v>48887</v>
      </c>
      <c r="AN17" s="13">
        <f ca="1">IF(IFERROR(MATCH(AO17,code!$D$14:$D$44,0),FALSE),INDEX(code!$H:$H,MATCH(AO17,code!$H:$H,0)-1),AO17)</f>
        <v>48887</v>
      </c>
      <c r="AO17" s="13">
        <f ca="1">INDEX(code!$H:$H,MATCH(EDATE($AG$8,12*$AF17),code!$H:$H,-1))</f>
        <v>48887</v>
      </c>
      <c r="AP17" s="67">
        <f t="shared" ca="1" si="13"/>
        <v>3287</v>
      </c>
      <c r="AQ17" s="67">
        <f t="shared" ca="1" si="5"/>
        <v>1.1805598630136986</v>
      </c>
      <c r="AR17" s="76">
        <f t="shared" ca="1" si="6"/>
        <v>1.2345927397260275</v>
      </c>
      <c r="AS17" s="13">
        <f t="shared" ca="1" si="14"/>
        <v>48887</v>
      </c>
      <c r="AT17" s="68">
        <f ca="1">IF($AS$7,INDEX(code!$R:$R,MATCH(EOMONTH(AU17,0),code!$R:$R,1)),AU17)</f>
        <v>48887</v>
      </c>
      <c r="AU17" s="13">
        <f ca="1">INDEX(code!$R:$R,MATCH(EDATE($AP$7,12*AF17),code!$R:$R,1))</f>
        <v>48887</v>
      </c>
      <c r="AV17" s="68">
        <f ca="1">IF($AS$7,
INDEX(code!$J:$J,MATCH(EOMONTH(AW17,0),code!$J:$J,1)),
AW17)</f>
        <v>48887</v>
      </c>
      <c r="AW17" s="13">
        <f ca="1">INDEX(code!$P:$P,MATCH(EDATE($AP$7,12*AF17),code!$P:$P,-1))</f>
        <v>48887</v>
      </c>
    </row>
    <row r="18" spans="2:49">
      <c r="B18" s="69" t="str">
        <f>IF(D18="","", H18)</f>
        <v>10Y</v>
      </c>
      <c r="C18" s="121">
        <f t="shared" ca="1" si="7"/>
        <v>3654</v>
      </c>
      <c r="D18" s="70">
        <f t="shared" si="8"/>
        <v>3.7810000000000001</v>
      </c>
      <c r="E18" s="71">
        <f t="shared" si="0"/>
        <v>3.7709999999999999</v>
      </c>
      <c r="F18" s="72">
        <f t="shared" si="1"/>
        <v>0.71218749999999997</v>
      </c>
      <c r="G18" s="59"/>
      <c r="H18" s="73" t="s">
        <v>25</v>
      </c>
      <c r="I18" s="124">
        <f t="shared" ca="1" si="9"/>
        <v>3654</v>
      </c>
      <c r="J18" s="74">
        <f>_xll.IMDP("IR","CRSTC7KRW"&amp;$H18,"매도호가")</f>
        <v>2.6349999999999998</v>
      </c>
      <c r="K18" s="71">
        <f>_xll.IMDP("IR","CRSTC7KRW"&amp;$H18,"매수호가")</f>
        <v>2.0350000000000001</v>
      </c>
      <c r="L18" s="75">
        <f>_xll.IMDP("IR","CRSTC7KRW"&amp;$H18,"시간",,"TmFmt=1")</f>
        <v>0.70629629629629631</v>
      </c>
      <c r="M18" s="59"/>
      <c r="N18" s="69" t="str">
        <f>IF(B18="","",B18)</f>
        <v>10Y</v>
      </c>
      <c r="O18" s="110">
        <f t="shared" ca="1" si="2"/>
        <v>1199.8435225441513</v>
      </c>
      <c r="P18" s="111">
        <f t="shared" ca="1" si="3"/>
        <v>1258.7916847008537</v>
      </c>
      <c r="Q18" s="116">
        <f t="shared" ca="1" si="10"/>
        <v>-17845.647745584869</v>
      </c>
      <c r="R18" s="117">
        <f t="shared" ca="1" si="11"/>
        <v>-11970.831529914631</v>
      </c>
      <c r="AA18" s="6">
        <v>9</v>
      </c>
      <c r="AB18" s="67">
        <f>INDEX(code!$V:$Y, MATCH(
INDEX(code!$A$1:$A$9,'cross rate fwd'!$D$7),code!$T:$T,0)+$AA18,
1)</f>
        <v>3.7810000000000001</v>
      </c>
      <c r="AC18" s="76">
        <f>INDEX(code!$V:$Y, MATCH(
INDEX(code!$A$1:$A$9,'cross rate fwd'!$D$7),code!$T:$T,0)+$AA18,
2)</f>
        <v>3.7709999999999999</v>
      </c>
      <c r="AD18" s="77" cm="1">
        <f t="array" ref="AD18">INDEX(code!$V:$Y, MATCH(
INDEX(code!$A$1:$A$9,'cross rate fwd'!$D$7),code!$T:$T,0)+$AA18,
3)</f>
        <v>0.71218749999999997</v>
      </c>
      <c r="AF18" s="6">
        <v>10</v>
      </c>
      <c r="AG18" s="67">
        <f t="shared" ca="1" si="4"/>
        <v>3654</v>
      </c>
      <c r="AH18" s="67">
        <f ca="1">1+E18%*(C18/360)</f>
        <v>1.3827564999999999</v>
      </c>
      <c r="AI18" s="76">
        <f ca="1">1+D18%*(C18/360)</f>
        <v>1.3837714999999999</v>
      </c>
      <c r="AJ18" s="13">
        <f t="shared" ca="1" si="12"/>
        <v>49254</v>
      </c>
      <c r="AK18" s="68">
        <f ca="1">IF($AJ$7,INDEX(code!$J:$J,MATCH(EOMONTH(AL18,0),code!$J:$J,1)),AL18)</f>
        <v>49251</v>
      </c>
      <c r="AL18" s="13">
        <f ca="1">INDEX(code!$J:$J,MATCH(EDATE($AG$8,12*$AF18),code!$J:$J,1))</f>
        <v>49251</v>
      </c>
      <c r="AM18" s="68">
        <f ca="1">IF($AJ$7,
INDEX(code!$J:$J,MATCH(EOMONTH(AN18,0),code!$J:$J,1)),
AN18)</f>
        <v>49254</v>
      </c>
      <c r="AN18" s="13">
        <f ca="1">IF(IFERROR(MATCH(AO18,code!$D$14:$D$44,0),FALSE),INDEX(code!$H:$H,MATCH(AO18,code!$H:$H,0)-1),AO18)</f>
        <v>49254</v>
      </c>
      <c r="AO18" s="13">
        <f ca="1">INDEX(code!$H:$H,MATCH(EDATE($AG$8,12*$AF18),code!$H:$H,-1))</f>
        <v>49254</v>
      </c>
      <c r="AP18" s="67">
        <f t="shared" ca="1" si="13"/>
        <v>3654</v>
      </c>
      <c r="AQ18" s="67">
        <f t="shared" ca="1" si="5"/>
        <v>1.2037230136986301</v>
      </c>
      <c r="AR18" s="76">
        <f t="shared" ca="1" si="6"/>
        <v>1.2637887671232877</v>
      </c>
      <c r="AS18" s="13">
        <f t="shared" ca="1" si="14"/>
        <v>49254</v>
      </c>
      <c r="AT18" s="68">
        <f ca="1">IF($AS$7,INDEX(code!$R:$R,MATCH(EOMONTH(AU18,0),code!$R:$R,1)),AU18)</f>
        <v>49251</v>
      </c>
      <c r="AU18" s="13">
        <f ca="1">INDEX(code!$R:$R,MATCH(EDATE($AP$7,12*AF18),code!$R:$R,1))</f>
        <v>49251</v>
      </c>
      <c r="AV18" s="68">
        <f ca="1">IF($AS$7,
INDEX(code!$J:$J,MATCH(EOMONTH(AW18,0),code!$J:$J,1)),
AW18)</f>
        <v>49254</v>
      </c>
      <c r="AW18" s="13">
        <f ca="1">INDEX(code!$P:$P,MATCH(EDATE($AP$7,12*AF18),code!$P:$P,-1))</f>
        <v>49254</v>
      </c>
    </row>
    <row r="19" spans="2:49">
      <c r="B19" s="69" t="str">
        <f>IF(D19="","", H19)</f>
        <v>11Y</v>
      </c>
      <c r="C19" s="121">
        <f t="shared" ca="1" si="7"/>
        <v>4018</v>
      </c>
      <c r="D19" s="70">
        <f t="shared" si="8"/>
        <v>3.8050000000000002</v>
      </c>
      <c r="E19" s="71">
        <f t="shared" si="0"/>
        <v>3.7949999999999999</v>
      </c>
      <c r="F19" s="72">
        <f t="shared" si="1"/>
        <v>0.71218749999999997</v>
      </c>
      <c r="G19" s="59"/>
      <c r="H19" s="73" t="s">
        <v>26</v>
      </c>
      <c r="I19" s="124">
        <f t="shared" ca="1" si="9"/>
        <v>4018</v>
      </c>
      <c r="J19" s="74">
        <f>_xll.IMDP("IR","CRSTC7KRW"&amp;$H19,"매도호가")</f>
        <v>2.6349999999999998</v>
      </c>
      <c r="K19" s="71">
        <f>_xll.IMDP("IR","CRSTC7KRW"&amp;$H19,"매수호가")</f>
        <v>2.0350000000000001</v>
      </c>
      <c r="L19" s="75">
        <f>_xll.IMDP("IR","CRSTC7KRW"&amp;$H19,"시간",,"TmFmt=1")</f>
        <v>0.70630787037037035</v>
      </c>
      <c r="M19" s="59"/>
      <c r="N19" s="69" t="str">
        <f>IF(B19="","",B19)</f>
        <v>11Y</v>
      </c>
      <c r="O19" s="110">
        <f t="shared" ca="1" si="2"/>
        <v>1185.0979599928698</v>
      </c>
      <c r="P19" s="111">
        <f t="shared" ca="1" si="3"/>
        <v>1248.0686288210616</v>
      </c>
      <c r="Q19" s="116">
        <f t="shared" ca="1" si="10"/>
        <v>-19320.204000713013</v>
      </c>
      <c r="R19" s="117">
        <f t="shared" ca="1" si="11"/>
        <v>-13043.137117893843</v>
      </c>
      <c r="AA19" s="6">
        <v>10</v>
      </c>
      <c r="AB19" s="67">
        <f>INDEX(code!$V:$Y, MATCH(
INDEX(code!$A$1:$A$9,'cross rate fwd'!$D$7),code!$T:$T,0)+$AA19,
1)</f>
        <v>3.8050000000000002</v>
      </c>
      <c r="AC19" s="76">
        <f>INDEX(code!$V:$Y, MATCH(
INDEX(code!$A$1:$A$9,'cross rate fwd'!$D$7),code!$T:$T,0)+$AA19,
2)</f>
        <v>3.7949999999999999</v>
      </c>
      <c r="AD19" s="77" cm="1">
        <f t="array" ref="AD19">INDEX(code!$V:$Y, MATCH(
INDEX(code!$A$1:$A$9,'cross rate fwd'!$D$7),code!$T:$T,0)+$AA19,
3)</f>
        <v>0.71218749999999997</v>
      </c>
      <c r="AF19" s="6">
        <v>11</v>
      </c>
      <c r="AG19" s="67">
        <f t="shared" ca="1" si="4"/>
        <v>4018</v>
      </c>
      <c r="AH19" s="67">
        <f ca="1">1+E19%*(C19/360)</f>
        <v>1.4235641666666665</v>
      </c>
      <c r="AI19" s="76">
        <f ca="1">1+D19%*(C19/360)</f>
        <v>1.4246802777777778</v>
      </c>
      <c r="AJ19" s="13">
        <f t="shared" ca="1" si="12"/>
        <v>49618</v>
      </c>
      <c r="AK19" s="68">
        <f ca="1">IF($AJ$7,INDEX(code!$J:$J,MATCH(EOMONTH(AL19,0),code!$J:$J,1)),AL19)</f>
        <v>49615</v>
      </c>
      <c r="AL19" s="13">
        <f ca="1">INDEX(code!$J:$J,MATCH(EDATE($AG$8,12*$AF19),code!$J:$J,1))</f>
        <v>49615</v>
      </c>
      <c r="AM19" s="68">
        <f ca="1">IF($AJ$7,
INDEX(code!$J:$J,MATCH(EOMONTH(AN19,0),code!$J:$J,1)),
AN19)</f>
        <v>49618</v>
      </c>
      <c r="AN19" s="13">
        <f ca="1">IF(IFERROR(MATCH(AO19,code!$D$14:$D$44,0),FALSE),INDEX(code!$H:$H,MATCH(AO19,code!$H:$H,0)-1),AO19)</f>
        <v>49618</v>
      </c>
      <c r="AO19" s="13">
        <f ca="1">INDEX(code!$H:$H,MATCH(EDATE($AG$8,12*$AF19),code!$H:$H,-1))</f>
        <v>49618</v>
      </c>
      <c r="AP19" s="67">
        <f t="shared" ca="1" si="13"/>
        <v>4018</v>
      </c>
      <c r="AQ19" s="67">
        <f t="shared" ca="1" si="5"/>
        <v>1.2240172602739725</v>
      </c>
      <c r="AR19" s="76">
        <f t="shared" ca="1" si="6"/>
        <v>1.2900665753424656</v>
      </c>
      <c r="AS19" s="13">
        <f t="shared" ca="1" si="14"/>
        <v>49618</v>
      </c>
      <c r="AT19" s="68">
        <f ca="1">IF($AS$7,INDEX(code!$R:$R,MATCH(EOMONTH(AU19,0),code!$R:$R,1)),AU19)</f>
        <v>49615</v>
      </c>
      <c r="AU19" s="13">
        <f ca="1">INDEX(code!$R:$R,MATCH(EDATE($AP$7,12*AF19),code!$R:$R,1))</f>
        <v>49615</v>
      </c>
      <c r="AV19" s="68">
        <f ca="1">IF($AS$7,
INDEX(code!$J:$J,MATCH(EOMONTH(AW19,0),code!$J:$J,1)),
AW19)</f>
        <v>49618</v>
      </c>
      <c r="AW19" s="13">
        <f ca="1">INDEX(code!$P:$P,MATCH(EDATE($AP$7,12*AF19),code!$P:$P,-1))</f>
        <v>49618</v>
      </c>
    </row>
    <row r="20" spans="2:49">
      <c r="B20" s="69" t="str">
        <f>IF(D20="","", H20)</f>
        <v>12Y</v>
      </c>
      <c r="C20" s="121">
        <f t="shared" ca="1" si="7"/>
        <v>4383</v>
      </c>
      <c r="D20" s="70">
        <f t="shared" si="8"/>
        <v>3.8050000000000002</v>
      </c>
      <c r="E20" s="71">
        <f t="shared" si="0"/>
        <v>3.7949999999999999</v>
      </c>
      <c r="F20" s="72">
        <f t="shared" si="1"/>
        <v>0.71218749999999997</v>
      </c>
      <c r="G20" s="59"/>
      <c r="H20" s="73" t="s">
        <v>27</v>
      </c>
      <c r="I20" s="124">
        <f t="shared" ca="1" si="9"/>
        <v>4383</v>
      </c>
      <c r="J20" s="74">
        <f>_xll.IMDP("IR","CRSTC7KRW"&amp;$H20,"매도호가")</f>
        <v>2.6150000000000002</v>
      </c>
      <c r="K20" s="71">
        <f>_xll.IMDP("IR","CRSTC7KRW"&amp;$H20,"매수호가")</f>
        <v>2.0150000000000001</v>
      </c>
      <c r="L20" s="75">
        <f>_xll.IMDP("IR","CRSTC7KRW"&amp;$H20,"시간",,"TmFmt=1")</f>
        <v>0.7063194444444445</v>
      </c>
      <c r="M20" s="59"/>
      <c r="N20" s="69" t="str">
        <f>IF(B20="","",B20)</f>
        <v>12Y</v>
      </c>
      <c r="O20" s="110">
        <f t="shared" ca="1" si="2"/>
        <v>1170.8296254548127</v>
      </c>
      <c r="P20" s="111">
        <f t="shared" ca="1" si="3"/>
        <v>1237.721476188603</v>
      </c>
      <c r="Q20" s="116">
        <f t="shared" ca="1" si="10"/>
        <v>-20747.037454518726</v>
      </c>
      <c r="R20" s="117">
        <f t="shared" ca="1" si="11"/>
        <v>-14077.852381139701</v>
      </c>
      <c r="AA20" s="6">
        <v>11</v>
      </c>
      <c r="AB20" s="67">
        <f>INDEX(code!$V:$Y, MATCH(
INDEX(code!$A$1:$A$9,'cross rate fwd'!$D$7),code!$T:$T,0)+$AA20,
1)</f>
        <v>3.8050000000000002</v>
      </c>
      <c r="AC20" s="76">
        <f>INDEX(code!$V:$Y, MATCH(
INDEX(code!$A$1:$A$9,'cross rate fwd'!$D$7),code!$T:$T,0)+$AA20,
2)</f>
        <v>3.7949999999999999</v>
      </c>
      <c r="AD20" s="77" cm="1">
        <f t="array" ref="AD20">INDEX(code!$V:$Y, MATCH(
INDEX(code!$A$1:$A$9,'cross rate fwd'!$D$7),code!$T:$T,0)+$AA20,
3)</f>
        <v>0.71218749999999997</v>
      </c>
      <c r="AF20" s="6">
        <v>12</v>
      </c>
      <c r="AG20" s="67">
        <f t="shared" ca="1" si="4"/>
        <v>4383</v>
      </c>
      <c r="AH20" s="67">
        <f ca="1">1+E20%*(C20/360)</f>
        <v>1.46204125</v>
      </c>
      <c r="AI20" s="76">
        <f ca="1">1+D20%*(C20/360)</f>
        <v>1.4632587500000001</v>
      </c>
      <c r="AJ20" s="13">
        <f t="shared" ca="1" si="12"/>
        <v>49983</v>
      </c>
      <c r="AK20" s="68">
        <f ca="1">IF($AJ$7,INDEX(code!$J:$J,MATCH(EOMONTH(AL20,0),code!$J:$J,1)),AL20)</f>
        <v>49983</v>
      </c>
      <c r="AL20" s="13">
        <f ca="1">INDEX(code!$J:$J,MATCH(EDATE($AG$8,12*$AF20),code!$J:$J,1))</f>
        <v>49983</v>
      </c>
      <c r="AM20" s="68">
        <f ca="1">IF($AJ$7,
INDEX(code!$J:$J,MATCH(EOMONTH(AN20,0),code!$J:$J,1)),
AN20)</f>
        <v>49983</v>
      </c>
      <c r="AN20" s="13">
        <f ca="1">IF(IFERROR(MATCH(AO20,code!$D$14:$D$44,0),FALSE),INDEX(code!$H:$H,MATCH(AO20,code!$H:$H,0)-1),AO20)</f>
        <v>49983</v>
      </c>
      <c r="AO20" s="13">
        <f ca="1">INDEX(code!$H:$H,MATCH(EDATE($AG$8,12*$AF20),code!$H:$H,-1))</f>
        <v>49983</v>
      </c>
      <c r="AP20" s="67">
        <f t="shared" ca="1" si="13"/>
        <v>4383</v>
      </c>
      <c r="AQ20" s="67">
        <f t="shared" ca="1" si="5"/>
        <v>1.2419656164383561</v>
      </c>
      <c r="AR20" s="76">
        <f t="shared" ca="1" si="6"/>
        <v>1.3140149315068492</v>
      </c>
      <c r="AS20" s="13">
        <f t="shared" ca="1" si="14"/>
        <v>49983</v>
      </c>
      <c r="AT20" s="68">
        <f ca="1">IF($AS$7,INDEX(code!$R:$R,MATCH(EOMONTH(AU20,0),code!$R:$R,1)),AU20)</f>
        <v>49983</v>
      </c>
      <c r="AU20" s="13">
        <f ca="1">INDEX(code!$R:$R,MATCH(EDATE($AP$7,12*AF20),code!$R:$R,1))</f>
        <v>49983</v>
      </c>
      <c r="AV20" s="68">
        <f ca="1">IF($AS$7,
INDEX(code!$J:$J,MATCH(EOMONTH(AW20,0),code!$J:$J,1)),
AW20)</f>
        <v>49983</v>
      </c>
      <c r="AW20" s="13">
        <f ca="1">INDEX(code!$P:$P,MATCH(EDATE($AP$7,12*AF20),code!$P:$P,-1))</f>
        <v>49983</v>
      </c>
    </row>
    <row r="21" spans="2:49" ht="17.25" thickBot="1">
      <c r="B21" s="78" t="str">
        <f>IF(D21="","", H21)</f>
        <v>15Y</v>
      </c>
      <c r="C21" s="122">
        <f t="shared" ca="1" si="7"/>
        <v>5478</v>
      </c>
      <c r="D21" s="79">
        <f t="shared" si="8"/>
        <v>3.8279999999999998</v>
      </c>
      <c r="E21" s="80">
        <f t="shared" si="0"/>
        <v>3.8180000000000001</v>
      </c>
      <c r="F21" s="81">
        <f t="shared" si="1"/>
        <v>0.71218749999999997</v>
      </c>
      <c r="G21" s="59"/>
      <c r="H21" s="82" t="s">
        <v>3</v>
      </c>
      <c r="I21" s="125">
        <f t="shared" ca="1" si="9"/>
        <v>5478</v>
      </c>
      <c r="J21" s="83">
        <f>_xll.IMDP("IR","CRSTC7KRW"&amp;$H21,"매도호가")</f>
        <v>2.5750000000000002</v>
      </c>
      <c r="K21" s="80">
        <f>_xll.IMDP("IR","CRSTC7KRW"&amp;$H21,"매수호가")</f>
        <v>1.9750000000000001</v>
      </c>
      <c r="L21" s="84">
        <f>_xll.IMDP("IR","CRSTC7KRW"&amp;$H21,"시간",,"TmFmt=1")</f>
        <v>0.70633101851851854</v>
      </c>
      <c r="M21" s="59"/>
      <c r="N21" s="78" t="str">
        <f>IF(B21="","",B21)</f>
        <v>15Y</v>
      </c>
      <c r="O21" s="112">
        <f t="shared" ca="1" si="2"/>
        <v>1130.2190905341959</v>
      </c>
      <c r="P21" s="113">
        <f t="shared" ca="1" si="3"/>
        <v>1207.5622932526949</v>
      </c>
      <c r="Q21" s="118">
        <f t="shared" ca="1" si="10"/>
        <v>-24808.090946580411</v>
      </c>
      <c r="R21" s="119">
        <f t="shared" ca="1" si="11"/>
        <v>-17093.770674730513</v>
      </c>
      <c r="AA21" s="6">
        <v>12</v>
      </c>
      <c r="AB21" s="85">
        <f>INDEX(code!$V:$Y, MATCH(
INDEX(code!$A$1:$A$9,'cross rate fwd'!$D$7),code!$T:$T,0)+$AA21,
1)</f>
        <v>3.8279999999999998</v>
      </c>
      <c r="AC21" s="86">
        <f>INDEX(code!$V:$Y, MATCH(
INDEX(code!$A$1:$A$9,'cross rate fwd'!$D$7),code!$T:$T,0)+$AA21,
2)</f>
        <v>3.8180000000000001</v>
      </c>
      <c r="AD21" s="87" cm="1">
        <f t="array" ref="AD21">INDEX(code!$V:$Y, MATCH(
INDEX(code!$A$1:$A$9,'cross rate fwd'!$D$7),code!$T:$T,0)+$AA21,
3)</f>
        <v>0.71218749999999997</v>
      </c>
      <c r="AF21" s="6">
        <v>15</v>
      </c>
      <c r="AG21" s="85">
        <f t="shared" ca="1" si="4"/>
        <v>5478</v>
      </c>
      <c r="AH21" s="85">
        <f ca="1">1+E21%*(C21/360)</f>
        <v>1.5809723333333334</v>
      </c>
      <c r="AI21" s="86">
        <f ca="1">1+D21%*(C21/360)</f>
        <v>1.5824940000000001</v>
      </c>
      <c r="AJ21" s="13">
        <f t="shared" ca="1" si="12"/>
        <v>51078</v>
      </c>
      <c r="AK21" s="68">
        <f ca="1">IF($AJ$7,INDEX(code!$J:$J,MATCH(EOMONTH(AL21,0),code!$J:$J,1)),AL21)</f>
        <v>51078</v>
      </c>
      <c r="AL21" s="13">
        <f ca="1">INDEX(code!$J:$J,MATCH(EDATE($AG$8,12*$AF21),code!$J:$J,1))</f>
        <v>51078</v>
      </c>
      <c r="AM21" s="68">
        <f ca="1">IF($AJ$7,
INDEX(code!$J:$J,MATCH(EOMONTH(AN21,0),code!$J:$J,1)),
AN21)</f>
        <v>51078</v>
      </c>
      <c r="AN21" s="13">
        <f ca="1">IF(IFERROR(MATCH(AO21,code!$D$14:$D$44,0),FALSE),INDEX(code!$H:$H,MATCH(AO21,code!$H:$H,0)-1),AO21)</f>
        <v>51078</v>
      </c>
      <c r="AO21" s="13">
        <f ca="1">INDEX(code!$H:$H,MATCH(EDATE($AG$8,12*$AF21),code!$H:$H,-1))</f>
        <v>51078</v>
      </c>
      <c r="AP21" s="85">
        <f t="shared" ca="1" si="13"/>
        <v>5478</v>
      </c>
      <c r="AQ21" s="85">
        <f t="shared" ca="1" si="5"/>
        <v>1.2964123287671232</v>
      </c>
      <c r="AR21" s="86">
        <f t="shared" ca="1" si="6"/>
        <v>1.3864616438356165</v>
      </c>
      <c r="AS21" s="13">
        <f t="shared" ca="1" si="14"/>
        <v>51078</v>
      </c>
      <c r="AT21" s="68">
        <f ca="1">IF($AS$7,INDEX(code!$R:$R,MATCH(EOMONTH(AU21,0),code!$R:$R,1)),AU21)</f>
        <v>51078</v>
      </c>
      <c r="AU21" s="13">
        <f ca="1">INDEX(code!$R:$R,MATCH(EDATE($AP$7,12*AF21),code!$R:$R,1))</f>
        <v>51078</v>
      </c>
      <c r="AV21" s="68">
        <f ca="1">IF($AS$7,
INDEX(code!$J:$J,MATCH(EOMONTH(AW21,0),code!$J:$J,1)),
AW21)</f>
        <v>51078</v>
      </c>
      <c r="AW21" s="13">
        <f ca="1">INDEX(code!$P:$P,MATCH(EDATE($AP$7,12*AF21),code!$P:$P,-1))</f>
        <v>51078</v>
      </c>
    </row>
    <row r="22" spans="2:49">
      <c r="B22" s="14"/>
      <c r="C22" s="14"/>
      <c r="D22" s="15"/>
      <c r="E22" s="15"/>
      <c r="F22" s="15"/>
      <c r="G22" s="15"/>
      <c r="H22" s="14"/>
      <c r="I22" s="14"/>
      <c r="J22" s="15"/>
      <c r="K22" s="15"/>
      <c r="L22" s="15"/>
      <c r="M22" s="15"/>
      <c r="N22" s="15"/>
      <c r="O22" s="15"/>
      <c r="P22" s="15"/>
      <c r="Q22" s="15"/>
      <c r="R22" s="15"/>
    </row>
    <row r="23" spans="2:49">
      <c r="B23" s="88"/>
      <c r="C23" s="88"/>
      <c r="D23" s="88"/>
      <c r="E23" s="88"/>
      <c r="F23" s="88"/>
      <c r="G23" s="15"/>
      <c r="H23" s="88"/>
      <c r="I23" s="88"/>
      <c r="J23" s="88"/>
      <c r="K23" s="88"/>
      <c r="L23" s="88"/>
      <c r="M23" s="15"/>
      <c r="N23" s="15"/>
      <c r="O23" s="15"/>
      <c r="P23" s="15"/>
      <c r="Q23" s="15"/>
      <c r="R23" s="15"/>
      <c r="T23" s="7"/>
    </row>
    <row r="24" spans="2:49" ht="17.25" thickBot="1">
      <c r="B24" s="14"/>
      <c r="C24" s="14"/>
      <c r="D24" s="15"/>
      <c r="E24" s="15"/>
      <c r="F24" s="15"/>
      <c r="G24" s="15"/>
      <c r="H24" s="14"/>
      <c r="I24" s="14"/>
      <c r="J24" s="15"/>
      <c r="K24" s="15"/>
      <c r="L24" s="15"/>
      <c r="M24" s="15"/>
      <c r="N24" s="15"/>
      <c r="O24" s="15"/>
      <c r="P24" s="15"/>
    </row>
    <row r="25" spans="2:49" ht="17.25" thickBot="1">
      <c r="B25" s="9" t="str">
        <f>INDEX(code!$B$1:$B$9,$D$26)</f>
        <v>ACT/365 Annual Fixed VS ACT/360 Quarterly SOFR</v>
      </c>
      <c r="G25" s="59"/>
      <c r="H25" s="15"/>
      <c r="I25" s="14"/>
      <c r="J25" s="15"/>
      <c r="K25" s="15"/>
      <c r="L25" s="15"/>
      <c r="M25" s="59"/>
      <c r="N25" s="16" t="str">
        <f>INDEX(code!$D$1:$D$9,'cross rate fwd'!$D$26)&amp;" Forward"</f>
        <v>JPY/KRW Forward</v>
      </c>
      <c r="O25" s="17"/>
      <c r="P25" s="18"/>
      <c r="Q25" s="19" t="s">
        <v>50</v>
      </c>
      <c r="R25" s="20"/>
    </row>
    <row r="26" spans="2:49" ht="17.25" thickBot="1">
      <c r="B26" s="21"/>
      <c r="C26" s="22"/>
      <c r="D26" s="23">
        <v>2</v>
      </c>
      <c r="E26" s="23"/>
      <c r="F26" s="24"/>
      <c r="G26" s="25"/>
      <c r="H26" s="26" t="str">
        <f>$H$7</f>
        <v xml:space="preserve"> KRW/USD SOFR CRS</v>
      </c>
      <c r="I26" s="27"/>
      <c r="J26" s="27"/>
      <c r="K26" s="27"/>
      <c r="L26" s="28"/>
      <c r="M26" s="25"/>
      <c r="N26" s="29" t="s">
        <v>43</v>
      </c>
      <c r="O26" s="30" t="s">
        <v>0</v>
      </c>
      <c r="P26" s="31" t="s">
        <v>1</v>
      </c>
      <c r="Q26" s="32" t="s">
        <v>0</v>
      </c>
      <c r="R26" s="33" t="s">
        <v>1</v>
      </c>
      <c r="AC26" s="6">
        <f>INDEX(code!$T:$T,MATCH('cross rate fwd'!$D$26,code!$T:$T,0)+3)</f>
        <v>170545</v>
      </c>
      <c r="AG26" s="34" t="b">
        <f ca="1">IFERROR(MATCH( INDEX(code!$L:$L,
MATCH($B$4,code!$L:$L,-1)-2),
code!$D$14:$D$44,0 ),FALSE)</f>
        <v>0</v>
      </c>
      <c r="AH26" s="35" t="s">
        <v>0</v>
      </c>
      <c r="AI26" s="36" t="s">
        <v>1</v>
      </c>
      <c r="AJ26" s="6" t="b">
        <f ca="1">(AJ27=AG27)</f>
        <v>0</v>
      </c>
      <c r="AP26" s="89"/>
      <c r="AQ26" s="35" t="s">
        <v>0</v>
      </c>
      <c r="AR26" s="36" t="s">
        <v>1</v>
      </c>
    </row>
    <row r="27" spans="2:49" ht="17.25" thickBot="1">
      <c r="B27" s="38" t="s">
        <v>44</v>
      </c>
      <c r="C27" s="39" t="s">
        <v>45</v>
      </c>
      <c r="D27" s="40" t="s">
        <v>48</v>
      </c>
      <c r="E27" s="41" t="s">
        <v>49</v>
      </c>
      <c r="F27" s="42" t="s">
        <v>30</v>
      </c>
      <c r="G27" s="59"/>
      <c r="H27" s="43" t="s">
        <v>44</v>
      </c>
      <c r="I27" s="44" t="s">
        <v>45</v>
      </c>
      <c r="J27" s="45" t="s">
        <v>48</v>
      </c>
      <c r="K27" s="41" t="s">
        <v>49</v>
      </c>
      <c r="L27" s="46" t="s">
        <v>30</v>
      </c>
      <c r="M27" s="59"/>
      <c r="N27" s="47" t="s">
        <v>2</v>
      </c>
      <c r="O27" s="106">
        <f>AB27</f>
        <v>905.88</v>
      </c>
      <c r="P27" s="107">
        <f>AC27</f>
        <v>906.19</v>
      </c>
      <c r="Q27" s="48" t="str">
        <f>TEXT(AC26,"00"":""00"":""00")&amp;IF(D26=1,code!$D$11," (종합)")</f>
        <v>17:05:45 (종합)</v>
      </c>
      <c r="R27" s="49"/>
      <c r="AB27" s="6">
        <f>INDEX(code!$T:$T,MATCH('cross rate fwd'!$D$26,code!$T:$T,0)+1)</f>
        <v>905.88</v>
      </c>
      <c r="AC27" s="6">
        <f>INDEX(code!$T:$T,MATCH('cross rate fwd'!$D$26,code!$T:$T,0)+2)</f>
        <v>906.19</v>
      </c>
      <c r="AG27" s="50">
        <f ca="1">INDEX(code!$L:$L,MATCH($B$4,code!$L:$L,-1)-2-IF(AG26,-1,0))</f>
        <v>45601</v>
      </c>
      <c r="AH27" s="51"/>
      <c r="AI27" s="52"/>
      <c r="AJ27" s="13">
        <f ca="1">INDEX(code!$N:$N,MATCH(EOMONTH(AG27,0),code!$N:$N,1))</f>
        <v>45625</v>
      </c>
      <c r="AP27" s="90"/>
      <c r="AQ27" s="51"/>
      <c r="AR27" s="52"/>
    </row>
    <row r="28" spans="2:49">
      <c r="B28" s="55" t="str">
        <f>IF(D28="","", H28)</f>
        <v>01Y</v>
      </c>
      <c r="C28" s="120">
        <f ca="1">AG28</f>
        <v>365</v>
      </c>
      <c r="D28" s="56">
        <f>IF(AB28=0,"",AB28)</f>
        <v>6.676E-2</v>
      </c>
      <c r="E28" s="57">
        <f>IF(AC28=0,"",AC28)</f>
        <v>-1.311E-2</v>
      </c>
      <c r="F28" s="58">
        <f>IF(AD28=0,"",AD28)</f>
        <v>0.70840277777777783</v>
      </c>
      <c r="G28" s="59"/>
      <c r="H28" s="60" t="s">
        <v>16</v>
      </c>
      <c r="I28" s="123">
        <f ca="1">$AP28</f>
        <v>365</v>
      </c>
      <c r="J28" s="61">
        <f>_xll.IMDP("IR","CRSTC7KRW"&amp;$H28,"매도호가")</f>
        <v>2.7349999999999999</v>
      </c>
      <c r="K28" s="57">
        <f>_xll.IMDP("IR","CRSTC7KRW"&amp;$H28,"매수호가")</f>
        <v>2.1349999999999998</v>
      </c>
      <c r="L28" s="62">
        <f>_xll.IMDP("IR","CRSTC7KRW"&amp;$H28,"시간",,"TmFmt=1")</f>
        <v>0.70616898148148144</v>
      </c>
      <c r="M28" s="59"/>
      <c r="N28" s="63" t="str">
        <f>IF(B28="","",B28)</f>
        <v>01Y</v>
      </c>
      <c r="O28" s="108">
        <f t="shared" ref="O28:O40" ca="1" si="15">IFERROR($O$27*(AQ28/AH28),NA())</f>
        <v>925.34353543384964</v>
      </c>
      <c r="P28" s="109">
        <f t="shared" ref="P28:P40" ca="1" si="16">IFERROR($O$27*(AR28/AI28),NA())</f>
        <v>930.02630902548481</v>
      </c>
      <c r="Q28" s="114">
        <f ca="1">IFERROR((O28-$O$27)*100,"")</f>
        <v>1946.3535433849643</v>
      </c>
      <c r="R28" s="115">
        <f ca="1">IFERROR((P28-$P$27)*100,"")</f>
        <v>2383.6309025484752</v>
      </c>
      <c r="AA28" s="6">
        <v>0</v>
      </c>
      <c r="AB28" s="64">
        <f>INDEX(code!$V:$Y, MATCH(
INDEX(code!$A$1:$A$9,'cross rate fwd'!$D$26),code!$T:$T,0)+$AA28,
1)</f>
        <v>6.676E-2</v>
      </c>
      <c r="AC28" s="65">
        <f>INDEX(code!$V:$Y, MATCH(
INDEX(code!$A$1:$A$9,'cross rate fwd'!$D$26),code!$T:$T,0)+$AA28,
2)</f>
        <v>-1.311E-2</v>
      </c>
      <c r="AD28" s="91" cm="1">
        <f t="array" ref="AD28">INDEX(code!$V:$Y, MATCH(
INDEX(code!$A$1:$A$9,'cross rate fwd'!$D$26),code!$T:$T,0)+$AA28,
3)</f>
        <v>0.70840277777777783</v>
      </c>
      <c r="AF28" s="6">
        <v>1</v>
      </c>
      <c r="AG28" s="67">
        <f ca="1">AJ28-$AG$27</f>
        <v>365</v>
      </c>
      <c r="AH28" s="64">
        <f ca="1">1+E28%*(C28/360)</f>
        <v>0.99986707916666662</v>
      </c>
      <c r="AI28" s="65">
        <f ca="1">1+D28%*(C28/360)</f>
        <v>1.0006768722222221</v>
      </c>
      <c r="AJ28" s="13">
        <f ca="1">IF(MONTH(EDATE($AG$27,12*$AF28))=MONTH(AM28),AM28,AK28)</f>
        <v>45966</v>
      </c>
      <c r="AK28" s="68">
        <f ca="1">IF($AJ$26,INDEX(code!$N:$N,MATCH(EOMONTH(AL28,0),code!$N:$N,1)),AL28)</f>
        <v>45966</v>
      </c>
      <c r="AL28" s="13">
        <f ca="1">INDEX(code!$N:$N,MATCH(EDATE($AG$27,12*$AF28),code!$N:$N,1))</f>
        <v>45966</v>
      </c>
      <c r="AM28" s="68">
        <f ca="1">IF($AJ$26,
INDEX(code!$N:$N,MATCH(EOMONTH(AN28,0),code!$N:$N,1)),
AN28)</f>
        <v>45966</v>
      </c>
      <c r="AN28" s="13">
        <f ca="1">IF(IFERROR(MATCH(AO28,code!$D$14:$D$44,0),FALSE),INDEX(code!$L:$L,MATCH(AO28,code!$L:$L,0)-1),AO28)</f>
        <v>45966</v>
      </c>
      <c r="AO28" s="13">
        <f ca="1">INDEX(code!$L:$L,MATCH(EDATE($AG$27,12*$AF28),code!$L:$L,-1))</f>
        <v>45966</v>
      </c>
      <c r="AP28" s="67">
        <f ca="1">AP9</f>
        <v>365</v>
      </c>
      <c r="AQ28" s="64">
        <f t="shared" ref="AQ28:AQ40" ca="1" si="17">1+K28%*(I28/365)</f>
        <v>1.02135</v>
      </c>
      <c r="AR28" s="65">
        <f t="shared" ref="AR28:AR40" ca="1" si="18">1+J28%*(I28/365)</f>
        <v>1.02735</v>
      </c>
    </row>
    <row r="29" spans="2:49">
      <c r="B29" s="69" t="str">
        <f>IF(D29="","", H29)</f>
        <v>02Y</v>
      </c>
      <c r="C29" s="121">
        <f t="shared" ref="C29:C40" ca="1" si="19">AG29</f>
        <v>730</v>
      </c>
      <c r="D29" s="70">
        <f t="shared" ref="D29:D40" si="20">IF(AB29=0,"",AB29)</f>
        <v>0.11018</v>
      </c>
      <c r="E29" s="71">
        <f t="shared" ref="D29:E40" si="21">IF(AC29=0,"",AC29)</f>
        <v>3.0329999999999999E-2</v>
      </c>
      <c r="F29" s="72">
        <f t="shared" ref="F29:F40" si="22">IF(AD29=0,"",AD29)</f>
        <v>0.70840277777777783</v>
      </c>
      <c r="G29" s="59"/>
      <c r="H29" s="73" t="s">
        <v>17</v>
      </c>
      <c r="I29" s="124">
        <f t="shared" ref="I29:I40" ca="1" si="23">$AP29</f>
        <v>730</v>
      </c>
      <c r="J29" s="74">
        <f>_xll.IMDP("IR","CRSTC7KRW"&amp;$H29,"매도호가")</f>
        <v>2.6150000000000002</v>
      </c>
      <c r="K29" s="71">
        <f>_xll.IMDP("IR","CRSTC7KRW"&amp;$H29,"매수호가")</f>
        <v>2.0150000000000001</v>
      </c>
      <c r="L29" s="75">
        <f>_xll.IMDP("IR","CRSTC7KRW"&amp;$H29,"시간",,"TmFmt=1")</f>
        <v>0.70618055555555559</v>
      </c>
      <c r="M29" s="59"/>
      <c r="N29" s="69" t="str">
        <f>IF(B29="","",B29)</f>
        <v>02Y</v>
      </c>
      <c r="O29" s="110">
        <f t="shared" ca="1" si="15"/>
        <v>941.80772870165515</v>
      </c>
      <c r="P29" s="111">
        <f t="shared" ca="1" si="16"/>
        <v>951.13249848780902</v>
      </c>
      <c r="Q29" s="116">
        <f t="shared" ref="Q29:Q40" ca="1" si="24">IFERROR((O29-$O$27)*100,"")</f>
        <v>3592.7728701655155</v>
      </c>
      <c r="R29" s="117">
        <f t="shared" ref="R29:R40" ca="1" si="25">IFERROR((P29-$P$27)*100,"")</f>
        <v>4494.2498487808962</v>
      </c>
      <c r="AA29" s="6">
        <v>1</v>
      </c>
      <c r="AB29" s="67">
        <f>INDEX(code!$V:$Y, MATCH(
INDEX(code!$A$1:$A$9,'cross rate fwd'!$D$26),code!$T:$T,0)+$AA29,
1)</f>
        <v>0.11018</v>
      </c>
      <c r="AC29" s="76">
        <f>INDEX(code!$V:$Y, MATCH(
INDEX(code!$A$1:$A$9,'cross rate fwd'!$D$26),code!$T:$T,0)+$AA29,
2)</f>
        <v>3.0329999999999999E-2</v>
      </c>
      <c r="AD29" s="92" cm="1">
        <f t="array" ref="AD29">INDEX(code!$V:$Y, MATCH(
INDEX(code!$A$1:$A$9,'cross rate fwd'!$D$26),code!$T:$T,0)+$AA29,
3)</f>
        <v>0.70840277777777783</v>
      </c>
      <c r="AF29" s="6">
        <v>2</v>
      </c>
      <c r="AG29" s="67">
        <f t="shared" ref="AG29:AG40" ca="1" si="26">AJ29-$AG$27</f>
        <v>730</v>
      </c>
      <c r="AH29" s="67">
        <f ca="1">1+E29%*(C29/360)</f>
        <v>1.0006150250000001</v>
      </c>
      <c r="AI29" s="76">
        <f ca="1">1+D29%*(C29/360)</f>
        <v>1.0022342055555555</v>
      </c>
      <c r="AJ29" s="13">
        <f t="shared" ref="AJ29:AJ40" ca="1" si="27">IF(MONTH(EDATE($AG$27,12*$AF29))=MONTH(AM29),AM29,AK29)</f>
        <v>46331</v>
      </c>
      <c r="AK29" s="68">
        <f ca="1">IF($AJ$26,INDEX(code!$N:$N,MATCH(EOMONTH(AL29,0),code!$N:$N,1)),AL29)</f>
        <v>46331</v>
      </c>
      <c r="AL29" s="13">
        <f ca="1">INDEX(code!$N:$N,MATCH(EDATE($AG$27,12*$AF29),code!$N:$N,1))</f>
        <v>46331</v>
      </c>
      <c r="AM29" s="68">
        <f ca="1">IF($AJ$26,
INDEX(code!$N:$N,MATCH(EOMONTH(AN29,0),code!$N:$N,1)),
AN29)</f>
        <v>46331</v>
      </c>
      <c r="AN29" s="13">
        <f ca="1">IF(IFERROR(MATCH(AO29,code!$D$14:$D$44,0),FALSE),INDEX(code!$L:$L,MATCH(AO29,code!$L:$L,0)-1),AO29)</f>
        <v>46331</v>
      </c>
      <c r="AO29" s="13">
        <f ca="1">INDEX(code!$L:$L,MATCH(EDATE($AG$27,12*$AF29),code!$L:$L,-1))</f>
        <v>46331</v>
      </c>
      <c r="AP29" s="67">
        <f t="shared" ref="AP29:AP40" ca="1" si="28">AP10</f>
        <v>730</v>
      </c>
      <c r="AQ29" s="67">
        <f t="shared" ca="1" si="17"/>
        <v>1.0403</v>
      </c>
      <c r="AR29" s="76">
        <f t="shared" ca="1" si="18"/>
        <v>1.0523</v>
      </c>
    </row>
    <row r="30" spans="2:49">
      <c r="B30" s="69" t="str">
        <f>IF(D30="","", H30)</f>
        <v>03Y</v>
      </c>
      <c r="C30" s="121">
        <f t="shared" ca="1" si="19"/>
        <v>1095</v>
      </c>
      <c r="D30" s="70">
        <f t="shared" si="20"/>
        <v>0.12620000000000001</v>
      </c>
      <c r="E30" s="71">
        <f t="shared" si="21"/>
        <v>4.6370000000000001E-2</v>
      </c>
      <c r="F30" s="72">
        <f t="shared" si="22"/>
        <v>0.70840277777777783</v>
      </c>
      <c r="G30" s="59"/>
      <c r="H30" s="73" t="s">
        <v>18</v>
      </c>
      <c r="I30" s="124">
        <f t="shared" ca="1" si="23"/>
        <v>1095</v>
      </c>
      <c r="J30" s="74">
        <f>_xll.IMDP("IR","CRSTC7KRW"&amp;$H30,"매도호가")</f>
        <v>2.5950000000000002</v>
      </c>
      <c r="K30" s="71">
        <f>_xll.IMDP("IR","CRSTC7KRW"&amp;$H30,"매수호가")</f>
        <v>1.9950000000000001</v>
      </c>
      <c r="L30" s="75">
        <f>_xll.IMDP("IR","CRSTC7KRW"&amp;$H30,"시간",,"TmFmt=1")</f>
        <v>0.70619212962962963</v>
      </c>
      <c r="M30" s="59"/>
      <c r="N30" s="69" t="str">
        <f>IF(B30="","",B30)</f>
        <v>03Y</v>
      </c>
      <c r="O30" s="110">
        <f t="shared" ca="1" si="15"/>
        <v>958.74468452310089</v>
      </c>
      <c r="P30" s="111">
        <f t="shared" ca="1" si="16"/>
        <v>972.6690866551171</v>
      </c>
      <c r="Q30" s="116">
        <f t="shared" ca="1" si="24"/>
        <v>5286.4684523100896</v>
      </c>
      <c r="R30" s="117">
        <f t="shared" ca="1" si="25"/>
        <v>6647.9086655117044</v>
      </c>
      <c r="AA30" s="6">
        <v>2</v>
      </c>
      <c r="AB30" s="67">
        <f>INDEX(code!$V:$Y, MATCH(
INDEX(code!$A$1:$A$9,'cross rate fwd'!$D$26),code!$T:$T,0)+$AA30,
1)</f>
        <v>0.12620000000000001</v>
      </c>
      <c r="AC30" s="76">
        <f>INDEX(code!$V:$Y, MATCH(
INDEX(code!$A$1:$A$9,'cross rate fwd'!$D$26),code!$T:$T,0)+$AA30,
2)</f>
        <v>4.6370000000000001E-2</v>
      </c>
      <c r="AD30" s="92" cm="1">
        <f t="array" ref="AD30">INDEX(code!$V:$Y, MATCH(
INDEX(code!$A$1:$A$9,'cross rate fwd'!$D$26),code!$T:$T,0)+$AA30,
3)</f>
        <v>0.70840277777777783</v>
      </c>
      <c r="AF30" s="6">
        <v>3</v>
      </c>
      <c r="AG30" s="67">
        <f t="shared" ca="1" si="26"/>
        <v>1095</v>
      </c>
      <c r="AH30" s="67">
        <f ca="1">1+E30%*(C30/360)</f>
        <v>1.0014104208333334</v>
      </c>
      <c r="AI30" s="76">
        <f ca="1">1+D30%*(C30/360)</f>
        <v>1.0038385833333334</v>
      </c>
      <c r="AJ30" s="13">
        <f t="shared" ca="1" si="27"/>
        <v>46696</v>
      </c>
      <c r="AK30" s="68">
        <f ca="1">IF($AJ$26,INDEX(code!$N:$N,MATCH(EOMONTH(AL30,0),code!$N:$N,1)),AL30)</f>
        <v>46696</v>
      </c>
      <c r="AL30" s="13">
        <f ca="1">INDEX(code!$N:$N,MATCH(EDATE($AG$27,12*$AF30),code!$N:$N,1))</f>
        <v>46696</v>
      </c>
      <c r="AM30" s="68">
        <f ca="1">IF($AJ$26,
INDEX(code!$N:$N,MATCH(EOMONTH(AN30,0),code!$N:$N,1)),
AN30)</f>
        <v>46696</v>
      </c>
      <c r="AN30" s="13">
        <f ca="1">IF(IFERROR(MATCH(AO30,code!$D$14:$D$44,0),FALSE),INDEX(code!$L:$L,MATCH(AO30,code!$L:$L,0)-1),AO30)</f>
        <v>46696</v>
      </c>
      <c r="AO30" s="13">
        <f ca="1">INDEX(code!$L:$L,MATCH(EDATE($AG$27,12*$AF30),code!$L:$L,-1))</f>
        <v>46696</v>
      </c>
      <c r="AP30" s="67">
        <f t="shared" ca="1" si="28"/>
        <v>1095</v>
      </c>
      <c r="AQ30" s="67">
        <f t="shared" ca="1" si="17"/>
        <v>1.05985</v>
      </c>
      <c r="AR30" s="76">
        <f t="shared" ca="1" si="18"/>
        <v>1.07785</v>
      </c>
    </row>
    <row r="31" spans="2:49">
      <c r="B31" s="69" t="str">
        <f>IF(D31="","", H31)</f>
        <v>04Y</v>
      </c>
      <c r="C31" s="121">
        <f t="shared" ca="1" si="19"/>
        <v>1462</v>
      </c>
      <c r="D31" s="70">
        <f t="shared" si="20"/>
        <v>0.13413</v>
      </c>
      <c r="E31" s="71">
        <f t="shared" si="21"/>
        <v>5.432E-2</v>
      </c>
      <c r="F31" s="72">
        <f t="shared" si="22"/>
        <v>0.70840277777777783</v>
      </c>
      <c r="G31" s="59"/>
      <c r="H31" s="73" t="s">
        <v>19</v>
      </c>
      <c r="I31" s="124">
        <f t="shared" ca="1" si="23"/>
        <v>1463</v>
      </c>
      <c r="J31" s="74">
        <f>_xll.IMDP("IR","CRSTC7KRW"&amp;$H31,"매도호가")</f>
        <v>2.58</v>
      </c>
      <c r="K31" s="71">
        <f>_xll.IMDP("IR","CRSTC7KRW"&amp;$H31,"매수호가")</f>
        <v>1.98</v>
      </c>
      <c r="L31" s="75">
        <f>_xll.IMDP("IR","CRSTC7KRW"&amp;$H31,"시간",,"TmFmt=1")</f>
        <v>0.70620370370370367</v>
      </c>
      <c r="M31" s="59"/>
      <c r="N31" s="69" t="str">
        <f>IF(B31="","",B31)</f>
        <v>04Y</v>
      </c>
      <c r="O31" s="110">
        <f t="shared" ca="1" si="15"/>
        <v>975.62090328645672</v>
      </c>
      <c r="P31" s="111">
        <f t="shared" ca="1" si="16"/>
        <v>994.14364441859868</v>
      </c>
      <c r="Q31" s="116">
        <f t="shared" ca="1" si="24"/>
        <v>6974.0903286456723</v>
      </c>
      <c r="R31" s="117">
        <f t="shared" ca="1" si="25"/>
        <v>8795.3644418598633</v>
      </c>
      <c r="AA31" s="6">
        <v>3</v>
      </c>
      <c r="AB31" s="67">
        <f>INDEX(code!$V:$Y, MATCH(
INDEX(code!$A$1:$A$9,'cross rate fwd'!$D$26),code!$T:$T,0)+$AA31,
1)</f>
        <v>0.13413</v>
      </c>
      <c r="AC31" s="76">
        <f>INDEX(code!$V:$Y, MATCH(
INDEX(code!$A$1:$A$9,'cross rate fwd'!$D$26),code!$T:$T,0)+$AA31,
2)</f>
        <v>5.432E-2</v>
      </c>
      <c r="AD31" s="92" cm="1">
        <f t="array" ref="AD31">INDEX(code!$V:$Y, MATCH(
INDEX(code!$A$1:$A$9,'cross rate fwd'!$D$26),code!$T:$T,0)+$AA31,
3)</f>
        <v>0.70840277777777783</v>
      </c>
      <c r="AF31" s="6">
        <v>4</v>
      </c>
      <c r="AG31" s="67">
        <f t="shared" ca="1" si="26"/>
        <v>1462</v>
      </c>
      <c r="AH31" s="67">
        <f ca="1">1+E31%*(C31/360)</f>
        <v>1.0022059955555556</v>
      </c>
      <c r="AI31" s="76">
        <f ca="1">1+D31%*(C31/360)</f>
        <v>1.0054471683333333</v>
      </c>
      <c r="AJ31" s="13">
        <f t="shared" ca="1" si="27"/>
        <v>47063</v>
      </c>
      <c r="AK31" s="68">
        <f ca="1">IF($AJ$26,INDEX(code!$N:$N,MATCH(EOMONTH(AL31,0),code!$N:$N,1)),AL31)</f>
        <v>47059</v>
      </c>
      <c r="AL31" s="13">
        <f ca="1">INDEX(code!$N:$N,MATCH(EDATE($AG$27,12*$AF31),code!$N:$N,1))</f>
        <v>47059</v>
      </c>
      <c r="AM31" s="68">
        <f ca="1">IF($AJ$26,
INDEX(code!$N:$N,MATCH(EOMONTH(AN31,0),code!$N:$N,1)),
AN31)</f>
        <v>47063</v>
      </c>
      <c r="AN31" s="13">
        <f ca="1">IF(IFERROR(MATCH(AO31,code!$D$14:$D$44,0),FALSE),INDEX(code!$L:$L,MATCH(AO31,code!$L:$L,0)-1),AO31)</f>
        <v>47063</v>
      </c>
      <c r="AO31" s="13">
        <f ca="1">INDEX(code!$L:$L,MATCH(EDATE($AG$27,12*$AF31),code!$L:$L,-1))</f>
        <v>47063</v>
      </c>
      <c r="AP31" s="67">
        <f t="shared" ca="1" si="28"/>
        <v>1463</v>
      </c>
      <c r="AQ31" s="67">
        <f t="shared" ca="1" si="17"/>
        <v>1.0793627397260275</v>
      </c>
      <c r="AR31" s="76">
        <f t="shared" ca="1" si="18"/>
        <v>1.1034120547945205</v>
      </c>
    </row>
    <row r="32" spans="2:49">
      <c r="B32" s="69" t="str">
        <f>IF(D32="","", H32)</f>
        <v>05Y</v>
      </c>
      <c r="C32" s="121">
        <f t="shared" ca="1" si="19"/>
        <v>1826</v>
      </c>
      <c r="D32" s="70">
        <f t="shared" si="20"/>
        <v>0.15017</v>
      </c>
      <c r="E32" s="71">
        <f t="shared" si="21"/>
        <v>7.0349999999999996E-2</v>
      </c>
      <c r="F32" s="72">
        <f t="shared" si="22"/>
        <v>0.70840277777777783</v>
      </c>
      <c r="G32" s="59"/>
      <c r="H32" s="73" t="s">
        <v>20</v>
      </c>
      <c r="I32" s="124">
        <f t="shared" ca="1" si="23"/>
        <v>1827</v>
      </c>
      <c r="J32" s="74">
        <f>_xll.IMDP("IR","CRSTC7KRW"&amp;$H32,"매도호가")</f>
        <v>2.5750000000000002</v>
      </c>
      <c r="K32" s="71">
        <f>_xll.IMDP("IR","CRSTC7KRW"&amp;$H32,"매수호가")</f>
        <v>1.9750000000000001</v>
      </c>
      <c r="L32" s="75">
        <f>_xll.IMDP("IR","CRSTC7KRW"&amp;$H32,"시간",,"TmFmt=1")</f>
        <v>0.70621527777777782</v>
      </c>
      <c r="M32" s="59"/>
      <c r="N32" s="69" t="str">
        <f>IF(B32="","",B32)</f>
        <v>05Y</v>
      </c>
      <c r="O32" s="110">
        <f t="shared" ca="1" si="15"/>
        <v>991.89429889650285</v>
      </c>
      <c r="P32" s="111">
        <f t="shared" ca="1" si="16"/>
        <v>1014.9093459999674</v>
      </c>
      <c r="Q32" s="116">
        <f t="shared" ca="1" si="24"/>
        <v>8601.4298896502842</v>
      </c>
      <c r="R32" s="117">
        <f t="shared" ca="1" si="25"/>
        <v>10871.934599996734</v>
      </c>
      <c r="AA32" s="6">
        <v>4</v>
      </c>
      <c r="AB32" s="67">
        <f>INDEX(code!$V:$Y, MATCH(
INDEX(code!$A$1:$A$9,'cross rate fwd'!$D$26),code!$T:$T,0)+$AA32,
1)</f>
        <v>0.15017</v>
      </c>
      <c r="AC32" s="76">
        <f>INDEX(code!$V:$Y, MATCH(
INDEX(code!$A$1:$A$9,'cross rate fwd'!$D$26),code!$T:$T,0)+$AA32,
2)</f>
        <v>7.0349999999999996E-2</v>
      </c>
      <c r="AD32" s="92" cm="1">
        <f t="array" ref="AD32">INDEX(code!$V:$Y, MATCH(
INDEX(code!$A$1:$A$9,'cross rate fwd'!$D$26),code!$T:$T,0)+$AA32,
3)</f>
        <v>0.70840277777777783</v>
      </c>
      <c r="AF32" s="6">
        <v>5</v>
      </c>
      <c r="AG32" s="67">
        <f t="shared" ca="1" si="26"/>
        <v>1826</v>
      </c>
      <c r="AH32" s="67">
        <f ca="1">1+E32%*(C32/360)</f>
        <v>1.0035683083333333</v>
      </c>
      <c r="AI32" s="76">
        <f ca="1">1+D32%*(C32/360)</f>
        <v>1.007616956111111</v>
      </c>
      <c r="AJ32" s="13">
        <f t="shared" ca="1" si="27"/>
        <v>47427</v>
      </c>
      <c r="AK32" s="68">
        <f ca="1">IF($AJ$26,INDEX(code!$N:$N,MATCH(EOMONTH(AL32,0),code!$N:$N,1)),AL32)</f>
        <v>47427</v>
      </c>
      <c r="AL32" s="13">
        <f ca="1">INDEX(code!$N:$N,MATCH(EDATE($AG$27,12*$AF32),code!$N:$N,1))</f>
        <v>47427</v>
      </c>
      <c r="AM32" s="68">
        <f ca="1">IF($AJ$26,
INDEX(code!$N:$N,MATCH(EOMONTH(AN32,0),code!$N:$N,1)),
AN32)</f>
        <v>47427</v>
      </c>
      <c r="AN32" s="13">
        <f ca="1">IF(IFERROR(MATCH(AO32,code!$D$14:$D$44,0),FALSE),INDEX(code!$L:$L,MATCH(AO32,code!$L:$L,0)-1),AO32)</f>
        <v>47427</v>
      </c>
      <c r="AO32" s="13">
        <f ca="1">INDEX(code!$L:$L,MATCH(EDATE($AG$27,12*$AF32),code!$L:$L,-1))</f>
        <v>47427</v>
      </c>
      <c r="AP32" s="67">
        <f t="shared" ca="1" si="28"/>
        <v>1827</v>
      </c>
      <c r="AQ32" s="67">
        <f t="shared" ca="1" si="17"/>
        <v>1.0988582191780822</v>
      </c>
      <c r="AR32" s="76">
        <f t="shared" ca="1" si="18"/>
        <v>1.128891095890411</v>
      </c>
    </row>
    <row r="33" spans="2:44">
      <c r="B33" s="69" t="str">
        <f>IF(D33="","", H33)</f>
        <v>06Y</v>
      </c>
      <c r="C33" s="121">
        <f t="shared" ca="1" si="19"/>
        <v>2191</v>
      </c>
      <c r="D33" s="70">
        <f t="shared" si="20"/>
        <v>0.17554</v>
      </c>
      <c r="E33" s="71">
        <f t="shared" si="21"/>
        <v>9.5750000000000002E-2</v>
      </c>
      <c r="F33" s="72">
        <f t="shared" si="22"/>
        <v>0.70840277777777783</v>
      </c>
      <c r="G33" s="59"/>
      <c r="H33" s="73" t="s">
        <v>21</v>
      </c>
      <c r="I33" s="124">
        <f t="shared" ca="1" si="23"/>
        <v>2191</v>
      </c>
      <c r="J33" s="74">
        <f>_xll.IMDP("IR","CRSTC7KRW"&amp;$H33,"매도호가")</f>
        <v>2.59</v>
      </c>
      <c r="K33" s="71">
        <f>_xll.IMDP("IR","CRSTC7KRW"&amp;$H33,"매수호가")</f>
        <v>1.99</v>
      </c>
      <c r="L33" s="75">
        <f>_xll.IMDP("IR","CRSTC7KRW"&amp;$H33,"시간",,"TmFmt=1")</f>
        <v>0.70623842592592589</v>
      </c>
      <c r="M33" s="59"/>
      <c r="N33" s="69" t="str">
        <f>IF(B33="","",B33)</f>
        <v>06Y</v>
      </c>
      <c r="O33" s="110">
        <f t="shared" ca="1" si="15"/>
        <v>1008.2161305835034</v>
      </c>
      <c r="P33" s="111">
        <f t="shared" ca="1" si="16"/>
        <v>1035.6535658177895</v>
      </c>
      <c r="Q33" s="116">
        <f t="shared" ca="1" si="24"/>
        <v>10233.61305835034</v>
      </c>
      <c r="R33" s="117">
        <f t="shared" ca="1" si="25"/>
        <v>12946.356581778946</v>
      </c>
      <c r="AA33" s="6">
        <v>5</v>
      </c>
      <c r="AB33" s="67">
        <f>INDEX(code!$V:$Y, MATCH(
INDEX(code!$A$1:$A$9,'cross rate fwd'!$D$26),code!$T:$T,0)+$AA33,
1)</f>
        <v>0.17554</v>
      </c>
      <c r="AC33" s="76">
        <f>INDEX(code!$V:$Y, MATCH(
INDEX(code!$A$1:$A$9,'cross rate fwd'!$D$26),code!$T:$T,0)+$AA33,
2)</f>
        <v>9.5750000000000002E-2</v>
      </c>
      <c r="AD33" s="92" cm="1">
        <f t="array" ref="AD33">INDEX(code!$V:$Y, MATCH(
INDEX(code!$A$1:$A$9,'cross rate fwd'!$D$26),code!$T:$T,0)+$AA33,
3)</f>
        <v>0.70840277777777783</v>
      </c>
      <c r="AF33" s="6">
        <v>6</v>
      </c>
      <c r="AG33" s="67">
        <f t="shared" ca="1" si="26"/>
        <v>2191</v>
      </c>
      <c r="AH33" s="67">
        <f ca="1">1+E33%*(C33/360)</f>
        <v>1.005827451388889</v>
      </c>
      <c r="AI33" s="76">
        <f ca="1">1+D33%*(C33/360)</f>
        <v>1.0106835594444445</v>
      </c>
      <c r="AJ33" s="13">
        <f t="shared" ca="1" si="27"/>
        <v>47792</v>
      </c>
      <c r="AK33" s="68">
        <f ca="1">IF($AJ$26,INDEX(code!$N:$N,MATCH(EOMONTH(AL33,0),code!$N:$N,1)),AL33)</f>
        <v>47792</v>
      </c>
      <c r="AL33" s="13">
        <f ca="1">INDEX(code!$N:$N,MATCH(EDATE($AG$27,12*$AF33),code!$N:$N,1))</f>
        <v>47792</v>
      </c>
      <c r="AM33" s="68">
        <f ca="1">IF($AJ$26,
INDEX(code!$N:$N,MATCH(EOMONTH(AN33,0),code!$N:$N,1)),
AN33)</f>
        <v>47792</v>
      </c>
      <c r="AN33" s="13">
        <f ca="1">IF(IFERROR(MATCH(AO33,code!$D$14:$D$44,0),FALSE),INDEX(code!$L:$L,MATCH(AO33,code!$L:$L,0)-1),AO33)</f>
        <v>47792</v>
      </c>
      <c r="AO33" s="13">
        <f ca="1">INDEX(code!$L:$L,MATCH(EDATE($AG$27,12*$AF33),code!$L:$L,-1))</f>
        <v>47792</v>
      </c>
      <c r="AP33" s="67">
        <f t="shared" ca="1" si="28"/>
        <v>2191</v>
      </c>
      <c r="AQ33" s="67">
        <f t="shared" ca="1" si="17"/>
        <v>1.1194545205479451</v>
      </c>
      <c r="AR33" s="76">
        <f t="shared" ca="1" si="18"/>
        <v>1.1554709589041097</v>
      </c>
    </row>
    <row r="34" spans="2:44">
      <c r="B34" s="69" t="str">
        <f>IF(D34="","", H34)</f>
        <v>07Y</v>
      </c>
      <c r="C34" s="121">
        <f t="shared" ca="1" si="19"/>
        <v>2556</v>
      </c>
      <c r="D34" s="70">
        <f t="shared" si="20"/>
        <v>0.21273</v>
      </c>
      <c r="E34" s="71">
        <f t="shared" si="21"/>
        <v>0.13295999999999999</v>
      </c>
      <c r="F34" s="72">
        <f t="shared" si="22"/>
        <v>0.70840277777777783</v>
      </c>
      <c r="G34" s="59"/>
      <c r="H34" s="73" t="s">
        <v>22</v>
      </c>
      <c r="I34" s="124">
        <f t="shared" ca="1" si="23"/>
        <v>2556</v>
      </c>
      <c r="J34" s="74">
        <f>_xll.IMDP("IR","CRSTC7KRW"&amp;$H34,"매도호가")</f>
        <v>2.605</v>
      </c>
      <c r="K34" s="71">
        <f>_xll.IMDP("IR","CRSTC7KRW"&amp;$H34,"매수호가")</f>
        <v>2.0049999999999999</v>
      </c>
      <c r="L34" s="75">
        <f>_xll.IMDP("IR","CRSTC7KRW"&amp;$H34,"시간",,"TmFmt=1")</f>
        <v>0.70625000000000004</v>
      </c>
      <c r="M34" s="59"/>
      <c r="N34" s="69" t="str">
        <f>IF(B34="","",B34)</f>
        <v>07Y</v>
      </c>
      <c r="O34" s="110">
        <f t="shared" ca="1" si="15"/>
        <v>1023.4088758202611</v>
      </c>
      <c r="P34" s="111">
        <f t="shared" ca="1" si="16"/>
        <v>1055.1943937907386</v>
      </c>
      <c r="Q34" s="116">
        <f t="shared" ca="1" si="24"/>
        <v>11752.887582026107</v>
      </c>
      <c r="R34" s="117">
        <f t="shared" ca="1" si="25"/>
        <v>14900.43937907385</v>
      </c>
      <c r="AA34" s="6">
        <v>6</v>
      </c>
      <c r="AB34" s="67">
        <f>INDEX(code!$V:$Y, MATCH(
INDEX(code!$A$1:$A$9,'cross rate fwd'!$D$26),code!$T:$T,0)+$AA34,
1)</f>
        <v>0.21273</v>
      </c>
      <c r="AC34" s="76">
        <f>INDEX(code!$V:$Y, MATCH(
INDEX(code!$A$1:$A$9,'cross rate fwd'!$D$26),code!$T:$T,0)+$AA34,
2)</f>
        <v>0.13295999999999999</v>
      </c>
      <c r="AD34" s="92" cm="1">
        <f t="array" ref="AD34">INDEX(code!$V:$Y, MATCH(
INDEX(code!$A$1:$A$9,'cross rate fwd'!$D$26),code!$T:$T,0)+$AA34,
3)</f>
        <v>0.70840277777777783</v>
      </c>
      <c r="AF34" s="6">
        <v>7</v>
      </c>
      <c r="AG34" s="67">
        <f t="shared" ca="1" si="26"/>
        <v>2556</v>
      </c>
      <c r="AH34" s="67">
        <f ca="1">1+E34%*(C34/360)</f>
        <v>1.00944016</v>
      </c>
      <c r="AI34" s="76">
        <f ca="1">1+D34%*(C34/360)</f>
        <v>1.0151038299999999</v>
      </c>
      <c r="AJ34" s="13">
        <f t="shared" ca="1" si="27"/>
        <v>48157</v>
      </c>
      <c r="AK34" s="68">
        <f ca="1">IF($AJ$26,INDEX(code!$N:$N,MATCH(EOMONTH(AL34,0),code!$N:$N,1)),AL34)</f>
        <v>48157</v>
      </c>
      <c r="AL34" s="13">
        <f ca="1">INDEX(code!$N:$N,MATCH(EDATE($AG$27,12*$AF34),code!$N:$N,1))</f>
        <v>48157</v>
      </c>
      <c r="AM34" s="68">
        <f ca="1">IF($AJ$26,
INDEX(code!$N:$N,MATCH(EOMONTH(AN34,0),code!$N:$N,1)),
AN34)</f>
        <v>48157</v>
      </c>
      <c r="AN34" s="13">
        <f ca="1">IF(IFERROR(MATCH(AO34,code!$D$14:$D$44,0),FALSE),INDEX(code!$L:$L,MATCH(AO34,code!$L:$L,0)-1),AO34)</f>
        <v>48157</v>
      </c>
      <c r="AO34" s="13">
        <f ca="1">INDEX(code!$L:$L,MATCH(EDATE($AG$27,12*$AF34),code!$L:$L,-1))</f>
        <v>48157</v>
      </c>
      <c r="AP34" s="67">
        <f t="shared" ca="1" si="28"/>
        <v>2556</v>
      </c>
      <c r="AQ34" s="67">
        <f t="shared" ca="1" si="17"/>
        <v>1.1404049315068492</v>
      </c>
      <c r="AR34" s="76">
        <f t="shared" ca="1" si="18"/>
        <v>1.1824213698630137</v>
      </c>
    </row>
    <row r="35" spans="2:44">
      <c r="B35" s="69" t="str">
        <f>IF(D35="","", H35)</f>
        <v>08Y</v>
      </c>
      <c r="C35" s="121">
        <f t="shared" ca="1" si="19"/>
        <v>2922</v>
      </c>
      <c r="D35" s="70">
        <f t="shared" si="20"/>
        <v>0.25862000000000002</v>
      </c>
      <c r="E35" s="71">
        <f t="shared" si="21"/>
        <v>0.17887</v>
      </c>
      <c r="F35" s="72">
        <f t="shared" si="22"/>
        <v>0.70840277777777783</v>
      </c>
      <c r="G35" s="59"/>
      <c r="H35" s="73" t="s">
        <v>23</v>
      </c>
      <c r="I35" s="124">
        <f t="shared" ca="1" si="23"/>
        <v>2922</v>
      </c>
      <c r="J35" s="74">
        <f>_xll.IMDP("IR","CRSTC7KRW"&amp;$H35,"매도호가")</f>
        <v>2.605</v>
      </c>
      <c r="K35" s="71">
        <f>_xll.IMDP("IR","CRSTC7KRW"&amp;$H35,"매수호가")</f>
        <v>2.0049999999999999</v>
      </c>
      <c r="L35" s="75">
        <f>_xll.IMDP("IR","CRSTC7KRW"&amp;$H35,"시간",,"TmFmt=1")</f>
        <v>0.70626157407407408</v>
      </c>
      <c r="M35" s="59"/>
      <c r="N35" s="69" t="str">
        <f>IF(B35="","",B35)</f>
        <v>08Y</v>
      </c>
      <c r="O35" s="110">
        <f t="shared" ca="1" si="15"/>
        <v>1036.2382755486528</v>
      </c>
      <c r="P35" s="111">
        <f t="shared" ca="1" si="16"/>
        <v>1072.28599503542</v>
      </c>
      <c r="Q35" s="116">
        <f t="shared" ca="1" si="24"/>
        <v>13035.827554865284</v>
      </c>
      <c r="R35" s="117">
        <f t="shared" ca="1" si="25"/>
        <v>16609.599503541995</v>
      </c>
      <c r="AA35" s="6">
        <v>7</v>
      </c>
      <c r="AB35" s="67">
        <f>INDEX(code!$V:$Y, MATCH(
INDEX(code!$A$1:$A$9,'cross rate fwd'!$D$26),code!$T:$T,0)+$AA35,
1)</f>
        <v>0.25862000000000002</v>
      </c>
      <c r="AC35" s="76">
        <f>INDEX(code!$V:$Y, MATCH(
INDEX(code!$A$1:$A$9,'cross rate fwd'!$D$26),code!$T:$T,0)+$AA35,
2)</f>
        <v>0.17887</v>
      </c>
      <c r="AD35" s="92" cm="1">
        <f t="array" ref="AD35">INDEX(code!$V:$Y, MATCH(
INDEX(code!$A$1:$A$9,'cross rate fwd'!$D$26),code!$T:$T,0)+$AA35,
3)</f>
        <v>0.70840277777777783</v>
      </c>
      <c r="AF35" s="6">
        <v>8</v>
      </c>
      <c r="AG35" s="67">
        <f t="shared" ca="1" si="26"/>
        <v>2922</v>
      </c>
      <c r="AH35" s="67">
        <f ca="1">1+E35%*(C35/360)</f>
        <v>1.0145182816666667</v>
      </c>
      <c r="AI35" s="76">
        <f ca="1">1+D35%*(C35/360)</f>
        <v>1.0209913233333334</v>
      </c>
      <c r="AJ35" s="13">
        <f t="shared" ca="1" si="27"/>
        <v>48523</v>
      </c>
      <c r="AK35" s="68">
        <f ca="1">IF($AJ$26,INDEX(code!$N:$N,MATCH(EOMONTH(AL35,0),code!$N:$N,1)),AL35)</f>
        <v>48523</v>
      </c>
      <c r="AL35" s="13">
        <f ca="1">INDEX(code!$N:$N,MATCH(EDATE($AG$27,12*$AF35),code!$N:$N,1))</f>
        <v>48523</v>
      </c>
      <c r="AM35" s="68">
        <f ca="1">IF($AJ$26,
INDEX(code!$N:$N,MATCH(EOMONTH(AN35,0),code!$N:$N,1)),
AN35)</f>
        <v>48523</v>
      </c>
      <c r="AN35" s="13">
        <f ca="1">IF(IFERROR(MATCH(AO35,code!$D$14:$D$44,0),FALSE),INDEX(code!$L:$L,MATCH(AO35,code!$L:$L,0)-1),AO35)</f>
        <v>48523</v>
      </c>
      <c r="AO35" s="13">
        <f ca="1">INDEX(code!$L:$L,MATCH(EDATE($AG$27,12*$AF35),code!$L:$L,-1))</f>
        <v>48523</v>
      </c>
      <c r="AP35" s="67">
        <f t="shared" ca="1" si="28"/>
        <v>2922</v>
      </c>
      <c r="AQ35" s="67">
        <f t="shared" ca="1" si="17"/>
        <v>1.1605098630136985</v>
      </c>
      <c r="AR35" s="76">
        <f t="shared" ca="1" si="18"/>
        <v>1.2085427397260273</v>
      </c>
    </row>
    <row r="36" spans="2:44">
      <c r="B36" s="69" t="str">
        <f>IF(D36="","", H36)</f>
        <v>09Y</v>
      </c>
      <c r="C36" s="121">
        <f t="shared" ca="1" si="19"/>
        <v>3289</v>
      </c>
      <c r="D36" s="70">
        <f t="shared" si="20"/>
        <v>0.31197000000000003</v>
      </c>
      <c r="E36" s="71">
        <f t="shared" si="21"/>
        <v>0.23222999999999999</v>
      </c>
      <c r="F36" s="72">
        <f t="shared" si="22"/>
        <v>0.70840277777777783</v>
      </c>
      <c r="G36" s="59"/>
      <c r="H36" s="73" t="s">
        <v>24</v>
      </c>
      <c r="I36" s="124">
        <f t="shared" ca="1" si="23"/>
        <v>3287</v>
      </c>
      <c r="J36" s="74">
        <f>_xll.IMDP("IR","CRSTC7KRW"&amp;$H36,"매도호가")</f>
        <v>2.605</v>
      </c>
      <c r="K36" s="71">
        <f>_xll.IMDP("IR","CRSTC7KRW"&amp;$H36,"매수호가")</f>
        <v>2.0049999999999999</v>
      </c>
      <c r="L36" s="75">
        <f>_xll.IMDP("IR","CRSTC7KRW"&amp;$H36,"시간",,"TmFmt=1")</f>
        <v>0.70628472222222227</v>
      </c>
      <c r="M36" s="59"/>
      <c r="N36" s="69" t="str">
        <f>IF(B36="","",B36)</f>
        <v>09Y</v>
      </c>
      <c r="O36" s="110">
        <f t="shared" ca="1" si="15"/>
        <v>1047.2267772195171</v>
      </c>
      <c r="P36" s="111">
        <f t="shared" ca="1" si="16"/>
        <v>1087.3998803228756</v>
      </c>
      <c r="Q36" s="116">
        <f t="shared" ca="1" si="24"/>
        <v>14134.67772195171</v>
      </c>
      <c r="R36" s="117">
        <f t="shared" ca="1" si="25"/>
        <v>18120.988032287551</v>
      </c>
      <c r="AA36" s="6">
        <v>8</v>
      </c>
      <c r="AB36" s="67">
        <f>INDEX(code!$V:$Y, MATCH(
INDEX(code!$A$1:$A$9,'cross rate fwd'!$D$26),code!$T:$T,0)+$AA36,
1)</f>
        <v>0.31197000000000003</v>
      </c>
      <c r="AC36" s="76">
        <f>INDEX(code!$V:$Y, MATCH(
INDEX(code!$A$1:$A$9,'cross rate fwd'!$D$26),code!$T:$T,0)+$AA36,
2)</f>
        <v>0.23222999999999999</v>
      </c>
      <c r="AD36" s="92" cm="1">
        <f t="array" ref="AD36">INDEX(code!$V:$Y, MATCH(
INDEX(code!$A$1:$A$9,'cross rate fwd'!$D$26),code!$T:$T,0)+$AA36,
3)</f>
        <v>0.70840277777777783</v>
      </c>
      <c r="AF36" s="6">
        <v>9</v>
      </c>
      <c r="AG36" s="67">
        <f t="shared" ca="1" si="26"/>
        <v>3289</v>
      </c>
      <c r="AH36" s="67">
        <f ca="1">1+E36%*(C36/360)</f>
        <v>1.0212167908333334</v>
      </c>
      <c r="AI36" s="76">
        <f ca="1">1+D36%*(C36/360)</f>
        <v>1.0285019258333334</v>
      </c>
      <c r="AJ36" s="13">
        <f t="shared" ca="1" si="27"/>
        <v>48890</v>
      </c>
      <c r="AK36" s="68">
        <f ca="1">IF($AJ$26,INDEX(code!$N:$N,MATCH(EOMONTH(AL36,0),code!$N:$N,1)),AL36)</f>
        <v>48887</v>
      </c>
      <c r="AL36" s="13">
        <f ca="1">INDEX(code!$N:$N,MATCH(EDATE($AG$27,12*$AF36),code!$N:$N,1))</f>
        <v>48887</v>
      </c>
      <c r="AM36" s="68">
        <f ca="1">IF($AJ$26,
INDEX(code!$N:$N,MATCH(EOMONTH(AN36,0),code!$N:$N,1)),
AN36)</f>
        <v>48890</v>
      </c>
      <c r="AN36" s="13">
        <f ca="1">IF(IFERROR(MATCH(AO36,code!$D$14:$D$44,0),FALSE),INDEX(code!$L:$L,MATCH(AO36,code!$L:$L,0)-1),AO36)</f>
        <v>48890</v>
      </c>
      <c r="AO36" s="13">
        <f ca="1">INDEX(code!$L:$L,MATCH(EDATE($AG$27,12*$AF36),code!$L:$L,-1))</f>
        <v>48890</v>
      </c>
      <c r="AP36" s="67">
        <f t="shared" ca="1" si="28"/>
        <v>3287</v>
      </c>
      <c r="AQ36" s="67">
        <f t="shared" ca="1" si="17"/>
        <v>1.1805598630136986</v>
      </c>
      <c r="AR36" s="76">
        <f t="shared" ca="1" si="18"/>
        <v>1.2345927397260275</v>
      </c>
    </row>
    <row r="37" spans="2:44">
      <c r="B37" s="69" t="str">
        <f>IF(D37="","", H37)</f>
        <v>10Y</v>
      </c>
      <c r="C37" s="121">
        <f t="shared" ca="1" si="19"/>
        <v>3653</v>
      </c>
      <c r="D37" s="70">
        <f t="shared" si="20"/>
        <v>0.37401000000000001</v>
      </c>
      <c r="E37" s="71">
        <f t="shared" si="21"/>
        <v>0.29429</v>
      </c>
      <c r="F37" s="72">
        <f t="shared" si="22"/>
        <v>0.70840277777777783</v>
      </c>
      <c r="G37" s="59"/>
      <c r="H37" s="73" t="s">
        <v>25</v>
      </c>
      <c r="I37" s="124">
        <f t="shared" ca="1" si="23"/>
        <v>3654</v>
      </c>
      <c r="J37" s="74">
        <f>_xll.IMDP("IR","CRSTC7KRW"&amp;$H37,"매도호가")</f>
        <v>2.6349999999999998</v>
      </c>
      <c r="K37" s="71">
        <f>_xll.IMDP("IR","CRSTC7KRW"&amp;$H37,"매수호가")</f>
        <v>2.0350000000000001</v>
      </c>
      <c r="L37" s="75">
        <f>_xll.IMDP("IR","CRSTC7KRW"&amp;$H37,"시간",,"TmFmt=1")</f>
        <v>0.70629629629629631</v>
      </c>
      <c r="M37" s="59"/>
      <c r="N37" s="69" t="str">
        <f>IF(B37="","",B37)</f>
        <v>10Y</v>
      </c>
      <c r="O37" s="110">
        <f t="shared" ca="1" si="15"/>
        <v>1058.8101396736306</v>
      </c>
      <c r="P37" s="111">
        <f t="shared" ca="1" si="16"/>
        <v>1102.9810444610009</v>
      </c>
      <c r="Q37" s="116">
        <f t="shared" ca="1" si="24"/>
        <v>15293.01396736306</v>
      </c>
      <c r="R37" s="117">
        <f t="shared" ca="1" si="25"/>
        <v>19679.104446100086</v>
      </c>
      <c r="AA37" s="6">
        <v>9</v>
      </c>
      <c r="AB37" s="67">
        <f>INDEX(code!$V:$Y, MATCH(
INDEX(code!$A$1:$A$9,'cross rate fwd'!$D$26),code!$T:$T,0)+$AA37,
1)</f>
        <v>0.37401000000000001</v>
      </c>
      <c r="AC37" s="76">
        <f>INDEX(code!$V:$Y, MATCH(
INDEX(code!$A$1:$A$9,'cross rate fwd'!$D$26),code!$T:$T,0)+$AA37,
2)</f>
        <v>0.29429</v>
      </c>
      <c r="AD37" s="92" cm="1">
        <f t="array" ref="AD37">INDEX(code!$V:$Y, MATCH(
INDEX(code!$A$1:$A$9,'cross rate fwd'!$D$26),code!$T:$T,0)+$AA37,
3)</f>
        <v>0.70840277777777783</v>
      </c>
      <c r="AF37" s="6">
        <v>10</v>
      </c>
      <c r="AG37" s="67">
        <f t="shared" ca="1" si="26"/>
        <v>3653</v>
      </c>
      <c r="AH37" s="67">
        <f ca="1">1+E37%*(C37/360)</f>
        <v>1.0298622602777778</v>
      </c>
      <c r="AI37" s="76">
        <f ca="1">1+D37%*(C37/360)</f>
        <v>1.0379516258333332</v>
      </c>
      <c r="AJ37" s="13">
        <f t="shared" ca="1" si="27"/>
        <v>49254</v>
      </c>
      <c r="AK37" s="68">
        <f ca="1">IF($AJ$26,INDEX(code!$N:$N,MATCH(EOMONTH(AL37,0),code!$N:$N,1)),AL37)</f>
        <v>49250</v>
      </c>
      <c r="AL37" s="13">
        <f ca="1">INDEX(code!$N:$N,MATCH(EDATE($AG$27,12*$AF37),code!$N:$N,1))</f>
        <v>49250</v>
      </c>
      <c r="AM37" s="68">
        <f ca="1">IF($AJ$26,
INDEX(code!$N:$N,MATCH(EOMONTH(AN37,0),code!$N:$N,1)),
AN37)</f>
        <v>49254</v>
      </c>
      <c r="AN37" s="13">
        <f ca="1">IF(IFERROR(MATCH(AO37,code!$D$14:$D$44,0),FALSE),INDEX(code!$L:$L,MATCH(AO37,code!$L:$L,0)-1),AO37)</f>
        <v>49254</v>
      </c>
      <c r="AO37" s="13">
        <f ca="1">INDEX(code!$L:$L,MATCH(EDATE($AG$27,12*$AF37),code!$L:$L,-1))</f>
        <v>49254</v>
      </c>
      <c r="AP37" s="67">
        <f t="shared" ca="1" si="28"/>
        <v>3654</v>
      </c>
      <c r="AQ37" s="67">
        <f t="shared" ca="1" si="17"/>
        <v>1.2037230136986301</v>
      </c>
      <c r="AR37" s="76">
        <f t="shared" ca="1" si="18"/>
        <v>1.2637887671232877</v>
      </c>
    </row>
    <row r="38" spans="2:44">
      <c r="B38" s="69" t="str">
        <f>IF(D38="","", H38)</f>
        <v>11Y</v>
      </c>
      <c r="C38" s="121">
        <f t="shared" ca="1" si="19"/>
        <v>4017</v>
      </c>
      <c r="D38" s="70">
        <f t="shared" si="21"/>
        <v>0.45094000000000001</v>
      </c>
      <c r="E38" s="71">
        <f t="shared" si="21"/>
        <v>0.35138999999999998</v>
      </c>
      <c r="F38" s="72">
        <f t="shared" si="22"/>
        <v>0.70840277777777783</v>
      </c>
      <c r="G38" s="59"/>
      <c r="H38" s="73" t="s">
        <v>26</v>
      </c>
      <c r="I38" s="124">
        <f t="shared" ca="1" si="23"/>
        <v>4018</v>
      </c>
      <c r="J38" s="74">
        <f>_xll.IMDP("IR","CRSTC7KRW"&amp;$H38,"매도호가")</f>
        <v>2.6349999999999998</v>
      </c>
      <c r="K38" s="71">
        <f>_xll.IMDP("IR","CRSTC7KRW"&amp;$H38,"매수호가")</f>
        <v>2.0350000000000001</v>
      </c>
      <c r="L38" s="75">
        <f>_xll.IMDP("IR","CRSTC7KRW"&amp;$H38,"시간",,"TmFmt=1")</f>
        <v>0.70630787037037035</v>
      </c>
      <c r="M38" s="59"/>
      <c r="N38" s="69" t="str">
        <f>IF(B38="","",B38)</f>
        <v>11Y</v>
      </c>
      <c r="O38" s="110">
        <f t="shared" ca="1" si="15"/>
        <v>1066.9773552004879</v>
      </c>
      <c r="P38" s="111">
        <f t="shared" ca="1" si="16"/>
        <v>1112.6593944385372</v>
      </c>
      <c r="Q38" s="116">
        <f t="shared" ca="1" si="24"/>
        <v>16109.735520048787</v>
      </c>
      <c r="R38" s="117">
        <f t="shared" ca="1" si="25"/>
        <v>20646.939443853717</v>
      </c>
      <c r="AA38" s="6">
        <v>10</v>
      </c>
      <c r="AB38" s="67">
        <f>INDEX(code!$V:$Y, MATCH(
INDEX(code!$A$1:$A$9,'cross rate fwd'!$D$26),code!$T:$T,0)+$AA38,
1)</f>
        <v>0.45094000000000001</v>
      </c>
      <c r="AC38" s="76">
        <f>INDEX(code!$V:$Y, MATCH(
INDEX(code!$A$1:$A$9,'cross rate fwd'!$D$26),code!$T:$T,0)+$AA38,
2)</f>
        <v>0.35138999999999998</v>
      </c>
      <c r="AD38" s="92" cm="1">
        <f t="array" ref="AD38">INDEX(code!$V:$Y, MATCH(
INDEX(code!$A$1:$A$9,'cross rate fwd'!$D$26),code!$T:$T,0)+$AA38,
3)</f>
        <v>0.70840277777777783</v>
      </c>
      <c r="AF38" s="6">
        <v>11</v>
      </c>
      <c r="AG38" s="67">
        <f t="shared" ca="1" si="26"/>
        <v>4017</v>
      </c>
      <c r="AH38" s="67">
        <f ca="1">1+E38%*(C38/360)</f>
        <v>1.0392092675</v>
      </c>
      <c r="AI38" s="76">
        <f ca="1">1+D38%*(C38/360)</f>
        <v>1.0503173883333334</v>
      </c>
      <c r="AJ38" s="13">
        <f t="shared" ca="1" si="27"/>
        <v>49618</v>
      </c>
      <c r="AK38" s="68">
        <f ca="1">IF($AJ$26,INDEX(code!$N:$N,MATCH(EOMONTH(AL38,0),code!$N:$N,1)),AL38)</f>
        <v>49618</v>
      </c>
      <c r="AL38" s="13">
        <f ca="1">INDEX(code!$N:$N,MATCH(EDATE($AG$27,12*$AF38),code!$N:$N,1))</f>
        <v>49618</v>
      </c>
      <c r="AM38" s="68">
        <f ca="1">IF($AJ$26,
INDEX(code!$N:$N,MATCH(EOMONTH(AN38,0),code!$N:$N,1)),
AN38)</f>
        <v>49618</v>
      </c>
      <c r="AN38" s="13">
        <f ca="1">IF(IFERROR(MATCH(AO38,code!$D$14:$D$44,0),FALSE),INDEX(code!$L:$L,MATCH(AO38,code!$L:$L,0)-1),AO38)</f>
        <v>49618</v>
      </c>
      <c r="AO38" s="13">
        <f ca="1">INDEX(code!$L:$L,MATCH(EDATE($AG$27,12*$AF38),code!$L:$L,-1))</f>
        <v>49618</v>
      </c>
      <c r="AP38" s="67">
        <f t="shared" ca="1" si="28"/>
        <v>4018</v>
      </c>
      <c r="AQ38" s="67">
        <f t="shared" ca="1" si="17"/>
        <v>1.2240172602739725</v>
      </c>
      <c r="AR38" s="76">
        <f t="shared" ca="1" si="18"/>
        <v>1.2900665753424656</v>
      </c>
    </row>
    <row r="39" spans="2:44">
      <c r="B39" s="69" t="str">
        <f>IF(D39="","", H39)</f>
        <v>12Y</v>
      </c>
      <c r="C39" s="121">
        <f t="shared" ca="1" si="19"/>
        <v>4383</v>
      </c>
      <c r="D39" s="70">
        <f t="shared" si="20"/>
        <v>0.51792000000000005</v>
      </c>
      <c r="E39" s="71">
        <f t="shared" si="21"/>
        <v>0.41839999999999999</v>
      </c>
      <c r="F39" s="72">
        <f t="shared" si="22"/>
        <v>0.70840277777777783</v>
      </c>
      <c r="G39" s="59"/>
      <c r="H39" s="73" t="s">
        <v>27</v>
      </c>
      <c r="I39" s="124">
        <f t="shared" ca="1" si="23"/>
        <v>4383</v>
      </c>
      <c r="J39" s="74">
        <f>_xll.IMDP("IR","CRSTC7KRW"&amp;$H39,"매도호가")</f>
        <v>2.6150000000000002</v>
      </c>
      <c r="K39" s="71">
        <f>_xll.IMDP("IR","CRSTC7KRW"&amp;$H39,"매수호가")</f>
        <v>2.0150000000000001</v>
      </c>
      <c r="L39" s="75">
        <f>_xll.IMDP("IR","CRSTC7KRW"&amp;$H39,"시간",,"TmFmt=1")</f>
        <v>0.7063194444444445</v>
      </c>
      <c r="M39" s="59"/>
      <c r="N39" s="69" t="str">
        <f>IF(B39="","",B39)</f>
        <v>12Y</v>
      </c>
      <c r="O39" s="110">
        <f t="shared" ca="1" si="15"/>
        <v>1070.5383737525485</v>
      </c>
      <c r="P39" s="111">
        <f t="shared" ca="1" si="16"/>
        <v>1119.7331045177912</v>
      </c>
      <c r="Q39" s="116">
        <f t="shared" ca="1" si="24"/>
        <v>16465.837375254854</v>
      </c>
      <c r="R39" s="117">
        <f t="shared" ca="1" si="25"/>
        <v>21354.310451779111</v>
      </c>
      <c r="AA39" s="6">
        <v>11</v>
      </c>
      <c r="AB39" s="67">
        <f>INDEX(code!$V:$Y, MATCH(
INDEX(code!$A$1:$A$9,'cross rate fwd'!$D$26),code!$T:$T,0)+$AA39,
1)</f>
        <v>0.51792000000000005</v>
      </c>
      <c r="AC39" s="76">
        <f>INDEX(code!$V:$Y, MATCH(
INDEX(code!$A$1:$A$9,'cross rate fwd'!$D$26),code!$T:$T,0)+$AA39,
2)</f>
        <v>0.41839999999999999</v>
      </c>
      <c r="AD39" s="92" cm="1">
        <f t="array" ref="AD39">INDEX(code!$V:$Y, MATCH(
INDEX(code!$A$1:$A$9,'cross rate fwd'!$D$26),code!$T:$T,0)+$AA39,
3)</f>
        <v>0.70840277777777783</v>
      </c>
      <c r="AF39" s="6">
        <v>12</v>
      </c>
      <c r="AG39" s="67">
        <f t="shared" ca="1" si="26"/>
        <v>4383</v>
      </c>
      <c r="AH39" s="67">
        <f ca="1">1+E39%*(C39/360)</f>
        <v>1.0509402000000001</v>
      </c>
      <c r="AI39" s="76">
        <f ca="1">1+D39%*(C39/360)</f>
        <v>1.06305676</v>
      </c>
      <c r="AJ39" s="13">
        <f t="shared" ca="1" si="27"/>
        <v>49984</v>
      </c>
      <c r="AK39" s="68">
        <f ca="1">IF($AJ$26,INDEX(code!$N:$N,MATCH(EOMONTH(AL39,0),code!$N:$N,1)),AL39)</f>
        <v>49984</v>
      </c>
      <c r="AL39" s="13">
        <f ca="1">INDEX(code!$N:$N,MATCH(EDATE($AG$27,12*$AF39),code!$N:$N,1))</f>
        <v>49984</v>
      </c>
      <c r="AM39" s="68">
        <f ca="1">IF($AJ$26,
INDEX(code!$N:$N,MATCH(EOMONTH(AN39,0),code!$N:$N,1)),
AN39)</f>
        <v>49984</v>
      </c>
      <c r="AN39" s="13">
        <f ca="1">IF(IFERROR(MATCH(AO39,code!$D$14:$D$44,0),FALSE),INDEX(code!$L:$L,MATCH(AO39,code!$L:$L,0)-1),AO39)</f>
        <v>49984</v>
      </c>
      <c r="AO39" s="13">
        <f ca="1">INDEX(code!$L:$L,MATCH(EDATE($AG$27,12*$AF39),code!$L:$L,-1))</f>
        <v>49984</v>
      </c>
      <c r="AP39" s="67">
        <f t="shared" ca="1" si="28"/>
        <v>4383</v>
      </c>
      <c r="AQ39" s="67">
        <f t="shared" ca="1" si="17"/>
        <v>1.2419656164383561</v>
      </c>
      <c r="AR39" s="76">
        <f t="shared" ca="1" si="18"/>
        <v>1.3140149315068492</v>
      </c>
    </row>
    <row r="40" spans="2:44" ht="17.25" thickBot="1">
      <c r="B40" s="78" t="str">
        <f>IF(D40="","", H40)</f>
        <v>15Y</v>
      </c>
      <c r="C40" s="122">
        <f t="shared" ca="1" si="19"/>
        <v>5480</v>
      </c>
      <c r="D40" s="79">
        <f t="shared" si="20"/>
        <v>0.71062000000000003</v>
      </c>
      <c r="E40" s="80">
        <f t="shared" si="21"/>
        <v>0.61116999999999999</v>
      </c>
      <c r="F40" s="81">
        <f t="shared" si="22"/>
        <v>0.70840277777777783</v>
      </c>
      <c r="G40" s="59"/>
      <c r="H40" s="82" t="s">
        <v>3</v>
      </c>
      <c r="I40" s="125">
        <f t="shared" ca="1" si="23"/>
        <v>5478</v>
      </c>
      <c r="J40" s="83">
        <f>_xll.IMDP("IR","CRSTC7KRW"&amp;$H40,"매도호가")</f>
        <v>2.5750000000000002</v>
      </c>
      <c r="K40" s="80">
        <f>_xll.IMDP("IR","CRSTC7KRW"&amp;$H40,"매수호가")</f>
        <v>1.9750000000000001</v>
      </c>
      <c r="L40" s="84">
        <f>_xll.IMDP("IR","CRSTC7KRW"&amp;$H40,"시간",,"TmFmt=1")</f>
        <v>0.70633101851851854</v>
      </c>
      <c r="M40" s="59"/>
      <c r="N40" s="78" t="str">
        <f>IF(B40="","",B40)</f>
        <v>15Y</v>
      </c>
      <c r="O40" s="112">
        <f t="shared" ca="1" si="15"/>
        <v>1074.4353519349347</v>
      </c>
      <c r="P40" s="113">
        <f t="shared" ca="1" si="16"/>
        <v>1133.3689153091552</v>
      </c>
      <c r="Q40" s="118">
        <f t="shared" ca="1" si="24"/>
        <v>16855.535193493473</v>
      </c>
      <c r="R40" s="119">
        <f t="shared" ca="1" si="25"/>
        <v>22717.891530915516</v>
      </c>
      <c r="AA40" s="6">
        <v>12</v>
      </c>
      <c r="AB40" s="85">
        <f>INDEX(code!$V:$Y, MATCH(
INDEX(code!$A$1:$A$9,'cross rate fwd'!$D$26),code!$T:$T,0)+$AA40,
1)</f>
        <v>0.71062000000000003</v>
      </c>
      <c r="AC40" s="86">
        <f>INDEX(code!$V:$Y, MATCH(
INDEX(code!$A$1:$A$9,'cross rate fwd'!$D$26),code!$T:$T,0)+$AA40,
2)</f>
        <v>0.61116999999999999</v>
      </c>
      <c r="AD40" s="93" cm="1">
        <f t="array" ref="AD40">INDEX(code!$V:$Y, MATCH(
INDEX(code!$A$1:$A$9,'cross rate fwd'!$D$26),code!$T:$T,0)+$AA40,
3)</f>
        <v>0.70840277777777783</v>
      </c>
      <c r="AF40" s="6">
        <v>15</v>
      </c>
      <c r="AG40" s="85">
        <f t="shared" ca="1" si="26"/>
        <v>5480</v>
      </c>
      <c r="AH40" s="85">
        <f ca="1">1+E40%*(C40/360)</f>
        <v>1.0930336555555555</v>
      </c>
      <c r="AI40" s="86">
        <f ca="1">1+D40%*(C40/360)</f>
        <v>1.1081721555555555</v>
      </c>
      <c r="AJ40" s="13">
        <f t="shared" ca="1" si="27"/>
        <v>51081</v>
      </c>
      <c r="AK40" s="68">
        <f ca="1">IF($AJ$26,INDEX(code!$N:$N,MATCH(EOMONTH(AL40,0),code!$N:$N,1)),AL40)</f>
        <v>51078</v>
      </c>
      <c r="AL40" s="13">
        <f ca="1">INDEX(code!$N:$N,MATCH(EDATE($AG$27,12*$AF40),code!$N:$N,1))</f>
        <v>51078</v>
      </c>
      <c r="AM40" s="68">
        <f ca="1">IF($AJ$26,
INDEX(code!$N:$N,MATCH(EOMONTH(AN40,0),code!$N:$N,1)),
AN40)</f>
        <v>51081</v>
      </c>
      <c r="AN40" s="13">
        <f ca="1">IF(IFERROR(MATCH(AO40,code!$D$14:$D$44,0),FALSE),INDEX(code!$L:$L,MATCH(AO40,code!$L:$L,0)-1),AO40)</f>
        <v>51081</v>
      </c>
      <c r="AO40" s="13">
        <f ca="1">INDEX(code!$L:$L,MATCH(EDATE($AG$27,12*$AF40),code!$L:$L,-1))</f>
        <v>51081</v>
      </c>
      <c r="AP40" s="85">
        <f t="shared" ca="1" si="28"/>
        <v>5478</v>
      </c>
      <c r="AQ40" s="85">
        <f t="shared" ca="1" si="17"/>
        <v>1.2964123287671232</v>
      </c>
      <c r="AR40" s="86">
        <f t="shared" ca="1" si="18"/>
        <v>1.3864616438356165</v>
      </c>
    </row>
    <row r="41" spans="2:44">
      <c r="B41" s="14"/>
      <c r="C41" s="14"/>
      <c r="D41" s="15"/>
      <c r="E41" s="15"/>
      <c r="F41" s="15"/>
      <c r="G41" s="15"/>
      <c r="H41" s="14"/>
      <c r="I41" s="14"/>
      <c r="J41" s="15"/>
      <c r="K41" s="15"/>
      <c r="L41" s="15"/>
      <c r="M41" s="15"/>
      <c r="N41" s="15"/>
      <c r="O41" s="15"/>
      <c r="P41" s="15"/>
      <c r="Q41" s="15"/>
      <c r="R41" s="15"/>
    </row>
    <row r="42" spans="2:44">
      <c r="D42" s="94"/>
    </row>
    <row r="43" spans="2:44" ht="16.5" customHeight="1">
      <c r="B43" s="95" t="s">
        <v>68</v>
      </c>
      <c r="C43" s="96"/>
      <c r="D43" s="97"/>
      <c r="E43" s="97"/>
      <c r="F43" s="65"/>
      <c r="I43" s="98"/>
    </row>
    <row r="44" spans="2:44" ht="16.5" customHeight="1">
      <c r="B44" s="99" t="s">
        <v>66</v>
      </c>
      <c r="F44" s="76"/>
    </row>
    <row r="45" spans="2:44" ht="16.5" customHeight="1">
      <c r="B45" s="99" t="s">
        <v>67</v>
      </c>
      <c r="F45" s="76"/>
    </row>
    <row r="46" spans="2:44" ht="16.5" customHeight="1">
      <c r="B46" s="100" t="s">
        <v>69</v>
      </c>
      <c r="C46" s="101"/>
      <c r="D46" s="102"/>
      <c r="E46" s="102"/>
      <c r="F46" s="86"/>
    </row>
    <row r="51" spans="4:9">
      <c r="F51" s="103"/>
    </row>
    <row r="52" spans="4:9">
      <c r="D52" s="104"/>
    </row>
    <row r="56" spans="4:9">
      <c r="H56" s="94"/>
      <c r="I56" s="105"/>
    </row>
    <row r="58" spans="4:9">
      <c r="H58" s="94"/>
    </row>
  </sheetData>
  <mergeCells count="23">
    <mergeCell ref="AR7:AR8"/>
    <mergeCell ref="AH7:AH8"/>
    <mergeCell ref="Q5:R5"/>
    <mergeCell ref="H7:L7"/>
    <mergeCell ref="N6:P6"/>
    <mergeCell ref="Q6:R6"/>
    <mergeCell ref="AI7:AI8"/>
    <mergeCell ref="AP7:AP8"/>
    <mergeCell ref="AQ7:AQ8"/>
    <mergeCell ref="AR26:AR27"/>
    <mergeCell ref="AH26:AH27"/>
    <mergeCell ref="AI26:AI27"/>
    <mergeCell ref="AP26:AP27"/>
    <mergeCell ref="AQ26:AQ27"/>
    <mergeCell ref="H23:L23"/>
    <mergeCell ref="B23:F23"/>
    <mergeCell ref="B2:S2"/>
    <mergeCell ref="Q27:R27"/>
    <mergeCell ref="Q8:R8"/>
    <mergeCell ref="H26:L26"/>
    <mergeCell ref="B4:D4"/>
    <mergeCell ref="N25:P25"/>
    <mergeCell ref="Q25:R25"/>
  </mergeCells>
  <phoneticPr fontId="1" type="noConversion"/>
  <conditionalFormatting sqref="O28:P40">
    <cfRule type="containsErrors" dxfId="3" priority="5">
      <formula>ISERROR(O28)</formula>
    </cfRule>
  </conditionalFormatting>
  <conditionalFormatting sqref="O9:P21">
    <cfRule type="containsErrors" dxfId="2" priority="3">
      <formula>ISERROR(O9)</formula>
    </cfRule>
  </conditionalFormatting>
  <conditionalFormatting sqref="F28:F40">
    <cfRule type="expression" dxfId="1" priority="2">
      <formula>OR(F28="선형",F28="보간법")</formula>
    </cfRule>
  </conditionalFormatting>
  <conditionalFormatting sqref="F9:F21">
    <cfRule type="containsText" dxfId="0" priority="1" operator="containsText" text="보간법">
      <formula>NOT(ISERROR(SEARCH("보간법",F9)))</formula>
    </cfRule>
  </conditionalFormatting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 macro="[0]!recal">
                <anchor moveWithCells="1">
                  <from>
                    <xdr:col>1</xdr:col>
                    <xdr:colOff>0</xdr:colOff>
                    <xdr:row>6</xdr:row>
                    <xdr:rowOff>9525</xdr:rowOff>
                  </from>
                  <to>
                    <xdr:col>5</xdr:col>
                    <xdr:colOff>209550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 macro="[0]!recal">
                <anchor moveWithCells="1">
                  <from>
                    <xdr:col>1</xdr:col>
                    <xdr:colOff>0</xdr:colOff>
                    <xdr:row>25</xdr:row>
                    <xdr:rowOff>9525</xdr:rowOff>
                  </from>
                  <to>
                    <xdr:col>5</xdr:col>
                    <xdr:colOff>209550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cal">
                <anchor moveWithCells="1">
                  <from>
                    <xdr:col>16</xdr:col>
                    <xdr:colOff>285750</xdr:colOff>
                    <xdr:row>3</xdr:row>
                    <xdr:rowOff>28575</xdr:rowOff>
                  </from>
                  <to>
                    <xdr:col>17</xdr:col>
                    <xdr:colOff>533400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Group Box 6">
              <controlPr defaultSize="0" autoFill="0" autoPict="0">
                <anchor moveWithCells="1">
                  <from>
                    <xdr:col>14</xdr:col>
                    <xdr:colOff>285750</xdr:colOff>
                    <xdr:row>3</xdr:row>
                    <xdr:rowOff>38100</xdr:rowOff>
                  </from>
                  <to>
                    <xdr:col>16</xdr:col>
                    <xdr:colOff>152400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Option Button 7">
              <controlPr defaultSize="0" autoFill="0" autoLine="0" autoPict="0" macro="[0]!real_stop">
                <anchor moveWithCells="1">
                  <from>
                    <xdr:col>14</xdr:col>
                    <xdr:colOff>342900</xdr:colOff>
                    <xdr:row>3</xdr:row>
                    <xdr:rowOff>95250</xdr:rowOff>
                  </from>
                  <to>
                    <xdr:col>15</xdr:col>
                    <xdr:colOff>190500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Option Button 8">
              <controlPr defaultSize="0" autoFill="0" autoLine="0" autoPict="0" macro="[0]!real_stop">
                <anchor moveWithCells="1">
                  <from>
                    <xdr:col>15</xdr:col>
                    <xdr:colOff>276225</xdr:colOff>
                    <xdr:row>3</xdr:row>
                    <xdr:rowOff>95250</xdr:rowOff>
                  </from>
                  <to>
                    <xdr:col>16</xdr:col>
                    <xdr:colOff>57150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L5500"/>
  <sheetViews>
    <sheetView showGridLines="0" showRowColHeaders="0" topLeftCell="AM1" workbookViewId="0">
      <selection activeCell="AU11" sqref="AU11"/>
    </sheetView>
  </sheetViews>
  <sheetFormatPr defaultRowHeight="15" customHeight="1"/>
  <cols>
    <col min="1" max="1" width="23.42578125" hidden="1" customWidth="1"/>
    <col min="2" max="2" width="54.5703125" hidden="1" customWidth="1"/>
    <col min="3" max="5" width="18.7109375" hidden="1" customWidth="1"/>
    <col min="6" max="23" width="9.140625" hidden="1" customWidth="1"/>
    <col min="24" max="24" width="10.140625" style="4" hidden="1" customWidth="1"/>
    <col min="25" max="25" width="10.7109375" style="2" hidden="1" customWidth="1"/>
    <col min="26" max="38" width="9.140625" hidden="1" customWidth="1"/>
  </cols>
  <sheetData>
    <row r="1" spans="1:38" ht="15" customHeight="1">
      <c r="A1" t="s">
        <v>73</v>
      </c>
      <c r="B1" t="s">
        <v>74</v>
      </c>
      <c r="C1" t="str">
        <f>IF(ISNUMBER($C$11),"USDSP_SMBCB_EXT","USDSP_SMBCC_EXT")</f>
        <v>USDSP_SMBCB_EXT</v>
      </c>
      <c r="D1" t="s">
        <v>52</v>
      </c>
      <c r="E1" t="s">
        <v>53</v>
      </c>
      <c r="G1" t="str">
        <f ca="1">_xll.IMDH(
"FX",INDEX(code!$C$1:$C$9,'cross rate fwd'!$D$7),G$2,
TODAY(),TODAY()+5500,5500,
"Per=일,sort=D,real=false,Bizday=100,Country="&amp;INDEX($E$1:$E$9,'cross rate fwd'!$D$7)&amp;",Title="&amp;INDEX($E$1:$E$9,'cross rate fwd'!$D$7)&amp;"D,Quote=종가,Pos=01,Orient=V,DtFmt=1,TmFmt=1")</f>
        <v>USD</v>
      </c>
      <c r="H1" s="2">
        <v>51096</v>
      </c>
      <c r="I1" t="str">
        <f ca="1">_xll.IMDH(
"FX",INDEX(code!$C$1:$C$9,'cross rate fwd'!$D$7),I$2,
TODAY(),TODAY()+5500,5500,
"Per=일,sort=A,real=false,Bizday=100,Country="&amp;INDEX($E$1:$E$9,'cross rate fwd'!$D$7)&amp;",Title="&amp;INDEX($E$1:$E$9,'cross rate fwd'!$D$7)&amp;"A,Quote=종가,Pos=01,Orient=V,DtFmt=1,TmFmt=1")</f>
        <v>USA</v>
      </c>
      <c r="J1" s="2">
        <v>45596</v>
      </c>
      <c r="K1" t="str">
        <f ca="1">_xll.IMDH(
"FX",INDEX(code!$C$1:$C$9,'cross rate fwd'!$D$26),K$2,
TODAY(),TODAY()+5500,5500,
"Per=일,sort=D,real=false,Bizday=100,Country="&amp;INDEX($E$1:$E$9,'cross rate fwd'!$D$26)&amp;",Title="&amp;INDEX($E$1:$E$9,'cross rate fwd'!$D$26)&amp;"D,Quote=종가,Pos=01,Orient=V,DtFmt=1,TmFmt=1")</f>
        <v>JP|USD</v>
      </c>
      <c r="L1" s="2">
        <v>51096</v>
      </c>
      <c r="M1" t="str">
        <f ca="1">_xll.IMDH(
"FX",INDEX(code!$C$1:$C$9,'cross rate fwd'!$D$26),M$2,
TODAY(),TODAY()+5500,5500,
"Per=일,sort=A,real=false,Bizday=100,Country="&amp;INDEX($E$1:$E$9,'cross rate fwd'!$D$26)&amp;",Title="&amp;INDEX($E$1:$E$9,'cross rate fwd'!$D$26)&amp;"A,Quote=종가,Pos=01,Orient=V,DtFmt=1,TmFmt=1")</f>
        <v>JP|USA</v>
      </c>
      <c r="N1" s="2">
        <v>45596</v>
      </c>
      <c r="O1" t="str">
        <f ca="1">_xll.IMDH(
"IR","CRSTP1KRW01Y",O$2,
TODAY(),TODAY()+5500,5500,
"Per=일,sort=D,real=false,Bizday=100,Country=한국,Title=한국D,Quote=종가,Pos=01,Orient=V,DtFmt=1,TmFmt=1")</f>
        <v>한국D</v>
      </c>
      <c r="P1" s="2">
        <v>51096</v>
      </c>
      <c r="Q1" t="str">
        <f ca="1">_xll.IMDH(
"IR","CRSTP1KRW01Y",Q$2,
TODAY(),TODAY()+5500,5500,
"Per=일,sort=A,real=false,Bizday=100,Country=한국,Title=한국A,Quote=종가,Pos=01,Orient=V,DtFmt=1,TmFmt=1")</f>
        <v>한국A</v>
      </c>
      <c r="R1" s="2">
        <v>45596</v>
      </c>
      <c r="S1" s="5" t="s">
        <v>78</v>
      </c>
      <c r="T1" t="str">
        <f>$A$1</f>
        <v>USD OIS(RFR IRS)</v>
      </c>
      <c r="V1">
        <f>_xll.IMDP("IR",$S$1&amp;$AL1,"매도호가")</f>
        <v>4.1989999999999998</v>
      </c>
      <c r="W1">
        <f>_xll.IMDP("IR",$S$1&amp;$AL1,"매수호가")</f>
        <v>4.1790000000000003</v>
      </c>
      <c r="X1" s="4">
        <f>_xll.IMDP("IR",$S$1&amp;$AL1,"시간",,"TmFmt=1")</f>
        <v>0.71134259259259258</v>
      </c>
      <c r="Y1" s="2">
        <f>_xll.IMDP("IR",$S$1&amp;$AL1,"일자",,"DtFmt=1")</f>
        <v>45596</v>
      </c>
      <c r="AA1" t="str">
        <f ca="1">_xll.IMDH(
"FX",INDEX(code!$C$1:$C$9,'cross rate fwd'!$D$7),AA2:AA4,
TODAY()-10,TODAY(),5,
"Per=일,sort=D,real=false,Bizday=100,Country="&amp;INDEX($E$1:$E$9,'cross rate fwd'!$D$7)&amp;",Quote=종가,Pos=01,Orient=V,DtFmt=1,TmFmt=1")</f>
        <v>조회[USDSP_SMBCB_EXT]</v>
      </c>
      <c r="AB1" s="2">
        <v>45596</v>
      </c>
      <c r="AC1">
        <v>1379.6</v>
      </c>
      <c r="AE1">
        <f>AC1+AD1</f>
        <v>1379.6</v>
      </c>
      <c r="AF1" t="str">
        <f ca="1">_xll.IMDH(
"FX",INDEX(code!$C$1:$C$9,'cross rate fwd'!$D$26),AF2:AF4,
TODAY()-10,TODAY(),5,
"Per=일,sort=D,real=false,Bizday=100,Country="&amp;INDEX($E$1:$E$9,'cross rate fwd'!$D$7)&amp;",Quote=종가,Pos=01,Orient=V,DtFmt=1,TmFmt=1")</f>
        <v>조회[JPYKRW]</v>
      </c>
      <c r="AG1" s="2">
        <v>45596</v>
      </c>
      <c r="AI1">
        <v>904.55</v>
      </c>
      <c r="AJ1">
        <f>AH1+AI1</f>
        <v>904.55</v>
      </c>
      <c r="AL1" t="s">
        <v>16</v>
      </c>
    </row>
    <row r="2" spans="1:38" ht="15" customHeight="1">
      <c r="A2" t="s">
        <v>76</v>
      </c>
      <c r="B2" t="s">
        <v>83</v>
      </c>
      <c r="C2" t="s">
        <v>28</v>
      </c>
      <c r="D2" t="str">
        <f>LEFT(C2,3)&amp;"/KRW"</f>
        <v>JPY/KRW</v>
      </c>
      <c r="E2" t="s">
        <v>54</v>
      </c>
      <c r="G2" t="s">
        <v>29</v>
      </c>
      <c r="H2" s="2">
        <v>51095</v>
      </c>
      <c r="I2" t="s">
        <v>29</v>
      </c>
      <c r="J2" s="2">
        <v>45597</v>
      </c>
      <c r="K2" t="s">
        <v>29</v>
      </c>
      <c r="L2" s="2">
        <v>51095</v>
      </c>
      <c r="M2" t="s">
        <v>29</v>
      </c>
      <c r="N2" s="2">
        <v>45597</v>
      </c>
      <c r="O2" t="s">
        <v>29</v>
      </c>
      <c r="P2" s="2">
        <v>51095</v>
      </c>
      <c r="Q2" t="s">
        <v>29</v>
      </c>
      <c r="R2" s="2">
        <v>45597</v>
      </c>
      <c r="T2">
        <v>1</v>
      </c>
      <c r="V2">
        <f>_xll.IMDP("IR",$S$1&amp;$AL2,"매도호가")</f>
        <v>3.9529999999999998</v>
      </c>
      <c r="W2">
        <f>_xll.IMDP("IR",$S$1&amp;$AL2,"매수호가")</f>
        <v>3.9430000000000001</v>
      </c>
      <c r="X2" s="4">
        <f>_xll.IMDP("IR",$S$1&amp;$AL2,"시간",,"TmFmt=1")</f>
        <v>0.71218749999999997</v>
      </c>
      <c r="Y2" s="2">
        <f>_xll.IMDP("IR",$S$1&amp;$AL2,"일자",,"DtFmt=1")</f>
        <v>45596</v>
      </c>
      <c r="AA2" s="2" t="s">
        <v>31</v>
      </c>
      <c r="AB2" s="2">
        <v>45595</v>
      </c>
      <c r="AC2">
        <v>1379.8</v>
      </c>
      <c r="AE2">
        <f>AC2+AD2</f>
        <v>1379.8</v>
      </c>
      <c r="AF2" s="2" t="s">
        <v>31</v>
      </c>
      <c r="AG2" s="2">
        <v>45595</v>
      </c>
      <c r="AH2" s="2"/>
      <c r="AI2">
        <v>901.18</v>
      </c>
      <c r="AJ2">
        <f>AH2+AI2</f>
        <v>901.18</v>
      </c>
      <c r="AL2" t="s">
        <v>17</v>
      </c>
    </row>
    <row r="3" spans="1:38" ht="15" customHeight="1">
      <c r="A3" t="s">
        <v>84</v>
      </c>
      <c r="B3" t="s">
        <v>85</v>
      </c>
      <c r="C3" t="s">
        <v>9</v>
      </c>
      <c r="D3" t="str">
        <f t="shared" ref="D3:D5" si="0">LEFT(C3,3)&amp;"/KRW"</f>
        <v>EUR/KRW</v>
      </c>
      <c r="E3" t="s">
        <v>55</v>
      </c>
      <c r="H3" s="2">
        <v>51092</v>
      </c>
      <c r="I3" s="2"/>
      <c r="J3" s="2">
        <v>45600</v>
      </c>
      <c r="K3" s="2"/>
      <c r="L3" s="2">
        <v>51092</v>
      </c>
      <c r="M3" s="2"/>
      <c r="N3" s="2">
        <v>45601</v>
      </c>
      <c r="P3" s="2">
        <v>51092</v>
      </c>
      <c r="Q3" s="2"/>
      <c r="R3" s="2">
        <v>45600</v>
      </c>
      <c r="S3" t="s">
        <v>63</v>
      </c>
      <c r="T3">
        <f>IF(ISNUMBER(_xll.IMDP("FX",INDEX($C$1:$C$9,T2),"매수호가")),_xll.IMDP("FX",INDEX($C$1:$C$9,T2),"매수호가"),_xll.IMDP("FX",INDEX($C$1:$C$9,T2),"매수호가",'cross rate fwd'!$B$4-1,"Fill=true"))</f>
        <v>1378.3</v>
      </c>
      <c r="V3">
        <f>_xll.IMDP("IR",$S$1&amp;$AL3,"매도호가")</f>
        <v>3.87</v>
      </c>
      <c r="W3">
        <f>_xll.IMDP("IR",$S$1&amp;$AL3,"매수호가")</f>
        <v>3.86</v>
      </c>
      <c r="X3" s="4">
        <f>_xll.IMDP("IR",$S$1&amp;$AL3,"시간",,"TmFmt=1")</f>
        <v>0.71218749999999997</v>
      </c>
      <c r="Y3" s="2">
        <f>_xll.IMDP("IR",$S$1&amp;$AL3,"일자",,"DtFmt=1")</f>
        <v>45596</v>
      </c>
      <c r="AA3" t="s">
        <v>32</v>
      </c>
      <c r="AB3" s="2">
        <v>45594</v>
      </c>
      <c r="AC3">
        <v>1382.2</v>
      </c>
      <c r="AE3">
        <f>AC3+AD3</f>
        <v>1382.2</v>
      </c>
      <c r="AF3" t="s">
        <v>32</v>
      </c>
      <c r="AG3" s="2">
        <v>45594</v>
      </c>
      <c r="AI3">
        <v>904.04</v>
      </c>
      <c r="AJ3">
        <f>AH3+AI3</f>
        <v>904.04</v>
      </c>
      <c r="AL3" t="s">
        <v>18</v>
      </c>
    </row>
    <row r="4" spans="1:38" ht="15" customHeight="1">
      <c r="A4" t="s">
        <v>5</v>
      </c>
      <c r="B4" t="s">
        <v>82</v>
      </c>
      <c r="C4" t="s">
        <v>10</v>
      </c>
      <c r="D4" t="str">
        <f t="shared" si="0"/>
        <v>CNH/KRW</v>
      </c>
      <c r="E4" t="s">
        <v>61</v>
      </c>
      <c r="G4" s="1"/>
      <c r="H4" s="2">
        <v>51091</v>
      </c>
      <c r="I4" s="2"/>
      <c r="J4" s="2">
        <v>45601</v>
      </c>
      <c r="K4" s="2"/>
      <c r="L4" s="2">
        <v>51091</v>
      </c>
      <c r="M4" s="2"/>
      <c r="N4" s="2">
        <v>45602</v>
      </c>
      <c r="P4" s="2">
        <v>51091</v>
      </c>
      <c r="Q4" s="2"/>
      <c r="R4" s="2">
        <v>45601</v>
      </c>
      <c r="S4" t="s">
        <v>64</v>
      </c>
      <c r="T4">
        <f>IF(ISNUMBER(_xll.IMDP("FX",INDEX($C$1:$C$9,T2),"매도호가")),_xll.IMDP("FX",INDEX($C$1:$C$9,T2),"매도호가"),_xll.IMDP("FX",INDEX($C$1:$C$9,T2),"매도호가",'cross rate fwd'!$B$4-1,"Fill=true"))</f>
        <v>1378.5</v>
      </c>
      <c r="V4">
        <f>_xll.IMDP("IR",$S$1&amp;$AL4,"매도호가")</f>
        <v>3.82</v>
      </c>
      <c r="W4">
        <f>_xll.IMDP("IR",$S$1&amp;$AL4,"매수호가")</f>
        <v>3.81</v>
      </c>
      <c r="X4" s="4">
        <f>_xll.IMDP("IR",$S$1&amp;$AL4,"시간",,"TmFmt=1")</f>
        <v>0.71218749999999997</v>
      </c>
      <c r="Y4" s="2">
        <f>_xll.IMDP("IR",$S$1&amp;$AL4,"일자",,"DtFmt=1")</f>
        <v>45596</v>
      </c>
      <c r="AA4" t="s">
        <v>33</v>
      </c>
      <c r="AB4" s="2">
        <v>45593</v>
      </c>
      <c r="AC4">
        <v>1385.7</v>
      </c>
      <c r="AE4">
        <f>AC4+AD4</f>
        <v>1385.7</v>
      </c>
      <c r="AF4" t="s">
        <v>33</v>
      </c>
      <c r="AG4" s="2">
        <v>45593</v>
      </c>
      <c r="AI4">
        <v>903.42</v>
      </c>
      <c r="AJ4">
        <f>AH4+AI4</f>
        <v>903.42</v>
      </c>
      <c r="AL4" t="s">
        <v>19</v>
      </c>
    </row>
    <row r="5" spans="1:38" ht="15" customHeight="1">
      <c r="A5" t="s">
        <v>88</v>
      </c>
      <c r="B5" t="s">
        <v>6</v>
      </c>
      <c r="C5" t="s">
        <v>11</v>
      </c>
      <c r="D5" t="str">
        <f t="shared" si="0"/>
        <v>HKD/KRW</v>
      </c>
      <c r="E5" t="s">
        <v>56</v>
      </c>
      <c r="H5" s="2">
        <v>51090</v>
      </c>
      <c r="I5" s="2"/>
      <c r="J5" s="2">
        <v>45602</v>
      </c>
      <c r="K5" s="2"/>
      <c r="L5" s="2">
        <v>51090</v>
      </c>
      <c r="M5" s="2"/>
      <c r="N5" s="2">
        <v>45603</v>
      </c>
      <c r="P5" s="2">
        <v>51090</v>
      </c>
      <c r="Q5" s="2"/>
      <c r="R5" s="2">
        <v>45602</v>
      </c>
      <c r="S5" t="s">
        <v>65</v>
      </c>
      <c r="T5">
        <f>IF(ISNUMBER(_xll.IMDP("FX",INDEX($C$1:$C$9,T2),"매수호가")),_xll.IMDP("FX",INDEX($C$1:$C$9,T2),"매수시간"),_xll.IMDP("FX",INDEX($C$1:$C$9,T2),"매수시간",'cross rate fwd'!$B$4-1,"Fill=true"))</f>
        <v>170540</v>
      </c>
      <c r="V5">
        <f>_xll.IMDP("IR",$S$1&amp;$AL5,"매도호가")</f>
        <v>3.7909999999999999</v>
      </c>
      <c r="W5">
        <f>_xll.IMDP("IR",$S$1&amp;$AL5,"매수호가")</f>
        <v>3.7810000000000001</v>
      </c>
      <c r="X5" s="4">
        <f>_xll.IMDP("IR",$S$1&amp;$AL5,"시간",,"TmFmt=1")</f>
        <v>0.71218749999999997</v>
      </c>
      <c r="Y5" s="2">
        <f>_xll.IMDP("IR",$S$1&amp;$AL5,"일자",,"DtFmt=1")</f>
        <v>45596</v>
      </c>
      <c r="AB5" s="2">
        <v>45590</v>
      </c>
      <c r="AC5">
        <v>1389.2</v>
      </c>
      <c r="AE5">
        <f>AC5+AD5</f>
        <v>1389.2</v>
      </c>
      <c r="AG5" s="2">
        <v>45590</v>
      </c>
      <c r="AI5">
        <v>911.63</v>
      </c>
      <c r="AJ5">
        <f>AH5+AI5</f>
        <v>911.63</v>
      </c>
      <c r="AL5" t="s">
        <v>20</v>
      </c>
    </row>
    <row r="6" spans="1:38" ht="15" customHeight="1">
      <c r="A6" t="s">
        <v>89</v>
      </c>
      <c r="B6" t="s">
        <v>7</v>
      </c>
      <c r="C6" t="s">
        <v>12</v>
      </c>
      <c r="D6" t="str">
        <f>LEFT(C6,3)&amp;"/KRW"</f>
        <v>AUD/KRW</v>
      </c>
      <c r="E6" t="s">
        <v>57</v>
      </c>
      <c r="H6" s="2">
        <v>51089</v>
      </c>
      <c r="I6" s="2"/>
      <c r="J6" s="2">
        <v>45603</v>
      </c>
      <c r="K6" s="2"/>
      <c r="L6" s="2">
        <v>51089</v>
      </c>
      <c r="M6" s="2"/>
      <c r="N6" s="2">
        <v>45604</v>
      </c>
      <c r="P6" s="2">
        <v>51089</v>
      </c>
      <c r="Q6" s="2"/>
      <c r="R6" s="2">
        <v>45603</v>
      </c>
      <c r="V6">
        <f>_xll.IMDP("IR",$S$1&amp;$AL6,"매도호가")</f>
        <v>3.786</v>
      </c>
      <c r="W6">
        <f>_xll.IMDP("IR",$S$1&amp;$AL6,"매수호가")</f>
        <v>3.7759999999999998</v>
      </c>
      <c r="X6" s="4">
        <f>_xll.IMDP("IR",$S$1&amp;$AL6,"시간",,"TmFmt=1")</f>
        <v>0.71218749999999997</v>
      </c>
      <c r="Y6" s="2">
        <f>_xll.IMDP("IR",$S$1&amp;$AL6,"일자",,"DtFmt=1")</f>
        <v>45596</v>
      </c>
      <c r="AB6" s="2"/>
      <c r="AL6" t="s">
        <v>21</v>
      </c>
    </row>
    <row r="7" spans="1:38" ht="15" customHeight="1">
      <c r="A7" t="s">
        <v>92</v>
      </c>
      <c r="B7" t="s">
        <v>4</v>
      </c>
      <c r="C7" t="s">
        <v>13</v>
      </c>
      <c r="D7" t="str">
        <f>LEFT(C7,3)&amp;"/KRW"</f>
        <v>DKK/KRW</v>
      </c>
      <c r="E7" t="s">
        <v>58</v>
      </c>
      <c r="H7" s="2">
        <v>51088</v>
      </c>
      <c r="I7" s="2"/>
      <c r="J7" s="2">
        <v>45604</v>
      </c>
      <c r="K7" s="2"/>
      <c r="L7" s="2">
        <v>51088</v>
      </c>
      <c r="M7" s="2"/>
      <c r="N7" s="2">
        <v>45607</v>
      </c>
      <c r="P7" s="2">
        <v>51088</v>
      </c>
      <c r="Q7" s="2"/>
      <c r="R7" s="2">
        <v>45604</v>
      </c>
      <c r="V7">
        <f>_xll.IMDP("IR",$S$1&amp;$AL7,"매도호가")</f>
        <v>3.7749999999999999</v>
      </c>
      <c r="W7">
        <f>_xll.IMDP("IR",$S$1&amp;$AL7,"매수호가")</f>
        <v>3.7650000000000001</v>
      </c>
      <c r="X7" s="4">
        <f>_xll.IMDP("IR",$S$1&amp;$AL7,"시간",,"TmFmt=1")</f>
        <v>0.71218749999999997</v>
      </c>
      <c r="Y7" s="2">
        <f>_xll.IMDP("IR",$S$1&amp;$AL7,"일자",,"DtFmt=1")</f>
        <v>45596</v>
      </c>
      <c r="AB7" s="2"/>
      <c r="AL7" t="s">
        <v>22</v>
      </c>
    </row>
    <row r="8" spans="1:38" ht="15" customHeight="1">
      <c r="A8" t="s">
        <v>8</v>
      </c>
      <c r="B8" t="s">
        <v>75</v>
      </c>
      <c r="C8" t="s">
        <v>14</v>
      </c>
      <c r="D8" t="str">
        <f>LEFT(C8,3)&amp;"/KRW"</f>
        <v>SGD/KRW</v>
      </c>
      <c r="E8" t="s">
        <v>59</v>
      </c>
      <c r="H8" s="2">
        <v>51085</v>
      </c>
      <c r="I8" s="2"/>
      <c r="J8" s="2">
        <v>45607</v>
      </c>
      <c r="K8" s="2"/>
      <c r="L8" s="2">
        <v>51085</v>
      </c>
      <c r="M8" s="2"/>
      <c r="N8" s="2">
        <v>45608</v>
      </c>
      <c r="P8" s="2">
        <v>51085</v>
      </c>
      <c r="Q8" s="2"/>
      <c r="R8" s="2">
        <v>45607</v>
      </c>
      <c r="V8">
        <f>_xll.IMDP("IR",$S$1&amp;$AL8,"매도호가")</f>
        <v>3.7759999999999998</v>
      </c>
      <c r="W8">
        <f>_xll.IMDP("IR",$S$1&amp;$AL8,"매수호가")</f>
        <v>3.766</v>
      </c>
      <c r="X8" s="4">
        <f>_xll.IMDP("IR",$S$1&amp;$AL8,"시간",,"TmFmt=1")</f>
        <v>0.71218749999999997</v>
      </c>
      <c r="Y8" s="2">
        <f>_xll.IMDP("IR",$S$1&amp;$AL8,"일자",,"DtFmt=1")</f>
        <v>45596</v>
      </c>
      <c r="AB8" s="2"/>
      <c r="AL8" t="s">
        <v>23</v>
      </c>
    </row>
    <row r="9" spans="1:38" ht="15" customHeight="1">
      <c r="A9" t="s">
        <v>95</v>
      </c>
      <c r="B9" t="s">
        <v>77</v>
      </c>
      <c r="C9" t="s">
        <v>15</v>
      </c>
      <c r="D9" t="str">
        <f>LEFT(C9,3)&amp;"/KRW"</f>
        <v>GBP/KRW</v>
      </c>
      <c r="E9" t="s">
        <v>60</v>
      </c>
      <c r="G9" s="1"/>
      <c r="H9" s="2">
        <v>51084</v>
      </c>
      <c r="I9" s="2"/>
      <c r="J9" s="2">
        <v>45608</v>
      </c>
      <c r="K9" s="2"/>
      <c r="L9" s="2">
        <v>51084</v>
      </c>
      <c r="M9" s="2"/>
      <c r="N9" s="2">
        <v>45609</v>
      </c>
      <c r="P9" s="2">
        <v>51084</v>
      </c>
      <c r="Q9" s="2"/>
      <c r="R9" s="2">
        <v>45608</v>
      </c>
      <c r="V9">
        <f>_xll.IMDP("IR",$S$1&amp;$AL9,"매도호가")</f>
        <v>3.7789999999999999</v>
      </c>
      <c r="W9">
        <f>_xll.IMDP("IR",$S$1&amp;$AL9,"매수호가")</f>
        <v>3.7690000000000001</v>
      </c>
      <c r="X9" s="4">
        <f>_xll.IMDP("IR",$S$1&amp;$AL9,"시간",,"TmFmt=1")</f>
        <v>0.71218749999999997</v>
      </c>
      <c r="Y9" s="2">
        <f>_xll.IMDP("IR",$S$1&amp;$AL9,"일자",,"DtFmt=1")</f>
        <v>45596</v>
      </c>
      <c r="AB9" s="2"/>
      <c r="AL9" t="s">
        <v>24</v>
      </c>
    </row>
    <row r="10" spans="1:38" ht="15" customHeight="1">
      <c r="H10" s="2">
        <v>51083</v>
      </c>
      <c r="I10" s="2"/>
      <c r="J10" s="2">
        <v>45609</v>
      </c>
      <c r="K10" s="2"/>
      <c r="L10" s="2">
        <v>51083</v>
      </c>
      <c r="M10" s="2"/>
      <c r="N10" s="2">
        <v>45610</v>
      </c>
      <c r="P10" s="2">
        <v>51083</v>
      </c>
      <c r="Q10" s="2"/>
      <c r="R10" s="2">
        <v>45609</v>
      </c>
      <c r="V10">
        <f>_xll.IMDP("IR",$S$1&amp;$AL10,"매도호가")</f>
        <v>3.7810000000000001</v>
      </c>
      <c r="W10">
        <f>_xll.IMDP("IR",$S$1&amp;$AL10,"매수호가")</f>
        <v>3.7709999999999999</v>
      </c>
      <c r="X10" s="4">
        <f>_xll.IMDP("IR",$S$1&amp;$AL10,"시간",,"TmFmt=1")</f>
        <v>0.71218749999999997</v>
      </c>
      <c r="Y10" s="2">
        <f>_xll.IMDP("IR",$S$1&amp;$AL10,"일자",,"DtFmt=1")</f>
        <v>45596</v>
      </c>
      <c r="AB10" s="2"/>
      <c r="AL10" t="s">
        <v>25</v>
      </c>
    </row>
    <row r="11" spans="1:38" ht="15" customHeight="1">
      <c r="C11">
        <f>_xll.IMDP("FX","USDSP_SMBCB_EXT","현재가")</f>
        <v>1378.4</v>
      </c>
      <c r="D11" t="str">
        <f>IF(ISNUMBER($C$11)," (서환-은행)"," (서환-기업)")</f>
        <v xml:space="preserve"> (서환-은행)</v>
      </c>
      <c r="H11" s="2">
        <v>51082</v>
      </c>
      <c r="I11" s="2"/>
      <c r="J11" s="2">
        <v>45610</v>
      </c>
      <c r="K11" s="2"/>
      <c r="L11" s="2">
        <v>51082</v>
      </c>
      <c r="M11" s="2"/>
      <c r="N11" s="2">
        <v>45611</v>
      </c>
      <c r="P11" s="2">
        <v>51082</v>
      </c>
      <c r="Q11" s="2"/>
      <c r="R11" s="2">
        <v>45610</v>
      </c>
      <c r="V11">
        <f>_xll.IMDP("IR",$S$1&amp;$AL11,"매도호가")</f>
        <v>3.8050000000000002</v>
      </c>
      <c r="W11">
        <f>_xll.IMDP("IR",$S$1&amp;$AL11,"매수호가")</f>
        <v>3.7949999999999999</v>
      </c>
      <c r="X11" s="4">
        <f>_xll.IMDP("IR",$S$1&amp;$AL11,"시간",,"TmFmt=1")</f>
        <v>0.71218749999999997</v>
      </c>
      <c r="Y11" s="2">
        <f>_xll.IMDP("IR",$S$1&amp;$AL11,"일자",,"DtFmt=1")</f>
        <v>45596</v>
      </c>
      <c r="AB11" s="2"/>
      <c r="AL11" t="s">
        <v>26</v>
      </c>
    </row>
    <row r="12" spans="1:38" ht="15" customHeight="1">
      <c r="E12" s="2">
        <v>44116</v>
      </c>
      <c r="H12" s="2">
        <v>51081</v>
      </c>
      <c r="I12" s="2"/>
      <c r="J12" s="2">
        <v>45611</v>
      </c>
      <c r="K12" s="2"/>
      <c r="L12" s="2">
        <v>51081</v>
      </c>
      <c r="M12" s="2"/>
      <c r="N12" s="2">
        <v>45614</v>
      </c>
      <c r="P12" s="2">
        <v>51081</v>
      </c>
      <c r="Q12" s="2"/>
      <c r="R12" s="2">
        <v>45611</v>
      </c>
      <c r="V12">
        <f>_xll.IMDP("IR",$S$1&amp;$AL12,"매도호가")</f>
        <v>3.8050000000000002</v>
      </c>
      <c r="W12">
        <f>_xll.IMDP("IR",$S$1&amp;$AL12,"매수호가")</f>
        <v>3.7949999999999999</v>
      </c>
      <c r="X12" s="4">
        <f>_xll.IMDP("IR",$S$1&amp;$AL12,"시간",,"TmFmt=1")</f>
        <v>0.71218749999999997</v>
      </c>
      <c r="Y12" s="2">
        <f>_xll.IMDP("IR",$S$1&amp;$AL12,"일자",,"DtFmt=1")</f>
        <v>45596</v>
      </c>
      <c r="AB12" s="2"/>
      <c r="AL12" t="s">
        <v>27</v>
      </c>
    </row>
    <row r="13" spans="1:38" ht="15" customHeight="1">
      <c r="A13" s="2">
        <f ca="1">'cross rate fwd'!$B$4</f>
        <v>45596</v>
      </c>
      <c r="E13" t="b" cm="1">
        <f t="array" aca="1" ref="E13:E43" ca="1">(E12=$D$14:$D$44)</f>
        <v>0</v>
      </c>
      <c r="H13" s="2">
        <v>51078</v>
      </c>
      <c r="I13" s="2"/>
      <c r="J13" s="2">
        <v>45614</v>
      </c>
      <c r="K13" s="2"/>
      <c r="L13" s="2">
        <v>51078</v>
      </c>
      <c r="M13" s="2"/>
      <c r="N13" s="2">
        <v>45615</v>
      </c>
      <c r="P13" s="2">
        <v>51078</v>
      </c>
      <c r="Q13" s="2"/>
      <c r="R13" s="2">
        <v>45614</v>
      </c>
      <c r="V13">
        <f>_xll.IMDP("IR",$S$1&amp;$AL13,"매도호가")</f>
        <v>3.8279999999999998</v>
      </c>
      <c r="W13">
        <f>_xll.IMDP("IR",$S$1&amp;$AL13,"매수호가")</f>
        <v>3.8180000000000001</v>
      </c>
      <c r="X13" s="4">
        <f>_xll.IMDP("IR",$S$1&amp;$AL13,"시간",,"TmFmt=1")</f>
        <v>0.71218749999999997</v>
      </c>
      <c r="Y13" s="2">
        <f>_xll.IMDP("IR",$S$1&amp;$AL13,"일자",,"DtFmt=1")</f>
        <v>45596</v>
      </c>
      <c r="AB13" s="2"/>
      <c r="AL13" t="s">
        <v>3</v>
      </c>
    </row>
    <row r="14" spans="1:38" ht="15" customHeight="1">
      <c r="A14">
        <v>0</v>
      </c>
      <c r="B14" t="str">
        <f t="shared" ref="B14:B28" ca="1" si="1">YEAR($A$13)+$A14&amp;"-10-01"</f>
        <v>2024-10-01</v>
      </c>
      <c r="C14">
        <f t="shared" ref="C14:C28" ca="1" si="2">WEEKDAY(B14,1)</f>
        <v>3</v>
      </c>
      <c r="D14" s="2">
        <f t="shared" ref="D14:D28" ca="1" si="3">IFERROR(DATEVALUE(IF(OR(C14=1,C14=2),B14+9-C14,B14+16-C14)),IF(OR(C14=1,C14=2),B14+9-C14,B14+16-C14))</f>
        <v>45579</v>
      </c>
      <c r="E14" t="b">
        <f ca="1"/>
        <v>0</v>
      </c>
      <c r="H14" s="2">
        <v>51077</v>
      </c>
      <c r="I14" s="2"/>
      <c r="J14" s="2">
        <v>45615</v>
      </c>
      <c r="K14" s="2"/>
      <c r="L14" s="2">
        <v>51076</v>
      </c>
      <c r="M14" s="2"/>
      <c r="N14" s="2">
        <v>45616</v>
      </c>
      <c r="P14" s="2">
        <v>51077</v>
      </c>
      <c r="Q14" s="2"/>
      <c r="R14" s="2">
        <v>45615</v>
      </c>
      <c r="S14" s="5" t="s">
        <v>79</v>
      </c>
      <c r="T14" t="str">
        <f>$A$2</f>
        <v>JPY/USD RFR 이론CRS</v>
      </c>
      <c r="V14">
        <f>_xll.IMDP("IR",$S$14&amp;$AL14,"매도호가")</f>
        <v>6.676E-2</v>
      </c>
      <c r="W14">
        <f>_xll.IMDP("IR",$S$14&amp;$AL14,"매수호가")</f>
        <v>-1.311E-2</v>
      </c>
      <c r="X14" s="4">
        <f>_xll.IMDP("IR",$S$14&amp;$AL14,"시간",,"TmFmt=1")</f>
        <v>0.70840277777777783</v>
      </c>
      <c r="Y14" s="2">
        <f>_xll.IMDP("IR",$S$14&amp;$AL14,"일자",,"DtFmt=1")</f>
        <v>45596</v>
      </c>
      <c r="AB14" s="2"/>
      <c r="AL14" t="s">
        <v>16</v>
      </c>
    </row>
    <row r="15" spans="1:38" ht="15" customHeight="1">
      <c r="A15">
        <v>1</v>
      </c>
      <c r="B15" t="str">
        <f t="shared" ca="1" si="1"/>
        <v>2025-10-01</v>
      </c>
      <c r="C15">
        <f t="shared" ca="1" si="2"/>
        <v>4</v>
      </c>
      <c r="D15" s="2">
        <f t="shared" ca="1" si="3"/>
        <v>45943</v>
      </c>
      <c r="E15" t="b">
        <f ca="1"/>
        <v>0</v>
      </c>
      <c r="H15" s="2">
        <v>51076</v>
      </c>
      <c r="I15" s="2"/>
      <c r="J15" s="2">
        <v>45616</v>
      </c>
      <c r="K15" s="2"/>
      <c r="L15" s="2">
        <v>51075</v>
      </c>
      <c r="M15" s="2"/>
      <c r="N15" s="2">
        <v>45617</v>
      </c>
      <c r="P15" s="2">
        <v>51076</v>
      </c>
      <c r="Q15" s="2"/>
      <c r="R15" s="2">
        <v>45616</v>
      </c>
      <c r="T15">
        <v>2</v>
      </c>
      <c r="V15">
        <f>_xll.IMDP("IR",$S$14&amp;$AL15,"매도호가")</f>
        <v>0.11018</v>
      </c>
      <c r="W15">
        <f>_xll.IMDP("IR",$S$14&amp;$AL15,"매수호가")</f>
        <v>3.0329999999999999E-2</v>
      </c>
      <c r="X15" s="4">
        <f>_xll.IMDP("IR",$S$14&amp;$AL15,"시간",,"TmFmt=1")</f>
        <v>0.70840277777777783</v>
      </c>
      <c r="Y15" s="2">
        <f>_xll.IMDP("IR",$S$14&amp;$AL15,"일자",,"DtFmt=1")</f>
        <v>45596</v>
      </c>
      <c r="AB15" s="2"/>
      <c r="AL15" t="s">
        <v>17</v>
      </c>
    </row>
    <row r="16" spans="1:38" ht="15" customHeight="1">
      <c r="A16">
        <v>2</v>
      </c>
      <c r="B16" t="str">
        <f t="shared" ca="1" si="1"/>
        <v>2026-10-01</v>
      </c>
      <c r="C16">
        <f t="shared" ca="1" si="2"/>
        <v>5</v>
      </c>
      <c r="D16" s="2">
        <f t="shared" ca="1" si="3"/>
        <v>46307</v>
      </c>
      <c r="E16" t="b">
        <f ca="1"/>
        <v>0</v>
      </c>
      <c r="H16" s="2">
        <v>51075</v>
      </c>
      <c r="I16" s="2"/>
      <c r="J16" s="2">
        <v>45617</v>
      </c>
      <c r="K16" s="2"/>
      <c r="L16" s="2">
        <v>51074</v>
      </c>
      <c r="M16" s="2"/>
      <c r="N16" s="2">
        <v>45618</v>
      </c>
      <c r="P16" s="2">
        <v>51075</v>
      </c>
      <c r="Q16" s="2"/>
      <c r="R16" s="2">
        <v>45617</v>
      </c>
      <c r="T16">
        <f>IF(ISNUMBER(_xll.IMDP("FX",INDEX($C$1:$C$9,T15),"매수호가")),_xll.IMDP("FX",INDEX($C$1:$C$9,T15),"매수호가"),_xll.IMDP("FX",INDEX($C$1:$C$9,T15),"매수호가",'cross rate fwd'!$B$4-1,"Fill=true"))</f>
        <v>905.88</v>
      </c>
      <c r="V16">
        <f>_xll.IMDP("IR",$S$14&amp;$AL16,"매도호가")</f>
        <v>0.12620000000000001</v>
      </c>
      <c r="W16">
        <f>_xll.IMDP("IR",$S$14&amp;$AL16,"매수호가")</f>
        <v>4.6370000000000001E-2</v>
      </c>
      <c r="X16" s="4">
        <f>_xll.IMDP("IR",$S$14&amp;$AL16,"시간",,"TmFmt=1")</f>
        <v>0.70840277777777783</v>
      </c>
      <c r="Y16" s="2">
        <f>_xll.IMDP("IR",$S$14&amp;$AL16,"일자",,"DtFmt=1")</f>
        <v>45596</v>
      </c>
      <c r="AB16" s="2"/>
      <c r="AL16" t="s">
        <v>18</v>
      </c>
    </row>
    <row r="17" spans="1:38" ht="15" customHeight="1">
      <c r="A17">
        <v>3</v>
      </c>
      <c r="B17" t="str">
        <f t="shared" ca="1" si="1"/>
        <v>2027-10-01</v>
      </c>
      <c r="C17">
        <f t="shared" ca="1" si="2"/>
        <v>6</v>
      </c>
      <c r="D17" s="2">
        <f t="shared" ca="1" si="3"/>
        <v>46671</v>
      </c>
      <c r="E17" t="b">
        <f ca="1"/>
        <v>0</v>
      </c>
      <c r="H17" s="2">
        <v>51074</v>
      </c>
      <c r="I17" s="2"/>
      <c r="J17" s="2">
        <v>45618</v>
      </c>
      <c r="K17" s="2"/>
      <c r="L17" s="2">
        <v>51071</v>
      </c>
      <c r="M17" s="2"/>
      <c r="N17" s="2">
        <v>45621</v>
      </c>
      <c r="P17" s="2">
        <v>51074</v>
      </c>
      <c r="Q17" s="2"/>
      <c r="R17" s="2">
        <v>45618</v>
      </c>
      <c r="T17">
        <f>IF(ISNUMBER(_xll.IMDP("FX",INDEX($C$1:$C$9,T15),"매도호가")),_xll.IMDP("FX",INDEX($C$1:$C$9,T15),"매도호가"),_xll.IMDP("FX",INDEX($C$1:$C$9,T15),"매도호가",'cross rate fwd'!$B$4-1,"Fill=true"))</f>
        <v>906.19</v>
      </c>
      <c r="V17">
        <f>_xll.IMDP("IR",$S$14&amp;$AL17,"매도호가")</f>
        <v>0.13413</v>
      </c>
      <c r="W17">
        <f>_xll.IMDP("IR",$S$14&amp;$AL17,"매수호가")</f>
        <v>5.432E-2</v>
      </c>
      <c r="X17" s="4">
        <f>_xll.IMDP("IR",$S$14&amp;$AL17,"시간",,"TmFmt=1")</f>
        <v>0.70840277777777783</v>
      </c>
      <c r="Y17" s="2">
        <f>_xll.IMDP("IR",$S$14&amp;$AL17,"일자",,"DtFmt=1")</f>
        <v>45596</v>
      </c>
      <c r="AB17" s="2"/>
      <c r="AL17" t="s">
        <v>19</v>
      </c>
    </row>
    <row r="18" spans="1:38" ht="15" customHeight="1">
      <c r="A18">
        <v>4</v>
      </c>
      <c r="B18" t="str">
        <f t="shared" ca="1" si="1"/>
        <v>2028-10-01</v>
      </c>
      <c r="C18">
        <f t="shared" ca="1" si="2"/>
        <v>1</v>
      </c>
      <c r="D18" s="2">
        <f t="shared" ca="1" si="3"/>
        <v>47035</v>
      </c>
      <c r="E18" t="b">
        <f ca="1"/>
        <v>0</v>
      </c>
      <c r="H18" s="2">
        <v>51071</v>
      </c>
      <c r="I18" s="2"/>
      <c r="J18" s="2">
        <v>45621</v>
      </c>
      <c r="K18" s="2"/>
      <c r="L18" s="2">
        <v>51070</v>
      </c>
      <c r="M18" s="2"/>
      <c r="N18" s="2">
        <v>45622</v>
      </c>
      <c r="P18" s="2">
        <v>51071</v>
      </c>
      <c r="Q18" s="2"/>
      <c r="R18" s="2">
        <v>45621</v>
      </c>
      <c r="T18">
        <f>IF(ISNUMBER(_xll.IMDP("FX",INDEX($C$1:$C$9,T15),"매수호가")),_xll.IMDP("FX",INDEX($C$1:$C$9,T15),"시간"),_xll.IMDP("FX",INDEX($C$1:$C$9,T15),"시간",'cross rate fwd'!$B$4-1,"Fill=true"))</f>
        <v>170545</v>
      </c>
      <c r="V18">
        <f>_xll.IMDP("IR",$S$14&amp;$AL18,"매도호가")</f>
        <v>0.15017</v>
      </c>
      <c r="W18">
        <f>_xll.IMDP("IR",$S$14&amp;$AL18,"매수호가")</f>
        <v>7.0349999999999996E-2</v>
      </c>
      <c r="X18" s="4">
        <f>_xll.IMDP("IR",$S$14&amp;$AL18,"시간",,"TmFmt=1")</f>
        <v>0.70840277777777783</v>
      </c>
      <c r="Y18" s="2">
        <f>_xll.IMDP("IR",$S$14&amp;$AL18,"일자",,"DtFmt=1")</f>
        <v>45596</v>
      </c>
      <c r="AB18" s="2"/>
      <c r="AL18" t="s">
        <v>20</v>
      </c>
    </row>
    <row r="19" spans="1:38" ht="15" customHeight="1">
      <c r="A19">
        <v>5</v>
      </c>
      <c r="B19" t="str">
        <f t="shared" ca="1" si="1"/>
        <v>2029-10-01</v>
      </c>
      <c r="C19">
        <f t="shared" ca="1" si="2"/>
        <v>2</v>
      </c>
      <c r="D19" s="2">
        <f t="shared" ca="1" si="3"/>
        <v>47399</v>
      </c>
      <c r="E19" t="b">
        <f ca="1"/>
        <v>0</v>
      </c>
      <c r="H19" s="2">
        <v>51070</v>
      </c>
      <c r="I19" s="2"/>
      <c r="J19" s="2">
        <v>45622</v>
      </c>
      <c r="K19" s="2"/>
      <c r="L19" s="2">
        <v>51069</v>
      </c>
      <c r="M19" s="2"/>
      <c r="N19" s="2">
        <v>45623</v>
      </c>
      <c r="P19" s="2">
        <v>51070</v>
      </c>
      <c r="Q19" s="2"/>
      <c r="R19" s="2">
        <v>45622</v>
      </c>
      <c r="V19">
        <f>_xll.IMDP("IR",$S$14&amp;$AL19,"매도호가")</f>
        <v>0.17554</v>
      </c>
      <c r="W19">
        <f>_xll.IMDP("IR",$S$14&amp;$AL19,"매수호가")</f>
        <v>9.5750000000000002E-2</v>
      </c>
      <c r="X19" s="4">
        <f>_xll.IMDP("IR",$S$14&amp;$AL19,"시간",,"TmFmt=1")</f>
        <v>0.70840277777777783</v>
      </c>
      <c r="Y19" s="2">
        <f>_xll.IMDP("IR",$S$14&amp;$AL19,"일자",,"DtFmt=1")</f>
        <v>45596</v>
      </c>
      <c r="AB19" s="2"/>
      <c r="AL19" t="s">
        <v>21</v>
      </c>
    </row>
    <row r="20" spans="1:38" ht="15" customHeight="1">
      <c r="A20">
        <v>5</v>
      </c>
      <c r="B20" t="str">
        <f t="shared" ca="1" si="1"/>
        <v>2029-10-01</v>
      </c>
      <c r="C20">
        <f t="shared" ca="1" si="2"/>
        <v>2</v>
      </c>
      <c r="D20" s="2">
        <f t="shared" ca="1" si="3"/>
        <v>47399</v>
      </c>
      <c r="E20" t="b">
        <f ca="1"/>
        <v>0</v>
      </c>
      <c r="H20" s="2">
        <v>51069</v>
      </c>
      <c r="I20" s="2"/>
      <c r="J20" s="2">
        <v>45623</v>
      </c>
      <c r="K20" s="2"/>
      <c r="L20" s="2">
        <v>51068</v>
      </c>
      <c r="M20" s="2"/>
      <c r="N20" s="2">
        <v>45625</v>
      </c>
      <c r="P20" s="2">
        <v>51069</v>
      </c>
      <c r="Q20" s="2"/>
      <c r="R20" s="2">
        <v>45623</v>
      </c>
      <c r="V20">
        <f>_xll.IMDP("IR",$S$14&amp;$AL20,"매도호가")</f>
        <v>0.21273</v>
      </c>
      <c r="W20">
        <f>_xll.IMDP("IR",$S$14&amp;$AL20,"매수호가")</f>
        <v>0.13295999999999999</v>
      </c>
      <c r="X20" s="4">
        <f>_xll.IMDP("IR",$S$14&amp;$AL20,"시간",,"TmFmt=1")</f>
        <v>0.70840277777777783</v>
      </c>
      <c r="Y20" s="2">
        <f>_xll.IMDP("IR",$S$14&amp;$AL20,"일자",,"DtFmt=1")</f>
        <v>45596</v>
      </c>
      <c r="AB20" s="2"/>
      <c r="AL20" t="s">
        <v>22</v>
      </c>
    </row>
    <row r="21" spans="1:38" ht="15" customHeight="1">
      <c r="A21">
        <v>6</v>
      </c>
      <c r="B21" t="str">
        <f t="shared" ca="1" si="1"/>
        <v>2030-10-01</v>
      </c>
      <c r="C21">
        <f t="shared" ca="1" si="2"/>
        <v>3</v>
      </c>
      <c r="D21" s="2">
        <f t="shared" ca="1" si="3"/>
        <v>47770</v>
      </c>
      <c r="E21" t="b">
        <f ca="1"/>
        <v>0</v>
      </c>
      <c r="H21" s="2">
        <v>51068</v>
      </c>
      <c r="I21" s="2"/>
      <c r="J21" s="2">
        <v>45625</v>
      </c>
      <c r="K21" s="2"/>
      <c r="L21" s="2">
        <v>51067</v>
      </c>
      <c r="M21" s="2"/>
      <c r="N21" s="2">
        <v>45628</v>
      </c>
      <c r="P21" s="2">
        <v>51068</v>
      </c>
      <c r="Q21" s="2"/>
      <c r="R21" s="2">
        <v>45624</v>
      </c>
      <c r="V21">
        <f>_xll.IMDP("IR",$S$14&amp;$AL21,"매도호가")</f>
        <v>0.25862000000000002</v>
      </c>
      <c r="W21">
        <f>_xll.IMDP("IR",$S$14&amp;$AL21,"매수호가")</f>
        <v>0.17887</v>
      </c>
      <c r="X21" s="4">
        <f>_xll.IMDP("IR",$S$14&amp;$AL21,"시간",,"TmFmt=1")</f>
        <v>0.70840277777777783</v>
      </c>
      <c r="Y21" s="2">
        <f>_xll.IMDP("IR",$S$14&amp;$AL21,"일자",,"DtFmt=1")</f>
        <v>45596</v>
      </c>
      <c r="AB21" s="2"/>
      <c r="AL21" t="s">
        <v>23</v>
      </c>
    </row>
    <row r="22" spans="1:38" ht="15" customHeight="1">
      <c r="A22">
        <v>7</v>
      </c>
      <c r="B22" t="str">
        <f t="shared" ca="1" si="1"/>
        <v>2031-10-01</v>
      </c>
      <c r="C22">
        <f t="shared" ca="1" si="2"/>
        <v>4</v>
      </c>
      <c r="D22" s="2">
        <f t="shared" ca="1" si="3"/>
        <v>48134</v>
      </c>
      <c r="E22" t="b">
        <f ca="1"/>
        <v>0</v>
      </c>
      <c r="H22" s="2">
        <v>51067</v>
      </c>
      <c r="I22" s="2"/>
      <c r="J22" s="2">
        <v>45628</v>
      </c>
      <c r="K22" s="2"/>
      <c r="L22" s="2">
        <v>51064</v>
      </c>
      <c r="M22" s="2"/>
      <c r="N22" s="2">
        <v>45629</v>
      </c>
      <c r="P22" s="2">
        <v>51067</v>
      </c>
      <c r="Q22" s="2"/>
      <c r="R22" s="2">
        <v>45625</v>
      </c>
      <c r="V22">
        <f>_xll.IMDP("IR",$S$14&amp;$AL22,"매도호가")</f>
        <v>0.31197000000000003</v>
      </c>
      <c r="W22">
        <f>_xll.IMDP("IR",$S$14&amp;$AL22,"매수호가")</f>
        <v>0.23222999999999999</v>
      </c>
      <c r="X22" s="4">
        <f>_xll.IMDP("IR",$S$14&amp;$AL22,"시간",,"TmFmt=1")</f>
        <v>0.70840277777777783</v>
      </c>
      <c r="Y22" s="2">
        <f>_xll.IMDP("IR",$S$14&amp;$AL22,"일자",,"DtFmt=1")</f>
        <v>45596</v>
      </c>
      <c r="AB22" s="2"/>
      <c r="AL22" t="s">
        <v>24</v>
      </c>
    </row>
    <row r="23" spans="1:38" ht="15" customHeight="1">
      <c r="A23">
        <v>8</v>
      </c>
      <c r="B23" t="str">
        <f t="shared" ca="1" si="1"/>
        <v>2032-10-01</v>
      </c>
      <c r="C23">
        <f t="shared" ca="1" si="2"/>
        <v>6</v>
      </c>
      <c r="D23" s="2">
        <f t="shared" ca="1" si="3"/>
        <v>48498</v>
      </c>
      <c r="E23" t="b">
        <f ca="1"/>
        <v>0</v>
      </c>
      <c r="H23" s="2">
        <v>51064</v>
      </c>
      <c r="I23" s="2"/>
      <c r="J23" s="2">
        <v>45629</v>
      </c>
      <c r="K23" s="2"/>
      <c r="L23" s="2">
        <v>51063</v>
      </c>
      <c r="M23" s="2"/>
      <c r="N23" s="2">
        <v>45630</v>
      </c>
      <c r="P23" s="2">
        <v>51064</v>
      </c>
      <c r="Q23" s="2"/>
      <c r="R23" s="2">
        <v>45628</v>
      </c>
      <c r="V23">
        <f>_xll.IMDP("IR",$S$14&amp;$AL23,"매도호가")</f>
        <v>0.37401000000000001</v>
      </c>
      <c r="W23">
        <f>_xll.IMDP("IR",$S$14&amp;$AL23,"매수호가")</f>
        <v>0.29429</v>
      </c>
      <c r="X23" s="4">
        <f>_xll.IMDP("IR",$S$14&amp;$AL23,"시간",,"TmFmt=1")</f>
        <v>0.70840277777777783</v>
      </c>
      <c r="Y23" s="2">
        <f>_xll.IMDP("IR",$S$14&amp;$AL23,"일자",,"DtFmt=1")</f>
        <v>45596</v>
      </c>
      <c r="AB23" s="2"/>
      <c r="AL23" t="s">
        <v>25</v>
      </c>
    </row>
    <row r="24" spans="1:38" ht="15" customHeight="1">
      <c r="A24">
        <v>9</v>
      </c>
      <c r="B24" t="str">
        <f t="shared" ca="1" si="1"/>
        <v>2033-10-01</v>
      </c>
      <c r="C24">
        <f t="shared" ca="1" si="2"/>
        <v>7</v>
      </c>
      <c r="D24" s="2">
        <f t="shared" ca="1" si="3"/>
        <v>48862</v>
      </c>
      <c r="E24" t="b">
        <f ca="1"/>
        <v>0</v>
      </c>
      <c r="H24" s="2">
        <v>51063</v>
      </c>
      <c r="I24" s="2"/>
      <c r="J24" s="2">
        <v>45630</v>
      </c>
      <c r="K24" s="2"/>
      <c r="L24" s="2">
        <v>51062</v>
      </c>
      <c r="M24" s="2"/>
      <c r="N24" s="2">
        <v>45631</v>
      </c>
      <c r="P24" s="2">
        <v>51063</v>
      </c>
      <c r="Q24" s="2"/>
      <c r="R24" s="2">
        <v>45629</v>
      </c>
      <c r="V24">
        <f>_xll.IMDP("IR",$S$14&amp;$AL24,"매도호가")</f>
        <v>0.45094000000000001</v>
      </c>
      <c r="W24">
        <f>_xll.IMDP("IR",$S$14&amp;$AL24,"매수호가")</f>
        <v>0.35138999999999998</v>
      </c>
      <c r="X24" s="4">
        <f>_xll.IMDP("IR",$S$14&amp;$AL24,"시간",,"TmFmt=1")</f>
        <v>0.70840277777777783</v>
      </c>
      <c r="Y24" s="2">
        <f>_xll.IMDP("IR",$S$14&amp;$AL24,"일자",,"DtFmt=1")</f>
        <v>45596</v>
      </c>
      <c r="AB24" s="2"/>
      <c r="AL24" t="s">
        <v>26</v>
      </c>
    </row>
    <row r="25" spans="1:38" ht="15" customHeight="1">
      <c r="A25">
        <v>10</v>
      </c>
      <c r="B25" t="str">
        <f t="shared" ca="1" si="1"/>
        <v>2034-10-01</v>
      </c>
      <c r="C25">
        <f t="shared" ca="1" si="2"/>
        <v>1</v>
      </c>
      <c r="D25" s="2">
        <f t="shared" ca="1" si="3"/>
        <v>49226</v>
      </c>
      <c r="E25" t="b">
        <f ca="1"/>
        <v>0</v>
      </c>
      <c r="H25" s="2">
        <v>51062</v>
      </c>
      <c r="I25" s="2"/>
      <c r="J25" s="2">
        <v>45631</v>
      </c>
      <c r="K25" s="2"/>
      <c r="L25" s="2">
        <v>51061</v>
      </c>
      <c r="M25" s="2"/>
      <c r="N25" s="2">
        <v>45632</v>
      </c>
      <c r="P25" s="2">
        <v>51062</v>
      </c>
      <c r="Q25" s="2"/>
      <c r="R25" s="2">
        <v>45630</v>
      </c>
      <c r="V25">
        <f>_xll.IMDP("IR",$S$14&amp;$AL25,"매도호가")</f>
        <v>0.51792000000000005</v>
      </c>
      <c r="W25">
        <f>_xll.IMDP("IR",$S$14&amp;$AL25,"매수호가")</f>
        <v>0.41839999999999999</v>
      </c>
      <c r="X25" s="4">
        <f>_xll.IMDP("IR",$S$14&amp;$AL25,"시간",,"TmFmt=1")</f>
        <v>0.70840277777777783</v>
      </c>
      <c r="Y25" s="2">
        <f>_xll.IMDP("IR",$S$14&amp;$AL25,"일자",,"DtFmt=1")</f>
        <v>45596</v>
      </c>
      <c r="AB25" s="2"/>
      <c r="AL25" t="s">
        <v>27</v>
      </c>
    </row>
    <row r="26" spans="1:38" ht="15" customHeight="1">
      <c r="A26">
        <v>11</v>
      </c>
      <c r="B26" t="str">
        <f t="shared" ca="1" si="1"/>
        <v>2035-10-01</v>
      </c>
      <c r="C26">
        <f t="shared" ca="1" si="2"/>
        <v>2</v>
      </c>
      <c r="D26" s="2">
        <f t="shared" ca="1" si="3"/>
        <v>49590</v>
      </c>
      <c r="E26" t="b">
        <f ca="1"/>
        <v>0</v>
      </c>
      <c r="H26" s="2">
        <v>51061</v>
      </c>
      <c r="I26" s="2"/>
      <c r="J26" s="2">
        <v>45632</v>
      </c>
      <c r="K26" s="2"/>
      <c r="L26" s="2">
        <v>51060</v>
      </c>
      <c r="M26" s="2"/>
      <c r="N26" s="2">
        <v>45635</v>
      </c>
      <c r="P26" s="2">
        <v>51061</v>
      </c>
      <c r="Q26" s="2"/>
      <c r="R26" s="2">
        <v>45631</v>
      </c>
      <c r="V26">
        <f>_xll.IMDP("IR",$S$14&amp;$AL26,"매도호가")</f>
        <v>0.71062000000000003</v>
      </c>
      <c r="W26">
        <f>_xll.IMDP("IR",$S$14&amp;$AL26,"매수호가")</f>
        <v>0.61116999999999999</v>
      </c>
      <c r="X26" s="4">
        <f>_xll.IMDP("IR",$S$14&amp;$AL26,"시간",,"TmFmt=1")</f>
        <v>0.70840277777777783</v>
      </c>
      <c r="Y26" s="2">
        <f>_xll.IMDP("IR",$S$14&amp;$AL26,"일자",,"DtFmt=1")</f>
        <v>45596</v>
      </c>
      <c r="AB26" s="2"/>
      <c r="AL26" t="s">
        <v>3</v>
      </c>
    </row>
    <row r="27" spans="1:38" ht="15" customHeight="1">
      <c r="A27">
        <v>12</v>
      </c>
      <c r="B27" t="str">
        <f t="shared" ca="1" si="1"/>
        <v>2036-10-01</v>
      </c>
      <c r="C27">
        <f t="shared" ca="1" si="2"/>
        <v>4</v>
      </c>
      <c r="D27" s="2">
        <f t="shared" ca="1" si="3"/>
        <v>49961</v>
      </c>
      <c r="E27" t="b">
        <f ca="1"/>
        <v>0</v>
      </c>
      <c r="H27" s="2">
        <v>51060</v>
      </c>
      <c r="I27" s="2"/>
      <c r="J27" s="2">
        <v>45635</v>
      </c>
      <c r="K27" s="2"/>
      <c r="L27" s="2">
        <v>51057</v>
      </c>
      <c r="M27" s="2"/>
      <c r="N27" s="2">
        <v>45636</v>
      </c>
      <c r="P27" s="2">
        <v>51060</v>
      </c>
      <c r="Q27" s="2"/>
      <c r="R27" s="2">
        <v>45632</v>
      </c>
      <c r="S27" s="5" t="s">
        <v>86</v>
      </c>
      <c r="T27" t="str">
        <f>$A$3</f>
        <v>EUR/USD RFR 이론CRS</v>
      </c>
      <c r="V27">
        <f>_xll.IMDP("IR",$S$27&amp;$AL27,"매도호가")</f>
        <v>2.3930799999999999</v>
      </c>
      <c r="W27">
        <f>_xll.IMDP("IR",$S$27&amp;$AL27,"매수호가")</f>
        <v>2.30396</v>
      </c>
      <c r="X27" s="4">
        <f>_xll.IMDP("IR",$S$27&amp;$AL27,"시간",,"TmFmt=1")</f>
        <v>0.70834490740740741</v>
      </c>
      <c r="Y27" s="2">
        <f>_xll.IMDP("IR",$S$27&amp;$AL27,"일자",,"DtFmt=1")</f>
        <v>45596</v>
      </c>
      <c r="AB27" s="2"/>
      <c r="AL27" t="s">
        <v>16</v>
      </c>
    </row>
    <row r="28" spans="1:38" ht="15" customHeight="1">
      <c r="A28">
        <v>15</v>
      </c>
      <c r="B28" t="str">
        <f t="shared" ca="1" si="1"/>
        <v>2039-10-01</v>
      </c>
      <c r="C28">
        <f t="shared" ca="1" si="2"/>
        <v>7</v>
      </c>
      <c r="D28" s="2">
        <f t="shared" ca="1" si="3"/>
        <v>51053</v>
      </c>
      <c r="E28" t="b">
        <f ca="1"/>
        <v>0</v>
      </c>
      <c r="H28" s="2">
        <v>51057</v>
      </c>
      <c r="I28" s="2"/>
      <c r="J28" s="2">
        <v>45636</v>
      </c>
      <c r="K28" s="2"/>
      <c r="L28" s="2">
        <v>51056</v>
      </c>
      <c r="M28" s="2"/>
      <c r="N28" s="2">
        <v>45637</v>
      </c>
      <c r="P28" s="2">
        <v>51057</v>
      </c>
      <c r="Q28" s="2"/>
      <c r="R28" s="2">
        <v>45635</v>
      </c>
      <c r="T28">
        <v>3</v>
      </c>
      <c r="V28">
        <f>_xll.IMDP("IR",$S$27&amp;$AL28,"매도호가")</f>
        <v>2.1889099999999999</v>
      </c>
      <c r="W28">
        <f>_xll.IMDP("IR",$S$27&amp;$AL28,"매수호가")</f>
        <v>2.09972</v>
      </c>
      <c r="X28" s="4">
        <f>_xll.IMDP("IR",$S$27&amp;$AL28,"시간",,"TmFmt=1")</f>
        <v>0.70834490740740741</v>
      </c>
      <c r="Y28" s="2">
        <f>_xll.IMDP("IR",$S$27&amp;$AL28,"일자",,"DtFmt=1")</f>
        <v>45596</v>
      </c>
      <c r="AB28" s="2"/>
      <c r="AL28" t="s">
        <v>17</v>
      </c>
    </row>
    <row r="29" spans="1:38" ht="15" customHeight="1">
      <c r="E29" t="b">
        <f ca="1"/>
        <v>0</v>
      </c>
      <c r="H29" s="2">
        <v>51056</v>
      </c>
      <c r="I29" s="2"/>
      <c r="J29" s="2">
        <v>45637</v>
      </c>
      <c r="K29" s="2"/>
      <c r="L29" s="2">
        <v>51055</v>
      </c>
      <c r="M29" s="2"/>
      <c r="N29" s="2">
        <v>45638</v>
      </c>
      <c r="P29" s="2">
        <v>51056</v>
      </c>
      <c r="Q29" s="2"/>
      <c r="R29" s="2">
        <v>45636</v>
      </c>
      <c r="T29">
        <f>IF(ISNUMBER(_xll.IMDP("FX",INDEX($C$1:$C$9,T28),"매수호가")),_xll.IMDP("FX",INDEX($C$1:$C$9,T28),"매수호가"),_xll.IMDP("FX",INDEX($C$1:$C$9,T28),"매수호가",'cross rate fwd'!$B$4-1,"Fill=true"))</f>
        <v>1496.09</v>
      </c>
      <c r="V29">
        <f>_xll.IMDP("IR",$S$27&amp;$AL29,"매도호가")</f>
        <v>2.1607500000000002</v>
      </c>
      <c r="W29">
        <f>_xll.IMDP("IR",$S$27&amp;$AL29,"매수호가")</f>
        <v>2.0715499999999998</v>
      </c>
      <c r="X29" s="4">
        <f>_xll.IMDP("IR",$S$27&amp;$AL29,"시간",,"TmFmt=1")</f>
        <v>0.70834490740740741</v>
      </c>
      <c r="Y29" s="2">
        <f>_xll.IMDP("IR",$S$27&amp;$AL29,"일자",,"DtFmt=1")</f>
        <v>45596</v>
      </c>
      <c r="AB29" s="2"/>
      <c r="AL29" t="s">
        <v>18</v>
      </c>
    </row>
    <row r="30" spans="1:38" ht="15" customHeight="1">
      <c r="A30">
        <v>0</v>
      </c>
      <c r="B30" t="str">
        <f t="shared" ref="B30:B44" ca="1" si="4">YEAR($A$13)+$A30&amp;"-11-11"</f>
        <v>2024-11-11</v>
      </c>
      <c r="C30">
        <f t="shared" ref="C30:C44" ca="1" si="5">WEEKDAY(B30,1)</f>
        <v>2</v>
      </c>
      <c r="D30" s="2">
        <f t="shared" ref="D30:D44" ca="1" si="6">IFERROR(DATEVALUE(IF(C30=1,B30+1,B30)),IF(C30=1,B30+1,B30))</f>
        <v>45607</v>
      </c>
      <c r="E30" t="b">
        <f ca="1"/>
        <v>0</v>
      </c>
      <c r="H30" s="2">
        <v>51055</v>
      </c>
      <c r="I30" s="2"/>
      <c r="J30" s="2">
        <v>45638</v>
      </c>
      <c r="K30" s="2"/>
      <c r="L30" s="2">
        <v>51054</v>
      </c>
      <c r="M30" s="2"/>
      <c r="N30" s="2">
        <v>45639</v>
      </c>
      <c r="P30" s="2">
        <v>51055</v>
      </c>
      <c r="Q30" s="2"/>
      <c r="R30" s="2">
        <v>45637</v>
      </c>
      <c r="T30">
        <f>IF(ISNUMBER(_xll.IMDP("FX",INDEX($C$1:$C$9,T28),"매도호가")),_xll.IMDP("FX",INDEX($C$1:$C$9,T28),"매도호가"),_xll.IMDP("FX",INDEX($C$1:$C$9,T28),"매도호가",'cross rate fwd'!$B$4-1,"Fill=true"))</f>
        <v>1496.45</v>
      </c>
      <c r="V30">
        <f>_xll.IMDP("IR",$S$27&amp;$AL30,"매도호가")</f>
        <v>2.1646000000000001</v>
      </c>
      <c r="W30">
        <f>_xll.IMDP("IR",$S$27&amp;$AL30,"매수호가")</f>
        <v>2.0754100000000002</v>
      </c>
      <c r="X30" s="4">
        <f>_xll.IMDP("IR",$S$27&amp;$AL30,"시간",,"TmFmt=1")</f>
        <v>0.70834490740740741</v>
      </c>
      <c r="Y30" s="2">
        <f>_xll.IMDP("IR",$S$27&amp;$AL30,"일자",,"DtFmt=1")</f>
        <v>45596</v>
      </c>
      <c r="AB30" s="2"/>
      <c r="AL30" t="s">
        <v>19</v>
      </c>
    </row>
    <row r="31" spans="1:38" ht="15" customHeight="1">
      <c r="A31">
        <v>1</v>
      </c>
      <c r="B31" t="str">
        <f t="shared" ca="1" si="4"/>
        <v>2025-11-11</v>
      </c>
      <c r="C31">
        <f t="shared" ca="1" si="5"/>
        <v>3</v>
      </c>
      <c r="D31" s="2">
        <f t="shared" ca="1" si="6"/>
        <v>45972</v>
      </c>
      <c r="E31" t="b">
        <f ca="1"/>
        <v>0</v>
      </c>
      <c r="H31" s="2">
        <v>51054</v>
      </c>
      <c r="I31" s="2"/>
      <c r="J31" s="2">
        <v>45639</v>
      </c>
      <c r="K31" s="2"/>
      <c r="L31" s="2">
        <v>51050</v>
      </c>
      <c r="M31" s="2"/>
      <c r="N31" s="2">
        <v>45642</v>
      </c>
      <c r="P31" s="2">
        <v>51054</v>
      </c>
      <c r="Q31" s="2"/>
      <c r="R31" s="2">
        <v>45638</v>
      </c>
      <c r="T31">
        <f>IF(ISNUMBER(_xll.IMDP("FX",INDEX($C$1:$C$9,T28),"매수호가")),_xll.IMDP("FX",INDEX($C$1:$C$9,T28),"시간"),_xll.IMDP("FX",INDEX($C$1:$C$9,T28),"시간",'cross rate fwd'!$B$4-1,"Fill=true"))</f>
        <v>170544</v>
      </c>
      <c r="V31">
        <f>_xll.IMDP("IR",$S$27&amp;$AL31,"매도호가")</f>
        <v>2.1740900000000001</v>
      </c>
      <c r="W31">
        <f>_xll.IMDP("IR",$S$27&amp;$AL31,"매수호가")</f>
        <v>2.0849000000000002</v>
      </c>
      <c r="X31" s="4">
        <f>_xll.IMDP("IR",$S$27&amp;$AL31,"시간",,"TmFmt=1")</f>
        <v>0.70834490740740741</v>
      </c>
      <c r="Y31" s="2">
        <f>_xll.IMDP("IR",$S$27&amp;$AL31,"일자",,"DtFmt=1")</f>
        <v>45596</v>
      </c>
      <c r="AB31" s="2"/>
      <c r="AL31" t="s">
        <v>20</v>
      </c>
    </row>
    <row r="32" spans="1:38" ht="15" customHeight="1">
      <c r="A32">
        <v>2</v>
      </c>
      <c r="B32" t="str">
        <f t="shared" ca="1" si="4"/>
        <v>2026-11-11</v>
      </c>
      <c r="C32">
        <f t="shared" ca="1" si="5"/>
        <v>4</v>
      </c>
      <c r="D32" s="2">
        <f t="shared" ca="1" si="6"/>
        <v>46337</v>
      </c>
      <c r="E32" t="b">
        <f ca="1"/>
        <v>0</v>
      </c>
      <c r="H32" s="2">
        <v>51053</v>
      </c>
      <c r="I32" s="2"/>
      <c r="J32" s="2">
        <v>45642</v>
      </c>
      <c r="K32" s="2"/>
      <c r="L32" s="2">
        <v>51049</v>
      </c>
      <c r="M32" s="2"/>
      <c r="N32" s="2">
        <v>45643</v>
      </c>
      <c r="P32" s="2">
        <v>51050</v>
      </c>
      <c r="Q32" s="2"/>
      <c r="R32" s="2">
        <v>45639</v>
      </c>
      <c r="V32">
        <f>_xll.IMDP("IR",$S$27&amp;$AL32,"매도호가")</f>
        <v>2.1904599999999999</v>
      </c>
      <c r="W32">
        <f>_xll.IMDP("IR",$S$27&amp;$AL32,"매수호가")</f>
        <v>2.10128</v>
      </c>
      <c r="X32" s="4">
        <f>_xll.IMDP("IR",$S$27&amp;$AL32,"시간",,"TmFmt=1")</f>
        <v>0.70834490740740741</v>
      </c>
      <c r="Y32" s="2">
        <f>_xll.IMDP("IR",$S$27&amp;$AL32,"일자",,"DtFmt=1")</f>
        <v>45596</v>
      </c>
      <c r="AB32" s="2"/>
      <c r="AL32" t="s">
        <v>21</v>
      </c>
    </row>
    <row r="33" spans="1:38" ht="15" customHeight="1">
      <c r="A33">
        <v>3</v>
      </c>
      <c r="B33" t="str">
        <f t="shared" ca="1" si="4"/>
        <v>2027-11-11</v>
      </c>
      <c r="C33">
        <f t="shared" ca="1" si="5"/>
        <v>5</v>
      </c>
      <c r="D33" s="2">
        <f t="shared" ca="1" si="6"/>
        <v>46702</v>
      </c>
      <c r="E33" t="b">
        <f ca="1"/>
        <v>0</v>
      </c>
      <c r="H33" s="2">
        <v>51050</v>
      </c>
      <c r="I33" s="2"/>
      <c r="J33" s="2">
        <v>45643</v>
      </c>
      <c r="K33" s="2"/>
      <c r="L33" s="2">
        <v>51048</v>
      </c>
      <c r="M33" s="2"/>
      <c r="N33" s="2">
        <v>45644</v>
      </c>
      <c r="P33" s="2">
        <v>51049</v>
      </c>
      <c r="Q33" s="2"/>
      <c r="R33" s="2">
        <v>45642</v>
      </c>
      <c r="V33">
        <f>_xll.IMDP("IR",$S$27&amp;$AL33,"매도호가")</f>
        <v>2.2068300000000001</v>
      </c>
      <c r="W33">
        <f>_xll.IMDP("IR",$S$27&amp;$AL33,"매수호가")</f>
        <v>2.1176599999999999</v>
      </c>
      <c r="X33" s="4">
        <f>_xll.IMDP("IR",$S$27&amp;$AL33,"시간",,"TmFmt=1")</f>
        <v>0.70834490740740741</v>
      </c>
      <c r="Y33" s="2">
        <f>_xll.IMDP("IR",$S$27&amp;$AL33,"일자",,"DtFmt=1")</f>
        <v>45596</v>
      </c>
      <c r="AB33" s="2"/>
      <c r="AL33" t="s">
        <v>22</v>
      </c>
    </row>
    <row r="34" spans="1:38" ht="15" customHeight="1">
      <c r="A34">
        <v>4</v>
      </c>
      <c r="B34" t="str">
        <f t="shared" ca="1" si="4"/>
        <v>2028-11-11</v>
      </c>
      <c r="C34">
        <f t="shared" ca="1" si="5"/>
        <v>7</v>
      </c>
      <c r="D34" s="2">
        <f t="shared" ca="1" si="6"/>
        <v>47068</v>
      </c>
      <c r="E34" t="b">
        <f ca="1"/>
        <v>0</v>
      </c>
      <c r="H34" s="2">
        <v>51049</v>
      </c>
      <c r="I34" s="2"/>
      <c r="J34" s="2">
        <v>45644</v>
      </c>
      <c r="K34" s="2"/>
      <c r="L34" s="2">
        <v>51047</v>
      </c>
      <c r="M34" s="2"/>
      <c r="N34" s="2">
        <v>45645</v>
      </c>
      <c r="P34" s="2">
        <v>51043</v>
      </c>
      <c r="Q34" s="2"/>
      <c r="R34" s="2">
        <v>45643</v>
      </c>
      <c r="V34">
        <f>_xll.IMDP("IR",$S$27&amp;$AL34,"매도호가")</f>
        <v>2.22614</v>
      </c>
      <c r="W34">
        <f>_xll.IMDP("IR",$S$27&amp;$AL34,"매수호가")</f>
        <v>2.1369799999999999</v>
      </c>
      <c r="X34" s="4">
        <f>_xll.IMDP("IR",$S$27&amp;$AL34,"시간",,"TmFmt=1")</f>
        <v>0.70834490740740741</v>
      </c>
      <c r="Y34" s="2">
        <f>_xll.IMDP("IR",$S$27&amp;$AL34,"일자",,"DtFmt=1")</f>
        <v>45596</v>
      </c>
      <c r="AB34" s="2"/>
      <c r="AL34" t="s">
        <v>23</v>
      </c>
    </row>
    <row r="35" spans="1:38" ht="15" customHeight="1">
      <c r="A35">
        <v>5</v>
      </c>
      <c r="B35" t="str">
        <f t="shared" ca="1" si="4"/>
        <v>2029-11-11</v>
      </c>
      <c r="C35">
        <f t="shared" ca="1" si="5"/>
        <v>1</v>
      </c>
      <c r="D35" s="2">
        <f t="shared" ca="1" si="6"/>
        <v>47434</v>
      </c>
      <c r="E35" t="b">
        <f ca="1"/>
        <v>0</v>
      </c>
      <c r="H35" s="2">
        <v>51048</v>
      </c>
      <c r="I35" s="2"/>
      <c r="J35" s="2">
        <v>45645</v>
      </c>
      <c r="K35" s="2"/>
      <c r="L35" s="2">
        <v>51046</v>
      </c>
      <c r="M35" s="2"/>
      <c r="N35" s="2">
        <v>45646</v>
      </c>
      <c r="P35" s="2">
        <v>51042</v>
      </c>
      <c r="Q35" s="2"/>
      <c r="R35" s="2">
        <v>45644</v>
      </c>
      <c r="V35">
        <f>_xll.IMDP("IR",$S$27&amp;$AL35,"매도호가")</f>
        <v>2.2479499999999999</v>
      </c>
      <c r="W35">
        <f>_xll.IMDP("IR",$S$27&amp;$AL35,"매수호가")</f>
        <v>2.1587900000000002</v>
      </c>
      <c r="X35" s="4">
        <f>_xll.IMDP("IR",$S$27&amp;$AL35,"시간",,"TmFmt=1")</f>
        <v>0.70834490740740741</v>
      </c>
      <c r="Y35" s="2">
        <f>_xll.IMDP("IR",$S$27&amp;$AL35,"일자",,"DtFmt=1")</f>
        <v>45596</v>
      </c>
      <c r="AB35" s="2"/>
      <c r="AL35" t="s">
        <v>24</v>
      </c>
    </row>
    <row r="36" spans="1:38" ht="15" customHeight="1">
      <c r="A36">
        <v>5</v>
      </c>
      <c r="B36" t="str">
        <f t="shared" ca="1" si="4"/>
        <v>2029-11-11</v>
      </c>
      <c r="C36">
        <f t="shared" ca="1" si="5"/>
        <v>1</v>
      </c>
      <c r="D36" s="2">
        <f t="shared" ca="1" si="6"/>
        <v>47434</v>
      </c>
      <c r="E36" t="b">
        <f ca="1"/>
        <v>0</v>
      </c>
      <c r="H36" s="2">
        <v>51047</v>
      </c>
      <c r="I36" s="2"/>
      <c r="J36" s="2">
        <v>45646</v>
      </c>
      <c r="K36" s="2"/>
      <c r="L36" s="2">
        <v>51043</v>
      </c>
      <c r="M36" s="2"/>
      <c r="N36" s="2">
        <v>45649</v>
      </c>
      <c r="P36" s="2">
        <v>51041</v>
      </c>
      <c r="Q36" s="2"/>
      <c r="R36" s="2">
        <v>45645</v>
      </c>
      <c r="V36">
        <f>_xll.IMDP("IR",$S$27&amp;$AL36,"매도호가")</f>
        <v>2.2697500000000002</v>
      </c>
      <c r="W36">
        <f>_xll.IMDP("IR",$S$27&amp;$AL36,"매수호가")</f>
        <v>2.1806100000000002</v>
      </c>
      <c r="X36" s="4">
        <f>_xll.IMDP("IR",$S$27&amp;$AL36,"시간",,"TmFmt=1")</f>
        <v>0.70834490740740741</v>
      </c>
      <c r="Y36" s="2">
        <f>_xll.IMDP("IR",$S$27&amp;$AL36,"일자",,"DtFmt=1")</f>
        <v>45596</v>
      </c>
      <c r="AB36" s="2"/>
      <c r="AL36" t="s">
        <v>25</v>
      </c>
    </row>
    <row r="37" spans="1:38" ht="15" customHeight="1">
      <c r="A37">
        <v>6</v>
      </c>
      <c r="B37" t="str">
        <f t="shared" ca="1" si="4"/>
        <v>2030-11-11</v>
      </c>
      <c r="C37">
        <f t="shared" ca="1" si="5"/>
        <v>2</v>
      </c>
      <c r="D37" s="2">
        <f t="shared" ca="1" si="6"/>
        <v>47798</v>
      </c>
      <c r="E37" t="b">
        <f ca="1"/>
        <v>0</v>
      </c>
      <c r="H37" s="2">
        <v>51046</v>
      </c>
      <c r="I37" s="2"/>
      <c r="J37" s="2">
        <v>45649</v>
      </c>
      <c r="K37" s="2"/>
      <c r="L37" s="2">
        <v>51042</v>
      </c>
      <c r="M37" s="2"/>
      <c r="N37" s="2">
        <v>45650</v>
      </c>
      <c r="P37" s="2">
        <v>51040</v>
      </c>
      <c r="Q37" s="2"/>
      <c r="R37" s="2">
        <v>45646</v>
      </c>
      <c r="V37">
        <f>_xll.IMDP("IR",$S$27&amp;$AL37,"매도호가")</f>
        <v>2.2886000000000002</v>
      </c>
      <c r="W37">
        <f>_xll.IMDP("IR",$S$27&amp;$AL37,"매수호가")</f>
        <v>2.1994699999999998</v>
      </c>
      <c r="X37" s="4">
        <f>_xll.IMDP("IR",$S$27&amp;$AL37,"시간",,"TmFmt=1")</f>
        <v>0.70834490740740741</v>
      </c>
      <c r="Y37" s="2">
        <f>_xll.IMDP("IR",$S$27&amp;$AL37,"일자",,"DtFmt=1")</f>
        <v>45596</v>
      </c>
      <c r="AB37" s="2"/>
      <c r="AL37" t="s">
        <v>26</v>
      </c>
    </row>
    <row r="38" spans="1:38" ht="15" customHeight="1">
      <c r="A38">
        <v>7</v>
      </c>
      <c r="B38" t="str">
        <f t="shared" ca="1" si="4"/>
        <v>2031-11-11</v>
      </c>
      <c r="C38">
        <f t="shared" ca="1" si="5"/>
        <v>3</v>
      </c>
      <c r="D38" s="2">
        <f t="shared" ca="1" si="6"/>
        <v>48163</v>
      </c>
      <c r="E38" t="b">
        <f ca="1"/>
        <v>0</v>
      </c>
      <c r="H38" s="2">
        <v>51043</v>
      </c>
      <c r="I38" s="2"/>
      <c r="J38" s="2">
        <v>45650</v>
      </c>
      <c r="K38" s="2"/>
      <c r="L38" s="2">
        <v>51041</v>
      </c>
      <c r="M38" s="2"/>
      <c r="N38" s="2">
        <v>45652</v>
      </c>
      <c r="P38" s="2">
        <v>51039</v>
      </c>
      <c r="Q38" s="2"/>
      <c r="R38" s="2">
        <v>45649</v>
      </c>
      <c r="V38">
        <f>_xll.IMDP("IR",$S$27&amp;$AL38,"매도호가")</f>
        <v>2.3071799999999998</v>
      </c>
      <c r="W38">
        <f>_xll.IMDP("IR",$S$27&amp;$AL38,"매수호가")</f>
        <v>2.2180499999999999</v>
      </c>
      <c r="X38" s="4">
        <f>_xll.IMDP("IR",$S$27&amp;$AL38,"시간",,"TmFmt=1")</f>
        <v>0.70834490740740741</v>
      </c>
      <c r="Y38" s="2">
        <f>_xll.IMDP("IR",$S$27&amp;$AL38,"일자",,"DtFmt=1")</f>
        <v>45596</v>
      </c>
      <c r="AB38" s="2"/>
      <c r="AL38" t="s">
        <v>27</v>
      </c>
    </row>
    <row r="39" spans="1:38" ht="15" customHeight="1">
      <c r="A39">
        <v>8</v>
      </c>
      <c r="B39" t="str">
        <f t="shared" ca="1" si="4"/>
        <v>2032-11-11</v>
      </c>
      <c r="C39">
        <f t="shared" ca="1" si="5"/>
        <v>5</v>
      </c>
      <c r="D39" s="2">
        <f t="shared" ca="1" si="6"/>
        <v>48529</v>
      </c>
      <c r="E39" t="b">
        <f ca="1"/>
        <v>0</v>
      </c>
      <c r="H39" s="2">
        <v>51042</v>
      </c>
      <c r="I39" s="2"/>
      <c r="J39" s="2">
        <v>45652</v>
      </c>
      <c r="K39" s="2"/>
      <c r="L39" s="2">
        <v>51040</v>
      </c>
      <c r="M39" s="2"/>
      <c r="N39" s="2">
        <v>45653</v>
      </c>
      <c r="P39" s="2">
        <v>51036</v>
      </c>
      <c r="Q39" s="2"/>
      <c r="R39" s="2">
        <v>45650</v>
      </c>
      <c r="V39">
        <f>_xll.IMDP("IR",$S$27&amp;$AL39,"매도호가")</f>
        <v>2.3493200000000001</v>
      </c>
      <c r="W39">
        <f>_xll.IMDP("IR",$S$27&amp;$AL39,"매수호가")</f>
        <v>2.2602199999999999</v>
      </c>
      <c r="X39" s="4">
        <f>_xll.IMDP("IR",$S$27&amp;$AL39,"시간",,"TmFmt=1")</f>
        <v>0.70834490740740741</v>
      </c>
      <c r="Y39" s="2">
        <f>_xll.IMDP("IR",$S$27&amp;$AL39,"일자",,"DtFmt=1")</f>
        <v>45596</v>
      </c>
      <c r="AB39" s="2"/>
      <c r="AL39" t="s">
        <v>3</v>
      </c>
    </row>
    <row r="40" spans="1:38" ht="15" customHeight="1">
      <c r="A40">
        <v>9</v>
      </c>
      <c r="B40" t="str">
        <f t="shared" ca="1" si="4"/>
        <v>2033-11-11</v>
      </c>
      <c r="C40">
        <f t="shared" ca="1" si="5"/>
        <v>6</v>
      </c>
      <c r="D40" s="2">
        <f t="shared" ca="1" si="6"/>
        <v>48894</v>
      </c>
      <c r="E40" t="b">
        <f ca="1"/>
        <v>0</v>
      </c>
      <c r="H40" s="2">
        <v>51041</v>
      </c>
      <c r="I40" s="2"/>
      <c r="J40" s="2">
        <v>45653</v>
      </c>
      <c r="K40" s="2"/>
      <c r="L40" s="2">
        <v>51039</v>
      </c>
      <c r="M40" s="2"/>
      <c r="N40" s="2">
        <v>45656</v>
      </c>
      <c r="P40" s="2">
        <v>51035</v>
      </c>
      <c r="Q40" s="2"/>
      <c r="R40" s="2">
        <v>45652</v>
      </c>
      <c r="S40" s="5" t="s">
        <v>80</v>
      </c>
      <c r="T40" t="str">
        <f>$A$4</f>
        <v>CNH/USD CRS</v>
      </c>
      <c r="V40">
        <f>_xll.IMDP("IR",$S$40&amp;$AL40,"매도호가")</f>
        <v>2.65</v>
      </c>
      <c r="W40">
        <f>_xll.IMDP("IR",$S$40&amp;$AL40,"매수호가")</f>
        <v>2.5499999999999998</v>
      </c>
      <c r="X40" s="4">
        <f>_xll.IMDP("IR",$S$40&amp;$AL40,"시간",,"TmFmt=1")</f>
        <v>0.64884259259259258</v>
      </c>
      <c r="Y40" s="2">
        <f>_xll.IMDP("IR",$S$40&amp;$AL40,"일자",,"DtFmt=1")</f>
        <v>45596</v>
      </c>
      <c r="AB40" s="2"/>
      <c r="AL40" t="s">
        <v>16</v>
      </c>
    </row>
    <row r="41" spans="1:38" ht="15" customHeight="1">
      <c r="A41">
        <v>10</v>
      </c>
      <c r="B41" t="str">
        <f t="shared" ca="1" si="4"/>
        <v>2034-11-11</v>
      </c>
      <c r="C41">
        <f t="shared" ca="1" si="5"/>
        <v>7</v>
      </c>
      <c r="D41" s="2">
        <f t="shared" ca="1" si="6"/>
        <v>49259</v>
      </c>
      <c r="E41" t="b">
        <f ca="1"/>
        <v>0</v>
      </c>
      <c r="H41" s="2">
        <v>51040</v>
      </c>
      <c r="I41" s="2"/>
      <c r="J41" s="2">
        <v>45656</v>
      </c>
      <c r="K41" s="2"/>
      <c r="L41" s="2">
        <v>51035</v>
      </c>
      <c r="M41" s="2"/>
      <c r="N41" s="2">
        <v>45663</v>
      </c>
      <c r="P41" s="2">
        <v>51034</v>
      </c>
      <c r="Q41" s="2"/>
      <c r="R41" s="2">
        <v>45653</v>
      </c>
      <c r="T41">
        <v>4</v>
      </c>
      <c r="V41">
        <f>_xll.IMDP("IR",$S$40&amp;$AL41,"매도호가")</f>
        <v>3.14</v>
      </c>
      <c r="W41">
        <f>_xll.IMDP("IR",$S$40&amp;$AL41,"매수호가")</f>
        <v>3.04</v>
      </c>
      <c r="X41" s="4">
        <f>_xll.IMDP("IR",$S$40&amp;$AL41,"시간",,"TmFmt=1")</f>
        <v>0.64886574074074077</v>
      </c>
      <c r="Y41" s="2">
        <f>_xll.IMDP("IR",$S$40&amp;$AL41,"일자",,"DtFmt=1")</f>
        <v>45596</v>
      </c>
      <c r="AB41" s="2"/>
      <c r="AL41" t="s">
        <v>17</v>
      </c>
    </row>
    <row r="42" spans="1:38" ht="15" customHeight="1">
      <c r="A42">
        <v>11</v>
      </c>
      <c r="B42" t="str">
        <f t="shared" ca="1" si="4"/>
        <v>2035-11-11</v>
      </c>
      <c r="C42">
        <f t="shared" ca="1" si="5"/>
        <v>1</v>
      </c>
      <c r="D42" s="2">
        <f t="shared" ca="1" si="6"/>
        <v>49625</v>
      </c>
      <c r="E42" t="b">
        <f ca="1"/>
        <v>0</v>
      </c>
      <c r="H42" s="2">
        <v>51039</v>
      </c>
      <c r="I42" s="2"/>
      <c r="J42" s="2">
        <v>45657</v>
      </c>
      <c r="K42" s="2"/>
      <c r="L42" s="2">
        <v>51034</v>
      </c>
      <c r="M42" s="2"/>
      <c r="N42" s="2">
        <v>45664</v>
      </c>
      <c r="P42" s="2">
        <v>51033</v>
      </c>
      <c r="Q42" s="2"/>
      <c r="R42" s="2">
        <v>45656</v>
      </c>
      <c r="T42">
        <f>IF(ISNUMBER(_xll.IMDP("FX",INDEX($C$1:$C$9,T41),"매수호가")),_xll.IMDP("FX",INDEX($C$1:$C$9,T41),"매수호가"),_xll.IMDP("FX",INDEX($C$1:$C$9,T41),"매수호가",'cross rate fwd'!$B$4-1,"Fill=true"))</f>
        <v>193.39</v>
      </c>
      <c r="V42">
        <f>_xll.IMDP("IR",$S$40&amp;$AL42,"매도호가")</f>
        <v>3.23</v>
      </c>
      <c r="W42">
        <f>_xll.IMDP("IR",$S$40&amp;$AL42,"매수호가")</f>
        <v>3.13</v>
      </c>
      <c r="X42" s="4">
        <f>_xll.IMDP("IR",$S$40&amp;$AL42,"시간",,"TmFmt=1")</f>
        <v>0.64886574074074077</v>
      </c>
      <c r="Y42" s="2">
        <f>_xll.IMDP("IR",$S$40&amp;$AL42,"일자",,"DtFmt=1")</f>
        <v>45596</v>
      </c>
      <c r="AB42" s="2"/>
      <c r="AL42" t="s">
        <v>18</v>
      </c>
    </row>
    <row r="43" spans="1:38" ht="15" customHeight="1">
      <c r="A43">
        <v>12</v>
      </c>
      <c r="B43" t="str">
        <f t="shared" ca="1" si="4"/>
        <v>2036-11-11</v>
      </c>
      <c r="C43">
        <f t="shared" ca="1" si="5"/>
        <v>3</v>
      </c>
      <c r="D43" s="2">
        <f t="shared" ca="1" si="6"/>
        <v>49990</v>
      </c>
      <c r="E43" t="b">
        <f ca="1"/>
        <v>0</v>
      </c>
      <c r="H43" s="2">
        <v>51036</v>
      </c>
      <c r="I43" s="2"/>
      <c r="J43" s="2">
        <v>45659</v>
      </c>
      <c r="K43" s="2"/>
      <c r="L43" s="2">
        <v>51033</v>
      </c>
      <c r="M43" s="2"/>
      <c r="N43" s="2">
        <v>45665</v>
      </c>
      <c r="P43" s="2">
        <v>51032</v>
      </c>
      <c r="Q43" s="2"/>
      <c r="R43" s="2">
        <v>45659</v>
      </c>
      <c r="T43">
        <f>IF(ISNUMBER(_xll.IMDP("FX",INDEX($C$1:$C$9,T41),"매도호가")),_xll.IMDP("FX",INDEX($C$1:$C$9,T41),"매도호가"),_xll.IMDP("FX",INDEX($C$1:$C$9,T41),"매도호가",'cross rate fwd'!$B$4-1,"Fill=true"))</f>
        <v>193.43</v>
      </c>
      <c r="V43">
        <f>_xll.IMDP("IR",$S$40&amp;$AL43,"매도호가")</f>
        <v>3.17</v>
      </c>
      <c r="W43">
        <f>_xll.IMDP("IR",$S$40&amp;$AL43,"매수호가")</f>
        <v>3.07</v>
      </c>
      <c r="X43" s="4">
        <f>_xll.IMDP("IR",$S$40&amp;$AL43,"시간",,"TmFmt=1")</f>
        <v>0.64887731481481481</v>
      </c>
      <c r="Y43" s="2">
        <f>_xll.IMDP("IR",$S$40&amp;$AL43,"일자",,"DtFmt=1")</f>
        <v>45596</v>
      </c>
      <c r="AB43" s="2"/>
      <c r="AL43" t="s">
        <v>19</v>
      </c>
    </row>
    <row r="44" spans="1:38" ht="15" customHeight="1">
      <c r="A44">
        <v>15</v>
      </c>
      <c r="B44" t="str">
        <f t="shared" ca="1" si="4"/>
        <v>2039-11-11</v>
      </c>
      <c r="C44">
        <f t="shared" ca="1" si="5"/>
        <v>6</v>
      </c>
      <c r="D44" s="2">
        <f t="shared" ca="1" si="6"/>
        <v>51085</v>
      </c>
      <c r="H44" s="2">
        <v>51035</v>
      </c>
      <c r="I44" s="2"/>
      <c r="J44" s="2">
        <v>45660</v>
      </c>
      <c r="K44" s="2"/>
      <c r="L44" s="2">
        <v>51029</v>
      </c>
      <c r="M44" s="2"/>
      <c r="N44" s="2">
        <v>45666</v>
      </c>
      <c r="P44" s="2">
        <v>51029</v>
      </c>
      <c r="Q44" s="2"/>
      <c r="R44" s="2">
        <v>45660</v>
      </c>
      <c r="T44">
        <f>IF(ISNUMBER(_xll.IMDP("FX",INDEX($C$1:$C$9,T41),"매수호가")),_xll.IMDP("FX",INDEX($C$1:$C$9,T41),"시간"),_xll.IMDP("FX",INDEX($C$1:$C$9,T41),"시간",'cross rate fwd'!$B$4-1,"Fill=true"))</f>
        <v>170544</v>
      </c>
      <c r="U44">
        <f ca="1">IF('cross rate fwd'!$D$7=code!$T$41,'cross rate fwd'!AG13,'cross rate fwd'!AG32)</f>
        <v>1826</v>
      </c>
      <c r="V44">
        <f>_xll.IMDP("IR",$S$40&amp;$AL44,"매도호가")</f>
        <v>3.11</v>
      </c>
      <c r="W44">
        <f>_xll.IMDP("IR",$S$40&amp;$AL44,"매수호가")</f>
        <v>3.01</v>
      </c>
      <c r="X44" s="4">
        <f>_xll.IMDP("IR",$S$40&amp;$AL44,"시간",,"TmFmt=1")</f>
        <v>0.64888888888888885</v>
      </c>
      <c r="Y44" s="2">
        <f>_xll.IMDP("IR",$S$40&amp;$AL44,"일자",,"DtFmt=1")</f>
        <v>45596</v>
      </c>
      <c r="Z44">
        <f t="shared" ref="Z44" si="7">V44</f>
        <v>3.11</v>
      </c>
      <c r="AA44">
        <f t="shared" ref="AA44" si="8">W44</f>
        <v>3.01</v>
      </c>
      <c r="AL44" t="s">
        <v>20</v>
      </c>
    </row>
    <row r="45" spans="1:38" ht="15" customHeight="1">
      <c r="H45" s="2">
        <v>51034</v>
      </c>
      <c r="I45" s="2"/>
      <c r="J45" s="2">
        <v>45663</v>
      </c>
      <c r="K45" s="2"/>
      <c r="L45" s="2">
        <v>51028</v>
      </c>
      <c r="M45" s="2"/>
      <c r="N45" s="2">
        <v>45667</v>
      </c>
      <c r="P45" s="2">
        <v>51028</v>
      </c>
      <c r="Q45" s="2"/>
      <c r="R45" s="2">
        <v>45663</v>
      </c>
      <c r="U45">
        <f ca="1">IF('cross rate fwd'!$D$7=code!$T$41,'cross rate fwd'!AG14,'cross rate fwd'!AG33)</f>
        <v>2191</v>
      </c>
      <c r="V45">
        <f ca="1">FORECAST($U45,Z44:Z46,$U44:$U46)</f>
        <v>2.9050000000000002</v>
      </c>
      <c r="W45">
        <f ca="1">FORECAST($U45,AA44:AA46,$U44:$U46)</f>
        <v>2.8049999999999997</v>
      </c>
      <c r="X45" s="4" t="s">
        <v>62</v>
      </c>
      <c r="Y45" s="2" t="s">
        <v>62</v>
      </c>
      <c r="AA45" t="str">
        <f>_xll.IMDP("IR","CRST25USDCNH06Y","매수호가")</f>
        <v/>
      </c>
      <c r="AL45" t="s">
        <v>21</v>
      </c>
    </row>
    <row r="46" spans="1:38" ht="15" customHeight="1">
      <c r="H46" s="2">
        <v>51033</v>
      </c>
      <c r="I46" s="2"/>
      <c r="J46" s="2">
        <v>45664</v>
      </c>
      <c r="K46" s="2"/>
      <c r="L46" s="2">
        <v>51027</v>
      </c>
      <c r="M46" s="2"/>
      <c r="N46" s="2">
        <v>45671</v>
      </c>
      <c r="P46" s="2">
        <v>51027</v>
      </c>
      <c r="Q46" s="2"/>
      <c r="R46" s="2">
        <v>45664</v>
      </c>
      <c r="U46">
        <f ca="1">IF('cross rate fwd'!$D$7=code!$T$41,'cross rate fwd'!AG15,'cross rate fwd'!AG34)</f>
        <v>2556</v>
      </c>
      <c r="V46">
        <f>_xll.IMDP("IR",$S$40&amp;$AL46,"매도호가")</f>
        <v>2.7</v>
      </c>
      <c r="W46">
        <f>_xll.IMDP("IR",$S$40&amp;$AL46,"매수호가")</f>
        <v>2.6</v>
      </c>
      <c r="X46" s="4">
        <f>_xll.IMDP("IR",$S$40&amp;$AL46,"시간",,"TmFmt=1")</f>
        <v>0.64891203703703704</v>
      </c>
      <c r="Y46" s="2">
        <f>_xll.IMDP("IR",$S$40&amp;$AL46,"일자",,"DtFmt=1")</f>
        <v>45596</v>
      </c>
      <c r="Z46">
        <f t="shared" ref="Z46:AA46" si="9">V46</f>
        <v>2.7</v>
      </c>
      <c r="AA46">
        <f t="shared" si="9"/>
        <v>2.6</v>
      </c>
      <c r="AL46" t="s">
        <v>22</v>
      </c>
    </row>
    <row r="47" spans="1:38" ht="15" customHeight="1">
      <c r="H47" s="2">
        <v>51032</v>
      </c>
      <c r="I47" s="2"/>
      <c r="J47" s="2">
        <v>45665</v>
      </c>
      <c r="K47" s="2"/>
      <c r="L47" s="2">
        <v>51026</v>
      </c>
      <c r="M47" s="2"/>
      <c r="N47" s="2">
        <v>45672</v>
      </c>
      <c r="P47" s="2">
        <v>51026</v>
      </c>
      <c r="Q47" s="2"/>
      <c r="R47" s="2">
        <v>45665</v>
      </c>
      <c r="U47">
        <f ca="1">IF('cross rate fwd'!$D$7=code!$T$41,'cross rate fwd'!AG16,'cross rate fwd'!AG35)</f>
        <v>2922</v>
      </c>
      <c r="V47">
        <f ca="1">FORECAST($U47,Z46:Z49,$U46:$U49)</f>
        <v>2.6666362807657249</v>
      </c>
      <c r="W47">
        <f ca="1">FORECAST($U47,AA46:AA49,$U46:$U49)</f>
        <v>2.5666362807657244</v>
      </c>
      <c r="X47" s="4" t="s">
        <v>62</v>
      </c>
      <c r="Y47" s="2" t="s">
        <v>62</v>
      </c>
      <c r="Z47" t="str">
        <f>_xll.IMDP("IR","CRST25USDCNH08Y","매도호가")</f>
        <v/>
      </c>
      <c r="AA47" t="str">
        <f>_xll.IMDP("IR","CRST25USDCNH08Y","매수호가")</f>
        <v/>
      </c>
      <c r="AB47" s="2"/>
      <c r="AL47" t="s">
        <v>23</v>
      </c>
    </row>
    <row r="48" spans="1:38" ht="15" customHeight="1">
      <c r="H48" s="2">
        <v>51029</v>
      </c>
      <c r="I48" s="2"/>
      <c r="J48" s="2">
        <v>45666</v>
      </c>
      <c r="K48" s="2"/>
      <c r="L48" s="2">
        <v>51025</v>
      </c>
      <c r="M48" s="2"/>
      <c r="N48" s="2">
        <v>45673</v>
      </c>
      <c r="P48" s="2">
        <v>51025</v>
      </c>
      <c r="Q48" s="2"/>
      <c r="R48" s="2">
        <v>45666</v>
      </c>
      <c r="U48">
        <f ca="1">IF('cross rate fwd'!$D$7=code!$T$41,'cross rate fwd'!AG17,'cross rate fwd'!AG36)</f>
        <v>3289</v>
      </c>
      <c r="V48">
        <f ca="1">FORECAST($U48,Z46:Z49,$U46:$U49)</f>
        <v>2.6331814038286239</v>
      </c>
      <c r="W48">
        <f ca="1">FORECAST($U48,AA46:AA49,$U46:$U49)</f>
        <v>2.5331814038286233</v>
      </c>
      <c r="X48" s="4" t="s">
        <v>62</v>
      </c>
      <c r="Y48" s="2" t="s">
        <v>62</v>
      </c>
      <c r="Z48" t="str">
        <f>_xll.IMDP("IR","CRST25USDCNH09Y","매도호가")</f>
        <v/>
      </c>
      <c r="AA48" t="str">
        <f>_xll.IMDP("IR","CRST25USDCNH09Y","매수호가")</f>
        <v/>
      </c>
      <c r="AB48" s="2"/>
      <c r="AL48" t="s">
        <v>24</v>
      </c>
    </row>
    <row r="49" spans="8:38" ht="15" customHeight="1">
      <c r="H49" s="2">
        <v>51028</v>
      </c>
      <c r="I49" s="2"/>
      <c r="J49" s="2">
        <v>45667</v>
      </c>
      <c r="K49" s="2"/>
      <c r="L49" s="2">
        <v>51022</v>
      </c>
      <c r="M49" s="2"/>
      <c r="N49" s="2">
        <v>45674</v>
      </c>
      <c r="P49" s="2">
        <v>51022</v>
      </c>
      <c r="Q49" s="2"/>
      <c r="R49" s="2">
        <v>45667</v>
      </c>
      <c r="U49">
        <f ca="1">IF('cross rate fwd'!$D$7=code!$T$41,'cross rate fwd'!AG18,'cross rate fwd'!AG37)</f>
        <v>3653</v>
      </c>
      <c r="V49">
        <f>_xll.IMDP("IR",$S$40&amp;$AL49,"매도호가")</f>
        <v>2.6</v>
      </c>
      <c r="W49">
        <f>_xll.IMDP("IR",$S$40&amp;$AL49,"매수호가")</f>
        <v>2.5</v>
      </c>
      <c r="X49" s="4">
        <f>_xll.IMDP("IR",$S$40&amp;$AL49,"시간",,"TmFmt=1")</f>
        <v>0.64893518518518523</v>
      </c>
      <c r="Y49" s="2">
        <f>_xll.IMDP("IR",$S$40&amp;$AL49,"일자",,"DtFmt=1")</f>
        <v>45596</v>
      </c>
      <c r="Z49">
        <f>V49</f>
        <v>2.6</v>
      </c>
      <c r="AA49">
        <f>W49</f>
        <v>2.5</v>
      </c>
      <c r="AB49" s="2"/>
      <c r="AL49" t="s">
        <v>25</v>
      </c>
    </row>
    <row r="50" spans="8:38" ht="15" customHeight="1">
      <c r="H50" s="2">
        <v>51027</v>
      </c>
      <c r="I50" s="2"/>
      <c r="J50" s="2">
        <v>45670</v>
      </c>
      <c r="K50" s="2"/>
      <c r="L50" s="2">
        <v>51021</v>
      </c>
      <c r="M50" s="2"/>
      <c r="N50" s="2">
        <v>45678</v>
      </c>
      <c r="P50" s="2">
        <v>51021</v>
      </c>
      <c r="Q50" s="2"/>
      <c r="R50" s="2">
        <v>45670</v>
      </c>
      <c r="U50">
        <f ca="1">IF('cross rate fwd'!$D$7=code!$T$41,'cross rate fwd'!AG19,'cross rate fwd'!AG38)</f>
        <v>4017</v>
      </c>
      <c r="V50" s="3">
        <f t="shared" ref="V50:W52" ca="1" si="10">FORECAST($U50,Z$40:Z$49,$U$40:$U$49)</f>
        <v>2.4496163601313148</v>
      </c>
      <c r="W50" s="3">
        <f t="shared" ca="1" si="10"/>
        <v>2.3496163601313143</v>
      </c>
      <c r="X50" s="4" t="s">
        <v>71</v>
      </c>
      <c r="Y50" s="2" t="s">
        <v>70</v>
      </c>
      <c r="Z50" t="str">
        <f>_xll.IMDP("IR","CRST25USDCNH11Y","매도호가")</f>
        <v/>
      </c>
      <c r="AA50" t="str">
        <f>_xll.IMDP("IR","CRST25USDCNH11Y","매수호가")</f>
        <v/>
      </c>
      <c r="AB50" s="2"/>
      <c r="AL50" t="s">
        <v>26</v>
      </c>
    </row>
    <row r="51" spans="8:38" ht="15" customHeight="1">
      <c r="H51" s="2">
        <v>51026</v>
      </c>
      <c r="I51" s="2"/>
      <c r="J51" s="2">
        <v>45671</v>
      </c>
      <c r="K51" s="2"/>
      <c r="L51" s="2">
        <v>51020</v>
      </c>
      <c r="M51" s="2"/>
      <c r="N51" s="2">
        <v>45679</v>
      </c>
      <c r="P51" s="2">
        <v>51020</v>
      </c>
      <c r="Q51" s="2"/>
      <c r="R51" s="2">
        <v>45671</v>
      </c>
      <c r="U51">
        <f ca="1">IF('cross rate fwd'!$D$7=code!$T$41,'cross rate fwd'!AG20,'cross rate fwd'!AG39)</f>
        <v>4383</v>
      </c>
      <c r="V51">
        <f t="shared" ca="1" si="10"/>
        <v>2.3529078848883325</v>
      </c>
      <c r="W51">
        <f t="shared" ca="1" si="10"/>
        <v>2.2529078848883319</v>
      </c>
      <c r="X51" s="4" t="s">
        <v>70</v>
      </c>
      <c r="Y51" s="2" t="s">
        <v>70</v>
      </c>
      <c r="Z51" t="str">
        <f>_xll.IMDP("IR","CRST25USDCNH12Y","매도호가")</f>
        <v/>
      </c>
      <c r="AA51" t="str">
        <f>_xll.IMDP("IR","CRST25USDCNH12Y","매수호가")</f>
        <v/>
      </c>
      <c r="AB51" s="2"/>
      <c r="AL51" t="s">
        <v>27</v>
      </c>
    </row>
    <row r="52" spans="8:38" ht="15" customHeight="1">
      <c r="H52" s="2">
        <v>51025</v>
      </c>
      <c r="I52" s="2"/>
      <c r="J52" s="2">
        <v>45672</v>
      </c>
      <c r="K52" s="2"/>
      <c r="L52" s="2">
        <v>51019</v>
      </c>
      <c r="M52" s="2"/>
      <c r="N52" s="2">
        <v>45680</v>
      </c>
      <c r="P52" s="2">
        <v>51019</v>
      </c>
      <c r="Q52" s="2"/>
      <c r="R52" s="2">
        <v>45672</v>
      </c>
      <c r="U52">
        <f ca="1">IF('cross rate fwd'!$D$7=code!$T$41,'cross rate fwd'!AG21,'cross rate fwd'!AG40)</f>
        <v>5480</v>
      </c>
      <c r="V52">
        <f t="shared" ca="1" si="10"/>
        <v>2.0630466899660602</v>
      </c>
      <c r="W52">
        <f t="shared" ca="1" si="10"/>
        <v>1.9630466899660597</v>
      </c>
      <c r="X52" s="4" t="s">
        <v>70</v>
      </c>
      <c r="Y52" s="2" t="s">
        <v>70</v>
      </c>
      <c r="Z52" t="str">
        <f>_xll.IMDP("IR","CRST25USDCNH15Y","매도호가")</f>
        <v/>
      </c>
      <c r="AA52" t="str">
        <f>_xll.IMDP("IR","CRST25USDCNH15Y","매수호가")</f>
        <v/>
      </c>
      <c r="AB52" s="2"/>
      <c r="AL52" t="s">
        <v>3</v>
      </c>
    </row>
    <row r="53" spans="8:38" ht="15" customHeight="1">
      <c r="H53" s="2">
        <v>51022</v>
      </c>
      <c r="I53" s="2"/>
      <c r="J53" s="2">
        <v>45673</v>
      </c>
      <c r="K53" s="2"/>
      <c r="L53" s="2">
        <v>51015</v>
      </c>
      <c r="M53" s="2"/>
      <c r="N53" s="2">
        <v>45681</v>
      </c>
      <c r="P53" s="2">
        <v>51018</v>
      </c>
      <c r="Q53" s="2"/>
      <c r="R53" s="2">
        <v>45673</v>
      </c>
      <c r="S53" s="5" t="s">
        <v>87</v>
      </c>
      <c r="T53" t="str">
        <f>$A$5</f>
        <v>HKD/USD 이론CRS</v>
      </c>
      <c r="V53">
        <f>_xll.IMDP("IR",$S$53&amp;$AL53,"매도호가")</f>
        <v>4.05</v>
      </c>
      <c r="W53">
        <f>_xll.IMDP("IR",$S$53&amp;$AL53,"매수호가")</f>
        <v>3.85</v>
      </c>
      <c r="X53" s="4">
        <f>_xll.IMDP("IR",$S$53&amp;$AL53,"시간",,"TmFmt=1")</f>
        <v>0.70877314814814818</v>
      </c>
      <c r="Y53" s="2">
        <f>_xll.IMDP("IR",$S$53&amp;$AL53,"일자",,"DtFmt=1")</f>
        <v>45596</v>
      </c>
      <c r="AB53" s="2"/>
      <c r="AL53" t="s">
        <v>16</v>
      </c>
    </row>
    <row r="54" spans="8:38" ht="15" customHeight="1">
      <c r="H54" s="2">
        <v>51021</v>
      </c>
      <c r="I54" s="2"/>
      <c r="J54" s="2">
        <v>45674</v>
      </c>
      <c r="K54" s="2"/>
      <c r="L54" s="2">
        <v>51014</v>
      </c>
      <c r="M54" s="2"/>
      <c r="N54" s="2">
        <v>45684</v>
      </c>
      <c r="P54" s="2">
        <v>51015</v>
      </c>
      <c r="Q54" s="2"/>
      <c r="R54" s="2">
        <v>45674</v>
      </c>
      <c r="T54">
        <v>5</v>
      </c>
      <c r="V54">
        <f>_xll.IMDP("IR",$S$53&amp;$AL54,"매도호가")</f>
        <v>3.76</v>
      </c>
      <c r="W54">
        <f>_xll.IMDP("IR",$S$53&amp;$AL54,"매수호가")</f>
        <v>3.55</v>
      </c>
      <c r="X54" s="4">
        <f>_xll.IMDP("IR",$S$53&amp;$AL54,"시간",,"TmFmt=1")</f>
        <v>0.70877314814814818</v>
      </c>
      <c r="Y54" s="2">
        <f>_xll.IMDP("IR",$S$53&amp;$AL54,"일자",,"DtFmt=1")</f>
        <v>45596</v>
      </c>
      <c r="AB54" s="2"/>
      <c r="AL54" t="s">
        <v>17</v>
      </c>
    </row>
    <row r="55" spans="8:38" ht="15" customHeight="1">
      <c r="H55" s="2">
        <v>51020</v>
      </c>
      <c r="I55" s="2"/>
      <c r="J55" s="2">
        <v>45678</v>
      </c>
      <c r="K55" s="2"/>
      <c r="L55" s="2">
        <v>51013</v>
      </c>
      <c r="M55" s="2"/>
      <c r="N55" s="2">
        <v>45685</v>
      </c>
      <c r="P55" s="2">
        <v>51014</v>
      </c>
      <c r="Q55" s="2"/>
      <c r="R55" s="2">
        <v>45677</v>
      </c>
      <c r="T55">
        <f>IF(ISNUMBER(_xll.IMDP("FX",INDEX($C$1:$C$9,T54),"매수호가")),_xll.IMDP("FX",INDEX($C$1:$C$9,T54),"매수호가"),_xll.IMDP("FX",INDEX($C$1:$C$9,T54),"매수호가",'cross rate fwd'!$B$4-1,"Fill=true"))</f>
        <v>177.32</v>
      </c>
      <c r="V55">
        <f>_xll.IMDP("IR",$S$53&amp;$AL55,"매도호가")</f>
        <v>3.59</v>
      </c>
      <c r="W55">
        <f>_xll.IMDP("IR",$S$53&amp;$AL55,"매수호가")</f>
        <v>3.39</v>
      </c>
      <c r="X55" s="4">
        <f>_xll.IMDP("IR",$S$53&amp;$AL55,"시간",,"TmFmt=1")</f>
        <v>0.70877314814814818</v>
      </c>
      <c r="Y55" s="2">
        <f>_xll.IMDP("IR",$S$53&amp;$AL55,"일자",,"DtFmt=1")</f>
        <v>45596</v>
      </c>
      <c r="AB55" s="2"/>
      <c r="AL55" t="s">
        <v>18</v>
      </c>
    </row>
    <row r="56" spans="8:38" ht="15" customHeight="1">
      <c r="H56" s="2">
        <v>51019</v>
      </c>
      <c r="I56" s="2"/>
      <c r="J56" s="2">
        <v>45679</v>
      </c>
      <c r="K56" s="2"/>
      <c r="L56" s="2">
        <v>51012</v>
      </c>
      <c r="M56" s="2"/>
      <c r="N56" s="2">
        <v>45686</v>
      </c>
      <c r="P56" s="2">
        <v>51013</v>
      </c>
      <c r="Q56" s="2"/>
      <c r="R56" s="2">
        <v>45678</v>
      </c>
      <c r="T56">
        <f>IF(ISNUMBER(_xll.IMDP("FX",INDEX($C$1:$C$9,T54),"매도호가")),_xll.IMDP("FX",INDEX($C$1:$C$9,T54),"매도호가"),_xll.IMDP("FX",INDEX($C$1:$C$9,T54),"매도호가",'cross rate fwd'!$B$4-1,"Fill=true"))</f>
        <v>177.36</v>
      </c>
      <c r="V56">
        <f>_xll.IMDP("IR",$S$53&amp;$AL56,"매도호가")</f>
        <v>3.45</v>
      </c>
      <c r="W56">
        <f>_xll.IMDP("IR",$S$53&amp;$AL56,"매수호가")</f>
        <v>3.25</v>
      </c>
      <c r="X56" s="4">
        <f>_xll.IMDP("IR",$S$53&amp;$AL56,"시간",,"TmFmt=1")</f>
        <v>0.70877314814814818</v>
      </c>
      <c r="Y56" s="2">
        <f>_xll.IMDP("IR",$S$53&amp;$AL56,"일자",,"DtFmt=1")</f>
        <v>45596</v>
      </c>
      <c r="AB56" s="2"/>
      <c r="AL56" t="s">
        <v>19</v>
      </c>
    </row>
    <row r="57" spans="8:38" ht="15" customHeight="1">
      <c r="H57" s="2">
        <v>51015</v>
      </c>
      <c r="I57" s="2"/>
      <c r="J57" s="2">
        <v>45680</v>
      </c>
      <c r="K57" s="2"/>
      <c r="L57" s="2">
        <v>51011</v>
      </c>
      <c r="M57" s="2"/>
      <c r="N57" s="2">
        <v>45687</v>
      </c>
      <c r="P57" s="2">
        <v>51012</v>
      </c>
      <c r="Q57" s="2"/>
      <c r="R57" s="2">
        <v>45679</v>
      </c>
      <c r="T57">
        <f>IF(ISNUMBER(_xll.IMDP("FX",INDEX($C$1:$C$9,T54),"매수호가")),_xll.IMDP("FX",INDEX($C$1:$C$9,T54),"시간"),_xll.IMDP("FX",INDEX($C$1:$C$9,T54),"시간",'cross rate fwd'!$B$4-1,"Fill=true"))</f>
        <v>170545</v>
      </c>
      <c r="U57">
        <f ca="1">IF('cross rate fwd'!$D$7=code!$T$54,'cross rate fwd'!AG13,'cross rate fwd'!AG32)</f>
        <v>1826</v>
      </c>
      <c r="V57">
        <f>_xll.IMDP("IR",$S$53&amp;$AL57,"매도호가")</f>
        <v>3.38</v>
      </c>
      <c r="W57">
        <f>_xll.IMDP("IR",$S$53&amp;$AL57,"매수호가")</f>
        <v>3.18</v>
      </c>
      <c r="X57" s="4">
        <f>_xll.IMDP("IR",$S$53&amp;$AL57,"시간",,"TmFmt=1")</f>
        <v>0.70877314814814818</v>
      </c>
      <c r="Y57" s="2">
        <f>_xll.IMDP("IR",$S$53&amp;$AL57,"일자",,"DtFmt=1")</f>
        <v>45596</v>
      </c>
      <c r="Z57">
        <f>V57</f>
        <v>3.38</v>
      </c>
      <c r="AA57">
        <f>W57</f>
        <v>3.18</v>
      </c>
      <c r="AB57" s="2"/>
      <c r="AL57" t="s">
        <v>20</v>
      </c>
    </row>
    <row r="58" spans="8:38" ht="15" customHeight="1">
      <c r="H58" s="2">
        <v>51014</v>
      </c>
      <c r="I58" s="2"/>
      <c r="J58" s="2">
        <v>45681</v>
      </c>
      <c r="K58" s="2"/>
      <c r="L58" s="2">
        <v>51008</v>
      </c>
      <c r="M58" s="2"/>
      <c r="N58" s="2">
        <v>45688</v>
      </c>
      <c r="P58" s="2">
        <v>51011</v>
      </c>
      <c r="Q58" s="2"/>
      <c r="R58" s="2">
        <v>45680</v>
      </c>
      <c r="U58">
        <f ca="1">IF('cross rate fwd'!$D$7=code!$T$54,'cross rate fwd'!AG14,'cross rate fwd'!AG33)</f>
        <v>2191</v>
      </c>
      <c r="V58">
        <f ca="1">FORECAST($U58,Z57:Z59,$U57:$U59)</f>
        <v>3.3650000000000002</v>
      </c>
      <c r="W58">
        <f ca="1">FORECAST($U58,AA57:AA59,$U57:$U59)</f>
        <v>3.165</v>
      </c>
      <c r="X58" s="4" t="s">
        <v>62</v>
      </c>
      <c r="Y58" s="2" t="s">
        <v>62</v>
      </c>
      <c r="AB58" s="2"/>
      <c r="AL58" t="s">
        <v>21</v>
      </c>
    </row>
    <row r="59" spans="8:38" ht="15" customHeight="1">
      <c r="H59" s="2">
        <v>51013</v>
      </c>
      <c r="I59" s="2"/>
      <c r="J59" s="2">
        <v>45684</v>
      </c>
      <c r="K59" s="2"/>
      <c r="L59" s="2">
        <v>51007</v>
      </c>
      <c r="M59" s="2"/>
      <c r="N59" s="2">
        <v>45691</v>
      </c>
      <c r="P59" s="2">
        <v>51008</v>
      </c>
      <c r="Q59" s="2"/>
      <c r="R59" s="2">
        <v>45681</v>
      </c>
      <c r="U59">
        <f ca="1">IF('cross rate fwd'!$D$7=code!$T$54,'cross rate fwd'!AG15,'cross rate fwd'!AG34)</f>
        <v>2556</v>
      </c>
      <c r="V59">
        <f>_xll.IMDP("IR",$S$53&amp;$AL59,"매도호가")</f>
        <v>3.35</v>
      </c>
      <c r="W59">
        <f>_xll.IMDP("IR",$S$53&amp;$AL59,"매수호가")</f>
        <v>3.15</v>
      </c>
      <c r="X59" s="4">
        <f>_xll.IMDP("IR",$S$53&amp;$AL59,"시간",,"TmFmt=1")</f>
        <v>0.70877314814814818</v>
      </c>
      <c r="Y59" s="2">
        <f>_xll.IMDP("IR",$S$53&amp;$AL59,"일자",,"DtFmt=1")</f>
        <v>45596</v>
      </c>
      <c r="Z59">
        <f t="shared" ref="Z59:AA59" si="11">V59</f>
        <v>3.35</v>
      </c>
      <c r="AA59">
        <f t="shared" si="11"/>
        <v>3.15</v>
      </c>
      <c r="AB59" s="2"/>
      <c r="AL59" t="s">
        <v>22</v>
      </c>
    </row>
    <row r="60" spans="8:38" ht="15" customHeight="1">
      <c r="H60" s="2">
        <v>51012</v>
      </c>
      <c r="I60" s="2"/>
      <c r="J60" s="2">
        <v>45685</v>
      </c>
      <c r="K60" s="2"/>
      <c r="L60" s="2">
        <v>51006</v>
      </c>
      <c r="M60" s="2"/>
      <c r="N60" s="2">
        <v>45692</v>
      </c>
      <c r="P60" s="2">
        <v>51007</v>
      </c>
      <c r="Q60" s="2"/>
      <c r="R60" s="2">
        <v>45684</v>
      </c>
      <c r="U60">
        <f ca="1">IF('cross rate fwd'!$D$7=code!$T$54,'cross rate fwd'!AG16,'cross rate fwd'!AG35)</f>
        <v>2922</v>
      </c>
      <c r="V60">
        <f ca="1">FORECAST($U60,Z$59:Z$62,$U$59:$U$62)</f>
        <v>3.35</v>
      </c>
      <c r="W60">
        <f ca="1">FORECAST($U60,AA$59:AA$62,$U$59:$U$62)</f>
        <v>3.15</v>
      </c>
      <c r="X60" s="4" t="s">
        <v>62</v>
      </c>
      <c r="Y60" s="2" t="s">
        <v>62</v>
      </c>
      <c r="AB60" s="2"/>
      <c r="AL60" t="s">
        <v>23</v>
      </c>
    </row>
    <row r="61" spans="8:38" ht="15" customHeight="1">
      <c r="H61" s="2">
        <v>51011</v>
      </c>
      <c r="I61" s="2"/>
      <c r="J61" s="2">
        <v>45686</v>
      </c>
      <c r="K61" s="2"/>
      <c r="L61" s="2">
        <v>51005</v>
      </c>
      <c r="M61" s="2"/>
      <c r="N61" s="2">
        <v>45693</v>
      </c>
      <c r="P61" s="2">
        <v>51006</v>
      </c>
      <c r="Q61" s="2"/>
      <c r="R61" s="2">
        <v>45688</v>
      </c>
      <c r="U61">
        <f ca="1">IF('cross rate fwd'!$D$7=code!$T$54,'cross rate fwd'!AG17,'cross rate fwd'!AG36)</f>
        <v>3289</v>
      </c>
      <c r="V61">
        <f ca="1">FORECAST($U61,Z$59:Z$62,$U$59:$U$62)</f>
        <v>3.35</v>
      </c>
      <c r="W61">
        <f ca="1">FORECAST($U61,AA$59:AA$62,$U$59:$U$62)</f>
        <v>3.15</v>
      </c>
      <c r="X61" s="4" t="s">
        <v>62</v>
      </c>
      <c r="Y61" s="2" t="s">
        <v>62</v>
      </c>
      <c r="AB61" s="2"/>
      <c r="AL61" t="s">
        <v>24</v>
      </c>
    </row>
    <row r="62" spans="8:38" ht="15" customHeight="1">
      <c r="H62" s="2">
        <v>51008</v>
      </c>
      <c r="I62" s="2"/>
      <c r="J62" s="2">
        <v>45687</v>
      </c>
      <c r="K62" s="2"/>
      <c r="L62" s="2">
        <v>51004</v>
      </c>
      <c r="M62" s="2"/>
      <c r="N62" s="2">
        <v>45694</v>
      </c>
      <c r="P62" s="2">
        <v>51005</v>
      </c>
      <c r="Q62" s="2"/>
      <c r="R62" s="2">
        <v>45691</v>
      </c>
      <c r="U62">
        <f ca="1">IF('cross rate fwd'!$D$7=code!$T$54,'cross rate fwd'!AG18,'cross rate fwd'!AG37)</f>
        <v>3653</v>
      </c>
      <c r="V62">
        <f>_xll.IMDP("IR",$S$53&amp;$AL62,"매도호가")</f>
        <v>3.35</v>
      </c>
      <c r="W62">
        <f>_xll.IMDP("IR",$S$53&amp;$AL62,"매수호가")</f>
        <v>3.15</v>
      </c>
      <c r="X62" s="4">
        <f>_xll.IMDP("IR",$S$53&amp;$AL62,"시간",,"TmFmt=1")</f>
        <v>0.70877314814814818</v>
      </c>
      <c r="Y62" s="2">
        <f>_xll.IMDP("IR",$S$53&amp;$AL62,"일자",,"DtFmt=1")</f>
        <v>45596</v>
      </c>
      <c r="Z62">
        <f t="shared" ref="Z62:AA62" si="12">V62</f>
        <v>3.35</v>
      </c>
      <c r="AA62">
        <f t="shared" si="12"/>
        <v>3.15</v>
      </c>
      <c r="AB62" s="2"/>
      <c r="AL62" t="s">
        <v>25</v>
      </c>
    </row>
    <row r="63" spans="8:38" ht="15" customHeight="1">
      <c r="H63" s="2">
        <v>51007</v>
      </c>
      <c r="I63" s="2"/>
      <c r="J63" s="2">
        <v>45688</v>
      </c>
      <c r="K63" s="2"/>
      <c r="L63" s="2">
        <v>51001</v>
      </c>
      <c r="M63" s="2"/>
      <c r="N63" s="2">
        <v>45695</v>
      </c>
      <c r="P63" s="2">
        <v>51004</v>
      </c>
      <c r="Q63" s="2"/>
      <c r="R63" s="2">
        <v>45692</v>
      </c>
      <c r="U63">
        <f ca="1">IF('cross rate fwd'!$D$7=code!$T$54,'cross rate fwd'!AG19,'cross rate fwd'!AG38)</f>
        <v>4017</v>
      </c>
      <c r="V63">
        <f ca="1">FORECAST($U63,Z62:Z64,$U62:$U64)</f>
        <v>3.3599726027397261</v>
      </c>
      <c r="W63">
        <f ca="1">FORECAST($U63,AA62:AA64,$U62:$U64)</f>
        <v>3.1599726027397259</v>
      </c>
      <c r="X63" s="4" t="s">
        <v>62</v>
      </c>
      <c r="Y63" s="2" t="s">
        <v>62</v>
      </c>
      <c r="AB63" s="2"/>
      <c r="AL63" t="s">
        <v>26</v>
      </c>
    </row>
    <row r="64" spans="8:38" ht="15" customHeight="1">
      <c r="H64" s="2">
        <v>51006</v>
      </c>
      <c r="I64" s="2"/>
      <c r="J64" s="2">
        <v>45691</v>
      </c>
      <c r="K64" s="2"/>
      <c r="L64" s="2">
        <v>51000</v>
      </c>
      <c r="M64" s="2"/>
      <c r="N64" s="2">
        <v>45698</v>
      </c>
      <c r="P64" s="2">
        <v>51001</v>
      </c>
      <c r="Q64" s="2"/>
      <c r="R64" s="2">
        <v>45693</v>
      </c>
      <c r="U64">
        <f ca="1">IF('cross rate fwd'!$D$7=code!$T$54,'cross rate fwd'!AG20,'cross rate fwd'!AG39)</f>
        <v>4383</v>
      </c>
      <c r="V64">
        <f>_xll.IMDP("IR",$S$53&amp;$AL64,"매도호가")</f>
        <v>3.37</v>
      </c>
      <c r="W64">
        <f>_xll.IMDP("IR",$S$53&amp;$AL64,"매수호가")</f>
        <v>3.17</v>
      </c>
      <c r="X64" s="4">
        <f>_xll.IMDP("IR",$S$53&amp;$AL64,"시간",,"TmFmt=1")</f>
        <v>0.70877314814814818</v>
      </c>
      <c r="Y64" s="2">
        <f>_xll.IMDP("IR",$S$53&amp;$AL64,"일자",,"DtFmt=1")</f>
        <v>45596</v>
      </c>
      <c r="Z64">
        <f t="shared" ref="Z64" si="13">V64</f>
        <v>3.37</v>
      </c>
      <c r="AA64">
        <f t="shared" ref="AA64" si="14">W64</f>
        <v>3.17</v>
      </c>
      <c r="AB64" s="2"/>
      <c r="AL64" t="s">
        <v>27</v>
      </c>
    </row>
    <row r="65" spans="8:38" ht="15" customHeight="1">
      <c r="H65" s="2">
        <v>51005</v>
      </c>
      <c r="I65" s="2"/>
      <c r="J65" s="2">
        <v>45692</v>
      </c>
      <c r="K65" s="2"/>
      <c r="L65" s="2">
        <v>50999</v>
      </c>
      <c r="M65" s="2"/>
      <c r="N65" s="2">
        <v>45700</v>
      </c>
      <c r="P65" s="2">
        <v>51000</v>
      </c>
      <c r="Q65" s="2"/>
      <c r="R65" s="2">
        <v>45694</v>
      </c>
      <c r="V65">
        <f>_xll.IMDP("IR",$S$53&amp;$AL65,"매도호가")</f>
        <v>3.38</v>
      </c>
      <c r="W65">
        <f>_xll.IMDP("IR",$S$53&amp;$AL65,"매수호가")</f>
        <v>3.18</v>
      </c>
      <c r="X65" s="4">
        <f>_xll.IMDP("IR",$S$53&amp;$AL65,"시간",,"TmFmt=1")</f>
        <v>0.70877314814814818</v>
      </c>
      <c r="Y65" s="2">
        <f>_xll.IMDP("IR",$S$53&amp;$AL65,"일자",,"DtFmt=1")</f>
        <v>45596</v>
      </c>
      <c r="AB65" s="2"/>
      <c r="AL65" t="s">
        <v>3</v>
      </c>
    </row>
    <row r="66" spans="8:38" ht="15" customHeight="1">
      <c r="H66" s="2">
        <v>51004</v>
      </c>
      <c r="I66" s="2"/>
      <c r="J66" s="2">
        <v>45693</v>
      </c>
      <c r="K66" s="2"/>
      <c r="L66" s="2">
        <v>50998</v>
      </c>
      <c r="M66" s="2"/>
      <c r="N66" s="2">
        <v>45701</v>
      </c>
      <c r="P66" s="2">
        <v>50999</v>
      </c>
      <c r="Q66" s="2"/>
      <c r="R66" s="2">
        <v>45695</v>
      </c>
      <c r="S66" s="5" t="s">
        <v>90</v>
      </c>
      <c r="T66" t="str">
        <f>$A$6</f>
        <v>AUD/USD 이론CRS</v>
      </c>
      <c r="V66">
        <f>_xll.IMDP("IR",$S$66&amp;$AL66,"매도호가")</f>
        <v>4.5412999999999997</v>
      </c>
      <c r="W66">
        <f>_xll.IMDP("IR",$S$66&amp;$AL66,"매수호가")</f>
        <v>4.4813000000000001</v>
      </c>
      <c r="X66" s="4">
        <f>_xll.IMDP("IR",$S$66&amp;$AL66,"시간",,"TmFmt=1")</f>
        <v>0.70837962962962964</v>
      </c>
      <c r="Y66" s="2">
        <f>_xll.IMDP("IR",$S$66&amp;$AL66,"일자",,"DtFmt=1")</f>
        <v>45596</v>
      </c>
      <c r="AB66" s="2"/>
      <c r="AL66" t="s">
        <v>16</v>
      </c>
    </row>
    <row r="67" spans="8:38" ht="15" customHeight="1">
      <c r="H67" s="2">
        <v>51001</v>
      </c>
      <c r="I67" s="2"/>
      <c r="J67" s="2">
        <v>45694</v>
      </c>
      <c r="K67" s="2"/>
      <c r="L67" s="2">
        <v>50997</v>
      </c>
      <c r="M67" s="2"/>
      <c r="N67" s="2">
        <v>45702</v>
      </c>
      <c r="P67" s="2">
        <v>50998</v>
      </c>
      <c r="Q67" s="2"/>
      <c r="R67" s="2">
        <v>45698</v>
      </c>
      <c r="T67">
        <v>6</v>
      </c>
      <c r="V67">
        <f>_xll.IMDP("IR",$S$66&amp;$AL67,"매도호가")</f>
        <v>4.3937999999999997</v>
      </c>
      <c r="W67">
        <f>_xll.IMDP("IR",$S$66&amp;$AL67,"매수호가")</f>
        <v>4.3137999999999996</v>
      </c>
      <c r="X67" s="4">
        <f>_xll.IMDP("IR",$S$66&amp;$AL67,"시간",,"TmFmt=1")</f>
        <v>0.70837962962962964</v>
      </c>
      <c r="Y67" s="2">
        <f>_xll.IMDP("IR",$S$66&amp;$AL67,"일자",,"DtFmt=1")</f>
        <v>45596</v>
      </c>
      <c r="AB67" s="2"/>
      <c r="AL67" t="s">
        <v>17</v>
      </c>
    </row>
    <row r="68" spans="8:38" ht="15" customHeight="1">
      <c r="H68" s="2">
        <v>51000</v>
      </c>
      <c r="I68" s="2"/>
      <c r="J68" s="2">
        <v>45695</v>
      </c>
      <c r="K68" s="2"/>
      <c r="L68" s="2">
        <v>50994</v>
      </c>
      <c r="M68" s="2"/>
      <c r="N68" s="2">
        <v>45706</v>
      </c>
      <c r="P68" s="2">
        <v>50994</v>
      </c>
      <c r="Q68" s="2"/>
      <c r="R68" s="2">
        <v>45699</v>
      </c>
      <c r="T68">
        <f>IF(ISNUMBER(_xll.IMDP("FX",INDEX($C$1:$C$9,T67),"매수호가")),_xll.IMDP("FX",INDEX($C$1:$C$9,T67),"매수호가"),_xll.IMDP("FX",INDEX($C$1:$C$9,T67),"매수호가",'cross rate fwd'!$B$4-1,"Fill=true"))</f>
        <v>905.84</v>
      </c>
      <c r="V68">
        <f>_xll.IMDP("IR",$S$66&amp;$AL68,"매도호가")</f>
        <v>4.3525</v>
      </c>
      <c r="W68">
        <f>_xll.IMDP("IR",$S$66&amp;$AL68,"매수호가")</f>
        <v>4.2725</v>
      </c>
      <c r="X68" s="4">
        <f>_xll.IMDP("IR",$S$66&amp;$AL68,"시간",,"TmFmt=1")</f>
        <v>0.70837962962962964</v>
      </c>
      <c r="Y68" s="2">
        <f>_xll.IMDP("IR",$S$66&amp;$AL68,"일자",,"DtFmt=1")</f>
        <v>45596</v>
      </c>
      <c r="AB68" s="2"/>
      <c r="AL68" t="s">
        <v>18</v>
      </c>
    </row>
    <row r="69" spans="8:38" ht="15" customHeight="1">
      <c r="H69" s="2">
        <v>50999</v>
      </c>
      <c r="I69" s="2"/>
      <c r="J69" s="2">
        <v>45698</v>
      </c>
      <c r="K69" s="2"/>
      <c r="L69" s="2">
        <v>50992</v>
      </c>
      <c r="M69" s="2"/>
      <c r="N69" s="2">
        <v>45707</v>
      </c>
      <c r="P69" s="2">
        <v>50993</v>
      </c>
      <c r="Q69" s="2"/>
      <c r="R69" s="2">
        <v>45700</v>
      </c>
      <c r="S69" s="5" t="s">
        <v>91</v>
      </c>
      <c r="T69">
        <f>IF(ISNUMBER(_xll.IMDP("FX",INDEX($C$1:$C$9,T67),"매도호가")),_xll.IMDP("FX",INDEX($C$1:$C$9,T67),"매도호가"),_xll.IMDP("FX",INDEX($C$1:$C$9,T67),"매도호가",'cross rate fwd'!$B$4-1,"Fill=true"))</f>
        <v>906.17</v>
      </c>
      <c r="V69">
        <f>_xll.IMDP("IR",$S$69&amp;$AL69,"매도호가")</f>
        <v>4.3887999999999998</v>
      </c>
      <c r="W69">
        <f>_xll.IMDP("IR",$S$69&amp;$AL69,"매수호가")</f>
        <v>4.3188000000000004</v>
      </c>
      <c r="X69" s="4">
        <f>_xll.IMDP("IR",$S$69&amp;$AL69,"시간",,"TmFmt=1")</f>
        <v>0.70837962962962964</v>
      </c>
      <c r="Y69" s="2">
        <f>_xll.IMDP("IR",$S$69&amp;$AL69,"일자",,"DtFmt=1")</f>
        <v>45596</v>
      </c>
      <c r="AB69" s="2"/>
      <c r="AL69" t="s">
        <v>19</v>
      </c>
    </row>
    <row r="70" spans="8:38" ht="15" customHeight="1">
      <c r="H70" s="2">
        <v>50998</v>
      </c>
      <c r="I70" s="2"/>
      <c r="J70" s="2">
        <v>45699</v>
      </c>
      <c r="K70" s="2"/>
      <c r="L70" s="2">
        <v>50991</v>
      </c>
      <c r="M70" s="2"/>
      <c r="N70" s="2">
        <v>45708</v>
      </c>
      <c r="P70" s="2">
        <v>50992</v>
      </c>
      <c r="Q70" s="2"/>
      <c r="R70" s="2">
        <v>45701</v>
      </c>
      <c r="T70">
        <f>IF(ISNUMBER(_xll.IMDP("FX",INDEX($C$1:$C$9,T67),"매수호가")),_xll.IMDP("FX",INDEX($C$1:$C$9,T67),"시간"),_xll.IMDP("FX",INDEX($C$1:$C$9,T67),"시간",'cross rate fwd'!$B$4-1,"Fill=true"))</f>
        <v>170544</v>
      </c>
      <c r="V70">
        <f>_xll.IMDP("IR",$S$69&amp;$AL70,"매도호가")</f>
        <v>4.4512999999999998</v>
      </c>
      <c r="W70">
        <f>_xll.IMDP("IR",$S$69&amp;$AL70,"매수호가")</f>
        <v>4.3813000000000004</v>
      </c>
      <c r="X70" s="4">
        <f>_xll.IMDP("IR",$S$69&amp;$AL70,"시간",,"TmFmt=1")</f>
        <v>0.70837962962962964</v>
      </c>
      <c r="Y70" s="2">
        <f>_xll.IMDP("IR",$S$69&amp;$AL70,"일자",,"DtFmt=1")</f>
        <v>45596</v>
      </c>
      <c r="AB70" s="2"/>
      <c r="AL70" t="s">
        <v>20</v>
      </c>
    </row>
    <row r="71" spans="8:38" ht="15" customHeight="1">
      <c r="H71" s="2">
        <v>50997</v>
      </c>
      <c r="I71" s="2"/>
      <c r="J71" s="2">
        <v>45700</v>
      </c>
      <c r="K71" s="2"/>
      <c r="L71" s="2">
        <v>50990</v>
      </c>
      <c r="M71" s="2"/>
      <c r="N71" s="2">
        <v>45709</v>
      </c>
      <c r="P71" s="2">
        <v>50991</v>
      </c>
      <c r="Q71" s="2"/>
      <c r="R71" s="2">
        <v>45702</v>
      </c>
      <c r="V71">
        <f>_xll.IMDP("IR",$S$69&amp;$AL71,"매도호가")</f>
        <v>4.5338000000000003</v>
      </c>
      <c r="W71">
        <f>_xll.IMDP("IR",$S$69&amp;$AL71,"매수호가")</f>
        <v>4.4638</v>
      </c>
      <c r="X71" s="4">
        <f>_xll.IMDP("IR",$S$69&amp;$AL71,"시간",,"TmFmt=1")</f>
        <v>0.70837962962962964</v>
      </c>
      <c r="Y71" s="2">
        <f>_xll.IMDP("IR",$S$69&amp;$AL71,"일자",,"DtFmt=1")</f>
        <v>45596</v>
      </c>
      <c r="AB71" s="2"/>
      <c r="AL71" t="s">
        <v>21</v>
      </c>
    </row>
    <row r="72" spans="8:38" ht="15" customHeight="1">
      <c r="H72" s="2">
        <v>50994</v>
      </c>
      <c r="I72" s="2"/>
      <c r="J72" s="2">
        <v>45701</v>
      </c>
      <c r="K72" s="2"/>
      <c r="L72" s="2">
        <v>50987</v>
      </c>
      <c r="M72" s="2"/>
      <c r="N72" s="2">
        <v>45713</v>
      </c>
      <c r="P72" s="2">
        <v>50990</v>
      </c>
      <c r="Q72" s="2"/>
      <c r="R72" s="2">
        <v>45705</v>
      </c>
      <c r="V72">
        <f>_xll.IMDP("IR",$S$69&amp;$AL72,"매도호가")</f>
        <v>4.61625</v>
      </c>
      <c r="W72">
        <f>_xll.IMDP("IR",$S$69&amp;$AL72,"매수호가")</f>
        <v>4.5462499999999997</v>
      </c>
      <c r="X72" s="4">
        <f>_xll.IMDP("IR",$S$69&amp;$AL72,"시간",,"TmFmt=1")</f>
        <v>0.70837962962962964</v>
      </c>
      <c r="Y72" s="2">
        <f>_xll.IMDP("IR",$S$69&amp;$AL72,"일자",,"DtFmt=1")</f>
        <v>45596</v>
      </c>
      <c r="AB72" s="2"/>
      <c r="AL72" t="s">
        <v>22</v>
      </c>
    </row>
    <row r="73" spans="8:38" ht="15" customHeight="1">
      <c r="H73" s="2">
        <v>50993</v>
      </c>
      <c r="I73" s="2"/>
      <c r="J73" s="2">
        <v>45702</v>
      </c>
      <c r="K73" s="2"/>
      <c r="L73" s="2">
        <v>50986</v>
      </c>
      <c r="M73" s="2"/>
      <c r="N73" s="2">
        <v>45714</v>
      </c>
      <c r="P73" s="2">
        <v>50987</v>
      </c>
      <c r="Q73" s="2"/>
      <c r="R73" s="2">
        <v>45706</v>
      </c>
      <c r="V73">
        <f>_xll.IMDP("IR",$S$69&amp;$AL73,"매도호가")</f>
        <v>4.6936999999999998</v>
      </c>
      <c r="W73">
        <f>_xll.IMDP("IR",$S$69&amp;$AL73,"매수호가")</f>
        <v>4.6237000000000004</v>
      </c>
      <c r="X73" s="4">
        <f>_xll.IMDP("IR",$S$69&amp;$AL73,"시간",,"TmFmt=1")</f>
        <v>0.70837962962962964</v>
      </c>
      <c r="Y73" s="2">
        <f>_xll.IMDP("IR",$S$69&amp;$AL73,"일자",,"DtFmt=1")</f>
        <v>45596</v>
      </c>
      <c r="AB73" s="2"/>
      <c r="AL73" t="s">
        <v>23</v>
      </c>
    </row>
    <row r="74" spans="8:38" ht="15" customHeight="1">
      <c r="H74" s="2">
        <v>50992</v>
      </c>
      <c r="I74" s="2"/>
      <c r="J74" s="2">
        <v>45706</v>
      </c>
      <c r="K74" s="2"/>
      <c r="L74" s="2">
        <v>50985</v>
      </c>
      <c r="M74" s="2"/>
      <c r="N74" s="2">
        <v>45715</v>
      </c>
      <c r="P74" s="2">
        <v>50986</v>
      </c>
      <c r="Q74" s="2"/>
      <c r="R74" s="2">
        <v>45707</v>
      </c>
      <c r="V74">
        <f>_xll.IMDP("IR",$S$69&amp;$AL74,"매도호가")</f>
        <v>4.7600499999999997</v>
      </c>
      <c r="W74">
        <f>_xll.IMDP("IR",$S$69&amp;$AL74,"매수호가")</f>
        <v>4.6900500000000003</v>
      </c>
      <c r="X74" s="4">
        <f>_xll.IMDP("IR",$S$69&amp;$AL74,"시간",,"TmFmt=1")</f>
        <v>0.70837962962962964</v>
      </c>
      <c r="Y74" s="2">
        <f>_xll.IMDP("IR",$S$69&amp;$AL74,"일자",,"DtFmt=1")</f>
        <v>45596</v>
      </c>
      <c r="AB74" s="2"/>
      <c r="AL74" t="s">
        <v>24</v>
      </c>
    </row>
    <row r="75" spans="8:38" ht="15" customHeight="1">
      <c r="H75" s="2">
        <v>50991</v>
      </c>
      <c r="I75" s="2"/>
      <c r="J75" s="2">
        <v>45707</v>
      </c>
      <c r="K75" s="2"/>
      <c r="L75" s="2">
        <v>50984</v>
      </c>
      <c r="M75" s="2"/>
      <c r="N75" s="2">
        <v>45716</v>
      </c>
      <c r="P75" s="2">
        <v>50985</v>
      </c>
      <c r="Q75" s="2"/>
      <c r="R75" s="2">
        <v>45708</v>
      </c>
      <c r="U75">
        <f ca="1">IF('cross rate fwd'!$D$7=$T$67,'cross rate fwd'!AG18,'cross rate fwd'!AG37)</f>
        <v>3653</v>
      </c>
      <c r="V75">
        <f>_xll.IMDP("IR",$S$69&amp;$AL75,"매도호가")</f>
        <v>4.8163</v>
      </c>
      <c r="W75">
        <f>_xll.IMDP("IR",$S$69&amp;$AL75,"매수호가")</f>
        <v>4.7462999999999997</v>
      </c>
      <c r="X75" s="4">
        <f>_xll.IMDP("IR",$S$69&amp;$AL75,"시간",,"TmFmt=1")</f>
        <v>0.70837962962962964</v>
      </c>
      <c r="Y75" s="2">
        <f>_xll.IMDP("IR",$S$69&amp;$AL75,"일자",,"DtFmt=1")</f>
        <v>45596</v>
      </c>
      <c r="Z75">
        <f>V75</f>
        <v>4.8163</v>
      </c>
      <c r="AA75">
        <f>W75</f>
        <v>4.7462999999999997</v>
      </c>
      <c r="AB75" s="2"/>
      <c r="AL75" t="s">
        <v>25</v>
      </c>
    </row>
    <row r="76" spans="8:38" ht="15" customHeight="1">
      <c r="H76" s="2">
        <v>50990</v>
      </c>
      <c r="I76" s="2"/>
      <c r="J76" s="2">
        <v>45708</v>
      </c>
      <c r="K76" s="2"/>
      <c r="L76" s="2">
        <v>50983</v>
      </c>
      <c r="M76" s="2"/>
      <c r="N76" s="2">
        <v>45719</v>
      </c>
      <c r="P76" s="2">
        <v>50984</v>
      </c>
      <c r="Q76" s="2"/>
      <c r="R76" s="2">
        <v>45709</v>
      </c>
      <c r="U76">
        <f ca="1">IF('cross rate fwd'!$D$7=$T$67,'cross rate fwd'!AG19,'cross rate fwd'!AG38)</f>
        <v>4017</v>
      </c>
      <c r="V76">
        <f ca="1">FORECAST($U76,Z75:Z77,$U75:$U77)</f>
        <v>4.8617750684931513</v>
      </c>
      <c r="W76">
        <f ca="1">FORECAST($U76,AA75:AA77,$U75:$U77)</f>
        <v>4.791775068493151</v>
      </c>
      <c r="X76" s="4" t="s">
        <v>62</v>
      </c>
      <c r="Y76" s="2" t="s">
        <v>62</v>
      </c>
      <c r="AB76" s="2"/>
      <c r="AL76" t="s">
        <v>26</v>
      </c>
    </row>
    <row r="77" spans="8:38" ht="15" customHeight="1">
      <c r="H77" s="2">
        <v>50987</v>
      </c>
      <c r="I77" s="2"/>
      <c r="J77" s="2">
        <v>45709</v>
      </c>
      <c r="K77" s="2"/>
      <c r="L77" s="2">
        <v>50980</v>
      </c>
      <c r="M77" s="2"/>
      <c r="N77" s="2">
        <v>45720</v>
      </c>
      <c r="P77" s="2">
        <v>50983</v>
      </c>
      <c r="Q77" s="2"/>
      <c r="R77" s="2">
        <v>45712</v>
      </c>
      <c r="U77">
        <f ca="1">IF('cross rate fwd'!$D$7=$T$67,'cross rate fwd'!AG20,'cross rate fwd'!AG39)</f>
        <v>4383</v>
      </c>
      <c r="V77">
        <f>_xll.IMDP("IR",$S$69&amp;$AL77,"매도호가")</f>
        <v>4.9074999999999998</v>
      </c>
      <c r="W77">
        <f>_xll.IMDP("IR",$S$69&amp;$AL77,"매수호가")</f>
        <v>4.8375000000000004</v>
      </c>
      <c r="X77" s="4">
        <f>_xll.IMDP("IR",$S$69&amp;$AL77,"시간",,"TmFmt=1")</f>
        <v>0.70837962962962964</v>
      </c>
      <c r="Y77" s="2">
        <f>_xll.IMDP("IR",$S$69&amp;$AL77,"일자",,"DtFmt=1")</f>
        <v>45596</v>
      </c>
      <c r="Z77">
        <f>V77</f>
        <v>4.9074999999999998</v>
      </c>
      <c r="AA77">
        <f>W77</f>
        <v>4.8375000000000004</v>
      </c>
      <c r="AB77" s="2"/>
      <c r="AL77" t="s">
        <v>27</v>
      </c>
    </row>
    <row r="78" spans="8:38" ht="15" customHeight="1">
      <c r="H78" s="2">
        <v>50986</v>
      </c>
      <c r="I78" s="2"/>
      <c r="J78" s="2">
        <v>45712</v>
      </c>
      <c r="K78" s="2"/>
      <c r="L78" s="2">
        <v>50979</v>
      </c>
      <c r="M78" s="2"/>
      <c r="N78" s="2">
        <v>45721</v>
      </c>
      <c r="P78" s="2">
        <v>50980</v>
      </c>
      <c r="Q78" s="2"/>
      <c r="R78" s="2">
        <v>45713</v>
      </c>
      <c r="V78">
        <f>_xll.IMDP("IR",$S$69&amp;$AL78,"매도호가")</f>
        <v>4.9813000000000001</v>
      </c>
      <c r="W78">
        <f>_xll.IMDP("IR",$S$69&amp;$AL78,"매수호가")</f>
        <v>4.9112999999999998</v>
      </c>
      <c r="X78" s="4">
        <f>_xll.IMDP("IR",$S$69&amp;$AL78,"시간",,"TmFmt=1")</f>
        <v>0.70853009259259259</v>
      </c>
      <c r="Y78" s="2">
        <f>_xll.IMDP("IR",$S$69&amp;$AL78,"일자",,"DtFmt=1")</f>
        <v>45596</v>
      </c>
      <c r="AB78" s="2"/>
      <c r="AL78" t="s">
        <v>3</v>
      </c>
    </row>
    <row r="79" spans="8:38" ht="15" customHeight="1">
      <c r="H79" s="2">
        <v>50985</v>
      </c>
      <c r="I79" s="2"/>
      <c r="J79" s="2">
        <v>45713</v>
      </c>
      <c r="K79" s="2"/>
      <c r="L79" s="2">
        <v>50978</v>
      </c>
      <c r="M79" s="2"/>
      <c r="N79" s="2">
        <v>45722</v>
      </c>
      <c r="P79" s="2">
        <v>50979</v>
      </c>
      <c r="Q79" s="2"/>
      <c r="R79" s="2">
        <v>45714</v>
      </c>
      <c r="S79" s="5" t="s">
        <v>93</v>
      </c>
      <c r="T79" t="str">
        <f>$A$7</f>
        <v>DKK/USD 이론CRS</v>
      </c>
      <c r="V79">
        <f>_xll.IMDP("IR",$S$79&amp;$AL79,"매도호가")</f>
        <v>3.6434000000000002</v>
      </c>
      <c r="W79">
        <f>_xll.IMDP("IR",$S$79&amp;$AL79,"매수호가")</f>
        <v>3.5733999999999999</v>
      </c>
      <c r="X79" s="4">
        <f>_xll.IMDP("IR",$S$79&amp;$AL79,"시간",,"TmFmt=1")</f>
        <v>0.66945601851851855</v>
      </c>
      <c r="Y79" s="2">
        <f>_xll.IMDP("IR",$S$79&amp;$AL79,"일자",,"DtFmt=1")</f>
        <v>45189</v>
      </c>
      <c r="AB79" s="2"/>
      <c r="AL79" t="s">
        <v>16</v>
      </c>
    </row>
    <row r="80" spans="8:38" ht="15" customHeight="1">
      <c r="H80" s="2">
        <v>50984</v>
      </c>
      <c r="I80" s="2"/>
      <c r="J80" s="2">
        <v>45714</v>
      </c>
      <c r="K80" s="2"/>
      <c r="L80" s="2">
        <v>50977</v>
      </c>
      <c r="M80" s="2"/>
      <c r="N80" s="2">
        <v>45723</v>
      </c>
      <c r="P80" s="2">
        <v>50978</v>
      </c>
      <c r="Q80" s="2"/>
      <c r="R80" s="2">
        <v>45715</v>
      </c>
      <c r="S80" s="5" t="s">
        <v>94</v>
      </c>
      <c r="T80">
        <v>7</v>
      </c>
      <c r="V80">
        <f>_xll.IMDP("IR",$S$80&amp;$AL80,"매도호가")</f>
        <v>3.45825</v>
      </c>
      <c r="W80">
        <f>_xll.IMDP("IR",$S$80&amp;$AL80,"매수호가")</f>
        <v>3.4082499999999998</v>
      </c>
      <c r="X80" s="4">
        <f>_xll.IMDP("IR",$S$80&amp;$AL80,"시간",,"TmFmt=1")</f>
        <v>0.66945601851851855</v>
      </c>
      <c r="Y80" s="2">
        <f>_xll.IMDP("IR",$S$80&amp;$AL80,"일자",,"DtFmt=1")</f>
        <v>45189</v>
      </c>
      <c r="AB80" s="2"/>
      <c r="AL80" t="s">
        <v>17</v>
      </c>
    </row>
    <row r="81" spans="8:38" ht="15" customHeight="1">
      <c r="H81" s="2">
        <v>50983</v>
      </c>
      <c r="I81" s="2"/>
      <c r="J81" s="2">
        <v>45715</v>
      </c>
      <c r="K81" s="2"/>
      <c r="L81" s="2">
        <v>50976</v>
      </c>
      <c r="M81" s="2"/>
      <c r="N81" s="2">
        <v>45726</v>
      </c>
      <c r="P81" s="2">
        <v>50977</v>
      </c>
      <c r="Q81" s="2"/>
      <c r="R81" s="2">
        <v>45716</v>
      </c>
      <c r="T81">
        <f>IF(ISNUMBER(_xll.IMDP("FX",INDEX($C$1:$C$9,T80),"매수호가")),_xll.IMDP("FX",INDEX($C$1:$C$9,T80),"매수호가"),_xll.IMDP("FX",INDEX($C$1:$C$9,T80),"매수호가",'cross rate fwd'!$B$4-1,"Fill=true"))</f>
        <v>200.54</v>
      </c>
      <c r="V81">
        <f>_xll.IMDP("IR",$S$80&amp;$AL81,"매도호가")</f>
        <v>3.2505000000000002</v>
      </c>
      <c r="W81">
        <f>_xll.IMDP("IR",$S$80&amp;$AL81,"매수호가")</f>
        <v>3.2004999999999999</v>
      </c>
      <c r="X81" s="4">
        <f>_xll.IMDP("IR",$S$80&amp;$AL81,"시간",,"TmFmt=1")</f>
        <v>0.66945601851851855</v>
      </c>
      <c r="Y81" s="2">
        <f>_xll.IMDP("IR",$S$80&amp;$AL81,"일자",,"DtFmt=1")</f>
        <v>45189</v>
      </c>
      <c r="AB81" s="2"/>
      <c r="AL81" t="s">
        <v>18</v>
      </c>
    </row>
    <row r="82" spans="8:38" ht="15" customHeight="1">
      <c r="H82" s="2">
        <v>50980</v>
      </c>
      <c r="I82" s="2"/>
      <c r="J82" s="2">
        <v>45716</v>
      </c>
      <c r="K82" s="2"/>
      <c r="L82" s="2">
        <v>50973</v>
      </c>
      <c r="M82" s="2"/>
      <c r="N82" s="2">
        <v>45727</v>
      </c>
      <c r="P82" s="2">
        <v>50976</v>
      </c>
      <c r="Q82" s="2"/>
      <c r="R82" s="2">
        <v>45720</v>
      </c>
      <c r="T82">
        <f>IF(ISNUMBER(_xll.IMDP("FX",INDEX($C$1:$C$9,T80),"매도호가")),_xll.IMDP("FX",INDEX($C$1:$C$9,T80),"매도호가"),_xll.IMDP("FX",INDEX($C$1:$C$9,T80),"매도호가",'cross rate fwd'!$B$4-1,"Fill=true"))</f>
        <v>200.58</v>
      </c>
      <c r="V82">
        <f>_xll.IMDP("IR",$S$80&amp;$AL82,"매도호가")</f>
        <v>3.1339999999999999</v>
      </c>
      <c r="W82">
        <f>_xll.IMDP("IR",$S$80&amp;$AL82,"매수호가")</f>
        <v>3.0840000000000001</v>
      </c>
      <c r="X82" s="4">
        <f>_xll.IMDP("IR",$S$80&amp;$AL82,"시간",,"TmFmt=1")</f>
        <v>0.66945601851851855</v>
      </c>
      <c r="Y82" s="2">
        <f>_xll.IMDP("IR",$S$80&amp;$AL82,"일자",,"DtFmt=1")</f>
        <v>45189</v>
      </c>
      <c r="AB82" s="2"/>
      <c r="AL82" t="s">
        <v>19</v>
      </c>
    </row>
    <row r="83" spans="8:38" ht="15" customHeight="1">
      <c r="H83" s="2">
        <v>50979</v>
      </c>
      <c r="I83" s="2"/>
      <c r="J83" s="2">
        <v>45719</v>
      </c>
      <c r="K83" s="2"/>
      <c r="L83" s="2">
        <v>50972</v>
      </c>
      <c r="M83" s="2"/>
      <c r="N83" s="2">
        <v>45728</v>
      </c>
      <c r="P83" s="2">
        <v>50973</v>
      </c>
      <c r="Q83" s="2"/>
      <c r="R83" s="2">
        <v>45721</v>
      </c>
      <c r="T83">
        <f>IF(ISNUMBER(_xll.IMDP("FX",INDEX($C$1:$C$9,T80),"매수호가")),_xll.IMDP("FX",INDEX($C$1:$C$9,T80),"시간"),_xll.IMDP("FX",INDEX($C$1:$C$9,T80),"시간",'cross rate fwd'!$B$4-1,"Fill=true"))</f>
        <v>170545</v>
      </c>
      <c r="V83">
        <f>_xll.IMDP("IR",$S$80&amp;$AL83,"매도호가")</f>
        <v>3.0724999999999998</v>
      </c>
      <c r="W83">
        <f>_xll.IMDP("IR",$S$80&amp;$AL83,"매수호가")</f>
        <v>3.0225</v>
      </c>
      <c r="X83" s="4">
        <f>_xll.IMDP("IR",$S$80&amp;$AL83,"시간",,"TmFmt=1")</f>
        <v>0.66945601851851855</v>
      </c>
      <c r="Y83" s="2">
        <f>_xll.IMDP("IR",$S$80&amp;$AL83,"일자",,"DtFmt=1")</f>
        <v>45189</v>
      </c>
      <c r="AB83" s="2"/>
      <c r="AL83" t="s">
        <v>20</v>
      </c>
    </row>
    <row r="84" spans="8:38" ht="15" customHeight="1">
      <c r="H84" s="2">
        <v>50978</v>
      </c>
      <c r="I84" s="2"/>
      <c r="J84" s="2">
        <v>45720</v>
      </c>
      <c r="K84" s="2"/>
      <c r="L84" s="2">
        <v>50971</v>
      </c>
      <c r="M84" s="2"/>
      <c r="N84" s="2">
        <v>45729</v>
      </c>
      <c r="P84" s="2">
        <v>50972</v>
      </c>
      <c r="Q84" s="2"/>
      <c r="R84" s="2">
        <v>45722</v>
      </c>
      <c r="V84">
        <f>_xll.IMDP("IR",$S$80&amp;$AL84,"매도호가")</f>
        <v>3.0387499999999998</v>
      </c>
      <c r="W84">
        <f>_xll.IMDP("IR",$S$80&amp;$AL84,"매수호가")</f>
        <v>2.98875</v>
      </c>
      <c r="X84" s="4">
        <f>_xll.IMDP("IR",$S$80&amp;$AL84,"시간",,"TmFmt=1")</f>
        <v>0.66945601851851855</v>
      </c>
      <c r="Y84" s="2">
        <f>_xll.IMDP("IR",$S$80&amp;$AL84,"일자",,"DtFmt=1")</f>
        <v>45189</v>
      </c>
      <c r="AB84" s="2"/>
      <c r="AL84" t="s">
        <v>21</v>
      </c>
    </row>
    <row r="85" spans="8:38" ht="15" customHeight="1">
      <c r="H85" s="2">
        <v>50977</v>
      </c>
      <c r="I85" s="2"/>
      <c r="J85" s="2">
        <v>45721</v>
      </c>
      <c r="K85" s="2"/>
      <c r="L85" s="2">
        <v>50970</v>
      </c>
      <c r="M85" s="2"/>
      <c r="N85" s="2">
        <v>45730</v>
      </c>
      <c r="P85" s="2">
        <v>50971</v>
      </c>
      <c r="Q85" s="2"/>
      <c r="R85" s="2">
        <v>45723</v>
      </c>
      <c r="V85">
        <f>_xll.IMDP("IR",$S$80&amp;$AL85,"매도호가")</f>
        <v>3.0252500000000002</v>
      </c>
      <c r="W85">
        <f>_xll.IMDP("IR",$S$80&amp;$AL85,"매수호가")</f>
        <v>2.97525</v>
      </c>
      <c r="X85" s="4">
        <f>_xll.IMDP("IR",$S$80&amp;$AL85,"시간",,"TmFmt=1")</f>
        <v>0.66945601851851855</v>
      </c>
      <c r="Y85" s="2">
        <f>_xll.IMDP("IR",$S$80&amp;$AL85,"일자",,"DtFmt=1")</f>
        <v>45189</v>
      </c>
      <c r="AB85" s="2"/>
      <c r="AL85" t="s">
        <v>22</v>
      </c>
    </row>
    <row r="86" spans="8:38" ht="15" customHeight="1">
      <c r="H86" s="2">
        <v>50976</v>
      </c>
      <c r="I86" s="2"/>
      <c r="J86" s="2">
        <v>45722</v>
      </c>
      <c r="K86" s="2"/>
      <c r="L86" s="2">
        <v>50966</v>
      </c>
      <c r="M86" s="2"/>
      <c r="N86" s="2">
        <v>45733</v>
      </c>
      <c r="P86" s="2">
        <v>50970</v>
      </c>
      <c r="Q86" s="2"/>
      <c r="R86" s="2">
        <v>45726</v>
      </c>
      <c r="V86">
        <f>_xll.IMDP("IR",$S$80&amp;$AL86,"매도호가")</f>
        <v>3.02</v>
      </c>
      <c r="W86">
        <f>_xll.IMDP("IR",$S$80&amp;$AL86,"매수호가")</f>
        <v>2.97</v>
      </c>
      <c r="X86" s="4">
        <f>_xll.IMDP("IR",$S$80&amp;$AL86,"시간",,"TmFmt=1")</f>
        <v>0.66945601851851855</v>
      </c>
      <c r="Y86" s="2">
        <f>_xll.IMDP("IR",$S$80&amp;$AL86,"일자",,"DtFmt=1")</f>
        <v>45189</v>
      </c>
      <c r="AB86" s="2"/>
      <c r="AL86" t="s">
        <v>23</v>
      </c>
    </row>
    <row r="87" spans="8:38" ht="15" customHeight="1">
      <c r="H87" s="2">
        <v>50973</v>
      </c>
      <c r="I87" s="2"/>
      <c r="J87" s="2">
        <v>45723</v>
      </c>
      <c r="K87" s="2"/>
      <c r="L87" s="2">
        <v>50965</v>
      </c>
      <c r="M87" s="2"/>
      <c r="N87" s="2">
        <v>45734</v>
      </c>
      <c r="P87" s="2">
        <v>50969</v>
      </c>
      <c r="Q87" s="2"/>
      <c r="R87" s="2">
        <v>45727</v>
      </c>
      <c r="V87">
        <f>_xll.IMDP("IR",$S$80&amp;$AL87,"매도호가")</f>
        <v>3.03775</v>
      </c>
      <c r="W87">
        <f>_xll.IMDP("IR",$S$80&amp;$AL87,"매수호가")</f>
        <v>2.9877500000000001</v>
      </c>
      <c r="X87" s="4">
        <f>_xll.IMDP("IR",$S$80&amp;$AL87,"시간",,"TmFmt=1")</f>
        <v>0.66945601851851855</v>
      </c>
      <c r="Y87" s="2">
        <f>_xll.IMDP("IR",$S$80&amp;$AL87,"일자",,"DtFmt=1")</f>
        <v>45189</v>
      </c>
      <c r="AB87" s="2"/>
      <c r="AL87" t="s">
        <v>24</v>
      </c>
    </row>
    <row r="88" spans="8:38" ht="15" customHeight="1">
      <c r="H88" s="2">
        <v>50972</v>
      </c>
      <c r="I88" s="2"/>
      <c r="J88" s="2">
        <v>45726</v>
      </c>
      <c r="K88" s="2"/>
      <c r="L88" s="2">
        <v>50964</v>
      </c>
      <c r="M88" s="2"/>
      <c r="N88" s="2">
        <v>45735</v>
      </c>
      <c r="P88" s="2">
        <v>50966</v>
      </c>
      <c r="Q88" s="2"/>
      <c r="R88" s="2">
        <v>45728</v>
      </c>
      <c r="U88">
        <f ca="1">IF('cross rate fwd'!$D$7=$T$80,'cross rate fwd'!AG18,'cross rate fwd'!AG37)</f>
        <v>3653</v>
      </c>
      <c r="V88">
        <f>_xll.IMDP("IR",$S$80&amp;$AL88,"매도호가")</f>
        <v>3.0707499999999999</v>
      </c>
      <c r="W88">
        <f>_xll.IMDP("IR",$S$80&amp;$AL88,"매수호가")</f>
        <v>3.02075</v>
      </c>
      <c r="X88" s="4">
        <f>_xll.IMDP("IR",$S$80&amp;$AL88,"시간",,"TmFmt=1")</f>
        <v>0.66945601851851855</v>
      </c>
      <c r="Y88" s="2">
        <f>_xll.IMDP("IR",$S$80&amp;$AL88,"일자",,"DtFmt=1")</f>
        <v>45189</v>
      </c>
      <c r="Z88">
        <f>V88</f>
        <v>3.0707499999999999</v>
      </c>
      <c r="AA88">
        <f>W88</f>
        <v>3.02075</v>
      </c>
      <c r="AB88" s="2"/>
      <c r="AL88" t="s">
        <v>25</v>
      </c>
    </row>
    <row r="89" spans="8:38" ht="15" customHeight="1">
      <c r="H89" s="2">
        <v>50971</v>
      </c>
      <c r="I89" s="2"/>
      <c r="J89" s="2">
        <v>45727</v>
      </c>
      <c r="K89" s="2"/>
      <c r="L89" s="2">
        <v>50963</v>
      </c>
      <c r="M89" s="2"/>
      <c r="N89" s="2">
        <v>45737</v>
      </c>
      <c r="P89" s="2">
        <v>50965</v>
      </c>
      <c r="Q89" s="2"/>
      <c r="R89" s="2">
        <v>45729</v>
      </c>
      <c r="U89">
        <f ca="1">IF('cross rate fwd'!$D$7=$T$80,'cross rate fwd'!AG19,'cross rate fwd'!AG38)</f>
        <v>4017</v>
      </c>
      <c r="V89">
        <f ca="1">FORECAST($U89,Z88:Z90,$U88:$U90)</f>
        <v>3.0990472602739727</v>
      </c>
      <c r="W89">
        <f ca="1">FORECAST($U89,AA88:AA90,$U88:$U90)</f>
        <v>3.0490472602739729</v>
      </c>
      <c r="X89" s="4" t="s">
        <v>62</v>
      </c>
      <c r="Y89" s="2" t="s">
        <v>62</v>
      </c>
      <c r="AB89" s="2"/>
      <c r="AL89" t="s">
        <v>26</v>
      </c>
    </row>
    <row r="90" spans="8:38" ht="15" customHeight="1">
      <c r="H90" s="2">
        <v>50970</v>
      </c>
      <c r="I90" s="2"/>
      <c r="J90" s="2">
        <v>45728</v>
      </c>
      <c r="K90" s="2"/>
      <c r="L90" s="2">
        <v>50962</v>
      </c>
      <c r="M90" s="2"/>
      <c r="N90" s="2">
        <v>45740</v>
      </c>
      <c r="P90" s="2">
        <v>50964</v>
      </c>
      <c r="Q90" s="2"/>
      <c r="R90" s="2">
        <v>45730</v>
      </c>
      <c r="U90">
        <f ca="1">IF('cross rate fwd'!$D$7=$T$80,'cross rate fwd'!AG20,'cross rate fwd'!AG39)</f>
        <v>4383</v>
      </c>
      <c r="V90">
        <f>_xll.IMDP("IR",$S$80&amp;$AL90,"매도호가")</f>
        <v>3.1274999999999999</v>
      </c>
      <c r="W90">
        <f>_xll.IMDP("IR",$S$80&amp;$AL90,"매수호가")</f>
        <v>3.0775000000000001</v>
      </c>
      <c r="X90" s="4">
        <f>_xll.IMDP("IR",$S$80&amp;$AL90,"시간",,"TmFmt=1")</f>
        <v>0.66945601851851855</v>
      </c>
      <c r="Y90" s="2">
        <f>_xll.IMDP("IR",$S$80&amp;$AL90,"일자",,"DtFmt=1")</f>
        <v>45189</v>
      </c>
      <c r="Z90">
        <f>V90</f>
        <v>3.1274999999999999</v>
      </c>
      <c r="AA90">
        <f>W90</f>
        <v>3.0775000000000001</v>
      </c>
      <c r="AB90" s="2"/>
      <c r="AL90" t="s">
        <v>27</v>
      </c>
    </row>
    <row r="91" spans="8:38" ht="15" customHeight="1">
      <c r="H91" s="2">
        <v>50969</v>
      </c>
      <c r="I91" s="2"/>
      <c r="J91" s="2">
        <v>45729</v>
      </c>
      <c r="K91" s="2"/>
      <c r="L91" s="2">
        <v>50959</v>
      </c>
      <c r="M91" s="2"/>
      <c r="N91" s="2">
        <v>45741</v>
      </c>
      <c r="P91" s="2">
        <v>50963</v>
      </c>
      <c r="Q91" s="2"/>
      <c r="R91" s="2">
        <v>45733</v>
      </c>
      <c r="V91">
        <f>_xll.IMDP("IR",$S$80&amp;$AL91,"매도호가")</f>
        <v>3.1832500000000001</v>
      </c>
      <c r="W91">
        <f>_xll.IMDP("IR",$S$80&amp;$AL91,"매수호가")</f>
        <v>3.1332499999999999</v>
      </c>
      <c r="X91" s="4">
        <f>_xll.IMDP("IR",$S$80&amp;$AL91,"시간",,"TmFmt=1")</f>
        <v>0.66945601851851855</v>
      </c>
      <c r="Y91" s="2">
        <f>_xll.IMDP("IR",$S$80&amp;$AL91,"일자",,"DtFmt=1")</f>
        <v>45189</v>
      </c>
      <c r="AB91" s="2"/>
      <c r="AL91" t="s">
        <v>3</v>
      </c>
    </row>
    <row r="92" spans="8:38" ht="15" customHeight="1">
      <c r="H92" s="2">
        <v>50966</v>
      </c>
      <c r="I92" s="2"/>
      <c r="J92" s="2">
        <v>45730</v>
      </c>
      <c r="K92" s="2"/>
      <c r="L92" s="2">
        <v>50958</v>
      </c>
      <c r="M92" s="2"/>
      <c r="N92" s="2">
        <v>45742</v>
      </c>
      <c r="P92" s="2">
        <v>50962</v>
      </c>
      <c r="Q92" s="2"/>
      <c r="R92" s="2">
        <v>45734</v>
      </c>
      <c r="S92" s="5" t="s">
        <v>81</v>
      </c>
      <c r="T92" t="str">
        <f>$A$8</f>
        <v>SGD/USD CRS</v>
      </c>
      <c r="V92">
        <f>_xll.IMDP("IR",$S$92&amp;$AL92,"매도호가")</f>
        <v>3.0390000000000001</v>
      </c>
      <c r="W92">
        <f>_xll.IMDP("IR",$S$92&amp;$AL92,"매수호가")</f>
        <v>2.879</v>
      </c>
      <c r="X92" s="4">
        <f>_xll.IMDP("IR",$S$92&amp;$AL92,"시간",,"TmFmt=1")</f>
        <v>0.65820601851851857</v>
      </c>
      <c r="Y92" s="2">
        <f>_xll.IMDP("IR",$S$92&amp;$AL92,"일자",,"DtFmt=1")</f>
        <v>45596</v>
      </c>
      <c r="AB92" s="2"/>
      <c r="AL92" t="s">
        <v>16</v>
      </c>
    </row>
    <row r="93" spans="8:38" ht="15" customHeight="1">
      <c r="H93" s="2">
        <v>50965</v>
      </c>
      <c r="I93" s="2"/>
      <c r="J93" s="2">
        <v>45733</v>
      </c>
      <c r="K93" s="2"/>
      <c r="L93" s="2">
        <v>50957</v>
      </c>
      <c r="M93" s="2"/>
      <c r="N93" s="2">
        <v>45743</v>
      </c>
      <c r="P93" s="2">
        <v>50959</v>
      </c>
      <c r="Q93" s="2"/>
      <c r="R93" s="2">
        <v>45735</v>
      </c>
      <c r="T93">
        <v>8</v>
      </c>
      <c r="V93">
        <f>_xll.IMDP("IR",$S$92&amp;$AL93,"매도호가")</f>
        <v>2.8889999999999998</v>
      </c>
      <c r="W93">
        <f>_xll.IMDP("IR",$S$92&amp;$AL93,"매수호가")</f>
        <v>2.62</v>
      </c>
      <c r="X93" s="4">
        <f>_xll.IMDP("IR",$S$92&amp;$AL93,"시간",,"TmFmt=1")</f>
        <v>0.6582175925925926</v>
      </c>
      <c r="Y93" s="2">
        <f>_xll.IMDP("IR",$S$92&amp;$AL93,"일자",,"DtFmt=1")</f>
        <v>45596</v>
      </c>
      <c r="AB93" s="2"/>
      <c r="AL93" t="s">
        <v>17</v>
      </c>
    </row>
    <row r="94" spans="8:38" ht="15" customHeight="1">
      <c r="H94" s="2">
        <v>50964</v>
      </c>
      <c r="I94" s="2"/>
      <c r="J94" s="2">
        <v>45734</v>
      </c>
      <c r="K94" s="2"/>
      <c r="L94" s="2">
        <v>50956</v>
      </c>
      <c r="M94" s="2"/>
      <c r="N94" s="2">
        <v>45744</v>
      </c>
      <c r="P94" s="2">
        <v>50958</v>
      </c>
      <c r="Q94" s="2"/>
      <c r="R94" s="2">
        <v>45736</v>
      </c>
      <c r="T94">
        <f>IF(ISNUMBER(_xll.IMDP("FX",INDEX($C$1:$C$9,T93),"매수호가")),_xll.IMDP("FX",INDEX($C$1:$C$9,T93),"매수호가"),_xll.IMDP("FX",INDEX($C$1:$C$9,T93),"매수호가",'cross rate fwd'!$B$4-1,"Fill=true"))</f>
        <v>1042.6600000000001</v>
      </c>
      <c r="V94">
        <f>_xll.IMDP("IR",$S$92&amp;$AL94,"매도호가")</f>
        <v>2.7650000000000001</v>
      </c>
      <c r="W94">
        <f>_xll.IMDP("IR",$S$92&amp;$AL94,"매수호가")</f>
        <v>2.605</v>
      </c>
      <c r="X94" s="4">
        <f>_xll.IMDP("IR",$S$92&amp;$AL94,"시간",,"TmFmt=1")</f>
        <v>0.65822916666666664</v>
      </c>
      <c r="Y94" s="2">
        <f>_xll.IMDP("IR",$S$92&amp;$AL94,"일자",,"DtFmt=1")</f>
        <v>45596</v>
      </c>
      <c r="AB94" s="2"/>
      <c r="AL94" t="s">
        <v>18</v>
      </c>
    </row>
    <row r="95" spans="8:38" ht="15" customHeight="1">
      <c r="H95" s="2">
        <v>50963</v>
      </c>
      <c r="I95" s="2"/>
      <c r="J95" s="2">
        <v>45735</v>
      </c>
      <c r="K95" s="2"/>
      <c r="L95" s="2">
        <v>50952</v>
      </c>
      <c r="M95" s="2"/>
      <c r="N95" s="2">
        <v>45747</v>
      </c>
      <c r="P95" s="2">
        <v>50957</v>
      </c>
      <c r="Q95" s="2"/>
      <c r="R95" s="2">
        <v>45737</v>
      </c>
      <c r="T95">
        <f>IF(ISNUMBER(_xll.IMDP("FX",INDEX($C$1:$C$9,T93),"매도호가")),_xll.IMDP("FX",INDEX($C$1:$C$9,T93),"매도호가"),_xll.IMDP("FX",INDEX($C$1:$C$9,T93),"매도호가",'cross rate fwd'!$B$4-1,"Fill=true"))</f>
        <v>1043.5999999999999</v>
      </c>
      <c r="V95">
        <f>_xll.IMDP("IR",$S$92&amp;$AL95,"매도호가")</f>
        <v>2.7229999999999999</v>
      </c>
      <c r="W95">
        <f>_xll.IMDP("IR",$S$92&amp;$AL95,"매수호가")</f>
        <v>2.5830000000000002</v>
      </c>
      <c r="X95" s="4">
        <f>_xll.IMDP("IR",$S$92&amp;$AL95,"시간",,"TmFmt=1")</f>
        <v>0.65824074074074079</v>
      </c>
      <c r="Y95" s="2">
        <f>_xll.IMDP("IR",$S$92&amp;$AL95,"일자",,"DtFmt=1")</f>
        <v>45596</v>
      </c>
      <c r="AB95" s="2"/>
      <c r="AL95" t="s">
        <v>19</v>
      </c>
    </row>
    <row r="96" spans="8:38" ht="15" customHeight="1">
      <c r="H96" s="2">
        <v>50962</v>
      </c>
      <c r="I96" s="2"/>
      <c r="J96" s="2">
        <v>45736</v>
      </c>
      <c r="K96" s="2"/>
      <c r="L96" s="2">
        <v>50951</v>
      </c>
      <c r="M96" s="2"/>
      <c r="N96" s="2">
        <v>45748</v>
      </c>
      <c r="P96" s="2">
        <v>50956</v>
      </c>
      <c r="Q96" s="2"/>
      <c r="R96" s="2">
        <v>45740</v>
      </c>
      <c r="T96">
        <f>IF(ISNUMBER(_xll.IMDP("FX",INDEX($C$1:$C$9,T93),"매수호가")),_xll.IMDP("FX",INDEX($C$1:$C$9,T93),"시간"),_xll.IMDP("FX",INDEX($C$1:$C$9,T93),"시간",'cross rate fwd'!$B$4-1,"Fill=true"))</f>
        <v>170543</v>
      </c>
      <c r="V96">
        <f>_xll.IMDP("IR",$S$92&amp;$AL96,"매도호가")</f>
        <v>2.6859999999999999</v>
      </c>
      <c r="W96">
        <f>_xll.IMDP("IR",$S$92&amp;$AL96,"매수호가")</f>
        <v>2.581</v>
      </c>
      <c r="X96" s="4">
        <f>_xll.IMDP("IR",$S$92&amp;$AL96,"시간",,"TmFmt=1")</f>
        <v>0.65825231481481483</v>
      </c>
      <c r="Y96" s="2">
        <f>_xll.IMDP("IR",$S$92&amp;$AL96,"일자",,"DtFmt=1")</f>
        <v>45596</v>
      </c>
      <c r="AB96" s="2"/>
      <c r="AL96" t="s">
        <v>20</v>
      </c>
    </row>
    <row r="97" spans="8:38" ht="15" customHeight="1">
      <c r="H97" s="2">
        <v>50959</v>
      </c>
      <c r="I97" s="2"/>
      <c r="J97" s="2">
        <v>45737</v>
      </c>
      <c r="K97" s="2"/>
      <c r="L97" s="2">
        <v>50950</v>
      </c>
      <c r="M97" s="2"/>
      <c r="N97" s="2">
        <v>45749</v>
      </c>
      <c r="P97" s="2">
        <v>50955</v>
      </c>
      <c r="Q97" s="2"/>
      <c r="R97" s="2">
        <v>45741</v>
      </c>
      <c r="V97">
        <f>_xll.IMDP("IR",$S$92&amp;$AL97,"매도호가")</f>
        <v>2.6949999999999998</v>
      </c>
      <c r="W97">
        <f>_xll.IMDP("IR",$S$92&amp;$AL97,"매수호가")</f>
        <v>2.58</v>
      </c>
      <c r="X97" s="4">
        <f>_xll.IMDP("IR",$S$92&amp;$AL97,"시간",,"TmFmt=1")</f>
        <v>0.65826388888888887</v>
      </c>
      <c r="Y97" s="2">
        <f>_xll.IMDP("IR",$S$92&amp;$AL97,"일자",,"DtFmt=1")</f>
        <v>45596</v>
      </c>
      <c r="AB97" s="2"/>
      <c r="AL97" t="s">
        <v>21</v>
      </c>
    </row>
    <row r="98" spans="8:38" ht="15" customHeight="1">
      <c r="H98" s="2">
        <v>50958</v>
      </c>
      <c r="I98" s="2"/>
      <c r="J98" s="2">
        <v>45740</v>
      </c>
      <c r="K98" s="2"/>
      <c r="L98" s="2">
        <v>50949</v>
      </c>
      <c r="M98" s="2"/>
      <c r="N98" s="2">
        <v>45750</v>
      </c>
      <c r="P98" s="2">
        <v>50952</v>
      </c>
      <c r="Q98" s="2"/>
      <c r="R98" s="2">
        <v>45742</v>
      </c>
      <c r="U98">
        <f ca="1">IF('cross rate fwd'!$D$7=$T$93,'cross rate fwd'!AG15,'cross rate fwd'!AG34)</f>
        <v>2556</v>
      </c>
      <c r="V98">
        <f>_xll.IMDP("IR",$S$92&amp;$AL98,"매도호가")</f>
        <v>2.6970000000000001</v>
      </c>
      <c r="W98">
        <f>_xll.IMDP("IR",$S$92&amp;$AL98,"매수호가")</f>
        <v>2.5819999999999999</v>
      </c>
      <c r="X98" s="4">
        <f>_xll.IMDP("IR",$S$92&amp;$AL98,"시간",,"TmFmt=1")</f>
        <v>0.65827546296296291</v>
      </c>
      <c r="Y98" s="2">
        <f>_xll.IMDP("IR",$S$92&amp;$AL98,"일자",,"DtFmt=1")</f>
        <v>45596</v>
      </c>
      <c r="Z98">
        <f t="shared" ref="Z98:AA98" si="15">V98</f>
        <v>2.6970000000000001</v>
      </c>
      <c r="AA98">
        <f t="shared" si="15"/>
        <v>2.5819999999999999</v>
      </c>
      <c r="AB98" s="2"/>
      <c r="AL98" t="s">
        <v>22</v>
      </c>
    </row>
    <row r="99" spans="8:38" ht="15" customHeight="1">
      <c r="H99" s="2">
        <v>50957</v>
      </c>
      <c r="I99" s="2"/>
      <c r="J99" s="2">
        <v>45741</v>
      </c>
      <c r="K99" s="2"/>
      <c r="L99" s="2">
        <v>50948</v>
      </c>
      <c r="M99" s="2"/>
      <c r="N99" s="2">
        <v>45751</v>
      </c>
      <c r="P99" s="2">
        <v>50951</v>
      </c>
      <c r="Q99" s="2"/>
      <c r="R99" s="2">
        <v>45743</v>
      </c>
      <c r="U99">
        <f ca="1">IF('cross rate fwd'!$D$7=$T$93,'cross rate fwd'!AG16,'cross rate fwd'!AG35)</f>
        <v>2922</v>
      </c>
      <c r="V99">
        <f ca="1">FORECAST($U99,Z$98:Z$101,$U$98:$U$101)</f>
        <v>2.6970000000000001</v>
      </c>
      <c r="W99">
        <f ca="1">FORECAST($U99,AA$98:AA$101,$U$98:$U$101)</f>
        <v>2.5819999999999999</v>
      </c>
      <c r="X99" s="4" t="s">
        <v>62</v>
      </c>
      <c r="Y99" s="2" t="s">
        <v>62</v>
      </c>
      <c r="Z99" t="str">
        <f>_xll.IMDP("IR","CRST14USDSGD08Y","매도호가")</f>
        <v/>
      </c>
      <c r="AA99" t="str">
        <f>_xll.IMDP("IR","CRST14USDSGD08Y","매수호가")</f>
        <v/>
      </c>
      <c r="AB99" s="2"/>
      <c r="AL99" t="s">
        <v>23</v>
      </c>
    </row>
    <row r="100" spans="8:38" ht="15" customHeight="1">
      <c r="H100" s="2">
        <v>50956</v>
      </c>
      <c r="I100" s="2"/>
      <c r="J100" s="2">
        <v>45742</v>
      </c>
      <c r="K100" s="2"/>
      <c r="L100" s="2">
        <v>50945</v>
      </c>
      <c r="M100" s="2"/>
      <c r="N100" s="2">
        <v>45754</v>
      </c>
      <c r="P100" s="2">
        <v>50950</v>
      </c>
      <c r="Q100" s="2"/>
      <c r="R100" s="2">
        <v>45744</v>
      </c>
      <c r="U100">
        <f ca="1">IF('cross rate fwd'!$D$7=$T$93,'cross rate fwd'!AG17,'cross rate fwd'!AG36)</f>
        <v>3289</v>
      </c>
      <c r="V100">
        <f ca="1">FORECAST($U100,Z$98:Z$101,$U$98:$U$101)</f>
        <v>2.6970000000000001</v>
      </c>
      <c r="W100">
        <f ca="1">FORECAST($U100,AA$98:AA$101,$U$98:$U$101)</f>
        <v>2.5819999999999999</v>
      </c>
      <c r="X100" s="4" t="s">
        <v>62</v>
      </c>
      <c r="Y100" s="2" t="s">
        <v>62</v>
      </c>
      <c r="Z100" t="str">
        <f>_xll.IMDP("IR","CRST14USDSGD09Y","매도호가")</f>
        <v/>
      </c>
      <c r="AA100" t="str">
        <f>_xll.IMDP("IR","CRST14USDSGD09Y","매수호가")</f>
        <v/>
      </c>
      <c r="AB100" s="2"/>
      <c r="AL100" t="s">
        <v>24</v>
      </c>
    </row>
    <row r="101" spans="8:38" ht="15" customHeight="1">
      <c r="H101" s="2">
        <v>50952</v>
      </c>
      <c r="I101" s="2"/>
      <c r="J101" s="2">
        <v>45743</v>
      </c>
      <c r="K101" s="2"/>
      <c r="L101" s="2">
        <v>50944</v>
      </c>
      <c r="M101" s="2"/>
      <c r="N101" s="2">
        <v>45755</v>
      </c>
      <c r="P101" s="2">
        <v>50949</v>
      </c>
      <c r="Q101" s="2"/>
      <c r="R101" s="2">
        <v>45747</v>
      </c>
      <c r="U101">
        <f ca="1">IF('cross rate fwd'!$D$7=$T$93,'cross rate fwd'!AG18,'cross rate fwd'!AG37)</f>
        <v>3653</v>
      </c>
      <c r="V101">
        <f>_xll.IMDP("IR",$S$92&amp;$AL101,"매도호가")</f>
        <v>2.6970000000000001</v>
      </c>
      <c r="W101">
        <f>_xll.IMDP("IR",$S$92&amp;$AL101,"매수호가")</f>
        <v>2.5819999999999999</v>
      </c>
      <c r="X101" s="4">
        <f>_xll.IMDP("IR",$S$92&amp;$AL101,"시간",,"TmFmt=1")</f>
        <v>0.65828703703703706</v>
      </c>
      <c r="Y101" s="2">
        <f>_xll.IMDP("IR",$S$92&amp;$AL101,"일자",,"DtFmt=1")</f>
        <v>45596</v>
      </c>
      <c r="Z101">
        <f t="shared" ref="Z101:AA101" si="16">V101</f>
        <v>2.6970000000000001</v>
      </c>
      <c r="AA101">
        <f t="shared" si="16"/>
        <v>2.5819999999999999</v>
      </c>
      <c r="AB101" s="2"/>
      <c r="AL101" t="s">
        <v>25</v>
      </c>
    </row>
    <row r="102" spans="8:38" ht="15" customHeight="1">
      <c r="H102" s="2">
        <v>50951</v>
      </c>
      <c r="I102" s="2"/>
      <c r="J102" s="2">
        <v>45744</v>
      </c>
      <c r="K102" s="2"/>
      <c r="L102" s="2">
        <v>50943</v>
      </c>
      <c r="M102" s="2"/>
      <c r="N102" s="2">
        <v>45756</v>
      </c>
      <c r="P102" s="2">
        <v>50948</v>
      </c>
      <c r="Q102" s="2"/>
      <c r="R102" s="2">
        <v>45748</v>
      </c>
      <c r="U102">
        <f ca="1">IF('cross rate fwd'!$D$7=$T$93,'cross rate fwd'!AG19,'cross rate fwd'!AG38)</f>
        <v>4017</v>
      </c>
      <c r="V102">
        <f ca="1">FORECAST($U102,Z101:Z103,$U101:$U103)</f>
        <v>2.6994931506849316</v>
      </c>
      <c r="W102">
        <f ca="1">FORECAST($U102,AA101:AA103,$U101:$U103)</f>
        <v>2.5441041095890404</v>
      </c>
      <c r="X102" s="4" t="s">
        <v>62</v>
      </c>
      <c r="Y102" s="2" t="s">
        <v>62</v>
      </c>
      <c r="Z102" t="str">
        <f>_xll.IMDP("IR","CRST14USDSGD11Y","매도호가")</f>
        <v/>
      </c>
      <c r="AA102" t="str">
        <f>_xll.IMDP("IR","CRST14USDSGD11Y","매수호가")</f>
        <v/>
      </c>
      <c r="AB102" s="2"/>
      <c r="AL102" t="s">
        <v>26</v>
      </c>
    </row>
    <row r="103" spans="8:38" ht="15" customHeight="1">
      <c r="H103" s="2">
        <v>50950</v>
      </c>
      <c r="I103" s="2"/>
      <c r="J103" s="2">
        <v>45747</v>
      </c>
      <c r="K103" s="2"/>
      <c r="L103" s="2">
        <v>50942</v>
      </c>
      <c r="M103" s="2"/>
      <c r="N103" s="2">
        <v>45757</v>
      </c>
      <c r="P103" s="2">
        <v>50945</v>
      </c>
      <c r="Q103" s="2"/>
      <c r="R103" s="2">
        <v>45749</v>
      </c>
      <c r="U103">
        <f ca="1">IF('cross rate fwd'!$D$7=$T$93,'cross rate fwd'!AG20,'cross rate fwd'!AG39)</f>
        <v>4383</v>
      </c>
      <c r="V103">
        <f>_xll.IMDP("IR",$S$92&amp;$AL103,"매도호가")</f>
        <v>2.702</v>
      </c>
      <c r="W103">
        <f>_xll.IMDP("IR",$S$92&amp;$AL103,"매수호가")</f>
        <v>2.5059999999999998</v>
      </c>
      <c r="X103" s="4">
        <f>_xll.IMDP("IR",$S$92&amp;$AL103,"시간",,"TmFmt=1")</f>
        <v>0.6582986111111111</v>
      </c>
      <c r="Y103" s="2">
        <f>_xll.IMDP("IR",$S$92&amp;$AL103,"일자",,"DtFmt=1")</f>
        <v>45596</v>
      </c>
      <c r="Z103">
        <f t="shared" ref="Z103:AA103" si="17">V103</f>
        <v>2.702</v>
      </c>
      <c r="AA103">
        <f t="shared" si="17"/>
        <v>2.5059999999999998</v>
      </c>
      <c r="AB103" s="2"/>
      <c r="AL103" t="s">
        <v>27</v>
      </c>
    </row>
    <row r="104" spans="8:38" ht="15" customHeight="1">
      <c r="H104" s="2">
        <v>50949</v>
      </c>
      <c r="I104" s="2"/>
      <c r="J104" s="2">
        <v>45748</v>
      </c>
      <c r="K104" s="2"/>
      <c r="L104" s="2">
        <v>50938</v>
      </c>
      <c r="M104" s="2"/>
      <c r="N104" s="2">
        <v>45758</v>
      </c>
      <c r="P104" s="2">
        <v>50944</v>
      </c>
      <c r="Q104" s="2"/>
      <c r="R104" s="2">
        <v>45750</v>
      </c>
      <c r="V104">
        <f>_xll.IMDP("IR",$S$92&amp;$AL104,"매도호가")</f>
        <v>2.6419999999999999</v>
      </c>
      <c r="W104">
        <f>_xll.IMDP("IR",$S$92&amp;$AL104,"매수호가")</f>
        <v>2.4470000000000001</v>
      </c>
      <c r="X104" s="4">
        <f>_xll.IMDP("IR",$S$92&amp;$AL104,"시간",,"TmFmt=1")</f>
        <v>0.65831018518518514</v>
      </c>
      <c r="Y104" s="2">
        <f>_xll.IMDP("IR",$S$92&amp;$AL104,"일자",,"DtFmt=1")</f>
        <v>45596</v>
      </c>
      <c r="AB104" s="2"/>
      <c r="AL104" t="s">
        <v>3</v>
      </c>
    </row>
    <row r="105" spans="8:38" ht="15" customHeight="1">
      <c r="H105" s="2">
        <v>50948</v>
      </c>
      <c r="I105" s="2"/>
      <c r="J105" s="2">
        <v>45749</v>
      </c>
      <c r="K105" s="2"/>
      <c r="L105" s="2">
        <v>50937</v>
      </c>
      <c r="M105" s="2"/>
      <c r="N105" s="2">
        <v>45761</v>
      </c>
      <c r="P105" s="2">
        <v>50943</v>
      </c>
      <c r="Q105" s="2"/>
      <c r="R105" s="2">
        <v>45751</v>
      </c>
      <c r="S105" s="5" t="s">
        <v>96</v>
      </c>
      <c r="T105" t="str">
        <f>$A$9</f>
        <v>GBP/USD RFR 이론CRS</v>
      </c>
      <c r="V105">
        <f>_xll.IMDP("IR",$S$105&amp;$AL105,"매도호가")</f>
        <v>4.39778</v>
      </c>
      <c r="W105">
        <f>_xll.IMDP("IR",$S$105&amp;$AL105,"매수호가")</f>
        <v>4.3529400000000003</v>
      </c>
      <c r="X105" s="4">
        <f>_xll.IMDP("IR",$S$105&amp;$AL105,"시간",,"TmFmt=1")</f>
        <v>0.70837962962962964</v>
      </c>
      <c r="Y105" s="2">
        <f>_xll.IMDP("IR",$S$105&amp;$AL105,"일자",,"DtFmt=1")</f>
        <v>45596</v>
      </c>
      <c r="AB105" s="2"/>
      <c r="AL105" t="s">
        <v>16</v>
      </c>
    </row>
    <row r="106" spans="8:38" ht="15" customHeight="1">
      <c r="H106" s="2">
        <v>50945</v>
      </c>
      <c r="I106" s="2"/>
      <c r="J106" s="2">
        <v>45750</v>
      </c>
      <c r="K106" s="2"/>
      <c r="L106" s="2">
        <v>50936</v>
      </c>
      <c r="M106" s="2"/>
      <c r="N106" s="2">
        <v>45762</v>
      </c>
      <c r="P106" s="2">
        <v>50942</v>
      </c>
      <c r="Q106" s="2"/>
      <c r="R106" s="2">
        <v>45754</v>
      </c>
      <c r="T106">
        <v>9</v>
      </c>
      <c r="V106">
        <f>_xll.IMDP("IR",$S$105&amp;$AL106,"매도호가")</f>
        <v>4.1998499999999996</v>
      </c>
      <c r="W106">
        <f>_xll.IMDP("IR",$S$105&amp;$AL106,"매수호가")</f>
        <v>4.1550099999999999</v>
      </c>
      <c r="X106" s="4">
        <f>_xll.IMDP("IR",$S$105&amp;$AL106,"시간",,"TmFmt=1")</f>
        <v>0.70837962962962964</v>
      </c>
      <c r="Y106" s="2">
        <f>_xll.IMDP("IR",$S$105&amp;$AL106,"일자",,"DtFmt=1")</f>
        <v>45596</v>
      </c>
      <c r="AB106" s="2"/>
      <c r="AL106" t="s">
        <v>17</v>
      </c>
    </row>
    <row r="107" spans="8:38" ht="15" customHeight="1">
      <c r="H107" s="2">
        <v>50944</v>
      </c>
      <c r="I107" s="2"/>
      <c r="J107" s="2">
        <v>45751</v>
      </c>
      <c r="K107" s="2"/>
      <c r="L107" s="2">
        <v>50935</v>
      </c>
      <c r="M107" s="2"/>
      <c r="N107" s="2">
        <v>45763</v>
      </c>
      <c r="P107" s="2">
        <v>50941</v>
      </c>
      <c r="Q107" s="2"/>
      <c r="R107" s="2">
        <v>45755</v>
      </c>
      <c r="T107">
        <f>IF(ISNUMBER(_xll.IMDP("FX",INDEX($C$1:$C$9,T106),"매수호가")),_xll.IMDP("FX",INDEX($C$1:$C$9,T106),"매수호가"),_xll.IMDP("FX",INDEX($C$1:$C$9,T106),"매수호가",'cross rate fwd'!$B$4-1,"Fill=true"))</f>
        <v>1790.66</v>
      </c>
      <c r="V107">
        <f>_xll.IMDP("IR",$S$105&amp;$AL107,"매도호가")</f>
        <v>4.0977300000000003</v>
      </c>
      <c r="W107">
        <f>_xll.IMDP("IR",$S$105&amp;$AL107,"매수호가")</f>
        <v>4.05288</v>
      </c>
      <c r="X107" s="4">
        <f>_xll.IMDP("IR",$S$105&amp;$AL107,"시간",,"TmFmt=1")</f>
        <v>0.70837962962962964</v>
      </c>
      <c r="Y107" s="2">
        <f>_xll.IMDP("IR",$S$105&amp;$AL107,"일자",,"DtFmt=1")</f>
        <v>45596</v>
      </c>
      <c r="AB107" s="2"/>
      <c r="AL107" t="s">
        <v>18</v>
      </c>
    </row>
    <row r="108" spans="8:38" ht="15" customHeight="1">
      <c r="H108" s="2">
        <v>50943</v>
      </c>
      <c r="I108" s="2"/>
      <c r="J108" s="2">
        <v>45754</v>
      </c>
      <c r="K108" s="2"/>
      <c r="L108" s="2">
        <v>50934</v>
      </c>
      <c r="M108" s="2"/>
      <c r="N108" s="2">
        <v>45764</v>
      </c>
      <c r="P108" s="2">
        <v>50938</v>
      </c>
      <c r="Q108" s="2"/>
      <c r="R108" s="2">
        <v>45756</v>
      </c>
      <c r="T108">
        <f>IF(ISNUMBER(_xll.IMDP("FX",INDEX($C$1:$C$9,T106),"매도호가")),_xll.IMDP("FX",INDEX($C$1:$C$9,T106),"매도호가"),_xll.IMDP("FX",INDEX($C$1:$C$9,T106),"매도호가",'cross rate fwd'!$B$4-1,"Fill=true"))</f>
        <v>1791.15</v>
      </c>
      <c r="V108">
        <f>_xll.IMDP("IR",$S$105&amp;$AL108,"매도호가")</f>
        <v>4.01586</v>
      </c>
      <c r="W108">
        <f>_xll.IMDP("IR",$S$105&amp;$AL108,"매수호가")</f>
        <v>3.9710000000000001</v>
      </c>
      <c r="X108" s="4">
        <f>_xll.IMDP("IR",$S$105&amp;$AL108,"시간",,"TmFmt=1")</f>
        <v>0.70837962962962964</v>
      </c>
      <c r="Y108" s="2">
        <f>_xll.IMDP("IR",$S$105&amp;$AL108,"일자",,"DtFmt=1")</f>
        <v>45596</v>
      </c>
      <c r="AB108" s="2"/>
      <c r="AL108" t="s">
        <v>19</v>
      </c>
    </row>
    <row r="109" spans="8:38" ht="15" customHeight="1">
      <c r="H109" s="2">
        <v>50942</v>
      </c>
      <c r="I109" s="2"/>
      <c r="J109" s="2">
        <v>45755</v>
      </c>
      <c r="K109" s="2"/>
      <c r="L109" s="2">
        <v>50931</v>
      </c>
      <c r="M109" s="2"/>
      <c r="N109" s="2">
        <v>45768</v>
      </c>
      <c r="P109" s="2">
        <v>50937</v>
      </c>
      <c r="Q109" s="2"/>
      <c r="R109" s="2">
        <v>45757</v>
      </c>
      <c r="T109">
        <f>IF(ISNUMBER(_xll.IMDP("FX",INDEX($C$1:$C$9,T106),"매수호가")),_xll.IMDP("FX",INDEX($C$1:$C$9,T106),"시간"),_xll.IMDP("FX",INDEX($C$1:$C$9,T106),"시간",'cross rate fwd'!$B$4-1,"Fill=true"))</f>
        <v>170544</v>
      </c>
      <c r="V109">
        <f>_xll.IMDP("IR",$S$105&amp;$AL109,"매도호가")</f>
        <v>3.9527700000000001</v>
      </c>
      <c r="W109">
        <f>_xll.IMDP("IR",$S$105&amp;$AL109,"매수호가")</f>
        <v>3.9079199999999998</v>
      </c>
      <c r="X109" s="4">
        <f>_xll.IMDP("IR",$S$105&amp;$AL109,"시간",,"TmFmt=1")</f>
        <v>0.70837962962962964</v>
      </c>
      <c r="Y109" s="2">
        <f>_xll.IMDP("IR",$S$105&amp;$AL109,"일자",,"DtFmt=1")</f>
        <v>45596</v>
      </c>
      <c r="AB109" s="2"/>
      <c r="AL109" t="s">
        <v>20</v>
      </c>
    </row>
    <row r="110" spans="8:38" ht="15" customHeight="1">
      <c r="H110" s="2">
        <v>50938</v>
      </c>
      <c r="I110" s="2"/>
      <c r="J110" s="2">
        <v>45756</v>
      </c>
      <c r="K110" s="2"/>
      <c r="L110" s="2">
        <v>50930</v>
      </c>
      <c r="M110" s="2"/>
      <c r="N110" s="2">
        <v>45769</v>
      </c>
      <c r="P110" s="2">
        <v>50936</v>
      </c>
      <c r="Q110" s="2"/>
      <c r="R110" s="2">
        <v>45758</v>
      </c>
      <c r="V110">
        <f>_xll.IMDP("IR",$S$105&amp;$AL110,"매도호가")</f>
        <v>3.9128599999999998</v>
      </c>
      <c r="W110">
        <f>_xll.IMDP("IR",$S$105&amp;$AL110,"매수호가")</f>
        <v>3.8680099999999999</v>
      </c>
      <c r="X110" s="4">
        <f>_xll.IMDP("IR",$S$105&amp;$AL110,"시간",,"TmFmt=1")</f>
        <v>0.70837962962962964</v>
      </c>
      <c r="Y110" s="2">
        <f>_xll.IMDP("IR",$S$105&amp;$AL110,"일자",,"DtFmt=1")</f>
        <v>45596</v>
      </c>
      <c r="AB110" s="2"/>
      <c r="AL110" t="s">
        <v>21</v>
      </c>
    </row>
    <row r="111" spans="8:38" ht="15" customHeight="1">
      <c r="H111" s="2">
        <v>50937</v>
      </c>
      <c r="I111" s="2"/>
      <c r="J111" s="2">
        <v>45757</v>
      </c>
      <c r="K111" s="2"/>
      <c r="L111" s="2">
        <v>50929</v>
      </c>
      <c r="M111" s="2"/>
      <c r="N111" s="2">
        <v>45770</v>
      </c>
      <c r="P111" s="2">
        <v>50935</v>
      </c>
      <c r="Q111" s="2"/>
      <c r="R111" s="2">
        <v>45761</v>
      </c>
      <c r="V111">
        <f>_xll.IMDP("IR",$S$105&amp;$AL111,"매도호가")</f>
        <v>3.88992</v>
      </c>
      <c r="W111">
        <f>_xll.IMDP("IR",$S$105&amp;$AL111,"매수호가")</f>
        <v>3.8450700000000002</v>
      </c>
      <c r="X111" s="4">
        <f>_xll.IMDP("IR",$S$105&amp;$AL111,"시간",,"TmFmt=1")</f>
        <v>0.70837962962962964</v>
      </c>
      <c r="Y111" s="2">
        <f>_xll.IMDP("IR",$S$105&amp;$AL111,"일자",,"DtFmt=1")</f>
        <v>45596</v>
      </c>
      <c r="AB111" s="2"/>
      <c r="AL111" t="s">
        <v>22</v>
      </c>
    </row>
    <row r="112" spans="8:38" ht="15" customHeight="1">
      <c r="H112" s="2">
        <v>50936</v>
      </c>
      <c r="I112" s="2"/>
      <c r="J112" s="2">
        <v>45758</v>
      </c>
      <c r="K112" s="2"/>
      <c r="L112" s="2">
        <v>50928</v>
      </c>
      <c r="M112" s="2"/>
      <c r="N112" s="2">
        <v>45771</v>
      </c>
      <c r="P112" s="2">
        <v>50934</v>
      </c>
      <c r="Q112" s="2"/>
      <c r="R112" s="2">
        <v>45762</v>
      </c>
      <c r="V112">
        <f>_xll.IMDP("IR",$S$105&amp;$AL112,"매도호가")</f>
        <v>3.8797000000000001</v>
      </c>
      <c r="W112">
        <f>_xll.IMDP("IR",$S$105&amp;$AL112,"매수호가")</f>
        <v>3.8348499999999999</v>
      </c>
      <c r="X112" s="4">
        <f>_xll.IMDP("IR",$S$105&amp;$AL112,"시간",,"TmFmt=1")</f>
        <v>0.70837962962962964</v>
      </c>
      <c r="Y112" s="2">
        <f>_xll.IMDP("IR",$S$105&amp;$AL112,"일자",,"DtFmt=1")</f>
        <v>45596</v>
      </c>
      <c r="AB112" s="2"/>
      <c r="AL112" t="s">
        <v>23</v>
      </c>
    </row>
    <row r="113" spans="8:38" ht="15" customHeight="1">
      <c r="H113" s="2">
        <v>50935</v>
      </c>
      <c r="I113" s="2"/>
      <c r="J113" s="2">
        <v>45761</v>
      </c>
      <c r="K113" s="2"/>
      <c r="L113" s="2">
        <v>50927</v>
      </c>
      <c r="M113" s="2"/>
      <c r="N113" s="2">
        <v>45772</v>
      </c>
      <c r="P113" s="2">
        <v>50931</v>
      </c>
      <c r="Q113" s="2"/>
      <c r="R113" s="2">
        <v>45763</v>
      </c>
      <c r="V113">
        <f>_xll.IMDP("IR",$S$105&amp;$AL113,"매도호가")</f>
        <v>3.88131</v>
      </c>
      <c r="W113">
        <f>_xll.IMDP("IR",$S$105&amp;$AL113,"매수호가")</f>
        <v>3.8364500000000001</v>
      </c>
      <c r="X113" s="4">
        <f>_xll.IMDP("IR",$S$105&amp;$AL113,"시간",,"TmFmt=1")</f>
        <v>0.70837962962962964</v>
      </c>
      <c r="Y113" s="2">
        <f>_xll.IMDP("IR",$S$105&amp;$AL113,"일자",,"DtFmt=1")</f>
        <v>45596</v>
      </c>
      <c r="AB113" s="2"/>
      <c r="AL113" t="s">
        <v>24</v>
      </c>
    </row>
    <row r="114" spans="8:38" ht="15" customHeight="1">
      <c r="H114" s="2">
        <v>50934</v>
      </c>
      <c r="I114" s="2"/>
      <c r="J114" s="2">
        <v>45762</v>
      </c>
      <c r="K114" s="2"/>
      <c r="L114" s="2">
        <v>50924</v>
      </c>
      <c r="M114" s="2"/>
      <c r="N114" s="2">
        <v>45775</v>
      </c>
      <c r="P114" s="2">
        <v>50930</v>
      </c>
      <c r="Q114" s="2"/>
      <c r="R114" s="2">
        <v>45764</v>
      </c>
      <c r="V114">
        <f>_xll.IMDP("IR",$S$105&amp;$AL114,"매도호가")</f>
        <v>3.88089</v>
      </c>
      <c r="W114">
        <f>_xll.IMDP("IR",$S$105&amp;$AL114,"매수호가")</f>
        <v>3.8360300000000001</v>
      </c>
      <c r="X114" s="4">
        <f>_xll.IMDP("IR",$S$105&amp;$AL114,"시간",,"TmFmt=1")</f>
        <v>0.70837962962962964</v>
      </c>
      <c r="Y114" s="2">
        <f>_xll.IMDP("IR",$S$105&amp;$AL114,"일자",,"DtFmt=1")</f>
        <v>45596</v>
      </c>
      <c r="AB114" s="2"/>
      <c r="AL114" t="s">
        <v>25</v>
      </c>
    </row>
    <row r="115" spans="8:38" ht="15" customHeight="1">
      <c r="H115" s="2">
        <v>50931</v>
      </c>
      <c r="I115" s="2"/>
      <c r="J115" s="2">
        <v>45763</v>
      </c>
      <c r="K115" s="2"/>
      <c r="L115" s="2">
        <v>50923</v>
      </c>
      <c r="M115" s="2"/>
      <c r="N115" s="2">
        <v>45777</v>
      </c>
      <c r="P115" s="2">
        <v>50929</v>
      </c>
      <c r="Q115" s="2"/>
      <c r="R115" s="2">
        <v>45765</v>
      </c>
      <c r="V115">
        <f>_xll.IMDP("IR",$S$105&amp;$AL115,"매도호가")</f>
        <v>3.8940399999999999</v>
      </c>
      <c r="W115">
        <f>_xll.IMDP("IR",$S$105&amp;$AL115,"매수호가")</f>
        <v>3.8491900000000001</v>
      </c>
      <c r="X115" s="4">
        <f>_xll.IMDP("IR",$S$105&amp;$AL115,"시간",,"TmFmt=1")</f>
        <v>0.70837962962962964</v>
      </c>
      <c r="Y115" s="2">
        <f>_xll.IMDP("IR",$S$105&amp;$AL115,"일자",,"DtFmt=1")</f>
        <v>45596</v>
      </c>
      <c r="AB115" s="2"/>
      <c r="AL115" t="s">
        <v>26</v>
      </c>
    </row>
    <row r="116" spans="8:38" ht="15" customHeight="1">
      <c r="H116" s="2">
        <v>50930</v>
      </c>
      <c r="I116" s="2"/>
      <c r="J116" s="2">
        <v>45764</v>
      </c>
      <c r="K116" s="2"/>
      <c r="L116" s="2">
        <v>50922</v>
      </c>
      <c r="M116" s="2"/>
      <c r="N116" s="2">
        <v>45778</v>
      </c>
      <c r="P116" s="2">
        <v>50928</v>
      </c>
      <c r="Q116" s="2"/>
      <c r="R116" s="2">
        <v>45768</v>
      </c>
      <c r="V116">
        <f>_xll.IMDP("IR",$S$105&amp;$AL116,"매도호가")</f>
        <v>3.9070200000000002</v>
      </c>
      <c r="W116">
        <f>_xll.IMDP("IR",$S$105&amp;$AL116,"매수호가")</f>
        <v>3.8621599999999998</v>
      </c>
      <c r="X116" s="4">
        <f>_xll.IMDP("IR",$S$105&amp;$AL116,"시간",,"TmFmt=1")</f>
        <v>0.70837962962962964</v>
      </c>
      <c r="Y116" s="2">
        <f>_xll.IMDP("IR",$S$105&amp;$AL116,"일자",,"DtFmt=1")</f>
        <v>45596</v>
      </c>
      <c r="AB116" s="2"/>
      <c r="AL116" t="s">
        <v>27</v>
      </c>
    </row>
    <row r="117" spans="8:38" ht="15" customHeight="1">
      <c r="H117" s="2">
        <v>50929</v>
      </c>
      <c r="I117" s="2"/>
      <c r="J117" s="2">
        <v>45768</v>
      </c>
      <c r="K117" s="2"/>
      <c r="L117" s="2">
        <v>50921</v>
      </c>
      <c r="M117" s="2"/>
      <c r="N117" s="2">
        <v>45779</v>
      </c>
      <c r="P117" s="2">
        <v>50924</v>
      </c>
      <c r="Q117" s="2"/>
      <c r="R117" s="2">
        <v>45769</v>
      </c>
      <c r="V117">
        <f>_xll.IMDP("IR",$S$105&amp;$AL117,"매도호가")</f>
        <v>3.9296099999999998</v>
      </c>
      <c r="W117">
        <f>_xll.IMDP("IR",$S$105&amp;$AL117,"매수호가")</f>
        <v>3.8847499999999999</v>
      </c>
      <c r="X117" s="4">
        <f>_xll.IMDP("IR",$S$105&amp;$AL117,"시간",,"TmFmt=1")</f>
        <v>0.70837962962962964</v>
      </c>
      <c r="Y117" s="2">
        <f>_xll.IMDP("IR",$S$105&amp;$AL117,"일자",,"DtFmt=1")</f>
        <v>45596</v>
      </c>
      <c r="AB117" s="2"/>
      <c r="AL117" t="s">
        <v>3</v>
      </c>
    </row>
    <row r="118" spans="8:38" ht="15" customHeight="1">
      <c r="H118" s="2">
        <v>50928</v>
      </c>
      <c r="I118" s="2"/>
      <c r="J118" s="2">
        <v>45769</v>
      </c>
      <c r="K118" s="2"/>
      <c r="L118" s="2">
        <v>50917</v>
      </c>
      <c r="M118" s="2"/>
      <c r="N118" s="2">
        <v>45784</v>
      </c>
      <c r="P118" s="2">
        <v>50923</v>
      </c>
      <c r="Q118" s="2"/>
      <c r="R118" s="2">
        <v>45770</v>
      </c>
      <c r="AB118" s="2"/>
    </row>
    <row r="119" spans="8:38" ht="15" customHeight="1">
      <c r="H119" s="2">
        <v>50927</v>
      </c>
      <c r="I119" s="2"/>
      <c r="J119" s="2">
        <v>45770</v>
      </c>
      <c r="K119" s="2"/>
      <c r="L119" s="2">
        <v>50916</v>
      </c>
      <c r="M119" s="2"/>
      <c r="N119" s="2">
        <v>45785</v>
      </c>
      <c r="P119" s="2">
        <v>50922</v>
      </c>
      <c r="Q119" s="2"/>
      <c r="R119" s="2">
        <v>45771</v>
      </c>
      <c r="AB119" s="2"/>
    </row>
    <row r="120" spans="8:38" ht="15" customHeight="1">
      <c r="H120" s="2">
        <v>50924</v>
      </c>
      <c r="I120" s="2"/>
      <c r="J120" s="2">
        <v>45771</v>
      </c>
      <c r="K120" s="2"/>
      <c r="L120" s="2">
        <v>50915</v>
      </c>
      <c r="M120" s="2"/>
      <c r="N120" s="2">
        <v>45786</v>
      </c>
      <c r="P120" s="2">
        <v>50921</v>
      </c>
      <c r="Q120" s="2"/>
      <c r="R120" s="2">
        <v>45772</v>
      </c>
      <c r="AB120" s="2"/>
    </row>
    <row r="121" spans="8:38" ht="15" customHeight="1">
      <c r="H121" s="2">
        <v>50923</v>
      </c>
      <c r="I121" s="2"/>
      <c r="J121" s="2">
        <v>45772</v>
      </c>
      <c r="K121" s="2"/>
      <c r="L121" s="2">
        <v>50914</v>
      </c>
      <c r="M121" s="2"/>
      <c r="N121" s="2">
        <v>45789</v>
      </c>
      <c r="P121" s="2">
        <v>50920</v>
      </c>
      <c r="Q121" s="2"/>
      <c r="R121" s="2">
        <v>45775</v>
      </c>
      <c r="AB121" s="2"/>
    </row>
    <row r="122" spans="8:38" ht="15" customHeight="1">
      <c r="H122" s="2">
        <v>50922</v>
      </c>
      <c r="I122" s="2"/>
      <c r="J122" s="2">
        <v>45775</v>
      </c>
      <c r="K122" s="2"/>
      <c r="L122" s="2">
        <v>50913</v>
      </c>
      <c r="M122" s="2"/>
      <c r="N122" s="2">
        <v>45790</v>
      </c>
      <c r="P122" s="2">
        <v>50917</v>
      </c>
      <c r="Q122" s="2"/>
      <c r="R122" s="2">
        <v>45776</v>
      </c>
      <c r="AB122" s="2"/>
    </row>
    <row r="123" spans="8:38" ht="15" customHeight="1">
      <c r="H123" s="2">
        <v>50921</v>
      </c>
      <c r="I123" s="2"/>
      <c r="J123" s="2">
        <v>45776</v>
      </c>
      <c r="K123" s="2"/>
      <c r="L123" s="2">
        <v>50910</v>
      </c>
      <c r="M123" s="2"/>
      <c r="N123" s="2">
        <v>45791</v>
      </c>
      <c r="P123" s="2">
        <v>50916</v>
      </c>
      <c r="Q123" s="2"/>
      <c r="R123" s="2">
        <v>45777</v>
      </c>
      <c r="AB123" s="2"/>
    </row>
    <row r="124" spans="8:38" ht="15" customHeight="1">
      <c r="H124" s="2">
        <v>50917</v>
      </c>
      <c r="I124" s="2"/>
      <c r="J124" s="2">
        <v>45777</v>
      </c>
      <c r="K124" s="2"/>
      <c r="L124" s="2">
        <v>50909</v>
      </c>
      <c r="M124" s="2"/>
      <c r="N124" s="2">
        <v>45792</v>
      </c>
      <c r="P124" s="2">
        <v>50915</v>
      </c>
      <c r="Q124" s="2"/>
      <c r="R124" s="2">
        <v>45779</v>
      </c>
      <c r="AB124" s="2"/>
    </row>
    <row r="125" spans="8:38" ht="15" customHeight="1">
      <c r="H125" s="2">
        <v>50916</v>
      </c>
      <c r="I125" s="2"/>
      <c r="J125" s="2">
        <v>45778</v>
      </c>
      <c r="K125" s="2"/>
      <c r="L125" s="2">
        <v>50908</v>
      </c>
      <c r="M125" s="2"/>
      <c r="N125" s="2">
        <v>45793</v>
      </c>
      <c r="P125" s="2">
        <v>50914</v>
      </c>
      <c r="Q125" s="2"/>
      <c r="R125" s="2">
        <v>45784</v>
      </c>
      <c r="AB125" s="2"/>
    </row>
    <row r="126" spans="8:38" ht="15" customHeight="1">
      <c r="H126" s="2">
        <v>50915</v>
      </c>
      <c r="I126" s="2"/>
      <c r="J126" s="2">
        <v>45779</v>
      </c>
      <c r="K126" s="2"/>
      <c r="L126" s="2">
        <v>50907</v>
      </c>
      <c r="M126" s="2"/>
      <c r="N126" s="2">
        <v>45796</v>
      </c>
      <c r="P126" s="2">
        <v>50913</v>
      </c>
      <c r="Q126" s="2"/>
      <c r="R126" s="2">
        <v>45785</v>
      </c>
      <c r="AB126" s="2"/>
    </row>
    <row r="127" spans="8:38" ht="15" customHeight="1">
      <c r="H127" s="2">
        <v>50914</v>
      </c>
      <c r="I127" s="2"/>
      <c r="J127" s="2">
        <v>45782</v>
      </c>
      <c r="K127" s="2"/>
      <c r="L127" s="2">
        <v>50906</v>
      </c>
      <c r="M127" s="2"/>
      <c r="N127" s="2">
        <v>45797</v>
      </c>
      <c r="P127" s="2">
        <v>50910</v>
      </c>
      <c r="Q127" s="2"/>
      <c r="R127" s="2">
        <v>45786</v>
      </c>
      <c r="AB127" s="2"/>
    </row>
    <row r="128" spans="8:38" ht="15" customHeight="1">
      <c r="H128" s="2">
        <v>50913</v>
      </c>
      <c r="I128" s="2"/>
      <c r="J128" s="2">
        <v>45783</v>
      </c>
      <c r="K128" s="2"/>
      <c r="L128" s="2">
        <v>50903</v>
      </c>
      <c r="M128" s="2"/>
      <c r="N128" s="2">
        <v>45798</v>
      </c>
      <c r="P128" s="2">
        <v>50909</v>
      </c>
      <c r="Q128" s="2"/>
      <c r="R128" s="2">
        <v>45789</v>
      </c>
      <c r="AB128" s="2"/>
    </row>
    <row r="129" spans="8:28" ht="15" customHeight="1">
      <c r="H129" s="2">
        <v>50910</v>
      </c>
      <c r="I129" s="2"/>
      <c r="J129" s="2">
        <v>45784</v>
      </c>
      <c r="K129" s="2"/>
      <c r="L129" s="2">
        <v>50902</v>
      </c>
      <c r="M129" s="2"/>
      <c r="N129" s="2">
        <v>45799</v>
      </c>
      <c r="P129" s="2">
        <v>50908</v>
      </c>
      <c r="Q129" s="2"/>
      <c r="R129" s="2">
        <v>45790</v>
      </c>
      <c r="AB129" s="2"/>
    </row>
    <row r="130" spans="8:28" ht="15" customHeight="1">
      <c r="H130" s="2">
        <v>50909</v>
      </c>
      <c r="I130" s="2"/>
      <c r="J130" s="2">
        <v>45785</v>
      </c>
      <c r="K130" s="2"/>
      <c r="L130" s="2">
        <v>50901</v>
      </c>
      <c r="M130" s="2"/>
      <c r="N130" s="2">
        <v>45800</v>
      </c>
      <c r="P130" s="2">
        <v>50907</v>
      </c>
      <c r="Q130" s="2"/>
      <c r="R130" s="2">
        <v>45791</v>
      </c>
      <c r="AB130" s="2"/>
    </row>
    <row r="131" spans="8:28" ht="15" customHeight="1">
      <c r="H131" s="2">
        <v>50908</v>
      </c>
      <c r="I131" s="2"/>
      <c r="J131" s="2">
        <v>45786</v>
      </c>
      <c r="K131" s="2"/>
      <c r="L131" s="2">
        <v>50900</v>
      </c>
      <c r="M131" s="2"/>
      <c r="N131" s="2">
        <v>45804</v>
      </c>
      <c r="P131" s="2">
        <v>50906</v>
      </c>
      <c r="Q131" s="2"/>
      <c r="R131" s="2">
        <v>45792</v>
      </c>
      <c r="AB131" s="2"/>
    </row>
    <row r="132" spans="8:28" ht="15" customHeight="1">
      <c r="H132" s="2">
        <v>50907</v>
      </c>
      <c r="I132" s="2"/>
      <c r="J132" s="2">
        <v>45789</v>
      </c>
      <c r="K132" s="2"/>
      <c r="L132" s="2">
        <v>50899</v>
      </c>
      <c r="M132" s="2"/>
      <c r="N132" s="2">
        <v>45805</v>
      </c>
      <c r="P132" s="2">
        <v>50903</v>
      </c>
      <c r="Q132" s="2"/>
      <c r="R132" s="2">
        <v>45793</v>
      </c>
      <c r="AB132" s="2"/>
    </row>
    <row r="133" spans="8:28" ht="15" customHeight="1">
      <c r="H133" s="2">
        <v>50906</v>
      </c>
      <c r="I133" s="2"/>
      <c r="J133" s="2">
        <v>45790</v>
      </c>
      <c r="K133" s="2"/>
      <c r="L133" s="2">
        <v>50896</v>
      </c>
      <c r="M133" s="2"/>
      <c r="N133" s="2">
        <v>45806</v>
      </c>
      <c r="P133" s="2">
        <v>50902</v>
      </c>
      <c r="Q133" s="2"/>
      <c r="R133" s="2">
        <v>45796</v>
      </c>
      <c r="AB133" s="2"/>
    </row>
    <row r="134" spans="8:28" ht="15" customHeight="1">
      <c r="H134" s="2">
        <v>50903</v>
      </c>
      <c r="I134" s="2"/>
      <c r="J134" s="2">
        <v>45791</v>
      </c>
      <c r="K134" s="2"/>
      <c r="L134" s="2">
        <v>50892</v>
      </c>
      <c r="M134" s="2"/>
      <c r="N134" s="2">
        <v>45807</v>
      </c>
      <c r="P134" s="2">
        <v>50901</v>
      </c>
      <c r="Q134" s="2"/>
      <c r="R134" s="2">
        <v>45797</v>
      </c>
      <c r="AB134" s="2"/>
    </row>
    <row r="135" spans="8:28" ht="15" customHeight="1">
      <c r="H135" s="2">
        <v>50902</v>
      </c>
      <c r="I135" s="2"/>
      <c r="J135" s="2">
        <v>45792</v>
      </c>
      <c r="K135" s="2"/>
      <c r="L135" s="2">
        <v>50888</v>
      </c>
      <c r="M135" s="2"/>
      <c r="N135" s="2">
        <v>45810</v>
      </c>
      <c r="P135" s="2">
        <v>50900</v>
      </c>
      <c r="Q135" s="2"/>
      <c r="R135" s="2">
        <v>45798</v>
      </c>
      <c r="AB135" s="2"/>
    </row>
    <row r="136" spans="8:28" ht="15" customHeight="1">
      <c r="H136" s="2">
        <v>50901</v>
      </c>
      <c r="I136" s="2"/>
      <c r="J136" s="2">
        <v>45793</v>
      </c>
      <c r="K136" s="2"/>
      <c r="L136" s="2">
        <v>50887</v>
      </c>
      <c r="M136" s="2"/>
      <c r="N136" s="2">
        <v>45811</v>
      </c>
      <c r="P136" s="2">
        <v>50899</v>
      </c>
      <c r="Q136" s="2"/>
      <c r="R136" s="2">
        <v>45799</v>
      </c>
      <c r="AB136" s="2"/>
    </row>
    <row r="137" spans="8:28" ht="15" customHeight="1">
      <c r="H137" s="2">
        <v>50900</v>
      </c>
      <c r="I137" s="2"/>
      <c r="J137" s="2">
        <v>45796</v>
      </c>
      <c r="K137" s="2"/>
      <c r="L137" s="2">
        <v>50886</v>
      </c>
      <c r="M137" s="2"/>
      <c r="N137" s="2">
        <v>45812</v>
      </c>
      <c r="P137" s="2">
        <v>50896</v>
      </c>
      <c r="Q137" s="2"/>
      <c r="R137" s="2">
        <v>45800</v>
      </c>
      <c r="AB137" s="2"/>
    </row>
    <row r="138" spans="8:28" ht="15" customHeight="1">
      <c r="H138" s="2">
        <v>50899</v>
      </c>
      <c r="I138" s="2"/>
      <c r="J138" s="2">
        <v>45797</v>
      </c>
      <c r="K138" s="2"/>
      <c r="L138" s="2">
        <v>50885</v>
      </c>
      <c r="M138" s="2"/>
      <c r="N138" s="2">
        <v>45813</v>
      </c>
      <c r="P138" s="2">
        <v>50894</v>
      </c>
      <c r="Q138" s="2"/>
      <c r="R138" s="2">
        <v>45803</v>
      </c>
      <c r="AB138" s="2"/>
    </row>
    <row r="139" spans="8:28" ht="15" customHeight="1">
      <c r="H139" s="2">
        <v>50896</v>
      </c>
      <c r="I139" s="2"/>
      <c r="J139" s="2">
        <v>45798</v>
      </c>
      <c r="K139" s="2"/>
      <c r="L139" s="2">
        <v>50882</v>
      </c>
      <c r="M139" s="2"/>
      <c r="N139" s="2">
        <v>45814</v>
      </c>
      <c r="P139" s="2">
        <v>50893</v>
      </c>
      <c r="Q139" s="2"/>
      <c r="R139" s="2">
        <v>45804</v>
      </c>
      <c r="AB139" s="2"/>
    </row>
    <row r="140" spans="8:28" ht="15" customHeight="1">
      <c r="H140" s="2">
        <v>50895</v>
      </c>
      <c r="I140" s="2"/>
      <c r="J140" s="2">
        <v>45799</v>
      </c>
      <c r="K140" s="2"/>
      <c r="L140" s="2">
        <v>50881</v>
      </c>
      <c r="M140" s="2"/>
      <c r="N140" s="2">
        <v>45817</v>
      </c>
      <c r="P140" s="2">
        <v>50889</v>
      </c>
      <c r="Q140" s="2"/>
      <c r="R140" s="2">
        <v>45805</v>
      </c>
      <c r="AB140" s="2"/>
    </row>
    <row r="141" spans="8:28" ht="15" customHeight="1">
      <c r="H141" s="2">
        <v>50894</v>
      </c>
      <c r="I141" s="2"/>
      <c r="J141" s="2">
        <v>45800</v>
      </c>
      <c r="K141" s="2"/>
      <c r="L141" s="2">
        <v>50880</v>
      </c>
      <c r="M141" s="2"/>
      <c r="N141" s="2">
        <v>45818</v>
      </c>
      <c r="P141" s="2">
        <v>50888</v>
      </c>
      <c r="Q141" s="2"/>
      <c r="R141" s="2">
        <v>45806</v>
      </c>
      <c r="AB141" s="2"/>
    </row>
    <row r="142" spans="8:28" ht="15" customHeight="1">
      <c r="H142" s="2">
        <v>50893</v>
      </c>
      <c r="I142" s="2"/>
      <c r="J142" s="2">
        <v>45804</v>
      </c>
      <c r="K142" s="2"/>
      <c r="L142" s="2">
        <v>50879</v>
      </c>
      <c r="M142" s="2"/>
      <c r="N142" s="2">
        <v>45819</v>
      </c>
      <c r="P142" s="2">
        <v>50887</v>
      </c>
      <c r="Q142" s="2"/>
      <c r="R142" s="2">
        <v>45807</v>
      </c>
      <c r="AB142" s="2"/>
    </row>
    <row r="143" spans="8:28" ht="15" customHeight="1">
      <c r="H143" s="2">
        <v>50892</v>
      </c>
      <c r="I143" s="2"/>
      <c r="J143" s="2">
        <v>45805</v>
      </c>
      <c r="K143" s="2"/>
      <c r="L143" s="2">
        <v>50878</v>
      </c>
      <c r="M143" s="2"/>
      <c r="N143" s="2">
        <v>45820</v>
      </c>
      <c r="P143" s="2">
        <v>50886</v>
      </c>
      <c r="Q143" s="2"/>
      <c r="R143" s="2">
        <v>45810</v>
      </c>
      <c r="AB143" s="2"/>
    </row>
    <row r="144" spans="8:28" ht="15" customHeight="1">
      <c r="H144" s="2">
        <v>50889</v>
      </c>
      <c r="I144" s="2"/>
      <c r="J144" s="2">
        <v>45806</v>
      </c>
      <c r="K144" s="2"/>
      <c r="L144" s="2">
        <v>50875</v>
      </c>
      <c r="M144" s="2"/>
      <c r="N144" s="2">
        <v>45821</v>
      </c>
      <c r="P144" s="2">
        <v>50885</v>
      </c>
      <c r="Q144" s="2"/>
      <c r="R144" s="2">
        <v>45811</v>
      </c>
      <c r="AB144" s="2"/>
    </row>
    <row r="145" spans="8:28" ht="15" customHeight="1">
      <c r="H145" s="2">
        <v>50888</v>
      </c>
      <c r="I145" s="2"/>
      <c r="J145" s="2">
        <v>45807</v>
      </c>
      <c r="K145" s="2"/>
      <c r="L145" s="2">
        <v>50874</v>
      </c>
      <c r="M145" s="2"/>
      <c r="N145" s="2">
        <v>45824</v>
      </c>
      <c r="P145" s="2">
        <v>50882</v>
      </c>
      <c r="Q145" s="2"/>
      <c r="R145" s="2">
        <v>45812</v>
      </c>
      <c r="AB145" s="2"/>
    </row>
    <row r="146" spans="8:28" ht="15" customHeight="1">
      <c r="H146" s="2">
        <v>50887</v>
      </c>
      <c r="I146" s="2"/>
      <c r="J146" s="2">
        <v>45810</v>
      </c>
      <c r="K146" s="2"/>
      <c r="L146" s="2">
        <v>50873</v>
      </c>
      <c r="M146" s="2"/>
      <c r="N146" s="2">
        <v>45825</v>
      </c>
      <c r="P146" s="2">
        <v>50881</v>
      </c>
      <c r="Q146" s="2"/>
      <c r="R146" s="2">
        <v>45813</v>
      </c>
      <c r="AB146" s="2"/>
    </row>
    <row r="147" spans="8:28" ht="15" customHeight="1">
      <c r="H147" s="2">
        <v>50886</v>
      </c>
      <c r="I147" s="2"/>
      <c r="J147" s="2">
        <v>45811</v>
      </c>
      <c r="K147" s="2"/>
      <c r="L147" s="2">
        <v>50872</v>
      </c>
      <c r="M147" s="2"/>
      <c r="N147" s="2">
        <v>45826</v>
      </c>
      <c r="P147" s="2">
        <v>50880</v>
      </c>
      <c r="Q147" s="2"/>
      <c r="R147" s="2">
        <v>45817</v>
      </c>
      <c r="AB147" s="2"/>
    </row>
    <row r="148" spans="8:28" ht="15" customHeight="1">
      <c r="H148" s="2">
        <v>50885</v>
      </c>
      <c r="I148" s="2"/>
      <c r="J148" s="2">
        <v>45812</v>
      </c>
      <c r="K148" s="2"/>
      <c r="L148" s="2">
        <v>50871</v>
      </c>
      <c r="M148" s="2"/>
      <c r="N148" s="2">
        <v>45828</v>
      </c>
      <c r="P148" s="2">
        <v>50879</v>
      </c>
      <c r="Q148" s="2"/>
      <c r="R148" s="2">
        <v>45818</v>
      </c>
      <c r="AB148" s="2"/>
    </row>
    <row r="149" spans="8:28" ht="15" customHeight="1">
      <c r="H149" s="2">
        <v>50882</v>
      </c>
      <c r="I149" s="2"/>
      <c r="J149" s="2">
        <v>45813</v>
      </c>
      <c r="K149" s="2"/>
      <c r="L149" s="2">
        <v>50867</v>
      </c>
      <c r="M149" s="2"/>
      <c r="N149" s="2">
        <v>45831</v>
      </c>
      <c r="P149" s="2">
        <v>50878</v>
      </c>
      <c r="Q149" s="2"/>
      <c r="R149" s="2">
        <v>45819</v>
      </c>
      <c r="AB149" s="2"/>
    </row>
    <row r="150" spans="8:28" ht="15" customHeight="1">
      <c r="H150" s="2">
        <v>50881</v>
      </c>
      <c r="I150" s="2"/>
      <c r="J150" s="2">
        <v>45814</v>
      </c>
      <c r="K150" s="2"/>
      <c r="L150" s="2">
        <v>50866</v>
      </c>
      <c r="M150" s="2"/>
      <c r="N150" s="2">
        <v>45832</v>
      </c>
      <c r="P150" s="2">
        <v>50875</v>
      </c>
      <c r="Q150" s="2"/>
      <c r="R150" s="2">
        <v>45820</v>
      </c>
      <c r="AB150" s="2"/>
    </row>
    <row r="151" spans="8:28" ht="15" customHeight="1">
      <c r="H151" s="2">
        <v>50880</v>
      </c>
      <c r="I151" s="2"/>
      <c r="J151" s="2">
        <v>45817</v>
      </c>
      <c r="K151" s="2"/>
      <c r="L151" s="2">
        <v>50865</v>
      </c>
      <c r="M151" s="2"/>
      <c r="N151" s="2">
        <v>45833</v>
      </c>
      <c r="P151" s="2">
        <v>50874</v>
      </c>
      <c r="Q151" s="2"/>
      <c r="R151" s="2">
        <v>45821</v>
      </c>
      <c r="AB151" s="2"/>
    </row>
    <row r="152" spans="8:28" ht="15" customHeight="1">
      <c r="H152" s="2">
        <v>50879</v>
      </c>
      <c r="I152" s="2"/>
      <c r="J152" s="2">
        <v>45818</v>
      </c>
      <c r="K152" s="2"/>
      <c r="L152" s="2">
        <v>50864</v>
      </c>
      <c r="M152" s="2"/>
      <c r="N152" s="2">
        <v>45834</v>
      </c>
      <c r="P152" s="2">
        <v>50873</v>
      </c>
      <c r="Q152" s="2"/>
      <c r="R152" s="2">
        <v>45824</v>
      </c>
      <c r="AB152" s="2"/>
    </row>
    <row r="153" spans="8:28" ht="15" customHeight="1">
      <c r="H153" s="2">
        <v>50878</v>
      </c>
      <c r="I153" s="2"/>
      <c r="J153" s="2">
        <v>45819</v>
      </c>
      <c r="K153" s="2"/>
      <c r="L153" s="2">
        <v>50861</v>
      </c>
      <c r="M153" s="2"/>
      <c r="N153" s="2">
        <v>45835</v>
      </c>
      <c r="P153" s="2">
        <v>50872</v>
      </c>
      <c r="Q153" s="2"/>
      <c r="R153" s="2">
        <v>45825</v>
      </c>
      <c r="AB153" s="2"/>
    </row>
    <row r="154" spans="8:28" ht="15" customHeight="1">
      <c r="H154" s="2">
        <v>50875</v>
      </c>
      <c r="I154" s="2"/>
      <c r="J154" s="2">
        <v>45820</v>
      </c>
      <c r="K154" s="2"/>
      <c r="L154" s="2">
        <v>50860</v>
      </c>
      <c r="M154" s="2"/>
      <c r="N154" s="2">
        <v>45838</v>
      </c>
      <c r="P154" s="2">
        <v>50871</v>
      </c>
      <c r="Q154" s="2"/>
      <c r="R154" s="2">
        <v>45826</v>
      </c>
      <c r="AB154" s="2"/>
    </row>
    <row r="155" spans="8:28" ht="15" customHeight="1">
      <c r="H155" s="2">
        <v>50874</v>
      </c>
      <c r="I155" s="2"/>
      <c r="J155" s="2">
        <v>45821</v>
      </c>
      <c r="K155" s="2"/>
      <c r="L155" s="2">
        <v>50859</v>
      </c>
      <c r="M155" s="2"/>
      <c r="N155" s="2">
        <v>45839</v>
      </c>
      <c r="P155" s="2">
        <v>50868</v>
      </c>
      <c r="Q155" s="2"/>
      <c r="R155" s="2">
        <v>45827</v>
      </c>
      <c r="AB155" s="2"/>
    </row>
    <row r="156" spans="8:28" ht="15" customHeight="1">
      <c r="H156" s="2">
        <v>50873</v>
      </c>
      <c r="I156" s="2"/>
      <c r="J156" s="2">
        <v>45824</v>
      </c>
      <c r="K156" s="2"/>
      <c r="L156" s="2">
        <v>50858</v>
      </c>
      <c r="M156" s="2"/>
      <c r="N156" s="2">
        <v>45840</v>
      </c>
      <c r="P156" s="2">
        <v>50867</v>
      </c>
      <c r="Q156" s="2"/>
      <c r="R156" s="2">
        <v>45828</v>
      </c>
      <c r="AB156" s="2"/>
    </row>
    <row r="157" spans="8:28" ht="15" customHeight="1">
      <c r="H157" s="2">
        <v>50872</v>
      </c>
      <c r="I157" s="2"/>
      <c r="J157" s="2">
        <v>45825</v>
      </c>
      <c r="K157" s="2"/>
      <c r="L157" s="2">
        <v>50857</v>
      </c>
      <c r="M157" s="2"/>
      <c r="N157" s="2">
        <v>45841</v>
      </c>
      <c r="P157" s="2">
        <v>50866</v>
      </c>
      <c r="Q157" s="2"/>
      <c r="R157" s="2">
        <v>45831</v>
      </c>
      <c r="AB157" s="2"/>
    </row>
    <row r="158" spans="8:28" ht="15" customHeight="1">
      <c r="H158" s="2">
        <v>50871</v>
      </c>
      <c r="I158" s="2"/>
      <c r="J158" s="2">
        <v>45826</v>
      </c>
      <c r="K158" s="2"/>
      <c r="L158" s="2">
        <v>50854</v>
      </c>
      <c r="M158" s="2"/>
      <c r="N158" s="2">
        <v>45845</v>
      </c>
      <c r="P158" s="2">
        <v>50865</v>
      </c>
      <c r="Q158" s="2"/>
      <c r="R158" s="2">
        <v>45832</v>
      </c>
      <c r="AB158" s="2"/>
    </row>
    <row r="159" spans="8:28" ht="15" customHeight="1">
      <c r="H159" s="2">
        <v>50867</v>
      </c>
      <c r="I159" s="2"/>
      <c r="J159" s="2">
        <v>45828</v>
      </c>
      <c r="K159" s="2"/>
      <c r="L159" s="2">
        <v>50853</v>
      </c>
      <c r="M159" s="2"/>
      <c r="N159" s="2">
        <v>45846</v>
      </c>
      <c r="P159" s="2">
        <v>50864</v>
      </c>
      <c r="Q159" s="2"/>
      <c r="R159" s="2">
        <v>45833</v>
      </c>
      <c r="AB159" s="2"/>
    </row>
    <row r="160" spans="8:28" ht="15" customHeight="1">
      <c r="H160" s="2">
        <v>50866</v>
      </c>
      <c r="I160" s="2"/>
      <c r="J160" s="2">
        <v>45831</v>
      </c>
      <c r="K160" s="2"/>
      <c r="L160" s="2">
        <v>50852</v>
      </c>
      <c r="M160" s="2"/>
      <c r="N160" s="2">
        <v>45847</v>
      </c>
      <c r="P160" s="2">
        <v>50861</v>
      </c>
      <c r="Q160" s="2"/>
      <c r="R160" s="2">
        <v>45834</v>
      </c>
      <c r="AB160" s="2"/>
    </row>
    <row r="161" spans="8:28" ht="15" customHeight="1">
      <c r="H161" s="2">
        <v>50865</v>
      </c>
      <c r="I161" s="2"/>
      <c r="J161" s="2">
        <v>45832</v>
      </c>
      <c r="K161" s="2"/>
      <c r="L161" s="2">
        <v>50851</v>
      </c>
      <c r="M161" s="2"/>
      <c r="N161" s="2">
        <v>45848</v>
      </c>
      <c r="P161" s="2">
        <v>50860</v>
      </c>
      <c r="Q161" s="2"/>
      <c r="R161" s="2">
        <v>45835</v>
      </c>
      <c r="AB161" s="2"/>
    </row>
    <row r="162" spans="8:28" ht="15" customHeight="1">
      <c r="H162" s="2">
        <v>50864</v>
      </c>
      <c r="I162" s="2"/>
      <c r="J162" s="2">
        <v>45833</v>
      </c>
      <c r="K162" s="2"/>
      <c r="L162" s="2">
        <v>50847</v>
      </c>
      <c r="M162" s="2"/>
      <c r="N162" s="2">
        <v>45849</v>
      </c>
      <c r="P162" s="2">
        <v>50859</v>
      </c>
      <c r="Q162" s="2"/>
      <c r="R162" s="2">
        <v>45838</v>
      </c>
      <c r="AB162" s="2"/>
    </row>
    <row r="163" spans="8:28" ht="15" customHeight="1">
      <c r="H163" s="2">
        <v>50861</v>
      </c>
      <c r="I163" s="2"/>
      <c r="J163" s="2">
        <v>45834</v>
      </c>
      <c r="K163" s="2"/>
      <c r="L163" s="2">
        <v>50846</v>
      </c>
      <c r="M163" s="2"/>
      <c r="N163" s="2">
        <v>45852</v>
      </c>
      <c r="P163" s="2">
        <v>50858</v>
      </c>
      <c r="Q163" s="2"/>
      <c r="R163" s="2">
        <v>45839</v>
      </c>
      <c r="AB163" s="2"/>
    </row>
    <row r="164" spans="8:28" ht="15" customHeight="1">
      <c r="H164" s="2">
        <v>50860</v>
      </c>
      <c r="I164" s="2"/>
      <c r="J164" s="2">
        <v>45835</v>
      </c>
      <c r="K164" s="2"/>
      <c r="L164" s="2">
        <v>50845</v>
      </c>
      <c r="M164" s="2"/>
      <c r="N164" s="2">
        <v>45853</v>
      </c>
      <c r="P164" s="2">
        <v>50857</v>
      </c>
      <c r="Q164" s="2"/>
      <c r="R164" s="2">
        <v>45840</v>
      </c>
      <c r="AB164" s="2"/>
    </row>
    <row r="165" spans="8:28" ht="15" customHeight="1">
      <c r="H165" s="2">
        <v>50859</v>
      </c>
      <c r="I165" s="2"/>
      <c r="J165" s="2">
        <v>45838</v>
      </c>
      <c r="K165" s="2"/>
      <c r="L165" s="2">
        <v>50844</v>
      </c>
      <c r="M165" s="2"/>
      <c r="N165" s="2">
        <v>45854</v>
      </c>
      <c r="P165" s="2">
        <v>50854</v>
      </c>
      <c r="Q165" s="2"/>
      <c r="R165" s="2">
        <v>45841</v>
      </c>
      <c r="AB165" s="2"/>
    </row>
    <row r="166" spans="8:28" ht="15" customHeight="1">
      <c r="H166" s="2">
        <v>50858</v>
      </c>
      <c r="I166" s="2"/>
      <c r="J166" s="2">
        <v>45839</v>
      </c>
      <c r="K166" s="2"/>
      <c r="L166" s="2">
        <v>50843</v>
      </c>
      <c r="M166" s="2"/>
      <c r="N166" s="2">
        <v>45855</v>
      </c>
      <c r="P166" s="2">
        <v>50853</v>
      </c>
      <c r="Q166" s="2"/>
      <c r="R166" s="2">
        <v>45842</v>
      </c>
      <c r="AB166" s="2"/>
    </row>
    <row r="167" spans="8:28" ht="15" customHeight="1">
      <c r="H167" s="2">
        <v>50857</v>
      </c>
      <c r="I167" s="2"/>
      <c r="J167" s="2">
        <v>45840</v>
      </c>
      <c r="K167" s="2"/>
      <c r="L167" s="2">
        <v>50840</v>
      </c>
      <c r="M167" s="2"/>
      <c r="N167" s="2">
        <v>45856</v>
      </c>
      <c r="P167" s="2">
        <v>50852</v>
      </c>
      <c r="Q167" s="2"/>
      <c r="R167" s="2">
        <v>45845</v>
      </c>
      <c r="AB167" s="2"/>
    </row>
    <row r="168" spans="8:28" ht="15" customHeight="1">
      <c r="H168" s="2">
        <v>50854</v>
      </c>
      <c r="I168" s="2"/>
      <c r="J168" s="2">
        <v>45841</v>
      </c>
      <c r="K168" s="2"/>
      <c r="L168" s="2">
        <v>50839</v>
      </c>
      <c r="M168" s="2"/>
      <c r="N168" s="2">
        <v>45860</v>
      </c>
      <c r="P168" s="2">
        <v>50851</v>
      </c>
      <c r="Q168" s="2"/>
      <c r="R168" s="2">
        <v>45846</v>
      </c>
      <c r="AB168" s="2"/>
    </row>
    <row r="169" spans="8:28" ht="15" customHeight="1">
      <c r="H169" s="2">
        <v>50853</v>
      </c>
      <c r="I169" s="2"/>
      <c r="J169" s="2">
        <v>45845</v>
      </c>
      <c r="K169" s="2"/>
      <c r="L169" s="2">
        <v>50838</v>
      </c>
      <c r="M169" s="2"/>
      <c r="N169" s="2">
        <v>45861</v>
      </c>
      <c r="P169" s="2">
        <v>50850</v>
      </c>
      <c r="Q169" s="2"/>
      <c r="R169" s="2">
        <v>45847</v>
      </c>
      <c r="AB169" s="2"/>
    </row>
    <row r="170" spans="8:28" ht="15" customHeight="1">
      <c r="H170" s="2">
        <v>50852</v>
      </c>
      <c r="I170" s="2"/>
      <c r="J170" s="2">
        <v>45846</v>
      </c>
      <c r="K170" s="2"/>
      <c r="L170" s="2">
        <v>50837</v>
      </c>
      <c r="M170" s="2"/>
      <c r="N170" s="2">
        <v>45862</v>
      </c>
      <c r="P170" s="2">
        <v>50847</v>
      </c>
      <c r="Q170" s="2"/>
      <c r="R170" s="2">
        <v>45848</v>
      </c>
      <c r="AB170" s="2"/>
    </row>
    <row r="171" spans="8:28" ht="15" customHeight="1">
      <c r="H171" s="2">
        <v>50851</v>
      </c>
      <c r="I171" s="2"/>
      <c r="J171" s="2">
        <v>45847</v>
      </c>
      <c r="K171" s="2"/>
      <c r="L171" s="2">
        <v>50836</v>
      </c>
      <c r="M171" s="2"/>
      <c r="N171" s="2">
        <v>45863</v>
      </c>
      <c r="P171" s="2">
        <v>50846</v>
      </c>
      <c r="Q171" s="2"/>
      <c r="R171" s="2">
        <v>45849</v>
      </c>
      <c r="AB171" s="2"/>
    </row>
    <row r="172" spans="8:28" ht="15" customHeight="1">
      <c r="H172" s="2">
        <v>50850</v>
      </c>
      <c r="I172" s="2"/>
      <c r="J172" s="2">
        <v>45848</v>
      </c>
      <c r="K172" s="2"/>
      <c r="L172" s="2">
        <v>50833</v>
      </c>
      <c r="M172" s="2"/>
      <c r="N172" s="2">
        <v>45866</v>
      </c>
      <c r="P172" s="2">
        <v>50845</v>
      </c>
      <c r="Q172" s="2"/>
      <c r="R172" s="2">
        <v>45852</v>
      </c>
      <c r="AB172" s="2"/>
    </row>
    <row r="173" spans="8:28" ht="15" customHeight="1">
      <c r="H173" s="2">
        <v>50847</v>
      </c>
      <c r="I173" s="2"/>
      <c r="J173" s="2">
        <v>45849</v>
      </c>
      <c r="K173" s="2"/>
      <c r="L173" s="2">
        <v>50832</v>
      </c>
      <c r="M173" s="2"/>
      <c r="N173" s="2">
        <v>45867</v>
      </c>
      <c r="P173" s="2">
        <v>50844</v>
      </c>
      <c r="Q173" s="2"/>
      <c r="R173" s="2">
        <v>45853</v>
      </c>
      <c r="AB173" s="2"/>
    </row>
    <row r="174" spans="8:28" ht="15" customHeight="1">
      <c r="H174" s="2">
        <v>50846</v>
      </c>
      <c r="I174" s="2"/>
      <c r="J174" s="2">
        <v>45852</v>
      </c>
      <c r="K174" s="2"/>
      <c r="L174" s="2">
        <v>50831</v>
      </c>
      <c r="M174" s="2"/>
      <c r="N174" s="2">
        <v>45868</v>
      </c>
      <c r="P174" s="2">
        <v>50843</v>
      </c>
      <c r="Q174" s="2"/>
      <c r="R174" s="2">
        <v>45854</v>
      </c>
      <c r="AB174" s="2"/>
    </row>
    <row r="175" spans="8:28" ht="15" customHeight="1">
      <c r="H175" s="2">
        <v>50845</v>
      </c>
      <c r="I175" s="2"/>
      <c r="J175" s="2">
        <v>45853</v>
      </c>
      <c r="K175" s="2"/>
      <c r="L175" s="2">
        <v>50830</v>
      </c>
      <c r="M175" s="2"/>
      <c r="N175" s="2">
        <v>45869</v>
      </c>
      <c r="P175" s="2">
        <v>50840</v>
      </c>
      <c r="Q175" s="2"/>
      <c r="R175" s="2">
        <v>45855</v>
      </c>
      <c r="AB175" s="2"/>
    </row>
    <row r="176" spans="8:28" ht="15" customHeight="1">
      <c r="H176" s="2">
        <v>50844</v>
      </c>
      <c r="I176" s="2"/>
      <c r="J176" s="2">
        <v>45854</v>
      </c>
      <c r="K176" s="2"/>
      <c r="L176" s="2">
        <v>50829</v>
      </c>
      <c r="M176" s="2"/>
      <c r="N176" s="2">
        <v>45870</v>
      </c>
      <c r="P176" s="2">
        <v>50839</v>
      </c>
      <c r="Q176" s="2"/>
      <c r="R176" s="2">
        <v>45856</v>
      </c>
      <c r="AB176" s="2"/>
    </row>
    <row r="177" spans="8:28" ht="15" customHeight="1">
      <c r="H177" s="2">
        <v>50843</v>
      </c>
      <c r="I177" s="2"/>
      <c r="J177" s="2">
        <v>45855</v>
      </c>
      <c r="K177" s="2"/>
      <c r="L177" s="2">
        <v>50826</v>
      </c>
      <c r="M177" s="2"/>
      <c r="N177" s="2">
        <v>45873</v>
      </c>
      <c r="P177" s="2">
        <v>50838</v>
      </c>
      <c r="Q177" s="2"/>
      <c r="R177" s="2">
        <v>45859</v>
      </c>
      <c r="AB177" s="2"/>
    </row>
    <row r="178" spans="8:28" ht="15" customHeight="1">
      <c r="H178" s="2">
        <v>50840</v>
      </c>
      <c r="I178" s="2"/>
      <c r="J178" s="2">
        <v>45856</v>
      </c>
      <c r="K178" s="2"/>
      <c r="L178" s="2">
        <v>50825</v>
      </c>
      <c r="M178" s="2"/>
      <c r="N178" s="2">
        <v>45874</v>
      </c>
      <c r="P178" s="2">
        <v>50837</v>
      </c>
      <c r="Q178" s="2"/>
      <c r="R178" s="2">
        <v>45860</v>
      </c>
      <c r="AB178" s="2"/>
    </row>
    <row r="179" spans="8:28" ht="15" customHeight="1">
      <c r="H179" s="2">
        <v>50839</v>
      </c>
      <c r="I179" s="2"/>
      <c r="J179" s="2">
        <v>45859</v>
      </c>
      <c r="K179" s="2"/>
      <c r="L179" s="2">
        <v>50823</v>
      </c>
      <c r="M179" s="2"/>
      <c r="N179" s="2">
        <v>45875</v>
      </c>
      <c r="P179" s="2">
        <v>50836</v>
      </c>
      <c r="Q179" s="2"/>
      <c r="R179" s="2">
        <v>45861</v>
      </c>
      <c r="AB179" s="2"/>
    </row>
    <row r="180" spans="8:28" ht="15" customHeight="1">
      <c r="H180" s="2">
        <v>50838</v>
      </c>
      <c r="I180" s="2"/>
      <c r="J180" s="2">
        <v>45860</v>
      </c>
      <c r="K180" s="2"/>
      <c r="L180" s="2">
        <v>50819</v>
      </c>
      <c r="M180" s="2"/>
      <c r="N180" s="2">
        <v>45876</v>
      </c>
      <c r="P180" s="2">
        <v>50833</v>
      </c>
      <c r="Q180" s="2"/>
      <c r="R180" s="2">
        <v>45862</v>
      </c>
      <c r="AB180" s="2"/>
    </row>
    <row r="181" spans="8:28" ht="15" customHeight="1">
      <c r="H181" s="2">
        <v>50837</v>
      </c>
      <c r="I181" s="2"/>
      <c r="J181" s="2">
        <v>45861</v>
      </c>
      <c r="K181" s="2"/>
      <c r="L181" s="2">
        <v>50818</v>
      </c>
      <c r="M181" s="2"/>
      <c r="N181" s="2">
        <v>45877</v>
      </c>
      <c r="P181" s="2">
        <v>50832</v>
      </c>
      <c r="Q181" s="2"/>
      <c r="R181" s="2">
        <v>45863</v>
      </c>
      <c r="AB181" s="2"/>
    </row>
    <row r="182" spans="8:28" ht="15" customHeight="1">
      <c r="H182" s="2">
        <v>50836</v>
      </c>
      <c r="I182" s="2"/>
      <c r="J182" s="2">
        <v>45862</v>
      </c>
      <c r="K182" s="2"/>
      <c r="L182" s="2">
        <v>50817</v>
      </c>
      <c r="M182" s="2"/>
      <c r="N182" s="2">
        <v>45881</v>
      </c>
      <c r="P182" s="2">
        <v>50831</v>
      </c>
      <c r="Q182" s="2"/>
      <c r="R182" s="2">
        <v>45866</v>
      </c>
      <c r="AB182" s="2"/>
    </row>
    <row r="183" spans="8:28" ht="15" customHeight="1">
      <c r="H183" s="2">
        <v>50833</v>
      </c>
      <c r="I183" s="2"/>
      <c r="J183" s="2">
        <v>45863</v>
      </c>
      <c r="K183" s="2"/>
      <c r="L183" s="2">
        <v>50816</v>
      </c>
      <c r="M183" s="2"/>
      <c r="N183" s="2">
        <v>45882</v>
      </c>
      <c r="P183" s="2">
        <v>50829</v>
      </c>
      <c r="Q183" s="2"/>
      <c r="R183" s="2">
        <v>45867</v>
      </c>
      <c r="AB183" s="2"/>
    </row>
    <row r="184" spans="8:28" ht="15" customHeight="1">
      <c r="H184" s="2">
        <v>50832</v>
      </c>
      <c r="I184" s="2"/>
      <c r="J184" s="2">
        <v>45866</v>
      </c>
      <c r="K184" s="2"/>
      <c r="L184" s="2">
        <v>50815</v>
      </c>
      <c r="M184" s="2"/>
      <c r="N184" s="2">
        <v>45883</v>
      </c>
      <c r="P184" s="2">
        <v>50826</v>
      </c>
      <c r="Q184" s="2"/>
      <c r="R184" s="2">
        <v>45868</v>
      </c>
      <c r="AB184" s="2"/>
    </row>
    <row r="185" spans="8:28" ht="15" customHeight="1">
      <c r="H185" s="2">
        <v>50831</v>
      </c>
      <c r="I185" s="2"/>
      <c r="J185" s="2">
        <v>45867</v>
      </c>
      <c r="K185" s="2"/>
      <c r="L185" s="2">
        <v>50811</v>
      </c>
      <c r="M185" s="2"/>
      <c r="N185" s="2">
        <v>45884</v>
      </c>
      <c r="P185" s="2">
        <v>50825</v>
      </c>
      <c r="Q185" s="2"/>
      <c r="R185" s="2">
        <v>45869</v>
      </c>
      <c r="AB185" s="2"/>
    </row>
    <row r="186" spans="8:28" ht="15" customHeight="1">
      <c r="H186" s="2">
        <v>50830</v>
      </c>
      <c r="I186" s="2"/>
      <c r="J186" s="2">
        <v>45868</v>
      </c>
      <c r="K186" s="2"/>
      <c r="L186" s="2">
        <v>50810</v>
      </c>
      <c r="M186" s="2"/>
      <c r="N186" s="2">
        <v>45887</v>
      </c>
      <c r="P186" s="2">
        <v>50824</v>
      </c>
      <c r="Q186" s="2"/>
      <c r="R186" s="2">
        <v>45870</v>
      </c>
      <c r="AB186" s="2"/>
    </row>
    <row r="187" spans="8:28" ht="15" customHeight="1">
      <c r="H187" s="2">
        <v>50829</v>
      </c>
      <c r="I187" s="2"/>
      <c r="J187" s="2">
        <v>45869</v>
      </c>
      <c r="K187" s="2"/>
      <c r="L187" s="2">
        <v>50809</v>
      </c>
      <c r="M187" s="2"/>
      <c r="N187" s="2">
        <v>45888</v>
      </c>
      <c r="P187" s="2">
        <v>50823</v>
      </c>
      <c r="Q187" s="2"/>
      <c r="R187" s="2">
        <v>45873</v>
      </c>
      <c r="AB187" s="2"/>
    </row>
    <row r="188" spans="8:28" ht="15" customHeight="1">
      <c r="H188" s="2">
        <v>50826</v>
      </c>
      <c r="I188" s="2"/>
      <c r="J188" s="2">
        <v>45870</v>
      </c>
      <c r="K188" s="2"/>
      <c r="L188" s="2">
        <v>50808</v>
      </c>
      <c r="M188" s="2"/>
      <c r="N188" s="2">
        <v>45889</v>
      </c>
      <c r="P188" s="2">
        <v>50822</v>
      </c>
      <c r="Q188" s="2"/>
      <c r="R188" s="2">
        <v>45874</v>
      </c>
      <c r="AB188" s="2"/>
    </row>
    <row r="189" spans="8:28" ht="15" customHeight="1">
      <c r="H189" s="2">
        <v>50825</v>
      </c>
      <c r="I189" s="2"/>
      <c r="J189" s="2">
        <v>45873</v>
      </c>
      <c r="K189" s="2"/>
      <c r="L189" s="2">
        <v>50805</v>
      </c>
      <c r="M189" s="2"/>
      <c r="N189" s="2">
        <v>45890</v>
      </c>
      <c r="P189" s="2">
        <v>50819</v>
      </c>
      <c r="Q189" s="2"/>
      <c r="R189" s="2">
        <v>45875</v>
      </c>
      <c r="AB189" s="2"/>
    </row>
    <row r="190" spans="8:28" ht="15" customHeight="1">
      <c r="H190" s="2">
        <v>50824</v>
      </c>
      <c r="I190" s="2"/>
      <c r="J190" s="2">
        <v>45874</v>
      </c>
      <c r="K190" s="2"/>
      <c r="L190" s="2">
        <v>50804</v>
      </c>
      <c r="M190" s="2"/>
      <c r="N190" s="2">
        <v>45891</v>
      </c>
      <c r="P190" s="2">
        <v>50818</v>
      </c>
      <c r="Q190" s="2"/>
      <c r="R190" s="2">
        <v>45876</v>
      </c>
      <c r="AB190" s="2"/>
    </row>
    <row r="191" spans="8:28" ht="15" customHeight="1">
      <c r="H191" s="2">
        <v>50823</v>
      </c>
      <c r="I191" s="2"/>
      <c r="J191" s="2">
        <v>45875</v>
      </c>
      <c r="K191" s="2"/>
      <c r="L191" s="2">
        <v>50803</v>
      </c>
      <c r="M191" s="2"/>
      <c r="N191" s="2">
        <v>45894</v>
      </c>
      <c r="P191" s="2">
        <v>50817</v>
      </c>
      <c r="Q191" s="2"/>
      <c r="R191" s="2">
        <v>45877</v>
      </c>
      <c r="AB191" s="2"/>
    </row>
    <row r="192" spans="8:28" ht="15" customHeight="1">
      <c r="H192" s="2">
        <v>50819</v>
      </c>
      <c r="I192" s="2"/>
      <c r="J192" s="2">
        <v>45876</v>
      </c>
      <c r="K192" s="2"/>
      <c r="L192" s="2">
        <v>50802</v>
      </c>
      <c r="M192" s="2"/>
      <c r="N192" s="2">
        <v>45895</v>
      </c>
      <c r="P192" s="2">
        <v>50816</v>
      </c>
      <c r="Q192" s="2"/>
      <c r="R192" s="2">
        <v>45880</v>
      </c>
      <c r="AB192" s="2"/>
    </row>
    <row r="193" spans="8:28" ht="15" customHeight="1">
      <c r="H193" s="2">
        <v>50818</v>
      </c>
      <c r="I193" s="2"/>
      <c r="J193" s="2">
        <v>45877</v>
      </c>
      <c r="K193" s="2"/>
      <c r="L193" s="2">
        <v>50801</v>
      </c>
      <c r="M193" s="2"/>
      <c r="N193" s="2">
        <v>45896</v>
      </c>
      <c r="P193" s="2">
        <v>50815</v>
      </c>
      <c r="Q193" s="2"/>
      <c r="R193" s="2">
        <v>45881</v>
      </c>
      <c r="AB193" s="2"/>
    </row>
    <row r="194" spans="8:28" ht="15" customHeight="1">
      <c r="H194" s="2">
        <v>50817</v>
      </c>
      <c r="I194" s="2"/>
      <c r="J194" s="2">
        <v>45880</v>
      </c>
      <c r="K194" s="2"/>
      <c r="L194" s="2">
        <v>50798</v>
      </c>
      <c r="M194" s="2"/>
      <c r="N194" s="2">
        <v>45897</v>
      </c>
      <c r="P194" s="2">
        <v>50812</v>
      </c>
      <c r="Q194" s="2"/>
      <c r="R194" s="2">
        <v>45882</v>
      </c>
      <c r="AB194" s="2"/>
    </row>
    <row r="195" spans="8:28" ht="15" customHeight="1">
      <c r="H195" s="2">
        <v>50816</v>
      </c>
      <c r="I195" s="2"/>
      <c r="J195" s="2">
        <v>45881</v>
      </c>
      <c r="K195" s="2"/>
      <c r="L195" s="2">
        <v>50797</v>
      </c>
      <c r="M195" s="2"/>
      <c r="N195" s="2">
        <v>45898</v>
      </c>
      <c r="P195" s="2">
        <v>50811</v>
      </c>
      <c r="Q195" s="2"/>
      <c r="R195" s="2">
        <v>45883</v>
      </c>
      <c r="AB195" s="2"/>
    </row>
    <row r="196" spans="8:28" ht="15" customHeight="1">
      <c r="H196" s="2">
        <v>50815</v>
      </c>
      <c r="I196" s="2"/>
      <c r="J196" s="2">
        <v>45882</v>
      </c>
      <c r="K196" s="2"/>
      <c r="L196" s="2">
        <v>50796</v>
      </c>
      <c r="M196" s="2"/>
      <c r="N196" s="2">
        <v>45902</v>
      </c>
      <c r="P196" s="2">
        <v>50810</v>
      </c>
      <c r="Q196" s="2"/>
      <c r="R196" s="2">
        <v>45887</v>
      </c>
      <c r="AB196" s="2"/>
    </row>
    <row r="197" spans="8:28" ht="15" customHeight="1">
      <c r="H197" s="2">
        <v>50812</v>
      </c>
      <c r="I197" s="2"/>
      <c r="J197" s="2">
        <v>45883</v>
      </c>
      <c r="K197" s="2"/>
      <c r="L197" s="2">
        <v>50795</v>
      </c>
      <c r="M197" s="2"/>
      <c r="N197" s="2">
        <v>45903</v>
      </c>
      <c r="P197" s="2">
        <v>50809</v>
      </c>
      <c r="Q197" s="2"/>
      <c r="R197" s="2">
        <v>45888</v>
      </c>
      <c r="AB197" s="2"/>
    </row>
    <row r="198" spans="8:28" ht="15" customHeight="1">
      <c r="H198" s="2">
        <v>50811</v>
      </c>
      <c r="I198" s="2"/>
      <c r="J198" s="2">
        <v>45884</v>
      </c>
      <c r="K198" s="2"/>
      <c r="L198" s="2">
        <v>50794</v>
      </c>
      <c r="M198" s="2"/>
      <c r="N198" s="2">
        <v>45904</v>
      </c>
      <c r="P198" s="2">
        <v>50808</v>
      </c>
      <c r="Q198" s="2"/>
      <c r="R198" s="2">
        <v>45889</v>
      </c>
      <c r="AB198" s="2"/>
    </row>
    <row r="199" spans="8:28" ht="15" customHeight="1">
      <c r="H199" s="2">
        <v>50810</v>
      </c>
      <c r="I199" s="2"/>
      <c r="J199" s="2">
        <v>45887</v>
      </c>
      <c r="K199" s="2"/>
      <c r="L199" s="2">
        <v>50791</v>
      </c>
      <c r="M199" s="2"/>
      <c r="N199" s="2">
        <v>45905</v>
      </c>
      <c r="P199" s="2">
        <v>50805</v>
      </c>
      <c r="Q199" s="2"/>
      <c r="R199" s="2">
        <v>45890</v>
      </c>
      <c r="AB199" s="2"/>
    </row>
    <row r="200" spans="8:28" ht="15" customHeight="1">
      <c r="H200" s="2">
        <v>50809</v>
      </c>
      <c r="I200" s="2"/>
      <c r="J200" s="2">
        <v>45888</v>
      </c>
      <c r="K200" s="2"/>
      <c r="L200" s="2">
        <v>50790</v>
      </c>
      <c r="M200" s="2"/>
      <c r="N200" s="2">
        <v>45908</v>
      </c>
      <c r="P200" s="2">
        <v>50804</v>
      </c>
      <c r="Q200" s="2"/>
      <c r="R200" s="2">
        <v>45891</v>
      </c>
      <c r="AB200" s="2"/>
    </row>
    <row r="201" spans="8:28" ht="15" customHeight="1">
      <c r="H201" s="2">
        <v>50808</v>
      </c>
      <c r="I201" s="2"/>
      <c r="J201" s="2">
        <v>45889</v>
      </c>
      <c r="K201" s="2"/>
      <c r="L201" s="2">
        <v>50789</v>
      </c>
      <c r="M201" s="2"/>
      <c r="N201" s="2">
        <v>45909</v>
      </c>
      <c r="P201" s="2">
        <v>50803</v>
      </c>
      <c r="Q201" s="2"/>
      <c r="R201" s="2">
        <v>45894</v>
      </c>
      <c r="AB201" s="2"/>
    </row>
    <row r="202" spans="8:28" ht="15" customHeight="1">
      <c r="H202" s="2">
        <v>50805</v>
      </c>
      <c r="I202" s="2"/>
      <c r="J202" s="2">
        <v>45890</v>
      </c>
      <c r="K202" s="2"/>
      <c r="L202" s="2">
        <v>50788</v>
      </c>
      <c r="M202" s="2"/>
      <c r="N202" s="2">
        <v>45910</v>
      </c>
      <c r="P202" s="2">
        <v>50802</v>
      </c>
      <c r="Q202" s="2"/>
      <c r="R202" s="2">
        <v>45895</v>
      </c>
      <c r="AB202" s="2"/>
    </row>
    <row r="203" spans="8:28" ht="15" customHeight="1">
      <c r="H203" s="2">
        <v>50804</v>
      </c>
      <c r="I203" s="2"/>
      <c r="J203" s="2">
        <v>45891</v>
      </c>
      <c r="K203" s="2"/>
      <c r="L203" s="2">
        <v>50784</v>
      </c>
      <c r="M203" s="2"/>
      <c r="N203" s="2">
        <v>45911</v>
      </c>
      <c r="P203" s="2">
        <v>50801</v>
      </c>
      <c r="Q203" s="2"/>
      <c r="R203" s="2">
        <v>45896</v>
      </c>
      <c r="AB203" s="2"/>
    </row>
    <row r="204" spans="8:28" ht="15" customHeight="1">
      <c r="H204" s="2">
        <v>50803</v>
      </c>
      <c r="I204" s="2"/>
      <c r="J204" s="2">
        <v>45894</v>
      </c>
      <c r="K204" s="2"/>
      <c r="L204" s="2">
        <v>50783</v>
      </c>
      <c r="M204" s="2"/>
      <c r="N204" s="2">
        <v>45912</v>
      </c>
      <c r="P204" s="2">
        <v>50798</v>
      </c>
      <c r="Q204" s="2"/>
      <c r="R204" s="2">
        <v>45897</v>
      </c>
      <c r="AB204" s="2"/>
    </row>
    <row r="205" spans="8:28" ht="15" customHeight="1">
      <c r="H205" s="2">
        <v>50802</v>
      </c>
      <c r="I205" s="2"/>
      <c r="J205" s="2">
        <v>45895</v>
      </c>
      <c r="K205" s="2"/>
      <c r="L205" s="2">
        <v>50782</v>
      </c>
      <c r="M205" s="2"/>
      <c r="N205" s="2">
        <v>45916</v>
      </c>
      <c r="P205" s="2">
        <v>50797</v>
      </c>
      <c r="Q205" s="2"/>
      <c r="R205" s="2">
        <v>45898</v>
      </c>
      <c r="AB205" s="2"/>
    </row>
    <row r="206" spans="8:28" ht="15" customHeight="1">
      <c r="H206" s="2">
        <v>50801</v>
      </c>
      <c r="I206" s="2"/>
      <c r="J206" s="2">
        <v>45896</v>
      </c>
      <c r="K206" s="2"/>
      <c r="L206" s="2">
        <v>50781</v>
      </c>
      <c r="M206" s="2"/>
      <c r="N206" s="2">
        <v>45917</v>
      </c>
      <c r="P206" s="2">
        <v>50791</v>
      </c>
      <c r="Q206" s="2"/>
      <c r="R206" s="2">
        <v>45901</v>
      </c>
      <c r="AB206" s="2"/>
    </row>
    <row r="207" spans="8:28" ht="15" customHeight="1">
      <c r="H207" s="2">
        <v>50798</v>
      </c>
      <c r="I207" s="2"/>
      <c r="J207" s="2">
        <v>45897</v>
      </c>
      <c r="K207" s="2"/>
      <c r="L207" s="2">
        <v>50777</v>
      </c>
      <c r="M207" s="2"/>
      <c r="N207" s="2">
        <v>45918</v>
      </c>
      <c r="P207" s="2">
        <v>50790</v>
      </c>
      <c r="Q207" s="2"/>
      <c r="R207" s="2">
        <v>45902</v>
      </c>
      <c r="AB207" s="2"/>
    </row>
    <row r="208" spans="8:28" ht="15" customHeight="1">
      <c r="H208" s="2">
        <v>50797</v>
      </c>
      <c r="I208" s="2"/>
      <c r="J208" s="2">
        <v>45898</v>
      </c>
      <c r="K208" s="2"/>
      <c r="L208" s="2">
        <v>50776</v>
      </c>
      <c r="M208" s="2"/>
      <c r="N208" s="2">
        <v>45919</v>
      </c>
      <c r="P208" s="2">
        <v>50789</v>
      </c>
      <c r="Q208" s="2"/>
      <c r="R208" s="2">
        <v>45903</v>
      </c>
      <c r="AB208" s="2"/>
    </row>
    <row r="209" spans="8:28" ht="15" customHeight="1">
      <c r="H209" s="2">
        <v>50796</v>
      </c>
      <c r="I209" s="2"/>
      <c r="J209" s="2">
        <v>45902</v>
      </c>
      <c r="K209" s="2"/>
      <c r="L209" s="2">
        <v>50775</v>
      </c>
      <c r="M209" s="2"/>
      <c r="N209" s="2">
        <v>45922</v>
      </c>
      <c r="P209" s="2">
        <v>50788</v>
      </c>
      <c r="Q209" s="2"/>
      <c r="R209" s="2">
        <v>45904</v>
      </c>
      <c r="AB209" s="2"/>
    </row>
    <row r="210" spans="8:28" ht="15" customHeight="1">
      <c r="H210" s="2">
        <v>50795</v>
      </c>
      <c r="I210" s="2"/>
      <c r="J210" s="2">
        <v>45903</v>
      </c>
      <c r="K210" s="2"/>
      <c r="L210" s="2">
        <v>50774</v>
      </c>
      <c r="M210" s="2"/>
      <c r="N210" s="2">
        <v>45924</v>
      </c>
      <c r="P210" s="2">
        <v>50787</v>
      </c>
      <c r="Q210" s="2"/>
      <c r="R210" s="2">
        <v>45905</v>
      </c>
      <c r="AB210" s="2"/>
    </row>
    <row r="211" spans="8:28" ht="15" customHeight="1">
      <c r="H211" s="2">
        <v>50794</v>
      </c>
      <c r="I211" s="2"/>
      <c r="J211" s="2">
        <v>45904</v>
      </c>
      <c r="K211" s="2"/>
      <c r="L211" s="2">
        <v>50769</v>
      </c>
      <c r="M211" s="2"/>
      <c r="N211" s="2">
        <v>45925</v>
      </c>
      <c r="P211" s="2">
        <v>50784</v>
      </c>
      <c r="Q211" s="2"/>
      <c r="R211" s="2">
        <v>45908</v>
      </c>
      <c r="AB211" s="2"/>
    </row>
    <row r="212" spans="8:28" ht="15" customHeight="1">
      <c r="H212" s="2">
        <v>50791</v>
      </c>
      <c r="I212" s="2"/>
      <c r="J212" s="2">
        <v>45905</v>
      </c>
      <c r="K212" s="2"/>
      <c r="L212" s="2">
        <v>50768</v>
      </c>
      <c r="M212" s="2"/>
      <c r="N212" s="2">
        <v>45926</v>
      </c>
      <c r="P212" s="2">
        <v>50783</v>
      </c>
      <c r="Q212" s="2"/>
      <c r="R212" s="2">
        <v>45909</v>
      </c>
      <c r="AB212" s="2"/>
    </row>
    <row r="213" spans="8:28" ht="15" customHeight="1">
      <c r="H213" s="2">
        <v>50790</v>
      </c>
      <c r="I213" s="2"/>
      <c r="J213" s="2">
        <v>45908</v>
      </c>
      <c r="K213" s="2"/>
      <c r="L213" s="2">
        <v>50767</v>
      </c>
      <c r="M213" s="2"/>
      <c r="N213" s="2">
        <v>45929</v>
      </c>
      <c r="P213" s="2">
        <v>50782</v>
      </c>
      <c r="Q213" s="2"/>
      <c r="R213" s="2">
        <v>45910</v>
      </c>
      <c r="AB213" s="2"/>
    </row>
    <row r="214" spans="8:28" ht="15" customHeight="1">
      <c r="H214" s="2">
        <v>50789</v>
      </c>
      <c r="I214" s="2"/>
      <c r="J214" s="2">
        <v>45909</v>
      </c>
      <c r="K214" s="2"/>
      <c r="L214" s="2">
        <v>50766</v>
      </c>
      <c r="M214" s="2"/>
      <c r="N214" s="2">
        <v>45930</v>
      </c>
      <c r="P214" s="2">
        <v>50781</v>
      </c>
      <c r="Q214" s="2"/>
      <c r="R214" s="2">
        <v>45911</v>
      </c>
      <c r="AB214" s="2"/>
    </row>
    <row r="215" spans="8:28" ht="15" customHeight="1">
      <c r="H215" s="2">
        <v>50788</v>
      </c>
      <c r="I215" s="2"/>
      <c r="J215" s="2">
        <v>45910</v>
      </c>
      <c r="K215" s="2"/>
      <c r="L215" s="2">
        <v>50762</v>
      </c>
      <c r="M215" s="2"/>
      <c r="N215" s="2">
        <v>45931</v>
      </c>
      <c r="P215" s="2">
        <v>50780</v>
      </c>
      <c r="Q215" s="2"/>
      <c r="R215" s="2">
        <v>45912</v>
      </c>
      <c r="AB215" s="2"/>
    </row>
    <row r="216" spans="8:28" ht="15" customHeight="1">
      <c r="H216" s="2">
        <v>50784</v>
      </c>
      <c r="I216" s="2"/>
      <c r="J216" s="2">
        <v>45911</v>
      </c>
      <c r="K216" s="2"/>
      <c r="L216" s="2">
        <v>50761</v>
      </c>
      <c r="M216" s="2"/>
      <c r="N216" s="2">
        <v>45932</v>
      </c>
      <c r="P216" s="2">
        <v>50777</v>
      </c>
      <c r="Q216" s="2"/>
      <c r="R216" s="2">
        <v>45915</v>
      </c>
      <c r="AB216" s="2"/>
    </row>
    <row r="217" spans="8:28" ht="15" customHeight="1">
      <c r="H217" s="2">
        <v>50783</v>
      </c>
      <c r="I217" s="2"/>
      <c r="J217" s="2">
        <v>45912</v>
      </c>
      <c r="K217" s="2"/>
      <c r="L217" s="2">
        <v>50760</v>
      </c>
      <c r="M217" s="2"/>
      <c r="N217" s="2">
        <v>45933</v>
      </c>
      <c r="P217" s="2">
        <v>50776</v>
      </c>
      <c r="Q217" s="2"/>
      <c r="R217" s="2">
        <v>45916</v>
      </c>
      <c r="AB217" s="2"/>
    </row>
    <row r="218" spans="8:28" ht="15" customHeight="1">
      <c r="H218" s="2">
        <v>50782</v>
      </c>
      <c r="I218" s="2"/>
      <c r="J218" s="2">
        <v>45915</v>
      </c>
      <c r="K218" s="2"/>
      <c r="L218" s="2">
        <v>50759</v>
      </c>
      <c r="M218" s="2"/>
      <c r="N218" s="2">
        <v>45936</v>
      </c>
      <c r="P218" s="2">
        <v>50775</v>
      </c>
      <c r="Q218" s="2"/>
      <c r="R218" s="2">
        <v>45917</v>
      </c>
      <c r="AB218" s="2"/>
    </row>
    <row r="219" spans="8:28" ht="15" customHeight="1">
      <c r="H219" s="2">
        <v>50781</v>
      </c>
      <c r="I219" s="2"/>
      <c r="J219" s="2">
        <v>45916</v>
      </c>
      <c r="K219" s="2"/>
      <c r="L219" s="2">
        <v>50756</v>
      </c>
      <c r="M219" s="2"/>
      <c r="N219" s="2">
        <v>45937</v>
      </c>
      <c r="P219" s="2">
        <v>50774</v>
      </c>
      <c r="Q219" s="2"/>
      <c r="R219" s="2">
        <v>45918</v>
      </c>
      <c r="AB219" s="2"/>
    </row>
    <row r="220" spans="8:28" ht="15" customHeight="1">
      <c r="H220" s="2">
        <v>50780</v>
      </c>
      <c r="I220" s="2"/>
      <c r="J220" s="2">
        <v>45917</v>
      </c>
      <c r="K220" s="2"/>
      <c r="L220" s="2">
        <v>50755</v>
      </c>
      <c r="M220" s="2"/>
      <c r="N220" s="2">
        <v>45938</v>
      </c>
      <c r="P220" s="2">
        <v>50773</v>
      </c>
      <c r="Q220" s="2"/>
      <c r="R220" s="2">
        <v>45919</v>
      </c>
      <c r="AB220" s="2"/>
    </row>
    <row r="221" spans="8:28" ht="15" customHeight="1">
      <c r="H221" s="2">
        <v>50777</v>
      </c>
      <c r="I221" s="2"/>
      <c r="J221" s="2">
        <v>45918</v>
      </c>
      <c r="K221" s="2"/>
      <c r="L221" s="2">
        <v>50754</v>
      </c>
      <c r="M221" s="2"/>
      <c r="N221" s="2">
        <v>45939</v>
      </c>
      <c r="P221" s="2">
        <v>50769</v>
      </c>
      <c r="Q221" s="2"/>
      <c r="R221" s="2">
        <v>45922</v>
      </c>
      <c r="AB221" s="2"/>
    </row>
    <row r="222" spans="8:28" ht="15" customHeight="1">
      <c r="H222" s="2">
        <v>50776</v>
      </c>
      <c r="I222" s="2"/>
      <c r="J222" s="2">
        <v>45919</v>
      </c>
      <c r="K222" s="2"/>
      <c r="L222" s="2">
        <v>50753</v>
      </c>
      <c r="M222" s="2"/>
      <c r="N222" s="2">
        <v>45940</v>
      </c>
      <c r="P222" s="2">
        <v>50768</v>
      </c>
      <c r="Q222" s="2"/>
      <c r="R222" s="2">
        <v>45923</v>
      </c>
      <c r="AB222" s="2"/>
    </row>
    <row r="223" spans="8:28" ht="15" customHeight="1">
      <c r="H223" s="2">
        <v>50775</v>
      </c>
      <c r="I223" s="2"/>
      <c r="J223" s="2">
        <v>45922</v>
      </c>
      <c r="K223" s="2"/>
      <c r="L223" s="2">
        <v>50752</v>
      </c>
      <c r="M223" s="2"/>
      <c r="N223" s="2">
        <v>45944</v>
      </c>
      <c r="P223" s="2">
        <v>50767</v>
      </c>
      <c r="Q223" s="2"/>
      <c r="R223" s="2">
        <v>45924</v>
      </c>
      <c r="AB223" s="2"/>
    </row>
    <row r="224" spans="8:28" ht="15" customHeight="1">
      <c r="H224" s="2">
        <v>50774</v>
      </c>
      <c r="I224" s="2"/>
      <c r="J224" s="2">
        <v>45923</v>
      </c>
      <c r="K224" s="2"/>
      <c r="L224" s="2">
        <v>50749</v>
      </c>
      <c r="M224" s="2"/>
      <c r="N224" s="2">
        <v>45945</v>
      </c>
      <c r="P224" s="2">
        <v>50763</v>
      </c>
      <c r="Q224" s="2"/>
      <c r="R224" s="2">
        <v>45925</v>
      </c>
      <c r="AB224" s="2"/>
    </row>
    <row r="225" spans="8:28" ht="15" customHeight="1">
      <c r="H225" s="2">
        <v>50773</v>
      </c>
      <c r="I225" s="2"/>
      <c r="J225" s="2">
        <v>45924</v>
      </c>
      <c r="K225" s="2"/>
      <c r="L225" s="2">
        <v>50748</v>
      </c>
      <c r="M225" s="2"/>
      <c r="N225" s="2">
        <v>45946</v>
      </c>
      <c r="P225" s="2">
        <v>50762</v>
      </c>
      <c r="Q225" s="2"/>
      <c r="R225" s="2">
        <v>45926</v>
      </c>
      <c r="AB225" s="2"/>
    </row>
    <row r="226" spans="8:28" ht="15" customHeight="1">
      <c r="H226" s="2">
        <v>50770</v>
      </c>
      <c r="I226" s="2"/>
      <c r="J226" s="2">
        <v>45925</v>
      </c>
      <c r="K226" s="2"/>
      <c r="L226" s="2">
        <v>50747</v>
      </c>
      <c r="M226" s="2"/>
      <c r="N226" s="2">
        <v>45947</v>
      </c>
      <c r="P226" s="2">
        <v>50761</v>
      </c>
      <c r="Q226" s="2"/>
      <c r="R226" s="2">
        <v>45929</v>
      </c>
      <c r="AB226" s="2"/>
    </row>
    <row r="227" spans="8:28" ht="15" customHeight="1">
      <c r="H227" s="2">
        <v>50769</v>
      </c>
      <c r="I227" s="2"/>
      <c r="J227" s="2">
        <v>45926</v>
      </c>
      <c r="K227" s="2"/>
      <c r="L227" s="2">
        <v>50746</v>
      </c>
      <c r="M227" s="2"/>
      <c r="N227" s="2">
        <v>45950</v>
      </c>
      <c r="P227" s="2">
        <v>50760</v>
      </c>
      <c r="Q227" s="2"/>
      <c r="R227" s="2">
        <v>45930</v>
      </c>
      <c r="AB227" s="2"/>
    </row>
    <row r="228" spans="8:28" ht="15" customHeight="1">
      <c r="H228" s="2">
        <v>50768</v>
      </c>
      <c r="I228" s="2"/>
      <c r="J228" s="2">
        <v>45929</v>
      </c>
      <c r="K228" s="2"/>
      <c r="L228" s="2">
        <v>50745</v>
      </c>
      <c r="M228" s="2"/>
      <c r="N228" s="2">
        <v>45951</v>
      </c>
      <c r="P228" s="2">
        <v>50759</v>
      </c>
      <c r="Q228" s="2"/>
      <c r="R228" s="2">
        <v>45931</v>
      </c>
      <c r="AB228" s="2"/>
    </row>
    <row r="229" spans="8:28" ht="15" customHeight="1">
      <c r="H229" s="2">
        <v>50767</v>
      </c>
      <c r="I229" s="2"/>
      <c r="J229" s="2">
        <v>45930</v>
      </c>
      <c r="K229" s="2"/>
      <c r="L229" s="2">
        <v>50742</v>
      </c>
      <c r="M229" s="2"/>
      <c r="N229" s="2">
        <v>45952</v>
      </c>
      <c r="P229" s="2">
        <v>50756</v>
      </c>
      <c r="Q229" s="2"/>
      <c r="R229" s="2">
        <v>45932</v>
      </c>
      <c r="AB229" s="2"/>
    </row>
    <row r="230" spans="8:28" ht="15" customHeight="1">
      <c r="H230" s="2">
        <v>50766</v>
      </c>
      <c r="I230" s="2"/>
      <c r="J230" s="2">
        <v>45931</v>
      </c>
      <c r="K230" s="2"/>
      <c r="L230" s="2">
        <v>50741</v>
      </c>
      <c r="M230" s="2"/>
      <c r="N230" s="2">
        <v>45953</v>
      </c>
      <c r="P230" s="2">
        <v>50755</v>
      </c>
      <c r="Q230" s="2"/>
      <c r="R230" s="2">
        <v>45940</v>
      </c>
      <c r="AB230" s="2"/>
    </row>
    <row r="231" spans="8:28" ht="15" customHeight="1">
      <c r="H231" s="2">
        <v>50762</v>
      </c>
      <c r="I231" s="2"/>
      <c r="J231" s="2">
        <v>45932</v>
      </c>
      <c r="K231" s="2"/>
      <c r="L231" s="2">
        <v>50740</v>
      </c>
      <c r="M231" s="2"/>
      <c r="N231" s="2">
        <v>45954</v>
      </c>
      <c r="P231" s="2">
        <v>50754</v>
      </c>
      <c r="Q231" s="2"/>
      <c r="R231" s="2">
        <v>45943</v>
      </c>
      <c r="AB231" s="2"/>
    </row>
    <row r="232" spans="8:28" ht="15" customHeight="1">
      <c r="H232" s="2">
        <v>50761</v>
      </c>
      <c r="I232" s="2"/>
      <c r="J232" s="2">
        <v>45933</v>
      </c>
      <c r="K232" s="2"/>
      <c r="L232" s="2">
        <v>50739</v>
      </c>
      <c r="M232" s="2"/>
      <c r="N232" s="2">
        <v>45957</v>
      </c>
      <c r="P232" s="2">
        <v>50753</v>
      </c>
      <c r="Q232" s="2"/>
      <c r="R232" s="2">
        <v>45944</v>
      </c>
      <c r="AB232" s="2"/>
    </row>
    <row r="233" spans="8:28" ht="15" customHeight="1">
      <c r="H233" s="2">
        <v>50760</v>
      </c>
      <c r="I233" s="2"/>
      <c r="J233" s="2">
        <v>45936</v>
      </c>
      <c r="K233" s="2"/>
      <c r="L233" s="2">
        <v>50738</v>
      </c>
      <c r="M233" s="2"/>
      <c r="N233" s="2">
        <v>45958</v>
      </c>
      <c r="P233" s="2">
        <v>50752</v>
      </c>
      <c r="Q233" s="2"/>
      <c r="R233" s="2">
        <v>45945</v>
      </c>
      <c r="AB233" s="2"/>
    </row>
    <row r="234" spans="8:28" ht="15" customHeight="1">
      <c r="H234" s="2">
        <v>50759</v>
      </c>
      <c r="I234" s="2"/>
      <c r="J234" s="2">
        <v>45937</v>
      </c>
      <c r="K234" s="2"/>
      <c r="L234" s="2">
        <v>50735</v>
      </c>
      <c r="M234" s="2"/>
      <c r="N234" s="2">
        <v>45959</v>
      </c>
      <c r="P234" s="2">
        <v>50749</v>
      </c>
      <c r="Q234" s="2"/>
      <c r="R234" s="2">
        <v>45946</v>
      </c>
      <c r="AB234" s="2"/>
    </row>
    <row r="235" spans="8:28" ht="15" customHeight="1">
      <c r="H235" s="2">
        <v>50756</v>
      </c>
      <c r="I235" s="2"/>
      <c r="J235" s="2">
        <v>45938</v>
      </c>
      <c r="K235" s="2"/>
      <c r="L235" s="2">
        <v>50733</v>
      </c>
      <c r="M235" s="2"/>
      <c r="N235" s="2">
        <v>45960</v>
      </c>
      <c r="P235" s="2">
        <v>50748</v>
      </c>
      <c r="Q235" s="2"/>
      <c r="R235" s="2">
        <v>45947</v>
      </c>
      <c r="AB235" s="2"/>
    </row>
    <row r="236" spans="8:28" ht="15" customHeight="1">
      <c r="H236" s="2">
        <v>50755</v>
      </c>
      <c r="I236" s="2"/>
      <c r="J236" s="2">
        <v>45939</v>
      </c>
      <c r="K236" s="2"/>
      <c r="L236" s="2">
        <v>50731</v>
      </c>
      <c r="M236" s="2"/>
      <c r="N236" s="2">
        <v>45961</v>
      </c>
      <c r="P236" s="2">
        <v>50747</v>
      </c>
      <c r="Q236" s="2"/>
      <c r="R236" s="2">
        <v>45950</v>
      </c>
      <c r="AB236" s="2"/>
    </row>
    <row r="237" spans="8:28" ht="15" customHeight="1">
      <c r="H237" s="2">
        <v>50754</v>
      </c>
      <c r="I237" s="2"/>
      <c r="J237" s="2">
        <v>45940</v>
      </c>
      <c r="K237" s="2"/>
      <c r="L237" s="2">
        <v>50728</v>
      </c>
      <c r="M237" s="2"/>
      <c r="N237" s="2">
        <v>45965</v>
      </c>
      <c r="P237" s="2">
        <v>50746</v>
      </c>
      <c r="Q237" s="2"/>
      <c r="R237" s="2">
        <v>45951</v>
      </c>
      <c r="AB237" s="2"/>
    </row>
    <row r="238" spans="8:28" ht="15" customHeight="1">
      <c r="H238" s="2">
        <v>50753</v>
      </c>
      <c r="I238" s="2"/>
      <c r="J238" s="2">
        <v>45943</v>
      </c>
      <c r="K238" s="2"/>
      <c r="L238" s="2">
        <v>50727</v>
      </c>
      <c r="M238" s="2"/>
      <c r="N238" s="2">
        <v>45966</v>
      </c>
      <c r="P238" s="2">
        <v>50745</v>
      </c>
      <c r="Q238" s="2"/>
      <c r="R238" s="2">
        <v>45952</v>
      </c>
      <c r="AB238" s="2"/>
    </row>
    <row r="239" spans="8:28" ht="15" customHeight="1">
      <c r="H239" s="2">
        <v>50752</v>
      </c>
      <c r="I239" s="2"/>
      <c r="J239" s="2">
        <v>45944</v>
      </c>
      <c r="K239" s="2"/>
      <c r="L239" s="2">
        <v>50726</v>
      </c>
      <c r="M239" s="2"/>
      <c r="N239" s="2">
        <v>45967</v>
      </c>
      <c r="P239" s="2">
        <v>50742</v>
      </c>
      <c r="Q239" s="2"/>
      <c r="R239" s="2">
        <v>45953</v>
      </c>
      <c r="AB239" s="2"/>
    </row>
    <row r="240" spans="8:28" ht="15" customHeight="1">
      <c r="H240" s="2">
        <v>50749</v>
      </c>
      <c r="I240" s="2"/>
      <c r="J240" s="2">
        <v>45945</v>
      </c>
      <c r="K240" s="2"/>
      <c r="L240" s="2">
        <v>50725</v>
      </c>
      <c r="M240" s="2"/>
      <c r="N240" s="2">
        <v>45968</v>
      </c>
      <c r="P240" s="2">
        <v>50741</v>
      </c>
      <c r="Q240" s="2"/>
      <c r="R240" s="2">
        <v>45954</v>
      </c>
      <c r="AB240" s="2"/>
    </row>
    <row r="241" spans="8:28" ht="15" customHeight="1">
      <c r="H241" s="2">
        <v>50748</v>
      </c>
      <c r="I241" s="2"/>
      <c r="J241" s="2">
        <v>45946</v>
      </c>
      <c r="K241" s="2"/>
      <c r="L241" s="2">
        <v>50724</v>
      </c>
      <c r="M241" s="2"/>
      <c r="N241" s="2">
        <v>45971</v>
      </c>
      <c r="P241" s="2">
        <v>50740</v>
      </c>
      <c r="Q241" s="2"/>
      <c r="R241" s="2">
        <v>45957</v>
      </c>
      <c r="AB241" s="2"/>
    </row>
    <row r="242" spans="8:28" ht="15" customHeight="1">
      <c r="H242" s="2">
        <v>50747</v>
      </c>
      <c r="I242" s="2"/>
      <c r="J242" s="2">
        <v>45947</v>
      </c>
      <c r="K242" s="2"/>
      <c r="L242" s="2">
        <v>50721</v>
      </c>
      <c r="M242" s="2"/>
      <c r="N242" s="2">
        <v>45972</v>
      </c>
      <c r="P242" s="2">
        <v>50739</v>
      </c>
      <c r="Q242" s="2"/>
      <c r="R242" s="2">
        <v>45958</v>
      </c>
      <c r="AB242" s="2"/>
    </row>
    <row r="243" spans="8:28" ht="15" customHeight="1">
      <c r="H243" s="2">
        <v>50746</v>
      </c>
      <c r="I243" s="2"/>
      <c r="J243" s="2">
        <v>45950</v>
      </c>
      <c r="K243" s="2"/>
      <c r="L243" s="2">
        <v>50720</v>
      </c>
      <c r="M243" s="2"/>
      <c r="N243" s="2">
        <v>45973</v>
      </c>
      <c r="P243" s="2">
        <v>50738</v>
      </c>
      <c r="Q243" s="2"/>
      <c r="R243" s="2">
        <v>45959</v>
      </c>
      <c r="AB243" s="2"/>
    </row>
    <row r="244" spans="8:28" ht="15" customHeight="1">
      <c r="H244" s="2">
        <v>50745</v>
      </c>
      <c r="I244" s="2"/>
      <c r="J244" s="2">
        <v>45951</v>
      </c>
      <c r="K244" s="2"/>
      <c r="L244" s="2">
        <v>50719</v>
      </c>
      <c r="M244" s="2"/>
      <c r="N244" s="2">
        <v>45974</v>
      </c>
      <c r="P244" s="2">
        <v>50735</v>
      </c>
      <c r="Q244" s="2"/>
      <c r="R244" s="2">
        <v>45960</v>
      </c>
      <c r="AB244" s="2"/>
    </row>
    <row r="245" spans="8:28" ht="15" customHeight="1">
      <c r="H245" s="2">
        <v>50742</v>
      </c>
      <c r="I245" s="2"/>
      <c r="J245" s="2">
        <v>45952</v>
      </c>
      <c r="K245" s="2"/>
      <c r="L245" s="2">
        <v>50718</v>
      </c>
      <c r="M245" s="2"/>
      <c r="N245" s="2">
        <v>45975</v>
      </c>
      <c r="P245" s="2">
        <v>50734</v>
      </c>
      <c r="Q245" s="2"/>
      <c r="R245" s="2">
        <v>45961</v>
      </c>
      <c r="AB245" s="2"/>
    </row>
    <row r="246" spans="8:28" ht="15" customHeight="1">
      <c r="H246" s="2">
        <v>50741</v>
      </c>
      <c r="I246" s="2"/>
      <c r="J246" s="2">
        <v>45953</v>
      </c>
      <c r="K246" s="2"/>
      <c r="L246" s="2">
        <v>50717</v>
      </c>
      <c r="M246" s="2"/>
      <c r="N246" s="2">
        <v>45978</v>
      </c>
      <c r="P246" s="2">
        <v>50733</v>
      </c>
      <c r="Q246" s="2"/>
      <c r="R246" s="2">
        <v>45964</v>
      </c>
      <c r="AB246" s="2"/>
    </row>
    <row r="247" spans="8:28" ht="15" customHeight="1">
      <c r="H247" s="2">
        <v>50740</v>
      </c>
      <c r="I247" s="2"/>
      <c r="J247" s="2">
        <v>45954</v>
      </c>
      <c r="K247" s="2"/>
      <c r="L247" s="2">
        <v>50714</v>
      </c>
      <c r="M247" s="2"/>
      <c r="N247" s="2">
        <v>45979</v>
      </c>
      <c r="P247" s="2">
        <v>50732</v>
      </c>
      <c r="Q247" s="2"/>
      <c r="R247" s="2">
        <v>45965</v>
      </c>
      <c r="AB247" s="2"/>
    </row>
    <row r="248" spans="8:28" ht="15" customHeight="1">
      <c r="H248" s="2">
        <v>50739</v>
      </c>
      <c r="I248" s="2"/>
      <c r="J248" s="2">
        <v>45957</v>
      </c>
      <c r="K248" s="2"/>
      <c r="L248" s="2">
        <v>50713</v>
      </c>
      <c r="M248" s="2"/>
      <c r="N248" s="2">
        <v>45980</v>
      </c>
      <c r="P248" s="2">
        <v>50731</v>
      </c>
      <c r="Q248" s="2"/>
      <c r="R248" s="2">
        <v>45966</v>
      </c>
      <c r="AB248" s="2"/>
    </row>
    <row r="249" spans="8:28" ht="15" customHeight="1">
      <c r="H249" s="2">
        <v>50738</v>
      </c>
      <c r="I249" s="2"/>
      <c r="J249" s="2">
        <v>45958</v>
      </c>
      <c r="K249" s="2"/>
      <c r="L249" s="2">
        <v>50711</v>
      </c>
      <c r="M249" s="2"/>
      <c r="N249" s="2">
        <v>45981</v>
      </c>
      <c r="P249" s="2">
        <v>50728</v>
      </c>
      <c r="Q249" s="2"/>
      <c r="R249" s="2">
        <v>45967</v>
      </c>
      <c r="AB249" s="2"/>
    </row>
    <row r="250" spans="8:28" ht="15" customHeight="1">
      <c r="H250" s="2">
        <v>50735</v>
      </c>
      <c r="I250" s="2"/>
      <c r="J250" s="2">
        <v>45959</v>
      </c>
      <c r="K250" s="2"/>
      <c r="L250" s="2">
        <v>50710</v>
      </c>
      <c r="M250" s="2"/>
      <c r="N250" s="2">
        <v>45982</v>
      </c>
      <c r="P250" s="2">
        <v>50727</v>
      </c>
      <c r="Q250" s="2"/>
      <c r="R250" s="2">
        <v>45968</v>
      </c>
      <c r="AB250" s="2"/>
    </row>
    <row r="251" spans="8:28" ht="15" customHeight="1">
      <c r="H251" s="2">
        <v>50733</v>
      </c>
      <c r="I251" s="2"/>
      <c r="J251" s="2">
        <v>45960</v>
      </c>
      <c r="K251" s="2"/>
      <c r="L251" s="2">
        <v>50707</v>
      </c>
      <c r="M251" s="2"/>
      <c r="N251" s="2">
        <v>45986</v>
      </c>
      <c r="P251" s="2">
        <v>50726</v>
      </c>
      <c r="Q251" s="2"/>
      <c r="R251" s="2">
        <v>45971</v>
      </c>
      <c r="AB251" s="2"/>
    </row>
    <row r="252" spans="8:28" ht="15" customHeight="1">
      <c r="H252" s="2">
        <v>50732</v>
      </c>
      <c r="I252" s="2"/>
      <c r="J252" s="2">
        <v>45961</v>
      </c>
      <c r="K252" s="2"/>
      <c r="L252" s="2">
        <v>50706</v>
      </c>
      <c r="M252" s="2"/>
      <c r="N252" s="2">
        <v>45987</v>
      </c>
      <c r="P252" s="2">
        <v>50725</v>
      </c>
      <c r="Q252" s="2"/>
      <c r="R252" s="2">
        <v>45972</v>
      </c>
      <c r="AB252" s="2"/>
    </row>
    <row r="253" spans="8:28" ht="15" customHeight="1">
      <c r="H253" s="2">
        <v>50731</v>
      </c>
      <c r="I253" s="2"/>
      <c r="J253" s="2">
        <v>45964</v>
      </c>
      <c r="K253" s="2"/>
      <c r="L253" s="2">
        <v>50705</v>
      </c>
      <c r="M253" s="2"/>
      <c r="N253" s="2">
        <v>45989</v>
      </c>
      <c r="P253" s="2">
        <v>50724</v>
      </c>
      <c r="Q253" s="2"/>
      <c r="R253" s="2">
        <v>45973</v>
      </c>
      <c r="AB253" s="2"/>
    </row>
    <row r="254" spans="8:28" ht="15" customHeight="1">
      <c r="H254" s="2">
        <v>50728</v>
      </c>
      <c r="I254" s="2"/>
      <c r="J254" s="2">
        <v>45965</v>
      </c>
      <c r="K254" s="2"/>
      <c r="L254" s="2">
        <v>50704</v>
      </c>
      <c r="M254" s="2"/>
      <c r="N254" s="2">
        <v>45992</v>
      </c>
      <c r="P254" s="2">
        <v>50721</v>
      </c>
      <c r="Q254" s="2"/>
      <c r="R254" s="2">
        <v>45974</v>
      </c>
      <c r="AB254" s="2"/>
    </row>
    <row r="255" spans="8:28" ht="15" customHeight="1">
      <c r="H255" s="2">
        <v>50727</v>
      </c>
      <c r="I255" s="2"/>
      <c r="J255" s="2">
        <v>45966</v>
      </c>
      <c r="K255" s="2"/>
      <c r="L255" s="2">
        <v>50703</v>
      </c>
      <c r="M255" s="2"/>
      <c r="N255" s="2">
        <v>45993</v>
      </c>
      <c r="P255" s="2">
        <v>50720</v>
      </c>
      <c r="Q255" s="2"/>
      <c r="R255" s="2">
        <v>45975</v>
      </c>
      <c r="AB255" s="2"/>
    </row>
    <row r="256" spans="8:28" ht="15" customHeight="1">
      <c r="H256" s="2">
        <v>50726</v>
      </c>
      <c r="I256" s="2"/>
      <c r="J256" s="2">
        <v>45967</v>
      </c>
      <c r="K256" s="2"/>
      <c r="L256" s="2">
        <v>50700</v>
      </c>
      <c r="M256" s="2"/>
      <c r="N256" s="2">
        <v>45994</v>
      </c>
      <c r="P256" s="2">
        <v>50719</v>
      </c>
      <c r="Q256" s="2"/>
      <c r="R256" s="2">
        <v>45978</v>
      </c>
      <c r="AB256" s="2"/>
    </row>
    <row r="257" spans="8:28" ht="15" customHeight="1">
      <c r="H257" s="2">
        <v>50725</v>
      </c>
      <c r="I257" s="2"/>
      <c r="J257" s="2">
        <v>45968</v>
      </c>
      <c r="K257" s="2"/>
      <c r="L257" s="2">
        <v>50699</v>
      </c>
      <c r="M257" s="2"/>
      <c r="N257" s="2">
        <v>45995</v>
      </c>
      <c r="P257" s="2">
        <v>50718</v>
      </c>
      <c r="Q257" s="2"/>
      <c r="R257" s="2">
        <v>45979</v>
      </c>
      <c r="AB257" s="2"/>
    </row>
    <row r="258" spans="8:28" ht="15" customHeight="1">
      <c r="H258" s="2">
        <v>50724</v>
      </c>
      <c r="I258" s="2"/>
      <c r="J258" s="2">
        <v>45971</v>
      </c>
      <c r="K258" s="2"/>
      <c r="L258" s="2">
        <v>50698</v>
      </c>
      <c r="M258" s="2"/>
      <c r="N258" s="2">
        <v>45996</v>
      </c>
      <c r="P258" s="2">
        <v>50717</v>
      </c>
      <c r="Q258" s="2"/>
      <c r="R258" s="2">
        <v>45980</v>
      </c>
      <c r="AB258" s="2"/>
    </row>
    <row r="259" spans="8:28" ht="15" customHeight="1">
      <c r="H259" s="2">
        <v>50721</v>
      </c>
      <c r="I259" s="2"/>
      <c r="J259" s="2">
        <v>45972</v>
      </c>
      <c r="K259" s="2"/>
      <c r="L259" s="2">
        <v>50697</v>
      </c>
      <c r="M259" s="2"/>
      <c r="N259" s="2">
        <v>45999</v>
      </c>
      <c r="P259" s="2">
        <v>50714</v>
      </c>
      <c r="Q259" s="2"/>
      <c r="R259" s="2">
        <v>45981</v>
      </c>
      <c r="AB259" s="2"/>
    </row>
    <row r="260" spans="8:28" ht="15" customHeight="1">
      <c r="H260" s="2">
        <v>50720</v>
      </c>
      <c r="I260" s="2"/>
      <c r="J260" s="2">
        <v>45973</v>
      </c>
      <c r="K260" s="2"/>
      <c r="L260" s="2">
        <v>50696</v>
      </c>
      <c r="M260" s="2"/>
      <c r="N260" s="2">
        <v>46000</v>
      </c>
      <c r="P260" s="2">
        <v>50713</v>
      </c>
      <c r="Q260" s="2"/>
      <c r="R260" s="2">
        <v>45982</v>
      </c>
      <c r="AB260" s="2"/>
    </row>
    <row r="261" spans="8:28" ht="15" customHeight="1">
      <c r="H261" s="2">
        <v>50719</v>
      </c>
      <c r="I261" s="2"/>
      <c r="J261" s="2">
        <v>45974</v>
      </c>
      <c r="K261" s="2"/>
      <c r="L261" s="2">
        <v>50693</v>
      </c>
      <c r="M261" s="2"/>
      <c r="N261" s="2">
        <v>46001</v>
      </c>
      <c r="P261" s="2">
        <v>50712</v>
      </c>
      <c r="Q261" s="2"/>
      <c r="R261" s="2">
        <v>45985</v>
      </c>
      <c r="AB261" s="2"/>
    </row>
    <row r="262" spans="8:28" ht="15" customHeight="1">
      <c r="H262" s="2">
        <v>50718</v>
      </c>
      <c r="I262" s="2"/>
      <c r="J262" s="2">
        <v>45975</v>
      </c>
      <c r="K262" s="2"/>
      <c r="L262" s="2">
        <v>50692</v>
      </c>
      <c r="M262" s="2"/>
      <c r="N262" s="2">
        <v>46002</v>
      </c>
      <c r="P262" s="2">
        <v>50711</v>
      </c>
      <c r="Q262" s="2"/>
      <c r="R262" s="2">
        <v>45986</v>
      </c>
      <c r="AB262" s="2"/>
    </row>
    <row r="263" spans="8:28" ht="15" customHeight="1">
      <c r="H263" s="2">
        <v>50717</v>
      </c>
      <c r="I263" s="2"/>
      <c r="J263" s="2">
        <v>45978</v>
      </c>
      <c r="K263" s="2"/>
      <c r="L263" s="2">
        <v>50691</v>
      </c>
      <c r="M263" s="2"/>
      <c r="N263" s="2">
        <v>46003</v>
      </c>
      <c r="P263" s="2">
        <v>50710</v>
      </c>
      <c r="Q263" s="2"/>
      <c r="R263" s="2">
        <v>45987</v>
      </c>
      <c r="AB263" s="2"/>
    </row>
    <row r="264" spans="8:28" ht="15" customHeight="1">
      <c r="H264" s="2">
        <v>50714</v>
      </c>
      <c r="I264" s="2"/>
      <c r="J264" s="2">
        <v>45979</v>
      </c>
      <c r="K264" s="2"/>
      <c r="L264" s="2">
        <v>50690</v>
      </c>
      <c r="M264" s="2"/>
      <c r="N264" s="2">
        <v>46006</v>
      </c>
      <c r="P264" s="2">
        <v>50707</v>
      </c>
      <c r="Q264" s="2"/>
      <c r="R264" s="2">
        <v>45988</v>
      </c>
      <c r="AB264" s="2"/>
    </row>
    <row r="265" spans="8:28" ht="15" customHeight="1">
      <c r="H265" s="2">
        <v>50713</v>
      </c>
      <c r="I265" s="2"/>
      <c r="J265" s="2">
        <v>45980</v>
      </c>
      <c r="K265" s="2"/>
      <c r="L265" s="2">
        <v>50686</v>
      </c>
      <c r="M265" s="2"/>
      <c r="N265" s="2">
        <v>46007</v>
      </c>
      <c r="P265" s="2">
        <v>50706</v>
      </c>
      <c r="Q265" s="2"/>
      <c r="R265" s="2">
        <v>45989</v>
      </c>
      <c r="AB265" s="2"/>
    </row>
    <row r="266" spans="8:28" ht="15" customHeight="1">
      <c r="H266" s="2">
        <v>50712</v>
      </c>
      <c r="I266" s="2"/>
      <c r="J266" s="2">
        <v>45981</v>
      </c>
      <c r="K266" s="2"/>
      <c r="L266" s="2">
        <v>50685</v>
      </c>
      <c r="M266" s="2"/>
      <c r="N266" s="2">
        <v>46008</v>
      </c>
      <c r="P266" s="2">
        <v>50705</v>
      </c>
      <c r="Q266" s="2"/>
      <c r="R266" s="2">
        <v>45992</v>
      </c>
      <c r="AB266" s="2"/>
    </row>
    <row r="267" spans="8:28" ht="15" customHeight="1">
      <c r="H267" s="2">
        <v>50711</v>
      </c>
      <c r="I267" s="2"/>
      <c r="J267" s="2">
        <v>45982</v>
      </c>
      <c r="K267" s="2"/>
      <c r="L267" s="2">
        <v>50684</v>
      </c>
      <c r="M267" s="2"/>
      <c r="N267" s="2">
        <v>46009</v>
      </c>
      <c r="P267" s="2">
        <v>50704</v>
      </c>
      <c r="Q267" s="2"/>
      <c r="R267" s="2">
        <v>45993</v>
      </c>
      <c r="AB267" s="2"/>
    </row>
    <row r="268" spans="8:28" ht="15" customHeight="1">
      <c r="H268" s="2">
        <v>50710</v>
      </c>
      <c r="I268" s="2"/>
      <c r="J268" s="2">
        <v>45985</v>
      </c>
      <c r="K268" s="2"/>
      <c r="L268" s="2">
        <v>50683</v>
      </c>
      <c r="M268" s="2"/>
      <c r="N268" s="2">
        <v>46010</v>
      </c>
      <c r="P268" s="2">
        <v>50703</v>
      </c>
      <c r="Q268" s="2"/>
      <c r="R268" s="2">
        <v>45994</v>
      </c>
      <c r="AB268" s="2"/>
    </row>
    <row r="269" spans="8:28" ht="15" customHeight="1">
      <c r="H269" s="2">
        <v>50707</v>
      </c>
      <c r="I269" s="2"/>
      <c r="J269" s="2">
        <v>45986</v>
      </c>
      <c r="K269" s="2"/>
      <c r="L269" s="2">
        <v>50682</v>
      </c>
      <c r="M269" s="2"/>
      <c r="N269" s="2">
        <v>46013</v>
      </c>
      <c r="P269" s="2">
        <v>50700</v>
      </c>
      <c r="Q269" s="2"/>
      <c r="R269" s="2">
        <v>45995</v>
      </c>
      <c r="AB269" s="2"/>
    </row>
    <row r="270" spans="8:28" ht="15" customHeight="1">
      <c r="H270" s="2">
        <v>50706</v>
      </c>
      <c r="I270" s="2"/>
      <c r="J270" s="2">
        <v>45987</v>
      </c>
      <c r="K270" s="2"/>
      <c r="L270" s="2">
        <v>50679</v>
      </c>
      <c r="M270" s="2"/>
      <c r="N270" s="2">
        <v>46014</v>
      </c>
      <c r="P270" s="2">
        <v>50699</v>
      </c>
      <c r="Q270" s="2"/>
      <c r="R270" s="2">
        <v>45996</v>
      </c>
      <c r="AB270" s="2"/>
    </row>
    <row r="271" spans="8:28" ht="15" customHeight="1">
      <c r="H271" s="2">
        <v>50705</v>
      </c>
      <c r="I271" s="2"/>
      <c r="J271" s="2">
        <v>45989</v>
      </c>
      <c r="K271" s="2"/>
      <c r="L271" s="2">
        <v>50678</v>
      </c>
      <c r="M271" s="2"/>
      <c r="N271" s="2">
        <v>46015</v>
      </c>
      <c r="P271" s="2">
        <v>50698</v>
      </c>
      <c r="Q271" s="2"/>
      <c r="R271" s="2">
        <v>45999</v>
      </c>
      <c r="AB271" s="2"/>
    </row>
    <row r="272" spans="8:28" ht="15" customHeight="1">
      <c r="H272" s="2">
        <v>50704</v>
      </c>
      <c r="I272" s="2"/>
      <c r="J272" s="2">
        <v>45992</v>
      </c>
      <c r="K272" s="2"/>
      <c r="L272" s="2">
        <v>50677</v>
      </c>
      <c r="M272" s="2"/>
      <c r="N272" s="2">
        <v>46017</v>
      </c>
      <c r="P272" s="2">
        <v>50697</v>
      </c>
      <c r="Q272" s="2"/>
      <c r="R272" s="2">
        <v>46000</v>
      </c>
      <c r="AB272" s="2"/>
    </row>
    <row r="273" spans="8:28" ht="15" customHeight="1">
      <c r="H273" s="2">
        <v>50703</v>
      </c>
      <c r="I273" s="2"/>
      <c r="J273" s="2">
        <v>45993</v>
      </c>
      <c r="K273" s="2"/>
      <c r="L273" s="2">
        <v>50676</v>
      </c>
      <c r="M273" s="2"/>
      <c r="N273" s="2">
        <v>46020</v>
      </c>
      <c r="P273" s="2">
        <v>50696</v>
      </c>
      <c r="Q273" s="2"/>
      <c r="R273" s="2">
        <v>46001</v>
      </c>
      <c r="AB273" s="2"/>
    </row>
    <row r="274" spans="8:28" ht="15" customHeight="1">
      <c r="H274" s="2">
        <v>50700</v>
      </c>
      <c r="I274" s="2"/>
      <c r="J274" s="2">
        <v>45994</v>
      </c>
      <c r="K274" s="2"/>
      <c r="L274" s="2">
        <v>50675</v>
      </c>
      <c r="M274" s="2"/>
      <c r="N274" s="2">
        <v>46021</v>
      </c>
      <c r="P274" s="2">
        <v>50693</v>
      </c>
      <c r="Q274" s="2"/>
      <c r="R274" s="2">
        <v>46002</v>
      </c>
      <c r="AB274" s="2"/>
    </row>
    <row r="275" spans="8:28" ht="15" customHeight="1">
      <c r="H275" s="2">
        <v>50699</v>
      </c>
      <c r="I275" s="2"/>
      <c r="J275" s="2">
        <v>45995</v>
      </c>
      <c r="K275" s="2"/>
      <c r="L275" s="2">
        <v>50672</v>
      </c>
      <c r="M275" s="2"/>
      <c r="N275" s="2">
        <v>46027</v>
      </c>
      <c r="P275" s="2">
        <v>50692</v>
      </c>
      <c r="Q275" s="2"/>
      <c r="R275" s="2">
        <v>46003</v>
      </c>
      <c r="AB275" s="2"/>
    </row>
    <row r="276" spans="8:28" ht="15" customHeight="1">
      <c r="H276" s="2">
        <v>50698</v>
      </c>
      <c r="I276" s="2"/>
      <c r="J276" s="2">
        <v>45996</v>
      </c>
      <c r="K276" s="2"/>
      <c r="L276" s="2">
        <v>50670</v>
      </c>
      <c r="M276" s="2"/>
      <c r="N276" s="2">
        <v>46028</v>
      </c>
      <c r="P276" s="2">
        <v>50691</v>
      </c>
      <c r="Q276" s="2"/>
      <c r="R276" s="2">
        <v>46006</v>
      </c>
      <c r="AB276" s="2"/>
    </row>
    <row r="277" spans="8:28" ht="15" customHeight="1">
      <c r="H277" s="2">
        <v>50697</v>
      </c>
      <c r="I277" s="2"/>
      <c r="J277" s="2">
        <v>45999</v>
      </c>
      <c r="K277" s="2"/>
      <c r="L277" s="2">
        <v>50669</v>
      </c>
      <c r="M277" s="2"/>
      <c r="N277" s="2">
        <v>46029</v>
      </c>
      <c r="P277" s="2">
        <v>50690</v>
      </c>
      <c r="Q277" s="2"/>
      <c r="R277" s="2">
        <v>46007</v>
      </c>
      <c r="AB277" s="2"/>
    </row>
    <row r="278" spans="8:28" ht="15" customHeight="1">
      <c r="H278" s="2">
        <v>50696</v>
      </c>
      <c r="I278" s="2"/>
      <c r="J278" s="2">
        <v>46000</v>
      </c>
      <c r="K278" s="2"/>
      <c r="L278" s="2">
        <v>50665</v>
      </c>
      <c r="M278" s="2"/>
      <c r="N278" s="2">
        <v>46030</v>
      </c>
      <c r="P278" s="2">
        <v>50686</v>
      </c>
      <c r="Q278" s="2"/>
      <c r="R278" s="2">
        <v>46008</v>
      </c>
      <c r="AB278" s="2"/>
    </row>
    <row r="279" spans="8:28" ht="15" customHeight="1">
      <c r="H279" s="2">
        <v>50693</v>
      </c>
      <c r="I279" s="2"/>
      <c r="J279" s="2">
        <v>46001</v>
      </c>
      <c r="K279" s="2"/>
      <c r="L279" s="2">
        <v>50664</v>
      </c>
      <c r="M279" s="2"/>
      <c r="N279" s="2">
        <v>46031</v>
      </c>
      <c r="P279" s="2">
        <v>50685</v>
      </c>
      <c r="Q279" s="2"/>
      <c r="R279" s="2">
        <v>46009</v>
      </c>
      <c r="AB279" s="2"/>
    </row>
    <row r="280" spans="8:28" ht="15" customHeight="1">
      <c r="H280" s="2">
        <v>50692</v>
      </c>
      <c r="I280" s="2"/>
      <c r="J280" s="2">
        <v>46002</v>
      </c>
      <c r="K280" s="2"/>
      <c r="L280" s="2">
        <v>50663</v>
      </c>
      <c r="M280" s="2"/>
      <c r="N280" s="2">
        <v>46035</v>
      </c>
      <c r="P280" s="2">
        <v>50684</v>
      </c>
      <c r="Q280" s="2"/>
      <c r="R280" s="2">
        <v>46010</v>
      </c>
      <c r="AB280" s="2"/>
    </row>
    <row r="281" spans="8:28" ht="15" customHeight="1">
      <c r="H281" s="2">
        <v>50691</v>
      </c>
      <c r="I281" s="2"/>
      <c r="J281" s="2">
        <v>46003</v>
      </c>
      <c r="K281" s="2"/>
      <c r="L281" s="2">
        <v>50662</v>
      </c>
      <c r="M281" s="2"/>
      <c r="N281" s="2">
        <v>46036</v>
      </c>
      <c r="P281" s="2">
        <v>50683</v>
      </c>
      <c r="Q281" s="2"/>
      <c r="R281" s="2">
        <v>46013</v>
      </c>
      <c r="AB281" s="2"/>
    </row>
    <row r="282" spans="8:28" ht="15" customHeight="1">
      <c r="H282" s="2">
        <v>50690</v>
      </c>
      <c r="I282" s="2"/>
      <c r="J282" s="2">
        <v>46006</v>
      </c>
      <c r="K282" s="2"/>
      <c r="L282" s="2">
        <v>50661</v>
      </c>
      <c r="M282" s="2"/>
      <c r="N282" s="2">
        <v>46037</v>
      </c>
      <c r="P282" s="2">
        <v>50679</v>
      </c>
      <c r="Q282" s="2"/>
      <c r="R282" s="2">
        <v>46014</v>
      </c>
      <c r="AB282" s="2"/>
    </row>
    <row r="283" spans="8:28" ht="15" customHeight="1">
      <c r="H283" s="2">
        <v>50689</v>
      </c>
      <c r="I283" s="2"/>
      <c r="J283" s="2">
        <v>46007</v>
      </c>
      <c r="K283" s="2"/>
      <c r="L283" s="2">
        <v>50658</v>
      </c>
      <c r="M283" s="2"/>
      <c r="N283" s="2">
        <v>46038</v>
      </c>
      <c r="P283" s="2">
        <v>50678</v>
      </c>
      <c r="Q283" s="2"/>
      <c r="R283" s="2">
        <v>46015</v>
      </c>
      <c r="AB283" s="2"/>
    </row>
    <row r="284" spans="8:28" ht="15" customHeight="1">
      <c r="H284" s="2">
        <v>50686</v>
      </c>
      <c r="I284" s="2"/>
      <c r="J284" s="2">
        <v>46008</v>
      </c>
      <c r="K284" s="2"/>
      <c r="L284" s="2">
        <v>50657</v>
      </c>
      <c r="M284" s="2"/>
      <c r="N284" s="2">
        <v>46042</v>
      </c>
      <c r="P284" s="2">
        <v>50677</v>
      </c>
      <c r="Q284" s="2"/>
      <c r="R284" s="2">
        <v>46017</v>
      </c>
      <c r="AB284" s="2"/>
    </row>
    <row r="285" spans="8:28" ht="15" customHeight="1">
      <c r="H285" s="2">
        <v>50685</v>
      </c>
      <c r="I285" s="2"/>
      <c r="J285" s="2">
        <v>46009</v>
      </c>
      <c r="K285" s="2"/>
      <c r="L285" s="2">
        <v>50656</v>
      </c>
      <c r="M285" s="2"/>
      <c r="N285" s="2">
        <v>46043</v>
      </c>
      <c r="P285" s="2">
        <v>50676</v>
      </c>
      <c r="Q285" s="2"/>
      <c r="R285" s="2">
        <v>46020</v>
      </c>
      <c r="AB285" s="2"/>
    </row>
    <row r="286" spans="8:28" ht="15" customHeight="1">
      <c r="H286" s="2">
        <v>50684</v>
      </c>
      <c r="I286" s="2"/>
      <c r="J286" s="2">
        <v>46010</v>
      </c>
      <c r="K286" s="2"/>
      <c r="L286" s="2">
        <v>50655</v>
      </c>
      <c r="M286" s="2"/>
      <c r="N286" s="2">
        <v>46044</v>
      </c>
      <c r="P286" s="2">
        <v>50675</v>
      </c>
      <c r="Q286" s="2"/>
      <c r="R286" s="2">
        <v>46021</v>
      </c>
      <c r="AB286" s="2"/>
    </row>
    <row r="287" spans="8:28" ht="15" customHeight="1">
      <c r="H287" s="2">
        <v>50683</v>
      </c>
      <c r="I287" s="2"/>
      <c r="J287" s="2">
        <v>46013</v>
      </c>
      <c r="K287" s="2"/>
      <c r="L287" s="2">
        <v>50651</v>
      </c>
      <c r="M287" s="2"/>
      <c r="N287" s="2">
        <v>46045</v>
      </c>
      <c r="P287" s="2">
        <v>50672</v>
      </c>
      <c r="Q287" s="2"/>
      <c r="R287" s="2">
        <v>46024</v>
      </c>
      <c r="AB287" s="2"/>
    </row>
    <row r="288" spans="8:28" ht="15" customHeight="1">
      <c r="H288" s="2">
        <v>50682</v>
      </c>
      <c r="I288" s="2"/>
      <c r="J288" s="2">
        <v>46014</v>
      </c>
      <c r="K288" s="2"/>
      <c r="L288" s="2">
        <v>50650</v>
      </c>
      <c r="M288" s="2"/>
      <c r="N288" s="2">
        <v>46048</v>
      </c>
      <c r="P288" s="2">
        <v>50671</v>
      </c>
      <c r="Q288" s="2"/>
      <c r="R288" s="2">
        <v>46027</v>
      </c>
      <c r="AB288" s="2"/>
    </row>
    <row r="289" spans="8:28" ht="15" customHeight="1">
      <c r="H289" s="2">
        <v>50679</v>
      </c>
      <c r="I289" s="2"/>
      <c r="J289" s="2">
        <v>46015</v>
      </c>
      <c r="K289" s="2"/>
      <c r="L289" s="2">
        <v>50649</v>
      </c>
      <c r="M289" s="2"/>
      <c r="N289" s="2">
        <v>46049</v>
      </c>
      <c r="P289" s="2">
        <v>50670</v>
      </c>
      <c r="Q289" s="2"/>
      <c r="R289" s="2">
        <v>46028</v>
      </c>
      <c r="AB289" s="2"/>
    </row>
    <row r="290" spans="8:28" ht="15" customHeight="1">
      <c r="H290" s="2">
        <v>50678</v>
      </c>
      <c r="I290" s="2"/>
      <c r="J290" s="2">
        <v>46017</v>
      </c>
      <c r="K290" s="2"/>
      <c r="L290" s="2">
        <v>50648</v>
      </c>
      <c r="M290" s="2"/>
      <c r="N290" s="2">
        <v>46050</v>
      </c>
      <c r="P290" s="2">
        <v>50669</v>
      </c>
      <c r="Q290" s="2"/>
      <c r="R290" s="2">
        <v>46029</v>
      </c>
      <c r="AB290" s="2"/>
    </row>
    <row r="291" spans="8:28" ht="15" customHeight="1">
      <c r="H291" s="2">
        <v>50677</v>
      </c>
      <c r="I291" s="2"/>
      <c r="J291" s="2">
        <v>46020</v>
      </c>
      <c r="K291" s="2"/>
      <c r="L291" s="2">
        <v>50647</v>
      </c>
      <c r="M291" s="2"/>
      <c r="N291" s="2">
        <v>46051</v>
      </c>
      <c r="P291" s="2">
        <v>50668</v>
      </c>
      <c r="Q291" s="2"/>
      <c r="R291" s="2">
        <v>46030</v>
      </c>
      <c r="AB291" s="2"/>
    </row>
    <row r="292" spans="8:28" ht="15" customHeight="1">
      <c r="H292" s="2">
        <v>50676</v>
      </c>
      <c r="I292" s="2"/>
      <c r="J292" s="2">
        <v>46021</v>
      </c>
      <c r="K292" s="2"/>
      <c r="L292" s="2">
        <v>50644</v>
      </c>
      <c r="M292" s="2"/>
      <c r="N292" s="2">
        <v>46052</v>
      </c>
      <c r="P292" s="2">
        <v>50665</v>
      </c>
      <c r="Q292" s="2"/>
      <c r="R292" s="2">
        <v>46031</v>
      </c>
      <c r="AB292" s="2"/>
    </row>
    <row r="293" spans="8:28" ht="15" customHeight="1">
      <c r="H293" s="2">
        <v>50675</v>
      </c>
      <c r="I293" s="2"/>
      <c r="J293" s="2">
        <v>46022</v>
      </c>
      <c r="K293" s="2"/>
      <c r="L293" s="2">
        <v>50643</v>
      </c>
      <c r="M293" s="2"/>
      <c r="N293" s="2">
        <v>46055</v>
      </c>
      <c r="P293" s="2">
        <v>50664</v>
      </c>
      <c r="Q293" s="2"/>
      <c r="R293" s="2">
        <v>46034</v>
      </c>
      <c r="AB293" s="2"/>
    </row>
    <row r="294" spans="8:28" ht="15" customHeight="1">
      <c r="H294" s="2">
        <v>50672</v>
      </c>
      <c r="I294" s="2"/>
      <c r="J294" s="2">
        <v>46024</v>
      </c>
      <c r="K294" s="2"/>
      <c r="L294" s="2">
        <v>50642</v>
      </c>
      <c r="M294" s="2"/>
      <c r="N294" s="2">
        <v>46056</v>
      </c>
      <c r="P294" s="2">
        <v>50658</v>
      </c>
      <c r="Q294" s="2"/>
      <c r="R294" s="2">
        <v>46035</v>
      </c>
      <c r="AB294" s="2"/>
    </row>
    <row r="295" spans="8:28" ht="15" customHeight="1">
      <c r="H295" s="2">
        <v>50671</v>
      </c>
      <c r="I295" s="2"/>
      <c r="J295" s="2">
        <v>46027</v>
      </c>
      <c r="K295" s="2"/>
      <c r="L295" s="2">
        <v>50641</v>
      </c>
      <c r="M295" s="2"/>
      <c r="N295" s="2">
        <v>46057</v>
      </c>
      <c r="P295" s="2">
        <v>50657</v>
      </c>
      <c r="Q295" s="2"/>
      <c r="R295" s="2">
        <v>46036</v>
      </c>
      <c r="AB295" s="2"/>
    </row>
    <row r="296" spans="8:28" ht="15" customHeight="1">
      <c r="H296" s="2">
        <v>50670</v>
      </c>
      <c r="I296" s="2"/>
      <c r="J296" s="2">
        <v>46028</v>
      </c>
      <c r="K296" s="2"/>
      <c r="L296" s="2">
        <v>50640</v>
      </c>
      <c r="M296" s="2"/>
      <c r="N296" s="2">
        <v>46058</v>
      </c>
      <c r="P296" s="2">
        <v>50656</v>
      </c>
      <c r="Q296" s="2"/>
      <c r="R296" s="2">
        <v>46037</v>
      </c>
      <c r="AB296" s="2"/>
    </row>
    <row r="297" spans="8:28" ht="15" customHeight="1">
      <c r="H297" s="2">
        <v>50669</v>
      </c>
      <c r="I297" s="2"/>
      <c r="J297" s="2">
        <v>46029</v>
      </c>
      <c r="K297" s="2"/>
      <c r="L297" s="2">
        <v>50637</v>
      </c>
      <c r="M297" s="2"/>
      <c r="N297" s="2">
        <v>46059</v>
      </c>
      <c r="P297" s="2">
        <v>50655</v>
      </c>
      <c r="Q297" s="2"/>
      <c r="R297" s="2">
        <v>46038</v>
      </c>
      <c r="AB297" s="2"/>
    </row>
    <row r="298" spans="8:28" ht="15" customHeight="1">
      <c r="H298" s="2">
        <v>50668</v>
      </c>
      <c r="I298" s="2"/>
      <c r="J298" s="2">
        <v>46030</v>
      </c>
      <c r="K298" s="2"/>
      <c r="L298" s="2">
        <v>50636</v>
      </c>
      <c r="M298" s="2"/>
      <c r="N298" s="2">
        <v>46062</v>
      </c>
      <c r="P298" s="2">
        <v>50654</v>
      </c>
      <c r="Q298" s="2"/>
      <c r="R298" s="2">
        <v>46041</v>
      </c>
      <c r="AB298" s="2"/>
    </row>
    <row r="299" spans="8:28" ht="15" customHeight="1">
      <c r="H299" s="2">
        <v>50665</v>
      </c>
      <c r="I299" s="2"/>
      <c r="J299" s="2">
        <v>46031</v>
      </c>
      <c r="K299" s="2"/>
      <c r="L299" s="2">
        <v>50635</v>
      </c>
      <c r="M299" s="2"/>
      <c r="N299" s="2">
        <v>46063</v>
      </c>
      <c r="P299" s="2">
        <v>50651</v>
      </c>
      <c r="Q299" s="2"/>
      <c r="R299" s="2">
        <v>46042</v>
      </c>
      <c r="AB299" s="2"/>
    </row>
    <row r="300" spans="8:28" ht="15" customHeight="1">
      <c r="H300" s="2">
        <v>50664</v>
      </c>
      <c r="I300" s="2"/>
      <c r="J300" s="2">
        <v>46034</v>
      </c>
      <c r="K300" s="2"/>
      <c r="L300" s="2">
        <v>50634</v>
      </c>
      <c r="M300" s="2"/>
      <c r="N300" s="2">
        <v>46065</v>
      </c>
      <c r="P300" s="2">
        <v>50650</v>
      </c>
      <c r="Q300" s="2"/>
      <c r="R300" s="2">
        <v>46043</v>
      </c>
      <c r="AB300" s="2"/>
    </row>
    <row r="301" spans="8:28" ht="15" customHeight="1">
      <c r="H301" s="2">
        <v>50663</v>
      </c>
      <c r="I301" s="2"/>
      <c r="J301" s="2">
        <v>46035</v>
      </c>
      <c r="K301" s="2"/>
      <c r="L301" s="2">
        <v>50633</v>
      </c>
      <c r="M301" s="2"/>
      <c r="N301" s="2">
        <v>46066</v>
      </c>
      <c r="P301" s="2">
        <v>50649</v>
      </c>
      <c r="Q301" s="2"/>
      <c r="R301" s="2">
        <v>46044</v>
      </c>
      <c r="AB301" s="2"/>
    </row>
    <row r="302" spans="8:28" ht="15" customHeight="1">
      <c r="H302" s="2">
        <v>50662</v>
      </c>
      <c r="I302" s="2"/>
      <c r="J302" s="2">
        <v>46036</v>
      </c>
      <c r="K302" s="2"/>
      <c r="L302" s="2">
        <v>50630</v>
      </c>
      <c r="M302" s="2"/>
      <c r="N302" s="2">
        <v>46070</v>
      </c>
      <c r="P302" s="2">
        <v>50648</v>
      </c>
      <c r="Q302" s="2"/>
      <c r="R302" s="2">
        <v>46045</v>
      </c>
      <c r="AB302" s="2"/>
    </row>
    <row r="303" spans="8:28" ht="15" customHeight="1">
      <c r="H303" s="2">
        <v>50661</v>
      </c>
      <c r="I303" s="2"/>
      <c r="J303" s="2">
        <v>46037</v>
      </c>
      <c r="K303" s="2"/>
      <c r="L303" s="2">
        <v>50629</v>
      </c>
      <c r="M303" s="2"/>
      <c r="N303" s="2">
        <v>46071</v>
      </c>
      <c r="P303" s="2">
        <v>50647</v>
      </c>
      <c r="Q303" s="2"/>
      <c r="R303" s="2">
        <v>46048</v>
      </c>
      <c r="AB303" s="2"/>
    </row>
    <row r="304" spans="8:28" ht="15" customHeight="1">
      <c r="H304" s="2">
        <v>50658</v>
      </c>
      <c r="I304" s="2"/>
      <c r="J304" s="2">
        <v>46038</v>
      </c>
      <c r="K304" s="2"/>
      <c r="L304" s="2">
        <v>50627</v>
      </c>
      <c r="M304" s="2"/>
      <c r="N304" s="2">
        <v>46072</v>
      </c>
      <c r="P304" s="2">
        <v>50644</v>
      </c>
      <c r="Q304" s="2"/>
      <c r="R304" s="2">
        <v>46049</v>
      </c>
      <c r="AB304" s="2"/>
    </row>
    <row r="305" spans="8:28" ht="15" customHeight="1">
      <c r="H305" s="2">
        <v>50657</v>
      </c>
      <c r="I305" s="2"/>
      <c r="J305" s="2">
        <v>46042</v>
      </c>
      <c r="K305" s="2"/>
      <c r="L305" s="2">
        <v>50626</v>
      </c>
      <c r="M305" s="2"/>
      <c r="N305" s="2">
        <v>46073</v>
      </c>
      <c r="P305" s="2">
        <v>50643</v>
      </c>
      <c r="Q305" s="2"/>
      <c r="R305" s="2">
        <v>46050</v>
      </c>
      <c r="AB305" s="2"/>
    </row>
    <row r="306" spans="8:28" ht="15" customHeight="1">
      <c r="H306" s="2">
        <v>50656</v>
      </c>
      <c r="I306" s="2"/>
      <c r="J306" s="2">
        <v>46043</v>
      </c>
      <c r="K306" s="2"/>
      <c r="L306" s="2">
        <v>50623</v>
      </c>
      <c r="M306" s="2"/>
      <c r="N306" s="2">
        <v>46077</v>
      </c>
      <c r="P306" s="2">
        <v>50642</v>
      </c>
      <c r="Q306" s="2"/>
      <c r="R306" s="2">
        <v>46051</v>
      </c>
      <c r="AB306" s="2"/>
    </row>
    <row r="307" spans="8:28" ht="15" customHeight="1">
      <c r="H307" s="2">
        <v>50655</v>
      </c>
      <c r="I307" s="2"/>
      <c r="J307" s="2">
        <v>46044</v>
      </c>
      <c r="K307" s="2"/>
      <c r="L307" s="2">
        <v>50622</v>
      </c>
      <c r="M307" s="2"/>
      <c r="N307" s="2">
        <v>46078</v>
      </c>
      <c r="P307" s="2">
        <v>50641</v>
      </c>
      <c r="Q307" s="2"/>
      <c r="R307" s="2">
        <v>46052</v>
      </c>
      <c r="AB307" s="2"/>
    </row>
    <row r="308" spans="8:28" ht="15" customHeight="1">
      <c r="H308" s="2">
        <v>50651</v>
      </c>
      <c r="I308" s="2"/>
      <c r="J308" s="2">
        <v>46045</v>
      </c>
      <c r="K308" s="2"/>
      <c r="L308" s="2">
        <v>50621</v>
      </c>
      <c r="M308" s="2"/>
      <c r="N308" s="2">
        <v>46079</v>
      </c>
      <c r="P308" s="2">
        <v>50640</v>
      </c>
      <c r="Q308" s="2"/>
      <c r="R308" s="2">
        <v>46055</v>
      </c>
      <c r="AB308" s="2"/>
    </row>
    <row r="309" spans="8:28" ht="15" customHeight="1">
      <c r="H309" s="2">
        <v>50650</v>
      </c>
      <c r="I309" s="2"/>
      <c r="J309" s="2">
        <v>46048</v>
      </c>
      <c r="K309" s="2"/>
      <c r="L309" s="2">
        <v>50620</v>
      </c>
      <c r="M309" s="2"/>
      <c r="N309" s="2">
        <v>46080</v>
      </c>
      <c r="P309" s="2">
        <v>50637</v>
      </c>
      <c r="Q309" s="2"/>
      <c r="R309" s="2">
        <v>46056</v>
      </c>
      <c r="AB309" s="2"/>
    </row>
    <row r="310" spans="8:28" ht="15" customHeight="1">
      <c r="H310" s="2">
        <v>50649</v>
      </c>
      <c r="I310" s="2"/>
      <c r="J310" s="2">
        <v>46049</v>
      </c>
      <c r="K310" s="2"/>
      <c r="L310" s="2">
        <v>50619</v>
      </c>
      <c r="M310" s="2"/>
      <c r="N310" s="2">
        <v>46083</v>
      </c>
      <c r="P310" s="2">
        <v>50636</v>
      </c>
      <c r="Q310" s="2"/>
      <c r="R310" s="2">
        <v>46057</v>
      </c>
      <c r="AB310" s="2"/>
    </row>
    <row r="311" spans="8:28" ht="15" customHeight="1">
      <c r="H311" s="2">
        <v>50648</v>
      </c>
      <c r="I311" s="2"/>
      <c r="J311" s="2">
        <v>46050</v>
      </c>
      <c r="K311" s="2"/>
      <c r="L311" s="2">
        <v>50616</v>
      </c>
      <c r="M311" s="2"/>
      <c r="N311" s="2">
        <v>46084</v>
      </c>
      <c r="P311" s="2">
        <v>50635</v>
      </c>
      <c r="Q311" s="2"/>
      <c r="R311" s="2">
        <v>46058</v>
      </c>
      <c r="AB311" s="2"/>
    </row>
    <row r="312" spans="8:28" ht="15" customHeight="1">
      <c r="H312" s="2">
        <v>50647</v>
      </c>
      <c r="I312" s="2"/>
      <c r="J312" s="2">
        <v>46051</v>
      </c>
      <c r="K312" s="2"/>
      <c r="L312" s="2">
        <v>50615</v>
      </c>
      <c r="M312" s="2"/>
      <c r="N312" s="2">
        <v>46085</v>
      </c>
      <c r="P312" s="2">
        <v>50634</v>
      </c>
      <c r="Q312" s="2"/>
      <c r="R312" s="2">
        <v>46059</v>
      </c>
      <c r="AB312" s="2"/>
    </row>
    <row r="313" spans="8:28" ht="15" customHeight="1">
      <c r="H313" s="2">
        <v>50644</v>
      </c>
      <c r="I313" s="2"/>
      <c r="J313" s="2">
        <v>46052</v>
      </c>
      <c r="K313" s="2"/>
      <c r="L313" s="2">
        <v>50614</v>
      </c>
      <c r="M313" s="2"/>
      <c r="N313" s="2">
        <v>46086</v>
      </c>
      <c r="P313" s="2">
        <v>50630</v>
      </c>
      <c r="Q313" s="2"/>
      <c r="R313" s="2">
        <v>46062</v>
      </c>
      <c r="AB313" s="2"/>
    </row>
    <row r="314" spans="8:28" ht="15" customHeight="1">
      <c r="H314" s="2">
        <v>50643</v>
      </c>
      <c r="I314" s="2"/>
      <c r="J314" s="2">
        <v>46055</v>
      </c>
      <c r="K314" s="2"/>
      <c r="L314" s="2">
        <v>50613</v>
      </c>
      <c r="M314" s="2"/>
      <c r="N314" s="2">
        <v>46087</v>
      </c>
      <c r="P314" s="2">
        <v>50629</v>
      </c>
      <c r="Q314" s="2"/>
      <c r="R314" s="2">
        <v>46063</v>
      </c>
      <c r="AB314" s="2"/>
    </row>
    <row r="315" spans="8:28" ht="15" customHeight="1">
      <c r="H315" s="2">
        <v>50642</v>
      </c>
      <c r="I315" s="2"/>
      <c r="J315" s="2">
        <v>46056</v>
      </c>
      <c r="K315" s="2"/>
      <c r="L315" s="2">
        <v>50612</v>
      </c>
      <c r="M315" s="2"/>
      <c r="N315" s="2">
        <v>46090</v>
      </c>
      <c r="P315" s="2">
        <v>50628</v>
      </c>
      <c r="Q315" s="2"/>
      <c r="R315" s="2">
        <v>46064</v>
      </c>
      <c r="AB315" s="2"/>
    </row>
    <row r="316" spans="8:28" ht="15" customHeight="1">
      <c r="H316" s="2">
        <v>50641</v>
      </c>
      <c r="I316" s="2"/>
      <c r="J316" s="2">
        <v>46057</v>
      </c>
      <c r="K316" s="2"/>
      <c r="L316" s="2">
        <v>50609</v>
      </c>
      <c r="M316" s="2"/>
      <c r="N316" s="2">
        <v>46091</v>
      </c>
      <c r="P316" s="2">
        <v>50627</v>
      </c>
      <c r="Q316" s="2"/>
      <c r="R316" s="2">
        <v>46065</v>
      </c>
      <c r="AB316" s="2"/>
    </row>
    <row r="317" spans="8:28" ht="15" customHeight="1">
      <c r="H317" s="2">
        <v>50640</v>
      </c>
      <c r="I317" s="2"/>
      <c r="J317" s="2">
        <v>46058</v>
      </c>
      <c r="K317" s="2"/>
      <c r="L317" s="2">
        <v>50608</v>
      </c>
      <c r="M317" s="2"/>
      <c r="N317" s="2">
        <v>46092</v>
      </c>
      <c r="P317" s="2">
        <v>50626</v>
      </c>
      <c r="Q317" s="2"/>
      <c r="R317" s="2">
        <v>46066</v>
      </c>
      <c r="AB317" s="2"/>
    </row>
    <row r="318" spans="8:28" ht="15" customHeight="1">
      <c r="H318" s="2">
        <v>50637</v>
      </c>
      <c r="I318" s="2"/>
      <c r="J318" s="2">
        <v>46059</v>
      </c>
      <c r="K318" s="2"/>
      <c r="L318" s="2">
        <v>50607</v>
      </c>
      <c r="M318" s="2"/>
      <c r="N318" s="2">
        <v>46093</v>
      </c>
      <c r="P318" s="2">
        <v>50623</v>
      </c>
      <c r="Q318" s="2"/>
      <c r="R318" s="2">
        <v>46072</v>
      </c>
      <c r="AB318" s="2"/>
    </row>
    <row r="319" spans="8:28" ht="15" customHeight="1">
      <c r="H319" s="2">
        <v>50636</v>
      </c>
      <c r="I319" s="2"/>
      <c r="J319" s="2">
        <v>46062</v>
      </c>
      <c r="K319" s="2"/>
      <c r="L319" s="2">
        <v>50606</v>
      </c>
      <c r="M319" s="2"/>
      <c r="N319" s="2">
        <v>46094</v>
      </c>
      <c r="P319" s="2">
        <v>50622</v>
      </c>
      <c r="Q319" s="2"/>
      <c r="R319" s="2">
        <v>46073</v>
      </c>
      <c r="AB319" s="2"/>
    </row>
    <row r="320" spans="8:28" ht="15" customHeight="1">
      <c r="H320" s="2">
        <v>50635</v>
      </c>
      <c r="I320" s="2"/>
      <c r="J320" s="2">
        <v>46063</v>
      </c>
      <c r="K320" s="2"/>
      <c r="L320" s="2">
        <v>50602</v>
      </c>
      <c r="M320" s="2"/>
      <c r="N320" s="2">
        <v>46097</v>
      </c>
      <c r="P320" s="2">
        <v>50621</v>
      </c>
      <c r="Q320" s="2"/>
      <c r="R320" s="2">
        <v>46076</v>
      </c>
      <c r="AB320" s="2"/>
    </row>
    <row r="321" spans="8:28" ht="15" customHeight="1">
      <c r="H321" s="2">
        <v>50634</v>
      </c>
      <c r="I321" s="2"/>
      <c r="J321" s="2">
        <v>46064</v>
      </c>
      <c r="K321" s="2"/>
      <c r="L321" s="2">
        <v>50601</v>
      </c>
      <c r="M321" s="2"/>
      <c r="N321" s="2">
        <v>46098</v>
      </c>
      <c r="P321" s="2">
        <v>50620</v>
      </c>
      <c r="Q321" s="2"/>
      <c r="R321" s="2">
        <v>46077</v>
      </c>
      <c r="AB321" s="2"/>
    </row>
    <row r="322" spans="8:28" ht="15" customHeight="1">
      <c r="H322" s="2">
        <v>50633</v>
      </c>
      <c r="I322" s="2"/>
      <c r="J322" s="2">
        <v>46065</v>
      </c>
      <c r="K322" s="2"/>
      <c r="L322" s="2">
        <v>50600</v>
      </c>
      <c r="M322" s="2"/>
      <c r="N322" s="2">
        <v>46099</v>
      </c>
      <c r="P322" s="2">
        <v>50619</v>
      </c>
      <c r="Q322" s="2"/>
      <c r="R322" s="2">
        <v>46078</v>
      </c>
      <c r="AB322" s="2"/>
    </row>
    <row r="323" spans="8:28" ht="15" customHeight="1">
      <c r="H323" s="2">
        <v>50630</v>
      </c>
      <c r="I323" s="2"/>
      <c r="J323" s="2">
        <v>46066</v>
      </c>
      <c r="K323" s="2"/>
      <c r="L323" s="2">
        <v>50599</v>
      </c>
      <c r="M323" s="2"/>
      <c r="N323" s="2">
        <v>46100</v>
      </c>
      <c r="P323" s="2">
        <v>50616</v>
      </c>
      <c r="Q323" s="2"/>
      <c r="R323" s="2">
        <v>46079</v>
      </c>
      <c r="AB323" s="2"/>
    </row>
    <row r="324" spans="8:28" ht="15" customHeight="1">
      <c r="H324" s="2">
        <v>50629</v>
      </c>
      <c r="I324" s="2"/>
      <c r="J324" s="2">
        <v>46070</v>
      </c>
      <c r="K324" s="2"/>
      <c r="L324" s="2">
        <v>50598</v>
      </c>
      <c r="M324" s="2"/>
      <c r="N324" s="2">
        <v>46104</v>
      </c>
      <c r="P324" s="2">
        <v>50615</v>
      </c>
      <c r="Q324" s="2"/>
      <c r="R324" s="2">
        <v>46080</v>
      </c>
      <c r="AB324" s="2"/>
    </row>
    <row r="325" spans="8:28" ht="15" customHeight="1">
      <c r="H325" s="2">
        <v>50628</v>
      </c>
      <c r="I325" s="2"/>
      <c r="J325" s="2">
        <v>46071</v>
      </c>
      <c r="K325" s="2"/>
      <c r="L325" s="2">
        <v>50595</v>
      </c>
      <c r="M325" s="2"/>
      <c r="N325" s="2">
        <v>46105</v>
      </c>
      <c r="P325" s="2">
        <v>50614</v>
      </c>
      <c r="Q325" s="2"/>
      <c r="R325" s="2">
        <v>46084</v>
      </c>
      <c r="AB325" s="2"/>
    </row>
    <row r="326" spans="8:28" ht="15" customHeight="1">
      <c r="H326" s="2">
        <v>50627</v>
      </c>
      <c r="I326" s="2"/>
      <c r="J326" s="2">
        <v>46072</v>
      </c>
      <c r="K326" s="2"/>
      <c r="L326" s="2">
        <v>50594</v>
      </c>
      <c r="M326" s="2"/>
      <c r="N326" s="2">
        <v>46106</v>
      </c>
      <c r="P326" s="2">
        <v>50613</v>
      </c>
      <c r="Q326" s="2"/>
      <c r="R326" s="2">
        <v>46085</v>
      </c>
      <c r="AB326" s="2"/>
    </row>
    <row r="327" spans="8:28" ht="15" customHeight="1">
      <c r="H327" s="2">
        <v>50626</v>
      </c>
      <c r="I327" s="2"/>
      <c r="J327" s="2">
        <v>46073</v>
      </c>
      <c r="K327" s="2"/>
      <c r="L327" s="2">
        <v>50593</v>
      </c>
      <c r="M327" s="2"/>
      <c r="N327" s="2">
        <v>46107</v>
      </c>
      <c r="P327" s="2">
        <v>50612</v>
      </c>
      <c r="Q327" s="2"/>
      <c r="R327" s="2">
        <v>46086</v>
      </c>
      <c r="AB327" s="2"/>
    </row>
    <row r="328" spans="8:28" ht="15" customHeight="1">
      <c r="H328" s="2">
        <v>50623</v>
      </c>
      <c r="I328" s="2"/>
      <c r="J328" s="2">
        <v>46076</v>
      </c>
      <c r="K328" s="2"/>
      <c r="L328" s="2">
        <v>50592</v>
      </c>
      <c r="M328" s="2"/>
      <c r="N328" s="2">
        <v>46108</v>
      </c>
      <c r="P328" s="2">
        <v>50609</v>
      </c>
      <c r="Q328" s="2"/>
      <c r="R328" s="2">
        <v>46087</v>
      </c>
      <c r="AB328" s="2"/>
    </row>
    <row r="329" spans="8:28" ht="15" customHeight="1">
      <c r="H329" s="2">
        <v>50622</v>
      </c>
      <c r="I329" s="2"/>
      <c r="J329" s="2">
        <v>46077</v>
      </c>
      <c r="K329" s="2"/>
      <c r="L329" s="2">
        <v>50588</v>
      </c>
      <c r="M329" s="2"/>
      <c r="N329" s="2">
        <v>46111</v>
      </c>
      <c r="P329" s="2">
        <v>50608</v>
      </c>
      <c r="Q329" s="2"/>
      <c r="R329" s="2">
        <v>46090</v>
      </c>
      <c r="AB329" s="2"/>
    </row>
    <row r="330" spans="8:28" ht="15" customHeight="1">
      <c r="H330" s="2">
        <v>50621</v>
      </c>
      <c r="I330" s="2"/>
      <c r="J330" s="2">
        <v>46078</v>
      </c>
      <c r="K330" s="2"/>
      <c r="L330" s="2">
        <v>50587</v>
      </c>
      <c r="M330" s="2"/>
      <c r="N330" s="2">
        <v>46112</v>
      </c>
      <c r="P330" s="2">
        <v>50607</v>
      </c>
      <c r="Q330" s="2"/>
      <c r="R330" s="2">
        <v>46091</v>
      </c>
      <c r="AB330" s="2"/>
    </row>
    <row r="331" spans="8:28" ht="15" customHeight="1">
      <c r="H331" s="2">
        <v>50620</v>
      </c>
      <c r="I331" s="2"/>
      <c r="J331" s="2">
        <v>46079</v>
      </c>
      <c r="K331" s="2"/>
      <c r="L331" s="2">
        <v>50586</v>
      </c>
      <c r="M331" s="2"/>
      <c r="N331" s="2">
        <v>46113</v>
      </c>
      <c r="P331" s="2">
        <v>50606</v>
      </c>
      <c r="Q331" s="2"/>
      <c r="R331" s="2">
        <v>46092</v>
      </c>
      <c r="AB331" s="2"/>
    </row>
    <row r="332" spans="8:28" ht="15" customHeight="1">
      <c r="H332" s="2">
        <v>50619</v>
      </c>
      <c r="I332" s="2"/>
      <c r="J332" s="2">
        <v>46080</v>
      </c>
      <c r="K332" s="2"/>
      <c r="L332" s="2">
        <v>50585</v>
      </c>
      <c r="M332" s="2"/>
      <c r="N332" s="2">
        <v>46114</v>
      </c>
      <c r="P332" s="2">
        <v>50605</v>
      </c>
      <c r="Q332" s="2"/>
      <c r="R332" s="2">
        <v>46093</v>
      </c>
      <c r="AB332" s="2"/>
    </row>
    <row r="333" spans="8:28" ht="15" customHeight="1">
      <c r="H333" s="2">
        <v>50616</v>
      </c>
      <c r="I333" s="2"/>
      <c r="J333" s="2">
        <v>46083</v>
      </c>
      <c r="K333" s="2"/>
      <c r="L333" s="2">
        <v>50584</v>
      </c>
      <c r="M333" s="2"/>
      <c r="N333" s="2">
        <v>46118</v>
      </c>
      <c r="P333" s="2">
        <v>50602</v>
      </c>
      <c r="Q333" s="2"/>
      <c r="R333" s="2">
        <v>46094</v>
      </c>
      <c r="AB333" s="2"/>
    </row>
    <row r="334" spans="8:28" ht="15" customHeight="1">
      <c r="H334" s="2">
        <v>50615</v>
      </c>
      <c r="I334" s="2"/>
      <c r="J334" s="2">
        <v>46084</v>
      </c>
      <c r="K334" s="2"/>
      <c r="L334" s="2">
        <v>50581</v>
      </c>
      <c r="M334" s="2"/>
      <c r="N334" s="2">
        <v>46119</v>
      </c>
      <c r="P334" s="2">
        <v>50601</v>
      </c>
      <c r="Q334" s="2"/>
      <c r="R334" s="2">
        <v>46097</v>
      </c>
      <c r="AB334" s="2"/>
    </row>
    <row r="335" spans="8:28" ht="15" customHeight="1">
      <c r="H335" s="2">
        <v>50614</v>
      </c>
      <c r="I335" s="2"/>
      <c r="J335" s="2">
        <v>46085</v>
      </c>
      <c r="K335" s="2"/>
      <c r="L335" s="2">
        <v>50580</v>
      </c>
      <c r="M335" s="2"/>
      <c r="N335" s="2">
        <v>46120</v>
      </c>
      <c r="P335" s="2">
        <v>50600</v>
      </c>
      <c r="Q335" s="2"/>
      <c r="R335" s="2">
        <v>46098</v>
      </c>
      <c r="AB335" s="2"/>
    </row>
    <row r="336" spans="8:28" ht="15" customHeight="1">
      <c r="H336" s="2">
        <v>50613</v>
      </c>
      <c r="I336" s="2"/>
      <c r="J336" s="2">
        <v>46086</v>
      </c>
      <c r="K336" s="2"/>
      <c r="L336" s="2">
        <v>50579</v>
      </c>
      <c r="M336" s="2"/>
      <c r="N336" s="2">
        <v>46121</v>
      </c>
      <c r="P336" s="2">
        <v>50599</v>
      </c>
      <c r="Q336" s="2"/>
      <c r="R336" s="2">
        <v>46099</v>
      </c>
      <c r="AB336" s="2"/>
    </row>
    <row r="337" spans="8:28" ht="15" customHeight="1">
      <c r="H337" s="2">
        <v>50612</v>
      </c>
      <c r="I337" s="2"/>
      <c r="J337" s="2">
        <v>46087</v>
      </c>
      <c r="K337" s="2"/>
      <c r="L337" s="2">
        <v>50578</v>
      </c>
      <c r="M337" s="2"/>
      <c r="N337" s="2">
        <v>46122</v>
      </c>
      <c r="P337" s="2">
        <v>50598</v>
      </c>
      <c r="Q337" s="2"/>
      <c r="R337" s="2">
        <v>46100</v>
      </c>
      <c r="AB337" s="2"/>
    </row>
    <row r="338" spans="8:28" ht="15" customHeight="1">
      <c r="H338" s="2">
        <v>50609</v>
      </c>
      <c r="I338" s="2"/>
      <c r="J338" s="2">
        <v>46090</v>
      </c>
      <c r="K338" s="2"/>
      <c r="L338" s="2">
        <v>50577</v>
      </c>
      <c r="M338" s="2"/>
      <c r="N338" s="2">
        <v>46125</v>
      </c>
      <c r="P338" s="2">
        <v>50595</v>
      </c>
      <c r="Q338" s="2"/>
      <c r="R338" s="2">
        <v>46101</v>
      </c>
      <c r="AB338" s="2"/>
    </row>
    <row r="339" spans="8:28" ht="15" customHeight="1">
      <c r="H339" s="2">
        <v>50608</v>
      </c>
      <c r="I339" s="2"/>
      <c r="J339" s="2">
        <v>46091</v>
      </c>
      <c r="K339" s="2"/>
      <c r="L339" s="2">
        <v>50573</v>
      </c>
      <c r="M339" s="2"/>
      <c r="N339" s="2">
        <v>46126</v>
      </c>
      <c r="P339" s="2">
        <v>50594</v>
      </c>
      <c r="Q339" s="2"/>
      <c r="R339" s="2">
        <v>46104</v>
      </c>
      <c r="AB339" s="2"/>
    </row>
    <row r="340" spans="8:28" ht="15" customHeight="1">
      <c r="H340" s="2">
        <v>50607</v>
      </c>
      <c r="I340" s="2"/>
      <c r="J340" s="2">
        <v>46092</v>
      </c>
      <c r="K340" s="2"/>
      <c r="L340" s="2">
        <v>50572</v>
      </c>
      <c r="M340" s="2"/>
      <c r="N340" s="2">
        <v>46127</v>
      </c>
      <c r="P340" s="2">
        <v>50593</v>
      </c>
      <c r="Q340" s="2"/>
      <c r="R340" s="2">
        <v>46105</v>
      </c>
      <c r="AB340" s="2"/>
    </row>
    <row r="341" spans="8:28" ht="15" customHeight="1">
      <c r="H341" s="2">
        <v>50606</v>
      </c>
      <c r="I341" s="2"/>
      <c r="J341" s="2">
        <v>46093</v>
      </c>
      <c r="K341" s="2"/>
      <c r="L341" s="2">
        <v>50571</v>
      </c>
      <c r="M341" s="2"/>
      <c r="N341" s="2">
        <v>46128</v>
      </c>
      <c r="P341" s="2">
        <v>50592</v>
      </c>
      <c r="Q341" s="2"/>
      <c r="R341" s="2">
        <v>46106</v>
      </c>
      <c r="AB341" s="2"/>
    </row>
    <row r="342" spans="8:28" ht="15" customHeight="1">
      <c r="H342" s="2">
        <v>50605</v>
      </c>
      <c r="I342" s="2"/>
      <c r="J342" s="2">
        <v>46094</v>
      </c>
      <c r="K342" s="2"/>
      <c r="L342" s="2">
        <v>50570</v>
      </c>
      <c r="M342" s="2"/>
      <c r="N342" s="2">
        <v>46129</v>
      </c>
      <c r="P342" s="2">
        <v>50591</v>
      </c>
      <c r="Q342" s="2"/>
      <c r="R342" s="2">
        <v>46107</v>
      </c>
      <c r="AB342" s="2"/>
    </row>
    <row r="343" spans="8:28" ht="15" customHeight="1">
      <c r="H343" s="2">
        <v>50602</v>
      </c>
      <c r="I343" s="2"/>
      <c r="J343" s="2">
        <v>46097</v>
      </c>
      <c r="K343" s="2"/>
      <c r="L343" s="2">
        <v>50567</v>
      </c>
      <c r="M343" s="2"/>
      <c r="N343" s="2">
        <v>46132</v>
      </c>
      <c r="P343" s="2">
        <v>50588</v>
      </c>
      <c r="Q343" s="2"/>
      <c r="R343" s="2">
        <v>46108</v>
      </c>
      <c r="AB343" s="2"/>
    </row>
    <row r="344" spans="8:28" ht="15" customHeight="1">
      <c r="H344" s="2">
        <v>50601</v>
      </c>
      <c r="I344" s="2"/>
      <c r="J344" s="2">
        <v>46098</v>
      </c>
      <c r="K344" s="2"/>
      <c r="L344" s="2">
        <v>50566</v>
      </c>
      <c r="M344" s="2"/>
      <c r="N344" s="2">
        <v>46133</v>
      </c>
      <c r="P344" s="2">
        <v>50587</v>
      </c>
      <c r="Q344" s="2"/>
      <c r="R344" s="2">
        <v>46111</v>
      </c>
      <c r="AB344" s="2"/>
    </row>
    <row r="345" spans="8:28" ht="15" customHeight="1">
      <c r="H345" s="2">
        <v>50600</v>
      </c>
      <c r="I345" s="2"/>
      <c r="J345" s="2">
        <v>46099</v>
      </c>
      <c r="K345" s="2"/>
      <c r="L345" s="2">
        <v>50565</v>
      </c>
      <c r="M345" s="2"/>
      <c r="N345" s="2">
        <v>46134</v>
      </c>
      <c r="P345" s="2">
        <v>50586</v>
      </c>
      <c r="Q345" s="2"/>
      <c r="R345" s="2">
        <v>46112</v>
      </c>
      <c r="AB345" s="2"/>
    </row>
    <row r="346" spans="8:28" ht="15" customHeight="1">
      <c r="H346" s="2">
        <v>50599</v>
      </c>
      <c r="I346" s="2"/>
      <c r="J346" s="2">
        <v>46100</v>
      </c>
      <c r="K346" s="2"/>
      <c r="L346" s="2">
        <v>50564</v>
      </c>
      <c r="M346" s="2"/>
      <c r="N346" s="2">
        <v>46135</v>
      </c>
      <c r="P346" s="2">
        <v>50585</v>
      </c>
      <c r="Q346" s="2"/>
      <c r="R346" s="2">
        <v>46113</v>
      </c>
      <c r="AB346" s="2"/>
    </row>
    <row r="347" spans="8:28" ht="15" customHeight="1">
      <c r="H347" s="2">
        <v>50598</v>
      </c>
      <c r="I347" s="2"/>
      <c r="J347" s="2">
        <v>46101</v>
      </c>
      <c r="K347" s="2"/>
      <c r="L347" s="2">
        <v>50563</v>
      </c>
      <c r="M347" s="2"/>
      <c r="N347" s="2">
        <v>46136</v>
      </c>
      <c r="P347" s="2">
        <v>50584</v>
      </c>
      <c r="Q347" s="2"/>
      <c r="R347" s="2">
        <v>46114</v>
      </c>
      <c r="AB347" s="2"/>
    </row>
    <row r="348" spans="8:28" ht="15" customHeight="1">
      <c r="H348" s="2">
        <v>50595</v>
      </c>
      <c r="I348" s="2"/>
      <c r="J348" s="2">
        <v>46104</v>
      </c>
      <c r="K348" s="2"/>
      <c r="L348" s="2">
        <v>50560</v>
      </c>
      <c r="M348" s="2"/>
      <c r="N348" s="2">
        <v>46139</v>
      </c>
      <c r="P348" s="2">
        <v>50581</v>
      </c>
      <c r="Q348" s="2"/>
      <c r="R348" s="2">
        <v>46115</v>
      </c>
      <c r="AB348" s="2"/>
    </row>
    <row r="349" spans="8:28" ht="15" customHeight="1">
      <c r="H349" s="2">
        <v>50594</v>
      </c>
      <c r="I349" s="2"/>
      <c r="J349" s="2">
        <v>46105</v>
      </c>
      <c r="K349" s="2"/>
      <c r="L349" s="2">
        <v>50559</v>
      </c>
      <c r="M349" s="2"/>
      <c r="N349" s="2">
        <v>46140</v>
      </c>
      <c r="P349" s="2">
        <v>50580</v>
      </c>
      <c r="Q349" s="2"/>
      <c r="R349" s="2">
        <v>46118</v>
      </c>
      <c r="AB349" s="2"/>
    </row>
    <row r="350" spans="8:28" ht="15" customHeight="1">
      <c r="H350" s="2">
        <v>50593</v>
      </c>
      <c r="I350" s="2"/>
      <c r="J350" s="2">
        <v>46106</v>
      </c>
      <c r="K350" s="2"/>
      <c r="L350" s="2">
        <v>50558</v>
      </c>
      <c r="M350" s="2"/>
      <c r="N350" s="2">
        <v>46142</v>
      </c>
      <c r="P350" s="2">
        <v>50579</v>
      </c>
      <c r="Q350" s="2"/>
      <c r="R350" s="2">
        <v>46119</v>
      </c>
      <c r="AB350" s="2"/>
    </row>
    <row r="351" spans="8:28" ht="15" customHeight="1">
      <c r="H351" s="2">
        <v>50592</v>
      </c>
      <c r="I351" s="2"/>
      <c r="J351" s="2">
        <v>46107</v>
      </c>
      <c r="K351" s="2"/>
      <c r="L351" s="2">
        <v>50557</v>
      </c>
      <c r="M351" s="2"/>
      <c r="N351" s="2">
        <v>46143</v>
      </c>
      <c r="P351" s="2">
        <v>50578</v>
      </c>
      <c r="Q351" s="2"/>
      <c r="R351" s="2">
        <v>46120</v>
      </c>
      <c r="AB351" s="2"/>
    </row>
    <row r="352" spans="8:28" ht="15" customHeight="1">
      <c r="H352" s="2">
        <v>50588</v>
      </c>
      <c r="I352" s="2"/>
      <c r="J352" s="2">
        <v>46108</v>
      </c>
      <c r="K352" s="2"/>
      <c r="L352" s="2">
        <v>50553</v>
      </c>
      <c r="M352" s="2"/>
      <c r="N352" s="2">
        <v>46149</v>
      </c>
      <c r="P352" s="2">
        <v>50577</v>
      </c>
      <c r="Q352" s="2"/>
      <c r="R352" s="2">
        <v>46121</v>
      </c>
      <c r="AB352" s="2"/>
    </row>
    <row r="353" spans="8:28" ht="15" customHeight="1">
      <c r="H353" s="2">
        <v>50587</v>
      </c>
      <c r="I353" s="2"/>
      <c r="J353" s="2">
        <v>46111</v>
      </c>
      <c r="K353" s="2"/>
      <c r="L353" s="2">
        <v>50552</v>
      </c>
      <c r="M353" s="2"/>
      <c r="N353" s="2">
        <v>46150</v>
      </c>
      <c r="P353" s="2">
        <v>50574</v>
      </c>
      <c r="Q353" s="2"/>
      <c r="R353" s="2">
        <v>46122</v>
      </c>
      <c r="AB353" s="2"/>
    </row>
    <row r="354" spans="8:28" ht="15" customHeight="1">
      <c r="H354" s="2">
        <v>50586</v>
      </c>
      <c r="I354" s="2"/>
      <c r="J354" s="2">
        <v>46112</v>
      </c>
      <c r="K354" s="2"/>
      <c r="L354" s="2">
        <v>50551</v>
      </c>
      <c r="M354" s="2"/>
      <c r="N354" s="2">
        <v>46153</v>
      </c>
      <c r="P354" s="2">
        <v>50573</v>
      </c>
      <c r="Q354" s="2"/>
      <c r="R354" s="2">
        <v>46125</v>
      </c>
      <c r="AB354" s="2"/>
    </row>
    <row r="355" spans="8:28" ht="15" customHeight="1">
      <c r="H355" s="2">
        <v>50585</v>
      </c>
      <c r="I355" s="2"/>
      <c r="J355" s="2">
        <v>46113</v>
      </c>
      <c r="K355" s="2"/>
      <c r="L355" s="2">
        <v>50550</v>
      </c>
      <c r="M355" s="2"/>
      <c r="N355" s="2">
        <v>46154</v>
      </c>
      <c r="P355" s="2">
        <v>50572</v>
      </c>
      <c r="Q355" s="2"/>
      <c r="R355" s="2">
        <v>46126</v>
      </c>
      <c r="AB355" s="2"/>
    </row>
    <row r="356" spans="8:28" ht="15" customHeight="1">
      <c r="H356" s="2">
        <v>50584</v>
      </c>
      <c r="I356" s="2"/>
      <c r="J356" s="2">
        <v>46114</v>
      </c>
      <c r="K356" s="2"/>
      <c r="L356" s="2">
        <v>50549</v>
      </c>
      <c r="M356" s="2"/>
      <c r="N356" s="2">
        <v>46155</v>
      </c>
      <c r="P356" s="2">
        <v>50571</v>
      </c>
      <c r="Q356" s="2"/>
      <c r="R356" s="2">
        <v>46127</v>
      </c>
      <c r="AB356" s="2"/>
    </row>
    <row r="357" spans="8:28" ht="15" customHeight="1">
      <c r="H357" s="2">
        <v>50581</v>
      </c>
      <c r="I357" s="2"/>
      <c r="J357" s="2">
        <v>46118</v>
      </c>
      <c r="K357" s="2"/>
      <c r="L357" s="2">
        <v>50546</v>
      </c>
      <c r="M357" s="2"/>
      <c r="N357" s="2">
        <v>46156</v>
      </c>
      <c r="P357" s="2">
        <v>50570</v>
      </c>
      <c r="Q357" s="2"/>
      <c r="R357" s="2">
        <v>46128</v>
      </c>
      <c r="AB357" s="2"/>
    </row>
    <row r="358" spans="8:28" ht="15" customHeight="1">
      <c r="H358" s="2">
        <v>50580</v>
      </c>
      <c r="I358" s="2"/>
      <c r="J358" s="2">
        <v>46119</v>
      </c>
      <c r="K358" s="2"/>
      <c r="L358" s="2">
        <v>50545</v>
      </c>
      <c r="M358" s="2"/>
      <c r="N358" s="2">
        <v>46157</v>
      </c>
      <c r="P358" s="2">
        <v>50567</v>
      </c>
      <c r="Q358" s="2"/>
      <c r="R358" s="2">
        <v>46129</v>
      </c>
      <c r="AB358" s="2"/>
    </row>
    <row r="359" spans="8:28" ht="15" customHeight="1">
      <c r="H359" s="2">
        <v>50579</v>
      </c>
      <c r="I359" s="2"/>
      <c r="J359" s="2">
        <v>46120</v>
      </c>
      <c r="K359" s="2"/>
      <c r="L359" s="2">
        <v>50544</v>
      </c>
      <c r="M359" s="2"/>
      <c r="N359" s="2">
        <v>46160</v>
      </c>
      <c r="P359" s="2">
        <v>50566</v>
      </c>
      <c r="Q359" s="2"/>
      <c r="R359" s="2">
        <v>46132</v>
      </c>
      <c r="AB359" s="2"/>
    </row>
    <row r="360" spans="8:28" ht="15" customHeight="1">
      <c r="H360" s="2">
        <v>50578</v>
      </c>
      <c r="I360" s="2"/>
      <c r="J360" s="2">
        <v>46121</v>
      </c>
      <c r="K360" s="2"/>
      <c r="L360" s="2">
        <v>50543</v>
      </c>
      <c r="M360" s="2"/>
      <c r="N360" s="2">
        <v>46161</v>
      </c>
      <c r="P360" s="2">
        <v>50565</v>
      </c>
      <c r="Q360" s="2"/>
      <c r="R360" s="2">
        <v>46133</v>
      </c>
      <c r="AB360" s="2"/>
    </row>
    <row r="361" spans="8:28" ht="15" customHeight="1">
      <c r="H361" s="2">
        <v>50577</v>
      </c>
      <c r="I361" s="2"/>
      <c r="J361" s="2">
        <v>46122</v>
      </c>
      <c r="K361" s="2"/>
      <c r="L361" s="2">
        <v>50542</v>
      </c>
      <c r="M361" s="2"/>
      <c r="N361" s="2">
        <v>46162</v>
      </c>
      <c r="P361" s="2">
        <v>50564</v>
      </c>
      <c r="Q361" s="2"/>
      <c r="R361" s="2">
        <v>46134</v>
      </c>
      <c r="AB361" s="2"/>
    </row>
    <row r="362" spans="8:28" ht="15" customHeight="1">
      <c r="H362" s="2">
        <v>50573</v>
      </c>
      <c r="I362" s="2"/>
      <c r="J362" s="2">
        <v>46125</v>
      </c>
      <c r="K362" s="2"/>
      <c r="L362" s="2">
        <v>50539</v>
      </c>
      <c r="M362" s="2"/>
      <c r="N362" s="2">
        <v>46163</v>
      </c>
      <c r="P362" s="2">
        <v>50563</v>
      </c>
      <c r="Q362" s="2"/>
      <c r="R362" s="2">
        <v>46135</v>
      </c>
      <c r="AB362" s="2"/>
    </row>
    <row r="363" spans="8:28" ht="15" customHeight="1">
      <c r="H363" s="2">
        <v>50572</v>
      </c>
      <c r="I363" s="2"/>
      <c r="J363" s="2">
        <v>46126</v>
      </c>
      <c r="K363" s="2"/>
      <c r="L363" s="2">
        <v>50538</v>
      </c>
      <c r="M363" s="2"/>
      <c r="N363" s="2">
        <v>46164</v>
      </c>
      <c r="P363" s="2">
        <v>50560</v>
      </c>
      <c r="Q363" s="2"/>
      <c r="R363" s="2">
        <v>46136</v>
      </c>
      <c r="AB363" s="2"/>
    </row>
    <row r="364" spans="8:28" ht="15" customHeight="1">
      <c r="H364" s="2">
        <v>50571</v>
      </c>
      <c r="I364" s="2"/>
      <c r="J364" s="2">
        <v>46127</v>
      </c>
      <c r="K364" s="2"/>
      <c r="L364" s="2">
        <v>50537</v>
      </c>
      <c r="M364" s="2"/>
      <c r="N364" s="2">
        <v>46168</v>
      </c>
      <c r="P364" s="2">
        <v>50559</v>
      </c>
      <c r="Q364" s="2"/>
      <c r="R364" s="2">
        <v>46139</v>
      </c>
      <c r="AB364" s="2"/>
    </row>
    <row r="365" spans="8:28" ht="15" customHeight="1">
      <c r="H365" s="2">
        <v>50570</v>
      </c>
      <c r="I365" s="2"/>
      <c r="J365" s="2">
        <v>46128</v>
      </c>
      <c r="K365" s="2"/>
      <c r="L365" s="2">
        <v>50536</v>
      </c>
      <c r="M365" s="2"/>
      <c r="N365" s="2">
        <v>46169</v>
      </c>
      <c r="P365" s="2">
        <v>50558</v>
      </c>
      <c r="Q365" s="2"/>
      <c r="R365" s="2">
        <v>46140</v>
      </c>
      <c r="AB365" s="2"/>
    </row>
    <row r="366" spans="8:28" ht="15" customHeight="1">
      <c r="H366" s="2">
        <v>50567</v>
      </c>
      <c r="I366" s="2"/>
      <c r="J366" s="2">
        <v>46129</v>
      </c>
      <c r="K366" s="2"/>
      <c r="L366" s="2">
        <v>50535</v>
      </c>
      <c r="M366" s="2"/>
      <c r="N366" s="2">
        <v>46170</v>
      </c>
      <c r="P366" s="2">
        <v>50557</v>
      </c>
      <c r="Q366" s="2"/>
      <c r="R366" s="2">
        <v>46141</v>
      </c>
      <c r="AB366" s="2"/>
    </row>
    <row r="367" spans="8:28" ht="15" customHeight="1">
      <c r="H367" s="2">
        <v>50566</v>
      </c>
      <c r="I367" s="2"/>
      <c r="J367" s="2">
        <v>46132</v>
      </c>
      <c r="K367" s="2"/>
      <c r="L367" s="2">
        <v>50532</v>
      </c>
      <c r="M367" s="2"/>
      <c r="N367" s="2">
        <v>46171</v>
      </c>
      <c r="P367" s="2">
        <v>50556</v>
      </c>
      <c r="Q367" s="2"/>
      <c r="R367" s="2">
        <v>46142</v>
      </c>
      <c r="AB367" s="2"/>
    </row>
    <row r="368" spans="8:28" ht="15" customHeight="1">
      <c r="H368" s="2">
        <v>50565</v>
      </c>
      <c r="I368" s="2"/>
      <c r="J368" s="2">
        <v>46133</v>
      </c>
      <c r="K368" s="2"/>
      <c r="L368" s="2">
        <v>50531</v>
      </c>
      <c r="M368" s="2"/>
      <c r="N368" s="2">
        <v>46174</v>
      </c>
      <c r="P368" s="2">
        <v>50553</v>
      </c>
      <c r="Q368" s="2"/>
      <c r="R368" s="2">
        <v>46146</v>
      </c>
      <c r="AB368" s="2"/>
    </row>
    <row r="369" spans="8:28" ht="15" customHeight="1">
      <c r="H369" s="2">
        <v>50564</v>
      </c>
      <c r="I369" s="2"/>
      <c r="J369" s="2">
        <v>46134</v>
      </c>
      <c r="K369" s="2"/>
      <c r="L369" s="2">
        <v>50525</v>
      </c>
      <c r="M369" s="2"/>
      <c r="N369" s="2">
        <v>46175</v>
      </c>
      <c r="P369" s="2">
        <v>50552</v>
      </c>
      <c r="Q369" s="2"/>
      <c r="R369" s="2">
        <v>46148</v>
      </c>
      <c r="AB369" s="2"/>
    </row>
    <row r="370" spans="8:28" ht="15" customHeight="1">
      <c r="H370" s="2">
        <v>50563</v>
      </c>
      <c r="I370" s="2"/>
      <c r="J370" s="2">
        <v>46135</v>
      </c>
      <c r="K370" s="2"/>
      <c r="L370" s="2">
        <v>50523</v>
      </c>
      <c r="M370" s="2"/>
      <c r="N370" s="2">
        <v>46176</v>
      </c>
      <c r="P370" s="2">
        <v>50551</v>
      </c>
      <c r="Q370" s="2"/>
      <c r="R370" s="2">
        <v>46149</v>
      </c>
      <c r="AB370" s="2"/>
    </row>
    <row r="371" spans="8:28" ht="15" customHeight="1">
      <c r="H371" s="2">
        <v>50560</v>
      </c>
      <c r="I371" s="2"/>
      <c r="J371" s="2">
        <v>46136</v>
      </c>
      <c r="K371" s="2"/>
      <c r="L371" s="2">
        <v>50522</v>
      </c>
      <c r="M371" s="2"/>
      <c r="N371" s="2">
        <v>46177</v>
      </c>
      <c r="P371" s="2">
        <v>50550</v>
      </c>
      <c r="Q371" s="2"/>
      <c r="R371" s="2">
        <v>46150</v>
      </c>
      <c r="AB371" s="2"/>
    </row>
    <row r="372" spans="8:28" ht="15" customHeight="1">
      <c r="H372" s="2">
        <v>50559</v>
      </c>
      <c r="I372" s="2"/>
      <c r="J372" s="2">
        <v>46139</v>
      </c>
      <c r="K372" s="2"/>
      <c r="L372" s="2">
        <v>50521</v>
      </c>
      <c r="M372" s="2"/>
      <c r="N372" s="2">
        <v>46178</v>
      </c>
      <c r="P372" s="2">
        <v>50549</v>
      </c>
      <c r="Q372" s="2"/>
      <c r="R372" s="2">
        <v>46153</v>
      </c>
      <c r="AB372" s="2"/>
    </row>
    <row r="373" spans="8:28" ht="15" customHeight="1">
      <c r="H373" s="2">
        <v>50558</v>
      </c>
      <c r="I373" s="2"/>
      <c r="J373" s="2">
        <v>46140</v>
      </c>
      <c r="K373" s="2"/>
      <c r="L373" s="2">
        <v>50517</v>
      </c>
      <c r="M373" s="2"/>
      <c r="N373" s="2">
        <v>46181</v>
      </c>
      <c r="P373" s="2">
        <v>50546</v>
      </c>
      <c r="Q373" s="2"/>
      <c r="R373" s="2">
        <v>46154</v>
      </c>
      <c r="AB373" s="2"/>
    </row>
    <row r="374" spans="8:28" ht="15" customHeight="1">
      <c r="H374" s="2">
        <v>50557</v>
      </c>
      <c r="I374" s="2"/>
      <c r="J374" s="2">
        <v>46141</v>
      </c>
      <c r="K374" s="2"/>
      <c r="L374" s="2">
        <v>50516</v>
      </c>
      <c r="M374" s="2"/>
      <c r="N374" s="2">
        <v>46182</v>
      </c>
      <c r="P374" s="2">
        <v>50545</v>
      </c>
      <c r="Q374" s="2"/>
      <c r="R374" s="2">
        <v>46155</v>
      </c>
      <c r="AB374" s="2"/>
    </row>
    <row r="375" spans="8:28" ht="15" customHeight="1">
      <c r="H375" s="2">
        <v>50553</v>
      </c>
      <c r="I375" s="2"/>
      <c r="J375" s="2">
        <v>46142</v>
      </c>
      <c r="K375" s="2"/>
      <c r="L375" s="2">
        <v>50515</v>
      </c>
      <c r="M375" s="2"/>
      <c r="N375" s="2">
        <v>46183</v>
      </c>
      <c r="P375" s="2">
        <v>50544</v>
      </c>
      <c r="Q375" s="2"/>
      <c r="R375" s="2">
        <v>46156</v>
      </c>
      <c r="AB375" s="2"/>
    </row>
    <row r="376" spans="8:28" ht="15" customHeight="1">
      <c r="H376" s="2">
        <v>50552</v>
      </c>
      <c r="I376" s="2"/>
      <c r="J376" s="2">
        <v>46143</v>
      </c>
      <c r="K376" s="2"/>
      <c r="L376" s="2">
        <v>50514</v>
      </c>
      <c r="M376" s="2"/>
      <c r="N376" s="2">
        <v>46184</v>
      </c>
      <c r="P376" s="2">
        <v>50543</v>
      </c>
      <c r="Q376" s="2"/>
      <c r="R376" s="2">
        <v>46157</v>
      </c>
      <c r="AB376" s="2"/>
    </row>
    <row r="377" spans="8:28" ht="15" customHeight="1">
      <c r="H377" s="2">
        <v>50551</v>
      </c>
      <c r="I377" s="2"/>
      <c r="J377" s="2">
        <v>46146</v>
      </c>
      <c r="K377" s="2"/>
      <c r="L377" s="2">
        <v>50511</v>
      </c>
      <c r="M377" s="2"/>
      <c r="N377" s="2">
        <v>46185</v>
      </c>
      <c r="P377" s="2">
        <v>50542</v>
      </c>
      <c r="Q377" s="2"/>
      <c r="R377" s="2">
        <v>46160</v>
      </c>
      <c r="AB377" s="2"/>
    </row>
    <row r="378" spans="8:28" ht="15" customHeight="1">
      <c r="H378" s="2">
        <v>50550</v>
      </c>
      <c r="I378" s="2"/>
      <c r="J378" s="2">
        <v>46147</v>
      </c>
      <c r="K378" s="2"/>
      <c r="L378" s="2">
        <v>50510</v>
      </c>
      <c r="M378" s="2"/>
      <c r="N378" s="2">
        <v>46188</v>
      </c>
      <c r="P378" s="2">
        <v>50539</v>
      </c>
      <c r="Q378" s="2"/>
      <c r="R378" s="2">
        <v>46161</v>
      </c>
      <c r="AB378" s="2"/>
    </row>
    <row r="379" spans="8:28" ht="15" customHeight="1">
      <c r="H379" s="2">
        <v>50549</v>
      </c>
      <c r="I379" s="2"/>
      <c r="J379" s="2">
        <v>46148</v>
      </c>
      <c r="K379" s="2"/>
      <c r="L379" s="2">
        <v>50509</v>
      </c>
      <c r="M379" s="2"/>
      <c r="N379" s="2">
        <v>46189</v>
      </c>
      <c r="P379" s="2">
        <v>50538</v>
      </c>
      <c r="Q379" s="2"/>
      <c r="R379" s="2">
        <v>46162</v>
      </c>
      <c r="AB379" s="2"/>
    </row>
    <row r="380" spans="8:28" ht="15" customHeight="1">
      <c r="H380" s="2">
        <v>50546</v>
      </c>
      <c r="I380" s="2"/>
      <c r="J380" s="2">
        <v>46149</v>
      </c>
      <c r="K380" s="2"/>
      <c r="L380" s="2">
        <v>50508</v>
      </c>
      <c r="M380" s="2"/>
      <c r="N380" s="2">
        <v>46190</v>
      </c>
      <c r="P380" s="2">
        <v>50537</v>
      </c>
      <c r="Q380" s="2"/>
      <c r="R380" s="2">
        <v>46163</v>
      </c>
      <c r="AB380" s="2"/>
    </row>
    <row r="381" spans="8:28" ht="15" customHeight="1">
      <c r="H381" s="2">
        <v>50545</v>
      </c>
      <c r="I381" s="2"/>
      <c r="J381" s="2">
        <v>46150</v>
      </c>
      <c r="K381" s="2"/>
      <c r="L381" s="2">
        <v>50507</v>
      </c>
      <c r="M381" s="2"/>
      <c r="N381" s="2">
        <v>46191</v>
      </c>
      <c r="P381" s="2">
        <v>50535</v>
      </c>
      <c r="Q381" s="2"/>
      <c r="R381" s="2">
        <v>46164</v>
      </c>
      <c r="AB381" s="2"/>
    </row>
    <row r="382" spans="8:28" ht="15" customHeight="1">
      <c r="H382" s="2">
        <v>50544</v>
      </c>
      <c r="I382" s="2"/>
      <c r="J382" s="2">
        <v>46153</v>
      </c>
      <c r="K382" s="2"/>
      <c r="L382" s="2">
        <v>50504</v>
      </c>
      <c r="M382" s="2"/>
      <c r="N382" s="2">
        <v>46195</v>
      </c>
      <c r="P382" s="2">
        <v>50532</v>
      </c>
      <c r="Q382" s="2"/>
      <c r="R382" s="2">
        <v>46168</v>
      </c>
      <c r="AB382" s="2"/>
    </row>
    <row r="383" spans="8:28" ht="15" customHeight="1">
      <c r="H383" s="2">
        <v>50543</v>
      </c>
      <c r="I383" s="2"/>
      <c r="J383" s="2">
        <v>46154</v>
      </c>
      <c r="K383" s="2"/>
      <c r="L383" s="2">
        <v>50503</v>
      </c>
      <c r="M383" s="2"/>
      <c r="N383" s="2">
        <v>46196</v>
      </c>
      <c r="P383" s="2">
        <v>50531</v>
      </c>
      <c r="Q383" s="2"/>
      <c r="R383" s="2">
        <v>46169</v>
      </c>
      <c r="AB383" s="2"/>
    </row>
    <row r="384" spans="8:28" ht="15" customHeight="1">
      <c r="H384" s="2">
        <v>50542</v>
      </c>
      <c r="I384" s="2"/>
      <c r="J384" s="2">
        <v>46155</v>
      </c>
      <c r="K384" s="2"/>
      <c r="L384" s="2">
        <v>50502</v>
      </c>
      <c r="M384" s="2"/>
      <c r="N384" s="2">
        <v>46197</v>
      </c>
      <c r="P384" s="2">
        <v>50529</v>
      </c>
      <c r="Q384" s="2"/>
      <c r="R384" s="2">
        <v>46170</v>
      </c>
      <c r="AB384" s="2"/>
    </row>
    <row r="385" spans="8:28" ht="15" customHeight="1">
      <c r="H385" s="2">
        <v>50539</v>
      </c>
      <c r="I385" s="2"/>
      <c r="J385" s="2">
        <v>46156</v>
      </c>
      <c r="K385" s="2"/>
      <c r="L385" s="2">
        <v>50501</v>
      </c>
      <c r="M385" s="2"/>
      <c r="N385" s="2">
        <v>46198</v>
      </c>
      <c r="P385" s="2">
        <v>50528</v>
      </c>
      <c r="Q385" s="2"/>
      <c r="R385" s="2">
        <v>46171</v>
      </c>
      <c r="AB385" s="2"/>
    </row>
    <row r="386" spans="8:28" ht="15" customHeight="1">
      <c r="H386" s="2">
        <v>50538</v>
      </c>
      <c r="I386" s="2"/>
      <c r="J386" s="2">
        <v>46157</v>
      </c>
      <c r="K386" s="2"/>
      <c r="L386" s="2">
        <v>50500</v>
      </c>
      <c r="M386" s="2"/>
      <c r="N386" s="2">
        <v>46199</v>
      </c>
      <c r="P386" s="2">
        <v>50525</v>
      </c>
      <c r="Q386" s="2"/>
      <c r="R386" s="2">
        <v>46174</v>
      </c>
      <c r="AB386" s="2"/>
    </row>
    <row r="387" spans="8:28" ht="15" customHeight="1">
      <c r="H387" s="2">
        <v>50537</v>
      </c>
      <c r="I387" s="2"/>
      <c r="J387" s="2">
        <v>46160</v>
      </c>
      <c r="K387" s="2"/>
      <c r="L387" s="2">
        <v>50497</v>
      </c>
      <c r="M387" s="2"/>
      <c r="N387" s="2">
        <v>46202</v>
      </c>
      <c r="P387" s="2">
        <v>50524</v>
      </c>
      <c r="Q387" s="2"/>
      <c r="R387" s="2">
        <v>46175</v>
      </c>
      <c r="AB387" s="2"/>
    </row>
    <row r="388" spans="8:28" ht="15" customHeight="1">
      <c r="H388" s="2">
        <v>50536</v>
      </c>
      <c r="I388" s="2"/>
      <c r="J388" s="2">
        <v>46161</v>
      </c>
      <c r="K388" s="2"/>
      <c r="L388" s="2">
        <v>50496</v>
      </c>
      <c r="M388" s="2"/>
      <c r="N388" s="2">
        <v>46203</v>
      </c>
      <c r="P388" s="2">
        <v>50523</v>
      </c>
      <c r="Q388" s="2"/>
      <c r="R388" s="2">
        <v>46176</v>
      </c>
      <c r="AB388" s="2"/>
    </row>
    <row r="389" spans="8:28" ht="15" customHeight="1">
      <c r="H389" s="2">
        <v>50535</v>
      </c>
      <c r="I389" s="2"/>
      <c r="J389" s="2">
        <v>46162</v>
      </c>
      <c r="K389" s="2"/>
      <c r="L389" s="2">
        <v>50495</v>
      </c>
      <c r="M389" s="2"/>
      <c r="N389" s="2">
        <v>46204</v>
      </c>
      <c r="P389" s="2">
        <v>50522</v>
      </c>
      <c r="Q389" s="2"/>
      <c r="R389" s="2">
        <v>46177</v>
      </c>
      <c r="AB389" s="2"/>
    </row>
    <row r="390" spans="8:28" ht="15" customHeight="1">
      <c r="H390" s="2">
        <v>50532</v>
      </c>
      <c r="I390" s="2"/>
      <c r="J390" s="2">
        <v>46163</v>
      </c>
      <c r="K390" s="2"/>
      <c r="L390" s="2">
        <v>50494</v>
      </c>
      <c r="M390" s="2"/>
      <c r="N390" s="2">
        <v>46205</v>
      </c>
      <c r="P390" s="2">
        <v>50521</v>
      </c>
      <c r="Q390" s="2"/>
      <c r="R390" s="2">
        <v>46178</v>
      </c>
      <c r="AB390" s="2"/>
    </row>
    <row r="391" spans="8:28" ht="15" customHeight="1">
      <c r="H391" s="2">
        <v>50531</v>
      </c>
      <c r="I391" s="2"/>
      <c r="J391" s="2">
        <v>46164</v>
      </c>
      <c r="K391" s="2"/>
      <c r="L391" s="2">
        <v>50493</v>
      </c>
      <c r="M391" s="2"/>
      <c r="N391" s="2">
        <v>46209</v>
      </c>
      <c r="P391" s="2">
        <v>50518</v>
      </c>
      <c r="Q391" s="2"/>
      <c r="R391" s="2">
        <v>46181</v>
      </c>
      <c r="AB391" s="2"/>
    </row>
    <row r="392" spans="8:28" ht="15" customHeight="1">
      <c r="H392" s="2">
        <v>50530</v>
      </c>
      <c r="I392" s="2"/>
      <c r="J392" s="2">
        <v>46168</v>
      </c>
      <c r="K392" s="2"/>
      <c r="L392" s="2">
        <v>50490</v>
      </c>
      <c r="M392" s="2"/>
      <c r="N392" s="2">
        <v>46210</v>
      </c>
      <c r="P392" s="2">
        <v>50517</v>
      </c>
      <c r="Q392" s="2"/>
      <c r="R392" s="2">
        <v>46182</v>
      </c>
      <c r="AB392" s="2"/>
    </row>
    <row r="393" spans="8:28" ht="15" customHeight="1">
      <c r="H393" s="2">
        <v>50529</v>
      </c>
      <c r="I393" s="2"/>
      <c r="J393" s="2">
        <v>46169</v>
      </c>
      <c r="K393" s="2"/>
      <c r="L393" s="2">
        <v>50489</v>
      </c>
      <c r="M393" s="2"/>
      <c r="N393" s="2">
        <v>46211</v>
      </c>
      <c r="P393" s="2">
        <v>50516</v>
      </c>
      <c r="Q393" s="2"/>
      <c r="R393" s="2">
        <v>46183</v>
      </c>
      <c r="AB393" s="2"/>
    </row>
    <row r="394" spans="8:28" ht="15" customHeight="1">
      <c r="H394" s="2">
        <v>50528</v>
      </c>
      <c r="I394" s="2"/>
      <c r="J394" s="2">
        <v>46170</v>
      </c>
      <c r="K394" s="2"/>
      <c r="L394" s="2">
        <v>50488</v>
      </c>
      <c r="M394" s="2"/>
      <c r="N394" s="2">
        <v>46212</v>
      </c>
      <c r="P394" s="2">
        <v>50515</v>
      </c>
      <c r="Q394" s="2"/>
      <c r="R394" s="2">
        <v>46184</v>
      </c>
      <c r="AB394" s="2"/>
    </row>
    <row r="395" spans="8:28" ht="15" customHeight="1">
      <c r="H395" s="2">
        <v>50525</v>
      </c>
      <c r="I395" s="2"/>
      <c r="J395" s="2">
        <v>46171</v>
      </c>
      <c r="K395" s="2"/>
      <c r="L395" s="2">
        <v>50487</v>
      </c>
      <c r="M395" s="2"/>
      <c r="N395" s="2">
        <v>46213</v>
      </c>
      <c r="P395" s="2">
        <v>50514</v>
      </c>
      <c r="Q395" s="2"/>
      <c r="R395" s="2">
        <v>46185</v>
      </c>
      <c r="AB395" s="2"/>
    </row>
    <row r="396" spans="8:28" ht="15" customHeight="1">
      <c r="H396" s="2">
        <v>50524</v>
      </c>
      <c r="I396" s="2"/>
      <c r="J396" s="2">
        <v>46174</v>
      </c>
      <c r="K396" s="2"/>
      <c r="L396" s="2">
        <v>50486</v>
      </c>
      <c r="M396" s="2"/>
      <c r="N396" s="2">
        <v>46216</v>
      </c>
      <c r="P396" s="2">
        <v>50511</v>
      </c>
      <c r="Q396" s="2"/>
      <c r="R396" s="2">
        <v>46188</v>
      </c>
      <c r="AB396" s="2"/>
    </row>
    <row r="397" spans="8:28" ht="15" customHeight="1">
      <c r="H397" s="2">
        <v>50523</v>
      </c>
      <c r="I397" s="2"/>
      <c r="J397" s="2">
        <v>46175</v>
      </c>
      <c r="K397" s="2"/>
      <c r="L397" s="2">
        <v>50483</v>
      </c>
      <c r="M397" s="2"/>
      <c r="N397" s="2">
        <v>46217</v>
      </c>
      <c r="P397" s="2">
        <v>50510</v>
      </c>
      <c r="Q397" s="2"/>
      <c r="R397" s="2">
        <v>46189</v>
      </c>
      <c r="AB397" s="2"/>
    </row>
    <row r="398" spans="8:28" ht="15" customHeight="1">
      <c r="H398" s="2">
        <v>50522</v>
      </c>
      <c r="I398" s="2"/>
      <c r="J398" s="2">
        <v>46176</v>
      </c>
      <c r="K398" s="2"/>
      <c r="L398" s="2">
        <v>50482</v>
      </c>
      <c r="M398" s="2"/>
      <c r="N398" s="2">
        <v>46218</v>
      </c>
      <c r="P398" s="2">
        <v>50509</v>
      </c>
      <c r="Q398" s="2"/>
      <c r="R398" s="2">
        <v>46190</v>
      </c>
      <c r="AB398" s="2"/>
    </row>
    <row r="399" spans="8:28" ht="15" customHeight="1">
      <c r="H399" s="2">
        <v>50521</v>
      </c>
      <c r="I399" s="2"/>
      <c r="J399" s="2">
        <v>46177</v>
      </c>
      <c r="K399" s="2"/>
      <c r="L399" s="2">
        <v>50481</v>
      </c>
      <c r="M399" s="2"/>
      <c r="N399" s="2">
        <v>46219</v>
      </c>
      <c r="P399" s="2">
        <v>50508</v>
      </c>
      <c r="Q399" s="2"/>
      <c r="R399" s="2">
        <v>46191</v>
      </c>
      <c r="AB399" s="2"/>
    </row>
    <row r="400" spans="8:28" ht="15" customHeight="1">
      <c r="H400" s="2">
        <v>50517</v>
      </c>
      <c r="I400" s="2"/>
      <c r="J400" s="2">
        <v>46178</v>
      </c>
      <c r="K400" s="2"/>
      <c r="L400" s="2">
        <v>50480</v>
      </c>
      <c r="M400" s="2"/>
      <c r="N400" s="2">
        <v>46220</v>
      </c>
      <c r="P400" s="2">
        <v>50507</v>
      </c>
      <c r="Q400" s="2"/>
      <c r="R400" s="2">
        <v>46192</v>
      </c>
      <c r="AB400" s="2"/>
    </row>
    <row r="401" spans="8:28" ht="15" customHeight="1">
      <c r="H401" s="2">
        <v>50516</v>
      </c>
      <c r="I401" s="2"/>
      <c r="J401" s="2">
        <v>46181</v>
      </c>
      <c r="K401" s="2"/>
      <c r="L401" s="2">
        <v>50479</v>
      </c>
      <c r="M401" s="2"/>
      <c r="N401" s="2">
        <v>46224</v>
      </c>
      <c r="P401" s="2">
        <v>50504</v>
      </c>
      <c r="Q401" s="2"/>
      <c r="R401" s="2">
        <v>46195</v>
      </c>
      <c r="AB401" s="2"/>
    </row>
    <row r="402" spans="8:28" ht="15" customHeight="1">
      <c r="H402" s="2">
        <v>50515</v>
      </c>
      <c r="I402" s="2"/>
      <c r="J402" s="2">
        <v>46182</v>
      </c>
      <c r="K402" s="2"/>
      <c r="L402" s="2">
        <v>50476</v>
      </c>
      <c r="M402" s="2"/>
      <c r="N402" s="2">
        <v>46225</v>
      </c>
      <c r="P402" s="2">
        <v>50503</v>
      </c>
      <c r="Q402" s="2"/>
      <c r="R402" s="2">
        <v>46196</v>
      </c>
      <c r="AB402" s="2"/>
    </row>
    <row r="403" spans="8:28" ht="15" customHeight="1">
      <c r="H403" s="2">
        <v>50514</v>
      </c>
      <c r="I403" s="2"/>
      <c r="J403" s="2">
        <v>46183</v>
      </c>
      <c r="K403" s="2"/>
      <c r="L403" s="2">
        <v>50475</v>
      </c>
      <c r="M403" s="2"/>
      <c r="N403" s="2">
        <v>46226</v>
      </c>
      <c r="P403" s="2">
        <v>50502</v>
      </c>
      <c r="Q403" s="2"/>
      <c r="R403" s="2">
        <v>46197</v>
      </c>
      <c r="AB403" s="2"/>
    </row>
    <row r="404" spans="8:28" ht="15" customHeight="1">
      <c r="H404" s="2">
        <v>50511</v>
      </c>
      <c r="I404" s="2"/>
      <c r="J404" s="2">
        <v>46184</v>
      </c>
      <c r="K404" s="2"/>
      <c r="L404" s="2">
        <v>50474</v>
      </c>
      <c r="M404" s="2"/>
      <c r="N404" s="2">
        <v>46227</v>
      </c>
      <c r="P404" s="2">
        <v>50501</v>
      </c>
      <c r="Q404" s="2"/>
      <c r="R404" s="2">
        <v>46198</v>
      </c>
      <c r="AB404" s="2"/>
    </row>
    <row r="405" spans="8:28" ht="15" customHeight="1">
      <c r="H405" s="2">
        <v>50510</v>
      </c>
      <c r="I405" s="2"/>
      <c r="J405" s="2">
        <v>46185</v>
      </c>
      <c r="K405" s="2"/>
      <c r="L405" s="2">
        <v>50473</v>
      </c>
      <c r="M405" s="2"/>
      <c r="N405" s="2">
        <v>46230</v>
      </c>
      <c r="P405" s="2">
        <v>50500</v>
      </c>
      <c r="Q405" s="2"/>
      <c r="R405" s="2">
        <v>46199</v>
      </c>
      <c r="AB405" s="2"/>
    </row>
    <row r="406" spans="8:28" ht="15" customHeight="1">
      <c r="H406" s="2">
        <v>50509</v>
      </c>
      <c r="I406" s="2"/>
      <c r="J406" s="2">
        <v>46188</v>
      </c>
      <c r="K406" s="2"/>
      <c r="L406" s="2">
        <v>50472</v>
      </c>
      <c r="M406" s="2"/>
      <c r="N406" s="2">
        <v>46231</v>
      </c>
      <c r="P406" s="2">
        <v>50497</v>
      </c>
      <c r="Q406" s="2"/>
      <c r="R406" s="2">
        <v>46202</v>
      </c>
      <c r="AB406" s="2"/>
    </row>
    <row r="407" spans="8:28" ht="15" customHeight="1">
      <c r="H407" s="2">
        <v>50508</v>
      </c>
      <c r="I407" s="2"/>
      <c r="J407" s="2">
        <v>46189</v>
      </c>
      <c r="K407" s="2"/>
      <c r="L407" s="2">
        <v>50469</v>
      </c>
      <c r="M407" s="2"/>
      <c r="N407" s="2">
        <v>46232</v>
      </c>
      <c r="P407" s="2">
        <v>50496</v>
      </c>
      <c r="Q407" s="2"/>
      <c r="R407" s="2">
        <v>46203</v>
      </c>
      <c r="AB407" s="2"/>
    </row>
    <row r="408" spans="8:28" ht="15" customHeight="1">
      <c r="H408" s="2">
        <v>50507</v>
      </c>
      <c r="I408" s="2"/>
      <c r="J408" s="2">
        <v>46190</v>
      </c>
      <c r="K408" s="2"/>
      <c r="L408" s="2">
        <v>50468</v>
      </c>
      <c r="M408" s="2"/>
      <c r="N408" s="2">
        <v>46233</v>
      </c>
      <c r="P408" s="2">
        <v>50495</v>
      </c>
      <c r="Q408" s="2"/>
      <c r="R408" s="2">
        <v>46204</v>
      </c>
      <c r="AB408" s="2"/>
    </row>
    <row r="409" spans="8:28" ht="15" customHeight="1">
      <c r="H409" s="2">
        <v>50504</v>
      </c>
      <c r="I409" s="2"/>
      <c r="J409" s="2">
        <v>46191</v>
      </c>
      <c r="K409" s="2"/>
      <c r="L409" s="2">
        <v>50467</v>
      </c>
      <c r="M409" s="2"/>
      <c r="N409" s="2">
        <v>46234</v>
      </c>
      <c r="P409" s="2">
        <v>50494</v>
      </c>
      <c r="Q409" s="2"/>
      <c r="R409" s="2">
        <v>46205</v>
      </c>
      <c r="AB409" s="2"/>
    </row>
    <row r="410" spans="8:28" ht="15" customHeight="1">
      <c r="H410" s="2">
        <v>50503</v>
      </c>
      <c r="I410" s="2"/>
      <c r="J410" s="2">
        <v>46195</v>
      </c>
      <c r="K410" s="2"/>
      <c r="L410" s="2">
        <v>50466</v>
      </c>
      <c r="M410" s="2"/>
      <c r="N410" s="2">
        <v>46237</v>
      </c>
      <c r="P410" s="2">
        <v>50493</v>
      </c>
      <c r="Q410" s="2"/>
      <c r="R410" s="2">
        <v>46206</v>
      </c>
      <c r="AB410" s="2"/>
    </row>
    <row r="411" spans="8:28" ht="15" customHeight="1">
      <c r="H411" s="2">
        <v>50502</v>
      </c>
      <c r="I411" s="2"/>
      <c r="J411" s="2">
        <v>46196</v>
      </c>
      <c r="K411" s="2"/>
      <c r="L411" s="2">
        <v>50465</v>
      </c>
      <c r="M411" s="2"/>
      <c r="N411" s="2">
        <v>46238</v>
      </c>
      <c r="P411" s="2">
        <v>50490</v>
      </c>
      <c r="Q411" s="2"/>
      <c r="R411" s="2">
        <v>46209</v>
      </c>
      <c r="AB411" s="2"/>
    </row>
    <row r="412" spans="8:28" ht="15" customHeight="1">
      <c r="H412" s="2">
        <v>50501</v>
      </c>
      <c r="I412" s="2"/>
      <c r="J412" s="2">
        <v>46197</v>
      </c>
      <c r="K412" s="2"/>
      <c r="L412" s="2">
        <v>50462</v>
      </c>
      <c r="M412" s="2"/>
      <c r="N412" s="2">
        <v>46239</v>
      </c>
      <c r="P412" s="2">
        <v>50489</v>
      </c>
      <c r="Q412" s="2"/>
      <c r="R412" s="2">
        <v>46210</v>
      </c>
      <c r="AB412" s="2"/>
    </row>
    <row r="413" spans="8:28" ht="15" customHeight="1">
      <c r="H413" s="2">
        <v>50500</v>
      </c>
      <c r="I413" s="2"/>
      <c r="J413" s="2">
        <v>46198</v>
      </c>
      <c r="K413" s="2"/>
      <c r="L413" s="2">
        <v>50461</v>
      </c>
      <c r="M413" s="2"/>
      <c r="N413" s="2">
        <v>46240</v>
      </c>
      <c r="P413" s="2">
        <v>50488</v>
      </c>
      <c r="Q413" s="2"/>
      <c r="R413" s="2">
        <v>46211</v>
      </c>
      <c r="AB413" s="2"/>
    </row>
    <row r="414" spans="8:28" ht="15" customHeight="1">
      <c r="H414" s="2">
        <v>50497</v>
      </c>
      <c r="I414" s="2"/>
      <c r="J414" s="2">
        <v>46199</v>
      </c>
      <c r="K414" s="2"/>
      <c r="L414" s="2">
        <v>50460</v>
      </c>
      <c r="M414" s="2"/>
      <c r="N414" s="2">
        <v>46241</v>
      </c>
      <c r="P414" s="2">
        <v>50487</v>
      </c>
      <c r="Q414" s="2"/>
      <c r="R414" s="2">
        <v>46212</v>
      </c>
      <c r="AB414" s="2"/>
    </row>
    <row r="415" spans="8:28" ht="15" customHeight="1">
      <c r="H415" s="2">
        <v>50496</v>
      </c>
      <c r="I415" s="2"/>
      <c r="J415" s="2">
        <v>46202</v>
      </c>
      <c r="K415" s="2"/>
      <c r="L415" s="2">
        <v>50458</v>
      </c>
      <c r="M415" s="2"/>
      <c r="N415" s="2">
        <v>46244</v>
      </c>
      <c r="P415" s="2">
        <v>50486</v>
      </c>
      <c r="Q415" s="2"/>
      <c r="R415" s="2">
        <v>46213</v>
      </c>
      <c r="AB415" s="2"/>
    </row>
    <row r="416" spans="8:28" ht="15" customHeight="1">
      <c r="H416" s="2">
        <v>50495</v>
      </c>
      <c r="I416" s="2"/>
      <c r="J416" s="2">
        <v>46203</v>
      </c>
      <c r="K416" s="2"/>
      <c r="L416" s="2">
        <v>50455</v>
      </c>
      <c r="M416" s="2"/>
      <c r="N416" s="2">
        <v>46246</v>
      </c>
      <c r="P416" s="2">
        <v>50483</v>
      </c>
      <c r="Q416" s="2"/>
      <c r="R416" s="2">
        <v>46216</v>
      </c>
      <c r="AB416" s="2"/>
    </row>
    <row r="417" spans="8:28" ht="15" customHeight="1">
      <c r="H417" s="2">
        <v>50494</v>
      </c>
      <c r="I417" s="2"/>
      <c r="J417" s="2">
        <v>46204</v>
      </c>
      <c r="K417" s="2"/>
      <c r="L417" s="2">
        <v>50454</v>
      </c>
      <c r="M417" s="2"/>
      <c r="N417" s="2">
        <v>46247</v>
      </c>
      <c r="P417" s="2">
        <v>50482</v>
      </c>
      <c r="Q417" s="2"/>
      <c r="R417" s="2">
        <v>46217</v>
      </c>
      <c r="AB417" s="2"/>
    </row>
    <row r="418" spans="8:28" ht="15" customHeight="1">
      <c r="H418" s="2">
        <v>50493</v>
      </c>
      <c r="I418" s="2"/>
      <c r="J418" s="2">
        <v>46205</v>
      </c>
      <c r="K418" s="2"/>
      <c r="L418" s="2">
        <v>50453</v>
      </c>
      <c r="M418" s="2"/>
      <c r="N418" s="2">
        <v>46248</v>
      </c>
      <c r="P418" s="2">
        <v>50481</v>
      </c>
      <c r="Q418" s="2"/>
      <c r="R418" s="2">
        <v>46218</v>
      </c>
      <c r="AB418" s="2"/>
    </row>
    <row r="419" spans="8:28" ht="15" customHeight="1">
      <c r="H419" s="2">
        <v>50490</v>
      </c>
      <c r="I419" s="2"/>
      <c r="J419" s="2">
        <v>46209</v>
      </c>
      <c r="K419" s="2"/>
      <c r="L419" s="2">
        <v>50452</v>
      </c>
      <c r="M419" s="2"/>
      <c r="N419" s="2">
        <v>46251</v>
      </c>
      <c r="P419" s="2">
        <v>50480</v>
      </c>
      <c r="Q419" s="2"/>
      <c r="R419" s="2">
        <v>46219</v>
      </c>
      <c r="AB419" s="2"/>
    </row>
    <row r="420" spans="8:28" ht="15" customHeight="1">
      <c r="H420" s="2">
        <v>50489</v>
      </c>
      <c r="I420" s="2"/>
      <c r="J420" s="2">
        <v>46210</v>
      </c>
      <c r="K420" s="2"/>
      <c r="L420" s="2">
        <v>50448</v>
      </c>
      <c r="M420" s="2"/>
      <c r="N420" s="2">
        <v>46252</v>
      </c>
      <c r="P420" s="2">
        <v>50479</v>
      </c>
      <c r="Q420" s="2"/>
      <c r="R420" s="2">
        <v>46220</v>
      </c>
      <c r="AB420" s="2"/>
    </row>
    <row r="421" spans="8:28" ht="15" customHeight="1">
      <c r="H421" s="2">
        <v>50488</v>
      </c>
      <c r="I421" s="2"/>
      <c r="J421" s="2">
        <v>46211</v>
      </c>
      <c r="K421" s="2"/>
      <c r="L421" s="2">
        <v>50446</v>
      </c>
      <c r="M421" s="2"/>
      <c r="N421" s="2">
        <v>46253</v>
      </c>
      <c r="P421" s="2">
        <v>50476</v>
      </c>
      <c r="Q421" s="2"/>
      <c r="R421" s="2">
        <v>46223</v>
      </c>
      <c r="AB421" s="2"/>
    </row>
    <row r="422" spans="8:28" ht="15" customHeight="1">
      <c r="H422" s="2">
        <v>50487</v>
      </c>
      <c r="I422" s="2"/>
      <c r="J422" s="2">
        <v>46212</v>
      </c>
      <c r="K422" s="2"/>
      <c r="L422" s="2">
        <v>50445</v>
      </c>
      <c r="M422" s="2"/>
      <c r="N422" s="2">
        <v>46254</v>
      </c>
      <c r="P422" s="2">
        <v>50475</v>
      </c>
      <c r="Q422" s="2"/>
      <c r="R422" s="2">
        <v>46224</v>
      </c>
      <c r="AB422" s="2"/>
    </row>
    <row r="423" spans="8:28" ht="15" customHeight="1">
      <c r="H423" s="2">
        <v>50486</v>
      </c>
      <c r="I423" s="2"/>
      <c r="J423" s="2">
        <v>46213</v>
      </c>
      <c r="K423" s="2"/>
      <c r="L423" s="2">
        <v>50444</v>
      </c>
      <c r="M423" s="2"/>
      <c r="N423" s="2">
        <v>46255</v>
      </c>
      <c r="P423" s="2">
        <v>50474</v>
      </c>
      <c r="Q423" s="2"/>
      <c r="R423" s="2">
        <v>46225</v>
      </c>
      <c r="AB423" s="2"/>
    </row>
    <row r="424" spans="8:28" ht="15" customHeight="1">
      <c r="H424" s="2">
        <v>50483</v>
      </c>
      <c r="I424" s="2"/>
      <c r="J424" s="2">
        <v>46216</v>
      </c>
      <c r="K424" s="2"/>
      <c r="L424" s="2">
        <v>50441</v>
      </c>
      <c r="M424" s="2"/>
      <c r="N424" s="2">
        <v>46258</v>
      </c>
      <c r="P424" s="2">
        <v>50473</v>
      </c>
      <c r="Q424" s="2"/>
      <c r="R424" s="2">
        <v>46226</v>
      </c>
      <c r="AB424" s="2"/>
    </row>
    <row r="425" spans="8:28" ht="15" customHeight="1">
      <c r="H425" s="2">
        <v>50482</v>
      </c>
      <c r="I425" s="2"/>
      <c r="J425" s="2">
        <v>46217</v>
      </c>
      <c r="K425" s="2"/>
      <c r="L425" s="2">
        <v>50440</v>
      </c>
      <c r="M425" s="2"/>
      <c r="N425" s="2">
        <v>46259</v>
      </c>
      <c r="P425" s="2">
        <v>50472</v>
      </c>
      <c r="Q425" s="2"/>
      <c r="R425" s="2">
        <v>46227</v>
      </c>
      <c r="AB425" s="2"/>
    </row>
    <row r="426" spans="8:28" ht="15" customHeight="1">
      <c r="H426" s="2">
        <v>50481</v>
      </c>
      <c r="I426" s="2"/>
      <c r="J426" s="2">
        <v>46218</v>
      </c>
      <c r="K426" s="2"/>
      <c r="L426" s="2">
        <v>50439</v>
      </c>
      <c r="M426" s="2"/>
      <c r="N426" s="2">
        <v>46260</v>
      </c>
      <c r="P426" s="2">
        <v>50469</v>
      </c>
      <c r="Q426" s="2"/>
      <c r="R426" s="2">
        <v>46230</v>
      </c>
      <c r="AB426" s="2"/>
    </row>
    <row r="427" spans="8:28" ht="15" customHeight="1">
      <c r="H427" s="2">
        <v>50480</v>
      </c>
      <c r="I427" s="2"/>
      <c r="J427" s="2">
        <v>46219</v>
      </c>
      <c r="K427" s="2"/>
      <c r="L427" s="2">
        <v>50438</v>
      </c>
      <c r="M427" s="2"/>
      <c r="N427" s="2">
        <v>46261</v>
      </c>
      <c r="P427" s="2">
        <v>50468</v>
      </c>
      <c r="Q427" s="2"/>
      <c r="R427" s="2">
        <v>46231</v>
      </c>
      <c r="AB427" s="2"/>
    </row>
    <row r="428" spans="8:28" ht="15" customHeight="1">
      <c r="H428" s="2">
        <v>50479</v>
      </c>
      <c r="I428" s="2"/>
      <c r="J428" s="2">
        <v>46220</v>
      </c>
      <c r="K428" s="2"/>
      <c r="L428" s="2">
        <v>50437</v>
      </c>
      <c r="M428" s="2"/>
      <c r="N428" s="2">
        <v>46262</v>
      </c>
      <c r="P428" s="2">
        <v>50467</v>
      </c>
      <c r="Q428" s="2"/>
      <c r="R428" s="2">
        <v>46232</v>
      </c>
      <c r="AB428" s="2"/>
    </row>
    <row r="429" spans="8:28" ht="15" customHeight="1">
      <c r="H429" s="2">
        <v>50476</v>
      </c>
      <c r="I429" s="2"/>
      <c r="J429" s="2">
        <v>46223</v>
      </c>
      <c r="K429" s="2"/>
      <c r="L429" s="2">
        <v>50434</v>
      </c>
      <c r="M429" s="2"/>
      <c r="N429" s="2">
        <v>46265</v>
      </c>
      <c r="P429" s="2">
        <v>50466</v>
      </c>
      <c r="Q429" s="2"/>
      <c r="R429" s="2">
        <v>46233</v>
      </c>
      <c r="AB429" s="2"/>
    </row>
    <row r="430" spans="8:28" ht="15" customHeight="1">
      <c r="H430" s="2">
        <v>50475</v>
      </c>
      <c r="I430" s="2"/>
      <c r="J430" s="2">
        <v>46224</v>
      </c>
      <c r="K430" s="2"/>
      <c r="L430" s="2">
        <v>50433</v>
      </c>
      <c r="M430" s="2"/>
      <c r="N430" s="2">
        <v>46266</v>
      </c>
      <c r="P430" s="2">
        <v>50462</v>
      </c>
      <c r="Q430" s="2"/>
      <c r="R430" s="2">
        <v>46234</v>
      </c>
      <c r="AB430" s="2"/>
    </row>
    <row r="431" spans="8:28" ht="15" customHeight="1">
      <c r="H431" s="2">
        <v>50474</v>
      </c>
      <c r="I431" s="2"/>
      <c r="J431" s="2">
        <v>46225</v>
      </c>
      <c r="K431" s="2"/>
      <c r="L431" s="2">
        <v>50432</v>
      </c>
      <c r="M431" s="2"/>
      <c r="N431" s="2">
        <v>46267</v>
      </c>
      <c r="P431" s="2">
        <v>50461</v>
      </c>
      <c r="Q431" s="2"/>
      <c r="R431" s="2">
        <v>46237</v>
      </c>
      <c r="AB431" s="2"/>
    </row>
    <row r="432" spans="8:28" ht="15" customHeight="1">
      <c r="H432" s="2">
        <v>50473</v>
      </c>
      <c r="I432" s="2"/>
      <c r="J432" s="2">
        <v>46226</v>
      </c>
      <c r="K432" s="2"/>
      <c r="L432" s="2">
        <v>50431</v>
      </c>
      <c r="M432" s="2"/>
      <c r="N432" s="2">
        <v>46268</v>
      </c>
      <c r="P432" s="2">
        <v>50460</v>
      </c>
      <c r="Q432" s="2"/>
      <c r="R432" s="2">
        <v>46238</v>
      </c>
      <c r="AB432" s="2"/>
    </row>
    <row r="433" spans="8:28" ht="15" customHeight="1">
      <c r="H433" s="2">
        <v>50472</v>
      </c>
      <c r="I433" s="2"/>
      <c r="J433" s="2">
        <v>46227</v>
      </c>
      <c r="K433" s="2"/>
      <c r="L433" s="2">
        <v>50430</v>
      </c>
      <c r="M433" s="2"/>
      <c r="N433" s="2">
        <v>46269</v>
      </c>
      <c r="P433" s="2">
        <v>50459</v>
      </c>
      <c r="Q433" s="2"/>
      <c r="R433" s="2">
        <v>46239</v>
      </c>
      <c r="AB433" s="2"/>
    </row>
    <row r="434" spans="8:28" ht="15" customHeight="1">
      <c r="H434" s="2">
        <v>50469</v>
      </c>
      <c r="I434" s="2"/>
      <c r="J434" s="2">
        <v>46230</v>
      </c>
      <c r="K434" s="2"/>
      <c r="L434" s="2">
        <v>50427</v>
      </c>
      <c r="M434" s="2"/>
      <c r="N434" s="2">
        <v>46273</v>
      </c>
      <c r="P434" s="2">
        <v>50458</v>
      </c>
      <c r="Q434" s="2"/>
      <c r="R434" s="2">
        <v>46240</v>
      </c>
      <c r="AB434" s="2"/>
    </row>
    <row r="435" spans="8:28" ht="15" customHeight="1">
      <c r="H435" s="2">
        <v>50468</v>
      </c>
      <c r="I435" s="2"/>
      <c r="J435" s="2">
        <v>46231</v>
      </c>
      <c r="K435" s="2"/>
      <c r="L435" s="2">
        <v>50426</v>
      </c>
      <c r="M435" s="2"/>
      <c r="N435" s="2">
        <v>46274</v>
      </c>
      <c r="P435" s="2">
        <v>50455</v>
      </c>
      <c r="Q435" s="2"/>
      <c r="R435" s="2">
        <v>46241</v>
      </c>
      <c r="AB435" s="2"/>
    </row>
    <row r="436" spans="8:28" ht="15" customHeight="1">
      <c r="H436" s="2">
        <v>50467</v>
      </c>
      <c r="I436" s="2"/>
      <c r="J436" s="2">
        <v>46232</v>
      </c>
      <c r="K436" s="2"/>
      <c r="L436" s="2">
        <v>50425</v>
      </c>
      <c r="M436" s="2"/>
      <c r="N436" s="2">
        <v>46275</v>
      </c>
      <c r="P436" s="2">
        <v>50454</v>
      </c>
      <c r="Q436" s="2"/>
      <c r="R436" s="2">
        <v>46244</v>
      </c>
      <c r="AB436" s="2"/>
    </row>
    <row r="437" spans="8:28" ht="15" customHeight="1">
      <c r="H437" s="2">
        <v>50466</v>
      </c>
      <c r="I437" s="2"/>
      <c r="J437" s="2">
        <v>46233</v>
      </c>
      <c r="K437" s="2"/>
      <c r="L437" s="2">
        <v>50424</v>
      </c>
      <c r="M437" s="2"/>
      <c r="N437" s="2">
        <v>46276</v>
      </c>
      <c r="P437" s="2">
        <v>50453</v>
      </c>
      <c r="Q437" s="2"/>
      <c r="R437" s="2">
        <v>46245</v>
      </c>
      <c r="AB437" s="2"/>
    </row>
    <row r="438" spans="8:28" ht="15" customHeight="1">
      <c r="H438" s="2">
        <v>50465</v>
      </c>
      <c r="I438" s="2"/>
      <c r="J438" s="2">
        <v>46234</v>
      </c>
      <c r="K438" s="2"/>
      <c r="L438" s="2">
        <v>50420</v>
      </c>
      <c r="M438" s="2"/>
      <c r="N438" s="2">
        <v>46279</v>
      </c>
      <c r="P438" s="2">
        <v>50452</v>
      </c>
      <c r="Q438" s="2"/>
      <c r="R438" s="2">
        <v>46246</v>
      </c>
      <c r="AB438" s="2"/>
    </row>
    <row r="439" spans="8:28" ht="15" customHeight="1">
      <c r="H439" s="2">
        <v>50462</v>
      </c>
      <c r="I439" s="2"/>
      <c r="J439" s="2">
        <v>46237</v>
      </c>
      <c r="K439" s="2"/>
      <c r="L439" s="2">
        <v>50419</v>
      </c>
      <c r="M439" s="2"/>
      <c r="N439" s="2">
        <v>46280</v>
      </c>
      <c r="P439" s="2">
        <v>50451</v>
      </c>
      <c r="Q439" s="2"/>
      <c r="R439" s="2">
        <v>46247</v>
      </c>
      <c r="AB439" s="2"/>
    </row>
    <row r="440" spans="8:28" ht="15" customHeight="1">
      <c r="H440" s="2">
        <v>50461</v>
      </c>
      <c r="I440" s="2"/>
      <c r="J440" s="2">
        <v>46238</v>
      </c>
      <c r="K440" s="2"/>
      <c r="L440" s="2">
        <v>50418</v>
      </c>
      <c r="M440" s="2"/>
      <c r="N440" s="2">
        <v>46281</v>
      </c>
      <c r="P440" s="2">
        <v>50448</v>
      </c>
      <c r="Q440" s="2"/>
      <c r="R440" s="2">
        <v>46248</v>
      </c>
      <c r="AB440" s="2"/>
    </row>
    <row r="441" spans="8:28" ht="15" customHeight="1">
      <c r="H441" s="2">
        <v>50460</v>
      </c>
      <c r="I441" s="2"/>
      <c r="J441" s="2">
        <v>46239</v>
      </c>
      <c r="K441" s="2"/>
      <c r="L441" s="2">
        <v>50417</v>
      </c>
      <c r="M441" s="2"/>
      <c r="N441" s="2">
        <v>46282</v>
      </c>
      <c r="P441" s="2">
        <v>50447</v>
      </c>
      <c r="Q441" s="2"/>
      <c r="R441" s="2">
        <v>46252</v>
      </c>
      <c r="AB441" s="2"/>
    </row>
    <row r="442" spans="8:28" ht="15" customHeight="1">
      <c r="H442" s="2">
        <v>50459</v>
      </c>
      <c r="I442" s="2"/>
      <c r="J442" s="2">
        <v>46240</v>
      </c>
      <c r="K442" s="2"/>
      <c r="L442" s="2">
        <v>50413</v>
      </c>
      <c r="M442" s="2"/>
      <c r="N442" s="2">
        <v>46283</v>
      </c>
      <c r="P442" s="2">
        <v>50446</v>
      </c>
      <c r="Q442" s="2"/>
      <c r="R442" s="2">
        <v>46253</v>
      </c>
      <c r="AB442" s="2"/>
    </row>
    <row r="443" spans="8:28" ht="15" customHeight="1">
      <c r="H443" s="2">
        <v>50458</v>
      </c>
      <c r="I443" s="2"/>
      <c r="J443" s="2">
        <v>46241</v>
      </c>
      <c r="K443" s="2"/>
      <c r="L443" s="2">
        <v>50412</v>
      </c>
      <c r="M443" s="2"/>
      <c r="N443" s="2">
        <v>46287</v>
      </c>
      <c r="P443" s="2">
        <v>50445</v>
      </c>
      <c r="Q443" s="2"/>
      <c r="R443" s="2">
        <v>46254</v>
      </c>
      <c r="AB443" s="2"/>
    </row>
    <row r="444" spans="8:28" ht="15" customHeight="1">
      <c r="H444" s="2">
        <v>50455</v>
      </c>
      <c r="I444" s="2"/>
      <c r="J444" s="2">
        <v>46244</v>
      </c>
      <c r="K444" s="2"/>
      <c r="L444" s="2">
        <v>50411</v>
      </c>
      <c r="M444" s="2"/>
      <c r="N444" s="2">
        <v>46289</v>
      </c>
      <c r="P444" s="2">
        <v>50444</v>
      </c>
      <c r="Q444" s="2"/>
      <c r="R444" s="2">
        <v>46255</v>
      </c>
      <c r="AB444" s="2"/>
    </row>
    <row r="445" spans="8:28" ht="15" customHeight="1">
      <c r="H445" s="2">
        <v>50454</v>
      </c>
      <c r="I445" s="2"/>
      <c r="J445" s="2">
        <v>46245</v>
      </c>
      <c r="K445" s="2"/>
      <c r="L445" s="2">
        <v>50410</v>
      </c>
      <c r="M445" s="2"/>
      <c r="N445" s="2">
        <v>46290</v>
      </c>
      <c r="P445" s="2">
        <v>50438</v>
      </c>
      <c r="Q445" s="2"/>
      <c r="R445" s="2">
        <v>46258</v>
      </c>
      <c r="AB445" s="2"/>
    </row>
    <row r="446" spans="8:28" ht="15" customHeight="1">
      <c r="H446" s="2">
        <v>50453</v>
      </c>
      <c r="I446" s="2"/>
      <c r="J446" s="2">
        <v>46246</v>
      </c>
      <c r="K446" s="2"/>
      <c r="L446" s="2">
        <v>50409</v>
      </c>
      <c r="M446" s="2"/>
      <c r="N446" s="2">
        <v>46293</v>
      </c>
      <c r="P446" s="2">
        <v>50437</v>
      </c>
      <c r="Q446" s="2"/>
      <c r="R446" s="2">
        <v>46259</v>
      </c>
      <c r="AB446" s="2"/>
    </row>
    <row r="447" spans="8:28" ht="15" customHeight="1">
      <c r="H447" s="2">
        <v>50452</v>
      </c>
      <c r="I447" s="2"/>
      <c r="J447" s="2">
        <v>46247</v>
      </c>
      <c r="K447" s="2"/>
      <c r="L447" s="2">
        <v>50404</v>
      </c>
      <c r="M447" s="2"/>
      <c r="N447" s="2">
        <v>46294</v>
      </c>
      <c r="P447" s="2">
        <v>50434</v>
      </c>
      <c r="Q447" s="2"/>
      <c r="R447" s="2">
        <v>46260</v>
      </c>
      <c r="AB447" s="2"/>
    </row>
    <row r="448" spans="8:28" ht="15" customHeight="1">
      <c r="H448" s="2">
        <v>50448</v>
      </c>
      <c r="I448" s="2"/>
      <c r="J448" s="2">
        <v>46248</v>
      </c>
      <c r="K448" s="2"/>
      <c r="L448" s="2">
        <v>50403</v>
      </c>
      <c r="M448" s="2"/>
      <c r="N448" s="2">
        <v>46295</v>
      </c>
      <c r="P448" s="2">
        <v>50433</v>
      </c>
      <c r="Q448" s="2"/>
      <c r="R448" s="2">
        <v>46261</v>
      </c>
      <c r="AB448" s="2"/>
    </row>
    <row r="449" spans="8:28" ht="15" customHeight="1">
      <c r="H449" s="2">
        <v>50447</v>
      </c>
      <c r="I449" s="2"/>
      <c r="J449" s="2">
        <v>46251</v>
      </c>
      <c r="K449" s="2"/>
      <c r="L449" s="2">
        <v>50402</v>
      </c>
      <c r="M449" s="2"/>
      <c r="N449" s="2">
        <v>46296</v>
      </c>
      <c r="P449" s="2">
        <v>50432</v>
      </c>
      <c r="Q449" s="2"/>
      <c r="R449" s="2">
        <v>46262</v>
      </c>
      <c r="AB449" s="2"/>
    </row>
    <row r="450" spans="8:28" ht="15" customHeight="1">
      <c r="H450" s="2">
        <v>50446</v>
      </c>
      <c r="I450" s="2"/>
      <c r="J450" s="2">
        <v>46252</v>
      </c>
      <c r="K450" s="2"/>
      <c r="L450" s="2">
        <v>50398</v>
      </c>
      <c r="M450" s="2"/>
      <c r="N450" s="2">
        <v>46297</v>
      </c>
      <c r="P450" s="2">
        <v>50431</v>
      </c>
      <c r="Q450" s="2"/>
      <c r="R450" s="2">
        <v>46265</v>
      </c>
      <c r="AB450" s="2"/>
    </row>
    <row r="451" spans="8:28" ht="15" customHeight="1">
      <c r="H451" s="2">
        <v>50445</v>
      </c>
      <c r="I451" s="2"/>
      <c r="J451" s="2">
        <v>46253</v>
      </c>
      <c r="K451" s="2"/>
      <c r="L451" s="2">
        <v>50397</v>
      </c>
      <c r="M451" s="2"/>
      <c r="N451" s="2">
        <v>46300</v>
      </c>
      <c r="P451" s="2">
        <v>50430</v>
      </c>
      <c r="Q451" s="2"/>
      <c r="R451" s="2">
        <v>46266</v>
      </c>
      <c r="AB451" s="2"/>
    </row>
    <row r="452" spans="8:28" ht="15" customHeight="1">
      <c r="H452" s="2">
        <v>50444</v>
      </c>
      <c r="I452" s="2"/>
      <c r="J452" s="2">
        <v>46254</v>
      </c>
      <c r="K452" s="2"/>
      <c r="L452" s="2">
        <v>50396</v>
      </c>
      <c r="M452" s="2"/>
      <c r="N452" s="2">
        <v>46301</v>
      </c>
      <c r="P452" s="2">
        <v>50427</v>
      </c>
      <c r="Q452" s="2"/>
      <c r="R452" s="2">
        <v>46267</v>
      </c>
      <c r="AB452" s="2"/>
    </row>
    <row r="453" spans="8:28" ht="15" customHeight="1">
      <c r="H453" s="2">
        <v>50441</v>
      </c>
      <c r="I453" s="2"/>
      <c r="J453" s="2">
        <v>46255</v>
      </c>
      <c r="K453" s="2"/>
      <c r="L453" s="2">
        <v>50395</v>
      </c>
      <c r="M453" s="2"/>
      <c r="N453" s="2">
        <v>46302</v>
      </c>
      <c r="P453" s="2">
        <v>50426</v>
      </c>
      <c r="Q453" s="2"/>
      <c r="R453" s="2">
        <v>46268</v>
      </c>
      <c r="AB453" s="2"/>
    </row>
    <row r="454" spans="8:28" ht="15" customHeight="1">
      <c r="H454" s="2">
        <v>50440</v>
      </c>
      <c r="I454" s="2"/>
      <c r="J454" s="2">
        <v>46258</v>
      </c>
      <c r="K454" s="2"/>
      <c r="L454" s="2">
        <v>50392</v>
      </c>
      <c r="M454" s="2"/>
      <c r="N454" s="2">
        <v>46303</v>
      </c>
      <c r="P454" s="2">
        <v>50425</v>
      </c>
      <c r="Q454" s="2"/>
      <c r="R454" s="2">
        <v>46269</v>
      </c>
      <c r="AB454" s="2"/>
    </row>
    <row r="455" spans="8:28" ht="15" customHeight="1">
      <c r="H455" s="2">
        <v>50439</v>
      </c>
      <c r="I455" s="2"/>
      <c r="J455" s="2">
        <v>46259</v>
      </c>
      <c r="K455" s="2"/>
      <c r="L455" s="2">
        <v>50391</v>
      </c>
      <c r="M455" s="2"/>
      <c r="N455" s="2">
        <v>46304</v>
      </c>
      <c r="P455" s="2">
        <v>50424</v>
      </c>
      <c r="Q455" s="2"/>
      <c r="R455" s="2">
        <v>46272</v>
      </c>
      <c r="AB455" s="2"/>
    </row>
    <row r="456" spans="8:28" ht="15" customHeight="1">
      <c r="H456" s="2">
        <v>50438</v>
      </c>
      <c r="I456" s="2"/>
      <c r="J456" s="2">
        <v>46260</v>
      </c>
      <c r="K456" s="2"/>
      <c r="L456" s="2">
        <v>50390</v>
      </c>
      <c r="M456" s="2"/>
      <c r="N456" s="2">
        <v>46308</v>
      </c>
      <c r="P456" s="2">
        <v>50423</v>
      </c>
      <c r="Q456" s="2"/>
      <c r="R456" s="2">
        <v>46273</v>
      </c>
      <c r="AB456" s="2"/>
    </row>
    <row r="457" spans="8:28" ht="15" customHeight="1">
      <c r="H457" s="2">
        <v>50437</v>
      </c>
      <c r="I457" s="2"/>
      <c r="J457" s="2">
        <v>46261</v>
      </c>
      <c r="K457" s="2"/>
      <c r="L457" s="2">
        <v>50389</v>
      </c>
      <c r="M457" s="2"/>
      <c r="N457" s="2">
        <v>46309</v>
      </c>
      <c r="P457" s="2">
        <v>50420</v>
      </c>
      <c r="Q457" s="2"/>
      <c r="R457" s="2">
        <v>46274</v>
      </c>
      <c r="AB457" s="2"/>
    </row>
    <row r="458" spans="8:28" ht="15" customHeight="1">
      <c r="H458" s="2">
        <v>50434</v>
      </c>
      <c r="I458" s="2"/>
      <c r="J458" s="2">
        <v>46262</v>
      </c>
      <c r="K458" s="2"/>
      <c r="L458" s="2">
        <v>50388</v>
      </c>
      <c r="M458" s="2"/>
      <c r="N458" s="2">
        <v>46310</v>
      </c>
      <c r="P458" s="2">
        <v>50419</v>
      </c>
      <c r="Q458" s="2"/>
      <c r="R458" s="2">
        <v>46275</v>
      </c>
      <c r="AB458" s="2"/>
    </row>
    <row r="459" spans="8:28" ht="15" customHeight="1">
      <c r="H459" s="2">
        <v>50433</v>
      </c>
      <c r="I459" s="2"/>
      <c r="J459" s="2">
        <v>46265</v>
      </c>
      <c r="K459" s="2"/>
      <c r="L459" s="2">
        <v>50385</v>
      </c>
      <c r="M459" s="2"/>
      <c r="N459" s="2">
        <v>46311</v>
      </c>
      <c r="P459" s="2">
        <v>50418</v>
      </c>
      <c r="Q459" s="2"/>
      <c r="R459" s="2">
        <v>46276</v>
      </c>
      <c r="AB459" s="2"/>
    </row>
    <row r="460" spans="8:28" ht="15" customHeight="1">
      <c r="H460" s="2">
        <v>50432</v>
      </c>
      <c r="I460" s="2"/>
      <c r="J460" s="2">
        <v>46266</v>
      </c>
      <c r="K460" s="2"/>
      <c r="L460" s="2">
        <v>50384</v>
      </c>
      <c r="M460" s="2"/>
      <c r="N460" s="2">
        <v>46314</v>
      </c>
      <c r="P460" s="2">
        <v>50417</v>
      </c>
      <c r="Q460" s="2"/>
      <c r="R460" s="2">
        <v>46279</v>
      </c>
      <c r="AB460" s="2"/>
    </row>
    <row r="461" spans="8:28" ht="15" customHeight="1">
      <c r="H461" s="2">
        <v>50431</v>
      </c>
      <c r="I461" s="2"/>
      <c r="J461" s="2">
        <v>46267</v>
      </c>
      <c r="K461" s="2"/>
      <c r="L461" s="2">
        <v>50383</v>
      </c>
      <c r="M461" s="2"/>
      <c r="N461" s="2">
        <v>46315</v>
      </c>
      <c r="P461" s="2">
        <v>50416</v>
      </c>
      <c r="Q461" s="2"/>
      <c r="R461" s="2">
        <v>46280</v>
      </c>
      <c r="AB461" s="2"/>
    </row>
    <row r="462" spans="8:28" ht="15" customHeight="1">
      <c r="H462" s="2">
        <v>50430</v>
      </c>
      <c r="I462" s="2"/>
      <c r="J462" s="2">
        <v>46268</v>
      </c>
      <c r="K462" s="2"/>
      <c r="L462" s="2">
        <v>50382</v>
      </c>
      <c r="M462" s="2"/>
      <c r="N462" s="2">
        <v>46316</v>
      </c>
      <c r="P462" s="2">
        <v>50413</v>
      </c>
      <c r="Q462" s="2"/>
      <c r="R462" s="2">
        <v>46281</v>
      </c>
      <c r="AB462" s="2"/>
    </row>
    <row r="463" spans="8:28" ht="15" customHeight="1">
      <c r="H463" s="2">
        <v>50427</v>
      </c>
      <c r="I463" s="2"/>
      <c r="J463" s="2">
        <v>46269</v>
      </c>
      <c r="K463" s="2"/>
      <c r="L463" s="2">
        <v>50381</v>
      </c>
      <c r="M463" s="2"/>
      <c r="N463" s="2">
        <v>46317</v>
      </c>
      <c r="P463" s="2">
        <v>50412</v>
      </c>
      <c r="Q463" s="2"/>
      <c r="R463" s="2">
        <v>46282</v>
      </c>
      <c r="AB463" s="2"/>
    </row>
    <row r="464" spans="8:28" ht="15" customHeight="1">
      <c r="H464" s="2">
        <v>50426</v>
      </c>
      <c r="I464" s="2"/>
      <c r="J464" s="2">
        <v>46273</v>
      </c>
      <c r="K464" s="2"/>
      <c r="L464" s="2">
        <v>50378</v>
      </c>
      <c r="M464" s="2"/>
      <c r="N464" s="2">
        <v>46318</v>
      </c>
      <c r="P464" s="2">
        <v>50411</v>
      </c>
      <c r="Q464" s="2"/>
      <c r="R464" s="2">
        <v>46283</v>
      </c>
      <c r="AB464" s="2"/>
    </row>
    <row r="465" spans="8:28" ht="15" customHeight="1">
      <c r="H465" s="2">
        <v>50425</v>
      </c>
      <c r="I465" s="2"/>
      <c r="J465" s="2">
        <v>46274</v>
      </c>
      <c r="K465" s="2"/>
      <c r="L465" s="2">
        <v>50377</v>
      </c>
      <c r="M465" s="2"/>
      <c r="N465" s="2">
        <v>46321</v>
      </c>
      <c r="P465" s="2">
        <v>50410</v>
      </c>
      <c r="Q465" s="2"/>
      <c r="R465" s="2">
        <v>46286</v>
      </c>
      <c r="AB465" s="2"/>
    </row>
    <row r="466" spans="8:28" ht="15" customHeight="1">
      <c r="H466" s="2">
        <v>50424</v>
      </c>
      <c r="I466" s="2"/>
      <c r="J466" s="2">
        <v>46275</v>
      </c>
      <c r="K466" s="2"/>
      <c r="L466" s="2">
        <v>50376</v>
      </c>
      <c r="M466" s="2"/>
      <c r="N466" s="2">
        <v>46322</v>
      </c>
      <c r="P466" s="2">
        <v>50409</v>
      </c>
      <c r="Q466" s="2"/>
      <c r="R466" s="2">
        <v>46287</v>
      </c>
      <c r="AB466" s="2"/>
    </row>
    <row r="467" spans="8:28" ht="15" customHeight="1">
      <c r="H467" s="2">
        <v>50420</v>
      </c>
      <c r="I467" s="2"/>
      <c r="J467" s="2">
        <v>46276</v>
      </c>
      <c r="K467" s="2"/>
      <c r="L467" s="2">
        <v>50375</v>
      </c>
      <c r="M467" s="2"/>
      <c r="N467" s="2">
        <v>46323</v>
      </c>
      <c r="P467" s="2">
        <v>50404</v>
      </c>
      <c r="Q467" s="2"/>
      <c r="R467" s="2">
        <v>46288</v>
      </c>
      <c r="AB467" s="2"/>
    </row>
    <row r="468" spans="8:28" ht="15" customHeight="1">
      <c r="H468" s="2">
        <v>50419</v>
      </c>
      <c r="I468" s="2"/>
      <c r="J468" s="2">
        <v>46279</v>
      </c>
      <c r="K468" s="2"/>
      <c r="L468" s="2">
        <v>50374</v>
      </c>
      <c r="M468" s="2"/>
      <c r="N468" s="2">
        <v>46324</v>
      </c>
      <c r="P468" s="2">
        <v>50403</v>
      </c>
      <c r="Q468" s="2"/>
      <c r="R468" s="2">
        <v>46293</v>
      </c>
      <c r="AB468" s="2"/>
    </row>
    <row r="469" spans="8:28" ht="15" customHeight="1">
      <c r="H469" s="2">
        <v>50418</v>
      </c>
      <c r="I469" s="2"/>
      <c r="J469" s="2">
        <v>46280</v>
      </c>
      <c r="K469" s="2"/>
      <c r="L469" s="2">
        <v>50371</v>
      </c>
      <c r="M469" s="2"/>
      <c r="N469" s="2">
        <v>46325</v>
      </c>
      <c r="P469" s="2">
        <v>50402</v>
      </c>
      <c r="Q469" s="2"/>
      <c r="R469" s="2">
        <v>46294</v>
      </c>
      <c r="AB469" s="2"/>
    </row>
    <row r="470" spans="8:28" ht="15" customHeight="1">
      <c r="H470" s="2">
        <v>50417</v>
      </c>
      <c r="I470" s="2"/>
      <c r="J470" s="2">
        <v>46281</v>
      </c>
      <c r="K470" s="2"/>
      <c r="L470" s="2">
        <v>50369</v>
      </c>
      <c r="M470" s="2"/>
      <c r="N470" s="2">
        <v>46328</v>
      </c>
      <c r="P470" s="2">
        <v>50398</v>
      </c>
      <c r="Q470" s="2"/>
      <c r="R470" s="2">
        <v>46295</v>
      </c>
      <c r="AB470" s="2"/>
    </row>
    <row r="471" spans="8:28" ht="15" customHeight="1">
      <c r="H471" s="2">
        <v>50416</v>
      </c>
      <c r="I471" s="2"/>
      <c r="J471" s="2">
        <v>46282</v>
      </c>
      <c r="K471" s="2"/>
      <c r="L471" s="2">
        <v>50368</v>
      </c>
      <c r="M471" s="2"/>
      <c r="N471" s="2">
        <v>46330</v>
      </c>
      <c r="P471" s="2">
        <v>50397</v>
      </c>
      <c r="Q471" s="2"/>
      <c r="R471" s="2">
        <v>46296</v>
      </c>
      <c r="AB471" s="2"/>
    </row>
    <row r="472" spans="8:28" ht="15" customHeight="1">
      <c r="H472" s="2">
        <v>50413</v>
      </c>
      <c r="I472" s="2"/>
      <c r="J472" s="2">
        <v>46283</v>
      </c>
      <c r="K472" s="2"/>
      <c r="L472" s="2">
        <v>50364</v>
      </c>
      <c r="M472" s="2"/>
      <c r="N472" s="2">
        <v>46331</v>
      </c>
      <c r="P472" s="2">
        <v>50396</v>
      </c>
      <c r="Q472" s="2"/>
      <c r="R472" s="2">
        <v>46297</v>
      </c>
      <c r="AB472" s="2"/>
    </row>
    <row r="473" spans="8:28" ht="15" customHeight="1">
      <c r="H473" s="2">
        <v>50412</v>
      </c>
      <c r="I473" s="2"/>
      <c r="J473" s="2">
        <v>46286</v>
      </c>
      <c r="K473" s="2"/>
      <c r="L473" s="2">
        <v>50363</v>
      </c>
      <c r="M473" s="2"/>
      <c r="N473" s="2">
        <v>46332</v>
      </c>
      <c r="P473" s="2">
        <v>50395</v>
      </c>
      <c r="Q473" s="2"/>
      <c r="R473" s="2">
        <v>46301</v>
      </c>
      <c r="AB473" s="2"/>
    </row>
    <row r="474" spans="8:28" ht="15" customHeight="1">
      <c r="H474" s="2">
        <v>50411</v>
      </c>
      <c r="I474" s="2"/>
      <c r="J474" s="2">
        <v>46287</v>
      </c>
      <c r="K474" s="2"/>
      <c r="L474" s="2">
        <v>50362</v>
      </c>
      <c r="M474" s="2"/>
      <c r="N474" s="2">
        <v>46335</v>
      </c>
      <c r="P474" s="2">
        <v>50392</v>
      </c>
      <c r="Q474" s="2"/>
      <c r="R474" s="2">
        <v>46302</v>
      </c>
      <c r="AB474" s="2"/>
    </row>
    <row r="475" spans="8:28" ht="15" customHeight="1">
      <c r="H475" s="2">
        <v>50410</v>
      </c>
      <c r="I475" s="2"/>
      <c r="J475" s="2">
        <v>46288</v>
      </c>
      <c r="K475" s="2"/>
      <c r="L475" s="2">
        <v>50361</v>
      </c>
      <c r="M475" s="2"/>
      <c r="N475" s="2">
        <v>46336</v>
      </c>
      <c r="P475" s="2">
        <v>50391</v>
      </c>
      <c r="Q475" s="2"/>
      <c r="R475" s="2">
        <v>46303</v>
      </c>
      <c r="AB475" s="2"/>
    </row>
    <row r="476" spans="8:28" ht="15" customHeight="1">
      <c r="H476" s="2">
        <v>50409</v>
      </c>
      <c r="I476" s="2"/>
      <c r="J476" s="2">
        <v>46289</v>
      </c>
      <c r="K476" s="2"/>
      <c r="L476" s="2">
        <v>50360</v>
      </c>
      <c r="M476" s="2"/>
      <c r="N476" s="2">
        <v>46337</v>
      </c>
      <c r="P476" s="2">
        <v>50390</v>
      </c>
      <c r="Q476" s="2"/>
      <c r="R476" s="2">
        <v>46307</v>
      </c>
      <c r="AB476" s="2"/>
    </row>
    <row r="477" spans="8:28" ht="15" customHeight="1">
      <c r="H477" s="2">
        <v>50405</v>
      </c>
      <c r="I477" s="2"/>
      <c r="J477" s="2">
        <v>46290</v>
      </c>
      <c r="K477" s="2"/>
      <c r="L477" s="2">
        <v>50357</v>
      </c>
      <c r="M477" s="2"/>
      <c r="N477" s="2">
        <v>46338</v>
      </c>
      <c r="P477" s="2">
        <v>50389</v>
      </c>
      <c r="Q477" s="2"/>
      <c r="R477" s="2">
        <v>46308</v>
      </c>
      <c r="AB477" s="2"/>
    </row>
    <row r="478" spans="8:28" ht="15" customHeight="1">
      <c r="H478" s="2">
        <v>50404</v>
      </c>
      <c r="I478" s="2"/>
      <c r="J478" s="2">
        <v>46293</v>
      </c>
      <c r="K478" s="2"/>
      <c r="L478" s="2">
        <v>50356</v>
      </c>
      <c r="M478" s="2"/>
      <c r="N478" s="2">
        <v>46339</v>
      </c>
      <c r="P478" s="2">
        <v>50388</v>
      </c>
      <c r="Q478" s="2"/>
      <c r="R478" s="2">
        <v>46309</v>
      </c>
      <c r="AB478" s="2"/>
    </row>
    <row r="479" spans="8:28" ht="15" customHeight="1">
      <c r="H479" s="2">
        <v>50403</v>
      </c>
      <c r="I479" s="2"/>
      <c r="J479" s="2">
        <v>46294</v>
      </c>
      <c r="K479" s="2"/>
      <c r="L479" s="2">
        <v>50355</v>
      </c>
      <c r="M479" s="2"/>
      <c r="N479" s="2">
        <v>46342</v>
      </c>
      <c r="P479" s="2">
        <v>50385</v>
      </c>
      <c r="Q479" s="2"/>
      <c r="R479" s="2">
        <v>46310</v>
      </c>
      <c r="AB479" s="2"/>
    </row>
    <row r="480" spans="8:28" ht="15" customHeight="1">
      <c r="H480" s="2">
        <v>50402</v>
      </c>
      <c r="I480" s="2"/>
      <c r="J480" s="2">
        <v>46295</v>
      </c>
      <c r="K480" s="2"/>
      <c r="L480" s="2">
        <v>50354</v>
      </c>
      <c r="M480" s="2"/>
      <c r="N480" s="2">
        <v>46343</v>
      </c>
      <c r="P480" s="2">
        <v>50384</v>
      </c>
      <c r="Q480" s="2"/>
      <c r="R480" s="2">
        <v>46311</v>
      </c>
      <c r="AB480" s="2"/>
    </row>
    <row r="481" spans="8:28" ht="15" customHeight="1">
      <c r="H481" s="2">
        <v>50398</v>
      </c>
      <c r="I481" s="2"/>
      <c r="J481" s="2">
        <v>46296</v>
      </c>
      <c r="K481" s="2"/>
      <c r="L481" s="2">
        <v>50353</v>
      </c>
      <c r="M481" s="2"/>
      <c r="N481" s="2">
        <v>46344</v>
      </c>
      <c r="P481" s="2">
        <v>50383</v>
      </c>
      <c r="Q481" s="2"/>
      <c r="R481" s="2">
        <v>46314</v>
      </c>
      <c r="AB481" s="2"/>
    </row>
    <row r="482" spans="8:28" ht="15" customHeight="1">
      <c r="H482" s="2">
        <v>50397</v>
      </c>
      <c r="I482" s="2"/>
      <c r="J482" s="2">
        <v>46297</v>
      </c>
      <c r="K482" s="2"/>
      <c r="L482" s="2">
        <v>50350</v>
      </c>
      <c r="M482" s="2"/>
      <c r="N482" s="2">
        <v>46345</v>
      </c>
      <c r="P482" s="2">
        <v>50382</v>
      </c>
      <c r="Q482" s="2"/>
      <c r="R482" s="2">
        <v>46315</v>
      </c>
      <c r="AB482" s="2"/>
    </row>
    <row r="483" spans="8:28" ht="15" customHeight="1">
      <c r="H483" s="2">
        <v>50396</v>
      </c>
      <c r="I483" s="2"/>
      <c r="J483" s="2">
        <v>46300</v>
      </c>
      <c r="K483" s="2"/>
      <c r="L483" s="2">
        <v>50349</v>
      </c>
      <c r="M483" s="2"/>
      <c r="N483" s="2">
        <v>46346</v>
      </c>
      <c r="P483" s="2">
        <v>50381</v>
      </c>
      <c r="Q483" s="2"/>
      <c r="R483" s="2">
        <v>46316</v>
      </c>
      <c r="AB483" s="2"/>
    </row>
    <row r="484" spans="8:28" ht="15" customHeight="1">
      <c r="H484" s="2">
        <v>50395</v>
      </c>
      <c r="I484" s="2"/>
      <c r="J484" s="2">
        <v>46301</v>
      </c>
      <c r="K484" s="2"/>
      <c r="L484" s="2">
        <v>50348</v>
      </c>
      <c r="M484" s="2"/>
      <c r="N484" s="2">
        <v>46350</v>
      </c>
      <c r="P484" s="2">
        <v>50378</v>
      </c>
      <c r="Q484" s="2"/>
      <c r="R484" s="2">
        <v>46317</v>
      </c>
      <c r="AB484" s="2"/>
    </row>
    <row r="485" spans="8:28" ht="15" customHeight="1">
      <c r="H485" s="2">
        <v>50392</v>
      </c>
      <c r="I485" s="2"/>
      <c r="J485" s="2">
        <v>46302</v>
      </c>
      <c r="K485" s="2"/>
      <c r="L485" s="2">
        <v>50346</v>
      </c>
      <c r="M485" s="2"/>
      <c r="N485" s="2">
        <v>46351</v>
      </c>
      <c r="P485" s="2">
        <v>50377</v>
      </c>
      <c r="Q485" s="2"/>
      <c r="R485" s="2">
        <v>46318</v>
      </c>
      <c r="AB485" s="2"/>
    </row>
    <row r="486" spans="8:28" ht="15" customHeight="1">
      <c r="H486" s="2">
        <v>50391</v>
      </c>
      <c r="I486" s="2"/>
      <c r="J486" s="2">
        <v>46303</v>
      </c>
      <c r="K486" s="2"/>
      <c r="L486" s="2">
        <v>50343</v>
      </c>
      <c r="M486" s="2"/>
      <c r="N486" s="2">
        <v>46353</v>
      </c>
      <c r="P486" s="2">
        <v>50376</v>
      </c>
      <c r="Q486" s="2"/>
      <c r="R486" s="2">
        <v>46321</v>
      </c>
      <c r="AB486" s="2"/>
    </row>
    <row r="487" spans="8:28" ht="15" customHeight="1">
      <c r="H487" s="2">
        <v>50390</v>
      </c>
      <c r="I487" s="2"/>
      <c r="J487" s="2">
        <v>46304</v>
      </c>
      <c r="K487" s="2"/>
      <c r="L487" s="2">
        <v>50342</v>
      </c>
      <c r="M487" s="2"/>
      <c r="N487" s="2">
        <v>46356</v>
      </c>
      <c r="P487" s="2">
        <v>50375</v>
      </c>
      <c r="Q487" s="2"/>
      <c r="R487" s="2">
        <v>46322</v>
      </c>
      <c r="AB487" s="2"/>
    </row>
    <row r="488" spans="8:28" ht="15" customHeight="1">
      <c r="H488" s="2">
        <v>50389</v>
      </c>
      <c r="I488" s="2"/>
      <c r="J488" s="2">
        <v>46307</v>
      </c>
      <c r="K488" s="2"/>
      <c r="L488" s="2">
        <v>50341</v>
      </c>
      <c r="M488" s="2"/>
      <c r="N488" s="2">
        <v>46357</v>
      </c>
      <c r="P488" s="2">
        <v>50374</v>
      </c>
      <c r="Q488" s="2"/>
      <c r="R488" s="2">
        <v>46323</v>
      </c>
      <c r="AB488" s="2"/>
    </row>
    <row r="489" spans="8:28" ht="15" customHeight="1">
      <c r="H489" s="2">
        <v>50388</v>
      </c>
      <c r="I489" s="2"/>
      <c r="J489" s="2">
        <v>46308</v>
      </c>
      <c r="K489" s="2"/>
      <c r="L489" s="2">
        <v>50340</v>
      </c>
      <c r="M489" s="2"/>
      <c r="N489" s="2">
        <v>46358</v>
      </c>
      <c r="P489" s="2">
        <v>50371</v>
      </c>
      <c r="Q489" s="2"/>
      <c r="R489" s="2">
        <v>46324</v>
      </c>
      <c r="AB489" s="2"/>
    </row>
    <row r="490" spans="8:28" ht="15" customHeight="1">
      <c r="H490" s="2">
        <v>50385</v>
      </c>
      <c r="I490" s="2"/>
      <c r="J490" s="2">
        <v>46309</v>
      </c>
      <c r="K490" s="2"/>
      <c r="L490" s="2">
        <v>50339</v>
      </c>
      <c r="M490" s="2"/>
      <c r="N490" s="2">
        <v>46359</v>
      </c>
      <c r="P490" s="2">
        <v>50370</v>
      </c>
      <c r="Q490" s="2"/>
      <c r="R490" s="2">
        <v>46325</v>
      </c>
      <c r="AB490" s="2"/>
    </row>
    <row r="491" spans="8:28" ht="15" customHeight="1">
      <c r="H491" s="2">
        <v>50384</v>
      </c>
      <c r="I491" s="2"/>
      <c r="J491" s="2">
        <v>46310</v>
      </c>
      <c r="K491" s="2"/>
      <c r="L491" s="2">
        <v>50336</v>
      </c>
      <c r="M491" s="2"/>
      <c r="N491" s="2">
        <v>46360</v>
      </c>
      <c r="P491" s="2">
        <v>50369</v>
      </c>
      <c r="Q491" s="2"/>
      <c r="R491" s="2">
        <v>46328</v>
      </c>
      <c r="AB491" s="2"/>
    </row>
    <row r="492" spans="8:28" ht="15" customHeight="1">
      <c r="H492" s="2">
        <v>50383</v>
      </c>
      <c r="I492" s="2"/>
      <c r="J492" s="2">
        <v>46311</v>
      </c>
      <c r="K492" s="2"/>
      <c r="L492" s="2">
        <v>50335</v>
      </c>
      <c r="M492" s="2"/>
      <c r="N492" s="2">
        <v>46363</v>
      </c>
      <c r="P492" s="2">
        <v>50368</v>
      </c>
      <c r="Q492" s="2"/>
      <c r="R492" s="2">
        <v>46329</v>
      </c>
      <c r="AB492" s="2"/>
    </row>
    <row r="493" spans="8:28" ht="15" customHeight="1">
      <c r="H493" s="2">
        <v>50382</v>
      </c>
      <c r="I493" s="2"/>
      <c r="J493" s="2">
        <v>46314</v>
      </c>
      <c r="K493" s="2"/>
      <c r="L493" s="2">
        <v>50334</v>
      </c>
      <c r="M493" s="2"/>
      <c r="N493" s="2">
        <v>46364</v>
      </c>
      <c r="P493" s="2">
        <v>50367</v>
      </c>
      <c r="Q493" s="2"/>
      <c r="R493" s="2">
        <v>46330</v>
      </c>
      <c r="AB493" s="2"/>
    </row>
    <row r="494" spans="8:28" ht="15" customHeight="1">
      <c r="H494" s="2">
        <v>50381</v>
      </c>
      <c r="I494" s="2"/>
      <c r="J494" s="2">
        <v>46315</v>
      </c>
      <c r="K494" s="2"/>
      <c r="L494" s="2">
        <v>50333</v>
      </c>
      <c r="M494" s="2"/>
      <c r="N494" s="2">
        <v>46365</v>
      </c>
      <c r="P494" s="2">
        <v>50364</v>
      </c>
      <c r="Q494" s="2"/>
      <c r="R494" s="2">
        <v>46331</v>
      </c>
      <c r="AB494" s="2"/>
    </row>
    <row r="495" spans="8:28" ht="15" customHeight="1">
      <c r="H495" s="2">
        <v>50378</v>
      </c>
      <c r="I495" s="2"/>
      <c r="J495" s="2">
        <v>46316</v>
      </c>
      <c r="K495" s="2"/>
      <c r="L495" s="2">
        <v>50332</v>
      </c>
      <c r="M495" s="2"/>
      <c r="N495" s="2">
        <v>46366</v>
      </c>
      <c r="P495" s="2">
        <v>50363</v>
      </c>
      <c r="Q495" s="2"/>
      <c r="R495" s="2">
        <v>46332</v>
      </c>
      <c r="AB495" s="2"/>
    </row>
    <row r="496" spans="8:28" ht="15" customHeight="1">
      <c r="H496" s="2">
        <v>50377</v>
      </c>
      <c r="I496" s="2"/>
      <c r="J496" s="2">
        <v>46317</v>
      </c>
      <c r="K496" s="2"/>
      <c r="L496" s="2">
        <v>50329</v>
      </c>
      <c r="M496" s="2"/>
      <c r="N496" s="2">
        <v>46367</v>
      </c>
      <c r="P496" s="2">
        <v>50362</v>
      </c>
      <c r="Q496" s="2"/>
      <c r="R496" s="2">
        <v>46335</v>
      </c>
      <c r="AB496" s="2"/>
    </row>
    <row r="497" spans="8:28" ht="15" customHeight="1">
      <c r="H497" s="2">
        <v>50376</v>
      </c>
      <c r="I497" s="2"/>
      <c r="J497" s="2">
        <v>46318</v>
      </c>
      <c r="K497" s="2"/>
      <c r="L497" s="2">
        <v>50328</v>
      </c>
      <c r="M497" s="2"/>
      <c r="N497" s="2">
        <v>46370</v>
      </c>
      <c r="P497" s="2">
        <v>50361</v>
      </c>
      <c r="Q497" s="2"/>
      <c r="R497" s="2">
        <v>46336</v>
      </c>
      <c r="AB497" s="2"/>
    </row>
    <row r="498" spans="8:28" ht="15" customHeight="1">
      <c r="H498" s="2">
        <v>50375</v>
      </c>
      <c r="I498" s="2"/>
      <c r="J498" s="2">
        <v>46321</v>
      </c>
      <c r="K498" s="2"/>
      <c r="L498" s="2">
        <v>50327</v>
      </c>
      <c r="M498" s="2"/>
      <c r="N498" s="2">
        <v>46371</v>
      </c>
      <c r="P498" s="2">
        <v>50360</v>
      </c>
      <c r="Q498" s="2"/>
      <c r="R498" s="2">
        <v>46337</v>
      </c>
      <c r="AB498" s="2"/>
    </row>
    <row r="499" spans="8:28" ht="15" customHeight="1">
      <c r="H499" s="2">
        <v>50374</v>
      </c>
      <c r="I499" s="2"/>
      <c r="J499" s="2">
        <v>46322</v>
      </c>
      <c r="K499" s="2"/>
      <c r="L499" s="2">
        <v>50326</v>
      </c>
      <c r="M499" s="2"/>
      <c r="N499" s="2">
        <v>46372</v>
      </c>
      <c r="P499" s="2">
        <v>50357</v>
      </c>
      <c r="Q499" s="2"/>
      <c r="R499" s="2">
        <v>46338</v>
      </c>
      <c r="AB499" s="2"/>
    </row>
    <row r="500" spans="8:28" ht="15" customHeight="1">
      <c r="H500" s="2">
        <v>50371</v>
      </c>
      <c r="I500" s="2"/>
      <c r="J500" s="2">
        <v>46323</v>
      </c>
      <c r="K500" s="2"/>
      <c r="L500" s="2">
        <v>50322</v>
      </c>
      <c r="M500" s="2"/>
      <c r="N500" s="2">
        <v>46373</v>
      </c>
      <c r="P500" s="2">
        <v>50356</v>
      </c>
      <c r="Q500" s="2"/>
      <c r="R500" s="2">
        <v>46339</v>
      </c>
      <c r="AB500" s="2"/>
    </row>
    <row r="501" spans="8:28" ht="15" customHeight="1">
      <c r="H501" s="2">
        <v>50369</v>
      </c>
      <c r="I501" s="2"/>
      <c r="J501" s="2">
        <v>46324</v>
      </c>
      <c r="K501" s="2"/>
      <c r="L501" s="2">
        <v>50321</v>
      </c>
      <c r="M501" s="2"/>
      <c r="N501" s="2">
        <v>46374</v>
      </c>
      <c r="P501" s="2">
        <v>50355</v>
      </c>
      <c r="Q501" s="2"/>
      <c r="R501" s="2">
        <v>46342</v>
      </c>
      <c r="AB501" s="2"/>
    </row>
    <row r="502" spans="8:28" ht="15" customHeight="1">
      <c r="H502" s="2">
        <v>50368</v>
      </c>
      <c r="I502" s="2"/>
      <c r="J502" s="2">
        <v>46325</v>
      </c>
      <c r="K502" s="2"/>
      <c r="L502" s="2">
        <v>50320</v>
      </c>
      <c r="M502" s="2"/>
      <c r="N502" s="2">
        <v>46377</v>
      </c>
      <c r="P502" s="2">
        <v>50354</v>
      </c>
      <c r="Q502" s="2"/>
      <c r="R502" s="2">
        <v>46343</v>
      </c>
      <c r="AB502" s="2"/>
    </row>
    <row r="503" spans="8:28" ht="15" customHeight="1">
      <c r="H503" s="2">
        <v>50367</v>
      </c>
      <c r="I503" s="2"/>
      <c r="J503" s="2">
        <v>46328</v>
      </c>
      <c r="K503" s="2"/>
      <c r="L503" s="2">
        <v>50319</v>
      </c>
      <c r="M503" s="2"/>
      <c r="N503" s="2">
        <v>46378</v>
      </c>
      <c r="P503" s="2">
        <v>50353</v>
      </c>
      <c r="Q503" s="2"/>
      <c r="R503" s="2">
        <v>46344</v>
      </c>
      <c r="AB503" s="2"/>
    </row>
    <row r="504" spans="8:28" ht="15" customHeight="1">
      <c r="H504" s="2">
        <v>50364</v>
      </c>
      <c r="I504" s="2"/>
      <c r="J504" s="2">
        <v>46329</v>
      </c>
      <c r="K504" s="2"/>
      <c r="L504" s="2">
        <v>50318</v>
      </c>
      <c r="M504" s="2"/>
      <c r="N504" s="2">
        <v>46379</v>
      </c>
      <c r="P504" s="2">
        <v>50350</v>
      </c>
      <c r="Q504" s="2"/>
      <c r="R504" s="2">
        <v>46345</v>
      </c>
      <c r="AB504" s="2"/>
    </row>
    <row r="505" spans="8:28" ht="15" customHeight="1">
      <c r="H505" s="2">
        <v>50363</v>
      </c>
      <c r="I505" s="2"/>
      <c r="J505" s="2">
        <v>46330</v>
      </c>
      <c r="K505" s="2"/>
      <c r="L505" s="2">
        <v>50315</v>
      </c>
      <c r="M505" s="2"/>
      <c r="N505" s="2">
        <v>46380</v>
      </c>
      <c r="P505" s="2">
        <v>50349</v>
      </c>
      <c r="Q505" s="2"/>
      <c r="R505" s="2">
        <v>46346</v>
      </c>
      <c r="AB505" s="2"/>
    </row>
    <row r="506" spans="8:28" ht="15" customHeight="1">
      <c r="H506" s="2">
        <v>50362</v>
      </c>
      <c r="I506" s="2"/>
      <c r="J506" s="2">
        <v>46331</v>
      </c>
      <c r="K506" s="2"/>
      <c r="L506" s="2">
        <v>50314</v>
      </c>
      <c r="M506" s="2"/>
      <c r="N506" s="2">
        <v>46384</v>
      </c>
      <c r="P506" s="2">
        <v>50348</v>
      </c>
      <c r="Q506" s="2"/>
      <c r="R506" s="2">
        <v>46349</v>
      </c>
      <c r="AB506" s="2"/>
    </row>
    <row r="507" spans="8:28" ht="15" customHeight="1">
      <c r="H507" s="2">
        <v>50361</v>
      </c>
      <c r="I507" s="2"/>
      <c r="J507" s="2">
        <v>46332</v>
      </c>
      <c r="K507" s="2"/>
      <c r="L507" s="2">
        <v>50313</v>
      </c>
      <c r="M507" s="2"/>
      <c r="N507" s="2">
        <v>46385</v>
      </c>
      <c r="P507" s="2">
        <v>50347</v>
      </c>
      <c r="Q507" s="2"/>
      <c r="R507" s="2">
        <v>46350</v>
      </c>
      <c r="AB507" s="2"/>
    </row>
    <row r="508" spans="8:28" ht="15" customHeight="1">
      <c r="H508" s="2">
        <v>50360</v>
      </c>
      <c r="I508" s="2"/>
      <c r="J508" s="2">
        <v>46335</v>
      </c>
      <c r="K508" s="2"/>
      <c r="L508" s="2">
        <v>50312</v>
      </c>
      <c r="M508" s="2"/>
      <c r="N508" s="2">
        <v>46386</v>
      </c>
      <c r="P508" s="2">
        <v>50346</v>
      </c>
      <c r="Q508" s="2"/>
      <c r="R508" s="2">
        <v>46351</v>
      </c>
      <c r="AB508" s="2"/>
    </row>
    <row r="509" spans="8:28" ht="15" customHeight="1">
      <c r="H509" s="2">
        <v>50357</v>
      </c>
      <c r="I509" s="2"/>
      <c r="J509" s="2">
        <v>46336</v>
      </c>
      <c r="K509" s="2"/>
      <c r="L509" s="2">
        <v>50311</v>
      </c>
      <c r="M509" s="2"/>
      <c r="N509" s="2">
        <v>46391</v>
      </c>
      <c r="P509" s="2">
        <v>50343</v>
      </c>
      <c r="Q509" s="2"/>
      <c r="R509" s="2">
        <v>46352</v>
      </c>
      <c r="AB509" s="2"/>
    </row>
    <row r="510" spans="8:28" ht="15" customHeight="1">
      <c r="H510" s="2">
        <v>50356</v>
      </c>
      <c r="I510" s="2"/>
      <c r="J510" s="2">
        <v>46337</v>
      </c>
      <c r="K510" s="2"/>
      <c r="L510" s="2">
        <v>50308</v>
      </c>
      <c r="M510" s="2"/>
      <c r="N510" s="2">
        <v>46392</v>
      </c>
      <c r="P510" s="2">
        <v>50342</v>
      </c>
      <c r="Q510" s="2"/>
      <c r="R510" s="2">
        <v>46353</v>
      </c>
      <c r="AB510" s="2"/>
    </row>
    <row r="511" spans="8:28" ht="15" customHeight="1">
      <c r="H511" s="2">
        <v>50355</v>
      </c>
      <c r="I511" s="2"/>
      <c r="J511" s="2">
        <v>46338</v>
      </c>
      <c r="K511" s="2"/>
      <c r="L511" s="2">
        <v>50307</v>
      </c>
      <c r="M511" s="2"/>
      <c r="N511" s="2">
        <v>46393</v>
      </c>
      <c r="P511" s="2">
        <v>50341</v>
      </c>
      <c r="Q511" s="2"/>
      <c r="R511" s="2">
        <v>46356</v>
      </c>
      <c r="AB511" s="2"/>
    </row>
    <row r="512" spans="8:28" ht="15" customHeight="1">
      <c r="H512" s="2">
        <v>50354</v>
      </c>
      <c r="I512" s="2"/>
      <c r="J512" s="2">
        <v>46339</v>
      </c>
      <c r="K512" s="2"/>
      <c r="L512" s="2">
        <v>50305</v>
      </c>
      <c r="M512" s="2"/>
      <c r="N512" s="2">
        <v>46394</v>
      </c>
      <c r="P512" s="2">
        <v>50340</v>
      </c>
      <c r="Q512" s="2"/>
      <c r="R512" s="2">
        <v>46357</v>
      </c>
      <c r="AB512" s="2"/>
    </row>
    <row r="513" spans="8:28" ht="15" customHeight="1">
      <c r="H513" s="2">
        <v>50353</v>
      </c>
      <c r="I513" s="2"/>
      <c r="J513" s="2">
        <v>46342</v>
      </c>
      <c r="K513" s="2"/>
      <c r="L513" s="2">
        <v>50301</v>
      </c>
      <c r="M513" s="2"/>
      <c r="N513" s="2">
        <v>46395</v>
      </c>
      <c r="P513" s="2">
        <v>50339</v>
      </c>
      <c r="Q513" s="2"/>
      <c r="R513" s="2">
        <v>46358</v>
      </c>
      <c r="AB513" s="2"/>
    </row>
    <row r="514" spans="8:28" ht="15" customHeight="1">
      <c r="H514" s="2">
        <v>50350</v>
      </c>
      <c r="I514" s="2"/>
      <c r="J514" s="2">
        <v>46343</v>
      </c>
      <c r="K514" s="2"/>
      <c r="L514" s="2">
        <v>50300</v>
      </c>
      <c r="M514" s="2"/>
      <c r="N514" s="2">
        <v>46399</v>
      </c>
      <c r="P514" s="2">
        <v>50336</v>
      </c>
      <c r="Q514" s="2"/>
      <c r="R514" s="2">
        <v>46359</v>
      </c>
      <c r="AB514" s="2"/>
    </row>
    <row r="515" spans="8:28" ht="15" customHeight="1">
      <c r="H515" s="2">
        <v>50349</v>
      </c>
      <c r="I515" s="2"/>
      <c r="J515" s="2">
        <v>46344</v>
      </c>
      <c r="K515" s="2"/>
      <c r="L515" s="2">
        <v>50299</v>
      </c>
      <c r="M515" s="2"/>
      <c r="N515" s="2">
        <v>46400</v>
      </c>
      <c r="P515" s="2">
        <v>50335</v>
      </c>
      <c r="Q515" s="2"/>
      <c r="R515" s="2">
        <v>46360</v>
      </c>
      <c r="AB515" s="2"/>
    </row>
    <row r="516" spans="8:28" ht="15" customHeight="1">
      <c r="H516" s="2">
        <v>50348</v>
      </c>
      <c r="I516" s="2"/>
      <c r="J516" s="2">
        <v>46345</v>
      </c>
      <c r="K516" s="2"/>
      <c r="L516" s="2">
        <v>50298</v>
      </c>
      <c r="M516" s="2"/>
      <c r="N516" s="2">
        <v>46401</v>
      </c>
      <c r="P516" s="2">
        <v>50334</v>
      </c>
      <c r="Q516" s="2"/>
      <c r="R516" s="2">
        <v>46363</v>
      </c>
      <c r="AB516" s="2"/>
    </row>
    <row r="517" spans="8:28" ht="15" customHeight="1">
      <c r="H517" s="2">
        <v>50347</v>
      </c>
      <c r="I517" s="2"/>
      <c r="J517" s="2">
        <v>46346</v>
      </c>
      <c r="K517" s="2"/>
      <c r="L517" s="2">
        <v>50297</v>
      </c>
      <c r="M517" s="2"/>
      <c r="N517" s="2">
        <v>46402</v>
      </c>
      <c r="P517" s="2">
        <v>50333</v>
      </c>
      <c r="Q517" s="2"/>
      <c r="R517" s="2">
        <v>46364</v>
      </c>
      <c r="AB517" s="2"/>
    </row>
    <row r="518" spans="8:28" ht="15" customHeight="1">
      <c r="H518" s="2">
        <v>50346</v>
      </c>
      <c r="I518" s="2"/>
      <c r="J518" s="2">
        <v>46349</v>
      </c>
      <c r="K518" s="2"/>
      <c r="L518" s="2">
        <v>50294</v>
      </c>
      <c r="M518" s="2"/>
      <c r="N518" s="2">
        <v>46406</v>
      </c>
      <c r="P518" s="2">
        <v>50332</v>
      </c>
      <c r="Q518" s="2"/>
      <c r="R518" s="2">
        <v>46365</v>
      </c>
      <c r="AB518" s="2"/>
    </row>
    <row r="519" spans="8:28" ht="15" customHeight="1">
      <c r="H519" s="2">
        <v>50343</v>
      </c>
      <c r="I519" s="2"/>
      <c r="J519" s="2">
        <v>46350</v>
      </c>
      <c r="K519" s="2"/>
      <c r="L519" s="2">
        <v>50293</v>
      </c>
      <c r="M519" s="2"/>
      <c r="N519" s="2">
        <v>46407</v>
      </c>
      <c r="P519" s="2">
        <v>50329</v>
      </c>
      <c r="Q519" s="2"/>
      <c r="R519" s="2">
        <v>46366</v>
      </c>
      <c r="AB519" s="2"/>
    </row>
    <row r="520" spans="8:28" ht="15" customHeight="1">
      <c r="H520" s="2">
        <v>50342</v>
      </c>
      <c r="I520" s="2"/>
      <c r="J520" s="2">
        <v>46351</v>
      </c>
      <c r="K520" s="2"/>
      <c r="L520" s="2">
        <v>50292</v>
      </c>
      <c r="M520" s="2"/>
      <c r="N520" s="2">
        <v>46408</v>
      </c>
      <c r="P520" s="2">
        <v>50328</v>
      </c>
      <c r="Q520" s="2"/>
      <c r="R520" s="2">
        <v>46367</v>
      </c>
      <c r="AB520" s="2"/>
    </row>
    <row r="521" spans="8:28" ht="15" customHeight="1">
      <c r="H521" s="2">
        <v>50341</v>
      </c>
      <c r="I521" s="2"/>
      <c r="J521" s="2">
        <v>46353</v>
      </c>
      <c r="K521" s="2"/>
      <c r="L521" s="2">
        <v>50291</v>
      </c>
      <c r="M521" s="2"/>
      <c r="N521" s="2">
        <v>46409</v>
      </c>
      <c r="P521" s="2">
        <v>50327</v>
      </c>
      <c r="Q521" s="2"/>
      <c r="R521" s="2">
        <v>46370</v>
      </c>
      <c r="AB521" s="2"/>
    </row>
    <row r="522" spans="8:28" ht="15" customHeight="1">
      <c r="H522" s="2">
        <v>50340</v>
      </c>
      <c r="I522" s="2"/>
      <c r="J522" s="2">
        <v>46356</v>
      </c>
      <c r="K522" s="2"/>
      <c r="L522" s="2">
        <v>50287</v>
      </c>
      <c r="M522" s="2"/>
      <c r="N522" s="2">
        <v>46412</v>
      </c>
      <c r="P522" s="2">
        <v>50326</v>
      </c>
      <c r="Q522" s="2"/>
      <c r="R522" s="2">
        <v>46371</v>
      </c>
      <c r="AB522" s="2"/>
    </row>
    <row r="523" spans="8:28" ht="15" customHeight="1">
      <c r="H523" s="2">
        <v>50339</v>
      </c>
      <c r="I523" s="2"/>
      <c r="J523" s="2">
        <v>46357</v>
      </c>
      <c r="K523" s="2"/>
      <c r="L523" s="2">
        <v>50286</v>
      </c>
      <c r="M523" s="2"/>
      <c r="N523" s="2">
        <v>46413</v>
      </c>
      <c r="P523" s="2">
        <v>50325</v>
      </c>
      <c r="Q523" s="2"/>
      <c r="R523" s="2">
        <v>46372</v>
      </c>
      <c r="AB523" s="2"/>
    </row>
    <row r="524" spans="8:28" ht="15" customHeight="1">
      <c r="H524" s="2">
        <v>50336</v>
      </c>
      <c r="I524" s="2"/>
      <c r="J524" s="2">
        <v>46358</v>
      </c>
      <c r="K524" s="2"/>
      <c r="L524" s="2">
        <v>50285</v>
      </c>
      <c r="M524" s="2"/>
      <c r="N524" s="2">
        <v>46414</v>
      </c>
      <c r="P524" s="2">
        <v>50321</v>
      </c>
      <c r="Q524" s="2"/>
      <c r="R524" s="2">
        <v>46373</v>
      </c>
      <c r="AB524" s="2"/>
    </row>
    <row r="525" spans="8:28" ht="15" customHeight="1">
      <c r="H525" s="2">
        <v>50335</v>
      </c>
      <c r="I525" s="2"/>
      <c r="J525" s="2">
        <v>46359</v>
      </c>
      <c r="K525" s="2"/>
      <c r="L525" s="2">
        <v>50284</v>
      </c>
      <c r="M525" s="2"/>
      <c r="N525" s="2">
        <v>46415</v>
      </c>
      <c r="P525" s="2">
        <v>50320</v>
      </c>
      <c r="Q525" s="2"/>
      <c r="R525" s="2">
        <v>46374</v>
      </c>
      <c r="AB525" s="2"/>
    </row>
    <row r="526" spans="8:28" ht="15" customHeight="1">
      <c r="H526" s="2">
        <v>50334</v>
      </c>
      <c r="I526" s="2"/>
      <c r="J526" s="2">
        <v>46360</v>
      </c>
      <c r="K526" s="2"/>
      <c r="L526" s="2">
        <v>50283</v>
      </c>
      <c r="M526" s="2"/>
      <c r="N526" s="2">
        <v>46416</v>
      </c>
      <c r="P526" s="2">
        <v>50319</v>
      </c>
      <c r="Q526" s="2"/>
      <c r="R526" s="2">
        <v>46377</v>
      </c>
      <c r="AB526" s="2"/>
    </row>
    <row r="527" spans="8:28" ht="15" customHeight="1">
      <c r="H527" s="2">
        <v>50333</v>
      </c>
      <c r="I527" s="2"/>
      <c r="J527" s="2">
        <v>46363</v>
      </c>
      <c r="K527" s="2"/>
      <c r="L527" s="2">
        <v>50280</v>
      </c>
      <c r="M527" s="2"/>
      <c r="N527" s="2">
        <v>46419</v>
      </c>
      <c r="P527" s="2">
        <v>50315</v>
      </c>
      <c r="Q527" s="2"/>
      <c r="R527" s="2">
        <v>46378</v>
      </c>
      <c r="AB527" s="2"/>
    </row>
    <row r="528" spans="8:28" ht="15" customHeight="1">
      <c r="H528" s="2">
        <v>50332</v>
      </c>
      <c r="I528" s="2"/>
      <c r="J528" s="2">
        <v>46364</v>
      </c>
      <c r="K528" s="2"/>
      <c r="L528" s="2">
        <v>50279</v>
      </c>
      <c r="M528" s="2"/>
      <c r="N528" s="2">
        <v>46420</v>
      </c>
      <c r="P528" s="2">
        <v>50314</v>
      </c>
      <c r="Q528" s="2"/>
      <c r="R528" s="2">
        <v>46379</v>
      </c>
      <c r="AB528" s="2"/>
    </row>
    <row r="529" spans="8:28" ht="15" customHeight="1">
      <c r="H529" s="2">
        <v>50329</v>
      </c>
      <c r="I529" s="2"/>
      <c r="J529" s="2">
        <v>46365</v>
      </c>
      <c r="K529" s="2"/>
      <c r="L529" s="2">
        <v>50278</v>
      </c>
      <c r="M529" s="2"/>
      <c r="N529" s="2">
        <v>46421</v>
      </c>
      <c r="P529" s="2">
        <v>50313</v>
      </c>
      <c r="Q529" s="2"/>
      <c r="R529" s="2">
        <v>46380</v>
      </c>
      <c r="AB529" s="2"/>
    </row>
    <row r="530" spans="8:28" ht="15" customHeight="1">
      <c r="H530" s="2">
        <v>50328</v>
      </c>
      <c r="I530" s="2"/>
      <c r="J530" s="2">
        <v>46366</v>
      </c>
      <c r="K530" s="2"/>
      <c r="L530" s="2">
        <v>50277</v>
      </c>
      <c r="M530" s="2"/>
      <c r="N530" s="2">
        <v>46422</v>
      </c>
      <c r="P530" s="2">
        <v>50312</v>
      </c>
      <c r="Q530" s="2"/>
      <c r="R530" s="2">
        <v>46384</v>
      </c>
      <c r="AB530" s="2"/>
    </row>
    <row r="531" spans="8:28" ht="15" customHeight="1">
      <c r="H531" s="2">
        <v>50327</v>
      </c>
      <c r="I531" s="2"/>
      <c r="J531" s="2">
        <v>46367</v>
      </c>
      <c r="K531" s="2"/>
      <c r="L531" s="2">
        <v>50276</v>
      </c>
      <c r="M531" s="2"/>
      <c r="N531" s="2">
        <v>46423</v>
      </c>
      <c r="P531" s="2">
        <v>50311</v>
      </c>
      <c r="Q531" s="2"/>
      <c r="R531" s="2">
        <v>46385</v>
      </c>
      <c r="AB531" s="2"/>
    </row>
    <row r="532" spans="8:28" ht="15" customHeight="1">
      <c r="H532" s="2">
        <v>50326</v>
      </c>
      <c r="I532" s="2"/>
      <c r="J532" s="2">
        <v>46370</v>
      </c>
      <c r="K532" s="2"/>
      <c r="L532" s="2">
        <v>50273</v>
      </c>
      <c r="M532" s="2"/>
      <c r="N532" s="2">
        <v>46426</v>
      </c>
      <c r="P532" s="2">
        <v>50305</v>
      </c>
      <c r="Q532" s="2"/>
      <c r="R532" s="2">
        <v>46386</v>
      </c>
      <c r="AB532" s="2"/>
    </row>
    <row r="533" spans="8:28" ht="15" customHeight="1">
      <c r="H533" s="2">
        <v>50325</v>
      </c>
      <c r="I533" s="2"/>
      <c r="J533" s="2">
        <v>46371</v>
      </c>
      <c r="K533" s="2"/>
      <c r="L533" s="2">
        <v>50272</v>
      </c>
      <c r="M533" s="2"/>
      <c r="N533" s="2">
        <v>46427</v>
      </c>
      <c r="P533" s="2">
        <v>50304</v>
      </c>
      <c r="Q533" s="2"/>
      <c r="R533" s="2">
        <v>46391</v>
      </c>
      <c r="AB533" s="2"/>
    </row>
    <row r="534" spans="8:28" ht="15" customHeight="1">
      <c r="H534" s="2">
        <v>50322</v>
      </c>
      <c r="I534" s="2"/>
      <c r="J534" s="2">
        <v>46372</v>
      </c>
      <c r="K534" s="2"/>
      <c r="L534" s="2">
        <v>50271</v>
      </c>
      <c r="M534" s="2"/>
      <c r="N534" s="2">
        <v>46428</v>
      </c>
      <c r="P534" s="2">
        <v>50301</v>
      </c>
      <c r="Q534" s="2"/>
      <c r="R534" s="2">
        <v>46392</v>
      </c>
      <c r="AB534" s="2"/>
    </row>
    <row r="535" spans="8:28" ht="15" customHeight="1">
      <c r="H535" s="2">
        <v>50321</v>
      </c>
      <c r="I535" s="2"/>
      <c r="J535" s="2">
        <v>46373</v>
      </c>
      <c r="K535" s="2"/>
      <c r="L535" s="2">
        <v>50270</v>
      </c>
      <c r="M535" s="2"/>
      <c r="N535" s="2">
        <v>46430</v>
      </c>
      <c r="P535" s="2">
        <v>50300</v>
      </c>
      <c r="Q535" s="2"/>
      <c r="R535" s="2">
        <v>46393</v>
      </c>
      <c r="AB535" s="2"/>
    </row>
    <row r="536" spans="8:28" ht="15" customHeight="1">
      <c r="H536" s="2">
        <v>50320</v>
      </c>
      <c r="I536" s="2"/>
      <c r="J536" s="2">
        <v>46374</v>
      </c>
      <c r="K536" s="2"/>
      <c r="L536" s="2">
        <v>50269</v>
      </c>
      <c r="M536" s="2"/>
      <c r="N536" s="2">
        <v>46434</v>
      </c>
      <c r="P536" s="2">
        <v>50299</v>
      </c>
      <c r="Q536" s="2"/>
      <c r="R536" s="2">
        <v>46394</v>
      </c>
      <c r="AB536" s="2"/>
    </row>
    <row r="537" spans="8:28" ht="15" customHeight="1">
      <c r="H537" s="2">
        <v>50319</v>
      </c>
      <c r="I537" s="2"/>
      <c r="J537" s="2">
        <v>46377</v>
      </c>
      <c r="K537" s="2"/>
      <c r="L537" s="2">
        <v>50266</v>
      </c>
      <c r="M537" s="2"/>
      <c r="N537" s="2">
        <v>46435</v>
      </c>
      <c r="P537" s="2">
        <v>50298</v>
      </c>
      <c r="Q537" s="2"/>
      <c r="R537" s="2">
        <v>46395</v>
      </c>
      <c r="AB537" s="2"/>
    </row>
    <row r="538" spans="8:28" ht="15" customHeight="1">
      <c r="H538" s="2">
        <v>50318</v>
      </c>
      <c r="I538" s="2"/>
      <c r="J538" s="2">
        <v>46378</v>
      </c>
      <c r="K538" s="2"/>
      <c r="L538" s="2">
        <v>50265</v>
      </c>
      <c r="M538" s="2"/>
      <c r="N538" s="2">
        <v>46436</v>
      </c>
      <c r="P538" s="2">
        <v>50297</v>
      </c>
      <c r="Q538" s="2"/>
      <c r="R538" s="2">
        <v>46398</v>
      </c>
      <c r="AB538" s="2"/>
    </row>
    <row r="539" spans="8:28" ht="15" customHeight="1">
      <c r="H539" s="2">
        <v>50315</v>
      </c>
      <c r="I539" s="2"/>
      <c r="J539" s="2">
        <v>46379</v>
      </c>
      <c r="K539" s="2"/>
      <c r="L539" s="2">
        <v>50264</v>
      </c>
      <c r="M539" s="2"/>
      <c r="N539" s="2">
        <v>46437</v>
      </c>
      <c r="P539" s="2">
        <v>50294</v>
      </c>
      <c r="Q539" s="2"/>
      <c r="R539" s="2">
        <v>46399</v>
      </c>
      <c r="AB539" s="2"/>
    </row>
    <row r="540" spans="8:28" ht="15" customHeight="1">
      <c r="H540" s="2">
        <v>50314</v>
      </c>
      <c r="I540" s="2"/>
      <c r="J540" s="2">
        <v>46380</v>
      </c>
      <c r="K540" s="2"/>
      <c r="L540" s="2">
        <v>50262</v>
      </c>
      <c r="M540" s="2"/>
      <c r="N540" s="2">
        <v>46440</v>
      </c>
      <c r="P540" s="2">
        <v>50293</v>
      </c>
      <c r="Q540" s="2"/>
      <c r="R540" s="2">
        <v>46400</v>
      </c>
      <c r="AB540" s="2"/>
    </row>
    <row r="541" spans="8:28" ht="15" customHeight="1">
      <c r="H541" s="2">
        <v>50313</v>
      </c>
      <c r="I541" s="2"/>
      <c r="J541" s="2">
        <v>46384</v>
      </c>
      <c r="K541" s="2"/>
      <c r="L541" s="2">
        <v>50259</v>
      </c>
      <c r="M541" s="2"/>
      <c r="N541" s="2">
        <v>46442</v>
      </c>
      <c r="P541" s="2">
        <v>50292</v>
      </c>
      <c r="Q541" s="2"/>
      <c r="R541" s="2">
        <v>46401</v>
      </c>
      <c r="AB541" s="2"/>
    </row>
    <row r="542" spans="8:28" ht="15" customHeight="1">
      <c r="H542" s="2">
        <v>50312</v>
      </c>
      <c r="I542" s="2"/>
      <c r="J542" s="2">
        <v>46385</v>
      </c>
      <c r="K542" s="2"/>
      <c r="L542" s="2">
        <v>50258</v>
      </c>
      <c r="M542" s="2"/>
      <c r="N542" s="2">
        <v>46443</v>
      </c>
      <c r="P542" s="2">
        <v>50291</v>
      </c>
      <c r="Q542" s="2"/>
      <c r="R542" s="2">
        <v>46402</v>
      </c>
      <c r="AB542" s="2"/>
    </row>
    <row r="543" spans="8:28" ht="15" customHeight="1">
      <c r="H543" s="2">
        <v>50311</v>
      </c>
      <c r="I543" s="2"/>
      <c r="J543" s="2">
        <v>46386</v>
      </c>
      <c r="K543" s="2"/>
      <c r="L543" s="2">
        <v>50257</v>
      </c>
      <c r="M543" s="2"/>
      <c r="N543" s="2">
        <v>46444</v>
      </c>
      <c r="P543" s="2">
        <v>50290</v>
      </c>
      <c r="Q543" s="2"/>
      <c r="R543" s="2">
        <v>46405</v>
      </c>
      <c r="AB543" s="2"/>
    </row>
    <row r="544" spans="8:28" ht="15" customHeight="1">
      <c r="H544" s="2">
        <v>50308</v>
      </c>
      <c r="I544" s="2"/>
      <c r="J544" s="2">
        <v>46387</v>
      </c>
      <c r="K544" s="2"/>
      <c r="L544" s="2">
        <v>50256</v>
      </c>
      <c r="M544" s="2"/>
      <c r="N544" s="2">
        <v>46447</v>
      </c>
      <c r="P544" s="2">
        <v>50287</v>
      </c>
      <c r="Q544" s="2"/>
      <c r="R544" s="2">
        <v>46406</v>
      </c>
      <c r="AB544" s="2"/>
    </row>
    <row r="545" spans="8:28" ht="15" customHeight="1">
      <c r="H545" s="2">
        <v>50307</v>
      </c>
      <c r="I545" s="2"/>
      <c r="J545" s="2">
        <v>46391</v>
      </c>
      <c r="K545" s="2"/>
      <c r="L545" s="2">
        <v>50255</v>
      </c>
      <c r="M545" s="2"/>
      <c r="N545" s="2">
        <v>46448</v>
      </c>
      <c r="P545" s="2">
        <v>50286</v>
      </c>
      <c r="Q545" s="2"/>
      <c r="R545" s="2">
        <v>46407</v>
      </c>
      <c r="AB545" s="2"/>
    </row>
    <row r="546" spans="8:28" ht="15" customHeight="1">
      <c r="H546" s="2">
        <v>50306</v>
      </c>
      <c r="I546" s="2"/>
      <c r="J546" s="2">
        <v>46392</v>
      </c>
      <c r="K546" s="2"/>
      <c r="L546" s="2">
        <v>50252</v>
      </c>
      <c r="M546" s="2"/>
      <c r="N546" s="2">
        <v>46449</v>
      </c>
      <c r="P546" s="2">
        <v>50285</v>
      </c>
      <c r="Q546" s="2"/>
      <c r="R546" s="2">
        <v>46408</v>
      </c>
      <c r="AB546" s="2"/>
    </row>
    <row r="547" spans="8:28" ht="15" customHeight="1">
      <c r="H547" s="2">
        <v>50305</v>
      </c>
      <c r="I547" s="2"/>
      <c r="J547" s="2">
        <v>46393</v>
      </c>
      <c r="K547" s="2"/>
      <c r="L547" s="2">
        <v>50251</v>
      </c>
      <c r="M547" s="2"/>
      <c r="N547" s="2">
        <v>46450</v>
      </c>
      <c r="P547" s="2">
        <v>50284</v>
      </c>
      <c r="Q547" s="2"/>
      <c r="R547" s="2">
        <v>46409</v>
      </c>
      <c r="AB547" s="2"/>
    </row>
    <row r="548" spans="8:28" ht="15" customHeight="1">
      <c r="H548" s="2">
        <v>50304</v>
      </c>
      <c r="I548" s="2"/>
      <c r="J548" s="2">
        <v>46394</v>
      </c>
      <c r="K548" s="2"/>
      <c r="L548" s="2">
        <v>50250</v>
      </c>
      <c r="M548" s="2"/>
      <c r="N548" s="2">
        <v>46451</v>
      </c>
      <c r="P548" s="2">
        <v>50283</v>
      </c>
      <c r="Q548" s="2"/>
      <c r="R548" s="2">
        <v>46412</v>
      </c>
      <c r="AB548" s="2"/>
    </row>
    <row r="549" spans="8:28" ht="15" customHeight="1">
      <c r="H549" s="2">
        <v>50301</v>
      </c>
      <c r="I549" s="2"/>
      <c r="J549" s="2">
        <v>46395</v>
      </c>
      <c r="K549" s="2"/>
      <c r="L549" s="2">
        <v>50249</v>
      </c>
      <c r="M549" s="2"/>
      <c r="N549" s="2">
        <v>46454</v>
      </c>
      <c r="P549" s="2">
        <v>50280</v>
      </c>
      <c r="Q549" s="2"/>
      <c r="R549" s="2">
        <v>46413</v>
      </c>
      <c r="AB549" s="2"/>
    </row>
    <row r="550" spans="8:28" ht="15" customHeight="1">
      <c r="H550" s="2">
        <v>50300</v>
      </c>
      <c r="I550" s="2"/>
      <c r="J550" s="2">
        <v>46398</v>
      </c>
      <c r="K550" s="2"/>
      <c r="L550" s="2">
        <v>50248</v>
      </c>
      <c r="M550" s="2"/>
      <c r="N550" s="2">
        <v>46455</v>
      </c>
      <c r="P550" s="2">
        <v>50279</v>
      </c>
      <c r="Q550" s="2"/>
      <c r="R550" s="2">
        <v>46414</v>
      </c>
      <c r="AB550" s="2"/>
    </row>
    <row r="551" spans="8:28" ht="15" customHeight="1">
      <c r="H551" s="2">
        <v>50299</v>
      </c>
      <c r="I551" s="2"/>
      <c r="J551" s="2">
        <v>46399</v>
      </c>
      <c r="K551" s="2"/>
      <c r="L551" s="2">
        <v>50245</v>
      </c>
      <c r="M551" s="2"/>
      <c r="N551" s="2">
        <v>46456</v>
      </c>
      <c r="P551" s="2">
        <v>50278</v>
      </c>
      <c r="Q551" s="2"/>
      <c r="R551" s="2">
        <v>46415</v>
      </c>
      <c r="AB551" s="2"/>
    </row>
    <row r="552" spans="8:28" ht="15" customHeight="1">
      <c r="H552" s="2">
        <v>50298</v>
      </c>
      <c r="I552" s="2"/>
      <c r="J552" s="2">
        <v>46400</v>
      </c>
      <c r="K552" s="2"/>
      <c r="L552" s="2">
        <v>50244</v>
      </c>
      <c r="M552" s="2"/>
      <c r="N552" s="2">
        <v>46457</v>
      </c>
      <c r="P552" s="2">
        <v>50277</v>
      </c>
      <c r="Q552" s="2"/>
      <c r="R552" s="2">
        <v>46416</v>
      </c>
      <c r="AB552" s="2"/>
    </row>
    <row r="553" spans="8:28" ht="15" customHeight="1">
      <c r="H553" s="2">
        <v>50297</v>
      </c>
      <c r="I553" s="2"/>
      <c r="J553" s="2">
        <v>46401</v>
      </c>
      <c r="K553" s="2"/>
      <c r="L553" s="2">
        <v>50243</v>
      </c>
      <c r="M553" s="2"/>
      <c r="N553" s="2">
        <v>46458</v>
      </c>
      <c r="P553" s="2">
        <v>50276</v>
      </c>
      <c r="Q553" s="2"/>
      <c r="R553" s="2">
        <v>46419</v>
      </c>
      <c r="AB553" s="2"/>
    </row>
    <row r="554" spans="8:28" ht="15" customHeight="1">
      <c r="H554" s="2">
        <v>50294</v>
      </c>
      <c r="I554" s="2"/>
      <c r="J554" s="2">
        <v>46402</v>
      </c>
      <c r="K554" s="2"/>
      <c r="L554" s="2">
        <v>50242</v>
      </c>
      <c r="M554" s="2"/>
      <c r="N554" s="2">
        <v>46461</v>
      </c>
      <c r="P554" s="2">
        <v>50273</v>
      </c>
      <c r="Q554" s="2"/>
      <c r="R554" s="2">
        <v>46420</v>
      </c>
      <c r="AB554" s="2"/>
    </row>
    <row r="555" spans="8:28" ht="15" customHeight="1">
      <c r="H555" s="2">
        <v>50293</v>
      </c>
      <c r="I555" s="2"/>
      <c r="J555" s="2">
        <v>46406</v>
      </c>
      <c r="K555" s="2"/>
      <c r="L555" s="2">
        <v>50238</v>
      </c>
      <c r="M555" s="2"/>
      <c r="N555" s="2">
        <v>46462</v>
      </c>
      <c r="P555" s="2">
        <v>50272</v>
      </c>
      <c r="Q555" s="2"/>
      <c r="R555" s="2">
        <v>46421</v>
      </c>
      <c r="AB555" s="2"/>
    </row>
    <row r="556" spans="8:28" ht="15" customHeight="1">
      <c r="H556" s="2">
        <v>50292</v>
      </c>
      <c r="I556" s="2"/>
      <c r="J556" s="2">
        <v>46407</v>
      </c>
      <c r="K556" s="2"/>
      <c r="L556" s="2">
        <v>50237</v>
      </c>
      <c r="M556" s="2"/>
      <c r="N556" s="2">
        <v>46463</v>
      </c>
      <c r="P556" s="2">
        <v>50271</v>
      </c>
      <c r="Q556" s="2"/>
      <c r="R556" s="2">
        <v>46422</v>
      </c>
      <c r="AB556" s="2"/>
    </row>
    <row r="557" spans="8:28" ht="15" customHeight="1">
      <c r="H557" s="2">
        <v>50291</v>
      </c>
      <c r="I557" s="2"/>
      <c r="J557" s="2">
        <v>46408</v>
      </c>
      <c r="K557" s="2"/>
      <c r="L557" s="2">
        <v>50236</v>
      </c>
      <c r="M557" s="2"/>
      <c r="N557" s="2">
        <v>46464</v>
      </c>
      <c r="P557" s="2">
        <v>50270</v>
      </c>
      <c r="Q557" s="2"/>
      <c r="R557" s="2">
        <v>46423</v>
      </c>
      <c r="AB557" s="2"/>
    </row>
    <row r="558" spans="8:28" ht="15" customHeight="1">
      <c r="H558" s="2">
        <v>50287</v>
      </c>
      <c r="I558" s="2"/>
      <c r="J558" s="2">
        <v>46409</v>
      </c>
      <c r="K558" s="2"/>
      <c r="L558" s="2">
        <v>50235</v>
      </c>
      <c r="M558" s="2"/>
      <c r="N558" s="2">
        <v>46465</v>
      </c>
      <c r="P558" s="2">
        <v>50266</v>
      </c>
      <c r="Q558" s="2"/>
      <c r="R558" s="2">
        <v>46428</v>
      </c>
      <c r="AB558" s="2"/>
    </row>
    <row r="559" spans="8:28" ht="15" customHeight="1">
      <c r="H559" s="2">
        <v>50286</v>
      </c>
      <c r="I559" s="2"/>
      <c r="J559" s="2">
        <v>46412</v>
      </c>
      <c r="K559" s="2"/>
      <c r="L559" s="2">
        <v>50234</v>
      </c>
      <c r="M559" s="2"/>
      <c r="N559" s="2">
        <v>46469</v>
      </c>
      <c r="P559" s="2">
        <v>50265</v>
      </c>
      <c r="Q559" s="2"/>
      <c r="R559" s="2">
        <v>46429</v>
      </c>
      <c r="AB559" s="2"/>
    </row>
    <row r="560" spans="8:28" ht="15" customHeight="1">
      <c r="H560" s="2">
        <v>50285</v>
      </c>
      <c r="I560" s="2"/>
      <c r="J560" s="2">
        <v>46413</v>
      </c>
      <c r="K560" s="2"/>
      <c r="L560" s="2">
        <v>50231</v>
      </c>
      <c r="M560" s="2"/>
      <c r="N560" s="2">
        <v>46470</v>
      </c>
      <c r="P560" s="2">
        <v>50264</v>
      </c>
      <c r="Q560" s="2"/>
      <c r="R560" s="2">
        <v>46430</v>
      </c>
      <c r="AB560" s="2"/>
    </row>
    <row r="561" spans="8:28" ht="15" customHeight="1">
      <c r="H561" s="2">
        <v>50284</v>
      </c>
      <c r="I561" s="2"/>
      <c r="J561" s="2">
        <v>46414</v>
      </c>
      <c r="K561" s="2"/>
      <c r="L561" s="2">
        <v>50230</v>
      </c>
      <c r="M561" s="2"/>
      <c r="N561" s="2">
        <v>46471</v>
      </c>
      <c r="P561" s="2">
        <v>50263</v>
      </c>
      <c r="Q561" s="2"/>
      <c r="R561" s="2">
        <v>46433</v>
      </c>
      <c r="AB561" s="2"/>
    </row>
    <row r="562" spans="8:28" ht="15" customHeight="1">
      <c r="H562" s="2">
        <v>50283</v>
      </c>
      <c r="I562" s="2"/>
      <c r="J562" s="2">
        <v>46415</v>
      </c>
      <c r="K562" s="2"/>
      <c r="L562" s="2">
        <v>50229</v>
      </c>
      <c r="M562" s="2"/>
      <c r="N562" s="2">
        <v>46475</v>
      </c>
      <c r="P562" s="2">
        <v>50262</v>
      </c>
      <c r="Q562" s="2"/>
      <c r="R562" s="2">
        <v>46434</v>
      </c>
      <c r="AB562" s="2"/>
    </row>
    <row r="563" spans="8:28" ht="15" customHeight="1">
      <c r="H563" s="2">
        <v>50280</v>
      </c>
      <c r="I563" s="2"/>
      <c r="J563" s="2">
        <v>46416</v>
      </c>
      <c r="K563" s="2"/>
      <c r="L563" s="2">
        <v>50228</v>
      </c>
      <c r="M563" s="2"/>
      <c r="N563" s="2">
        <v>46476</v>
      </c>
      <c r="P563" s="2">
        <v>50259</v>
      </c>
      <c r="Q563" s="2"/>
      <c r="R563" s="2">
        <v>46435</v>
      </c>
      <c r="AB563" s="2"/>
    </row>
    <row r="564" spans="8:28" ht="15" customHeight="1">
      <c r="H564" s="2">
        <v>50279</v>
      </c>
      <c r="I564" s="2"/>
      <c r="J564" s="2">
        <v>46419</v>
      </c>
      <c r="K564" s="2"/>
      <c r="L564" s="2">
        <v>50227</v>
      </c>
      <c r="M564" s="2"/>
      <c r="N564" s="2">
        <v>46477</v>
      </c>
      <c r="P564" s="2">
        <v>50258</v>
      </c>
      <c r="Q564" s="2"/>
      <c r="R564" s="2">
        <v>46436</v>
      </c>
      <c r="AB564" s="2"/>
    </row>
    <row r="565" spans="8:28" ht="15" customHeight="1">
      <c r="H565" s="2">
        <v>50278</v>
      </c>
      <c r="I565" s="2"/>
      <c r="J565" s="2">
        <v>46420</v>
      </c>
      <c r="K565" s="2"/>
      <c r="L565" s="2">
        <v>50223</v>
      </c>
      <c r="M565" s="2"/>
      <c r="N565" s="2">
        <v>46478</v>
      </c>
      <c r="P565" s="2">
        <v>50257</v>
      </c>
      <c r="Q565" s="2"/>
      <c r="R565" s="2">
        <v>46437</v>
      </c>
      <c r="AB565" s="2"/>
    </row>
    <row r="566" spans="8:28" ht="15" customHeight="1">
      <c r="H566" s="2">
        <v>50277</v>
      </c>
      <c r="I566" s="2"/>
      <c r="J566" s="2">
        <v>46421</v>
      </c>
      <c r="K566" s="2"/>
      <c r="L566" s="2">
        <v>50222</v>
      </c>
      <c r="M566" s="2"/>
      <c r="N566" s="2">
        <v>46479</v>
      </c>
      <c r="P566" s="2">
        <v>50256</v>
      </c>
      <c r="Q566" s="2"/>
      <c r="R566" s="2">
        <v>46440</v>
      </c>
      <c r="AB566" s="2"/>
    </row>
    <row r="567" spans="8:28" ht="15" customHeight="1">
      <c r="H567" s="2">
        <v>50276</v>
      </c>
      <c r="I567" s="2"/>
      <c r="J567" s="2">
        <v>46422</v>
      </c>
      <c r="K567" s="2"/>
      <c r="L567" s="2">
        <v>50221</v>
      </c>
      <c r="M567" s="2"/>
      <c r="N567" s="2">
        <v>46482</v>
      </c>
      <c r="P567" s="2">
        <v>50255</v>
      </c>
      <c r="Q567" s="2"/>
      <c r="R567" s="2">
        <v>46441</v>
      </c>
      <c r="AB567" s="2"/>
    </row>
    <row r="568" spans="8:28" ht="15" customHeight="1">
      <c r="H568" s="2">
        <v>50273</v>
      </c>
      <c r="I568" s="2"/>
      <c r="J568" s="2">
        <v>46423</v>
      </c>
      <c r="K568" s="2"/>
      <c r="L568" s="2">
        <v>50220</v>
      </c>
      <c r="M568" s="2"/>
      <c r="N568" s="2">
        <v>46483</v>
      </c>
      <c r="P568" s="2">
        <v>50252</v>
      </c>
      <c r="Q568" s="2"/>
      <c r="R568" s="2">
        <v>46442</v>
      </c>
      <c r="AB568" s="2"/>
    </row>
    <row r="569" spans="8:28" ht="15" customHeight="1">
      <c r="H569" s="2">
        <v>50272</v>
      </c>
      <c r="I569" s="2"/>
      <c r="J569" s="2">
        <v>46426</v>
      </c>
      <c r="K569" s="2"/>
      <c r="L569" s="2">
        <v>50217</v>
      </c>
      <c r="M569" s="2"/>
      <c r="N569" s="2">
        <v>46484</v>
      </c>
      <c r="P569" s="2">
        <v>50251</v>
      </c>
      <c r="Q569" s="2"/>
      <c r="R569" s="2">
        <v>46443</v>
      </c>
      <c r="AB569" s="2"/>
    </row>
    <row r="570" spans="8:28" ht="15" customHeight="1">
      <c r="H570" s="2">
        <v>50271</v>
      </c>
      <c r="I570" s="2"/>
      <c r="J570" s="2">
        <v>46427</v>
      </c>
      <c r="K570" s="2"/>
      <c r="L570" s="2">
        <v>50216</v>
      </c>
      <c r="M570" s="2"/>
      <c r="N570" s="2">
        <v>46485</v>
      </c>
      <c r="P570" s="2">
        <v>50250</v>
      </c>
      <c r="Q570" s="2"/>
      <c r="R570" s="2">
        <v>46444</v>
      </c>
      <c r="AB570" s="2"/>
    </row>
    <row r="571" spans="8:28" ht="15" customHeight="1">
      <c r="H571" s="2">
        <v>50270</v>
      </c>
      <c r="I571" s="2"/>
      <c r="J571" s="2">
        <v>46428</v>
      </c>
      <c r="K571" s="2"/>
      <c r="L571" s="2">
        <v>50215</v>
      </c>
      <c r="M571" s="2"/>
      <c r="N571" s="2">
        <v>46486</v>
      </c>
      <c r="P571" s="2">
        <v>50249</v>
      </c>
      <c r="Q571" s="2"/>
      <c r="R571" s="2">
        <v>46448</v>
      </c>
      <c r="AB571" s="2"/>
    </row>
    <row r="572" spans="8:28" ht="15" customHeight="1">
      <c r="H572" s="2">
        <v>50269</v>
      </c>
      <c r="I572" s="2"/>
      <c r="J572" s="2">
        <v>46429</v>
      </c>
      <c r="K572" s="2"/>
      <c r="L572" s="2">
        <v>50214</v>
      </c>
      <c r="M572" s="2"/>
      <c r="N572" s="2">
        <v>46489</v>
      </c>
      <c r="P572" s="2">
        <v>50248</v>
      </c>
      <c r="Q572" s="2"/>
      <c r="R572" s="2">
        <v>46449</v>
      </c>
      <c r="AB572" s="2"/>
    </row>
    <row r="573" spans="8:28" ht="15" customHeight="1">
      <c r="H573" s="2">
        <v>50266</v>
      </c>
      <c r="I573" s="2"/>
      <c r="J573" s="2">
        <v>46430</v>
      </c>
      <c r="K573" s="2"/>
      <c r="L573" s="2">
        <v>50213</v>
      </c>
      <c r="M573" s="2"/>
      <c r="N573" s="2">
        <v>46490</v>
      </c>
      <c r="P573" s="2">
        <v>50245</v>
      </c>
      <c r="Q573" s="2"/>
      <c r="R573" s="2">
        <v>46450</v>
      </c>
      <c r="AB573" s="2"/>
    </row>
    <row r="574" spans="8:28" ht="15" customHeight="1">
      <c r="H574" s="2">
        <v>50265</v>
      </c>
      <c r="I574" s="2"/>
      <c r="J574" s="2">
        <v>46434</v>
      </c>
      <c r="K574" s="2"/>
      <c r="L574" s="2">
        <v>50209</v>
      </c>
      <c r="M574" s="2"/>
      <c r="N574" s="2">
        <v>46491</v>
      </c>
      <c r="P574" s="2">
        <v>50244</v>
      </c>
      <c r="Q574" s="2"/>
      <c r="R574" s="2">
        <v>46451</v>
      </c>
      <c r="AB574" s="2"/>
    </row>
    <row r="575" spans="8:28" ht="15" customHeight="1">
      <c r="H575" s="2">
        <v>50264</v>
      </c>
      <c r="I575" s="2"/>
      <c r="J575" s="2">
        <v>46435</v>
      </c>
      <c r="K575" s="2"/>
      <c r="L575" s="2">
        <v>50208</v>
      </c>
      <c r="M575" s="2"/>
      <c r="N575" s="2">
        <v>46492</v>
      </c>
      <c r="P575" s="2">
        <v>50243</v>
      </c>
      <c r="Q575" s="2"/>
      <c r="R575" s="2">
        <v>46454</v>
      </c>
      <c r="AB575" s="2"/>
    </row>
    <row r="576" spans="8:28" ht="15" customHeight="1">
      <c r="H576" s="2">
        <v>50263</v>
      </c>
      <c r="I576" s="2"/>
      <c r="J576" s="2">
        <v>46436</v>
      </c>
      <c r="K576" s="2"/>
      <c r="L576" s="2">
        <v>50207</v>
      </c>
      <c r="M576" s="2"/>
      <c r="N576" s="2">
        <v>46493</v>
      </c>
      <c r="P576" s="2">
        <v>50242</v>
      </c>
      <c r="Q576" s="2"/>
      <c r="R576" s="2">
        <v>46455</v>
      </c>
      <c r="AB576" s="2"/>
    </row>
    <row r="577" spans="8:28" ht="15" customHeight="1">
      <c r="H577" s="2">
        <v>50262</v>
      </c>
      <c r="I577" s="2"/>
      <c r="J577" s="2">
        <v>46437</v>
      </c>
      <c r="K577" s="2"/>
      <c r="L577" s="2">
        <v>50206</v>
      </c>
      <c r="M577" s="2"/>
      <c r="N577" s="2">
        <v>46496</v>
      </c>
      <c r="P577" s="2">
        <v>50241</v>
      </c>
      <c r="Q577" s="2"/>
      <c r="R577" s="2">
        <v>46456</v>
      </c>
      <c r="AB577" s="2"/>
    </row>
    <row r="578" spans="8:28" ht="15" customHeight="1">
      <c r="H578" s="2">
        <v>50259</v>
      </c>
      <c r="I578" s="2"/>
      <c r="J578" s="2">
        <v>46440</v>
      </c>
      <c r="K578" s="2"/>
      <c r="L578" s="2">
        <v>50203</v>
      </c>
      <c r="M578" s="2"/>
      <c r="N578" s="2">
        <v>46497</v>
      </c>
      <c r="P578" s="2">
        <v>50238</v>
      </c>
      <c r="Q578" s="2"/>
      <c r="R578" s="2">
        <v>46457</v>
      </c>
      <c r="AB578" s="2"/>
    </row>
    <row r="579" spans="8:28" ht="15" customHeight="1">
      <c r="H579" s="2">
        <v>50258</v>
      </c>
      <c r="I579" s="2"/>
      <c r="J579" s="2">
        <v>46441</v>
      </c>
      <c r="K579" s="2"/>
      <c r="L579" s="2">
        <v>50202</v>
      </c>
      <c r="M579" s="2"/>
      <c r="N579" s="2">
        <v>46498</v>
      </c>
      <c r="P579" s="2">
        <v>50237</v>
      </c>
      <c r="Q579" s="2"/>
      <c r="R579" s="2">
        <v>46458</v>
      </c>
      <c r="AB579" s="2"/>
    </row>
    <row r="580" spans="8:28" ht="15" customHeight="1">
      <c r="H580" s="2">
        <v>50257</v>
      </c>
      <c r="I580" s="2"/>
      <c r="J580" s="2">
        <v>46442</v>
      </c>
      <c r="K580" s="2"/>
      <c r="L580" s="2">
        <v>50201</v>
      </c>
      <c r="M580" s="2"/>
      <c r="N580" s="2">
        <v>46499</v>
      </c>
      <c r="P580" s="2">
        <v>50236</v>
      </c>
      <c r="Q580" s="2"/>
      <c r="R580" s="2">
        <v>46461</v>
      </c>
      <c r="AB580" s="2"/>
    </row>
    <row r="581" spans="8:28" ht="15" customHeight="1">
      <c r="H581" s="2">
        <v>50256</v>
      </c>
      <c r="I581" s="2"/>
      <c r="J581" s="2">
        <v>46443</v>
      </c>
      <c r="K581" s="2"/>
      <c r="L581" s="2">
        <v>50200</v>
      </c>
      <c r="M581" s="2"/>
      <c r="N581" s="2">
        <v>46500</v>
      </c>
      <c r="P581" s="2">
        <v>50235</v>
      </c>
      <c r="Q581" s="2"/>
      <c r="R581" s="2">
        <v>46462</v>
      </c>
      <c r="AB581" s="2"/>
    </row>
    <row r="582" spans="8:28" ht="15" customHeight="1">
      <c r="H582" s="2">
        <v>50255</v>
      </c>
      <c r="I582" s="2"/>
      <c r="J582" s="2">
        <v>46444</v>
      </c>
      <c r="K582" s="2"/>
      <c r="L582" s="2">
        <v>50199</v>
      </c>
      <c r="M582" s="2"/>
      <c r="N582" s="2">
        <v>46503</v>
      </c>
      <c r="P582" s="2">
        <v>50234</v>
      </c>
      <c r="Q582" s="2"/>
      <c r="R582" s="2">
        <v>46463</v>
      </c>
      <c r="AB582" s="2"/>
    </row>
    <row r="583" spans="8:28" ht="15" customHeight="1">
      <c r="H583" s="2">
        <v>50252</v>
      </c>
      <c r="I583" s="2"/>
      <c r="J583" s="2">
        <v>46447</v>
      </c>
      <c r="K583" s="2"/>
      <c r="L583" s="2">
        <v>50196</v>
      </c>
      <c r="M583" s="2"/>
      <c r="N583" s="2">
        <v>46504</v>
      </c>
      <c r="P583" s="2">
        <v>50231</v>
      </c>
      <c r="Q583" s="2"/>
      <c r="R583" s="2">
        <v>46464</v>
      </c>
      <c r="AB583" s="2"/>
    </row>
    <row r="584" spans="8:28" ht="15" customHeight="1">
      <c r="H584" s="2">
        <v>50251</v>
      </c>
      <c r="I584" s="2"/>
      <c r="J584" s="2">
        <v>46448</v>
      </c>
      <c r="K584" s="2"/>
      <c r="L584" s="2">
        <v>50195</v>
      </c>
      <c r="M584" s="2"/>
      <c r="N584" s="2">
        <v>46505</v>
      </c>
      <c r="P584" s="2">
        <v>50230</v>
      </c>
      <c r="Q584" s="2"/>
      <c r="R584" s="2">
        <v>46465</v>
      </c>
      <c r="AB584" s="2"/>
    </row>
    <row r="585" spans="8:28" ht="15" customHeight="1">
      <c r="H585" s="2">
        <v>50250</v>
      </c>
      <c r="I585" s="2"/>
      <c r="J585" s="2">
        <v>46449</v>
      </c>
      <c r="K585" s="2"/>
      <c r="L585" s="2">
        <v>50194</v>
      </c>
      <c r="M585" s="2"/>
      <c r="N585" s="2">
        <v>46507</v>
      </c>
      <c r="P585" s="2">
        <v>50229</v>
      </c>
      <c r="Q585" s="2"/>
      <c r="R585" s="2">
        <v>46468</v>
      </c>
      <c r="AB585" s="2"/>
    </row>
    <row r="586" spans="8:28" ht="15" customHeight="1">
      <c r="H586" s="2">
        <v>50249</v>
      </c>
      <c r="I586" s="2"/>
      <c r="J586" s="2">
        <v>46450</v>
      </c>
      <c r="K586" s="2"/>
      <c r="L586" s="2">
        <v>50193</v>
      </c>
      <c r="M586" s="2"/>
      <c r="N586" s="2">
        <v>46513</v>
      </c>
      <c r="P586" s="2">
        <v>50228</v>
      </c>
      <c r="Q586" s="2"/>
      <c r="R586" s="2">
        <v>46469</v>
      </c>
      <c r="AB586" s="2"/>
    </row>
    <row r="587" spans="8:28" ht="15" customHeight="1">
      <c r="H587" s="2">
        <v>50248</v>
      </c>
      <c r="I587" s="2"/>
      <c r="J587" s="2">
        <v>46451</v>
      </c>
      <c r="K587" s="2"/>
      <c r="L587" s="2">
        <v>50192</v>
      </c>
      <c r="M587" s="2"/>
      <c r="N587" s="2">
        <v>46514</v>
      </c>
      <c r="P587" s="2">
        <v>50227</v>
      </c>
      <c r="Q587" s="2"/>
      <c r="R587" s="2">
        <v>46470</v>
      </c>
      <c r="AB587" s="2"/>
    </row>
    <row r="588" spans="8:28" ht="15" customHeight="1">
      <c r="H588" s="2">
        <v>50245</v>
      </c>
      <c r="I588" s="2"/>
      <c r="J588" s="2">
        <v>46454</v>
      </c>
      <c r="K588" s="2"/>
      <c r="L588" s="2">
        <v>50189</v>
      </c>
      <c r="M588" s="2"/>
      <c r="N588" s="2">
        <v>46517</v>
      </c>
      <c r="P588" s="2">
        <v>50224</v>
      </c>
      <c r="Q588" s="2"/>
      <c r="R588" s="2">
        <v>46471</v>
      </c>
      <c r="AB588" s="2"/>
    </row>
    <row r="589" spans="8:28" ht="15" customHeight="1">
      <c r="H589" s="2">
        <v>50244</v>
      </c>
      <c r="I589" s="2"/>
      <c r="J589" s="2">
        <v>46455</v>
      </c>
      <c r="K589" s="2"/>
      <c r="L589" s="2">
        <v>50188</v>
      </c>
      <c r="M589" s="2"/>
      <c r="N589" s="2">
        <v>46518</v>
      </c>
      <c r="P589" s="2">
        <v>50223</v>
      </c>
      <c r="Q589" s="2"/>
      <c r="R589" s="2">
        <v>46472</v>
      </c>
      <c r="AB589" s="2"/>
    </row>
    <row r="590" spans="8:28" ht="15" customHeight="1">
      <c r="H590" s="2">
        <v>50243</v>
      </c>
      <c r="I590" s="2"/>
      <c r="J590" s="2">
        <v>46456</v>
      </c>
      <c r="K590" s="2"/>
      <c r="L590" s="2">
        <v>50187</v>
      </c>
      <c r="M590" s="2"/>
      <c r="N590" s="2">
        <v>46519</v>
      </c>
      <c r="P590" s="2">
        <v>50222</v>
      </c>
      <c r="Q590" s="2"/>
      <c r="R590" s="2">
        <v>46475</v>
      </c>
      <c r="AB590" s="2"/>
    </row>
    <row r="591" spans="8:28" ht="15" customHeight="1">
      <c r="H591" s="2">
        <v>50242</v>
      </c>
      <c r="I591" s="2"/>
      <c r="J591" s="2">
        <v>46457</v>
      </c>
      <c r="K591" s="2"/>
      <c r="L591" s="2">
        <v>50186</v>
      </c>
      <c r="M591" s="2"/>
      <c r="N591" s="2">
        <v>46520</v>
      </c>
      <c r="P591" s="2">
        <v>50221</v>
      </c>
      <c r="Q591" s="2"/>
      <c r="R591" s="2">
        <v>46476</v>
      </c>
      <c r="AB591" s="2"/>
    </row>
    <row r="592" spans="8:28" ht="15" customHeight="1">
      <c r="H592" s="2">
        <v>50241</v>
      </c>
      <c r="I592" s="2"/>
      <c r="J592" s="2">
        <v>46458</v>
      </c>
      <c r="K592" s="2"/>
      <c r="L592" s="2">
        <v>50182</v>
      </c>
      <c r="M592" s="2"/>
      <c r="N592" s="2">
        <v>46521</v>
      </c>
      <c r="P592" s="2">
        <v>50220</v>
      </c>
      <c r="Q592" s="2"/>
      <c r="R592" s="2">
        <v>46477</v>
      </c>
      <c r="AB592" s="2"/>
    </row>
    <row r="593" spans="8:28" ht="15" customHeight="1">
      <c r="H593" s="2">
        <v>50238</v>
      </c>
      <c r="I593" s="2"/>
      <c r="J593" s="2">
        <v>46461</v>
      </c>
      <c r="K593" s="2"/>
      <c r="L593" s="2">
        <v>50181</v>
      </c>
      <c r="M593" s="2"/>
      <c r="N593" s="2">
        <v>46524</v>
      </c>
      <c r="P593" s="2">
        <v>50217</v>
      </c>
      <c r="Q593" s="2"/>
      <c r="R593" s="2">
        <v>46478</v>
      </c>
      <c r="AB593" s="2"/>
    </row>
    <row r="594" spans="8:28" ht="15" customHeight="1">
      <c r="H594" s="2">
        <v>50237</v>
      </c>
      <c r="I594" s="2"/>
      <c r="J594" s="2">
        <v>46462</v>
      </c>
      <c r="K594" s="2"/>
      <c r="L594" s="2">
        <v>50180</v>
      </c>
      <c r="M594" s="2"/>
      <c r="N594" s="2">
        <v>46525</v>
      </c>
      <c r="P594" s="2">
        <v>50216</v>
      </c>
      <c r="Q594" s="2"/>
      <c r="R594" s="2">
        <v>46479</v>
      </c>
      <c r="AB594" s="2"/>
    </row>
    <row r="595" spans="8:28" ht="15" customHeight="1">
      <c r="H595" s="2">
        <v>50236</v>
      </c>
      <c r="I595" s="2"/>
      <c r="J595" s="2">
        <v>46463</v>
      </c>
      <c r="K595" s="2"/>
      <c r="L595" s="2">
        <v>50179</v>
      </c>
      <c r="M595" s="2"/>
      <c r="N595" s="2">
        <v>46526</v>
      </c>
      <c r="P595" s="2">
        <v>50215</v>
      </c>
      <c r="Q595" s="2"/>
      <c r="R595" s="2">
        <v>46482</v>
      </c>
      <c r="AB595" s="2"/>
    </row>
    <row r="596" spans="8:28" ht="15" customHeight="1">
      <c r="H596" s="2">
        <v>50235</v>
      </c>
      <c r="I596" s="2"/>
      <c r="J596" s="2">
        <v>46464</v>
      </c>
      <c r="K596" s="2"/>
      <c r="L596" s="2">
        <v>50178</v>
      </c>
      <c r="M596" s="2"/>
      <c r="N596" s="2">
        <v>46527</v>
      </c>
      <c r="P596" s="2">
        <v>50214</v>
      </c>
      <c r="Q596" s="2"/>
      <c r="R596" s="2">
        <v>46483</v>
      </c>
      <c r="AB596" s="2"/>
    </row>
    <row r="597" spans="8:28" ht="15" customHeight="1">
      <c r="H597" s="2">
        <v>50234</v>
      </c>
      <c r="I597" s="2"/>
      <c r="J597" s="2">
        <v>46465</v>
      </c>
      <c r="K597" s="2"/>
      <c r="L597" s="2">
        <v>50175</v>
      </c>
      <c r="M597" s="2"/>
      <c r="N597" s="2">
        <v>46528</v>
      </c>
      <c r="P597" s="2">
        <v>50213</v>
      </c>
      <c r="Q597" s="2"/>
      <c r="R597" s="2">
        <v>46484</v>
      </c>
      <c r="AB597" s="2"/>
    </row>
    <row r="598" spans="8:28" ht="15" customHeight="1">
      <c r="H598" s="2">
        <v>50231</v>
      </c>
      <c r="I598" s="2"/>
      <c r="J598" s="2">
        <v>46468</v>
      </c>
      <c r="K598" s="2"/>
      <c r="L598" s="2">
        <v>50174</v>
      </c>
      <c r="M598" s="2"/>
      <c r="N598" s="2">
        <v>46531</v>
      </c>
      <c r="P598" s="2">
        <v>50210</v>
      </c>
      <c r="Q598" s="2"/>
      <c r="R598" s="2">
        <v>46485</v>
      </c>
      <c r="AB598" s="2"/>
    </row>
    <row r="599" spans="8:28" ht="15" customHeight="1">
      <c r="H599" s="2">
        <v>50230</v>
      </c>
      <c r="I599" s="2"/>
      <c r="J599" s="2">
        <v>46469</v>
      </c>
      <c r="K599" s="2"/>
      <c r="L599" s="2">
        <v>50173</v>
      </c>
      <c r="M599" s="2"/>
      <c r="N599" s="2">
        <v>46532</v>
      </c>
      <c r="P599" s="2">
        <v>50209</v>
      </c>
      <c r="Q599" s="2"/>
      <c r="R599" s="2">
        <v>46486</v>
      </c>
      <c r="AB599" s="2"/>
    </row>
    <row r="600" spans="8:28" ht="15" customHeight="1">
      <c r="H600" s="2">
        <v>50229</v>
      </c>
      <c r="I600" s="2"/>
      <c r="J600" s="2">
        <v>46470</v>
      </c>
      <c r="K600" s="2"/>
      <c r="L600" s="2">
        <v>50172</v>
      </c>
      <c r="M600" s="2"/>
      <c r="N600" s="2">
        <v>46533</v>
      </c>
      <c r="P600" s="2">
        <v>50208</v>
      </c>
      <c r="Q600" s="2"/>
      <c r="R600" s="2">
        <v>46489</v>
      </c>
      <c r="AB600" s="2"/>
    </row>
    <row r="601" spans="8:28" ht="15" customHeight="1">
      <c r="H601" s="2">
        <v>50228</v>
      </c>
      <c r="I601" s="2"/>
      <c r="J601" s="2">
        <v>46471</v>
      </c>
      <c r="K601" s="2"/>
      <c r="L601" s="2">
        <v>50171</v>
      </c>
      <c r="M601" s="2"/>
      <c r="N601" s="2">
        <v>46534</v>
      </c>
      <c r="P601" s="2">
        <v>50207</v>
      </c>
      <c r="Q601" s="2"/>
      <c r="R601" s="2">
        <v>46490</v>
      </c>
      <c r="AB601" s="2"/>
    </row>
    <row r="602" spans="8:28" ht="15" customHeight="1">
      <c r="H602" s="2">
        <v>50227</v>
      </c>
      <c r="I602" s="2"/>
      <c r="J602" s="2">
        <v>46475</v>
      </c>
      <c r="K602" s="2"/>
      <c r="L602" s="2">
        <v>50168</v>
      </c>
      <c r="M602" s="2"/>
      <c r="N602" s="2">
        <v>46535</v>
      </c>
      <c r="P602" s="2">
        <v>50206</v>
      </c>
      <c r="Q602" s="2"/>
      <c r="R602" s="2">
        <v>46491</v>
      </c>
      <c r="AB602" s="2"/>
    </row>
    <row r="603" spans="8:28" ht="15" customHeight="1">
      <c r="H603" s="2">
        <v>50223</v>
      </c>
      <c r="I603" s="2"/>
      <c r="J603" s="2">
        <v>46476</v>
      </c>
      <c r="K603" s="2"/>
      <c r="L603" s="2">
        <v>50167</v>
      </c>
      <c r="M603" s="2"/>
      <c r="N603" s="2">
        <v>46539</v>
      </c>
      <c r="P603" s="2">
        <v>50203</v>
      </c>
      <c r="Q603" s="2"/>
      <c r="R603" s="2">
        <v>46492</v>
      </c>
      <c r="AB603" s="2"/>
    </row>
    <row r="604" spans="8:28" ht="15" customHeight="1">
      <c r="H604" s="2">
        <v>50222</v>
      </c>
      <c r="I604" s="2"/>
      <c r="J604" s="2">
        <v>46477</v>
      </c>
      <c r="K604" s="2"/>
      <c r="L604" s="2">
        <v>50161</v>
      </c>
      <c r="M604" s="2"/>
      <c r="N604" s="2">
        <v>46540</v>
      </c>
      <c r="P604" s="2">
        <v>50202</v>
      </c>
      <c r="Q604" s="2"/>
      <c r="R604" s="2">
        <v>46493</v>
      </c>
      <c r="AB604" s="2"/>
    </row>
    <row r="605" spans="8:28" ht="15" customHeight="1">
      <c r="H605" s="2">
        <v>50221</v>
      </c>
      <c r="I605" s="2"/>
      <c r="J605" s="2">
        <v>46478</v>
      </c>
      <c r="K605" s="2"/>
      <c r="L605" s="2">
        <v>50160</v>
      </c>
      <c r="M605" s="2"/>
      <c r="N605" s="2">
        <v>46541</v>
      </c>
      <c r="P605" s="2">
        <v>50201</v>
      </c>
      <c r="Q605" s="2"/>
      <c r="R605" s="2">
        <v>46496</v>
      </c>
      <c r="AB605" s="2"/>
    </row>
    <row r="606" spans="8:28" ht="15" customHeight="1">
      <c r="H606" s="2">
        <v>50220</v>
      </c>
      <c r="I606" s="2"/>
      <c r="J606" s="2">
        <v>46479</v>
      </c>
      <c r="K606" s="2"/>
      <c r="L606" s="2">
        <v>50158</v>
      </c>
      <c r="M606" s="2"/>
      <c r="N606" s="2">
        <v>46542</v>
      </c>
      <c r="P606" s="2">
        <v>50200</v>
      </c>
      <c r="Q606" s="2"/>
      <c r="R606" s="2">
        <v>46497</v>
      </c>
      <c r="AB606" s="2"/>
    </row>
    <row r="607" spans="8:28" ht="15" customHeight="1">
      <c r="H607" s="2">
        <v>50217</v>
      </c>
      <c r="I607" s="2"/>
      <c r="J607" s="2">
        <v>46482</v>
      </c>
      <c r="K607" s="2"/>
      <c r="L607" s="2">
        <v>50157</v>
      </c>
      <c r="M607" s="2"/>
      <c r="N607" s="2">
        <v>46545</v>
      </c>
      <c r="P607" s="2">
        <v>50199</v>
      </c>
      <c r="Q607" s="2"/>
      <c r="R607" s="2">
        <v>46498</v>
      </c>
      <c r="AB607" s="2"/>
    </row>
    <row r="608" spans="8:28" ht="15" customHeight="1">
      <c r="H608" s="2">
        <v>50216</v>
      </c>
      <c r="I608" s="2"/>
      <c r="J608" s="2">
        <v>46483</v>
      </c>
      <c r="K608" s="2"/>
      <c r="L608" s="2">
        <v>50154</v>
      </c>
      <c r="M608" s="2"/>
      <c r="N608" s="2">
        <v>46546</v>
      </c>
      <c r="P608" s="2">
        <v>50196</v>
      </c>
      <c r="Q608" s="2"/>
      <c r="R608" s="2">
        <v>46499</v>
      </c>
      <c r="AB608" s="2"/>
    </row>
    <row r="609" spans="8:28" ht="15" customHeight="1">
      <c r="H609" s="2">
        <v>50215</v>
      </c>
      <c r="I609" s="2"/>
      <c r="J609" s="2">
        <v>46484</v>
      </c>
      <c r="K609" s="2"/>
      <c r="L609" s="2">
        <v>50153</v>
      </c>
      <c r="M609" s="2"/>
      <c r="N609" s="2">
        <v>46547</v>
      </c>
      <c r="P609" s="2">
        <v>50195</v>
      </c>
      <c r="Q609" s="2"/>
      <c r="R609" s="2">
        <v>46500</v>
      </c>
      <c r="AB609" s="2"/>
    </row>
    <row r="610" spans="8:28" ht="15" customHeight="1">
      <c r="H610" s="2">
        <v>50214</v>
      </c>
      <c r="I610" s="2"/>
      <c r="J610" s="2">
        <v>46485</v>
      </c>
      <c r="K610" s="2"/>
      <c r="L610" s="2">
        <v>50152</v>
      </c>
      <c r="M610" s="2"/>
      <c r="N610" s="2">
        <v>46548</v>
      </c>
      <c r="P610" s="2">
        <v>50194</v>
      </c>
      <c r="Q610" s="2"/>
      <c r="R610" s="2">
        <v>46503</v>
      </c>
      <c r="AB610" s="2"/>
    </row>
    <row r="611" spans="8:28" ht="15" customHeight="1">
      <c r="H611" s="2">
        <v>50213</v>
      </c>
      <c r="I611" s="2"/>
      <c r="J611" s="2">
        <v>46486</v>
      </c>
      <c r="K611" s="2"/>
      <c r="L611" s="2">
        <v>50151</v>
      </c>
      <c r="M611" s="2"/>
      <c r="N611" s="2">
        <v>46549</v>
      </c>
      <c r="P611" s="2">
        <v>50193</v>
      </c>
      <c r="Q611" s="2"/>
      <c r="R611" s="2">
        <v>46504</v>
      </c>
      <c r="AB611" s="2"/>
    </row>
    <row r="612" spans="8:28" ht="15" customHeight="1">
      <c r="H612" s="2">
        <v>50209</v>
      </c>
      <c r="I612" s="2"/>
      <c r="J612" s="2">
        <v>46489</v>
      </c>
      <c r="K612" s="2"/>
      <c r="L612" s="2">
        <v>50150</v>
      </c>
      <c r="M612" s="2"/>
      <c r="N612" s="2">
        <v>46552</v>
      </c>
      <c r="P612" s="2">
        <v>50192</v>
      </c>
      <c r="Q612" s="2"/>
      <c r="R612" s="2">
        <v>46505</v>
      </c>
      <c r="AB612" s="2"/>
    </row>
    <row r="613" spans="8:28" ht="15" customHeight="1">
      <c r="H613" s="2">
        <v>50208</v>
      </c>
      <c r="I613" s="2"/>
      <c r="J613" s="2">
        <v>46490</v>
      </c>
      <c r="K613" s="2"/>
      <c r="L613" s="2">
        <v>50147</v>
      </c>
      <c r="M613" s="2"/>
      <c r="N613" s="2">
        <v>46553</v>
      </c>
      <c r="P613" s="2">
        <v>50189</v>
      </c>
      <c r="Q613" s="2"/>
      <c r="R613" s="2">
        <v>46506</v>
      </c>
      <c r="AB613" s="2"/>
    </row>
    <row r="614" spans="8:28" ht="15" customHeight="1">
      <c r="H614" s="2">
        <v>50207</v>
      </c>
      <c r="I614" s="2"/>
      <c r="J614" s="2">
        <v>46491</v>
      </c>
      <c r="K614" s="2"/>
      <c r="L614" s="2">
        <v>50146</v>
      </c>
      <c r="M614" s="2"/>
      <c r="N614" s="2">
        <v>46554</v>
      </c>
      <c r="P614" s="2">
        <v>50188</v>
      </c>
      <c r="Q614" s="2"/>
      <c r="R614" s="2">
        <v>46507</v>
      </c>
      <c r="AB614" s="2"/>
    </row>
    <row r="615" spans="8:28" ht="15" customHeight="1">
      <c r="H615" s="2">
        <v>50206</v>
      </c>
      <c r="I615" s="2"/>
      <c r="J615" s="2">
        <v>46492</v>
      </c>
      <c r="K615" s="2"/>
      <c r="L615" s="2">
        <v>50145</v>
      </c>
      <c r="M615" s="2"/>
      <c r="N615" s="2">
        <v>46555</v>
      </c>
      <c r="P615" s="2">
        <v>50187</v>
      </c>
      <c r="Q615" s="2"/>
      <c r="R615" s="2">
        <v>46510</v>
      </c>
      <c r="AB615" s="2"/>
    </row>
    <row r="616" spans="8:28" ht="15" customHeight="1">
      <c r="H616" s="2">
        <v>50203</v>
      </c>
      <c r="I616" s="2"/>
      <c r="J616" s="2">
        <v>46493</v>
      </c>
      <c r="K616" s="2"/>
      <c r="L616" s="2">
        <v>50144</v>
      </c>
      <c r="M616" s="2"/>
      <c r="N616" s="2">
        <v>46559</v>
      </c>
      <c r="P616" s="2">
        <v>50186</v>
      </c>
      <c r="Q616" s="2"/>
      <c r="R616" s="2">
        <v>46511</v>
      </c>
      <c r="AB616" s="2"/>
    </row>
    <row r="617" spans="8:28" ht="15" customHeight="1">
      <c r="H617" s="2">
        <v>50202</v>
      </c>
      <c r="I617" s="2"/>
      <c r="J617" s="2">
        <v>46496</v>
      </c>
      <c r="K617" s="2"/>
      <c r="L617" s="2">
        <v>50143</v>
      </c>
      <c r="M617" s="2"/>
      <c r="N617" s="2">
        <v>46560</v>
      </c>
      <c r="P617" s="2">
        <v>50185</v>
      </c>
      <c r="Q617" s="2"/>
      <c r="R617" s="2">
        <v>46513</v>
      </c>
      <c r="AB617" s="2"/>
    </row>
    <row r="618" spans="8:28" ht="15" customHeight="1">
      <c r="H618" s="2">
        <v>50201</v>
      </c>
      <c r="I618" s="2"/>
      <c r="J618" s="2">
        <v>46497</v>
      </c>
      <c r="K618" s="2"/>
      <c r="L618" s="2">
        <v>50140</v>
      </c>
      <c r="M618" s="2"/>
      <c r="N618" s="2">
        <v>46561</v>
      </c>
      <c r="P618" s="2">
        <v>50181</v>
      </c>
      <c r="Q618" s="2"/>
      <c r="R618" s="2">
        <v>46514</v>
      </c>
      <c r="AB618" s="2"/>
    </row>
    <row r="619" spans="8:28" ht="15" customHeight="1">
      <c r="H619" s="2">
        <v>50200</v>
      </c>
      <c r="I619" s="2"/>
      <c r="J619" s="2">
        <v>46498</v>
      </c>
      <c r="K619" s="2"/>
      <c r="L619" s="2">
        <v>50139</v>
      </c>
      <c r="M619" s="2"/>
      <c r="N619" s="2">
        <v>46562</v>
      </c>
      <c r="P619" s="2">
        <v>50180</v>
      </c>
      <c r="Q619" s="2"/>
      <c r="R619" s="2">
        <v>46517</v>
      </c>
      <c r="AB619" s="2"/>
    </row>
    <row r="620" spans="8:28" ht="15" customHeight="1">
      <c r="H620" s="2">
        <v>50199</v>
      </c>
      <c r="I620" s="2"/>
      <c r="J620" s="2">
        <v>46499</v>
      </c>
      <c r="K620" s="2"/>
      <c r="L620" s="2">
        <v>50138</v>
      </c>
      <c r="M620" s="2"/>
      <c r="N620" s="2">
        <v>46563</v>
      </c>
      <c r="P620" s="2">
        <v>50179</v>
      </c>
      <c r="Q620" s="2"/>
      <c r="R620" s="2">
        <v>46518</v>
      </c>
      <c r="AB620" s="2"/>
    </row>
    <row r="621" spans="8:28" ht="15" customHeight="1">
      <c r="H621" s="2">
        <v>50196</v>
      </c>
      <c r="I621" s="2"/>
      <c r="J621" s="2">
        <v>46500</v>
      </c>
      <c r="K621" s="2"/>
      <c r="L621" s="2">
        <v>50137</v>
      </c>
      <c r="M621" s="2"/>
      <c r="N621" s="2">
        <v>46566</v>
      </c>
      <c r="P621" s="2">
        <v>50178</v>
      </c>
      <c r="Q621" s="2"/>
      <c r="R621" s="2">
        <v>46519</v>
      </c>
      <c r="AB621" s="2"/>
    </row>
    <row r="622" spans="8:28" ht="15" customHeight="1">
      <c r="H622" s="2">
        <v>50195</v>
      </c>
      <c r="I622" s="2"/>
      <c r="J622" s="2">
        <v>46503</v>
      </c>
      <c r="K622" s="2"/>
      <c r="L622" s="2">
        <v>50136</v>
      </c>
      <c r="M622" s="2"/>
      <c r="N622" s="2">
        <v>46567</v>
      </c>
      <c r="P622" s="2">
        <v>50175</v>
      </c>
      <c r="Q622" s="2"/>
      <c r="R622" s="2">
        <v>46521</v>
      </c>
      <c r="AB622" s="2"/>
    </row>
    <row r="623" spans="8:28" ht="15" customHeight="1">
      <c r="H623" s="2">
        <v>50194</v>
      </c>
      <c r="I623" s="2"/>
      <c r="J623" s="2">
        <v>46504</v>
      </c>
      <c r="K623" s="2"/>
      <c r="L623" s="2">
        <v>50132</v>
      </c>
      <c r="M623" s="2"/>
      <c r="N623" s="2">
        <v>46568</v>
      </c>
      <c r="P623" s="2">
        <v>50174</v>
      </c>
      <c r="Q623" s="2"/>
      <c r="R623" s="2">
        <v>46524</v>
      </c>
      <c r="AB623" s="2"/>
    </row>
    <row r="624" spans="8:28" ht="15" customHeight="1">
      <c r="H624" s="2">
        <v>50193</v>
      </c>
      <c r="I624" s="2"/>
      <c r="J624" s="2">
        <v>46505</v>
      </c>
      <c r="K624" s="2"/>
      <c r="L624" s="2">
        <v>50131</v>
      </c>
      <c r="M624" s="2"/>
      <c r="N624" s="2">
        <v>46569</v>
      </c>
      <c r="P624" s="2">
        <v>50173</v>
      </c>
      <c r="Q624" s="2"/>
      <c r="R624" s="2">
        <v>46525</v>
      </c>
      <c r="AB624" s="2"/>
    </row>
    <row r="625" spans="8:28" ht="15" customHeight="1">
      <c r="H625" s="2">
        <v>50192</v>
      </c>
      <c r="I625" s="2"/>
      <c r="J625" s="2">
        <v>46506</v>
      </c>
      <c r="K625" s="2"/>
      <c r="L625" s="2">
        <v>50130</v>
      </c>
      <c r="M625" s="2"/>
      <c r="N625" s="2">
        <v>46570</v>
      </c>
      <c r="P625" s="2">
        <v>50172</v>
      </c>
      <c r="Q625" s="2"/>
      <c r="R625" s="2">
        <v>46526</v>
      </c>
      <c r="AB625" s="2"/>
    </row>
    <row r="626" spans="8:28" ht="15" customHeight="1">
      <c r="H626" s="2">
        <v>50189</v>
      </c>
      <c r="I626" s="2"/>
      <c r="J626" s="2">
        <v>46507</v>
      </c>
      <c r="K626" s="2"/>
      <c r="L626" s="2">
        <v>50129</v>
      </c>
      <c r="M626" s="2"/>
      <c r="N626" s="2">
        <v>46574</v>
      </c>
      <c r="P626" s="2">
        <v>50171</v>
      </c>
      <c r="Q626" s="2"/>
      <c r="R626" s="2">
        <v>46527</v>
      </c>
      <c r="AB626" s="2"/>
    </row>
    <row r="627" spans="8:28" ht="15" customHeight="1">
      <c r="H627" s="2">
        <v>50188</v>
      </c>
      <c r="I627" s="2"/>
      <c r="J627" s="2">
        <v>46510</v>
      </c>
      <c r="K627" s="2"/>
      <c r="L627" s="2">
        <v>50126</v>
      </c>
      <c r="M627" s="2"/>
      <c r="N627" s="2">
        <v>46575</v>
      </c>
      <c r="P627" s="2">
        <v>50168</v>
      </c>
      <c r="Q627" s="2"/>
      <c r="R627" s="2">
        <v>46528</v>
      </c>
      <c r="AB627" s="2"/>
    </row>
    <row r="628" spans="8:28" ht="15" customHeight="1">
      <c r="H628" s="2">
        <v>50187</v>
      </c>
      <c r="I628" s="2"/>
      <c r="J628" s="2">
        <v>46511</v>
      </c>
      <c r="K628" s="2"/>
      <c r="L628" s="2">
        <v>50125</v>
      </c>
      <c r="M628" s="2"/>
      <c r="N628" s="2">
        <v>46576</v>
      </c>
      <c r="P628" s="2">
        <v>50167</v>
      </c>
      <c r="Q628" s="2"/>
      <c r="R628" s="2">
        <v>46531</v>
      </c>
      <c r="AB628" s="2"/>
    </row>
    <row r="629" spans="8:28" ht="15" customHeight="1">
      <c r="H629" s="2">
        <v>50186</v>
      </c>
      <c r="I629" s="2"/>
      <c r="J629" s="2">
        <v>46512</v>
      </c>
      <c r="K629" s="2"/>
      <c r="L629" s="2">
        <v>50124</v>
      </c>
      <c r="M629" s="2"/>
      <c r="N629" s="2">
        <v>46577</v>
      </c>
      <c r="P629" s="2">
        <v>50166</v>
      </c>
      <c r="Q629" s="2"/>
      <c r="R629" s="2">
        <v>46532</v>
      </c>
      <c r="AB629" s="2"/>
    </row>
    <row r="630" spans="8:28" ht="15" customHeight="1">
      <c r="H630" s="2">
        <v>50182</v>
      </c>
      <c r="I630" s="2"/>
      <c r="J630" s="2">
        <v>46513</v>
      </c>
      <c r="K630" s="2"/>
      <c r="L630" s="2">
        <v>50123</v>
      </c>
      <c r="M630" s="2"/>
      <c r="N630" s="2">
        <v>46580</v>
      </c>
      <c r="P630" s="2">
        <v>50164</v>
      </c>
      <c r="Q630" s="2"/>
      <c r="R630" s="2">
        <v>46533</v>
      </c>
      <c r="AB630" s="2"/>
    </row>
    <row r="631" spans="8:28" ht="15" customHeight="1">
      <c r="H631" s="2">
        <v>50181</v>
      </c>
      <c r="I631" s="2"/>
      <c r="J631" s="2">
        <v>46514</v>
      </c>
      <c r="K631" s="2"/>
      <c r="L631" s="2">
        <v>50122</v>
      </c>
      <c r="M631" s="2"/>
      <c r="N631" s="2">
        <v>46581</v>
      </c>
      <c r="P631" s="2">
        <v>50160</v>
      </c>
      <c r="Q631" s="2"/>
      <c r="R631" s="2">
        <v>46534</v>
      </c>
      <c r="AB631" s="2"/>
    </row>
    <row r="632" spans="8:28" ht="15" customHeight="1">
      <c r="H632" s="2">
        <v>50180</v>
      </c>
      <c r="I632" s="2"/>
      <c r="J632" s="2">
        <v>46517</v>
      </c>
      <c r="K632" s="2"/>
      <c r="L632" s="2">
        <v>50118</v>
      </c>
      <c r="M632" s="2"/>
      <c r="N632" s="2">
        <v>46582</v>
      </c>
      <c r="P632" s="2">
        <v>50159</v>
      </c>
      <c r="Q632" s="2"/>
      <c r="R632" s="2">
        <v>46535</v>
      </c>
      <c r="AB632" s="2"/>
    </row>
    <row r="633" spans="8:28" ht="15" customHeight="1">
      <c r="H633" s="2">
        <v>50179</v>
      </c>
      <c r="I633" s="2"/>
      <c r="J633" s="2">
        <v>46518</v>
      </c>
      <c r="K633" s="2"/>
      <c r="L633" s="2">
        <v>50117</v>
      </c>
      <c r="M633" s="2"/>
      <c r="N633" s="2">
        <v>46583</v>
      </c>
      <c r="P633" s="2">
        <v>50158</v>
      </c>
      <c r="Q633" s="2"/>
      <c r="R633" s="2">
        <v>46538</v>
      </c>
      <c r="AB633" s="2"/>
    </row>
    <row r="634" spans="8:28" ht="15" customHeight="1">
      <c r="H634" s="2">
        <v>50178</v>
      </c>
      <c r="I634" s="2"/>
      <c r="J634" s="2">
        <v>46519</v>
      </c>
      <c r="K634" s="2"/>
      <c r="L634" s="2">
        <v>50116</v>
      </c>
      <c r="M634" s="2"/>
      <c r="N634" s="2">
        <v>46584</v>
      </c>
      <c r="P634" s="2">
        <v>50157</v>
      </c>
      <c r="Q634" s="2"/>
      <c r="R634" s="2">
        <v>46539</v>
      </c>
      <c r="AB634" s="2"/>
    </row>
    <row r="635" spans="8:28" ht="15" customHeight="1">
      <c r="H635" s="2">
        <v>50175</v>
      </c>
      <c r="I635" s="2"/>
      <c r="J635" s="2">
        <v>46520</v>
      </c>
      <c r="K635" s="2"/>
      <c r="L635" s="2">
        <v>50115</v>
      </c>
      <c r="M635" s="2"/>
      <c r="N635" s="2">
        <v>46588</v>
      </c>
      <c r="P635" s="2">
        <v>50154</v>
      </c>
      <c r="Q635" s="2"/>
      <c r="R635" s="2">
        <v>46540</v>
      </c>
      <c r="AB635" s="2"/>
    </row>
    <row r="636" spans="8:28" ht="15" customHeight="1">
      <c r="H636" s="2">
        <v>50174</v>
      </c>
      <c r="I636" s="2"/>
      <c r="J636" s="2">
        <v>46521</v>
      </c>
      <c r="K636" s="2"/>
      <c r="L636" s="2">
        <v>50112</v>
      </c>
      <c r="M636" s="2"/>
      <c r="N636" s="2">
        <v>46589</v>
      </c>
      <c r="P636" s="2">
        <v>50153</v>
      </c>
      <c r="Q636" s="2"/>
      <c r="R636" s="2">
        <v>46541</v>
      </c>
      <c r="AB636" s="2"/>
    </row>
    <row r="637" spans="8:28" ht="15" customHeight="1">
      <c r="H637" s="2">
        <v>50173</v>
      </c>
      <c r="I637" s="2"/>
      <c r="J637" s="2">
        <v>46524</v>
      </c>
      <c r="K637" s="2"/>
      <c r="L637" s="2">
        <v>50111</v>
      </c>
      <c r="M637" s="2"/>
      <c r="N637" s="2">
        <v>46590</v>
      </c>
      <c r="P637" s="2">
        <v>50152</v>
      </c>
      <c r="Q637" s="2"/>
      <c r="R637" s="2">
        <v>46542</v>
      </c>
      <c r="AB637" s="2"/>
    </row>
    <row r="638" spans="8:28" ht="15" customHeight="1">
      <c r="H638" s="2">
        <v>50172</v>
      </c>
      <c r="I638" s="2"/>
      <c r="J638" s="2">
        <v>46525</v>
      </c>
      <c r="K638" s="2"/>
      <c r="L638" s="2">
        <v>50110</v>
      </c>
      <c r="M638" s="2"/>
      <c r="N638" s="2">
        <v>46591</v>
      </c>
      <c r="P638" s="2">
        <v>50151</v>
      </c>
      <c r="Q638" s="2"/>
      <c r="R638" s="2">
        <v>46545</v>
      </c>
      <c r="AB638" s="2"/>
    </row>
    <row r="639" spans="8:28" ht="15" customHeight="1">
      <c r="H639" s="2">
        <v>50171</v>
      </c>
      <c r="I639" s="2"/>
      <c r="J639" s="2">
        <v>46526</v>
      </c>
      <c r="K639" s="2"/>
      <c r="L639" s="2">
        <v>50109</v>
      </c>
      <c r="M639" s="2"/>
      <c r="N639" s="2">
        <v>46594</v>
      </c>
      <c r="P639" s="2">
        <v>50150</v>
      </c>
      <c r="Q639" s="2"/>
      <c r="R639" s="2">
        <v>46546</v>
      </c>
      <c r="AB639" s="2"/>
    </row>
    <row r="640" spans="8:28" ht="15" customHeight="1">
      <c r="H640" s="2">
        <v>50168</v>
      </c>
      <c r="I640" s="2"/>
      <c r="J640" s="2">
        <v>46527</v>
      </c>
      <c r="K640" s="2"/>
      <c r="L640" s="2">
        <v>50108</v>
      </c>
      <c r="M640" s="2"/>
      <c r="N640" s="2">
        <v>46595</v>
      </c>
      <c r="P640" s="2">
        <v>50147</v>
      </c>
      <c r="Q640" s="2"/>
      <c r="R640" s="2">
        <v>46547</v>
      </c>
      <c r="AB640" s="2"/>
    </row>
    <row r="641" spans="8:28" ht="15" customHeight="1">
      <c r="H641" s="2">
        <v>50167</v>
      </c>
      <c r="I641" s="2"/>
      <c r="J641" s="2">
        <v>46528</v>
      </c>
      <c r="K641" s="2"/>
      <c r="L641" s="2">
        <v>50105</v>
      </c>
      <c r="M641" s="2"/>
      <c r="N641" s="2">
        <v>46596</v>
      </c>
      <c r="P641" s="2">
        <v>50146</v>
      </c>
      <c r="Q641" s="2"/>
      <c r="R641" s="2">
        <v>46548</v>
      </c>
      <c r="AB641" s="2"/>
    </row>
    <row r="642" spans="8:28" ht="15" customHeight="1">
      <c r="H642" s="2">
        <v>50166</v>
      </c>
      <c r="I642" s="2"/>
      <c r="J642" s="2">
        <v>46531</v>
      </c>
      <c r="K642" s="2"/>
      <c r="L642" s="2">
        <v>50104</v>
      </c>
      <c r="M642" s="2"/>
      <c r="N642" s="2">
        <v>46597</v>
      </c>
      <c r="P642" s="2">
        <v>50145</v>
      </c>
      <c r="Q642" s="2"/>
      <c r="R642" s="2">
        <v>46549</v>
      </c>
      <c r="AB642" s="2"/>
    </row>
    <row r="643" spans="8:28" ht="15" customHeight="1">
      <c r="H643" s="2">
        <v>50165</v>
      </c>
      <c r="I643" s="2"/>
      <c r="J643" s="2">
        <v>46532</v>
      </c>
      <c r="K643" s="2"/>
      <c r="L643" s="2">
        <v>50103</v>
      </c>
      <c r="M643" s="2"/>
      <c r="N643" s="2">
        <v>46598</v>
      </c>
      <c r="P643" s="2">
        <v>50144</v>
      </c>
      <c r="Q643" s="2"/>
      <c r="R643" s="2">
        <v>46552</v>
      </c>
      <c r="AB643" s="2"/>
    </row>
    <row r="644" spans="8:28" ht="15" customHeight="1">
      <c r="H644" s="2">
        <v>50164</v>
      </c>
      <c r="I644" s="2"/>
      <c r="J644" s="2">
        <v>46533</v>
      </c>
      <c r="K644" s="2"/>
      <c r="L644" s="2">
        <v>50102</v>
      </c>
      <c r="M644" s="2"/>
      <c r="N644" s="2">
        <v>46601</v>
      </c>
      <c r="P644" s="2">
        <v>50143</v>
      </c>
      <c r="Q644" s="2"/>
      <c r="R644" s="2">
        <v>46553</v>
      </c>
      <c r="AB644" s="2"/>
    </row>
    <row r="645" spans="8:28" ht="15" customHeight="1">
      <c r="H645" s="2">
        <v>50161</v>
      </c>
      <c r="I645" s="2"/>
      <c r="J645" s="2">
        <v>46534</v>
      </c>
      <c r="K645" s="2"/>
      <c r="L645" s="2">
        <v>50101</v>
      </c>
      <c r="M645" s="2"/>
      <c r="N645" s="2">
        <v>46602</v>
      </c>
      <c r="P645" s="2">
        <v>50140</v>
      </c>
      <c r="Q645" s="2"/>
      <c r="R645" s="2">
        <v>46554</v>
      </c>
      <c r="AB645" s="2"/>
    </row>
    <row r="646" spans="8:28" ht="15" customHeight="1">
      <c r="H646" s="2">
        <v>50160</v>
      </c>
      <c r="I646" s="2"/>
      <c r="J646" s="2">
        <v>46535</v>
      </c>
      <c r="K646" s="2"/>
      <c r="L646" s="2">
        <v>50098</v>
      </c>
      <c r="M646" s="2"/>
      <c r="N646" s="2">
        <v>46603</v>
      </c>
      <c r="P646" s="2">
        <v>50139</v>
      </c>
      <c r="Q646" s="2"/>
      <c r="R646" s="2">
        <v>46555</v>
      </c>
      <c r="AB646" s="2"/>
    </row>
    <row r="647" spans="8:28" ht="15" customHeight="1">
      <c r="H647" s="2">
        <v>50159</v>
      </c>
      <c r="I647" s="2"/>
      <c r="J647" s="2">
        <v>46539</v>
      </c>
      <c r="K647" s="2"/>
      <c r="L647" s="2">
        <v>50097</v>
      </c>
      <c r="M647" s="2"/>
      <c r="N647" s="2">
        <v>46604</v>
      </c>
      <c r="P647" s="2">
        <v>50138</v>
      </c>
      <c r="Q647" s="2"/>
      <c r="R647" s="2">
        <v>46556</v>
      </c>
      <c r="AB647" s="2"/>
    </row>
    <row r="648" spans="8:28" ht="15" customHeight="1">
      <c r="H648" s="2">
        <v>50158</v>
      </c>
      <c r="I648" s="2"/>
      <c r="J648" s="2">
        <v>46540</v>
      </c>
      <c r="K648" s="2"/>
      <c r="L648" s="2">
        <v>50096</v>
      </c>
      <c r="M648" s="2"/>
      <c r="N648" s="2">
        <v>46605</v>
      </c>
      <c r="P648" s="2">
        <v>50137</v>
      </c>
      <c r="Q648" s="2"/>
      <c r="R648" s="2">
        <v>46559</v>
      </c>
      <c r="AB648" s="2"/>
    </row>
    <row r="649" spans="8:28" ht="15" customHeight="1">
      <c r="H649" s="2">
        <v>50157</v>
      </c>
      <c r="I649" s="2"/>
      <c r="J649" s="2">
        <v>46541</v>
      </c>
      <c r="K649" s="2"/>
      <c r="L649" s="2">
        <v>50095</v>
      </c>
      <c r="M649" s="2"/>
      <c r="N649" s="2">
        <v>46608</v>
      </c>
      <c r="P649" s="2">
        <v>50136</v>
      </c>
      <c r="Q649" s="2"/>
      <c r="R649" s="2">
        <v>46560</v>
      </c>
      <c r="AB649" s="2"/>
    </row>
    <row r="650" spans="8:28" ht="15" customHeight="1">
      <c r="H650" s="2">
        <v>50154</v>
      </c>
      <c r="I650" s="2"/>
      <c r="J650" s="2">
        <v>46542</v>
      </c>
      <c r="K650" s="2"/>
      <c r="L650" s="2">
        <v>50091</v>
      </c>
      <c r="M650" s="2"/>
      <c r="N650" s="2">
        <v>46609</v>
      </c>
      <c r="P650" s="2">
        <v>50133</v>
      </c>
      <c r="Q650" s="2"/>
      <c r="R650" s="2">
        <v>46561</v>
      </c>
      <c r="AB650" s="2"/>
    </row>
    <row r="651" spans="8:28" ht="15" customHeight="1">
      <c r="H651" s="2">
        <v>50153</v>
      </c>
      <c r="I651" s="2"/>
      <c r="J651" s="2">
        <v>46545</v>
      </c>
      <c r="K651" s="2"/>
      <c r="L651" s="2">
        <v>50090</v>
      </c>
      <c r="M651" s="2"/>
      <c r="N651" s="2">
        <v>46611</v>
      </c>
      <c r="P651" s="2">
        <v>50132</v>
      </c>
      <c r="Q651" s="2"/>
      <c r="R651" s="2">
        <v>46562</v>
      </c>
      <c r="AB651" s="2"/>
    </row>
    <row r="652" spans="8:28" ht="15" customHeight="1">
      <c r="H652" s="2">
        <v>50152</v>
      </c>
      <c r="I652" s="2"/>
      <c r="J652" s="2">
        <v>46546</v>
      </c>
      <c r="K652" s="2"/>
      <c r="L652" s="2">
        <v>50089</v>
      </c>
      <c r="M652" s="2"/>
      <c r="N652" s="2">
        <v>46612</v>
      </c>
      <c r="P652" s="2">
        <v>50131</v>
      </c>
      <c r="Q652" s="2"/>
      <c r="R652" s="2">
        <v>46563</v>
      </c>
      <c r="AB652" s="2"/>
    </row>
    <row r="653" spans="8:28" ht="15" customHeight="1">
      <c r="H653" s="2">
        <v>50151</v>
      </c>
      <c r="I653" s="2"/>
      <c r="J653" s="2">
        <v>46547</v>
      </c>
      <c r="K653" s="2"/>
      <c r="L653" s="2">
        <v>50088</v>
      </c>
      <c r="M653" s="2"/>
      <c r="N653" s="2">
        <v>46615</v>
      </c>
      <c r="P653" s="2">
        <v>50130</v>
      </c>
      <c r="Q653" s="2"/>
      <c r="R653" s="2">
        <v>46566</v>
      </c>
      <c r="AB653" s="2"/>
    </row>
    <row r="654" spans="8:28" ht="15" customHeight="1">
      <c r="H654" s="2">
        <v>50150</v>
      </c>
      <c r="I654" s="2"/>
      <c r="J654" s="2">
        <v>46548</v>
      </c>
      <c r="K654" s="2"/>
      <c r="L654" s="2">
        <v>50084</v>
      </c>
      <c r="M654" s="2"/>
      <c r="N654" s="2">
        <v>46616</v>
      </c>
      <c r="P654" s="2">
        <v>50129</v>
      </c>
      <c r="Q654" s="2"/>
      <c r="R654" s="2">
        <v>46567</v>
      </c>
      <c r="AB654" s="2"/>
    </row>
    <row r="655" spans="8:28" ht="15" customHeight="1">
      <c r="H655" s="2">
        <v>50147</v>
      </c>
      <c r="I655" s="2"/>
      <c r="J655" s="2">
        <v>46549</v>
      </c>
      <c r="K655" s="2"/>
      <c r="L655" s="2">
        <v>50083</v>
      </c>
      <c r="M655" s="2"/>
      <c r="N655" s="2">
        <v>46617</v>
      </c>
      <c r="P655" s="2">
        <v>50126</v>
      </c>
      <c r="Q655" s="2"/>
      <c r="R655" s="2">
        <v>46568</v>
      </c>
      <c r="AB655" s="2"/>
    </row>
    <row r="656" spans="8:28" ht="15" customHeight="1">
      <c r="H656" s="2">
        <v>50146</v>
      </c>
      <c r="I656" s="2"/>
      <c r="J656" s="2">
        <v>46552</v>
      </c>
      <c r="K656" s="2"/>
      <c r="L656" s="2">
        <v>50081</v>
      </c>
      <c r="M656" s="2"/>
      <c r="N656" s="2">
        <v>46618</v>
      </c>
      <c r="P656" s="2">
        <v>50125</v>
      </c>
      <c r="Q656" s="2"/>
      <c r="R656" s="2">
        <v>46569</v>
      </c>
      <c r="AB656" s="2"/>
    </row>
    <row r="657" spans="8:28" ht="15" customHeight="1">
      <c r="H657" s="2">
        <v>50145</v>
      </c>
      <c r="I657" s="2"/>
      <c r="J657" s="2">
        <v>46553</v>
      </c>
      <c r="K657" s="2"/>
      <c r="L657" s="2">
        <v>50080</v>
      </c>
      <c r="M657" s="2"/>
      <c r="N657" s="2">
        <v>46619</v>
      </c>
      <c r="P657" s="2">
        <v>50124</v>
      </c>
      <c r="Q657" s="2"/>
      <c r="R657" s="2">
        <v>46570</v>
      </c>
      <c r="AB657" s="2"/>
    </row>
    <row r="658" spans="8:28" ht="15" customHeight="1">
      <c r="H658" s="2">
        <v>50144</v>
      </c>
      <c r="I658" s="2"/>
      <c r="J658" s="2">
        <v>46554</v>
      </c>
      <c r="K658" s="2"/>
      <c r="L658" s="2">
        <v>50077</v>
      </c>
      <c r="M658" s="2"/>
      <c r="N658" s="2">
        <v>46622</v>
      </c>
      <c r="P658" s="2">
        <v>50123</v>
      </c>
      <c r="Q658" s="2"/>
      <c r="R658" s="2">
        <v>46573</v>
      </c>
      <c r="AB658" s="2"/>
    </row>
    <row r="659" spans="8:28" ht="15" customHeight="1">
      <c r="H659" s="2">
        <v>50143</v>
      </c>
      <c r="I659" s="2"/>
      <c r="J659" s="2">
        <v>46555</v>
      </c>
      <c r="K659" s="2"/>
      <c r="L659" s="2">
        <v>50076</v>
      </c>
      <c r="M659" s="2"/>
      <c r="N659" s="2">
        <v>46623</v>
      </c>
      <c r="P659" s="2">
        <v>50122</v>
      </c>
      <c r="Q659" s="2"/>
      <c r="R659" s="2">
        <v>46574</v>
      </c>
      <c r="AB659" s="2"/>
    </row>
    <row r="660" spans="8:28" ht="15" customHeight="1">
      <c r="H660" s="2">
        <v>50140</v>
      </c>
      <c r="I660" s="2"/>
      <c r="J660" s="2">
        <v>46559</v>
      </c>
      <c r="K660" s="2"/>
      <c r="L660" s="2">
        <v>50075</v>
      </c>
      <c r="M660" s="2"/>
      <c r="N660" s="2">
        <v>46624</v>
      </c>
      <c r="P660" s="2">
        <v>50119</v>
      </c>
      <c r="Q660" s="2"/>
      <c r="R660" s="2">
        <v>46575</v>
      </c>
      <c r="AB660" s="2"/>
    </row>
    <row r="661" spans="8:28" ht="15" customHeight="1">
      <c r="H661" s="2">
        <v>50139</v>
      </c>
      <c r="I661" s="2"/>
      <c r="J661" s="2">
        <v>46560</v>
      </c>
      <c r="K661" s="2"/>
      <c r="L661" s="2">
        <v>50074</v>
      </c>
      <c r="M661" s="2"/>
      <c r="N661" s="2">
        <v>46625</v>
      </c>
      <c r="P661" s="2">
        <v>50118</v>
      </c>
      <c r="Q661" s="2"/>
      <c r="R661" s="2">
        <v>46576</v>
      </c>
      <c r="AB661" s="2"/>
    </row>
    <row r="662" spans="8:28" ht="15" customHeight="1">
      <c r="H662" s="2">
        <v>50138</v>
      </c>
      <c r="I662" s="2"/>
      <c r="J662" s="2">
        <v>46561</v>
      </c>
      <c r="K662" s="2"/>
      <c r="L662" s="2">
        <v>50073</v>
      </c>
      <c r="M662" s="2"/>
      <c r="N662" s="2">
        <v>46626</v>
      </c>
      <c r="P662" s="2">
        <v>50117</v>
      </c>
      <c r="Q662" s="2"/>
      <c r="R662" s="2">
        <v>46577</v>
      </c>
      <c r="AB662" s="2"/>
    </row>
    <row r="663" spans="8:28" ht="15" customHeight="1">
      <c r="H663" s="2">
        <v>50137</v>
      </c>
      <c r="I663" s="2"/>
      <c r="J663" s="2">
        <v>46562</v>
      </c>
      <c r="K663" s="2"/>
      <c r="L663" s="2">
        <v>50070</v>
      </c>
      <c r="M663" s="2"/>
      <c r="N663" s="2">
        <v>46629</v>
      </c>
      <c r="P663" s="2">
        <v>50116</v>
      </c>
      <c r="Q663" s="2"/>
      <c r="R663" s="2">
        <v>46580</v>
      </c>
      <c r="AB663" s="2"/>
    </row>
    <row r="664" spans="8:28" ht="15" customHeight="1">
      <c r="H664" s="2">
        <v>50136</v>
      </c>
      <c r="I664" s="2"/>
      <c r="J664" s="2">
        <v>46563</v>
      </c>
      <c r="K664" s="2"/>
      <c r="L664" s="2">
        <v>50069</v>
      </c>
      <c r="M664" s="2"/>
      <c r="N664" s="2">
        <v>46630</v>
      </c>
      <c r="P664" s="2">
        <v>50115</v>
      </c>
      <c r="Q664" s="2"/>
      <c r="R664" s="2">
        <v>46581</v>
      </c>
      <c r="AB664" s="2"/>
    </row>
    <row r="665" spans="8:28" ht="15" customHeight="1">
      <c r="H665" s="2">
        <v>50132</v>
      </c>
      <c r="I665" s="2"/>
      <c r="J665" s="2">
        <v>46566</v>
      </c>
      <c r="K665" s="2"/>
      <c r="L665" s="2">
        <v>50068</v>
      </c>
      <c r="M665" s="2"/>
      <c r="N665" s="2">
        <v>46631</v>
      </c>
      <c r="P665" s="2">
        <v>50112</v>
      </c>
      <c r="Q665" s="2"/>
      <c r="R665" s="2">
        <v>46582</v>
      </c>
      <c r="AB665" s="2"/>
    </row>
    <row r="666" spans="8:28" ht="15" customHeight="1">
      <c r="H666" s="2">
        <v>50131</v>
      </c>
      <c r="I666" s="2"/>
      <c r="J666" s="2">
        <v>46567</v>
      </c>
      <c r="K666" s="2"/>
      <c r="L666" s="2">
        <v>50067</v>
      </c>
      <c r="M666" s="2"/>
      <c r="N666" s="2">
        <v>46632</v>
      </c>
      <c r="P666" s="2">
        <v>50111</v>
      </c>
      <c r="Q666" s="2"/>
      <c r="R666" s="2">
        <v>46583</v>
      </c>
      <c r="AB666" s="2"/>
    </row>
    <row r="667" spans="8:28" ht="15" customHeight="1">
      <c r="H667" s="2">
        <v>50130</v>
      </c>
      <c r="I667" s="2"/>
      <c r="J667" s="2">
        <v>46568</v>
      </c>
      <c r="K667" s="2"/>
      <c r="L667" s="2">
        <v>50066</v>
      </c>
      <c r="M667" s="2"/>
      <c r="N667" s="2">
        <v>46633</v>
      </c>
      <c r="P667" s="2">
        <v>50110</v>
      </c>
      <c r="Q667" s="2"/>
      <c r="R667" s="2">
        <v>46584</v>
      </c>
      <c r="AB667" s="2"/>
    </row>
    <row r="668" spans="8:28" ht="15" customHeight="1">
      <c r="H668" s="2">
        <v>50129</v>
      </c>
      <c r="I668" s="2"/>
      <c r="J668" s="2">
        <v>46569</v>
      </c>
      <c r="K668" s="2"/>
      <c r="L668" s="2">
        <v>50063</v>
      </c>
      <c r="M668" s="2"/>
      <c r="N668" s="2">
        <v>46637</v>
      </c>
      <c r="P668" s="2">
        <v>50109</v>
      </c>
      <c r="Q668" s="2"/>
      <c r="R668" s="2">
        <v>46587</v>
      </c>
      <c r="AB668" s="2"/>
    </row>
    <row r="669" spans="8:28" ht="15" customHeight="1">
      <c r="H669" s="2">
        <v>50126</v>
      </c>
      <c r="I669" s="2"/>
      <c r="J669" s="2">
        <v>46570</v>
      </c>
      <c r="K669" s="2"/>
      <c r="L669" s="2">
        <v>50062</v>
      </c>
      <c r="M669" s="2"/>
      <c r="N669" s="2">
        <v>46638</v>
      </c>
      <c r="P669" s="2">
        <v>50108</v>
      </c>
      <c r="Q669" s="2"/>
      <c r="R669" s="2">
        <v>46588</v>
      </c>
      <c r="AB669" s="2"/>
    </row>
    <row r="670" spans="8:28" ht="15" customHeight="1">
      <c r="H670" s="2">
        <v>50125</v>
      </c>
      <c r="I670" s="2"/>
      <c r="J670" s="2">
        <v>46574</v>
      </c>
      <c r="K670" s="2"/>
      <c r="L670" s="2">
        <v>50061</v>
      </c>
      <c r="M670" s="2"/>
      <c r="N670" s="2">
        <v>46639</v>
      </c>
      <c r="P670" s="2">
        <v>50105</v>
      </c>
      <c r="Q670" s="2"/>
      <c r="R670" s="2">
        <v>46589</v>
      </c>
      <c r="AB670" s="2"/>
    </row>
    <row r="671" spans="8:28" ht="15" customHeight="1">
      <c r="H671" s="2">
        <v>50124</v>
      </c>
      <c r="I671" s="2"/>
      <c r="J671" s="2">
        <v>46575</v>
      </c>
      <c r="K671" s="2"/>
      <c r="L671" s="2">
        <v>50060</v>
      </c>
      <c r="M671" s="2"/>
      <c r="N671" s="2">
        <v>46640</v>
      </c>
      <c r="P671" s="2">
        <v>50104</v>
      </c>
      <c r="Q671" s="2"/>
      <c r="R671" s="2">
        <v>46590</v>
      </c>
      <c r="AB671" s="2"/>
    </row>
    <row r="672" spans="8:28" ht="15" customHeight="1">
      <c r="H672" s="2">
        <v>50123</v>
      </c>
      <c r="I672" s="2"/>
      <c r="J672" s="2">
        <v>46576</v>
      </c>
      <c r="K672" s="2"/>
      <c r="L672" s="2">
        <v>50056</v>
      </c>
      <c r="M672" s="2"/>
      <c r="N672" s="2">
        <v>46643</v>
      </c>
      <c r="P672" s="2">
        <v>50103</v>
      </c>
      <c r="Q672" s="2"/>
      <c r="R672" s="2">
        <v>46591</v>
      </c>
      <c r="AB672" s="2"/>
    </row>
    <row r="673" spans="8:28" ht="15" customHeight="1">
      <c r="H673" s="2">
        <v>50122</v>
      </c>
      <c r="I673" s="2"/>
      <c r="J673" s="2">
        <v>46577</v>
      </c>
      <c r="K673" s="2"/>
      <c r="L673" s="2">
        <v>50055</v>
      </c>
      <c r="M673" s="2"/>
      <c r="N673" s="2">
        <v>46644</v>
      </c>
      <c r="P673" s="2">
        <v>50102</v>
      </c>
      <c r="Q673" s="2"/>
      <c r="R673" s="2">
        <v>46594</v>
      </c>
      <c r="AB673" s="2"/>
    </row>
    <row r="674" spans="8:28" ht="15" customHeight="1">
      <c r="H674" s="2">
        <v>50119</v>
      </c>
      <c r="I674" s="2"/>
      <c r="J674" s="2">
        <v>46580</v>
      </c>
      <c r="K674" s="2"/>
      <c r="L674" s="2">
        <v>50054</v>
      </c>
      <c r="M674" s="2"/>
      <c r="N674" s="2">
        <v>46645</v>
      </c>
      <c r="P674" s="2">
        <v>50098</v>
      </c>
      <c r="Q674" s="2"/>
      <c r="R674" s="2">
        <v>46595</v>
      </c>
      <c r="AB674" s="2"/>
    </row>
    <row r="675" spans="8:28" ht="15" customHeight="1">
      <c r="H675" s="2">
        <v>50118</v>
      </c>
      <c r="I675" s="2"/>
      <c r="J675" s="2">
        <v>46581</v>
      </c>
      <c r="K675" s="2"/>
      <c r="L675" s="2">
        <v>50053</v>
      </c>
      <c r="M675" s="2"/>
      <c r="N675" s="2">
        <v>46646</v>
      </c>
      <c r="P675" s="2">
        <v>50097</v>
      </c>
      <c r="Q675" s="2"/>
      <c r="R675" s="2">
        <v>46596</v>
      </c>
      <c r="AB675" s="2"/>
    </row>
    <row r="676" spans="8:28" ht="15" customHeight="1">
      <c r="H676" s="2">
        <v>50117</v>
      </c>
      <c r="I676" s="2"/>
      <c r="J676" s="2">
        <v>46582</v>
      </c>
      <c r="K676" s="2"/>
      <c r="L676" s="2">
        <v>50049</v>
      </c>
      <c r="M676" s="2"/>
      <c r="N676" s="2">
        <v>46647</v>
      </c>
      <c r="P676" s="2">
        <v>50096</v>
      </c>
      <c r="Q676" s="2"/>
      <c r="R676" s="2">
        <v>46597</v>
      </c>
      <c r="AB676" s="2"/>
    </row>
    <row r="677" spans="8:28" ht="15" customHeight="1">
      <c r="H677" s="2">
        <v>50116</v>
      </c>
      <c r="I677" s="2"/>
      <c r="J677" s="2">
        <v>46583</v>
      </c>
      <c r="K677" s="2"/>
      <c r="L677" s="2">
        <v>50048</v>
      </c>
      <c r="M677" s="2"/>
      <c r="N677" s="2">
        <v>46651</v>
      </c>
      <c r="P677" s="2">
        <v>50095</v>
      </c>
      <c r="Q677" s="2"/>
      <c r="R677" s="2">
        <v>46598</v>
      </c>
      <c r="AB677" s="2"/>
    </row>
    <row r="678" spans="8:28" ht="15" customHeight="1">
      <c r="H678" s="2">
        <v>50115</v>
      </c>
      <c r="I678" s="2"/>
      <c r="J678" s="2">
        <v>46584</v>
      </c>
      <c r="K678" s="2"/>
      <c r="L678" s="2">
        <v>50047</v>
      </c>
      <c r="M678" s="2"/>
      <c r="N678" s="2">
        <v>46652</v>
      </c>
      <c r="P678" s="2">
        <v>50094</v>
      </c>
      <c r="Q678" s="2"/>
      <c r="R678" s="2">
        <v>46601</v>
      </c>
      <c r="AB678" s="2"/>
    </row>
    <row r="679" spans="8:28" ht="15" customHeight="1">
      <c r="H679" s="2">
        <v>50112</v>
      </c>
      <c r="I679" s="2"/>
      <c r="J679" s="2">
        <v>46587</v>
      </c>
      <c r="K679" s="2"/>
      <c r="L679" s="2">
        <v>50046</v>
      </c>
      <c r="M679" s="2"/>
      <c r="N679" s="2">
        <v>46654</v>
      </c>
      <c r="P679" s="2">
        <v>50091</v>
      </c>
      <c r="Q679" s="2"/>
      <c r="R679" s="2">
        <v>46602</v>
      </c>
      <c r="AB679" s="2"/>
    </row>
    <row r="680" spans="8:28" ht="15" customHeight="1">
      <c r="H680" s="2">
        <v>50111</v>
      </c>
      <c r="I680" s="2"/>
      <c r="J680" s="2">
        <v>46588</v>
      </c>
      <c r="K680" s="2"/>
      <c r="L680" s="2">
        <v>50045</v>
      </c>
      <c r="M680" s="2"/>
      <c r="N680" s="2">
        <v>46657</v>
      </c>
      <c r="P680" s="2">
        <v>50090</v>
      </c>
      <c r="Q680" s="2"/>
      <c r="R680" s="2">
        <v>46603</v>
      </c>
      <c r="AB680" s="2"/>
    </row>
    <row r="681" spans="8:28" ht="15" customHeight="1">
      <c r="H681" s="2">
        <v>50110</v>
      </c>
      <c r="I681" s="2"/>
      <c r="J681" s="2">
        <v>46589</v>
      </c>
      <c r="K681" s="2"/>
      <c r="L681" s="2">
        <v>50039</v>
      </c>
      <c r="M681" s="2"/>
      <c r="N681" s="2">
        <v>46658</v>
      </c>
      <c r="P681" s="2">
        <v>50089</v>
      </c>
      <c r="Q681" s="2"/>
      <c r="R681" s="2">
        <v>46604</v>
      </c>
      <c r="AB681" s="2"/>
    </row>
    <row r="682" spans="8:28" ht="15" customHeight="1">
      <c r="H682" s="2">
        <v>50109</v>
      </c>
      <c r="I682" s="2"/>
      <c r="J682" s="2">
        <v>46590</v>
      </c>
      <c r="K682" s="2"/>
      <c r="L682" s="2">
        <v>50038</v>
      </c>
      <c r="M682" s="2"/>
      <c r="N682" s="2">
        <v>46659</v>
      </c>
      <c r="P682" s="2">
        <v>50084</v>
      </c>
      <c r="Q682" s="2"/>
      <c r="R682" s="2">
        <v>46605</v>
      </c>
      <c r="AB682" s="2"/>
    </row>
    <row r="683" spans="8:28" ht="15" customHeight="1">
      <c r="H683" s="2">
        <v>50108</v>
      </c>
      <c r="I683" s="2"/>
      <c r="J683" s="2">
        <v>46591</v>
      </c>
      <c r="K683" s="2"/>
      <c r="L683" s="2">
        <v>50035</v>
      </c>
      <c r="M683" s="2"/>
      <c r="N683" s="2">
        <v>46660</v>
      </c>
      <c r="P683" s="2">
        <v>50083</v>
      </c>
      <c r="Q683" s="2"/>
      <c r="R683" s="2">
        <v>46608</v>
      </c>
      <c r="AB683" s="2"/>
    </row>
    <row r="684" spans="8:28" ht="15" customHeight="1">
      <c r="H684" s="2">
        <v>50105</v>
      </c>
      <c r="I684" s="2"/>
      <c r="J684" s="2">
        <v>46594</v>
      </c>
      <c r="K684" s="2"/>
      <c r="L684" s="2">
        <v>50033</v>
      </c>
      <c r="M684" s="2"/>
      <c r="N684" s="2">
        <v>46661</v>
      </c>
      <c r="P684" s="2">
        <v>50082</v>
      </c>
      <c r="Q684" s="2"/>
      <c r="R684" s="2">
        <v>46609</v>
      </c>
      <c r="AB684" s="2"/>
    </row>
    <row r="685" spans="8:28" ht="15" customHeight="1">
      <c r="H685" s="2">
        <v>50104</v>
      </c>
      <c r="I685" s="2"/>
      <c r="J685" s="2">
        <v>46595</v>
      </c>
      <c r="K685" s="2"/>
      <c r="L685" s="2">
        <v>50032</v>
      </c>
      <c r="M685" s="2"/>
      <c r="N685" s="2">
        <v>46664</v>
      </c>
      <c r="P685" s="2">
        <v>50081</v>
      </c>
      <c r="Q685" s="2"/>
      <c r="R685" s="2">
        <v>46610</v>
      </c>
      <c r="AB685" s="2"/>
    </row>
    <row r="686" spans="8:28" ht="15" customHeight="1">
      <c r="H686" s="2">
        <v>50103</v>
      </c>
      <c r="I686" s="2"/>
      <c r="J686" s="2">
        <v>46596</v>
      </c>
      <c r="K686" s="2"/>
      <c r="L686" s="2">
        <v>50031</v>
      </c>
      <c r="M686" s="2"/>
      <c r="N686" s="2">
        <v>46665</v>
      </c>
      <c r="P686" s="2">
        <v>50080</v>
      </c>
      <c r="Q686" s="2"/>
      <c r="R686" s="2">
        <v>46611</v>
      </c>
      <c r="AB686" s="2"/>
    </row>
    <row r="687" spans="8:28" ht="15" customHeight="1">
      <c r="H687" s="2">
        <v>50102</v>
      </c>
      <c r="I687" s="2"/>
      <c r="J687" s="2">
        <v>46597</v>
      </c>
      <c r="K687" s="2"/>
      <c r="L687" s="2">
        <v>50028</v>
      </c>
      <c r="M687" s="2"/>
      <c r="N687" s="2">
        <v>46666</v>
      </c>
      <c r="P687" s="2">
        <v>50077</v>
      </c>
      <c r="Q687" s="2"/>
      <c r="R687" s="2">
        <v>46612</v>
      </c>
      <c r="AB687" s="2"/>
    </row>
    <row r="688" spans="8:28" ht="15" customHeight="1">
      <c r="H688" s="2">
        <v>50101</v>
      </c>
      <c r="I688" s="2"/>
      <c r="J688" s="2">
        <v>46598</v>
      </c>
      <c r="K688" s="2"/>
      <c r="L688" s="2">
        <v>50027</v>
      </c>
      <c r="M688" s="2"/>
      <c r="N688" s="2">
        <v>46667</v>
      </c>
      <c r="P688" s="2">
        <v>50076</v>
      </c>
      <c r="Q688" s="2"/>
      <c r="R688" s="2">
        <v>46616</v>
      </c>
      <c r="AB688" s="2"/>
    </row>
    <row r="689" spans="8:28" ht="15" customHeight="1">
      <c r="H689" s="2">
        <v>50098</v>
      </c>
      <c r="I689" s="2"/>
      <c r="J689" s="2">
        <v>46601</v>
      </c>
      <c r="K689" s="2"/>
      <c r="L689" s="2">
        <v>50026</v>
      </c>
      <c r="M689" s="2"/>
      <c r="N689" s="2">
        <v>46668</v>
      </c>
      <c r="P689" s="2">
        <v>50075</v>
      </c>
      <c r="Q689" s="2"/>
      <c r="R689" s="2">
        <v>46617</v>
      </c>
      <c r="AB689" s="2"/>
    </row>
    <row r="690" spans="8:28" ht="15" customHeight="1">
      <c r="H690" s="2">
        <v>50097</v>
      </c>
      <c r="I690" s="2"/>
      <c r="J690" s="2">
        <v>46602</v>
      </c>
      <c r="K690" s="2"/>
      <c r="L690" s="2">
        <v>50025</v>
      </c>
      <c r="M690" s="2"/>
      <c r="N690" s="2">
        <v>46672</v>
      </c>
      <c r="P690" s="2">
        <v>50074</v>
      </c>
      <c r="Q690" s="2"/>
      <c r="R690" s="2">
        <v>46618</v>
      </c>
      <c r="AB690" s="2"/>
    </row>
    <row r="691" spans="8:28" ht="15" customHeight="1">
      <c r="H691" s="2">
        <v>50096</v>
      </c>
      <c r="I691" s="2"/>
      <c r="J691" s="2">
        <v>46603</v>
      </c>
      <c r="K691" s="2"/>
      <c r="L691" s="2">
        <v>50024</v>
      </c>
      <c r="M691" s="2"/>
      <c r="N691" s="2">
        <v>46673</v>
      </c>
      <c r="P691" s="2">
        <v>50073</v>
      </c>
      <c r="Q691" s="2"/>
      <c r="R691" s="2">
        <v>46619</v>
      </c>
      <c r="AB691" s="2"/>
    </row>
    <row r="692" spans="8:28" ht="15" customHeight="1">
      <c r="H692" s="2">
        <v>50095</v>
      </c>
      <c r="I692" s="2"/>
      <c r="J692" s="2">
        <v>46604</v>
      </c>
      <c r="K692" s="2"/>
      <c r="L692" s="2">
        <v>50021</v>
      </c>
      <c r="M692" s="2"/>
      <c r="N692" s="2">
        <v>46674</v>
      </c>
      <c r="P692" s="2">
        <v>50070</v>
      </c>
      <c r="Q692" s="2"/>
      <c r="R692" s="2">
        <v>46622</v>
      </c>
      <c r="AB692" s="2"/>
    </row>
    <row r="693" spans="8:28" ht="15" customHeight="1">
      <c r="H693" s="2">
        <v>50094</v>
      </c>
      <c r="I693" s="2"/>
      <c r="J693" s="2">
        <v>46605</v>
      </c>
      <c r="K693" s="2"/>
      <c r="L693" s="2">
        <v>50020</v>
      </c>
      <c r="M693" s="2"/>
      <c r="N693" s="2">
        <v>46675</v>
      </c>
      <c r="P693" s="2">
        <v>50069</v>
      </c>
      <c r="Q693" s="2"/>
      <c r="R693" s="2">
        <v>46623</v>
      </c>
      <c r="AB693" s="2"/>
    </row>
    <row r="694" spans="8:28" ht="15" customHeight="1">
      <c r="H694" s="2">
        <v>50091</v>
      </c>
      <c r="I694" s="2"/>
      <c r="J694" s="2">
        <v>46608</v>
      </c>
      <c r="K694" s="2"/>
      <c r="L694" s="2">
        <v>50019</v>
      </c>
      <c r="M694" s="2"/>
      <c r="N694" s="2">
        <v>46678</v>
      </c>
      <c r="P694" s="2">
        <v>50068</v>
      </c>
      <c r="Q694" s="2"/>
      <c r="R694" s="2">
        <v>46624</v>
      </c>
      <c r="AB694" s="2"/>
    </row>
    <row r="695" spans="8:28" ht="15" customHeight="1">
      <c r="H695" s="2">
        <v>50090</v>
      </c>
      <c r="I695" s="2"/>
      <c r="J695" s="2">
        <v>46609</v>
      </c>
      <c r="K695" s="2"/>
      <c r="L695" s="2">
        <v>50018</v>
      </c>
      <c r="M695" s="2"/>
      <c r="N695" s="2">
        <v>46679</v>
      </c>
      <c r="P695" s="2">
        <v>50067</v>
      </c>
      <c r="Q695" s="2"/>
      <c r="R695" s="2">
        <v>46625</v>
      </c>
      <c r="AB695" s="2"/>
    </row>
    <row r="696" spans="8:28" ht="15" customHeight="1">
      <c r="H696" s="2">
        <v>50089</v>
      </c>
      <c r="I696" s="2"/>
      <c r="J696" s="2">
        <v>46610</v>
      </c>
      <c r="K696" s="2"/>
      <c r="L696" s="2">
        <v>50017</v>
      </c>
      <c r="M696" s="2"/>
      <c r="N696" s="2">
        <v>46680</v>
      </c>
      <c r="P696" s="2">
        <v>50066</v>
      </c>
      <c r="Q696" s="2"/>
      <c r="R696" s="2">
        <v>46626</v>
      </c>
      <c r="AB696" s="2"/>
    </row>
    <row r="697" spans="8:28" ht="15" customHeight="1">
      <c r="H697" s="2">
        <v>50088</v>
      </c>
      <c r="I697" s="2"/>
      <c r="J697" s="2">
        <v>46611</v>
      </c>
      <c r="K697" s="2"/>
      <c r="L697" s="2">
        <v>50014</v>
      </c>
      <c r="M697" s="2"/>
      <c r="N697" s="2">
        <v>46681</v>
      </c>
      <c r="P697" s="2">
        <v>50063</v>
      </c>
      <c r="Q697" s="2"/>
      <c r="R697" s="2">
        <v>46629</v>
      </c>
      <c r="AB697" s="2"/>
    </row>
    <row r="698" spans="8:28" ht="15" customHeight="1">
      <c r="H698" s="2">
        <v>50084</v>
      </c>
      <c r="I698" s="2"/>
      <c r="J698" s="2">
        <v>46612</v>
      </c>
      <c r="K698" s="2"/>
      <c r="L698" s="2">
        <v>50013</v>
      </c>
      <c r="M698" s="2"/>
      <c r="N698" s="2">
        <v>46682</v>
      </c>
      <c r="P698" s="2">
        <v>50062</v>
      </c>
      <c r="Q698" s="2"/>
      <c r="R698" s="2">
        <v>46630</v>
      </c>
      <c r="AB698" s="2"/>
    </row>
    <row r="699" spans="8:28" ht="15" customHeight="1">
      <c r="H699" s="2">
        <v>50083</v>
      </c>
      <c r="I699" s="2"/>
      <c r="J699" s="2">
        <v>46615</v>
      </c>
      <c r="K699" s="2"/>
      <c r="L699" s="2">
        <v>50012</v>
      </c>
      <c r="M699" s="2"/>
      <c r="N699" s="2">
        <v>46685</v>
      </c>
      <c r="P699" s="2">
        <v>50061</v>
      </c>
      <c r="Q699" s="2"/>
      <c r="R699" s="2">
        <v>46631</v>
      </c>
      <c r="AB699" s="2"/>
    </row>
    <row r="700" spans="8:28" ht="15" customHeight="1">
      <c r="H700" s="2">
        <v>50082</v>
      </c>
      <c r="I700" s="2"/>
      <c r="J700" s="2">
        <v>46616</v>
      </c>
      <c r="K700" s="2"/>
      <c r="L700" s="2">
        <v>50011</v>
      </c>
      <c r="M700" s="2"/>
      <c r="N700" s="2">
        <v>46686</v>
      </c>
      <c r="P700" s="2">
        <v>50060</v>
      </c>
      <c r="Q700" s="2"/>
      <c r="R700" s="2">
        <v>46632</v>
      </c>
      <c r="AB700" s="2"/>
    </row>
    <row r="701" spans="8:28" ht="15" customHeight="1">
      <c r="H701" s="2">
        <v>50081</v>
      </c>
      <c r="I701" s="2"/>
      <c r="J701" s="2">
        <v>46617</v>
      </c>
      <c r="K701" s="2"/>
      <c r="L701" s="2">
        <v>50010</v>
      </c>
      <c r="M701" s="2"/>
      <c r="N701" s="2">
        <v>46687</v>
      </c>
      <c r="P701" s="2">
        <v>50059</v>
      </c>
      <c r="Q701" s="2"/>
      <c r="R701" s="2">
        <v>46633</v>
      </c>
      <c r="AB701" s="2"/>
    </row>
    <row r="702" spans="8:28" ht="15" customHeight="1">
      <c r="H702" s="2">
        <v>50080</v>
      </c>
      <c r="I702" s="2"/>
      <c r="J702" s="2">
        <v>46618</v>
      </c>
      <c r="K702" s="2"/>
      <c r="L702" s="2">
        <v>50007</v>
      </c>
      <c r="M702" s="2"/>
      <c r="N702" s="2">
        <v>46688</v>
      </c>
      <c r="P702" s="2">
        <v>50056</v>
      </c>
      <c r="Q702" s="2"/>
      <c r="R702" s="2">
        <v>46636</v>
      </c>
      <c r="AB702" s="2"/>
    </row>
    <row r="703" spans="8:28" ht="15" customHeight="1">
      <c r="H703" s="2">
        <v>50077</v>
      </c>
      <c r="I703" s="2"/>
      <c r="J703" s="2">
        <v>46619</v>
      </c>
      <c r="K703" s="2"/>
      <c r="L703" s="2">
        <v>50005</v>
      </c>
      <c r="M703" s="2"/>
      <c r="N703" s="2">
        <v>46689</v>
      </c>
      <c r="P703" s="2">
        <v>50055</v>
      </c>
      <c r="Q703" s="2"/>
      <c r="R703" s="2">
        <v>46637</v>
      </c>
      <c r="AB703" s="2"/>
    </row>
    <row r="704" spans="8:28" ht="15" customHeight="1">
      <c r="H704" s="2">
        <v>50076</v>
      </c>
      <c r="I704" s="2"/>
      <c r="J704" s="2">
        <v>46622</v>
      </c>
      <c r="K704" s="2"/>
      <c r="L704" s="2">
        <v>50004</v>
      </c>
      <c r="M704" s="2"/>
      <c r="N704" s="2">
        <v>46692</v>
      </c>
      <c r="P704" s="2">
        <v>50054</v>
      </c>
      <c r="Q704" s="2"/>
      <c r="R704" s="2">
        <v>46638</v>
      </c>
      <c r="AB704" s="2"/>
    </row>
    <row r="705" spans="8:28" ht="15" customHeight="1">
      <c r="H705" s="2">
        <v>50075</v>
      </c>
      <c r="I705" s="2"/>
      <c r="J705" s="2">
        <v>46623</v>
      </c>
      <c r="K705" s="2"/>
      <c r="L705" s="2">
        <v>50000</v>
      </c>
      <c r="M705" s="2"/>
      <c r="N705" s="2">
        <v>46693</v>
      </c>
      <c r="P705" s="2">
        <v>50053</v>
      </c>
      <c r="Q705" s="2"/>
      <c r="R705" s="2">
        <v>46639</v>
      </c>
      <c r="AB705" s="2"/>
    </row>
    <row r="706" spans="8:28" ht="15" customHeight="1">
      <c r="H706" s="2">
        <v>50074</v>
      </c>
      <c r="I706" s="2"/>
      <c r="J706" s="2">
        <v>46624</v>
      </c>
      <c r="K706" s="2"/>
      <c r="L706" s="2">
        <v>49999</v>
      </c>
      <c r="M706" s="2"/>
      <c r="N706" s="2">
        <v>46695</v>
      </c>
      <c r="P706" s="2">
        <v>50052</v>
      </c>
      <c r="Q706" s="2"/>
      <c r="R706" s="2">
        <v>46640</v>
      </c>
      <c r="AB706" s="2"/>
    </row>
    <row r="707" spans="8:28" ht="15" customHeight="1">
      <c r="H707" s="2">
        <v>50073</v>
      </c>
      <c r="I707" s="2"/>
      <c r="J707" s="2">
        <v>46625</v>
      </c>
      <c r="K707" s="2"/>
      <c r="L707" s="2">
        <v>49998</v>
      </c>
      <c r="M707" s="2"/>
      <c r="N707" s="2">
        <v>46696</v>
      </c>
      <c r="P707" s="2">
        <v>50049</v>
      </c>
      <c r="Q707" s="2"/>
      <c r="R707" s="2">
        <v>46643</v>
      </c>
      <c r="AB707" s="2"/>
    </row>
    <row r="708" spans="8:28" ht="15" customHeight="1">
      <c r="H708" s="2">
        <v>50070</v>
      </c>
      <c r="I708" s="2"/>
      <c r="J708" s="2">
        <v>46626</v>
      </c>
      <c r="K708" s="2"/>
      <c r="L708" s="2">
        <v>49997</v>
      </c>
      <c r="M708" s="2"/>
      <c r="N708" s="2">
        <v>46699</v>
      </c>
      <c r="P708" s="2">
        <v>50048</v>
      </c>
      <c r="Q708" s="2"/>
      <c r="R708" s="2">
        <v>46647</v>
      </c>
      <c r="AB708" s="2"/>
    </row>
    <row r="709" spans="8:28" ht="15" customHeight="1">
      <c r="H709" s="2">
        <v>50069</v>
      </c>
      <c r="I709" s="2"/>
      <c r="J709" s="2">
        <v>46629</v>
      </c>
      <c r="K709" s="2"/>
      <c r="L709" s="2">
        <v>49996</v>
      </c>
      <c r="M709" s="2"/>
      <c r="N709" s="2">
        <v>46700</v>
      </c>
      <c r="P709" s="2">
        <v>50047</v>
      </c>
      <c r="Q709" s="2"/>
      <c r="R709" s="2">
        <v>46650</v>
      </c>
      <c r="AB709" s="2"/>
    </row>
    <row r="710" spans="8:28" ht="15" customHeight="1">
      <c r="H710" s="2">
        <v>50068</v>
      </c>
      <c r="I710" s="2"/>
      <c r="J710" s="2">
        <v>46630</v>
      </c>
      <c r="K710" s="2"/>
      <c r="L710" s="2">
        <v>49993</v>
      </c>
      <c r="M710" s="2"/>
      <c r="N710" s="2">
        <v>46701</v>
      </c>
      <c r="P710" s="2">
        <v>50046</v>
      </c>
      <c r="Q710" s="2"/>
      <c r="R710" s="2">
        <v>46651</v>
      </c>
      <c r="AB710" s="2"/>
    </row>
    <row r="711" spans="8:28" ht="15" customHeight="1">
      <c r="H711" s="2">
        <v>50067</v>
      </c>
      <c r="I711" s="2"/>
      <c r="J711" s="2">
        <v>46631</v>
      </c>
      <c r="K711" s="2"/>
      <c r="L711" s="2">
        <v>49992</v>
      </c>
      <c r="M711" s="2"/>
      <c r="N711" s="2">
        <v>46702</v>
      </c>
      <c r="P711" s="2">
        <v>50045</v>
      </c>
      <c r="Q711" s="2"/>
      <c r="R711" s="2">
        <v>46652</v>
      </c>
      <c r="AB711" s="2"/>
    </row>
    <row r="712" spans="8:28" ht="15" customHeight="1">
      <c r="H712" s="2">
        <v>50066</v>
      </c>
      <c r="I712" s="2"/>
      <c r="J712" s="2">
        <v>46632</v>
      </c>
      <c r="K712" s="2"/>
      <c r="L712" s="2">
        <v>49991</v>
      </c>
      <c r="M712" s="2"/>
      <c r="N712" s="2">
        <v>46703</v>
      </c>
      <c r="P712" s="2">
        <v>50042</v>
      </c>
      <c r="Q712" s="2"/>
      <c r="R712" s="2">
        <v>46653</v>
      </c>
      <c r="AB712" s="2"/>
    </row>
    <row r="713" spans="8:28" ht="15" customHeight="1">
      <c r="H713" s="2">
        <v>50063</v>
      </c>
      <c r="I713" s="2"/>
      <c r="J713" s="2">
        <v>46633</v>
      </c>
      <c r="K713" s="2"/>
      <c r="L713" s="2">
        <v>49990</v>
      </c>
      <c r="M713" s="2"/>
      <c r="N713" s="2">
        <v>46706</v>
      </c>
      <c r="P713" s="2">
        <v>50039</v>
      </c>
      <c r="Q713" s="2"/>
      <c r="R713" s="2">
        <v>46654</v>
      </c>
      <c r="AB713" s="2"/>
    </row>
    <row r="714" spans="8:28" ht="15" customHeight="1">
      <c r="H714" s="2">
        <v>50062</v>
      </c>
      <c r="I714" s="2"/>
      <c r="J714" s="2">
        <v>46637</v>
      </c>
      <c r="K714" s="2"/>
      <c r="L714" s="2">
        <v>49989</v>
      </c>
      <c r="M714" s="2"/>
      <c r="N714" s="2">
        <v>46707</v>
      </c>
      <c r="P714" s="2">
        <v>50038</v>
      </c>
      <c r="Q714" s="2"/>
      <c r="R714" s="2">
        <v>46657</v>
      </c>
      <c r="AB714" s="2"/>
    </row>
    <row r="715" spans="8:28" ht="15" customHeight="1">
      <c r="H715" s="2">
        <v>50061</v>
      </c>
      <c r="I715" s="2"/>
      <c r="J715" s="2">
        <v>46638</v>
      </c>
      <c r="K715" s="2"/>
      <c r="L715" s="2">
        <v>49986</v>
      </c>
      <c r="M715" s="2"/>
      <c r="N715" s="2">
        <v>46708</v>
      </c>
      <c r="P715" s="2">
        <v>50035</v>
      </c>
      <c r="Q715" s="2"/>
      <c r="R715" s="2">
        <v>46658</v>
      </c>
      <c r="AB715" s="2"/>
    </row>
    <row r="716" spans="8:28" ht="15" customHeight="1">
      <c r="H716" s="2">
        <v>50060</v>
      </c>
      <c r="I716" s="2"/>
      <c r="J716" s="2">
        <v>46639</v>
      </c>
      <c r="K716" s="2"/>
      <c r="L716" s="2">
        <v>49985</v>
      </c>
      <c r="M716" s="2"/>
      <c r="N716" s="2">
        <v>46709</v>
      </c>
      <c r="P716" s="2">
        <v>50033</v>
      </c>
      <c r="Q716" s="2"/>
      <c r="R716" s="2">
        <v>46659</v>
      </c>
      <c r="AB716" s="2"/>
    </row>
    <row r="717" spans="8:28" ht="15" customHeight="1">
      <c r="H717" s="2">
        <v>50056</v>
      </c>
      <c r="I717" s="2"/>
      <c r="J717" s="2">
        <v>46640</v>
      </c>
      <c r="K717" s="2"/>
      <c r="L717" s="2">
        <v>49984</v>
      </c>
      <c r="M717" s="2"/>
      <c r="N717" s="2">
        <v>46710</v>
      </c>
      <c r="P717" s="2">
        <v>50032</v>
      </c>
      <c r="Q717" s="2"/>
      <c r="R717" s="2">
        <v>46660</v>
      </c>
      <c r="AB717" s="2"/>
    </row>
    <row r="718" spans="8:28" ht="15" customHeight="1">
      <c r="H718" s="2">
        <v>50055</v>
      </c>
      <c r="I718" s="2"/>
      <c r="J718" s="2">
        <v>46643</v>
      </c>
      <c r="K718" s="2"/>
      <c r="L718" s="2">
        <v>49983</v>
      </c>
      <c r="M718" s="2"/>
      <c r="N718" s="2">
        <v>46713</v>
      </c>
      <c r="P718" s="2">
        <v>50031</v>
      </c>
      <c r="Q718" s="2"/>
      <c r="R718" s="2">
        <v>46661</v>
      </c>
      <c r="AB718" s="2"/>
    </row>
    <row r="719" spans="8:28" ht="15" customHeight="1">
      <c r="H719" s="2">
        <v>50054</v>
      </c>
      <c r="I719" s="2"/>
      <c r="J719" s="2">
        <v>46644</v>
      </c>
      <c r="K719" s="2"/>
      <c r="L719" s="2">
        <v>49979</v>
      </c>
      <c r="M719" s="2"/>
      <c r="N719" s="2">
        <v>46715</v>
      </c>
      <c r="P719" s="2">
        <v>50028</v>
      </c>
      <c r="Q719" s="2"/>
      <c r="R719" s="2">
        <v>46665</v>
      </c>
      <c r="AB719" s="2"/>
    </row>
    <row r="720" spans="8:28" ht="15" customHeight="1">
      <c r="H720" s="2">
        <v>50053</v>
      </c>
      <c r="I720" s="2"/>
      <c r="J720" s="2">
        <v>46645</v>
      </c>
      <c r="K720" s="2"/>
      <c r="L720" s="2">
        <v>49978</v>
      </c>
      <c r="M720" s="2"/>
      <c r="N720" s="2">
        <v>46717</v>
      </c>
      <c r="P720" s="2">
        <v>50027</v>
      </c>
      <c r="Q720" s="2"/>
      <c r="R720" s="2">
        <v>46666</v>
      </c>
      <c r="AB720" s="2"/>
    </row>
    <row r="721" spans="8:28" ht="15" customHeight="1">
      <c r="H721" s="2">
        <v>50052</v>
      </c>
      <c r="I721" s="2"/>
      <c r="J721" s="2">
        <v>46646</v>
      </c>
      <c r="K721" s="2"/>
      <c r="L721" s="2">
        <v>49977</v>
      </c>
      <c r="M721" s="2"/>
      <c r="N721" s="2">
        <v>46720</v>
      </c>
      <c r="P721" s="2">
        <v>50026</v>
      </c>
      <c r="Q721" s="2"/>
      <c r="R721" s="2">
        <v>46667</v>
      </c>
      <c r="AB721" s="2"/>
    </row>
    <row r="722" spans="8:28" ht="15" customHeight="1">
      <c r="H722" s="2">
        <v>50049</v>
      </c>
      <c r="I722" s="2"/>
      <c r="J722" s="2">
        <v>46647</v>
      </c>
      <c r="K722" s="2"/>
      <c r="L722" s="2">
        <v>49976</v>
      </c>
      <c r="M722" s="2"/>
      <c r="N722" s="2">
        <v>46721</v>
      </c>
      <c r="P722" s="2">
        <v>50025</v>
      </c>
      <c r="Q722" s="2"/>
      <c r="R722" s="2">
        <v>46668</v>
      </c>
      <c r="AB722" s="2"/>
    </row>
    <row r="723" spans="8:28" ht="15" customHeight="1">
      <c r="H723" s="2">
        <v>50048</v>
      </c>
      <c r="I723" s="2"/>
      <c r="J723" s="2">
        <v>46650</v>
      </c>
      <c r="K723" s="2"/>
      <c r="L723" s="2">
        <v>49975</v>
      </c>
      <c r="M723" s="2"/>
      <c r="N723" s="2">
        <v>46722</v>
      </c>
      <c r="P723" s="2">
        <v>50024</v>
      </c>
      <c r="Q723" s="2"/>
      <c r="R723" s="2">
        <v>46672</v>
      </c>
      <c r="AB723" s="2"/>
    </row>
    <row r="724" spans="8:28" ht="15" customHeight="1">
      <c r="H724" s="2">
        <v>50047</v>
      </c>
      <c r="I724" s="2"/>
      <c r="J724" s="2">
        <v>46651</v>
      </c>
      <c r="K724" s="2"/>
      <c r="L724" s="2">
        <v>49972</v>
      </c>
      <c r="M724" s="2"/>
      <c r="N724" s="2">
        <v>46723</v>
      </c>
      <c r="P724" s="2">
        <v>50021</v>
      </c>
      <c r="Q724" s="2"/>
      <c r="R724" s="2">
        <v>46673</v>
      </c>
      <c r="AB724" s="2"/>
    </row>
    <row r="725" spans="8:28" ht="15" customHeight="1">
      <c r="H725" s="2">
        <v>50046</v>
      </c>
      <c r="I725" s="2"/>
      <c r="J725" s="2">
        <v>46652</v>
      </c>
      <c r="K725" s="2"/>
      <c r="L725" s="2">
        <v>49971</v>
      </c>
      <c r="M725" s="2"/>
      <c r="N725" s="2">
        <v>46724</v>
      </c>
      <c r="P725" s="2">
        <v>50020</v>
      </c>
      <c r="Q725" s="2"/>
      <c r="R725" s="2">
        <v>46674</v>
      </c>
      <c r="AB725" s="2"/>
    </row>
    <row r="726" spans="8:28" ht="15" customHeight="1">
      <c r="H726" s="2">
        <v>50045</v>
      </c>
      <c r="I726" s="2"/>
      <c r="J726" s="2">
        <v>46653</v>
      </c>
      <c r="K726" s="2"/>
      <c r="L726" s="2">
        <v>49970</v>
      </c>
      <c r="M726" s="2"/>
      <c r="N726" s="2">
        <v>46727</v>
      </c>
      <c r="P726" s="2">
        <v>50019</v>
      </c>
      <c r="Q726" s="2"/>
      <c r="R726" s="2">
        <v>46675</v>
      </c>
      <c r="AB726" s="2"/>
    </row>
    <row r="727" spans="8:28" ht="15" customHeight="1">
      <c r="H727" s="2">
        <v>50042</v>
      </c>
      <c r="I727" s="2"/>
      <c r="J727" s="2">
        <v>46654</v>
      </c>
      <c r="K727" s="2"/>
      <c r="L727" s="2">
        <v>49969</v>
      </c>
      <c r="M727" s="2"/>
      <c r="N727" s="2">
        <v>46728</v>
      </c>
      <c r="P727" s="2">
        <v>50018</v>
      </c>
      <c r="Q727" s="2"/>
      <c r="R727" s="2">
        <v>46678</v>
      </c>
      <c r="AB727" s="2"/>
    </row>
    <row r="728" spans="8:28" ht="15" customHeight="1">
      <c r="H728" s="2">
        <v>50040</v>
      </c>
      <c r="I728" s="2"/>
      <c r="J728" s="2">
        <v>46657</v>
      </c>
      <c r="K728" s="2"/>
      <c r="L728" s="2">
        <v>49968</v>
      </c>
      <c r="M728" s="2"/>
      <c r="N728" s="2">
        <v>46729</v>
      </c>
      <c r="P728" s="2">
        <v>50017</v>
      </c>
      <c r="Q728" s="2"/>
      <c r="R728" s="2">
        <v>46679</v>
      </c>
      <c r="AB728" s="2"/>
    </row>
    <row r="729" spans="8:28" ht="15" customHeight="1">
      <c r="H729" s="2">
        <v>50039</v>
      </c>
      <c r="I729" s="2"/>
      <c r="J729" s="2">
        <v>46658</v>
      </c>
      <c r="K729" s="2"/>
      <c r="L729" s="2">
        <v>49965</v>
      </c>
      <c r="M729" s="2"/>
      <c r="N729" s="2">
        <v>46730</v>
      </c>
      <c r="P729" s="2">
        <v>50014</v>
      </c>
      <c r="Q729" s="2"/>
      <c r="R729" s="2">
        <v>46680</v>
      </c>
      <c r="AB729" s="2"/>
    </row>
    <row r="730" spans="8:28" ht="15" customHeight="1">
      <c r="H730" s="2">
        <v>50038</v>
      </c>
      <c r="I730" s="2"/>
      <c r="J730" s="2">
        <v>46659</v>
      </c>
      <c r="K730" s="2"/>
      <c r="L730" s="2">
        <v>49964</v>
      </c>
      <c r="M730" s="2"/>
      <c r="N730" s="2">
        <v>46731</v>
      </c>
      <c r="P730" s="2">
        <v>50013</v>
      </c>
      <c r="Q730" s="2"/>
      <c r="R730" s="2">
        <v>46681</v>
      </c>
      <c r="AB730" s="2"/>
    </row>
    <row r="731" spans="8:28" ht="15" customHeight="1">
      <c r="H731" s="2">
        <v>50035</v>
      </c>
      <c r="I731" s="2"/>
      <c r="J731" s="2">
        <v>46660</v>
      </c>
      <c r="K731" s="2"/>
      <c r="L731" s="2">
        <v>49963</v>
      </c>
      <c r="M731" s="2"/>
      <c r="N731" s="2">
        <v>46734</v>
      </c>
      <c r="P731" s="2">
        <v>50012</v>
      </c>
      <c r="Q731" s="2"/>
      <c r="R731" s="2">
        <v>46682</v>
      </c>
      <c r="AB731" s="2"/>
    </row>
    <row r="732" spans="8:28" ht="15" customHeight="1">
      <c r="H732" s="2">
        <v>50033</v>
      </c>
      <c r="I732" s="2"/>
      <c r="J732" s="2">
        <v>46661</v>
      </c>
      <c r="K732" s="2"/>
      <c r="L732" s="2">
        <v>49962</v>
      </c>
      <c r="M732" s="2"/>
      <c r="N732" s="2">
        <v>46735</v>
      </c>
      <c r="P732" s="2">
        <v>50011</v>
      </c>
      <c r="Q732" s="2"/>
      <c r="R732" s="2">
        <v>46685</v>
      </c>
      <c r="AB732" s="2"/>
    </row>
    <row r="733" spans="8:28" ht="15" customHeight="1">
      <c r="H733" s="2">
        <v>50032</v>
      </c>
      <c r="I733" s="2"/>
      <c r="J733" s="2">
        <v>46664</v>
      </c>
      <c r="K733" s="2"/>
      <c r="L733" s="2">
        <v>49958</v>
      </c>
      <c r="M733" s="2"/>
      <c r="N733" s="2">
        <v>46736</v>
      </c>
      <c r="P733" s="2">
        <v>50010</v>
      </c>
      <c r="Q733" s="2"/>
      <c r="R733" s="2">
        <v>46686</v>
      </c>
      <c r="AB733" s="2"/>
    </row>
    <row r="734" spans="8:28" ht="15" customHeight="1">
      <c r="H734" s="2">
        <v>50031</v>
      </c>
      <c r="I734" s="2"/>
      <c r="J734" s="2">
        <v>46665</v>
      </c>
      <c r="K734" s="2"/>
      <c r="L734" s="2">
        <v>49957</v>
      </c>
      <c r="M734" s="2"/>
      <c r="N734" s="2">
        <v>46737</v>
      </c>
      <c r="P734" s="2">
        <v>50007</v>
      </c>
      <c r="Q734" s="2"/>
      <c r="R734" s="2">
        <v>46687</v>
      </c>
      <c r="AB734" s="2"/>
    </row>
    <row r="735" spans="8:28" ht="15" customHeight="1">
      <c r="H735" s="2">
        <v>50028</v>
      </c>
      <c r="I735" s="2"/>
      <c r="J735" s="2">
        <v>46666</v>
      </c>
      <c r="K735" s="2"/>
      <c r="L735" s="2">
        <v>49956</v>
      </c>
      <c r="M735" s="2"/>
      <c r="N735" s="2">
        <v>46738</v>
      </c>
      <c r="P735" s="2">
        <v>50006</v>
      </c>
      <c r="Q735" s="2"/>
      <c r="R735" s="2">
        <v>46688</v>
      </c>
      <c r="AB735" s="2"/>
    </row>
    <row r="736" spans="8:28" ht="15" customHeight="1">
      <c r="H736" s="2">
        <v>50027</v>
      </c>
      <c r="I736" s="2"/>
      <c r="J736" s="2">
        <v>46667</v>
      </c>
      <c r="K736" s="2"/>
      <c r="L736" s="2">
        <v>49955</v>
      </c>
      <c r="M736" s="2"/>
      <c r="N736" s="2">
        <v>46741</v>
      </c>
      <c r="P736" s="2">
        <v>50005</v>
      </c>
      <c r="Q736" s="2"/>
      <c r="R736" s="2">
        <v>46689</v>
      </c>
      <c r="AB736" s="2"/>
    </row>
    <row r="737" spans="8:28" ht="15" customHeight="1">
      <c r="H737" s="2">
        <v>50026</v>
      </c>
      <c r="I737" s="2"/>
      <c r="J737" s="2">
        <v>46668</v>
      </c>
      <c r="K737" s="2"/>
      <c r="L737" s="2">
        <v>49954</v>
      </c>
      <c r="M737" s="2"/>
      <c r="N737" s="2">
        <v>46742</v>
      </c>
      <c r="P737" s="2">
        <v>50004</v>
      </c>
      <c r="Q737" s="2"/>
      <c r="R737" s="2">
        <v>46692</v>
      </c>
      <c r="AB737" s="2"/>
    </row>
    <row r="738" spans="8:28" ht="15" customHeight="1">
      <c r="H738" s="2">
        <v>50025</v>
      </c>
      <c r="I738" s="2"/>
      <c r="J738" s="2">
        <v>46671</v>
      </c>
      <c r="K738" s="2"/>
      <c r="L738" s="2">
        <v>49951</v>
      </c>
      <c r="M738" s="2"/>
      <c r="N738" s="2">
        <v>46743</v>
      </c>
      <c r="P738" s="2">
        <v>50003</v>
      </c>
      <c r="Q738" s="2"/>
      <c r="R738" s="2">
        <v>46693</v>
      </c>
      <c r="AB738" s="2"/>
    </row>
    <row r="739" spans="8:28" ht="15" customHeight="1">
      <c r="H739" s="2">
        <v>50024</v>
      </c>
      <c r="I739" s="2"/>
      <c r="J739" s="2">
        <v>46672</v>
      </c>
      <c r="K739" s="2"/>
      <c r="L739" s="2">
        <v>49950</v>
      </c>
      <c r="M739" s="2"/>
      <c r="N739" s="2">
        <v>46744</v>
      </c>
      <c r="P739" s="2">
        <v>50000</v>
      </c>
      <c r="Q739" s="2"/>
      <c r="R739" s="2">
        <v>46694</v>
      </c>
      <c r="AB739" s="2"/>
    </row>
    <row r="740" spans="8:28" ht="15" customHeight="1">
      <c r="H740" s="2">
        <v>50021</v>
      </c>
      <c r="I740" s="2"/>
      <c r="J740" s="2">
        <v>46673</v>
      </c>
      <c r="K740" s="2"/>
      <c r="L740" s="2">
        <v>49949</v>
      </c>
      <c r="M740" s="2"/>
      <c r="N740" s="2">
        <v>46748</v>
      </c>
      <c r="P740" s="2">
        <v>49999</v>
      </c>
      <c r="Q740" s="2"/>
      <c r="R740" s="2">
        <v>46695</v>
      </c>
      <c r="AB740" s="2"/>
    </row>
    <row r="741" spans="8:28" ht="15" customHeight="1">
      <c r="H741" s="2">
        <v>50020</v>
      </c>
      <c r="I741" s="2"/>
      <c r="J741" s="2">
        <v>46674</v>
      </c>
      <c r="K741" s="2"/>
      <c r="L741" s="2">
        <v>49948</v>
      </c>
      <c r="M741" s="2"/>
      <c r="N741" s="2">
        <v>46749</v>
      </c>
      <c r="P741" s="2">
        <v>49998</v>
      </c>
      <c r="Q741" s="2"/>
      <c r="R741" s="2">
        <v>46696</v>
      </c>
      <c r="AB741" s="2"/>
    </row>
    <row r="742" spans="8:28" ht="15" customHeight="1">
      <c r="H742" s="2">
        <v>50019</v>
      </c>
      <c r="I742" s="2"/>
      <c r="J742" s="2">
        <v>46675</v>
      </c>
      <c r="K742" s="2"/>
      <c r="L742" s="2">
        <v>49947</v>
      </c>
      <c r="M742" s="2"/>
      <c r="N742" s="2">
        <v>46750</v>
      </c>
      <c r="P742" s="2">
        <v>49997</v>
      </c>
      <c r="Q742" s="2"/>
      <c r="R742" s="2">
        <v>46699</v>
      </c>
      <c r="AB742" s="2"/>
    </row>
    <row r="743" spans="8:28" ht="15" customHeight="1">
      <c r="H743" s="2">
        <v>50018</v>
      </c>
      <c r="I743" s="2"/>
      <c r="J743" s="2">
        <v>46678</v>
      </c>
      <c r="K743" s="2"/>
      <c r="L743" s="2">
        <v>49944</v>
      </c>
      <c r="M743" s="2"/>
      <c r="N743" s="2">
        <v>46751</v>
      </c>
      <c r="P743" s="2">
        <v>49996</v>
      </c>
      <c r="Q743" s="2"/>
      <c r="R743" s="2">
        <v>46700</v>
      </c>
      <c r="AB743" s="2"/>
    </row>
    <row r="744" spans="8:28" ht="15" customHeight="1">
      <c r="H744" s="2">
        <v>50017</v>
      </c>
      <c r="I744" s="2"/>
      <c r="J744" s="2">
        <v>46679</v>
      </c>
      <c r="K744" s="2"/>
      <c r="L744" s="2">
        <v>49943</v>
      </c>
      <c r="M744" s="2"/>
      <c r="N744" s="2">
        <v>46756</v>
      </c>
      <c r="P744" s="2">
        <v>49993</v>
      </c>
      <c r="Q744" s="2"/>
      <c r="R744" s="2">
        <v>46701</v>
      </c>
      <c r="AB744" s="2"/>
    </row>
    <row r="745" spans="8:28" ht="15" customHeight="1">
      <c r="H745" s="2">
        <v>50014</v>
      </c>
      <c r="I745" s="2"/>
      <c r="J745" s="2">
        <v>46680</v>
      </c>
      <c r="K745" s="2"/>
      <c r="L745" s="2">
        <v>49942</v>
      </c>
      <c r="M745" s="2"/>
      <c r="N745" s="2">
        <v>46757</v>
      </c>
      <c r="P745" s="2">
        <v>49992</v>
      </c>
      <c r="Q745" s="2"/>
      <c r="R745" s="2">
        <v>46702</v>
      </c>
      <c r="AB745" s="2"/>
    </row>
    <row r="746" spans="8:28" ht="15" customHeight="1">
      <c r="H746" s="2">
        <v>50013</v>
      </c>
      <c r="I746" s="2"/>
      <c r="J746" s="2">
        <v>46681</v>
      </c>
      <c r="K746" s="2"/>
      <c r="L746" s="2">
        <v>49941</v>
      </c>
      <c r="M746" s="2"/>
      <c r="N746" s="2">
        <v>46758</v>
      </c>
      <c r="P746" s="2">
        <v>49991</v>
      </c>
      <c r="Q746" s="2"/>
      <c r="R746" s="2">
        <v>46703</v>
      </c>
      <c r="AB746" s="2"/>
    </row>
    <row r="747" spans="8:28" ht="15" customHeight="1">
      <c r="H747" s="2">
        <v>50012</v>
      </c>
      <c r="I747" s="2"/>
      <c r="J747" s="2">
        <v>46682</v>
      </c>
      <c r="K747" s="2"/>
      <c r="L747" s="2">
        <v>49937</v>
      </c>
      <c r="M747" s="2"/>
      <c r="N747" s="2">
        <v>46759</v>
      </c>
      <c r="P747" s="2">
        <v>49990</v>
      </c>
      <c r="Q747" s="2"/>
      <c r="R747" s="2">
        <v>46706</v>
      </c>
      <c r="AB747" s="2"/>
    </row>
    <row r="748" spans="8:28" ht="15" customHeight="1">
      <c r="H748" s="2">
        <v>50011</v>
      </c>
      <c r="I748" s="2"/>
      <c r="J748" s="2">
        <v>46685</v>
      </c>
      <c r="K748" s="2"/>
      <c r="L748" s="2">
        <v>49936</v>
      </c>
      <c r="M748" s="2"/>
      <c r="N748" s="2">
        <v>46763</v>
      </c>
      <c r="P748" s="2">
        <v>49989</v>
      </c>
      <c r="Q748" s="2"/>
      <c r="R748" s="2">
        <v>46707</v>
      </c>
      <c r="AB748" s="2"/>
    </row>
    <row r="749" spans="8:28" ht="15" customHeight="1">
      <c r="H749" s="2">
        <v>50010</v>
      </c>
      <c r="I749" s="2"/>
      <c r="J749" s="2">
        <v>46686</v>
      </c>
      <c r="K749" s="2"/>
      <c r="L749" s="2">
        <v>49935</v>
      </c>
      <c r="M749" s="2"/>
      <c r="N749" s="2">
        <v>46764</v>
      </c>
      <c r="P749" s="2">
        <v>49986</v>
      </c>
      <c r="Q749" s="2"/>
      <c r="R749" s="2">
        <v>46708</v>
      </c>
      <c r="AB749" s="2"/>
    </row>
    <row r="750" spans="8:28" ht="15" customHeight="1">
      <c r="H750" s="2">
        <v>50007</v>
      </c>
      <c r="I750" s="2"/>
      <c r="J750" s="2">
        <v>46687</v>
      </c>
      <c r="K750" s="2"/>
      <c r="L750" s="2">
        <v>49934</v>
      </c>
      <c r="M750" s="2"/>
      <c r="N750" s="2">
        <v>46765</v>
      </c>
      <c r="P750" s="2">
        <v>49985</v>
      </c>
      <c r="Q750" s="2"/>
      <c r="R750" s="2">
        <v>46709</v>
      </c>
      <c r="AB750" s="2"/>
    </row>
    <row r="751" spans="8:28" ht="15" customHeight="1">
      <c r="H751" s="2">
        <v>50005</v>
      </c>
      <c r="I751" s="2"/>
      <c r="J751" s="2">
        <v>46688</v>
      </c>
      <c r="K751" s="2"/>
      <c r="L751" s="2">
        <v>49930</v>
      </c>
      <c r="M751" s="2"/>
      <c r="N751" s="2">
        <v>46766</v>
      </c>
      <c r="P751" s="2">
        <v>49984</v>
      </c>
      <c r="Q751" s="2"/>
      <c r="R751" s="2">
        <v>46710</v>
      </c>
      <c r="AB751" s="2"/>
    </row>
    <row r="752" spans="8:28" ht="15" customHeight="1">
      <c r="H752" s="2">
        <v>50004</v>
      </c>
      <c r="I752" s="2"/>
      <c r="J752" s="2">
        <v>46689</v>
      </c>
      <c r="K752" s="2"/>
      <c r="L752" s="2">
        <v>49929</v>
      </c>
      <c r="M752" s="2"/>
      <c r="N752" s="2">
        <v>46770</v>
      </c>
      <c r="P752" s="2">
        <v>49983</v>
      </c>
      <c r="Q752" s="2"/>
      <c r="R752" s="2">
        <v>46713</v>
      </c>
      <c r="AB752" s="2"/>
    </row>
    <row r="753" spans="8:28" ht="15" customHeight="1">
      <c r="H753" s="2">
        <v>50003</v>
      </c>
      <c r="I753" s="2"/>
      <c r="J753" s="2">
        <v>46692</v>
      </c>
      <c r="K753" s="2"/>
      <c r="L753" s="2">
        <v>49928</v>
      </c>
      <c r="M753" s="2"/>
      <c r="N753" s="2">
        <v>46771</v>
      </c>
      <c r="P753" s="2">
        <v>49982</v>
      </c>
      <c r="Q753" s="2"/>
      <c r="R753" s="2">
        <v>46714</v>
      </c>
      <c r="AB753" s="2"/>
    </row>
    <row r="754" spans="8:28" ht="15" customHeight="1">
      <c r="H754" s="2">
        <v>50000</v>
      </c>
      <c r="I754" s="2"/>
      <c r="J754" s="2">
        <v>46693</v>
      </c>
      <c r="K754" s="2"/>
      <c r="L754" s="2">
        <v>49927</v>
      </c>
      <c r="M754" s="2"/>
      <c r="N754" s="2">
        <v>46772</v>
      </c>
      <c r="P754" s="2">
        <v>49979</v>
      </c>
      <c r="Q754" s="2"/>
      <c r="R754" s="2">
        <v>46715</v>
      </c>
      <c r="AB754" s="2"/>
    </row>
    <row r="755" spans="8:28" ht="15" customHeight="1">
      <c r="H755" s="2">
        <v>49999</v>
      </c>
      <c r="I755" s="2"/>
      <c r="J755" s="2">
        <v>46694</v>
      </c>
      <c r="K755" s="2"/>
      <c r="L755" s="2">
        <v>49926</v>
      </c>
      <c r="M755" s="2"/>
      <c r="N755" s="2">
        <v>46773</v>
      </c>
      <c r="P755" s="2">
        <v>49978</v>
      </c>
      <c r="Q755" s="2"/>
      <c r="R755" s="2">
        <v>46716</v>
      </c>
      <c r="AB755" s="2"/>
    </row>
    <row r="756" spans="8:28" ht="15" customHeight="1">
      <c r="H756" s="2">
        <v>49998</v>
      </c>
      <c r="I756" s="2"/>
      <c r="J756" s="2">
        <v>46695</v>
      </c>
      <c r="K756" s="2"/>
      <c r="L756" s="2">
        <v>49923</v>
      </c>
      <c r="M756" s="2"/>
      <c r="N756" s="2">
        <v>46776</v>
      </c>
      <c r="P756" s="2">
        <v>49977</v>
      </c>
      <c r="Q756" s="2"/>
      <c r="R756" s="2">
        <v>46717</v>
      </c>
      <c r="AB756" s="2"/>
    </row>
    <row r="757" spans="8:28" ht="15" customHeight="1">
      <c r="H757" s="2">
        <v>49997</v>
      </c>
      <c r="I757" s="2"/>
      <c r="J757" s="2">
        <v>46696</v>
      </c>
      <c r="K757" s="2"/>
      <c r="L757" s="2">
        <v>49922</v>
      </c>
      <c r="M757" s="2"/>
      <c r="N757" s="2">
        <v>46777</v>
      </c>
      <c r="P757" s="2">
        <v>49976</v>
      </c>
      <c r="Q757" s="2"/>
      <c r="R757" s="2">
        <v>46720</v>
      </c>
      <c r="AB757" s="2"/>
    </row>
    <row r="758" spans="8:28" ht="15" customHeight="1">
      <c r="H758" s="2">
        <v>49996</v>
      </c>
      <c r="I758" s="2"/>
      <c r="J758" s="2">
        <v>46699</v>
      </c>
      <c r="K758" s="2"/>
      <c r="L758" s="2">
        <v>49921</v>
      </c>
      <c r="M758" s="2"/>
      <c r="N758" s="2">
        <v>46778</v>
      </c>
      <c r="P758" s="2">
        <v>49975</v>
      </c>
      <c r="Q758" s="2"/>
      <c r="R758" s="2">
        <v>46721</v>
      </c>
      <c r="AB758" s="2"/>
    </row>
    <row r="759" spans="8:28" ht="15" customHeight="1">
      <c r="H759" s="2">
        <v>49993</v>
      </c>
      <c r="I759" s="2"/>
      <c r="J759" s="2">
        <v>46700</v>
      </c>
      <c r="K759" s="2"/>
      <c r="L759" s="2">
        <v>49920</v>
      </c>
      <c r="M759" s="2"/>
      <c r="N759" s="2">
        <v>46779</v>
      </c>
      <c r="P759" s="2">
        <v>49972</v>
      </c>
      <c r="Q759" s="2"/>
      <c r="R759" s="2">
        <v>46722</v>
      </c>
      <c r="AB759" s="2"/>
    </row>
    <row r="760" spans="8:28" ht="15" customHeight="1">
      <c r="H760" s="2">
        <v>49992</v>
      </c>
      <c r="I760" s="2"/>
      <c r="J760" s="2">
        <v>46701</v>
      </c>
      <c r="K760" s="2"/>
      <c r="L760" s="2">
        <v>49916</v>
      </c>
      <c r="M760" s="2"/>
      <c r="N760" s="2">
        <v>46780</v>
      </c>
      <c r="P760" s="2">
        <v>49971</v>
      </c>
      <c r="Q760" s="2"/>
      <c r="R760" s="2">
        <v>46723</v>
      </c>
      <c r="AB760" s="2"/>
    </row>
    <row r="761" spans="8:28" ht="15" customHeight="1">
      <c r="H761" s="2">
        <v>49991</v>
      </c>
      <c r="I761" s="2"/>
      <c r="J761" s="2">
        <v>46702</v>
      </c>
      <c r="K761" s="2"/>
      <c r="L761" s="2">
        <v>49915</v>
      </c>
      <c r="M761" s="2"/>
      <c r="N761" s="2">
        <v>46783</v>
      </c>
      <c r="P761" s="2">
        <v>49970</v>
      </c>
      <c r="Q761" s="2"/>
      <c r="R761" s="2">
        <v>46724</v>
      </c>
      <c r="AB761" s="2"/>
    </row>
    <row r="762" spans="8:28" ht="15" customHeight="1">
      <c r="H762" s="2">
        <v>49990</v>
      </c>
      <c r="I762" s="2"/>
      <c r="J762" s="2">
        <v>46703</v>
      </c>
      <c r="K762" s="2"/>
      <c r="L762" s="2">
        <v>49914</v>
      </c>
      <c r="M762" s="2"/>
      <c r="N762" s="2">
        <v>46784</v>
      </c>
      <c r="P762" s="2">
        <v>49969</v>
      </c>
      <c r="Q762" s="2"/>
      <c r="R762" s="2">
        <v>46727</v>
      </c>
      <c r="AB762" s="2"/>
    </row>
    <row r="763" spans="8:28" ht="15" customHeight="1">
      <c r="H763" s="2">
        <v>49989</v>
      </c>
      <c r="I763" s="2"/>
      <c r="J763" s="2">
        <v>46706</v>
      </c>
      <c r="K763" s="2"/>
      <c r="L763" s="2">
        <v>49913</v>
      </c>
      <c r="M763" s="2"/>
      <c r="N763" s="2">
        <v>46785</v>
      </c>
      <c r="P763" s="2">
        <v>49968</v>
      </c>
      <c r="Q763" s="2"/>
      <c r="R763" s="2">
        <v>46728</v>
      </c>
      <c r="AB763" s="2"/>
    </row>
    <row r="764" spans="8:28" ht="15" customHeight="1">
      <c r="H764" s="2">
        <v>49986</v>
      </c>
      <c r="I764" s="2"/>
      <c r="J764" s="2">
        <v>46707</v>
      </c>
      <c r="K764" s="2"/>
      <c r="L764" s="2">
        <v>49912</v>
      </c>
      <c r="M764" s="2"/>
      <c r="N764" s="2">
        <v>46786</v>
      </c>
      <c r="P764" s="2">
        <v>49965</v>
      </c>
      <c r="Q764" s="2"/>
      <c r="R764" s="2">
        <v>46729</v>
      </c>
      <c r="AB764" s="2"/>
    </row>
    <row r="765" spans="8:28" ht="15" customHeight="1">
      <c r="H765" s="2">
        <v>49985</v>
      </c>
      <c r="I765" s="2"/>
      <c r="J765" s="2">
        <v>46708</v>
      </c>
      <c r="K765" s="2"/>
      <c r="L765" s="2">
        <v>49909</v>
      </c>
      <c r="M765" s="2"/>
      <c r="N765" s="2">
        <v>46787</v>
      </c>
      <c r="P765" s="2">
        <v>49964</v>
      </c>
      <c r="Q765" s="2"/>
      <c r="R765" s="2">
        <v>46730</v>
      </c>
      <c r="AB765" s="2"/>
    </row>
    <row r="766" spans="8:28" ht="15" customHeight="1">
      <c r="H766" s="2">
        <v>49984</v>
      </c>
      <c r="I766" s="2"/>
      <c r="J766" s="2">
        <v>46709</v>
      </c>
      <c r="K766" s="2"/>
      <c r="L766" s="2">
        <v>49908</v>
      </c>
      <c r="M766" s="2"/>
      <c r="N766" s="2">
        <v>46790</v>
      </c>
      <c r="P766" s="2">
        <v>49963</v>
      </c>
      <c r="Q766" s="2"/>
      <c r="R766" s="2">
        <v>46731</v>
      </c>
      <c r="AB766" s="2"/>
    </row>
    <row r="767" spans="8:28" ht="15" customHeight="1">
      <c r="H767" s="2">
        <v>49983</v>
      </c>
      <c r="I767" s="2"/>
      <c r="J767" s="2">
        <v>46710</v>
      </c>
      <c r="K767" s="2"/>
      <c r="L767" s="2">
        <v>49907</v>
      </c>
      <c r="M767" s="2"/>
      <c r="N767" s="2">
        <v>46791</v>
      </c>
      <c r="P767" s="2">
        <v>49962</v>
      </c>
      <c r="Q767" s="2"/>
      <c r="R767" s="2">
        <v>46734</v>
      </c>
      <c r="AB767" s="2"/>
    </row>
    <row r="768" spans="8:28" ht="15" customHeight="1">
      <c r="H768" s="2">
        <v>49982</v>
      </c>
      <c r="I768" s="2"/>
      <c r="J768" s="2">
        <v>46713</v>
      </c>
      <c r="K768" s="2"/>
      <c r="L768" s="2">
        <v>49906</v>
      </c>
      <c r="M768" s="2"/>
      <c r="N768" s="2">
        <v>46792</v>
      </c>
      <c r="P768" s="2">
        <v>49961</v>
      </c>
      <c r="Q768" s="2"/>
      <c r="R768" s="2">
        <v>46735</v>
      </c>
      <c r="AB768" s="2"/>
    </row>
    <row r="769" spans="8:28" ht="15" customHeight="1">
      <c r="H769" s="2">
        <v>49979</v>
      </c>
      <c r="I769" s="2"/>
      <c r="J769" s="2">
        <v>46714</v>
      </c>
      <c r="K769" s="2"/>
      <c r="L769" s="2">
        <v>49905</v>
      </c>
      <c r="M769" s="2"/>
      <c r="N769" s="2">
        <v>46793</v>
      </c>
      <c r="P769" s="2">
        <v>49958</v>
      </c>
      <c r="Q769" s="2"/>
      <c r="R769" s="2">
        <v>46736</v>
      </c>
      <c r="AB769" s="2"/>
    </row>
    <row r="770" spans="8:28" ht="15" customHeight="1">
      <c r="H770" s="2">
        <v>49978</v>
      </c>
      <c r="I770" s="2"/>
      <c r="J770" s="2">
        <v>46715</v>
      </c>
      <c r="K770" s="2"/>
      <c r="L770" s="2">
        <v>49902</v>
      </c>
      <c r="M770" s="2"/>
      <c r="N770" s="2">
        <v>46797</v>
      </c>
      <c r="P770" s="2">
        <v>49956</v>
      </c>
      <c r="Q770" s="2"/>
      <c r="R770" s="2">
        <v>46737</v>
      </c>
      <c r="AB770" s="2"/>
    </row>
    <row r="771" spans="8:28" ht="15" customHeight="1">
      <c r="H771" s="2">
        <v>49977</v>
      </c>
      <c r="I771" s="2"/>
      <c r="J771" s="2">
        <v>46717</v>
      </c>
      <c r="K771" s="2"/>
      <c r="L771" s="2">
        <v>49901</v>
      </c>
      <c r="M771" s="2"/>
      <c r="N771" s="2">
        <v>46798</v>
      </c>
      <c r="P771" s="2">
        <v>49950</v>
      </c>
      <c r="Q771" s="2"/>
      <c r="R771" s="2">
        <v>46738</v>
      </c>
      <c r="AB771" s="2"/>
    </row>
    <row r="772" spans="8:28" ht="15" customHeight="1">
      <c r="H772" s="2">
        <v>49976</v>
      </c>
      <c r="I772" s="2"/>
      <c r="J772" s="2">
        <v>46720</v>
      </c>
      <c r="K772" s="2"/>
      <c r="L772" s="2">
        <v>49900</v>
      </c>
      <c r="M772" s="2"/>
      <c r="N772" s="2">
        <v>46799</v>
      </c>
      <c r="P772" s="2">
        <v>49949</v>
      </c>
      <c r="Q772" s="2"/>
      <c r="R772" s="2">
        <v>46741</v>
      </c>
      <c r="AB772" s="2"/>
    </row>
    <row r="773" spans="8:28" ht="15" customHeight="1">
      <c r="H773" s="2">
        <v>49975</v>
      </c>
      <c r="I773" s="2"/>
      <c r="J773" s="2">
        <v>46721</v>
      </c>
      <c r="K773" s="2"/>
      <c r="L773" s="2">
        <v>49899</v>
      </c>
      <c r="M773" s="2"/>
      <c r="N773" s="2">
        <v>46800</v>
      </c>
      <c r="P773" s="2">
        <v>49948</v>
      </c>
      <c r="Q773" s="2"/>
      <c r="R773" s="2">
        <v>46742</v>
      </c>
      <c r="AB773" s="2"/>
    </row>
    <row r="774" spans="8:28" ht="15" customHeight="1">
      <c r="H774" s="2">
        <v>49972</v>
      </c>
      <c r="I774" s="2"/>
      <c r="J774" s="2">
        <v>46722</v>
      </c>
      <c r="K774" s="2"/>
      <c r="L774" s="2">
        <v>49895</v>
      </c>
      <c r="M774" s="2"/>
      <c r="N774" s="2">
        <v>46801</v>
      </c>
      <c r="P774" s="2">
        <v>49947</v>
      </c>
      <c r="Q774" s="2"/>
      <c r="R774" s="2">
        <v>46743</v>
      </c>
      <c r="AB774" s="2"/>
    </row>
    <row r="775" spans="8:28" ht="15" customHeight="1">
      <c r="H775" s="2">
        <v>49971</v>
      </c>
      <c r="I775" s="2"/>
      <c r="J775" s="2">
        <v>46723</v>
      </c>
      <c r="K775" s="2"/>
      <c r="L775" s="2">
        <v>49894</v>
      </c>
      <c r="M775" s="2"/>
      <c r="N775" s="2">
        <v>46805</v>
      </c>
      <c r="P775" s="2">
        <v>49944</v>
      </c>
      <c r="Q775" s="2"/>
      <c r="R775" s="2">
        <v>46744</v>
      </c>
      <c r="AB775" s="2"/>
    </row>
    <row r="776" spans="8:28" ht="15" customHeight="1">
      <c r="H776" s="2">
        <v>49970</v>
      </c>
      <c r="I776" s="2"/>
      <c r="J776" s="2">
        <v>46724</v>
      </c>
      <c r="K776" s="2"/>
      <c r="L776" s="2">
        <v>49893</v>
      </c>
      <c r="M776" s="2"/>
      <c r="N776" s="2">
        <v>46807</v>
      </c>
      <c r="P776" s="2">
        <v>49943</v>
      </c>
      <c r="Q776" s="2"/>
      <c r="R776" s="2">
        <v>46745</v>
      </c>
      <c r="AB776" s="2"/>
    </row>
    <row r="777" spans="8:28" ht="15" customHeight="1">
      <c r="H777" s="2">
        <v>49969</v>
      </c>
      <c r="I777" s="2"/>
      <c r="J777" s="2">
        <v>46727</v>
      </c>
      <c r="K777" s="2"/>
      <c r="L777" s="2">
        <v>49892</v>
      </c>
      <c r="M777" s="2"/>
      <c r="N777" s="2">
        <v>46808</v>
      </c>
      <c r="P777" s="2">
        <v>49942</v>
      </c>
      <c r="Q777" s="2"/>
      <c r="R777" s="2">
        <v>46749</v>
      </c>
      <c r="AB777" s="2"/>
    </row>
    <row r="778" spans="8:28" ht="15" customHeight="1">
      <c r="H778" s="2">
        <v>49968</v>
      </c>
      <c r="I778" s="2"/>
      <c r="J778" s="2">
        <v>46728</v>
      </c>
      <c r="K778" s="2"/>
      <c r="L778" s="2">
        <v>49891</v>
      </c>
      <c r="M778" s="2"/>
      <c r="N778" s="2">
        <v>46811</v>
      </c>
      <c r="P778" s="2">
        <v>49941</v>
      </c>
      <c r="Q778" s="2"/>
      <c r="R778" s="2">
        <v>46750</v>
      </c>
      <c r="AB778" s="2"/>
    </row>
    <row r="779" spans="8:28" ht="15" customHeight="1">
      <c r="H779" s="2">
        <v>49965</v>
      </c>
      <c r="I779" s="2"/>
      <c r="J779" s="2">
        <v>46729</v>
      </c>
      <c r="K779" s="2"/>
      <c r="L779" s="2">
        <v>49888</v>
      </c>
      <c r="M779" s="2"/>
      <c r="N779" s="2">
        <v>46812</v>
      </c>
      <c r="P779" s="2">
        <v>49940</v>
      </c>
      <c r="Q779" s="2"/>
      <c r="R779" s="2">
        <v>46751</v>
      </c>
      <c r="AB779" s="2"/>
    </row>
    <row r="780" spans="8:28" ht="15" customHeight="1">
      <c r="H780" s="2">
        <v>49964</v>
      </c>
      <c r="I780" s="2"/>
      <c r="J780" s="2">
        <v>46730</v>
      </c>
      <c r="K780" s="2"/>
      <c r="L780" s="2">
        <v>49887</v>
      </c>
      <c r="M780" s="2"/>
      <c r="N780" s="2">
        <v>46813</v>
      </c>
      <c r="P780" s="2">
        <v>49937</v>
      </c>
      <c r="Q780" s="2"/>
      <c r="R780" s="2">
        <v>46755</v>
      </c>
      <c r="AB780" s="2"/>
    </row>
    <row r="781" spans="8:28" ht="15" customHeight="1">
      <c r="H781" s="2">
        <v>49963</v>
      </c>
      <c r="I781" s="2"/>
      <c r="J781" s="2">
        <v>46731</v>
      </c>
      <c r="K781" s="2"/>
      <c r="L781" s="2">
        <v>49886</v>
      </c>
      <c r="M781" s="2"/>
      <c r="N781" s="2">
        <v>46814</v>
      </c>
      <c r="P781" s="2">
        <v>49936</v>
      </c>
      <c r="Q781" s="2"/>
      <c r="R781" s="2">
        <v>46756</v>
      </c>
      <c r="AB781" s="2"/>
    </row>
    <row r="782" spans="8:28" ht="15" customHeight="1">
      <c r="H782" s="2">
        <v>49962</v>
      </c>
      <c r="I782" s="2"/>
      <c r="J782" s="2">
        <v>46734</v>
      </c>
      <c r="K782" s="2"/>
      <c r="L782" s="2">
        <v>49885</v>
      </c>
      <c r="M782" s="2"/>
      <c r="N782" s="2">
        <v>46815</v>
      </c>
      <c r="P782" s="2">
        <v>49935</v>
      </c>
      <c r="Q782" s="2"/>
      <c r="R782" s="2">
        <v>46757</v>
      </c>
      <c r="AB782" s="2"/>
    </row>
    <row r="783" spans="8:28" ht="15" customHeight="1">
      <c r="H783" s="2">
        <v>49961</v>
      </c>
      <c r="I783" s="2"/>
      <c r="J783" s="2">
        <v>46735</v>
      </c>
      <c r="K783" s="2"/>
      <c r="L783" s="2">
        <v>49884</v>
      </c>
      <c r="M783" s="2"/>
      <c r="N783" s="2">
        <v>46818</v>
      </c>
      <c r="P783" s="2">
        <v>49934</v>
      </c>
      <c r="Q783" s="2"/>
      <c r="R783" s="2">
        <v>46758</v>
      </c>
      <c r="AB783" s="2"/>
    </row>
    <row r="784" spans="8:28" ht="15" customHeight="1">
      <c r="H784" s="2">
        <v>49958</v>
      </c>
      <c r="I784" s="2"/>
      <c r="J784" s="2">
        <v>46736</v>
      </c>
      <c r="K784" s="2"/>
      <c r="L784" s="2">
        <v>49881</v>
      </c>
      <c r="M784" s="2"/>
      <c r="N784" s="2">
        <v>46819</v>
      </c>
      <c r="P784" s="2">
        <v>49933</v>
      </c>
      <c r="Q784" s="2"/>
      <c r="R784" s="2">
        <v>46759</v>
      </c>
      <c r="AB784" s="2"/>
    </row>
    <row r="785" spans="8:28" ht="15" customHeight="1">
      <c r="H785" s="2">
        <v>49957</v>
      </c>
      <c r="I785" s="2"/>
      <c r="J785" s="2">
        <v>46737</v>
      </c>
      <c r="K785" s="2"/>
      <c r="L785" s="2">
        <v>49880</v>
      </c>
      <c r="M785" s="2"/>
      <c r="N785" s="2">
        <v>46820</v>
      </c>
      <c r="P785" s="2">
        <v>49930</v>
      </c>
      <c r="Q785" s="2"/>
      <c r="R785" s="2">
        <v>46762</v>
      </c>
      <c r="AB785" s="2"/>
    </row>
    <row r="786" spans="8:28" ht="15" customHeight="1">
      <c r="H786" s="2">
        <v>49956</v>
      </c>
      <c r="I786" s="2"/>
      <c r="J786" s="2">
        <v>46738</v>
      </c>
      <c r="K786" s="2"/>
      <c r="L786" s="2">
        <v>49879</v>
      </c>
      <c r="M786" s="2"/>
      <c r="N786" s="2">
        <v>46821</v>
      </c>
      <c r="P786" s="2">
        <v>49929</v>
      </c>
      <c r="Q786" s="2"/>
      <c r="R786" s="2">
        <v>46763</v>
      </c>
      <c r="AB786" s="2"/>
    </row>
    <row r="787" spans="8:28" ht="15" customHeight="1">
      <c r="H787" s="2">
        <v>49955</v>
      </c>
      <c r="I787" s="2"/>
      <c r="J787" s="2">
        <v>46741</v>
      </c>
      <c r="K787" s="2"/>
      <c r="L787" s="2">
        <v>49878</v>
      </c>
      <c r="M787" s="2"/>
      <c r="N787" s="2">
        <v>46822</v>
      </c>
      <c r="P787" s="2">
        <v>49928</v>
      </c>
      <c r="Q787" s="2"/>
      <c r="R787" s="2">
        <v>46764</v>
      </c>
      <c r="AB787" s="2"/>
    </row>
    <row r="788" spans="8:28" ht="15" customHeight="1">
      <c r="H788" s="2">
        <v>49954</v>
      </c>
      <c r="I788" s="2"/>
      <c r="J788" s="2">
        <v>46742</v>
      </c>
      <c r="K788" s="2"/>
      <c r="L788" s="2">
        <v>49874</v>
      </c>
      <c r="M788" s="2"/>
      <c r="N788" s="2">
        <v>46825</v>
      </c>
      <c r="P788" s="2">
        <v>49927</v>
      </c>
      <c r="Q788" s="2"/>
      <c r="R788" s="2">
        <v>46765</v>
      </c>
      <c r="AB788" s="2"/>
    </row>
    <row r="789" spans="8:28" ht="15" customHeight="1">
      <c r="H789" s="2">
        <v>49951</v>
      </c>
      <c r="I789" s="2"/>
      <c r="J789" s="2">
        <v>46743</v>
      </c>
      <c r="K789" s="2"/>
      <c r="L789" s="2">
        <v>49873</v>
      </c>
      <c r="M789" s="2"/>
      <c r="N789" s="2">
        <v>46826</v>
      </c>
      <c r="P789" s="2">
        <v>49926</v>
      </c>
      <c r="Q789" s="2"/>
      <c r="R789" s="2">
        <v>46766</v>
      </c>
      <c r="AB789" s="2"/>
    </row>
    <row r="790" spans="8:28" ht="15" customHeight="1">
      <c r="H790" s="2">
        <v>49950</v>
      </c>
      <c r="I790" s="2"/>
      <c r="J790" s="2">
        <v>46744</v>
      </c>
      <c r="K790" s="2"/>
      <c r="L790" s="2">
        <v>49872</v>
      </c>
      <c r="M790" s="2"/>
      <c r="N790" s="2">
        <v>46827</v>
      </c>
      <c r="P790" s="2">
        <v>49923</v>
      </c>
      <c r="Q790" s="2"/>
      <c r="R790" s="2">
        <v>46769</v>
      </c>
      <c r="AB790" s="2"/>
    </row>
    <row r="791" spans="8:28" ht="15" customHeight="1">
      <c r="H791" s="2">
        <v>49949</v>
      </c>
      <c r="I791" s="2"/>
      <c r="J791" s="2">
        <v>46748</v>
      </c>
      <c r="K791" s="2"/>
      <c r="L791" s="2">
        <v>49871</v>
      </c>
      <c r="M791" s="2"/>
      <c r="N791" s="2">
        <v>46828</v>
      </c>
      <c r="P791" s="2">
        <v>49922</v>
      </c>
      <c r="Q791" s="2"/>
      <c r="R791" s="2">
        <v>46770</v>
      </c>
      <c r="AB791" s="2"/>
    </row>
    <row r="792" spans="8:28" ht="15" customHeight="1">
      <c r="H792" s="2">
        <v>49948</v>
      </c>
      <c r="I792" s="2"/>
      <c r="J792" s="2">
        <v>46749</v>
      </c>
      <c r="K792" s="2"/>
      <c r="L792" s="2">
        <v>49870</v>
      </c>
      <c r="M792" s="2"/>
      <c r="N792" s="2">
        <v>46829</v>
      </c>
      <c r="P792" s="2">
        <v>49921</v>
      </c>
      <c r="Q792" s="2"/>
      <c r="R792" s="2">
        <v>46771</v>
      </c>
      <c r="AB792" s="2"/>
    </row>
    <row r="793" spans="8:28" ht="15" customHeight="1">
      <c r="H793" s="2">
        <v>49947</v>
      </c>
      <c r="I793" s="2"/>
      <c r="J793" s="2">
        <v>46750</v>
      </c>
      <c r="K793" s="2"/>
      <c r="L793" s="2">
        <v>49867</v>
      </c>
      <c r="M793" s="2"/>
      <c r="N793" s="2">
        <v>46833</v>
      </c>
      <c r="P793" s="2">
        <v>49920</v>
      </c>
      <c r="Q793" s="2"/>
      <c r="R793" s="2">
        <v>46772</v>
      </c>
      <c r="AB793" s="2"/>
    </row>
    <row r="794" spans="8:28" ht="15" customHeight="1">
      <c r="H794" s="2">
        <v>49944</v>
      </c>
      <c r="I794" s="2"/>
      <c r="J794" s="2">
        <v>46751</v>
      </c>
      <c r="K794" s="2"/>
      <c r="L794" s="2">
        <v>49866</v>
      </c>
      <c r="M794" s="2"/>
      <c r="N794" s="2">
        <v>46834</v>
      </c>
      <c r="P794" s="2">
        <v>49919</v>
      </c>
      <c r="Q794" s="2"/>
      <c r="R794" s="2">
        <v>46773</v>
      </c>
      <c r="AB794" s="2"/>
    </row>
    <row r="795" spans="8:28" ht="15" customHeight="1">
      <c r="H795" s="2">
        <v>49943</v>
      </c>
      <c r="I795" s="2"/>
      <c r="J795" s="2">
        <v>46752</v>
      </c>
      <c r="K795" s="2"/>
      <c r="L795" s="2">
        <v>49865</v>
      </c>
      <c r="M795" s="2"/>
      <c r="N795" s="2">
        <v>46835</v>
      </c>
      <c r="P795" s="2">
        <v>49916</v>
      </c>
      <c r="Q795" s="2"/>
      <c r="R795" s="2">
        <v>46776</v>
      </c>
      <c r="AB795" s="2"/>
    </row>
    <row r="796" spans="8:28" ht="15" customHeight="1">
      <c r="H796" s="2">
        <v>49942</v>
      </c>
      <c r="I796" s="2"/>
      <c r="J796" s="2">
        <v>46755</v>
      </c>
      <c r="K796" s="2"/>
      <c r="L796" s="2">
        <v>49864</v>
      </c>
      <c r="M796" s="2"/>
      <c r="N796" s="2">
        <v>46836</v>
      </c>
      <c r="P796" s="2">
        <v>49915</v>
      </c>
      <c r="Q796" s="2"/>
      <c r="R796" s="2">
        <v>46777</v>
      </c>
      <c r="AB796" s="2"/>
    </row>
    <row r="797" spans="8:28" ht="15" customHeight="1">
      <c r="H797" s="2">
        <v>49941</v>
      </c>
      <c r="I797" s="2"/>
      <c r="J797" s="2">
        <v>46756</v>
      </c>
      <c r="K797" s="2"/>
      <c r="L797" s="2">
        <v>49863</v>
      </c>
      <c r="M797" s="2"/>
      <c r="N797" s="2">
        <v>46839</v>
      </c>
      <c r="P797" s="2">
        <v>49914</v>
      </c>
      <c r="Q797" s="2"/>
      <c r="R797" s="2">
        <v>46783</v>
      </c>
      <c r="AB797" s="2"/>
    </row>
    <row r="798" spans="8:28" ht="15" customHeight="1">
      <c r="H798" s="2">
        <v>49940</v>
      </c>
      <c r="I798" s="2"/>
      <c r="J798" s="2">
        <v>46757</v>
      </c>
      <c r="K798" s="2"/>
      <c r="L798" s="2">
        <v>49859</v>
      </c>
      <c r="M798" s="2"/>
      <c r="N798" s="2">
        <v>46840</v>
      </c>
      <c r="P798" s="2">
        <v>49913</v>
      </c>
      <c r="Q798" s="2"/>
      <c r="R798" s="2">
        <v>46784</v>
      </c>
      <c r="AB798" s="2"/>
    </row>
    <row r="799" spans="8:28" ht="15" customHeight="1">
      <c r="H799" s="2">
        <v>49937</v>
      </c>
      <c r="I799" s="2"/>
      <c r="J799" s="2">
        <v>46758</v>
      </c>
      <c r="K799" s="2"/>
      <c r="L799" s="2">
        <v>49858</v>
      </c>
      <c r="M799" s="2"/>
      <c r="N799" s="2">
        <v>46841</v>
      </c>
      <c r="P799" s="2">
        <v>49912</v>
      </c>
      <c r="Q799" s="2"/>
      <c r="R799" s="2">
        <v>46785</v>
      </c>
      <c r="AB799" s="2"/>
    </row>
    <row r="800" spans="8:28" ht="15" customHeight="1">
      <c r="H800" s="2">
        <v>49936</v>
      </c>
      <c r="I800" s="2"/>
      <c r="J800" s="2">
        <v>46759</v>
      </c>
      <c r="K800" s="2"/>
      <c r="L800" s="2">
        <v>49857</v>
      </c>
      <c r="M800" s="2"/>
      <c r="N800" s="2">
        <v>46842</v>
      </c>
      <c r="P800" s="2">
        <v>49909</v>
      </c>
      <c r="Q800" s="2"/>
      <c r="R800" s="2">
        <v>46786</v>
      </c>
      <c r="AB800" s="2"/>
    </row>
    <row r="801" spans="8:28" ht="15" customHeight="1">
      <c r="H801" s="2">
        <v>49935</v>
      </c>
      <c r="I801" s="2"/>
      <c r="J801" s="2">
        <v>46762</v>
      </c>
      <c r="K801" s="2"/>
      <c r="L801" s="2">
        <v>49856</v>
      </c>
      <c r="M801" s="2"/>
      <c r="N801" s="2">
        <v>46843</v>
      </c>
      <c r="P801" s="2">
        <v>49908</v>
      </c>
      <c r="Q801" s="2"/>
      <c r="R801" s="2">
        <v>46787</v>
      </c>
      <c r="AB801" s="2"/>
    </row>
    <row r="802" spans="8:28" ht="15" customHeight="1">
      <c r="H802" s="2">
        <v>49934</v>
      </c>
      <c r="I802" s="2"/>
      <c r="J802" s="2">
        <v>46763</v>
      </c>
      <c r="K802" s="2"/>
      <c r="L802" s="2">
        <v>49853</v>
      </c>
      <c r="M802" s="2"/>
      <c r="N802" s="2">
        <v>46846</v>
      </c>
      <c r="P802" s="2">
        <v>49907</v>
      </c>
      <c r="Q802" s="2"/>
      <c r="R802" s="2">
        <v>46790</v>
      </c>
      <c r="AB802" s="2"/>
    </row>
    <row r="803" spans="8:28" ht="15" customHeight="1">
      <c r="H803" s="2">
        <v>49933</v>
      </c>
      <c r="I803" s="2"/>
      <c r="J803" s="2">
        <v>46764</v>
      </c>
      <c r="K803" s="2"/>
      <c r="L803" s="2">
        <v>49852</v>
      </c>
      <c r="M803" s="2"/>
      <c r="N803" s="2">
        <v>46847</v>
      </c>
      <c r="P803" s="2">
        <v>49906</v>
      </c>
      <c r="Q803" s="2"/>
      <c r="R803" s="2">
        <v>46791</v>
      </c>
      <c r="AB803" s="2"/>
    </row>
    <row r="804" spans="8:28" ht="15" customHeight="1">
      <c r="H804" s="2">
        <v>49930</v>
      </c>
      <c r="I804" s="2"/>
      <c r="J804" s="2">
        <v>46765</v>
      </c>
      <c r="K804" s="2"/>
      <c r="L804" s="2">
        <v>49851</v>
      </c>
      <c r="M804" s="2"/>
      <c r="N804" s="2">
        <v>46848</v>
      </c>
      <c r="P804" s="2">
        <v>49905</v>
      </c>
      <c r="Q804" s="2"/>
      <c r="R804" s="2">
        <v>46792</v>
      </c>
      <c r="AB804" s="2"/>
    </row>
    <row r="805" spans="8:28" ht="15" customHeight="1">
      <c r="H805" s="2">
        <v>49929</v>
      </c>
      <c r="I805" s="2"/>
      <c r="J805" s="2">
        <v>46766</v>
      </c>
      <c r="K805" s="2"/>
      <c r="L805" s="2">
        <v>49850</v>
      </c>
      <c r="M805" s="2"/>
      <c r="N805" s="2">
        <v>46849</v>
      </c>
      <c r="P805" s="2">
        <v>49901</v>
      </c>
      <c r="Q805" s="2"/>
      <c r="R805" s="2">
        <v>46793</v>
      </c>
      <c r="AB805" s="2"/>
    </row>
    <row r="806" spans="8:28" ht="15" customHeight="1">
      <c r="H806" s="2">
        <v>49928</v>
      </c>
      <c r="I806" s="2"/>
      <c r="J806" s="2">
        <v>46770</v>
      </c>
      <c r="K806" s="2"/>
      <c r="L806" s="2">
        <v>49849</v>
      </c>
      <c r="M806" s="2"/>
      <c r="N806" s="2">
        <v>46850</v>
      </c>
      <c r="P806" s="2">
        <v>49900</v>
      </c>
      <c r="Q806" s="2"/>
      <c r="R806" s="2">
        <v>46794</v>
      </c>
      <c r="AB806" s="2"/>
    </row>
    <row r="807" spans="8:28" ht="15" customHeight="1">
      <c r="H807" s="2">
        <v>49927</v>
      </c>
      <c r="I807" s="2"/>
      <c r="J807" s="2">
        <v>46771</v>
      </c>
      <c r="K807" s="2"/>
      <c r="L807" s="2">
        <v>49846</v>
      </c>
      <c r="M807" s="2"/>
      <c r="N807" s="2">
        <v>46853</v>
      </c>
      <c r="P807" s="2">
        <v>49899</v>
      </c>
      <c r="Q807" s="2"/>
      <c r="R807" s="2">
        <v>46797</v>
      </c>
      <c r="AB807" s="2"/>
    </row>
    <row r="808" spans="8:28" ht="15" customHeight="1">
      <c r="H808" s="2">
        <v>49926</v>
      </c>
      <c r="I808" s="2"/>
      <c r="J808" s="2">
        <v>46772</v>
      </c>
      <c r="K808" s="2"/>
      <c r="L808" s="2">
        <v>49844</v>
      </c>
      <c r="M808" s="2"/>
      <c r="N808" s="2">
        <v>46854</v>
      </c>
      <c r="P808" s="2">
        <v>49898</v>
      </c>
      <c r="Q808" s="2"/>
      <c r="R808" s="2">
        <v>46798</v>
      </c>
      <c r="AB808" s="2"/>
    </row>
    <row r="809" spans="8:28" ht="15" customHeight="1">
      <c r="H809" s="2">
        <v>49923</v>
      </c>
      <c r="I809" s="2"/>
      <c r="J809" s="2">
        <v>46773</v>
      </c>
      <c r="K809" s="2"/>
      <c r="L809" s="2">
        <v>49843</v>
      </c>
      <c r="M809" s="2"/>
      <c r="N809" s="2">
        <v>46855</v>
      </c>
      <c r="P809" s="2">
        <v>49895</v>
      </c>
      <c r="Q809" s="2"/>
      <c r="R809" s="2">
        <v>46799</v>
      </c>
      <c r="AB809" s="2"/>
    </row>
    <row r="810" spans="8:28" ht="15" customHeight="1">
      <c r="H810" s="2">
        <v>49922</v>
      </c>
      <c r="I810" s="2"/>
      <c r="J810" s="2">
        <v>46776</v>
      </c>
      <c r="K810" s="2"/>
      <c r="L810" s="2">
        <v>49842</v>
      </c>
      <c r="M810" s="2"/>
      <c r="N810" s="2">
        <v>46856</v>
      </c>
      <c r="P810" s="2">
        <v>49894</v>
      </c>
      <c r="Q810" s="2"/>
      <c r="R810" s="2">
        <v>46800</v>
      </c>
      <c r="AB810" s="2"/>
    </row>
    <row r="811" spans="8:28" ht="15" customHeight="1">
      <c r="H811" s="2">
        <v>49921</v>
      </c>
      <c r="I811" s="2"/>
      <c r="J811" s="2">
        <v>46777</v>
      </c>
      <c r="K811" s="2"/>
      <c r="L811" s="2">
        <v>49839</v>
      </c>
      <c r="M811" s="2"/>
      <c r="N811" s="2">
        <v>46860</v>
      </c>
      <c r="P811" s="2">
        <v>49893</v>
      </c>
      <c r="Q811" s="2"/>
      <c r="R811" s="2">
        <v>46801</v>
      </c>
      <c r="AB811" s="2"/>
    </row>
    <row r="812" spans="8:28" ht="15" customHeight="1">
      <c r="H812" s="2">
        <v>49920</v>
      </c>
      <c r="I812" s="2"/>
      <c r="J812" s="2">
        <v>46778</v>
      </c>
      <c r="K812" s="2"/>
      <c r="L812" s="2">
        <v>49838</v>
      </c>
      <c r="M812" s="2"/>
      <c r="N812" s="2">
        <v>46861</v>
      </c>
      <c r="P812" s="2">
        <v>49892</v>
      </c>
      <c r="Q812" s="2"/>
      <c r="R812" s="2">
        <v>46804</v>
      </c>
      <c r="AB812" s="2"/>
    </row>
    <row r="813" spans="8:28" ht="15" customHeight="1">
      <c r="H813" s="2">
        <v>49916</v>
      </c>
      <c r="I813" s="2"/>
      <c r="J813" s="2">
        <v>46779</v>
      </c>
      <c r="K813" s="2"/>
      <c r="L813" s="2">
        <v>49837</v>
      </c>
      <c r="M813" s="2"/>
      <c r="N813" s="2">
        <v>46862</v>
      </c>
      <c r="P813" s="2">
        <v>49891</v>
      </c>
      <c r="Q813" s="2"/>
      <c r="R813" s="2">
        <v>46805</v>
      </c>
      <c r="AB813" s="2"/>
    </row>
    <row r="814" spans="8:28" ht="15" customHeight="1">
      <c r="H814" s="2">
        <v>49915</v>
      </c>
      <c r="I814" s="2"/>
      <c r="J814" s="2">
        <v>46780</v>
      </c>
      <c r="K814" s="2"/>
      <c r="L814" s="2">
        <v>49836</v>
      </c>
      <c r="M814" s="2"/>
      <c r="N814" s="2">
        <v>46863</v>
      </c>
      <c r="P814" s="2">
        <v>49888</v>
      </c>
      <c r="Q814" s="2"/>
      <c r="R814" s="2">
        <v>46806</v>
      </c>
      <c r="AB814" s="2"/>
    </row>
    <row r="815" spans="8:28" ht="15" customHeight="1">
      <c r="H815" s="2">
        <v>49914</v>
      </c>
      <c r="I815" s="2"/>
      <c r="J815" s="2">
        <v>46783</v>
      </c>
      <c r="K815" s="2"/>
      <c r="L815" s="2">
        <v>49835</v>
      </c>
      <c r="M815" s="2"/>
      <c r="N815" s="2">
        <v>46864</v>
      </c>
      <c r="P815" s="2">
        <v>49887</v>
      </c>
      <c r="Q815" s="2"/>
      <c r="R815" s="2">
        <v>46807</v>
      </c>
      <c r="AB815" s="2"/>
    </row>
    <row r="816" spans="8:28" ht="15" customHeight="1">
      <c r="H816" s="2">
        <v>49913</v>
      </c>
      <c r="I816" s="2"/>
      <c r="J816" s="2">
        <v>46784</v>
      </c>
      <c r="K816" s="2"/>
      <c r="L816" s="2">
        <v>49832</v>
      </c>
      <c r="M816" s="2"/>
      <c r="N816" s="2">
        <v>46867</v>
      </c>
      <c r="P816" s="2">
        <v>49886</v>
      </c>
      <c r="Q816" s="2"/>
      <c r="R816" s="2">
        <v>46808</v>
      </c>
      <c r="AB816" s="2"/>
    </row>
    <row r="817" spans="8:28" ht="15" customHeight="1">
      <c r="H817" s="2">
        <v>49912</v>
      </c>
      <c r="I817" s="2"/>
      <c r="J817" s="2">
        <v>46785</v>
      </c>
      <c r="K817" s="2"/>
      <c r="L817" s="2">
        <v>49831</v>
      </c>
      <c r="M817" s="2"/>
      <c r="N817" s="2">
        <v>46868</v>
      </c>
      <c r="P817" s="2">
        <v>49885</v>
      </c>
      <c r="Q817" s="2"/>
      <c r="R817" s="2">
        <v>46811</v>
      </c>
      <c r="AB817" s="2"/>
    </row>
    <row r="818" spans="8:28" ht="15" customHeight="1">
      <c r="H818" s="2">
        <v>49909</v>
      </c>
      <c r="I818" s="2"/>
      <c r="J818" s="2">
        <v>46786</v>
      </c>
      <c r="K818" s="2"/>
      <c r="L818" s="2">
        <v>49830</v>
      </c>
      <c r="M818" s="2"/>
      <c r="N818" s="2">
        <v>46869</v>
      </c>
      <c r="P818" s="2">
        <v>49884</v>
      </c>
      <c r="Q818" s="2"/>
      <c r="R818" s="2">
        <v>46812</v>
      </c>
      <c r="AB818" s="2"/>
    </row>
    <row r="819" spans="8:28" ht="15" customHeight="1">
      <c r="H819" s="2">
        <v>49908</v>
      </c>
      <c r="I819" s="2"/>
      <c r="J819" s="2">
        <v>46787</v>
      </c>
      <c r="K819" s="2"/>
      <c r="L819" s="2">
        <v>49829</v>
      </c>
      <c r="M819" s="2"/>
      <c r="N819" s="2">
        <v>46870</v>
      </c>
      <c r="P819" s="2">
        <v>49881</v>
      </c>
      <c r="Q819" s="2"/>
      <c r="R819" s="2">
        <v>46814</v>
      </c>
      <c r="AB819" s="2"/>
    </row>
    <row r="820" spans="8:28" ht="15" customHeight="1">
      <c r="H820" s="2">
        <v>49907</v>
      </c>
      <c r="I820" s="2"/>
      <c r="J820" s="2">
        <v>46790</v>
      </c>
      <c r="K820" s="2"/>
      <c r="L820" s="2">
        <v>49828</v>
      </c>
      <c r="M820" s="2"/>
      <c r="N820" s="2">
        <v>46871</v>
      </c>
      <c r="P820" s="2">
        <v>49880</v>
      </c>
      <c r="Q820" s="2"/>
      <c r="R820" s="2">
        <v>46815</v>
      </c>
      <c r="AB820" s="2"/>
    </row>
    <row r="821" spans="8:28" ht="15" customHeight="1">
      <c r="H821" s="2">
        <v>49906</v>
      </c>
      <c r="I821" s="2"/>
      <c r="J821" s="2">
        <v>46791</v>
      </c>
      <c r="K821" s="2"/>
      <c r="L821" s="2">
        <v>49825</v>
      </c>
      <c r="M821" s="2"/>
      <c r="N821" s="2">
        <v>46874</v>
      </c>
      <c r="P821" s="2">
        <v>49879</v>
      </c>
      <c r="Q821" s="2"/>
      <c r="R821" s="2">
        <v>46818</v>
      </c>
      <c r="AB821" s="2"/>
    </row>
    <row r="822" spans="8:28" ht="15" customHeight="1">
      <c r="H822" s="2">
        <v>49905</v>
      </c>
      <c r="I822" s="2"/>
      <c r="J822" s="2">
        <v>46792</v>
      </c>
      <c r="K822" s="2"/>
      <c r="L822" s="2">
        <v>49824</v>
      </c>
      <c r="M822" s="2"/>
      <c r="N822" s="2">
        <v>46875</v>
      </c>
      <c r="P822" s="2">
        <v>49878</v>
      </c>
      <c r="Q822" s="2"/>
      <c r="R822" s="2">
        <v>46819</v>
      </c>
      <c r="AB822" s="2"/>
    </row>
    <row r="823" spans="8:28" ht="15" customHeight="1">
      <c r="H823" s="2">
        <v>49902</v>
      </c>
      <c r="I823" s="2"/>
      <c r="J823" s="2">
        <v>46793</v>
      </c>
      <c r="K823" s="2"/>
      <c r="L823" s="2">
        <v>49823</v>
      </c>
      <c r="M823" s="2"/>
      <c r="N823" s="2">
        <v>46881</v>
      </c>
      <c r="P823" s="2">
        <v>49877</v>
      </c>
      <c r="Q823" s="2"/>
      <c r="R823" s="2">
        <v>46820</v>
      </c>
      <c r="AB823" s="2"/>
    </row>
    <row r="824" spans="8:28" ht="15" customHeight="1">
      <c r="H824" s="2">
        <v>49901</v>
      </c>
      <c r="I824" s="2"/>
      <c r="J824" s="2">
        <v>46794</v>
      </c>
      <c r="K824" s="2"/>
      <c r="L824" s="2">
        <v>49822</v>
      </c>
      <c r="M824" s="2"/>
      <c r="N824" s="2">
        <v>46882</v>
      </c>
      <c r="P824" s="2">
        <v>49874</v>
      </c>
      <c r="Q824" s="2"/>
      <c r="R824" s="2">
        <v>46821</v>
      </c>
      <c r="AB824" s="2"/>
    </row>
    <row r="825" spans="8:28" ht="15" customHeight="1">
      <c r="H825" s="2">
        <v>49900</v>
      </c>
      <c r="I825" s="2"/>
      <c r="J825" s="2">
        <v>46797</v>
      </c>
      <c r="K825" s="2"/>
      <c r="L825" s="2">
        <v>49818</v>
      </c>
      <c r="M825" s="2"/>
      <c r="N825" s="2">
        <v>46883</v>
      </c>
      <c r="P825" s="2">
        <v>49873</v>
      </c>
      <c r="Q825" s="2"/>
      <c r="R825" s="2">
        <v>46822</v>
      </c>
      <c r="AB825" s="2"/>
    </row>
    <row r="826" spans="8:28" ht="15" customHeight="1">
      <c r="H826" s="2">
        <v>49899</v>
      </c>
      <c r="I826" s="2"/>
      <c r="J826" s="2">
        <v>46798</v>
      </c>
      <c r="K826" s="2"/>
      <c r="L826" s="2">
        <v>49817</v>
      </c>
      <c r="M826" s="2"/>
      <c r="N826" s="2">
        <v>46884</v>
      </c>
      <c r="P826" s="2">
        <v>49872</v>
      </c>
      <c r="Q826" s="2"/>
      <c r="R826" s="2">
        <v>46825</v>
      </c>
      <c r="AB826" s="2"/>
    </row>
    <row r="827" spans="8:28" ht="15" customHeight="1">
      <c r="H827" s="2">
        <v>49898</v>
      </c>
      <c r="I827" s="2"/>
      <c r="J827" s="2">
        <v>46799</v>
      </c>
      <c r="K827" s="2"/>
      <c r="L827" s="2">
        <v>49816</v>
      </c>
      <c r="M827" s="2"/>
      <c r="N827" s="2">
        <v>46885</v>
      </c>
      <c r="P827" s="2">
        <v>49871</v>
      </c>
      <c r="Q827" s="2"/>
      <c r="R827" s="2">
        <v>46826</v>
      </c>
      <c r="AB827" s="2"/>
    </row>
    <row r="828" spans="8:28" ht="15" customHeight="1">
      <c r="H828" s="2">
        <v>49895</v>
      </c>
      <c r="I828" s="2"/>
      <c r="J828" s="2">
        <v>46800</v>
      </c>
      <c r="K828" s="2"/>
      <c r="L828" s="2">
        <v>49815</v>
      </c>
      <c r="M828" s="2"/>
      <c r="N828" s="2">
        <v>46888</v>
      </c>
      <c r="P828" s="2">
        <v>49870</v>
      </c>
      <c r="Q828" s="2"/>
      <c r="R828" s="2">
        <v>46827</v>
      </c>
      <c r="AB828" s="2"/>
    </row>
    <row r="829" spans="8:28" ht="15" customHeight="1">
      <c r="H829" s="2">
        <v>49894</v>
      </c>
      <c r="I829" s="2"/>
      <c r="J829" s="2">
        <v>46801</v>
      </c>
      <c r="K829" s="2"/>
      <c r="L829" s="2">
        <v>49814</v>
      </c>
      <c r="M829" s="2"/>
      <c r="N829" s="2">
        <v>46889</v>
      </c>
      <c r="P829" s="2">
        <v>49867</v>
      </c>
      <c r="Q829" s="2"/>
      <c r="R829" s="2">
        <v>46828</v>
      </c>
      <c r="AB829" s="2"/>
    </row>
    <row r="830" spans="8:28" ht="15" customHeight="1">
      <c r="H830" s="2">
        <v>49893</v>
      </c>
      <c r="I830" s="2"/>
      <c r="J830" s="2">
        <v>46805</v>
      </c>
      <c r="K830" s="2"/>
      <c r="L830" s="2">
        <v>49811</v>
      </c>
      <c r="M830" s="2"/>
      <c r="N830" s="2">
        <v>46890</v>
      </c>
      <c r="P830" s="2">
        <v>49866</v>
      </c>
      <c r="Q830" s="2"/>
      <c r="R830" s="2">
        <v>46829</v>
      </c>
      <c r="AB830" s="2"/>
    </row>
    <row r="831" spans="8:28" ht="15" customHeight="1">
      <c r="H831" s="2">
        <v>49892</v>
      </c>
      <c r="I831" s="2"/>
      <c r="J831" s="2">
        <v>46806</v>
      </c>
      <c r="K831" s="2"/>
      <c r="L831" s="2">
        <v>49810</v>
      </c>
      <c r="M831" s="2"/>
      <c r="N831" s="2">
        <v>46891</v>
      </c>
      <c r="P831" s="2">
        <v>49865</v>
      </c>
      <c r="Q831" s="2"/>
      <c r="R831" s="2">
        <v>46832</v>
      </c>
      <c r="AB831" s="2"/>
    </row>
    <row r="832" spans="8:28" ht="15" customHeight="1">
      <c r="H832" s="2">
        <v>49891</v>
      </c>
      <c r="I832" s="2"/>
      <c r="J832" s="2">
        <v>46807</v>
      </c>
      <c r="K832" s="2"/>
      <c r="L832" s="2">
        <v>49809</v>
      </c>
      <c r="M832" s="2"/>
      <c r="N832" s="2">
        <v>46892</v>
      </c>
      <c r="P832" s="2">
        <v>49864</v>
      </c>
      <c r="Q832" s="2"/>
      <c r="R832" s="2">
        <v>46833</v>
      </c>
      <c r="AB832" s="2"/>
    </row>
    <row r="833" spans="8:28" ht="15" customHeight="1">
      <c r="H833" s="2">
        <v>49888</v>
      </c>
      <c r="I833" s="2"/>
      <c r="J833" s="2">
        <v>46808</v>
      </c>
      <c r="K833" s="2"/>
      <c r="L833" s="2">
        <v>49808</v>
      </c>
      <c r="M833" s="2"/>
      <c r="N833" s="2">
        <v>46895</v>
      </c>
      <c r="P833" s="2">
        <v>49863</v>
      </c>
      <c r="Q833" s="2"/>
      <c r="R833" s="2">
        <v>46834</v>
      </c>
      <c r="AB833" s="2"/>
    </row>
    <row r="834" spans="8:28" ht="15" customHeight="1">
      <c r="H834" s="2">
        <v>49887</v>
      </c>
      <c r="I834" s="2"/>
      <c r="J834" s="2">
        <v>46811</v>
      </c>
      <c r="K834" s="2"/>
      <c r="L834" s="2">
        <v>49807</v>
      </c>
      <c r="M834" s="2"/>
      <c r="N834" s="2">
        <v>46896</v>
      </c>
      <c r="P834" s="2">
        <v>49860</v>
      </c>
      <c r="Q834" s="2"/>
      <c r="R834" s="2">
        <v>46835</v>
      </c>
      <c r="AB834" s="2"/>
    </row>
    <row r="835" spans="8:28" ht="15" customHeight="1">
      <c r="H835" s="2">
        <v>49886</v>
      </c>
      <c r="I835" s="2"/>
      <c r="J835" s="2">
        <v>46812</v>
      </c>
      <c r="K835" s="2"/>
      <c r="L835" s="2">
        <v>49804</v>
      </c>
      <c r="M835" s="2"/>
      <c r="N835" s="2">
        <v>46897</v>
      </c>
      <c r="P835" s="2">
        <v>49859</v>
      </c>
      <c r="Q835" s="2"/>
      <c r="R835" s="2">
        <v>46836</v>
      </c>
      <c r="AB835" s="2"/>
    </row>
    <row r="836" spans="8:28" ht="15" customHeight="1">
      <c r="H836" s="2">
        <v>49885</v>
      </c>
      <c r="I836" s="2"/>
      <c r="J836" s="2">
        <v>46813</v>
      </c>
      <c r="K836" s="2"/>
      <c r="L836" s="2">
        <v>49803</v>
      </c>
      <c r="M836" s="2"/>
      <c r="N836" s="2">
        <v>46898</v>
      </c>
      <c r="P836" s="2">
        <v>49858</v>
      </c>
      <c r="Q836" s="2"/>
      <c r="R836" s="2">
        <v>46839</v>
      </c>
      <c r="AB836" s="2"/>
    </row>
    <row r="837" spans="8:28" ht="15" customHeight="1">
      <c r="H837" s="2">
        <v>49884</v>
      </c>
      <c r="I837" s="2"/>
      <c r="J837" s="2">
        <v>46814</v>
      </c>
      <c r="K837" s="2"/>
      <c r="L837" s="2">
        <v>49802</v>
      </c>
      <c r="M837" s="2"/>
      <c r="N837" s="2">
        <v>46899</v>
      </c>
      <c r="P837" s="2">
        <v>49857</v>
      </c>
      <c r="Q837" s="2"/>
      <c r="R837" s="2">
        <v>46840</v>
      </c>
      <c r="AB837" s="2"/>
    </row>
    <row r="838" spans="8:28" ht="15" customHeight="1">
      <c r="H838" s="2">
        <v>49881</v>
      </c>
      <c r="I838" s="2"/>
      <c r="J838" s="2">
        <v>46815</v>
      </c>
      <c r="K838" s="2"/>
      <c r="L838" s="2">
        <v>49797</v>
      </c>
      <c r="M838" s="2"/>
      <c r="N838" s="2">
        <v>46903</v>
      </c>
      <c r="P838" s="2">
        <v>49856</v>
      </c>
      <c r="Q838" s="2"/>
      <c r="R838" s="2">
        <v>46841</v>
      </c>
      <c r="AB838" s="2"/>
    </row>
    <row r="839" spans="8:28" ht="15" customHeight="1">
      <c r="H839" s="2">
        <v>49880</v>
      </c>
      <c r="I839" s="2"/>
      <c r="J839" s="2">
        <v>46818</v>
      </c>
      <c r="K839" s="2"/>
      <c r="L839" s="2">
        <v>49796</v>
      </c>
      <c r="M839" s="2"/>
      <c r="N839" s="2">
        <v>46904</v>
      </c>
      <c r="P839" s="2">
        <v>49853</v>
      </c>
      <c r="Q839" s="2"/>
      <c r="R839" s="2">
        <v>46842</v>
      </c>
      <c r="AB839" s="2"/>
    </row>
    <row r="840" spans="8:28" ht="15" customHeight="1">
      <c r="H840" s="2">
        <v>49879</v>
      </c>
      <c r="I840" s="2"/>
      <c r="J840" s="2">
        <v>46819</v>
      </c>
      <c r="K840" s="2"/>
      <c r="L840" s="2">
        <v>49795</v>
      </c>
      <c r="M840" s="2"/>
      <c r="N840" s="2">
        <v>46905</v>
      </c>
      <c r="P840" s="2">
        <v>49852</v>
      </c>
      <c r="Q840" s="2"/>
      <c r="R840" s="2">
        <v>46843</v>
      </c>
      <c r="AB840" s="2"/>
    </row>
    <row r="841" spans="8:28" ht="15" customHeight="1">
      <c r="H841" s="2">
        <v>49878</v>
      </c>
      <c r="I841" s="2"/>
      <c r="J841" s="2">
        <v>46820</v>
      </c>
      <c r="K841" s="2"/>
      <c r="L841" s="2">
        <v>49793</v>
      </c>
      <c r="M841" s="2"/>
      <c r="N841" s="2">
        <v>46906</v>
      </c>
      <c r="P841" s="2">
        <v>49851</v>
      </c>
      <c r="Q841" s="2"/>
      <c r="R841" s="2">
        <v>46846</v>
      </c>
      <c r="AB841" s="2"/>
    </row>
    <row r="842" spans="8:28" ht="15" customHeight="1">
      <c r="H842" s="2">
        <v>49877</v>
      </c>
      <c r="I842" s="2"/>
      <c r="J842" s="2">
        <v>46821</v>
      </c>
      <c r="K842" s="2"/>
      <c r="L842" s="2">
        <v>49790</v>
      </c>
      <c r="M842" s="2"/>
      <c r="N842" s="2">
        <v>46909</v>
      </c>
      <c r="P842" s="2">
        <v>49850</v>
      </c>
      <c r="Q842" s="2"/>
      <c r="R842" s="2">
        <v>46847</v>
      </c>
      <c r="AB842" s="2"/>
    </row>
    <row r="843" spans="8:28" ht="15" customHeight="1">
      <c r="H843" s="2">
        <v>49874</v>
      </c>
      <c r="I843" s="2"/>
      <c r="J843" s="2">
        <v>46822</v>
      </c>
      <c r="K843" s="2"/>
      <c r="L843" s="2">
        <v>49789</v>
      </c>
      <c r="M843" s="2"/>
      <c r="N843" s="2">
        <v>46910</v>
      </c>
      <c r="P843" s="2">
        <v>49849</v>
      </c>
      <c r="Q843" s="2"/>
      <c r="R843" s="2">
        <v>46848</v>
      </c>
      <c r="AB843" s="2"/>
    </row>
    <row r="844" spans="8:28" ht="15" customHeight="1">
      <c r="H844" s="2">
        <v>49873</v>
      </c>
      <c r="I844" s="2"/>
      <c r="J844" s="2">
        <v>46825</v>
      </c>
      <c r="K844" s="2"/>
      <c r="L844" s="2">
        <v>49788</v>
      </c>
      <c r="M844" s="2"/>
      <c r="N844" s="2">
        <v>46911</v>
      </c>
      <c r="P844" s="2">
        <v>49846</v>
      </c>
      <c r="Q844" s="2"/>
      <c r="R844" s="2">
        <v>46849</v>
      </c>
      <c r="AB844" s="2"/>
    </row>
    <row r="845" spans="8:28" ht="15" customHeight="1">
      <c r="H845" s="2">
        <v>49872</v>
      </c>
      <c r="I845" s="2"/>
      <c r="J845" s="2">
        <v>46826</v>
      </c>
      <c r="K845" s="2"/>
      <c r="L845" s="2">
        <v>49787</v>
      </c>
      <c r="M845" s="2"/>
      <c r="N845" s="2">
        <v>46912</v>
      </c>
      <c r="P845" s="2">
        <v>49845</v>
      </c>
      <c r="Q845" s="2"/>
      <c r="R845" s="2">
        <v>46850</v>
      </c>
      <c r="AB845" s="2"/>
    </row>
    <row r="846" spans="8:28" ht="15" customHeight="1">
      <c r="H846" s="2">
        <v>49871</v>
      </c>
      <c r="I846" s="2"/>
      <c r="J846" s="2">
        <v>46827</v>
      </c>
      <c r="K846" s="2"/>
      <c r="L846" s="2">
        <v>49786</v>
      </c>
      <c r="M846" s="2"/>
      <c r="N846" s="2">
        <v>46913</v>
      </c>
      <c r="P846" s="2">
        <v>49844</v>
      </c>
      <c r="Q846" s="2"/>
      <c r="R846" s="2">
        <v>46853</v>
      </c>
      <c r="AB846" s="2"/>
    </row>
    <row r="847" spans="8:28" ht="15" customHeight="1">
      <c r="H847" s="2">
        <v>49870</v>
      </c>
      <c r="I847" s="2"/>
      <c r="J847" s="2">
        <v>46828</v>
      </c>
      <c r="K847" s="2"/>
      <c r="L847" s="2">
        <v>49783</v>
      </c>
      <c r="M847" s="2"/>
      <c r="N847" s="2">
        <v>46916</v>
      </c>
      <c r="P847" s="2">
        <v>49843</v>
      </c>
      <c r="Q847" s="2"/>
      <c r="R847" s="2">
        <v>46854</v>
      </c>
      <c r="AB847" s="2"/>
    </row>
    <row r="848" spans="8:28" ht="15" customHeight="1">
      <c r="H848" s="2">
        <v>49867</v>
      </c>
      <c r="I848" s="2"/>
      <c r="J848" s="2">
        <v>46829</v>
      </c>
      <c r="K848" s="2"/>
      <c r="L848" s="2">
        <v>49782</v>
      </c>
      <c r="M848" s="2"/>
      <c r="N848" s="2">
        <v>46917</v>
      </c>
      <c r="P848" s="2">
        <v>49842</v>
      </c>
      <c r="Q848" s="2"/>
      <c r="R848" s="2">
        <v>46855</v>
      </c>
      <c r="AB848" s="2"/>
    </row>
    <row r="849" spans="8:28" ht="15" customHeight="1">
      <c r="H849" s="2">
        <v>49866</v>
      </c>
      <c r="I849" s="2"/>
      <c r="J849" s="2">
        <v>46832</v>
      </c>
      <c r="K849" s="2"/>
      <c r="L849" s="2">
        <v>49781</v>
      </c>
      <c r="M849" s="2"/>
      <c r="N849" s="2">
        <v>46918</v>
      </c>
      <c r="P849" s="2">
        <v>49839</v>
      </c>
      <c r="Q849" s="2"/>
      <c r="R849" s="2">
        <v>46856</v>
      </c>
      <c r="AB849" s="2"/>
    </row>
    <row r="850" spans="8:28" ht="15" customHeight="1">
      <c r="H850" s="2">
        <v>49865</v>
      </c>
      <c r="I850" s="2"/>
      <c r="J850" s="2">
        <v>46833</v>
      </c>
      <c r="K850" s="2"/>
      <c r="L850" s="2">
        <v>49780</v>
      </c>
      <c r="M850" s="2"/>
      <c r="N850" s="2">
        <v>46919</v>
      </c>
      <c r="P850" s="2">
        <v>49838</v>
      </c>
      <c r="Q850" s="2"/>
      <c r="R850" s="2">
        <v>46857</v>
      </c>
      <c r="AB850" s="2"/>
    </row>
    <row r="851" spans="8:28" ht="15" customHeight="1">
      <c r="H851" s="2">
        <v>49864</v>
      </c>
      <c r="I851" s="2"/>
      <c r="J851" s="2">
        <v>46834</v>
      </c>
      <c r="K851" s="2"/>
      <c r="L851" s="2">
        <v>49779</v>
      </c>
      <c r="M851" s="2"/>
      <c r="N851" s="2">
        <v>46920</v>
      </c>
      <c r="P851" s="2">
        <v>49837</v>
      </c>
      <c r="Q851" s="2"/>
      <c r="R851" s="2">
        <v>46860</v>
      </c>
      <c r="AB851" s="2"/>
    </row>
    <row r="852" spans="8:28" ht="15" customHeight="1">
      <c r="H852" s="2">
        <v>49863</v>
      </c>
      <c r="I852" s="2"/>
      <c r="J852" s="2">
        <v>46835</v>
      </c>
      <c r="K852" s="2"/>
      <c r="L852" s="2">
        <v>49775</v>
      </c>
      <c r="M852" s="2"/>
      <c r="N852" s="2">
        <v>46924</v>
      </c>
      <c r="P852" s="2">
        <v>49836</v>
      </c>
      <c r="Q852" s="2"/>
      <c r="R852" s="2">
        <v>46861</v>
      </c>
      <c r="AB852" s="2"/>
    </row>
    <row r="853" spans="8:28" ht="15" customHeight="1">
      <c r="H853" s="2">
        <v>49859</v>
      </c>
      <c r="I853" s="2"/>
      <c r="J853" s="2">
        <v>46836</v>
      </c>
      <c r="K853" s="2"/>
      <c r="L853" s="2">
        <v>49774</v>
      </c>
      <c r="M853" s="2"/>
      <c r="N853" s="2">
        <v>46925</v>
      </c>
      <c r="P853" s="2">
        <v>49835</v>
      </c>
      <c r="Q853" s="2"/>
      <c r="R853" s="2">
        <v>46862</v>
      </c>
      <c r="AB853" s="2"/>
    </row>
    <row r="854" spans="8:28" ht="15" customHeight="1">
      <c r="H854" s="2">
        <v>49858</v>
      </c>
      <c r="I854" s="2"/>
      <c r="J854" s="2">
        <v>46839</v>
      </c>
      <c r="K854" s="2"/>
      <c r="L854" s="2">
        <v>49773</v>
      </c>
      <c r="M854" s="2"/>
      <c r="N854" s="2">
        <v>46926</v>
      </c>
      <c r="P854" s="2">
        <v>49831</v>
      </c>
      <c r="Q854" s="2"/>
      <c r="R854" s="2">
        <v>46863</v>
      </c>
      <c r="AB854" s="2"/>
    </row>
    <row r="855" spans="8:28" ht="15" customHeight="1">
      <c r="H855" s="2">
        <v>49857</v>
      </c>
      <c r="I855" s="2"/>
      <c r="J855" s="2">
        <v>46840</v>
      </c>
      <c r="K855" s="2"/>
      <c r="L855" s="2">
        <v>49772</v>
      </c>
      <c r="M855" s="2"/>
      <c r="N855" s="2">
        <v>46927</v>
      </c>
      <c r="P855" s="2">
        <v>49830</v>
      </c>
      <c r="Q855" s="2"/>
      <c r="R855" s="2">
        <v>46864</v>
      </c>
      <c r="AB855" s="2"/>
    </row>
    <row r="856" spans="8:28" ht="15" customHeight="1">
      <c r="H856" s="2">
        <v>49856</v>
      </c>
      <c r="I856" s="2"/>
      <c r="J856" s="2">
        <v>46841</v>
      </c>
      <c r="K856" s="2"/>
      <c r="L856" s="2">
        <v>49769</v>
      </c>
      <c r="M856" s="2"/>
      <c r="N856" s="2">
        <v>46930</v>
      </c>
      <c r="P856" s="2">
        <v>49829</v>
      </c>
      <c r="Q856" s="2"/>
      <c r="R856" s="2">
        <v>46867</v>
      </c>
      <c r="AB856" s="2"/>
    </row>
    <row r="857" spans="8:28" ht="15" customHeight="1">
      <c r="H857" s="2">
        <v>49853</v>
      </c>
      <c r="I857" s="2"/>
      <c r="J857" s="2">
        <v>46842</v>
      </c>
      <c r="K857" s="2"/>
      <c r="L857" s="2">
        <v>49768</v>
      </c>
      <c r="M857" s="2"/>
      <c r="N857" s="2">
        <v>46931</v>
      </c>
      <c r="P857" s="2">
        <v>49828</v>
      </c>
      <c r="Q857" s="2"/>
      <c r="R857" s="2">
        <v>46868</v>
      </c>
      <c r="AB857" s="2"/>
    </row>
    <row r="858" spans="8:28" ht="15" customHeight="1">
      <c r="H858" s="2">
        <v>49852</v>
      </c>
      <c r="I858" s="2"/>
      <c r="J858" s="2">
        <v>46843</v>
      </c>
      <c r="K858" s="2"/>
      <c r="L858" s="2">
        <v>49767</v>
      </c>
      <c r="M858" s="2"/>
      <c r="N858" s="2">
        <v>46932</v>
      </c>
      <c r="P858" s="2">
        <v>49825</v>
      </c>
      <c r="Q858" s="2"/>
      <c r="R858" s="2">
        <v>46869</v>
      </c>
      <c r="AB858" s="2"/>
    </row>
    <row r="859" spans="8:28" ht="15" customHeight="1">
      <c r="H859" s="2">
        <v>49851</v>
      </c>
      <c r="I859" s="2"/>
      <c r="J859" s="2">
        <v>46846</v>
      </c>
      <c r="K859" s="2"/>
      <c r="L859" s="2">
        <v>49766</v>
      </c>
      <c r="M859" s="2"/>
      <c r="N859" s="2">
        <v>46933</v>
      </c>
      <c r="P859" s="2">
        <v>49824</v>
      </c>
      <c r="Q859" s="2"/>
      <c r="R859" s="2">
        <v>46870</v>
      </c>
      <c r="AB859" s="2"/>
    </row>
    <row r="860" spans="8:28" ht="15" customHeight="1">
      <c r="H860" s="2">
        <v>49850</v>
      </c>
      <c r="I860" s="2"/>
      <c r="J860" s="2">
        <v>46847</v>
      </c>
      <c r="K860" s="2"/>
      <c r="L860" s="2">
        <v>49765</v>
      </c>
      <c r="M860" s="2"/>
      <c r="N860" s="2">
        <v>46934</v>
      </c>
      <c r="P860" s="2">
        <v>49823</v>
      </c>
      <c r="Q860" s="2"/>
      <c r="R860" s="2">
        <v>46871</v>
      </c>
      <c r="AB860" s="2"/>
    </row>
    <row r="861" spans="8:28" ht="15" customHeight="1">
      <c r="H861" s="2">
        <v>49849</v>
      </c>
      <c r="I861" s="2"/>
      <c r="J861" s="2">
        <v>46848</v>
      </c>
      <c r="K861" s="2"/>
      <c r="L861" s="2">
        <v>49762</v>
      </c>
      <c r="M861" s="2"/>
      <c r="N861" s="2">
        <v>46937</v>
      </c>
      <c r="P861" s="2">
        <v>49822</v>
      </c>
      <c r="Q861" s="2"/>
      <c r="R861" s="2">
        <v>46876</v>
      </c>
      <c r="AB861" s="2"/>
    </row>
    <row r="862" spans="8:28" ht="15" customHeight="1">
      <c r="H862" s="2">
        <v>49846</v>
      </c>
      <c r="I862" s="2"/>
      <c r="J862" s="2">
        <v>46849</v>
      </c>
      <c r="K862" s="2"/>
      <c r="L862" s="2">
        <v>49761</v>
      </c>
      <c r="M862" s="2"/>
      <c r="N862" s="2">
        <v>46939</v>
      </c>
      <c r="P862" s="2">
        <v>49821</v>
      </c>
      <c r="Q862" s="2"/>
      <c r="R862" s="2">
        <v>46877</v>
      </c>
      <c r="AB862" s="2"/>
    </row>
    <row r="863" spans="8:28" ht="15" customHeight="1">
      <c r="H863" s="2">
        <v>49844</v>
      </c>
      <c r="I863" s="2"/>
      <c r="J863" s="2">
        <v>46850</v>
      </c>
      <c r="K863" s="2"/>
      <c r="L863" s="2">
        <v>49760</v>
      </c>
      <c r="M863" s="2"/>
      <c r="N863" s="2">
        <v>46940</v>
      </c>
      <c r="P863" s="2">
        <v>49818</v>
      </c>
      <c r="Q863" s="2"/>
      <c r="R863" s="2">
        <v>46881</v>
      </c>
      <c r="AB863" s="2"/>
    </row>
    <row r="864" spans="8:28" ht="15" customHeight="1">
      <c r="H864" s="2">
        <v>49843</v>
      </c>
      <c r="I864" s="2"/>
      <c r="J864" s="2">
        <v>46853</v>
      </c>
      <c r="K864" s="2"/>
      <c r="L864" s="2">
        <v>49759</v>
      </c>
      <c r="M864" s="2"/>
      <c r="N864" s="2">
        <v>46941</v>
      </c>
      <c r="P864" s="2">
        <v>49817</v>
      </c>
      <c r="Q864" s="2"/>
      <c r="R864" s="2">
        <v>46882</v>
      </c>
      <c r="AB864" s="2"/>
    </row>
    <row r="865" spans="8:28" ht="15" customHeight="1">
      <c r="H865" s="2">
        <v>49842</v>
      </c>
      <c r="I865" s="2"/>
      <c r="J865" s="2">
        <v>46854</v>
      </c>
      <c r="K865" s="2"/>
      <c r="L865" s="2">
        <v>49758</v>
      </c>
      <c r="M865" s="2"/>
      <c r="N865" s="2">
        <v>46944</v>
      </c>
      <c r="P865" s="2">
        <v>49816</v>
      </c>
      <c r="Q865" s="2"/>
      <c r="R865" s="2">
        <v>46883</v>
      </c>
      <c r="AB865" s="2"/>
    </row>
    <row r="866" spans="8:28" ht="15" customHeight="1">
      <c r="H866" s="2">
        <v>49839</v>
      </c>
      <c r="I866" s="2"/>
      <c r="J866" s="2">
        <v>46855</v>
      </c>
      <c r="K866" s="2"/>
      <c r="L866" s="2">
        <v>49755</v>
      </c>
      <c r="M866" s="2"/>
      <c r="N866" s="2">
        <v>46945</v>
      </c>
      <c r="P866" s="2">
        <v>49815</v>
      </c>
      <c r="Q866" s="2"/>
      <c r="R866" s="2">
        <v>46884</v>
      </c>
      <c r="AB866" s="2"/>
    </row>
    <row r="867" spans="8:28" ht="15" customHeight="1">
      <c r="H867" s="2">
        <v>49838</v>
      </c>
      <c r="I867" s="2"/>
      <c r="J867" s="2">
        <v>46856</v>
      </c>
      <c r="K867" s="2"/>
      <c r="L867" s="2">
        <v>49753</v>
      </c>
      <c r="M867" s="2"/>
      <c r="N867" s="2">
        <v>46946</v>
      </c>
      <c r="P867" s="2">
        <v>49814</v>
      </c>
      <c r="Q867" s="2"/>
      <c r="R867" s="2">
        <v>46885</v>
      </c>
      <c r="AB867" s="2"/>
    </row>
    <row r="868" spans="8:28" ht="15" customHeight="1">
      <c r="H868" s="2">
        <v>49837</v>
      </c>
      <c r="I868" s="2"/>
      <c r="J868" s="2">
        <v>46860</v>
      </c>
      <c r="K868" s="2"/>
      <c r="L868" s="2">
        <v>49752</v>
      </c>
      <c r="M868" s="2"/>
      <c r="N868" s="2">
        <v>46947</v>
      </c>
      <c r="P868" s="2">
        <v>49811</v>
      </c>
      <c r="Q868" s="2"/>
      <c r="R868" s="2">
        <v>46888</v>
      </c>
      <c r="AB868" s="2"/>
    </row>
    <row r="869" spans="8:28" ht="15" customHeight="1">
      <c r="H869" s="2">
        <v>49836</v>
      </c>
      <c r="I869" s="2"/>
      <c r="J869" s="2">
        <v>46861</v>
      </c>
      <c r="K869" s="2"/>
      <c r="L869" s="2">
        <v>49751</v>
      </c>
      <c r="M869" s="2"/>
      <c r="N869" s="2">
        <v>46948</v>
      </c>
      <c r="P869" s="2">
        <v>49810</v>
      </c>
      <c r="Q869" s="2"/>
      <c r="R869" s="2">
        <v>46889</v>
      </c>
      <c r="AB869" s="2"/>
    </row>
    <row r="870" spans="8:28" ht="15" customHeight="1">
      <c r="H870" s="2">
        <v>49835</v>
      </c>
      <c r="I870" s="2"/>
      <c r="J870" s="2">
        <v>46862</v>
      </c>
      <c r="K870" s="2"/>
      <c r="L870" s="2">
        <v>49748</v>
      </c>
      <c r="M870" s="2"/>
      <c r="N870" s="2">
        <v>46952</v>
      </c>
      <c r="P870" s="2">
        <v>49809</v>
      </c>
      <c r="Q870" s="2"/>
      <c r="R870" s="2">
        <v>46890</v>
      </c>
      <c r="AB870" s="2"/>
    </row>
    <row r="871" spans="8:28" ht="15" customHeight="1">
      <c r="H871" s="2">
        <v>49832</v>
      </c>
      <c r="I871" s="2"/>
      <c r="J871" s="2">
        <v>46863</v>
      </c>
      <c r="K871" s="2"/>
      <c r="L871" s="2">
        <v>49747</v>
      </c>
      <c r="M871" s="2"/>
      <c r="N871" s="2">
        <v>46953</v>
      </c>
      <c r="P871" s="2">
        <v>49808</v>
      </c>
      <c r="Q871" s="2"/>
      <c r="R871" s="2">
        <v>46891</v>
      </c>
      <c r="AB871" s="2"/>
    </row>
    <row r="872" spans="8:28" ht="15" customHeight="1">
      <c r="H872" s="2">
        <v>49831</v>
      </c>
      <c r="I872" s="2"/>
      <c r="J872" s="2">
        <v>46864</v>
      </c>
      <c r="K872" s="2"/>
      <c r="L872" s="2">
        <v>49746</v>
      </c>
      <c r="M872" s="2"/>
      <c r="N872" s="2">
        <v>46954</v>
      </c>
      <c r="P872" s="2">
        <v>49807</v>
      </c>
      <c r="Q872" s="2"/>
      <c r="R872" s="2">
        <v>46892</v>
      </c>
      <c r="AB872" s="2"/>
    </row>
    <row r="873" spans="8:28" ht="15" customHeight="1">
      <c r="H873" s="2">
        <v>49830</v>
      </c>
      <c r="I873" s="2"/>
      <c r="J873" s="2">
        <v>46867</v>
      </c>
      <c r="K873" s="2"/>
      <c r="L873" s="2">
        <v>49745</v>
      </c>
      <c r="M873" s="2"/>
      <c r="N873" s="2">
        <v>46955</v>
      </c>
      <c r="P873" s="2">
        <v>49804</v>
      </c>
      <c r="Q873" s="2"/>
      <c r="R873" s="2">
        <v>46895</v>
      </c>
      <c r="AB873" s="2"/>
    </row>
    <row r="874" spans="8:28" ht="15" customHeight="1">
      <c r="H874" s="2">
        <v>49829</v>
      </c>
      <c r="I874" s="2"/>
      <c r="J874" s="2">
        <v>46868</v>
      </c>
      <c r="K874" s="2"/>
      <c r="L874" s="2">
        <v>49744</v>
      </c>
      <c r="M874" s="2"/>
      <c r="N874" s="2">
        <v>46958</v>
      </c>
      <c r="P874" s="2">
        <v>49803</v>
      </c>
      <c r="Q874" s="2"/>
      <c r="R874" s="2">
        <v>46896</v>
      </c>
      <c r="AB874" s="2"/>
    </row>
    <row r="875" spans="8:28" ht="15" customHeight="1">
      <c r="H875" s="2">
        <v>49828</v>
      </c>
      <c r="I875" s="2"/>
      <c r="J875" s="2">
        <v>46869</v>
      </c>
      <c r="K875" s="2"/>
      <c r="L875" s="2">
        <v>49741</v>
      </c>
      <c r="M875" s="2"/>
      <c r="N875" s="2">
        <v>46959</v>
      </c>
      <c r="P875" s="2">
        <v>49802</v>
      </c>
      <c r="Q875" s="2"/>
      <c r="R875" s="2">
        <v>46897</v>
      </c>
      <c r="AB875" s="2"/>
    </row>
    <row r="876" spans="8:28" ht="15" customHeight="1">
      <c r="H876" s="2">
        <v>49825</v>
      </c>
      <c r="I876" s="2"/>
      <c r="J876" s="2">
        <v>46870</v>
      </c>
      <c r="K876" s="2"/>
      <c r="L876" s="2">
        <v>49740</v>
      </c>
      <c r="M876" s="2"/>
      <c r="N876" s="2">
        <v>46960</v>
      </c>
      <c r="P876" s="2">
        <v>49797</v>
      </c>
      <c r="Q876" s="2"/>
      <c r="R876" s="2">
        <v>46898</v>
      </c>
      <c r="AB876" s="2"/>
    </row>
    <row r="877" spans="8:28" ht="15" customHeight="1">
      <c r="H877" s="2">
        <v>49824</v>
      </c>
      <c r="I877" s="2"/>
      <c r="J877" s="2">
        <v>46871</v>
      </c>
      <c r="K877" s="2"/>
      <c r="L877" s="2">
        <v>49739</v>
      </c>
      <c r="M877" s="2"/>
      <c r="N877" s="2">
        <v>46961</v>
      </c>
      <c r="P877" s="2">
        <v>49795</v>
      </c>
      <c r="Q877" s="2"/>
      <c r="R877" s="2">
        <v>46899</v>
      </c>
      <c r="AB877" s="2"/>
    </row>
    <row r="878" spans="8:28" ht="15" customHeight="1">
      <c r="H878" s="2">
        <v>49823</v>
      </c>
      <c r="I878" s="2"/>
      <c r="J878" s="2">
        <v>46874</v>
      </c>
      <c r="K878" s="2"/>
      <c r="L878" s="2">
        <v>49738</v>
      </c>
      <c r="M878" s="2"/>
      <c r="N878" s="2">
        <v>46962</v>
      </c>
      <c r="P878" s="2">
        <v>49794</v>
      </c>
      <c r="Q878" s="2"/>
      <c r="R878" s="2">
        <v>46902</v>
      </c>
      <c r="AB878" s="2"/>
    </row>
    <row r="879" spans="8:28" ht="15" customHeight="1">
      <c r="H879" s="2">
        <v>49822</v>
      </c>
      <c r="I879" s="2"/>
      <c r="J879" s="2">
        <v>46875</v>
      </c>
      <c r="K879" s="2"/>
      <c r="L879" s="2">
        <v>49737</v>
      </c>
      <c r="M879" s="2"/>
      <c r="N879" s="2">
        <v>46965</v>
      </c>
      <c r="P879" s="2">
        <v>49793</v>
      </c>
      <c r="Q879" s="2"/>
      <c r="R879" s="2">
        <v>46903</v>
      </c>
      <c r="AB879" s="2"/>
    </row>
    <row r="880" spans="8:28" ht="15" customHeight="1">
      <c r="H880" s="2">
        <v>49818</v>
      </c>
      <c r="I880" s="2"/>
      <c r="J880" s="2">
        <v>46876</v>
      </c>
      <c r="K880" s="2"/>
      <c r="L880" s="2">
        <v>49734</v>
      </c>
      <c r="M880" s="2"/>
      <c r="N880" s="2">
        <v>46966</v>
      </c>
      <c r="P880" s="2">
        <v>49790</v>
      </c>
      <c r="Q880" s="2"/>
      <c r="R880" s="2">
        <v>46904</v>
      </c>
      <c r="AB880" s="2"/>
    </row>
    <row r="881" spans="8:28" ht="15" customHeight="1">
      <c r="H881" s="2">
        <v>49817</v>
      </c>
      <c r="I881" s="2"/>
      <c r="J881" s="2">
        <v>46877</v>
      </c>
      <c r="K881" s="2"/>
      <c r="L881" s="2">
        <v>49733</v>
      </c>
      <c r="M881" s="2"/>
      <c r="N881" s="2">
        <v>46967</v>
      </c>
      <c r="P881" s="2">
        <v>49789</v>
      </c>
      <c r="Q881" s="2"/>
      <c r="R881" s="2">
        <v>46905</v>
      </c>
      <c r="AB881" s="2"/>
    </row>
    <row r="882" spans="8:28" ht="15" customHeight="1">
      <c r="H882" s="2">
        <v>49816</v>
      </c>
      <c r="I882" s="2"/>
      <c r="J882" s="2">
        <v>46878</v>
      </c>
      <c r="K882" s="2"/>
      <c r="L882" s="2">
        <v>49732</v>
      </c>
      <c r="M882" s="2"/>
      <c r="N882" s="2">
        <v>46968</v>
      </c>
      <c r="P882" s="2">
        <v>49788</v>
      </c>
      <c r="Q882" s="2"/>
      <c r="R882" s="2">
        <v>46906</v>
      </c>
      <c r="AB882" s="2"/>
    </row>
    <row r="883" spans="8:28" ht="15" customHeight="1">
      <c r="H883" s="2">
        <v>49815</v>
      </c>
      <c r="I883" s="2"/>
      <c r="J883" s="2">
        <v>46881</v>
      </c>
      <c r="K883" s="2"/>
      <c r="L883" s="2">
        <v>49731</v>
      </c>
      <c r="M883" s="2"/>
      <c r="N883" s="2">
        <v>46969</v>
      </c>
      <c r="P883" s="2">
        <v>49787</v>
      </c>
      <c r="Q883" s="2"/>
      <c r="R883" s="2">
        <v>46909</v>
      </c>
      <c r="AB883" s="2"/>
    </row>
    <row r="884" spans="8:28" ht="15" customHeight="1">
      <c r="H884" s="2">
        <v>49814</v>
      </c>
      <c r="I884" s="2"/>
      <c r="J884" s="2">
        <v>46882</v>
      </c>
      <c r="K884" s="2"/>
      <c r="L884" s="2">
        <v>49730</v>
      </c>
      <c r="M884" s="2"/>
      <c r="N884" s="2">
        <v>46972</v>
      </c>
      <c r="P884" s="2">
        <v>49786</v>
      </c>
      <c r="Q884" s="2"/>
      <c r="R884" s="2">
        <v>46911</v>
      </c>
      <c r="AB884" s="2"/>
    </row>
    <row r="885" spans="8:28" ht="15" customHeight="1">
      <c r="H885" s="2">
        <v>49811</v>
      </c>
      <c r="I885" s="2"/>
      <c r="J885" s="2">
        <v>46883</v>
      </c>
      <c r="K885" s="2"/>
      <c r="L885" s="2">
        <v>49727</v>
      </c>
      <c r="M885" s="2"/>
      <c r="N885" s="2">
        <v>46973</v>
      </c>
      <c r="P885" s="2">
        <v>49783</v>
      </c>
      <c r="Q885" s="2"/>
      <c r="R885" s="2">
        <v>46912</v>
      </c>
      <c r="AB885" s="2"/>
    </row>
    <row r="886" spans="8:28" ht="15" customHeight="1">
      <c r="H886" s="2">
        <v>49810</v>
      </c>
      <c r="I886" s="2"/>
      <c r="J886" s="2">
        <v>46884</v>
      </c>
      <c r="K886" s="2"/>
      <c r="L886" s="2">
        <v>49726</v>
      </c>
      <c r="M886" s="2"/>
      <c r="N886" s="2">
        <v>46974</v>
      </c>
      <c r="P886" s="2">
        <v>49782</v>
      </c>
      <c r="Q886" s="2"/>
      <c r="R886" s="2">
        <v>46913</v>
      </c>
      <c r="AB886" s="2"/>
    </row>
    <row r="887" spans="8:28" ht="15" customHeight="1">
      <c r="H887" s="2">
        <v>49809</v>
      </c>
      <c r="I887" s="2"/>
      <c r="J887" s="2">
        <v>46885</v>
      </c>
      <c r="K887" s="2"/>
      <c r="L887" s="2">
        <v>49725</v>
      </c>
      <c r="M887" s="2"/>
      <c r="N887" s="2">
        <v>46975</v>
      </c>
      <c r="P887" s="2">
        <v>49781</v>
      </c>
      <c r="Q887" s="2"/>
      <c r="R887" s="2">
        <v>46916</v>
      </c>
      <c r="AB887" s="2"/>
    </row>
    <row r="888" spans="8:28" ht="15" customHeight="1">
      <c r="H888" s="2">
        <v>49808</v>
      </c>
      <c r="I888" s="2"/>
      <c r="J888" s="2">
        <v>46888</v>
      </c>
      <c r="K888" s="2"/>
      <c r="L888" s="2">
        <v>49724</v>
      </c>
      <c r="M888" s="2"/>
      <c r="N888" s="2">
        <v>46979</v>
      </c>
      <c r="P888" s="2">
        <v>49780</v>
      </c>
      <c r="Q888" s="2"/>
      <c r="R888" s="2">
        <v>46917</v>
      </c>
      <c r="AB888" s="2"/>
    </row>
    <row r="889" spans="8:28" ht="15" customHeight="1">
      <c r="H889" s="2">
        <v>49807</v>
      </c>
      <c r="I889" s="2"/>
      <c r="J889" s="2">
        <v>46889</v>
      </c>
      <c r="K889" s="2"/>
      <c r="L889" s="2">
        <v>49720</v>
      </c>
      <c r="M889" s="2"/>
      <c r="N889" s="2">
        <v>46980</v>
      </c>
      <c r="P889" s="2">
        <v>49779</v>
      </c>
      <c r="Q889" s="2"/>
      <c r="R889" s="2">
        <v>46918</v>
      </c>
      <c r="AB889" s="2"/>
    </row>
    <row r="890" spans="8:28" ht="15" customHeight="1">
      <c r="H890" s="2">
        <v>49804</v>
      </c>
      <c r="I890" s="2"/>
      <c r="J890" s="2">
        <v>46890</v>
      </c>
      <c r="K890" s="2"/>
      <c r="L890" s="2">
        <v>49719</v>
      </c>
      <c r="M890" s="2"/>
      <c r="N890" s="2">
        <v>46981</v>
      </c>
      <c r="P890" s="2">
        <v>49776</v>
      </c>
      <c r="Q890" s="2"/>
      <c r="R890" s="2">
        <v>46919</v>
      </c>
      <c r="AB890" s="2"/>
    </row>
    <row r="891" spans="8:28" ht="15" customHeight="1">
      <c r="H891" s="2">
        <v>49803</v>
      </c>
      <c r="I891" s="2"/>
      <c r="J891" s="2">
        <v>46891</v>
      </c>
      <c r="K891" s="2"/>
      <c r="L891" s="2">
        <v>49718</v>
      </c>
      <c r="M891" s="2"/>
      <c r="N891" s="2">
        <v>46982</v>
      </c>
      <c r="P891" s="2">
        <v>49775</v>
      </c>
      <c r="Q891" s="2"/>
      <c r="R891" s="2">
        <v>46920</v>
      </c>
      <c r="AB891" s="2"/>
    </row>
    <row r="892" spans="8:28" ht="15" customHeight="1">
      <c r="H892" s="2">
        <v>49802</v>
      </c>
      <c r="I892" s="2"/>
      <c r="J892" s="2">
        <v>46892</v>
      </c>
      <c r="K892" s="2"/>
      <c r="L892" s="2">
        <v>49717</v>
      </c>
      <c r="M892" s="2"/>
      <c r="N892" s="2">
        <v>46983</v>
      </c>
      <c r="P892" s="2">
        <v>49774</v>
      </c>
      <c r="Q892" s="2"/>
      <c r="R892" s="2">
        <v>46923</v>
      </c>
      <c r="AB892" s="2"/>
    </row>
    <row r="893" spans="8:28" ht="15" customHeight="1">
      <c r="H893" s="2">
        <v>49801</v>
      </c>
      <c r="I893" s="2"/>
      <c r="J893" s="2">
        <v>46895</v>
      </c>
      <c r="K893" s="2"/>
      <c r="L893" s="2">
        <v>49713</v>
      </c>
      <c r="M893" s="2"/>
      <c r="N893" s="2">
        <v>46986</v>
      </c>
      <c r="P893" s="2">
        <v>49773</v>
      </c>
      <c r="Q893" s="2"/>
      <c r="R893" s="2">
        <v>46924</v>
      </c>
      <c r="AB893" s="2"/>
    </row>
    <row r="894" spans="8:28" ht="15" customHeight="1">
      <c r="H894" s="2">
        <v>49800</v>
      </c>
      <c r="I894" s="2"/>
      <c r="J894" s="2">
        <v>46896</v>
      </c>
      <c r="K894" s="2"/>
      <c r="L894" s="2">
        <v>49712</v>
      </c>
      <c r="M894" s="2"/>
      <c r="N894" s="2">
        <v>46987</v>
      </c>
      <c r="P894" s="2">
        <v>49772</v>
      </c>
      <c r="Q894" s="2"/>
      <c r="R894" s="2">
        <v>46925</v>
      </c>
      <c r="AB894" s="2"/>
    </row>
    <row r="895" spans="8:28" ht="15" customHeight="1">
      <c r="H895" s="2">
        <v>49797</v>
      </c>
      <c r="I895" s="2"/>
      <c r="J895" s="2">
        <v>46897</v>
      </c>
      <c r="K895" s="2"/>
      <c r="L895" s="2">
        <v>49711</v>
      </c>
      <c r="M895" s="2"/>
      <c r="N895" s="2">
        <v>46988</v>
      </c>
      <c r="P895" s="2">
        <v>49769</v>
      </c>
      <c r="Q895" s="2"/>
      <c r="R895" s="2">
        <v>46926</v>
      </c>
      <c r="AB895" s="2"/>
    </row>
    <row r="896" spans="8:28" ht="15" customHeight="1">
      <c r="H896" s="2">
        <v>49796</v>
      </c>
      <c r="I896" s="2"/>
      <c r="J896" s="2">
        <v>46898</v>
      </c>
      <c r="K896" s="2"/>
      <c r="L896" s="2">
        <v>49710</v>
      </c>
      <c r="M896" s="2"/>
      <c r="N896" s="2">
        <v>46989</v>
      </c>
      <c r="P896" s="2">
        <v>49768</v>
      </c>
      <c r="Q896" s="2"/>
      <c r="R896" s="2">
        <v>46927</v>
      </c>
      <c r="AB896" s="2"/>
    </row>
    <row r="897" spans="8:28" ht="15" customHeight="1">
      <c r="H897" s="2">
        <v>49795</v>
      </c>
      <c r="I897" s="2"/>
      <c r="J897" s="2">
        <v>46899</v>
      </c>
      <c r="K897" s="2"/>
      <c r="L897" s="2">
        <v>49709</v>
      </c>
      <c r="M897" s="2"/>
      <c r="N897" s="2">
        <v>46990</v>
      </c>
      <c r="P897" s="2">
        <v>49767</v>
      </c>
      <c r="Q897" s="2"/>
      <c r="R897" s="2">
        <v>46930</v>
      </c>
      <c r="AB897" s="2"/>
    </row>
    <row r="898" spans="8:28" ht="15" customHeight="1">
      <c r="H898" s="2">
        <v>49794</v>
      </c>
      <c r="I898" s="2"/>
      <c r="J898" s="2">
        <v>46903</v>
      </c>
      <c r="K898" s="2"/>
      <c r="L898" s="2">
        <v>49706</v>
      </c>
      <c r="M898" s="2"/>
      <c r="N898" s="2">
        <v>46993</v>
      </c>
      <c r="P898" s="2">
        <v>49766</v>
      </c>
      <c r="Q898" s="2"/>
      <c r="R898" s="2">
        <v>46931</v>
      </c>
      <c r="AB898" s="2"/>
    </row>
    <row r="899" spans="8:28" ht="15" customHeight="1">
      <c r="H899" s="2">
        <v>49793</v>
      </c>
      <c r="I899" s="2"/>
      <c r="J899" s="2">
        <v>46904</v>
      </c>
      <c r="K899" s="2"/>
      <c r="L899" s="2">
        <v>49705</v>
      </c>
      <c r="M899" s="2"/>
      <c r="N899" s="2">
        <v>46994</v>
      </c>
      <c r="P899" s="2">
        <v>49765</v>
      </c>
      <c r="Q899" s="2"/>
      <c r="R899" s="2">
        <v>46932</v>
      </c>
      <c r="AB899" s="2"/>
    </row>
    <row r="900" spans="8:28" ht="15" customHeight="1">
      <c r="H900" s="2">
        <v>49790</v>
      </c>
      <c r="I900" s="2"/>
      <c r="J900" s="2">
        <v>46905</v>
      </c>
      <c r="K900" s="2"/>
      <c r="L900" s="2">
        <v>49704</v>
      </c>
      <c r="M900" s="2"/>
      <c r="N900" s="2">
        <v>46995</v>
      </c>
      <c r="P900" s="2">
        <v>49762</v>
      </c>
      <c r="Q900" s="2"/>
      <c r="R900" s="2">
        <v>46933</v>
      </c>
      <c r="AB900" s="2"/>
    </row>
    <row r="901" spans="8:28" ht="15" customHeight="1">
      <c r="H901" s="2">
        <v>49789</v>
      </c>
      <c r="I901" s="2"/>
      <c r="J901" s="2">
        <v>46906</v>
      </c>
      <c r="K901" s="2"/>
      <c r="L901" s="2">
        <v>49703</v>
      </c>
      <c r="M901" s="2"/>
      <c r="N901" s="2">
        <v>46996</v>
      </c>
      <c r="P901" s="2">
        <v>49761</v>
      </c>
      <c r="Q901" s="2"/>
      <c r="R901" s="2">
        <v>46934</v>
      </c>
      <c r="AB901" s="2"/>
    </row>
    <row r="902" spans="8:28" ht="15" customHeight="1">
      <c r="H902" s="2">
        <v>49788</v>
      </c>
      <c r="I902" s="2"/>
      <c r="J902" s="2">
        <v>46909</v>
      </c>
      <c r="K902" s="2"/>
      <c r="L902" s="2">
        <v>49702</v>
      </c>
      <c r="M902" s="2"/>
      <c r="N902" s="2">
        <v>46997</v>
      </c>
      <c r="P902" s="2">
        <v>49760</v>
      </c>
      <c r="Q902" s="2"/>
      <c r="R902" s="2">
        <v>46937</v>
      </c>
      <c r="AB902" s="2"/>
    </row>
    <row r="903" spans="8:28" ht="15" customHeight="1">
      <c r="H903" s="2">
        <v>49787</v>
      </c>
      <c r="I903" s="2"/>
      <c r="J903" s="2">
        <v>46910</v>
      </c>
      <c r="K903" s="2"/>
      <c r="L903" s="2">
        <v>49699</v>
      </c>
      <c r="M903" s="2"/>
      <c r="N903" s="2">
        <v>47001</v>
      </c>
      <c r="P903" s="2">
        <v>49759</v>
      </c>
      <c r="Q903" s="2"/>
      <c r="R903" s="2">
        <v>46938</v>
      </c>
      <c r="AB903" s="2"/>
    </row>
    <row r="904" spans="8:28" ht="15" customHeight="1">
      <c r="H904" s="2">
        <v>49786</v>
      </c>
      <c r="I904" s="2"/>
      <c r="J904" s="2">
        <v>46911</v>
      </c>
      <c r="K904" s="2"/>
      <c r="L904" s="2">
        <v>49698</v>
      </c>
      <c r="M904" s="2"/>
      <c r="N904" s="2">
        <v>47002</v>
      </c>
      <c r="P904" s="2">
        <v>49758</v>
      </c>
      <c r="Q904" s="2"/>
      <c r="R904" s="2">
        <v>46939</v>
      </c>
      <c r="AB904" s="2"/>
    </row>
    <row r="905" spans="8:28" ht="15" customHeight="1">
      <c r="H905" s="2">
        <v>49783</v>
      </c>
      <c r="I905" s="2"/>
      <c r="J905" s="2">
        <v>46912</v>
      </c>
      <c r="K905" s="2"/>
      <c r="L905" s="2">
        <v>49697</v>
      </c>
      <c r="M905" s="2"/>
      <c r="N905" s="2">
        <v>47003</v>
      </c>
      <c r="P905" s="2">
        <v>49755</v>
      </c>
      <c r="Q905" s="2"/>
      <c r="R905" s="2">
        <v>46940</v>
      </c>
      <c r="AB905" s="2"/>
    </row>
    <row r="906" spans="8:28" ht="15" customHeight="1">
      <c r="H906" s="2">
        <v>49782</v>
      </c>
      <c r="I906" s="2"/>
      <c r="J906" s="2">
        <v>46913</v>
      </c>
      <c r="K906" s="2"/>
      <c r="L906" s="2">
        <v>49696</v>
      </c>
      <c r="M906" s="2"/>
      <c r="N906" s="2">
        <v>47004</v>
      </c>
      <c r="P906" s="2">
        <v>49754</v>
      </c>
      <c r="Q906" s="2"/>
      <c r="R906" s="2">
        <v>46941</v>
      </c>
      <c r="AB906" s="2"/>
    </row>
    <row r="907" spans="8:28" ht="15" customHeight="1">
      <c r="H907" s="2">
        <v>49781</v>
      </c>
      <c r="I907" s="2"/>
      <c r="J907" s="2">
        <v>46916</v>
      </c>
      <c r="K907" s="2"/>
      <c r="L907" s="2">
        <v>49692</v>
      </c>
      <c r="M907" s="2"/>
      <c r="N907" s="2">
        <v>47007</v>
      </c>
      <c r="P907" s="2">
        <v>49753</v>
      </c>
      <c r="Q907" s="2"/>
      <c r="R907" s="2">
        <v>46944</v>
      </c>
      <c r="AB907" s="2"/>
    </row>
    <row r="908" spans="8:28" ht="15" customHeight="1">
      <c r="H908" s="2">
        <v>49780</v>
      </c>
      <c r="I908" s="2"/>
      <c r="J908" s="2">
        <v>46917</v>
      </c>
      <c r="K908" s="2"/>
      <c r="L908" s="2">
        <v>49691</v>
      </c>
      <c r="M908" s="2"/>
      <c r="N908" s="2">
        <v>47008</v>
      </c>
      <c r="P908" s="2">
        <v>49752</v>
      </c>
      <c r="Q908" s="2"/>
      <c r="R908" s="2">
        <v>46945</v>
      </c>
      <c r="AB908" s="2"/>
    </row>
    <row r="909" spans="8:28" ht="15" customHeight="1">
      <c r="H909" s="2">
        <v>49779</v>
      </c>
      <c r="I909" s="2"/>
      <c r="J909" s="2">
        <v>46918</v>
      </c>
      <c r="K909" s="2"/>
      <c r="L909" s="2">
        <v>49690</v>
      </c>
      <c r="M909" s="2"/>
      <c r="N909" s="2">
        <v>47009</v>
      </c>
      <c r="P909" s="2">
        <v>49751</v>
      </c>
      <c r="Q909" s="2"/>
      <c r="R909" s="2">
        <v>46946</v>
      </c>
      <c r="AB909" s="2"/>
    </row>
    <row r="910" spans="8:28" ht="15" customHeight="1">
      <c r="H910" s="2">
        <v>49775</v>
      </c>
      <c r="I910" s="2"/>
      <c r="J910" s="2">
        <v>46919</v>
      </c>
      <c r="K910" s="2"/>
      <c r="L910" s="2">
        <v>49689</v>
      </c>
      <c r="M910" s="2"/>
      <c r="N910" s="2">
        <v>47010</v>
      </c>
      <c r="P910" s="2">
        <v>49748</v>
      </c>
      <c r="Q910" s="2"/>
      <c r="R910" s="2">
        <v>46947</v>
      </c>
      <c r="AB910" s="2"/>
    </row>
    <row r="911" spans="8:28" ht="15" customHeight="1">
      <c r="H911" s="2">
        <v>49774</v>
      </c>
      <c r="I911" s="2"/>
      <c r="J911" s="2">
        <v>46920</v>
      </c>
      <c r="K911" s="2"/>
      <c r="L911" s="2">
        <v>49685</v>
      </c>
      <c r="M911" s="2"/>
      <c r="N911" s="2">
        <v>47011</v>
      </c>
      <c r="P911" s="2">
        <v>49747</v>
      </c>
      <c r="Q911" s="2"/>
      <c r="R911" s="2">
        <v>46948</v>
      </c>
      <c r="AB911" s="2"/>
    </row>
    <row r="912" spans="8:28" ht="15" customHeight="1">
      <c r="H912" s="2">
        <v>49773</v>
      </c>
      <c r="I912" s="2"/>
      <c r="J912" s="2">
        <v>46924</v>
      </c>
      <c r="K912" s="2"/>
      <c r="L912" s="2">
        <v>49684</v>
      </c>
      <c r="M912" s="2"/>
      <c r="N912" s="2">
        <v>47015</v>
      </c>
      <c r="P912" s="2">
        <v>49746</v>
      </c>
      <c r="Q912" s="2"/>
      <c r="R912" s="2">
        <v>46951</v>
      </c>
      <c r="AB912" s="2"/>
    </row>
    <row r="913" spans="8:28" ht="15" customHeight="1">
      <c r="H913" s="2">
        <v>49772</v>
      </c>
      <c r="I913" s="2"/>
      <c r="J913" s="2">
        <v>46925</v>
      </c>
      <c r="K913" s="2"/>
      <c r="L913" s="2">
        <v>49683</v>
      </c>
      <c r="M913" s="2"/>
      <c r="N913" s="2">
        <v>47016</v>
      </c>
      <c r="P913" s="2">
        <v>49745</v>
      </c>
      <c r="Q913" s="2"/>
      <c r="R913" s="2">
        <v>46952</v>
      </c>
      <c r="AB913" s="2"/>
    </row>
    <row r="914" spans="8:28" ht="15" customHeight="1">
      <c r="H914" s="2">
        <v>49769</v>
      </c>
      <c r="I914" s="2"/>
      <c r="J914" s="2">
        <v>46926</v>
      </c>
      <c r="K914" s="2"/>
      <c r="L914" s="2">
        <v>49682</v>
      </c>
      <c r="M914" s="2"/>
      <c r="N914" s="2">
        <v>47017</v>
      </c>
      <c r="P914" s="2">
        <v>49744</v>
      </c>
      <c r="Q914" s="2"/>
      <c r="R914" s="2">
        <v>46953</v>
      </c>
      <c r="AB914" s="2"/>
    </row>
    <row r="915" spans="8:28" ht="15" customHeight="1">
      <c r="H915" s="2">
        <v>49768</v>
      </c>
      <c r="I915" s="2"/>
      <c r="J915" s="2">
        <v>46927</v>
      </c>
      <c r="K915" s="2"/>
      <c r="L915" s="2">
        <v>49681</v>
      </c>
      <c r="M915" s="2"/>
      <c r="N915" s="2">
        <v>47021</v>
      </c>
      <c r="P915" s="2">
        <v>49741</v>
      </c>
      <c r="Q915" s="2"/>
      <c r="R915" s="2">
        <v>46954</v>
      </c>
      <c r="AB915" s="2"/>
    </row>
    <row r="916" spans="8:28" ht="15" customHeight="1">
      <c r="H916" s="2">
        <v>49767</v>
      </c>
      <c r="I916" s="2"/>
      <c r="J916" s="2">
        <v>46930</v>
      </c>
      <c r="K916" s="2"/>
      <c r="L916" s="2">
        <v>49678</v>
      </c>
      <c r="M916" s="2"/>
      <c r="N916" s="2">
        <v>47022</v>
      </c>
      <c r="P916" s="2">
        <v>49740</v>
      </c>
      <c r="Q916" s="2"/>
      <c r="R916" s="2">
        <v>46955</v>
      </c>
      <c r="AB916" s="2"/>
    </row>
    <row r="917" spans="8:28" ht="15" customHeight="1">
      <c r="H917" s="2">
        <v>49766</v>
      </c>
      <c r="I917" s="2"/>
      <c r="J917" s="2">
        <v>46931</v>
      </c>
      <c r="K917" s="2"/>
      <c r="L917" s="2">
        <v>49671</v>
      </c>
      <c r="M917" s="2"/>
      <c r="N917" s="2">
        <v>47023</v>
      </c>
      <c r="P917" s="2">
        <v>49739</v>
      </c>
      <c r="Q917" s="2"/>
      <c r="R917" s="2">
        <v>46958</v>
      </c>
      <c r="AB917" s="2"/>
    </row>
    <row r="918" spans="8:28" ht="15" customHeight="1">
      <c r="H918" s="2">
        <v>49765</v>
      </c>
      <c r="I918" s="2"/>
      <c r="J918" s="2">
        <v>46932</v>
      </c>
      <c r="K918" s="2"/>
      <c r="L918" s="2">
        <v>49670</v>
      </c>
      <c r="M918" s="2"/>
      <c r="N918" s="2">
        <v>47024</v>
      </c>
      <c r="P918" s="2">
        <v>49738</v>
      </c>
      <c r="Q918" s="2"/>
      <c r="R918" s="2">
        <v>46959</v>
      </c>
      <c r="AB918" s="2"/>
    </row>
    <row r="919" spans="8:28" ht="15" customHeight="1">
      <c r="H919" s="2">
        <v>49762</v>
      </c>
      <c r="I919" s="2"/>
      <c r="J919" s="2">
        <v>46933</v>
      </c>
      <c r="K919" s="2"/>
      <c r="L919" s="2">
        <v>49669</v>
      </c>
      <c r="M919" s="2"/>
      <c r="N919" s="2">
        <v>47025</v>
      </c>
      <c r="P919" s="2">
        <v>49734</v>
      </c>
      <c r="Q919" s="2"/>
      <c r="R919" s="2">
        <v>46960</v>
      </c>
      <c r="AB919" s="2"/>
    </row>
    <row r="920" spans="8:28" ht="15" customHeight="1">
      <c r="H920" s="2">
        <v>49761</v>
      </c>
      <c r="I920" s="2"/>
      <c r="J920" s="2">
        <v>46934</v>
      </c>
      <c r="K920" s="2"/>
      <c r="L920" s="2">
        <v>49667</v>
      </c>
      <c r="M920" s="2"/>
      <c r="N920" s="2">
        <v>47028</v>
      </c>
      <c r="P920" s="2">
        <v>49733</v>
      </c>
      <c r="Q920" s="2"/>
      <c r="R920" s="2">
        <v>46961</v>
      </c>
      <c r="AB920" s="2"/>
    </row>
    <row r="921" spans="8:28" ht="15" customHeight="1">
      <c r="H921" s="2">
        <v>49760</v>
      </c>
      <c r="I921" s="2"/>
      <c r="J921" s="2">
        <v>46937</v>
      </c>
      <c r="K921" s="2"/>
      <c r="L921" s="2">
        <v>49664</v>
      </c>
      <c r="M921" s="2"/>
      <c r="N921" s="2">
        <v>47029</v>
      </c>
      <c r="P921" s="2">
        <v>49732</v>
      </c>
      <c r="Q921" s="2"/>
      <c r="R921" s="2">
        <v>46962</v>
      </c>
      <c r="AB921" s="2"/>
    </row>
    <row r="922" spans="8:28" ht="15" customHeight="1">
      <c r="H922" s="2">
        <v>49759</v>
      </c>
      <c r="I922" s="2"/>
      <c r="J922" s="2">
        <v>46939</v>
      </c>
      <c r="K922" s="2"/>
      <c r="L922" s="2">
        <v>49663</v>
      </c>
      <c r="M922" s="2"/>
      <c r="N922" s="2">
        <v>47030</v>
      </c>
      <c r="P922" s="2">
        <v>49731</v>
      </c>
      <c r="Q922" s="2"/>
      <c r="R922" s="2">
        <v>46965</v>
      </c>
      <c r="AB922" s="2"/>
    </row>
    <row r="923" spans="8:28" ht="15" customHeight="1">
      <c r="H923" s="2">
        <v>49758</v>
      </c>
      <c r="I923" s="2"/>
      <c r="J923" s="2">
        <v>46940</v>
      </c>
      <c r="K923" s="2"/>
      <c r="L923" s="2">
        <v>49662</v>
      </c>
      <c r="M923" s="2"/>
      <c r="N923" s="2">
        <v>47031</v>
      </c>
      <c r="P923" s="2">
        <v>49730</v>
      </c>
      <c r="Q923" s="2"/>
      <c r="R923" s="2">
        <v>46966</v>
      </c>
      <c r="AB923" s="2"/>
    </row>
    <row r="924" spans="8:28" ht="15" customHeight="1">
      <c r="H924" s="2">
        <v>49755</v>
      </c>
      <c r="I924" s="2"/>
      <c r="J924" s="2">
        <v>46941</v>
      </c>
      <c r="K924" s="2"/>
      <c r="L924" s="2">
        <v>49661</v>
      </c>
      <c r="M924" s="2"/>
      <c r="N924" s="2">
        <v>47032</v>
      </c>
      <c r="P924" s="2">
        <v>49727</v>
      </c>
      <c r="Q924" s="2"/>
      <c r="R924" s="2">
        <v>46967</v>
      </c>
      <c r="AB924" s="2"/>
    </row>
    <row r="925" spans="8:28" ht="15" customHeight="1">
      <c r="H925" s="2">
        <v>49754</v>
      </c>
      <c r="I925" s="2"/>
      <c r="J925" s="2">
        <v>46944</v>
      </c>
      <c r="K925" s="2"/>
      <c r="L925" s="2">
        <v>49660</v>
      </c>
      <c r="M925" s="2"/>
      <c r="N925" s="2">
        <v>47036</v>
      </c>
      <c r="P925" s="2">
        <v>49726</v>
      </c>
      <c r="Q925" s="2"/>
      <c r="R925" s="2">
        <v>46968</v>
      </c>
      <c r="AB925" s="2"/>
    </row>
    <row r="926" spans="8:28" ht="15" customHeight="1">
      <c r="H926" s="2">
        <v>49753</v>
      </c>
      <c r="I926" s="2"/>
      <c r="J926" s="2">
        <v>46945</v>
      </c>
      <c r="K926" s="2"/>
      <c r="L926" s="2">
        <v>49657</v>
      </c>
      <c r="M926" s="2"/>
      <c r="N926" s="2">
        <v>47037</v>
      </c>
      <c r="P926" s="2">
        <v>49725</v>
      </c>
      <c r="Q926" s="2"/>
      <c r="R926" s="2">
        <v>46969</v>
      </c>
      <c r="AB926" s="2"/>
    </row>
    <row r="927" spans="8:28" ht="15" customHeight="1">
      <c r="H927" s="2">
        <v>49752</v>
      </c>
      <c r="I927" s="2"/>
      <c r="J927" s="2">
        <v>46946</v>
      </c>
      <c r="K927" s="2"/>
      <c r="L927" s="2">
        <v>49656</v>
      </c>
      <c r="M927" s="2"/>
      <c r="N927" s="2">
        <v>47038</v>
      </c>
      <c r="P927" s="2">
        <v>49724</v>
      </c>
      <c r="Q927" s="2"/>
      <c r="R927" s="2">
        <v>46972</v>
      </c>
      <c r="AB927" s="2"/>
    </row>
    <row r="928" spans="8:28" ht="15" customHeight="1">
      <c r="H928" s="2">
        <v>49751</v>
      </c>
      <c r="I928" s="2"/>
      <c r="J928" s="2">
        <v>46947</v>
      </c>
      <c r="K928" s="2"/>
      <c r="L928" s="2">
        <v>49655</v>
      </c>
      <c r="M928" s="2"/>
      <c r="N928" s="2">
        <v>47039</v>
      </c>
      <c r="P928" s="2">
        <v>49723</v>
      </c>
      <c r="Q928" s="2"/>
      <c r="R928" s="2">
        <v>46973</v>
      </c>
      <c r="AB928" s="2"/>
    </row>
    <row r="929" spans="8:28" ht="15" customHeight="1">
      <c r="H929" s="2">
        <v>49748</v>
      </c>
      <c r="I929" s="2"/>
      <c r="J929" s="2">
        <v>46948</v>
      </c>
      <c r="K929" s="2"/>
      <c r="L929" s="2">
        <v>49654</v>
      </c>
      <c r="M929" s="2"/>
      <c r="N929" s="2">
        <v>47042</v>
      </c>
      <c r="P929" s="2">
        <v>49720</v>
      </c>
      <c r="Q929" s="2"/>
      <c r="R929" s="2">
        <v>46974</v>
      </c>
      <c r="AB929" s="2"/>
    </row>
    <row r="930" spans="8:28" ht="15" customHeight="1">
      <c r="H930" s="2">
        <v>49747</v>
      </c>
      <c r="I930" s="2"/>
      <c r="J930" s="2">
        <v>46951</v>
      </c>
      <c r="K930" s="2"/>
      <c r="L930" s="2">
        <v>49653</v>
      </c>
      <c r="M930" s="2"/>
      <c r="N930" s="2">
        <v>47043</v>
      </c>
      <c r="P930" s="2">
        <v>49719</v>
      </c>
      <c r="Q930" s="2"/>
      <c r="R930" s="2">
        <v>46975</v>
      </c>
      <c r="AB930" s="2"/>
    </row>
    <row r="931" spans="8:28" ht="15" customHeight="1">
      <c r="H931" s="2">
        <v>49746</v>
      </c>
      <c r="I931" s="2"/>
      <c r="J931" s="2">
        <v>46952</v>
      </c>
      <c r="K931" s="2"/>
      <c r="L931" s="2">
        <v>49650</v>
      </c>
      <c r="M931" s="2"/>
      <c r="N931" s="2">
        <v>47044</v>
      </c>
      <c r="P931" s="2">
        <v>49718</v>
      </c>
      <c r="Q931" s="2"/>
      <c r="R931" s="2">
        <v>46976</v>
      </c>
      <c r="AB931" s="2"/>
    </row>
    <row r="932" spans="8:28" ht="15" customHeight="1">
      <c r="H932" s="2">
        <v>49745</v>
      </c>
      <c r="I932" s="2"/>
      <c r="J932" s="2">
        <v>46953</v>
      </c>
      <c r="K932" s="2"/>
      <c r="L932" s="2">
        <v>49649</v>
      </c>
      <c r="M932" s="2"/>
      <c r="N932" s="2">
        <v>47045</v>
      </c>
      <c r="P932" s="2">
        <v>49717</v>
      </c>
      <c r="Q932" s="2"/>
      <c r="R932" s="2">
        <v>46979</v>
      </c>
      <c r="AB932" s="2"/>
    </row>
    <row r="933" spans="8:28" ht="15" customHeight="1">
      <c r="H933" s="2">
        <v>49744</v>
      </c>
      <c r="I933" s="2"/>
      <c r="J933" s="2">
        <v>46954</v>
      </c>
      <c r="K933" s="2"/>
      <c r="L933" s="2">
        <v>49648</v>
      </c>
      <c r="M933" s="2"/>
      <c r="N933" s="2">
        <v>47046</v>
      </c>
      <c r="P933" s="2">
        <v>49716</v>
      </c>
      <c r="Q933" s="2"/>
      <c r="R933" s="2">
        <v>46981</v>
      </c>
      <c r="AB933" s="2"/>
    </row>
    <row r="934" spans="8:28" ht="15" customHeight="1">
      <c r="H934" s="2">
        <v>49741</v>
      </c>
      <c r="I934" s="2"/>
      <c r="J934" s="2">
        <v>46955</v>
      </c>
      <c r="K934" s="2"/>
      <c r="L934" s="2">
        <v>49647</v>
      </c>
      <c r="M934" s="2"/>
      <c r="N934" s="2">
        <v>47049</v>
      </c>
      <c r="P934" s="2">
        <v>49713</v>
      </c>
      <c r="Q934" s="2"/>
      <c r="R934" s="2">
        <v>46982</v>
      </c>
      <c r="AB934" s="2"/>
    </row>
    <row r="935" spans="8:28" ht="15" customHeight="1">
      <c r="H935" s="2">
        <v>49740</v>
      </c>
      <c r="I935" s="2"/>
      <c r="J935" s="2">
        <v>46958</v>
      </c>
      <c r="K935" s="2"/>
      <c r="L935" s="2">
        <v>49646</v>
      </c>
      <c r="M935" s="2"/>
      <c r="N935" s="2">
        <v>47050</v>
      </c>
      <c r="P935" s="2">
        <v>49712</v>
      </c>
      <c r="Q935" s="2"/>
      <c r="R935" s="2">
        <v>46983</v>
      </c>
      <c r="AB935" s="2"/>
    </row>
    <row r="936" spans="8:28" ht="15" customHeight="1">
      <c r="H936" s="2">
        <v>49739</v>
      </c>
      <c r="I936" s="2"/>
      <c r="J936" s="2">
        <v>46959</v>
      </c>
      <c r="K936" s="2"/>
      <c r="L936" s="2">
        <v>49643</v>
      </c>
      <c r="M936" s="2"/>
      <c r="N936" s="2">
        <v>47051</v>
      </c>
      <c r="P936" s="2">
        <v>49711</v>
      </c>
      <c r="Q936" s="2"/>
      <c r="R936" s="2">
        <v>46986</v>
      </c>
      <c r="AB936" s="2"/>
    </row>
    <row r="937" spans="8:28" ht="15" customHeight="1">
      <c r="H937" s="2">
        <v>49738</v>
      </c>
      <c r="I937" s="2"/>
      <c r="J937" s="2">
        <v>46960</v>
      </c>
      <c r="K937" s="2"/>
      <c r="L937" s="2">
        <v>49642</v>
      </c>
      <c r="M937" s="2"/>
      <c r="N937" s="2">
        <v>47052</v>
      </c>
      <c r="P937" s="2">
        <v>49710</v>
      </c>
      <c r="Q937" s="2"/>
      <c r="R937" s="2">
        <v>46987</v>
      </c>
      <c r="AB937" s="2"/>
    </row>
    <row r="938" spans="8:28" ht="15" customHeight="1">
      <c r="H938" s="2">
        <v>49737</v>
      </c>
      <c r="I938" s="2"/>
      <c r="J938" s="2">
        <v>46961</v>
      </c>
      <c r="K938" s="2"/>
      <c r="L938" s="2">
        <v>49641</v>
      </c>
      <c r="M938" s="2"/>
      <c r="N938" s="2">
        <v>47053</v>
      </c>
      <c r="P938" s="2">
        <v>49709</v>
      </c>
      <c r="Q938" s="2"/>
      <c r="R938" s="2">
        <v>46988</v>
      </c>
      <c r="AB938" s="2"/>
    </row>
    <row r="939" spans="8:28" ht="15" customHeight="1">
      <c r="H939" s="2">
        <v>49734</v>
      </c>
      <c r="I939" s="2"/>
      <c r="J939" s="2">
        <v>46962</v>
      </c>
      <c r="K939" s="2"/>
      <c r="L939" s="2">
        <v>49640</v>
      </c>
      <c r="M939" s="2"/>
      <c r="N939" s="2">
        <v>47056</v>
      </c>
      <c r="P939" s="2">
        <v>49706</v>
      </c>
      <c r="Q939" s="2"/>
      <c r="R939" s="2">
        <v>46989</v>
      </c>
      <c r="AB939" s="2"/>
    </row>
    <row r="940" spans="8:28" ht="15" customHeight="1">
      <c r="H940" s="2">
        <v>49733</v>
      </c>
      <c r="I940" s="2"/>
      <c r="J940" s="2">
        <v>46965</v>
      </c>
      <c r="K940" s="2"/>
      <c r="L940" s="2">
        <v>49639</v>
      </c>
      <c r="M940" s="2"/>
      <c r="N940" s="2">
        <v>47057</v>
      </c>
      <c r="P940" s="2">
        <v>49705</v>
      </c>
      <c r="Q940" s="2"/>
      <c r="R940" s="2">
        <v>46990</v>
      </c>
      <c r="AB940" s="2"/>
    </row>
    <row r="941" spans="8:28" ht="15" customHeight="1">
      <c r="H941" s="2">
        <v>49732</v>
      </c>
      <c r="I941" s="2"/>
      <c r="J941" s="2">
        <v>46966</v>
      </c>
      <c r="K941" s="2"/>
      <c r="L941" s="2">
        <v>49634</v>
      </c>
      <c r="M941" s="2"/>
      <c r="N941" s="2">
        <v>47058</v>
      </c>
      <c r="P941" s="2">
        <v>49699</v>
      </c>
      <c r="Q941" s="2"/>
      <c r="R941" s="2">
        <v>46993</v>
      </c>
      <c r="AB941" s="2"/>
    </row>
    <row r="942" spans="8:28" ht="15" customHeight="1">
      <c r="H942" s="2">
        <v>49731</v>
      </c>
      <c r="I942" s="2"/>
      <c r="J942" s="2">
        <v>46967</v>
      </c>
      <c r="K942" s="2"/>
      <c r="L942" s="2">
        <v>49633</v>
      </c>
      <c r="M942" s="2"/>
      <c r="N942" s="2">
        <v>47059</v>
      </c>
      <c r="P942" s="2">
        <v>49698</v>
      </c>
      <c r="Q942" s="2"/>
      <c r="R942" s="2">
        <v>46994</v>
      </c>
      <c r="AB942" s="2"/>
    </row>
    <row r="943" spans="8:28" ht="15" customHeight="1">
      <c r="H943" s="2">
        <v>49730</v>
      </c>
      <c r="I943" s="2"/>
      <c r="J943" s="2">
        <v>46968</v>
      </c>
      <c r="K943" s="2"/>
      <c r="L943" s="2">
        <v>49632</v>
      </c>
      <c r="M943" s="2"/>
      <c r="N943" s="2">
        <v>47063</v>
      </c>
      <c r="P943" s="2">
        <v>49697</v>
      </c>
      <c r="Q943" s="2"/>
      <c r="R943" s="2">
        <v>46995</v>
      </c>
      <c r="AB943" s="2"/>
    </row>
    <row r="944" spans="8:28" ht="15" customHeight="1">
      <c r="H944" s="2">
        <v>49727</v>
      </c>
      <c r="I944" s="2"/>
      <c r="J944" s="2">
        <v>46969</v>
      </c>
      <c r="K944" s="2"/>
      <c r="L944" s="2">
        <v>49629</v>
      </c>
      <c r="M944" s="2"/>
      <c r="N944" s="2">
        <v>47064</v>
      </c>
      <c r="P944" s="2">
        <v>49696</v>
      </c>
      <c r="Q944" s="2"/>
      <c r="R944" s="2">
        <v>46996</v>
      </c>
      <c r="AB944" s="2"/>
    </row>
    <row r="945" spans="8:28" ht="15" customHeight="1">
      <c r="H945" s="2">
        <v>49726</v>
      </c>
      <c r="I945" s="2"/>
      <c r="J945" s="2">
        <v>46972</v>
      </c>
      <c r="K945" s="2"/>
      <c r="L945" s="2">
        <v>49628</v>
      </c>
      <c r="M945" s="2"/>
      <c r="N945" s="2">
        <v>47065</v>
      </c>
      <c r="P945" s="2">
        <v>49695</v>
      </c>
      <c r="Q945" s="2"/>
      <c r="R945" s="2">
        <v>46997</v>
      </c>
      <c r="AB945" s="2"/>
    </row>
    <row r="946" spans="8:28" ht="15" customHeight="1">
      <c r="H946" s="2">
        <v>49725</v>
      </c>
      <c r="I946" s="2"/>
      <c r="J946" s="2">
        <v>46973</v>
      </c>
      <c r="K946" s="2"/>
      <c r="L946" s="2">
        <v>49627</v>
      </c>
      <c r="M946" s="2"/>
      <c r="N946" s="2">
        <v>47066</v>
      </c>
      <c r="P946" s="2">
        <v>49692</v>
      </c>
      <c r="Q946" s="2"/>
      <c r="R946" s="2">
        <v>47000</v>
      </c>
      <c r="AB946" s="2"/>
    </row>
    <row r="947" spans="8:28" ht="15" customHeight="1">
      <c r="H947" s="2">
        <v>49724</v>
      </c>
      <c r="I947" s="2"/>
      <c r="J947" s="2">
        <v>46974</v>
      </c>
      <c r="K947" s="2"/>
      <c r="L947" s="2">
        <v>49626</v>
      </c>
      <c r="M947" s="2"/>
      <c r="N947" s="2">
        <v>47067</v>
      </c>
      <c r="P947" s="2">
        <v>49691</v>
      </c>
      <c r="Q947" s="2"/>
      <c r="R947" s="2">
        <v>47001</v>
      </c>
      <c r="AB947" s="2"/>
    </row>
    <row r="948" spans="8:28" ht="15" customHeight="1">
      <c r="H948" s="2">
        <v>49720</v>
      </c>
      <c r="I948" s="2"/>
      <c r="J948" s="2">
        <v>46975</v>
      </c>
      <c r="K948" s="2"/>
      <c r="L948" s="2">
        <v>49625</v>
      </c>
      <c r="M948" s="2"/>
      <c r="N948" s="2">
        <v>47070</v>
      </c>
      <c r="P948" s="2">
        <v>49690</v>
      </c>
      <c r="Q948" s="2"/>
      <c r="R948" s="2">
        <v>47002</v>
      </c>
      <c r="AB948" s="2"/>
    </row>
    <row r="949" spans="8:28" ht="15" customHeight="1">
      <c r="H949" s="2">
        <v>49719</v>
      </c>
      <c r="I949" s="2"/>
      <c r="J949" s="2">
        <v>46976</v>
      </c>
      <c r="K949" s="2"/>
      <c r="L949" s="2">
        <v>49622</v>
      </c>
      <c r="M949" s="2"/>
      <c r="N949" s="2">
        <v>47071</v>
      </c>
      <c r="P949" s="2">
        <v>49689</v>
      </c>
      <c r="Q949" s="2"/>
      <c r="R949" s="2">
        <v>47003</v>
      </c>
      <c r="AB949" s="2"/>
    </row>
    <row r="950" spans="8:28" ht="15" customHeight="1">
      <c r="H950" s="2">
        <v>49718</v>
      </c>
      <c r="I950" s="2"/>
      <c r="J950" s="2">
        <v>46979</v>
      </c>
      <c r="K950" s="2"/>
      <c r="L950" s="2">
        <v>49621</v>
      </c>
      <c r="M950" s="2"/>
      <c r="N950" s="2">
        <v>47072</v>
      </c>
      <c r="P950" s="2">
        <v>49688</v>
      </c>
      <c r="Q950" s="2"/>
      <c r="R950" s="2">
        <v>47004</v>
      </c>
      <c r="AB950" s="2"/>
    </row>
    <row r="951" spans="8:28" ht="15" customHeight="1">
      <c r="H951" s="2">
        <v>49717</v>
      </c>
      <c r="I951" s="2"/>
      <c r="J951" s="2">
        <v>46980</v>
      </c>
      <c r="K951" s="2"/>
      <c r="L951" s="2">
        <v>49620</v>
      </c>
      <c r="M951" s="2"/>
      <c r="N951" s="2">
        <v>47073</v>
      </c>
      <c r="P951" s="2">
        <v>49685</v>
      </c>
      <c r="Q951" s="2"/>
      <c r="R951" s="2">
        <v>47007</v>
      </c>
      <c r="AB951" s="2"/>
    </row>
    <row r="952" spans="8:28" ht="15" customHeight="1">
      <c r="H952" s="2">
        <v>49716</v>
      </c>
      <c r="I952" s="2"/>
      <c r="J952" s="2">
        <v>46981</v>
      </c>
      <c r="K952" s="2"/>
      <c r="L952" s="2">
        <v>49619</v>
      </c>
      <c r="M952" s="2"/>
      <c r="N952" s="2">
        <v>47074</v>
      </c>
      <c r="P952" s="2">
        <v>49684</v>
      </c>
      <c r="Q952" s="2"/>
      <c r="R952" s="2">
        <v>47008</v>
      </c>
      <c r="AB952" s="2"/>
    </row>
    <row r="953" spans="8:28" ht="15" customHeight="1">
      <c r="H953" s="2">
        <v>49713</v>
      </c>
      <c r="I953" s="2"/>
      <c r="J953" s="2">
        <v>46982</v>
      </c>
      <c r="K953" s="2"/>
      <c r="L953" s="2">
        <v>49618</v>
      </c>
      <c r="M953" s="2"/>
      <c r="N953" s="2">
        <v>47077</v>
      </c>
      <c r="P953" s="2">
        <v>49683</v>
      </c>
      <c r="Q953" s="2"/>
      <c r="R953" s="2">
        <v>47009</v>
      </c>
      <c r="AB953" s="2"/>
    </row>
    <row r="954" spans="8:28" ht="15" customHeight="1">
      <c r="H954" s="2">
        <v>49712</v>
      </c>
      <c r="I954" s="2"/>
      <c r="J954" s="2">
        <v>46983</v>
      </c>
      <c r="K954" s="2"/>
      <c r="L954" s="2">
        <v>49615</v>
      </c>
      <c r="M954" s="2"/>
      <c r="N954" s="2">
        <v>47078</v>
      </c>
      <c r="P954" s="2">
        <v>49682</v>
      </c>
      <c r="Q954" s="2"/>
      <c r="R954" s="2">
        <v>47010</v>
      </c>
      <c r="AB954" s="2"/>
    </row>
    <row r="955" spans="8:28" ht="15" customHeight="1">
      <c r="H955" s="2">
        <v>49711</v>
      </c>
      <c r="I955" s="2"/>
      <c r="J955" s="2">
        <v>46986</v>
      </c>
      <c r="K955" s="2"/>
      <c r="L955" s="2">
        <v>49614</v>
      </c>
      <c r="M955" s="2"/>
      <c r="N955" s="2">
        <v>47079</v>
      </c>
      <c r="P955" s="2">
        <v>49681</v>
      </c>
      <c r="Q955" s="2"/>
      <c r="R955" s="2">
        <v>47011</v>
      </c>
      <c r="AB955" s="2"/>
    </row>
    <row r="956" spans="8:28" ht="15" customHeight="1">
      <c r="H956" s="2">
        <v>49710</v>
      </c>
      <c r="I956" s="2"/>
      <c r="J956" s="2">
        <v>46987</v>
      </c>
      <c r="K956" s="2"/>
      <c r="L956" s="2">
        <v>49613</v>
      </c>
      <c r="M956" s="2"/>
      <c r="N956" s="2">
        <v>47081</v>
      </c>
      <c r="P956" s="2">
        <v>49678</v>
      </c>
      <c r="Q956" s="2"/>
      <c r="R956" s="2">
        <v>47014</v>
      </c>
      <c r="AB956" s="2"/>
    </row>
    <row r="957" spans="8:28" ht="15" customHeight="1">
      <c r="H957" s="2">
        <v>49709</v>
      </c>
      <c r="I957" s="2"/>
      <c r="J957" s="2">
        <v>46988</v>
      </c>
      <c r="K957" s="2"/>
      <c r="L957" s="2">
        <v>49612</v>
      </c>
      <c r="M957" s="2"/>
      <c r="N957" s="2">
        <v>47084</v>
      </c>
      <c r="P957" s="2">
        <v>49677</v>
      </c>
      <c r="Q957" s="2"/>
      <c r="R957" s="2">
        <v>47015</v>
      </c>
      <c r="AB957" s="2"/>
    </row>
    <row r="958" spans="8:28" ht="15" customHeight="1">
      <c r="H958" s="2">
        <v>49706</v>
      </c>
      <c r="I958" s="2"/>
      <c r="J958" s="2">
        <v>46989</v>
      </c>
      <c r="K958" s="2"/>
      <c r="L958" s="2">
        <v>49611</v>
      </c>
      <c r="M958" s="2"/>
      <c r="N958" s="2">
        <v>47085</v>
      </c>
      <c r="P958" s="2">
        <v>49676</v>
      </c>
      <c r="Q958" s="2"/>
      <c r="R958" s="2">
        <v>47016</v>
      </c>
      <c r="AB958" s="2"/>
    </row>
    <row r="959" spans="8:28" ht="15" customHeight="1">
      <c r="H959" s="2">
        <v>49705</v>
      </c>
      <c r="I959" s="2"/>
      <c r="J959" s="2">
        <v>46990</v>
      </c>
      <c r="K959" s="2"/>
      <c r="L959" s="2">
        <v>49608</v>
      </c>
      <c r="M959" s="2"/>
      <c r="N959" s="2">
        <v>47086</v>
      </c>
      <c r="P959" s="2">
        <v>49671</v>
      </c>
      <c r="Q959" s="2"/>
      <c r="R959" s="2">
        <v>47017</v>
      </c>
      <c r="AB959" s="2"/>
    </row>
    <row r="960" spans="8:28" ht="15" customHeight="1">
      <c r="H960" s="2">
        <v>49704</v>
      </c>
      <c r="I960" s="2"/>
      <c r="J960" s="2">
        <v>46993</v>
      </c>
      <c r="K960" s="2"/>
      <c r="L960" s="2">
        <v>49607</v>
      </c>
      <c r="M960" s="2"/>
      <c r="N960" s="2">
        <v>47087</v>
      </c>
      <c r="P960" s="2">
        <v>49670</v>
      </c>
      <c r="Q960" s="2"/>
      <c r="R960" s="2">
        <v>47018</v>
      </c>
      <c r="AB960" s="2"/>
    </row>
    <row r="961" spans="8:28" ht="15" customHeight="1">
      <c r="H961" s="2">
        <v>49703</v>
      </c>
      <c r="I961" s="2"/>
      <c r="J961" s="2">
        <v>46994</v>
      </c>
      <c r="K961" s="2"/>
      <c r="L961" s="2">
        <v>49606</v>
      </c>
      <c r="M961" s="2"/>
      <c r="N961" s="2">
        <v>47088</v>
      </c>
      <c r="P961" s="2">
        <v>49669</v>
      </c>
      <c r="Q961" s="2"/>
      <c r="R961" s="2">
        <v>47021</v>
      </c>
      <c r="AB961" s="2"/>
    </row>
    <row r="962" spans="8:28" ht="15" customHeight="1">
      <c r="H962" s="2">
        <v>49702</v>
      </c>
      <c r="I962" s="2"/>
      <c r="J962" s="2">
        <v>46995</v>
      </c>
      <c r="K962" s="2"/>
      <c r="L962" s="2">
        <v>49605</v>
      </c>
      <c r="M962" s="2"/>
      <c r="N962" s="2">
        <v>47091</v>
      </c>
      <c r="P962" s="2">
        <v>49667</v>
      </c>
      <c r="Q962" s="2"/>
      <c r="R962" s="2">
        <v>47022</v>
      </c>
      <c r="AB962" s="2"/>
    </row>
    <row r="963" spans="8:28" ht="15" customHeight="1">
      <c r="H963" s="2">
        <v>49699</v>
      </c>
      <c r="I963" s="2"/>
      <c r="J963" s="2">
        <v>46996</v>
      </c>
      <c r="K963" s="2"/>
      <c r="L963" s="2">
        <v>49604</v>
      </c>
      <c r="M963" s="2"/>
      <c r="N963" s="2">
        <v>47092</v>
      </c>
      <c r="P963" s="2">
        <v>49664</v>
      </c>
      <c r="Q963" s="2"/>
      <c r="R963" s="2">
        <v>47023</v>
      </c>
      <c r="AB963" s="2"/>
    </row>
    <row r="964" spans="8:28" ht="15" customHeight="1">
      <c r="H964" s="2">
        <v>49698</v>
      </c>
      <c r="I964" s="2"/>
      <c r="J964" s="2">
        <v>46997</v>
      </c>
      <c r="K964" s="2"/>
      <c r="L964" s="2">
        <v>49601</v>
      </c>
      <c r="M964" s="2"/>
      <c r="N964" s="2">
        <v>47093</v>
      </c>
      <c r="P964" s="2">
        <v>49663</v>
      </c>
      <c r="Q964" s="2"/>
      <c r="R964" s="2">
        <v>47024</v>
      </c>
      <c r="AB964" s="2"/>
    </row>
    <row r="965" spans="8:28" ht="15" customHeight="1">
      <c r="H965" s="2">
        <v>49697</v>
      </c>
      <c r="I965" s="2"/>
      <c r="J965" s="2">
        <v>47001</v>
      </c>
      <c r="K965" s="2"/>
      <c r="L965" s="2">
        <v>49600</v>
      </c>
      <c r="M965" s="2"/>
      <c r="N965" s="2">
        <v>47094</v>
      </c>
      <c r="P965" s="2">
        <v>49662</v>
      </c>
      <c r="Q965" s="2"/>
      <c r="R965" s="2">
        <v>47025</v>
      </c>
      <c r="AB965" s="2"/>
    </row>
    <row r="966" spans="8:28" ht="15" customHeight="1">
      <c r="H966" s="2">
        <v>49696</v>
      </c>
      <c r="I966" s="2"/>
      <c r="J966" s="2">
        <v>47002</v>
      </c>
      <c r="K966" s="2"/>
      <c r="L966" s="2">
        <v>49599</v>
      </c>
      <c r="M966" s="2"/>
      <c r="N966" s="2">
        <v>47095</v>
      </c>
      <c r="P966" s="2">
        <v>49661</v>
      </c>
      <c r="Q966" s="2"/>
      <c r="R966" s="2">
        <v>47032</v>
      </c>
      <c r="AB966" s="2"/>
    </row>
    <row r="967" spans="8:28" ht="15" customHeight="1">
      <c r="H967" s="2">
        <v>49692</v>
      </c>
      <c r="I967" s="2"/>
      <c r="J967" s="2">
        <v>47003</v>
      </c>
      <c r="K967" s="2"/>
      <c r="L967" s="2">
        <v>49598</v>
      </c>
      <c r="M967" s="2"/>
      <c r="N967" s="2">
        <v>47098</v>
      </c>
      <c r="P967" s="2">
        <v>49660</v>
      </c>
      <c r="Q967" s="2"/>
      <c r="R967" s="2">
        <v>47036</v>
      </c>
      <c r="AB967" s="2"/>
    </row>
    <row r="968" spans="8:28" ht="15" customHeight="1">
      <c r="H968" s="2">
        <v>49691</v>
      </c>
      <c r="I968" s="2"/>
      <c r="J968" s="2">
        <v>47004</v>
      </c>
      <c r="K968" s="2"/>
      <c r="L968" s="2">
        <v>49597</v>
      </c>
      <c r="M968" s="2"/>
      <c r="N968" s="2">
        <v>47099</v>
      </c>
      <c r="P968" s="2">
        <v>49657</v>
      </c>
      <c r="Q968" s="2"/>
      <c r="R968" s="2">
        <v>47037</v>
      </c>
      <c r="AB968" s="2"/>
    </row>
    <row r="969" spans="8:28" ht="15" customHeight="1">
      <c r="H969" s="2">
        <v>49690</v>
      </c>
      <c r="I969" s="2"/>
      <c r="J969" s="2">
        <v>47007</v>
      </c>
      <c r="K969" s="2"/>
      <c r="L969" s="2">
        <v>49594</v>
      </c>
      <c r="M969" s="2"/>
      <c r="N969" s="2">
        <v>47100</v>
      </c>
      <c r="P969" s="2">
        <v>49656</v>
      </c>
      <c r="Q969" s="2"/>
      <c r="R969" s="2">
        <v>47038</v>
      </c>
      <c r="AB969" s="2"/>
    </row>
    <row r="970" spans="8:28" ht="15" customHeight="1">
      <c r="H970" s="2">
        <v>49689</v>
      </c>
      <c r="I970" s="2"/>
      <c r="J970" s="2">
        <v>47008</v>
      </c>
      <c r="K970" s="2"/>
      <c r="L970" s="2">
        <v>49593</v>
      </c>
      <c r="M970" s="2"/>
      <c r="N970" s="2">
        <v>47101</v>
      </c>
      <c r="P970" s="2">
        <v>49655</v>
      </c>
      <c r="Q970" s="2"/>
      <c r="R970" s="2">
        <v>47039</v>
      </c>
      <c r="AB970" s="2"/>
    </row>
    <row r="971" spans="8:28" ht="15" customHeight="1">
      <c r="H971" s="2">
        <v>49688</v>
      </c>
      <c r="I971" s="2"/>
      <c r="J971" s="2">
        <v>47009</v>
      </c>
      <c r="K971" s="2"/>
      <c r="L971" s="2">
        <v>49592</v>
      </c>
      <c r="M971" s="2"/>
      <c r="N971" s="2">
        <v>47102</v>
      </c>
      <c r="P971" s="2">
        <v>49654</v>
      </c>
      <c r="Q971" s="2"/>
      <c r="R971" s="2">
        <v>47042</v>
      </c>
      <c r="AB971" s="2"/>
    </row>
    <row r="972" spans="8:28" ht="15" customHeight="1">
      <c r="H972" s="2">
        <v>49685</v>
      </c>
      <c r="I972" s="2"/>
      <c r="J972" s="2">
        <v>47010</v>
      </c>
      <c r="K972" s="2"/>
      <c r="L972" s="2">
        <v>49591</v>
      </c>
      <c r="M972" s="2"/>
      <c r="N972" s="2">
        <v>47105</v>
      </c>
      <c r="P972" s="2">
        <v>49653</v>
      </c>
      <c r="Q972" s="2"/>
      <c r="R972" s="2">
        <v>47043</v>
      </c>
      <c r="AB972" s="2"/>
    </row>
    <row r="973" spans="8:28" ht="15" customHeight="1">
      <c r="H973" s="2">
        <v>49684</v>
      </c>
      <c r="I973" s="2"/>
      <c r="J973" s="2">
        <v>47011</v>
      </c>
      <c r="K973" s="2"/>
      <c r="L973" s="2">
        <v>49587</v>
      </c>
      <c r="M973" s="2"/>
      <c r="N973" s="2">
        <v>47106</v>
      </c>
      <c r="P973" s="2">
        <v>49650</v>
      </c>
      <c r="Q973" s="2"/>
      <c r="R973" s="2">
        <v>47044</v>
      </c>
      <c r="AB973" s="2"/>
    </row>
    <row r="974" spans="8:28" ht="15" customHeight="1">
      <c r="H974" s="2">
        <v>49683</v>
      </c>
      <c r="I974" s="2"/>
      <c r="J974" s="2">
        <v>47014</v>
      </c>
      <c r="K974" s="2"/>
      <c r="L974" s="2">
        <v>49586</v>
      </c>
      <c r="M974" s="2"/>
      <c r="N974" s="2">
        <v>47107</v>
      </c>
      <c r="P974" s="2">
        <v>49649</v>
      </c>
      <c r="Q974" s="2"/>
      <c r="R974" s="2">
        <v>47045</v>
      </c>
      <c r="AB974" s="2"/>
    </row>
    <row r="975" spans="8:28" ht="15" customHeight="1">
      <c r="H975" s="2">
        <v>49682</v>
      </c>
      <c r="I975" s="2"/>
      <c r="J975" s="2">
        <v>47015</v>
      </c>
      <c r="K975" s="2"/>
      <c r="L975" s="2">
        <v>49585</v>
      </c>
      <c r="M975" s="2"/>
      <c r="N975" s="2">
        <v>47108</v>
      </c>
      <c r="P975" s="2">
        <v>49648</v>
      </c>
      <c r="Q975" s="2"/>
      <c r="R975" s="2">
        <v>47046</v>
      </c>
      <c r="AB975" s="2"/>
    </row>
    <row r="976" spans="8:28" ht="15" customHeight="1">
      <c r="H976" s="2">
        <v>49681</v>
      </c>
      <c r="I976" s="2"/>
      <c r="J976" s="2">
        <v>47016</v>
      </c>
      <c r="K976" s="2"/>
      <c r="L976" s="2">
        <v>49584</v>
      </c>
      <c r="M976" s="2"/>
      <c r="N976" s="2">
        <v>47109</v>
      </c>
      <c r="P976" s="2">
        <v>49647</v>
      </c>
      <c r="Q976" s="2"/>
      <c r="R976" s="2">
        <v>47049</v>
      </c>
      <c r="AB976" s="2"/>
    </row>
    <row r="977" spans="8:28" ht="15" customHeight="1">
      <c r="H977" s="2">
        <v>49678</v>
      </c>
      <c r="I977" s="2"/>
      <c r="J977" s="2">
        <v>47017</v>
      </c>
      <c r="K977" s="2"/>
      <c r="L977" s="2">
        <v>49583</v>
      </c>
      <c r="M977" s="2"/>
      <c r="N977" s="2">
        <v>47113</v>
      </c>
      <c r="P977" s="2">
        <v>49646</v>
      </c>
      <c r="Q977" s="2"/>
      <c r="R977" s="2">
        <v>47050</v>
      </c>
      <c r="AB977" s="2"/>
    </row>
    <row r="978" spans="8:28" ht="15" customHeight="1">
      <c r="H978" s="2">
        <v>49677</v>
      </c>
      <c r="I978" s="2"/>
      <c r="J978" s="2">
        <v>47018</v>
      </c>
      <c r="K978" s="2"/>
      <c r="L978" s="2">
        <v>49580</v>
      </c>
      <c r="M978" s="2"/>
      <c r="N978" s="2">
        <v>47114</v>
      </c>
      <c r="P978" s="2">
        <v>49643</v>
      </c>
      <c r="Q978" s="2"/>
      <c r="R978" s="2">
        <v>47051</v>
      </c>
      <c r="AB978" s="2"/>
    </row>
    <row r="979" spans="8:28" ht="15" customHeight="1">
      <c r="H979" s="2">
        <v>49676</v>
      </c>
      <c r="I979" s="2"/>
      <c r="J979" s="2">
        <v>47021</v>
      </c>
      <c r="K979" s="2"/>
      <c r="L979" s="2">
        <v>49579</v>
      </c>
      <c r="M979" s="2"/>
      <c r="N979" s="2">
        <v>47115</v>
      </c>
      <c r="P979" s="2">
        <v>49642</v>
      </c>
      <c r="Q979" s="2"/>
      <c r="R979" s="2">
        <v>47052</v>
      </c>
      <c r="AB979" s="2"/>
    </row>
    <row r="980" spans="8:28" ht="15" customHeight="1">
      <c r="H980" s="2">
        <v>49674</v>
      </c>
      <c r="I980" s="2"/>
      <c r="J980" s="2">
        <v>47022</v>
      </c>
      <c r="K980" s="2"/>
      <c r="L980" s="2">
        <v>49578</v>
      </c>
      <c r="M980" s="2"/>
      <c r="N980" s="2">
        <v>47116</v>
      </c>
      <c r="P980" s="2">
        <v>49641</v>
      </c>
      <c r="Q980" s="2"/>
      <c r="R980" s="2">
        <v>47053</v>
      </c>
      <c r="AB980" s="2"/>
    </row>
    <row r="981" spans="8:28" ht="15" customHeight="1">
      <c r="H981" s="2">
        <v>49671</v>
      </c>
      <c r="I981" s="2"/>
      <c r="J981" s="2">
        <v>47023</v>
      </c>
      <c r="K981" s="2"/>
      <c r="L981" s="2">
        <v>49577</v>
      </c>
      <c r="M981" s="2"/>
      <c r="N981" s="2">
        <v>47122</v>
      </c>
      <c r="P981" s="2">
        <v>49640</v>
      </c>
      <c r="Q981" s="2"/>
      <c r="R981" s="2">
        <v>47056</v>
      </c>
      <c r="AB981" s="2"/>
    </row>
    <row r="982" spans="8:28" ht="15" customHeight="1">
      <c r="H982" s="2">
        <v>49670</v>
      </c>
      <c r="I982" s="2"/>
      <c r="J982" s="2">
        <v>47024</v>
      </c>
      <c r="K982" s="2"/>
      <c r="L982" s="2">
        <v>49573</v>
      </c>
      <c r="M982" s="2"/>
      <c r="N982" s="2">
        <v>47123</v>
      </c>
      <c r="P982" s="2">
        <v>49639</v>
      </c>
      <c r="Q982" s="2"/>
      <c r="R982" s="2">
        <v>47057</v>
      </c>
      <c r="AB982" s="2"/>
    </row>
    <row r="983" spans="8:28" ht="15" customHeight="1">
      <c r="H983" s="2">
        <v>49669</v>
      </c>
      <c r="I983" s="2"/>
      <c r="J983" s="2">
        <v>47025</v>
      </c>
      <c r="K983" s="2"/>
      <c r="L983" s="2">
        <v>49572</v>
      </c>
      <c r="M983" s="2"/>
      <c r="N983" s="2">
        <v>47127</v>
      </c>
      <c r="P983" s="2">
        <v>49636</v>
      </c>
      <c r="Q983" s="2"/>
      <c r="R983" s="2">
        <v>47058</v>
      </c>
      <c r="AB983" s="2"/>
    </row>
    <row r="984" spans="8:28" ht="15" customHeight="1">
      <c r="H984" s="2">
        <v>49667</v>
      </c>
      <c r="I984" s="2"/>
      <c r="J984" s="2">
        <v>47028</v>
      </c>
      <c r="K984" s="2"/>
      <c r="L984" s="2">
        <v>49571</v>
      </c>
      <c r="M984" s="2"/>
      <c r="N984" s="2">
        <v>47128</v>
      </c>
      <c r="P984" s="2">
        <v>49635</v>
      </c>
      <c r="Q984" s="2"/>
      <c r="R984" s="2">
        <v>47059</v>
      </c>
      <c r="AB984" s="2"/>
    </row>
    <row r="985" spans="8:28" ht="15" customHeight="1">
      <c r="H985" s="2">
        <v>49664</v>
      </c>
      <c r="I985" s="2"/>
      <c r="J985" s="2">
        <v>47029</v>
      </c>
      <c r="K985" s="2"/>
      <c r="L985" s="2">
        <v>49570</v>
      </c>
      <c r="M985" s="2"/>
      <c r="N985" s="2">
        <v>47129</v>
      </c>
      <c r="P985" s="2">
        <v>49634</v>
      </c>
      <c r="Q985" s="2"/>
      <c r="R985" s="2">
        <v>47060</v>
      </c>
      <c r="AB985" s="2"/>
    </row>
    <row r="986" spans="8:28" ht="15" customHeight="1">
      <c r="H986" s="2">
        <v>49663</v>
      </c>
      <c r="I986" s="2"/>
      <c r="J986" s="2">
        <v>47030</v>
      </c>
      <c r="K986" s="2"/>
      <c r="L986" s="2">
        <v>49566</v>
      </c>
      <c r="M986" s="2"/>
      <c r="N986" s="2">
        <v>47130</v>
      </c>
      <c r="P986" s="2">
        <v>49633</v>
      </c>
      <c r="Q986" s="2"/>
      <c r="R986" s="2">
        <v>47063</v>
      </c>
      <c r="AB986" s="2"/>
    </row>
    <row r="987" spans="8:28" ht="15" customHeight="1">
      <c r="H987" s="2">
        <v>49662</v>
      </c>
      <c r="I987" s="2"/>
      <c r="J987" s="2">
        <v>47031</v>
      </c>
      <c r="K987" s="2"/>
      <c r="L987" s="2">
        <v>49565</v>
      </c>
      <c r="M987" s="2"/>
      <c r="N987" s="2">
        <v>47134</v>
      </c>
      <c r="P987" s="2">
        <v>49632</v>
      </c>
      <c r="Q987" s="2"/>
      <c r="R987" s="2">
        <v>47064</v>
      </c>
      <c r="AB987" s="2"/>
    </row>
    <row r="988" spans="8:28" ht="15" customHeight="1">
      <c r="H988" s="2">
        <v>49661</v>
      </c>
      <c r="I988" s="2"/>
      <c r="J988" s="2">
        <v>47032</v>
      </c>
      <c r="K988" s="2"/>
      <c r="L988" s="2">
        <v>49564</v>
      </c>
      <c r="M988" s="2"/>
      <c r="N988" s="2">
        <v>47135</v>
      </c>
      <c r="P988" s="2">
        <v>49629</v>
      </c>
      <c r="Q988" s="2"/>
      <c r="R988" s="2">
        <v>47065</v>
      </c>
      <c r="AB988" s="2"/>
    </row>
    <row r="989" spans="8:28" ht="15" customHeight="1">
      <c r="H989" s="2">
        <v>49660</v>
      </c>
      <c r="I989" s="2"/>
      <c r="J989" s="2">
        <v>47035</v>
      </c>
      <c r="K989" s="2"/>
      <c r="L989" s="2">
        <v>49563</v>
      </c>
      <c r="M989" s="2"/>
      <c r="N989" s="2">
        <v>47136</v>
      </c>
      <c r="P989" s="2">
        <v>49628</v>
      </c>
      <c r="Q989" s="2"/>
      <c r="R989" s="2">
        <v>47066</v>
      </c>
      <c r="AB989" s="2"/>
    </row>
    <row r="990" spans="8:28" ht="15" customHeight="1">
      <c r="H990" s="2">
        <v>49657</v>
      </c>
      <c r="I990" s="2"/>
      <c r="J990" s="2">
        <v>47036</v>
      </c>
      <c r="K990" s="2"/>
      <c r="L990" s="2">
        <v>49562</v>
      </c>
      <c r="M990" s="2"/>
      <c r="N990" s="2">
        <v>47137</v>
      </c>
      <c r="P990" s="2">
        <v>49627</v>
      </c>
      <c r="Q990" s="2"/>
      <c r="R990" s="2">
        <v>47067</v>
      </c>
      <c r="AB990" s="2"/>
    </row>
    <row r="991" spans="8:28" ht="15" customHeight="1">
      <c r="H991" s="2">
        <v>49656</v>
      </c>
      <c r="I991" s="2"/>
      <c r="J991" s="2">
        <v>47037</v>
      </c>
      <c r="K991" s="2"/>
      <c r="L991" s="2">
        <v>49559</v>
      </c>
      <c r="M991" s="2"/>
      <c r="N991" s="2">
        <v>47140</v>
      </c>
      <c r="P991" s="2">
        <v>49626</v>
      </c>
      <c r="Q991" s="2"/>
      <c r="R991" s="2">
        <v>47070</v>
      </c>
      <c r="AB991" s="2"/>
    </row>
    <row r="992" spans="8:28" ht="15" customHeight="1">
      <c r="H992" s="2">
        <v>49655</v>
      </c>
      <c r="I992" s="2"/>
      <c r="J992" s="2">
        <v>47038</v>
      </c>
      <c r="K992" s="2"/>
      <c r="L992" s="2">
        <v>49558</v>
      </c>
      <c r="M992" s="2"/>
      <c r="N992" s="2">
        <v>47141</v>
      </c>
      <c r="P992" s="2">
        <v>49625</v>
      </c>
      <c r="Q992" s="2"/>
      <c r="R992" s="2">
        <v>47071</v>
      </c>
      <c r="AB992" s="2"/>
    </row>
    <row r="993" spans="8:28" ht="15" customHeight="1">
      <c r="H993" s="2">
        <v>49654</v>
      </c>
      <c r="I993" s="2"/>
      <c r="J993" s="2">
        <v>47039</v>
      </c>
      <c r="K993" s="2"/>
      <c r="L993" s="2">
        <v>49557</v>
      </c>
      <c r="M993" s="2"/>
      <c r="N993" s="2">
        <v>47142</v>
      </c>
      <c r="P993" s="2">
        <v>49622</v>
      </c>
      <c r="Q993" s="2"/>
      <c r="R993" s="2">
        <v>47072</v>
      </c>
      <c r="AB993" s="2"/>
    </row>
    <row r="994" spans="8:28" ht="15" customHeight="1">
      <c r="H994" s="2">
        <v>49653</v>
      </c>
      <c r="I994" s="2"/>
      <c r="J994" s="2">
        <v>47042</v>
      </c>
      <c r="K994" s="2"/>
      <c r="L994" s="2">
        <v>49556</v>
      </c>
      <c r="M994" s="2"/>
      <c r="N994" s="2">
        <v>47143</v>
      </c>
      <c r="P994" s="2">
        <v>49621</v>
      </c>
      <c r="Q994" s="2"/>
      <c r="R994" s="2">
        <v>47073</v>
      </c>
      <c r="AB994" s="2"/>
    </row>
    <row r="995" spans="8:28" ht="15" customHeight="1">
      <c r="H995" s="2">
        <v>49650</v>
      </c>
      <c r="I995" s="2"/>
      <c r="J995" s="2">
        <v>47043</v>
      </c>
      <c r="K995" s="2"/>
      <c r="L995" s="2">
        <v>49552</v>
      </c>
      <c r="M995" s="2"/>
      <c r="N995" s="2">
        <v>47144</v>
      </c>
      <c r="P995" s="2">
        <v>49620</v>
      </c>
      <c r="Q995" s="2"/>
      <c r="R995" s="2">
        <v>47074</v>
      </c>
      <c r="AB995" s="2"/>
    </row>
    <row r="996" spans="8:28" ht="15" customHeight="1">
      <c r="H996" s="2">
        <v>49649</v>
      </c>
      <c r="I996" s="2"/>
      <c r="J996" s="2">
        <v>47044</v>
      </c>
      <c r="K996" s="2"/>
      <c r="L996" s="2">
        <v>49551</v>
      </c>
      <c r="M996" s="2"/>
      <c r="N996" s="2">
        <v>47147</v>
      </c>
      <c r="P996" s="2">
        <v>49619</v>
      </c>
      <c r="Q996" s="2"/>
      <c r="R996" s="2">
        <v>47077</v>
      </c>
      <c r="AB996" s="2"/>
    </row>
    <row r="997" spans="8:28" ht="15" customHeight="1">
      <c r="H997" s="2">
        <v>49648</v>
      </c>
      <c r="I997" s="2"/>
      <c r="J997" s="2">
        <v>47045</v>
      </c>
      <c r="K997" s="2"/>
      <c r="L997" s="2">
        <v>49550</v>
      </c>
      <c r="M997" s="2"/>
      <c r="N997" s="2">
        <v>47148</v>
      </c>
      <c r="P997" s="2">
        <v>49618</v>
      </c>
      <c r="Q997" s="2"/>
      <c r="R997" s="2">
        <v>47078</v>
      </c>
      <c r="AB997" s="2"/>
    </row>
    <row r="998" spans="8:28" ht="15" customHeight="1">
      <c r="H998" s="2">
        <v>49647</v>
      </c>
      <c r="I998" s="2"/>
      <c r="J998" s="2">
        <v>47046</v>
      </c>
      <c r="K998" s="2"/>
      <c r="L998" s="2">
        <v>49549</v>
      </c>
      <c r="M998" s="2"/>
      <c r="N998" s="2">
        <v>47149</v>
      </c>
      <c r="P998" s="2">
        <v>49615</v>
      </c>
      <c r="Q998" s="2"/>
      <c r="R998" s="2">
        <v>47079</v>
      </c>
      <c r="AB998" s="2"/>
    </row>
    <row r="999" spans="8:28" ht="15" customHeight="1">
      <c r="H999" s="2">
        <v>49646</v>
      </c>
      <c r="I999" s="2"/>
      <c r="J999" s="2">
        <v>47049</v>
      </c>
      <c r="K999" s="2"/>
      <c r="L999" s="2">
        <v>49548</v>
      </c>
      <c r="M999" s="2"/>
      <c r="N999" s="2">
        <v>47150</v>
      </c>
      <c r="P999" s="2">
        <v>49614</v>
      </c>
      <c r="Q999" s="2"/>
      <c r="R999" s="2">
        <v>47080</v>
      </c>
      <c r="AB999" s="2"/>
    </row>
    <row r="1000" spans="8:28" ht="15" customHeight="1">
      <c r="H1000" s="2">
        <v>49643</v>
      </c>
      <c r="I1000" s="2"/>
      <c r="J1000" s="2">
        <v>47050</v>
      </c>
      <c r="K1000" s="2"/>
      <c r="L1000" s="2">
        <v>49545</v>
      </c>
      <c r="M1000" s="2"/>
      <c r="N1000" s="2">
        <v>47151</v>
      </c>
      <c r="P1000" s="2">
        <v>49613</v>
      </c>
      <c r="Q1000" s="2"/>
      <c r="R1000" s="2">
        <v>47081</v>
      </c>
      <c r="AB1000" s="2"/>
    </row>
    <row r="1001" spans="8:28" ht="15" customHeight="1">
      <c r="H1001" s="2">
        <v>49642</v>
      </c>
      <c r="I1001" s="2"/>
      <c r="J1001" s="2">
        <v>47051</v>
      </c>
      <c r="K1001" s="2"/>
      <c r="L1001" s="2">
        <v>49544</v>
      </c>
      <c r="M1001" s="2"/>
      <c r="N1001" s="2">
        <v>47154</v>
      </c>
      <c r="P1001" s="2">
        <v>49612</v>
      </c>
      <c r="Q1001" s="2"/>
      <c r="R1001" s="2">
        <v>47084</v>
      </c>
      <c r="AB1001" s="2"/>
    </row>
    <row r="1002" spans="8:28" ht="15" customHeight="1">
      <c r="H1002" s="2">
        <v>49641</v>
      </c>
      <c r="I1002" s="2"/>
      <c r="J1002" s="2">
        <v>47052</v>
      </c>
      <c r="K1002" s="2"/>
      <c r="L1002" s="2">
        <v>49543</v>
      </c>
      <c r="M1002" s="2"/>
      <c r="N1002" s="2">
        <v>47155</v>
      </c>
      <c r="P1002" s="2">
        <v>49611</v>
      </c>
      <c r="Q1002" s="2"/>
      <c r="R1002" s="2">
        <v>47085</v>
      </c>
      <c r="AB1002" s="2"/>
    </row>
    <row r="1003" spans="8:28" ht="15" customHeight="1">
      <c r="H1003" s="2">
        <v>49640</v>
      </c>
      <c r="I1003" s="2"/>
      <c r="J1003" s="2">
        <v>47053</v>
      </c>
      <c r="K1003" s="2"/>
      <c r="L1003" s="2">
        <v>49542</v>
      </c>
      <c r="M1003" s="2"/>
      <c r="N1003" s="2">
        <v>47156</v>
      </c>
      <c r="P1003" s="2">
        <v>49608</v>
      </c>
      <c r="Q1003" s="2"/>
      <c r="R1003" s="2">
        <v>47086</v>
      </c>
      <c r="AB1003" s="2"/>
    </row>
    <row r="1004" spans="8:28" ht="15" customHeight="1">
      <c r="H1004" s="2">
        <v>49639</v>
      </c>
      <c r="I1004" s="2"/>
      <c r="J1004" s="2">
        <v>47056</v>
      </c>
      <c r="K1004" s="2"/>
      <c r="L1004" s="2">
        <v>49541</v>
      </c>
      <c r="M1004" s="2"/>
      <c r="N1004" s="2">
        <v>47157</v>
      </c>
      <c r="P1004" s="2">
        <v>49607</v>
      </c>
      <c r="Q1004" s="2"/>
      <c r="R1004" s="2">
        <v>47087</v>
      </c>
      <c r="AB1004" s="2"/>
    </row>
    <row r="1005" spans="8:28" ht="15" customHeight="1">
      <c r="H1005" s="2">
        <v>49636</v>
      </c>
      <c r="I1005" s="2"/>
      <c r="J1005" s="2">
        <v>47057</v>
      </c>
      <c r="K1005" s="2"/>
      <c r="L1005" s="2">
        <v>49538</v>
      </c>
      <c r="M1005" s="2"/>
      <c r="N1005" s="2">
        <v>47158</v>
      </c>
      <c r="P1005" s="2">
        <v>49606</v>
      </c>
      <c r="Q1005" s="2"/>
      <c r="R1005" s="2">
        <v>47088</v>
      </c>
      <c r="AB1005" s="2"/>
    </row>
    <row r="1006" spans="8:28" ht="15" customHeight="1">
      <c r="H1006" s="2">
        <v>49634</v>
      </c>
      <c r="I1006" s="2"/>
      <c r="J1006" s="2">
        <v>47058</v>
      </c>
      <c r="K1006" s="2"/>
      <c r="L1006" s="2">
        <v>49537</v>
      </c>
      <c r="M1006" s="2"/>
      <c r="N1006" s="2">
        <v>47162</v>
      </c>
      <c r="P1006" s="2">
        <v>49605</v>
      </c>
      <c r="Q1006" s="2"/>
      <c r="R1006" s="2">
        <v>47091</v>
      </c>
      <c r="AB1006" s="2"/>
    </row>
    <row r="1007" spans="8:28" ht="15" customHeight="1">
      <c r="H1007" s="2">
        <v>49633</v>
      </c>
      <c r="I1007" s="2"/>
      <c r="J1007" s="2">
        <v>47059</v>
      </c>
      <c r="K1007" s="2"/>
      <c r="L1007" s="2">
        <v>49536</v>
      </c>
      <c r="M1007" s="2"/>
      <c r="N1007" s="2">
        <v>47163</v>
      </c>
      <c r="P1007" s="2">
        <v>49604</v>
      </c>
      <c r="Q1007" s="2"/>
      <c r="R1007" s="2">
        <v>47092</v>
      </c>
      <c r="AB1007" s="2"/>
    </row>
    <row r="1008" spans="8:28" ht="15" customHeight="1">
      <c r="H1008" s="2">
        <v>49632</v>
      </c>
      <c r="I1008" s="2"/>
      <c r="J1008" s="2">
        <v>47060</v>
      </c>
      <c r="K1008" s="2"/>
      <c r="L1008" s="2">
        <v>49535</v>
      </c>
      <c r="M1008" s="2"/>
      <c r="N1008" s="2">
        <v>47164</v>
      </c>
      <c r="P1008" s="2">
        <v>49601</v>
      </c>
      <c r="Q1008" s="2"/>
      <c r="R1008" s="2">
        <v>47093</v>
      </c>
      <c r="AB1008" s="2"/>
    </row>
    <row r="1009" spans="8:28" ht="15" customHeight="1">
      <c r="H1009" s="2">
        <v>49629</v>
      </c>
      <c r="I1009" s="2"/>
      <c r="J1009" s="2">
        <v>47063</v>
      </c>
      <c r="K1009" s="2"/>
      <c r="L1009" s="2">
        <v>49534</v>
      </c>
      <c r="M1009" s="2"/>
      <c r="N1009" s="2">
        <v>47165</v>
      </c>
      <c r="P1009" s="2">
        <v>49600</v>
      </c>
      <c r="Q1009" s="2"/>
      <c r="R1009" s="2">
        <v>47094</v>
      </c>
      <c r="AB1009" s="2"/>
    </row>
    <row r="1010" spans="8:28" ht="15" customHeight="1">
      <c r="H1010" s="2">
        <v>49628</v>
      </c>
      <c r="I1010" s="2"/>
      <c r="J1010" s="2">
        <v>47064</v>
      </c>
      <c r="K1010" s="2"/>
      <c r="L1010" s="2">
        <v>49531</v>
      </c>
      <c r="M1010" s="2"/>
      <c r="N1010" s="2">
        <v>47169</v>
      </c>
      <c r="P1010" s="2">
        <v>49599</v>
      </c>
      <c r="Q1010" s="2"/>
      <c r="R1010" s="2">
        <v>47095</v>
      </c>
      <c r="AB1010" s="2"/>
    </row>
    <row r="1011" spans="8:28" ht="15" customHeight="1">
      <c r="H1011" s="2">
        <v>49627</v>
      </c>
      <c r="I1011" s="2"/>
      <c r="J1011" s="2">
        <v>47065</v>
      </c>
      <c r="K1011" s="2"/>
      <c r="L1011" s="2">
        <v>49530</v>
      </c>
      <c r="M1011" s="2"/>
      <c r="N1011" s="2">
        <v>47170</v>
      </c>
      <c r="P1011" s="2">
        <v>49598</v>
      </c>
      <c r="Q1011" s="2"/>
      <c r="R1011" s="2">
        <v>47098</v>
      </c>
      <c r="AB1011" s="2"/>
    </row>
    <row r="1012" spans="8:28" ht="15" customHeight="1">
      <c r="H1012" s="2">
        <v>49626</v>
      </c>
      <c r="I1012" s="2"/>
      <c r="J1012" s="2">
        <v>47066</v>
      </c>
      <c r="K1012" s="2"/>
      <c r="L1012" s="2">
        <v>49529</v>
      </c>
      <c r="M1012" s="2"/>
      <c r="N1012" s="2">
        <v>47171</v>
      </c>
      <c r="P1012" s="2">
        <v>49597</v>
      </c>
      <c r="Q1012" s="2"/>
      <c r="R1012" s="2">
        <v>47099</v>
      </c>
      <c r="AB1012" s="2"/>
    </row>
    <row r="1013" spans="8:28" ht="15" customHeight="1">
      <c r="H1013" s="2">
        <v>49625</v>
      </c>
      <c r="I1013" s="2"/>
      <c r="J1013" s="2">
        <v>47067</v>
      </c>
      <c r="K1013" s="2"/>
      <c r="L1013" s="2">
        <v>49528</v>
      </c>
      <c r="M1013" s="2"/>
      <c r="N1013" s="2">
        <v>47175</v>
      </c>
      <c r="P1013" s="2">
        <v>49594</v>
      </c>
      <c r="Q1013" s="2"/>
      <c r="R1013" s="2">
        <v>47100</v>
      </c>
      <c r="AB1013" s="2"/>
    </row>
    <row r="1014" spans="8:28" ht="15" customHeight="1">
      <c r="H1014" s="2">
        <v>49622</v>
      </c>
      <c r="I1014" s="2"/>
      <c r="J1014" s="2">
        <v>47070</v>
      </c>
      <c r="K1014" s="2"/>
      <c r="L1014" s="2">
        <v>49527</v>
      </c>
      <c r="M1014" s="2"/>
      <c r="N1014" s="2">
        <v>47176</v>
      </c>
      <c r="P1014" s="2">
        <v>49593</v>
      </c>
      <c r="Q1014" s="2"/>
      <c r="R1014" s="2">
        <v>47101</v>
      </c>
      <c r="AB1014" s="2"/>
    </row>
    <row r="1015" spans="8:28" ht="15" customHeight="1">
      <c r="H1015" s="2">
        <v>49621</v>
      </c>
      <c r="I1015" s="2"/>
      <c r="J1015" s="2">
        <v>47071</v>
      </c>
      <c r="K1015" s="2"/>
      <c r="L1015" s="2">
        <v>49524</v>
      </c>
      <c r="M1015" s="2"/>
      <c r="N1015" s="2">
        <v>47177</v>
      </c>
      <c r="P1015" s="2">
        <v>49592</v>
      </c>
      <c r="Q1015" s="2"/>
      <c r="R1015" s="2">
        <v>47102</v>
      </c>
      <c r="AB1015" s="2"/>
    </row>
    <row r="1016" spans="8:28" ht="15" customHeight="1">
      <c r="H1016" s="2">
        <v>49620</v>
      </c>
      <c r="I1016" s="2"/>
      <c r="J1016" s="2">
        <v>47072</v>
      </c>
      <c r="K1016" s="2"/>
      <c r="L1016" s="2">
        <v>49523</v>
      </c>
      <c r="M1016" s="2"/>
      <c r="N1016" s="2">
        <v>47178</v>
      </c>
      <c r="P1016" s="2">
        <v>49590</v>
      </c>
      <c r="Q1016" s="2"/>
      <c r="R1016" s="2">
        <v>47105</v>
      </c>
      <c r="AB1016" s="2"/>
    </row>
    <row r="1017" spans="8:28" ht="15" customHeight="1">
      <c r="H1017" s="2">
        <v>49619</v>
      </c>
      <c r="I1017" s="2"/>
      <c r="J1017" s="2">
        <v>47073</v>
      </c>
      <c r="K1017" s="2"/>
      <c r="L1017" s="2">
        <v>49522</v>
      </c>
      <c r="M1017" s="2"/>
      <c r="N1017" s="2">
        <v>47179</v>
      </c>
      <c r="P1017" s="2">
        <v>49587</v>
      </c>
      <c r="Q1017" s="2"/>
      <c r="R1017" s="2">
        <v>47106</v>
      </c>
      <c r="AB1017" s="2"/>
    </row>
    <row r="1018" spans="8:28" ht="15" customHeight="1">
      <c r="H1018" s="2">
        <v>49618</v>
      </c>
      <c r="I1018" s="2"/>
      <c r="J1018" s="2">
        <v>47074</v>
      </c>
      <c r="K1018" s="2"/>
      <c r="L1018" s="2">
        <v>49521</v>
      </c>
      <c r="M1018" s="2"/>
      <c r="N1018" s="2">
        <v>47182</v>
      </c>
      <c r="P1018" s="2">
        <v>49586</v>
      </c>
      <c r="Q1018" s="2"/>
      <c r="R1018" s="2">
        <v>47107</v>
      </c>
      <c r="AB1018" s="2"/>
    </row>
    <row r="1019" spans="8:28" ht="15" customHeight="1">
      <c r="H1019" s="2">
        <v>49615</v>
      </c>
      <c r="I1019" s="2"/>
      <c r="J1019" s="2">
        <v>47077</v>
      </c>
      <c r="K1019" s="2"/>
      <c r="L1019" s="2">
        <v>49520</v>
      </c>
      <c r="M1019" s="2"/>
      <c r="N1019" s="2">
        <v>47183</v>
      </c>
      <c r="P1019" s="2">
        <v>49584</v>
      </c>
      <c r="Q1019" s="2"/>
      <c r="R1019" s="2">
        <v>47108</v>
      </c>
      <c r="AB1019" s="2"/>
    </row>
    <row r="1020" spans="8:28" ht="15" customHeight="1">
      <c r="H1020" s="2">
        <v>49614</v>
      </c>
      <c r="I1020" s="2"/>
      <c r="J1020" s="2">
        <v>47078</v>
      </c>
      <c r="K1020" s="2"/>
      <c r="L1020" s="2">
        <v>49517</v>
      </c>
      <c r="M1020" s="2"/>
      <c r="N1020" s="2">
        <v>47184</v>
      </c>
      <c r="P1020" s="2">
        <v>49583</v>
      </c>
      <c r="Q1020" s="2"/>
      <c r="R1020" s="2">
        <v>47109</v>
      </c>
      <c r="AB1020" s="2"/>
    </row>
    <row r="1021" spans="8:28" ht="15" customHeight="1">
      <c r="H1021" s="2">
        <v>49613</v>
      </c>
      <c r="I1021" s="2"/>
      <c r="J1021" s="2">
        <v>47079</v>
      </c>
      <c r="K1021" s="2"/>
      <c r="L1021" s="2">
        <v>49516</v>
      </c>
      <c r="M1021" s="2"/>
      <c r="N1021" s="2">
        <v>47185</v>
      </c>
      <c r="P1021" s="2">
        <v>49580</v>
      </c>
      <c r="Q1021" s="2"/>
      <c r="R1021" s="2">
        <v>47113</v>
      </c>
      <c r="AB1021" s="2"/>
    </row>
    <row r="1022" spans="8:28" ht="15" customHeight="1">
      <c r="H1022" s="2">
        <v>49612</v>
      </c>
      <c r="I1022" s="2"/>
      <c r="J1022" s="2">
        <v>47081</v>
      </c>
      <c r="K1022" s="2"/>
      <c r="L1022" s="2">
        <v>49515</v>
      </c>
      <c r="M1022" s="2"/>
      <c r="N1022" s="2">
        <v>47186</v>
      </c>
      <c r="P1022" s="2">
        <v>49579</v>
      </c>
      <c r="Q1022" s="2"/>
      <c r="R1022" s="2">
        <v>47114</v>
      </c>
      <c r="AB1022" s="2"/>
    </row>
    <row r="1023" spans="8:28" ht="15" customHeight="1">
      <c r="H1023" s="2">
        <v>49611</v>
      </c>
      <c r="I1023" s="2"/>
      <c r="J1023" s="2">
        <v>47084</v>
      </c>
      <c r="K1023" s="2"/>
      <c r="L1023" s="2">
        <v>49514</v>
      </c>
      <c r="M1023" s="2"/>
      <c r="N1023" s="2">
        <v>47189</v>
      </c>
      <c r="P1023" s="2">
        <v>49578</v>
      </c>
      <c r="Q1023" s="2"/>
      <c r="R1023" s="2">
        <v>47115</v>
      </c>
      <c r="AB1023" s="2"/>
    </row>
    <row r="1024" spans="8:28" ht="15" customHeight="1">
      <c r="H1024" s="2">
        <v>49608</v>
      </c>
      <c r="I1024" s="2"/>
      <c r="J1024" s="2">
        <v>47085</v>
      </c>
      <c r="K1024" s="2"/>
      <c r="L1024" s="2">
        <v>49513</v>
      </c>
      <c r="M1024" s="2"/>
      <c r="N1024" s="2">
        <v>47190</v>
      </c>
      <c r="P1024" s="2">
        <v>49577</v>
      </c>
      <c r="Q1024" s="2"/>
      <c r="R1024" s="2">
        <v>47120</v>
      </c>
      <c r="AB1024" s="2"/>
    </row>
    <row r="1025" spans="8:28" ht="15" customHeight="1">
      <c r="H1025" s="2">
        <v>49607</v>
      </c>
      <c r="I1025" s="2"/>
      <c r="J1025" s="2">
        <v>47086</v>
      </c>
      <c r="K1025" s="2"/>
      <c r="L1025" s="2">
        <v>49510</v>
      </c>
      <c r="M1025" s="2"/>
      <c r="N1025" s="2">
        <v>47191</v>
      </c>
      <c r="P1025" s="2">
        <v>49576</v>
      </c>
      <c r="Q1025" s="2"/>
      <c r="R1025" s="2">
        <v>47121</v>
      </c>
      <c r="AB1025" s="2"/>
    </row>
    <row r="1026" spans="8:28" ht="15" customHeight="1">
      <c r="H1026" s="2">
        <v>49606</v>
      </c>
      <c r="I1026" s="2"/>
      <c r="J1026" s="2">
        <v>47087</v>
      </c>
      <c r="K1026" s="2"/>
      <c r="L1026" s="2">
        <v>49509</v>
      </c>
      <c r="M1026" s="2"/>
      <c r="N1026" s="2">
        <v>47192</v>
      </c>
      <c r="P1026" s="2">
        <v>49573</v>
      </c>
      <c r="Q1026" s="2"/>
      <c r="R1026" s="2">
        <v>47122</v>
      </c>
      <c r="AB1026" s="2"/>
    </row>
    <row r="1027" spans="8:28" ht="15" customHeight="1">
      <c r="H1027" s="2">
        <v>49605</v>
      </c>
      <c r="I1027" s="2"/>
      <c r="J1027" s="2">
        <v>47088</v>
      </c>
      <c r="K1027" s="2"/>
      <c r="L1027" s="2">
        <v>49508</v>
      </c>
      <c r="M1027" s="2"/>
      <c r="N1027" s="2">
        <v>47193</v>
      </c>
      <c r="P1027" s="2">
        <v>49572</v>
      </c>
      <c r="Q1027" s="2"/>
      <c r="R1027" s="2">
        <v>47123</v>
      </c>
      <c r="AB1027" s="2"/>
    </row>
    <row r="1028" spans="8:28" ht="15" customHeight="1">
      <c r="H1028" s="2">
        <v>49604</v>
      </c>
      <c r="I1028" s="2"/>
      <c r="J1028" s="2">
        <v>47091</v>
      </c>
      <c r="K1028" s="2"/>
      <c r="L1028" s="2">
        <v>49507</v>
      </c>
      <c r="M1028" s="2"/>
      <c r="N1028" s="2">
        <v>47196</v>
      </c>
      <c r="P1028" s="2">
        <v>49571</v>
      </c>
      <c r="Q1028" s="2"/>
      <c r="R1028" s="2">
        <v>47126</v>
      </c>
      <c r="AB1028" s="2"/>
    </row>
    <row r="1029" spans="8:28" ht="15" customHeight="1">
      <c r="H1029" s="2">
        <v>49601</v>
      </c>
      <c r="I1029" s="2"/>
      <c r="J1029" s="2">
        <v>47092</v>
      </c>
      <c r="K1029" s="2"/>
      <c r="L1029" s="2">
        <v>49503</v>
      </c>
      <c r="M1029" s="2"/>
      <c r="N1029" s="2">
        <v>47198</v>
      </c>
      <c r="P1029" s="2">
        <v>49566</v>
      </c>
      <c r="Q1029" s="2"/>
      <c r="R1029" s="2">
        <v>47127</v>
      </c>
      <c r="AB1029" s="2"/>
    </row>
    <row r="1030" spans="8:28" ht="15" customHeight="1">
      <c r="H1030" s="2">
        <v>49600</v>
      </c>
      <c r="I1030" s="2"/>
      <c r="J1030" s="2">
        <v>47093</v>
      </c>
      <c r="K1030" s="2"/>
      <c r="L1030" s="2">
        <v>49502</v>
      </c>
      <c r="M1030" s="2"/>
      <c r="N1030" s="2">
        <v>47199</v>
      </c>
      <c r="P1030" s="2">
        <v>49565</v>
      </c>
      <c r="Q1030" s="2"/>
      <c r="R1030" s="2">
        <v>47128</v>
      </c>
      <c r="AB1030" s="2"/>
    </row>
    <row r="1031" spans="8:28" ht="15" customHeight="1">
      <c r="H1031" s="2">
        <v>49599</v>
      </c>
      <c r="I1031" s="2"/>
      <c r="J1031" s="2">
        <v>47094</v>
      </c>
      <c r="K1031" s="2"/>
      <c r="L1031" s="2">
        <v>49501</v>
      </c>
      <c r="M1031" s="2"/>
      <c r="N1031" s="2">
        <v>47200</v>
      </c>
      <c r="P1031" s="2">
        <v>49564</v>
      </c>
      <c r="Q1031" s="2"/>
      <c r="R1031" s="2">
        <v>47129</v>
      </c>
      <c r="AB1031" s="2"/>
    </row>
    <row r="1032" spans="8:28" ht="15" customHeight="1">
      <c r="H1032" s="2">
        <v>49598</v>
      </c>
      <c r="I1032" s="2"/>
      <c r="J1032" s="2">
        <v>47095</v>
      </c>
      <c r="K1032" s="2"/>
      <c r="L1032" s="2">
        <v>49500</v>
      </c>
      <c r="M1032" s="2"/>
      <c r="N1032" s="2">
        <v>47203</v>
      </c>
      <c r="P1032" s="2">
        <v>49563</v>
      </c>
      <c r="Q1032" s="2"/>
      <c r="R1032" s="2">
        <v>47130</v>
      </c>
      <c r="AB1032" s="2"/>
    </row>
    <row r="1033" spans="8:28" ht="15" customHeight="1">
      <c r="H1033" s="2">
        <v>49597</v>
      </c>
      <c r="I1033" s="2"/>
      <c r="J1033" s="2">
        <v>47098</v>
      </c>
      <c r="K1033" s="2"/>
      <c r="L1033" s="2">
        <v>49499</v>
      </c>
      <c r="M1033" s="2"/>
      <c r="N1033" s="2">
        <v>47204</v>
      </c>
      <c r="P1033" s="2">
        <v>49562</v>
      </c>
      <c r="Q1033" s="2"/>
      <c r="R1033" s="2">
        <v>47133</v>
      </c>
      <c r="AB1033" s="2"/>
    </row>
    <row r="1034" spans="8:28" ht="15" customHeight="1">
      <c r="H1034" s="2">
        <v>49594</v>
      </c>
      <c r="I1034" s="2"/>
      <c r="J1034" s="2">
        <v>47099</v>
      </c>
      <c r="K1034" s="2"/>
      <c r="L1034" s="2">
        <v>49496</v>
      </c>
      <c r="M1034" s="2"/>
      <c r="N1034" s="2">
        <v>47205</v>
      </c>
      <c r="P1034" s="2">
        <v>49559</v>
      </c>
      <c r="Q1034" s="2"/>
      <c r="R1034" s="2">
        <v>47134</v>
      </c>
      <c r="AB1034" s="2"/>
    </row>
    <row r="1035" spans="8:28" ht="15" customHeight="1">
      <c r="H1035" s="2">
        <v>49593</v>
      </c>
      <c r="I1035" s="2"/>
      <c r="J1035" s="2">
        <v>47100</v>
      </c>
      <c r="K1035" s="2"/>
      <c r="L1035" s="2">
        <v>49495</v>
      </c>
      <c r="M1035" s="2"/>
      <c r="N1035" s="2">
        <v>47206</v>
      </c>
      <c r="P1035" s="2">
        <v>49558</v>
      </c>
      <c r="Q1035" s="2"/>
      <c r="R1035" s="2">
        <v>47135</v>
      </c>
      <c r="AB1035" s="2"/>
    </row>
    <row r="1036" spans="8:28" ht="15" customHeight="1">
      <c r="H1036" s="2">
        <v>49592</v>
      </c>
      <c r="I1036" s="2"/>
      <c r="J1036" s="2">
        <v>47101</v>
      </c>
      <c r="K1036" s="2"/>
      <c r="L1036" s="2">
        <v>49493</v>
      </c>
      <c r="M1036" s="2"/>
      <c r="N1036" s="2">
        <v>47210</v>
      </c>
      <c r="P1036" s="2">
        <v>49557</v>
      </c>
      <c r="Q1036" s="2"/>
      <c r="R1036" s="2">
        <v>47136</v>
      </c>
      <c r="AB1036" s="2"/>
    </row>
    <row r="1037" spans="8:28" ht="15" customHeight="1">
      <c r="H1037" s="2">
        <v>49591</v>
      </c>
      <c r="I1037" s="2"/>
      <c r="J1037" s="2">
        <v>47102</v>
      </c>
      <c r="K1037" s="2"/>
      <c r="L1037" s="2">
        <v>49492</v>
      </c>
      <c r="M1037" s="2"/>
      <c r="N1037" s="2">
        <v>47211</v>
      </c>
      <c r="P1037" s="2">
        <v>49556</v>
      </c>
      <c r="Q1037" s="2"/>
      <c r="R1037" s="2">
        <v>47137</v>
      </c>
      <c r="AB1037" s="2"/>
    </row>
    <row r="1038" spans="8:28" ht="15" customHeight="1">
      <c r="H1038" s="2">
        <v>49590</v>
      </c>
      <c r="I1038" s="2"/>
      <c r="J1038" s="2">
        <v>47105</v>
      </c>
      <c r="K1038" s="2"/>
      <c r="L1038" s="2">
        <v>49489</v>
      </c>
      <c r="M1038" s="2"/>
      <c r="N1038" s="2">
        <v>47212</v>
      </c>
      <c r="P1038" s="2">
        <v>49555</v>
      </c>
      <c r="Q1038" s="2"/>
      <c r="R1038" s="2">
        <v>47140</v>
      </c>
      <c r="AB1038" s="2"/>
    </row>
    <row r="1039" spans="8:28" ht="15" customHeight="1">
      <c r="H1039" s="2">
        <v>49587</v>
      </c>
      <c r="I1039" s="2"/>
      <c r="J1039" s="2">
        <v>47106</v>
      </c>
      <c r="K1039" s="2"/>
      <c r="L1039" s="2">
        <v>49488</v>
      </c>
      <c r="M1039" s="2"/>
      <c r="N1039" s="2">
        <v>47213</v>
      </c>
      <c r="P1039" s="2">
        <v>49552</v>
      </c>
      <c r="Q1039" s="2"/>
      <c r="R1039" s="2">
        <v>47141</v>
      </c>
      <c r="AB1039" s="2"/>
    </row>
    <row r="1040" spans="8:28" ht="15" customHeight="1">
      <c r="H1040" s="2">
        <v>49586</v>
      </c>
      <c r="I1040" s="2"/>
      <c r="J1040" s="2">
        <v>47107</v>
      </c>
      <c r="K1040" s="2"/>
      <c r="L1040" s="2">
        <v>49487</v>
      </c>
      <c r="M1040" s="2"/>
      <c r="N1040" s="2">
        <v>47214</v>
      </c>
      <c r="P1040" s="2">
        <v>49551</v>
      </c>
      <c r="Q1040" s="2"/>
      <c r="R1040" s="2">
        <v>47142</v>
      </c>
      <c r="AB1040" s="2"/>
    </row>
    <row r="1041" spans="8:28" ht="15" customHeight="1">
      <c r="H1041" s="2">
        <v>49585</v>
      </c>
      <c r="I1041" s="2"/>
      <c r="J1041" s="2">
        <v>47108</v>
      </c>
      <c r="K1041" s="2"/>
      <c r="L1041" s="2">
        <v>49486</v>
      </c>
      <c r="M1041" s="2"/>
      <c r="N1041" s="2">
        <v>47217</v>
      </c>
      <c r="P1041" s="2">
        <v>49550</v>
      </c>
      <c r="Q1041" s="2"/>
      <c r="R1041" s="2">
        <v>47143</v>
      </c>
      <c r="AB1041" s="2"/>
    </row>
    <row r="1042" spans="8:28" ht="15" customHeight="1">
      <c r="H1042" s="2">
        <v>49584</v>
      </c>
      <c r="I1042" s="2"/>
      <c r="J1042" s="2">
        <v>47109</v>
      </c>
      <c r="K1042" s="2"/>
      <c r="L1042" s="2">
        <v>49485</v>
      </c>
      <c r="M1042" s="2"/>
      <c r="N1042" s="2">
        <v>47218</v>
      </c>
      <c r="P1042" s="2">
        <v>49549</v>
      </c>
      <c r="Q1042" s="2"/>
      <c r="R1042" s="2">
        <v>47144</v>
      </c>
      <c r="AB1042" s="2"/>
    </row>
    <row r="1043" spans="8:28" ht="15" customHeight="1">
      <c r="H1043" s="2">
        <v>49583</v>
      </c>
      <c r="I1043" s="2"/>
      <c r="J1043" s="2">
        <v>47113</v>
      </c>
      <c r="K1043" s="2"/>
      <c r="L1043" s="2">
        <v>49482</v>
      </c>
      <c r="M1043" s="2"/>
      <c r="N1043" s="2">
        <v>47219</v>
      </c>
      <c r="P1043" s="2">
        <v>49548</v>
      </c>
      <c r="Q1043" s="2"/>
      <c r="R1043" s="2">
        <v>47147</v>
      </c>
      <c r="AB1043" s="2"/>
    </row>
    <row r="1044" spans="8:28" ht="15" customHeight="1">
      <c r="H1044" s="2">
        <v>49580</v>
      </c>
      <c r="I1044" s="2"/>
      <c r="J1044" s="2">
        <v>47114</v>
      </c>
      <c r="K1044" s="2"/>
      <c r="L1044" s="2">
        <v>49481</v>
      </c>
      <c r="M1044" s="2"/>
      <c r="N1044" s="2">
        <v>47220</v>
      </c>
      <c r="P1044" s="2">
        <v>49545</v>
      </c>
      <c r="Q1044" s="2"/>
      <c r="R1044" s="2">
        <v>47148</v>
      </c>
      <c r="AB1044" s="2"/>
    </row>
    <row r="1045" spans="8:28" ht="15" customHeight="1">
      <c r="H1045" s="2">
        <v>49579</v>
      </c>
      <c r="I1045" s="2"/>
      <c r="J1045" s="2">
        <v>47115</v>
      </c>
      <c r="K1045" s="2"/>
      <c r="L1045" s="2">
        <v>49480</v>
      </c>
      <c r="M1045" s="2"/>
      <c r="N1045" s="2">
        <v>47221</v>
      </c>
      <c r="P1045" s="2">
        <v>49544</v>
      </c>
      <c r="Q1045" s="2"/>
      <c r="R1045" s="2">
        <v>47149</v>
      </c>
      <c r="AB1045" s="2"/>
    </row>
    <row r="1046" spans="8:28" ht="15" customHeight="1">
      <c r="H1046" s="2">
        <v>49578</v>
      </c>
      <c r="I1046" s="2"/>
      <c r="J1046" s="2">
        <v>47116</v>
      </c>
      <c r="K1046" s="2"/>
      <c r="L1046" s="2">
        <v>49478</v>
      </c>
      <c r="M1046" s="2"/>
      <c r="N1046" s="2">
        <v>47224</v>
      </c>
      <c r="P1046" s="2">
        <v>49543</v>
      </c>
      <c r="Q1046" s="2"/>
      <c r="R1046" s="2">
        <v>47150</v>
      </c>
      <c r="AB1046" s="2"/>
    </row>
    <row r="1047" spans="8:28" ht="15" customHeight="1">
      <c r="H1047" s="2">
        <v>49577</v>
      </c>
      <c r="I1047" s="2"/>
      <c r="J1047" s="2">
        <v>47120</v>
      </c>
      <c r="K1047" s="2"/>
      <c r="L1047" s="2">
        <v>49475</v>
      </c>
      <c r="M1047" s="2"/>
      <c r="N1047" s="2">
        <v>47225</v>
      </c>
      <c r="P1047" s="2">
        <v>49542</v>
      </c>
      <c r="Q1047" s="2"/>
      <c r="R1047" s="2">
        <v>47151</v>
      </c>
      <c r="AB1047" s="2"/>
    </row>
    <row r="1048" spans="8:28" ht="15" customHeight="1">
      <c r="H1048" s="2">
        <v>49576</v>
      </c>
      <c r="I1048" s="2"/>
      <c r="J1048" s="2">
        <v>47121</v>
      </c>
      <c r="K1048" s="2"/>
      <c r="L1048" s="2">
        <v>49474</v>
      </c>
      <c r="M1048" s="2"/>
      <c r="N1048" s="2">
        <v>47226</v>
      </c>
      <c r="P1048" s="2">
        <v>49541</v>
      </c>
      <c r="Q1048" s="2"/>
      <c r="R1048" s="2">
        <v>47154</v>
      </c>
      <c r="AB1048" s="2"/>
    </row>
    <row r="1049" spans="8:28" ht="15" customHeight="1">
      <c r="H1049" s="2">
        <v>49573</v>
      </c>
      <c r="I1049" s="2"/>
      <c r="J1049" s="2">
        <v>47122</v>
      </c>
      <c r="K1049" s="2"/>
      <c r="L1049" s="2">
        <v>49473</v>
      </c>
      <c r="M1049" s="2"/>
      <c r="N1049" s="2">
        <v>47227</v>
      </c>
      <c r="P1049" s="2">
        <v>49538</v>
      </c>
      <c r="Q1049" s="2"/>
      <c r="R1049" s="2">
        <v>47155</v>
      </c>
      <c r="AB1049" s="2"/>
    </row>
    <row r="1050" spans="8:28" ht="15" customHeight="1">
      <c r="H1050" s="2">
        <v>49572</v>
      </c>
      <c r="I1050" s="2"/>
      <c r="J1050" s="2">
        <v>47123</v>
      </c>
      <c r="K1050" s="2"/>
      <c r="L1050" s="2">
        <v>49472</v>
      </c>
      <c r="M1050" s="2"/>
      <c r="N1050" s="2">
        <v>47228</v>
      </c>
      <c r="P1050" s="2">
        <v>49537</v>
      </c>
      <c r="Q1050" s="2"/>
      <c r="R1050" s="2">
        <v>47156</v>
      </c>
      <c r="AB1050" s="2"/>
    </row>
    <row r="1051" spans="8:28" ht="15" customHeight="1">
      <c r="H1051" s="2">
        <v>49571</v>
      </c>
      <c r="I1051" s="2"/>
      <c r="J1051" s="2">
        <v>47126</v>
      </c>
      <c r="K1051" s="2"/>
      <c r="L1051" s="2">
        <v>49471</v>
      </c>
      <c r="M1051" s="2"/>
      <c r="N1051" s="2">
        <v>47231</v>
      </c>
      <c r="P1051" s="2">
        <v>49535</v>
      </c>
      <c r="Q1051" s="2"/>
      <c r="R1051" s="2">
        <v>47157</v>
      </c>
      <c r="AB1051" s="2"/>
    </row>
    <row r="1052" spans="8:28" ht="15" customHeight="1">
      <c r="H1052" s="2">
        <v>49570</v>
      </c>
      <c r="I1052" s="2"/>
      <c r="J1052" s="2">
        <v>47127</v>
      </c>
      <c r="K1052" s="2"/>
      <c r="L1052" s="2">
        <v>49468</v>
      </c>
      <c r="M1052" s="2"/>
      <c r="N1052" s="2">
        <v>47232</v>
      </c>
      <c r="P1052" s="2">
        <v>49534</v>
      </c>
      <c r="Q1052" s="2"/>
      <c r="R1052" s="2">
        <v>47158</v>
      </c>
      <c r="AB1052" s="2"/>
    </row>
    <row r="1053" spans="8:28" ht="15" customHeight="1">
      <c r="H1053" s="2">
        <v>49569</v>
      </c>
      <c r="I1053" s="2"/>
      <c r="J1053" s="2">
        <v>47128</v>
      </c>
      <c r="K1053" s="2"/>
      <c r="L1053" s="2">
        <v>49467</v>
      </c>
      <c r="M1053" s="2"/>
      <c r="N1053" s="2">
        <v>47233</v>
      </c>
      <c r="P1053" s="2">
        <v>49531</v>
      </c>
      <c r="Q1053" s="2"/>
      <c r="R1053" s="2">
        <v>47164</v>
      </c>
      <c r="AB1053" s="2"/>
    </row>
    <row r="1054" spans="8:28" ht="15" customHeight="1">
      <c r="H1054" s="2">
        <v>49566</v>
      </c>
      <c r="I1054" s="2"/>
      <c r="J1054" s="2">
        <v>47129</v>
      </c>
      <c r="K1054" s="2"/>
      <c r="L1054" s="2">
        <v>49466</v>
      </c>
      <c r="M1054" s="2"/>
      <c r="N1054" s="2">
        <v>47234</v>
      </c>
      <c r="P1054" s="2">
        <v>49530</v>
      </c>
      <c r="Q1054" s="2"/>
      <c r="R1054" s="2">
        <v>47165</v>
      </c>
      <c r="AB1054" s="2"/>
    </row>
    <row r="1055" spans="8:28" ht="15" customHeight="1">
      <c r="H1055" s="2">
        <v>49565</v>
      </c>
      <c r="I1055" s="2"/>
      <c r="J1055" s="2">
        <v>47130</v>
      </c>
      <c r="K1055" s="2"/>
      <c r="L1055" s="2">
        <v>49465</v>
      </c>
      <c r="M1055" s="2"/>
      <c r="N1055" s="2">
        <v>47235</v>
      </c>
      <c r="P1055" s="2">
        <v>49529</v>
      </c>
      <c r="Q1055" s="2"/>
      <c r="R1055" s="2">
        <v>47168</v>
      </c>
      <c r="AB1055" s="2"/>
    </row>
    <row r="1056" spans="8:28" ht="15" customHeight="1">
      <c r="H1056" s="2">
        <v>49564</v>
      </c>
      <c r="I1056" s="2"/>
      <c r="J1056" s="2">
        <v>47134</v>
      </c>
      <c r="K1056" s="2"/>
      <c r="L1056" s="2">
        <v>49464</v>
      </c>
      <c r="M1056" s="2"/>
      <c r="N1056" s="2">
        <v>47239</v>
      </c>
      <c r="P1056" s="2">
        <v>49528</v>
      </c>
      <c r="Q1056" s="2"/>
      <c r="R1056" s="2">
        <v>47169</v>
      </c>
      <c r="AB1056" s="2"/>
    </row>
    <row r="1057" spans="8:28" ht="15" customHeight="1">
      <c r="H1057" s="2">
        <v>49563</v>
      </c>
      <c r="I1057" s="2"/>
      <c r="J1057" s="2">
        <v>47135</v>
      </c>
      <c r="K1057" s="2"/>
      <c r="L1057" s="2">
        <v>49461</v>
      </c>
      <c r="M1057" s="2"/>
      <c r="N1057" s="2">
        <v>47240</v>
      </c>
      <c r="P1057" s="2">
        <v>49527</v>
      </c>
      <c r="Q1057" s="2"/>
      <c r="R1057" s="2">
        <v>47170</v>
      </c>
      <c r="AB1057" s="2"/>
    </row>
    <row r="1058" spans="8:28" ht="15" customHeight="1">
      <c r="H1058" s="2">
        <v>49562</v>
      </c>
      <c r="I1058" s="2"/>
      <c r="J1058" s="2">
        <v>47136</v>
      </c>
      <c r="K1058" s="2"/>
      <c r="L1058" s="2">
        <v>49460</v>
      </c>
      <c r="M1058" s="2"/>
      <c r="N1058" s="2">
        <v>47245</v>
      </c>
      <c r="P1058" s="2">
        <v>49524</v>
      </c>
      <c r="Q1058" s="2"/>
      <c r="R1058" s="2">
        <v>47171</v>
      </c>
      <c r="AB1058" s="2"/>
    </row>
    <row r="1059" spans="8:28" ht="15" customHeight="1">
      <c r="H1059" s="2">
        <v>49559</v>
      </c>
      <c r="I1059" s="2"/>
      <c r="J1059" s="2">
        <v>47137</v>
      </c>
      <c r="K1059" s="2"/>
      <c r="L1059" s="2">
        <v>49459</v>
      </c>
      <c r="M1059" s="2"/>
      <c r="N1059" s="2">
        <v>47246</v>
      </c>
      <c r="P1059" s="2">
        <v>49523</v>
      </c>
      <c r="Q1059" s="2"/>
      <c r="R1059" s="2">
        <v>47172</v>
      </c>
      <c r="AB1059" s="2"/>
    </row>
    <row r="1060" spans="8:28" ht="15" customHeight="1">
      <c r="H1060" s="2">
        <v>49558</v>
      </c>
      <c r="I1060" s="2"/>
      <c r="J1060" s="2">
        <v>47140</v>
      </c>
      <c r="K1060" s="2"/>
      <c r="L1060" s="2">
        <v>49458</v>
      </c>
      <c r="M1060" s="2"/>
      <c r="N1060" s="2">
        <v>47247</v>
      </c>
      <c r="P1060" s="2">
        <v>49522</v>
      </c>
      <c r="Q1060" s="2"/>
      <c r="R1060" s="2">
        <v>47175</v>
      </c>
      <c r="AB1060" s="2"/>
    </row>
    <row r="1061" spans="8:28" ht="15" customHeight="1">
      <c r="H1061" s="2">
        <v>49557</v>
      </c>
      <c r="I1061" s="2"/>
      <c r="J1061" s="2">
        <v>47141</v>
      </c>
      <c r="K1061" s="2"/>
      <c r="L1061" s="2">
        <v>49454</v>
      </c>
      <c r="M1061" s="2"/>
      <c r="N1061" s="2">
        <v>47248</v>
      </c>
      <c r="P1061" s="2">
        <v>49521</v>
      </c>
      <c r="Q1061" s="2"/>
      <c r="R1061" s="2">
        <v>47176</v>
      </c>
      <c r="AB1061" s="2"/>
    </row>
    <row r="1062" spans="8:28" ht="15" customHeight="1">
      <c r="H1062" s="2">
        <v>49556</v>
      </c>
      <c r="I1062" s="2"/>
      <c r="J1062" s="2">
        <v>47142</v>
      </c>
      <c r="K1062" s="2"/>
      <c r="L1062" s="2">
        <v>49453</v>
      </c>
      <c r="M1062" s="2"/>
      <c r="N1062" s="2">
        <v>47249</v>
      </c>
      <c r="P1062" s="2">
        <v>49520</v>
      </c>
      <c r="Q1062" s="2"/>
      <c r="R1062" s="2">
        <v>47177</v>
      </c>
      <c r="AB1062" s="2"/>
    </row>
    <row r="1063" spans="8:28" ht="15" customHeight="1">
      <c r="H1063" s="2">
        <v>49552</v>
      </c>
      <c r="I1063" s="2"/>
      <c r="J1063" s="2">
        <v>47143</v>
      </c>
      <c r="K1063" s="2"/>
      <c r="L1063" s="2">
        <v>49452</v>
      </c>
      <c r="M1063" s="2"/>
      <c r="N1063" s="2">
        <v>47252</v>
      </c>
      <c r="P1063" s="2">
        <v>49517</v>
      </c>
      <c r="Q1063" s="2"/>
      <c r="R1063" s="2">
        <v>47179</v>
      </c>
      <c r="AB1063" s="2"/>
    </row>
    <row r="1064" spans="8:28" ht="15" customHeight="1">
      <c r="H1064" s="2">
        <v>49551</v>
      </c>
      <c r="I1064" s="2"/>
      <c r="J1064" s="2">
        <v>47144</v>
      </c>
      <c r="K1064" s="2"/>
      <c r="L1064" s="2">
        <v>49451</v>
      </c>
      <c r="M1064" s="2"/>
      <c r="N1064" s="2">
        <v>47253</v>
      </c>
      <c r="P1064" s="2">
        <v>49516</v>
      </c>
      <c r="Q1064" s="2"/>
      <c r="R1064" s="2">
        <v>47182</v>
      </c>
      <c r="AB1064" s="2"/>
    </row>
    <row r="1065" spans="8:28" ht="15" customHeight="1">
      <c r="H1065" s="2">
        <v>49550</v>
      </c>
      <c r="I1065" s="2"/>
      <c r="J1065" s="2">
        <v>47147</v>
      </c>
      <c r="K1065" s="2"/>
      <c r="L1065" s="2">
        <v>49450</v>
      </c>
      <c r="M1065" s="2"/>
      <c r="N1065" s="2">
        <v>47254</v>
      </c>
      <c r="P1065" s="2">
        <v>49515</v>
      </c>
      <c r="Q1065" s="2"/>
      <c r="R1065" s="2">
        <v>47183</v>
      </c>
      <c r="AB1065" s="2"/>
    </row>
    <row r="1066" spans="8:28" ht="15" customHeight="1">
      <c r="H1066" s="2">
        <v>49549</v>
      </c>
      <c r="I1066" s="2"/>
      <c r="J1066" s="2">
        <v>47148</v>
      </c>
      <c r="K1066" s="2"/>
      <c r="L1066" s="2">
        <v>49447</v>
      </c>
      <c r="M1066" s="2"/>
      <c r="N1066" s="2">
        <v>47255</v>
      </c>
      <c r="P1066" s="2">
        <v>49514</v>
      </c>
      <c r="Q1066" s="2"/>
      <c r="R1066" s="2">
        <v>47184</v>
      </c>
      <c r="AB1066" s="2"/>
    </row>
    <row r="1067" spans="8:28" ht="15" customHeight="1">
      <c r="H1067" s="2">
        <v>49548</v>
      </c>
      <c r="I1067" s="2"/>
      <c r="J1067" s="2">
        <v>47149</v>
      </c>
      <c r="K1067" s="2"/>
      <c r="L1067" s="2">
        <v>49446</v>
      </c>
      <c r="M1067" s="2"/>
      <c r="N1067" s="2">
        <v>47256</v>
      </c>
      <c r="P1067" s="2">
        <v>49513</v>
      </c>
      <c r="Q1067" s="2"/>
      <c r="R1067" s="2">
        <v>47185</v>
      </c>
      <c r="AB1067" s="2"/>
    </row>
    <row r="1068" spans="8:28" ht="15" customHeight="1">
      <c r="H1068" s="2">
        <v>49545</v>
      </c>
      <c r="I1068" s="2"/>
      <c r="J1068" s="2">
        <v>47150</v>
      </c>
      <c r="K1068" s="2"/>
      <c r="L1068" s="2">
        <v>49445</v>
      </c>
      <c r="M1068" s="2"/>
      <c r="N1068" s="2">
        <v>47259</v>
      </c>
      <c r="P1068" s="2">
        <v>49510</v>
      </c>
      <c r="Q1068" s="2"/>
      <c r="R1068" s="2">
        <v>47186</v>
      </c>
      <c r="AB1068" s="2"/>
    </row>
    <row r="1069" spans="8:28" ht="15" customHeight="1">
      <c r="H1069" s="2">
        <v>49544</v>
      </c>
      <c r="I1069" s="2"/>
      <c r="J1069" s="2">
        <v>47151</v>
      </c>
      <c r="K1069" s="2"/>
      <c r="L1069" s="2">
        <v>49444</v>
      </c>
      <c r="M1069" s="2"/>
      <c r="N1069" s="2">
        <v>47260</v>
      </c>
      <c r="P1069" s="2">
        <v>49509</v>
      </c>
      <c r="Q1069" s="2"/>
      <c r="R1069" s="2">
        <v>47189</v>
      </c>
      <c r="AB1069" s="2"/>
    </row>
    <row r="1070" spans="8:28" ht="15" customHeight="1">
      <c r="H1070" s="2">
        <v>49543</v>
      </c>
      <c r="I1070" s="2"/>
      <c r="J1070" s="2">
        <v>47154</v>
      </c>
      <c r="K1070" s="2"/>
      <c r="L1070" s="2">
        <v>49443</v>
      </c>
      <c r="M1070" s="2"/>
      <c r="N1070" s="2">
        <v>47261</v>
      </c>
      <c r="P1070" s="2">
        <v>49508</v>
      </c>
      <c r="Q1070" s="2"/>
      <c r="R1070" s="2">
        <v>47190</v>
      </c>
      <c r="AB1070" s="2"/>
    </row>
    <row r="1071" spans="8:28" ht="15" customHeight="1">
      <c r="H1071" s="2">
        <v>49542</v>
      </c>
      <c r="I1071" s="2"/>
      <c r="J1071" s="2">
        <v>47155</v>
      </c>
      <c r="K1071" s="2"/>
      <c r="L1071" s="2">
        <v>49440</v>
      </c>
      <c r="M1071" s="2"/>
      <c r="N1071" s="2">
        <v>47262</v>
      </c>
      <c r="P1071" s="2">
        <v>49507</v>
      </c>
      <c r="Q1071" s="2"/>
      <c r="R1071" s="2">
        <v>47191</v>
      </c>
      <c r="AB1071" s="2"/>
    </row>
    <row r="1072" spans="8:28" ht="15" customHeight="1">
      <c r="H1072" s="2">
        <v>49541</v>
      </c>
      <c r="I1072" s="2"/>
      <c r="J1072" s="2">
        <v>47156</v>
      </c>
      <c r="K1072" s="2"/>
      <c r="L1072" s="2">
        <v>49439</v>
      </c>
      <c r="M1072" s="2"/>
      <c r="N1072" s="2">
        <v>47263</v>
      </c>
      <c r="P1072" s="2">
        <v>49506</v>
      </c>
      <c r="Q1072" s="2"/>
      <c r="R1072" s="2">
        <v>47192</v>
      </c>
      <c r="AB1072" s="2"/>
    </row>
    <row r="1073" spans="8:28" ht="15" customHeight="1">
      <c r="H1073" s="2">
        <v>49538</v>
      </c>
      <c r="I1073" s="2"/>
      <c r="J1073" s="2">
        <v>47157</v>
      </c>
      <c r="K1073" s="2"/>
      <c r="L1073" s="2">
        <v>49438</v>
      </c>
      <c r="M1073" s="2"/>
      <c r="N1073" s="2">
        <v>47267</v>
      </c>
      <c r="P1073" s="2">
        <v>49503</v>
      </c>
      <c r="Q1073" s="2"/>
      <c r="R1073" s="2">
        <v>47193</v>
      </c>
      <c r="AB1073" s="2"/>
    </row>
    <row r="1074" spans="8:28" ht="15" customHeight="1">
      <c r="H1074" s="2">
        <v>49537</v>
      </c>
      <c r="I1074" s="2"/>
      <c r="J1074" s="2">
        <v>47158</v>
      </c>
      <c r="K1074" s="2"/>
      <c r="L1074" s="2">
        <v>49437</v>
      </c>
      <c r="M1074" s="2"/>
      <c r="N1074" s="2">
        <v>47268</v>
      </c>
      <c r="P1074" s="2">
        <v>49502</v>
      </c>
      <c r="Q1074" s="2"/>
      <c r="R1074" s="2">
        <v>47196</v>
      </c>
      <c r="AB1074" s="2"/>
    </row>
    <row r="1075" spans="8:28" ht="15" customHeight="1">
      <c r="H1075" s="2">
        <v>49536</v>
      </c>
      <c r="I1075" s="2"/>
      <c r="J1075" s="2">
        <v>47161</v>
      </c>
      <c r="K1075" s="2"/>
      <c r="L1075" s="2">
        <v>49436</v>
      </c>
      <c r="M1075" s="2"/>
      <c r="N1075" s="2">
        <v>47269</v>
      </c>
      <c r="P1075" s="2">
        <v>49501</v>
      </c>
      <c r="Q1075" s="2"/>
      <c r="R1075" s="2">
        <v>47197</v>
      </c>
      <c r="AB1075" s="2"/>
    </row>
    <row r="1076" spans="8:28" ht="15" customHeight="1">
      <c r="H1076" s="2">
        <v>49535</v>
      </c>
      <c r="I1076" s="2"/>
      <c r="J1076" s="2">
        <v>47162</v>
      </c>
      <c r="K1076" s="2"/>
      <c r="L1076" s="2">
        <v>49431</v>
      </c>
      <c r="M1076" s="2"/>
      <c r="N1076" s="2">
        <v>47270</v>
      </c>
      <c r="P1076" s="2">
        <v>49500</v>
      </c>
      <c r="Q1076" s="2"/>
      <c r="R1076" s="2">
        <v>47198</v>
      </c>
      <c r="AB1076" s="2"/>
    </row>
    <row r="1077" spans="8:28" ht="15" customHeight="1">
      <c r="H1077" s="2">
        <v>49534</v>
      </c>
      <c r="I1077" s="2"/>
      <c r="J1077" s="2">
        <v>47163</v>
      </c>
      <c r="K1077" s="2"/>
      <c r="L1077" s="2">
        <v>49430</v>
      </c>
      <c r="M1077" s="2"/>
      <c r="N1077" s="2">
        <v>47273</v>
      </c>
      <c r="P1077" s="2">
        <v>49499</v>
      </c>
      <c r="Q1077" s="2"/>
      <c r="R1077" s="2">
        <v>47199</v>
      </c>
      <c r="AB1077" s="2"/>
    </row>
    <row r="1078" spans="8:28" ht="15" customHeight="1">
      <c r="H1078" s="2">
        <v>49531</v>
      </c>
      <c r="I1078" s="2"/>
      <c r="J1078" s="2">
        <v>47164</v>
      </c>
      <c r="K1078" s="2"/>
      <c r="L1078" s="2">
        <v>49426</v>
      </c>
      <c r="M1078" s="2"/>
      <c r="N1078" s="2">
        <v>47274</v>
      </c>
      <c r="P1078" s="2">
        <v>49496</v>
      </c>
      <c r="Q1078" s="2"/>
      <c r="R1078" s="2">
        <v>47200</v>
      </c>
      <c r="AB1078" s="2"/>
    </row>
    <row r="1079" spans="8:28" ht="15" customHeight="1">
      <c r="H1079" s="2">
        <v>49530</v>
      </c>
      <c r="I1079" s="2"/>
      <c r="J1079" s="2">
        <v>47165</v>
      </c>
      <c r="K1079" s="2"/>
      <c r="L1079" s="2">
        <v>49425</v>
      </c>
      <c r="M1079" s="2"/>
      <c r="N1079" s="2">
        <v>47275</v>
      </c>
      <c r="P1079" s="2">
        <v>49495</v>
      </c>
      <c r="Q1079" s="2"/>
      <c r="R1079" s="2">
        <v>47203</v>
      </c>
      <c r="AB1079" s="2"/>
    </row>
    <row r="1080" spans="8:28" ht="15" customHeight="1">
      <c r="H1080" s="2">
        <v>49529</v>
      </c>
      <c r="I1080" s="2"/>
      <c r="J1080" s="2">
        <v>47169</v>
      </c>
      <c r="K1080" s="2"/>
      <c r="L1080" s="2">
        <v>49424</v>
      </c>
      <c r="M1080" s="2"/>
      <c r="N1080" s="2">
        <v>47276</v>
      </c>
      <c r="P1080" s="2">
        <v>49494</v>
      </c>
      <c r="Q1080" s="2"/>
      <c r="R1080" s="2">
        <v>47204</v>
      </c>
      <c r="AB1080" s="2"/>
    </row>
    <row r="1081" spans="8:28" ht="15" customHeight="1">
      <c r="H1081" s="2">
        <v>49528</v>
      </c>
      <c r="I1081" s="2"/>
      <c r="J1081" s="2">
        <v>47170</v>
      </c>
      <c r="K1081" s="2"/>
      <c r="L1081" s="2">
        <v>49423</v>
      </c>
      <c r="M1081" s="2"/>
      <c r="N1081" s="2">
        <v>47277</v>
      </c>
      <c r="P1081" s="2">
        <v>49493</v>
      </c>
      <c r="Q1081" s="2"/>
      <c r="R1081" s="2">
        <v>47205</v>
      </c>
      <c r="AB1081" s="2"/>
    </row>
    <row r="1082" spans="8:28" ht="15" customHeight="1">
      <c r="H1082" s="2">
        <v>49527</v>
      </c>
      <c r="I1082" s="2"/>
      <c r="J1082" s="2">
        <v>47171</v>
      </c>
      <c r="K1082" s="2"/>
      <c r="L1082" s="2">
        <v>49422</v>
      </c>
      <c r="M1082" s="2"/>
      <c r="N1082" s="2">
        <v>47280</v>
      </c>
      <c r="P1082" s="2">
        <v>49492</v>
      </c>
      <c r="Q1082" s="2"/>
      <c r="R1082" s="2">
        <v>47206</v>
      </c>
      <c r="AB1082" s="2"/>
    </row>
    <row r="1083" spans="8:28" ht="15" customHeight="1">
      <c r="H1083" s="2">
        <v>49524</v>
      </c>
      <c r="I1083" s="2"/>
      <c r="J1083" s="2">
        <v>47172</v>
      </c>
      <c r="K1083" s="2"/>
      <c r="L1083" s="2">
        <v>49419</v>
      </c>
      <c r="M1083" s="2"/>
      <c r="N1083" s="2">
        <v>47281</v>
      </c>
      <c r="P1083" s="2">
        <v>49489</v>
      </c>
      <c r="Q1083" s="2"/>
      <c r="R1083" s="2">
        <v>47207</v>
      </c>
      <c r="AB1083" s="2"/>
    </row>
    <row r="1084" spans="8:28" ht="15" customHeight="1">
      <c r="H1084" s="2">
        <v>49523</v>
      </c>
      <c r="I1084" s="2"/>
      <c r="J1084" s="2">
        <v>47175</v>
      </c>
      <c r="K1084" s="2"/>
      <c r="L1084" s="2">
        <v>49418</v>
      </c>
      <c r="M1084" s="2"/>
      <c r="N1084" s="2">
        <v>47282</v>
      </c>
      <c r="P1084" s="2">
        <v>49488</v>
      </c>
      <c r="Q1084" s="2"/>
      <c r="R1084" s="2">
        <v>47210</v>
      </c>
      <c r="AB1084" s="2"/>
    </row>
    <row r="1085" spans="8:28" ht="15" customHeight="1">
      <c r="H1085" s="2">
        <v>49522</v>
      </c>
      <c r="I1085" s="2"/>
      <c r="J1085" s="2">
        <v>47176</v>
      </c>
      <c r="K1085" s="2"/>
      <c r="L1085" s="2">
        <v>49417</v>
      </c>
      <c r="M1085" s="2"/>
      <c r="N1085" s="2">
        <v>47283</v>
      </c>
      <c r="P1085" s="2">
        <v>49487</v>
      </c>
      <c r="Q1085" s="2"/>
      <c r="R1085" s="2">
        <v>47211</v>
      </c>
      <c r="AB1085" s="2"/>
    </row>
    <row r="1086" spans="8:28" ht="15" customHeight="1">
      <c r="H1086" s="2">
        <v>49521</v>
      </c>
      <c r="I1086" s="2"/>
      <c r="J1086" s="2">
        <v>47177</v>
      </c>
      <c r="K1086" s="2"/>
      <c r="L1086" s="2">
        <v>49416</v>
      </c>
      <c r="M1086" s="2"/>
      <c r="N1086" s="2">
        <v>47284</v>
      </c>
      <c r="P1086" s="2">
        <v>49486</v>
      </c>
      <c r="Q1086" s="2"/>
      <c r="R1086" s="2">
        <v>47212</v>
      </c>
      <c r="AB1086" s="2"/>
    </row>
    <row r="1087" spans="8:28" ht="15" customHeight="1">
      <c r="H1087" s="2">
        <v>49520</v>
      </c>
      <c r="I1087" s="2"/>
      <c r="J1087" s="2">
        <v>47178</v>
      </c>
      <c r="K1087" s="2"/>
      <c r="L1087" s="2">
        <v>49415</v>
      </c>
      <c r="M1087" s="2"/>
      <c r="N1087" s="2">
        <v>47287</v>
      </c>
      <c r="P1087" s="2">
        <v>49485</v>
      </c>
      <c r="Q1087" s="2"/>
      <c r="R1087" s="2">
        <v>47213</v>
      </c>
      <c r="AB1087" s="2"/>
    </row>
    <row r="1088" spans="8:28" ht="15" customHeight="1">
      <c r="H1088" s="2">
        <v>49517</v>
      </c>
      <c r="I1088" s="2"/>
      <c r="J1088" s="2">
        <v>47179</v>
      </c>
      <c r="K1088" s="2"/>
      <c r="L1088" s="2">
        <v>49412</v>
      </c>
      <c r="M1088" s="2"/>
      <c r="N1088" s="2">
        <v>47289</v>
      </c>
      <c r="P1088" s="2">
        <v>49482</v>
      </c>
      <c r="Q1088" s="2"/>
      <c r="R1088" s="2">
        <v>47214</v>
      </c>
      <c r="AB1088" s="2"/>
    </row>
    <row r="1089" spans="8:28" ht="15" customHeight="1">
      <c r="H1089" s="2">
        <v>49516</v>
      </c>
      <c r="I1089" s="2"/>
      <c r="J1089" s="2">
        <v>47182</v>
      </c>
      <c r="K1089" s="2"/>
      <c r="L1089" s="2">
        <v>49411</v>
      </c>
      <c r="M1089" s="2"/>
      <c r="N1089" s="2">
        <v>47290</v>
      </c>
      <c r="P1089" s="2">
        <v>49481</v>
      </c>
      <c r="Q1089" s="2"/>
      <c r="R1089" s="2">
        <v>47217</v>
      </c>
      <c r="AB1089" s="2"/>
    </row>
    <row r="1090" spans="8:28" ht="15" customHeight="1">
      <c r="H1090" s="2">
        <v>49515</v>
      </c>
      <c r="I1090" s="2"/>
      <c r="J1090" s="2">
        <v>47183</v>
      </c>
      <c r="K1090" s="2"/>
      <c r="L1090" s="2">
        <v>49410</v>
      </c>
      <c r="M1090" s="2"/>
      <c r="N1090" s="2">
        <v>47291</v>
      </c>
      <c r="P1090" s="2">
        <v>49480</v>
      </c>
      <c r="Q1090" s="2"/>
      <c r="R1090" s="2">
        <v>47218</v>
      </c>
      <c r="AB1090" s="2"/>
    </row>
    <row r="1091" spans="8:28" ht="15" customHeight="1">
      <c r="H1091" s="2">
        <v>49514</v>
      </c>
      <c r="I1091" s="2"/>
      <c r="J1091" s="2">
        <v>47184</v>
      </c>
      <c r="K1091" s="2"/>
      <c r="L1091" s="2">
        <v>49409</v>
      </c>
      <c r="M1091" s="2"/>
      <c r="N1091" s="2">
        <v>47294</v>
      </c>
      <c r="P1091" s="2">
        <v>49479</v>
      </c>
      <c r="Q1091" s="2"/>
      <c r="R1091" s="2">
        <v>47219</v>
      </c>
      <c r="AB1091" s="2"/>
    </row>
    <row r="1092" spans="8:28" ht="15" customHeight="1">
      <c r="H1092" s="2">
        <v>49513</v>
      </c>
      <c r="I1092" s="2"/>
      <c r="J1092" s="2">
        <v>47185</v>
      </c>
      <c r="K1092" s="2"/>
      <c r="L1092" s="2">
        <v>49408</v>
      </c>
      <c r="M1092" s="2"/>
      <c r="N1092" s="2">
        <v>47295</v>
      </c>
      <c r="P1092" s="2">
        <v>49478</v>
      </c>
      <c r="Q1092" s="2"/>
      <c r="R1092" s="2">
        <v>47220</v>
      </c>
      <c r="AB1092" s="2"/>
    </row>
    <row r="1093" spans="8:28" ht="15" customHeight="1">
      <c r="H1093" s="2">
        <v>49510</v>
      </c>
      <c r="I1093" s="2"/>
      <c r="J1093" s="2">
        <v>47186</v>
      </c>
      <c r="K1093" s="2"/>
      <c r="L1093" s="2">
        <v>49405</v>
      </c>
      <c r="M1093" s="2"/>
      <c r="N1093" s="2">
        <v>47296</v>
      </c>
      <c r="P1093" s="2">
        <v>49475</v>
      </c>
      <c r="Q1093" s="2"/>
      <c r="R1093" s="2">
        <v>47221</v>
      </c>
      <c r="AB1093" s="2"/>
    </row>
    <row r="1094" spans="8:28" ht="15" customHeight="1">
      <c r="H1094" s="2">
        <v>49509</v>
      </c>
      <c r="I1094" s="2"/>
      <c r="J1094" s="2">
        <v>47189</v>
      </c>
      <c r="K1094" s="2"/>
      <c r="L1094" s="2">
        <v>49404</v>
      </c>
      <c r="M1094" s="2"/>
      <c r="N1094" s="2">
        <v>47297</v>
      </c>
      <c r="P1094" s="2">
        <v>49474</v>
      </c>
      <c r="Q1094" s="2"/>
      <c r="R1094" s="2">
        <v>47224</v>
      </c>
      <c r="AB1094" s="2"/>
    </row>
    <row r="1095" spans="8:28" ht="15" customHeight="1">
      <c r="H1095" s="2">
        <v>49508</v>
      </c>
      <c r="I1095" s="2"/>
      <c r="J1095" s="2">
        <v>47190</v>
      </c>
      <c r="K1095" s="2"/>
      <c r="L1095" s="2">
        <v>49403</v>
      </c>
      <c r="M1095" s="2"/>
      <c r="N1095" s="2">
        <v>47298</v>
      </c>
      <c r="P1095" s="2">
        <v>49473</v>
      </c>
      <c r="Q1095" s="2"/>
      <c r="R1095" s="2">
        <v>47225</v>
      </c>
      <c r="AB1095" s="2"/>
    </row>
    <row r="1096" spans="8:28" ht="15" customHeight="1">
      <c r="H1096" s="2">
        <v>49507</v>
      </c>
      <c r="I1096" s="2"/>
      <c r="J1096" s="2">
        <v>47191</v>
      </c>
      <c r="K1096" s="2"/>
      <c r="L1096" s="2">
        <v>49402</v>
      </c>
      <c r="M1096" s="2"/>
      <c r="N1096" s="2">
        <v>47301</v>
      </c>
      <c r="P1096" s="2">
        <v>49472</v>
      </c>
      <c r="Q1096" s="2"/>
      <c r="R1096" s="2">
        <v>47226</v>
      </c>
      <c r="AB1096" s="2"/>
    </row>
    <row r="1097" spans="8:28" ht="15" customHeight="1">
      <c r="H1097" s="2">
        <v>49506</v>
      </c>
      <c r="I1097" s="2"/>
      <c r="J1097" s="2">
        <v>47192</v>
      </c>
      <c r="K1097" s="2"/>
      <c r="L1097" s="2">
        <v>49401</v>
      </c>
      <c r="M1097" s="2"/>
      <c r="N1097" s="2">
        <v>47302</v>
      </c>
      <c r="P1097" s="2">
        <v>49471</v>
      </c>
      <c r="Q1097" s="2"/>
      <c r="R1097" s="2">
        <v>47227</v>
      </c>
      <c r="AB1097" s="2"/>
    </row>
    <row r="1098" spans="8:28" ht="15" customHeight="1">
      <c r="H1098" s="2">
        <v>49503</v>
      </c>
      <c r="I1098" s="2"/>
      <c r="J1098" s="2">
        <v>47193</v>
      </c>
      <c r="K1098" s="2"/>
      <c r="L1098" s="2">
        <v>49398</v>
      </c>
      <c r="M1098" s="2"/>
      <c r="N1098" s="2">
        <v>47304</v>
      </c>
      <c r="P1098" s="2">
        <v>49468</v>
      </c>
      <c r="Q1098" s="2"/>
      <c r="R1098" s="2">
        <v>47228</v>
      </c>
      <c r="AB1098" s="2"/>
    </row>
    <row r="1099" spans="8:28" ht="15" customHeight="1">
      <c r="H1099" s="2">
        <v>49502</v>
      </c>
      <c r="I1099" s="2"/>
      <c r="J1099" s="2">
        <v>47196</v>
      </c>
      <c r="K1099" s="2"/>
      <c r="L1099" s="2">
        <v>49397</v>
      </c>
      <c r="M1099" s="2"/>
      <c r="N1099" s="2">
        <v>47305</v>
      </c>
      <c r="P1099" s="2">
        <v>49467</v>
      </c>
      <c r="Q1099" s="2"/>
      <c r="R1099" s="2">
        <v>47231</v>
      </c>
      <c r="AB1099" s="2"/>
    </row>
    <row r="1100" spans="8:28" ht="15" customHeight="1">
      <c r="H1100" s="2">
        <v>49501</v>
      </c>
      <c r="I1100" s="2"/>
      <c r="J1100" s="2">
        <v>47197</v>
      </c>
      <c r="K1100" s="2"/>
      <c r="L1100" s="2">
        <v>49396</v>
      </c>
      <c r="M1100" s="2"/>
      <c r="N1100" s="2">
        <v>47308</v>
      </c>
      <c r="P1100" s="2">
        <v>49465</v>
      </c>
      <c r="Q1100" s="2"/>
      <c r="R1100" s="2">
        <v>47232</v>
      </c>
      <c r="AB1100" s="2"/>
    </row>
    <row r="1101" spans="8:28" ht="15" customHeight="1">
      <c r="H1101" s="2">
        <v>49500</v>
      </c>
      <c r="I1101" s="2"/>
      <c r="J1101" s="2">
        <v>47198</v>
      </c>
      <c r="K1101" s="2"/>
      <c r="L1101" s="2">
        <v>49395</v>
      </c>
      <c r="M1101" s="2"/>
      <c r="N1101" s="2">
        <v>47309</v>
      </c>
      <c r="P1101" s="2">
        <v>49464</v>
      </c>
      <c r="Q1101" s="2"/>
      <c r="R1101" s="2">
        <v>47233</v>
      </c>
      <c r="AB1101" s="2"/>
    </row>
    <row r="1102" spans="8:28" ht="15" customHeight="1">
      <c r="H1102" s="2">
        <v>49499</v>
      </c>
      <c r="I1102" s="2"/>
      <c r="J1102" s="2">
        <v>47199</v>
      </c>
      <c r="K1102" s="2"/>
      <c r="L1102" s="2">
        <v>49394</v>
      </c>
      <c r="M1102" s="2"/>
      <c r="N1102" s="2">
        <v>47310</v>
      </c>
      <c r="P1102" s="2">
        <v>49461</v>
      </c>
      <c r="Q1102" s="2"/>
      <c r="R1102" s="2">
        <v>47234</v>
      </c>
      <c r="AB1102" s="2"/>
    </row>
    <row r="1103" spans="8:28" ht="15" customHeight="1">
      <c r="H1103" s="2">
        <v>49496</v>
      </c>
      <c r="I1103" s="2"/>
      <c r="J1103" s="2">
        <v>47200</v>
      </c>
      <c r="K1103" s="2"/>
      <c r="L1103" s="2">
        <v>49390</v>
      </c>
      <c r="M1103" s="2"/>
      <c r="N1103" s="2">
        <v>47311</v>
      </c>
      <c r="P1103" s="2">
        <v>49460</v>
      </c>
      <c r="Q1103" s="2"/>
      <c r="R1103" s="2">
        <v>47235</v>
      </c>
      <c r="AB1103" s="2"/>
    </row>
    <row r="1104" spans="8:28" ht="15" customHeight="1">
      <c r="H1104" s="2">
        <v>49495</v>
      </c>
      <c r="I1104" s="2"/>
      <c r="J1104" s="2">
        <v>47203</v>
      </c>
      <c r="K1104" s="2"/>
      <c r="L1104" s="2">
        <v>49388</v>
      </c>
      <c r="M1104" s="2"/>
      <c r="N1104" s="2">
        <v>47312</v>
      </c>
      <c r="P1104" s="2">
        <v>49459</v>
      </c>
      <c r="Q1104" s="2"/>
      <c r="R1104" s="2">
        <v>47238</v>
      </c>
      <c r="AB1104" s="2"/>
    </row>
    <row r="1105" spans="8:28" ht="15" customHeight="1">
      <c r="H1105" s="2">
        <v>49493</v>
      </c>
      <c r="I1105" s="2"/>
      <c r="J1105" s="2">
        <v>47204</v>
      </c>
      <c r="K1105" s="2"/>
      <c r="L1105" s="2">
        <v>49387</v>
      </c>
      <c r="M1105" s="2"/>
      <c r="N1105" s="2">
        <v>47316</v>
      </c>
      <c r="P1105" s="2">
        <v>49458</v>
      </c>
      <c r="Q1105" s="2"/>
      <c r="R1105" s="2">
        <v>47240</v>
      </c>
      <c r="AB1105" s="2"/>
    </row>
    <row r="1106" spans="8:28" ht="15" customHeight="1">
      <c r="H1106" s="2">
        <v>49492</v>
      </c>
      <c r="I1106" s="2"/>
      <c r="J1106" s="2">
        <v>47205</v>
      </c>
      <c r="K1106" s="2"/>
      <c r="L1106" s="2">
        <v>49384</v>
      </c>
      <c r="M1106" s="2"/>
      <c r="N1106" s="2">
        <v>47317</v>
      </c>
      <c r="P1106" s="2">
        <v>49457</v>
      </c>
      <c r="Q1106" s="2"/>
      <c r="R1106" s="2">
        <v>47241</v>
      </c>
      <c r="AB1106" s="2"/>
    </row>
    <row r="1107" spans="8:28" ht="15" customHeight="1">
      <c r="H1107" s="2">
        <v>49489</v>
      </c>
      <c r="I1107" s="2"/>
      <c r="J1107" s="2">
        <v>47206</v>
      </c>
      <c r="K1107" s="2"/>
      <c r="L1107" s="2">
        <v>49383</v>
      </c>
      <c r="M1107" s="2"/>
      <c r="N1107" s="2">
        <v>47318</v>
      </c>
      <c r="P1107" s="2">
        <v>49454</v>
      </c>
      <c r="Q1107" s="2"/>
      <c r="R1107" s="2">
        <v>47242</v>
      </c>
      <c r="AB1107" s="2"/>
    </row>
    <row r="1108" spans="8:28" ht="15" customHeight="1">
      <c r="H1108" s="2">
        <v>49488</v>
      </c>
      <c r="I1108" s="2"/>
      <c r="J1108" s="2">
        <v>47210</v>
      </c>
      <c r="K1108" s="2"/>
      <c r="L1108" s="2">
        <v>49382</v>
      </c>
      <c r="M1108" s="2"/>
      <c r="N1108" s="2">
        <v>47319</v>
      </c>
      <c r="P1108" s="2">
        <v>49453</v>
      </c>
      <c r="Q1108" s="2"/>
      <c r="R1108" s="2">
        <v>47246</v>
      </c>
      <c r="AB1108" s="2"/>
    </row>
    <row r="1109" spans="8:28" ht="15" customHeight="1">
      <c r="H1109" s="2">
        <v>49487</v>
      </c>
      <c r="I1109" s="2"/>
      <c r="J1109" s="2">
        <v>47211</v>
      </c>
      <c r="K1109" s="2"/>
      <c r="L1109" s="2">
        <v>49381</v>
      </c>
      <c r="M1109" s="2"/>
      <c r="N1109" s="2">
        <v>47322</v>
      </c>
      <c r="P1109" s="2">
        <v>49452</v>
      </c>
      <c r="Q1109" s="2"/>
      <c r="R1109" s="2">
        <v>47247</v>
      </c>
      <c r="AB1109" s="2"/>
    </row>
    <row r="1110" spans="8:28" ht="15" customHeight="1">
      <c r="H1110" s="2">
        <v>49486</v>
      </c>
      <c r="I1110" s="2"/>
      <c r="J1110" s="2">
        <v>47212</v>
      </c>
      <c r="K1110" s="2"/>
      <c r="L1110" s="2">
        <v>49380</v>
      </c>
      <c r="M1110" s="2"/>
      <c r="N1110" s="2">
        <v>47323</v>
      </c>
      <c r="P1110" s="2">
        <v>49451</v>
      </c>
      <c r="Q1110" s="2"/>
      <c r="R1110" s="2">
        <v>47248</v>
      </c>
      <c r="AB1110" s="2"/>
    </row>
    <row r="1111" spans="8:28" ht="15" customHeight="1">
      <c r="H1111" s="2">
        <v>49485</v>
      </c>
      <c r="I1111" s="2"/>
      <c r="J1111" s="2">
        <v>47213</v>
      </c>
      <c r="K1111" s="2"/>
      <c r="L1111" s="2">
        <v>49377</v>
      </c>
      <c r="M1111" s="2"/>
      <c r="N1111" s="2">
        <v>47324</v>
      </c>
      <c r="P1111" s="2">
        <v>49450</v>
      </c>
      <c r="Q1111" s="2"/>
      <c r="R1111" s="2">
        <v>47249</v>
      </c>
      <c r="AB1111" s="2"/>
    </row>
    <row r="1112" spans="8:28" ht="15" customHeight="1">
      <c r="H1112" s="2">
        <v>49482</v>
      </c>
      <c r="I1112" s="2"/>
      <c r="J1112" s="2">
        <v>47214</v>
      </c>
      <c r="K1112" s="2"/>
      <c r="L1112" s="2">
        <v>49376</v>
      </c>
      <c r="M1112" s="2"/>
      <c r="N1112" s="2">
        <v>47325</v>
      </c>
      <c r="P1112" s="2">
        <v>49447</v>
      </c>
      <c r="Q1112" s="2"/>
      <c r="R1112" s="2">
        <v>47252</v>
      </c>
      <c r="AB1112" s="2"/>
    </row>
    <row r="1113" spans="8:28" ht="15" customHeight="1">
      <c r="H1113" s="2">
        <v>49481</v>
      </c>
      <c r="I1113" s="2"/>
      <c r="J1113" s="2">
        <v>47217</v>
      </c>
      <c r="K1113" s="2"/>
      <c r="L1113" s="2">
        <v>49375</v>
      </c>
      <c r="M1113" s="2"/>
      <c r="N1113" s="2">
        <v>47326</v>
      </c>
      <c r="P1113" s="2">
        <v>49446</v>
      </c>
      <c r="Q1113" s="2"/>
      <c r="R1113" s="2">
        <v>47253</v>
      </c>
      <c r="AB1113" s="2"/>
    </row>
    <row r="1114" spans="8:28" ht="15" customHeight="1">
      <c r="H1114" s="2">
        <v>49480</v>
      </c>
      <c r="I1114" s="2"/>
      <c r="J1114" s="2">
        <v>47218</v>
      </c>
      <c r="K1114" s="2"/>
      <c r="L1114" s="2">
        <v>49374</v>
      </c>
      <c r="M1114" s="2"/>
      <c r="N1114" s="2">
        <v>47329</v>
      </c>
      <c r="P1114" s="2">
        <v>49445</v>
      </c>
      <c r="Q1114" s="2"/>
      <c r="R1114" s="2">
        <v>47254</v>
      </c>
      <c r="AB1114" s="2"/>
    </row>
    <row r="1115" spans="8:28" ht="15" customHeight="1">
      <c r="H1115" s="2">
        <v>49478</v>
      </c>
      <c r="I1115" s="2"/>
      <c r="J1115" s="2">
        <v>47219</v>
      </c>
      <c r="K1115" s="2"/>
      <c r="L1115" s="2">
        <v>49373</v>
      </c>
      <c r="M1115" s="2"/>
      <c r="N1115" s="2">
        <v>47330</v>
      </c>
      <c r="P1115" s="2">
        <v>49443</v>
      </c>
      <c r="Q1115" s="2"/>
      <c r="R1115" s="2">
        <v>47255</v>
      </c>
      <c r="AB1115" s="2"/>
    </row>
    <row r="1116" spans="8:28" ht="15" customHeight="1">
      <c r="H1116" s="2">
        <v>49475</v>
      </c>
      <c r="I1116" s="2"/>
      <c r="J1116" s="2">
        <v>47220</v>
      </c>
      <c r="K1116" s="2"/>
      <c r="L1116" s="2">
        <v>49370</v>
      </c>
      <c r="M1116" s="2"/>
      <c r="N1116" s="2">
        <v>47331</v>
      </c>
      <c r="P1116" s="2">
        <v>49440</v>
      </c>
      <c r="Q1116" s="2"/>
      <c r="R1116" s="2">
        <v>47256</v>
      </c>
      <c r="AB1116" s="2"/>
    </row>
    <row r="1117" spans="8:28" ht="15" customHeight="1">
      <c r="H1117" s="2">
        <v>49474</v>
      </c>
      <c r="I1117" s="2"/>
      <c r="J1117" s="2">
        <v>47221</v>
      </c>
      <c r="K1117" s="2"/>
      <c r="L1117" s="2">
        <v>49369</v>
      </c>
      <c r="M1117" s="2"/>
      <c r="N1117" s="2">
        <v>47332</v>
      </c>
      <c r="P1117" s="2">
        <v>49439</v>
      </c>
      <c r="Q1117" s="2"/>
      <c r="R1117" s="2">
        <v>47260</v>
      </c>
      <c r="AB1117" s="2"/>
    </row>
    <row r="1118" spans="8:28" ht="15" customHeight="1">
      <c r="H1118" s="2">
        <v>49473</v>
      </c>
      <c r="I1118" s="2"/>
      <c r="J1118" s="2">
        <v>47224</v>
      </c>
      <c r="K1118" s="2"/>
      <c r="L1118" s="2">
        <v>49368</v>
      </c>
      <c r="M1118" s="2"/>
      <c r="N1118" s="2">
        <v>47333</v>
      </c>
      <c r="P1118" s="2">
        <v>49438</v>
      </c>
      <c r="Q1118" s="2"/>
      <c r="R1118" s="2">
        <v>47261</v>
      </c>
      <c r="AB1118" s="2"/>
    </row>
    <row r="1119" spans="8:28" ht="15" customHeight="1">
      <c r="H1119" s="2">
        <v>49472</v>
      </c>
      <c r="I1119" s="2"/>
      <c r="J1119" s="2">
        <v>47225</v>
      </c>
      <c r="K1119" s="2"/>
      <c r="L1119" s="2">
        <v>49367</v>
      </c>
      <c r="M1119" s="2"/>
      <c r="N1119" s="2">
        <v>47336</v>
      </c>
      <c r="P1119" s="2">
        <v>49437</v>
      </c>
      <c r="Q1119" s="2"/>
      <c r="R1119" s="2">
        <v>47262</v>
      </c>
      <c r="AB1119" s="2"/>
    </row>
    <row r="1120" spans="8:28" ht="15" customHeight="1">
      <c r="H1120" s="2">
        <v>49471</v>
      </c>
      <c r="I1120" s="2"/>
      <c r="J1120" s="2">
        <v>47226</v>
      </c>
      <c r="K1120" s="2"/>
      <c r="L1120" s="2">
        <v>49366</v>
      </c>
      <c r="M1120" s="2"/>
      <c r="N1120" s="2">
        <v>47337</v>
      </c>
      <c r="P1120" s="2">
        <v>49433</v>
      </c>
      <c r="Q1120" s="2"/>
      <c r="R1120" s="2">
        <v>47263</v>
      </c>
      <c r="AB1120" s="2"/>
    </row>
    <row r="1121" spans="8:28" ht="15" customHeight="1">
      <c r="H1121" s="2">
        <v>49468</v>
      </c>
      <c r="I1121" s="2"/>
      <c r="J1121" s="2">
        <v>47227</v>
      </c>
      <c r="K1121" s="2"/>
      <c r="L1121" s="2">
        <v>49362</v>
      </c>
      <c r="M1121" s="2"/>
      <c r="N1121" s="2">
        <v>47338</v>
      </c>
      <c r="P1121" s="2">
        <v>49432</v>
      </c>
      <c r="Q1121" s="2"/>
      <c r="R1121" s="2">
        <v>47266</v>
      </c>
      <c r="AB1121" s="2"/>
    </row>
    <row r="1122" spans="8:28" ht="15" customHeight="1">
      <c r="H1122" s="2">
        <v>49467</v>
      </c>
      <c r="I1122" s="2"/>
      <c r="J1122" s="2">
        <v>47228</v>
      </c>
      <c r="K1122" s="2"/>
      <c r="L1122" s="2">
        <v>49361</v>
      </c>
      <c r="M1122" s="2"/>
      <c r="N1122" s="2">
        <v>47339</v>
      </c>
      <c r="P1122" s="2">
        <v>49431</v>
      </c>
      <c r="Q1122" s="2"/>
      <c r="R1122" s="2">
        <v>47267</v>
      </c>
      <c r="AB1122" s="2"/>
    </row>
    <row r="1123" spans="8:28" ht="15" customHeight="1">
      <c r="H1123" s="2">
        <v>49466</v>
      </c>
      <c r="I1123" s="2"/>
      <c r="J1123" s="2">
        <v>47231</v>
      </c>
      <c r="K1123" s="2"/>
      <c r="L1123" s="2">
        <v>49360</v>
      </c>
      <c r="M1123" s="2"/>
      <c r="N1123" s="2">
        <v>47340</v>
      </c>
      <c r="P1123" s="2">
        <v>49429</v>
      </c>
      <c r="Q1123" s="2"/>
      <c r="R1123" s="2">
        <v>47268</v>
      </c>
      <c r="AB1123" s="2"/>
    </row>
    <row r="1124" spans="8:28" ht="15" customHeight="1">
      <c r="H1124" s="2">
        <v>49465</v>
      </c>
      <c r="I1124" s="2"/>
      <c r="J1124" s="2">
        <v>47232</v>
      </c>
      <c r="K1124" s="2"/>
      <c r="L1124" s="2">
        <v>49356</v>
      </c>
      <c r="M1124" s="2"/>
      <c r="N1124" s="2">
        <v>47343</v>
      </c>
      <c r="P1124" s="2">
        <v>49426</v>
      </c>
      <c r="Q1124" s="2"/>
      <c r="R1124" s="2">
        <v>47269</v>
      </c>
      <c r="AB1124" s="2"/>
    </row>
    <row r="1125" spans="8:28" ht="15" customHeight="1">
      <c r="H1125" s="2">
        <v>49464</v>
      </c>
      <c r="I1125" s="2"/>
      <c r="J1125" s="2">
        <v>47233</v>
      </c>
      <c r="K1125" s="2"/>
      <c r="L1125" s="2">
        <v>49355</v>
      </c>
      <c r="M1125" s="2"/>
      <c r="N1125" s="2">
        <v>47344</v>
      </c>
      <c r="P1125" s="2">
        <v>49425</v>
      </c>
      <c r="Q1125" s="2"/>
      <c r="R1125" s="2">
        <v>47270</v>
      </c>
      <c r="AB1125" s="2"/>
    </row>
    <row r="1126" spans="8:28" ht="15" customHeight="1">
      <c r="H1126" s="2">
        <v>49461</v>
      </c>
      <c r="I1126" s="2"/>
      <c r="J1126" s="2">
        <v>47234</v>
      </c>
      <c r="K1126" s="2"/>
      <c r="L1126" s="2">
        <v>49354</v>
      </c>
      <c r="M1126" s="2"/>
      <c r="N1126" s="2">
        <v>47345</v>
      </c>
      <c r="P1126" s="2">
        <v>49424</v>
      </c>
      <c r="Q1126" s="2"/>
      <c r="R1126" s="2">
        <v>47273</v>
      </c>
      <c r="AB1126" s="2"/>
    </row>
    <row r="1127" spans="8:28" ht="15" customHeight="1">
      <c r="H1127" s="2">
        <v>49460</v>
      </c>
      <c r="I1127" s="2"/>
      <c r="J1127" s="2">
        <v>47235</v>
      </c>
      <c r="K1127" s="2"/>
      <c r="L1127" s="2">
        <v>49353</v>
      </c>
      <c r="M1127" s="2"/>
      <c r="N1127" s="2">
        <v>47346</v>
      </c>
      <c r="P1127" s="2">
        <v>49423</v>
      </c>
      <c r="Q1127" s="2"/>
      <c r="R1127" s="2">
        <v>47274</v>
      </c>
      <c r="AB1127" s="2"/>
    </row>
    <row r="1128" spans="8:28" ht="15" customHeight="1">
      <c r="H1128" s="2">
        <v>49459</v>
      </c>
      <c r="I1128" s="2"/>
      <c r="J1128" s="2">
        <v>47238</v>
      </c>
      <c r="K1128" s="2"/>
      <c r="L1128" s="2">
        <v>49349</v>
      </c>
      <c r="M1128" s="2"/>
      <c r="N1128" s="2">
        <v>47347</v>
      </c>
      <c r="P1128" s="2">
        <v>49422</v>
      </c>
      <c r="Q1128" s="2"/>
      <c r="R1128" s="2">
        <v>47276</v>
      </c>
      <c r="AB1128" s="2"/>
    </row>
    <row r="1129" spans="8:28" ht="15" customHeight="1">
      <c r="H1129" s="2">
        <v>49458</v>
      </c>
      <c r="I1129" s="2"/>
      <c r="J1129" s="2">
        <v>47239</v>
      </c>
      <c r="K1129" s="2"/>
      <c r="L1129" s="2">
        <v>49348</v>
      </c>
      <c r="M1129" s="2"/>
      <c r="N1129" s="2">
        <v>47350</v>
      </c>
      <c r="P1129" s="2">
        <v>49419</v>
      </c>
      <c r="Q1129" s="2"/>
      <c r="R1129" s="2">
        <v>47277</v>
      </c>
      <c r="AB1129" s="2"/>
    </row>
    <row r="1130" spans="8:28" ht="15" customHeight="1">
      <c r="H1130" s="2">
        <v>49454</v>
      </c>
      <c r="I1130" s="2"/>
      <c r="J1130" s="2">
        <v>47240</v>
      </c>
      <c r="K1130" s="2"/>
      <c r="L1130" s="2">
        <v>49347</v>
      </c>
      <c r="M1130" s="2"/>
      <c r="N1130" s="2">
        <v>47351</v>
      </c>
      <c r="P1130" s="2">
        <v>49418</v>
      </c>
      <c r="Q1130" s="2"/>
      <c r="R1130" s="2">
        <v>47280</v>
      </c>
      <c r="AB1130" s="2"/>
    </row>
    <row r="1131" spans="8:28" ht="15" customHeight="1">
      <c r="H1131" s="2">
        <v>49453</v>
      </c>
      <c r="I1131" s="2"/>
      <c r="J1131" s="2">
        <v>47241</v>
      </c>
      <c r="K1131" s="2"/>
      <c r="L1131" s="2">
        <v>49346</v>
      </c>
      <c r="M1131" s="2"/>
      <c r="N1131" s="2">
        <v>47352</v>
      </c>
      <c r="P1131" s="2">
        <v>49417</v>
      </c>
      <c r="Q1131" s="2"/>
      <c r="R1131" s="2">
        <v>47281</v>
      </c>
      <c r="AB1131" s="2"/>
    </row>
    <row r="1132" spans="8:28" ht="15" customHeight="1">
      <c r="H1132" s="2">
        <v>49452</v>
      </c>
      <c r="I1132" s="2"/>
      <c r="J1132" s="2">
        <v>47242</v>
      </c>
      <c r="K1132" s="2"/>
      <c r="L1132" s="2">
        <v>49345</v>
      </c>
      <c r="M1132" s="2"/>
      <c r="N1132" s="2">
        <v>47353</v>
      </c>
      <c r="P1132" s="2">
        <v>49416</v>
      </c>
      <c r="Q1132" s="2"/>
      <c r="R1132" s="2">
        <v>47282</v>
      </c>
      <c r="AB1132" s="2"/>
    </row>
    <row r="1133" spans="8:28" ht="15" customHeight="1">
      <c r="H1133" s="2">
        <v>49451</v>
      </c>
      <c r="I1133" s="2"/>
      <c r="J1133" s="2">
        <v>47245</v>
      </c>
      <c r="K1133" s="2"/>
      <c r="L1133" s="2">
        <v>49342</v>
      </c>
      <c r="M1133" s="2"/>
      <c r="N1133" s="2">
        <v>47354</v>
      </c>
      <c r="P1133" s="2">
        <v>49415</v>
      </c>
      <c r="Q1133" s="2"/>
      <c r="R1133" s="2">
        <v>47283</v>
      </c>
      <c r="AB1133" s="2"/>
    </row>
    <row r="1134" spans="8:28" ht="15" customHeight="1">
      <c r="H1134" s="2">
        <v>49450</v>
      </c>
      <c r="I1134" s="2"/>
      <c r="J1134" s="2">
        <v>47246</v>
      </c>
      <c r="K1134" s="2"/>
      <c r="L1134" s="2">
        <v>49341</v>
      </c>
      <c r="M1134" s="2"/>
      <c r="N1134" s="2">
        <v>47357</v>
      </c>
      <c r="P1134" s="2">
        <v>49412</v>
      </c>
      <c r="Q1134" s="2"/>
      <c r="R1134" s="2">
        <v>47284</v>
      </c>
      <c r="AB1134" s="2"/>
    </row>
    <row r="1135" spans="8:28" ht="15" customHeight="1">
      <c r="H1135" s="2">
        <v>49447</v>
      </c>
      <c r="I1135" s="2"/>
      <c r="J1135" s="2">
        <v>47247</v>
      </c>
      <c r="K1135" s="2"/>
      <c r="L1135" s="2">
        <v>49340</v>
      </c>
      <c r="M1135" s="2"/>
      <c r="N1135" s="2">
        <v>47358</v>
      </c>
      <c r="P1135" s="2">
        <v>49411</v>
      </c>
      <c r="Q1135" s="2"/>
      <c r="R1135" s="2">
        <v>47287</v>
      </c>
      <c r="AB1135" s="2"/>
    </row>
    <row r="1136" spans="8:28" ht="15" customHeight="1">
      <c r="H1136" s="2">
        <v>49446</v>
      </c>
      <c r="I1136" s="2"/>
      <c r="J1136" s="2">
        <v>47248</v>
      </c>
      <c r="K1136" s="2"/>
      <c r="L1136" s="2">
        <v>49339</v>
      </c>
      <c r="M1136" s="2"/>
      <c r="N1136" s="2">
        <v>47359</v>
      </c>
      <c r="P1136" s="2">
        <v>49410</v>
      </c>
      <c r="Q1136" s="2"/>
      <c r="R1136" s="2">
        <v>47288</v>
      </c>
      <c r="AB1136" s="2"/>
    </row>
    <row r="1137" spans="8:28" ht="15" customHeight="1">
      <c r="H1137" s="2">
        <v>49445</v>
      </c>
      <c r="I1137" s="2"/>
      <c r="J1137" s="2">
        <v>47249</v>
      </c>
      <c r="K1137" s="2"/>
      <c r="L1137" s="2">
        <v>49338</v>
      </c>
      <c r="M1137" s="2"/>
      <c r="N1137" s="2">
        <v>47360</v>
      </c>
      <c r="P1137" s="2">
        <v>49409</v>
      </c>
      <c r="Q1137" s="2"/>
      <c r="R1137" s="2">
        <v>47289</v>
      </c>
      <c r="AB1137" s="2"/>
    </row>
    <row r="1138" spans="8:28" ht="15" customHeight="1">
      <c r="H1138" s="2">
        <v>49444</v>
      </c>
      <c r="I1138" s="2"/>
      <c r="J1138" s="2">
        <v>47252</v>
      </c>
      <c r="K1138" s="2"/>
      <c r="L1138" s="2">
        <v>49335</v>
      </c>
      <c r="M1138" s="2"/>
      <c r="N1138" s="2">
        <v>47361</v>
      </c>
      <c r="P1138" s="2">
        <v>49408</v>
      </c>
      <c r="Q1138" s="2"/>
      <c r="R1138" s="2">
        <v>47290</v>
      </c>
      <c r="AB1138" s="2"/>
    </row>
    <row r="1139" spans="8:28" ht="15" customHeight="1">
      <c r="H1139" s="2">
        <v>49443</v>
      </c>
      <c r="I1139" s="2"/>
      <c r="J1139" s="2">
        <v>47253</v>
      </c>
      <c r="K1139" s="2"/>
      <c r="L1139" s="2">
        <v>49334</v>
      </c>
      <c r="M1139" s="2"/>
      <c r="N1139" s="2">
        <v>47365</v>
      </c>
      <c r="P1139" s="2">
        <v>49405</v>
      </c>
      <c r="Q1139" s="2"/>
      <c r="R1139" s="2">
        <v>47291</v>
      </c>
      <c r="AB1139" s="2"/>
    </row>
    <row r="1140" spans="8:28" ht="15" customHeight="1">
      <c r="H1140" s="2">
        <v>49440</v>
      </c>
      <c r="I1140" s="2"/>
      <c r="J1140" s="2">
        <v>47254</v>
      </c>
      <c r="K1140" s="2"/>
      <c r="L1140" s="2">
        <v>49333</v>
      </c>
      <c r="M1140" s="2"/>
      <c r="N1140" s="2">
        <v>47366</v>
      </c>
      <c r="P1140" s="2">
        <v>49404</v>
      </c>
      <c r="Q1140" s="2"/>
      <c r="R1140" s="2">
        <v>47294</v>
      </c>
      <c r="AB1140" s="2"/>
    </row>
    <row r="1141" spans="8:28" ht="15" customHeight="1">
      <c r="H1141" s="2">
        <v>49439</v>
      </c>
      <c r="I1141" s="2"/>
      <c r="J1141" s="2">
        <v>47255</v>
      </c>
      <c r="K1141" s="2"/>
      <c r="L1141" s="2">
        <v>49332</v>
      </c>
      <c r="M1141" s="2"/>
      <c r="N1141" s="2">
        <v>47367</v>
      </c>
      <c r="P1141" s="2">
        <v>49403</v>
      </c>
      <c r="Q1141" s="2"/>
      <c r="R1141" s="2">
        <v>47295</v>
      </c>
      <c r="AB1141" s="2"/>
    </row>
    <row r="1142" spans="8:28" ht="15" customHeight="1">
      <c r="H1142" s="2">
        <v>49438</v>
      </c>
      <c r="I1142" s="2"/>
      <c r="J1142" s="2">
        <v>47256</v>
      </c>
      <c r="K1142" s="2"/>
      <c r="L1142" s="2">
        <v>49331</v>
      </c>
      <c r="M1142" s="2"/>
      <c r="N1142" s="2">
        <v>47368</v>
      </c>
      <c r="P1142" s="2">
        <v>49402</v>
      </c>
      <c r="Q1142" s="2"/>
      <c r="R1142" s="2">
        <v>47296</v>
      </c>
      <c r="AB1142" s="2"/>
    </row>
    <row r="1143" spans="8:28" ht="15" customHeight="1">
      <c r="H1143" s="2">
        <v>49437</v>
      </c>
      <c r="I1143" s="2"/>
      <c r="J1143" s="2">
        <v>47259</v>
      </c>
      <c r="K1143" s="2"/>
      <c r="L1143" s="2">
        <v>49328</v>
      </c>
      <c r="M1143" s="2"/>
      <c r="N1143" s="2">
        <v>47371</v>
      </c>
      <c r="P1143" s="2">
        <v>49401</v>
      </c>
      <c r="Q1143" s="2"/>
      <c r="R1143" s="2">
        <v>47297</v>
      </c>
      <c r="AB1143" s="2"/>
    </row>
    <row r="1144" spans="8:28" ht="15" customHeight="1">
      <c r="H1144" s="2">
        <v>49436</v>
      </c>
      <c r="I1144" s="2"/>
      <c r="J1144" s="2">
        <v>47260</v>
      </c>
      <c r="K1144" s="2"/>
      <c r="L1144" s="2">
        <v>49327</v>
      </c>
      <c r="M1144" s="2"/>
      <c r="N1144" s="2">
        <v>47372</v>
      </c>
      <c r="P1144" s="2">
        <v>49398</v>
      </c>
      <c r="Q1144" s="2"/>
      <c r="R1144" s="2">
        <v>47298</v>
      </c>
      <c r="AB1144" s="2"/>
    </row>
    <row r="1145" spans="8:28" ht="15" customHeight="1">
      <c r="H1145" s="2">
        <v>49433</v>
      </c>
      <c r="I1145" s="2"/>
      <c r="J1145" s="2">
        <v>47261</v>
      </c>
      <c r="K1145" s="2"/>
      <c r="L1145" s="2">
        <v>49326</v>
      </c>
      <c r="M1145" s="2"/>
      <c r="N1145" s="2">
        <v>47373</v>
      </c>
      <c r="P1145" s="2">
        <v>49397</v>
      </c>
      <c r="Q1145" s="2"/>
      <c r="R1145" s="2">
        <v>47301</v>
      </c>
      <c r="AB1145" s="2"/>
    </row>
    <row r="1146" spans="8:28" ht="15" customHeight="1">
      <c r="H1146" s="2">
        <v>49432</v>
      </c>
      <c r="I1146" s="2"/>
      <c r="J1146" s="2">
        <v>47262</v>
      </c>
      <c r="K1146" s="2"/>
      <c r="L1146" s="2">
        <v>49325</v>
      </c>
      <c r="M1146" s="2"/>
      <c r="N1146" s="2">
        <v>47374</v>
      </c>
      <c r="P1146" s="2">
        <v>49396</v>
      </c>
      <c r="Q1146" s="2"/>
      <c r="R1146" s="2">
        <v>47302</v>
      </c>
      <c r="AB1146" s="2"/>
    </row>
    <row r="1147" spans="8:28" ht="15" customHeight="1">
      <c r="H1147" s="2">
        <v>49431</v>
      </c>
      <c r="I1147" s="2"/>
      <c r="J1147" s="2">
        <v>47263</v>
      </c>
      <c r="K1147" s="2"/>
      <c r="L1147" s="2">
        <v>49321</v>
      </c>
      <c r="M1147" s="2"/>
      <c r="N1147" s="2">
        <v>47375</v>
      </c>
      <c r="P1147" s="2">
        <v>49395</v>
      </c>
      <c r="Q1147" s="2"/>
      <c r="R1147" s="2">
        <v>47303</v>
      </c>
      <c r="AB1147" s="2"/>
    </row>
    <row r="1148" spans="8:28" ht="15" customHeight="1">
      <c r="H1148" s="2">
        <v>49430</v>
      </c>
      <c r="I1148" s="2"/>
      <c r="J1148" s="2">
        <v>47267</v>
      </c>
      <c r="K1148" s="2"/>
      <c r="L1148" s="2">
        <v>49320</v>
      </c>
      <c r="M1148" s="2"/>
      <c r="N1148" s="2">
        <v>47379</v>
      </c>
      <c r="P1148" s="2">
        <v>49394</v>
      </c>
      <c r="Q1148" s="2"/>
      <c r="R1148" s="2">
        <v>47304</v>
      </c>
      <c r="AB1148" s="2"/>
    </row>
    <row r="1149" spans="8:28" ht="15" customHeight="1">
      <c r="H1149" s="2">
        <v>49429</v>
      </c>
      <c r="I1149" s="2"/>
      <c r="J1149" s="2">
        <v>47268</v>
      </c>
      <c r="K1149" s="2"/>
      <c r="L1149" s="2">
        <v>49319</v>
      </c>
      <c r="M1149" s="2"/>
      <c r="N1149" s="2">
        <v>47380</v>
      </c>
      <c r="P1149" s="2">
        <v>49391</v>
      </c>
      <c r="Q1149" s="2"/>
      <c r="R1149" s="2">
        <v>47305</v>
      </c>
      <c r="AB1149" s="2"/>
    </row>
    <row r="1150" spans="8:28" ht="15" customHeight="1">
      <c r="H1150" s="2">
        <v>49426</v>
      </c>
      <c r="I1150" s="2"/>
      <c r="J1150" s="2">
        <v>47269</v>
      </c>
      <c r="K1150" s="2"/>
      <c r="L1150" s="2">
        <v>49318</v>
      </c>
      <c r="M1150" s="2"/>
      <c r="N1150" s="2">
        <v>47381</v>
      </c>
      <c r="P1150" s="2">
        <v>49390</v>
      </c>
      <c r="Q1150" s="2"/>
      <c r="R1150" s="2">
        <v>47308</v>
      </c>
      <c r="AB1150" s="2"/>
    </row>
    <row r="1151" spans="8:28" ht="15" customHeight="1">
      <c r="H1151" s="2">
        <v>49425</v>
      </c>
      <c r="I1151" s="2"/>
      <c r="J1151" s="2">
        <v>47270</v>
      </c>
      <c r="K1151" s="2"/>
      <c r="L1151" s="2">
        <v>49314</v>
      </c>
      <c r="M1151" s="2"/>
      <c r="N1151" s="2">
        <v>47382</v>
      </c>
      <c r="P1151" s="2">
        <v>49389</v>
      </c>
      <c r="Q1151" s="2"/>
      <c r="R1151" s="2">
        <v>47309</v>
      </c>
      <c r="AB1151" s="2"/>
    </row>
    <row r="1152" spans="8:28" ht="15" customHeight="1">
      <c r="H1152" s="2">
        <v>49424</v>
      </c>
      <c r="I1152" s="2"/>
      <c r="J1152" s="2">
        <v>47273</v>
      </c>
      <c r="K1152" s="2"/>
      <c r="L1152" s="2">
        <v>49313</v>
      </c>
      <c r="M1152" s="2"/>
      <c r="N1152" s="2">
        <v>47386</v>
      </c>
      <c r="P1152" s="2">
        <v>49388</v>
      </c>
      <c r="Q1152" s="2"/>
      <c r="R1152" s="2">
        <v>47310</v>
      </c>
      <c r="AB1152" s="2"/>
    </row>
    <row r="1153" spans="8:28" ht="15" customHeight="1">
      <c r="H1153" s="2">
        <v>49423</v>
      </c>
      <c r="I1153" s="2"/>
      <c r="J1153" s="2">
        <v>47274</v>
      </c>
      <c r="K1153" s="2"/>
      <c r="L1153" s="2">
        <v>49307</v>
      </c>
      <c r="M1153" s="2"/>
      <c r="N1153" s="2">
        <v>47387</v>
      </c>
      <c r="P1153" s="2">
        <v>49387</v>
      </c>
      <c r="Q1153" s="2"/>
      <c r="R1153" s="2">
        <v>47311</v>
      </c>
      <c r="AB1153" s="2"/>
    </row>
    <row r="1154" spans="8:28" ht="15" customHeight="1">
      <c r="H1154" s="2">
        <v>49422</v>
      </c>
      <c r="I1154" s="2"/>
      <c r="J1154" s="2">
        <v>47275</v>
      </c>
      <c r="K1154" s="2"/>
      <c r="L1154" s="2">
        <v>49306</v>
      </c>
      <c r="M1154" s="2"/>
      <c r="N1154" s="2">
        <v>47388</v>
      </c>
      <c r="P1154" s="2">
        <v>49384</v>
      </c>
      <c r="Q1154" s="2"/>
      <c r="R1154" s="2">
        <v>47312</v>
      </c>
      <c r="AB1154" s="2"/>
    </row>
    <row r="1155" spans="8:28" ht="15" customHeight="1">
      <c r="H1155" s="2">
        <v>49419</v>
      </c>
      <c r="I1155" s="2"/>
      <c r="J1155" s="2">
        <v>47276</v>
      </c>
      <c r="K1155" s="2"/>
      <c r="L1155" s="2">
        <v>49305</v>
      </c>
      <c r="M1155" s="2"/>
      <c r="N1155" s="2">
        <v>47389</v>
      </c>
      <c r="P1155" s="2">
        <v>49383</v>
      </c>
      <c r="Q1155" s="2"/>
      <c r="R1155" s="2">
        <v>47315</v>
      </c>
      <c r="AB1155" s="2"/>
    </row>
    <row r="1156" spans="8:28" ht="15" customHeight="1">
      <c r="H1156" s="2">
        <v>49418</v>
      </c>
      <c r="I1156" s="2"/>
      <c r="J1156" s="2">
        <v>47277</v>
      </c>
      <c r="K1156" s="2"/>
      <c r="L1156" s="2">
        <v>49304</v>
      </c>
      <c r="M1156" s="2"/>
      <c r="N1156" s="2">
        <v>47392</v>
      </c>
      <c r="P1156" s="2">
        <v>49382</v>
      </c>
      <c r="Q1156" s="2"/>
      <c r="R1156" s="2">
        <v>47316</v>
      </c>
      <c r="AB1156" s="2"/>
    </row>
    <row r="1157" spans="8:28" ht="15" customHeight="1">
      <c r="H1157" s="2">
        <v>49417</v>
      </c>
      <c r="I1157" s="2"/>
      <c r="J1157" s="2">
        <v>47280</v>
      </c>
      <c r="K1157" s="2"/>
      <c r="L1157" s="2">
        <v>49300</v>
      </c>
      <c r="M1157" s="2"/>
      <c r="N1157" s="2">
        <v>47393</v>
      </c>
      <c r="P1157" s="2">
        <v>49381</v>
      </c>
      <c r="Q1157" s="2"/>
      <c r="R1157" s="2">
        <v>47317</v>
      </c>
      <c r="AB1157" s="2"/>
    </row>
    <row r="1158" spans="8:28" ht="15" customHeight="1">
      <c r="H1158" s="2">
        <v>49416</v>
      </c>
      <c r="I1158" s="2"/>
      <c r="J1158" s="2">
        <v>47281</v>
      </c>
      <c r="K1158" s="2"/>
      <c r="L1158" s="2">
        <v>49299</v>
      </c>
      <c r="M1158" s="2"/>
      <c r="N1158" s="2">
        <v>47394</v>
      </c>
      <c r="P1158" s="2">
        <v>49380</v>
      </c>
      <c r="Q1158" s="2"/>
      <c r="R1158" s="2">
        <v>47318</v>
      </c>
      <c r="AB1158" s="2"/>
    </row>
    <row r="1159" spans="8:28" ht="15" customHeight="1">
      <c r="H1159" s="2">
        <v>49415</v>
      </c>
      <c r="I1159" s="2"/>
      <c r="J1159" s="2">
        <v>47282</v>
      </c>
      <c r="K1159" s="2"/>
      <c r="L1159" s="2">
        <v>49298</v>
      </c>
      <c r="M1159" s="2"/>
      <c r="N1159" s="2">
        <v>47395</v>
      </c>
      <c r="P1159" s="2">
        <v>49377</v>
      </c>
      <c r="Q1159" s="2"/>
      <c r="R1159" s="2">
        <v>47319</v>
      </c>
      <c r="AB1159" s="2"/>
    </row>
    <row r="1160" spans="8:28" ht="15" customHeight="1">
      <c r="H1160" s="2">
        <v>49412</v>
      </c>
      <c r="I1160" s="2"/>
      <c r="J1160" s="2">
        <v>47283</v>
      </c>
      <c r="K1160" s="2"/>
      <c r="L1160" s="2">
        <v>49297</v>
      </c>
      <c r="M1160" s="2"/>
      <c r="N1160" s="2">
        <v>47396</v>
      </c>
      <c r="P1160" s="2">
        <v>49376</v>
      </c>
      <c r="Q1160" s="2"/>
      <c r="R1160" s="2">
        <v>47322</v>
      </c>
      <c r="AB1160" s="2"/>
    </row>
    <row r="1161" spans="8:28" ht="15" customHeight="1">
      <c r="H1161" s="2">
        <v>49411</v>
      </c>
      <c r="I1161" s="2"/>
      <c r="J1161" s="2">
        <v>47284</v>
      </c>
      <c r="K1161" s="2"/>
      <c r="L1161" s="2">
        <v>49296</v>
      </c>
      <c r="M1161" s="2"/>
      <c r="N1161" s="2">
        <v>47400</v>
      </c>
      <c r="P1161" s="2">
        <v>49375</v>
      </c>
      <c r="Q1161" s="2"/>
      <c r="R1161" s="2">
        <v>47323</v>
      </c>
      <c r="AB1161" s="2"/>
    </row>
    <row r="1162" spans="8:28" ht="15" customHeight="1">
      <c r="H1162" s="2">
        <v>49410</v>
      </c>
      <c r="I1162" s="2"/>
      <c r="J1162" s="2">
        <v>47287</v>
      </c>
      <c r="K1162" s="2"/>
      <c r="L1162" s="2">
        <v>49293</v>
      </c>
      <c r="M1162" s="2"/>
      <c r="N1162" s="2">
        <v>47401</v>
      </c>
      <c r="P1162" s="2">
        <v>49374</v>
      </c>
      <c r="Q1162" s="2"/>
      <c r="R1162" s="2">
        <v>47324</v>
      </c>
      <c r="AB1162" s="2"/>
    </row>
    <row r="1163" spans="8:28" ht="15" customHeight="1">
      <c r="H1163" s="2">
        <v>49409</v>
      </c>
      <c r="I1163" s="2"/>
      <c r="J1163" s="2">
        <v>47289</v>
      </c>
      <c r="K1163" s="2"/>
      <c r="L1163" s="2">
        <v>49292</v>
      </c>
      <c r="M1163" s="2"/>
      <c r="N1163" s="2">
        <v>47402</v>
      </c>
      <c r="P1163" s="2">
        <v>49373</v>
      </c>
      <c r="Q1163" s="2"/>
      <c r="R1163" s="2">
        <v>47325</v>
      </c>
      <c r="AB1163" s="2"/>
    </row>
    <row r="1164" spans="8:28" ht="15" customHeight="1">
      <c r="H1164" s="2">
        <v>49408</v>
      </c>
      <c r="I1164" s="2"/>
      <c r="J1164" s="2">
        <v>47290</v>
      </c>
      <c r="K1164" s="2"/>
      <c r="L1164" s="2">
        <v>49291</v>
      </c>
      <c r="M1164" s="2"/>
      <c r="N1164" s="2">
        <v>47403</v>
      </c>
      <c r="P1164" s="2">
        <v>49370</v>
      </c>
      <c r="Q1164" s="2"/>
      <c r="R1164" s="2">
        <v>47326</v>
      </c>
      <c r="AB1164" s="2"/>
    </row>
    <row r="1165" spans="8:28" ht="15" customHeight="1">
      <c r="H1165" s="2">
        <v>49405</v>
      </c>
      <c r="I1165" s="2"/>
      <c r="J1165" s="2">
        <v>47291</v>
      </c>
      <c r="K1165" s="2"/>
      <c r="L1165" s="2">
        <v>49290</v>
      </c>
      <c r="M1165" s="2"/>
      <c r="N1165" s="2">
        <v>47406</v>
      </c>
      <c r="P1165" s="2">
        <v>49368</v>
      </c>
      <c r="Q1165" s="2"/>
      <c r="R1165" s="2">
        <v>47329</v>
      </c>
      <c r="AB1165" s="2"/>
    </row>
    <row r="1166" spans="8:28" ht="15" customHeight="1">
      <c r="H1166" s="2">
        <v>49404</v>
      </c>
      <c r="I1166" s="2"/>
      <c r="J1166" s="2">
        <v>47294</v>
      </c>
      <c r="K1166" s="2"/>
      <c r="L1166" s="2">
        <v>49289</v>
      </c>
      <c r="M1166" s="2"/>
      <c r="N1166" s="2">
        <v>47407</v>
      </c>
      <c r="P1166" s="2">
        <v>49367</v>
      </c>
      <c r="Q1166" s="2"/>
      <c r="R1166" s="2">
        <v>47330</v>
      </c>
      <c r="AB1166" s="2"/>
    </row>
    <row r="1167" spans="8:28" ht="15" customHeight="1">
      <c r="H1167" s="2">
        <v>49403</v>
      </c>
      <c r="I1167" s="2"/>
      <c r="J1167" s="2">
        <v>47295</v>
      </c>
      <c r="K1167" s="2"/>
      <c r="L1167" s="2">
        <v>49286</v>
      </c>
      <c r="M1167" s="2"/>
      <c r="N1167" s="2">
        <v>47408</v>
      </c>
      <c r="P1167" s="2">
        <v>49366</v>
      </c>
      <c r="Q1167" s="2"/>
      <c r="R1167" s="2">
        <v>47331</v>
      </c>
      <c r="AB1167" s="2"/>
    </row>
    <row r="1168" spans="8:28" ht="15" customHeight="1">
      <c r="H1168" s="2">
        <v>49402</v>
      </c>
      <c r="I1168" s="2"/>
      <c r="J1168" s="2">
        <v>47296</v>
      </c>
      <c r="K1168" s="2"/>
      <c r="L1168" s="2">
        <v>49285</v>
      </c>
      <c r="M1168" s="2"/>
      <c r="N1168" s="2">
        <v>47409</v>
      </c>
      <c r="P1168" s="2">
        <v>49363</v>
      </c>
      <c r="Q1168" s="2"/>
      <c r="R1168" s="2">
        <v>47332</v>
      </c>
      <c r="AB1168" s="2"/>
    </row>
    <row r="1169" spans="8:28" ht="15" customHeight="1">
      <c r="H1169" s="2">
        <v>49401</v>
      </c>
      <c r="I1169" s="2"/>
      <c r="J1169" s="2">
        <v>47297</v>
      </c>
      <c r="K1169" s="2"/>
      <c r="L1169" s="2">
        <v>49284</v>
      </c>
      <c r="M1169" s="2"/>
      <c r="N1169" s="2">
        <v>47410</v>
      </c>
      <c r="P1169" s="2">
        <v>49362</v>
      </c>
      <c r="Q1169" s="2"/>
      <c r="R1169" s="2">
        <v>47333</v>
      </c>
      <c r="AB1169" s="2"/>
    </row>
    <row r="1170" spans="8:28" ht="15" customHeight="1">
      <c r="H1170" s="2">
        <v>49398</v>
      </c>
      <c r="I1170" s="2"/>
      <c r="J1170" s="2">
        <v>47298</v>
      </c>
      <c r="K1170" s="2"/>
      <c r="L1170" s="2">
        <v>49283</v>
      </c>
      <c r="M1170" s="2"/>
      <c r="N1170" s="2">
        <v>47413</v>
      </c>
      <c r="P1170" s="2">
        <v>49361</v>
      </c>
      <c r="Q1170" s="2"/>
      <c r="R1170" s="2">
        <v>47336</v>
      </c>
      <c r="AB1170" s="2"/>
    </row>
    <row r="1171" spans="8:28" ht="15" customHeight="1">
      <c r="H1171" s="2">
        <v>49397</v>
      </c>
      <c r="I1171" s="2"/>
      <c r="J1171" s="2">
        <v>47301</v>
      </c>
      <c r="K1171" s="2"/>
      <c r="L1171" s="2">
        <v>49282</v>
      </c>
      <c r="M1171" s="2"/>
      <c r="N1171" s="2">
        <v>47414</v>
      </c>
      <c r="P1171" s="2">
        <v>49360</v>
      </c>
      <c r="Q1171" s="2"/>
      <c r="R1171" s="2">
        <v>47337</v>
      </c>
      <c r="AB1171" s="2"/>
    </row>
    <row r="1172" spans="8:28" ht="15" customHeight="1">
      <c r="H1172" s="2">
        <v>49396</v>
      </c>
      <c r="I1172" s="2"/>
      <c r="J1172" s="2">
        <v>47302</v>
      </c>
      <c r="K1172" s="2"/>
      <c r="L1172" s="2">
        <v>49279</v>
      </c>
      <c r="M1172" s="2"/>
      <c r="N1172" s="2">
        <v>47415</v>
      </c>
      <c r="P1172" s="2">
        <v>49359</v>
      </c>
      <c r="Q1172" s="2"/>
      <c r="R1172" s="2">
        <v>47338</v>
      </c>
      <c r="AB1172" s="2"/>
    </row>
    <row r="1173" spans="8:28" ht="15" customHeight="1">
      <c r="H1173" s="2">
        <v>49395</v>
      </c>
      <c r="I1173" s="2"/>
      <c r="J1173" s="2">
        <v>47304</v>
      </c>
      <c r="K1173" s="2"/>
      <c r="L1173" s="2">
        <v>49278</v>
      </c>
      <c r="M1173" s="2"/>
      <c r="N1173" s="2">
        <v>47416</v>
      </c>
      <c r="P1173" s="2">
        <v>49356</v>
      </c>
      <c r="Q1173" s="2"/>
      <c r="R1173" s="2">
        <v>47339</v>
      </c>
      <c r="AB1173" s="2"/>
    </row>
    <row r="1174" spans="8:28" ht="15" customHeight="1">
      <c r="H1174" s="2">
        <v>49394</v>
      </c>
      <c r="I1174" s="2"/>
      <c r="J1174" s="2">
        <v>47305</v>
      </c>
      <c r="K1174" s="2"/>
      <c r="L1174" s="2">
        <v>49277</v>
      </c>
      <c r="M1174" s="2"/>
      <c r="N1174" s="2">
        <v>47417</v>
      </c>
      <c r="P1174" s="2">
        <v>49355</v>
      </c>
      <c r="Q1174" s="2"/>
      <c r="R1174" s="2">
        <v>47340</v>
      </c>
      <c r="AB1174" s="2"/>
    </row>
    <row r="1175" spans="8:28" ht="15" customHeight="1">
      <c r="H1175" s="2">
        <v>49390</v>
      </c>
      <c r="I1175" s="2"/>
      <c r="J1175" s="2">
        <v>47308</v>
      </c>
      <c r="K1175" s="2"/>
      <c r="L1175" s="2">
        <v>49276</v>
      </c>
      <c r="M1175" s="2"/>
      <c r="N1175" s="2">
        <v>47420</v>
      </c>
      <c r="P1175" s="2">
        <v>49354</v>
      </c>
      <c r="Q1175" s="2"/>
      <c r="R1175" s="2">
        <v>47343</v>
      </c>
      <c r="AB1175" s="2"/>
    </row>
    <row r="1176" spans="8:28" ht="15" customHeight="1">
      <c r="H1176" s="2">
        <v>49389</v>
      </c>
      <c r="I1176" s="2"/>
      <c r="J1176" s="2">
        <v>47309</v>
      </c>
      <c r="K1176" s="2"/>
      <c r="L1176" s="2">
        <v>49275</v>
      </c>
      <c r="M1176" s="2"/>
      <c r="N1176" s="2">
        <v>47421</v>
      </c>
      <c r="P1176" s="2">
        <v>49353</v>
      </c>
      <c r="Q1176" s="2"/>
      <c r="R1176" s="2">
        <v>47344</v>
      </c>
      <c r="AB1176" s="2"/>
    </row>
    <row r="1177" spans="8:28" ht="15" customHeight="1">
      <c r="H1177" s="2">
        <v>49388</v>
      </c>
      <c r="I1177" s="2"/>
      <c r="J1177" s="2">
        <v>47310</v>
      </c>
      <c r="K1177" s="2"/>
      <c r="L1177" s="2">
        <v>49272</v>
      </c>
      <c r="M1177" s="2"/>
      <c r="N1177" s="2">
        <v>47422</v>
      </c>
      <c r="P1177" s="2">
        <v>49352</v>
      </c>
      <c r="Q1177" s="2"/>
      <c r="R1177" s="2">
        <v>47346</v>
      </c>
      <c r="AB1177" s="2"/>
    </row>
    <row r="1178" spans="8:28" ht="15" customHeight="1">
      <c r="H1178" s="2">
        <v>49387</v>
      </c>
      <c r="I1178" s="2"/>
      <c r="J1178" s="2">
        <v>47311</v>
      </c>
      <c r="K1178" s="2"/>
      <c r="L1178" s="2">
        <v>49270</v>
      </c>
      <c r="M1178" s="2"/>
      <c r="N1178" s="2">
        <v>47423</v>
      </c>
      <c r="P1178" s="2">
        <v>49346</v>
      </c>
      <c r="Q1178" s="2"/>
      <c r="R1178" s="2">
        <v>47347</v>
      </c>
      <c r="AB1178" s="2"/>
    </row>
    <row r="1179" spans="8:28" ht="15" customHeight="1">
      <c r="H1179" s="2">
        <v>49384</v>
      </c>
      <c r="I1179" s="2"/>
      <c r="J1179" s="2">
        <v>47312</v>
      </c>
      <c r="K1179" s="2"/>
      <c r="L1179" s="2">
        <v>49269</v>
      </c>
      <c r="M1179" s="2"/>
      <c r="N1179" s="2">
        <v>47424</v>
      </c>
      <c r="P1179" s="2">
        <v>49345</v>
      </c>
      <c r="Q1179" s="2"/>
      <c r="R1179" s="2">
        <v>47350</v>
      </c>
      <c r="AB1179" s="2"/>
    </row>
    <row r="1180" spans="8:28" ht="15" customHeight="1">
      <c r="H1180" s="2">
        <v>49383</v>
      </c>
      <c r="I1180" s="2"/>
      <c r="J1180" s="2">
        <v>47315</v>
      </c>
      <c r="K1180" s="2"/>
      <c r="L1180" s="2">
        <v>49268</v>
      </c>
      <c r="M1180" s="2"/>
      <c r="N1180" s="2">
        <v>47427</v>
      </c>
      <c r="P1180" s="2">
        <v>49342</v>
      </c>
      <c r="Q1180" s="2"/>
      <c r="R1180" s="2">
        <v>47351</v>
      </c>
      <c r="AB1180" s="2"/>
    </row>
    <row r="1181" spans="8:28" ht="15" customHeight="1">
      <c r="H1181" s="2">
        <v>49382</v>
      </c>
      <c r="I1181" s="2"/>
      <c r="J1181" s="2">
        <v>47316</v>
      </c>
      <c r="K1181" s="2"/>
      <c r="L1181" s="2">
        <v>49265</v>
      </c>
      <c r="M1181" s="2"/>
      <c r="N1181" s="2">
        <v>47428</v>
      </c>
      <c r="P1181" s="2">
        <v>49341</v>
      </c>
      <c r="Q1181" s="2"/>
      <c r="R1181" s="2">
        <v>47352</v>
      </c>
      <c r="AB1181" s="2"/>
    </row>
    <row r="1182" spans="8:28" ht="15" customHeight="1">
      <c r="H1182" s="2">
        <v>49381</v>
      </c>
      <c r="I1182" s="2"/>
      <c r="J1182" s="2">
        <v>47317</v>
      </c>
      <c r="K1182" s="2"/>
      <c r="L1182" s="2">
        <v>49264</v>
      </c>
      <c r="M1182" s="2"/>
      <c r="N1182" s="2">
        <v>47429</v>
      </c>
      <c r="P1182" s="2">
        <v>49340</v>
      </c>
      <c r="Q1182" s="2"/>
      <c r="R1182" s="2">
        <v>47353</v>
      </c>
      <c r="AB1182" s="2"/>
    </row>
    <row r="1183" spans="8:28" ht="15" customHeight="1">
      <c r="H1183" s="2">
        <v>49380</v>
      </c>
      <c r="I1183" s="2"/>
      <c r="J1183" s="2">
        <v>47318</v>
      </c>
      <c r="K1183" s="2"/>
      <c r="L1183" s="2">
        <v>49263</v>
      </c>
      <c r="M1183" s="2"/>
      <c r="N1183" s="2">
        <v>47430</v>
      </c>
      <c r="P1183" s="2">
        <v>49339</v>
      </c>
      <c r="Q1183" s="2"/>
      <c r="R1183" s="2">
        <v>47354</v>
      </c>
      <c r="AB1183" s="2"/>
    </row>
    <row r="1184" spans="8:28" ht="15" customHeight="1">
      <c r="H1184" s="2">
        <v>49377</v>
      </c>
      <c r="I1184" s="2"/>
      <c r="J1184" s="2">
        <v>47319</v>
      </c>
      <c r="K1184" s="2"/>
      <c r="L1184" s="2">
        <v>49262</v>
      </c>
      <c r="M1184" s="2"/>
      <c r="N1184" s="2">
        <v>47431</v>
      </c>
      <c r="P1184" s="2">
        <v>49338</v>
      </c>
      <c r="Q1184" s="2"/>
      <c r="R1184" s="2">
        <v>47357</v>
      </c>
      <c r="AB1184" s="2"/>
    </row>
    <row r="1185" spans="8:28" ht="15" customHeight="1">
      <c r="H1185" s="2">
        <v>49376</v>
      </c>
      <c r="I1185" s="2"/>
      <c r="J1185" s="2">
        <v>47322</v>
      </c>
      <c r="K1185" s="2"/>
      <c r="L1185" s="2">
        <v>49261</v>
      </c>
      <c r="M1185" s="2"/>
      <c r="N1185" s="2">
        <v>47434</v>
      </c>
      <c r="P1185" s="2">
        <v>49335</v>
      </c>
      <c r="Q1185" s="2"/>
      <c r="R1185" s="2">
        <v>47358</v>
      </c>
      <c r="AB1185" s="2"/>
    </row>
    <row r="1186" spans="8:28" ht="15" customHeight="1">
      <c r="H1186" s="2">
        <v>49375</v>
      </c>
      <c r="I1186" s="2"/>
      <c r="J1186" s="2">
        <v>47323</v>
      </c>
      <c r="K1186" s="2"/>
      <c r="L1186" s="2">
        <v>49258</v>
      </c>
      <c r="M1186" s="2"/>
      <c r="N1186" s="2">
        <v>47435</v>
      </c>
      <c r="P1186" s="2">
        <v>49334</v>
      </c>
      <c r="Q1186" s="2"/>
      <c r="R1186" s="2">
        <v>47359</v>
      </c>
      <c r="AB1186" s="2"/>
    </row>
    <row r="1187" spans="8:28" ht="15" customHeight="1">
      <c r="H1187" s="2">
        <v>49374</v>
      </c>
      <c r="I1187" s="2"/>
      <c r="J1187" s="2">
        <v>47324</v>
      </c>
      <c r="K1187" s="2"/>
      <c r="L1187" s="2">
        <v>49257</v>
      </c>
      <c r="M1187" s="2"/>
      <c r="N1187" s="2">
        <v>47436</v>
      </c>
      <c r="P1187" s="2">
        <v>49333</v>
      </c>
      <c r="Q1187" s="2"/>
      <c r="R1187" s="2">
        <v>47360</v>
      </c>
      <c r="AB1187" s="2"/>
    </row>
    <row r="1188" spans="8:28" ht="15" customHeight="1">
      <c r="H1188" s="2">
        <v>49373</v>
      </c>
      <c r="I1188" s="2"/>
      <c r="J1188" s="2">
        <v>47325</v>
      </c>
      <c r="K1188" s="2"/>
      <c r="L1188" s="2">
        <v>49256</v>
      </c>
      <c r="M1188" s="2"/>
      <c r="N1188" s="2">
        <v>47437</v>
      </c>
      <c r="P1188" s="2">
        <v>49332</v>
      </c>
      <c r="Q1188" s="2"/>
      <c r="R1188" s="2">
        <v>47361</v>
      </c>
      <c r="AB1188" s="2"/>
    </row>
    <row r="1189" spans="8:28" ht="15" customHeight="1">
      <c r="H1189" s="2">
        <v>49370</v>
      </c>
      <c r="I1189" s="2"/>
      <c r="J1189" s="2">
        <v>47326</v>
      </c>
      <c r="K1189" s="2"/>
      <c r="L1189" s="2">
        <v>49255</v>
      </c>
      <c r="M1189" s="2"/>
      <c r="N1189" s="2">
        <v>47438</v>
      </c>
      <c r="P1189" s="2">
        <v>49331</v>
      </c>
      <c r="Q1189" s="2"/>
      <c r="R1189" s="2">
        <v>47364</v>
      </c>
      <c r="AB1189" s="2"/>
    </row>
    <row r="1190" spans="8:28" ht="15" customHeight="1">
      <c r="H1190" s="2">
        <v>49369</v>
      </c>
      <c r="I1190" s="2"/>
      <c r="J1190" s="2">
        <v>47329</v>
      </c>
      <c r="K1190" s="2"/>
      <c r="L1190" s="2">
        <v>49254</v>
      </c>
      <c r="M1190" s="2"/>
      <c r="N1190" s="2">
        <v>47441</v>
      </c>
      <c r="P1190" s="2">
        <v>49328</v>
      </c>
      <c r="Q1190" s="2"/>
      <c r="R1190" s="2">
        <v>47365</v>
      </c>
      <c r="AB1190" s="2"/>
    </row>
    <row r="1191" spans="8:28" ht="15" customHeight="1">
      <c r="H1191" s="2">
        <v>49368</v>
      </c>
      <c r="I1191" s="2"/>
      <c r="J1191" s="2">
        <v>47330</v>
      </c>
      <c r="K1191" s="2"/>
      <c r="L1191" s="2">
        <v>49250</v>
      </c>
      <c r="M1191" s="2"/>
      <c r="N1191" s="2">
        <v>47442</v>
      </c>
      <c r="P1191" s="2">
        <v>49327</v>
      </c>
      <c r="Q1191" s="2"/>
      <c r="R1191" s="2">
        <v>47366</v>
      </c>
      <c r="AB1191" s="2"/>
    </row>
    <row r="1192" spans="8:28" ht="15" customHeight="1">
      <c r="H1192" s="2">
        <v>49367</v>
      </c>
      <c r="I1192" s="2"/>
      <c r="J1192" s="2">
        <v>47331</v>
      </c>
      <c r="K1192" s="2"/>
      <c r="L1192" s="2">
        <v>49249</v>
      </c>
      <c r="M1192" s="2"/>
      <c r="N1192" s="2">
        <v>47443</v>
      </c>
      <c r="P1192" s="2">
        <v>49326</v>
      </c>
      <c r="Q1192" s="2"/>
      <c r="R1192" s="2">
        <v>47367</v>
      </c>
      <c r="AB1192" s="2"/>
    </row>
    <row r="1193" spans="8:28" ht="15" customHeight="1">
      <c r="H1193" s="2">
        <v>49366</v>
      </c>
      <c r="I1193" s="2"/>
      <c r="J1193" s="2">
        <v>47332</v>
      </c>
      <c r="K1193" s="2"/>
      <c r="L1193" s="2">
        <v>49248</v>
      </c>
      <c r="M1193" s="2"/>
      <c r="N1193" s="2">
        <v>47448</v>
      </c>
      <c r="P1193" s="2">
        <v>49325</v>
      </c>
      <c r="Q1193" s="2"/>
      <c r="R1193" s="2">
        <v>47368</v>
      </c>
      <c r="AB1193" s="2"/>
    </row>
    <row r="1194" spans="8:28" ht="15" customHeight="1">
      <c r="H1194" s="2">
        <v>49363</v>
      </c>
      <c r="I1194" s="2"/>
      <c r="J1194" s="2">
        <v>47333</v>
      </c>
      <c r="K1194" s="2"/>
      <c r="L1194" s="2">
        <v>49247</v>
      </c>
      <c r="M1194" s="2"/>
      <c r="N1194" s="2">
        <v>47449</v>
      </c>
      <c r="P1194" s="2">
        <v>49324</v>
      </c>
      <c r="Q1194" s="2"/>
      <c r="R1194" s="2">
        <v>47371</v>
      </c>
      <c r="AB1194" s="2"/>
    </row>
    <row r="1195" spans="8:28" ht="15" customHeight="1">
      <c r="H1195" s="2">
        <v>49362</v>
      </c>
      <c r="I1195" s="2"/>
      <c r="J1195" s="2">
        <v>47336</v>
      </c>
      <c r="K1195" s="2"/>
      <c r="L1195" s="2">
        <v>49244</v>
      </c>
      <c r="M1195" s="2"/>
      <c r="N1195" s="2">
        <v>47450</v>
      </c>
      <c r="P1195" s="2">
        <v>49321</v>
      </c>
      <c r="Q1195" s="2"/>
      <c r="R1195" s="2">
        <v>47372</v>
      </c>
      <c r="AB1195" s="2"/>
    </row>
    <row r="1196" spans="8:28" ht="15" customHeight="1">
      <c r="H1196" s="2">
        <v>49361</v>
      </c>
      <c r="I1196" s="2"/>
      <c r="J1196" s="2">
        <v>47337</v>
      </c>
      <c r="K1196" s="2"/>
      <c r="L1196" s="2">
        <v>49243</v>
      </c>
      <c r="M1196" s="2"/>
      <c r="N1196" s="2">
        <v>47451</v>
      </c>
      <c r="P1196" s="2">
        <v>49320</v>
      </c>
      <c r="Q1196" s="2"/>
      <c r="R1196" s="2">
        <v>47373</v>
      </c>
      <c r="AB1196" s="2"/>
    </row>
    <row r="1197" spans="8:28" ht="15" customHeight="1">
      <c r="H1197" s="2">
        <v>49360</v>
      </c>
      <c r="I1197" s="2"/>
      <c r="J1197" s="2">
        <v>47338</v>
      </c>
      <c r="K1197" s="2"/>
      <c r="L1197" s="2">
        <v>49242</v>
      </c>
      <c r="M1197" s="2"/>
      <c r="N1197" s="2">
        <v>47452</v>
      </c>
      <c r="P1197" s="2">
        <v>49319</v>
      </c>
      <c r="Q1197" s="2"/>
      <c r="R1197" s="2">
        <v>47374</v>
      </c>
      <c r="AB1197" s="2"/>
    </row>
    <row r="1198" spans="8:28" ht="15" customHeight="1">
      <c r="H1198" s="2">
        <v>49356</v>
      </c>
      <c r="I1198" s="2"/>
      <c r="J1198" s="2">
        <v>47339</v>
      </c>
      <c r="K1198" s="2"/>
      <c r="L1198" s="2">
        <v>49241</v>
      </c>
      <c r="M1198" s="2"/>
      <c r="N1198" s="2">
        <v>47455</v>
      </c>
      <c r="P1198" s="2">
        <v>49318</v>
      </c>
      <c r="Q1198" s="2"/>
      <c r="R1198" s="2">
        <v>47375</v>
      </c>
      <c r="AB1198" s="2"/>
    </row>
    <row r="1199" spans="8:28" ht="15" customHeight="1">
      <c r="H1199" s="2">
        <v>49355</v>
      </c>
      <c r="I1199" s="2"/>
      <c r="J1199" s="2">
        <v>47340</v>
      </c>
      <c r="K1199" s="2"/>
      <c r="L1199" s="2">
        <v>49240</v>
      </c>
      <c r="M1199" s="2"/>
      <c r="N1199" s="2">
        <v>47456</v>
      </c>
      <c r="P1199" s="2">
        <v>49317</v>
      </c>
      <c r="Q1199" s="2"/>
      <c r="R1199" s="2">
        <v>47378</v>
      </c>
      <c r="AB1199" s="2"/>
    </row>
    <row r="1200" spans="8:28" ht="15" customHeight="1">
      <c r="H1200" s="2">
        <v>49354</v>
      </c>
      <c r="I1200" s="2"/>
      <c r="J1200" s="2">
        <v>47343</v>
      </c>
      <c r="K1200" s="2"/>
      <c r="L1200" s="2">
        <v>49237</v>
      </c>
      <c r="M1200" s="2"/>
      <c r="N1200" s="2">
        <v>47457</v>
      </c>
      <c r="P1200" s="2">
        <v>49314</v>
      </c>
      <c r="Q1200" s="2"/>
      <c r="R1200" s="2">
        <v>47379</v>
      </c>
      <c r="AB1200" s="2"/>
    </row>
    <row r="1201" spans="8:28" ht="15" customHeight="1">
      <c r="H1201" s="2">
        <v>49353</v>
      </c>
      <c r="I1201" s="2"/>
      <c r="J1201" s="2">
        <v>47344</v>
      </c>
      <c r="K1201" s="2"/>
      <c r="L1201" s="2">
        <v>49236</v>
      </c>
      <c r="M1201" s="2"/>
      <c r="N1201" s="2">
        <v>47458</v>
      </c>
      <c r="P1201" s="2">
        <v>49313</v>
      </c>
      <c r="Q1201" s="2"/>
      <c r="R1201" s="2">
        <v>47380</v>
      </c>
      <c r="AB1201" s="2"/>
    </row>
    <row r="1202" spans="8:28" ht="15" customHeight="1">
      <c r="H1202" s="2">
        <v>49352</v>
      </c>
      <c r="I1202" s="2"/>
      <c r="J1202" s="2">
        <v>47345</v>
      </c>
      <c r="K1202" s="2"/>
      <c r="L1202" s="2">
        <v>49235</v>
      </c>
      <c r="M1202" s="2"/>
      <c r="N1202" s="2">
        <v>47459</v>
      </c>
      <c r="P1202" s="2">
        <v>49312</v>
      </c>
      <c r="Q1202" s="2"/>
      <c r="R1202" s="2">
        <v>47381</v>
      </c>
      <c r="AB1202" s="2"/>
    </row>
    <row r="1203" spans="8:28" ht="15" customHeight="1">
      <c r="H1203" s="2">
        <v>49349</v>
      </c>
      <c r="I1203" s="2"/>
      <c r="J1203" s="2">
        <v>47346</v>
      </c>
      <c r="K1203" s="2"/>
      <c r="L1203" s="2">
        <v>49234</v>
      </c>
      <c r="M1203" s="2"/>
      <c r="N1203" s="2">
        <v>47462</v>
      </c>
      <c r="P1203" s="2">
        <v>49311</v>
      </c>
      <c r="Q1203" s="2"/>
      <c r="R1203" s="2">
        <v>47386</v>
      </c>
      <c r="AB1203" s="2"/>
    </row>
    <row r="1204" spans="8:28" ht="15" customHeight="1">
      <c r="H1204" s="2">
        <v>49348</v>
      </c>
      <c r="I1204" s="2"/>
      <c r="J1204" s="2">
        <v>47347</v>
      </c>
      <c r="K1204" s="2"/>
      <c r="L1204" s="2">
        <v>49233</v>
      </c>
      <c r="M1204" s="2"/>
      <c r="N1204" s="2">
        <v>47463</v>
      </c>
      <c r="P1204" s="2">
        <v>49306</v>
      </c>
      <c r="Q1204" s="2"/>
      <c r="R1204" s="2">
        <v>47387</v>
      </c>
      <c r="AB1204" s="2"/>
    </row>
    <row r="1205" spans="8:28" ht="15" customHeight="1">
      <c r="H1205" s="2">
        <v>49347</v>
      </c>
      <c r="I1205" s="2"/>
      <c r="J1205" s="2">
        <v>47350</v>
      </c>
      <c r="K1205" s="2"/>
      <c r="L1205" s="2">
        <v>49230</v>
      </c>
      <c r="M1205" s="2"/>
      <c r="N1205" s="2">
        <v>47464</v>
      </c>
      <c r="P1205" s="2">
        <v>49305</v>
      </c>
      <c r="Q1205" s="2"/>
      <c r="R1205" s="2">
        <v>47388</v>
      </c>
      <c r="AB1205" s="2"/>
    </row>
    <row r="1206" spans="8:28" ht="15" customHeight="1">
      <c r="H1206" s="2">
        <v>49346</v>
      </c>
      <c r="I1206" s="2"/>
      <c r="J1206" s="2">
        <v>47351</v>
      </c>
      <c r="K1206" s="2"/>
      <c r="L1206" s="2">
        <v>49229</v>
      </c>
      <c r="M1206" s="2"/>
      <c r="N1206" s="2">
        <v>47465</v>
      </c>
      <c r="P1206" s="2">
        <v>49304</v>
      </c>
      <c r="Q1206" s="2"/>
      <c r="R1206" s="2">
        <v>47389</v>
      </c>
      <c r="AB1206" s="2"/>
    </row>
    <row r="1207" spans="8:28" ht="15" customHeight="1">
      <c r="H1207" s="2">
        <v>49345</v>
      </c>
      <c r="I1207" s="2"/>
      <c r="J1207" s="2">
        <v>47352</v>
      </c>
      <c r="K1207" s="2"/>
      <c r="L1207" s="2">
        <v>49228</v>
      </c>
      <c r="M1207" s="2"/>
      <c r="N1207" s="2">
        <v>47466</v>
      </c>
      <c r="P1207" s="2">
        <v>49300</v>
      </c>
      <c r="Q1207" s="2"/>
      <c r="R1207" s="2">
        <v>47392</v>
      </c>
      <c r="AB1207" s="2"/>
    </row>
    <row r="1208" spans="8:28" ht="15" customHeight="1">
      <c r="H1208" s="2">
        <v>49342</v>
      </c>
      <c r="I1208" s="2"/>
      <c r="J1208" s="2">
        <v>47353</v>
      </c>
      <c r="K1208" s="2"/>
      <c r="L1208" s="2">
        <v>49227</v>
      </c>
      <c r="M1208" s="2"/>
      <c r="N1208" s="2">
        <v>47469</v>
      </c>
      <c r="P1208" s="2">
        <v>49299</v>
      </c>
      <c r="Q1208" s="2"/>
      <c r="R1208" s="2">
        <v>47393</v>
      </c>
      <c r="AB1208" s="2"/>
    </row>
    <row r="1209" spans="8:28" ht="15" customHeight="1">
      <c r="H1209" s="2">
        <v>49341</v>
      </c>
      <c r="I1209" s="2"/>
      <c r="J1209" s="2">
        <v>47354</v>
      </c>
      <c r="K1209" s="2"/>
      <c r="L1209" s="2">
        <v>49223</v>
      </c>
      <c r="M1209" s="2"/>
      <c r="N1209" s="2">
        <v>47470</v>
      </c>
      <c r="P1209" s="2">
        <v>49298</v>
      </c>
      <c r="Q1209" s="2"/>
      <c r="R1209" s="2">
        <v>47395</v>
      </c>
      <c r="AB1209" s="2"/>
    </row>
    <row r="1210" spans="8:28" ht="15" customHeight="1">
      <c r="H1210" s="2">
        <v>49340</v>
      </c>
      <c r="I1210" s="2"/>
      <c r="J1210" s="2">
        <v>47357</v>
      </c>
      <c r="K1210" s="2"/>
      <c r="L1210" s="2">
        <v>49222</v>
      </c>
      <c r="M1210" s="2"/>
      <c r="N1210" s="2">
        <v>47471</v>
      </c>
      <c r="P1210" s="2">
        <v>49297</v>
      </c>
      <c r="Q1210" s="2"/>
      <c r="R1210" s="2">
        <v>47396</v>
      </c>
      <c r="AB1210" s="2"/>
    </row>
    <row r="1211" spans="8:28" ht="15" customHeight="1">
      <c r="H1211" s="2">
        <v>49339</v>
      </c>
      <c r="I1211" s="2"/>
      <c r="J1211" s="2">
        <v>47358</v>
      </c>
      <c r="K1211" s="2"/>
      <c r="L1211" s="2">
        <v>49221</v>
      </c>
      <c r="M1211" s="2"/>
      <c r="N1211" s="2">
        <v>47472</v>
      </c>
      <c r="P1211" s="2">
        <v>49296</v>
      </c>
      <c r="Q1211" s="2"/>
      <c r="R1211" s="2">
        <v>47399</v>
      </c>
      <c r="AB1211" s="2"/>
    </row>
    <row r="1212" spans="8:28" ht="15" customHeight="1">
      <c r="H1212" s="2">
        <v>49338</v>
      </c>
      <c r="I1212" s="2"/>
      <c r="J1212" s="2">
        <v>47359</v>
      </c>
      <c r="K1212" s="2"/>
      <c r="L1212" s="2">
        <v>49220</v>
      </c>
      <c r="M1212" s="2"/>
      <c r="N1212" s="2">
        <v>47473</v>
      </c>
      <c r="P1212" s="2">
        <v>49293</v>
      </c>
      <c r="Q1212" s="2"/>
      <c r="R1212" s="2">
        <v>47401</v>
      </c>
      <c r="AB1212" s="2"/>
    </row>
    <row r="1213" spans="8:28" ht="15" customHeight="1">
      <c r="H1213" s="2">
        <v>49335</v>
      </c>
      <c r="I1213" s="2"/>
      <c r="J1213" s="2">
        <v>47360</v>
      </c>
      <c r="K1213" s="2"/>
      <c r="L1213" s="2">
        <v>49219</v>
      </c>
      <c r="M1213" s="2"/>
      <c r="N1213" s="2">
        <v>47476</v>
      </c>
      <c r="P1213" s="2">
        <v>49292</v>
      </c>
      <c r="Q1213" s="2"/>
      <c r="R1213" s="2">
        <v>47402</v>
      </c>
      <c r="AB1213" s="2"/>
    </row>
    <row r="1214" spans="8:28" ht="15" customHeight="1">
      <c r="H1214" s="2">
        <v>49334</v>
      </c>
      <c r="I1214" s="2"/>
      <c r="J1214" s="2">
        <v>47361</v>
      </c>
      <c r="K1214" s="2"/>
      <c r="L1214" s="2">
        <v>49216</v>
      </c>
      <c r="M1214" s="2"/>
      <c r="N1214" s="2">
        <v>47478</v>
      </c>
      <c r="P1214" s="2">
        <v>49291</v>
      </c>
      <c r="Q1214" s="2"/>
      <c r="R1214" s="2">
        <v>47403</v>
      </c>
      <c r="AB1214" s="2"/>
    </row>
    <row r="1215" spans="8:28" ht="15" customHeight="1">
      <c r="H1215" s="2">
        <v>49333</v>
      </c>
      <c r="I1215" s="2"/>
      <c r="J1215" s="2">
        <v>47365</v>
      </c>
      <c r="K1215" s="2"/>
      <c r="L1215" s="2">
        <v>49215</v>
      </c>
      <c r="M1215" s="2"/>
      <c r="N1215" s="2">
        <v>47479</v>
      </c>
      <c r="P1215" s="2">
        <v>49290</v>
      </c>
      <c r="Q1215" s="2"/>
      <c r="R1215" s="2">
        <v>47406</v>
      </c>
      <c r="AB1215" s="2"/>
    </row>
    <row r="1216" spans="8:28" ht="15" customHeight="1">
      <c r="H1216" s="2">
        <v>49332</v>
      </c>
      <c r="I1216" s="2"/>
      <c r="J1216" s="2">
        <v>47366</v>
      </c>
      <c r="K1216" s="2"/>
      <c r="L1216" s="2">
        <v>49214</v>
      </c>
      <c r="M1216" s="2"/>
      <c r="N1216" s="2">
        <v>47480</v>
      </c>
      <c r="P1216" s="2">
        <v>49289</v>
      </c>
      <c r="Q1216" s="2"/>
      <c r="R1216" s="2">
        <v>47407</v>
      </c>
      <c r="AB1216" s="2"/>
    </row>
    <row r="1217" spans="8:28" ht="15" customHeight="1">
      <c r="H1217" s="2">
        <v>49331</v>
      </c>
      <c r="I1217" s="2"/>
      <c r="J1217" s="2">
        <v>47367</v>
      </c>
      <c r="K1217" s="2"/>
      <c r="L1217" s="2">
        <v>49213</v>
      </c>
      <c r="M1217" s="2"/>
      <c r="N1217" s="2">
        <v>47487</v>
      </c>
      <c r="P1217" s="2">
        <v>49286</v>
      </c>
      <c r="Q1217" s="2"/>
      <c r="R1217" s="2">
        <v>47408</v>
      </c>
      <c r="AB1217" s="2"/>
    </row>
    <row r="1218" spans="8:28" ht="15" customHeight="1">
      <c r="H1218" s="2">
        <v>49328</v>
      </c>
      <c r="I1218" s="2"/>
      <c r="J1218" s="2">
        <v>47368</v>
      </c>
      <c r="K1218" s="2"/>
      <c r="L1218" s="2">
        <v>49212</v>
      </c>
      <c r="M1218" s="2"/>
      <c r="N1218" s="2">
        <v>47490</v>
      </c>
      <c r="P1218" s="2">
        <v>49285</v>
      </c>
      <c r="Q1218" s="2"/>
      <c r="R1218" s="2">
        <v>47409</v>
      </c>
      <c r="AB1218" s="2"/>
    </row>
    <row r="1219" spans="8:28" ht="15" customHeight="1">
      <c r="H1219" s="2">
        <v>49327</v>
      </c>
      <c r="I1219" s="2"/>
      <c r="J1219" s="2">
        <v>47371</v>
      </c>
      <c r="K1219" s="2"/>
      <c r="L1219" s="2">
        <v>49209</v>
      </c>
      <c r="M1219" s="2"/>
      <c r="N1219" s="2">
        <v>47491</v>
      </c>
      <c r="P1219" s="2">
        <v>49284</v>
      </c>
      <c r="Q1219" s="2"/>
      <c r="R1219" s="2">
        <v>47410</v>
      </c>
      <c r="AB1219" s="2"/>
    </row>
    <row r="1220" spans="8:28" ht="15" customHeight="1">
      <c r="H1220" s="2">
        <v>49326</v>
      </c>
      <c r="I1220" s="2"/>
      <c r="J1220" s="2">
        <v>47372</v>
      </c>
      <c r="K1220" s="2"/>
      <c r="L1220" s="2">
        <v>49208</v>
      </c>
      <c r="M1220" s="2"/>
      <c r="N1220" s="2">
        <v>47492</v>
      </c>
      <c r="P1220" s="2">
        <v>49283</v>
      </c>
      <c r="Q1220" s="2"/>
      <c r="R1220" s="2">
        <v>47413</v>
      </c>
      <c r="AB1220" s="2"/>
    </row>
    <row r="1221" spans="8:28" ht="15" customHeight="1">
      <c r="H1221" s="2">
        <v>49325</v>
      </c>
      <c r="I1221" s="2"/>
      <c r="J1221" s="2">
        <v>47373</v>
      </c>
      <c r="K1221" s="2"/>
      <c r="L1221" s="2">
        <v>49207</v>
      </c>
      <c r="M1221" s="2"/>
      <c r="N1221" s="2">
        <v>47493</v>
      </c>
      <c r="P1221" s="2">
        <v>49282</v>
      </c>
      <c r="Q1221" s="2"/>
      <c r="R1221" s="2">
        <v>47414</v>
      </c>
      <c r="AB1221" s="2"/>
    </row>
    <row r="1222" spans="8:28" ht="15" customHeight="1">
      <c r="H1222" s="2">
        <v>49321</v>
      </c>
      <c r="I1222" s="2"/>
      <c r="J1222" s="2">
        <v>47374</v>
      </c>
      <c r="K1222" s="2"/>
      <c r="L1222" s="2">
        <v>49206</v>
      </c>
      <c r="M1222" s="2"/>
      <c r="N1222" s="2">
        <v>47494</v>
      </c>
      <c r="P1222" s="2">
        <v>49279</v>
      </c>
      <c r="Q1222" s="2"/>
      <c r="R1222" s="2">
        <v>47415</v>
      </c>
      <c r="AB1222" s="2"/>
    </row>
    <row r="1223" spans="8:28" ht="15" customHeight="1">
      <c r="H1223" s="2">
        <v>49320</v>
      </c>
      <c r="I1223" s="2"/>
      <c r="J1223" s="2">
        <v>47375</v>
      </c>
      <c r="K1223" s="2"/>
      <c r="L1223" s="2">
        <v>49202</v>
      </c>
      <c r="M1223" s="2"/>
      <c r="N1223" s="2">
        <v>47498</v>
      </c>
      <c r="P1223" s="2">
        <v>49278</v>
      </c>
      <c r="Q1223" s="2"/>
      <c r="R1223" s="2">
        <v>47416</v>
      </c>
      <c r="AB1223" s="2"/>
    </row>
    <row r="1224" spans="8:28" ht="15" customHeight="1">
      <c r="H1224" s="2">
        <v>49319</v>
      </c>
      <c r="I1224" s="2"/>
      <c r="J1224" s="2">
        <v>47378</v>
      </c>
      <c r="K1224" s="2"/>
      <c r="L1224" s="2">
        <v>49201</v>
      </c>
      <c r="M1224" s="2"/>
      <c r="N1224" s="2">
        <v>47499</v>
      </c>
      <c r="P1224" s="2">
        <v>49277</v>
      </c>
      <c r="Q1224" s="2"/>
      <c r="R1224" s="2">
        <v>47417</v>
      </c>
      <c r="AB1224" s="2"/>
    </row>
    <row r="1225" spans="8:28" ht="15" customHeight="1">
      <c r="H1225" s="2">
        <v>49318</v>
      </c>
      <c r="I1225" s="2"/>
      <c r="J1225" s="2">
        <v>47379</v>
      </c>
      <c r="K1225" s="2"/>
      <c r="L1225" s="2">
        <v>49200</v>
      </c>
      <c r="M1225" s="2"/>
      <c r="N1225" s="2">
        <v>47500</v>
      </c>
      <c r="P1225" s="2">
        <v>49276</v>
      </c>
      <c r="Q1225" s="2"/>
      <c r="R1225" s="2">
        <v>47420</v>
      </c>
      <c r="AB1225" s="2"/>
    </row>
    <row r="1226" spans="8:28" ht="15" customHeight="1">
      <c r="H1226" s="2">
        <v>49317</v>
      </c>
      <c r="I1226" s="2"/>
      <c r="J1226" s="2">
        <v>47380</v>
      </c>
      <c r="K1226" s="2"/>
      <c r="L1226" s="2">
        <v>49199</v>
      </c>
      <c r="M1226" s="2"/>
      <c r="N1226" s="2">
        <v>47501</v>
      </c>
      <c r="P1226" s="2">
        <v>49275</v>
      </c>
      <c r="Q1226" s="2"/>
      <c r="R1226" s="2">
        <v>47421</v>
      </c>
      <c r="AB1226" s="2"/>
    </row>
    <row r="1227" spans="8:28" ht="15" customHeight="1">
      <c r="H1227" s="2">
        <v>49314</v>
      </c>
      <c r="I1227" s="2"/>
      <c r="J1227" s="2">
        <v>47381</v>
      </c>
      <c r="K1227" s="2"/>
      <c r="L1227" s="2">
        <v>49198</v>
      </c>
      <c r="M1227" s="2"/>
      <c r="N1227" s="2">
        <v>47505</v>
      </c>
      <c r="P1227" s="2">
        <v>49272</v>
      </c>
      <c r="Q1227" s="2"/>
      <c r="R1227" s="2">
        <v>47422</v>
      </c>
      <c r="AB1227" s="2"/>
    </row>
    <row r="1228" spans="8:28" ht="15" customHeight="1">
      <c r="H1228" s="2">
        <v>49313</v>
      </c>
      <c r="I1228" s="2"/>
      <c r="J1228" s="2">
        <v>47382</v>
      </c>
      <c r="K1228" s="2"/>
      <c r="L1228" s="2">
        <v>49195</v>
      </c>
      <c r="M1228" s="2"/>
      <c r="N1228" s="2">
        <v>47506</v>
      </c>
      <c r="P1228" s="2">
        <v>49271</v>
      </c>
      <c r="Q1228" s="2"/>
      <c r="R1228" s="2">
        <v>47423</v>
      </c>
      <c r="AB1228" s="2"/>
    </row>
    <row r="1229" spans="8:28" ht="15" customHeight="1">
      <c r="H1229" s="2">
        <v>49312</v>
      </c>
      <c r="I1229" s="2"/>
      <c r="J1229" s="2">
        <v>47385</v>
      </c>
      <c r="K1229" s="2"/>
      <c r="L1229" s="2">
        <v>49194</v>
      </c>
      <c r="M1229" s="2"/>
      <c r="N1229" s="2">
        <v>47507</v>
      </c>
      <c r="P1229" s="2">
        <v>49270</v>
      </c>
      <c r="Q1229" s="2"/>
      <c r="R1229" s="2">
        <v>47424</v>
      </c>
      <c r="AB1229" s="2"/>
    </row>
    <row r="1230" spans="8:28" ht="15" customHeight="1">
      <c r="H1230" s="2">
        <v>49311</v>
      </c>
      <c r="I1230" s="2"/>
      <c r="J1230" s="2">
        <v>47386</v>
      </c>
      <c r="K1230" s="2"/>
      <c r="L1230" s="2">
        <v>49193</v>
      </c>
      <c r="M1230" s="2"/>
      <c r="N1230" s="2">
        <v>47508</v>
      </c>
      <c r="P1230" s="2">
        <v>49269</v>
      </c>
      <c r="Q1230" s="2"/>
      <c r="R1230" s="2">
        <v>47427</v>
      </c>
      <c r="AB1230" s="2"/>
    </row>
    <row r="1231" spans="8:28" ht="15" customHeight="1">
      <c r="H1231" s="2">
        <v>49307</v>
      </c>
      <c r="I1231" s="2"/>
      <c r="J1231" s="2">
        <v>47387</v>
      </c>
      <c r="K1231" s="2"/>
      <c r="L1231" s="2">
        <v>49192</v>
      </c>
      <c r="M1231" s="2"/>
      <c r="N1231" s="2">
        <v>47511</v>
      </c>
      <c r="P1231" s="2">
        <v>49268</v>
      </c>
      <c r="Q1231" s="2"/>
      <c r="R1231" s="2">
        <v>47428</v>
      </c>
      <c r="AB1231" s="2"/>
    </row>
    <row r="1232" spans="8:28" ht="15" customHeight="1">
      <c r="H1232" s="2">
        <v>49306</v>
      </c>
      <c r="I1232" s="2"/>
      <c r="J1232" s="2">
        <v>47388</v>
      </c>
      <c r="K1232" s="2"/>
      <c r="L1232" s="2">
        <v>49188</v>
      </c>
      <c r="M1232" s="2"/>
      <c r="N1232" s="2">
        <v>47512</v>
      </c>
      <c r="P1232" s="2">
        <v>49265</v>
      </c>
      <c r="Q1232" s="2"/>
      <c r="R1232" s="2">
        <v>47429</v>
      </c>
      <c r="AB1232" s="2"/>
    </row>
    <row r="1233" spans="8:28" ht="15" customHeight="1">
      <c r="H1233" s="2">
        <v>49305</v>
      </c>
      <c r="I1233" s="2"/>
      <c r="J1233" s="2">
        <v>47389</v>
      </c>
      <c r="K1233" s="2"/>
      <c r="L1233" s="2">
        <v>49187</v>
      </c>
      <c r="M1233" s="2"/>
      <c r="N1233" s="2">
        <v>47513</v>
      </c>
      <c r="P1233" s="2">
        <v>49264</v>
      </c>
      <c r="Q1233" s="2"/>
      <c r="R1233" s="2">
        <v>47430</v>
      </c>
      <c r="AB1233" s="2"/>
    </row>
    <row r="1234" spans="8:28" ht="15" customHeight="1">
      <c r="H1234" s="2">
        <v>49304</v>
      </c>
      <c r="I1234" s="2"/>
      <c r="J1234" s="2">
        <v>47392</v>
      </c>
      <c r="K1234" s="2"/>
      <c r="L1234" s="2">
        <v>49186</v>
      </c>
      <c r="M1234" s="2"/>
      <c r="N1234" s="2">
        <v>47514</v>
      </c>
      <c r="P1234" s="2">
        <v>49263</v>
      </c>
      <c r="Q1234" s="2"/>
      <c r="R1234" s="2">
        <v>47431</v>
      </c>
      <c r="AB1234" s="2"/>
    </row>
    <row r="1235" spans="8:28" ht="15" customHeight="1">
      <c r="H1235" s="2">
        <v>49300</v>
      </c>
      <c r="I1235" s="2"/>
      <c r="J1235" s="2">
        <v>47393</v>
      </c>
      <c r="K1235" s="2"/>
      <c r="L1235" s="2">
        <v>49185</v>
      </c>
      <c r="M1235" s="2"/>
      <c r="N1235" s="2">
        <v>47515</v>
      </c>
      <c r="P1235" s="2">
        <v>49262</v>
      </c>
      <c r="Q1235" s="2"/>
      <c r="R1235" s="2">
        <v>47434</v>
      </c>
      <c r="AB1235" s="2"/>
    </row>
    <row r="1236" spans="8:28" ht="15" customHeight="1">
      <c r="H1236" s="2">
        <v>49299</v>
      </c>
      <c r="I1236" s="2"/>
      <c r="J1236" s="2">
        <v>47394</v>
      </c>
      <c r="K1236" s="2"/>
      <c r="L1236" s="2">
        <v>49184</v>
      </c>
      <c r="M1236" s="2"/>
      <c r="N1236" s="2">
        <v>47518</v>
      </c>
      <c r="P1236" s="2">
        <v>49261</v>
      </c>
      <c r="Q1236" s="2"/>
      <c r="R1236" s="2">
        <v>47435</v>
      </c>
      <c r="AB1236" s="2"/>
    </row>
    <row r="1237" spans="8:28" ht="15" customHeight="1">
      <c r="H1237" s="2">
        <v>49298</v>
      </c>
      <c r="I1237" s="2"/>
      <c r="J1237" s="2">
        <v>47395</v>
      </c>
      <c r="K1237" s="2"/>
      <c r="L1237" s="2">
        <v>49181</v>
      </c>
      <c r="M1237" s="2"/>
      <c r="N1237" s="2">
        <v>47519</v>
      </c>
      <c r="P1237" s="2">
        <v>49258</v>
      </c>
      <c r="Q1237" s="2"/>
      <c r="R1237" s="2">
        <v>47436</v>
      </c>
      <c r="AB1237" s="2"/>
    </row>
    <row r="1238" spans="8:28" ht="15" customHeight="1">
      <c r="H1238" s="2">
        <v>49297</v>
      </c>
      <c r="I1238" s="2"/>
      <c r="J1238" s="2">
        <v>47396</v>
      </c>
      <c r="K1238" s="2"/>
      <c r="L1238" s="2">
        <v>49180</v>
      </c>
      <c r="M1238" s="2"/>
      <c r="N1238" s="2">
        <v>47520</v>
      </c>
      <c r="P1238" s="2">
        <v>49257</v>
      </c>
      <c r="Q1238" s="2"/>
      <c r="R1238" s="2">
        <v>47437</v>
      </c>
      <c r="AB1238" s="2"/>
    </row>
    <row r="1239" spans="8:28" ht="15" customHeight="1">
      <c r="H1239" s="2">
        <v>49296</v>
      </c>
      <c r="I1239" s="2"/>
      <c r="J1239" s="2">
        <v>47399</v>
      </c>
      <c r="K1239" s="2"/>
      <c r="L1239" s="2">
        <v>49179</v>
      </c>
      <c r="M1239" s="2"/>
      <c r="N1239" s="2">
        <v>47521</v>
      </c>
      <c r="P1239" s="2">
        <v>49256</v>
      </c>
      <c r="Q1239" s="2"/>
      <c r="R1239" s="2">
        <v>47438</v>
      </c>
      <c r="AB1239" s="2"/>
    </row>
    <row r="1240" spans="8:28" ht="15" customHeight="1">
      <c r="H1240" s="2">
        <v>49293</v>
      </c>
      <c r="I1240" s="2"/>
      <c r="J1240" s="2">
        <v>47400</v>
      </c>
      <c r="K1240" s="2"/>
      <c r="L1240" s="2">
        <v>49178</v>
      </c>
      <c r="M1240" s="2"/>
      <c r="N1240" s="2">
        <v>47522</v>
      </c>
      <c r="P1240" s="2">
        <v>49255</v>
      </c>
      <c r="Q1240" s="2"/>
      <c r="R1240" s="2">
        <v>47441</v>
      </c>
      <c r="AB1240" s="2"/>
    </row>
    <row r="1241" spans="8:28" ht="15" customHeight="1">
      <c r="H1241" s="2">
        <v>49292</v>
      </c>
      <c r="I1241" s="2"/>
      <c r="J1241" s="2">
        <v>47401</v>
      </c>
      <c r="K1241" s="2"/>
      <c r="L1241" s="2">
        <v>49177</v>
      </c>
      <c r="M1241" s="2"/>
      <c r="N1241" s="2">
        <v>47526</v>
      </c>
      <c r="P1241" s="2">
        <v>49254</v>
      </c>
      <c r="Q1241" s="2"/>
      <c r="R1241" s="2">
        <v>47442</v>
      </c>
      <c r="AB1241" s="2"/>
    </row>
    <row r="1242" spans="8:28" ht="15" customHeight="1">
      <c r="H1242" s="2">
        <v>49291</v>
      </c>
      <c r="I1242" s="2"/>
      <c r="J1242" s="2">
        <v>47402</v>
      </c>
      <c r="K1242" s="2"/>
      <c r="L1242" s="2">
        <v>49174</v>
      </c>
      <c r="M1242" s="2"/>
      <c r="N1242" s="2">
        <v>47527</v>
      </c>
      <c r="P1242" s="2">
        <v>49251</v>
      </c>
      <c r="Q1242" s="2"/>
      <c r="R1242" s="2">
        <v>47443</v>
      </c>
      <c r="AB1242" s="2"/>
    </row>
    <row r="1243" spans="8:28" ht="15" customHeight="1">
      <c r="H1243" s="2">
        <v>49290</v>
      </c>
      <c r="I1243" s="2"/>
      <c r="J1243" s="2">
        <v>47403</v>
      </c>
      <c r="K1243" s="2"/>
      <c r="L1243" s="2">
        <v>49173</v>
      </c>
      <c r="M1243" s="2"/>
      <c r="N1243" s="2">
        <v>47528</v>
      </c>
      <c r="P1243" s="2">
        <v>49250</v>
      </c>
      <c r="Q1243" s="2"/>
      <c r="R1243" s="2">
        <v>47444</v>
      </c>
      <c r="AB1243" s="2"/>
    </row>
    <row r="1244" spans="8:28" ht="15" customHeight="1">
      <c r="H1244" s="2">
        <v>49289</v>
      </c>
      <c r="I1244" s="2"/>
      <c r="J1244" s="2">
        <v>47406</v>
      </c>
      <c r="K1244" s="2"/>
      <c r="L1244" s="2">
        <v>49172</v>
      </c>
      <c r="M1244" s="2"/>
      <c r="N1244" s="2">
        <v>47529</v>
      </c>
      <c r="P1244" s="2">
        <v>49249</v>
      </c>
      <c r="Q1244" s="2"/>
      <c r="R1244" s="2">
        <v>47445</v>
      </c>
      <c r="AB1244" s="2"/>
    </row>
    <row r="1245" spans="8:28" ht="15" customHeight="1">
      <c r="H1245" s="2">
        <v>49286</v>
      </c>
      <c r="I1245" s="2"/>
      <c r="J1245" s="2">
        <v>47407</v>
      </c>
      <c r="K1245" s="2"/>
      <c r="L1245" s="2">
        <v>49171</v>
      </c>
      <c r="M1245" s="2"/>
      <c r="N1245" s="2">
        <v>47533</v>
      </c>
      <c r="P1245" s="2">
        <v>49248</v>
      </c>
      <c r="Q1245" s="2"/>
      <c r="R1245" s="2">
        <v>47448</v>
      </c>
      <c r="AB1245" s="2"/>
    </row>
    <row r="1246" spans="8:28" ht="15" customHeight="1">
      <c r="H1246" s="2">
        <v>49285</v>
      </c>
      <c r="I1246" s="2"/>
      <c r="J1246" s="2">
        <v>47408</v>
      </c>
      <c r="K1246" s="2"/>
      <c r="L1246" s="2">
        <v>49170</v>
      </c>
      <c r="M1246" s="2"/>
      <c r="N1246" s="2">
        <v>47534</v>
      </c>
      <c r="P1246" s="2">
        <v>49247</v>
      </c>
      <c r="Q1246" s="2"/>
      <c r="R1246" s="2">
        <v>47449</v>
      </c>
      <c r="AB1246" s="2"/>
    </row>
    <row r="1247" spans="8:28" ht="15" customHeight="1">
      <c r="H1247" s="2">
        <v>49284</v>
      </c>
      <c r="I1247" s="2"/>
      <c r="J1247" s="2">
        <v>47409</v>
      </c>
      <c r="K1247" s="2"/>
      <c r="L1247" s="2">
        <v>49166</v>
      </c>
      <c r="M1247" s="2"/>
      <c r="N1247" s="2">
        <v>47535</v>
      </c>
      <c r="P1247" s="2">
        <v>49244</v>
      </c>
      <c r="Q1247" s="2"/>
      <c r="R1247" s="2">
        <v>47450</v>
      </c>
      <c r="AB1247" s="2"/>
    </row>
    <row r="1248" spans="8:28" ht="15" customHeight="1">
      <c r="H1248" s="2">
        <v>49283</v>
      </c>
      <c r="I1248" s="2"/>
      <c r="J1248" s="2">
        <v>47410</v>
      </c>
      <c r="K1248" s="2"/>
      <c r="L1248" s="2">
        <v>49165</v>
      </c>
      <c r="M1248" s="2"/>
      <c r="N1248" s="2">
        <v>47536</v>
      </c>
      <c r="P1248" s="2">
        <v>49243</v>
      </c>
      <c r="Q1248" s="2"/>
      <c r="R1248" s="2">
        <v>47451</v>
      </c>
      <c r="AB1248" s="2"/>
    </row>
    <row r="1249" spans="8:28" ht="15" customHeight="1">
      <c r="H1249" s="2">
        <v>49282</v>
      </c>
      <c r="I1249" s="2"/>
      <c r="J1249" s="2">
        <v>47413</v>
      </c>
      <c r="K1249" s="2"/>
      <c r="L1249" s="2">
        <v>49164</v>
      </c>
      <c r="M1249" s="2"/>
      <c r="N1249" s="2">
        <v>47539</v>
      </c>
      <c r="P1249" s="2">
        <v>49242</v>
      </c>
      <c r="Q1249" s="2"/>
      <c r="R1249" s="2">
        <v>47452</v>
      </c>
      <c r="AB1249" s="2"/>
    </row>
    <row r="1250" spans="8:28" ht="15" customHeight="1">
      <c r="H1250" s="2">
        <v>49279</v>
      </c>
      <c r="I1250" s="2"/>
      <c r="J1250" s="2">
        <v>47414</v>
      </c>
      <c r="K1250" s="2"/>
      <c r="L1250" s="2">
        <v>49163</v>
      </c>
      <c r="M1250" s="2"/>
      <c r="N1250" s="2">
        <v>47540</v>
      </c>
      <c r="P1250" s="2">
        <v>49241</v>
      </c>
      <c r="Q1250" s="2"/>
      <c r="R1250" s="2">
        <v>47455</v>
      </c>
      <c r="AB1250" s="2"/>
    </row>
    <row r="1251" spans="8:28" ht="15" customHeight="1">
      <c r="H1251" s="2">
        <v>49278</v>
      </c>
      <c r="I1251" s="2"/>
      <c r="J1251" s="2">
        <v>47415</v>
      </c>
      <c r="K1251" s="2"/>
      <c r="L1251" s="2">
        <v>49160</v>
      </c>
      <c r="M1251" s="2"/>
      <c r="N1251" s="2">
        <v>47541</v>
      </c>
      <c r="P1251" s="2">
        <v>49240</v>
      </c>
      <c r="Q1251" s="2"/>
      <c r="R1251" s="2">
        <v>47456</v>
      </c>
      <c r="AB1251" s="2"/>
    </row>
    <row r="1252" spans="8:28" ht="15" customHeight="1">
      <c r="H1252" s="2">
        <v>49277</v>
      </c>
      <c r="I1252" s="2"/>
      <c r="J1252" s="2">
        <v>47416</v>
      </c>
      <c r="K1252" s="2"/>
      <c r="L1252" s="2">
        <v>49159</v>
      </c>
      <c r="M1252" s="2"/>
      <c r="N1252" s="2">
        <v>47542</v>
      </c>
      <c r="P1252" s="2">
        <v>49237</v>
      </c>
      <c r="Q1252" s="2"/>
      <c r="R1252" s="2">
        <v>47457</v>
      </c>
      <c r="AB1252" s="2"/>
    </row>
    <row r="1253" spans="8:28" ht="15" customHeight="1">
      <c r="H1253" s="2">
        <v>49276</v>
      </c>
      <c r="I1253" s="2"/>
      <c r="J1253" s="2">
        <v>47417</v>
      </c>
      <c r="K1253" s="2"/>
      <c r="L1253" s="2">
        <v>49158</v>
      </c>
      <c r="M1253" s="2"/>
      <c r="N1253" s="2">
        <v>47543</v>
      </c>
      <c r="P1253" s="2">
        <v>49236</v>
      </c>
      <c r="Q1253" s="2"/>
      <c r="R1253" s="2">
        <v>47458</v>
      </c>
      <c r="AB1253" s="2"/>
    </row>
    <row r="1254" spans="8:28" ht="15" customHeight="1">
      <c r="H1254" s="2">
        <v>49275</v>
      </c>
      <c r="I1254" s="2"/>
      <c r="J1254" s="2">
        <v>47420</v>
      </c>
      <c r="K1254" s="2"/>
      <c r="L1254" s="2">
        <v>49157</v>
      </c>
      <c r="M1254" s="2"/>
      <c r="N1254" s="2">
        <v>47546</v>
      </c>
      <c r="P1254" s="2">
        <v>49235</v>
      </c>
      <c r="Q1254" s="2"/>
      <c r="R1254" s="2">
        <v>47459</v>
      </c>
      <c r="AB1254" s="2"/>
    </row>
    <row r="1255" spans="8:28" ht="15" customHeight="1">
      <c r="H1255" s="2">
        <v>49272</v>
      </c>
      <c r="I1255" s="2"/>
      <c r="J1255" s="2">
        <v>47421</v>
      </c>
      <c r="K1255" s="2"/>
      <c r="L1255" s="2">
        <v>49156</v>
      </c>
      <c r="M1255" s="2"/>
      <c r="N1255" s="2">
        <v>47547</v>
      </c>
      <c r="P1255" s="2">
        <v>49234</v>
      </c>
      <c r="Q1255" s="2"/>
      <c r="R1255" s="2">
        <v>47462</v>
      </c>
      <c r="AB1255" s="2"/>
    </row>
    <row r="1256" spans="8:28" ht="15" customHeight="1">
      <c r="H1256" s="2">
        <v>49270</v>
      </c>
      <c r="I1256" s="2"/>
      <c r="J1256" s="2">
        <v>47422</v>
      </c>
      <c r="K1256" s="2"/>
      <c r="L1256" s="2">
        <v>49153</v>
      </c>
      <c r="M1256" s="2"/>
      <c r="N1256" s="2">
        <v>47548</v>
      </c>
      <c r="P1256" s="2">
        <v>49233</v>
      </c>
      <c r="Q1256" s="2"/>
      <c r="R1256" s="2">
        <v>47463</v>
      </c>
      <c r="AB1256" s="2"/>
    </row>
    <row r="1257" spans="8:28" ht="15" customHeight="1">
      <c r="H1257" s="2">
        <v>49269</v>
      </c>
      <c r="I1257" s="2"/>
      <c r="J1257" s="2">
        <v>47423</v>
      </c>
      <c r="K1257" s="2"/>
      <c r="L1257" s="2">
        <v>49152</v>
      </c>
      <c r="M1257" s="2"/>
      <c r="N1257" s="2">
        <v>47549</v>
      </c>
      <c r="P1257" s="2">
        <v>49230</v>
      </c>
      <c r="Q1257" s="2"/>
      <c r="R1257" s="2">
        <v>47464</v>
      </c>
      <c r="AB1257" s="2"/>
    </row>
    <row r="1258" spans="8:28" ht="15" customHeight="1">
      <c r="H1258" s="2">
        <v>49268</v>
      </c>
      <c r="I1258" s="2"/>
      <c r="J1258" s="2">
        <v>47424</v>
      </c>
      <c r="K1258" s="2"/>
      <c r="L1258" s="2">
        <v>49151</v>
      </c>
      <c r="M1258" s="2"/>
      <c r="N1258" s="2">
        <v>47550</v>
      </c>
      <c r="P1258" s="2">
        <v>49229</v>
      </c>
      <c r="Q1258" s="2"/>
      <c r="R1258" s="2">
        <v>47465</v>
      </c>
      <c r="AB1258" s="2"/>
    </row>
    <row r="1259" spans="8:28" ht="15" customHeight="1">
      <c r="H1259" s="2">
        <v>49265</v>
      </c>
      <c r="I1259" s="2"/>
      <c r="J1259" s="2">
        <v>47427</v>
      </c>
      <c r="K1259" s="2"/>
      <c r="L1259" s="2">
        <v>49150</v>
      </c>
      <c r="M1259" s="2"/>
      <c r="N1259" s="2">
        <v>47553</v>
      </c>
      <c r="P1259" s="2">
        <v>49228</v>
      </c>
      <c r="Q1259" s="2"/>
      <c r="R1259" s="2">
        <v>47466</v>
      </c>
      <c r="AB1259" s="2"/>
    </row>
    <row r="1260" spans="8:28" ht="15" customHeight="1">
      <c r="H1260" s="2">
        <v>49264</v>
      </c>
      <c r="I1260" s="2"/>
      <c r="J1260" s="2">
        <v>47428</v>
      </c>
      <c r="K1260" s="2"/>
      <c r="L1260" s="2">
        <v>49149</v>
      </c>
      <c r="M1260" s="2"/>
      <c r="N1260" s="2">
        <v>47554</v>
      </c>
      <c r="P1260" s="2">
        <v>49227</v>
      </c>
      <c r="Q1260" s="2"/>
      <c r="R1260" s="2">
        <v>47469</v>
      </c>
      <c r="AB1260" s="2"/>
    </row>
    <row r="1261" spans="8:28" ht="15" customHeight="1">
      <c r="H1261" s="2">
        <v>49263</v>
      </c>
      <c r="I1261" s="2"/>
      <c r="J1261" s="2">
        <v>47429</v>
      </c>
      <c r="K1261" s="2"/>
      <c r="L1261" s="2">
        <v>49146</v>
      </c>
      <c r="M1261" s="2"/>
      <c r="N1261" s="2">
        <v>47555</v>
      </c>
      <c r="P1261" s="2">
        <v>49223</v>
      </c>
      <c r="Q1261" s="2"/>
      <c r="R1261" s="2">
        <v>47470</v>
      </c>
      <c r="AB1261" s="2"/>
    </row>
    <row r="1262" spans="8:28" ht="15" customHeight="1">
      <c r="H1262" s="2">
        <v>49262</v>
      </c>
      <c r="I1262" s="2"/>
      <c r="J1262" s="2">
        <v>47430</v>
      </c>
      <c r="K1262" s="2"/>
      <c r="L1262" s="2">
        <v>49145</v>
      </c>
      <c r="M1262" s="2"/>
      <c r="N1262" s="2">
        <v>47556</v>
      </c>
      <c r="P1262" s="2">
        <v>49222</v>
      </c>
      <c r="Q1262" s="2"/>
      <c r="R1262" s="2">
        <v>47471</v>
      </c>
      <c r="AB1262" s="2"/>
    </row>
    <row r="1263" spans="8:28" ht="15" customHeight="1">
      <c r="H1263" s="2">
        <v>49261</v>
      </c>
      <c r="I1263" s="2"/>
      <c r="J1263" s="2">
        <v>47431</v>
      </c>
      <c r="K1263" s="2"/>
      <c r="L1263" s="2">
        <v>49144</v>
      </c>
      <c r="M1263" s="2"/>
      <c r="N1263" s="2">
        <v>47557</v>
      </c>
      <c r="P1263" s="2">
        <v>49221</v>
      </c>
      <c r="Q1263" s="2"/>
      <c r="R1263" s="2">
        <v>47472</v>
      </c>
      <c r="AB1263" s="2"/>
    </row>
    <row r="1264" spans="8:28" ht="15" customHeight="1">
      <c r="H1264" s="2">
        <v>49258</v>
      </c>
      <c r="I1264" s="2"/>
      <c r="J1264" s="2">
        <v>47434</v>
      </c>
      <c r="K1264" s="2"/>
      <c r="L1264" s="2">
        <v>49143</v>
      </c>
      <c r="M1264" s="2"/>
      <c r="N1264" s="2">
        <v>47560</v>
      </c>
      <c r="P1264" s="2">
        <v>49219</v>
      </c>
      <c r="Q1264" s="2"/>
      <c r="R1264" s="2">
        <v>47473</v>
      </c>
      <c r="AB1264" s="2"/>
    </row>
    <row r="1265" spans="8:28" ht="15" customHeight="1">
      <c r="H1265" s="2">
        <v>49257</v>
      </c>
      <c r="I1265" s="2"/>
      <c r="J1265" s="2">
        <v>47435</v>
      </c>
      <c r="K1265" s="2"/>
      <c r="L1265" s="2">
        <v>49139</v>
      </c>
      <c r="M1265" s="2"/>
      <c r="N1265" s="2">
        <v>47561</v>
      </c>
      <c r="P1265" s="2">
        <v>49216</v>
      </c>
      <c r="Q1265" s="2"/>
      <c r="R1265" s="2">
        <v>47476</v>
      </c>
      <c r="AB1265" s="2"/>
    </row>
    <row r="1266" spans="8:28" ht="15" customHeight="1">
      <c r="H1266" s="2">
        <v>49256</v>
      </c>
      <c r="I1266" s="2"/>
      <c r="J1266" s="2">
        <v>47436</v>
      </c>
      <c r="K1266" s="2"/>
      <c r="L1266" s="2">
        <v>49138</v>
      </c>
      <c r="M1266" s="2"/>
      <c r="N1266" s="2">
        <v>47563</v>
      </c>
      <c r="P1266" s="2">
        <v>49212</v>
      </c>
      <c r="Q1266" s="2"/>
      <c r="R1266" s="2">
        <v>47478</v>
      </c>
      <c r="AB1266" s="2"/>
    </row>
    <row r="1267" spans="8:28" ht="15" customHeight="1">
      <c r="H1267" s="2">
        <v>49255</v>
      </c>
      <c r="I1267" s="2"/>
      <c r="J1267" s="2">
        <v>47437</v>
      </c>
      <c r="K1267" s="2"/>
      <c r="L1267" s="2">
        <v>49137</v>
      </c>
      <c r="M1267" s="2"/>
      <c r="N1267" s="2">
        <v>47564</v>
      </c>
      <c r="P1267" s="2">
        <v>49209</v>
      </c>
      <c r="Q1267" s="2"/>
      <c r="R1267" s="2">
        <v>47479</v>
      </c>
      <c r="AB1267" s="2"/>
    </row>
    <row r="1268" spans="8:28" ht="15" customHeight="1">
      <c r="H1268" s="2">
        <v>49254</v>
      </c>
      <c r="I1268" s="2"/>
      <c r="J1268" s="2">
        <v>47438</v>
      </c>
      <c r="K1268" s="2"/>
      <c r="L1268" s="2">
        <v>49136</v>
      </c>
      <c r="M1268" s="2"/>
      <c r="N1268" s="2">
        <v>47567</v>
      </c>
      <c r="P1268" s="2">
        <v>49208</v>
      </c>
      <c r="Q1268" s="2"/>
      <c r="R1268" s="2">
        <v>47480</v>
      </c>
      <c r="AB1268" s="2"/>
    </row>
    <row r="1269" spans="8:28" ht="15" customHeight="1">
      <c r="H1269" s="2">
        <v>49251</v>
      </c>
      <c r="I1269" s="2"/>
      <c r="J1269" s="2">
        <v>47441</v>
      </c>
      <c r="K1269" s="2"/>
      <c r="L1269" s="2">
        <v>49135</v>
      </c>
      <c r="M1269" s="2"/>
      <c r="N1269" s="2">
        <v>47568</v>
      </c>
      <c r="P1269" s="2">
        <v>49207</v>
      </c>
      <c r="Q1269" s="2"/>
      <c r="R1269" s="2">
        <v>47485</v>
      </c>
      <c r="AB1269" s="2"/>
    </row>
    <row r="1270" spans="8:28" ht="15" customHeight="1">
      <c r="H1270" s="2">
        <v>49250</v>
      </c>
      <c r="I1270" s="2"/>
      <c r="J1270" s="2">
        <v>47442</v>
      </c>
      <c r="K1270" s="2"/>
      <c r="L1270" s="2">
        <v>49132</v>
      </c>
      <c r="M1270" s="2"/>
      <c r="N1270" s="2">
        <v>47569</v>
      </c>
      <c r="P1270" s="2">
        <v>49206</v>
      </c>
      <c r="Q1270" s="2"/>
      <c r="R1270" s="2">
        <v>47486</v>
      </c>
      <c r="AB1270" s="2"/>
    </row>
    <row r="1271" spans="8:28" ht="15" customHeight="1">
      <c r="H1271" s="2">
        <v>49249</v>
      </c>
      <c r="I1271" s="2"/>
      <c r="J1271" s="2">
        <v>47443</v>
      </c>
      <c r="K1271" s="2"/>
      <c r="L1271" s="2">
        <v>49131</v>
      </c>
      <c r="M1271" s="2"/>
      <c r="N1271" s="2">
        <v>47570</v>
      </c>
      <c r="P1271" s="2">
        <v>49205</v>
      </c>
      <c r="Q1271" s="2"/>
      <c r="R1271" s="2">
        <v>47487</v>
      </c>
      <c r="AB1271" s="2"/>
    </row>
    <row r="1272" spans="8:28" ht="15" customHeight="1">
      <c r="H1272" s="2">
        <v>49248</v>
      </c>
      <c r="I1272" s="2"/>
      <c r="J1272" s="2">
        <v>47445</v>
      </c>
      <c r="K1272" s="2"/>
      <c r="L1272" s="2">
        <v>49130</v>
      </c>
      <c r="M1272" s="2"/>
      <c r="N1272" s="2">
        <v>47571</v>
      </c>
      <c r="P1272" s="2">
        <v>49202</v>
      </c>
      <c r="Q1272" s="2"/>
      <c r="R1272" s="2">
        <v>47490</v>
      </c>
      <c r="AB1272" s="2"/>
    </row>
    <row r="1273" spans="8:28" ht="15" customHeight="1">
      <c r="H1273" s="2">
        <v>49247</v>
      </c>
      <c r="I1273" s="2"/>
      <c r="J1273" s="2">
        <v>47448</v>
      </c>
      <c r="K1273" s="2"/>
      <c r="L1273" s="2">
        <v>49128</v>
      </c>
      <c r="M1273" s="2"/>
      <c r="N1273" s="2">
        <v>47574</v>
      </c>
      <c r="P1273" s="2">
        <v>49201</v>
      </c>
      <c r="Q1273" s="2"/>
      <c r="R1273" s="2">
        <v>47491</v>
      </c>
      <c r="AB1273" s="2"/>
    </row>
    <row r="1274" spans="8:28" ht="15" customHeight="1">
      <c r="H1274" s="2">
        <v>49244</v>
      </c>
      <c r="I1274" s="2"/>
      <c r="J1274" s="2">
        <v>47449</v>
      </c>
      <c r="K1274" s="2"/>
      <c r="L1274" s="2">
        <v>49125</v>
      </c>
      <c r="M1274" s="2"/>
      <c r="N1274" s="2">
        <v>47575</v>
      </c>
      <c r="P1274" s="2">
        <v>49200</v>
      </c>
      <c r="Q1274" s="2"/>
      <c r="R1274" s="2">
        <v>47492</v>
      </c>
      <c r="AB1274" s="2"/>
    </row>
    <row r="1275" spans="8:28" ht="15" customHeight="1">
      <c r="H1275" s="2">
        <v>49243</v>
      </c>
      <c r="I1275" s="2"/>
      <c r="J1275" s="2">
        <v>47450</v>
      </c>
      <c r="K1275" s="2"/>
      <c r="L1275" s="2">
        <v>49124</v>
      </c>
      <c r="M1275" s="2"/>
      <c r="N1275" s="2">
        <v>47576</v>
      </c>
      <c r="P1275" s="2">
        <v>49199</v>
      </c>
      <c r="Q1275" s="2"/>
      <c r="R1275" s="2">
        <v>47493</v>
      </c>
      <c r="AB1275" s="2"/>
    </row>
    <row r="1276" spans="8:28" ht="15" customHeight="1">
      <c r="H1276" s="2">
        <v>49242</v>
      </c>
      <c r="I1276" s="2"/>
      <c r="J1276" s="2">
        <v>47451</v>
      </c>
      <c r="K1276" s="2"/>
      <c r="L1276" s="2">
        <v>49123</v>
      </c>
      <c r="M1276" s="2"/>
      <c r="N1276" s="2">
        <v>47577</v>
      </c>
      <c r="P1276" s="2">
        <v>49198</v>
      </c>
      <c r="Q1276" s="2"/>
      <c r="R1276" s="2">
        <v>47494</v>
      </c>
      <c r="AB1276" s="2"/>
    </row>
    <row r="1277" spans="8:28" ht="15" customHeight="1">
      <c r="H1277" s="2">
        <v>49241</v>
      </c>
      <c r="I1277" s="2"/>
      <c r="J1277" s="2">
        <v>47452</v>
      </c>
      <c r="K1277" s="2"/>
      <c r="L1277" s="2">
        <v>49122</v>
      </c>
      <c r="M1277" s="2"/>
      <c r="N1277" s="2">
        <v>47578</v>
      </c>
      <c r="P1277" s="2">
        <v>49195</v>
      </c>
      <c r="Q1277" s="2"/>
      <c r="R1277" s="2">
        <v>47497</v>
      </c>
      <c r="AB1277" s="2"/>
    </row>
    <row r="1278" spans="8:28" ht="15" customHeight="1">
      <c r="H1278" s="2">
        <v>49240</v>
      </c>
      <c r="I1278" s="2"/>
      <c r="J1278" s="2">
        <v>47455</v>
      </c>
      <c r="K1278" s="2"/>
      <c r="L1278" s="2">
        <v>49121</v>
      </c>
      <c r="M1278" s="2"/>
      <c r="N1278" s="2">
        <v>47581</v>
      </c>
      <c r="P1278" s="2">
        <v>49194</v>
      </c>
      <c r="Q1278" s="2"/>
      <c r="R1278" s="2">
        <v>47498</v>
      </c>
      <c r="AB1278" s="2"/>
    </row>
    <row r="1279" spans="8:28" ht="15" customHeight="1">
      <c r="H1279" s="2">
        <v>49237</v>
      </c>
      <c r="I1279" s="2"/>
      <c r="J1279" s="2">
        <v>47456</v>
      </c>
      <c r="K1279" s="2"/>
      <c r="L1279" s="2">
        <v>49118</v>
      </c>
      <c r="M1279" s="2"/>
      <c r="N1279" s="2">
        <v>47582</v>
      </c>
      <c r="P1279" s="2">
        <v>49193</v>
      </c>
      <c r="Q1279" s="2"/>
      <c r="R1279" s="2">
        <v>47499</v>
      </c>
      <c r="AB1279" s="2"/>
    </row>
    <row r="1280" spans="8:28" ht="15" customHeight="1">
      <c r="H1280" s="2">
        <v>49236</v>
      </c>
      <c r="I1280" s="2"/>
      <c r="J1280" s="2">
        <v>47457</v>
      </c>
      <c r="K1280" s="2"/>
      <c r="L1280" s="2">
        <v>49117</v>
      </c>
      <c r="M1280" s="2"/>
      <c r="N1280" s="2">
        <v>47583</v>
      </c>
      <c r="P1280" s="2">
        <v>49192</v>
      </c>
      <c r="Q1280" s="2"/>
      <c r="R1280" s="2">
        <v>47500</v>
      </c>
      <c r="AB1280" s="2"/>
    </row>
    <row r="1281" spans="8:28" ht="15" customHeight="1">
      <c r="H1281" s="2">
        <v>49235</v>
      </c>
      <c r="I1281" s="2"/>
      <c r="J1281" s="2">
        <v>47458</v>
      </c>
      <c r="K1281" s="2"/>
      <c r="L1281" s="2">
        <v>49116</v>
      </c>
      <c r="M1281" s="2"/>
      <c r="N1281" s="2">
        <v>47584</v>
      </c>
      <c r="P1281" s="2">
        <v>49191</v>
      </c>
      <c r="Q1281" s="2"/>
      <c r="R1281" s="2">
        <v>47501</v>
      </c>
      <c r="AB1281" s="2"/>
    </row>
    <row r="1282" spans="8:28" ht="15" customHeight="1">
      <c r="H1282" s="2">
        <v>49234</v>
      </c>
      <c r="I1282" s="2"/>
      <c r="J1282" s="2">
        <v>47459</v>
      </c>
      <c r="K1282" s="2"/>
      <c r="L1282" s="2">
        <v>49115</v>
      </c>
      <c r="M1282" s="2"/>
      <c r="N1282" s="2">
        <v>47585</v>
      </c>
      <c r="P1282" s="2">
        <v>49188</v>
      </c>
      <c r="Q1282" s="2"/>
      <c r="R1282" s="2">
        <v>47504</v>
      </c>
      <c r="AB1282" s="2"/>
    </row>
    <row r="1283" spans="8:28" ht="15" customHeight="1">
      <c r="H1283" s="2">
        <v>49233</v>
      </c>
      <c r="I1283" s="2"/>
      <c r="J1283" s="2">
        <v>47462</v>
      </c>
      <c r="K1283" s="2"/>
      <c r="L1283" s="2">
        <v>49111</v>
      </c>
      <c r="M1283" s="2"/>
      <c r="N1283" s="2">
        <v>47588</v>
      </c>
      <c r="P1283" s="2">
        <v>49187</v>
      </c>
      <c r="Q1283" s="2"/>
      <c r="R1283" s="2">
        <v>47505</v>
      </c>
      <c r="AB1283" s="2"/>
    </row>
    <row r="1284" spans="8:28" ht="15" customHeight="1">
      <c r="H1284" s="2">
        <v>49230</v>
      </c>
      <c r="I1284" s="2"/>
      <c r="J1284" s="2">
        <v>47463</v>
      </c>
      <c r="K1284" s="2"/>
      <c r="L1284" s="2">
        <v>49110</v>
      </c>
      <c r="M1284" s="2"/>
      <c r="N1284" s="2">
        <v>47589</v>
      </c>
      <c r="P1284" s="2">
        <v>49186</v>
      </c>
      <c r="Q1284" s="2"/>
      <c r="R1284" s="2">
        <v>47506</v>
      </c>
      <c r="AB1284" s="2"/>
    </row>
    <row r="1285" spans="8:28" ht="15" customHeight="1">
      <c r="H1285" s="2">
        <v>49229</v>
      </c>
      <c r="I1285" s="2"/>
      <c r="J1285" s="2">
        <v>47464</v>
      </c>
      <c r="K1285" s="2"/>
      <c r="L1285" s="2">
        <v>49109</v>
      </c>
      <c r="M1285" s="2"/>
      <c r="N1285" s="2">
        <v>47590</v>
      </c>
      <c r="P1285" s="2">
        <v>49185</v>
      </c>
      <c r="Q1285" s="2"/>
      <c r="R1285" s="2">
        <v>47507</v>
      </c>
      <c r="AB1285" s="2"/>
    </row>
    <row r="1286" spans="8:28" ht="15" customHeight="1">
      <c r="H1286" s="2">
        <v>49228</v>
      </c>
      <c r="I1286" s="2"/>
      <c r="J1286" s="2">
        <v>47465</v>
      </c>
      <c r="K1286" s="2"/>
      <c r="L1286" s="2">
        <v>49108</v>
      </c>
      <c r="M1286" s="2"/>
      <c r="N1286" s="2">
        <v>47591</v>
      </c>
      <c r="P1286" s="2">
        <v>49184</v>
      </c>
      <c r="Q1286" s="2"/>
      <c r="R1286" s="2">
        <v>47508</v>
      </c>
      <c r="AB1286" s="2"/>
    </row>
    <row r="1287" spans="8:28" ht="15" customHeight="1">
      <c r="H1287" s="2">
        <v>49227</v>
      </c>
      <c r="I1287" s="2"/>
      <c r="J1287" s="2">
        <v>47466</v>
      </c>
      <c r="K1287" s="2"/>
      <c r="L1287" s="2">
        <v>49107</v>
      </c>
      <c r="M1287" s="2"/>
      <c r="N1287" s="2">
        <v>47595</v>
      </c>
      <c r="P1287" s="2">
        <v>49181</v>
      </c>
      <c r="Q1287" s="2"/>
      <c r="R1287" s="2">
        <v>47511</v>
      </c>
      <c r="AB1287" s="2"/>
    </row>
    <row r="1288" spans="8:28" ht="15" customHeight="1">
      <c r="H1288" s="2">
        <v>49226</v>
      </c>
      <c r="I1288" s="2"/>
      <c r="J1288" s="2">
        <v>47469</v>
      </c>
      <c r="K1288" s="2"/>
      <c r="L1288" s="2">
        <v>49104</v>
      </c>
      <c r="M1288" s="2"/>
      <c r="N1288" s="2">
        <v>47596</v>
      </c>
      <c r="P1288" s="2">
        <v>49180</v>
      </c>
      <c r="Q1288" s="2"/>
      <c r="R1288" s="2">
        <v>47512</v>
      </c>
      <c r="AB1288" s="2"/>
    </row>
    <row r="1289" spans="8:28" ht="15" customHeight="1">
      <c r="H1289" s="2">
        <v>49223</v>
      </c>
      <c r="I1289" s="2"/>
      <c r="J1289" s="2">
        <v>47470</v>
      </c>
      <c r="K1289" s="2"/>
      <c r="L1289" s="2">
        <v>49103</v>
      </c>
      <c r="M1289" s="2"/>
      <c r="N1289" s="2">
        <v>47597</v>
      </c>
      <c r="P1289" s="2">
        <v>49179</v>
      </c>
      <c r="Q1289" s="2"/>
      <c r="R1289" s="2">
        <v>47513</v>
      </c>
      <c r="AB1289" s="2"/>
    </row>
    <row r="1290" spans="8:28" ht="15" customHeight="1">
      <c r="H1290" s="2">
        <v>49222</v>
      </c>
      <c r="I1290" s="2"/>
      <c r="J1290" s="2">
        <v>47471</v>
      </c>
      <c r="K1290" s="2"/>
      <c r="L1290" s="2">
        <v>49102</v>
      </c>
      <c r="M1290" s="2"/>
      <c r="N1290" s="2">
        <v>47598</v>
      </c>
      <c r="P1290" s="2">
        <v>49178</v>
      </c>
      <c r="Q1290" s="2"/>
      <c r="R1290" s="2">
        <v>47514</v>
      </c>
      <c r="AB1290" s="2"/>
    </row>
    <row r="1291" spans="8:28" ht="15" customHeight="1">
      <c r="H1291" s="2">
        <v>49221</v>
      </c>
      <c r="I1291" s="2"/>
      <c r="J1291" s="2">
        <v>47472</v>
      </c>
      <c r="K1291" s="2"/>
      <c r="L1291" s="2">
        <v>49101</v>
      </c>
      <c r="M1291" s="2"/>
      <c r="N1291" s="2">
        <v>47599</v>
      </c>
      <c r="P1291" s="2">
        <v>49177</v>
      </c>
      <c r="Q1291" s="2"/>
      <c r="R1291" s="2">
        <v>47515</v>
      </c>
      <c r="AB1291" s="2"/>
    </row>
    <row r="1292" spans="8:28" ht="15" customHeight="1">
      <c r="H1292" s="2">
        <v>49220</v>
      </c>
      <c r="I1292" s="2"/>
      <c r="J1292" s="2">
        <v>47473</v>
      </c>
      <c r="K1292" s="2"/>
      <c r="L1292" s="2">
        <v>49100</v>
      </c>
      <c r="M1292" s="2"/>
      <c r="N1292" s="2">
        <v>47603</v>
      </c>
      <c r="P1292" s="2">
        <v>49174</v>
      </c>
      <c r="Q1292" s="2"/>
      <c r="R1292" s="2">
        <v>47520</v>
      </c>
      <c r="AB1292" s="2"/>
    </row>
    <row r="1293" spans="8:28" ht="15" customHeight="1">
      <c r="H1293" s="2">
        <v>49219</v>
      </c>
      <c r="I1293" s="2"/>
      <c r="J1293" s="2">
        <v>47476</v>
      </c>
      <c r="K1293" s="2"/>
      <c r="L1293" s="2">
        <v>49097</v>
      </c>
      <c r="M1293" s="2"/>
      <c r="N1293" s="2">
        <v>47604</v>
      </c>
      <c r="P1293" s="2">
        <v>49173</v>
      </c>
      <c r="Q1293" s="2"/>
      <c r="R1293" s="2">
        <v>47521</v>
      </c>
      <c r="AB1293" s="2"/>
    </row>
    <row r="1294" spans="8:28" ht="15" customHeight="1">
      <c r="H1294" s="2">
        <v>49216</v>
      </c>
      <c r="I1294" s="2"/>
      <c r="J1294" s="2">
        <v>47478</v>
      </c>
      <c r="K1294" s="2"/>
      <c r="L1294" s="2">
        <v>49096</v>
      </c>
      <c r="M1294" s="2"/>
      <c r="N1294" s="2">
        <v>47605</v>
      </c>
      <c r="P1294" s="2">
        <v>49172</v>
      </c>
      <c r="Q1294" s="2"/>
      <c r="R1294" s="2">
        <v>47522</v>
      </c>
      <c r="AB1294" s="2"/>
    </row>
    <row r="1295" spans="8:28" ht="15" customHeight="1">
      <c r="H1295" s="2">
        <v>49215</v>
      </c>
      <c r="I1295" s="2"/>
      <c r="J1295" s="2">
        <v>47479</v>
      </c>
      <c r="K1295" s="2"/>
      <c r="L1295" s="2">
        <v>49095</v>
      </c>
      <c r="M1295" s="2"/>
      <c r="N1295" s="2">
        <v>47610</v>
      </c>
      <c r="P1295" s="2">
        <v>49170</v>
      </c>
      <c r="Q1295" s="2"/>
      <c r="R1295" s="2">
        <v>47525</v>
      </c>
      <c r="AB1295" s="2"/>
    </row>
    <row r="1296" spans="8:28" ht="15" customHeight="1">
      <c r="H1296" s="2">
        <v>49214</v>
      </c>
      <c r="I1296" s="2"/>
      <c r="J1296" s="2">
        <v>47480</v>
      </c>
      <c r="K1296" s="2"/>
      <c r="L1296" s="2">
        <v>49094</v>
      </c>
      <c r="M1296" s="2"/>
      <c r="N1296" s="2">
        <v>47611</v>
      </c>
      <c r="P1296" s="2">
        <v>49167</v>
      </c>
      <c r="Q1296" s="2"/>
      <c r="R1296" s="2">
        <v>47526</v>
      </c>
      <c r="AB1296" s="2"/>
    </row>
    <row r="1297" spans="8:28" ht="15" customHeight="1">
      <c r="H1297" s="2">
        <v>49213</v>
      </c>
      <c r="I1297" s="2"/>
      <c r="J1297" s="2">
        <v>47483</v>
      </c>
      <c r="K1297" s="2"/>
      <c r="L1297" s="2">
        <v>49090</v>
      </c>
      <c r="M1297" s="2"/>
      <c r="N1297" s="2">
        <v>47612</v>
      </c>
      <c r="P1297" s="2">
        <v>49166</v>
      </c>
      <c r="Q1297" s="2"/>
      <c r="R1297" s="2">
        <v>47527</v>
      </c>
      <c r="AB1297" s="2"/>
    </row>
    <row r="1298" spans="8:28" ht="15" customHeight="1">
      <c r="H1298" s="2">
        <v>49212</v>
      </c>
      <c r="I1298" s="2"/>
      <c r="J1298" s="2">
        <v>47485</v>
      </c>
      <c r="K1298" s="2"/>
      <c r="L1298" s="2">
        <v>49089</v>
      </c>
      <c r="M1298" s="2"/>
      <c r="N1298" s="2">
        <v>47613</v>
      </c>
      <c r="P1298" s="2">
        <v>49165</v>
      </c>
      <c r="Q1298" s="2"/>
      <c r="R1298" s="2">
        <v>47528</v>
      </c>
      <c r="AB1298" s="2"/>
    </row>
    <row r="1299" spans="8:28" ht="15" customHeight="1">
      <c r="H1299" s="2">
        <v>49209</v>
      </c>
      <c r="I1299" s="2"/>
      <c r="J1299" s="2">
        <v>47486</v>
      </c>
      <c r="K1299" s="2"/>
      <c r="L1299" s="2">
        <v>49088</v>
      </c>
      <c r="M1299" s="2"/>
      <c r="N1299" s="2">
        <v>47616</v>
      </c>
      <c r="P1299" s="2">
        <v>49164</v>
      </c>
      <c r="Q1299" s="2"/>
      <c r="R1299" s="2">
        <v>47529</v>
      </c>
      <c r="AB1299" s="2"/>
    </row>
    <row r="1300" spans="8:28" ht="15" customHeight="1">
      <c r="H1300" s="2">
        <v>49208</v>
      </c>
      <c r="I1300" s="2"/>
      <c r="J1300" s="2">
        <v>47487</v>
      </c>
      <c r="K1300" s="2"/>
      <c r="L1300" s="2">
        <v>49087</v>
      </c>
      <c r="M1300" s="2"/>
      <c r="N1300" s="2">
        <v>47617</v>
      </c>
      <c r="P1300" s="2">
        <v>49163</v>
      </c>
      <c r="Q1300" s="2"/>
      <c r="R1300" s="2">
        <v>47532</v>
      </c>
      <c r="AB1300" s="2"/>
    </row>
    <row r="1301" spans="8:28" ht="15" customHeight="1">
      <c r="H1301" s="2">
        <v>49207</v>
      </c>
      <c r="I1301" s="2"/>
      <c r="J1301" s="2">
        <v>47490</v>
      </c>
      <c r="K1301" s="2"/>
      <c r="L1301" s="2">
        <v>49086</v>
      </c>
      <c r="M1301" s="2"/>
      <c r="N1301" s="2">
        <v>47618</v>
      </c>
      <c r="P1301" s="2">
        <v>49160</v>
      </c>
      <c r="Q1301" s="2"/>
      <c r="R1301" s="2">
        <v>47533</v>
      </c>
      <c r="AB1301" s="2"/>
    </row>
    <row r="1302" spans="8:28" ht="15" customHeight="1">
      <c r="H1302" s="2">
        <v>49206</v>
      </c>
      <c r="I1302" s="2"/>
      <c r="J1302" s="2">
        <v>47491</v>
      </c>
      <c r="K1302" s="2"/>
      <c r="L1302" s="2">
        <v>49083</v>
      </c>
      <c r="M1302" s="2"/>
      <c r="N1302" s="2">
        <v>47619</v>
      </c>
      <c r="P1302" s="2">
        <v>49159</v>
      </c>
      <c r="Q1302" s="2"/>
      <c r="R1302" s="2">
        <v>47534</v>
      </c>
      <c r="AB1302" s="2"/>
    </row>
    <row r="1303" spans="8:28" ht="15" customHeight="1">
      <c r="H1303" s="2">
        <v>49205</v>
      </c>
      <c r="I1303" s="2"/>
      <c r="J1303" s="2">
        <v>47492</v>
      </c>
      <c r="K1303" s="2"/>
      <c r="L1303" s="2">
        <v>49082</v>
      </c>
      <c r="M1303" s="2"/>
      <c r="N1303" s="2">
        <v>47620</v>
      </c>
      <c r="P1303" s="2">
        <v>49158</v>
      </c>
      <c r="Q1303" s="2"/>
      <c r="R1303" s="2">
        <v>47535</v>
      </c>
      <c r="AB1303" s="2"/>
    </row>
    <row r="1304" spans="8:28" ht="15" customHeight="1">
      <c r="H1304" s="2">
        <v>49202</v>
      </c>
      <c r="I1304" s="2"/>
      <c r="J1304" s="2">
        <v>47493</v>
      </c>
      <c r="K1304" s="2"/>
      <c r="L1304" s="2">
        <v>49081</v>
      </c>
      <c r="M1304" s="2"/>
      <c r="N1304" s="2">
        <v>47623</v>
      </c>
      <c r="P1304" s="2">
        <v>49157</v>
      </c>
      <c r="Q1304" s="2"/>
      <c r="R1304" s="2">
        <v>47536</v>
      </c>
      <c r="AB1304" s="2"/>
    </row>
    <row r="1305" spans="8:28" ht="15" customHeight="1">
      <c r="H1305" s="2">
        <v>49201</v>
      </c>
      <c r="I1305" s="2"/>
      <c r="J1305" s="2">
        <v>47494</v>
      </c>
      <c r="K1305" s="2"/>
      <c r="L1305" s="2">
        <v>49080</v>
      </c>
      <c r="M1305" s="2"/>
      <c r="N1305" s="2">
        <v>47624</v>
      </c>
      <c r="P1305" s="2">
        <v>49156</v>
      </c>
      <c r="Q1305" s="2"/>
      <c r="R1305" s="2">
        <v>47539</v>
      </c>
      <c r="AB1305" s="2"/>
    </row>
    <row r="1306" spans="8:28" ht="15" customHeight="1">
      <c r="H1306" s="2">
        <v>49200</v>
      </c>
      <c r="I1306" s="2"/>
      <c r="J1306" s="2">
        <v>47497</v>
      </c>
      <c r="K1306" s="2"/>
      <c r="L1306" s="2">
        <v>49079</v>
      </c>
      <c r="M1306" s="2"/>
      <c r="N1306" s="2">
        <v>47625</v>
      </c>
      <c r="P1306" s="2">
        <v>49153</v>
      </c>
      <c r="Q1306" s="2"/>
      <c r="R1306" s="2">
        <v>47540</v>
      </c>
      <c r="AB1306" s="2"/>
    </row>
    <row r="1307" spans="8:28" ht="15" customHeight="1">
      <c r="H1307" s="2">
        <v>49199</v>
      </c>
      <c r="I1307" s="2"/>
      <c r="J1307" s="2">
        <v>47498</v>
      </c>
      <c r="K1307" s="2"/>
      <c r="L1307" s="2">
        <v>49076</v>
      </c>
      <c r="M1307" s="2"/>
      <c r="N1307" s="2">
        <v>47626</v>
      </c>
      <c r="P1307" s="2">
        <v>49152</v>
      </c>
      <c r="Q1307" s="2"/>
      <c r="R1307" s="2">
        <v>47541</v>
      </c>
      <c r="AB1307" s="2"/>
    </row>
    <row r="1308" spans="8:28" ht="15" customHeight="1">
      <c r="H1308" s="2">
        <v>49198</v>
      </c>
      <c r="I1308" s="2"/>
      <c r="J1308" s="2">
        <v>47499</v>
      </c>
      <c r="K1308" s="2"/>
      <c r="L1308" s="2">
        <v>49075</v>
      </c>
      <c r="M1308" s="2"/>
      <c r="N1308" s="2">
        <v>47627</v>
      </c>
      <c r="P1308" s="2">
        <v>49151</v>
      </c>
      <c r="Q1308" s="2"/>
      <c r="R1308" s="2">
        <v>47542</v>
      </c>
      <c r="AB1308" s="2"/>
    </row>
    <row r="1309" spans="8:28" ht="15" customHeight="1">
      <c r="H1309" s="2">
        <v>49195</v>
      </c>
      <c r="I1309" s="2"/>
      <c r="J1309" s="2">
        <v>47500</v>
      </c>
      <c r="K1309" s="2"/>
      <c r="L1309" s="2">
        <v>49074</v>
      </c>
      <c r="M1309" s="2"/>
      <c r="N1309" s="2">
        <v>47631</v>
      </c>
      <c r="P1309" s="2">
        <v>49150</v>
      </c>
      <c r="Q1309" s="2"/>
      <c r="R1309" s="2">
        <v>47546</v>
      </c>
      <c r="AB1309" s="2"/>
    </row>
    <row r="1310" spans="8:28" ht="15" customHeight="1">
      <c r="H1310" s="2">
        <v>49194</v>
      </c>
      <c r="I1310" s="2"/>
      <c r="J1310" s="2">
        <v>47501</v>
      </c>
      <c r="K1310" s="2"/>
      <c r="L1310" s="2">
        <v>49073</v>
      </c>
      <c r="M1310" s="2"/>
      <c r="N1310" s="2">
        <v>47632</v>
      </c>
      <c r="P1310" s="2">
        <v>49149</v>
      </c>
      <c r="Q1310" s="2"/>
      <c r="R1310" s="2">
        <v>47547</v>
      </c>
      <c r="AB1310" s="2"/>
    </row>
    <row r="1311" spans="8:28" ht="15" customHeight="1">
      <c r="H1311" s="2">
        <v>49193</v>
      </c>
      <c r="I1311" s="2"/>
      <c r="J1311" s="2">
        <v>47505</v>
      </c>
      <c r="K1311" s="2"/>
      <c r="L1311" s="2">
        <v>49072</v>
      </c>
      <c r="M1311" s="2"/>
      <c r="N1311" s="2">
        <v>47633</v>
      </c>
      <c r="P1311" s="2">
        <v>49146</v>
      </c>
      <c r="Q1311" s="2"/>
      <c r="R1311" s="2">
        <v>47548</v>
      </c>
      <c r="AB1311" s="2"/>
    </row>
    <row r="1312" spans="8:28" ht="15" customHeight="1">
      <c r="H1312" s="2">
        <v>49192</v>
      </c>
      <c r="I1312" s="2"/>
      <c r="J1312" s="2">
        <v>47506</v>
      </c>
      <c r="K1312" s="2"/>
      <c r="L1312" s="2">
        <v>49066</v>
      </c>
      <c r="M1312" s="2"/>
      <c r="N1312" s="2">
        <v>47634</v>
      </c>
      <c r="P1312" s="2">
        <v>49145</v>
      </c>
      <c r="Q1312" s="2"/>
      <c r="R1312" s="2">
        <v>47549</v>
      </c>
      <c r="AB1312" s="2"/>
    </row>
    <row r="1313" spans="8:28" ht="15" customHeight="1">
      <c r="H1313" s="2">
        <v>49188</v>
      </c>
      <c r="I1313" s="2"/>
      <c r="J1313" s="2">
        <v>47507</v>
      </c>
      <c r="K1313" s="2"/>
      <c r="L1313" s="2">
        <v>49065</v>
      </c>
      <c r="M1313" s="2"/>
      <c r="N1313" s="2">
        <v>47637</v>
      </c>
      <c r="P1313" s="2">
        <v>49144</v>
      </c>
      <c r="Q1313" s="2"/>
      <c r="R1313" s="2">
        <v>47550</v>
      </c>
      <c r="AB1313" s="2"/>
    </row>
    <row r="1314" spans="8:28" ht="15" customHeight="1">
      <c r="H1314" s="2">
        <v>49187</v>
      </c>
      <c r="I1314" s="2"/>
      <c r="J1314" s="2">
        <v>47508</v>
      </c>
      <c r="K1314" s="2"/>
      <c r="L1314" s="2">
        <v>49062</v>
      </c>
      <c r="M1314" s="2"/>
      <c r="N1314" s="2">
        <v>47638</v>
      </c>
      <c r="P1314" s="2">
        <v>49143</v>
      </c>
      <c r="Q1314" s="2"/>
      <c r="R1314" s="2">
        <v>47553</v>
      </c>
      <c r="AB1314" s="2"/>
    </row>
    <row r="1315" spans="8:28" ht="15" customHeight="1">
      <c r="H1315" s="2">
        <v>49186</v>
      </c>
      <c r="I1315" s="2"/>
      <c r="J1315" s="2">
        <v>47511</v>
      </c>
      <c r="K1315" s="2"/>
      <c r="L1315" s="2">
        <v>49061</v>
      </c>
      <c r="M1315" s="2"/>
      <c r="N1315" s="2">
        <v>47639</v>
      </c>
      <c r="P1315" s="2">
        <v>49142</v>
      </c>
      <c r="Q1315" s="2"/>
      <c r="R1315" s="2">
        <v>47554</v>
      </c>
      <c r="AB1315" s="2"/>
    </row>
    <row r="1316" spans="8:28" ht="15" customHeight="1">
      <c r="H1316" s="2">
        <v>49185</v>
      </c>
      <c r="I1316" s="2"/>
      <c r="J1316" s="2">
        <v>47512</v>
      </c>
      <c r="K1316" s="2"/>
      <c r="L1316" s="2">
        <v>49060</v>
      </c>
      <c r="M1316" s="2"/>
      <c r="N1316" s="2">
        <v>47640</v>
      </c>
      <c r="P1316" s="2">
        <v>49139</v>
      </c>
      <c r="Q1316" s="2"/>
      <c r="R1316" s="2">
        <v>47555</v>
      </c>
      <c r="AB1316" s="2"/>
    </row>
    <row r="1317" spans="8:28" ht="15" customHeight="1">
      <c r="H1317" s="2">
        <v>49184</v>
      </c>
      <c r="I1317" s="2"/>
      <c r="J1317" s="2">
        <v>47513</v>
      </c>
      <c r="K1317" s="2"/>
      <c r="L1317" s="2">
        <v>49059</v>
      </c>
      <c r="M1317" s="2"/>
      <c r="N1317" s="2">
        <v>47641</v>
      </c>
      <c r="P1317" s="2">
        <v>49138</v>
      </c>
      <c r="Q1317" s="2"/>
      <c r="R1317" s="2">
        <v>47556</v>
      </c>
      <c r="AB1317" s="2"/>
    </row>
    <row r="1318" spans="8:28" ht="15" customHeight="1">
      <c r="H1318" s="2">
        <v>49181</v>
      </c>
      <c r="I1318" s="2"/>
      <c r="J1318" s="2">
        <v>47514</v>
      </c>
      <c r="K1318" s="2"/>
      <c r="L1318" s="2">
        <v>49058</v>
      </c>
      <c r="M1318" s="2"/>
      <c r="N1318" s="2">
        <v>47644</v>
      </c>
      <c r="P1318" s="2">
        <v>49137</v>
      </c>
      <c r="Q1318" s="2"/>
      <c r="R1318" s="2">
        <v>47557</v>
      </c>
      <c r="AB1318" s="2"/>
    </row>
    <row r="1319" spans="8:28" ht="15" customHeight="1">
      <c r="H1319" s="2">
        <v>49180</v>
      </c>
      <c r="I1319" s="2"/>
      <c r="J1319" s="2">
        <v>47515</v>
      </c>
      <c r="K1319" s="2"/>
      <c r="L1319" s="2">
        <v>49055</v>
      </c>
      <c r="M1319" s="2"/>
      <c r="N1319" s="2">
        <v>47645</v>
      </c>
      <c r="P1319" s="2">
        <v>49136</v>
      </c>
      <c r="Q1319" s="2"/>
      <c r="R1319" s="2">
        <v>47560</v>
      </c>
      <c r="AB1319" s="2"/>
    </row>
    <row r="1320" spans="8:28" ht="15" customHeight="1">
      <c r="H1320" s="2">
        <v>49179</v>
      </c>
      <c r="I1320" s="2"/>
      <c r="J1320" s="2">
        <v>47518</v>
      </c>
      <c r="K1320" s="2"/>
      <c r="L1320" s="2">
        <v>49054</v>
      </c>
      <c r="M1320" s="2"/>
      <c r="N1320" s="2">
        <v>47646</v>
      </c>
      <c r="P1320" s="2">
        <v>49135</v>
      </c>
      <c r="Q1320" s="2"/>
      <c r="R1320" s="2">
        <v>47561</v>
      </c>
      <c r="AB1320" s="2"/>
    </row>
    <row r="1321" spans="8:28" ht="15" customHeight="1">
      <c r="H1321" s="2">
        <v>49178</v>
      </c>
      <c r="I1321" s="2"/>
      <c r="J1321" s="2">
        <v>47519</v>
      </c>
      <c r="K1321" s="2"/>
      <c r="L1321" s="2">
        <v>49053</v>
      </c>
      <c r="M1321" s="2"/>
      <c r="N1321" s="2">
        <v>47647</v>
      </c>
      <c r="P1321" s="2">
        <v>49132</v>
      </c>
      <c r="Q1321" s="2"/>
      <c r="R1321" s="2">
        <v>47562</v>
      </c>
      <c r="AB1321" s="2"/>
    </row>
    <row r="1322" spans="8:28" ht="15" customHeight="1">
      <c r="H1322" s="2">
        <v>49177</v>
      </c>
      <c r="I1322" s="2"/>
      <c r="J1322" s="2">
        <v>47520</v>
      </c>
      <c r="K1322" s="2"/>
      <c r="L1322" s="2">
        <v>49052</v>
      </c>
      <c r="M1322" s="2"/>
      <c r="N1322" s="2">
        <v>47648</v>
      </c>
      <c r="P1322" s="2">
        <v>49131</v>
      </c>
      <c r="Q1322" s="2"/>
      <c r="R1322" s="2">
        <v>47563</v>
      </c>
      <c r="AB1322" s="2"/>
    </row>
    <row r="1323" spans="8:28" ht="15" customHeight="1">
      <c r="H1323" s="2">
        <v>49174</v>
      </c>
      <c r="I1323" s="2"/>
      <c r="J1323" s="2">
        <v>47521</v>
      </c>
      <c r="K1323" s="2"/>
      <c r="L1323" s="2">
        <v>49051</v>
      </c>
      <c r="M1323" s="2"/>
      <c r="N1323" s="2">
        <v>47651</v>
      </c>
      <c r="P1323" s="2">
        <v>49130</v>
      </c>
      <c r="Q1323" s="2"/>
      <c r="R1323" s="2">
        <v>47564</v>
      </c>
      <c r="AB1323" s="2"/>
    </row>
    <row r="1324" spans="8:28" ht="15" customHeight="1">
      <c r="H1324" s="2">
        <v>49173</v>
      </c>
      <c r="I1324" s="2"/>
      <c r="J1324" s="2">
        <v>47522</v>
      </c>
      <c r="K1324" s="2"/>
      <c r="L1324" s="2">
        <v>49048</v>
      </c>
      <c r="M1324" s="2"/>
      <c r="N1324" s="2">
        <v>47652</v>
      </c>
      <c r="P1324" s="2">
        <v>49129</v>
      </c>
      <c r="Q1324" s="2"/>
      <c r="R1324" s="2">
        <v>47567</v>
      </c>
      <c r="AB1324" s="2"/>
    </row>
    <row r="1325" spans="8:28" ht="15" customHeight="1">
      <c r="H1325" s="2">
        <v>49172</v>
      </c>
      <c r="I1325" s="2"/>
      <c r="J1325" s="2">
        <v>47525</v>
      </c>
      <c r="K1325" s="2"/>
      <c r="L1325" s="2">
        <v>49047</v>
      </c>
      <c r="M1325" s="2"/>
      <c r="N1325" s="2">
        <v>47654</v>
      </c>
      <c r="P1325" s="2">
        <v>49128</v>
      </c>
      <c r="Q1325" s="2"/>
      <c r="R1325" s="2">
        <v>47568</v>
      </c>
      <c r="AB1325" s="2"/>
    </row>
    <row r="1326" spans="8:28" ht="15" customHeight="1">
      <c r="H1326" s="2">
        <v>49171</v>
      </c>
      <c r="I1326" s="2"/>
      <c r="J1326" s="2">
        <v>47526</v>
      </c>
      <c r="K1326" s="2"/>
      <c r="L1326" s="2">
        <v>49046</v>
      </c>
      <c r="M1326" s="2"/>
      <c r="N1326" s="2">
        <v>47655</v>
      </c>
      <c r="P1326" s="2">
        <v>49125</v>
      </c>
      <c r="Q1326" s="2"/>
      <c r="R1326" s="2">
        <v>47569</v>
      </c>
      <c r="AB1326" s="2"/>
    </row>
    <row r="1327" spans="8:28" ht="15" customHeight="1">
      <c r="H1327" s="2">
        <v>49170</v>
      </c>
      <c r="I1327" s="2"/>
      <c r="J1327" s="2">
        <v>47527</v>
      </c>
      <c r="K1327" s="2"/>
      <c r="L1327" s="2">
        <v>49045</v>
      </c>
      <c r="M1327" s="2"/>
      <c r="N1327" s="2">
        <v>47658</v>
      </c>
      <c r="P1327" s="2">
        <v>49124</v>
      </c>
      <c r="Q1327" s="2"/>
      <c r="R1327" s="2">
        <v>47570</v>
      </c>
      <c r="AB1327" s="2"/>
    </row>
    <row r="1328" spans="8:28" ht="15" customHeight="1">
      <c r="H1328" s="2">
        <v>49167</v>
      </c>
      <c r="I1328" s="2"/>
      <c r="J1328" s="2">
        <v>47528</v>
      </c>
      <c r="K1328" s="2"/>
      <c r="L1328" s="2">
        <v>49044</v>
      </c>
      <c r="M1328" s="2"/>
      <c r="N1328" s="2">
        <v>47659</v>
      </c>
      <c r="P1328" s="2">
        <v>49123</v>
      </c>
      <c r="Q1328" s="2"/>
      <c r="R1328" s="2">
        <v>47571</v>
      </c>
      <c r="AB1328" s="2"/>
    </row>
    <row r="1329" spans="8:28" ht="15" customHeight="1">
      <c r="H1329" s="2">
        <v>49166</v>
      </c>
      <c r="I1329" s="2"/>
      <c r="J1329" s="2">
        <v>47529</v>
      </c>
      <c r="K1329" s="2"/>
      <c r="L1329" s="2">
        <v>49040</v>
      </c>
      <c r="M1329" s="2"/>
      <c r="N1329" s="2">
        <v>47660</v>
      </c>
      <c r="P1329" s="2">
        <v>49122</v>
      </c>
      <c r="Q1329" s="2"/>
      <c r="R1329" s="2">
        <v>47574</v>
      </c>
      <c r="AB1329" s="2"/>
    </row>
    <row r="1330" spans="8:28" ht="15" customHeight="1">
      <c r="H1330" s="2">
        <v>49165</v>
      </c>
      <c r="I1330" s="2"/>
      <c r="J1330" s="2">
        <v>47533</v>
      </c>
      <c r="K1330" s="2"/>
      <c r="L1330" s="2">
        <v>49039</v>
      </c>
      <c r="M1330" s="2"/>
      <c r="N1330" s="2">
        <v>47661</v>
      </c>
      <c r="P1330" s="2">
        <v>49121</v>
      </c>
      <c r="Q1330" s="2"/>
      <c r="R1330" s="2">
        <v>47575</v>
      </c>
      <c r="AB1330" s="2"/>
    </row>
    <row r="1331" spans="8:28" ht="15" customHeight="1">
      <c r="H1331" s="2">
        <v>49164</v>
      </c>
      <c r="I1331" s="2"/>
      <c r="J1331" s="2">
        <v>47534</v>
      </c>
      <c r="K1331" s="2"/>
      <c r="L1331" s="2">
        <v>49038</v>
      </c>
      <c r="M1331" s="2"/>
      <c r="N1331" s="2">
        <v>47662</v>
      </c>
      <c r="P1331" s="2">
        <v>49118</v>
      </c>
      <c r="Q1331" s="2"/>
      <c r="R1331" s="2">
        <v>47576</v>
      </c>
      <c r="AB1331" s="2"/>
    </row>
    <row r="1332" spans="8:28" ht="15" customHeight="1">
      <c r="H1332" s="2">
        <v>49163</v>
      </c>
      <c r="I1332" s="2"/>
      <c r="J1332" s="2">
        <v>47535</v>
      </c>
      <c r="K1332" s="2"/>
      <c r="L1332" s="2">
        <v>49037</v>
      </c>
      <c r="M1332" s="2"/>
      <c r="N1332" s="2">
        <v>47665</v>
      </c>
      <c r="P1332" s="2">
        <v>49117</v>
      </c>
      <c r="Q1332" s="2"/>
      <c r="R1332" s="2">
        <v>47577</v>
      </c>
      <c r="AB1332" s="2"/>
    </row>
    <row r="1333" spans="8:28" ht="15" customHeight="1">
      <c r="H1333" s="2">
        <v>49160</v>
      </c>
      <c r="I1333" s="2"/>
      <c r="J1333" s="2">
        <v>47536</v>
      </c>
      <c r="K1333" s="2"/>
      <c r="L1333" s="2">
        <v>49034</v>
      </c>
      <c r="M1333" s="2"/>
      <c r="N1333" s="2">
        <v>47666</v>
      </c>
      <c r="P1333" s="2">
        <v>49116</v>
      </c>
      <c r="Q1333" s="2"/>
      <c r="R1333" s="2">
        <v>47578</v>
      </c>
      <c r="AB1333" s="2"/>
    </row>
    <row r="1334" spans="8:28" ht="15" customHeight="1">
      <c r="H1334" s="2">
        <v>49159</v>
      </c>
      <c r="I1334" s="2"/>
      <c r="J1334" s="2">
        <v>47539</v>
      </c>
      <c r="K1334" s="2"/>
      <c r="L1334" s="2">
        <v>49033</v>
      </c>
      <c r="M1334" s="2"/>
      <c r="N1334" s="2">
        <v>47667</v>
      </c>
      <c r="P1334" s="2">
        <v>49115</v>
      </c>
      <c r="Q1334" s="2"/>
      <c r="R1334" s="2">
        <v>47581</v>
      </c>
      <c r="AB1334" s="2"/>
    </row>
    <row r="1335" spans="8:28" ht="15" customHeight="1">
      <c r="H1335" s="2">
        <v>49158</v>
      </c>
      <c r="I1335" s="2"/>
      <c r="J1335" s="2">
        <v>47540</v>
      </c>
      <c r="K1335" s="2"/>
      <c r="L1335" s="2">
        <v>49032</v>
      </c>
      <c r="M1335" s="2"/>
      <c r="N1335" s="2">
        <v>47669</v>
      </c>
      <c r="P1335" s="2">
        <v>49114</v>
      </c>
      <c r="Q1335" s="2"/>
      <c r="R1335" s="2">
        <v>47582</v>
      </c>
      <c r="AB1335" s="2"/>
    </row>
    <row r="1336" spans="8:28" ht="15" customHeight="1">
      <c r="H1336" s="2">
        <v>49157</v>
      </c>
      <c r="I1336" s="2"/>
      <c r="J1336" s="2">
        <v>47541</v>
      </c>
      <c r="K1336" s="2"/>
      <c r="L1336" s="2">
        <v>49031</v>
      </c>
      <c r="M1336" s="2"/>
      <c r="N1336" s="2">
        <v>47672</v>
      </c>
      <c r="P1336" s="2">
        <v>49111</v>
      </c>
      <c r="Q1336" s="2"/>
      <c r="R1336" s="2">
        <v>47583</v>
      </c>
      <c r="AB1336" s="2"/>
    </row>
    <row r="1337" spans="8:28" ht="15" customHeight="1">
      <c r="H1337" s="2">
        <v>49156</v>
      </c>
      <c r="I1337" s="2"/>
      <c r="J1337" s="2">
        <v>47542</v>
      </c>
      <c r="K1337" s="2"/>
      <c r="L1337" s="2">
        <v>49030</v>
      </c>
      <c r="M1337" s="2"/>
      <c r="N1337" s="2">
        <v>47673</v>
      </c>
      <c r="P1337" s="2">
        <v>49110</v>
      </c>
      <c r="Q1337" s="2"/>
      <c r="R1337" s="2">
        <v>47584</v>
      </c>
      <c r="AB1337" s="2"/>
    </row>
    <row r="1338" spans="8:28" ht="15" customHeight="1">
      <c r="H1338" s="2">
        <v>49153</v>
      </c>
      <c r="I1338" s="2"/>
      <c r="J1338" s="2">
        <v>47543</v>
      </c>
      <c r="K1338" s="2"/>
      <c r="L1338" s="2">
        <v>49027</v>
      </c>
      <c r="M1338" s="2"/>
      <c r="N1338" s="2">
        <v>47674</v>
      </c>
      <c r="P1338" s="2">
        <v>49109</v>
      </c>
      <c r="Q1338" s="2"/>
      <c r="R1338" s="2">
        <v>47585</v>
      </c>
      <c r="AB1338" s="2"/>
    </row>
    <row r="1339" spans="8:28" ht="15" customHeight="1">
      <c r="H1339" s="2">
        <v>49152</v>
      </c>
      <c r="I1339" s="2"/>
      <c r="J1339" s="2">
        <v>47546</v>
      </c>
      <c r="K1339" s="2"/>
      <c r="L1339" s="2">
        <v>49026</v>
      </c>
      <c r="M1339" s="2"/>
      <c r="N1339" s="2">
        <v>47675</v>
      </c>
      <c r="P1339" s="2">
        <v>49108</v>
      </c>
      <c r="Q1339" s="2"/>
      <c r="R1339" s="2">
        <v>47588</v>
      </c>
      <c r="AB1339" s="2"/>
    </row>
    <row r="1340" spans="8:28" ht="15" customHeight="1">
      <c r="H1340" s="2">
        <v>49151</v>
      </c>
      <c r="I1340" s="2"/>
      <c r="J1340" s="2">
        <v>47547</v>
      </c>
      <c r="K1340" s="2"/>
      <c r="L1340" s="2">
        <v>49025</v>
      </c>
      <c r="M1340" s="2"/>
      <c r="N1340" s="2">
        <v>47676</v>
      </c>
      <c r="P1340" s="2">
        <v>49107</v>
      </c>
      <c r="Q1340" s="2"/>
      <c r="R1340" s="2">
        <v>47589</v>
      </c>
      <c r="AB1340" s="2"/>
    </row>
    <row r="1341" spans="8:28" ht="15" customHeight="1">
      <c r="H1341" s="2">
        <v>49150</v>
      </c>
      <c r="I1341" s="2"/>
      <c r="J1341" s="2">
        <v>47548</v>
      </c>
      <c r="K1341" s="2"/>
      <c r="L1341" s="2">
        <v>49024</v>
      </c>
      <c r="M1341" s="2"/>
      <c r="N1341" s="2">
        <v>47680</v>
      </c>
      <c r="P1341" s="2">
        <v>49104</v>
      </c>
      <c r="Q1341" s="2"/>
      <c r="R1341" s="2">
        <v>47590</v>
      </c>
      <c r="AB1341" s="2"/>
    </row>
    <row r="1342" spans="8:28" ht="15" customHeight="1">
      <c r="H1342" s="2">
        <v>49149</v>
      </c>
      <c r="I1342" s="2"/>
      <c r="J1342" s="2">
        <v>47549</v>
      </c>
      <c r="K1342" s="2"/>
      <c r="L1342" s="2">
        <v>49020</v>
      </c>
      <c r="M1342" s="2"/>
      <c r="N1342" s="2">
        <v>47681</v>
      </c>
      <c r="P1342" s="2">
        <v>49103</v>
      </c>
      <c r="Q1342" s="2"/>
      <c r="R1342" s="2">
        <v>47591</v>
      </c>
      <c r="AB1342" s="2"/>
    </row>
    <row r="1343" spans="8:28" ht="15" customHeight="1">
      <c r="H1343" s="2">
        <v>49146</v>
      </c>
      <c r="I1343" s="2"/>
      <c r="J1343" s="2">
        <v>47550</v>
      </c>
      <c r="K1343" s="2"/>
      <c r="L1343" s="2">
        <v>49019</v>
      </c>
      <c r="M1343" s="2"/>
      <c r="N1343" s="2">
        <v>47682</v>
      </c>
      <c r="P1343" s="2">
        <v>49102</v>
      </c>
      <c r="Q1343" s="2"/>
      <c r="R1343" s="2">
        <v>47592</v>
      </c>
      <c r="AB1343" s="2"/>
    </row>
    <row r="1344" spans="8:28" ht="15" customHeight="1">
      <c r="H1344" s="2">
        <v>49145</v>
      </c>
      <c r="I1344" s="2"/>
      <c r="J1344" s="2">
        <v>47553</v>
      </c>
      <c r="K1344" s="2"/>
      <c r="L1344" s="2">
        <v>49018</v>
      </c>
      <c r="M1344" s="2"/>
      <c r="N1344" s="2">
        <v>47683</v>
      </c>
      <c r="P1344" s="2">
        <v>49100</v>
      </c>
      <c r="Q1344" s="2"/>
      <c r="R1344" s="2">
        <v>47595</v>
      </c>
      <c r="AB1344" s="2"/>
    </row>
    <row r="1345" spans="8:28" ht="15" customHeight="1">
      <c r="H1345" s="2">
        <v>49144</v>
      </c>
      <c r="I1345" s="2"/>
      <c r="J1345" s="2">
        <v>47554</v>
      </c>
      <c r="K1345" s="2"/>
      <c r="L1345" s="2">
        <v>49017</v>
      </c>
      <c r="M1345" s="2"/>
      <c r="N1345" s="2">
        <v>47686</v>
      </c>
      <c r="P1345" s="2">
        <v>49097</v>
      </c>
      <c r="Q1345" s="2"/>
      <c r="R1345" s="2">
        <v>47596</v>
      </c>
      <c r="AB1345" s="2"/>
    </row>
    <row r="1346" spans="8:28" ht="15" customHeight="1">
      <c r="H1346" s="2">
        <v>49143</v>
      </c>
      <c r="I1346" s="2"/>
      <c r="J1346" s="2">
        <v>47555</v>
      </c>
      <c r="K1346" s="2"/>
      <c r="L1346" s="2">
        <v>49016</v>
      </c>
      <c r="M1346" s="2"/>
      <c r="N1346" s="2">
        <v>47687</v>
      </c>
      <c r="P1346" s="2">
        <v>49096</v>
      </c>
      <c r="Q1346" s="2"/>
      <c r="R1346" s="2">
        <v>47597</v>
      </c>
      <c r="AB1346" s="2"/>
    </row>
    <row r="1347" spans="8:28" ht="15" customHeight="1">
      <c r="H1347" s="2">
        <v>49142</v>
      </c>
      <c r="I1347" s="2"/>
      <c r="J1347" s="2">
        <v>47556</v>
      </c>
      <c r="K1347" s="2"/>
      <c r="L1347" s="2">
        <v>49013</v>
      </c>
      <c r="M1347" s="2"/>
      <c r="N1347" s="2">
        <v>47688</v>
      </c>
      <c r="P1347" s="2">
        <v>49095</v>
      </c>
      <c r="Q1347" s="2"/>
      <c r="R1347" s="2">
        <v>47598</v>
      </c>
      <c r="AB1347" s="2"/>
    </row>
    <row r="1348" spans="8:28" ht="15" customHeight="1">
      <c r="H1348" s="2">
        <v>49139</v>
      </c>
      <c r="I1348" s="2"/>
      <c r="J1348" s="2">
        <v>47557</v>
      </c>
      <c r="K1348" s="2"/>
      <c r="L1348" s="2">
        <v>49012</v>
      </c>
      <c r="M1348" s="2"/>
      <c r="N1348" s="2">
        <v>47689</v>
      </c>
      <c r="P1348" s="2">
        <v>49094</v>
      </c>
      <c r="Q1348" s="2"/>
      <c r="R1348" s="2">
        <v>47599</v>
      </c>
      <c r="AB1348" s="2"/>
    </row>
    <row r="1349" spans="8:28" ht="15" customHeight="1">
      <c r="H1349" s="2">
        <v>49138</v>
      </c>
      <c r="I1349" s="2"/>
      <c r="J1349" s="2">
        <v>47560</v>
      </c>
      <c r="K1349" s="2"/>
      <c r="L1349" s="2">
        <v>49011</v>
      </c>
      <c r="M1349" s="2"/>
      <c r="N1349" s="2">
        <v>47690</v>
      </c>
      <c r="P1349" s="2">
        <v>49093</v>
      </c>
      <c r="Q1349" s="2"/>
      <c r="R1349" s="2">
        <v>47602</v>
      </c>
      <c r="AB1349" s="2"/>
    </row>
    <row r="1350" spans="8:28" ht="15" customHeight="1">
      <c r="H1350" s="2">
        <v>49137</v>
      </c>
      <c r="I1350" s="2"/>
      <c r="J1350" s="2">
        <v>47561</v>
      </c>
      <c r="K1350" s="2"/>
      <c r="L1350" s="2">
        <v>49010</v>
      </c>
      <c r="M1350" s="2"/>
      <c r="N1350" s="2">
        <v>47693</v>
      </c>
      <c r="P1350" s="2">
        <v>49090</v>
      </c>
      <c r="Q1350" s="2"/>
      <c r="R1350" s="2">
        <v>47603</v>
      </c>
      <c r="AB1350" s="2"/>
    </row>
    <row r="1351" spans="8:28" ht="15" customHeight="1">
      <c r="H1351" s="2">
        <v>49136</v>
      </c>
      <c r="I1351" s="2"/>
      <c r="J1351" s="2">
        <v>47562</v>
      </c>
      <c r="K1351" s="2"/>
      <c r="L1351" s="2">
        <v>49009</v>
      </c>
      <c r="M1351" s="2"/>
      <c r="N1351" s="2">
        <v>47694</v>
      </c>
      <c r="P1351" s="2">
        <v>49088</v>
      </c>
      <c r="Q1351" s="2"/>
      <c r="R1351" s="2">
        <v>47605</v>
      </c>
      <c r="AB1351" s="2"/>
    </row>
    <row r="1352" spans="8:28" ht="15" customHeight="1">
      <c r="H1352" s="2">
        <v>49135</v>
      </c>
      <c r="I1352" s="2"/>
      <c r="J1352" s="2">
        <v>47563</v>
      </c>
      <c r="K1352" s="2"/>
      <c r="L1352" s="2">
        <v>49006</v>
      </c>
      <c r="M1352" s="2"/>
      <c r="N1352" s="2">
        <v>47695</v>
      </c>
      <c r="P1352" s="2">
        <v>49087</v>
      </c>
      <c r="Q1352" s="2"/>
      <c r="R1352" s="2">
        <v>47606</v>
      </c>
      <c r="AB1352" s="2"/>
    </row>
    <row r="1353" spans="8:28" ht="15" customHeight="1">
      <c r="H1353" s="2">
        <v>49132</v>
      </c>
      <c r="I1353" s="2"/>
      <c r="J1353" s="2">
        <v>47564</v>
      </c>
      <c r="K1353" s="2"/>
      <c r="L1353" s="2">
        <v>49005</v>
      </c>
      <c r="M1353" s="2"/>
      <c r="N1353" s="2">
        <v>47696</v>
      </c>
      <c r="P1353" s="2">
        <v>49086</v>
      </c>
      <c r="Q1353" s="2"/>
      <c r="R1353" s="2">
        <v>47610</v>
      </c>
      <c r="AB1353" s="2"/>
    </row>
    <row r="1354" spans="8:28" ht="15" customHeight="1">
      <c r="H1354" s="2">
        <v>49131</v>
      </c>
      <c r="I1354" s="2"/>
      <c r="J1354" s="2">
        <v>47567</v>
      </c>
      <c r="K1354" s="2"/>
      <c r="L1354" s="2">
        <v>49004</v>
      </c>
      <c r="M1354" s="2"/>
      <c r="N1354" s="2">
        <v>47697</v>
      </c>
      <c r="P1354" s="2">
        <v>49083</v>
      </c>
      <c r="Q1354" s="2"/>
      <c r="R1354" s="2">
        <v>47611</v>
      </c>
      <c r="AB1354" s="2"/>
    </row>
    <row r="1355" spans="8:28" ht="15" customHeight="1">
      <c r="H1355" s="2">
        <v>49130</v>
      </c>
      <c r="I1355" s="2"/>
      <c r="J1355" s="2">
        <v>47568</v>
      </c>
      <c r="K1355" s="2"/>
      <c r="L1355" s="2">
        <v>49003</v>
      </c>
      <c r="M1355" s="2"/>
      <c r="N1355" s="2">
        <v>47700</v>
      </c>
      <c r="P1355" s="2">
        <v>49082</v>
      </c>
      <c r="Q1355" s="2"/>
      <c r="R1355" s="2">
        <v>47613</v>
      </c>
      <c r="AB1355" s="2"/>
    </row>
    <row r="1356" spans="8:28" ht="15" customHeight="1">
      <c r="H1356" s="2">
        <v>49128</v>
      </c>
      <c r="I1356" s="2"/>
      <c r="J1356" s="2">
        <v>47569</v>
      </c>
      <c r="K1356" s="2"/>
      <c r="L1356" s="2">
        <v>49002</v>
      </c>
      <c r="M1356" s="2"/>
      <c r="N1356" s="2">
        <v>47701</v>
      </c>
      <c r="P1356" s="2">
        <v>49081</v>
      </c>
      <c r="Q1356" s="2"/>
      <c r="R1356" s="2">
        <v>47616</v>
      </c>
      <c r="AB1356" s="2"/>
    </row>
    <row r="1357" spans="8:28" ht="15" customHeight="1">
      <c r="H1357" s="2">
        <v>49125</v>
      </c>
      <c r="I1357" s="2"/>
      <c r="J1357" s="2">
        <v>47570</v>
      </c>
      <c r="K1357" s="2"/>
      <c r="L1357" s="2">
        <v>48999</v>
      </c>
      <c r="M1357" s="2"/>
      <c r="N1357" s="2">
        <v>47702</v>
      </c>
      <c r="P1357" s="2">
        <v>49080</v>
      </c>
      <c r="Q1357" s="2"/>
      <c r="R1357" s="2">
        <v>47617</v>
      </c>
      <c r="AB1357" s="2"/>
    </row>
    <row r="1358" spans="8:28" ht="15" customHeight="1">
      <c r="H1358" s="2">
        <v>49124</v>
      </c>
      <c r="I1358" s="2"/>
      <c r="J1358" s="2">
        <v>47571</v>
      </c>
      <c r="K1358" s="2"/>
      <c r="L1358" s="2">
        <v>48997</v>
      </c>
      <c r="M1358" s="2"/>
      <c r="N1358" s="2">
        <v>47703</v>
      </c>
      <c r="P1358" s="2">
        <v>49079</v>
      </c>
      <c r="Q1358" s="2"/>
      <c r="R1358" s="2">
        <v>47618</v>
      </c>
      <c r="AB1358" s="2"/>
    </row>
    <row r="1359" spans="8:28" ht="15" customHeight="1">
      <c r="H1359" s="2">
        <v>49123</v>
      </c>
      <c r="I1359" s="2"/>
      <c r="J1359" s="2">
        <v>47574</v>
      </c>
      <c r="K1359" s="2"/>
      <c r="L1359" s="2">
        <v>48996</v>
      </c>
      <c r="M1359" s="2"/>
      <c r="N1359" s="2">
        <v>47704</v>
      </c>
      <c r="P1359" s="2">
        <v>49076</v>
      </c>
      <c r="Q1359" s="2"/>
      <c r="R1359" s="2">
        <v>47619</v>
      </c>
      <c r="AB1359" s="2"/>
    </row>
    <row r="1360" spans="8:28" ht="15" customHeight="1">
      <c r="H1360" s="2">
        <v>49122</v>
      </c>
      <c r="I1360" s="2"/>
      <c r="J1360" s="2">
        <v>47575</v>
      </c>
      <c r="K1360" s="2"/>
      <c r="L1360" s="2">
        <v>48992</v>
      </c>
      <c r="M1360" s="2"/>
      <c r="N1360" s="2">
        <v>47708</v>
      </c>
      <c r="P1360" s="2">
        <v>49075</v>
      </c>
      <c r="Q1360" s="2"/>
      <c r="R1360" s="2">
        <v>47620</v>
      </c>
      <c r="AB1360" s="2"/>
    </row>
    <row r="1361" spans="8:28" ht="15" customHeight="1">
      <c r="H1361" s="2">
        <v>49121</v>
      </c>
      <c r="I1361" s="2"/>
      <c r="J1361" s="2">
        <v>47576</v>
      </c>
      <c r="K1361" s="2"/>
      <c r="L1361" s="2">
        <v>48991</v>
      </c>
      <c r="M1361" s="2"/>
      <c r="N1361" s="2">
        <v>47709</v>
      </c>
      <c r="P1361" s="2">
        <v>49074</v>
      </c>
      <c r="Q1361" s="2"/>
      <c r="R1361" s="2">
        <v>47623</v>
      </c>
      <c r="AB1361" s="2"/>
    </row>
    <row r="1362" spans="8:28" ht="15" customHeight="1">
      <c r="H1362" s="2">
        <v>49118</v>
      </c>
      <c r="I1362" s="2"/>
      <c r="J1362" s="2">
        <v>47577</v>
      </c>
      <c r="K1362" s="2"/>
      <c r="L1362" s="2">
        <v>48990</v>
      </c>
      <c r="M1362" s="2"/>
      <c r="N1362" s="2">
        <v>47710</v>
      </c>
      <c r="P1362" s="2">
        <v>49073</v>
      </c>
      <c r="Q1362" s="2"/>
      <c r="R1362" s="2">
        <v>47624</v>
      </c>
      <c r="AB1362" s="2"/>
    </row>
    <row r="1363" spans="8:28" ht="15" customHeight="1">
      <c r="H1363" s="2">
        <v>49117</v>
      </c>
      <c r="I1363" s="2"/>
      <c r="J1363" s="2">
        <v>47578</v>
      </c>
      <c r="K1363" s="2"/>
      <c r="L1363" s="2">
        <v>48989</v>
      </c>
      <c r="M1363" s="2"/>
      <c r="N1363" s="2">
        <v>47711</v>
      </c>
      <c r="P1363" s="2">
        <v>49072</v>
      </c>
      <c r="Q1363" s="2"/>
      <c r="R1363" s="2">
        <v>47625</v>
      </c>
      <c r="AB1363" s="2"/>
    </row>
    <row r="1364" spans="8:28" ht="15" customHeight="1">
      <c r="H1364" s="2">
        <v>49116</v>
      </c>
      <c r="I1364" s="2"/>
      <c r="J1364" s="2">
        <v>47581</v>
      </c>
      <c r="K1364" s="2"/>
      <c r="L1364" s="2">
        <v>48988</v>
      </c>
      <c r="M1364" s="2"/>
      <c r="N1364" s="2">
        <v>47714</v>
      </c>
      <c r="P1364" s="2">
        <v>49068</v>
      </c>
      <c r="Q1364" s="2"/>
      <c r="R1364" s="2">
        <v>47626</v>
      </c>
      <c r="AB1364" s="2"/>
    </row>
    <row r="1365" spans="8:28" ht="15" customHeight="1">
      <c r="H1365" s="2">
        <v>49115</v>
      </c>
      <c r="I1365" s="2"/>
      <c r="J1365" s="2">
        <v>47582</v>
      </c>
      <c r="K1365" s="2"/>
      <c r="L1365" s="2">
        <v>48985</v>
      </c>
      <c r="M1365" s="2"/>
      <c r="N1365" s="2">
        <v>47715</v>
      </c>
      <c r="P1365" s="2">
        <v>49067</v>
      </c>
      <c r="Q1365" s="2"/>
      <c r="R1365" s="2">
        <v>47627</v>
      </c>
      <c r="AB1365" s="2"/>
    </row>
    <row r="1366" spans="8:28" ht="15" customHeight="1">
      <c r="H1366" s="2">
        <v>49111</v>
      </c>
      <c r="I1366" s="2"/>
      <c r="J1366" s="2">
        <v>47583</v>
      </c>
      <c r="K1366" s="2"/>
      <c r="L1366" s="2">
        <v>48984</v>
      </c>
      <c r="M1366" s="2"/>
      <c r="N1366" s="2">
        <v>47716</v>
      </c>
      <c r="P1366" s="2">
        <v>49066</v>
      </c>
      <c r="Q1366" s="2"/>
      <c r="R1366" s="2">
        <v>47630</v>
      </c>
      <c r="AB1366" s="2"/>
    </row>
    <row r="1367" spans="8:28" ht="15" customHeight="1">
      <c r="H1367" s="2">
        <v>49110</v>
      </c>
      <c r="I1367" s="2"/>
      <c r="J1367" s="2">
        <v>47584</v>
      </c>
      <c r="K1367" s="2"/>
      <c r="L1367" s="2">
        <v>48983</v>
      </c>
      <c r="M1367" s="2"/>
      <c r="N1367" s="2">
        <v>47717</v>
      </c>
      <c r="P1367" s="2">
        <v>49062</v>
      </c>
      <c r="Q1367" s="2"/>
      <c r="R1367" s="2">
        <v>47631</v>
      </c>
      <c r="AB1367" s="2"/>
    </row>
    <row r="1368" spans="8:28" ht="15" customHeight="1">
      <c r="H1368" s="2">
        <v>49109</v>
      </c>
      <c r="I1368" s="2"/>
      <c r="J1368" s="2">
        <v>47585</v>
      </c>
      <c r="K1368" s="2"/>
      <c r="L1368" s="2">
        <v>48982</v>
      </c>
      <c r="M1368" s="2"/>
      <c r="N1368" s="2">
        <v>47718</v>
      </c>
      <c r="P1368" s="2">
        <v>49061</v>
      </c>
      <c r="Q1368" s="2"/>
      <c r="R1368" s="2">
        <v>47632</v>
      </c>
      <c r="AB1368" s="2"/>
    </row>
    <row r="1369" spans="8:28" ht="15" customHeight="1">
      <c r="H1369" s="2">
        <v>49108</v>
      </c>
      <c r="I1369" s="2"/>
      <c r="J1369" s="2">
        <v>47588</v>
      </c>
      <c r="K1369" s="2"/>
      <c r="L1369" s="2">
        <v>48981</v>
      </c>
      <c r="M1369" s="2"/>
      <c r="N1369" s="2">
        <v>47721</v>
      </c>
      <c r="P1369" s="2">
        <v>49060</v>
      </c>
      <c r="Q1369" s="2"/>
      <c r="R1369" s="2">
        <v>47633</v>
      </c>
      <c r="AB1369" s="2"/>
    </row>
    <row r="1370" spans="8:28" ht="15" customHeight="1">
      <c r="H1370" s="2">
        <v>49107</v>
      </c>
      <c r="I1370" s="2"/>
      <c r="J1370" s="2">
        <v>47589</v>
      </c>
      <c r="K1370" s="2"/>
      <c r="L1370" s="2">
        <v>48978</v>
      </c>
      <c r="M1370" s="2"/>
      <c r="N1370" s="2">
        <v>47722</v>
      </c>
      <c r="P1370" s="2">
        <v>49059</v>
      </c>
      <c r="Q1370" s="2"/>
      <c r="R1370" s="2">
        <v>47634</v>
      </c>
      <c r="AB1370" s="2"/>
    </row>
    <row r="1371" spans="8:28" ht="15" customHeight="1">
      <c r="H1371" s="2">
        <v>49104</v>
      </c>
      <c r="I1371" s="2"/>
      <c r="J1371" s="2">
        <v>47590</v>
      </c>
      <c r="K1371" s="2"/>
      <c r="L1371" s="2">
        <v>48977</v>
      </c>
      <c r="M1371" s="2"/>
      <c r="N1371" s="2">
        <v>47723</v>
      </c>
      <c r="P1371" s="2">
        <v>49058</v>
      </c>
      <c r="Q1371" s="2"/>
      <c r="R1371" s="2">
        <v>47637</v>
      </c>
      <c r="AB1371" s="2"/>
    </row>
    <row r="1372" spans="8:28" ht="15" customHeight="1">
      <c r="H1372" s="2">
        <v>49103</v>
      </c>
      <c r="I1372" s="2"/>
      <c r="J1372" s="2">
        <v>47591</v>
      </c>
      <c r="K1372" s="2"/>
      <c r="L1372" s="2">
        <v>48976</v>
      </c>
      <c r="M1372" s="2"/>
      <c r="N1372" s="2">
        <v>47724</v>
      </c>
      <c r="P1372" s="2">
        <v>49055</v>
      </c>
      <c r="Q1372" s="2"/>
      <c r="R1372" s="2">
        <v>47638</v>
      </c>
      <c r="AB1372" s="2"/>
    </row>
    <row r="1373" spans="8:28" ht="15" customHeight="1">
      <c r="H1373" s="2">
        <v>49102</v>
      </c>
      <c r="I1373" s="2"/>
      <c r="J1373" s="2">
        <v>47595</v>
      </c>
      <c r="K1373" s="2"/>
      <c r="L1373" s="2">
        <v>48975</v>
      </c>
      <c r="M1373" s="2"/>
      <c r="N1373" s="2">
        <v>47725</v>
      </c>
      <c r="P1373" s="2">
        <v>49054</v>
      </c>
      <c r="Q1373" s="2"/>
      <c r="R1373" s="2">
        <v>47639</v>
      </c>
      <c r="AB1373" s="2"/>
    </row>
    <row r="1374" spans="8:28" ht="15" customHeight="1">
      <c r="H1374" s="2">
        <v>49101</v>
      </c>
      <c r="I1374" s="2"/>
      <c r="J1374" s="2">
        <v>47596</v>
      </c>
      <c r="K1374" s="2"/>
      <c r="L1374" s="2">
        <v>48974</v>
      </c>
      <c r="M1374" s="2"/>
      <c r="N1374" s="2">
        <v>47729</v>
      </c>
      <c r="P1374" s="2">
        <v>49053</v>
      </c>
      <c r="Q1374" s="2"/>
      <c r="R1374" s="2">
        <v>47641</v>
      </c>
      <c r="AB1374" s="2"/>
    </row>
    <row r="1375" spans="8:28" ht="15" customHeight="1">
      <c r="H1375" s="2">
        <v>49100</v>
      </c>
      <c r="I1375" s="2"/>
      <c r="J1375" s="2">
        <v>47597</v>
      </c>
      <c r="K1375" s="2"/>
      <c r="L1375" s="2">
        <v>48971</v>
      </c>
      <c r="M1375" s="2"/>
      <c r="N1375" s="2">
        <v>47730</v>
      </c>
      <c r="P1375" s="2">
        <v>49052</v>
      </c>
      <c r="Q1375" s="2"/>
      <c r="R1375" s="2">
        <v>47644</v>
      </c>
      <c r="AB1375" s="2"/>
    </row>
    <row r="1376" spans="8:28" ht="15" customHeight="1">
      <c r="H1376" s="2">
        <v>49097</v>
      </c>
      <c r="I1376" s="2"/>
      <c r="J1376" s="2">
        <v>47598</v>
      </c>
      <c r="K1376" s="2"/>
      <c r="L1376" s="2">
        <v>48970</v>
      </c>
      <c r="M1376" s="2"/>
      <c r="N1376" s="2">
        <v>47731</v>
      </c>
      <c r="P1376" s="2">
        <v>49051</v>
      </c>
      <c r="Q1376" s="2"/>
      <c r="R1376" s="2">
        <v>47645</v>
      </c>
      <c r="AB1376" s="2"/>
    </row>
    <row r="1377" spans="8:28" ht="15" customHeight="1">
      <c r="H1377" s="2">
        <v>49096</v>
      </c>
      <c r="I1377" s="2"/>
      <c r="J1377" s="2">
        <v>47599</v>
      </c>
      <c r="K1377" s="2"/>
      <c r="L1377" s="2">
        <v>48969</v>
      </c>
      <c r="M1377" s="2"/>
      <c r="N1377" s="2">
        <v>47732</v>
      </c>
      <c r="P1377" s="2">
        <v>49048</v>
      </c>
      <c r="Q1377" s="2"/>
      <c r="R1377" s="2">
        <v>47646</v>
      </c>
      <c r="AB1377" s="2"/>
    </row>
    <row r="1378" spans="8:28" ht="15" customHeight="1">
      <c r="H1378" s="2">
        <v>49095</v>
      </c>
      <c r="I1378" s="2"/>
      <c r="J1378" s="2">
        <v>47602</v>
      </c>
      <c r="K1378" s="2"/>
      <c r="L1378" s="2">
        <v>48968</v>
      </c>
      <c r="M1378" s="2"/>
      <c r="N1378" s="2">
        <v>47735</v>
      </c>
      <c r="P1378" s="2">
        <v>49047</v>
      </c>
      <c r="Q1378" s="2"/>
      <c r="R1378" s="2">
        <v>47647</v>
      </c>
      <c r="AB1378" s="2"/>
    </row>
    <row r="1379" spans="8:28" ht="15" customHeight="1">
      <c r="H1379" s="2">
        <v>49094</v>
      </c>
      <c r="I1379" s="2"/>
      <c r="J1379" s="2">
        <v>47603</v>
      </c>
      <c r="K1379" s="2"/>
      <c r="L1379" s="2">
        <v>48967</v>
      </c>
      <c r="M1379" s="2"/>
      <c r="N1379" s="2">
        <v>47736</v>
      </c>
      <c r="P1379" s="2">
        <v>49046</v>
      </c>
      <c r="Q1379" s="2"/>
      <c r="R1379" s="2">
        <v>47648</v>
      </c>
      <c r="AB1379" s="2"/>
    </row>
    <row r="1380" spans="8:28" ht="15" customHeight="1">
      <c r="H1380" s="2">
        <v>49090</v>
      </c>
      <c r="I1380" s="2"/>
      <c r="J1380" s="2">
        <v>47604</v>
      </c>
      <c r="K1380" s="2"/>
      <c r="L1380" s="2">
        <v>48964</v>
      </c>
      <c r="M1380" s="2"/>
      <c r="N1380" s="2">
        <v>47737</v>
      </c>
      <c r="P1380" s="2">
        <v>49045</v>
      </c>
      <c r="Q1380" s="2"/>
      <c r="R1380" s="2">
        <v>47651</v>
      </c>
      <c r="AB1380" s="2"/>
    </row>
    <row r="1381" spans="8:28" ht="15" customHeight="1">
      <c r="H1381" s="2">
        <v>49089</v>
      </c>
      <c r="I1381" s="2"/>
      <c r="J1381" s="2">
        <v>47605</v>
      </c>
      <c r="K1381" s="2"/>
      <c r="L1381" s="2">
        <v>48963</v>
      </c>
      <c r="M1381" s="2"/>
      <c r="N1381" s="2">
        <v>47738</v>
      </c>
      <c r="P1381" s="2">
        <v>49044</v>
      </c>
      <c r="Q1381" s="2"/>
      <c r="R1381" s="2">
        <v>47652</v>
      </c>
      <c r="AB1381" s="2"/>
    </row>
    <row r="1382" spans="8:28" ht="15" customHeight="1">
      <c r="H1382" s="2">
        <v>49088</v>
      </c>
      <c r="I1382" s="2"/>
      <c r="J1382" s="2">
        <v>47606</v>
      </c>
      <c r="K1382" s="2"/>
      <c r="L1382" s="2">
        <v>48962</v>
      </c>
      <c r="M1382" s="2"/>
      <c r="N1382" s="2">
        <v>47739</v>
      </c>
      <c r="P1382" s="2">
        <v>49041</v>
      </c>
      <c r="Q1382" s="2"/>
      <c r="R1382" s="2">
        <v>47653</v>
      </c>
      <c r="AB1382" s="2"/>
    </row>
    <row r="1383" spans="8:28" ht="15" customHeight="1">
      <c r="H1383" s="2">
        <v>49087</v>
      </c>
      <c r="I1383" s="2"/>
      <c r="J1383" s="2">
        <v>47609</v>
      </c>
      <c r="K1383" s="2"/>
      <c r="L1383" s="2">
        <v>48961</v>
      </c>
      <c r="M1383" s="2"/>
      <c r="N1383" s="2">
        <v>47743</v>
      </c>
      <c r="P1383" s="2">
        <v>49040</v>
      </c>
      <c r="Q1383" s="2"/>
      <c r="R1383" s="2">
        <v>47654</v>
      </c>
      <c r="AB1383" s="2"/>
    </row>
    <row r="1384" spans="8:28" ht="15" customHeight="1">
      <c r="H1384" s="2">
        <v>49086</v>
      </c>
      <c r="I1384" s="2"/>
      <c r="J1384" s="2">
        <v>47610</v>
      </c>
      <c r="K1384" s="2"/>
      <c r="L1384" s="2">
        <v>48957</v>
      </c>
      <c r="M1384" s="2"/>
      <c r="N1384" s="2">
        <v>47744</v>
      </c>
      <c r="P1384" s="2">
        <v>49039</v>
      </c>
      <c r="Q1384" s="2"/>
      <c r="R1384" s="2">
        <v>47655</v>
      </c>
      <c r="AB1384" s="2"/>
    </row>
    <row r="1385" spans="8:28" ht="15" customHeight="1">
      <c r="H1385" s="2">
        <v>49083</v>
      </c>
      <c r="I1385" s="2"/>
      <c r="J1385" s="2">
        <v>47611</v>
      </c>
      <c r="K1385" s="2"/>
      <c r="L1385" s="2">
        <v>48956</v>
      </c>
      <c r="M1385" s="2"/>
      <c r="N1385" s="2">
        <v>47745</v>
      </c>
      <c r="P1385" s="2">
        <v>49038</v>
      </c>
      <c r="Q1385" s="2"/>
      <c r="R1385" s="2">
        <v>47658</v>
      </c>
      <c r="AB1385" s="2"/>
    </row>
    <row r="1386" spans="8:28" ht="15" customHeight="1">
      <c r="H1386" s="2">
        <v>49082</v>
      </c>
      <c r="I1386" s="2"/>
      <c r="J1386" s="2">
        <v>47612</v>
      </c>
      <c r="K1386" s="2"/>
      <c r="L1386" s="2">
        <v>48955</v>
      </c>
      <c r="M1386" s="2"/>
      <c r="N1386" s="2">
        <v>47746</v>
      </c>
      <c r="P1386" s="2">
        <v>49037</v>
      </c>
      <c r="Q1386" s="2"/>
      <c r="R1386" s="2">
        <v>47659</v>
      </c>
      <c r="AB1386" s="2"/>
    </row>
    <row r="1387" spans="8:28" ht="15" customHeight="1">
      <c r="H1387" s="2">
        <v>49081</v>
      </c>
      <c r="I1387" s="2"/>
      <c r="J1387" s="2">
        <v>47613</v>
      </c>
      <c r="K1387" s="2"/>
      <c r="L1387" s="2">
        <v>48954</v>
      </c>
      <c r="M1387" s="2"/>
      <c r="N1387" s="2">
        <v>47750</v>
      </c>
      <c r="P1387" s="2">
        <v>49034</v>
      </c>
      <c r="Q1387" s="2"/>
      <c r="R1387" s="2">
        <v>47660</v>
      </c>
      <c r="AB1387" s="2"/>
    </row>
    <row r="1388" spans="8:28" ht="15" customHeight="1">
      <c r="H1388" s="2">
        <v>49080</v>
      </c>
      <c r="I1388" s="2"/>
      <c r="J1388" s="2">
        <v>47616</v>
      </c>
      <c r="K1388" s="2"/>
      <c r="L1388" s="2">
        <v>48950</v>
      </c>
      <c r="M1388" s="2"/>
      <c r="N1388" s="2">
        <v>47751</v>
      </c>
      <c r="P1388" s="2">
        <v>49033</v>
      </c>
      <c r="Q1388" s="2"/>
      <c r="R1388" s="2">
        <v>47661</v>
      </c>
      <c r="AB1388" s="2"/>
    </row>
    <row r="1389" spans="8:28" ht="15" customHeight="1">
      <c r="H1389" s="2">
        <v>49079</v>
      </c>
      <c r="I1389" s="2"/>
      <c r="J1389" s="2">
        <v>47617</v>
      </c>
      <c r="K1389" s="2"/>
      <c r="L1389" s="2">
        <v>48949</v>
      </c>
      <c r="M1389" s="2"/>
      <c r="N1389" s="2">
        <v>47752</v>
      </c>
      <c r="P1389" s="2">
        <v>49032</v>
      </c>
      <c r="Q1389" s="2"/>
      <c r="R1389" s="2">
        <v>47662</v>
      </c>
      <c r="AB1389" s="2"/>
    </row>
    <row r="1390" spans="8:28" ht="15" customHeight="1">
      <c r="H1390" s="2">
        <v>49076</v>
      </c>
      <c r="I1390" s="2"/>
      <c r="J1390" s="2">
        <v>47618</v>
      </c>
      <c r="K1390" s="2"/>
      <c r="L1390" s="2">
        <v>48948</v>
      </c>
      <c r="M1390" s="2"/>
      <c r="N1390" s="2">
        <v>47753</v>
      </c>
      <c r="P1390" s="2">
        <v>49031</v>
      </c>
      <c r="Q1390" s="2"/>
      <c r="R1390" s="2">
        <v>47665</v>
      </c>
      <c r="AB1390" s="2"/>
    </row>
    <row r="1391" spans="8:28" ht="15" customHeight="1">
      <c r="H1391" s="2">
        <v>49075</v>
      </c>
      <c r="I1391" s="2"/>
      <c r="J1391" s="2">
        <v>47619</v>
      </c>
      <c r="K1391" s="2"/>
      <c r="L1391" s="2">
        <v>48943</v>
      </c>
      <c r="M1391" s="2"/>
      <c r="N1391" s="2">
        <v>47756</v>
      </c>
      <c r="P1391" s="2">
        <v>49030</v>
      </c>
      <c r="Q1391" s="2"/>
      <c r="R1391" s="2">
        <v>47666</v>
      </c>
      <c r="AB1391" s="2"/>
    </row>
    <row r="1392" spans="8:28" ht="15" customHeight="1">
      <c r="H1392" s="2">
        <v>49074</v>
      </c>
      <c r="I1392" s="2"/>
      <c r="J1392" s="2">
        <v>47620</v>
      </c>
      <c r="K1392" s="2"/>
      <c r="L1392" s="2">
        <v>48942</v>
      </c>
      <c r="M1392" s="2"/>
      <c r="N1392" s="2">
        <v>47757</v>
      </c>
      <c r="P1392" s="2">
        <v>49027</v>
      </c>
      <c r="Q1392" s="2"/>
      <c r="R1392" s="2">
        <v>47667</v>
      </c>
      <c r="AB1392" s="2"/>
    </row>
    <row r="1393" spans="8:28" ht="15" customHeight="1">
      <c r="H1393" s="2">
        <v>49073</v>
      </c>
      <c r="I1393" s="2"/>
      <c r="J1393" s="2">
        <v>47623</v>
      </c>
      <c r="K1393" s="2"/>
      <c r="L1393" s="2">
        <v>48941</v>
      </c>
      <c r="M1393" s="2"/>
      <c r="N1393" s="2">
        <v>47758</v>
      </c>
      <c r="P1393" s="2">
        <v>49026</v>
      </c>
      <c r="Q1393" s="2"/>
      <c r="R1393" s="2">
        <v>47668</v>
      </c>
      <c r="AB1393" s="2"/>
    </row>
    <row r="1394" spans="8:28" ht="15" customHeight="1">
      <c r="H1394" s="2">
        <v>49072</v>
      </c>
      <c r="I1394" s="2"/>
      <c r="J1394" s="2">
        <v>47624</v>
      </c>
      <c r="K1394" s="2"/>
      <c r="L1394" s="2">
        <v>48940</v>
      </c>
      <c r="M1394" s="2"/>
      <c r="N1394" s="2">
        <v>47759</v>
      </c>
      <c r="P1394" s="2">
        <v>49025</v>
      </c>
      <c r="Q1394" s="2"/>
      <c r="R1394" s="2">
        <v>47669</v>
      </c>
      <c r="AB1394" s="2"/>
    </row>
    <row r="1395" spans="8:28" ht="15" customHeight="1">
      <c r="H1395" s="2">
        <v>49069</v>
      </c>
      <c r="I1395" s="2"/>
      <c r="J1395" s="2">
        <v>47625</v>
      </c>
      <c r="K1395" s="2"/>
      <c r="L1395" s="2">
        <v>48936</v>
      </c>
      <c r="M1395" s="2"/>
      <c r="N1395" s="2">
        <v>47760</v>
      </c>
      <c r="P1395" s="2">
        <v>49024</v>
      </c>
      <c r="Q1395" s="2"/>
      <c r="R1395" s="2">
        <v>47672</v>
      </c>
      <c r="AB1395" s="2"/>
    </row>
    <row r="1396" spans="8:28" ht="15" customHeight="1">
      <c r="H1396" s="2">
        <v>49068</v>
      </c>
      <c r="I1396" s="2"/>
      <c r="J1396" s="2">
        <v>47626</v>
      </c>
      <c r="K1396" s="2"/>
      <c r="L1396" s="2">
        <v>48935</v>
      </c>
      <c r="M1396" s="2"/>
      <c r="N1396" s="2">
        <v>47763</v>
      </c>
      <c r="P1396" s="2">
        <v>49023</v>
      </c>
      <c r="Q1396" s="2"/>
      <c r="R1396" s="2">
        <v>47673</v>
      </c>
      <c r="AB1396" s="2"/>
    </row>
    <row r="1397" spans="8:28" ht="15" customHeight="1">
      <c r="H1397" s="2">
        <v>49067</v>
      </c>
      <c r="I1397" s="2"/>
      <c r="J1397" s="2">
        <v>47627</v>
      </c>
      <c r="K1397" s="2"/>
      <c r="L1397" s="2">
        <v>48934</v>
      </c>
      <c r="M1397" s="2"/>
      <c r="N1397" s="2">
        <v>47764</v>
      </c>
      <c r="P1397" s="2">
        <v>49020</v>
      </c>
      <c r="Q1397" s="2"/>
      <c r="R1397" s="2">
        <v>47674</v>
      </c>
      <c r="AB1397" s="2"/>
    </row>
    <row r="1398" spans="8:28" ht="15" customHeight="1">
      <c r="H1398" s="2">
        <v>49066</v>
      </c>
      <c r="I1398" s="2"/>
      <c r="J1398" s="2">
        <v>47631</v>
      </c>
      <c r="K1398" s="2"/>
      <c r="L1398" s="2">
        <v>48933</v>
      </c>
      <c r="M1398" s="2"/>
      <c r="N1398" s="2">
        <v>47765</v>
      </c>
      <c r="P1398" s="2">
        <v>49019</v>
      </c>
      <c r="Q1398" s="2"/>
      <c r="R1398" s="2">
        <v>47675</v>
      </c>
      <c r="AB1398" s="2"/>
    </row>
    <row r="1399" spans="8:28" ht="15" customHeight="1">
      <c r="H1399" s="2">
        <v>49065</v>
      </c>
      <c r="I1399" s="2"/>
      <c r="J1399" s="2">
        <v>47632</v>
      </c>
      <c r="K1399" s="2"/>
      <c r="L1399" s="2">
        <v>48932</v>
      </c>
      <c r="M1399" s="2"/>
      <c r="N1399" s="2">
        <v>47766</v>
      </c>
      <c r="P1399" s="2">
        <v>49018</v>
      </c>
      <c r="Q1399" s="2"/>
      <c r="R1399" s="2">
        <v>47676</v>
      </c>
      <c r="AB1399" s="2"/>
    </row>
    <row r="1400" spans="8:28" ht="15" customHeight="1">
      <c r="H1400" s="2">
        <v>49062</v>
      </c>
      <c r="I1400" s="2"/>
      <c r="J1400" s="2">
        <v>47633</v>
      </c>
      <c r="K1400" s="2"/>
      <c r="L1400" s="2">
        <v>48929</v>
      </c>
      <c r="M1400" s="2"/>
      <c r="N1400" s="2">
        <v>47767</v>
      </c>
      <c r="P1400" s="2">
        <v>49017</v>
      </c>
      <c r="Q1400" s="2"/>
      <c r="R1400" s="2">
        <v>47679</v>
      </c>
      <c r="AB1400" s="2"/>
    </row>
    <row r="1401" spans="8:28" ht="15" customHeight="1">
      <c r="H1401" s="2">
        <v>49061</v>
      </c>
      <c r="I1401" s="2"/>
      <c r="J1401" s="2">
        <v>47634</v>
      </c>
      <c r="K1401" s="2"/>
      <c r="L1401" s="2">
        <v>48928</v>
      </c>
      <c r="M1401" s="2"/>
      <c r="N1401" s="2">
        <v>47771</v>
      </c>
      <c r="P1401" s="2">
        <v>49016</v>
      </c>
      <c r="Q1401" s="2"/>
      <c r="R1401" s="2">
        <v>47680</v>
      </c>
      <c r="AB1401" s="2"/>
    </row>
    <row r="1402" spans="8:28" ht="15" customHeight="1">
      <c r="H1402" s="2">
        <v>49060</v>
      </c>
      <c r="I1402" s="2"/>
      <c r="J1402" s="2">
        <v>47637</v>
      </c>
      <c r="K1402" s="2"/>
      <c r="L1402" s="2">
        <v>48927</v>
      </c>
      <c r="M1402" s="2"/>
      <c r="N1402" s="2">
        <v>47772</v>
      </c>
      <c r="P1402" s="2">
        <v>49013</v>
      </c>
      <c r="Q1402" s="2"/>
      <c r="R1402" s="2">
        <v>47681</v>
      </c>
      <c r="AB1402" s="2"/>
    </row>
    <row r="1403" spans="8:28" ht="15" customHeight="1">
      <c r="H1403" s="2">
        <v>49059</v>
      </c>
      <c r="I1403" s="2"/>
      <c r="J1403" s="2">
        <v>47638</v>
      </c>
      <c r="K1403" s="2"/>
      <c r="L1403" s="2">
        <v>48926</v>
      </c>
      <c r="M1403" s="2"/>
      <c r="N1403" s="2">
        <v>47773</v>
      </c>
      <c r="P1403" s="2">
        <v>49012</v>
      </c>
      <c r="Q1403" s="2"/>
      <c r="R1403" s="2">
        <v>47682</v>
      </c>
      <c r="AB1403" s="2"/>
    </row>
    <row r="1404" spans="8:28" ht="15" customHeight="1">
      <c r="H1404" s="2">
        <v>49058</v>
      </c>
      <c r="I1404" s="2"/>
      <c r="J1404" s="2">
        <v>47639</v>
      </c>
      <c r="K1404" s="2"/>
      <c r="L1404" s="2">
        <v>48925</v>
      </c>
      <c r="M1404" s="2"/>
      <c r="N1404" s="2">
        <v>47774</v>
      </c>
      <c r="P1404" s="2">
        <v>49011</v>
      </c>
      <c r="Q1404" s="2"/>
      <c r="R1404" s="2">
        <v>47683</v>
      </c>
      <c r="AB1404" s="2"/>
    </row>
    <row r="1405" spans="8:28" ht="15" customHeight="1">
      <c r="H1405" s="2">
        <v>49055</v>
      </c>
      <c r="I1405" s="2"/>
      <c r="J1405" s="2">
        <v>47640</v>
      </c>
      <c r="K1405" s="2"/>
      <c r="L1405" s="2">
        <v>48922</v>
      </c>
      <c r="M1405" s="2"/>
      <c r="N1405" s="2">
        <v>47777</v>
      </c>
      <c r="P1405" s="2">
        <v>49010</v>
      </c>
      <c r="Q1405" s="2"/>
      <c r="R1405" s="2">
        <v>47686</v>
      </c>
      <c r="AB1405" s="2"/>
    </row>
    <row r="1406" spans="8:28" ht="15" customHeight="1">
      <c r="H1406" s="2">
        <v>49054</v>
      </c>
      <c r="I1406" s="2"/>
      <c r="J1406" s="2">
        <v>47641</v>
      </c>
      <c r="K1406" s="2"/>
      <c r="L1406" s="2">
        <v>48921</v>
      </c>
      <c r="M1406" s="2"/>
      <c r="N1406" s="2">
        <v>47778</v>
      </c>
      <c r="P1406" s="2">
        <v>49009</v>
      </c>
      <c r="Q1406" s="2"/>
      <c r="R1406" s="2">
        <v>47687</v>
      </c>
      <c r="AB1406" s="2"/>
    </row>
    <row r="1407" spans="8:28" ht="15" customHeight="1">
      <c r="H1407" s="2">
        <v>49053</v>
      </c>
      <c r="I1407" s="2"/>
      <c r="J1407" s="2">
        <v>47644</v>
      </c>
      <c r="K1407" s="2"/>
      <c r="L1407" s="2">
        <v>48920</v>
      </c>
      <c r="M1407" s="2"/>
      <c r="N1407" s="2">
        <v>47779</v>
      </c>
      <c r="P1407" s="2">
        <v>49006</v>
      </c>
      <c r="Q1407" s="2"/>
      <c r="R1407" s="2">
        <v>47688</v>
      </c>
      <c r="AB1407" s="2"/>
    </row>
    <row r="1408" spans="8:28" ht="15" customHeight="1">
      <c r="H1408" s="2">
        <v>49052</v>
      </c>
      <c r="I1408" s="2"/>
      <c r="J1408" s="2">
        <v>47645</v>
      </c>
      <c r="K1408" s="2"/>
      <c r="L1408" s="2">
        <v>48919</v>
      </c>
      <c r="M1408" s="2"/>
      <c r="N1408" s="2">
        <v>47780</v>
      </c>
      <c r="P1408" s="2">
        <v>49005</v>
      </c>
      <c r="Q1408" s="2"/>
      <c r="R1408" s="2">
        <v>47689</v>
      </c>
      <c r="AB1408" s="2"/>
    </row>
    <row r="1409" spans="8:28" ht="15" customHeight="1">
      <c r="H1409" s="2">
        <v>49051</v>
      </c>
      <c r="I1409" s="2"/>
      <c r="J1409" s="2">
        <v>47646</v>
      </c>
      <c r="K1409" s="2"/>
      <c r="L1409" s="2">
        <v>48918</v>
      </c>
      <c r="M1409" s="2"/>
      <c r="N1409" s="2">
        <v>47781</v>
      </c>
      <c r="P1409" s="2">
        <v>49003</v>
      </c>
      <c r="Q1409" s="2"/>
      <c r="R1409" s="2">
        <v>47690</v>
      </c>
      <c r="AB1409" s="2"/>
    </row>
    <row r="1410" spans="8:28" ht="15" customHeight="1">
      <c r="H1410" s="2">
        <v>49048</v>
      </c>
      <c r="I1410" s="2"/>
      <c r="J1410" s="2">
        <v>47647</v>
      </c>
      <c r="K1410" s="2"/>
      <c r="L1410" s="2">
        <v>48915</v>
      </c>
      <c r="M1410" s="2"/>
      <c r="N1410" s="2">
        <v>47784</v>
      </c>
      <c r="P1410" s="2">
        <v>49002</v>
      </c>
      <c r="Q1410" s="2"/>
      <c r="R1410" s="2">
        <v>47693</v>
      </c>
      <c r="AB1410" s="2"/>
    </row>
    <row r="1411" spans="8:28" ht="15" customHeight="1">
      <c r="H1411" s="2">
        <v>49047</v>
      </c>
      <c r="I1411" s="2"/>
      <c r="J1411" s="2">
        <v>47648</v>
      </c>
      <c r="K1411" s="2"/>
      <c r="L1411" s="2">
        <v>48914</v>
      </c>
      <c r="M1411" s="2"/>
      <c r="N1411" s="2">
        <v>47785</v>
      </c>
      <c r="P1411" s="2">
        <v>48999</v>
      </c>
      <c r="Q1411" s="2"/>
      <c r="R1411" s="2">
        <v>47694</v>
      </c>
      <c r="AB1411" s="2"/>
    </row>
    <row r="1412" spans="8:28" ht="15" customHeight="1">
      <c r="H1412" s="2">
        <v>49046</v>
      </c>
      <c r="I1412" s="2"/>
      <c r="J1412" s="2">
        <v>47651</v>
      </c>
      <c r="K1412" s="2"/>
      <c r="L1412" s="2">
        <v>48913</v>
      </c>
      <c r="M1412" s="2"/>
      <c r="N1412" s="2">
        <v>47786</v>
      </c>
      <c r="P1412" s="2">
        <v>48998</v>
      </c>
      <c r="Q1412" s="2"/>
      <c r="R1412" s="2">
        <v>47695</v>
      </c>
      <c r="AB1412" s="2"/>
    </row>
    <row r="1413" spans="8:28" ht="15" customHeight="1">
      <c r="H1413" s="2">
        <v>49045</v>
      </c>
      <c r="I1413" s="2"/>
      <c r="J1413" s="2">
        <v>47652</v>
      </c>
      <c r="K1413" s="2"/>
      <c r="L1413" s="2">
        <v>48912</v>
      </c>
      <c r="M1413" s="2"/>
      <c r="N1413" s="2">
        <v>47787</v>
      </c>
      <c r="P1413" s="2">
        <v>48997</v>
      </c>
      <c r="Q1413" s="2"/>
      <c r="R1413" s="2">
        <v>47696</v>
      </c>
      <c r="AB1413" s="2"/>
    </row>
    <row r="1414" spans="8:28" ht="15" customHeight="1">
      <c r="H1414" s="2">
        <v>49044</v>
      </c>
      <c r="I1414" s="2"/>
      <c r="J1414" s="2">
        <v>47654</v>
      </c>
      <c r="K1414" s="2"/>
      <c r="L1414" s="2">
        <v>48911</v>
      </c>
      <c r="M1414" s="2"/>
      <c r="N1414" s="2">
        <v>47788</v>
      </c>
      <c r="P1414" s="2">
        <v>48992</v>
      </c>
      <c r="Q1414" s="2"/>
      <c r="R1414" s="2">
        <v>47697</v>
      </c>
      <c r="AB1414" s="2"/>
    </row>
    <row r="1415" spans="8:28" ht="15" customHeight="1">
      <c r="H1415" s="2">
        <v>49040</v>
      </c>
      <c r="I1415" s="2"/>
      <c r="J1415" s="2">
        <v>47655</v>
      </c>
      <c r="K1415" s="2"/>
      <c r="L1415" s="2">
        <v>48908</v>
      </c>
      <c r="M1415" s="2"/>
      <c r="N1415" s="2">
        <v>47792</v>
      </c>
      <c r="P1415" s="2">
        <v>48991</v>
      </c>
      <c r="Q1415" s="2"/>
      <c r="R1415" s="2">
        <v>47700</v>
      </c>
      <c r="AB1415" s="2"/>
    </row>
    <row r="1416" spans="8:28" ht="15" customHeight="1">
      <c r="H1416" s="2">
        <v>49039</v>
      </c>
      <c r="I1416" s="2"/>
      <c r="J1416" s="2">
        <v>47658</v>
      </c>
      <c r="K1416" s="2"/>
      <c r="L1416" s="2">
        <v>48905</v>
      </c>
      <c r="M1416" s="2"/>
      <c r="N1416" s="2">
        <v>47793</v>
      </c>
      <c r="P1416" s="2">
        <v>48990</v>
      </c>
      <c r="Q1416" s="2"/>
      <c r="R1416" s="2">
        <v>47701</v>
      </c>
      <c r="AB1416" s="2"/>
    </row>
    <row r="1417" spans="8:28" ht="15" customHeight="1">
      <c r="H1417" s="2">
        <v>49038</v>
      </c>
      <c r="I1417" s="2"/>
      <c r="J1417" s="2">
        <v>47659</v>
      </c>
      <c r="K1417" s="2"/>
      <c r="L1417" s="2">
        <v>48904</v>
      </c>
      <c r="M1417" s="2"/>
      <c r="N1417" s="2">
        <v>47794</v>
      </c>
      <c r="P1417" s="2">
        <v>48989</v>
      </c>
      <c r="Q1417" s="2"/>
      <c r="R1417" s="2">
        <v>47702</v>
      </c>
      <c r="AB1417" s="2"/>
    </row>
    <row r="1418" spans="8:28" ht="15" customHeight="1">
      <c r="H1418" s="2">
        <v>49037</v>
      </c>
      <c r="I1418" s="2"/>
      <c r="J1418" s="2">
        <v>47660</v>
      </c>
      <c r="K1418" s="2"/>
      <c r="L1418" s="2">
        <v>48901</v>
      </c>
      <c r="M1418" s="2"/>
      <c r="N1418" s="2">
        <v>47795</v>
      </c>
      <c r="P1418" s="2">
        <v>48988</v>
      </c>
      <c r="Q1418" s="2"/>
      <c r="R1418" s="2">
        <v>47703</v>
      </c>
      <c r="AB1418" s="2"/>
    </row>
    <row r="1419" spans="8:28" ht="15" customHeight="1">
      <c r="H1419" s="2">
        <v>49034</v>
      </c>
      <c r="I1419" s="2"/>
      <c r="J1419" s="2">
        <v>47661</v>
      </c>
      <c r="K1419" s="2"/>
      <c r="L1419" s="2">
        <v>48900</v>
      </c>
      <c r="M1419" s="2"/>
      <c r="N1419" s="2">
        <v>47798</v>
      </c>
      <c r="P1419" s="2">
        <v>48985</v>
      </c>
      <c r="Q1419" s="2"/>
      <c r="R1419" s="2">
        <v>47704</v>
      </c>
      <c r="AB1419" s="2"/>
    </row>
    <row r="1420" spans="8:28" ht="15" customHeight="1">
      <c r="H1420" s="2">
        <v>49033</v>
      </c>
      <c r="I1420" s="2"/>
      <c r="J1420" s="2">
        <v>47662</v>
      </c>
      <c r="K1420" s="2"/>
      <c r="L1420" s="2">
        <v>48899</v>
      </c>
      <c r="M1420" s="2"/>
      <c r="N1420" s="2">
        <v>47799</v>
      </c>
      <c r="P1420" s="2">
        <v>48984</v>
      </c>
      <c r="Q1420" s="2"/>
      <c r="R1420" s="2">
        <v>47707</v>
      </c>
      <c r="AB1420" s="2"/>
    </row>
    <row r="1421" spans="8:28" ht="15" customHeight="1">
      <c r="H1421" s="2">
        <v>49032</v>
      </c>
      <c r="I1421" s="2"/>
      <c r="J1421" s="2">
        <v>47665</v>
      </c>
      <c r="K1421" s="2"/>
      <c r="L1421" s="2">
        <v>48898</v>
      </c>
      <c r="M1421" s="2"/>
      <c r="N1421" s="2">
        <v>47800</v>
      </c>
      <c r="P1421" s="2">
        <v>48983</v>
      </c>
      <c r="Q1421" s="2"/>
      <c r="R1421" s="2">
        <v>47708</v>
      </c>
      <c r="AB1421" s="2"/>
    </row>
    <row r="1422" spans="8:28" ht="15" customHeight="1">
      <c r="H1422" s="2">
        <v>49031</v>
      </c>
      <c r="I1422" s="2"/>
      <c r="J1422" s="2">
        <v>47666</v>
      </c>
      <c r="K1422" s="2"/>
      <c r="L1422" s="2">
        <v>48897</v>
      </c>
      <c r="M1422" s="2"/>
      <c r="N1422" s="2">
        <v>47801</v>
      </c>
      <c r="P1422" s="2">
        <v>48982</v>
      </c>
      <c r="Q1422" s="2"/>
      <c r="R1422" s="2">
        <v>47709</v>
      </c>
      <c r="AB1422" s="2"/>
    </row>
    <row r="1423" spans="8:28" ht="15" customHeight="1">
      <c r="H1423" s="2">
        <v>49030</v>
      </c>
      <c r="I1423" s="2"/>
      <c r="J1423" s="2">
        <v>47667</v>
      </c>
      <c r="K1423" s="2"/>
      <c r="L1423" s="2">
        <v>48894</v>
      </c>
      <c r="M1423" s="2"/>
      <c r="N1423" s="2">
        <v>47802</v>
      </c>
      <c r="P1423" s="2">
        <v>48981</v>
      </c>
      <c r="Q1423" s="2"/>
      <c r="R1423" s="2">
        <v>47711</v>
      </c>
      <c r="AB1423" s="2"/>
    </row>
    <row r="1424" spans="8:28" ht="15" customHeight="1">
      <c r="H1424" s="2">
        <v>49027</v>
      </c>
      <c r="I1424" s="2"/>
      <c r="J1424" s="2">
        <v>47669</v>
      </c>
      <c r="K1424" s="2"/>
      <c r="L1424" s="2">
        <v>48893</v>
      </c>
      <c r="M1424" s="2"/>
      <c r="N1424" s="2">
        <v>47805</v>
      </c>
      <c r="P1424" s="2">
        <v>48978</v>
      </c>
      <c r="Q1424" s="2"/>
      <c r="R1424" s="2">
        <v>47714</v>
      </c>
      <c r="AB1424" s="2"/>
    </row>
    <row r="1425" spans="8:28" ht="15" customHeight="1">
      <c r="H1425" s="2">
        <v>49026</v>
      </c>
      <c r="I1425" s="2"/>
      <c r="J1425" s="2">
        <v>47672</v>
      </c>
      <c r="K1425" s="2"/>
      <c r="L1425" s="2">
        <v>48892</v>
      </c>
      <c r="M1425" s="2"/>
      <c r="N1425" s="2">
        <v>47806</v>
      </c>
      <c r="P1425" s="2">
        <v>48977</v>
      </c>
      <c r="Q1425" s="2"/>
      <c r="R1425" s="2">
        <v>47715</v>
      </c>
      <c r="AB1425" s="2"/>
    </row>
    <row r="1426" spans="8:28" ht="15" customHeight="1">
      <c r="H1426" s="2">
        <v>49025</v>
      </c>
      <c r="I1426" s="2"/>
      <c r="J1426" s="2">
        <v>47673</v>
      </c>
      <c r="K1426" s="2"/>
      <c r="L1426" s="2">
        <v>48891</v>
      </c>
      <c r="M1426" s="2"/>
      <c r="N1426" s="2">
        <v>47807</v>
      </c>
      <c r="P1426" s="2">
        <v>48976</v>
      </c>
      <c r="Q1426" s="2"/>
      <c r="R1426" s="2">
        <v>47716</v>
      </c>
      <c r="AB1426" s="2"/>
    </row>
    <row r="1427" spans="8:28" ht="15" customHeight="1">
      <c r="H1427" s="2">
        <v>49024</v>
      </c>
      <c r="I1427" s="2"/>
      <c r="J1427" s="2">
        <v>47674</v>
      </c>
      <c r="K1427" s="2"/>
      <c r="L1427" s="2">
        <v>48890</v>
      </c>
      <c r="M1427" s="2"/>
      <c r="N1427" s="2">
        <v>47808</v>
      </c>
      <c r="P1427" s="2">
        <v>48975</v>
      </c>
      <c r="Q1427" s="2"/>
      <c r="R1427" s="2">
        <v>47717</v>
      </c>
      <c r="AB1427" s="2"/>
    </row>
    <row r="1428" spans="8:28" ht="15" customHeight="1">
      <c r="H1428" s="2">
        <v>49023</v>
      </c>
      <c r="I1428" s="2"/>
      <c r="J1428" s="2">
        <v>47675</v>
      </c>
      <c r="K1428" s="2"/>
      <c r="L1428" s="2">
        <v>48887</v>
      </c>
      <c r="M1428" s="2"/>
      <c r="N1428" s="2">
        <v>47809</v>
      </c>
      <c r="P1428" s="2">
        <v>48974</v>
      </c>
      <c r="Q1428" s="2"/>
      <c r="R1428" s="2">
        <v>47718</v>
      </c>
      <c r="AB1428" s="2"/>
    </row>
    <row r="1429" spans="8:28" ht="15" customHeight="1">
      <c r="H1429" s="2">
        <v>49020</v>
      </c>
      <c r="I1429" s="2"/>
      <c r="J1429" s="2">
        <v>47676</v>
      </c>
      <c r="K1429" s="2"/>
      <c r="L1429" s="2">
        <v>48885</v>
      </c>
      <c r="M1429" s="2"/>
      <c r="N1429" s="2">
        <v>47812</v>
      </c>
      <c r="P1429" s="2">
        <v>48971</v>
      </c>
      <c r="Q1429" s="2"/>
      <c r="R1429" s="2">
        <v>47721</v>
      </c>
      <c r="AB1429" s="2"/>
    </row>
    <row r="1430" spans="8:28" ht="15" customHeight="1">
      <c r="H1430" s="2">
        <v>49019</v>
      </c>
      <c r="I1430" s="2"/>
      <c r="J1430" s="2">
        <v>47679</v>
      </c>
      <c r="K1430" s="2"/>
      <c r="L1430" s="2">
        <v>48884</v>
      </c>
      <c r="M1430" s="2"/>
      <c r="N1430" s="2">
        <v>47813</v>
      </c>
      <c r="P1430" s="2">
        <v>48970</v>
      </c>
      <c r="Q1430" s="2"/>
      <c r="R1430" s="2">
        <v>47722</v>
      </c>
      <c r="AB1430" s="2"/>
    </row>
    <row r="1431" spans="8:28" ht="15" customHeight="1">
      <c r="H1431" s="2">
        <v>49018</v>
      </c>
      <c r="I1431" s="2"/>
      <c r="J1431" s="2">
        <v>47680</v>
      </c>
      <c r="K1431" s="2"/>
      <c r="L1431" s="2">
        <v>48883</v>
      </c>
      <c r="M1431" s="2"/>
      <c r="N1431" s="2">
        <v>47814</v>
      </c>
      <c r="P1431" s="2">
        <v>48969</v>
      </c>
      <c r="Q1431" s="2"/>
      <c r="R1431" s="2">
        <v>47723</v>
      </c>
      <c r="AB1431" s="2"/>
    </row>
    <row r="1432" spans="8:28" ht="15" customHeight="1">
      <c r="H1432" s="2">
        <v>49017</v>
      </c>
      <c r="I1432" s="2"/>
      <c r="J1432" s="2">
        <v>47681</v>
      </c>
      <c r="K1432" s="2"/>
      <c r="L1432" s="2">
        <v>48880</v>
      </c>
      <c r="M1432" s="2"/>
      <c r="N1432" s="2">
        <v>47816</v>
      </c>
      <c r="P1432" s="2">
        <v>48968</v>
      </c>
      <c r="Q1432" s="2"/>
      <c r="R1432" s="2">
        <v>47724</v>
      </c>
      <c r="AB1432" s="2"/>
    </row>
    <row r="1433" spans="8:28" ht="15" customHeight="1">
      <c r="H1433" s="2">
        <v>49016</v>
      </c>
      <c r="I1433" s="2"/>
      <c r="J1433" s="2">
        <v>47682</v>
      </c>
      <c r="K1433" s="2"/>
      <c r="L1433" s="2">
        <v>48879</v>
      </c>
      <c r="M1433" s="2"/>
      <c r="N1433" s="2">
        <v>47819</v>
      </c>
      <c r="P1433" s="2">
        <v>48967</v>
      </c>
      <c r="Q1433" s="2"/>
      <c r="R1433" s="2">
        <v>47725</v>
      </c>
      <c r="AB1433" s="2"/>
    </row>
    <row r="1434" spans="8:28" ht="15" customHeight="1">
      <c r="H1434" s="2">
        <v>49013</v>
      </c>
      <c r="I1434" s="2"/>
      <c r="J1434" s="2">
        <v>47683</v>
      </c>
      <c r="K1434" s="2"/>
      <c r="L1434" s="2">
        <v>48878</v>
      </c>
      <c r="M1434" s="2"/>
      <c r="N1434" s="2">
        <v>47820</v>
      </c>
      <c r="P1434" s="2">
        <v>48964</v>
      </c>
      <c r="Q1434" s="2"/>
      <c r="R1434" s="2">
        <v>47728</v>
      </c>
      <c r="AB1434" s="2"/>
    </row>
    <row r="1435" spans="8:28" ht="15" customHeight="1">
      <c r="H1435" s="2">
        <v>49012</v>
      </c>
      <c r="I1435" s="2"/>
      <c r="J1435" s="2">
        <v>47686</v>
      </c>
      <c r="K1435" s="2"/>
      <c r="L1435" s="2">
        <v>48877</v>
      </c>
      <c r="M1435" s="2"/>
      <c r="N1435" s="2">
        <v>47821</v>
      </c>
      <c r="P1435" s="2">
        <v>48963</v>
      </c>
      <c r="Q1435" s="2"/>
      <c r="R1435" s="2">
        <v>47729</v>
      </c>
      <c r="AB1435" s="2"/>
    </row>
    <row r="1436" spans="8:28" ht="15" customHeight="1">
      <c r="H1436" s="2">
        <v>49011</v>
      </c>
      <c r="I1436" s="2"/>
      <c r="J1436" s="2">
        <v>47687</v>
      </c>
      <c r="K1436" s="2"/>
      <c r="L1436" s="2">
        <v>48876</v>
      </c>
      <c r="M1436" s="2"/>
      <c r="N1436" s="2">
        <v>47822</v>
      </c>
      <c r="P1436" s="2">
        <v>48962</v>
      </c>
      <c r="Q1436" s="2"/>
      <c r="R1436" s="2">
        <v>47730</v>
      </c>
      <c r="AB1436" s="2"/>
    </row>
    <row r="1437" spans="8:28" ht="15" customHeight="1">
      <c r="H1437" s="2">
        <v>49010</v>
      </c>
      <c r="I1437" s="2"/>
      <c r="J1437" s="2">
        <v>47688</v>
      </c>
      <c r="K1437" s="2"/>
      <c r="L1437" s="2">
        <v>48873</v>
      </c>
      <c r="M1437" s="2"/>
      <c r="N1437" s="2">
        <v>47823</v>
      </c>
      <c r="P1437" s="2">
        <v>48961</v>
      </c>
      <c r="Q1437" s="2"/>
      <c r="R1437" s="2">
        <v>47731</v>
      </c>
      <c r="AB1437" s="2"/>
    </row>
    <row r="1438" spans="8:28" ht="15" customHeight="1">
      <c r="H1438" s="2">
        <v>49009</v>
      </c>
      <c r="I1438" s="2"/>
      <c r="J1438" s="2">
        <v>47689</v>
      </c>
      <c r="K1438" s="2"/>
      <c r="L1438" s="2">
        <v>48872</v>
      </c>
      <c r="M1438" s="2"/>
      <c r="N1438" s="2">
        <v>47826</v>
      </c>
      <c r="P1438" s="2">
        <v>48960</v>
      </c>
      <c r="Q1438" s="2"/>
      <c r="R1438" s="2">
        <v>47732</v>
      </c>
      <c r="AB1438" s="2"/>
    </row>
    <row r="1439" spans="8:28" ht="15" customHeight="1">
      <c r="H1439" s="2">
        <v>49006</v>
      </c>
      <c r="I1439" s="2"/>
      <c r="J1439" s="2">
        <v>47690</v>
      </c>
      <c r="K1439" s="2"/>
      <c r="L1439" s="2">
        <v>48871</v>
      </c>
      <c r="M1439" s="2"/>
      <c r="N1439" s="2">
        <v>47827</v>
      </c>
      <c r="P1439" s="2">
        <v>48957</v>
      </c>
      <c r="Q1439" s="2"/>
      <c r="R1439" s="2">
        <v>47735</v>
      </c>
      <c r="AB1439" s="2"/>
    </row>
    <row r="1440" spans="8:28" ht="15" customHeight="1">
      <c r="H1440" s="2">
        <v>49005</v>
      </c>
      <c r="I1440" s="2"/>
      <c r="J1440" s="2">
        <v>47693</v>
      </c>
      <c r="K1440" s="2"/>
      <c r="L1440" s="2">
        <v>48870</v>
      </c>
      <c r="M1440" s="2"/>
      <c r="N1440" s="2">
        <v>47828</v>
      </c>
      <c r="P1440" s="2">
        <v>48956</v>
      </c>
      <c r="Q1440" s="2"/>
      <c r="R1440" s="2">
        <v>47736</v>
      </c>
      <c r="AB1440" s="2"/>
    </row>
    <row r="1441" spans="8:28" ht="15" customHeight="1">
      <c r="H1441" s="2">
        <v>49004</v>
      </c>
      <c r="I1441" s="2"/>
      <c r="J1441" s="2">
        <v>47694</v>
      </c>
      <c r="K1441" s="2"/>
      <c r="L1441" s="2">
        <v>48869</v>
      </c>
      <c r="M1441" s="2"/>
      <c r="N1441" s="2">
        <v>47829</v>
      </c>
      <c r="P1441" s="2">
        <v>48955</v>
      </c>
      <c r="Q1441" s="2"/>
      <c r="R1441" s="2">
        <v>47742</v>
      </c>
      <c r="AB1441" s="2"/>
    </row>
    <row r="1442" spans="8:28" ht="15" customHeight="1">
      <c r="H1442" s="2">
        <v>49003</v>
      </c>
      <c r="I1442" s="2"/>
      <c r="J1442" s="2">
        <v>47695</v>
      </c>
      <c r="K1442" s="2"/>
      <c r="L1442" s="2">
        <v>48866</v>
      </c>
      <c r="M1442" s="2"/>
      <c r="N1442" s="2">
        <v>47830</v>
      </c>
      <c r="P1442" s="2">
        <v>48954</v>
      </c>
      <c r="Q1442" s="2"/>
      <c r="R1442" s="2">
        <v>47743</v>
      </c>
      <c r="AB1442" s="2"/>
    </row>
    <row r="1443" spans="8:28" ht="15" customHeight="1">
      <c r="H1443" s="2">
        <v>49002</v>
      </c>
      <c r="I1443" s="2"/>
      <c r="J1443" s="2">
        <v>47696</v>
      </c>
      <c r="K1443" s="2"/>
      <c r="L1443" s="2">
        <v>48865</v>
      </c>
      <c r="M1443" s="2"/>
      <c r="N1443" s="2">
        <v>47833</v>
      </c>
      <c r="P1443" s="2">
        <v>48953</v>
      </c>
      <c r="Q1443" s="2"/>
      <c r="R1443" s="2">
        <v>47744</v>
      </c>
      <c r="AB1443" s="2"/>
    </row>
    <row r="1444" spans="8:28" ht="15" customHeight="1">
      <c r="H1444" s="2">
        <v>48999</v>
      </c>
      <c r="I1444" s="2"/>
      <c r="J1444" s="2">
        <v>47697</v>
      </c>
      <c r="K1444" s="2"/>
      <c r="L1444" s="2">
        <v>48864</v>
      </c>
      <c r="M1444" s="2"/>
      <c r="N1444" s="2">
        <v>47834</v>
      </c>
      <c r="P1444" s="2">
        <v>48950</v>
      </c>
      <c r="Q1444" s="2"/>
      <c r="R1444" s="2">
        <v>47745</v>
      </c>
      <c r="AB1444" s="2"/>
    </row>
    <row r="1445" spans="8:28" ht="15" customHeight="1">
      <c r="H1445" s="2">
        <v>48998</v>
      </c>
      <c r="I1445" s="2"/>
      <c r="J1445" s="2">
        <v>47700</v>
      </c>
      <c r="K1445" s="2"/>
      <c r="L1445" s="2">
        <v>48863</v>
      </c>
      <c r="M1445" s="2"/>
      <c r="N1445" s="2">
        <v>47835</v>
      </c>
      <c r="P1445" s="2">
        <v>48949</v>
      </c>
      <c r="Q1445" s="2"/>
      <c r="R1445" s="2">
        <v>47746</v>
      </c>
      <c r="AB1445" s="2"/>
    </row>
    <row r="1446" spans="8:28" ht="15" customHeight="1">
      <c r="H1446" s="2">
        <v>48997</v>
      </c>
      <c r="I1446" s="2"/>
      <c r="J1446" s="2">
        <v>47701</v>
      </c>
      <c r="K1446" s="2"/>
      <c r="L1446" s="2">
        <v>48859</v>
      </c>
      <c r="M1446" s="2"/>
      <c r="N1446" s="2">
        <v>47836</v>
      </c>
      <c r="P1446" s="2">
        <v>48948</v>
      </c>
      <c r="Q1446" s="2"/>
      <c r="R1446" s="2">
        <v>47749</v>
      </c>
      <c r="AB1446" s="2"/>
    </row>
    <row r="1447" spans="8:28" ht="15" customHeight="1">
      <c r="H1447" s="2">
        <v>48996</v>
      </c>
      <c r="I1447" s="2"/>
      <c r="J1447" s="2">
        <v>47702</v>
      </c>
      <c r="K1447" s="2"/>
      <c r="L1447" s="2">
        <v>48858</v>
      </c>
      <c r="M1447" s="2"/>
      <c r="N1447" s="2">
        <v>47837</v>
      </c>
      <c r="P1447" s="2">
        <v>48947</v>
      </c>
      <c r="Q1447" s="2"/>
      <c r="R1447" s="2">
        <v>47750</v>
      </c>
      <c r="AB1447" s="2"/>
    </row>
    <row r="1448" spans="8:28" ht="15" customHeight="1">
      <c r="H1448" s="2">
        <v>48992</v>
      </c>
      <c r="I1448" s="2"/>
      <c r="J1448" s="2">
        <v>47703</v>
      </c>
      <c r="K1448" s="2"/>
      <c r="L1448" s="2">
        <v>48857</v>
      </c>
      <c r="M1448" s="2"/>
      <c r="N1448" s="2">
        <v>47840</v>
      </c>
      <c r="P1448" s="2">
        <v>48946</v>
      </c>
      <c r="Q1448" s="2"/>
      <c r="R1448" s="2">
        <v>47751</v>
      </c>
      <c r="AB1448" s="2"/>
    </row>
    <row r="1449" spans="8:28" ht="15" customHeight="1">
      <c r="H1449" s="2">
        <v>48991</v>
      </c>
      <c r="I1449" s="2"/>
      <c r="J1449" s="2">
        <v>47704</v>
      </c>
      <c r="K1449" s="2"/>
      <c r="L1449" s="2">
        <v>48856</v>
      </c>
      <c r="M1449" s="2"/>
      <c r="N1449" s="2">
        <v>47841</v>
      </c>
      <c r="P1449" s="2">
        <v>48942</v>
      </c>
      <c r="Q1449" s="2"/>
      <c r="R1449" s="2">
        <v>47752</v>
      </c>
      <c r="AB1449" s="2"/>
    </row>
    <row r="1450" spans="8:28" ht="15" customHeight="1">
      <c r="H1450" s="2">
        <v>48990</v>
      </c>
      <c r="I1450" s="2"/>
      <c r="J1450" s="2">
        <v>47707</v>
      </c>
      <c r="K1450" s="2"/>
      <c r="L1450" s="2">
        <v>48855</v>
      </c>
      <c r="M1450" s="2"/>
      <c r="N1450" s="2">
        <v>47843</v>
      </c>
      <c r="P1450" s="2">
        <v>48941</v>
      </c>
      <c r="Q1450" s="2"/>
      <c r="R1450" s="2">
        <v>47753</v>
      </c>
      <c r="AB1450" s="2"/>
    </row>
    <row r="1451" spans="8:28" ht="15" customHeight="1">
      <c r="H1451" s="2">
        <v>48989</v>
      </c>
      <c r="I1451" s="2"/>
      <c r="J1451" s="2">
        <v>47708</v>
      </c>
      <c r="K1451" s="2"/>
      <c r="L1451" s="2">
        <v>48852</v>
      </c>
      <c r="M1451" s="2"/>
      <c r="N1451" s="2">
        <v>47844</v>
      </c>
      <c r="P1451" s="2">
        <v>48940</v>
      </c>
      <c r="Q1451" s="2"/>
      <c r="R1451" s="2">
        <v>47756</v>
      </c>
      <c r="AB1451" s="2"/>
    </row>
    <row r="1452" spans="8:28" ht="15" customHeight="1">
      <c r="H1452" s="2">
        <v>48988</v>
      </c>
      <c r="I1452" s="2"/>
      <c r="J1452" s="2">
        <v>47709</v>
      </c>
      <c r="K1452" s="2"/>
      <c r="L1452" s="2">
        <v>48851</v>
      </c>
      <c r="M1452" s="2"/>
      <c r="N1452" s="2">
        <v>47847</v>
      </c>
      <c r="P1452" s="2">
        <v>48936</v>
      </c>
      <c r="Q1452" s="2"/>
      <c r="R1452" s="2">
        <v>47757</v>
      </c>
      <c r="AB1452" s="2"/>
    </row>
    <row r="1453" spans="8:28" ht="15" customHeight="1">
      <c r="H1453" s="2">
        <v>48985</v>
      </c>
      <c r="I1453" s="2"/>
      <c r="J1453" s="2">
        <v>47710</v>
      </c>
      <c r="K1453" s="2"/>
      <c r="L1453" s="2">
        <v>48850</v>
      </c>
      <c r="M1453" s="2"/>
      <c r="N1453" s="2">
        <v>47854</v>
      </c>
      <c r="P1453" s="2">
        <v>48935</v>
      </c>
      <c r="Q1453" s="2"/>
      <c r="R1453" s="2">
        <v>47758</v>
      </c>
      <c r="AB1453" s="2"/>
    </row>
    <row r="1454" spans="8:28" ht="15" customHeight="1">
      <c r="H1454" s="2">
        <v>48984</v>
      </c>
      <c r="I1454" s="2"/>
      <c r="J1454" s="2">
        <v>47711</v>
      </c>
      <c r="K1454" s="2"/>
      <c r="L1454" s="2">
        <v>48849</v>
      </c>
      <c r="M1454" s="2"/>
      <c r="N1454" s="2">
        <v>47855</v>
      </c>
      <c r="P1454" s="2">
        <v>48934</v>
      </c>
      <c r="Q1454" s="2"/>
      <c r="R1454" s="2">
        <v>47760</v>
      </c>
      <c r="AB1454" s="2"/>
    </row>
    <row r="1455" spans="8:28" ht="15" customHeight="1">
      <c r="H1455" s="2">
        <v>48983</v>
      </c>
      <c r="I1455" s="2"/>
      <c r="J1455" s="2">
        <v>47714</v>
      </c>
      <c r="K1455" s="2"/>
      <c r="L1455" s="2">
        <v>48848</v>
      </c>
      <c r="M1455" s="2"/>
      <c r="N1455" s="2">
        <v>47856</v>
      </c>
      <c r="P1455" s="2">
        <v>48933</v>
      </c>
      <c r="Q1455" s="2"/>
      <c r="R1455" s="2">
        <v>47763</v>
      </c>
      <c r="AB1455" s="2"/>
    </row>
    <row r="1456" spans="8:28" ht="15" customHeight="1">
      <c r="H1456" s="2">
        <v>48982</v>
      </c>
      <c r="I1456" s="2"/>
      <c r="J1456" s="2">
        <v>47715</v>
      </c>
      <c r="K1456" s="2"/>
      <c r="L1456" s="2">
        <v>48844</v>
      </c>
      <c r="M1456" s="2"/>
      <c r="N1456" s="2">
        <v>47857</v>
      </c>
      <c r="P1456" s="2">
        <v>48932</v>
      </c>
      <c r="Q1456" s="2"/>
      <c r="R1456" s="2">
        <v>47764</v>
      </c>
      <c r="AB1456" s="2"/>
    </row>
    <row r="1457" spans="8:28" ht="15" customHeight="1">
      <c r="H1457" s="2">
        <v>48981</v>
      </c>
      <c r="I1457" s="2"/>
      <c r="J1457" s="2">
        <v>47716</v>
      </c>
      <c r="K1457" s="2"/>
      <c r="L1457" s="2">
        <v>48843</v>
      </c>
      <c r="M1457" s="2"/>
      <c r="N1457" s="2">
        <v>47858</v>
      </c>
      <c r="P1457" s="2">
        <v>48929</v>
      </c>
      <c r="Q1457" s="2"/>
      <c r="R1457" s="2">
        <v>47766</v>
      </c>
      <c r="AB1457" s="2"/>
    </row>
    <row r="1458" spans="8:28" ht="15" customHeight="1">
      <c r="H1458" s="2">
        <v>48978</v>
      </c>
      <c r="I1458" s="2"/>
      <c r="J1458" s="2">
        <v>47717</v>
      </c>
      <c r="K1458" s="2"/>
      <c r="L1458" s="2">
        <v>48842</v>
      </c>
      <c r="M1458" s="2"/>
      <c r="N1458" s="2">
        <v>47862</v>
      </c>
      <c r="P1458" s="2">
        <v>48928</v>
      </c>
      <c r="Q1458" s="2"/>
      <c r="R1458" s="2">
        <v>47767</v>
      </c>
      <c r="AB1458" s="2"/>
    </row>
    <row r="1459" spans="8:28" ht="15" customHeight="1">
      <c r="H1459" s="2">
        <v>48977</v>
      </c>
      <c r="I1459" s="2"/>
      <c r="J1459" s="2">
        <v>47718</v>
      </c>
      <c r="K1459" s="2"/>
      <c r="L1459" s="2">
        <v>48838</v>
      </c>
      <c r="M1459" s="2"/>
      <c r="N1459" s="2">
        <v>47863</v>
      </c>
      <c r="P1459" s="2">
        <v>48927</v>
      </c>
      <c r="Q1459" s="2"/>
      <c r="R1459" s="2">
        <v>47770</v>
      </c>
      <c r="AB1459" s="2"/>
    </row>
    <row r="1460" spans="8:28" ht="15" customHeight="1">
      <c r="H1460" s="2">
        <v>48976</v>
      </c>
      <c r="I1460" s="2"/>
      <c r="J1460" s="2">
        <v>47721</v>
      </c>
      <c r="K1460" s="2"/>
      <c r="L1460" s="2">
        <v>48837</v>
      </c>
      <c r="M1460" s="2"/>
      <c r="N1460" s="2">
        <v>47864</v>
      </c>
      <c r="P1460" s="2">
        <v>48926</v>
      </c>
      <c r="Q1460" s="2"/>
      <c r="R1460" s="2">
        <v>47771</v>
      </c>
      <c r="AB1460" s="2"/>
    </row>
    <row r="1461" spans="8:28" ht="15" customHeight="1">
      <c r="H1461" s="2">
        <v>48975</v>
      </c>
      <c r="I1461" s="2"/>
      <c r="J1461" s="2">
        <v>47722</v>
      </c>
      <c r="K1461" s="2"/>
      <c r="L1461" s="2">
        <v>48836</v>
      </c>
      <c r="M1461" s="2"/>
      <c r="N1461" s="2">
        <v>47865</v>
      </c>
      <c r="P1461" s="2">
        <v>48925</v>
      </c>
      <c r="Q1461" s="2"/>
      <c r="R1461" s="2">
        <v>47772</v>
      </c>
      <c r="AB1461" s="2"/>
    </row>
    <row r="1462" spans="8:28" ht="15" customHeight="1">
      <c r="H1462" s="2">
        <v>48974</v>
      </c>
      <c r="I1462" s="2"/>
      <c r="J1462" s="2">
        <v>47723</v>
      </c>
      <c r="K1462" s="2"/>
      <c r="L1462" s="2">
        <v>48835</v>
      </c>
      <c r="M1462" s="2"/>
      <c r="N1462" s="2">
        <v>47869</v>
      </c>
      <c r="P1462" s="2">
        <v>48922</v>
      </c>
      <c r="Q1462" s="2"/>
      <c r="R1462" s="2">
        <v>47773</v>
      </c>
      <c r="AB1462" s="2"/>
    </row>
    <row r="1463" spans="8:28" ht="15" customHeight="1">
      <c r="H1463" s="2">
        <v>48971</v>
      </c>
      <c r="I1463" s="2"/>
      <c r="J1463" s="2">
        <v>47724</v>
      </c>
      <c r="K1463" s="2"/>
      <c r="L1463" s="2">
        <v>48834</v>
      </c>
      <c r="M1463" s="2"/>
      <c r="N1463" s="2">
        <v>47870</v>
      </c>
      <c r="P1463" s="2">
        <v>48921</v>
      </c>
      <c r="Q1463" s="2"/>
      <c r="R1463" s="2">
        <v>47774</v>
      </c>
      <c r="AB1463" s="2"/>
    </row>
    <row r="1464" spans="8:28" ht="15" customHeight="1">
      <c r="H1464" s="2">
        <v>48970</v>
      </c>
      <c r="I1464" s="2"/>
      <c r="J1464" s="2">
        <v>47725</v>
      </c>
      <c r="K1464" s="2"/>
      <c r="L1464" s="2">
        <v>48831</v>
      </c>
      <c r="M1464" s="2"/>
      <c r="N1464" s="2">
        <v>47871</v>
      </c>
      <c r="P1464" s="2">
        <v>48920</v>
      </c>
      <c r="Q1464" s="2"/>
      <c r="R1464" s="2">
        <v>47777</v>
      </c>
      <c r="AB1464" s="2"/>
    </row>
    <row r="1465" spans="8:28" ht="15" customHeight="1">
      <c r="H1465" s="2">
        <v>48969</v>
      </c>
      <c r="I1465" s="2"/>
      <c r="J1465" s="2">
        <v>47729</v>
      </c>
      <c r="K1465" s="2"/>
      <c r="L1465" s="2">
        <v>48830</v>
      </c>
      <c r="M1465" s="2"/>
      <c r="N1465" s="2">
        <v>47872</v>
      </c>
      <c r="P1465" s="2">
        <v>48919</v>
      </c>
      <c r="Q1465" s="2"/>
      <c r="R1465" s="2">
        <v>47778</v>
      </c>
      <c r="AB1465" s="2"/>
    </row>
    <row r="1466" spans="8:28" ht="15" customHeight="1">
      <c r="H1466" s="2">
        <v>48968</v>
      </c>
      <c r="I1466" s="2"/>
      <c r="J1466" s="2">
        <v>47730</v>
      </c>
      <c r="K1466" s="2"/>
      <c r="L1466" s="2">
        <v>48829</v>
      </c>
      <c r="M1466" s="2"/>
      <c r="N1466" s="2">
        <v>47875</v>
      </c>
      <c r="P1466" s="2">
        <v>48918</v>
      </c>
      <c r="Q1466" s="2"/>
      <c r="R1466" s="2">
        <v>47779</v>
      </c>
      <c r="AB1466" s="2"/>
    </row>
    <row r="1467" spans="8:28" ht="15" customHeight="1">
      <c r="H1467" s="2">
        <v>48967</v>
      </c>
      <c r="I1467" s="2"/>
      <c r="J1467" s="2">
        <v>47731</v>
      </c>
      <c r="K1467" s="2"/>
      <c r="L1467" s="2">
        <v>48828</v>
      </c>
      <c r="M1467" s="2"/>
      <c r="N1467" s="2">
        <v>47876</v>
      </c>
      <c r="P1467" s="2">
        <v>48915</v>
      </c>
      <c r="Q1467" s="2"/>
      <c r="R1467" s="2">
        <v>47780</v>
      </c>
      <c r="AB1467" s="2"/>
    </row>
    <row r="1468" spans="8:28" ht="15" customHeight="1">
      <c r="H1468" s="2">
        <v>48964</v>
      </c>
      <c r="I1468" s="2"/>
      <c r="J1468" s="2">
        <v>47732</v>
      </c>
      <c r="K1468" s="2"/>
      <c r="L1468" s="2">
        <v>48824</v>
      </c>
      <c r="M1468" s="2"/>
      <c r="N1468" s="2">
        <v>47877</v>
      </c>
      <c r="P1468" s="2">
        <v>48914</v>
      </c>
      <c r="Q1468" s="2"/>
      <c r="R1468" s="2">
        <v>47781</v>
      </c>
      <c r="AB1468" s="2"/>
    </row>
    <row r="1469" spans="8:28" ht="15" customHeight="1">
      <c r="H1469" s="2">
        <v>48963</v>
      </c>
      <c r="I1469" s="2"/>
      <c r="J1469" s="2">
        <v>47735</v>
      </c>
      <c r="K1469" s="2"/>
      <c r="L1469" s="2">
        <v>48823</v>
      </c>
      <c r="M1469" s="2"/>
      <c r="N1469" s="2">
        <v>47878</v>
      </c>
      <c r="P1469" s="2">
        <v>48913</v>
      </c>
      <c r="Q1469" s="2"/>
      <c r="R1469" s="2">
        <v>47784</v>
      </c>
      <c r="AB1469" s="2"/>
    </row>
    <row r="1470" spans="8:28" ht="15" customHeight="1">
      <c r="H1470" s="2">
        <v>48962</v>
      </c>
      <c r="I1470" s="2"/>
      <c r="J1470" s="2">
        <v>47736</v>
      </c>
      <c r="K1470" s="2"/>
      <c r="L1470" s="2">
        <v>48822</v>
      </c>
      <c r="M1470" s="2"/>
      <c r="N1470" s="2">
        <v>47879</v>
      </c>
      <c r="P1470" s="2">
        <v>48912</v>
      </c>
      <c r="Q1470" s="2"/>
      <c r="R1470" s="2">
        <v>47785</v>
      </c>
      <c r="AB1470" s="2"/>
    </row>
    <row r="1471" spans="8:28" ht="15" customHeight="1">
      <c r="H1471" s="2">
        <v>48961</v>
      </c>
      <c r="I1471" s="2"/>
      <c r="J1471" s="2">
        <v>47737</v>
      </c>
      <c r="K1471" s="2"/>
      <c r="L1471" s="2">
        <v>48821</v>
      </c>
      <c r="M1471" s="2"/>
      <c r="N1471" s="2">
        <v>47882</v>
      </c>
      <c r="P1471" s="2">
        <v>48911</v>
      </c>
      <c r="Q1471" s="2"/>
      <c r="R1471" s="2">
        <v>47786</v>
      </c>
      <c r="AB1471" s="2"/>
    </row>
    <row r="1472" spans="8:28" ht="15" customHeight="1">
      <c r="H1472" s="2">
        <v>48957</v>
      </c>
      <c r="I1472" s="2"/>
      <c r="J1472" s="2">
        <v>47738</v>
      </c>
      <c r="K1472" s="2"/>
      <c r="L1472" s="2">
        <v>48820</v>
      </c>
      <c r="M1472" s="2"/>
      <c r="N1472" s="2">
        <v>47883</v>
      </c>
      <c r="P1472" s="2">
        <v>48908</v>
      </c>
      <c r="Q1472" s="2"/>
      <c r="R1472" s="2">
        <v>47787</v>
      </c>
      <c r="AB1472" s="2"/>
    </row>
    <row r="1473" spans="8:28" ht="15" customHeight="1">
      <c r="H1473" s="2">
        <v>48956</v>
      </c>
      <c r="I1473" s="2"/>
      <c r="J1473" s="2">
        <v>47739</v>
      </c>
      <c r="K1473" s="2"/>
      <c r="L1473" s="2">
        <v>48817</v>
      </c>
      <c r="M1473" s="2"/>
      <c r="N1473" s="2">
        <v>47884</v>
      </c>
      <c r="P1473" s="2">
        <v>48907</v>
      </c>
      <c r="Q1473" s="2"/>
      <c r="R1473" s="2">
        <v>47788</v>
      </c>
      <c r="AB1473" s="2"/>
    </row>
    <row r="1474" spans="8:28" ht="15" customHeight="1">
      <c r="H1474" s="2">
        <v>48955</v>
      </c>
      <c r="I1474" s="2"/>
      <c r="J1474" s="2">
        <v>47742</v>
      </c>
      <c r="K1474" s="2"/>
      <c r="L1474" s="2">
        <v>48816</v>
      </c>
      <c r="M1474" s="2"/>
      <c r="N1474" s="2">
        <v>47885</v>
      </c>
      <c r="P1474" s="2">
        <v>48906</v>
      </c>
      <c r="Q1474" s="2"/>
      <c r="R1474" s="2">
        <v>47791</v>
      </c>
      <c r="AB1474" s="2"/>
    </row>
    <row r="1475" spans="8:28" ht="15" customHeight="1">
      <c r="H1475" s="2">
        <v>48954</v>
      </c>
      <c r="I1475" s="2"/>
      <c r="J1475" s="2">
        <v>47743</v>
      </c>
      <c r="K1475" s="2"/>
      <c r="L1475" s="2">
        <v>48815</v>
      </c>
      <c r="M1475" s="2"/>
      <c r="N1475" s="2">
        <v>47886</v>
      </c>
      <c r="P1475" s="2">
        <v>48905</v>
      </c>
      <c r="Q1475" s="2"/>
      <c r="R1475" s="2">
        <v>47792</v>
      </c>
      <c r="AB1475" s="2"/>
    </row>
    <row r="1476" spans="8:28" ht="15" customHeight="1">
      <c r="H1476" s="2">
        <v>48953</v>
      </c>
      <c r="I1476" s="2"/>
      <c r="J1476" s="2">
        <v>47744</v>
      </c>
      <c r="K1476" s="2"/>
      <c r="L1476" s="2">
        <v>48814</v>
      </c>
      <c r="M1476" s="2"/>
      <c r="N1476" s="2">
        <v>47889</v>
      </c>
      <c r="P1476" s="2">
        <v>48904</v>
      </c>
      <c r="Q1476" s="2"/>
      <c r="R1476" s="2">
        <v>47793</v>
      </c>
      <c r="AB1476" s="2"/>
    </row>
    <row r="1477" spans="8:28" ht="15" customHeight="1">
      <c r="H1477" s="2">
        <v>48950</v>
      </c>
      <c r="I1477" s="2"/>
      <c r="J1477" s="2">
        <v>47745</v>
      </c>
      <c r="K1477" s="2"/>
      <c r="L1477" s="2">
        <v>48813</v>
      </c>
      <c r="M1477" s="2"/>
      <c r="N1477" s="2">
        <v>47891</v>
      </c>
      <c r="P1477" s="2">
        <v>48901</v>
      </c>
      <c r="Q1477" s="2"/>
      <c r="R1477" s="2">
        <v>47794</v>
      </c>
      <c r="AB1477" s="2"/>
    </row>
    <row r="1478" spans="8:28" ht="15" customHeight="1">
      <c r="H1478" s="2">
        <v>48949</v>
      </c>
      <c r="I1478" s="2"/>
      <c r="J1478" s="2">
        <v>47746</v>
      </c>
      <c r="K1478" s="2"/>
      <c r="L1478" s="2">
        <v>48810</v>
      </c>
      <c r="M1478" s="2"/>
      <c r="N1478" s="2">
        <v>47892</v>
      </c>
      <c r="P1478" s="2">
        <v>48900</v>
      </c>
      <c r="Q1478" s="2"/>
      <c r="R1478" s="2">
        <v>47795</v>
      </c>
      <c r="AB1478" s="2"/>
    </row>
    <row r="1479" spans="8:28" ht="15" customHeight="1">
      <c r="H1479" s="2">
        <v>48948</v>
      </c>
      <c r="I1479" s="2"/>
      <c r="J1479" s="2">
        <v>47749</v>
      </c>
      <c r="K1479" s="2"/>
      <c r="L1479" s="2">
        <v>48809</v>
      </c>
      <c r="M1479" s="2"/>
      <c r="N1479" s="2">
        <v>47893</v>
      </c>
      <c r="P1479" s="2">
        <v>48899</v>
      </c>
      <c r="Q1479" s="2"/>
      <c r="R1479" s="2">
        <v>47798</v>
      </c>
      <c r="AB1479" s="2"/>
    </row>
    <row r="1480" spans="8:28" ht="15" customHeight="1">
      <c r="H1480" s="2">
        <v>48947</v>
      </c>
      <c r="I1480" s="2"/>
      <c r="J1480" s="2">
        <v>47750</v>
      </c>
      <c r="K1480" s="2"/>
      <c r="L1480" s="2">
        <v>48808</v>
      </c>
      <c r="M1480" s="2"/>
      <c r="N1480" s="2">
        <v>47897</v>
      </c>
      <c r="P1480" s="2">
        <v>48898</v>
      </c>
      <c r="Q1480" s="2"/>
      <c r="R1480" s="2">
        <v>47799</v>
      </c>
      <c r="AB1480" s="2"/>
    </row>
    <row r="1481" spans="8:28" ht="15" customHeight="1">
      <c r="H1481" s="2">
        <v>48943</v>
      </c>
      <c r="I1481" s="2"/>
      <c r="J1481" s="2">
        <v>47751</v>
      </c>
      <c r="K1481" s="2"/>
      <c r="L1481" s="2">
        <v>48807</v>
      </c>
      <c r="M1481" s="2"/>
      <c r="N1481" s="2">
        <v>47898</v>
      </c>
      <c r="P1481" s="2">
        <v>48897</v>
      </c>
      <c r="Q1481" s="2"/>
      <c r="R1481" s="2">
        <v>47800</v>
      </c>
      <c r="AB1481" s="2"/>
    </row>
    <row r="1482" spans="8:28" ht="15" customHeight="1">
      <c r="H1482" s="2">
        <v>48942</v>
      </c>
      <c r="I1482" s="2"/>
      <c r="J1482" s="2">
        <v>47752</v>
      </c>
      <c r="K1482" s="2"/>
      <c r="L1482" s="2">
        <v>48806</v>
      </c>
      <c r="M1482" s="2"/>
      <c r="N1482" s="2">
        <v>47899</v>
      </c>
      <c r="P1482" s="2">
        <v>48894</v>
      </c>
      <c r="Q1482" s="2"/>
      <c r="R1482" s="2">
        <v>47801</v>
      </c>
      <c r="AB1482" s="2"/>
    </row>
    <row r="1483" spans="8:28" ht="15" customHeight="1">
      <c r="H1483" s="2">
        <v>48941</v>
      </c>
      <c r="I1483" s="2"/>
      <c r="J1483" s="2">
        <v>47753</v>
      </c>
      <c r="K1483" s="2"/>
      <c r="L1483" s="2">
        <v>48803</v>
      </c>
      <c r="M1483" s="2"/>
      <c r="N1483" s="2">
        <v>47900</v>
      </c>
      <c r="P1483" s="2">
        <v>48893</v>
      </c>
      <c r="Q1483" s="2"/>
      <c r="R1483" s="2">
        <v>47802</v>
      </c>
      <c r="AB1483" s="2"/>
    </row>
    <row r="1484" spans="8:28" ht="15" customHeight="1">
      <c r="H1484" s="2">
        <v>48940</v>
      </c>
      <c r="I1484" s="2"/>
      <c r="J1484" s="2">
        <v>47756</v>
      </c>
      <c r="K1484" s="2"/>
      <c r="L1484" s="2">
        <v>48801</v>
      </c>
      <c r="M1484" s="2"/>
      <c r="N1484" s="2">
        <v>47904</v>
      </c>
      <c r="P1484" s="2">
        <v>48892</v>
      </c>
      <c r="Q1484" s="2"/>
      <c r="R1484" s="2">
        <v>47805</v>
      </c>
      <c r="AB1484" s="2"/>
    </row>
    <row r="1485" spans="8:28" ht="15" customHeight="1">
      <c r="H1485" s="2">
        <v>48936</v>
      </c>
      <c r="I1485" s="2"/>
      <c r="J1485" s="2">
        <v>47757</v>
      </c>
      <c r="K1485" s="2"/>
      <c r="L1485" s="2">
        <v>48800</v>
      </c>
      <c r="M1485" s="2"/>
      <c r="N1485" s="2">
        <v>47905</v>
      </c>
      <c r="P1485" s="2">
        <v>48891</v>
      </c>
      <c r="Q1485" s="2"/>
      <c r="R1485" s="2">
        <v>47806</v>
      </c>
      <c r="AB1485" s="2"/>
    </row>
    <row r="1486" spans="8:28" ht="15" customHeight="1">
      <c r="H1486" s="2">
        <v>48935</v>
      </c>
      <c r="I1486" s="2"/>
      <c r="J1486" s="2">
        <v>47758</v>
      </c>
      <c r="K1486" s="2"/>
      <c r="L1486" s="2">
        <v>48799</v>
      </c>
      <c r="M1486" s="2"/>
      <c r="N1486" s="2">
        <v>47906</v>
      </c>
      <c r="P1486" s="2">
        <v>48890</v>
      </c>
      <c r="Q1486" s="2"/>
      <c r="R1486" s="2">
        <v>47807</v>
      </c>
      <c r="AB1486" s="2"/>
    </row>
    <row r="1487" spans="8:28" ht="15" customHeight="1">
      <c r="H1487" s="2">
        <v>48934</v>
      </c>
      <c r="I1487" s="2"/>
      <c r="J1487" s="2">
        <v>47759</v>
      </c>
      <c r="K1487" s="2"/>
      <c r="L1487" s="2">
        <v>48796</v>
      </c>
      <c r="M1487" s="2"/>
      <c r="N1487" s="2">
        <v>47907</v>
      </c>
      <c r="P1487" s="2">
        <v>48887</v>
      </c>
      <c r="Q1487" s="2"/>
      <c r="R1487" s="2">
        <v>47808</v>
      </c>
      <c r="AB1487" s="2"/>
    </row>
    <row r="1488" spans="8:28" ht="15" customHeight="1">
      <c r="H1488" s="2">
        <v>48933</v>
      </c>
      <c r="I1488" s="2"/>
      <c r="J1488" s="2">
        <v>47760</v>
      </c>
      <c r="K1488" s="2"/>
      <c r="L1488" s="2">
        <v>48795</v>
      </c>
      <c r="M1488" s="2"/>
      <c r="N1488" s="2">
        <v>47910</v>
      </c>
      <c r="P1488" s="2">
        <v>48886</v>
      </c>
      <c r="Q1488" s="2"/>
      <c r="R1488" s="2">
        <v>47809</v>
      </c>
      <c r="AB1488" s="2"/>
    </row>
    <row r="1489" spans="8:28" ht="15" customHeight="1">
      <c r="H1489" s="2">
        <v>48932</v>
      </c>
      <c r="I1489" s="2"/>
      <c r="J1489" s="2">
        <v>47763</v>
      </c>
      <c r="K1489" s="2"/>
      <c r="L1489" s="2">
        <v>48794</v>
      </c>
      <c r="M1489" s="2"/>
      <c r="N1489" s="2">
        <v>47911</v>
      </c>
      <c r="P1489" s="2">
        <v>48885</v>
      </c>
      <c r="Q1489" s="2"/>
      <c r="R1489" s="2">
        <v>47812</v>
      </c>
      <c r="AB1489" s="2"/>
    </row>
    <row r="1490" spans="8:28" ht="15" customHeight="1">
      <c r="H1490" s="2">
        <v>48929</v>
      </c>
      <c r="I1490" s="2"/>
      <c r="J1490" s="2">
        <v>47764</v>
      </c>
      <c r="K1490" s="2"/>
      <c r="L1490" s="2">
        <v>48793</v>
      </c>
      <c r="M1490" s="2"/>
      <c r="N1490" s="2">
        <v>47912</v>
      </c>
      <c r="P1490" s="2">
        <v>48884</v>
      </c>
      <c r="Q1490" s="2"/>
      <c r="R1490" s="2">
        <v>47813</v>
      </c>
      <c r="AB1490" s="2"/>
    </row>
    <row r="1491" spans="8:28" ht="15" customHeight="1">
      <c r="H1491" s="2">
        <v>48928</v>
      </c>
      <c r="I1491" s="2"/>
      <c r="J1491" s="2">
        <v>47765</v>
      </c>
      <c r="K1491" s="2"/>
      <c r="L1491" s="2">
        <v>48792</v>
      </c>
      <c r="M1491" s="2"/>
      <c r="N1491" s="2">
        <v>47913</v>
      </c>
      <c r="P1491" s="2">
        <v>48883</v>
      </c>
      <c r="Q1491" s="2"/>
      <c r="R1491" s="2">
        <v>47814</v>
      </c>
      <c r="AB1491" s="2"/>
    </row>
    <row r="1492" spans="8:28" ht="15" customHeight="1">
      <c r="H1492" s="2">
        <v>48927</v>
      </c>
      <c r="I1492" s="2"/>
      <c r="J1492" s="2">
        <v>47766</v>
      </c>
      <c r="K1492" s="2"/>
      <c r="L1492" s="2">
        <v>48789</v>
      </c>
      <c r="M1492" s="2"/>
      <c r="N1492" s="2">
        <v>47914</v>
      </c>
      <c r="P1492" s="2">
        <v>48880</v>
      </c>
      <c r="Q1492" s="2"/>
      <c r="R1492" s="2">
        <v>47815</v>
      </c>
      <c r="AB1492" s="2"/>
    </row>
    <row r="1493" spans="8:28" ht="15" customHeight="1">
      <c r="H1493" s="2">
        <v>48926</v>
      </c>
      <c r="I1493" s="2"/>
      <c r="J1493" s="2">
        <v>47767</v>
      </c>
      <c r="K1493" s="2"/>
      <c r="L1493" s="2">
        <v>48788</v>
      </c>
      <c r="M1493" s="2"/>
      <c r="N1493" s="2">
        <v>47917</v>
      </c>
      <c r="P1493" s="2">
        <v>48879</v>
      </c>
      <c r="Q1493" s="2"/>
      <c r="R1493" s="2">
        <v>47816</v>
      </c>
      <c r="AB1493" s="2"/>
    </row>
    <row r="1494" spans="8:28" ht="15" customHeight="1">
      <c r="H1494" s="2">
        <v>48925</v>
      </c>
      <c r="I1494" s="2"/>
      <c r="J1494" s="2">
        <v>47770</v>
      </c>
      <c r="K1494" s="2"/>
      <c r="L1494" s="2">
        <v>48787</v>
      </c>
      <c r="M1494" s="2"/>
      <c r="N1494" s="2">
        <v>47918</v>
      </c>
      <c r="P1494" s="2">
        <v>48878</v>
      </c>
      <c r="Q1494" s="2"/>
      <c r="R1494" s="2">
        <v>47819</v>
      </c>
      <c r="AB1494" s="2"/>
    </row>
    <row r="1495" spans="8:28" ht="15" customHeight="1">
      <c r="H1495" s="2">
        <v>48922</v>
      </c>
      <c r="I1495" s="2"/>
      <c r="J1495" s="2">
        <v>47771</v>
      </c>
      <c r="K1495" s="2"/>
      <c r="L1495" s="2">
        <v>48786</v>
      </c>
      <c r="M1495" s="2"/>
      <c r="N1495" s="2">
        <v>47919</v>
      </c>
      <c r="P1495" s="2">
        <v>48877</v>
      </c>
      <c r="Q1495" s="2"/>
      <c r="R1495" s="2">
        <v>47820</v>
      </c>
      <c r="AB1495" s="2"/>
    </row>
    <row r="1496" spans="8:28" ht="15" customHeight="1">
      <c r="H1496" s="2">
        <v>48921</v>
      </c>
      <c r="I1496" s="2"/>
      <c r="J1496" s="2">
        <v>47772</v>
      </c>
      <c r="K1496" s="2"/>
      <c r="L1496" s="2">
        <v>48785</v>
      </c>
      <c r="M1496" s="2"/>
      <c r="N1496" s="2">
        <v>47920</v>
      </c>
      <c r="P1496" s="2">
        <v>48876</v>
      </c>
      <c r="Q1496" s="2"/>
      <c r="R1496" s="2">
        <v>47821</v>
      </c>
      <c r="AB1496" s="2"/>
    </row>
    <row r="1497" spans="8:28" ht="15" customHeight="1">
      <c r="H1497" s="2">
        <v>48920</v>
      </c>
      <c r="I1497" s="2"/>
      <c r="J1497" s="2">
        <v>47773</v>
      </c>
      <c r="K1497" s="2"/>
      <c r="L1497" s="2">
        <v>48782</v>
      </c>
      <c r="M1497" s="2"/>
      <c r="N1497" s="2">
        <v>47921</v>
      </c>
      <c r="P1497" s="2">
        <v>48873</v>
      </c>
      <c r="Q1497" s="2"/>
      <c r="R1497" s="2">
        <v>47822</v>
      </c>
      <c r="AB1497" s="2"/>
    </row>
    <row r="1498" spans="8:28" ht="15" customHeight="1">
      <c r="H1498" s="2">
        <v>48919</v>
      </c>
      <c r="I1498" s="2"/>
      <c r="J1498" s="2">
        <v>47774</v>
      </c>
      <c r="K1498" s="2"/>
      <c r="L1498" s="2">
        <v>48781</v>
      </c>
      <c r="M1498" s="2"/>
      <c r="N1498" s="2">
        <v>47924</v>
      </c>
      <c r="P1498" s="2">
        <v>48872</v>
      </c>
      <c r="Q1498" s="2"/>
      <c r="R1498" s="2">
        <v>47823</v>
      </c>
      <c r="AB1498" s="2"/>
    </row>
    <row r="1499" spans="8:28" ht="15" customHeight="1">
      <c r="H1499" s="2">
        <v>48918</v>
      </c>
      <c r="I1499" s="2"/>
      <c r="J1499" s="2">
        <v>47777</v>
      </c>
      <c r="K1499" s="2"/>
      <c r="L1499" s="2">
        <v>48780</v>
      </c>
      <c r="M1499" s="2"/>
      <c r="N1499" s="2">
        <v>47925</v>
      </c>
      <c r="P1499" s="2">
        <v>48871</v>
      </c>
      <c r="Q1499" s="2"/>
      <c r="R1499" s="2">
        <v>47826</v>
      </c>
      <c r="AB1499" s="2"/>
    </row>
    <row r="1500" spans="8:28" ht="15" customHeight="1">
      <c r="H1500" s="2">
        <v>48915</v>
      </c>
      <c r="I1500" s="2"/>
      <c r="J1500" s="2">
        <v>47778</v>
      </c>
      <c r="K1500" s="2"/>
      <c r="L1500" s="2">
        <v>48779</v>
      </c>
      <c r="M1500" s="2"/>
      <c r="N1500" s="2">
        <v>47926</v>
      </c>
      <c r="P1500" s="2">
        <v>48870</v>
      </c>
      <c r="Q1500" s="2"/>
      <c r="R1500" s="2">
        <v>47827</v>
      </c>
      <c r="AB1500" s="2"/>
    </row>
    <row r="1501" spans="8:28" ht="15" customHeight="1">
      <c r="H1501" s="2">
        <v>48914</v>
      </c>
      <c r="I1501" s="2"/>
      <c r="J1501" s="2">
        <v>47779</v>
      </c>
      <c r="K1501" s="2"/>
      <c r="L1501" s="2">
        <v>48775</v>
      </c>
      <c r="M1501" s="2"/>
      <c r="N1501" s="2">
        <v>47927</v>
      </c>
      <c r="P1501" s="2">
        <v>48869</v>
      </c>
      <c r="Q1501" s="2"/>
      <c r="R1501" s="2">
        <v>47828</v>
      </c>
      <c r="AB1501" s="2"/>
    </row>
    <row r="1502" spans="8:28" ht="15" customHeight="1">
      <c r="H1502" s="2">
        <v>48913</v>
      </c>
      <c r="I1502" s="2"/>
      <c r="J1502" s="2">
        <v>47780</v>
      </c>
      <c r="K1502" s="2"/>
      <c r="L1502" s="2">
        <v>48774</v>
      </c>
      <c r="M1502" s="2"/>
      <c r="N1502" s="2">
        <v>47931</v>
      </c>
      <c r="P1502" s="2">
        <v>48866</v>
      </c>
      <c r="Q1502" s="2"/>
      <c r="R1502" s="2">
        <v>47829</v>
      </c>
      <c r="AB1502" s="2"/>
    </row>
    <row r="1503" spans="8:28" ht="15" customHeight="1">
      <c r="H1503" s="2">
        <v>48912</v>
      </c>
      <c r="I1503" s="2"/>
      <c r="J1503" s="2">
        <v>47781</v>
      </c>
      <c r="K1503" s="2"/>
      <c r="L1503" s="2">
        <v>48773</v>
      </c>
      <c r="M1503" s="2"/>
      <c r="N1503" s="2">
        <v>47932</v>
      </c>
      <c r="P1503" s="2">
        <v>48865</v>
      </c>
      <c r="Q1503" s="2"/>
      <c r="R1503" s="2">
        <v>47830</v>
      </c>
      <c r="AB1503" s="2"/>
    </row>
    <row r="1504" spans="8:28" ht="15" customHeight="1">
      <c r="H1504" s="2">
        <v>48911</v>
      </c>
      <c r="I1504" s="2"/>
      <c r="J1504" s="2">
        <v>47784</v>
      </c>
      <c r="K1504" s="2"/>
      <c r="L1504" s="2">
        <v>48772</v>
      </c>
      <c r="M1504" s="2"/>
      <c r="N1504" s="2">
        <v>47933</v>
      </c>
      <c r="P1504" s="2">
        <v>48864</v>
      </c>
      <c r="Q1504" s="2"/>
      <c r="R1504" s="2">
        <v>47833</v>
      </c>
      <c r="AB1504" s="2"/>
    </row>
    <row r="1505" spans="8:28" ht="15" customHeight="1">
      <c r="H1505" s="2">
        <v>48908</v>
      </c>
      <c r="I1505" s="2"/>
      <c r="J1505" s="2">
        <v>47785</v>
      </c>
      <c r="K1505" s="2"/>
      <c r="L1505" s="2">
        <v>48771</v>
      </c>
      <c r="M1505" s="2"/>
      <c r="N1505" s="2">
        <v>47934</v>
      </c>
      <c r="P1505" s="2">
        <v>48863</v>
      </c>
      <c r="Q1505" s="2"/>
      <c r="R1505" s="2">
        <v>47834</v>
      </c>
      <c r="AB1505" s="2"/>
    </row>
    <row r="1506" spans="8:28" ht="15" customHeight="1">
      <c r="H1506" s="2">
        <v>48906</v>
      </c>
      <c r="I1506" s="2"/>
      <c r="J1506" s="2">
        <v>47786</v>
      </c>
      <c r="K1506" s="2"/>
      <c r="L1506" s="2">
        <v>48768</v>
      </c>
      <c r="M1506" s="2"/>
      <c r="N1506" s="2">
        <v>47935</v>
      </c>
      <c r="P1506" s="2">
        <v>48859</v>
      </c>
      <c r="Q1506" s="2"/>
      <c r="R1506" s="2">
        <v>47835</v>
      </c>
      <c r="AB1506" s="2"/>
    </row>
    <row r="1507" spans="8:28" ht="15" customHeight="1">
      <c r="H1507" s="2">
        <v>48905</v>
      </c>
      <c r="I1507" s="2"/>
      <c r="J1507" s="2">
        <v>47787</v>
      </c>
      <c r="K1507" s="2"/>
      <c r="L1507" s="2">
        <v>48767</v>
      </c>
      <c r="M1507" s="2"/>
      <c r="N1507" s="2">
        <v>47938</v>
      </c>
      <c r="P1507" s="2">
        <v>48858</v>
      </c>
      <c r="Q1507" s="2"/>
      <c r="R1507" s="2">
        <v>47836</v>
      </c>
      <c r="AB1507" s="2"/>
    </row>
    <row r="1508" spans="8:28" ht="15" customHeight="1">
      <c r="H1508" s="2">
        <v>48904</v>
      </c>
      <c r="I1508" s="2"/>
      <c r="J1508" s="2">
        <v>47788</v>
      </c>
      <c r="K1508" s="2"/>
      <c r="L1508" s="2">
        <v>48766</v>
      </c>
      <c r="M1508" s="2"/>
      <c r="N1508" s="2">
        <v>47939</v>
      </c>
      <c r="P1508" s="2">
        <v>48857</v>
      </c>
      <c r="Q1508" s="2"/>
      <c r="R1508" s="2">
        <v>47837</v>
      </c>
      <c r="AB1508" s="2"/>
    </row>
    <row r="1509" spans="8:28" ht="15" customHeight="1">
      <c r="H1509" s="2">
        <v>48901</v>
      </c>
      <c r="I1509" s="2"/>
      <c r="J1509" s="2">
        <v>47791</v>
      </c>
      <c r="K1509" s="2"/>
      <c r="L1509" s="2">
        <v>48765</v>
      </c>
      <c r="M1509" s="2"/>
      <c r="N1509" s="2">
        <v>47940</v>
      </c>
      <c r="P1509" s="2">
        <v>48856</v>
      </c>
      <c r="Q1509" s="2"/>
      <c r="R1509" s="2">
        <v>47840</v>
      </c>
      <c r="AB1509" s="2"/>
    </row>
    <row r="1510" spans="8:28" ht="15" customHeight="1">
      <c r="H1510" s="2">
        <v>48900</v>
      </c>
      <c r="I1510" s="2"/>
      <c r="J1510" s="2">
        <v>47792</v>
      </c>
      <c r="K1510" s="2"/>
      <c r="L1510" s="2">
        <v>48761</v>
      </c>
      <c r="M1510" s="2"/>
      <c r="N1510" s="2">
        <v>47941</v>
      </c>
      <c r="P1510" s="2">
        <v>48852</v>
      </c>
      <c r="Q1510" s="2"/>
      <c r="R1510" s="2">
        <v>47841</v>
      </c>
      <c r="AB1510" s="2"/>
    </row>
    <row r="1511" spans="8:28" ht="15" customHeight="1">
      <c r="H1511" s="2">
        <v>48899</v>
      </c>
      <c r="I1511" s="2"/>
      <c r="J1511" s="2">
        <v>47793</v>
      </c>
      <c r="K1511" s="2"/>
      <c r="L1511" s="2">
        <v>48760</v>
      </c>
      <c r="M1511" s="2"/>
      <c r="N1511" s="2">
        <v>47942</v>
      </c>
      <c r="P1511" s="2">
        <v>48851</v>
      </c>
      <c r="Q1511" s="2"/>
      <c r="R1511" s="2">
        <v>47843</v>
      </c>
      <c r="AB1511" s="2"/>
    </row>
    <row r="1512" spans="8:28" ht="15" customHeight="1">
      <c r="H1512" s="2">
        <v>48898</v>
      </c>
      <c r="I1512" s="2"/>
      <c r="J1512" s="2">
        <v>47794</v>
      </c>
      <c r="K1512" s="2"/>
      <c r="L1512" s="2">
        <v>48759</v>
      </c>
      <c r="M1512" s="2"/>
      <c r="N1512" s="2">
        <v>47945</v>
      </c>
      <c r="P1512" s="2">
        <v>48850</v>
      </c>
      <c r="Q1512" s="2"/>
      <c r="R1512" s="2">
        <v>47844</v>
      </c>
      <c r="AB1512" s="2"/>
    </row>
    <row r="1513" spans="8:28" ht="15" customHeight="1">
      <c r="H1513" s="2">
        <v>48897</v>
      </c>
      <c r="I1513" s="2"/>
      <c r="J1513" s="2">
        <v>47795</v>
      </c>
      <c r="K1513" s="2"/>
      <c r="L1513" s="2">
        <v>48758</v>
      </c>
      <c r="M1513" s="2"/>
      <c r="N1513" s="2">
        <v>47946</v>
      </c>
      <c r="P1513" s="2">
        <v>48849</v>
      </c>
      <c r="Q1513" s="2"/>
      <c r="R1513" s="2">
        <v>47847</v>
      </c>
      <c r="AB1513" s="2"/>
    </row>
    <row r="1514" spans="8:28" ht="15" customHeight="1">
      <c r="H1514" s="2">
        <v>48894</v>
      </c>
      <c r="I1514" s="2"/>
      <c r="J1514" s="2">
        <v>47798</v>
      </c>
      <c r="K1514" s="2"/>
      <c r="L1514" s="2">
        <v>48757</v>
      </c>
      <c r="M1514" s="2"/>
      <c r="N1514" s="2">
        <v>47947</v>
      </c>
      <c r="P1514" s="2">
        <v>48848</v>
      </c>
      <c r="Q1514" s="2"/>
      <c r="R1514" s="2">
        <v>47850</v>
      </c>
      <c r="AB1514" s="2"/>
    </row>
    <row r="1515" spans="8:28" ht="15" customHeight="1">
      <c r="H1515" s="2">
        <v>48893</v>
      </c>
      <c r="I1515" s="2"/>
      <c r="J1515" s="2">
        <v>47799</v>
      </c>
      <c r="K1515" s="2"/>
      <c r="L1515" s="2">
        <v>48754</v>
      </c>
      <c r="M1515" s="2"/>
      <c r="N1515" s="2">
        <v>47948</v>
      </c>
      <c r="P1515" s="2">
        <v>48845</v>
      </c>
      <c r="Q1515" s="2"/>
      <c r="R1515" s="2">
        <v>47851</v>
      </c>
      <c r="AB1515" s="2"/>
    </row>
    <row r="1516" spans="8:28" ht="15" customHeight="1">
      <c r="H1516" s="2">
        <v>48892</v>
      </c>
      <c r="I1516" s="2"/>
      <c r="J1516" s="2">
        <v>47800</v>
      </c>
      <c r="K1516" s="2"/>
      <c r="L1516" s="2">
        <v>48753</v>
      </c>
      <c r="M1516" s="2"/>
      <c r="N1516" s="2">
        <v>47952</v>
      </c>
      <c r="P1516" s="2">
        <v>48844</v>
      </c>
      <c r="Q1516" s="2"/>
      <c r="R1516" s="2">
        <v>47854</v>
      </c>
      <c r="AB1516" s="2"/>
    </row>
    <row r="1517" spans="8:28" ht="15" customHeight="1">
      <c r="H1517" s="2">
        <v>48891</v>
      </c>
      <c r="I1517" s="2"/>
      <c r="J1517" s="2">
        <v>47801</v>
      </c>
      <c r="K1517" s="2"/>
      <c r="L1517" s="2">
        <v>48752</v>
      </c>
      <c r="M1517" s="2"/>
      <c r="N1517" s="2">
        <v>47953</v>
      </c>
      <c r="P1517" s="2">
        <v>48843</v>
      </c>
      <c r="Q1517" s="2"/>
      <c r="R1517" s="2">
        <v>47855</v>
      </c>
      <c r="AB1517" s="2"/>
    </row>
    <row r="1518" spans="8:28" ht="15" customHeight="1">
      <c r="H1518" s="2">
        <v>48890</v>
      </c>
      <c r="I1518" s="2"/>
      <c r="J1518" s="2">
        <v>47802</v>
      </c>
      <c r="K1518" s="2"/>
      <c r="L1518" s="2">
        <v>48751</v>
      </c>
      <c r="M1518" s="2"/>
      <c r="N1518" s="2">
        <v>47954</v>
      </c>
      <c r="P1518" s="2">
        <v>48842</v>
      </c>
      <c r="Q1518" s="2"/>
      <c r="R1518" s="2">
        <v>47856</v>
      </c>
      <c r="AB1518" s="2"/>
    </row>
    <row r="1519" spans="8:28" ht="15" customHeight="1">
      <c r="H1519" s="2">
        <v>48887</v>
      </c>
      <c r="I1519" s="2"/>
      <c r="J1519" s="2">
        <v>47805</v>
      </c>
      <c r="K1519" s="2"/>
      <c r="L1519" s="2">
        <v>48747</v>
      </c>
      <c r="M1519" s="2"/>
      <c r="N1519" s="2">
        <v>47955</v>
      </c>
      <c r="P1519" s="2">
        <v>48841</v>
      </c>
      <c r="Q1519" s="2"/>
      <c r="R1519" s="2">
        <v>47857</v>
      </c>
      <c r="AB1519" s="2"/>
    </row>
    <row r="1520" spans="8:28" ht="15" customHeight="1">
      <c r="H1520" s="2">
        <v>48886</v>
      </c>
      <c r="I1520" s="2"/>
      <c r="J1520" s="2">
        <v>47806</v>
      </c>
      <c r="K1520" s="2"/>
      <c r="L1520" s="2">
        <v>48746</v>
      </c>
      <c r="M1520" s="2"/>
      <c r="N1520" s="2">
        <v>47956</v>
      </c>
      <c r="P1520" s="2">
        <v>48838</v>
      </c>
      <c r="Q1520" s="2"/>
      <c r="R1520" s="2">
        <v>47858</v>
      </c>
      <c r="AB1520" s="2"/>
    </row>
    <row r="1521" spans="8:28" ht="15" customHeight="1">
      <c r="H1521" s="2">
        <v>48885</v>
      </c>
      <c r="I1521" s="2"/>
      <c r="J1521" s="2">
        <v>47807</v>
      </c>
      <c r="K1521" s="2"/>
      <c r="L1521" s="2">
        <v>48745</v>
      </c>
      <c r="M1521" s="2"/>
      <c r="N1521" s="2">
        <v>47959</v>
      </c>
      <c r="P1521" s="2">
        <v>48837</v>
      </c>
      <c r="Q1521" s="2"/>
      <c r="R1521" s="2">
        <v>47861</v>
      </c>
      <c r="AB1521" s="2"/>
    </row>
    <row r="1522" spans="8:28" ht="15" customHeight="1">
      <c r="H1522" s="2">
        <v>48884</v>
      </c>
      <c r="I1522" s="2"/>
      <c r="J1522" s="2">
        <v>47808</v>
      </c>
      <c r="K1522" s="2"/>
      <c r="L1522" s="2">
        <v>48744</v>
      </c>
      <c r="M1522" s="2"/>
      <c r="N1522" s="2">
        <v>47960</v>
      </c>
      <c r="P1522" s="2">
        <v>48836</v>
      </c>
      <c r="Q1522" s="2"/>
      <c r="R1522" s="2">
        <v>47862</v>
      </c>
      <c r="AB1522" s="2"/>
    </row>
    <row r="1523" spans="8:28" ht="15" customHeight="1">
      <c r="H1523" s="2">
        <v>48883</v>
      </c>
      <c r="I1523" s="2"/>
      <c r="J1523" s="2">
        <v>47809</v>
      </c>
      <c r="K1523" s="2"/>
      <c r="L1523" s="2">
        <v>48743</v>
      </c>
      <c r="M1523" s="2"/>
      <c r="N1523" s="2">
        <v>47961</v>
      </c>
      <c r="P1523" s="2">
        <v>48835</v>
      </c>
      <c r="Q1523" s="2"/>
      <c r="R1523" s="2">
        <v>47863</v>
      </c>
      <c r="AB1523" s="2"/>
    </row>
    <row r="1524" spans="8:28" ht="15" customHeight="1">
      <c r="H1524" s="2">
        <v>48880</v>
      </c>
      <c r="I1524" s="2"/>
      <c r="J1524" s="2">
        <v>47812</v>
      </c>
      <c r="K1524" s="2"/>
      <c r="L1524" s="2">
        <v>48740</v>
      </c>
      <c r="M1524" s="2"/>
      <c r="N1524" s="2">
        <v>47962</v>
      </c>
      <c r="P1524" s="2">
        <v>48834</v>
      </c>
      <c r="Q1524" s="2"/>
      <c r="R1524" s="2">
        <v>47864</v>
      </c>
      <c r="AB1524" s="2"/>
    </row>
    <row r="1525" spans="8:28" ht="15" customHeight="1">
      <c r="H1525" s="2">
        <v>48879</v>
      </c>
      <c r="I1525" s="2"/>
      <c r="J1525" s="2">
        <v>47813</v>
      </c>
      <c r="K1525" s="2"/>
      <c r="L1525" s="2">
        <v>48739</v>
      </c>
      <c r="M1525" s="2"/>
      <c r="N1525" s="2">
        <v>47963</v>
      </c>
      <c r="P1525" s="2">
        <v>48828</v>
      </c>
      <c r="Q1525" s="2"/>
      <c r="R1525" s="2">
        <v>47865</v>
      </c>
      <c r="AB1525" s="2"/>
    </row>
    <row r="1526" spans="8:28" ht="15" customHeight="1">
      <c r="H1526" s="2">
        <v>48878</v>
      </c>
      <c r="I1526" s="2"/>
      <c r="J1526" s="2">
        <v>47814</v>
      </c>
      <c r="K1526" s="2"/>
      <c r="L1526" s="2">
        <v>48738</v>
      </c>
      <c r="M1526" s="2"/>
      <c r="N1526" s="2">
        <v>47966</v>
      </c>
      <c r="P1526" s="2">
        <v>48827</v>
      </c>
      <c r="Q1526" s="2"/>
      <c r="R1526" s="2">
        <v>47868</v>
      </c>
      <c r="AB1526" s="2"/>
    </row>
    <row r="1527" spans="8:28" ht="15" customHeight="1">
      <c r="H1527" s="2">
        <v>48877</v>
      </c>
      <c r="I1527" s="2"/>
      <c r="J1527" s="2">
        <v>47816</v>
      </c>
      <c r="K1527" s="2"/>
      <c r="L1527" s="2">
        <v>48737</v>
      </c>
      <c r="M1527" s="2"/>
      <c r="N1527" s="2">
        <v>47968</v>
      </c>
      <c r="P1527" s="2">
        <v>48824</v>
      </c>
      <c r="Q1527" s="2"/>
      <c r="R1527" s="2">
        <v>47869</v>
      </c>
      <c r="AB1527" s="2"/>
    </row>
    <row r="1528" spans="8:28" ht="15" customHeight="1">
      <c r="H1528" s="2">
        <v>48876</v>
      </c>
      <c r="I1528" s="2"/>
      <c r="J1528" s="2">
        <v>47819</v>
      </c>
      <c r="K1528" s="2"/>
      <c r="L1528" s="2">
        <v>48736</v>
      </c>
      <c r="M1528" s="2"/>
      <c r="N1528" s="2">
        <v>47969</v>
      </c>
      <c r="P1528" s="2">
        <v>48823</v>
      </c>
      <c r="Q1528" s="2"/>
      <c r="R1528" s="2">
        <v>47875</v>
      </c>
      <c r="AB1528" s="2"/>
    </row>
    <row r="1529" spans="8:28" ht="15" customHeight="1">
      <c r="H1529" s="2">
        <v>48873</v>
      </c>
      <c r="I1529" s="2"/>
      <c r="J1529" s="2">
        <v>47820</v>
      </c>
      <c r="K1529" s="2"/>
      <c r="L1529" s="2">
        <v>48733</v>
      </c>
      <c r="M1529" s="2"/>
      <c r="N1529" s="2">
        <v>47970</v>
      </c>
      <c r="P1529" s="2">
        <v>48822</v>
      </c>
      <c r="Q1529" s="2"/>
      <c r="R1529" s="2">
        <v>47876</v>
      </c>
      <c r="AB1529" s="2"/>
    </row>
    <row r="1530" spans="8:28" ht="15" customHeight="1">
      <c r="H1530" s="2">
        <v>48872</v>
      </c>
      <c r="I1530" s="2"/>
      <c r="J1530" s="2">
        <v>47821</v>
      </c>
      <c r="K1530" s="2"/>
      <c r="L1530" s="2">
        <v>48732</v>
      </c>
      <c r="M1530" s="2"/>
      <c r="N1530" s="2">
        <v>47975</v>
      </c>
      <c r="P1530" s="2">
        <v>48821</v>
      </c>
      <c r="Q1530" s="2"/>
      <c r="R1530" s="2">
        <v>47877</v>
      </c>
      <c r="AB1530" s="2"/>
    </row>
    <row r="1531" spans="8:28" ht="15" customHeight="1">
      <c r="H1531" s="2">
        <v>48871</v>
      </c>
      <c r="I1531" s="2"/>
      <c r="J1531" s="2">
        <v>47822</v>
      </c>
      <c r="K1531" s="2"/>
      <c r="L1531" s="2">
        <v>48731</v>
      </c>
      <c r="M1531" s="2"/>
      <c r="N1531" s="2">
        <v>47976</v>
      </c>
      <c r="P1531" s="2">
        <v>48820</v>
      </c>
      <c r="Q1531" s="2"/>
      <c r="R1531" s="2">
        <v>47878</v>
      </c>
      <c r="AB1531" s="2"/>
    </row>
    <row r="1532" spans="8:28" ht="15" customHeight="1">
      <c r="H1532" s="2">
        <v>48870</v>
      </c>
      <c r="I1532" s="2"/>
      <c r="J1532" s="2">
        <v>47823</v>
      </c>
      <c r="K1532" s="2"/>
      <c r="L1532" s="2">
        <v>48730</v>
      </c>
      <c r="M1532" s="2"/>
      <c r="N1532" s="2">
        <v>47977</v>
      </c>
      <c r="P1532" s="2">
        <v>48817</v>
      </c>
      <c r="Q1532" s="2"/>
      <c r="R1532" s="2">
        <v>47879</v>
      </c>
      <c r="AB1532" s="2"/>
    </row>
    <row r="1533" spans="8:28" ht="15" customHeight="1">
      <c r="H1533" s="2">
        <v>48869</v>
      </c>
      <c r="I1533" s="2"/>
      <c r="J1533" s="2">
        <v>47826</v>
      </c>
      <c r="K1533" s="2"/>
      <c r="L1533" s="2">
        <v>48726</v>
      </c>
      <c r="M1533" s="2"/>
      <c r="N1533" s="2">
        <v>47980</v>
      </c>
      <c r="P1533" s="2">
        <v>48816</v>
      </c>
      <c r="Q1533" s="2"/>
      <c r="R1533" s="2">
        <v>47882</v>
      </c>
      <c r="AB1533" s="2"/>
    </row>
    <row r="1534" spans="8:28" ht="15" customHeight="1">
      <c r="H1534" s="2">
        <v>48866</v>
      </c>
      <c r="I1534" s="2"/>
      <c r="J1534" s="2">
        <v>47827</v>
      </c>
      <c r="K1534" s="2"/>
      <c r="L1534" s="2">
        <v>48725</v>
      </c>
      <c r="M1534" s="2"/>
      <c r="N1534" s="2">
        <v>47981</v>
      </c>
      <c r="P1534" s="2">
        <v>48815</v>
      </c>
      <c r="Q1534" s="2"/>
      <c r="R1534" s="2">
        <v>47883</v>
      </c>
      <c r="AB1534" s="2"/>
    </row>
    <row r="1535" spans="8:28" ht="15" customHeight="1">
      <c r="H1535" s="2">
        <v>48865</v>
      </c>
      <c r="I1535" s="2"/>
      <c r="J1535" s="2">
        <v>47828</v>
      </c>
      <c r="K1535" s="2"/>
      <c r="L1535" s="2">
        <v>48724</v>
      </c>
      <c r="M1535" s="2"/>
      <c r="N1535" s="2">
        <v>47982</v>
      </c>
      <c r="P1535" s="2">
        <v>48814</v>
      </c>
      <c r="Q1535" s="2"/>
      <c r="R1535" s="2">
        <v>47884</v>
      </c>
      <c r="AB1535" s="2"/>
    </row>
    <row r="1536" spans="8:28" ht="15" customHeight="1">
      <c r="H1536" s="2">
        <v>48864</v>
      </c>
      <c r="I1536" s="2"/>
      <c r="J1536" s="2">
        <v>47829</v>
      </c>
      <c r="K1536" s="2"/>
      <c r="L1536" s="2">
        <v>48723</v>
      </c>
      <c r="M1536" s="2"/>
      <c r="N1536" s="2">
        <v>47983</v>
      </c>
      <c r="P1536" s="2">
        <v>48813</v>
      </c>
      <c r="Q1536" s="2"/>
      <c r="R1536" s="2">
        <v>47885</v>
      </c>
      <c r="AB1536" s="2"/>
    </row>
    <row r="1537" spans="8:28" ht="15" customHeight="1">
      <c r="H1537" s="2">
        <v>48863</v>
      </c>
      <c r="I1537" s="2"/>
      <c r="J1537" s="2">
        <v>47830</v>
      </c>
      <c r="K1537" s="2"/>
      <c r="L1537" s="2">
        <v>48722</v>
      </c>
      <c r="M1537" s="2"/>
      <c r="N1537" s="2">
        <v>47984</v>
      </c>
      <c r="P1537" s="2">
        <v>48810</v>
      </c>
      <c r="Q1537" s="2"/>
      <c r="R1537" s="2">
        <v>47886</v>
      </c>
      <c r="AB1537" s="2"/>
    </row>
    <row r="1538" spans="8:28" ht="15" customHeight="1">
      <c r="H1538" s="2">
        <v>48862</v>
      </c>
      <c r="I1538" s="2"/>
      <c r="J1538" s="2">
        <v>47833</v>
      </c>
      <c r="K1538" s="2"/>
      <c r="L1538" s="2">
        <v>48719</v>
      </c>
      <c r="M1538" s="2"/>
      <c r="N1538" s="2">
        <v>47987</v>
      </c>
      <c r="P1538" s="2">
        <v>48809</v>
      </c>
      <c r="Q1538" s="2"/>
      <c r="R1538" s="2">
        <v>47889</v>
      </c>
      <c r="AB1538" s="2"/>
    </row>
    <row r="1539" spans="8:28" ht="15" customHeight="1">
      <c r="H1539" s="2">
        <v>48859</v>
      </c>
      <c r="I1539" s="2"/>
      <c r="J1539" s="2">
        <v>47834</v>
      </c>
      <c r="K1539" s="2"/>
      <c r="L1539" s="2">
        <v>48718</v>
      </c>
      <c r="M1539" s="2"/>
      <c r="N1539" s="2">
        <v>47988</v>
      </c>
      <c r="P1539" s="2">
        <v>48808</v>
      </c>
      <c r="Q1539" s="2"/>
      <c r="R1539" s="2">
        <v>47890</v>
      </c>
      <c r="AB1539" s="2"/>
    </row>
    <row r="1540" spans="8:28" ht="15" customHeight="1">
      <c r="H1540" s="2">
        <v>48858</v>
      </c>
      <c r="I1540" s="2"/>
      <c r="J1540" s="2">
        <v>47835</v>
      </c>
      <c r="K1540" s="2"/>
      <c r="L1540" s="2">
        <v>48717</v>
      </c>
      <c r="M1540" s="2"/>
      <c r="N1540" s="2">
        <v>47989</v>
      </c>
      <c r="P1540" s="2">
        <v>48807</v>
      </c>
      <c r="Q1540" s="2"/>
      <c r="R1540" s="2">
        <v>47891</v>
      </c>
      <c r="AB1540" s="2"/>
    </row>
    <row r="1541" spans="8:28" ht="15" customHeight="1">
      <c r="H1541" s="2">
        <v>48857</v>
      </c>
      <c r="I1541" s="2"/>
      <c r="J1541" s="2">
        <v>47836</v>
      </c>
      <c r="K1541" s="2"/>
      <c r="L1541" s="2">
        <v>48716</v>
      </c>
      <c r="M1541" s="2"/>
      <c r="N1541" s="2">
        <v>47990</v>
      </c>
      <c r="P1541" s="2">
        <v>48803</v>
      </c>
      <c r="Q1541" s="2"/>
      <c r="R1541" s="2">
        <v>47892</v>
      </c>
      <c r="AB1541" s="2"/>
    </row>
    <row r="1542" spans="8:28" ht="15" customHeight="1">
      <c r="H1542" s="2">
        <v>48856</v>
      </c>
      <c r="I1542" s="2"/>
      <c r="J1542" s="2">
        <v>47837</v>
      </c>
      <c r="K1542" s="2"/>
      <c r="L1542" s="2">
        <v>48715</v>
      </c>
      <c r="M1542" s="2"/>
      <c r="N1542" s="2">
        <v>47991</v>
      </c>
      <c r="P1542" s="2">
        <v>48802</v>
      </c>
      <c r="Q1542" s="2"/>
      <c r="R1542" s="2">
        <v>47893</v>
      </c>
      <c r="AB1542" s="2"/>
    </row>
    <row r="1543" spans="8:28" ht="15" customHeight="1">
      <c r="H1543" s="2">
        <v>48855</v>
      </c>
      <c r="I1543" s="2"/>
      <c r="J1543" s="2">
        <v>47840</v>
      </c>
      <c r="K1543" s="2"/>
      <c r="L1543" s="2">
        <v>48712</v>
      </c>
      <c r="M1543" s="2"/>
      <c r="N1543" s="2">
        <v>47995</v>
      </c>
      <c r="P1543" s="2">
        <v>48801</v>
      </c>
      <c r="Q1543" s="2"/>
      <c r="R1543" s="2">
        <v>47896</v>
      </c>
      <c r="AB1543" s="2"/>
    </row>
    <row r="1544" spans="8:28" ht="15" customHeight="1">
      <c r="H1544" s="2">
        <v>48852</v>
      </c>
      <c r="I1544" s="2"/>
      <c r="J1544" s="2">
        <v>47841</v>
      </c>
      <c r="K1544" s="2"/>
      <c r="L1544" s="2">
        <v>48711</v>
      </c>
      <c r="M1544" s="2"/>
      <c r="N1544" s="2">
        <v>47996</v>
      </c>
      <c r="P1544" s="2">
        <v>48800</v>
      </c>
      <c r="Q1544" s="2"/>
      <c r="R1544" s="2">
        <v>47897</v>
      </c>
      <c r="AB1544" s="2"/>
    </row>
    <row r="1545" spans="8:28" ht="15" customHeight="1">
      <c r="H1545" s="2">
        <v>48851</v>
      </c>
      <c r="I1545" s="2"/>
      <c r="J1545" s="2">
        <v>47843</v>
      </c>
      <c r="K1545" s="2"/>
      <c r="L1545" s="2">
        <v>48710</v>
      </c>
      <c r="M1545" s="2"/>
      <c r="N1545" s="2">
        <v>47997</v>
      </c>
      <c r="P1545" s="2">
        <v>48799</v>
      </c>
      <c r="Q1545" s="2"/>
      <c r="R1545" s="2">
        <v>47898</v>
      </c>
      <c r="AB1545" s="2"/>
    </row>
    <row r="1546" spans="8:28" ht="15" customHeight="1">
      <c r="H1546" s="2">
        <v>48850</v>
      </c>
      <c r="I1546" s="2"/>
      <c r="J1546" s="2">
        <v>47844</v>
      </c>
      <c r="K1546" s="2"/>
      <c r="L1546" s="2">
        <v>48709</v>
      </c>
      <c r="M1546" s="2"/>
      <c r="N1546" s="2">
        <v>47998</v>
      </c>
      <c r="P1546" s="2">
        <v>48796</v>
      </c>
      <c r="Q1546" s="2"/>
      <c r="R1546" s="2">
        <v>47899</v>
      </c>
      <c r="AB1546" s="2"/>
    </row>
    <row r="1547" spans="8:28" ht="15" customHeight="1">
      <c r="H1547" s="2">
        <v>48849</v>
      </c>
      <c r="I1547" s="2"/>
      <c r="J1547" s="2">
        <v>47847</v>
      </c>
      <c r="K1547" s="2"/>
      <c r="L1547" s="2">
        <v>48708</v>
      </c>
      <c r="M1547" s="2"/>
      <c r="N1547" s="2">
        <v>48001</v>
      </c>
      <c r="P1547" s="2">
        <v>48795</v>
      </c>
      <c r="Q1547" s="2"/>
      <c r="R1547" s="2">
        <v>47900</v>
      </c>
      <c r="AB1547" s="2"/>
    </row>
    <row r="1548" spans="8:28" ht="15" customHeight="1">
      <c r="H1548" s="2">
        <v>48848</v>
      </c>
      <c r="I1548" s="2"/>
      <c r="J1548" s="2">
        <v>47848</v>
      </c>
      <c r="K1548" s="2"/>
      <c r="L1548" s="2">
        <v>48705</v>
      </c>
      <c r="M1548" s="2"/>
      <c r="N1548" s="2">
        <v>48002</v>
      </c>
      <c r="P1548" s="2">
        <v>48794</v>
      </c>
      <c r="Q1548" s="2"/>
      <c r="R1548" s="2">
        <v>47903</v>
      </c>
      <c r="AB1548" s="2"/>
    </row>
    <row r="1549" spans="8:28" ht="15" customHeight="1">
      <c r="H1549" s="2">
        <v>48845</v>
      </c>
      <c r="I1549" s="2"/>
      <c r="J1549" s="2">
        <v>47850</v>
      </c>
      <c r="K1549" s="2"/>
      <c r="L1549" s="2">
        <v>48701</v>
      </c>
      <c r="M1549" s="2"/>
      <c r="N1549" s="2">
        <v>48003</v>
      </c>
      <c r="P1549" s="2">
        <v>48793</v>
      </c>
      <c r="Q1549" s="2"/>
      <c r="R1549" s="2">
        <v>47904</v>
      </c>
      <c r="AB1549" s="2"/>
    </row>
    <row r="1550" spans="8:28" ht="15" customHeight="1">
      <c r="H1550" s="2">
        <v>48844</v>
      </c>
      <c r="I1550" s="2"/>
      <c r="J1550" s="2">
        <v>47851</v>
      </c>
      <c r="K1550" s="2"/>
      <c r="L1550" s="2">
        <v>48697</v>
      </c>
      <c r="M1550" s="2"/>
      <c r="N1550" s="2">
        <v>48004</v>
      </c>
      <c r="P1550" s="2">
        <v>48792</v>
      </c>
      <c r="Q1550" s="2"/>
      <c r="R1550" s="2">
        <v>47905</v>
      </c>
      <c r="AB1550" s="2"/>
    </row>
    <row r="1551" spans="8:28" ht="15" customHeight="1">
      <c r="H1551" s="2">
        <v>48843</v>
      </c>
      <c r="I1551" s="2"/>
      <c r="J1551" s="2">
        <v>47854</v>
      </c>
      <c r="K1551" s="2"/>
      <c r="L1551" s="2">
        <v>48696</v>
      </c>
      <c r="M1551" s="2"/>
      <c r="N1551" s="2">
        <v>48005</v>
      </c>
      <c r="P1551" s="2">
        <v>48789</v>
      </c>
      <c r="Q1551" s="2"/>
      <c r="R1551" s="2">
        <v>47906</v>
      </c>
      <c r="AB1551" s="2"/>
    </row>
    <row r="1552" spans="8:28" ht="15" customHeight="1">
      <c r="H1552" s="2">
        <v>48842</v>
      </c>
      <c r="I1552" s="2"/>
      <c r="J1552" s="2">
        <v>47855</v>
      </c>
      <c r="K1552" s="2"/>
      <c r="L1552" s="2">
        <v>48695</v>
      </c>
      <c r="M1552" s="2"/>
      <c r="N1552" s="2">
        <v>48008</v>
      </c>
      <c r="P1552" s="2">
        <v>48788</v>
      </c>
      <c r="Q1552" s="2"/>
      <c r="R1552" s="2">
        <v>47907</v>
      </c>
      <c r="AB1552" s="2"/>
    </row>
    <row r="1553" spans="8:28" ht="15" customHeight="1">
      <c r="H1553" s="2">
        <v>48841</v>
      </c>
      <c r="I1553" s="2"/>
      <c r="J1553" s="2">
        <v>47856</v>
      </c>
      <c r="K1553" s="2"/>
      <c r="L1553" s="2">
        <v>48694</v>
      </c>
      <c r="M1553" s="2"/>
      <c r="N1553" s="2">
        <v>48009</v>
      </c>
      <c r="P1553" s="2">
        <v>48787</v>
      </c>
      <c r="Q1553" s="2"/>
      <c r="R1553" s="2">
        <v>47911</v>
      </c>
      <c r="AB1553" s="2"/>
    </row>
    <row r="1554" spans="8:28" ht="15" customHeight="1">
      <c r="H1554" s="2">
        <v>48838</v>
      </c>
      <c r="I1554" s="2"/>
      <c r="J1554" s="2">
        <v>47857</v>
      </c>
      <c r="K1554" s="2"/>
      <c r="L1554" s="2">
        <v>48691</v>
      </c>
      <c r="M1554" s="2"/>
      <c r="N1554" s="2">
        <v>48010</v>
      </c>
      <c r="P1554" s="2">
        <v>48786</v>
      </c>
      <c r="Q1554" s="2"/>
      <c r="R1554" s="2">
        <v>47912</v>
      </c>
      <c r="AB1554" s="2"/>
    </row>
    <row r="1555" spans="8:28" ht="15" customHeight="1">
      <c r="H1555" s="2">
        <v>48837</v>
      </c>
      <c r="I1555" s="2"/>
      <c r="J1555" s="2">
        <v>47858</v>
      </c>
      <c r="K1555" s="2"/>
      <c r="L1555" s="2">
        <v>48690</v>
      </c>
      <c r="M1555" s="2"/>
      <c r="N1555" s="2">
        <v>48011</v>
      </c>
      <c r="P1555" s="2">
        <v>48785</v>
      </c>
      <c r="Q1555" s="2"/>
      <c r="R1555" s="2">
        <v>47913</v>
      </c>
      <c r="AB1555" s="2"/>
    </row>
    <row r="1556" spans="8:28" ht="15" customHeight="1">
      <c r="H1556" s="2">
        <v>48836</v>
      </c>
      <c r="I1556" s="2"/>
      <c r="J1556" s="2">
        <v>47861</v>
      </c>
      <c r="K1556" s="2"/>
      <c r="L1556" s="2">
        <v>48689</v>
      </c>
      <c r="M1556" s="2"/>
      <c r="N1556" s="2">
        <v>48012</v>
      </c>
      <c r="P1556" s="2">
        <v>48782</v>
      </c>
      <c r="Q1556" s="2"/>
      <c r="R1556" s="2">
        <v>47914</v>
      </c>
      <c r="AB1556" s="2"/>
    </row>
    <row r="1557" spans="8:28" ht="15" customHeight="1">
      <c r="H1557" s="2">
        <v>48835</v>
      </c>
      <c r="I1557" s="2"/>
      <c r="J1557" s="2">
        <v>47862</v>
      </c>
      <c r="K1557" s="2"/>
      <c r="L1557" s="2">
        <v>48688</v>
      </c>
      <c r="M1557" s="2"/>
      <c r="N1557" s="2">
        <v>48015</v>
      </c>
      <c r="P1557" s="2">
        <v>48781</v>
      </c>
      <c r="Q1557" s="2"/>
      <c r="R1557" s="2">
        <v>47917</v>
      </c>
      <c r="AB1557" s="2"/>
    </row>
    <row r="1558" spans="8:28" ht="15" customHeight="1">
      <c r="H1558" s="2">
        <v>48834</v>
      </c>
      <c r="I1558" s="2"/>
      <c r="J1558" s="2">
        <v>47863</v>
      </c>
      <c r="K1558" s="2"/>
      <c r="L1558" s="2">
        <v>48687</v>
      </c>
      <c r="M1558" s="2"/>
      <c r="N1558" s="2">
        <v>48016</v>
      </c>
      <c r="P1558" s="2">
        <v>48780</v>
      </c>
      <c r="Q1558" s="2"/>
      <c r="R1558" s="2">
        <v>47918</v>
      </c>
      <c r="AB1558" s="2"/>
    </row>
    <row r="1559" spans="8:28" ht="15" customHeight="1">
      <c r="H1559" s="2">
        <v>48831</v>
      </c>
      <c r="I1559" s="2"/>
      <c r="J1559" s="2">
        <v>47864</v>
      </c>
      <c r="K1559" s="2"/>
      <c r="L1559" s="2">
        <v>48683</v>
      </c>
      <c r="M1559" s="2"/>
      <c r="N1559" s="2">
        <v>48017</v>
      </c>
      <c r="P1559" s="2">
        <v>48779</v>
      </c>
      <c r="Q1559" s="2"/>
      <c r="R1559" s="2">
        <v>47919</v>
      </c>
      <c r="AB1559" s="2"/>
    </row>
    <row r="1560" spans="8:28" ht="15" customHeight="1">
      <c r="H1560" s="2">
        <v>48830</v>
      </c>
      <c r="I1560" s="2"/>
      <c r="J1560" s="2">
        <v>47865</v>
      </c>
      <c r="K1560" s="2"/>
      <c r="L1560" s="2">
        <v>48682</v>
      </c>
      <c r="M1560" s="2"/>
      <c r="N1560" s="2">
        <v>48019</v>
      </c>
      <c r="P1560" s="2">
        <v>48778</v>
      </c>
      <c r="Q1560" s="2"/>
      <c r="R1560" s="2">
        <v>47920</v>
      </c>
      <c r="AB1560" s="2"/>
    </row>
    <row r="1561" spans="8:28" ht="15" customHeight="1">
      <c r="H1561" s="2">
        <v>48829</v>
      </c>
      <c r="I1561" s="2"/>
      <c r="J1561" s="2">
        <v>47869</v>
      </c>
      <c r="K1561" s="2"/>
      <c r="L1561" s="2">
        <v>48681</v>
      </c>
      <c r="M1561" s="2"/>
      <c r="N1561" s="2">
        <v>48022</v>
      </c>
      <c r="P1561" s="2">
        <v>48775</v>
      </c>
      <c r="Q1561" s="2"/>
      <c r="R1561" s="2">
        <v>47921</v>
      </c>
      <c r="AB1561" s="2"/>
    </row>
    <row r="1562" spans="8:28" ht="15" customHeight="1">
      <c r="H1562" s="2">
        <v>48828</v>
      </c>
      <c r="I1562" s="2"/>
      <c r="J1562" s="2">
        <v>47870</v>
      </c>
      <c r="K1562" s="2"/>
      <c r="L1562" s="2">
        <v>48680</v>
      </c>
      <c r="M1562" s="2"/>
      <c r="N1562" s="2">
        <v>48023</v>
      </c>
      <c r="P1562" s="2">
        <v>48774</v>
      </c>
      <c r="Q1562" s="2"/>
      <c r="R1562" s="2">
        <v>47924</v>
      </c>
      <c r="AB1562" s="2"/>
    </row>
    <row r="1563" spans="8:28" ht="15" customHeight="1">
      <c r="H1563" s="2">
        <v>48824</v>
      </c>
      <c r="I1563" s="2"/>
      <c r="J1563" s="2">
        <v>47871</v>
      </c>
      <c r="K1563" s="2"/>
      <c r="L1563" s="2">
        <v>48677</v>
      </c>
      <c r="M1563" s="2"/>
      <c r="N1563" s="2">
        <v>48024</v>
      </c>
      <c r="P1563" s="2">
        <v>48773</v>
      </c>
      <c r="Q1563" s="2"/>
      <c r="R1563" s="2">
        <v>47925</v>
      </c>
      <c r="AB1563" s="2"/>
    </row>
    <row r="1564" spans="8:28" ht="15" customHeight="1">
      <c r="H1564" s="2">
        <v>48823</v>
      </c>
      <c r="I1564" s="2"/>
      <c r="J1564" s="2">
        <v>47872</v>
      </c>
      <c r="K1564" s="2"/>
      <c r="L1564" s="2">
        <v>48676</v>
      </c>
      <c r="M1564" s="2"/>
      <c r="N1564" s="2">
        <v>48025</v>
      </c>
      <c r="P1564" s="2">
        <v>48772</v>
      </c>
      <c r="Q1564" s="2"/>
      <c r="R1564" s="2">
        <v>47926</v>
      </c>
      <c r="AB1564" s="2"/>
    </row>
    <row r="1565" spans="8:28" ht="15" customHeight="1">
      <c r="H1565" s="2">
        <v>48822</v>
      </c>
      <c r="I1565" s="2"/>
      <c r="J1565" s="2">
        <v>47875</v>
      </c>
      <c r="K1565" s="2"/>
      <c r="L1565" s="2">
        <v>48675</v>
      </c>
      <c r="M1565" s="2"/>
      <c r="N1565" s="2">
        <v>48026</v>
      </c>
      <c r="P1565" s="2">
        <v>48771</v>
      </c>
      <c r="Q1565" s="2"/>
      <c r="R1565" s="2">
        <v>47927</v>
      </c>
      <c r="AB1565" s="2"/>
    </row>
    <row r="1566" spans="8:28" ht="15" customHeight="1">
      <c r="H1566" s="2">
        <v>48821</v>
      </c>
      <c r="I1566" s="2"/>
      <c r="J1566" s="2">
        <v>47876</v>
      </c>
      <c r="K1566" s="2"/>
      <c r="L1566" s="2">
        <v>48674</v>
      </c>
      <c r="M1566" s="2"/>
      <c r="N1566" s="2">
        <v>48029</v>
      </c>
      <c r="P1566" s="2">
        <v>48768</v>
      </c>
      <c r="Q1566" s="2"/>
      <c r="R1566" s="2">
        <v>47928</v>
      </c>
      <c r="AB1566" s="2"/>
    </row>
    <row r="1567" spans="8:28" ht="15" customHeight="1">
      <c r="H1567" s="2">
        <v>48820</v>
      </c>
      <c r="I1567" s="2"/>
      <c r="J1567" s="2">
        <v>47877</v>
      </c>
      <c r="K1567" s="2"/>
      <c r="L1567" s="2">
        <v>48673</v>
      </c>
      <c r="M1567" s="2"/>
      <c r="N1567" s="2">
        <v>48030</v>
      </c>
      <c r="P1567" s="2">
        <v>48767</v>
      </c>
      <c r="Q1567" s="2"/>
      <c r="R1567" s="2">
        <v>47931</v>
      </c>
      <c r="AB1567" s="2"/>
    </row>
    <row r="1568" spans="8:28" ht="15" customHeight="1">
      <c r="H1568" s="2">
        <v>48817</v>
      </c>
      <c r="I1568" s="2"/>
      <c r="J1568" s="2">
        <v>47878</v>
      </c>
      <c r="K1568" s="2"/>
      <c r="L1568" s="2">
        <v>48670</v>
      </c>
      <c r="M1568" s="2"/>
      <c r="N1568" s="2">
        <v>48031</v>
      </c>
      <c r="P1568" s="2">
        <v>48766</v>
      </c>
      <c r="Q1568" s="2"/>
      <c r="R1568" s="2">
        <v>47932</v>
      </c>
      <c r="AB1568" s="2"/>
    </row>
    <row r="1569" spans="8:28" ht="15" customHeight="1">
      <c r="H1569" s="2">
        <v>48816</v>
      </c>
      <c r="I1569" s="2"/>
      <c r="J1569" s="2">
        <v>47879</v>
      </c>
      <c r="K1569" s="2"/>
      <c r="L1569" s="2">
        <v>48669</v>
      </c>
      <c r="M1569" s="2"/>
      <c r="N1569" s="2">
        <v>48032</v>
      </c>
      <c r="P1569" s="2">
        <v>48765</v>
      </c>
      <c r="Q1569" s="2"/>
      <c r="R1569" s="2">
        <v>47933</v>
      </c>
      <c r="AB1569" s="2"/>
    </row>
    <row r="1570" spans="8:28" ht="15" customHeight="1">
      <c r="H1570" s="2">
        <v>48815</v>
      </c>
      <c r="I1570" s="2"/>
      <c r="J1570" s="2">
        <v>47882</v>
      </c>
      <c r="K1570" s="2"/>
      <c r="L1570" s="2">
        <v>48668</v>
      </c>
      <c r="M1570" s="2"/>
      <c r="N1570" s="2">
        <v>48036</v>
      </c>
      <c r="P1570" s="2">
        <v>48764</v>
      </c>
      <c r="Q1570" s="2"/>
      <c r="R1570" s="2">
        <v>47934</v>
      </c>
      <c r="AB1570" s="2"/>
    </row>
    <row r="1571" spans="8:28" ht="15" customHeight="1">
      <c r="H1571" s="2">
        <v>48814</v>
      </c>
      <c r="I1571" s="2"/>
      <c r="J1571" s="2">
        <v>47883</v>
      </c>
      <c r="K1571" s="2"/>
      <c r="L1571" s="2">
        <v>48667</v>
      </c>
      <c r="M1571" s="2"/>
      <c r="N1571" s="2">
        <v>48037</v>
      </c>
      <c r="P1571" s="2">
        <v>48761</v>
      </c>
      <c r="Q1571" s="2"/>
      <c r="R1571" s="2">
        <v>47935</v>
      </c>
      <c r="AB1571" s="2"/>
    </row>
    <row r="1572" spans="8:28" ht="15" customHeight="1">
      <c r="H1572" s="2">
        <v>48813</v>
      </c>
      <c r="I1572" s="2"/>
      <c r="J1572" s="2">
        <v>47884</v>
      </c>
      <c r="K1572" s="2"/>
      <c r="L1572" s="2">
        <v>48666</v>
      </c>
      <c r="M1572" s="2"/>
      <c r="N1572" s="2">
        <v>48038</v>
      </c>
      <c r="P1572" s="2">
        <v>48760</v>
      </c>
      <c r="Q1572" s="2"/>
      <c r="R1572" s="2">
        <v>47938</v>
      </c>
      <c r="AB1572" s="2"/>
    </row>
    <row r="1573" spans="8:28" ht="15" customHeight="1">
      <c r="H1573" s="2">
        <v>48810</v>
      </c>
      <c r="I1573" s="2"/>
      <c r="J1573" s="2">
        <v>47885</v>
      </c>
      <c r="K1573" s="2"/>
      <c r="L1573" s="2">
        <v>48663</v>
      </c>
      <c r="M1573" s="2"/>
      <c r="N1573" s="2">
        <v>48039</v>
      </c>
      <c r="P1573" s="2">
        <v>48759</v>
      </c>
      <c r="Q1573" s="2"/>
      <c r="R1573" s="2">
        <v>47939</v>
      </c>
      <c r="AB1573" s="2"/>
    </row>
    <row r="1574" spans="8:28" ht="15" customHeight="1">
      <c r="H1574" s="2">
        <v>48809</v>
      </c>
      <c r="I1574" s="2"/>
      <c r="J1574" s="2">
        <v>47886</v>
      </c>
      <c r="K1574" s="2"/>
      <c r="L1574" s="2">
        <v>48662</v>
      </c>
      <c r="M1574" s="2"/>
      <c r="N1574" s="2">
        <v>48040</v>
      </c>
      <c r="P1574" s="2">
        <v>48758</v>
      </c>
      <c r="Q1574" s="2"/>
      <c r="R1574" s="2">
        <v>47940</v>
      </c>
      <c r="AB1574" s="2"/>
    </row>
    <row r="1575" spans="8:28" ht="15" customHeight="1">
      <c r="H1575" s="2">
        <v>48808</v>
      </c>
      <c r="I1575" s="2"/>
      <c r="J1575" s="2">
        <v>47889</v>
      </c>
      <c r="K1575" s="2"/>
      <c r="L1575" s="2">
        <v>48661</v>
      </c>
      <c r="M1575" s="2"/>
      <c r="N1575" s="2">
        <v>48043</v>
      </c>
      <c r="P1575" s="2">
        <v>48757</v>
      </c>
      <c r="Q1575" s="2"/>
      <c r="R1575" s="2">
        <v>47941</v>
      </c>
      <c r="AB1575" s="2"/>
    </row>
    <row r="1576" spans="8:28" ht="15" customHeight="1">
      <c r="H1576" s="2">
        <v>48807</v>
      </c>
      <c r="I1576" s="2"/>
      <c r="J1576" s="2">
        <v>47890</v>
      </c>
      <c r="K1576" s="2"/>
      <c r="L1576" s="2">
        <v>48660</v>
      </c>
      <c r="M1576" s="2"/>
      <c r="N1576" s="2">
        <v>48044</v>
      </c>
      <c r="P1576" s="2">
        <v>48754</v>
      </c>
      <c r="Q1576" s="2"/>
      <c r="R1576" s="2">
        <v>47942</v>
      </c>
      <c r="AB1576" s="2"/>
    </row>
    <row r="1577" spans="8:28" ht="15" customHeight="1">
      <c r="H1577" s="2">
        <v>48806</v>
      </c>
      <c r="I1577" s="2"/>
      <c r="J1577" s="2">
        <v>47891</v>
      </c>
      <c r="K1577" s="2"/>
      <c r="L1577" s="2">
        <v>48656</v>
      </c>
      <c r="M1577" s="2"/>
      <c r="N1577" s="2">
        <v>48045</v>
      </c>
      <c r="P1577" s="2">
        <v>48753</v>
      </c>
      <c r="Q1577" s="2"/>
      <c r="R1577" s="2">
        <v>47945</v>
      </c>
      <c r="AB1577" s="2"/>
    </row>
    <row r="1578" spans="8:28" ht="15" customHeight="1">
      <c r="H1578" s="2">
        <v>48803</v>
      </c>
      <c r="I1578" s="2"/>
      <c r="J1578" s="2">
        <v>47892</v>
      </c>
      <c r="K1578" s="2"/>
      <c r="L1578" s="2">
        <v>48655</v>
      </c>
      <c r="M1578" s="2"/>
      <c r="N1578" s="2">
        <v>48046</v>
      </c>
      <c r="P1578" s="2">
        <v>48752</v>
      </c>
      <c r="Q1578" s="2"/>
      <c r="R1578" s="2">
        <v>47946</v>
      </c>
      <c r="AB1578" s="2"/>
    </row>
    <row r="1579" spans="8:28" ht="15" customHeight="1">
      <c r="H1579" s="2">
        <v>48802</v>
      </c>
      <c r="I1579" s="2"/>
      <c r="J1579" s="2">
        <v>47893</v>
      </c>
      <c r="K1579" s="2"/>
      <c r="L1579" s="2">
        <v>48654</v>
      </c>
      <c r="M1579" s="2"/>
      <c r="N1579" s="2">
        <v>48047</v>
      </c>
      <c r="P1579" s="2">
        <v>48751</v>
      </c>
      <c r="Q1579" s="2"/>
      <c r="R1579" s="2">
        <v>47947</v>
      </c>
      <c r="AB1579" s="2"/>
    </row>
    <row r="1580" spans="8:28" ht="15" customHeight="1">
      <c r="H1580" s="2">
        <v>48801</v>
      </c>
      <c r="I1580" s="2"/>
      <c r="J1580" s="2">
        <v>47897</v>
      </c>
      <c r="K1580" s="2"/>
      <c r="L1580" s="2">
        <v>48653</v>
      </c>
      <c r="M1580" s="2"/>
      <c r="N1580" s="2">
        <v>48051</v>
      </c>
      <c r="P1580" s="2">
        <v>48750</v>
      </c>
      <c r="Q1580" s="2"/>
      <c r="R1580" s="2">
        <v>47948</v>
      </c>
      <c r="AB1580" s="2"/>
    </row>
    <row r="1581" spans="8:28" ht="15" customHeight="1">
      <c r="H1581" s="2">
        <v>48800</v>
      </c>
      <c r="I1581" s="2"/>
      <c r="J1581" s="2">
        <v>47898</v>
      </c>
      <c r="K1581" s="2"/>
      <c r="L1581" s="2">
        <v>48652</v>
      </c>
      <c r="M1581" s="2"/>
      <c r="N1581" s="2">
        <v>48052</v>
      </c>
      <c r="P1581" s="2">
        <v>48747</v>
      </c>
      <c r="Q1581" s="2"/>
      <c r="R1581" s="2">
        <v>47949</v>
      </c>
      <c r="AB1581" s="2"/>
    </row>
    <row r="1582" spans="8:28" ht="15" customHeight="1">
      <c r="H1582" s="2">
        <v>48799</v>
      </c>
      <c r="I1582" s="2"/>
      <c r="J1582" s="2">
        <v>47899</v>
      </c>
      <c r="K1582" s="2"/>
      <c r="L1582" s="2">
        <v>48649</v>
      </c>
      <c r="M1582" s="2"/>
      <c r="N1582" s="2">
        <v>48053</v>
      </c>
      <c r="P1582" s="2">
        <v>48746</v>
      </c>
      <c r="Q1582" s="2"/>
      <c r="R1582" s="2">
        <v>47952</v>
      </c>
      <c r="AB1582" s="2"/>
    </row>
    <row r="1583" spans="8:28" ht="15" customHeight="1">
      <c r="H1583" s="2">
        <v>48796</v>
      </c>
      <c r="I1583" s="2"/>
      <c r="J1583" s="2">
        <v>47900</v>
      </c>
      <c r="K1583" s="2"/>
      <c r="L1583" s="2">
        <v>48648</v>
      </c>
      <c r="M1583" s="2"/>
      <c r="N1583" s="2">
        <v>48054</v>
      </c>
      <c r="P1583" s="2">
        <v>48745</v>
      </c>
      <c r="Q1583" s="2"/>
      <c r="R1583" s="2">
        <v>47953</v>
      </c>
      <c r="AB1583" s="2"/>
    </row>
    <row r="1584" spans="8:28" ht="15" customHeight="1">
      <c r="H1584" s="2">
        <v>48795</v>
      </c>
      <c r="I1584" s="2"/>
      <c r="J1584" s="2">
        <v>47903</v>
      </c>
      <c r="K1584" s="2"/>
      <c r="L1584" s="2">
        <v>48647</v>
      </c>
      <c r="M1584" s="2"/>
      <c r="N1584" s="2">
        <v>48057</v>
      </c>
      <c r="P1584" s="2">
        <v>48744</v>
      </c>
      <c r="Q1584" s="2"/>
      <c r="R1584" s="2">
        <v>47954</v>
      </c>
      <c r="AB1584" s="2"/>
    </row>
    <row r="1585" spans="8:28" ht="15" customHeight="1">
      <c r="H1585" s="2">
        <v>48794</v>
      </c>
      <c r="I1585" s="2"/>
      <c r="J1585" s="2">
        <v>47904</v>
      </c>
      <c r="K1585" s="2"/>
      <c r="L1585" s="2">
        <v>48646</v>
      </c>
      <c r="M1585" s="2"/>
      <c r="N1585" s="2">
        <v>48058</v>
      </c>
      <c r="P1585" s="2">
        <v>48743</v>
      </c>
      <c r="Q1585" s="2"/>
      <c r="R1585" s="2">
        <v>47955</v>
      </c>
      <c r="AB1585" s="2"/>
    </row>
    <row r="1586" spans="8:28" ht="15" customHeight="1">
      <c r="H1586" s="2">
        <v>48793</v>
      </c>
      <c r="I1586" s="2"/>
      <c r="J1586" s="2">
        <v>47905</v>
      </c>
      <c r="K1586" s="2"/>
      <c r="L1586" s="2">
        <v>48645</v>
      </c>
      <c r="M1586" s="2"/>
      <c r="N1586" s="2">
        <v>48059</v>
      </c>
      <c r="P1586" s="2">
        <v>48740</v>
      </c>
      <c r="Q1586" s="2"/>
      <c r="R1586" s="2">
        <v>47956</v>
      </c>
      <c r="AB1586" s="2"/>
    </row>
    <row r="1587" spans="8:28" ht="15" customHeight="1">
      <c r="H1587" s="2">
        <v>48792</v>
      </c>
      <c r="I1587" s="2"/>
      <c r="J1587" s="2">
        <v>47906</v>
      </c>
      <c r="K1587" s="2"/>
      <c r="L1587" s="2">
        <v>48642</v>
      </c>
      <c r="M1587" s="2"/>
      <c r="N1587" s="2">
        <v>48060</v>
      </c>
      <c r="P1587" s="2">
        <v>48739</v>
      </c>
      <c r="Q1587" s="2"/>
      <c r="R1587" s="2">
        <v>47959</v>
      </c>
      <c r="AB1587" s="2"/>
    </row>
    <row r="1588" spans="8:28" ht="15" customHeight="1">
      <c r="H1588" s="2">
        <v>48789</v>
      </c>
      <c r="I1588" s="2"/>
      <c r="J1588" s="2">
        <v>47907</v>
      </c>
      <c r="K1588" s="2"/>
      <c r="L1588" s="2">
        <v>48641</v>
      </c>
      <c r="M1588" s="2"/>
      <c r="N1588" s="2">
        <v>48061</v>
      </c>
      <c r="P1588" s="2">
        <v>48738</v>
      </c>
      <c r="Q1588" s="2"/>
      <c r="R1588" s="2">
        <v>47960</v>
      </c>
      <c r="AB1588" s="2"/>
    </row>
    <row r="1589" spans="8:28" ht="15" customHeight="1">
      <c r="H1589" s="2">
        <v>48788</v>
      </c>
      <c r="I1589" s="2"/>
      <c r="J1589" s="2">
        <v>47910</v>
      </c>
      <c r="K1589" s="2"/>
      <c r="L1589" s="2">
        <v>48640</v>
      </c>
      <c r="M1589" s="2"/>
      <c r="N1589" s="2">
        <v>48064</v>
      </c>
      <c r="P1589" s="2">
        <v>48737</v>
      </c>
      <c r="Q1589" s="2"/>
      <c r="R1589" s="2">
        <v>47961</v>
      </c>
      <c r="AB1589" s="2"/>
    </row>
    <row r="1590" spans="8:28" ht="15" customHeight="1">
      <c r="H1590" s="2">
        <v>48787</v>
      </c>
      <c r="I1590" s="2"/>
      <c r="J1590" s="2">
        <v>47911</v>
      </c>
      <c r="K1590" s="2"/>
      <c r="L1590" s="2">
        <v>48639</v>
      </c>
      <c r="M1590" s="2"/>
      <c r="N1590" s="2">
        <v>48065</v>
      </c>
      <c r="P1590" s="2">
        <v>48733</v>
      </c>
      <c r="Q1590" s="2"/>
      <c r="R1590" s="2">
        <v>47962</v>
      </c>
      <c r="AB1590" s="2"/>
    </row>
    <row r="1591" spans="8:28" ht="15" customHeight="1">
      <c r="H1591" s="2">
        <v>48786</v>
      </c>
      <c r="I1591" s="2"/>
      <c r="J1591" s="2">
        <v>47912</v>
      </c>
      <c r="K1591" s="2"/>
      <c r="L1591" s="2">
        <v>48638</v>
      </c>
      <c r="M1591" s="2"/>
      <c r="N1591" s="2">
        <v>48066</v>
      </c>
      <c r="P1591" s="2">
        <v>48732</v>
      </c>
      <c r="Q1591" s="2"/>
      <c r="R1591" s="2">
        <v>47963</v>
      </c>
      <c r="AB1591" s="2"/>
    </row>
    <row r="1592" spans="8:28" ht="15" customHeight="1">
      <c r="H1592" s="2">
        <v>48785</v>
      </c>
      <c r="I1592" s="2"/>
      <c r="J1592" s="2">
        <v>47913</v>
      </c>
      <c r="K1592" s="2"/>
      <c r="L1592" s="2">
        <v>48635</v>
      </c>
      <c r="M1592" s="2"/>
      <c r="N1592" s="2">
        <v>48067</v>
      </c>
      <c r="P1592" s="2">
        <v>48731</v>
      </c>
      <c r="Q1592" s="2"/>
      <c r="R1592" s="2">
        <v>47966</v>
      </c>
      <c r="AB1592" s="2"/>
    </row>
    <row r="1593" spans="8:28" ht="15" customHeight="1">
      <c r="H1593" s="2">
        <v>48782</v>
      </c>
      <c r="I1593" s="2"/>
      <c r="J1593" s="2">
        <v>47914</v>
      </c>
      <c r="K1593" s="2"/>
      <c r="L1593" s="2">
        <v>48634</v>
      </c>
      <c r="M1593" s="2"/>
      <c r="N1593" s="2">
        <v>48068</v>
      </c>
      <c r="P1593" s="2">
        <v>48730</v>
      </c>
      <c r="Q1593" s="2"/>
      <c r="R1593" s="2">
        <v>47967</v>
      </c>
      <c r="AB1593" s="2"/>
    </row>
    <row r="1594" spans="8:28" ht="15" customHeight="1">
      <c r="H1594" s="2">
        <v>48781</v>
      </c>
      <c r="I1594" s="2"/>
      <c r="J1594" s="2">
        <v>47917</v>
      </c>
      <c r="K1594" s="2"/>
      <c r="L1594" s="2">
        <v>48632</v>
      </c>
      <c r="M1594" s="2"/>
      <c r="N1594" s="2">
        <v>48072</v>
      </c>
      <c r="P1594" s="2">
        <v>48729</v>
      </c>
      <c r="Q1594" s="2"/>
      <c r="R1594" s="2">
        <v>47968</v>
      </c>
      <c r="AB1594" s="2"/>
    </row>
    <row r="1595" spans="8:28" ht="15" customHeight="1">
      <c r="H1595" s="2">
        <v>48780</v>
      </c>
      <c r="I1595" s="2"/>
      <c r="J1595" s="2">
        <v>47918</v>
      </c>
      <c r="K1595" s="2"/>
      <c r="L1595" s="2">
        <v>48628</v>
      </c>
      <c r="M1595" s="2"/>
      <c r="N1595" s="2">
        <v>48073</v>
      </c>
      <c r="P1595" s="2">
        <v>48726</v>
      </c>
      <c r="Q1595" s="2"/>
      <c r="R1595" s="2">
        <v>47970</v>
      </c>
      <c r="AB1595" s="2"/>
    </row>
    <row r="1596" spans="8:28" ht="15" customHeight="1">
      <c r="H1596" s="2">
        <v>48779</v>
      </c>
      <c r="I1596" s="2"/>
      <c r="J1596" s="2">
        <v>47919</v>
      </c>
      <c r="K1596" s="2"/>
      <c r="L1596" s="2">
        <v>48627</v>
      </c>
      <c r="M1596" s="2"/>
      <c r="N1596" s="2">
        <v>48074</v>
      </c>
      <c r="P1596" s="2">
        <v>48725</v>
      </c>
      <c r="Q1596" s="2"/>
      <c r="R1596" s="2">
        <v>47974</v>
      </c>
      <c r="AB1596" s="2"/>
    </row>
    <row r="1597" spans="8:28" ht="15" customHeight="1">
      <c r="H1597" s="2">
        <v>48778</v>
      </c>
      <c r="I1597" s="2"/>
      <c r="J1597" s="2">
        <v>47920</v>
      </c>
      <c r="K1597" s="2"/>
      <c r="L1597" s="2">
        <v>48626</v>
      </c>
      <c r="M1597" s="2"/>
      <c r="N1597" s="2">
        <v>48075</v>
      </c>
      <c r="P1597" s="2">
        <v>48724</v>
      </c>
      <c r="Q1597" s="2"/>
      <c r="R1597" s="2">
        <v>47975</v>
      </c>
      <c r="AB1597" s="2"/>
    </row>
    <row r="1598" spans="8:28" ht="15" customHeight="1">
      <c r="H1598" s="2">
        <v>48775</v>
      </c>
      <c r="I1598" s="2"/>
      <c r="J1598" s="2">
        <v>47921</v>
      </c>
      <c r="K1598" s="2"/>
      <c r="L1598" s="2">
        <v>48625</v>
      </c>
      <c r="M1598" s="2"/>
      <c r="N1598" s="2">
        <v>48078</v>
      </c>
      <c r="P1598" s="2">
        <v>48723</v>
      </c>
      <c r="Q1598" s="2"/>
      <c r="R1598" s="2">
        <v>47976</v>
      </c>
      <c r="AB1598" s="2"/>
    </row>
    <row r="1599" spans="8:28" ht="15" customHeight="1">
      <c r="H1599" s="2">
        <v>48774</v>
      </c>
      <c r="I1599" s="2"/>
      <c r="J1599" s="2">
        <v>47924</v>
      </c>
      <c r="K1599" s="2"/>
      <c r="L1599" s="2">
        <v>48624</v>
      </c>
      <c r="M1599" s="2"/>
      <c r="N1599" s="2">
        <v>48079</v>
      </c>
      <c r="P1599" s="2">
        <v>48722</v>
      </c>
      <c r="Q1599" s="2"/>
      <c r="R1599" s="2">
        <v>47977</v>
      </c>
      <c r="AB1599" s="2"/>
    </row>
    <row r="1600" spans="8:28" ht="15" customHeight="1">
      <c r="H1600" s="2">
        <v>48773</v>
      </c>
      <c r="I1600" s="2"/>
      <c r="J1600" s="2">
        <v>47925</v>
      </c>
      <c r="K1600" s="2"/>
      <c r="L1600" s="2">
        <v>48620</v>
      </c>
      <c r="M1600" s="2"/>
      <c r="N1600" s="2">
        <v>48080</v>
      </c>
      <c r="P1600" s="2">
        <v>48719</v>
      </c>
      <c r="Q1600" s="2"/>
      <c r="R1600" s="2">
        <v>47980</v>
      </c>
      <c r="AB1600" s="2"/>
    </row>
    <row r="1601" spans="8:28" ht="15" customHeight="1">
      <c r="H1601" s="2">
        <v>48772</v>
      </c>
      <c r="I1601" s="2"/>
      <c r="J1601" s="2">
        <v>47926</v>
      </c>
      <c r="K1601" s="2"/>
      <c r="L1601" s="2">
        <v>48619</v>
      </c>
      <c r="M1601" s="2"/>
      <c r="N1601" s="2">
        <v>48081</v>
      </c>
      <c r="P1601" s="2">
        <v>48718</v>
      </c>
      <c r="Q1601" s="2"/>
      <c r="R1601" s="2">
        <v>47981</v>
      </c>
      <c r="AB1601" s="2"/>
    </row>
    <row r="1602" spans="8:28" ht="15" customHeight="1">
      <c r="H1602" s="2">
        <v>48771</v>
      </c>
      <c r="I1602" s="2"/>
      <c r="J1602" s="2">
        <v>47927</v>
      </c>
      <c r="K1602" s="2"/>
      <c r="L1602" s="2">
        <v>48618</v>
      </c>
      <c r="M1602" s="2"/>
      <c r="N1602" s="2">
        <v>48082</v>
      </c>
      <c r="P1602" s="2">
        <v>48717</v>
      </c>
      <c r="Q1602" s="2"/>
      <c r="R1602" s="2">
        <v>47982</v>
      </c>
      <c r="AB1602" s="2"/>
    </row>
    <row r="1603" spans="8:28" ht="15" customHeight="1">
      <c r="H1603" s="2">
        <v>48768</v>
      </c>
      <c r="I1603" s="2"/>
      <c r="J1603" s="2">
        <v>47928</v>
      </c>
      <c r="K1603" s="2"/>
      <c r="L1603" s="2">
        <v>48617</v>
      </c>
      <c r="M1603" s="2"/>
      <c r="N1603" s="2">
        <v>48085</v>
      </c>
      <c r="P1603" s="2">
        <v>48716</v>
      </c>
      <c r="Q1603" s="2"/>
      <c r="R1603" s="2">
        <v>47983</v>
      </c>
      <c r="AB1603" s="2"/>
    </row>
    <row r="1604" spans="8:28" ht="15" customHeight="1">
      <c r="H1604" s="2">
        <v>48767</v>
      </c>
      <c r="I1604" s="2"/>
      <c r="J1604" s="2">
        <v>47931</v>
      </c>
      <c r="K1604" s="2"/>
      <c r="L1604" s="2">
        <v>48614</v>
      </c>
      <c r="M1604" s="2"/>
      <c r="N1604" s="2">
        <v>48086</v>
      </c>
      <c r="P1604" s="2">
        <v>48715</v>
      </c>
      <c r="Q1604" s="2"/>
      <c r="R1604" s="2">
        <v>47984</v>
      </c>
      <c r="AB1604" s="2"/>
    </row>
    <row r="1605" spans="8:28" ht="15" customHeight="1">
      <c r="H1605" s="2">
        <v>48766</v>
      </c>
      <c r="I1605" s="2"/>
      <c r="J1605" s="2">
        <v>47932</v>
      </c>
      <c r="K1605" s="2"/>
      <c r="L1605" s="2">
        <v>48613</v>
      </c>
      <c r="M1605" s="2"/>
      <c r="N1605" s="2">
        <v>48087</v>
      </c>
      <c r="P1605" s="2">
        <v>48712</v>
      </c>
      <c r="Q1605" s="2"/>
      <c r="R1605" s="2">
        <v>47987</v>
      </c>
      <c r="AB1605" s="2"/>
    </row>
    <row r="1606" spans="8:28" ht="15" customHeight="1">
      <c r="H1606" s="2">
        <v>48765</v>
      </c>
      <c r="I1606" s="2"/>
      <c r="J1606" s="2">
        <v>47933</v>
      </c>
      <c r="K1606" s="2"/>
      <c r="L1606" s="2">
        <v>48612</v>
      </c>
      <c r="M1606" s="2"/>
      <c r="N1606" s="2">
        <v>48088</v>
      </c>
      <c r="P1606" s="2">
        <v>48711</v>
      </c>
      <c r="Q1606" s="2"/>
      <c r="R1606" s="2">
        <v>47988</v>
      </c>
      <c r="AB1606" s="2"/>
    </row>
    <row r="1607" spans="8:28" ht="15" customHeight="1">
      <c r="H1607" s="2">
        <v>48761</v>
      </c>
      <c r="I1607" s="2"/>
      <c r="J1607" s="2">
        <v>47934</v>
      </c>
      <c r="K1607" s="2"/>
      <c r="L1607" s="2">
        <v>48611</v>
      </c>
      <c r="M1607" s="2"/>
      <c r="N1607" s="2">
        <v>48089</v>
      </c>
      <c r="P1607" s="2">
        <v>48710</v>
      </c>
      <c r="Q1607" s="2"/>
      <c r="R1607" s="2">
        <v>47989</v>
      </c>
      <c r="AB1607" s="2"/>
    </row>
    <row r="1608" spans="8:28" ht="15" customHeight="1">
      <c r="H1608" s="2">
        <v>48760</v>
      </c>
      <c r="I1608" s="2"/>
      <c r="J1608" s="2">
        <v>47935</v>
      </c>
      <c r="K1608" s="2"/>
      <c r="L1608" s="2">
        <v>48610</v>
      </c>
      <c r="M1608" s="2"/>
      <c r="N1608" s="2">
        <v>48093</v>
      </c>
      <c r="P1608" s="2">
        <v>48709</v>
      </c>
      <c r="Q1608" s="2"/>
      <c r="R1608" s="2">
        <v>47990</v>
      </c>
      <c r="AB1608" s="2"/>
    </row>
    <row r="1609" spans="8:28" ht="15" customHeight="1">
      <c r="H1609" s="2">
        <v>48759</v>
      </c>
      <c r="I1609" s="2"/>
      <c r="J1609" s="2">
        <v>47938</v>
      </c>
      <c r="K1609" s="2"/>
      <c r="L1609" s="2">
        <v>48607</v>
      </c>
      <c r="M1609" s="2"/>
      <c r="N1609" s="2">
        <v>48094</v>
      </c>
      <c r="P1609" s="2">
        <v>48708</v>
      </c>
      <c r="Q1609" s="2"/>
      <c r="R1609" s="2">
        <v>47991</v>
      </c>
      <c r="AB1609" s="2"/>
    </row>
    <row r="1610" spans="8:28" ht="15" customHeight="1">
      <c r="H1610" s="2">
        <v>48758</v>
      </c>
      <c r="I1610" s="2"/>
      <c r="J1610" s="2">
        <v>47939</v>
      </c>
      <c r="K1610" s="2"/>
      <c r="L1610" s="2">
        <v>48606</v>
      </c>
      <c r="M1610" s="2"/>
      <c r="N1610" s="2">
        <v>48095</v>
      </c>
      <c r="P1610" s="2">
        <v>48703</v>
      </c>
      <c r="Q1610" s="2"/>
      <c r="R1610" s="2">
        <v>47994</v>
      </c>
      <c r="AB1610" s="2"/>
    </row>
    <row r="1611" spans="8:28" ht="15" customHeight="1">
      <c r="H1611" s="2">
        <v>48757</v>
      </c>
      <c r="I1611" s="2"/>
      <c r="J1611" s="2">
        <v>47940</v>
      </c>
      <c r="K1611" s="2"/>
      <c r="L1611" s="2">
        <v>48605</v>
      </c>
      <c r="M1611" s="2"/>
      <c r="N1611" s="2">
        <v>48096</v>
      </c>
      <c r="P1611" s="2">
        <v>48702</v>
      </c>
      <c r="Q1611" s="2"/>
      <c r="R1611" s="2">
        <v>47995</v>
      </c>
      <c r="AB1611" s="2"/>
    </row>
    <row r="1612" spans="8:28" ht="15" customHeight="1">
      <c r="H1612" s="2">
        <v>48754</v>
      </c>
      <c r="I1612" s="2"/>
      <c r="J1612" s="2">
        <v>47941</v>
      </c>
      <c r="K1612" s="2"/>
      <c r="L1612" s="2">
        <v>48604</v>
      </c>
      <c r="M1612" s="2"/>
      <c r="N1612" s="2">
        <v>48099</v>
      </c>
      <c r="P1612" s="2">
        <v>48701</v>
      </c>
      <c r="Q1612" s="2"/>
      <c r="R1612" s="2">
        <v>47997</v>
      </c>
      <c r="AB1612" s="2"/>
    </row>
    <row r="1613" spans="8:28" ht="15" customHeight="1">
      <c r="H1613" s="2">
        <v>48753</v>
      </c>
      <c r="I1613" s="2"/>
      <c r="J1613" s="2">
        <v>47942</v>
      </c>
      <c r="K1613" s="2"/>
      <c r="L1613" s="2">
        <v>48603</v>
      </c>
      <c r="M1613" s="2"/>
      <c r="N1613" s="2">
        <v>48100</v>
      </c>
      <c r="P1613" s="2">
        <v>48698</v>
      </c>
      <c r="Q1613" s="2"/>
      <c r="R1613" s="2">
        <v>47998</v>
      </c>
      <c r="AB1613" s="2"/>
    </row>
    <row r="1614" spans="8:28" ht="15" customHeight="1">
      <c r="H1614" s="2">
        <v>48752</v>
      </c>
      <c r="I1614" s="2"/>
      <c r="J1614" s="2">
        <v>47945</v>
      </c>
      <c r="K1614" s="2"/>
      <c r="L1614" s="2">
        <v>48600</v>
      </c>
      <c r="M1614" s="2"/>
      <c r="N1614" s="2">
        <v>48101</v>
      </c>
      <c r="P1614" s="2">
        <v>48697</v>
      </c>
      <c r="Q1614" s="2"/>
      <c r="R1614" s="2">
        <v>48001</v>
      </c>
      <c r="AB1614" s="2"/>
    </row>
    <row r="1615" spans="8:28" ht="15" customHeight="1">
      <c r="H1615" s="2">
        <v>48751</v>
      </c>
      <c r="I1615" s="2"/>
      <c r="J1615" s="2">
        <v>47946</v>
      </c>
      <c r="K1615" s="2"/>
      <c r="L1615" s="2">
        <v>48599</v>
      </c>
      <c r="M1615" s="2"/>
      <c r="N1615" s="2">
        <v>48102</v>
      </c>
      <c r="P1615" s="2">
        <v>48696</v>
      </c>
      <c r="Q1615" s="2"/>
      <c r="R1615" s="2">
        <v>48002</v>
      </c>
      <c r="AB1615" s="2"/>
    </row>
    <row r="1616" spans="8:28" ht="15" customHeight="1">
      <c r="H1616" s="2">
        <v>48747</v>
      </c>
      <c r="I1616" s="2"/>
      <c r="J1616" s="2">
        <v>47947</v>
      </c>
      <c r="K1616" s="2"/>
      <c r="L1616" s="2">
        <v>48598</v>
      </c>
      <c r="M1616" s="2"/>
      <c r="N1616" s="2">
        <v>48103</v>
      </c>
      <c r="P1616" s="2">
        <v>48695</v>
      </c>
      <c r="Q1616" s="2"/>
      <c r="R1616" s="2">
        <v>48003</v>
      </c>
      <c r="AB1616" s="2"/>
    </row>
    <row r="1617" spans="8:28" ht="15" customHeight="1">
      <c r="H1617" s="2">
        <v>48746</v>
      </c>
      <c r="I1617" s="2"/>
      <c r="J1617" s="2">
        <v>47948</v>
      </c>
      <c r="K1617" s="2"/>
      <c r="L1617" s="2">
        <v>48597</v>
      </c>
      <c r="M1617" s="2"/>
      <c r="N1617" s="2">
        <v>48107</v>
      </c>
      <c r="P1617" s="2">
        <v>48694</v>
      </c>
      <c r="Q1617" s="2"/>
      <c r="R1617" s="2">
        <v>48004</v>
      </c>
      <c r="AB1617" s="2"/>
    </row>
    <row r="1618" spans="8:28" ht="15" customHeight="1">
      <c r="H1618" s="2">
        <v>48745</v>
      </c>
      <c r="I1618" s="2"/>
      <c r="J1618" s="2">
        <v>47952</v>
      </c>
      <c r="K1618" s="2"/>
      <c r="L1618" s="2">
        <v>48593</v>
      </c>
      <c r="M1618" s="2"/>
      <c r="N1618" s="2">
        <v>48108</v>
      </c>
      <c r="P1618" s="2">
        <v>48691</v>
      </c>
      <c r="Q1618" s="2"/>
      <c r="R1618" s="2">
        <v>48008</v>
      </c>
      <c r="AB1618" s="2"/>
    </row>
    <row r="1619" spans="8:28" ht="15" customHeight="1">
      <c r="H1619" s="2">
        <v>48744</v>
      </c>
      <c r="I1619" s="2"/>
      <c r="J1619" s="2">
        <v>47953</v>
      </c>
      <c r="K1619" s="2"/>
      <c r="L1619" s="2">
        <v>48592</v>
      </c>
      <c r="M1619" s="2"/>
      <c r="N1619" s="2">
        <v>48109</v>
      </c>
      <c r="P1619" s="2">
        <v>48690</v>
      </c>
      <c r="Q1619" s="2"/>
      <c r="R1619" s="2">
        <v>48009</v>
      </c>
      <c r="AB1619" s="2"/>
    </row>
    <row r="1620" spans="8:28" ht="15" customHeight="1">
      <c r="H1620" s="2">
        <v>48743</v>
      </c>
      <c r="I1620" s="2"/>
      <c r="J1620" s="2">
        <v>47954</v>
      </c>
      <c r="K1620" s="2"/>
      <c r="L1620" s="2">
        <v>48591</v>
      </c>
      <c r="M1620" s="2"/>
      <c r="N1620" s="2">
        <v>48110</v>
      </c>
      <c r="P1620" s="2">
        <v>48689</v>
      </c>
      <c r="Q1620" s="2"/>
      <c r="R1620" s="2">
        <v>48010</v>
      </c>
      <c r="AB1620" s="2"/>
    </row>
    <row r="1621" spans="8:28" ht="15" customHeight="1">
      <c r="H1621" s="2">
        <v>48740</v>
      </c>
      <c r="I1621" s="2"/>
      <c r="J1621" s="2">
        <v>47955</v>
      </c>
      <c r="K1621" s="2"/>
      <c r="L1621" s="2">
        <v>48590</v>
      </c>
      <c r="M1621" s="2"/>
      <c r="N1621" s="2">
        <v>48113</v>
      </c>
      <c r="P1621" s="2">
        <v>48688</v>
      </c>
      <c r="Q1621" s="2"/>
      <c r="R1621" s="2">
        <v>48011</v>
      </c>
      <c r="AB1621" s="2"/>
    </row>
    <row r="1622" spans="8:28" ht="15" customHeight="1">
      <c r="H1622" s="2">
        <v>48739</v>
      </c>
      <c r="I1622" s="2"/>
      <c r="J1622" s="2">
        <v>47956</v>
      </c>
      <c r="K1622" s="2"/>
      <c r="L1622" s="2">
        <v>48586</v>
      </c>
      <c r="M1622" s="2"/>
      <c r="N1622" s="2">
        <v>48115</v>
      </c>
      <c r="P1622" s="2">
        <v>48687</v>
      </c>
      <c r="Q1622" s="2"/>
      <c r="R1622" s="2">
        <v>48012</v>
      </c>
      <c r="AB1622" s="2"/>
    </row>
    <row r="1623" spans="8:28" ht="15" customHeight="1">
      <c r="H1623" s="2">
        <v>48738</v>
      </c>
      <c r="I1623" s="2"/>
      <c r="J1623" s="2">
        <v>47959</v>
      </c>
      <c r="K1623" s="2"/>
      <c r="L1623" s="2">
        <v>48585</v>
      </c>
      <c r="M1623" s="2"/>
      <c r="N1623" s="2">
        <v>48116</v>
      </c>
      <c r="P1623" s="2">
        <v>48684</v>
      </c>
      <c r="Q1623" s="2"/>
      <c r="R1623" s="2">
        <v>48015</v>
      </c>
      <c r="AB1623" s="2"/>
    </row>
    <row r="1624" spans="8:28" ht="15" customHeight="1">
      <c r="H1624" s="2">
        <v>48737</v>
      </c>
      <c r="I1624" s="2"/>
      <c r="J1624" s="2">
        <v>47960</v>
      </c>
      <c r="K1624" s="2"/>
      <c r="L1624" s="2">
        <v>48584</v>
      </c>
      <c r="M1624" s="2"/>
      <c r="N1624" s="2">
        <v>48117</v>
      </c>
      <c r="P1624" s="2">
        <v>48683</v>
      </c>
      <c r="Q1624" s="2"/>
      <c r="R1624" s="2">
        <v>48016</v>
      </c>
      <c r="AB1624" s="2"/>
    </row>
    <row r="1625" spans="8:28" ht="15" customHeight="1">
      <c r="H1625" s="2">
        <v>48736</v>
      </c>
      <c r="I1625" s="2"/>
      <c r="J1625" s="2">
        <v>47961</v>
      </c>
      <c r="K1625" s="2"/>
      <c r="L1625" s="2">
        <v>48583</v>
      </c>
      <c r="M1625" s="2"/>
      <c r="N1625" s="2">
        <v>48120</v>
      </c>
      <c r="P1625" s="2">
        <v>48682</v>
      </c>
      <c r="Q1625" s="2"/>
      <c r="R1625" s="2">
        <v>48017</v>
      </c>
      <c r="AB1625" s="2"/>
    </row>
    <row r="1626" spans="8:28" ht="15" customHeight="1">
      <c r="H1626" s="2">
        <v>48733</v>
      </c>
      <c r="I1626" s="2"/>
      <c r="J1626" s="2">
        <v>47962</v>
      </c>
      <c r="K1626" s="2"/>
      <c r="L1626" s="2">
        <v>48578</v>
      </c>
      <c r="M1626" s="2"/>
      <c r="N1626" s="2">
        <v>48121</v>
      </c>
      <c r="P1626" s="2">
        <v>48681</v>
      </c>
      <c r="Q1626" s="2"/>
      <c r="R1626" s="2">
        <v>48018</v>
      </c>
      <c r="AB1626" s="2"/>
    </row>
    <row r="1627" spans="8:28" ht="15" customHeight="1">
      <c r="H1627" s="2">
        <v>48732</v>
      </c>
      <c r="I1627" s="2"/>
      <c r="J1627" s="2">
        <v>47963</v>
      </c>
      <c r="K1627" s="2"/>
      <c r="L1627" s="2">
        <v>48577</v>
      </c>
      <c r="M1627" s="2"/>
      <c r="N1627" s="2">
        <v>48122</v>
      </c>
      <c r="P1627" s="2">
        <v>48680</v>
      </c>
      <c r="Q1627" s="2"/>
      <c r="R1627" s="2">
        <v>48019</v>
      </c>
      <c r="AB1627" s="2"/>
    </row>
    <row r="1628" spans="8:28" ht="15" customHeight="1">
      <c r="H1628" s="2">
        <v>48731</v>
      </c>
      <c r="I1628" s="2"/>
      <c r="J1628" s="2">
        <v>47966</v>
      </c>
      <c r="K1628" s="2"/>
      <c r="L1628" s="2">
        <v>48576</v>
      </c>
      <c r="M1628" s="2"/>
      <c r="N1628" s="2">
        <v>48123</v>
      </c>
      <c r="P1628" s="2">
        <v>48677</v>
      </c>
      <c r="Q1628" s="2"/>
      <c r="R1628" s="2">
        <v>48022</v>
      </c>
      <c r="AB1628" s="2"/>
    </row>
    <row r="1629" spans="8:28" ht="15" customHeight="1">
      <c r="H1629" s="2">
        <v>48730</v>
      </c>
      <c r="I1629" s="2"/>
      <c r="J1629" s="2">
        <v>47967</v>
      </c>
      <c r="K1629" s="2"/>
      <c r="L1629" s="2">
        <v>48575</v>
      </c>
      <c r="M1629" s="2"/>
      <c r="N1629" s="2">
        <v>48124</v>
      </c>
      <c r="P1629" s="2">
        <v>48676</v>
      </c>
      <c r="Q1629" s="2"/>
      <c r="R1629" s="2">
        <v>48023</v>
      </c>
      <c r="AB1629" s="2"/>
    </row>
    <row r="1630" spans="8:28" ht="15" customHeight="1">
      <c r="H1630" s="2">
        <v>48726</v>
      </c>
      <c r="I1630" s="2"/>
      <c r="J1630" s="2">
        <v>47968</v>
      </c>
      <c r="K1630" s="2"/>
      <c r="L1630" s="2">
        <v>48571</v>
      </c>
      <c r="M1630" s="2"/>
      <c r="N1630" s="2">
        <v>48127</v>
      </c>
      <c r="P1630" s="2">
        <v>48675</v>
      </c>
      <c r="Q1630" s="2"/>
      <c r="R1630" s="2">
        <v>48024</v>
      </c>
      <c r="AB1630" s="2"/>
    </row>
    <row r="1631" spans="8:28" ht="15" customHeight="1">
      <c r="H1631" s="2">
        <v>48725</v>
      </c>
      <c r="I1631" s="2"/>
      <c r="J1631" s="2">
        <v>47969</v>
      </c>
      <c r="K1631" s="2"/>
      <c r="L1631" s="2">
        <v>48570</v>
      </c>
      <c r="M1631" s="2"/>
      <c r="N1631" s="2">
        <v>48128</v>
      </c>
      <c r="P1631" s="2">
        <v>48674</v>
      </c>
      <c r="Q1631" s="2"/>
      <c r="R1631" s="2">
        <v>48025</v>
      </c>
      <c r="AB1631" s="2"/>
    </row>
    <row r="1632" spans="8:28" ht="15" customHeight="1">
      <c r="H1632" s="2">
        <v>48724</v>
      </c>
      <c r="I1632" s="2"/>
      <c r="J1632" s="2">
        <v>47970</v>
      </c>
      <c r="K1632" s="2"/>
      <c r="L1632" s="2">
        <v>48569</v>
      </c>
      <c r="M1632" s="2"/>
      <c r="N1632" s="2">
        <v>48129</v>
      </c>
      <c r="P1632" s="2">
        <v>48673</v>
      </c>
      <c r="Q1632" s="2"/>
      <c r="R1632" s="2">
        <v>48026</v>
      </c>
      <c r="AB1632" s="2"/>
    </row>
    <row r="1633" spans="8:28" ht="15" customHeight="1">
      <c r="H1633" s="2">
        <v>48723</v>
      </c>
      <c r="I1633" s="2"/>
      <c r="J1633" s="2">
        <v>47973</v>
      </c>
      <c r="K1633" s="2"/>
      <c r="L1633" s="2">
        <v>48568</v>
      </c>
      <c r="M1633" s="2"/>
      <c r="N1633" s="2">
        <v>48130</v>
      </c>
      <c r="P1633" s="2">
        <v>48670</v>
      </c>
      <c r="Q1633" s="2"/>
      <c r="R1633" s="2">
        <v>48029</v>
      </c>
      <c r="AB1633" s="2"/>
    </row>
    <row r="1634" spans="8:28" ht="15" customHeight="1">
      <c r="H1634" s="2">
        <v>48722</v>
      </c>
      <c r="I1634" s="2"/>
      <c r="J1634" s="2">
        <v>47974</v>
      </c>
      <c r="K1634" s="2"/>
      <c r="L1634" s="2">
        <v>48565</v>
      </c>
      <c r="M1634" s="2"/>
      <c r="N1634" s="2">
        <v>48131</v>
      </c>
      <c r="P1634" s="2">
        <v>48669</v>
      </c>
      <c r="Q1634" s="2"/>
      <c r="R1634" s="2">
        <v>48030</v>
      </c>
      <c r="AB1634" s="2"/>
    </row>
    <row r="1635" spans="8:28" ht="15" customHeight="1">
      <c r="H1635" s="2">
        <v>48719</v>
      </c>
      <c r="I1635" s="2"/>
      <c r="J1635" s="2">
        <v>47975</v>
      </c>
      <c r="K1635" s="2"/>
      <c r="L1635" s="2">
        <v>48564</v>
      </c>
      <c r="M1635" s="2"/>
      <c r="N1635" s="2">
        <v>48135</v>
      </c>
      <c r="P1635" s="2">
        <v>48668</v>
      </c>
      <c r="Q1635" s="2"/>
      <c r="R1635" s="2">
        <v>48031</v>
      </c>
      <c r="AB1635" s="2"/>
    </row>
    <row r="1636" spans="8:28" ht="15" customHeight="1">
      <c r="H1636" s="2">
        <v>48718</v>
      </c>
      <c r="I1636" s="2"/>
      <c r="J1636" s="2">
        <v>47976</v>
      </c>
      <c r="K1636" s="2"/>
      <c r="L1636" s="2">
        <v>48563</v>
      </c>
      <c r="M1636" s="2"/>
      <c r="N1636" s="2">
        <v>48136</v>
      </c>
      <c r="P1636" s="2">
        <v>48667</v>
      </c>
      <c r="Q1636" s="2"/>
      <c r="R1636" s="2">
        <v>48032</v>
      </c>
      <c r="AB1636" s="2"/>
    </row>
    <row r="1637" spans="8:28" ht="15" customHeight="1">
      <c r="H1637" s="2">
        <v>48717</v>
      </c>
      <c r="I1637" s="2"/>
      <c r="J1637" s="2">
        <v>47977</v>
      </c>
      <c r="K1637" s="2"/>
      <c r="L1637" s="2">
        <v>48562</v>
      </c>
      <c r="M1637" s="2"/>
      <c r="N1637" s="2">
        <v>48137</v>
      </c>
      <c r="P1637" s="2">
        <v>48666</v>
      </c>
      <c r="Q1637" s="2"/>
      <c r="R1637" s="2">
        <v>48033</v>
      </c>
      <c r="AB1637" s="2"/>
    </row>
    <row r="1638" spans="8:28" ht="15" customHeight="1">
      <c r="H1638" s="2">
        <v>48716</v>
      </c>
      <c r="I1638" s="2"/>
      <c r="J1638" s="2">
        <v>47980</v>
      </c>
      <c r="K1638" s="2"/>
      <c r="L1638" s="2">
        <v>48561</v>
      </c>
      <c r="M1638" s="2"/>
      <c r="N1638" s="2">
        <v>48138</v>
      </c>
      <c r="P1638" s="2">
        <v>48663</v>
      </c>
      <c r="Q1638" s="2"/>
      <c r="R1638" s="2">
        <v>48036</v>
      </c>
      <c r="AB1638" s="2"/>
    </row>
    <row r="1639" spans="8:28" ht="15" customHeight="1">
      <c r="H1639" s="2">
        <v>48715</v>
      </c>
      <c r="I1639" s="2"/>
      <c r="J1639" s="2">
        <v>47981</v>
      </c>
      <c r="K1639" s="2"/>
      <c r="L1639" s="2">
        <v>48558</v>
      </c>
      <c r="M1639" s="2"/>
      <c r="N1639" s="2">
        <v>48141</v>
      </c>
      <c r="P1639" s="2">
        <v>48662</v>
      </c>
      <c r="Q1639" s="2"/>
      <c r="R1639" s="2">
        <v>48037</v>
      </c>
      <c r="AB1639" s="2"/>
    </row>
    <row r="1640" spans="8:28" ht="15" customHeight="1">
      <c r="H1640" s="2">
        <v>48712</v>
      </c>
      <c r="I1640" s="2"/>
      <c r="J1640" s="2">
        <v>47982</v>
      </c>
      <c r="K1640" s="2"/>
      <c r="L1640" s="2">
        <v>48557</v>
      </c>
      <c r="M1640" s="2"/>
      <c r="N1640" s="2">
        <v>48142</v>
      </c>
      <c r="P1640" s="2">
        <v>48661</v>
      </c>
      <c r="Q1640" s="2"/>
      <c r="R1640" s="2">
        <v>48038</v>
      </c>
      <c r="AB1640" s="2"/>
    </row>
    <row r="1641" spans="8:28" ht="15" customHeight="1">
      <c r="H1641" s="2">
        <v>48711</v>
      </c>
      <c r="I1641" s="2"/>
      <c r="J1641" s="2">
        <v>47983</v>
      </c>
      <c r="K1641" s="2"/>
      <c r="L1641" s="2">
        <v>48556</v>
      </c>
      <c r="M1641" s="2"/>
      <c r="N1641" s="2">
        <v>48143</v>
      </c>
      <c r="P1641" s="2">
        <v>48660</v>
      </c>
      <c r="Q1641" s="2"/>
      <c r="R1641" s="2">
        <v>48039</v>
      </c>
      <c r="AB1641" s="2"/>
    </row>
    <row r="1642" spans="8:28" ht="15" customHeight="1">
      <c r="H1642" s="2">
        <v>48710</v>
      </c>
      <c r="I1642" s="2"/>
      <c r="J1642" s="2">
        <v>47984</v>
      </c>
      <c r="K1642" s="2"/>
      <c r="L1642" s="2">
        <v>48555</v>
      </c>
      <c r="M1642" s="2"/>
      <c r="N1642" s="2">
        <v>48144</v>
      </c>
      <c r="P1642" s="2">
        <v>48659</v>
      </c>
      <c r="Q1642" s="2"/>
      <c r="R1642" s="2">
        <v>48040</v>
      </c>
      <c r="AB1642" s="2"/>
    </row>
    <row r="1643" spans="8:28" ht="15" customHeight="1">
      <c r="H1643" s="2">
        <v>48709</v>
      </c>
      <c r="I1643" s="2"/>
      <c r="J1643" s="2">
        <v>47987</v>
      </c>
      <c r="K1643" s="2"/>
      <c r="L1643" s="2">
        <v>48554</v>
      </c>
      <c r="M1643" s="2"/>
      <c r="N1643" s="2">
        <v>48145</v>
      </c>
      <c r="P1643" s="2">
        <v>48656</v>
      </c>
      <c r="Q1643" s="2"/>
      <c r="R1643" s="2">
        <v>48043</v>
      </c>
      <c r="AB1643" s="2"/>
    </row>
    <row r="1644" spans="8:28" ht="15" customHeight="1">
      <c r="H1644" s="2">
        <v>48708</v>
      </c>
      <c r="I1644" s="2"/>
      <c r="J1644" s="2">
        <v>47988</v>
      </c>
      <c r="K1644" s="2"/>
      <c r="L1644" s="2">
        <v>48551</v>
      </c>
      <c r="M1644" s="2"/>
      <c r="N1644" s="2">
        <v>48148</v>
      </c>
      <c r="P1644" s="2">
        <v>48655</v>
      </c>
      <c r="Q1644" s="2"/>
      <c r="R1644" s="2">
        <v>48044</v>
      </c>
      <c r="AB1644" s="2"/>
    </row>
    <row r="1645" spans="8:28" ht="15" customHeight="1">
      <c r="H1645" s="2">
        <v>48705</v>
      </c>
      <c r="I1645" s="2"/>
      <c r="J1645" s="2">
        <v>47989</v>
      </c>
      <c r="K1645" s="2"/>
      <c r="L1645" s="2">
        <v>48550</v>
      </c>
      <c r="M1645" s="2"/>
      <c r="N1645" s="2">
        <v>48149</v>
      </c>
      <c r="P1645" s="2">
        <v>48654</v>
      </c>
      <c r="Q1645" s="2"/>
      <c r="R1645" s="2">
        <v>48045</v>
      </c>
      <c r="AB1645" s="2"/>
    </row>
    <row r="1646" spans="8:28" ht="15" customHeight="1">
      <c r="H1646" s="2">
        <v>48704</v>
      </c>
      <c r="I1646" s="2"/>
      <c r="J1646" s="2">
        <v>47990</v>
      </c>
      <c r="K1646" s="2"/>
      <c r="L1646" s="2">
        <v>48549</v>
      </c>
      <c r="M1646" s="2"/>
      <c r="N1646" s="2">
        <v>48150</v>
      </c>
      <c r="P1646" s="2">
        <v>48653</v>
      </c>
      <c r="Q1646" s="2"/>
      <c r="R1646" s="2">
        <v>48046</v>
      </c>
      <c r="AB1646" s="2"/>
    </row>
    <row r="1647" spans="8:28" ht="15" customHeight="1">
      <c r="H1647" s="2">
        <v>48703</v>
      </c>
      <c r="I1647" s="2"/>
      <c r="J1647" s="2">
        <v>47991</v>
      </c>
      <c r="K1647" s="2"/>
      <c r="L1647" s="2">
        <v>48548</v>
      </c>
      <c r="M1647" s="2"/>
      <c r="N1647" s="2">
        <v>48151</v>
      </c>
      <c r="P1647" s="2">
        <v>48652</v>
      </c>
      <c r="Q1647" s="2"/>
      <c r="R1647" s="2">
        <v>48047</v>
      </c>
      <c r="AB1647" s="2"/>
    </row>
    <row r="1648" spans="8:28" ht="15" customHeight="1">
      <c r="H1648" s="2">
        <v>48702</v>
      </c>
      <c r="I1648" s="2"/>
      <c r="J1648" s="2">
        <v>47995</v>
      </c>
      <c r="K1648" s="2"/>
      <c r="L1648" s="2">
        <v>48547</v>
      </c>
      <c r="M1648" s="2"/>
      <c r="N1648" s="2">
        <v>48152</v>
      </c>
      <c r="P1648" s="2">
        <v>48649</v>
      </c>
      <c r="Q1648" s="2"/>
      <c r="R1648" s="2">
        <v>48050</v>
      </c>
      <c r="AB1648" s="2"/>
    </row>
    <row r="1649" spans="8:28" ht="15" customHeight="1">
      <c r="H1649" s="2">
        <v>48701</v>
      </c>
      <c r="I1649" s="2"/>
      <c r="J1649" s="2">
        <v>47996</v>
      </c>
      <c r="K1649" s="2"/>
      <c r="L1649" s="2">
        <v>48544</v>
      </c>
      <c r="M1649" s="2"/>
      <c r="N1649" s="2">
        <v>48156</v>
      </c>
      <c r="P1649" s="2">
        <v>48648</v>
      </c>
      <c r="Q1649" s="2"/>
      <c r="R1649" s="2">
        <v>48051</v>
      </c>
      <c r="AB1649" s="2"/>
    </row>
    <row r="1650" spans="8:28" ht="15" customHeight="1">
      <c r="H1650" s="2">
        <v>48698</v>
      </c>
      <c r="I1650" s="2"/>
      <c r="J1650" s="2">
        <v>47997</v>
      </c>
      <c r="K1650" s="2"/>
      <c r="L1650" s="2">
        <v>48542</v>
      </c>
      <c r="M1650" s="2"/>
      <c r="N1650" s="2">
        <v>48157</v>
      </c>
      <c r="P1650" s="2">
        <v>48647</v>
      </c>
      <c r="Q1650" s="2"/>
      <c r="R1650" s="2">
        <v>48052</v>
      </c>
      <c r="AB1650" s="2"/>
    </row>
    <row r="1651" spans="8:28" ht="15" customHeight="1">
      <c r="H1651" s="2">
        <v>48697</v>
      </c>
      <c r="I1651" s="2"/>
      <c r="J1651" s="2">
        <v>47998</v>
      </c>
      <c r="K1651" s="2"/>
      <c r="L1651" s="2">
        <v>48540</v>
      </c>
      <c r="M1651" s="2"/>
      <c r="N1651" s="2">
        <v>48158</v>
      </c>
      <c r="P1651" s="2">
        <v>48646</v>
      </c>
      <c r="Q1651" s="2"/>
      <c r="R1651" s="2">
        <v>48053</v>
      </c>
      <c r="AB1651" s="2"/>
    </row>
    <row r="1652" spans="8:28" ht="15" customHeight="1">
      <c r="H1652" s="2">
        <v>48696</v>
      </c>
      <c r="I1652" s="2"/>
      <c r="J1652" s="2">
        <v>48001</v>
      </c>
      <c r="K1652" s="2"/>
      <c r="L1652" s="2">
        <v>48537</v>
      </c>
      <c r="M1652" s="2"/>
      <c r="N1652" s="2">
        <v>48159</v>
      </c>
      <c r="P1652" s="2">
        <v>48645</v>
      </c>
      <c r="Q1652" s="2"/>
      <c r="R1652" s="2">
        <v>48054</v>
      </c>
      <c r="AB1652" s="2"/>
    </row>
    <row r="1653" spans="8:28" ht="15" customHeight="1">
      <c r="H1653" s="2">
        <v>48695</v>
      </c>
      <c r="I1653" s="2"/>
      <c r="J1653" s="2">
        <v>48002</v>
      </c>
      <c r="K1653" s="2"/>
      <c r="L1653" s="2">
        <v>48536</v>
      </c>
      <c r="M1653" s="2"/>
      <c r="N1653" s="2">
        <v>48162</v>
      </c>
      <c r="P1653" s="2">
        <v>48642</v>
      </c>
      <c r="Q1653" s="2"/>
      <c r="R1653" s="2">
        <v>48057</v>
      </c>
      <c r="AB1653" s="2"/>
    </row>
    <row r="1654" spans="8:28" ht="15" customHeight="1">
      <c r="H1654" s="2">
        <v>48694</v>
      </c>
      <c r="I1654" s="2"/>
      <c r="J1654" s="2">
        <v>48003</v>
      </c>
      <c r="K1654" s="2"/>
      <c r="L1654" s="2">
        <v>48535</v>
      </c>
      <c r="M1654" s="2"/>
      <c r="N1654" s="2">
        <v>48163</v>
      </c>
      <c r="P1654" s="2">
        <v>48641</v>
      </c>
      <c r="Q1654" s="2"/>
      <c r="R1654" s="2">
        <v>48058</v>
      </c>
      <c r="AB1654" s="2"/>
    </row>
    <row r="1655" spans="8:28" ht="15" customHeight="1">
      <c r="H1655" s="2">
        <v>48691</v>
      </c>
      <c r="I1655" s="2"/>
      <c r="J1655" s="2">
        <v>48004</v>
      </c>
      <c r="K1655" s="2"/>
      <c r="L1655" s="2">
        <v>48534</v>
      </c>
      <c r="M1655" s="2"/>
      <c r="N1655" s="2">
        <v>48164</v>
      </c>
      <c r="P1655" s="2">
        <v>48640</v>
      </c>
      <c r="Q1655" s="2"/>
      <c r="R1655" s="2">
        <v>48059</v>
      </c>
      <c r="AB1655" s="2"/>
    </row>
    <row r="1656" spans="8:28" ht="15" customHeight="1">
      <c r="H1656" s="2">
        <v>48690</v>
      </c>
      <c r="I1656" s="2"/>
      <c r="J1656" s="2">
        <v>48005</v>
      </c>
      <c r="K1656" s="2"/>
      <c r="L1656" s="2">
        <v>48533</v>
      </c>
      <c r="M1656" s="2"/>
      <c r="N1656" s="2">
        <v>48165</v>
      </c>
      <c r="P1656" s="2">
        <v>48638</v>
      </c>
      <c r="Q1656" s="2"/>
      <c r="R1656" s="2">
        <v>48060</v>
      </c>
      <c r="AB1656" s="2"/>
    </row>
    <row r="1657" spans="8:28" ht="15" customHeight="1">
      <c r="H1657" s="2">
        <v>48689</v>
      </c>
      <c r="I1657" s="2"/>
      <c r="J1657" s="2">
        <v>48008</v>
      </c>
      <c r="K1657" s="2"/>
      <c r="L1657" s="2">
        <v>48530</v>
      </c>
      <c r="M1657" s="2"/>
      <c r="N1657" s="2">
        <v>48166</v>
      </c>
      <c r="P1657" s="2">
        <v>48635</v>
      </c>
      <c r="Q1657" s="2"/>
      <c r="R1657" s="2">
        <v>48061</v>
      </c>
      <c r="AB1657" s="2"/>
    </row>
    <row r="1658" spans="8:28" ht="15" customHeight="1">
      <c r="H1658" s="2">
        <v>48688</v>
      </c>
      <c r="I1658" s="2"/>
      <c r="J1658" s="2">
        <v>48009</v>
      </c>
      <c r="K1658" s="2"/>
      <c r="L1658" s="2">
        <v>48529</v>
      </c>
      <c r="M1658" s="2"/>
      <c r="N1658" s="2">
        <v>48169</v>
      </c>
      <c r="P1658" s="2">
        <v>48634</v>
      </c>
      <c r="Q1658" s="2"/>
      <c r="R1658" s="2">
        <v>48064</v>
      </c>
      <c r="AB1658" s="2"/>
    </row>
    <row r="1659" spans="8:28" ht="15" customHeight="1">
      <c r="H1659" s="2">
        <v>48687</v>
      </c>
      <c r="I1659" s="2"/>
      <c r="J1659" s="2">
        <v>48010</v>
      </c>
      <c r="K1659" s="2"/>
      <c r="L1659" s="2">
        <v>48528</v>
      </c>
      <c r="M1659" s="2"/>
      <c r="N1659" s="2">
        <v>48170</v>
      </c>
      <c r="P1659" s="2">
        <v>48633</v>
      </c>
      <c r="Q1659" s="2"/>
      <c r="R1659" s="2">
        <v>48065</v>
      </c>
      <c r="AB1659" s="2"/>
    </row>
    <row r="1660" spans="8:28" ht="15" customHeight="1">
      <c r="H1660" s="2">
        <v>48683</v>
      </c>
      <c r="I1660" s="2"/>
      <c r="J1660" s="2">
        <v>48011</v>
      </c>
      <c r="K1660" s="2"/>
      <c r="L1660" s="2">
        <v>48527</v>
      </c>
      <c r="M1660" s="2"/>
      <c r="N1660" s="2">
        <v>48171</v>
      </c>
      <c r="P1660" s="2">
        <v>48632</v>
      </c>
      <c r="Q1660" s="2"/>
      <c r="R1660" s="2">
        <v>48066</v>
      </c>
      <c r="AB1660" s="2"/>
    </row>
    <row r="1661" spans="8:28" ht="15" customHeight="1">
      <c r="H1661" s="2">
        <v>48682</v>
      </c>
      <c r="I1661" s="2"/>
      <c r="J1661" s="2">
        <v>48012</v>
      </c>
      <c r="K1661" s="2"/>
      <c r="L1661" s="2">
        <v>48526</v>
      </c>
      <c r="M1661" s="2"/>
      <c r="N1661" s="2">
        <v>48172</v>
      </c>
      <c r="P1661" s="2">
        <v>48631</v>
      </c>
      <c r="Q1661" s="2"/>
      <c r="R1661" s="2">
        <v>48067</v>
      </c>
      <c r="AB1661" s="2"/>
    </row>
    <row r="1662" spans="8:28" ht="15" customHeight="1">
      <c r="H1662" s="2">
        <v>48681</v>
      </c>
      <c r="I1662" s="2"/>
      <c r="J1662" s="2">
        <v>48015</v>
      </c>
      <c r="K1662" s="2"/>
      <c r="L1662" s="2">
        <v>48523</v>
      </c>
      <c r="M1662" s="2"/>
      <c r="N1662" s="2">
        <v>48173</v>
      </c>
      <c r="P1662" s="2">
        <v>48628</v>
      </c>
      <c r="Q1662" s="2"/>
      <c r="R1662" s="2">
        <v>48068</v>
      </c>
      <c r="AB1662" s="2"/>
    </row>
    <row r="1663" spans="8:28" ht="15" customHeight="1">
      <c r="H1663" s="2">
        <v>48680</v>
      </c>
      <c r="I1663" s="2"/>
      <c r="J1663" s="2">
        <v>48016</v>
      </c>
      <c r="K1663" s="2"/>
      <c r="L1663" s="2">
        <v>48522</v>
      </c>
      <c r="M1663" s="2"/>
      <c r="N1663" s="2">
        <v>48177</v>
      </c>
      <c r="P1663" s="2">
        <v>48627</v>
      </c>
      <c r="Q1663" s="2"/>
      <c r="R1663" s="2">
        <v>48071</v>
      </c>
      <c r="AB1663" s="2"/>
    </row>
    <row r="1664" spans="8:28" ht="15" customHeight="1">
      <c r="H1664" s="2">
        <v>48677</v>
      </c>
      <c r="I1664" s="2"/>
      <c r="J1664" s="2">
        <v>48017</v>
      </c>
      <c r="K1664" s="2"/>
      <c r="L1664" s="2">
        <v>48520</v>
      </c>
      <c r="M1664" s="2"/>
      <c r="N1664" s="2">
        <v>48178</v>
      </c>
      <c r="P1664" s="2">
        <v>48626</v>
      </c>
      <c r="Q1664" s="2"/>
      <c r="R1664" s="2">
        <v>48072</v>
      </c>
      <c r="AB1664" s="2"/>
    </row>
    <row r="1665" spans="8:28" ht="15" customHeight="1">
      <c r="H1665" s="2">
        <v>48676</v>
      </c>
      <c r="I1665" s="2"/>
      <c r="J1665" s="2">
        <v>48019</v>
      </c>
      <c r="K1665" s="2"/>
      <c r="L1665" s="2">
        <v>48519</v>
      </c>
      <c r="M1665" s="2"/>
      <c r="N1665" s="2">
        <v>48180</v>
      </c>
      <c r="P1665" s="2">
        <v>48625</v>
      </c>
      <c r="Q1665" s="2"/>
      <c r="R1665" s="2">
        <v>48073</v>
      </c>
      <c r="AB1665" s="2"/>
    </row>
    <row r="1666" spans="8:28" ht="15" customHeight="1">
      <c r="H1666" s="2">
        <v>48675</v>
      </c>
      <c r="I1666" s="2"/>
      <c r="J1666" s="2">
        <v>48022</v>
      </c>
      <c r="K1666" s="2"/>
      <c r="L1666" s="2">
        <v>48516</v>
      </c>
      <c r="M1666" s="2"/>
      <c r="N1666" s="2">
        <v>48183</v>
      </c>
      <c r="P1666" s="2">
        <v>48624</v>
      </c>
      <c r="Q1666" s="2"/>
      <c r="R1666" s="2">
        <v>48074</v>
      </c>
      <c r="AB1666" s="2"/>
    </row>
    <row r="1667" spans="8:28" ht="15" customHeight="1">
      <c r="H1667" s="2">
        <v>48674</v>
      </c>
      <c r="I1667" s="2"/>
      <c r="J1667" s="2">
        <v>48023</v>
      </c>
      <c r="K1667" s="2"/>
      <c r="L1667" s="2">
        <v>48515</v>
      </c>
      <c r="M1667" s="2"/>
      <c r="N1667" s="2">
        <v>48184</v>
      </c>
      <c r="P1667" s="2">
        <v>48621</v>
      </c>
      <c r="Q1667" s="2"/>
      <c r="R1667" s="2">
        <v>48078</v>
      </c>
      <c r="AB1667" s="2"/>
    </row>
    <row r="1668" spans="8:28" ht="15" customHeight="1">
      <c r="H1668" s="2">
        <v>48673</v>
      </c>
      <c r="I1668" s="2"/>
      <c r="J1668" s="2">
        <v>48024</v>
      </c>
      <c r="K1668" s="2"/>
      <c r="L1668" s="2">
        <v>48514</v>
      </c>
      <c r="M1668" s="2"/>
      <c r="N1668" s="2">
        <v>48185</v>
      </c>
      <c r="P1668" s="2">
        <v>48620</v>
      </c>
      <c r="Q1668" s="2"/>
      <c r="R1668" s="2">
        <v>48079</v>
      </c>
      <c r="AB1668" s="2"/>
    </row>
    <row r="1669" spans="8:28" ht="15" customHeight="1">
      <c r="H1669" s="2">
        <v>48670</v>
      </c>
      <c r="I1669" s="2"/>
      <c r="J1669" s="2">
        <v>48025</v>
      </c>
      <c r="K1669" s="2"/>
      <c r="L1669" s="2">
        <v>48513</v>
      </c>
      <c r="M1669" s="2"/>
      <c r="N1669" s="2">
        <v>48186</v>
      </c>
      <c r="P1669" s="2">
        <v>48619</v>
      </c>
      <c r="Q1669" s="2"/>
      <c r="R1669" s="2">
        <v>48080</v>
      </c>
      <c r="AB1669" s="2"/>
    </row>
    <row r="1670" spans="8:28" ht="15" customHeight="1">
      <c r="H1670" s="2">
        <v>48669</v>
      </c>
      <c r="I1670" s="2"/>
      <c r="J1670" s="2">
        <v>48026</v>
      </c>
      <c r="K1670" s="2"/>
      <c r="L1670" s="2">
        <v>48512</v>
      </c>
      <c r="M1670" s="2"/>
      <c r="N1670" s="2">
        <v>48187</v>
      </c>
      <c r="P1670" s="2">
        <v>48618</v>
      </c>
      <c r="Q1670" s="2"/>
      <c r="R1670" s="2">
        <v>48081</v>
      </c>
      <c r="AB1670" s="2"/>
    </row>
    <row r="1671" spans="8:28" ht="15" customHeight="1">
      <c r="H1671" s="2">
        <v>48668</v>
      </c>
      <c r="I1671" s="2"/>
      <c r="J1671" s="2">
        <v>48029</v>
      </c>
      <c r="K1671" s="2"/>
      <c r="L1671" s="2">
        <v>48509</v>
      </c>
      <c r="M1671" s="2"/>
      <c r="N1671" s="2">
        <v>48190</v>
      </c>
      <c r="P1671" s="2">
        <v>48617</v>
      </c>
      <c r="Q1671" s="2"/>
      <c r="R1671" s="2">
        <v>48082</v>
      </c>
      <c r="AB1671" s="2"/>
    </row>
    <row r="1672" spans="8:28" ht="15" customHeight="1">
      <c r="H1672" s="2">
        <v>48667</v>
      </c>
      <c r="I1672" s="2"/>
      <c r="J1672" s="2">
        <v>48030</v>
      </c>
      <c r="K1672" s="2"/>
      <c r="L1672" s="2">
        <v>48508</v>
      </c>
      <c r="M1672" s="2"/>
      <c r="N1672" s="2">
        <v>48191</v>
      </c>
      <c r="P1672" s="2">
        <v>48614</v>
      </c>
      <c r="Q1672" s="2"/>
      <c r="R1672" s="2">
        <v>48085</v>
      </c>
      <c r="AB1672" s="2"/>
    </row>
    <row r="1673" spans="8:28" ht="15" customHeight="1">
      <c r="H1673" s="2">
        <v>48666</v>
      </c>
      <c r="I1673" s="2"/>
      <c r="J1673" s="2">
        <v>48031</v>
      </c>
      <c r="K1673" s="2"/>
      <c r="L1673" s="2">
        <v>48507</v>
      </c>
      <c r="M1673" s="2"/>
      <c r="N1673" s="2">
        <v>48192</v>
      </c>
      <c r="P1673" s="2">
        <v>48613</v>
      </c>
      <c r="Q1673" s="2"/>
      <c r="R1673" s="2">
        <v>48086</v>
      </c>
      <c r="AB1673" s="2"/>
    </row>
    <row r="1674" spans="8:28" ht="15" customHeight="1">
      <c r="H1674" s="2">
        <v>48663</v>
      </c>
      <c r="I1674" s="2"/>
      <c r="J1674" s="2">
        <v>48032</v>
      </c>
      <c r="K1674" s="2"/>
      <c r="L1674" s="2">
        <v>48506</v>
      </c>
      <c r="M1674" s="2"/>
      <c r="N1674" s="2">
        <v>48193</v>
      </c>
      <c r="P1674" s="2">
        <v>48607</v>
      </c>
      <c r="Q1674" s="2"/>
      <c r="R1674" s="2">
        <v>48087</v>
      </c>
      <c r="AB1674" s="2"/>
    </row>
    <row r="1675" spans="8:28" ht="15" customHeight="1">
      <c r="H1675" s="2">
        <v>48662</v>
      </c>
      <c r="I1675" s="2"/>
      <c r="J1675" s="2">
        <v>48036</v>
      </c>
      <c r="K1675" s="2"/>
      <c r="L1675" s="2">
        <v>48505</v>
      </c>
      <c r="M1675" s="2"/>
      <c r="N1675" s="2">
        <v>48194</v>
      </c>
      <c r="P1675" s="2">
        <v>48606</v>
      </c>
      <c r="Q1675" s="2"/>
      <c r="R1675" s="2">
        <v>48088</v>
      </c>
      <c r="AB1675" s="2"/>
    </row>
    <row r="1676" spans="8:28" ht="15" customHeight="1">
      <c r="H1676" s="2">
        <v>48661</v>
      </c>
      <c r="I1676" s="2"/>
      <c r="J1676" s="2">
        <v>48037</v>
      </c>
      <c r="K1676" s="2"/>
      <c r="L1676" s="2">
        <v>48502</v>
      </c>
      <c r="M1676" s="2"/>
      <c r="N1676" s="2">
        <v>48197</v>
      </c>
      <c r="P1676" s="2">
        <v>48605</v>
      </c>
      <c r="Q1676" s="2"/>
      <c r="R1676" s="2">
        <v>48089</v>
      </c>
      <c r="AB1676" s="2"/>
    </row>
    <row r="1677" spans="8:28" ht="15" customHeight="1">
      <c r="H1677" s="2">
        <v>48660</v>
      </c>
      <c r="I1677" s="2"/>
      <c r="J1677" s="2">
        <v>48038</v>
      </c>
      <c r="K1677" s="2"/>
      <c r="L1677" s="2">
        <v>48501</v>
      </c>
      <c r="M1677" s="2"/>
      <c r="N1677" s="2">
        <v>48198</v>
      </c>
      <c r="P1677" s="2">
        <v>48604</v>
      </c>
      <c r="Q1677" s="2"/>
      <c r="R1677" s="2">
        <v>48092</v>
      </c>
      <c r="AB1677" s="2"/>
    </row>
    <row r="1678" spans="8:28" ht="15" customHeight="1">
      <c r="H1678" s="2">
        <v>48659</v>
      </c>
      <c r="I1678" s="2"/>
      <c r="J1678" s="2">
        <v>48039</v>
      </c>
      <c r="K1678" s="2"/>
      <c r="L1678" s="2">
        <v>48500</v>
      </c>
      <c r="M1678" s="2"/>
      <c r="N1678" s="2">
        <v>48199</v>
      </c>
      <c r="P1678" s="2">
        <v>48603</v>
      </c>
      <c r="Q1678" s="2"/>
      <c r="R1678" s="2">
        <v>48093</v>
      </c>
      <c r="AB1678" s="2"/>
    </row>
    <row r="1679" spans="8:28" ht="15" customHeight="1">
      <c r="H1679" s="2">
        <v>48656</v>
      </c>
      <c r="I1679" s="2"/>
      <c r="J1679" s="2">
        <v>48040</v>
      </c>
      <c r="K1679" s="2"/>
      <c r="L1679" s="2">
        <v>48499</v>
      </c>
      <c r="M1679" s="2"/>
      <c r="N1679" s="2">
        <v>48200</v>
      </c>
      <c r="P1679" s="2">
        <v>48600</v>
      </c>
      <c r="Q1679" s="2"/>
      <c r="R1679" s="2">
        <v>48094</v>
      </c>
      <c r="AB1679" s="2"/>
    </row>
    <row r="1680" spans="8:28" ht="15" customHeight="1">
      <c r="H1680" s="2">
        <v>48655</v>
      </c>
      <c r="I1680" s="2"/>
      <c r="J1680" s="2">
        <v>48043</v>
      </c>
      <c r="K1680" s="2"/>
      <c r="L1680" s="2">
        <v>48495</v>
      </c>
      <c r="M1680" s="2"/>
      <c r="N1680" s="2">
        <v>48201</v>
      </c>
      <c r="P1680" s="2">
        <v>48599</v>
      </c>
      <c r="Q1680" s="2"/>
      <c r="R1680" s="2">
        <v>48095</v>
      </c>
      <c r="AB1680" s="2"/>
    </row>
    <row r="1681" spans="8:28" ht="15" customHeight="1">
      <c r="H1681" s="2">
        <v>48654</v>
      </c>
      <c r="I1681" s="2"/>
      <c r="J1681" s="2">
        <v>48044</v>
      </c>
      <c r="K1681" s="2"/>
      <c r="L1681" s="2">
        <v>48494</v>
      </c>
      <c r="M1681" s="2"/>
      <c r="N1681" s="2">
        <v>48204</v>
      </c>
      <c r="P1681" s="2">
        <v>48598</v>
      </c>
      <c r="Q1681" s="2"/>
      <c r="R1681" s="2">
        <v>48096</v>
      </c>
      <c r="AB1681" s="2"/>
    </row>
    <row r="1682" spans="8:28" ht="15" customHeight="1">
      <c r="H1682" s="2">
        <v>48653</v>
      </c>
      <c r="I1682" s="2"/>
      <c r="J1682" s="2">
        <v>48045</v>
      </c>
      <c r="K1682" s="2"/>
      <c r="L1682" s="2">
        <v>48493</v>
      </c>
      <c r="M1682" s="2"/>
      <c r="N1682" s="2">
        <v>48205</v>
      </c>
      <c r="P1682" s="2">
        <v>48597</v>
      </c>
      <c r="Q1682" s="2"/>
      <c r="R1682" s="2">
        <v>48099</v>
      </c>
      <c r="AB1682" s="2"/>
    </row>
    <row r="1683" spans="8:28" ht="15" customHeight="1">
      <c r="H1683" s="2">
        <v>48652</v>
      </c>
      <c r="I1683" s="2"/>
      <c r="J1683" s="2">
        <v>48046</v>
      </c>
      <c r="K1683" s="2"/>
      <c r="L1683" s="2">
        <v>48492</v>
      </c>
      <c r="M1683" s="2"/>
      <c r="N1683" s="2">
        <v>48206</v>
      </c>
      <c r="P1683" s="2">
        <v>48596</v>
      </c>
      <c r="Q1683" s="2"/>
      <c r="R1683" s="2">
        <v>48100</v>
      </c>
      <c r="AB1683" s="2"/>
    </row>
    <row r="1684" spans="8:28" ht="15" customHeight="1">
      <c r="H1684" s="2">
        <v>48649</v>
      </c>
      <c r="I1684" s="2"/>
      <c r="J1684" s="2">
        <v>48047</v>
      </c>
      <c r="K1684" s="2"/>
      <c r="L1684" s="2">
        <v>48491</v>
      </c>
      <c r="M1684" s="2"/>
      <c r="N1684" s="2">
        <v>48208</v>
      </c>
      <c r="P1684" s="2">
        <v>48593</v>
      </c>
      <c r="Q1684" s="2"/>
      <c r="R1684" s="2">
        <v>48101</v>
      </c>
      <c r="AB1684" s="2"/>
    </row>
    <row r="1685" spans="8:28" ht="15" customHeight="1">
      <c r="H1685" s="2">
        <v>48648</v>
      </c>
      <c r="I1685" s="2"/>
      <c r="J1685" s="2">
        <v>48050</v>
      </c>
      <c r="K1685" s="2"/>
      <c r="L1685" s="2">
        <v>48488</v>
      </c>
      <c r="M1685" s="2"/>
      <c r="N1685" s="2">
        <v>48211</v>
      </c>
      <c r="P1685" s="2">
        <v>48592</v>
      </c>
      <c r="Q1685" s="2"/>
      <c r="R1685" s="2">
        <v>48102</v>
      </c>
      <c r="AB1685" s="2"/>
    </row>
    <row r="1686" spans="8:28" ht="15" customHeight="1">
      <c r="H1686" s="2">
        <v>48647</v>
      </c>
      <c r="I1686" s="2"/>
      <c r="J1686" s="2">
        <v>48051</v>
      </c>
      <c r="K1686" s="2"/>
      <c r="L1686" s="2">
        <v>48487</v>
      </c>
      <c r="M1686" s="2"/>
      <c r="N1686" s="2">
        <v>48212</v>
      </c>
      <c r="P1686" s="2">
        <v>48591</v>
      </c>
      <c r="Q1686" s="2"/>
      <c r="R1686" s="2">
        <v>48103</v>
      </c>
      <c r="AB1686" s="2"/>
    </row>
    <row r="1687" spans="8:28" ht="15" customHeight="1">
      <c r="H1687" s="2">
        <v>48646</v>
      </c>
      <c r="I1687" s="2"/>
      <c r="J1687" s="2">
        <v>48052</v>
      </c>
      <c r="K1687" s="2"/>
      <c r="L1687" s="2">
        <v>48486</v>
      </c>
      <c r="M1687" s="2"/>
      <c r="N1687" s="2">
        <v>48218</v>
      </c>
      <c r="P1687" s="2">
        <v>48590</v>
      </c>
      <c r="Q1687" s="2"/>
      <c r="R1687" s="2">
        <v>48106</v>
      </c>
      <c r="AB1687" s="2"/>
    </row>
    <row r="1688" spans="8:28" ht="15" customHeight="1">
      <c r="H1688" s="2">
        <v>48645</v>
      </c>
      <c r="I1688" s="2"/>
      <c r="J1688" s="2">
        <v>48053</v>
      </c>
      <c r="K1688" s="2"/>
      <c r="L1688" s="2">
        <v>48485</v>
      </c>
      <c r="M1688" s="2"/>
      <c r="N1688" s="2">
        <v>48219</v>
      </c>
      <c r="P1688" s="2">
        <v>48589</v>
      </c>
      <c r="Q1688" s="2"/>
      <c r="R1688" s="2">
        <v>48107</v>
      </c>
      <c r="AB1688" s="2"/>
    </row>
    <row r="1689" spans="8:28" ht="15" customHeight="1">
      <c r="H1689" s="2">
        <v>48642</v>
      </c>
      <c r="I1689" s="2"/>
      <c r="J1689" s="2">
        <v>48054</v>
      </c>
      <c r="K1689" s="2"/>
      <c r="L1689" s="2">
        <v>48484</v>
      </c>
      <c r="M1689" s="2"/>
      <c r="N1689" s="2">
        <v>48220</v>
      </c>
      <c r="P1689" s="2">
        <v>48586</v>
      </c>
      <c r="Q1689" s="2"/>
      <c r="R1689" s="2">
        <v>48108</v>
      </c>
      <c r="AB1689" s="2"/>
    </row>
    <row r="1690" spans="8:28" ht="15" customHeight="1">
      <c r="H1690" s="2">
        <v>48641</v>
      </c>
      <c r="I1690" s="2"/>
      <c r="J1690" s="2">
        <v>48057</v>
      </c>
      <c r="K1690" s="2"/>
      <c r="L1690" s="2">
        <v>48481</v>
      </c>
      <c r="M1690" s="2"/>
      <c r="N1690" s="2">
        <v>48221</v>
      </c>
      <c r="P1690" s="2">
        <v>48585</v>
      </c>
      <c r="Q1690" s="2"/>
      <c r="R1690" s="2">
        <v>48109</v>
      </c>
      <c r="AB1690" s="2"/>
    </row>
    <row r="1691" spans="8:28" ht="15" customHeight="1">
      <c r="H1691" s="2">
        <v>48640</v>
      </c>
      <c r="I1691" s="2"/>
      <c r="J1691" s="2">
        <v>48058</v>
      </c>
      <c r="K1691" s="2"/>
      <c r="L1691" s="2">
        <v>48480</v>
      </c>
      <c r="M1691" s="2"/>
      <c r="N1691" s="2">
        <v>48222</v>
      </c>
      <c r="P1691" s="2">
        <v>48584</v>
      </c>
      <c r="Q1691" s="2"/>
      <c r="R1691" s="2">
        <v>48110</v>
      </c>
      <c r="AB1691" s="2"/>
    </row>
    <row r="1692" spans="8:28" ht="15" customHeight="1">
      <c r="H1692" s="2">
        <v>48639</v>
      </c>
      <c r="I1692" s="2"/>
      <c r="J1692" s="2">
        <v>48059</v>
      </c>
      <c r="K1692" s="2"/>
      <c r="L1692" s="2">
        <v>48478</v>
      </c>
      <c r="M1692" s="2"/>
      <c r="N1692" s="2">
        <v>48226</v>
      </c>
      <c r="P1692" s="2">
        <v>48583</v>
      </c>
      <c r="Q1692" s="2"/>
      <c r="R1692" s="2">
        <v>48113</v>
      </c>
      <c r="AB1692" s="2"/>
    </row>
    <row r="1693" spans="8:28" ht="15" customHeight="1">
      <c r="H1693" s="2">
        <v>48638</v>
      </c>
      <c r="I1693" s="2"/>
      <c r="J1693" s="2">
        <v>48060</v>
      </c>
      <c r="K1693" s="2"/>
      <c r="L1693" s="2">
        <v>48474</v>
      </c>
      <c r="M1693" s="2"/>
      <c r="N1693" s="2">
        <v>48227</v>
      </c>
      <c r="P1693" s="2">
        <v>48582</v>
      </c>
      <c r="Q1693" s="2"/>
      <c r="R1693" s="2">
        <v>48114</v>
      </c>
      <c r="AB1693" s="2"/>
    </row>
    <row r="1694" spans="8:28" ht="15" customHeight="1">
      <c r="H1694" s="2">
        <v>48635</v>
      </c>
      <c r="I1694" s="2"/>
      <c r="J1694" s="2">
        <v>48061</v>
      </c>
      <c r="K1694" s="2"/>
      <c r="L1694" s="2">
        <v>48473</v>
      </c>
      <c r="M1694" s="2"/>
      <c r="N1694" s="2">
        <v>48228</v>
      </c>
      <c r="P1694" s="2">
        <v>48578</v>
      </c>
      <c r="Q1694" s="2"/>
      <c r="R1694" s="2">
        <v>48115</v>
      </c>
      <c r="AB1694" s="2"/>
    </row>
    <row r="1695" spans="8:28" ht="15" customHeight="1">
      <c r="H1695" s="2">
        <v>48634</v>
      </c>
      <c r="I1695" s="2"/>
      <c r="J1695" s="2">
        <v>48064</v>
      </c>
      <c r="K1695" s="2"/>
      <c r="L1695" s="2">
        <v>48472</v>
      </c>
      <c r="M1695" s="2"/>
      <c r="N1695" s="2">
        <v>48229</v>
      </c>
      <c r="P1695" s="2">
        <v>48577</v>
      </c>
      <c r="Q1695" s="2"/>
      <c r="R1695" s="2">
        <v>48116</v>
      </c>
      <c r="AB1695" s="2"/>
    </row>
    <row r="1696" spans="8:28" ht="15" customHeight="1">
      <c r="H1696" s="2">
        <v>48633</v>
      </c>
      <c r="I1696" s="2"/>
      <c r="J1696" s="2">
        <v>48065</v>
      </c>
      <c r="K1696" s="2"/>
      <c r="L1696" s="2">
        <v>48471</v>
      </c>
      <c r="M1696" s="2"/>
      <c r="N1696" s="2">
        <v>48233</v>
      </c>
      <c r="P1696" s="2">
        <v>48576</v>
      </c>
      <c r="Q1696" s="2"/>
      <c r="R1696" s="2">
        <v>48117</v>
      </c>
      <c r="AB1696" s="2"/>
    </row>
    <row r="1697" spans="8:28" ht="15" customHeight="1">
      <c r="H1697" s="2">
        <v>48632</v>
      </c>
      <c r="I1697" s="2"/>
      <c r="J1697" s="2">
        <v>48066</v>
      </c>
      <c r="K1697" s="2"/>
      <c r="L1697" s="2">
        <v>48470</v>
      </c>
      <c r="M1697" s="2"/>
      <c r="N1697" s="2">
        <v>48234</v>
      </c>
      <c r="P1697" s="2">
        <v>48572</v>
      </c>
      <c r="Q1697" s="2"/>
      <c r="R1697" s="2">
        <v>48120</v>
      </c>
      <c r="AB1697" s="2"/>
    </row>
    <row r="1698" spans="8:28" ht="15" customHeight="1">
      <c r="H1698" s="2">
        <v>48628</v>
      </c>
      <c r="I1698" s="2"/>
      <c r="J1698" s="2">
        <v>48067</v>
      </c>
      <c r="K1698" s="2"/>
      <c r="L1698" s="2">
        <v>48467</v>
      </c>
      <c r="M1698" s="2"/>
      <c r="N1698" s="2">
        <v>48235</v>
      </c>
      <c r="P1698" s="2">
        <v>48571</v>
      </c>
      <c r="Q1698" s="2"/>
      <c r="R1698" s="2">
        <v>48127</v>
      </c>
      <c r="AB1698" s="2"/>
    </row>
    <row r="1699" spans="8:28" ht="15" customHeight="1">
      <c r="H1699" s="2">
        <v>48627</v>
      </c>
      <c r="I1699" s="2"/>
      <c r="J1699" s="2">
        <v>48068</v>
      </c>
      <c r="K1699" s="2"/>
      <c r="L1699" s="2">
        <v>48466</v>
      </c>
      <c r="M1699" s="2"/>
      <c r="N1699" s="2">
        <v>48236</v>
      </c>
      <c r="P1699" s="2">
        <v>48570</v>
      </c>
      <c r="Q1699" s="2"/>
      <c r="R1699" s="2">
        <v>48128</v>
      </c>
      <c r="AB1699" s="2"/>
    </row>
    <row r="1700" spans="8:28" ht="15" customHeight="1">
      <c r="H1700" s="2">
        <v>48626</v>
      </c>
      <c r="I1700" s="2"/>
      <c r="J1700" s="2">
        <v>48071</v>
      </c>
      <c r="K1700" s="2"/>
      <c r="L1700" s="2">
        <v>48465</v>
      </c>
      <c r="M1700" s="2"/>
      <c r="N1700" s="2">
        <v>48239</v>
      </c>
      <c r="P1700" s="2">
        <v>48569</v>
      </c>
      <c r="Q1700" s="2"/>
      <c r="R1700" s="2">
        <v>48129</v>
      </c>
      <c r="AB1700" s="2"/>
    </row>
    <row r="1701" spans="8:28" ht="15" customHeight="1">
      <c r="H1701" s="2">
        <v>48625</v>
      </c>
      <c r="I1701" s="2"/>
      <c r="J1701" s="2">
        <v>48072</v>
      </c>
      <c r="K1701" s="2"/>
      <c r="L1701" s="2">
        <v>48464</v>
      </c>
      <c r="M1701" s="2"/>
      <c r="N1701" s="2">
        <v>48240</v>
      </c>
      <c r="P1701" s="2">
        <v>48568</v>
      </c>
      <c r="Q1701" s="2"/>
      <c r="R1701" s="2">
        <v>48131</v>
      </c>
      <c r="AB1701" s="2"/>
    </row>
    <row r="1702" spans="8:28" ht="15" customHeight="1">
      <c r="H1702" s="2">
        <v>48624</v>
      </c>
      <c r="I1702" s="2"/>
      <c r="J1702" s="2">
        <v>48073</v>
      </c>
      <c r="K1702" s="2"/>
      <c r="L1702" s="2">
        <v>48460</v>
      </c>
      <c r="M1702" s="2"/>
      <c r="N1702" s="2">
        <v>48241</v>
      </c>
      <c r="P1702" s="2">
        <v>48565</v>
      </c>
      <c r="Q1702" s="2"/>
      <c r="R1702" s="2">
        <v>48134</v>
      </c>
      <c r="AB1702" s="2"/>
    </row>
    <row r="1703" spans="8:28" ht="15" customHeight="1">
      <c r="H1703" s="2">
        <v>48621</v>
      </c>
      <c r="I1703" s="2"/>
      <c r="J1703" s="2">
        <v>48074</v>
      </c>
      <c r="K1703" s="2"/>
      <c r="L1703" s="2">
        <v>48459</v>
      </c>
      <c r="M1703" s="2"/>
      <c r="N1703" s="2">
        <v>48242</v>
      </c>
      <c r="P1703" s="2">
        <v>48564</v>
      </c>
      <c r="Q1703" s="2"/>
      <c r="R1703" s="2">
        <v>48135</v>
      </c>
      <c r="AB1703" s="2"/>
    </row>
    <row r="1704" spans="8:28" ht="15" customHeight="1">
      <c r="H1704" s="2">
        <v>48620</v>
      </c>
      <c r="I1704" s="2"/>
      <c r="J1704" s="2">
        <v>48075</v>
      </c>
      <c r="K1704" s="2"/>
      <c r="L1704" s="2">
        <v>48458</v>
      </c>
      <c r="M1704" s="2"/>
      <c r="N1704" s="2">
        <v>48243</v>
      </c>
      <c r="P1704" s="2">
        <v>48563</v>
      </c>
      <c r="Q1704" s="2"/>
      <c r="R1704" s="2">
        <v>48136</v>
      </c>
      <c r="AB1704" s="2"/>
    </row>
    <row r="1705" spans="8:28" ht="15" customHeight="1">
      <c r="H1705" s="2">
        <v>48619</v>
      </c>
      <c r="I1705" s="2"/>
      <c r="J1705" s="2">
        <v>48078</v>
      </c>
      <c r="K1705" s="2"/>
      <c r="L1705" s="2">
        <v>48457</v>
      </c>
      <c r="M1705" s="2"/>
      <c r="N1705" s="2">
        <v>48246</v>
      </c>
      <c r="P1705" s="2">
        <v>48562</v>
      </c>
      <c r="Q1705" s="2"/>
      <c r="R1705" s="2">
        <v>48137</v>
      </c>
      <c r="AB1705" s="2"/>
    </row>
    <row r="1706" spans="8:28" ht="15" customHeight="1">
      <c r="H1706" s="2">
        <v>48618</v>
      </c>
      <c r="I1706" s="2"/>
      <c r="J1706" s="2">
        <v>48079</v>
      </c>
      <c r="K1706" s="2"/>
      <c r="L1706" s="2">
        <v>48456</v>
      </c>
      <c r="M1706" s="2"/>
      <c r="N1706" s="2">
        <v>48247</v>
      </c>
      <c r="P1706" s="2">
        <v>48561</v>
      </c>
      <c r="Q1706" s="2"/>
      <c r="R1706" s="2">
        <v>48138</v>
      </c>
      <c r="AB1706" s="2"/>
    </row>
    <row r="1707" spans="8:28" ht="15" customHeight="1">
      <c r="H1707" s="2">
        <v>48617</v>
      </c>
      <c r="I1707" s="2"/>
      <c r="J1707" s="2">
        <v>48080</v>
      </c>
      <c r="K1707" s="2"/>
      <c r="L1707" s="2">
        <v>48453</v>
      </c>
      <c r="M1707" s="2"/>
      <c r="N1707" s="2">
        <v>48248</v>
      </c>
      <c r="P1707" s="2">
        <v>48558</v>
      </c>
      <c r="Q1707" s="2"/>
      <c r="R1707" s="2">
        <v>48141</v>
      </c>
      <c r="AB1707" s="2"/>
    </row>
    <row r="1708" spans="8:28" ht="15" customHeight="1">
      <c r="H1708" s="2">
        <v>48614</v>
      </c>
      <c r="I1708" s="2"/>
      <c r="J1708" s="2">
        <v>48081</v>
      </c>
      <c r="K1708" s="2"/>
      <c r="L1708" s="2">
        <v>48452</v>
      </c>
      <c r="M1708" s="2"/>
      <c r="N1708" s="2">
        <v>48249</v>
      </c>
      <c r="P1708" s="2">
        <v>48557</v>
      </c>
      <c r="Q1708" s="2"/>
      <c r="R1708" s="2">
        <v>48142</v>
      </c>
      <c r="AB1708" s="2"/>
    </row>
    <row r="1709" spans="8:28" ht="15" customHeight="1">
      <c r="H1709" s="2">
        <v>48613</v>
      </c>
      <c r="I1709" s="2"/>
      <c r="J1709" s="2">
        <v>48082</v>
      </c>
      <c r="K1709" s="2"/>
      <c r="L1709" s="2">
        <v>48451</v>
      </c>
      <c r="M1709" s="2"/>
      <c r="N1709" s="2">
        <v>48250</v>
      </c>
      <c r="P1709" s="2">
        <v>48556</v>
      </c>
      <c r="Q1709" s="2"/>
      <c r="R1709" s="2">
        <v>48143</v>
      </c>
      <c r="AB1709" s="2"/>
    </row>
    <row r="1710" spans="8:28" ht="15" customHeight="1">
      <c r="H1710" s="2">
        <v>48612</v>
      </c>
      <c r="I1710" s="2"/>
      <c r="J1710" s="2">
        <v>48085</v>
      </c>
      <c r="K1710" s="2"/>
      <c r="L1710" s="2">
        <v>48450</v>
      </c>
      <c r="M1710" s="2"/>
      <c r="N1710" s="2">
        <v>48253</v>
      </c>
      <c r="P1710" s="2">
        <v>48555</v>
      </c>
      <c r="Q1710" s="2"/>
      <c r="R1710" s="2">
        <v>48144</v>
      </c>
      <c r="AB1710" s="2"/>
    </row>
    <row r="1711" spans="8:28" ht="15" customHeight="1">
      <c r="H1711" s="2">
        <v>48611</v>
      </c>
      <c r="I1711" s="2"/>
      <c r="J1711" s="2">
        <v>48086</v>
      </c>
      <c r="K1711" s="2"/>
      <c r="L1711" s="2">
        <v>48449</v>
      </c>
      <c r="M1711" s="2"/>
      <c r="N1711" s="2">
        <v>48254</v>
      </c>
      <c r="P1711" s="2">
        <v>48554</v>
      </c>
      <c r="Q1711" s="2"/>
      <c r="R1711" s="2">
        <v>48145</v>
      </c>
      <c r="AB1711" s="2"/>
    </row>
    <row r="1712" spans="8:28" ht="15" customHeight="1">
      <c r="H1712" s="2">
        <v>48610</v>
      </c>
      <c r="I1712" s="2"/>
      <c r="J1712" s="2">
        <v>48087</v>
      </c>
      <c r="K1712" s="2"/>
      <c r="L1712" s="2">
        <v>48446</v>
      </c>
      <c r="M1712" s="2"/>
      <c r="N1712" s="2">
        <v>48256</v>
      </c>
      <c r="P1712" s="2">
        <v>48551</v>
      </c>
      <c r="Q1712" s="2"/>
      <c r="R1712" s="2">
        <v>48148</v>
      </c>
      <c r="AB1712" s="2"/>
    </row>
    <row r="1713" spans="8:28" ht="15" customHeight="1">
      <c r="H1713" s="2">
        <v>48607</v>
      </c>
      <c r="I1713" s="2"/>
      <c r="J1713" s="2">
        <v>48088</v>
      </c>
      <c r="K1713" s="2"/>
      <c r="L1713" s="2">
        <v>48445</v>
      </c>
      <c r="M1713" s="2"/>
      <c r="N1713" s="2">
        <v>48257</v>
      </c>
      <c r="P1713" s="2">
        <v>48550</v>
      </c>
      <c r="Q1713" s="2"/>
      <c r="R1713" s="2">
        <v>48149</v>
      </c>
      <c r="AB1713" s="2"/>
    </row>
    <row r="1714" spans="8:28" ht="15" customHeight="1">
      <c r="H1714" s="2">
        <v>48606</v>
      </c>
      <c r="I1714" s="2"/>
      <c r="J1714" s="2">
        <v>48089</v>
      </c>
      <c r="K1714" s="2"/>
      <c r="L1714" s="2">
        <v>48444</v>
      </c>
      <c r="M1714" s="2"/>
      <c r="N1714" s="2">
        <v>48261</v>
      </c>
      <c r="P1714" s="2">
        <v>48549</v>
      </c>
      <c r="Q1714" s="2"/>
      <c r="R1714" s="2">
        <v>48150</v>
      </c>
      <c r="AB1714" s="2"/>
    </row>
    <row r="1715" spans="8:28" ht="15" customHeight="1">
      <c r="H1715" s="2">
        <v>48605</v>
      </c>
      <c r="I1715" s="2"/>
      <c r="J1715" s="2">
        <v>48093</v>
      </c>
      <c r="K1715" s="2"/>
      <c r="L1715" s="2">
        <v>48443</v>
      </c>
      <c r="M1715" s="2"/>
      <c r="N1715" s="2">
        <v>48262</v>
      </c>
      <c r="P1715" s="2">
        <v>48548</v>
      </c>
      <c r="Q1715" s="2"/>
      <c r="R1715" s="2">
        <v>48151</v>
      </c>
      <c r="AB1715" s="2"/>
    </row>
    <row r="1716" spans="8:28" ht="15" customHeight="1">
      <c r="H1716" s="2">
        <v>48604</v>
      </c>
      <c r="I1716" s="2"/>
      <c r="J1716" s="2">
        <v>48094</v>
      </c>
      <c r="K1716" s="2"/>
      <c r="L1716" s="2">
        <v>48442</v>
      </c>
      <c r="M1716" s="2"/>
      <c r="N1716" s="2">
        <v>48263</v>
      </c>
      <c r="P1716" s="2">
        <v>48547</v>
      </c>
      <c r="Q1716" s="2"/>
      <c r="R1716" s="2">
        <v>48152</v>
      </c>
      <c r="AB1716" s="2"/>
    </row>
    <row r="1717" spans="8:28" ht="15" customHeight="1">
      <c r="H1717" s="2">
        <v>48603</v>
      </c>
      <c r="I1717" s="2"/>
      <c r="J1717" s="2">
        <v>48095</v>
      </c>
      <c r="K1717" s="2"/>
      <c r="L1717" s="2">
        <v>48439</v>
      </c>
      <c r="M1717" s="2"/>
      <c r="N1717" s="2">
        <v>48264</v>
      </c>
      <c r="P1717" s="2">
        <v>48544</v>
      </c>
      <c r="Q1717" s="2"/>
      <c r="R1717" s="2">
        <v>48155</v>
      </c>
      <c r="AB1717" s="2"/>
    </row>
    <row r="1718" spans="8:28" ht="15" customHeight="1">
      <c r="H1718" s="2">
        <v>48600</v>
      </c>
      <c r="I1718" s="2"/>
      <c r="J1718" s="2">
        <v>48096</v>
      </c>
      <c r="K1718" s="2"/>
      <c r="L1718" s="2">
        <v>48438</v>
      </c>
      <c r="M1718" s="2"/>
      <c r="N1718" s="2">
        <v>48268</v>
      </c>
      <c r="P1718" s="2">
        <v>48543</v>
      </c>
      <c r="Q1718" s="2"/>
      <c r="R1718" s="2">
        <v>48156</v>
      </c>
      <c r="AB1718" s="2"/>
    </row>
    <row r="1719" spans="8:28" ht="15" customHeight="1">
      <c r="H1719" s="2">
        <v>48599</v>
      </c>
      <c r="I1719" s="2"/>
      <c r="J1719" s="2">
        <v>48099</v>
      </c>
      <c r="K1719" s="2"/>
      <c r="L1719" s="2">
        <v>48436</v>
      </c>
      <c r="M1719" s="2"/>
      <c r="N1719" s="2">
        <v>48269</v>
      </c>
      <c r="P1719" s="2">
        <v>48542</v>
      </c>
      <c r="Q1719" s="2"/>
      <c r="R1719" s="2">
        <v>48157</v>
      </c>
      <c r="AB1719" s="2"/>
    </row>
    <row r="1720" spans="8:28" ht="15" customHeight="1">
      <c r="H1720" s="2">
        <v>48598</v>
      </c>
      <c r="I1720" s="2"/>
      <c r="J1720" s="2">
        <v>48100</v>
      </c>
      <c r="K1720" s="2"/>
      <c r="L1720" s="2">
        <v>48435</v>
      </c>
      <c r="M1720" s="2"/>
      <c r="N1720" s="2">
        <v>48270</v>
      </c>
      <c r="P1720" s="2">
        <v>48541</v>
      </c>
      <c r="Q1720" s="2"/>
      <c r="R1720" s="2">
        <v>48158</v>
      </c>
      <c r="AB1720" s="2"/>
    </row>
    <row r="1721" spans="8:28" ht="15" customHeight="1">
      <c r="H1721" s="2">
        <v>48597</v>
      </c>
      <c r="I1721" s="2"/>
      <c r="J1721" s="2">
        <v>48101</v>
      </c>
      <c r="K1721" s="2"/>
      <c r="L1721" s="2">
        <v>48432</v>
      </c>
      <c r="M1721" s="2"/>
      <c r="N1721" s="2">
        <v>48271</v>
      </c>
      <c r="P1721" s="2">
        <v>48540</v>
      </c>
      <c r="Q1721" s="2"/>
      <c r="R1721" s="2">
        <v>48159</v>
      </c>
      <c r="AB1721" s="2"/>
    </row>
    <row r="1722" spans="8:28" ht="15" customHeight="1">
      <c r="H1722" s="2">
        <v>48593</v>
      </c>
      <c r="I1722" s="2"/>
      <c r="J1722" s="2">
        <v>48102</v>
      </c>
      <c r="K1722" s="2"/>
      <c r="L1722" s="2">
        <v>48431</v>
      </c>
      <c r="M1722" s="2"/>
      <c r="N1722" s="2">
        <v>48274</v>
      </c>
      <c r="P1722" s="2">
        <v>48537</v>
      </c>
      <c r="Q1722" s="2"/>
      <c r="R1722" s="2">
        <v>48162</v>
      </c>
      <c r="AB1722" s="2"/>
    </row>
    <row r="1723" spans="8:28" ht="15" customHeight="1">
      <c r="H1723" s="2">
        <v>48592</v>
      </c>
      <c r="I1723" s="2"/>
      <c r="J1723" s="2">
        <v>48103</v>
      </c>
      <c r="K1723" s="2"/>
      <c r="L1723" s="2">
        <v>48430</v>
      </c>
      <c r="M1723" s="2"/>
      <c r="N1723" s="2">
        <v>48275</v>
      </c>
      <c r="P1723" s="2">
        <v>48536</v>
      </c>
      <c r="Q1723" s="2"/>
      <c r="R1723" s="2">
        <v>48163</v>
      </c>
      <c r="AB1723" s="2"/>
    </row>
    <row r="1724" spans="8:28" ht="15" customHeight="1">
      <c r="H1724" s="2">
        <v>48591</v>
      </c>
      <c r="I1724" s="2"/>
      <c r="J1724" s="2">
        <v>48106</v>
      </c>
      <c r="K1724" s="2"/>
      <c r="L1724" s="2">
        <v>48429</v>
      </c>
      <c r="M1724" s="2"/>
      <c r="N1724" s="2">
        <v>48276</v>
      </c>
      <c r="P1724" s="2">
        <v>48535</v>
      </c>
      <c r="Q1724" s="2"/>
      <c r="R1724" s="2">
        <v>48164</v>
      </c>
      <c r="AB1724" s="2"/>
    </row>
    <row r="1725" spans="8:28" ht="15" customHeight="1">
      <c r="H1725" s="2">
        <v>48590</v>
      </c>
      <c r="I1725" s="2"/>
      <c r="J1725" s="2">
        <v>48107</v>
      </c>
      <c r="K1725" s="2"/>
      <c r="L1725" s="2">
        <v>48428</v>
      </c>
      <c r="M1725" s="2"/>
      <c r="N1725" s="2">
        <v>48277</v>
      </c>
      <c r="P1725" s="2">
        <v>48534</v>
      </c>
      <c r="Q1725" s="2"/>
      <c r="R1725" s="2">
        <v>48165</v>
      </c>
      <c r="AB1725" s="2"/>
    </row>
    <row r="1726" spans="8:28" ht="15" customHeight="1">
      <c r="H1726" s="2">
        <v>48589</v>
      </c>
      <c r="I1726" s="2"/>
      <c r="J1726" s="2">
        <v>48108</v>
      </c>
      <c r="K1726" s="2"/>
      <c r="L1726" s="2">
        <v>48425</v>
      </c>
      <c r="M1726" s="2"/>
      <c r="N1726" s="2">
        <v>48278</v>
      </c>
      <c r="P1726" s="2">
        <v>48533</v>
      </c>
      <c r="Q1726" s="2"/>
      <c r="R1726" s="2">
        <v>48166</v>
      </c>
      <c r="AB1726" s="2"/>
    </row>
    <row r="1727" spans="8:28" ht="15" customHeight="1">
      <c r="H1727" s="2">
        <v>48586</v>
      </c>
      <c r="I1727" s="2"/>
      <c r="J1727" s="2">
        <v>48109</v>
      </c>
      <c r="K1727" s="2"/>
      <c r="L1727" s="2">
        <v>48424</v>
      </c>
      <c r="M1727" s="2"/>
      <c r="N1727" s="2">
        <v>48281</v>
      </c>
      <c r="P1727" s="2">
        <v>48530</v>
      </c>
      <c r="Q1727" s="2"/>
      <c r="R1727" s="2">
        <v>48169</v>
      </c>
      <c r="AB1727" s="2"/>
    </row>
    <row r="1728" spans="8:28" ht="15" customHeight="1">
      <c r="H1728" s="2">
        <v>48585</v>
      </c>
      <c r="I1728" s="2"/>
      <c r="J1728" s="2">
        <v>48110</v>
      </c>
      <c r="K1728" s="2"/>
      <c r="L1728" s="2">
        <v>48423</v>
      </c>
      <c r="M1728" s="2"/>
      <c r="N1728" s="2">
        <v>48282</v>
      </c>
      <c r="P1728" s="2">
        <v>48529</v>
      </c>
      <c r="Q1728" s="2"/>
      <c r="R1728" s="2">
        <v>48170</v>
      </c>
      <c r="AB1728" s="2"/>
    </row>
    <row r="1729" spans="8:28" ht="15" customHeight="1">
      <c r="H1729" s="2">
        <v>48584</v>
      </c>
      <c r="I1729" s="2"/>
      <c r="J1729" s="2">
        <v>48113</v>
      </c>
      <c r="K1729" s="2"/>
      <c r="L1729" s="2">
        <v>48422</v>
      </c>
      <c r="M1729" s="2"/>
      <c r="N1729" s="2">
        <v>48283</v>
      </c>
      <c r="P1729" s="2">
        <v>48528</v>
      </c>
      <c r="Q1729" s="2"/>
      <c r="R1729" s="2">
        <v>48171</v>
      </c>
      <c r="AB1729" s="2"/>
    </row>
    <row r="1730" spans="8:28" ht="15" customHeight="1">
      <c r="H1730" s="2">
        <v>48583</v>
      </c>
      <c r="I1730" s="2"/>
      <c r="J1730" s="2">
        <v>48114</v>
      </c>
      <c r="K1730" s="2"/>
      <c r="L1730" s="2">
        <v>48421</v>
      </c>
      <c r="M1730" s="2"/>
      <c r="N1730" s="2">
        <v>48284</v>
      </c>
      <c r="P1730" s="2">
        <v>48527</v>
      </c>
      <c r="Q1730" s="2"/>
      <c r="R1730" s="2">
        <v>48172</v>
      </c>
      <c r="AB1730" s="2"/>
    </row>
    <row r="1731" spans="8:28" ht="15" customHeight="1">
      <c r="H1731" s="2">
        <v>48582</v>
      </c>
      <c r="I1731" s="2"/>
      <c r="J1731" s="2">
        <v>48115</v>
      </c>
      <c r="K1731" s="2"/>
      <c r="L1731" s="2">
        <v>48418</v>
      </c>
      <c r="M1731" s="2"/>
      <c r="N1731" s="2">
        <v>48285</v>
      </c>
      <c r="P1731" s="2">
        <v>48526</v>
      </c>
      <c r="Q1731" s="2"/>
      <c r="R1731" s="2">
        <v>48173</v>
      </c>
      <c r="AB1731" s="2"/>
    </row>
    <row r="1732" spans="8:28" ht="15" customHeight="1">
      <c r="H1732" s="2">
        <v>48579</v>
      </c>
      <c r="I1732" s="2"/>
      <c r="J1732" s="2">
        <v>48116</v>
      </c>
      <c r="K1732" s="2"/>
      <c r="L1732" s="2">
        <v>48417</v>
      </c>
      <c r="M1732" s="2"/>
      <c r="N1732" s="2">
        <v>48288</v>
      </c>
      <c r="P1732" s="2">
        <v>48523</v>
      </c>
      <c r="Q1732" s="2"/>
      <c r="R1732" s="2">
        <v>48176</v>
      </c>
      <c r="AB1732" s="2"/>
    </row>
    <row r="1733" spans="8:28" ht="15" customHeight="1">
      <c r="H1733" s="2">
        <v>48578</v>
      </c>
      <c r="I1733" s="2"/>
      <c r="J1733" s="2">
        <v>48117</v>
      </c>
      <c r="K1733" s="2"/>
      <c r="L1733" s="2">
        <v>48416</v>
      </c>
      <c r="M1733" s="2"/>
      <c r="N1733" s="2">
        <v>48289</v>
      </c>
      <c r="P1733" s="2">
        <v>48522</v>
      </c>
      <c r="Q1733" s="2"/>
      <c r="R1733" s="2">
        <v>48177</v>
      </c>
      <c r="AB1733" s="2"/>
    </row>
    <row r="1734" spans="8:28" ht="15" customHeight="1">
      <c r="H1734" s="2">
        <v>48577</v>
      </c>
      <c r="I1734" s="2"/>
      <c r="J1734" s="2">
        <v>48120</v>
      </c>
      <c r="K1734" s="2"/>
      <c r="L1734" s="2">
        <v>48415</v>
      </c>
      <c r="M1734" s="2"/>
      <c r="N1734" s="2">
        <v>48290</v>
      </c>
      <c r="P1734" s="2">
        <v>48521</v>
      </c>
      <c r="Q1734" s="2"/>
      <c r="R1734" s="2">
        <v>48178</v>
      </c>
      <c r="AB1734" s="2"/>
    </row>
    <row r="1735" spans="8:28" ht="15" customHeight="1">
      <c r="H1735" s="2">
        <v>48576</v>
      </c>
      <c r="I1735" s="2"/>
      <c r="J1735" s="2">
        <v>48121</v>
      </c>
      <c r="K1735" s="2"/>
      <c r="L1735" s="2">
        <v>48411</v>
      </c>
      <c r="M1735" s="2"/>
      <c r="N1735" s="2">
        <v>48291</v>
      </c>
      <c r="P1735" s="2">
        <v>48520</v>
      </c>
      <c r="Q1735" s="2"/>
      <c r="R1735" s="2">
        <v>48179</v>
      </c>
      <c r="AB1735" s="2"/>
    </row>
    <row r="1736" spans="8:28" ht="15" customHeight="1">
      <c r="H1736" s="2">
        <v>48575</v>
      </c>
      <c r="I1736" s="2"/>
      <c r="J1736" s="2">
        <v>48122</v>
      </c>
      <c r="K1736" s="2"/>
      <c r="L1736" s="2">
        <v>48410</v>
      </c>
      <c r="M1736" s="2"/>
      <c r="N1736" s="2">
        <v>48292</v>
      </c>
      <c r="P1736" s="2">
        <v>48519</v>
      </c>
      <c r="Q1736" s="2"/>
      <c r="R1736" s="2">
        <v>48180</v>
      </c>
      <c r="AB1736" s="2"/>
    </row>
    <row r="1737" spans="8:28" ht="15" customHeight="1">
      <c r="H1737" s="2">
        <v>48571</v>
      </c>
      <c r="I1737" s="2"/>
      <c r="J1737" s="2">
        <v>48123</v>
      </c>
      <c r="K1737" s="2"/>
      <c r="L1737" s="2">
        <v>48409</v>
      </c>
      <c r="M1737" s="2"/>
      <c r="N1737" s="2">
        <v>48295</v>
      </c>
      <c r="P1737" s="2">
        <v>48516</v>
      </c>
      <c r="Q1737" s="2"/>
      <c r="R1737" s="2">
        <v>48183</v>
      </c>
      <c r="AB1737" s="2"/>
    </row>
    <row r="1738" spans="8:28" ht="15" customHeight="1">
      <c r="H1738" s="2">
        <v>48570</v>
      </c>
      <c r="I1738" s="2"/>
      <c r="J1738" s="2">
        <v>48124</v>
      </c>
      <c r="K1738" s="2"/>
      <c r="L1738" s="2">
        <v>48408</v>
      </c>
      <c r="M1738" s="2"/>
      <c r="N1738" s="2">
        <v>48296</v>
      </c>
      <c r="P1738" s="2">
        <v>48515</v>
      </c>
      <c r="Q1738" s="2"/>
      <c r="R1738" s="2">
        <v>48184</v>
      </c>
      <c r="AB1738" s="2"/>
    </row>
    <row r="1739" spans="8:28" ht="15" customHeight="1">
      <c r="H1739" s="2">
        <v>48569</v>
      </c>
      <c r="I1739" s="2"/>
      <c r="J1739" s="2">
        <v>48127</v>
      </c>
      <c r="K1739" s="2"/>
      <c r="L1739" s="2">
        <v>48407</v>
      </c>
      <c r="M1739" s="2"/>
      <c r="N1739" s="2">
        <v>48297</v>
      </c>
      <c r="P1739" s="2">
        <v>48514</v>
      </c>
      <c r="Q1739" s="2"/>
      <c r="R1739" s="2">
        <v>48185</v>
      </c>
      <c r="AB1739" s="2"/>
    </row>
    <row r="1740" spans="8:28" ht="15" customHeight="1">
      <c r="H1740" s="2">
        <v>48568</v>
      </c>
      <c r="I1740" s="2"/>
      <c r="J1740" s="2">
        <v>48128</v>
      </c>
      <c r="K1740" s="2"/>
      <c r="L1740" s="2">
        <v>48404</v>
      </c>
      <c r="M1740" s="2"/>
      <c r="N1740" s="2">
        <v>48298</v>
      </c>
      <c r="P1740" s="2">
        <v>48513</v>
      </c>
      <c r="Q1740" s="2"/>
      <c r="R1740" s="2">
        <v>48186</v>
      </c>
      <c r="AB1740" s="2"/>
    </row>
    <row r="1741" spans="8:28" ht="15" customHeight="1">
      <c r="H1741" s="2">
        <v>48565</v>
      </c>
      <c r="I1741" s="2"/>
      <c r="J1741" s="2">
        <v>48129</v>
      </c>
      <c r="K1741" s="2"/>
      <c r="L1741" s="2">
        <v>48403</v>
      </c>
      <c r="M1741" s="2"/>
      <c r="N1741" s="2">
        <v>48302</v>
      </c>
      <c r="P1741" s="2">
        <v>48512</v>
      </c>
      <c r="Q1741" s="2"/>
      <c r="R1741" s="2">
        <v>48187</v>
      </c>
      <c r="AB1741" s="2"/>
    </row>
    <row r="1742" spans="8:28" ht="15" customHeight="1">
      <c r="H1742" s="2">
        <v>48564</v>
      </c>
      <c r="I1742" s="2"/>
      <c r="J1742" s="2">
        <v>48130</v>
      </c>
      <c r="K1742" s="2"/>
      <c r="L1742" s="2">
        <v>48402</v>
      </c>
      <c r="M1742" s="2"/>
      <c r="N1742" s="2">
        <v>48303</v>
      </c>
      <c r="P1742" s="2">
        <v>48509</v>
      </c>
      <c r="Q1742" s="2"/>
      <c r="R1742" s="2">
        <v>48190</v>
      </c>
      <c r="AB1742" s="2"/>
    </row>
    <row r="1743" spans="8:28" ht="15" customHeight="1">
      <c r="H1743" s="2">
        <v>48563</v>
      </c>
      <c r="I1743" s="2"/>
      <c r="J1743" s="2">
        <v>48131</v>
      </c>
      <c r="K1743" s="2"/>
      <c r="L1743" s="2">
        <v>48401</v>
      </c>
      <c r="M1743" s="2"/>
      <c r="N1743" s="2">
        <v>48304</v>
      </c>
      <c r="P1743" s="2">
        <v>48508</v>
      </c>
      <c r="Q1743" s="2"/>
      <c r="R1743" s="2">
        <v>48191</v>
      </c>
      <c r="AB1743" s="2"/>
    </row>
    <row r="1744" spans="8:28" ht="15" customHeight="1">
      <c r="H1744" s="2">
        <v>48562</v>
      </c>
      <c r="I1744" s="2"/>
      <c r="J1744" s="2">
        <v>48134</v>
      </c>
      <c r="K1744" s="2"/>
      <c r="L1744" s="2">
        <v>48397</v>
      </c>
      <c r="M1744" s="2"/>
      <c r="N1744" s="2">
        <v>48305</v>
      </c>
      <c r="P1744" s="2">
        <v>48507</v>
      </c>
      <c r="Q1744" s="2"/>
      <c r="R1744" s="2">
        <v>48192</v>
      </c>
      <c r="AB1744" s="2"/>
    </row>
    <row r="1745" spans="8:28" ht="15" customHeight="1">
      <c r="H1745" s="2">
        <v>48561</v>
      </c>
      <c r="I1745" s="2"/>
      <c r="J1745" s="2">
        <v>48135</v>
      </c>
      <c r="K1745" s="2"/>
      <c r="L1745" s="2">
        <v>48396</v>
      </c>
      <c r="M1745" s="2"/>
      <c r="N1745" s="2">
        <v>48306</v>
      </c>
      <c r="P1745" s="2">
        <v>48506</v>
      </c>
      <c r="Q1745" s="2"/>
      <c r="R1745" s="2">
        <v>48193</v>
      </c>
      <c r="AB1745" s="2"/>
    </row>
    <row r="1746" spans="8:28" ht="15" customHeight="1">
      <c r="H1746" s="2">
        <v>48558</v>
      </c>
      <c r="I1746" s="2"/>
      <c r="J1746" s="2">
        <v>48136</v>
      </c>
      <c r="K1746" s="2"/>
      <c r="L1746" s="2">
        <v>48395</v>
      </c>
      <c r="M1746" s="2"/>
      <c r="N1746" s="2">
        <v>48309</v>
      </c>
      <c r="P1746" s="2">
        <v>48505</v>
      </c>
      <c r="Q1746" s="2"/>
      <c r="R1746" s="2">
        <v>48194</v>
      </c>
      <c r="AB1746" s="2"/>
    </row>
    <row r="1747" spans="8:28" ht="15" customHeight="1">
      <c r="H1747" s="2">
        <v>48557</v>
      </c>
      <c r="I1747" s="2"/>
      <c r="J1747" s="2">
        <v>48137</v>
      </c>
      <c r="K1747" s="2"/>
      <c r="L1747" s="2">
        <v>48394</v>
      </c>
      <c r="M1747" s="2"/>
      <c r="N1747" s="2">
        <v>48310</v>
      </c>
      <c r="P1747" s="2">
        <v>48502</v>
      </c>
      <c r="Q1747" s="2"/>
      <c r="R1747" s="2">
        <v>48197</v>
      </c>
      <c r="AB1747" s="2"/>
    </row>
    <row r="1748" spans="8:28" ht="15" customHeight="1">
      <c r="H1748" s="2">
        <v>48556</v>
      </c>
      <c r="I1748" s="2"/>
      <c r="J1748" s="2">
        <v>48138</v>
      </c>
      <c r="K1748" s="2"/>
      <c r="L1748" s="2">
        <v>48393</v>
      </c>
      <c r="M1748" s="2"/>
      <c r="N1748" s="2">
        <v>48311</v>
      </c>
      <c r="P1748" s="2">
        <v>48501</v>
      </c>
      <c r="Q1748" s="2"/>
      <c r="R1748" s="2">
        <v>48198</v>
      </c>
      <c r="AB1748" s="2"/>
    </row>
    <row r="1749" spans="8:28" ht="15" customHeight="1">
      <c r="H1749" s="2">
        <v>48555</v>
      </c>
      <c r="I1749" s="2"/>
      <c r="J1749" s="2">
        <v>48141</v>
      </c>
      <c r="K1749" s="2"/>
      <c r="L1749" s="2">
        <v>48390</v>
      </c>
      <c r="M1749" s="2"/>
      <c r="N1749" s="2">
        <v>48312</v>
      </c>
      <c r="P1749" s="2">
        <v>48500</v>
      </c>
      <c r="Q1749" s="2"/>
      <c r="R1749" s="2">
        <v>48199</v>
      </c>
      <c r="AB1749" s="2"/>
    </row>
    <row r="1750" spans="8:28" ht="15" customHeight="1">
      <c r="H1750" s="2">
        <v>48554</v>
      </c>
      <c r="I1750" s="2"/>
      <c r="J1750" s="2">
        <v>48142</v>
      </c>
      <c r="K1750" s="2"/>
      <c r="L1750" s="2">
        <v>48389</v>
      </c>
      <c r="M1750" s="2"/>
      <c r="N1750" s="2">
        <v>48313</v>
      </c>
      <c r="P1750" s="2">
        <v>48499</v>
      </c>
      <c r="Q1750" s="2"/>
      <c r="R1750" s="2">
        <v>48200</v>
      </c>
      <c r="AB1750" s="2"/>
    </row>
    <row r="1751" spans="8:28" ht="15" customHeight="1">
      <c r="H1751" s="2">
        <v>48551</v>
      </c>
      <c r="I1751" s="2"/>
      <c r="J1751" s="2">
        <v>48143</v>
      </c>
      <c r="K1751" s="2"/>
      <c r="L1751" s="2">
        <v>48388</v>
      </c>
      <c r="M1751" s="2"/>
      <c r="N1751" s="2">
        <v>48316</v>
      </c>
      <c r="P1751" s="2">
        <v>48495</v>
      </c>
      <c r="Q1751" s="2"/>
      <c r="R1751" s="2">
        <v>48201</v>
      </c>
      <c r="AB1751" s="2"/>
    </row>
    <row r="1752" spans="8:28" ht="15" customHeight="1">
      <c r="H1752" s="2">
        <v>48550</v>
      </c>
      <c r="I1752" s="2"/>
      <c r="J1752" s="2">
        <v>48144</v>
      </c>
      <c r="K1752" s="2"/>
      <c r="L1752" s="2">
        <v>48387</v>
      </c>
      <c r="M1752" s="2"/>
      <c r="N1752" s="2">
        <v>48317</v>
      </c>
      <c r="P1752" s="2">
        <v>48494</v>
      </c>
      <c r="Q1752" s="2"/>
      <c r="R1752" s="2">
        <v>48204</v>
      </c>
      <c r="AB1752" s="2"/>
    </row>
    <row r="1753" spans="8:28" ht="15" customHeight="1">
      <c r="H1753" s="2">
        <v>48549</v>
      </c>
      <c r="I1753" s="2"/>
      <c r="J1753" s="2">
        <v>48145</v>
      </c>
      <c r="K1753" s="2"/>
      <c r="L1753" s="2">
        <v>48386</v>
      </c>
      <c r="M1753" s="2"/>
      <c r="N1753" s="2">
        <v>48318</v>
      </c>
      <c r="P1753" s="2">
        <v>48493</v>
      </c>
      <c r="Q1753" s="2"/>
      <c r="R1753" s="2">
        <v>48205</v>
      </c>
      <c r="AB1753" s="2"/>
    </row>
    <row r="1754" spans="8:28" ht="15" customHeight="1">
      <c r="H1754" s="2">
        <v>48548</v>
      </c>
      <c r="I1754" s="2"/>
      <c r="J1754" s="2">
        <v>48148</v>
      </c>
      <c r="K1754" s="2"/>
      <c r="L1754" s="2">
        <v>48382</v>
      </c>
      <c r="M1754" s="2"/>
      <c r="N1754" s="2">
        <v>48319</v>
      </c>
      <c r="P1754" s="2">
        <v>48492</v>
      </c>
      <c r="Q1754" s="2"/>
      <c r="R1754" s="2">
        <v>48206</v>
      </c>
      <c r="AB1754" s="2"/>
    </row>
    <row r="1755" spans="8:28" ht="15" customHeight="1">
      <c r="H1755" s="2">
        <v>48547</v>
      </c>
      <c r="I1755" s="2"/>
      <c r="J1755" s="2">
        <v>48149</v>
      </c>
      <c r="K1755" s="2"/>
      <c r="L1755" s="2">
        <v>48381</v>
      </c>
      <c r="M1755" s="2"/>
      <c r="N1755" s="2">
        <v>48320</v>
      </c>
      <c r="P1755" s="2">
        <v>48488</v>
      </c>
      <c r="Q1755" s="2"/>
      <c r="R1755" s="2">
        <v>48208</v>
      </c>
      <c r="AB1755" s="2"/>
    </row>
    <row r="1756" spans="8:28" ht="15" customHeight="1">
      <c r="H1756" s="2">
        <v>48544</v>
      </c>
      <c r="I1756" s="2"/>
      <c r="J1756" s="2">
        <v>48150</v>
      </c>
      <c r="K1756" s="2"/>
      <c r="L1756" s="2">
        <v>48380</v>
      </c>
      <c r="M1756" s="2"/>
      <c r="N1756" s="2">
        <v>48323</v>
      </c>
      <c r="P1756" s="2">
        <v>48487</v>
      </c>
      <c r="Q1756" s="2"/>
      <c r="R1756" s="2">
        <v>48211</v>
      </c>
      <c r="AB1756" s="2"/>
    </row>
    <row r="1757" spans="8:28" ht="15" customHeight="1">
      <c r="H1757" s="2">
        <v>48542</v>
      </c>
      <c r="I1757" s="2"/>
      <c r="J1757" s="2">
        <v>48151</v>
      </c>
      <c r="K1757" s="2"/>
      <c r="L1757" s="2">
        <v>48379</v>
      </c>
      <c r="M1757" s="2"/>
      <c r="N1757" s="2">
        <v>48324</v>
      </c>
      <c r="P1757" s="2">
        <v>48486</v>
      </c>
      <c r="Q1757" s="2"/>
      <c r="R1757" s="2">
        <v>48212</v>
      </c>
      <c r="AB1757" s="2"/>
    </row>
    <row r="1758" spans="8:28" ht="15" customHeight="1">
      <c r="H1758" s="2">
        <v>48541</v>
      </c>
      <c r="I1758" s="2"/>
      <c r="J1758" s="2">
        <v>48152</v>
      </c>
      <c r="K1758" s="2"/>
      <c r="L1758" s="2">
        <v>48376</v>
      </c>
      <c r="M1758" s="2"/>
      <c r="N1758" s="2">
        <v>48325</v>
      </c>
      <c r="P1758" s="2">
        <v>48485</v>
      </c>
      <c r="Q1758" s="2"/>
      <c r="R1758" s="2">
        <v>48215</v>
      </c>
      <c r="AB1758" s="2"/>
    </row>
    <row r="1759" spans="8:28" ht="15" customHeight="1">
      <c r="H1759" s="2">
        <v>48540</v>
      </c>
      <c r="I1759" s="2"/>
      <c r="J1759" s="2">
        <v>48155</v>
      </c>
      <c r="K1759" s="2"/>
      <c r="L1759" s="2">
        <v>48375</v>
      </c>
      <c r="M1759" s="2"/>
      <c r="N1759" s="2">
        <v>48326</v>
      </c>
      <c r="P1759" s="2">
        <v>48484</v>
      </c>
      <c r="Q1759" s="2"/>
      <c r="R1759" s="2">
        <v>48218</v>
      </c>
      <c r="AB1759" s="2"/>
    </row>
    <row r="1760" spans="8:28" ht="15" customHeight="1">
      <c r="H1760" s="2">
        <v>48537</v>
      </c>
      <c r="I1760" s="2"/>
      <c r="J1760" s="2">
        <v>48156</v>
      </c>
      <c r="K1760" s="2"/>
      <c r="L1760" s="2">
        <v>48374</v>
      </c>
      <c r="M1760" s="2"/>
      <c r="N1760" s="2">
        <v>48327</v>
      </c>
      <c r="P1760" s="2">
        <v>48481</v>
      </c>
      <c r="Q1760" s="2"/>
      <c r="R1760" s="2">
        <v>48219</v>
      </c>
      <c r="AB1760" s="2"/>
    </row>
    <row r="1761" spans="8:28" ht="15" customHeight="1">
      <c r="H1761" s="2">
        <v>48536</v>
      </c>
      <c r="I1761" s="2"/>
      <c r="J1761" s="2">
        <v>48157</v>
      </c>
      <c r="K1761" s="2"/>
      <c r="L1761" s="2">
        <v>48373</v>
      </c>
      <c r="M1761" s="2"/>
      <c r="N1761" s="2">
        <v>48330</v>
      </c>
      <c r="P1761" s="2">
        <v>48480</v>
      </c>
      <c r="Q1761" s="2"/>
      <c r="R1761" s="2">
        <v>48220</v>
      </c>
      <c r="AB1761" s="2"/>
    </row>
    <row r="1762" spans="8:28" ht="15" customHeight="1">
      <c r="H1762" s="2">
        <v>48535</v>
      </c>
      <c r="I1762" s="2"/>
      <c r="J1762" s="2">
        <v>48158</v>
      </c>
      <c r="K1762" s="2"/>
      <c r="L1762" s="2">
        <v>48372</v>
      </c>
      <c r="M1762" s="2"/>
      <c r="N1762" s="2">
        <v>48331</v>
      </c>
      <c r="P1762" s="2">
        <v>48479</v>
      </c>
      <c r="Q1762" s="2"/>
      <c r="R1762" s="2">
        <v>48221</v>
      </c>
      <c r="AB1762" s="2"/>
    </row>
    <row r="1763" spans="8:28" ht="15" customHeight="1">
      <c r="H1763" s="2">
        <v>48534</v>
      </c>
      <c r="I1763" s="2"/>
      <c r="J1763" s="2">
        <v>48159</v>
      </c>
      <c r="K1763" s="2"/>
      <c r="L1763" s="2">
        <v>48369</v>
      </c>
      <c r="M1763" s="2"/>
      <c r="N1763" s="2">
        <v>48332</v>
      </c>
      <c r="P1763" s="2">
        <v>48474</v>
      </c>
      <c r="Q1763" s="2"/>
      <c r="R1763" s="2">
        <v>48222</v>
      </c>
      <c r="AB1763" s="2"/>
    </row>
    <row r="1764" spans="8:28" ht="15" customHeight="1">
      <c r="H1764" s="2">
        <v>48533</v>
      </c>
      <c r="I1764" s="2"/>
      <c r="J1764" s="2">
        <v>48162</v>
      </c>
      <c r="K1764" s="2"/>
      <c r="L1764" s="2">
        <v>48368</v>
      </c>
      <c r="M1764" s="2"/>
      <c r="N1764" s="2">
        <v>48334</v>
      </c>
      <c r="P1764" s="2">
        <v>48473</v>
      </c>
      <c r="Q1764" s="2"/>
      <c r="R1764" s="2">
        <v>48225</v>
      </c>
      <c r="AB1764" s="2"/>
    </row>
    <row r="1765" spans="8:28" ht="15" customHeight="1">
      <c r="H1765" s="2">
        <v>48530</v>
      </c>
      <c r="I1765" s="2"/>
      <c r="J1765" s="2">
        <v>48163</v>
      </c>
      <c r="K1765" s="2"/>
      <c r="L1765" s="2">
        <v>48367</v>
      </c>
      <c r="M1765" s="2"/>
      <c r="N1765" s="2">
        <v>48340</v>
      </c>
      <c r="P1765" s="2">
        <v>48472</v>
      </c>
      <c r="Q1765" s="2"/>
      <c r="R1765" s="2">
        <v>48226</v>
      </c>
      <c r="AB1765" s="2"/>
    </row>
    <row r="1766" spans="8:28" ht="15" customHeight="1">
      <c r="H1766" s="2">
        <v>48529</v>
      </c>
      <c r="I1766" s="2"/>
      <c r="J1766" s="2">
        <v>48164</v>
      </c>
      <c r="K1766" s="2"/>
      <c r="L1766" s="2">
        <v>48366</v>
      </c>
      <c r="M1766" s="2"/>
      <c r="N1766" s="2">
        <v>48341</v>
      </c>
      <c r="P1766" s="2">
        <v>48471</v>
      </c>
      <c r="Q1766" s="2"/>
      <c r="R1766" s="2">
        <v>48227</v>
      </c>
      <c r="AB1766" s="2"/>
    </row>
    <row r="1767" spans="8:28" ht="15" customHeight="1">
      <c r="H1767" s="2">
        <v>48528</v>
      </c>
      <c r="I1767" s="2"/>
      <c r="J1767" s="2">
        <v>48165</v>
      </c>
      <c r="K1767" s="2"/>
      <c r="L1767" s="2">
        <v>48362</v>
      </c>
      <c r="M1767" s="2"/>
      <c r="N1767" s="2">
        <v>48344</v>
      </c>
      <c r="P1767" s="2">
        <v>48470</v>
      </c>
      <c r="Q1767" s="2"/>
      <c r="R1767" s="2">
        <v>48228</v>
      </c>
      <c r="AB1767" s="2"/>
    </row>
    <row r="1768" spans="8:28" ht="15" customHeight="1">
      <c r="H1768" s="2">
        <v>48527</v>
      </c>
      <c r="I1768" s="2"/>
      <c r="J1768" s="2">
        <v>48166</v>
      </c>
      <c r="K1768" s="2"/>
      <c r="L1768" s="2">
        <v>48361</v>
      </c>
      <c r="M1768" s="2"/>
      <c r="N1768" s="2">
        <v>48345</v>
      </c>
      <c r="P1768" s="2">
        <v>48467</v>
      </c>
      <c r="Q1768" s="2"/>
      <c r="R1768" s="2">
        <v>48229</v>
      </c>
      <c r="AB1768" s="2"/>
    </row>
    <row r="1769" spans="8:28" ht="15" customHeight="1">
      <c r="H1769" s="2">
        <v>48526</v>
      </c>
      <c r="I1769" s="2"/>
      <c r="J1769" s="2">
        <v>48169</v>
      </c>
      <c r="K1769" s="2"/>
      <c r="L1769" s="2">
        <v>48360</v>
      </c>
      <c r="M1769" s="2"/>
      <c r="N1769" s="2">
        <v>48346</v>
      </c>
      <c r="P1769" s="2">
        <v>48466</v>
      </c>
      <c r="Q1769" s="2"/>
      <c r="R1769" s="2">
        <v>48232</v>
      </c>
      <c r="AB1769" s="2"/>
    </row>
    <row r="1770" spans="8:28" ht="15" customHeight="1">
      <c r="H1770" s="2">
        <v>48523</v>
      </c>
      <c r="I1770" s="2"/>
      <c r="J1770" s="2">
        <v>48170</v>
      </c>
      <c r="K1770" s="2"/>
      <c r="L1770" s="2">
        <v>48359</v>
      </c>
      <c r="M1770" s="2"/>
      <c r="N1770" s="2">
        <v>48347</v>
      </c>
      <c r="P1770" s="2">
        <v>48465</v>
      </c>
      <c r="Q1770" s="2"/>
      <c r="R1770" s="2">
        <v>48233</v>
      </c>
      <c r="AB1770" s="2"/>
    </row>
    <row r="1771" spans="8:28" ht="15" customHeight="1">
      <c r="H1771" s="2">
        <v>48522</v>
      </c>
      <c r="I1771" s="2"/>
      <c r="J1771" s="2">
        <v>48171</v>
      </c>
      <c r="K1771" s="2"/>
      <c r="L1771" s="2">
        <v>48358</v>
      </c>
      <c r="M1771" s="2"/>
      <c r="N1771" s="2">
        <v>48348</v>
      </c>
      <c r="P1771" s="2">
        <v>48464</v>
      </c>
      <c r="Q1771" s="2"/>
      <c r="R1771" s="2">
        <v>48234</v>
      </c>
      <c r="AB1771" s="2"/>
    </row>
    <row r="1772" spans="8:28" ht="15" customHeight="1">
      <c r="H1772" s="2">
        <v>48521</v>
      </c>
      <c r="I1772" s="2"/>
      <c r="J1772" s="2">
        <v>48172</v>
      </c>
      <c r="K1772" s="2"/>
      <c r="L1772" s="2">
        <v>48355</v>
      </c>
      <c r="M1772" s="2"/>
      <c r="N1772" s="2">
        <v>48351</v>
      </c>
      <c r="P1772" s="2">
        <v>48463</v>
      </c>
      <c r="Q1772" s="2"/>
      <c r="R1772" s="2">
        <v>48235</v>
      </c>
      <c r="AB1772" s="2"/>
    </row>
    <row r="1773" spans="8:28" ht="15" customHeight="1">
      <c r="H1773" s="2">
        <v>48520</v>
      </c>
      <c r="I1773" s="2"/>
      <c r="J1773" s="2">
        <v>48173</v>
      </c>
      <c r="K1773" s="2"/>
      <c r="L1773" s="2">
        <v>48354</v>
      </c>
      <c r="M1773" s="2"/>
      <c r="N1773" s="2">
        <v>48352</v>
      </c>
      <c r="P1773" s="2">
        <v>48460</v>
      </c>
      <c r="Q1773" s="2"/>
      <c r="R1773" s="2">
        <v>48236</v>
      </c>
      <c r="AB1773" s="2"/>
    </row>
    <row r="1774" spans="8:28" ht="15" customHeight="1">
      <c r="H1774" s="2">
        <v>48519</v>
      </c>
      <c r="I1774" s="2"/>
      <c r="J1774" s="2">
        <v>48176</v>
      </c>
      <c r="K1774" s="2"/>
      <c r="L1774" s="2">
        <v>48353</v>
      </c>
      <c r="M1774" s="2"/>
      <c r="N1774" s="2">
        <v>48353</v>
      </c>
      <c r="P1774" s="2">
        <v>48459</v>
      </c>
      <c r="Q1774" s="2"/>
      <c r="R1774" s="2">
        <v>48239</v>
      </c>
      <c r="AB1774" s="2"/>
    </row>
    <row r="1775" spans="8:28" ht="15" customHeight="1">
      <c r="H1775" s="2">
        <v>48516</v>
      </c>
      <c r="I1775" s="2"/>
      <c r="J1775" s="2">
        <v>48177</v>
      </c>
      <c r="K1775" s="2"/>
      <c r="L1775" s="2">
        <v>48352</v>
      </c>
      <c r="M1775" s="2"/>
      <c r="N1775" s="2">
        <v>48354</v>
      </c>
      <c r="P1775" s="2">
        <v>48458</v>
      </c>
      <c r="Q1775" s="2"/>
      <c r="R1775" s="2">
        <v>48240</v>
      </c>
      <c r="AB1775" s="2"/>
    </row>
    <row r="1776" spans="8:28" ht="15" customHeight="1">
      <c r="H1776" s="2">
        <v>48515</v>
      </c>
      <c r="I1776" s="2"/>
      <c r="J1776" s="2">
        <v>48178</v>
      </c>
      <c r="K1776" s="2"/>
      <c r="L1776" s="2">
        <v>48351</v>
      </c>
      <c r="M1776" s="2"/>
      <c r="N1776" s="2">
        <v>48355</v>
      </c>
      <c r="P1776" s="2">
        <v>48457</v>
      </c>
      <c r="Q1776" s="2"/>
      <c r="R1776" s="2">
        <v>48241</v>
      </c>
      <c r="AB1776" s="2"/>
    </row>
    <row r="1777" spans="8:28" ht="15" customHeight="1">
      <c r="H1777" s="2">
        <v>48514</v>
      </c>
      <c r="I1777" s="2"/>
      <c r="J1777" s="2">
        <v>48180</v>
      </c>
      <c r="K1777" s="2"/>
      <c r="L1777" s="2">
        <v>48348</v>
      </c>
      <c r="M1777" s="2"/>
      <c r="N1777" s="2">
        <v>48358</v>
      </c>
      <c r="P1777" s="2">
        <v>48456</v>
      </c>
      <c r="Q1777" s="2"/>
      <c r="R1777" s="2">
        <v>48242</v>
      </c>
      <c r="AB1777" s="2"/>
    </row>
    <row r="1778" spans="8:28" ht="15" customHeight="1">
      <c r="H1778" s="2">
        <v>48513</v>
      </c>
      <c r="I1778" s="2"/>
      <c r="J1778" s="2">
        <v>48183</v>
      </c>
      <c r="K1778" s="2"/>
      <c r="L1778" s="2">
        <v>48347</v>
      </c>
      <c r="M1778" s="2"/>
      <c r="N1778" s="2">
        <v>48359</v>
      </c>
      <c r="P1778" s="2">
        <v>48453</v>
      </c>
      <c r="Q1778" s="2"/>
      <c r="R1778" s="2">
        <v>48243</v>
      </c>
      <c r="AB1778" s="2"/>
    </row>
    <row r="1779" spans="8:28" ht="15" customHeight="1">
      <c r="H1779" s="2">
        <v>48512</v>
      </c>
      <c r="I1779" s="2"/>
      <c r="J1779" s="2">
        <v>48184</v>
      </c>
      <c r="K1779" s="2"/>
      <c r="L1779" s="2">
        <v>48346</v>
      </c>
      <c r="M1779" s="2"/>
      <c r="N1779" s="2">
        <v>48360</v>
      </c>
      <c r="P1779" s="2">
        <v>48452</v>
      </c>
      <c r="Q1779" s="2"/>
      <c r="R1779" s="2">
        <v>48246</v>
      </c>
      <c r="AB1779" s="2"/>
    </row>
    <row r="1780" spans="8:28" ht="15" customHeight="1">
      <c r="H1780" s="2">
        <v>48509</v>
      </c>
      <c r="I1780" s="2"/>
      <c r="J1780" s="2">
        <v>48185</v>
      </c>
      <c r="K1780" s="2"/>
      <c r="L1780" s="2">
        <v>48345</v>
      </c>
      <c r="M1780" s="2"/>
      <c r="N1780" s="2">
        <v>48361</v>
      </c>
      <c r="P1780" s="2">
        <v>48451</v>
      </c>
      <c r="Q1780" s="2"/>
      <c r="R1780" s="2">
        <v>48247</v>
      </c>
      <c r="AB1780" s="2"/>
    </row>
    <row r="1781" spans="8:28" ht="15" customHeight="1">
      <c r="H1781" s="2">
        <v>48508</v>
      </c>
      <c r="I1781" s="2"/>
      <c r="J1781" s="2">
        <v>48186</v>
      </c>
      <c r="K1781" s="2"/>
      <c r="L1781" s="2">
        <v>48344</v>
      </c>
      <c r="M1781" s="2"/>
      <c r="N1781" s="2">
        <v>48362</v>
      </c>
      <c r="P1781" s="2">
        <v>48450</v>
      </c>
      <c r="Q1781" s="2"/>
      <c r="R1781" s="2">
        <v>48248</v>
      </c>
      <c r="AB1781" s="2"/>
    </row>
    <row r="1782" spans="8:28" ht="15" customHeight="1">
      <c r="H1782" s="2">
        <v>48507</v>
      </c>
      <c r="I1782" s="2"/>
      <c r="J1782" s="2">
        <v>48187</v>
      </c>
      <c r="K1782" s="2"/>
      <c r="L1782" s="2">
        <v>48341</v>
      </c>
      <c r="M1782" s="2"/>
      <c r="N1782" s="2">
        <v>48366</v>
      </c>
      <c r="P1782" s="2">
        <v>48449</v>
      </c>
      <c r="Q1782" s="2"/>
      <c r="R1782" s="2">
        <v>48249</v>
      </c>
      <c r="AB1782" s="2"/>
    </row>
    <row r="1783" spans="8:28" ht="15" customHeight="1">
      <c r="H1783" s="2">
        <v>48506</v>
      </c>
      <c r="I1783" s="2"/>
      <c r="J1783" s="2">
        <v>48190</v>
      </c>
      <c r="K1783" s="2"/>
      <c r="L1783" s="2">
        <v>48340</v>
      </c>
      <c r="M1783" s="2"/>
      <c r="N1783" s="2">
        <v>48367</v>
      </c>
      <c r="P1783" s="2">
        <v>48446</v>
      </c>
      <c r="Q1783" s="2"/>
      <c r="R1783" s="2">
        <v>48250</v>
      </c>
      <c r="AB1783" s="2"/>
    </row>
    <row r="1784" spans="8:28" ht="15" customHeight="1">
      <c r="H1784" s="2">
        <v>48505</v>
      </c>
      <c r="I1784" s="2"/>
      <c r="J1784" s="2">
        <v>48191</v>
      </c>
      <c r="K1784" s="2"/>
      <c r="L1784" s="2">
        <v>48334</v>
      </c>
      <c r="M1784" s="2"/>
      <c r="N1784" s="2">
        <v>48368</v>
      </c>
      <c r="P1784" s="2">
        <v>48445</v>
      </c>
      <c r="Q1784" s="2"/>
      <c r="R1784" s="2">
        <v>48253</v>
      </c>
      <c r="AB1784" s="2"/>
    </row>
    <row r="1785" spans="8:28" ht="15" customHeight="1">
      <c r="H1785" s="2">
        <v>48502</v>
      </c>
      <c r="I1785" s="2"/>
      <c r="J1785" s="2">
        <v>48192</v>
      </c>
      <c r="K1785" s="2"/>
      <c r="L1785" s="2">
        <v>48332</v>
      </c>
      <c r="M1785" s="2"/>
      <c r="N1785" s="2">
        <v>48369</v>
      </c>
      <c r="P1785" s="2">
        <v>48444</v>
      </c>
      <c r="Q1785" s="2"/>
      <c r="R1785" s="2">
        <v>48257</v>
      </c>
      <c r="AB1785" s="2"/>
    </row>
    <row r="1786" spans="8:28" ht="15" customHeight="1">
      <c r="H1786" s="2">
        <v>48501</v>
      </c>
      <c r="I1786" s="2"/>
      <c r="J1786" s="2">
        <v>48193</v>
      </c>
      <c r="K1786" s="2"/>
      <c r="L1786" s="2">
        <v>48331</v>
      </c>
      <c r="M1786" s="2"/>
      <c r="N1786" s="2">
        <v>48372</v>
      </c>
      <c r="P1786" s="2">
        <v>48443</v>
      </c>
      <c r="Q1786" s="2"/>
      <c r="R1786" s="2">
        <v>48260</v>
      </c>
      <c r="AB1786" s="2"/>
    </row>
    <row r="1787" spans="8:28" ht="15" customHeight="1">
      <c r="H1787" s="2">
        <v>48500</v>
      </c>
      <c r="I1787" s="2"/>
      <c r="J1787" s="2">
        <v>48194</v>
      </c>
      <c r="K1787" s="2"/>
      <c r="L1787" s="2">
        <v>48330</v>
      </c>
      <c r="M1787" s="2"/>
      <c r="N1787" s="2">
        <v>48373</v>
      </c>
      <c r="P1787" s="2">
        <v>48439</v>
      </c>
      <c r="Q1787" s="2"/>
      <c r="R1787" s="2">
        <v>48261</v>
      </c>
      <c r="AB1787" s="2"/>
    </row>
    <row r="1788" spans="8:28" ht="15" customHeight="1">
      <c r="H1788" s="2">
        <v>48499</v>
      </c>
      <c r="I1788" s="2"/>
      <c r="J1788" s="2">
        <v>48197</v>
      </c>
      <c r="K1788" s="2"/>
      <c r="L1788" s="2">
        <v>48327</v>
      </c>
      <c r="M1788" s="2"/>
      <c r="N1788" s="2">
        <v>48374</v>
      </c>
      <c r="P1788" s="2">
        <v>48438</v>
      </c>
      <c r="Q1788" s="2"/>
      <c r="R1788" s="2">
        <v>48262</v>
      </c>
      <c r="AB1788" s="2"/>
    </row>
    <row r="1789" spans="8:28" ht="15" customHeight="1">
      <c r="H1789" s="2">
        <v>48498</v>
      </c>
      <c r="I1789" s="2"/>
      <c r="J1789" s="2">
        <v>48198</v>
      </c>
      <c r="K1789" s="2"/>
      <c r="L1789" s="2">
        <v>48326</v>
      </c>
      <c r="M1789" s="2"/>
      <c r="N1789" s="2">
        <v>48375</v>
      </c>
      <c r="P1789" s="2">
        <v>48437</v>
      </c>
      <c r="Q1789" s="2"/>
      <c r="R1789" s="2">
        <v>48263</v>
      </c>
      <c r="AB1789" s="2"/>
    </row>
    <row r="1790" spans="8:28" ht="15" customHeight="1">
      <c r="H1790" s="2">
        <v>48495</v>
      </c>
      <c r="I1790" s="2"/>
      <c r="J1790" s="2">
        <v>48199</v>
      </c>
      <c r="K1790" s="2"/>
      <c r="L1790" s="2">
        <v>48325</v>
      </c>
      <c r="M1790" s="2"/>
      <c r="N1790" s="2">
        <v>48376</v>
      </c>
      <c r="P1790" s="2">
        <v>48436</v>
      </c>
      <c r="Q1790" s="2"/>
      <c r="R1790" s="2">
        <v>48264</v>
      </c>
      <c r="AB1790" s="2"/>
    </row>
    <row r="1791" spans="8:28" ht="15" customHeight="1">
      <c r="H1791" s="2">
        <v>48494</v>
      </c>
      <c r="I1791" s="2"/>
      <c r="J1791" s="2">
        <v>48200</v>
      </c>
      <c r="K1791" s="2"/>
      <c r="L1791" s="2">
        <v>48324</v>
      </c>
      <c r="M1791" s="2"/>
      <c r="N1791" s="2">
        <v>48379</v>
      </c>
      <c r="P1791" s="2">
        <v>48435</v>
      </c>
      <c r="Q1791" s="2"/>
      <c r="R1791" s="2">
        <v>48267</v>
      </c>
      <c r="AB1791" s="2"/>
    </row>
    <row r="1792" spans="8:28" ht="15" customHeight="1">
      <c r="H1792" s="2">
        <v>48493</v>
      </c>
      <c r="I1792" s="2"/>
      <c r="J1792" s="2">
        <v>48201</v>
      </c>
      <c r="K1792" s="2"/>
      <c r="L1792" s="2">
        <v>48323</v>
      </c>
      <c r="M1792" s="2"/>
      <c r="N1792" s="2">
        <v>48380</v>
      </c>
      <c r="P1792" s="2">
        <v>48432</v>
      </c>
      <c r="Q1792" s="2"/>
      <c r="R1792" s="2">
        <v>48268</v>
      </c>
      <c r="AB1792" s="2"/>
    </row>
    <row r="1793" spans="8:28" ht="15" customHeight="1">
      <c r="H1793" s="2">
        <v>48492</v>
      </c>
      <c r="I1793" s="2"/>
      <c r="J1793" s="2">
        <v>48204</v>
      </c>
      <c r="K1793" s="2"/>
      <c r="L1793" s="2">
        <v>48320</v>
      </c>
      <c r="M1793" s="2"/>
      <c r="N1793" s="2">
        <v>48381</v>
      </c>
      <c r="P1793" s="2">
        <v>48431</v>
      </c>
      <c r="Q1793" s="2"/>
      <c r="R1793" s="2">
        <v>48269</v>
      </c>
      <c r="AB1793" s="2"/>
    </row>
    <row r="1794" spans="8:28" ht="15" customHeight="1">
      <c r="H1794" s="2">
        <v>48491</v>
      </c>
      <c r="I1794" s="2"/>
      <c r="J1794" s="2">
        <v>48205</v>
      </c>
      <c r="K1794" s="2"/>
      <c r="L1794" s="2">
        <v>48319</v>
      </c>
      <c r="M1794" s="2"/>
      <c r="N1794" s="2">
        <v>48382</v>
      </c>
      <c r="P1794" s="2">
        <v>48430</v>
      </c>
      <c r="Q1794" s="2"/>
      <c r="R1794" s="2">
        <v>48270</v>
      </c>
      <c r="AB1794" s="2"/>
    </row>
    <row r="1795" spans="8:28" ht="15" customHeight="1">
      <c r="H1795" s="2">
        <v>48488</v>
      </c>
      <c r="I1795" s="2"/>
      <c r="J1795" s="2">
        <v>48206</v>
      </c>
      <c r="K1795" s="2"/>
      <c r="L1795" s="2">
        <v>48318</v>
      </c>
      <c r="M1795" s="2"/>
      <c r="N1795" s="2">
        <v>48386</v>
      </c>
      <c r="P1795" s="2">
        <v>48429</v>
      </c>
      <c r="Q1795" s="2"/>
      <c r="R1795" s="2">
        <v>48271</v>
      </c>
      <c r="AB1795" s="2"/>
    </row>
    <row r="1796" spans="8:28" ht="15" customHeight="1">
      <c r="H1796" s="2">
        <v>48487</v>
      </c>
      <c r="I1796" s="2"/>
      <c r="J1796" s="2">
        <v>48208</v>
      </c>
      <c r="K1796" s="2"/>
      <c r="L1796" s="2">
        <v>48317</v>
      </c>
      <c r="M1796" s="2"/>
      <c r="N1796" s="2">
        <v>48387</v>
      </c>
      <c r="P1796" s="2">
        <v>48428</v>
      </c>
      <c r="Q1796" s="2"/>
      <c r="R1796" s="2">
        <v>48275</v>
      </c>
      <c r="AB1796" s="2"/>
    </row>
    <row r="1797" spans="8:28" ht="15" customHeight="1">
      <c r="H1797" s="2">
        <v>48486</v>
      </c>
      <c r="I1797" s="2"/>
      <c r="J1797" s="2">
        <v>48211</v>
      </c>
      <c r="K1797" s="2"/>
      <c r="L1797" s="2">
        <v>48316</v>
      </c>
      <c r="M1797" s="2"/>
      <c r="N1797" s="2">
        <v>48388</v>
      </c>
      <c r="P1797" s="2">
        <v>48425</v>
      </c>
      <c r="Q1797" s="2"/>
      <c r="R1797" s="2">
        <v>48276</v>
      </c>
      <c r="AB1797" s="2"/>
    </row>
    <row r="1798" spans="8:28" ht="15" customHeight="1">
      <c r="H1798" s="2">
        <v>48485</v>
      </c>
      <c r="I1798" s="2"/>
      <c r="J1798" s="2">
        <v>48212</v>
      </c>
      <c r="K1798" s="2"/>
      <c r="L1798" s="2">
        <v>48313</v>
      </c>
      <c r="M1798" s="2"/>
      <c r="N1798" s="2">
        <v>48389</v>
      </c>
      <c r="P1798" s="2">
        <v>48424</v>
      </c>
      <c r="Q1798" s="2"/>
      <c r="R1798" s="2">
        <v>48277</v>
      </c>
      <c r="AB1798" s="2"/>
    </row>
    <row r="1799" spans="8:28" ht="15" customHeight="1">
      <c r="H1799" s="2">
        <v>48484</v>
      </c>
      <c r="I1799" s="2"/>
      <c r="J1799" s="2">
        <v>48213</v>
      </c>
      <c r="K1799" s="2"/>
      <c r="L1799" s="2">
        <v>48312</v>
      </c>
      <c r="M1799" s="2"/>
      <c r="N1799" s="2">
        <v>48390</v>
      </c>
      <c r="P1799" s="2">
        <v>48423</v>
      </c>
      <c r="Q1799" s="2"/>
      <c r="R1799" s="2">
        <v>48278</v>
      </c>
      <c r="AB1799" s="2"/>
    </row>
    <row r="1800" spans="8:28" ht="15" customHeight="1">
      <c r="H1800" s="2">
        <v>48481</v>
      </c>
      <c r="I1800" s="2"/>
      <c r="J1800" s="2">
        <v>48215</v>
      </c>
      <c r="K1800" s="2"/>
      <c r="L1800" s="2">
        <v>48311</v>
      </c>
      <c r="M1800" s="2"/>
      <c r="N1800" s="2">
        <v>48393</v>
      </c>
      <c r="P1800" s="2">
        <v>48422</v>
      </c>
      <c r="Q1800" s="2"/>
      <c r="R1800" s="2">
        <v>48281</v>
      </c>
      <c r="AB1800" s="2"/>
    </row>
    <row r="1801" spans="8:28" ht="15" customHeight="1">
      <c r="H1801" s="2">
        <v>48480</v>
      </c>
      <c r="I1801" s="2"/>
      <c r="J1801" s="2">
        <v>48218</v>
      </c>
      <c r="K1801" s="2"/>
      <c r="L1801" s="2">
        <v>48310</v>
      </c>
      <c r="M1801" s="2"/>
      <c r="N1801" s="2">
        <v>48394</v>
      </c>
      <c r="P1801" s="2">
        <v>48421</v>
      </c>
      <c r="Q1801" s="2"/>
      <c r="R1801" s="2">
        <v>48282</v>
      </c>
      <c r="AB1801" s="2"/>
    </row>
    <row r="1802" spans="8:28" ht="15" customHeight="1">
      <c r="H1802" s="2">
        <v>48479</v>
      </c>
      <c r="I1802" s="2"/>
      <c r="J1802" s="2">
        <v>48219</v>
      </c>
      <c r="K1802" s="2"/>
      <c r="L1802" s="2">
        <v>48309</v>
      </c>
      <c r="M1802" s="2"/>
      <c r="N1802" s="2">
        <v>48395</v>
      </c>
      <c r="P1802" s="2">
        <v>48418</v>
      </c>
      <c r="Q1802" s="2"/>
      <c r="R1802" s="2">
        <v>48283</v>
      </c>
      <c r="AB1802" s="2"/>
    </row>
    <row r="1803" spans="8:28" ht="15" customHeight="1">
      <c r="H1803" s="2">
        <v>48478</v>
      </c>
      <c r="I1803" s="2"/>
      <c r="J1803" s="2">
        <v>48220</v>
      </c>
      <c r="K1803" s="2"/>
      <c r="L1803" s="2">
        <v>48306</v>
      </c>
      <c r="M1803" s="2"/>
      <c r="N1803" s="2">
        <v>48396</v>
      </c>
      <c r="P1803" s="2">
        <v>48417</v>
      </c>
      <c r="Q1803" s="2"/>
      <c r="R1803" s="2">
        <v>48284</v>
      </c>
      <c r="AB1803" s="2"/>
    </row>
    <row r="1804" spans="8:28" ht="15" customHeight="1">
      <c r="H1804" s="2">
        <v>48477</v>
      </c>
      <c r="I1804" s="2"/>
      <c r="J1804" s="2">
        <v>48221</v>
      </c>
      <c r="K1804" s="2"/>
      <c r="L1804" s="2">
        <v>48305</v>
      </c>
      <c r="M1804" s="2"/>
      <c r="N1804" s="2">
        <v>48397</v>
      </c>
      <c r="P1804" s="2">
        <v>48416</v>
      </c>
      <c r="Q1804" s="2"/>
      <c r="R1804" s="2">
        <v>48285</v>
      </c>
      <c r="AB1804" s="2"/>
    </row>
    <row r="1805" spans="8:28" ht="15" customHeight="1">
      <c r="H1805" s="2">
        <v>48474</v>
      </c>
      <c r="I1805" s="2"/>
      <c r="J1805" s="2">
        <v>48222</v>
      </c>
      <c r="K1805" s="2"/>
      <c r="L1805" s="2">
        <v>48304</v>
      </c>
      <c r="M1805" s="2"/>
      <c r="N1805" s="2">
        <v>48401</v>
      </c>
      <c r="P1805" s="2">
        <v>48415</v>
      </c>
      <c r="Q1805" s="2"/>
      <c r="R1805" s="2">
        <v>48288</v>
      </c>
      <c r="AB1805" s="2"/>
    </row>
    <row r="1806" spans="8:28" ht="15" customHeight="1">
      <c r="H1806" s="2">
        <v>48473</v>
      </c>
      <c r="I1806" s="2"/>
      <c r="J1806" s="2">
        <v>48225</v>
      </c>
      <c r="K1806" s="2"/>
      <c r="L1806" s="2">
        <v>48303</v>
      </c>
      <c r="M1806" s="2"/>
      <c r="N1806" s="2">
        <v>48402</v>
      </c>
      <c r="P1806" s="2">
        <v>48414</v>
      </c>
      <c r="Q1806" s="2"/>
      <c r="R1806" s="2">
        <v>48289</v>
      </c>
      <c r="AB1806" s="2"/>
    </row>
    <row r="1807" spans="8:28" ht="15" customHeight="1">
      <c r="H1807" s="2">
        <v>48472</v>
      </c>
      <c r="I1807" s="2"/>
      <c r="J1807" s="2">
        <v>48226</v>
      </c>
      <c r="K1807" s="2"/>
      <c r="L1807" s="2">
        <v>48302</v>
      </c>
      <c r="M1807" s="2"/>
      <c r="N1807" s="2">
        <v>48403</v>
      </c>
      <c r="P1807" s="2">
        <v>48411</v>
      </c>
      <c r="Q1807" s="2"/>
      <c r="R1807" s="2">
        <v>48290</v>
      </c>
      <c r="AB1807" s="2"/>
    </row>
    <row r="1808" spans="8:28" ht="15" customHeight="1">
      <c r="H1808" s="2">
        <v>48471</v>
      </c>
      <c r="I1808" s="2"/>
      <c r="J1808" s="2">
        <v>48227</v>
      </c>
      <c r="K1808" s="2"/>
      <c r="L1808" s="2">
        <v>48298</v>
      </c>
      <c r="M1808" s="2"/>
      <c r="N1808" s="2">
        <v>48404</v>
      </c>
      <c r="P1808" s="2">
        <v>48410</v>
      </c>
      <c r="Q1808" s="2"/>
      <c r="R1808" s="2">
        <v>48291</v>
      </c>
      <c r="AB1808" s="2"/>
    </row>
    <row r="1809" spans="8:28" ht="15" customHeight="1">
      <c r="H1809" s="2">
        <v>48470</v>
      </c>
      <c r="I1809" s="2"/>
      <c r="J1809" s="2">
        <v>48228</v>
      </c>
      <c r="K1809" s="2"/>
      <c r="L1809" s="2">
        <v>48297</v>
      </c>
      <c r="M1809" s="2"/>
      <c r="N1809" s="2">
        <v>48407</v>
      </c>
      <c r="P1809" s="2">
        <v>48409</v>
      </c>
      <c r="Q1809" s="2"/>
      <c r="R1809" s="2">
        <v>48292</v>
      </c>
      <c r="AB1809" s="2"/>
    </row>
    <row r="1810" spans="8:28" ht="15" customHeight="1">
      <c r="H1810" s="2">
        <v>48467</v>
      </c>
      <c r="I1810" s="2"/>
      <c r="J1810" s="2">
        <v>48229</v>
      </c>
      <c r="K1810" s="2"/>
      <c r="L1810" s="2">
        <v>48296</v>
      </c>
      <c r="M1810" s="2"/>
      <c r="N1810" s="2">
        <v>48408</v>
      </c>
      <c r="P1810" s="2">
        <v>48408</v>
      </c>
      <c r="Q1810" s="2"/>
      <c r="R1810" s="2">
        <v>48295</v>
      </c>
      <c r="AB1810" s="2"/>
    </row>
    <row r="1811" spans="8:28" ht="15" customHeight="1">
      <c r="H1811" s="2">
        <v>48466</v>
      </c>
      <c r="I1811" s="2"/>
      <c r="J1811" s="2">
        <v>48233</v>
      </c>
      <c r="K1811" s="2"/>
      <c r="L1811" s="2">
        <v>48295</v>
      </c>
      <c r="M1811" s="2"/>
      <c r="N1811" s="2">
        <v>48409</v>
      </c>
      <c r="P1811" s="2">
        <v>48407</v>
      </c>
      <c r="Q1811" s="2"/>
      <c r="R1811" s="2">
        <v>48296</v>
      </c>
      <c r="AB1811" s="2"/>
    </row>
    <row r="1812" spans="8:28" ht="15" customHeight="1">
      <c r="H1812" s="2">
        <v>48465</v>
      </c>
      <c r="I1812" s="2"/>
      <c r="J1812" s="2">
        <v>48234</v>
      </c>
      <c r="K1812" s="2"/>
      <c r="L1812" s="2">
        <v>48292</v>
      </c>
      <c r="M1812" s="2"/>
      <c r="N1812" s="2">
        <v>48410</v>
      </c>
      <c r="P1812" s="2">
        <v>48404</v>
      </c>
      <c r="Q1812" s="2"/>
      <c r="R1812" s="2">
        <v>48297</v>
      </c>
      <c r="AB1812" s="2"/>
    </row>
    <row r="1813" spans="8:28" ht="15" customHeight="1">
      <c r="H1813" s="2">
        <v>48464</v>
      </c>
      <c r="I1813" s="2"/>
      <c r="J1813" s="2">
        <v>48235</v>
      </c>
      <c r="K1813" s="2"/>
      <c r="L1813" s="2">
        <v>48291</v>
      </c>
      <c r="M1813" s="2"/>
      <c r="N1813" s="2">
        <v>48411</v>
      </c>
      <c r="P1813" s="2">
        <v>48403</v>
      </c>
      <c r="Q1813" s="2"/>
      <c r="R1813" s="2">
        <v>48298</v>
      </c>
      <c r="AB1813" s="2"/>
    </row>
    <row r="1814" spans="8:28" ht="15" customHeight="1">
      <c r="H1814" s="2">
        <v>48460</v>
      </c>
      <c r="I1814" s="2"/>
      <c r="J1814" s="2">
        <v>48236</v>
      </c>
      <c r="K1814" s="2"/>
      <c r="L1814" s="2">
        <v>48290</v>
      </c>
      <c r="M1814" s="2"/>
      <c r="N1814" s="2">
        <v>48415</v>
      </c>
      <c r="P1814" s="2">
        <v>48402</v>
      </c>
      <c r="Q1814" s="2"/>
      <c r="R1814" s="2">
        <v>48299</v>
      </c>
      <c r="AB1814" s="2"/>
    </row>
    <row r="1815" spans="8:28" ht="15" customHeight="1">
      <c r="H1815" s="2">
        <v>48459</v>
      </c>
      <c r="I1815" s="2"/>
      <c r="J1815" s="2">
        <v>48239</v>
      </c>
      <c r="K1815" s="2"/>
      <c r="L1815" s="2">
        <v>48289</v>
      </c>
      <c r="M1815" s="2"/>
      <c r="N1815" s="2">
        <v>48416</v>
      </c>
      <c r="P1815" s="2">
        <v>48401</v>
      </c>
      <c r="Q1815" s="2"/>
      <c r="R1815" s="2">
        <v>48302</v>
      </c>
      <c r="AB1815" s="2"/>
    </row>
    <row r="1816" spans="8:28" ht="15" customHeight="1">
      <c r="H1816" s="2">
        <v>48458</v>
      </c>
      <c r="I1816" s="2"/>
      <c r="J1816" s="2">
        <v>48240</v>
      </c>
      <c r="K1816" s="2"/>
      <c r="L1816" s="2">
        <v>48288</v>
      </c>
      <c r="M1816" s="2"/>
      <c r="N1816" s="2">
        <v>48417</v>
      </c>
      <c r="P1816" s="2">
        <v>48400</v>
      </c>
      <c r="Q1816" s="2"/>
      <c r="R1816" s="2">
        <v>48303</v>
      </c>
      <c r="AB1816" s="2"/>
    </row>
    <row r="1817" spans="8:28" ht="15" customHeight="1">
      <c r="H1817" s="2">
        <v>48457</v>
      </c>
      <c r="I1817" s="2"/>
      <c r="J1817" s="2">
        <v>48241</v>
      </c>
      <c r="K1817" s="2"/>
      <c r="L1817" s="2">
        <v>48285</v>
      </c>
      <c r="M1817" s="2"/>
      <c r="N1817" s="2">
        <v>48418</v>
      </c>
      <c r="P1817" s="2">
        <v>48397</v>
      </c>
      <c r="Q1817" s="2"/>
      <c r="R1817" s="2">
        <v>48304</v>
      </c>
      <c r="AB1817" s="2"/>
    </row>
    <row r="1818" spans="8:28" ht="15" customHeight="1">
      <c r="H1818" s="2">
        <v>48456</v>
      </c>
      <c r="I1818" s="2"/>
      <c r="J1818" s="2">
        <v>48242</v>
      </c>
      <c r="K1818" s="2"/>
      <c r="L1818" s="2">
        <v>48284</v>
      </c>
      <c r="M1818" s="2"/>
      <c r="N1818" s="2">
        <v>48421</v>
      </c>
      <c r="P1818" s="2">
        <v>48396</v>
      </c>
      <c r="Q1818" s="2"/>
      <c r="R1818" s="2">
        <v>48305</v>
      </c>
      <c r="AB1818" s="2"/>
    </row>
    <row r="1819" spans="8:28" ht="15" customHeight="1">
      <c r="H1819" s="2">
        <v>48453</v>
      </c>
      <c r="I1819" s="2"/>
      <c r="J1819" s="2">
        <v>48243</v>
      </c>
      <c r="K1819" s="2"/>
      <c r="L1819" s="2">
        <v>48283</v>
      </c>
      <c r="M1819" s="2"/>
      <c r="N1819" s="2">
        <v>48422</v>
      </c>
      <c r="P1819" s="2">
        <v>48395</v>
      </c>
      <c r="Q1819" s="2"/>
      <c r="R1819" s="2">
        <v>48306</v>
      </c>
      <c r="AB1819" s="2"/>
    </row>
    <row r="1820" spans="8:28" ht="15" customHeight="1">
      <c r="H1820" s="2">
        <v>48452</v>
      </c>
      <c r="I1820" s="2"/>
      <c r="J1820" s="2">
        <v>48246</v>
      </c>
      <c r="K1820" s="2"/>
      <c r="L1820" s="2">
        <v>48282</v>
      </c>
      <c r="M1820" s="2"/>
      <c r="N1820" s="2">
        <v>48423</v>
      </c>
      <c r="P1820" s="2">
        <v>48394</v>
      </c>
      <c r="Q1820" s="2"/>
      <c r="R1820" s="2">
        <v>48309</v>
      </c>
      <c r="AB1820" s="2"/>
    </row>
    <row r="1821" spans="8:28" ht="15" customHeight="1">
      <c r="H1821" s="2">
        <v>48451</v>
      </c>
      <c r="I1821" s="2"/>
      <c r="J1821" s="2">
        <v>48247</v>
      </c>
      <c r="K1821" s="2"/>
      <c r="L1821" s="2">
        <v>48281</v>
      </c>
      <c r="M1821" s="2"/>
      <c r="N1821" s="2">
        <v>48424</v>
      </c>
      <c r="P1821" s="2">
        <v>48393</v>
      </c>
      <c r="Q1821" s="2"/>
      <c r="R1821" s="2">
        <v>48310</v>
      </c>
      <c r="AB1821" s="2"/>
    </row>
    <row r="1822" spans="8:28" ht="15" customHeight="1">
      <c r="H1822" s="2">
        <v>48450</v>
      </c>
      <c r="I1822" s="2"/>
      <c r="J1822" s="2">
        <v>48248</v>
      </c>
      <c r="K1822" s="2"/>
      <c r="L1822" s="2">
        <v>48278</v>
      </c>
      <c r="M1822" s="2"/>
      <c r="N1822" s="2">
        <v>48425</v>
      </c>
      <c r="P1822" s="2">
        <v>48390</v>
      </c>
      <c r="Q1822" s="2"/>
      <c r="R1822" s="2">
        <v>48311</v>
      </c>
      <c r="AB1822" s="2"/>
    </row>
    <row r="1823" spans="8:28" ht="15" customHeight="1">
      <c r="H1823" s="2">
        <v>48449</v>
      </c>
      <c r="I1823" s="2"/>
      <c r="J1823" s="2">
        <v>48249</v>
      </c>
      <c r="K1823" s="2"/>
      <c r="L1823" s="2">
        <v>48277</v>
      </c>
      <c r="M1823" s="2"/>
      <c r="N1823" s="2">
        <v>48428</v>
      </c>
      <c r="P1823" s="2">
        <v>48389</v>
      </c>
      <c r="Q1823" s="2"/>
      <c r="R1823" s="2">
        <v>48312</v>
      </c>
      <c r="AB1823" s="2"/>
    </row>
    <row r="1824" spans="8:28" ht="15" customHeight="1">
      <c r="H1824" s="2">
        <v>48446</v>
      </c>
      <c r="I1824" s="2"/>
      <c r="J1824" s="2">
        <v>48250</v>
      </c>
      <c r="K1824" s="2"/>
      <c r="L1824" s="2">
        <v>48276</v>
      </c>
      <c r="M1824" s="2"/>
      <c r="N1824" s="2">
        <v>48429</v>
      </c>
      <c r="P1824" s="2">
        <v>48388</v>
      </c>
      <c r="Q1824" s="2"/>
      <c r="R1824" s="2">
        <v>48313</v>
      </c>
      <c r="AB1824" s="2"/>
    </row>
    <row r="1825" spans="8:28" ht="15" customHeight="1">
      <c r="H1825" s="2">
        <v>48445</v>
      </c>
      <c r="I1825" s="2"/>
      <c r="J1825" s="2">
        <v>48253</v>
      </c>
      <c r="K1825" s="2"/>
      <c r="L1825" s="2">
        <v>48275</v>
      </c>
      <c r="M1825" s="2"/>
      <c r="N1825" s="2">
        <v>48430</v>
      </c>
      <c r="P1825" s="2">
        <v>48387</v>
      </c>
      <c r="Q1825" s="2"/>
      <c r="R1825" s="2">
        <v>48316</v>
      </c>
      <c r="AB1825" s="2"/>
    </row>
    <row r="1826" spans="8:28" ht="15" customHeight="1">
      <c r="H1826" s="2">
        <v>48444</v>
      </c>
      <c r="I1826" s="2"/>
      <c r="J1826" s="2">
        <v>48254</v>
      </c>
      <c r="K1826" s="2"/>
      <c r="L1826" s="2">
        <v>48274</v>
      </c>
      <c r="M1826" s="2"/>
      <c r="N1826" s="2">
        <v>48431</v>
      </c>
      <c r="P1826" s="2">
        <v>48386</v>
      </c>
      <c r="Q1826" s="2"/>
      <c r="R1826" s="2">
        <v>48317</v>
      </c>
      <c r="AB1826" s="2"/>
    </row>
    <row r="1827" spans="8:28" ht="15" customHeight="1">
      <c r="H1827" s="2">
        <v>48443</v>
      </c>
      <c r="I1827" s="2"/>
      <c r="J1827" s="2">
        <v>48255</v>
      </c>
      <c r="K1827" s="2"/>
      <c r="L1827" s="2">
        <v>48271</v>
      </c>
      <c r="M1827" s="2"/>
      <c r="N1827" s="2">
        <v>48432</v>
      </c>
      <c r="P1827" s="2">
        <v>48383</v>
      </c>
      <c r="Q1827" s="2"/>
      <c r="R1827" s="2">
        <v>48318</v>
      </c>
      <c r="AB1827" s="2"/>
    </row>
    <row r="1828" spans="8:28" ht="15" customHeight="1">
      <c r="H1828" s="2">
        <v>48442</v>
      </c>
      <c r="I1828" s="2"/>
      <c r="J1828" s="2">
        <v>48256</v>
      </c>
      <c r="K1828" s="2"/>
      <c r="L1828" s="2">
        <v>48270</v>
      </c>
      <c r="M1828" s="2"/>
      <c r="N1828" s="2">
        <v>48435</v>
      </c>
      <c r="P1828" s="2">
        <v>48382</v>
      </c>
      <c r="Q1828" s="2"/>
      <c r="R1828" s="2">
        <v>48319</v>
      </c>
      <c r="AB1828" s="2"/>
    </row>
    <row r="1829" spans="8:28" ht="15" customHeight="1">
      <c r="H1829" s="2">
        <v>48439</v>
      </c>
      <c r="I1829" s="2"/>
      <c r="J1829" s="2">
        <v>48257</v>
      </c>
      <c r="K1829" s="2"/>
      <c r="L1829" s="2">
        <v>48269</v>
      </c>
      <c r="M1829" s="2"/>
      <c r="N1829" s="2">
        <v>48436</v>
      </c>
      <c r="P1829" s="2">
        <v>48381</v>
      </c>
      <c r="Q1829" s="2"/>
      <c r="R1829" s="2">
        <v>48320</v>
      </c>
      <c r="AB1829" s="2"/>
    </row>
    <row r="1830" spans="8:28" ht="15" customHeight="1">
      <c r="H1830" s="2">
        <v>48438</v>
      </c>
      <c r="I1830" s="2"/>
      <c r="J1830" s="2">
        <v>48261</v>
      </c>
      <c r="K1830" s="2"/>
      <c r="L1830" s="2">
        <v>48268</v>
      </c>
      <c r="M1830" s="2"/>
      <c r="N1830" s="2">
        <v>48438</v>
      </c>
      <c r="P1830" s="2">
        <v>48380</v>
      </c>
      <c r="Q1830" s="2"/>
      <c r="R1830" s="2">
        <v>48323</v>
      </c>
      <c r="AB1830" s="2"/>
    </row>
    <row r="1831" spans="8:28" ht="15" customHeight="1">
      <c r="H1831" s="2">
        <v>48437</v>
      </c>
      <c r="I1831" s="2"/>
      <c r="J1831" s="2">
        <v>48262</v>
      </c>
      <c r="K1831" s="2"/>
      <c r="L1831" s="2">
        <v>48264</v>
      </c>
      <c r="M1831" s="2"/>
      <c r="N1831" s="2">
        <v>48439</v>
      </c>
      <c r="P1831" s="2">
        <v>48379</v>
      </c>
      <c r="Q1831" s="2"/>
      <c r="R1831" s="2">
        <v>48324</v>
      </c>
      <c r="AB1831" s="2"/>
    </row>
    <row r="1832" spans="8:28" ht="15" customHeight="1">
      <c r="H1832" s="2">
        <v>48436</v>
      </c>
      <c r="I1832" s="2"/>
      <c r="J1832" s="2">
        <v>48263</v>
      </c>
      <c r="K1832" s="2"/>
      <c r="L1832" s="2">
        <v>48263</v>
      </c>
      <c r="M1832" s="2"/>
      <c r="N1832" s="2">
        <v>48442</v>
      </c>
      <c r="P1832" s="2">
        <v>48376</v>
      </c>
      <c r="Q1832" s="2"/>
      <c r="R1832" s="2">
        <v>48325</v>
      </c>
      <c r="AB1832" s="2"/>
    </row>
    <row r="1833" spans="8:28" ht="15" customHeight="1">
      <c r="H1833" s="2">
        <v>48435</v>
      </c>
      <c r="I1833" s="2"/>
      <c r="J1833" s="2">
        <v>48264</v>
      </c>
      <c r="K1833" s="2"/>
      <c r="L1833" s="2">
        <v>48262</v>
      </c>
      <c r="M1833" s="2"/>
      <c r="N1833" s="2">
        <v>48443</v>
      </c>
      <c r="P1833" s="2">
        <v>48375</v>
      </c>
      <c r="Q1833" s="2"/>
      <c r="R1833" s="2">
        <v>48326</v>
      </c>
      <c r="AB1833" s="2"/>
    </row>
    <row r="1834" spans="8:28" ht="15" customHeight="1">
      <c r="H1834" s="2">
        <v>48432</v>
      </c>
      <c r="I1834" s="2"/>
      <c r="J1834" s="2">
        <v>48267</v>
      </c>
      <c r="K1834" s="2"/>
      <c r="L1834" s="2">
        <v>48261</v>
      </c>
      <c r="M1834" s="2"/>
      <c r="N1834" s="2">
        <v>48444</v>
      </c>
      <c r="P1834" s="2">
        <v>48374</v>
      </c>
      <c r="Q1834" s="2"/>
      <c r="R1834" s="2">
        <v>48327</v>
      </c>
      <c r="AB1834" s="2"/>
    </row>
    <row r="1835" spans="8:28" ht="15" customHeight="1">
      <c r="H1835" s="2">
        <v>48431</v>
      </c>
      <c r="I1835" s="2"/>
      <c r="J1835" s="2">
        <v>48268</v>
      </c>
      <c r="K1835" s="2"/>
      <c r="L1835" s="2">
        <v>48257</v>
      </c>
      <c r="M1835" s="2"/>
      <c r="N1835" s="2">
        <v>48445</v>
      </c>
      <c r="P1835" s="2">
        <v>48373</v>
      </c>
      <c r="Q1835" s="2"/>
      <c r="R1835" s="2">
        <v>48330</v>
      </c>
      <c r="AB1835" s="2"/>
    </row>
    <row r="1836" spans="8:28" ht="15" customHeight="1">
      <c r="H1836" s="2">
        <v>48430</v>
      </c>
      <c r="I1836" s="2"/>
      <c r="J1836" s="2">
        <v>48269</v>
      </c>
      <c r="K1836" s="2"/>
      <c r="L1836" s="2">
        <v>48256</v>
      </c>
      <c r="M1836" s="2"/>
      <c r="N1836" s="2">
        <v>48446</v>
      </c>
      <c r="P1836" s="2">
        <v>48372</v>
      </c>
      <c r="Q1836" s="2"/>
      <c r="R1836" s="2">
        <v>48331</v>
      </c>
      <c r="AB1836" s="2"/>
    </row>
    <row r="1837" spans="8:28" ht="15" customHeight="1">
      <c r="H1837" s="2">
        <v>48429</v>
      </c>
      <c r="I1837" s="2"/>
      <c r="J1837" s="2">
        <v>48270</v>
      </c>
      <c r="K1837" s="2"/>
      <c r="L1837" s="2">
        <v>48254</v>
      </c>
      <c r="M1837" s="2"/>
      <c r="N1837" s="2">
        <v>48449</v>
      </c>
      <c r="P1837" s="2">
        <v>48369</v>
      </c>
      <c r="Q1837" s="2"/>
      <c r="R1837" s="2">
        <v>48332</v>
      </c>
      <c r="AB1837" s="2"/>
    </row>
    <row r="1838" spans="8:28" ht="15" customHeight="1">
      <c r="H1838" s="2">
        <v>48428</v>
      </c>
      <c r="I1838" s="2"/>
      <c r="J1838" s="2">
        <v>48271</v>
      </c>
      <c r="K1838" s="2"/>
      <c r="L1838" s="2">
        <v>48253</v>
      </c>
      <c r="M1838" s="2"/>
      <c r="N1838" s="2">
        <v>48450</v>
      </c>
      <c r="P1838" s="2">
        <v>48368</v>
      </c>
      <c r="Q1838" s="2"/>
      <c r="R1838" s="2">
        <v>48333</v>
      </c>
      <c r="AB1838" s="2"/>
    </row>
    <row r="1839" spans="8:28" ht="15" customHeight="1">
      <c r="H1839" s="2">
        <v>48425</v>
      </c>
      <c r="I1839" s="2"/>
      <c r="J1839" s="2">
        <v>48274</v>
      </c>
      <c r="K1839" s="2"/>
      <c r="L1839" s="2">
        <v>48250</v>
      </c>
      <c r="M1839" s="2"/>
      <c r="N1839" s="2">
        <v>48451</v>
      </c>
      <c r="P1839" s="2">
        <v>48367</v>
      </c>
      <c r="Q1839" s="2"/>
      <c r="R1839" s="2">
        <v>48334</v>
      </c>
      <c r="AB1839" s="2"/>
    </row>
    <row r="1840" spans="8:28" ht="15" customHeight="1">
      <c r="H1840" s="2">
        <v>48424</v>
      </c>
      <c r="I1840" s="2"/>
      <c r="J1840" s="2">
        <v>48275</v>
      </c>
      <c r="K1840" s="2"/>
      <c r="L1840" s="2">
        <v>48249</v>
      </c>
      <c r="M1840" s="2"/>
      <c r="N1840" s="2">
        <v>48452</v>
      </c>
      <c r="P1840" s="2">
        <v>48366</v>
      </c>
      <c r="Q1840" s="2"/>
      <c r="R1840" s="2">
        <v>48337</v>
      </c>
      <c r="AB1840" s="2"/>
    </row>
    <row r="1841" spans="8:28" ht="15" customHeight="1">
      <c r="H1841" s="2">
        <v>48423</v>
      </c>
      <c r="I1841" s="2"/>
      <c r="J1841" s="2">
        <v>48276</v>
      </c>
      <c r="K1841" s="2"/>
      <c r="L1841" s="2">
        <v>48248</v>
      </c>
      <c r="M1841" s="2"/>
      <c r="N1841" s="2">
        <v>48453</v>
      </c>
      <c r="P1841" s="2">
        <v>48365</v>
      </c>
      <c r="Q1841" s="2"/>
      <c r="R1841" s="2">
        <v>48338</v>
      </c>
      <c r="AB1841" s="2"/>
    </row>
    <row r="1842" spans="8:28" ht="15" customHeight="1">
      <c r="H1842" s="2">
        <v>48422</v>
      </c>
      <c r="I1842" s="2"/>
      <c r="J1842" s="2">
        <v>48277</v>
      </c>
      <c r="K1842" s="2"/>
      <c r="L1842" s="2">
        <v>48247</v>
      </c>
      <c r="M1842" s="2"/>
      <c r="N1842" s="2">
        <v>48456</v>
      </c>
      <c r="P1842" s="2">
        <v>48362</v>
      </c>
      <c r="Q1842" s="2"/>
      <c r="R1842" s="2">
        <v>48340</v>
      </c>
      <c r="AB1842" s="2"/>
    </row>
    <row r="1843" spans="8:28" ht="15" customHeight="1">
      <c r="H1843" s="2">
        <v>48421</v>
      </c>
      <c r="I1843" s="2"/>
      <c r="J1843" s="2">
        <v>48278</v>
      </c>
      <c r="K1843" s="2"/>
      <c r="L1843" s="2">
        <v>48246</v>
      </c>
      <c r="M1843" s="2"/>
      <c r="N1843" s="2">
        <v>48457</v>
      </c>
      <c r="P1843" s="2">
        <v>48361</v>
      </c>
      <c r="Q1843" s="2"/>
      <c r="R1843" s="2">
        <v>48341</v>
      </c>
      <c r="AB1843" s="2"/>
    </row>
    <row r="1844" spans="8:28" ht="15" customHeight="1">
      <c r="H1844" s="2">
        <v>48418</v>
      </c>
      <c r="I1844" s="2"/>
      <c r="J1844" s="2">
        <v>48281</v>
      </c>
      <c r="K1844" s="2"/>
      <c r="L1844" s="2">
        <v>48243</v>
      </c>
      <c r="M1844" s="2"/>
      <c r="N1844" s="2">
        <v>48458</v>
      </c>
      <c r="P1844" s="2">
        <v>48360</v>
      </c>
      <c r="Q1844" s="2"/>
      <c r="R1844" s="2">
        <v>48344</v>
      </c>
      <c r="AB1844" s="2"/>
    </row>
    <row r="1845" spans="8:28" ht="15" customHeight="1">
      <c r="H1845" s="2">
        <v>48417</v>
      </c>
      <c r="I1845" s="2"/>
      <c r="J1845" s="2">
        <v>48282</v>
      </c>
      <c r="K1845" s="2"/>
      <c r="L1845" s="2">
        <v>48242</v>
      </c>
      <c r="M1845" s="2"/>
      <c r="N1845" s="2">
        <v>48459</v>
      </c>
      <c r="P1845" s="2">
        <v>48359</v>
      </c>
      <c r="Q1845" s="2"/>
      <c r="R1845" s="2">
        <v>48345</v>
      </c>
      <c r="AB1845" s="2"/>
    </row>
    <row r="1846" spans="8:28" ht="15" customHeight="1">
      <c r="H1846" s="2">
        <v>48416</v>
      </c>
      <c r="I1846" s="2"/>
      <c r="J1846" s="2">
        <v>48283</v>
      </c>
      <c r="K1846" s="2"/>
      <c r="L1846" s="2">
        <v>48241</v>
      </c>
      <c r="M1846" s="2"/>
      <c r="N1846" s="2">
        <v>48460</v>
      </c>
      <c r="P1846" s="2">
        <v>48358</v>
      </c>
      <c r="Q1846" s="2"/>
      <c r="R1846" s="2">
        <v>48346</v>
      </c>
      <c r="AB1846" s="2"/>
    </row>
    <row r="1847" spans="8:28" ht="15" customHeight="1">
      <c r="H1847" s="2">
        <v>48415</v>
      </c>
      <c r="I1847" s="2"/>
      <c r="J1847" s="2">
        <v>48284</v>
      </c>
      <c r="K1847" s="2"/>
      <c r="L1847" s="2">
        <v>48240</v>
      </c>
      <c r="M1847" s="2"/>
      <c r="N1847" s="2">
        <v>48464</v>
      </c>
      <c r="P1847" s="2">
        <v>48355</v>
      </c>
      <c r="Q1847" s="2"/>
      <c r="R1847" s="2">
        <v>48347</v>
      </c>
      <c r="AB1847" s="2"/>
    </row>
    <row r="1848" spans="8:28" ht="15" customHeight="1">
      <c r="H1848" s="2">
        <v>48414</v>
      </c>
      <c r="I1848" s="2"/>
      <c r="J1848" s="2">
        <v>48285</v>
      </c>
      <c r="K1848" s="2"/>
      <c r="L1848" s="2">
        <v>48239</v>
      </c>
      <c r="M1848" s="2"/>
      <c r="N1848" s="2">
        <v>48465</v>
      </c>
      <c r="P1848" s="2">
        <v>48354</v>
      </c>
      <c r="Q1848" s="2"/>
      <c r="R1848" s="2">
        <v>48348</v>
      </c>
      <c r="AB1848" s="2"/>
    </row>
    <row r="1849" spans="8:28" ht="15" customHeight="1">
      <c r="H1849" s="2">
        <v>48411</v>
      </c>
      <c r="I1849" s="2"/>
      <c r="J1849" s="2">
        <v>48288</v>
      </c>
      <c r="K1849" s="2"/>
      <c r="L1849" s="2">
        <v>48236</v>
      </c>
      <c r="M1849" s="2"/>
      <c r="N1849" s="2">
        <v>48466</v>
      </c>
      <c r="P1849" s="2">
        <v>48353</v>
      </c>
      <c r="Q1849" s="2"/>
      <c r="R1849" s="2">
        <v>48352</v>
      </c>
      <c r="AB1849" s="2"/>
    </row>
    <row r="1850" spans="8:28" ht="15" customHeight="1">
      <c r="H1850" s="2">
        <v>48410</v>
      </c>
      <c r="I1850" s="2"/>
      <c r="J1850" s="2">
        <v>48289</v>
      </c>
      <c r="K1850" s="2"/>
      <c r="L1850" s="2">
        <v>48235</v>
      </c>
      <c r="M1850" s="2"/>
      <c r="N1850" s="2">
        <v>48467</v>
      </c>
      <c r="P1850" s="2">
        <v>48352</v>
      </c>
      <c r="Q1850" s="2"/>
      <c r="R1850" s="2">
        <v>48353</v>
      </c>
      <c r="AB1850" s="2"/>
    </row>
    <row r="1851" spans="8:28" ht="15" customHeight="1">
      <c r="H1851" s="2">
        <v>48409</v>
      </c>
      <c r="I1851" s="2"/>
      <c r="J1851" s="2">
        <v>48290</v>
      </c>
      <c r="K1851" s="2"/>
      <c r="L1851" s="2">
        <v>48234</v>
      </c>
      <c r="M1851" s="2"/>
      <c r="N1851" s="2">
        <v>48470</v>
      </c>
      <c r="P1851" s="2">
        <v>48348</v>
      </c>
      <c r="Q1851" s="2"/>
      <c r="R1851" s="2">
        <v>48354</v>
      </c>
      <c r="AB1851" s="2"/>
    </row>
    <row r="1852" spans="8:28" ht="15" customHeight="1">
      <c r="H1852" s="2">
        <v>48408</v>
      </c>
      <c r="I1852" s="2"/>
      <c r="J1852" s="2">
        <v>48291</v>
      </c>
      <c r="K1852" s="2"/>
      <c r="L1852" s="2">
        <v>48233</v>
      </c>
      <c r="M1852" s="2"/>
      <c r="N1852" s="2">
        <v>48471</v>
      </c>
      <c r="P1852" s="2">
        <v>48347</v>
      </c>
      <c r="Q1852" s="2"/>
      <c r="R1852" s="2">
        <v>48355</v>
      </c>
      <c r="AB1852" s="2"/>
    </row>
    <row r="1853" spans="8:28" ht="15" customHeight="1">
      <c r="H1853" s="2">
        <v>48407</v>
      </c>
      <c r="I1853" s="2"/>
      <c r="J1853" s="2">
        <v>48292</v>
      </c>
      <c r="K1853" s="2"/>
      <c r="L1853" s="2">
        <v>48229</v>
      </c>
      <c r="M1853" s="2"/>
      <c r="N1853" s="2">
        <v>48472</v>
      </c>
      <c r="P1853" s="2">
        <v>48346</v>
      </c>
      <c r="Q1853" s="2"/>
      <c r="R1853" s="2">
        <v>48358</v>
      </c>
      <c r="AB1853" s="2"/>
    </row>
    <row r="1854" spans="8:28" ht="15" customHeight="1">
      <c r="H1854" s="2">
        <v>48404</v>
      </c>
      <c r="I1854" s="2"/>
      <c r="J1854" s="2">
        <v>48295</v>
      </c>
      <c r="K1854" s="2"/>
      <c r="L1854" s="2">
        <v>48228</v>
      </c>
      <c r="M1854" s="2"/>
      <c r="N1854" s="2">
        <v>48473</v>
      </c>
      <c r="P1854" s="2">
        <v>48345</v>
      </c>
      <c r="Q1854" s="2"/>
      <c r="R1854" s="2">
        <v>48359</v>
      </c>
      <c r="AB1854" s="2"/>
    </row>
    <row r="1855" spans="8:28" ht="15" customHeight="1">
      <c r="H1855" s="2">
        <v>48403</v>
      </c>
      <c r="I1855" s="2"/>
      <c r="J1855" s="2">
        <v>48296</v>
      </c>
      <c r="K1855" s="2"/>
      <c r="L1855" s="2">
        <v>48227</v>
      </c>
      <c r="M1855" s="2"/>
      <c r="N1855" s="2">
        <v>48474</v>
      </c>
      <c r="P1855" s="2">
        <v>48344</v>
      </c>
      <c r="Q1855" s="2"/>
      <c r="R1855" s="2">
        <v>48360</v>
      </c>
      <c r="AB1855" s="2"/>
    </row>
    <row r="1856" spans="8:28" ht="15" customHeight="1">
      <c r="H1856" s="2">
        <v>48402</v>
      </c>
      <c r="I1856" s="2"/>
      <c r="J1856" s="2">
        <v>48297</v>
      </c>
      <c r="K1856" s="2"/>
      <c r="L1856" s="2">
        <v>48226</v>
      </c>
      <c r="M1856" s="2"/>
      <c r="N1856" s="2">
        <v>48478</v>
      </c>
      <c r="P1856" s="2">
        <v>48341</v>
      </c>
      <c r="Q1856" s="2"/>
      <c r="R1856" s="2">
        <v>48361</v>
      </c>
      <c r="AB1856" s="2"/>
    </row>
    <row r="1857" spans="8:28" ht="15" customHeight="1">
      <c r="H1857" s="2">
        <v>48401</v>
      </c>
      <c r="I1857" s="2"/>
      <c r="J1857" s="2">
        <v>48298</v>
      </c>
      <c r="K1857" s="2"/>
      <c r="L1857" s="2">
        <v>48222</v>
      </c>
      <c r="M1857" s="2"/>
      <c r="N1857" s="2">
        <v>48480</v>
      </c>
      <c r="P1857" s="2">
        <v>48340</v>
      </c>
      <c r="Q1857" s="2"/>
      <c r="R1857" s="2">
        <v>48362</v>
      </c>
      <c r="AB1857" s="2"/>
    </row>
    <row r="1858" spans="8:28" ht="15" customHeight="1">
      <c r="H1858" s="2">
        <v>48397</v>
      </c>
      <c r="I1858" s="2"/>
      <c r="J1858" s="2">
        <v>48302</v>
      </c>
      <c r="K1858" s="2"/>
      <c r="L1858" s="2">
        <v>48221</v>
      </c>
      <c r="M1858" s="2"/>
      <c r="N1858" s="2">
        <v>48481</v>
      </c>
      <c r="P1858" s="2">
        <v>48338</v>
      </c>
      <c r="Q1858" s="2"/>
      <c r="R1858" s="2">
        <v>48365</v>
      </c>
      <c r="AB1858" s="2"/>
    </row>
    <row r="1859" spans="8:28" ht="15" customHeight="1">
      <c r="H1859" s="2">
        <v>48396</v>
      </c>
      <c r="I1859" s="2"/>
      <c r="J1859" s="2">
        <v>48303</v>
      </c>
      <c r="K1859" s="2"/>
      <c r="L1859" s="2">
        <v>48220</v>
      </c>
      <c r="M1859" s="2"/>
      <c r="N1859" s="2">
        <v>48484</v>
      </c>
      <c r="P1859" s="2">
        <v>48337</v>
      </c>
      <c r="Q1859" s="2"/>
      <c r="R1859" s="2">
        <v>48366</v>
      </c>
      <c r="AB1859" s="2"/>
    </row>
    <row r="1860" spans="8:28" ht="15" customHeight="1">
      <c r="H1860" s="2">
        <v>48395</v>
      </c>
      <c r="I1860" s="2"/>
      <c r="J1860" s="2">
        <v>48304</v>
      </c>
      <c r="K1860" s="2"/>
      <c r="L1860" s="2">
        <v>48219</v>
      </c>
      <c r="M1860" s="2"/>
      <c r="N1860" s="2">
        <v>48485</v>
      </c>
      <c r="P1860" s="2">
        <v>48334</v>
      </c>
      <c r="Q1860" s="2"/>
      <c r="R1860" s="2">
        <v>48367</v>
      </c>
      <c r="AB1860" s="2"/>
    </row>
    <row r="1861" spans="8:28" ht="15" customHeight="1">
      <c r="H1861" s="2">
        <v>48394</v>
      </c>
      <c r="I1861" s="2"/>
      <c r="J1861" s="2">
        <v>48305</v>
      </c>
      <c r="K1861" s="2"/>
      <c r="L1861" s="2">
        <v>48218</v>
      </c>
      <c r="M1861" s="2"/>
      <c r="N1861" s="2">
        <v>48486</v>
      </c>
      <c r="P1861" s="2">
        <v>48333</v>
      </c>
      <c r="Q1861" s="2"/>
      <c r="R1861" s="2">
        <v>48368</v>
      </c>
      <c r="AB1861" s="2"/>
    </row>
    <row r="1862" spans="8:28" ht="15" customHeight="1">
      <c r="H1862" s="2">
        <v>48393</v>
      </c>
      <c r="I1862" s="2"/>
      <c r="J1862" s="2">
        <v>48306</v>
      </c>
      <c r="K1862" s="2"/>
      <c r="L1862" s="2">
        <v>48212</v>
      </c>
      <c r="M1862" s="2"/>
      <c r="N1862" s="2">
        <v>48487</v>
      </c>
      <c r="P1862" s="2">
        <v>48332</v>
      </c>
      <c r="Q1862" s="2"/>
      <c r="R1862" s="2">
        <v>48369</v>
      </c>
      <c r="AB1862" s="2"/>
    </row>
    <row r="1863" spans="8:28" ht="15" customHeight="1">
      <c r="H1863" s="2">
        <v>48390</v>
      </c>
      <c r="I1863" s="2"/>
      <c r="J1863" s="2">
        <v>48309</v>
      </c>
      <c r="K1863" s="2"/>
      <c r="L1863" s="2">
        <v>48211</v>
      </c>
      <c r="M1863" s="2"/>
      <c r="N1863" s="2">
        <v>48488</v>
      </c>
      <c r="P1863" s="2">
        <v>48331</v>
      </c>
      <c r="Q1863" s="2"/>
      <c r="R1863" s="2">
        <v>48372</v>
      </c>
      <c r="AB1863" s="2"/>
    </row>
    <row r="1864" spans="8:28" ht="15" customHeight="1">
      <c r="H1864" s="2">
        <v>48389</v>
      </c>
      <c r="I1864" s="2"/>
      <c r="J1864" s="2">
        <v>48310</v>
      </c>
      <c r="K1864" s="2"/>
      <c r="L1864" s="2">
        <v>48208</v>
      </c>
      <c r="M1864" s="2"/>
      <c r="N1864" s="2">
        <v>48491</v>
      </c>
      <c r="P1864" s="2">
        <v>48330</v>
      </c>
      <c r="Q1864" s="2"/>
      <c r="R1864" s="2">
        <v>48373</v>
      </c>
      <c r="AB1864" s="2"/>
    </row>
    <row r="1865" spans="8:28" ht="15" customHeight="1">
      <c r="H1865" s="2">
        <v>48388</v>
      </c>
      <c r="I1865" s="2"/>
      <c r="J1865" s="2">
        <v>48311</v>
      </c>
      <c r="K1865" s="2"/>
      <c r="L1865" s="2">
        <v>48206</v>
      </c>
      <c r="M1865" s="2"/>
      <c r="N1865" s="2">
        <v>48492</v>
      </c>
      <c r="P1865" s="2">
        <v>48327</v>
      </c>
      <c r="Q1865" s="2"/>
      <c r="R1865" s="2">
        <v>48374</v>
      </c>
      <c r="AB1865" s="2"/>
    </row>
    <row r="1866" spans="8:28" ht="15" customHeight="1">
      <c r="H1866" s="2">
        <v>48387</v>
      </c>
      <c r="I1866" s="2"/>
      <c r="J1866" s="2">
        <v>48312</v>
      </c>
      <c r="K1866" s="2"/>
      <c r="L1866" s="2">
        <v>48205</v>
      </c>
      <c r="M1866" s="2"/>
      <c r="N1866" s="2">
        <v>48493</v>
      </c>
      <c r="P1866" s="2">
        <v>48326</v>
      </c>
      <c r="Q1866" s="2"/>
      <c r="R1866" s="2">
        <v>48375</v>
      </c>
      <c r="AB1866" s="2"/>
    </row>
    <row r="1867" spans="8:28" ht="15" customHeight="1">
      <c r="H1867" s="2">
        <v>48386</v>
      </c>
      <c r="I1867" s="2"/>
      <c r="J1867" s="2">
        <v>48313</v>
      </c>
      <c r="K1867" s="2"/>
      <c r="L1867" s="2">
        <v>48204</v>
      </c>
      <c r="M1867" s="2"/>
      <c r="N1867" s="2">
        <v>48494</v>
      </c>
      <c r="P1867" s="2">
        <v>48325</v>
      </c>
      <c r="Q1867" s="2"/>
      <c r="R1867" s="2">
        <v>48376</v>
      </c>
      <c r="AB1867" s="2"/>
    </row>
    <row r="1868" spans="8:28" ht="15" customHeight="1">
      <c r="H1868" s="2">
        <v>48382</v>
      </c>
      <c r="I1868" s="2"/>
      <c r="J1868" s="2">
        <v>48316</v>
      </c>
      <c r="K1868" s="2"/>
      <c r="L1868" s="2">
        <v>48201</v>
      </c>
      <c r="M1868" s="2"/>
      <c r="N1868" s="2">
        <v>48495</v>
      </c>
      <c r="P1868" s="2">
        <v>48324</v>
      </c>
      <c r="Q1868" s="2"/>
      <c r="R1868" s="2">
        <v>48379</v>
      </c>
      <c r="AB1868" s="2"/>
    </row>
    <row r="1869" spans="8:28" ht="15" customHeight="1">
      <c r="H1869" s="2">
        <v>48381</v>
      </c>
      <c r="I1869" s="2"/>
      <c r="J1869" s="2">
        <v>48317</v>
      </c>
      <c r="K1869" s="2"/>
      <c r="L1869" s="2">
        <v>48200</v>
      </c>
      <c r="M1869" s="2"/>
      <c r="N1869" s="2">
        <v>48499</v>
      </c>
      <c r="P1869" s="2">
        <v>48323</v>
      </c>
      <c r="Q1869" s="2"/>
      <c r="R1869" s="2">
        <v>48380</v>
      </c>
      <c r="AB1869" s="2"/>
    </row>
    <row r="1870" spans="8:28" ht="15" customHeight="1">
      <c r="H1870" s="2">
        <v>48380</v>
      </c>
      <c r="I1870" s="2"/>
      <c r="J1870" s="2">
        <v>48318</v>
      </c>
      <c r="K1870" s="2"/>
      <c r="L1870" s="2">
        <v>48199</v>
      </c>
      <c r="M1870" s="2"/>
      <c r="N1870" s="2">
        <v>48500</v>
      </c>
      <c r="P1870" s="2">
        <v>48320</v>
      </c>
      <c r="Q1870" s="2"/>
      <c r="R1870" s="2">
        <v>48381</v>
      </c>
      <c r="AB1870" s="2"/>
    </row>
    <row r="1871" spans="8:28" ht="15" customHeight="1">
      <c r="H1871" s="2">
        <v>48379</v>
      </c>
      <c r="I1871" s="2"/>
      <c r="J1871" s="2">
        <v>48319</v>
      </c>
      <c r="K1871" s="2"/>
      <c r="L1871" s="2">
        <v>48198</v>
      </c>
      <c r="M1871" s="2"/>
      <c r="N1871" s="2">
        <v>48501</v>
      </c>
      <c r="P1871" s="2">
        <v>48319</v>
      </c>
      <c r="Q1871" s="2"/>
      <c r="R1871" s="2">
        <v>48382</v>
      </c>
      <c r="AB1871" s="2"/>
    </row>
    <row r="1872" spans="8:28" ht="15" customHeight="1">
      <c r="H1872" s="2">
        <v>48376</v>
      </c>
      <c r="I1872" s="2"/>
      <c r="J1872" s="2">
        <v>48320</v>
      </c>
      <c r="K1872" s="2"/>
      <c r="L1872" s="2">
        <v>48197</v>
      </c>
      <c r="M1872" s="2"/>
      <c r="N1872" s="2">
        <v>48502</v>
      </c>
      <c r="P1872" s="2">
        <v>48318</v>
      </c>
      <c r="Q1872" s="2"/>
      <c r="R1872" s="2">
        <v>48383</v>
      </c>
      <c r="AB1872" s="2"/>
    </row>
    <row r="1873" spans="8:28" ht="15" customHeight="1">
      <c r="H1873" s="2">
        <v>48375</v>
      </c>
      <c r="I1873" s="2"/>
      <c r="J1873" s="2">
        <v>48323</v>
      </c>
      <c r="K1873" s="2"/>
      <c r="L1873" s="2">
        <v>48194</v>
      </c>
      <c r="M1873" s="2"/>
      <c r="N1873" s="2">
        <v>48505</v>
      </c>
      <c r="P1873" s="2">
        <v>48317</v>
      </c>
      <c r="Q1873" s="2"/>
      <c r="R1873" s="2">
        <v>48386</v>
      </c>
      <c r="AB1873" s="2"/>
    </row>
    <row r="1874" spans="8:28" ht="15" customHeight="1">
      <c r="H1874" s="2">
        <v>48374</v>
      </c>
      <c r="I1874" s="2"/>
      <c r="J1874" s="2">
        <v>48324</v>
      </c>
      <c r="K1874" s="2"/>
      <c r="L1874" s="2">
        <v>48193</v>
      </c>
      <c r="M1874" s="2"/>
      <c r="N1874" s="2">
        <v>48506</v>
      </c>
      <c r="P1874" s="2">
        <v>48316</v>
      </c>
      <c r="Q1874" s="2"/>
      <c r="R1874" s="2">
        <v>48387</v>
      </c>
      <c r="AB1874" s="2"/>
    </row>
    <row r="1875" spans="8:28" ht="15" customHeight="1">
      <c r="H1875" s="2">
        <v>48373</v>
      </c>
      <c r="I1875" s="2"/>
      <c r="J1875" s="2">
        <v>48325</v>
      </c>
      <c r="K1875" s="2"/>
      <c r="L1875" s="2">
        <v>48192</v>
      </c>
      <c r="M1875" s="2"/>
      <c r="N1875" s="2">
        <v>48507</v>
      </c>
      <c r="P1875" s="2">
        <v>48313</v>
      </c>
      <c r="Q1875" s="2"/>
      <c r="R1875" s="2">
        <v>48388</v>
      </c>
      <c r="AB1875" s="2"/>
    </row>
    <row r="1876" spans="8:28" ht="15" customHeight="1">
      <c r="H1876" s="2">
        <v>48372</v>
      </c>
      <c r="I1876" s="2"/>
      <c r="J1876" s="2">
        <v>48326</v>
      </c>
      <c r="K1876" s="2"/>
      <c r="L1876" s="2">
        <v>48191</v>
      </c>
      <c r="M1876" s="2"/>
      <c r="N1876" s="2">
        <v>48508</v>
      </c>
      <c r="P1876" s="2">
        <v>48312</v>
      </c>
      <c r="Q1876" s="2"/>
      <c r="R1876" s="2">
        <v>48389</v>
      </c>
      <c r="AB1876" s="2"/>
    </row>
    <row r="1877" spans="8:28" ht="15" customHeight="1">
      <c r="H1877" s="2">
        <v>48369</v>
      </c>
      <c r="I1877" s="2"/>
      <c r="J1877" s="2">
        <v>48327</v>
      </c>
      <c r="K1877" s="2"/>
      <c r="L1877" s="2">
        <v>48190</v>
      </c>
      <c r="M1877" s="2"/>
      <c r="N1877" s="2">
        <v>48509</v>
      </c>
      <c r="P1877" s="2">
        <v>48311</v>
      </c>
      <c r="Q1877" s="2"/>
      <c r="R1877" s="2">
        <v>48390</v>
      </c>
      <c r="AB1877" s="2"/>
    </row>
    <row r="1878" spans="8:28" ht="15" customHeight="1">
      <c r="H1878" s="2">
        <v>48368</v>
      </c>
      <c r="I1878" s="2"/>
      <c r="J1878" s="2">
        <v>48330</v>
      </c>
      <c r="K1878" s="2"/>
      <c r="L1878" s="2">
        <v>48187</v>
      </c>
      <c r="M1878" s="2"/>
      <c r="N1878" s="2">
        <v>48512</v>
      </c>
      <c r="P1878" s="2">
        <v>48310</v>
      </c>
      <c r="Q1878" s="2"/>
      <c r="R1878" s="2">
        <v>48393</v>
      </c>
      <c r="AB1878" s="2"/>
    </row>
    <row r="1879" spans="8:28" ht="15" customHeight="1">
      <c r="H1879" s="2">
        <v>48367</v>
      </c>
      <c r="I1879" s="2"/>
      <c r="J1879" s="2">
        <v>48331</v>
      </c>
      <c r="K1879" s="2"/>
      <c r="L1879" s="2">
        <v>48186</v>
      </c>
      <c r="M1879" s="2"/>
      <c r="N1879" s="2">
        <v>48513</v>
      </c>
      <c r="P1879" s="2">
        <v>48309</v>
      </c>
      <c r="Q1879" s="2"/>
      <c r="R1879" s="2">
        <v>48394</v>
      </c>
      <c r="AB1879" s="2"/>
    </row>
    <row r="1880" spans="8:28" ht="15" customHeight="1">
      <c r="H1880" s="2">
        <v>48366</v>
      </c>
      <c r="I1880" s="2"/>
      <c r="J1880" s="2">
        <v>48332</v>
      </c>
      <c r="K1880" s="2"/>
      <c r="L1880" s="2">
        <v>48185</v>
      </c>
      <c r="M1880" s="2"/>
      <c r="N1880" s="2">
        <v>48514</v>
      </c>
      <c r="P1880" s="2">
        <v>48306</v>
      </c>
      <c r="Q1880" s="2"/>
      <c r="R1880" s="2">
        <v>48395</v>
      </c>
      <c r="AB1880" s="2"/>
    </row>
    <row r="1881" spans="8:28" ht="15" customHeight="1">
      <c r="H1881" s="2">
        <v>48362</v>
      </c>
      <c r="I1881" s="2"/>
      <c r="J1881" s="2">
        <v>48333</v>
      </c>
      <c r="K1881" s="2"/>
      <c r="L1881" s="2">
        <v>48184</v>
      </c>
      <c r="M1881" s="2"/>
      <c r="N1881" s="2">
        <v>48515</v>
      </c>
      <c r="P1881" s="2">
        <v>48305</v>
      </c>
      <c r="Q1881" s="2"/>
      <c r="R1881" s="2">
        <v>48396</v>
      </c>
      <c r="AB1881" s="2"/>
    </row>
    <row r="1882" spans="8:28" ht="15" customHeight="1">
      <c r="H1882" s="2">
        <v>48361</v>
      </c>
      <c r="I1882" s="2"/>
      <c r="J1882" s="2">
        <v>48334</v>
      </c>
      <c r="K1882" s="2"/>
      <c r="L1882" s="2">
        <v>48183</v>
      </c>
      <c r="M1882" s="2"/>
      <c r="N1882" s="2">
        <v>48516</v>
      </c>
      <c r="P1882" s="2">
        <v>48304</v>
      </c>
      <c r="Q1882" s="2"/>
      <c r="R1882" s="2">
        <v>48397</v>
      </c>
      <c r="AB1882" s="2"/>
    </row>
    <row r="1883" spans="8:28" ht="15" customHeight="1">
      <c r="H1883" s="2">
        <v>48360</v>
      </c>
      <c r="I1883" s="2"/>
      <c r="J1883" s="2">
        <v>48337</v>
      </c>
      <c r="K1883" s="2"/>
      <c r="L1883" s="2">
        <v>48180</v>
      </c>
      <c r="M1883" s="2"/>
      <c r="N1883" s="2">
        <v>48519</v>
      </c>
      <c r="P1883" s="2">
        <v>48303</v>
      </c>
      <c r="Q1883" s="2"/>
      <c r="R1883" s="2">
        <v>48400</v>
      </c>
      <c r="AB1883" s="2"/>
    </row>
    <row r="1884" spans="8:28" ht="15" customHeight="1">
      <c r="H1884" s="2">
        <v>48359</v>
      </c>
      <c r="I1884" s="2"/>
      <c r="J1884" s="2">
        <v>48338</v>
      </c>
      <c r="K1884" s="2"/>
      <c r="L1884" s="2">
        <v>48178</v>
      </c>
      <c r="M1884" s="2"/>
      <c r="N1884" s="2">
        <v>48520</v>
      </c>
      <c r="P1884" s="2">
        <v>48302</v>
      </c>
      <c r="Q1884" s="2"/>
      <c r="R1884" s="2">
        <v>48401</v>
      </c>
      <c r="AB1884" s="2"/>
    </row>
    <row r="1885" spans="8:28" ht="15" customHeight="1">
      <c r="H1885" s="2">
        <v>48358</v>
      </c>
      <c r="I1885" s="2"/>
      <c r="J1885" s="2">
        <v>48339</v>
      </c>
      <c r="K1885" s="2"/>
      <c r="L1885" s="2">
        <v>48177</v>
      </c>
      <c r="M1885" s="2"/>
      <c r="N1885" s="2">
        <v>48522</v>
      </c>
      <c r="P1885" s="2">
        <v>48299</v>
      </c>
      <c r="Q1885" s="2"/>
      <c r="R1885" s="2">
        <v>48402</v>
      </c>
      <c r="AB1885" s="2"/>
    </row>
    <row r="1886" spans="8:28" ht="15" customHeight="1">
      <c r="H1886" s="2">
        <v>48355</v>
      </c>
      <c r="I1886" s="2"/>
      <c r="J1886" s="2">
        <v>48340</v>
      </c>
      <c r="K1886" s="2"/>
      <c r="L1886" s="2">
        <v>48173</v>
      </c>
      <c r="M1886" s="2"/>
      <c r="N1886" s="2">
        <v>48523</v>
      </c>
      <c r="P1886" s="2">
        <v>48298</v>
      </c>
      <c r="Q1886" s="2"/>
      <c r="R1886" s="2">
        <v>48403</v>
      </c>
      <c r="AB1886" s="2"/>
    </row>
    <row r="1887" spans="8:28" ht="15" customHeight="1">
      <c r="H1887" s="2">
        <v>48354</v>
      </c>
      <c r="I1887" s="2"/>
      <c r="J1887" s="2">
        <v>48341</v>
      </c>
      <c r="K1887" s="2"/>
      <c r="L1887" s="2">
        <v>48172</v>
      </c>
      <c r="M1887" s="2"/>
      <c r="N1887" s="2">
        <v>48526</v>
      </c>
      <c r="P1887" s="2">
        <v>48297</v>
      </c>
      <c r="Q1887" s="2"/>
      <c r="R1887" s="2">
        <v>48404</v>
      </c>
      <c r="AB1887" s="2"/>
    </row>
    <row r="1888" spans="8:28" ht="15" customHeight="1">
      <c r="H1888" s="2">
        <v>48353</v>
      </c>
      <c r="I1888" s="2"/>
      <c r="J1888" s="2">
        <v>48344</v>
      </c>
      <c r="K1888" s="2"/>
      <c r="L1888" s="2">
        <v>48171</v>
      </c>
      <c r="M1888" s="2"/>
      <c r="N1888" s="2">
        <v>48527</v>
      </c>
      <c r="P1888" s="2">
        <v>48296</v>
      </c>
      <c r="Q1888" s="2"/>
      <c r="R1888" s="2">
        <v>48407</v>
      </c>
      <c r="AB1888" s="2"/>
    </row>
    <row r="1889" spans="8:28" ht="15" customHeight="1">
      <c r="H1889" s="2">
        <v>48352</v>
      </c>
      <c r="I1889" s="2"/>
      <c r="J1889" s="2">
        <v>48345</v>
      </c>
      <c r="K1889" s="2"/>
      <c r="L1889" s="2">
        <v>48170</v>
      </c>
      <c r="M1889" s="2"/>
      <c r="N1889" s="2">
        <v>48528</v>
      </c>
      <c r="P1889" s="2">
        <v>48295</v>
      </c>
      <c r="Q1889" s="2"/>
      <c r="R1889" s="2">
        <v>48408</v>
      </c>
      <c r="AB1889" s="2"/>
    </row>
    <row r="1890" spans="8:28" ht="15" customHeight="1">
      <c r="H1890" s="2">
        <v>48351</v>
      </c>
      <c r="I1890" s="2"/>
      <c r="J1890" s="2">
        <v>48346</v>
      </c>
      <c r="K1890" s="2"/>
      <c r="L1890" s="2">
        <v>48169</v>
      </c>
      <c r="M1890" s="2"/>
      <c r="N1890" s="2">
        <v>48529</v>
      </c>
      <c r="P1890" s="2">
        <v>48292</v>
      </c>
      <c r="Q1890" s="2"/>
      <c r="R1890" s="2">
        <v>48409</v>
      </c>
      <c r="AB1890" s="2"/>
    </row>
    <row r="1891" spans="8:28" ht="15" customHeight="1">
      <c r="H1891" s="2">
        <v>48348</v>
      </c>
      <c r="I1891" s="2"/>
      <c r="J1891" s="2">
        <v>48347</v>
      </c>
      <c r="K1891" s="2"/>
      <c r="L1891" s="2">
        <v>48166</v>
      </c>
      <c r="M1891" s="2"/>
      <c r="N1891" s="2">
        <v>48530</v>
      </c>
      <c r="P1891" s="2">
        <v>48291</v>
      </c>
      <c r="Q1891" s="2"/>
      <c r="R1891" s="2">
        <v>48410</v>
      </c>
      <c r="AB1891" s="2"/>
    </row>
    <row r="1892" spans="8:28" ht="15" customHeight="1">
      <c r="H1892" s="2">
        <v>48347</v>
      </c>
      <c r="I1892" s="2"/>
      <c r="J1892" s="2">
        <v>48348</v>
      </c>
      <c r="K1892" s="2"/>
      <c r="L1892" s="2">
        <v>48165</v>
      </c>
      <c r="M1892" s="2"/>
      <c r="N1892" s="2">
        <v>48533</v>
      </c>
      <c r="P1892" s="2">
        <v>48290</v>
      </c>
      <c r="Q1892" s="2"/>
      <c r="R1892" s="2">
        <v>48411</v>
      </c>
      <c r="AB1892" s="2"/>
    </row>
    <row r="1893" spans="8:28" ht="15" customHeight="1">
      <c r="H1893" s="2">
        <v>48346</v>
      </c>
      <c r="I1893" s="2"/>
      <c r="J1893" s="2">
        <v>48351</v>
      </c>
      <c r="K1893" s="2"/>
      <c r="L1893" s="2">
        <v>48164</v>
      </c>
      <c r="M1893" s="2"/>
      <c r="N1893" s="2">
        <v>48534</v>
      </c>
      <c r="P1893" s="2">
        <v>48289</v>
      </c>
      <c r="Q1893" s="2"/>
      <c r="R1893" s="2">
        <v>48414</v>
      </c>
      <c r="AB1893" s="2"/>
    </row>
    <row r="1894" spans="8:28" ht="15" customHeight="1">
      <c r="H1894" s="2">
        <v>48345</v>
      </c>
      <c r="I1894" s="2"/>
      <c r="J1894" s="2">
        <v>48352</v>
      </c>
      <c r="K1894" s="2"/>
      <c r="L1894" s="2">
        <v>48163</v>
      </c>
      <c r="M1894" s="2"/>
      <c r="N1894" s="2">
        <v>48535</v>
      </c>
      <c r="P1894" s="2">
        <v>48288</v>
      </c>
      <c r="Q1894" s="2"/>
      <c r="R1894" s="2">
        <v>48415</v>
      </c>
      <c r="AB1894" s="2"/>
    </row>
    <row r="1895" spans="8:28" ht="15" customHeight="1">
      <c r="H1895" s="2">
        <v>48344</v>
      </c>
      <c r="I1895" s="2"/>
      <c r="J1895" s="2">
        <v>48353</v>
      </c>
      <c r="K1895" s="2"/>
      <c r="L1895" s="2">
        <v>48162</v>
      </c>
      <c r="M1895" s="2"/>
      <c r="N1895" s="2">
        <v>48536</v>
      </c>
      <c r="P1895" s="2">
        <v>48285</v>
      </c>
      <c r="Q1895" s="2"/>
      <c r="R1895" s="2">
        <v>48416</v>
      </c>
      <c r="AB1895" s="2"/>
    </row>
    <row r="1896" spans="8:28" ht="15" customHeight="1">
      <c r="H1896" s="2">
        <v>48341</v>
      </c>
      <c r="I1896" s="2"/>
      <c r="J1896" s="2">
        <v>48354</v>
      </c>
      <c r="K1896" s="2"/>
      <c r="L1896" s="2">
        <v>48159</v>
      </c>
      <c r="M1896" s="2"/>
      <c r="N1896" s="2">
        <v>48537</v>
      </c>
      <c r="P1896" s="2">
        <v>48284</v>
      </c>
      <c r="Q1896" s="2"/>
      <c r="R1896" s="2">
        <v>48417</v>
      </c>
      <c r="AB1896" s="2"/>
    </row>
    <row r="1897" spans="8:28" ht="15" customHeight="1">
      <c r="H1897" s="2">
        <v>48340</v>
      </c>
      <c r="I1897" s="2"/>
      <c r="J1897" s="2">
        <v>48355</v>
      </c>
      <c r="K1897" s="2"/>
      <c r="L1897" s="2">
        <v>48158</v>
      </c>
      <c r="M1897" s="2"/>
      <c r="N1897" s="2">
        <v>48540</v>
      </c>
      <c r="P1897" s="2">
        <v>48283</v>
      </c>
      <c r="Q1897" s="2"/>
      <c r="R1897" s="2">
        <v>48418</v>
      </c>
      <c r="AB1897" s="2"/>
    </row>
    <row r="1898" spans="8:28" ht="15" customHeight="1">
      <c r="H1898" s="2">
        <v>48339</v>
      </c>
      <c r="I1898" s="2"/>
      <c r="J1898" s="2">
        <v>48358</v>
      </c>
      <c r="K1898" s="2"/>
      <c r="L1898" s="2">
        <v>48157</v>
      </c>
      <c r="M1898" s="2"/>
      <c r="N1898" s="2">
        <v>48542</v>
      </c>
      <c r="P1898" s="2">
        <v>48282</v>
      </c>
      <c r="Q1898" s="2"/>
      <c r="R1898" s="2">
        <v>48421</v>
      </c>
      <c r="AB1898" s="2"/>
    </row>
    <row r="1899" spans="8:28" ht="15" customHeight="1">
      <c r="H1899" s="2">
        <v>48338</v>
      </c>
      <c r="I1899" s="2"/>
      <c r="J1899" s="2">
        <v>48359</v>
      </c>
      <c r="K1899" s="2"/>
      <c r="L1899" s="2">
        <v>48156</v>
      </c>
      <c r="M1899" s="2"/>
      <c r="N1899" s="2">
        <v>48544</v>
      </c>
      <c r="P1899" s="2">
        <v>48281</v>
      </c>
      <c r="Q1899" s="2"/>
      <c r="R1899" s="2">
        <v>48422</v>
      </c>
      <c r="AB1899" s="2"/>
    </row>
    <row r="1900" spans="8:28" ht="15" customHeight="1">
      <c r="H1900" s="2">
        <v>48337</v>
      </c>
      <c r="I1900" s="2"/>
      <c r="J1900" s="2">
        <v>48360</v>
      </c>
      <c r="K1900" s="2"/>
      <c r="L1900" s="2">
        <v>48152</v>
      </c>
      <c r="M1900" s="2"/>
      <c r="N1900" s="2">
        <v>48547</v>
      </c>
      <c r="P1900" s="2">
        <v>48278</v>
      </c>
      <c r="Q1900" s="2"/>
      <c r="R1900" s="2">
        <v>48423</v>
      </c>
      <c r="AB1900" s="2"/>
    </row>
    <row r="1901" spans="8:28" ht="15" customHeight="1">
      <c r="H1901" s="2">
        <v>48334</v>
      </c>
      <c r="I1901" s="2"/>
      <c r="J1901" s="2">
        <v>48361</v>
      </c>
      <c r="K1901" s="2"/>
      <c r="L1901" s="2">
        <v>48151</v>
      </c>
      <c r="M1901" s="2"/>
      <c r="N1901" s="2">
        <v>48548</v>
      </c>
      <c r="P1901" s="2">
        <v>48277</v>
      </c>
      <c r="Q1901" s="2"/>
      <c r="R1901" s="2">
        <v>48424</v>
      </c>
      <c r="AB1901" s="2"/>
    </row>
    <row r="1902" spans="8:28" ht="15" customHeight="1">
      <c r="H1902" s="2">
        <v>48333</v>
      </c>
      <c r="I1902" s="2"/>
      <c r="J1902" s="2">
        <v>48362</v>
      </c>
      <c r="K1902" s="2"/>
      <c r="L1902" s="2">
        <v>48150</v>
      </c>
      <c r="M1902" s="2"/>
      <c r="N1902" s="2">
        <v>48549</v>
      </c>
      <c r="P1902" s="2">
        <v>48276</v>
      </c>
      <c r="Q1902" s="2"/>
      <c r="R1902" s="2">
        <v>48425</v>
      </c>
      <c r="AB1902" s="2"/>
    </row>
    <row r="1903" spans="8:28" ht="15" customHeight="1">
      <c r="H1903" s="2">
        <v>48332</v>
      </c>
      <c r="I1903" s="2"/>
      <c r="J1903" s="2">
        <v>48366</v>
      </c>
      <c r="K1903" s="2"/>
      <c r="L1903" s="2">
        <v>48149</v>
      </c>
      <c r="M1903" s="2"/>
      <c r="N1903" s="2">
        <v>48550</v>
      </c>
      <c r="P1903" s="2">
        <v>48275</v>
      </c>
      <c r="Q1903" s="2"/>
      <c r="R1903" s="2">
        <v>48428</v>
      </c>
      <c r="AB1903" s="2"/>
    </row>
    <row r="1904" spans="8:28" ht="15" customHeight="1">
      <c r="H1904" s="2">
        <v>48331</v>
      </c>
      <c r="I1904" s="2"/>
      <c r="J1904" s="2">
        <v>48367</v>
      </c>
      <c r="K1904" s="2"/>
      <c r="L1904" s="2">
        <v>48148</v>
      </c>
      <c r="M1904" s="2"/>
      <c r="N1904" s="2">
        <v>48551</v>
      </c>
      <c r="P1904" s="2">
        <v>48271</v>
      </c>
      <c r="Q1904" s="2"/>
      <c r="R1904" s="2">
        <v>48429</v>
      </c>
      <c r="AB1904" s="2"/>
    </row>
    <row r="1905" spans="8:28" ht="15" customHeight="1">
      <c r="H1905" s="2">
        <v>48330</v>
      </c>
      <c r="I1905" s="2"/>
      <c r="J1905" s="2">
        <v>48368</v>
      </c>
      <c r="K1905" s="2"/>
      <c r="L1905" s="2">
        <v>48145</v>
      </c>
      <c r="M1905" s="2"/>
      <c r="N1905" s="2">
        <v>48554</v>
      </c>
      <c r="P1905" s="2">
        <v>48270</v>
      </c>
      <c r="Q1905" s="2"/>
      <c r="R1905" s="2">
        <v>48430</v>
      </c>
      <c r="AB1905" s="2"/>
    </row>
    <row r="1906" spans="8:28" ht="15" customHeight="1">
      <c r="H1906" s="2">
        <v>48327</v>
      </c>
      <c r="I1906" s="2"/>
      <c r="J1906" s="2">
        <v>48369</v>
      </c>
      <c r="K1906" s="2"/>
      <c r="L1906" s="2">
        <v>48144</v>
      </c>
      <c r="M1906" s="2"/>
      <c r="N1906" s="2">
        <v>48555</v>
      </c>
      <c r="P1906" s="2">
        <v>48269</v>
      </c>
      <c r="Q1906" s="2"/>
      <c r="R1906" s="2">
        <v>48431</v>
      </c>
      <c r="AB1906" s="2"/>
    </row>
    <row r="1907" spans="8:28" ht="15" customHeight="1">
      <c r="H1907" s="2">
        <v>48326</v>
      </c>
      <c r="I1907" s="2"/>
      <c r="J1907" s="2">
        <v>48372</v>
      </c>
      <c r="K1907" s="2"/>
      <c r="L1907" s="2">
        <v>48143</v>
      </c>
      <c r="M1907" s="2"/>
      <c r="N1907" s="2">
        <v>48556</v>
      </c>
      <c r="P1907" s="2">
        <v>48268</v>
      </c>
      <c r="Q1907" s="2"/>
      <c r="R1907" s="2">
        <v>48432</v>
      </c>
      <c r="AB1907" s="2"/>
    </row>
    <row r="1908" spans="8:28" ht="15" customHeight="1">
      <c r="H1908" s="2">
        <v>48325</v>
      </c>
      <c r="I1908" s="2"/>
      <c r="J1908" s="2">
        <v>48373</v>
      </c>
      <c r="K1908" s="2"/>
      <c r="L1908" s="2">
        <v>48142</v>
      </c>
      <c r="M1908" s="2"/>
      <c r="N1908" s="2">
        <v>48557</v>
      </c>
      <c r="P1908" s="2">
        <v>48267</v>
      </c>
      <c r="Q1908" s="2"/>
      <c r="R1908" s="2">
        <v>48435</v>
      </c>
      <c r="AB1908" s="2"/>
    </row>
    <row r="1909" spans="8:28" ht="15" customHeight="1">
      <c r="H1909" s="2">
        <v>48324</v>
      </c>
      <c r="I1909" s="2"/>
      <c r="J1909" s="2">
        <v>48374</v>
      </c>
      <c r="K1909" s="2"/>
      <c r="L1909" s="2">
        <v>48141</v>
      </c>
      <c r="M1909" s="2"/>
      <c r="N1909" s="2">
        <v>48558</v>
      </c>
      <c r="P1909" s="2">
        <v>48264</v>
      </c>
      <c r="Q1909" s="2"/>
      <c r="R1909" s="2">
        <v>48436</v>
      </c>
      <c r="AB1909" s="2"/>
    </row>
    <row r="1910" spans="8:28" ht="15" customHeight="1">
      <c r="H1910" s="2">
        <v>48323</v>
      </c>
      <c r="I1910" s="2"/>
      <c r="J1910" s="2">
        <v>48375</v>
      </c>
      <c r="K1910" s="2"/>
      <c r="L1910" s="2">
        <v>48138</v>
      </c>
      <c r="M1910" s="2"/>
      <c r="N1910" s="2">
        <v>48561</v>
      </c>
      <c r="P1910" s="2">
        <v>48263</v>
      </c>
      <c r="Q1910" s="2"/>
      <c r="R1910" s="2">
        <v>48437</v>
      </c>
      <c r="AB1910" s="2"/>
    </row>
    <row r="1911" spans="8:28" ht="15" customHeight="1">
      <c r="H1911" s="2">
        <v>48320</v>
      </c>
      <c r="I1911" s="2"/>
      <c r="J1911" s="2">
        <v>48376</v>
      </c>
      <c r="K1911" s="2"/>
      <c r="L1911" s="2">
        <v>48137</v>
      </c>
      <c r="M1911" s="2"/>
      <c r="N1911" s="2">
        <v>48562</v>
      </c>
      <c r="P1911" s="2">
        <v>48262</v>
      </c>
      <c r="Q1911" s="2"/>
      <c r="R1911" s="2">
        <v>48438</v>
      </c>
      <c r="AB1911" s="2"/>
    </row>
    <row r="1912" spans="8:28" ht="15" customHeight="1">
      <c r="H1912" s="2">
        <v>48319</v>
      </c>
      <c r="I1912" s="2"/>
      <c r="J1912" s="2">
        <v>48379</v>
      </c>
      <c r="K1912" s="2"/>
      <c r="L1912" s="2">
        <v>48136</v>
      </c>
      <c r="M1912" s="2"/>
      <c r="N1912" s="2">
        <v>48563</v>
      </c>
      <c r="P1912" s="2">
        <v>48261</v>
      </c>
      <c r="Q1912" s="2"/>
      <c r="R1912" s="2">
        <v>48439</v>
      </c>
      <c r="AB1912" s="2"/>
    </row>
    <row r="1913" spans="8:28" ht="15" customHeight="1">
      <c r="H1913" s="2">
        <v>48318</v>
      </c>
      <c r="I1913" s="2"/>
      <c r="J1913" s="2">
        <v>48380</v>
      </c>
      <c r="K1913" s="2"/>
      <c r="L1913" s="2">
        <v>48135</v>
      </c>
      <c r="M1913" s="2"/>
      <c r="N1913" s="2">
        <v>48564</v>
      </c>
      <c r="P1913" s="2">
        <v>48260</v>
      </c>
      <c r="Q1913" s="2"/>
      <c r="R1913" s="2">
        <v>48443</v>
      </c>
      <c r="AB1913" s="2"/>
    </row>
    <row r="1914" spans="8:28" ht="15" customHeight="1">
      <c r="H1914" s="2">
        <v>48317</v>
      </c>
      <c r="I1914" s="2"/>
      <c r="J1914" s="2">
        <v>48381</v>
      </c>
      <c r="K1914" s="2"/>
      <c r="L1914" s="2">
        <v>48131</v>
      </c>
      <c r="M1914" s="2"/>
      <c r="N1914" s="2">
        <v>48565</v>
      </c>
      <c r="P1914" s="2">
        <v>48257</v>
      </c>
      <c r="Q1914" s="2"/>
      <c r="R1914" s="2">
        <v>48444</v>
      </c>
      <c r="AB1914" s="2"/>
    </row>
    <row r="1915" spans="8:28" ht="15" customHeight="1">
      <c r="H1915" s="2">
        <v>48316</v>
      </c>
      <c r="I1915" s="2"/>
      <c r="J1915" s="2">
        <v>48382</v>
      </c>
      <c r="K1915" s="2"/>
      <c r="L1915" s="2">
        <v>48130</v>
      </c>
      <c r="M1915" s="2"/>
      <c r="N1915" s="2">
        <v>48568</v>
      </c>
      <c r="P1915" s="2">
        <v>48253</v>
      </c>
      <c r="Q1915" s="2"/>
      <c r="R1915" s="2">
        <v>48445</v>
      </c>
      <c r="AB1915" s="2"/>
    </row>
    <row r="1916" spans="8:28" ht="15" customHeight="1">
      <c r="H1916" s="2">
        <v>48313</v>
      </c>
      <c r="I1916" s="2"/>
      <c r="J1916" s="2">
        <v>48386</v>
      </c>
      <c r="K1916" s="2"/>
      <c r="L1916" s="2">
        <v>48129</v>
      </c>
      <c r="M1916" s="2"/>
      <c r="N1916" s="2">
        <v>48569</v>
      </c>
      <c r="P1916" s="2">
        <v>48250</v>
      </c>
      <c r="Q1916" s="2"/>
      <c r="R1916" s="2">
        <v>48446</v>
      </c>
      <c r="AB1916" s="2"/>
    </row>
    <row r="1917" spans="8:28" ht="15" customHeight="1">
      <c r="H1917" s="2">
        <v>48312</v>
      </c>
      <c r="I1917" s="2"/>
      <c r="J1917" s="2">
        <v>48387</v>
      </c>
      <c r="K1917" s="2"/>
      <c r="L1917" s="2">
        <v>48128</v>
      </c>
      <c r="M1917" s="2"/>
      <c r="N1917" s="2">
        <v>48570</v>
      </c>
      <c r="P1917" s="2">
        <v>48249</v>
      </c>
      <c r="Q1917" s="2"/>
      <c r="R1917" s="2">
        <v>48449</v>
      </c>
      <c r="AB1917" s="2"/>
    </row>
    <row r="1918" spans="8:28" ht="15" customHeight="1">
      <c r="H1918" s="2">
        <v>48311</v>
      </c>
      <c r="I1918" s="2"/>
      <c r="J1918" s="2">
        <v>48388</v>
      </c>
      <c r="K1918" s="2"/>
      <c r="L1918" s="2">
        <v>48127</v>
      </c>
      <c r="M1918" s="2"/>
      <c r="N1918" s="2">
        <v>48571</v>
      </c>
      <c r="P1918" s="2">
        <v>48248</v>
      </c>
      <c r="Q1918" s="2"/>
      <c r="R1918" s="2">
        <v>48450</v>
      </c>
      <c r="AB1918" s="2"/>
    </row>
    <row r="1919" spans="8:28" ht="15" customHeight="1">
      <c r="H1919" s="2">
        <v>48310</v>
      </c>
      <c r="I1919" s="2"/>
      <c r="J1919" s="2">
        <v>48389</v>
      </c>
      <c r="K1919" s="2"/>
      <c r="L1919" s="2">
        <v>48124</v>
      </c>
      <c r="M1919" s="2"/>
      <c r="N1919" s="2">
        <v>48575</v>
      </c>
      <c r="P1919" s="2">
        <v>48247</v>
      </c>
      <c r="Q1919" s="2"/>
      <c r="R1919" s="2">
        <v>48451</v>
      </c>
      <c r="AB1919" s="2"/>
    </row>
    <row r="1920" spans="8:28" ht="15" customHeight="1">
      <c r="H1920" s="2">
        <v>48309</v>
      </c>
      <c r="I1920" s="2"/>
      <c r="J1920" s="2">
        <v>48390</v>
      </c>
      <c r="K1920" s="2"/>
      <c r="L1920" s="2">
        <v>48123</v>
      </c>
      <c r="M1920" s="2"/>
      <c r="N1920" s="2">
        <v>48576</v>
      </c>
      <c r="P1920" s="2">
        <v>48246</v>
      </c>
      <c r="Q1920" s="2"/>
      <c r="R1920" s="2">
        <v>48452</v>
      </c>
      <c r="AB1920" s="2"/>
    </row>
    <row r="1921" spans="8:28" ht="15" customHeight="1">
      <c r="H1921" s="2">
        <v>48306</v>
      </c>
      <c r="I1921" s="2"/>
      <c r="J1921" s="2">
        <v>48393</v>
      </c>
      <c r="K1921" s="2"/>
      <c r="L1921" s="2">
        <v>48122</v>
      </c>
      <c r="M1921" s="2"/>
      <c r="N1921" s="2">
        <v>48577</v>
      </c>
      <c r="P1921" s="2">
        <v>48243</v>
      </c>
      <c r="Q1921" s="2"/>
      <c r="R1921" s="2">
        <v>48453</v>
      </c>
      <c r="AB1921" s="2"/>
    </row>
    <row r="1922" spans="8:28" ht="15" customHeight="1">
      <c r="H1922" s="2">
        <v>48305</v>
      </c>
      <c r="I1922" s="2"/>
      <c r="J1922" s="2">
        <v>48394</v>
      </c>
      <c r="K1922" s="2"/>
      <c r="L1922" s="2">
        <v>48121</v>
      </c>
      <c r="M1922" s="2"/>
      <c r="N1922" s="2">
        <v>48578</v>
      </c>
      <c r="P1922" s="2">
        <v>48242</v>
      </c>
      <c r="Q1922" s="2"/>
      <c r="R1922" s="2">
        <v>48456</v>
      </c>
      <c r="AB1922" s="2"/>
    </row>
    <row r="1923" spans="8:28" ht="15" customHeight="1">
      <c r="H1923" s="2">
        <v>48304</v>
      </c>
      <c r="I1923" s="2"/>
      <c r="J1923" s="2">
        <v>48395</v>
      </c>
      <c r="K1923" s="2"/>
      <c r="L1923" s="2">
        <v>48120</v>
      </c>
      <c r="M1923" s="2"/>
      <c r="N1923" s="2">
        <v>48583</v>
      </c>
      <c r="P1923" s="2">
        <v>48241</v>
      </c>
      <c r="Q1923" s="2"/>
      <c r="R1923" s="2">
        <v>48457</v>
      </c>
      <c r="AB1923" s="2"/>
    </row>
    <row r="1924" spans="8:28" ht="15" customHeight="1">
      <c r="H1924" s="2">
        <v>48303</v>
      </c>
      <c r="I1924" s="2"/>
      <c r="J1924" s="2">
        <v>48396</v>
      </c>
      <c r="K1924" s="2"/>
      <c r="L1924" s="2">
        <v>48117</v>
      </c>
      <c r="M1924" s="2"/>
      <c r="N1924" s="2">
        <v>48584</v>
      </c>
      <c r="P1924" s="2">
        <v>48240</v>
      </c>
      <c r="Q1924" s="2"/>
      <c r="R1924" s="2">
        <v>48458</v>
      </c>
      <c r="AB1924" s="2"/>
    </row>
    <row r="1925" spans="8:28" ht="15" customHeight="1">
      <c r="H1925" s="2">
        <v>48302</v>
      </c>
      <c r="I1925" s="2"/>
      <c r="J1925" s="2">
        <v>48397</v>
      </c>
      <c r="K1925" s="2"/>
      <c r="L1925" s="2">
        <v>48116</v>
      </c>
      <c r="M1925" s="2"/>
      <c r="N1925" s="2">
        <v>48585</v>
      </c>
      <c r="P1925" s="2">
        <v>48239</v>
      </c>
      <c r="Q1925" s="2"/>
      <c r="R1925" s="2">
        <v>48459</v>
      </c>
      <c r="AB1925" s="2"/>
    </row>
    <row r="1926" spans="8:28" ht="15" customHeight="1">
      <c r="H1926" s="2">
        <v>48298</v>
      </c>
      <c r="I1926" s="2"/>
      <c r="J1926" s="2">
        <v>48401</v>
      </c>
      <c r="K1926" s="2"/>
      <c r="L1926" s="2">
        <v>48115</v>
      </c>
      <c r="M1926" s="2"/>
      <c r="N1926" s="2">
        <v>48586</v>
      </c>
      <c r="P1926" s="2">
        <v>48236</v>
      </c>
      <c r="Q1926" s="2"/>
      <c r="R1926" s="2">
        <v>48460</v>
      </c>
      <c r="AB1926" s="2"/>
    </row>
    <row r="1927" spans="8:28" ht="15" customHeight="1">
      <c r="H1927" s="2">
        <v>48297</v>
      </c>
      <c r="I1927" s="2"/>
      <c r="J1927" s="2">
        <v>48402</v>
      </c>
      <c r="K1927" s="2"/>
      <c r="L1927" s="2">
        <v>48113</v>
      </c>
      <c r="M1927" s="2"/>
      <c r="N1927" s="2">
        <v>48590</v>
      </c>
      <c r="P1927" s="2">
        <v>48235</v>
      </c>
      <c r="Q1927" s="2"/>
      <c r="R1927" s="2">
        <v>48463</v>
      </c>
      <c r="AB1927" s="2"/>
    </row>
    <row r="1928" spans="8:28" ht="15" customHeight="1">
      <c r="H1928" s="2">
        <v>48296</v>
      </c>
      <c r="I1928" s="2"/>
      <c r="J1928" s="2">
        <v>48403</v>
      </c>
      <c r="K1928" s="2"/>
      <c r="L1928" s="2">
        <v>48110</v>
      </c>
      <c r="M1928" s="2"/>
      <c r="N1928" s="2">
        <v>48591</v>
      </c>
      <c r="P1928" s="2">
        <v>48234</v>
      </c>
      <c r="Q1928" s="2"/>
      <c r="R1928" s="2">
        <v>48464</v>
      </c>
      <c r="AB1928" s="2"/>
    </row>
    <row r="1929" spans="8:28" ht="15" customHeight="1">
      <c r="H1929" s="2">
        <v>48295</v>
      </c>
      <c r="I1929" s="2"/>
      <c r="J1929" s="2">
        <v>48404</v>
      </c>
      <c r="K1929" s="2"/>
      <c r="L1929" s="2">
        <v>48109</v>
      </c>
      <c r="M1929" s="2"/>
      <c r="N1929" s="2">
        <v>48592</v>
      </c>
      <c r="P1929" s="2">
        <v>48233</v>
      </c>
      <c r="Q1929" s="2"/>
      <c r="R1929" s="2">
        <v>48465</v>
      </c>
      <c r="AB1929" s="2"/>
    </row>
    <row r="1930" spans="8:28" ht="15" customHeight="1">
      <c r="H1930" s="2">
        <v>48292</v>
      </c>
      <c r="I1930" s="2"/>
      <c r="J1930" s="2">
        <v>48407</v>
      </c>
      <c r="K1930" s="2"/>
      <c r="L1930" s="2">
        <v>48108</v>
      </c>
      <c r="M1930" s="2"/>
      <c r="N1930" s="2">
        <v>48593</v>
      </c>
      <c r="P1930" s="2">
        <v>48232</v>
      </c>
      <c r="Q1930" s="2"/>
      <c r="R1930" s="2">
        <v>48466</v>
      </c>
      <c r="AB1930" s="2"/>
    </row>
    <row r="1931" spans="8:28" ht="15" customHeight="1">
      <c r="H1931" s="2">
        <v>48291</v>
      </c>
      <c r="I1931" s="2"/>
      <c r="J1931" s="2">
        <v>48408</v>
      </c>
      <c r="K1931" s="2"/>
      <c r="L1931" s="2">
        <v>48107</v>
      </c>
      <c r="M1931" s="2"/>
      <c r="N1931" s="2">
        <v>48597</v>
      </c>
      <c r="P1931" s="2">
        <v>48229</v>
      </c>
      <c r="Q1931" s="2"/>
      <c r="R1931" s="2">
        <v>48467</v>
      </c>
      <c r="AB1931" s="2"/>
    </row>
    <row r="1932" spans="8:28" ht="15" customHeight="1">
      <c r="H1932" s="2">
        <v>48290</v>
      </c>
      <c r="I1932" s="2"/>
      <c r="J1932" s="2">
        <v>48409</v>
      </c>
      <c r="K1932" s="2"/>
      <c r="L1932" s="2">
        <v>48103</v>
      </c>
      <c r="M1932" s="2"/>
      <c r="N1932" s="2">
        <v>48598</v>
      </c>
      <c r="P1932" s="2">
        <v>48228</v>
      </c>
      <c r="Q1932" s="2"/>
      <c r="R1932" s="2">
        <v>48470</v>
      </c>
      <c r="AB1932" s="2"/>
    </row>
    <row r="1933" spans="8:28" ht="15" customHeight="1">
      <c r="H1933" s="2">
        <v>48289</v>
      </c>
      <c r="I1933" s="2"/>
      <c r="J1933" s="2">
        <v>48410</v>
      </c>
      <c r="K1933" s="2"/>
      <c r="L1933" s="2">
        <v>48102</v>
      </c>
      <c r="M1933" s="2"/>
      <c r="N1933" s="2">
        <v>48599</v>
      </c>
      <c r="P1933" s="2">
        <v>48227</v>
      </c>
      <c r="Q1933" s="2"/>
      <c r="R1933" s="2">
        <v>48471</v>
      </c>
      <c r="AB1933" s="2"/>
    </row>
    <row r="1934" spans="8:28" ht="15" customHeight="1">
      <c r="H1934" s="2">
        <v>48288</v>
      </c>
      <c r="I1934" s="2"/>
      <c r="J1934" s="2">
        <v>48411</v>
      </c>
      <c r="K1934" s="2"/>
      <c r="L1934" s="2">
        <v>48101</v>
      </c>
      <c r="M1934" s="2"/>
      <c r="N1934" s="2">
        <v>48600</v>
      </c>
      <c r="P1934" s="2">
        <v>48226</v>
      </c>
      <c r="Q1934" s="2"/>
      <c r="R1934" s="2">
        <v>48472</v>
      </c>
      <c r="AB1934" s="2"/>
    </row>
    <row r="1935" spans="8:28" ht="15" customHeight="1">
      <c r="H1935" s="2">
        <v>48285</v>
      </c>
      <c r="I1935" s="2"/>
      <c r="J1935" s="2">
        <v>48414</v>
      </c>
      <c r="K1935" s="2"/>
      <c r="L1935" s="2">
        <v>48100</v>
      </c>
      <c r="M1935" s="2"/>
      <c r="N1935" s="2">
        <v>48603</v>
      </c>
      <c r="P1935" s="2">
        <v>48225</v>
      </c>
      <c r="Q1935" s="2"/>
      <c r="R1935" s="2">
        <v>48473</v>
      </c>
      <c r="AB1935" s="2"/>
    </row>
    <row r="1936" spans="8:28" ht="15" customHeight="1">
      <c r="H1936" s="2">
        <v>48284</v>
      </c>
      <c r="I1936" s="2"/>
      <c r="J1936" s="2">
        <v>48415</v>
      </c>
      <c r="K1936" s="2"/>
      <c r="L1936" s="2">
        <v>48099</v>
      </c>
      <c r="M1936" s="2"/>
      <c r="N1936" s="2">
        <v>48604</v>
      </c>
      <c r="P1936" s="2">
        <v>48222</v>
      </c>
      <c r="Q1936" s="2"/>
      <c r="R1936" s="2">
        <v>48474</v>
      </c>
      <c r="AB1936" s="2"/>
    </row>
    <row r="1937" spans="8:28" ht="15" customHeight="1">
      <c r="H1937" s="2">
        <v>48283</v>
      </c>
      <c r="I1937" s="2"/>
      <c r="J1937" s="2">
        <v>48416</v>
      </c>
      <c r="K1937" s="2"/>
      <c r="L1937" s="2">
        <v>48096</v>
      </c>
      <c r="M1937" s="2"/>
      <c r="N1937" s="2">
        <v>48605</v>
      </c>
      <c r="P1937" s="2">
        <v>48221</v>
      </c>
      <c r="Q1937" s="2"/>
      <c r="R1937" s="2">
        <v>48479</v>
      </c>
      <c r="AB1937" s="2"/>
    </row>
    <row r="1938" spans="8:28" ht="15" customHeight="1">
      <c r="H1938" s="2">
        <v>48282</v>
      </c>
      <c r="I1938" s="2"/>
      <c r="J1938" s="2">
        <v>48417</v>
      </c>
      <c r="K1938" s="2"/>
      <c r="L1938" s="2">
        <v>48095</v>
      </c>
      <c r="M1938" s="2"/>
      <c r="N1938" s="2">
        <v>48606</v>
      </c>
      <c r="P1938" s="2">
        <v>48220</v>
      </c>
      <c r="Q1938" s="2"/>
      <c r="R1938" s="2">
        <v>48480</v>
      </c>
      <c r="AB1938" s="2"/>
    </row>
    <row r="1939" spans="8:28" ht="15" customHeight="1">
      <c r="H1939" s="2">
        <v>48281</v>
      </c>
      <c r="I1939" s="2"/>
      <c r="J1939" s="2">
        <v>48418</v>
      </c>
      <c r="K1939" s="2"/>
      <c r="L1939" s="2">
        <v>48094</v>
      </c>
      <c r="M1939" s="2"/>
      <c r="N1939" s="2">
        <v>48607</v>
      </c>
      <c r="P1939" s="2">
        <v>48219</v>
      </c>
      <c r="Q1939" s="2"/>
      <c r="R1939" s="2">
        <v>48481</v>
      </c>
      <c r="AB1939" s="2"/>
    </row>
    <row r="1940" spans="8:28" ht="15" customHeight="1">
      <c r="H1940" s="2">
        <v>48278</v>
      </c>
      <c r="I1940" s="2"/>
      <c r="J1940" s="2">
        <v>48421</v>
      </c>
      <c r="K1940" s="2"/>
      <c r="L1940" s="2">
        <v>48093</v>
      </c>
      <c r="M1940" s="2"/>
      <c r="N1940" s="2">
        <v>48610</v>
      </c>
      <c r="P1940" s="2">
        <v>48218</v>
      </c>
      <c r="Q1940" s="2"/>
      <c r="R1940" s="2">
        <v>48484</v>
      </c>
      <c r="AB1940" s="2"/>
    </row>
    <row r="1941" spans="8:28" ht="15" customHeight="1">
      <c r="H1941" s="2">
        <v>48277</v>
      </c>
      <c r="I1941" s="2"/>
      <c r="J1941" s="2">
        <v>48422</v>
      </c>
      <c r="K1941" s="2"/>
      <c r="L1941" s="2">
        <v>48089</v>
      </c>
      <c r="M1941" s="2"/>
      <c r="N1941" s="2">
        <v>48611</v>
      </c>
      <c r="P1941" s="2">
        <v>48215</v>
      </c>
      <c r="Q1941" s="2"/>
      <c r="R1941" s="2">
        <v>48485</v>
      </c>
      <c r="AB1941" s="2"/>
    </row>
    <row r="1942" spans="8:28" ht="15" customHeight="1">
      <c r="H1942" s="2">
        <v>48276</v>
      </c>
      <c r="I1942" s="2"/>
      <c r="J1942" s="2">
        <v>48423</v>
      </c>
      <c r="K1942" s="2"/>
      <c r="L1942" s="2">
        <v>48088</v>
      </c>
      <c r="M1942" s="2"/>
      <c r="N1942" s="2">
        <v>48612</v>
      </c>
      <c r="P1942" s="2">
        <v>48212</v>
      </c>
      <c r="Q1942" s="2"/>
      <c r="R1942" s="2">
        <v>48486</v>
      </c>
      <c r="AB1942" s="2"/>
    </row>
    <row r="1943" spans="8:28" ht="15" customHeight="1">
      <c r="H1943" s="2">
        <v>48275</v>
      </c>
      <c r="I1943" s="2"/>
      <c r="J1943" s="2">
        <v>48424</v>
      </c>
      <c r="K1943" s="2"/>
      <c r="L1943" s="2">
        <v>48087</v>
      </c>
      <c r="M1943" s="2"/>
      <c r="N1943" s="2">
        <v>48613</v>
      </c>
      <c r="P1943" s="2">
        <v>48211</v>
      </c>
      <c r="Q1943" s="2"/>
      <c r="R1943" s="2">
        <v>48487</v>
      </c>
      <c r="AB1943" s="2"/>
    </row>
    <row r="1944" spans="8:28" ht="15" customHeight="1">
      <c r="H1944" s="2">
        <v>48274</v>
      </c>
      <c r="I1944" s="2"/>
      <c r="J1944" s="2">
        <v>48425</v>
      </c>
      <c r="K1944" s="2"/>
      <c r="L1944" s="2">
        <v>48086</v>
      </c>
      <c r="M1944" s="2"/>
      <c r="N1944" s="2">
        <v>48614</v>
      </c>
      <c r="P1944" s="2">
        <v>48208</v>
      </c>
      <c r="Q1944" s="2"/>
      <c r="R1944" s="2">
        <v>48488</v>
      </c>
      <c r="AB1944" s="2"/>
    </row>
    <row r="1945" spans="8:28" ht="15" customHeight="1">
      <c r="H1945" s="2">
        <v>48271</v>
      </c>
      <c r="I1945" s="2"/>
      <c r="J1945" s="2">
        <v>48428</v>
      </c>
      <c r="K1945" s="2"/>
      <c r="L1945" s="2">
        <v>48085</v>
      </c>
      <c r="M1945" s="2"/>
      <c r="N1945" s="2">
        <v>48617</v>
      </c>
      <c r="P1945" s="2">
        <v>48206</v>
      </c>
      <c r="Q1945" s="2"/>
      <c r="R1945" s="2">
        <v>48492</v>
      </c>
      <c r="AB1945" s="2"/>
    </row>
    <row r="1946" spans="8:28" ht="15" customHeight="1">
      <c r="H1946" s="2">
        <v>48270</v>
      </c>
      <c r="I1946" s="2"/>
      <c r="J1946" s="2">
        <v>48429</v>
      </c>
      <c r="K1946" s="2"/>
      <c r="L1946" s="2">
        <v>48082</v>
      </c>
      <c r="M1946" s="2"/>
      <c r="N1946" s="2">
        <v>48618</v>
      </c>
      <c r="P1946" s="2">
        <v>48205</v>
      </c>
      <c r="Q1946" s="2"/>
      <c r="R1946" s="2">
        <v>48493</v>
      </c>
      <c r="AB1946" s="2"/>
    </row>
    <row r="1947" spans="8:28" ht="15" customHeight="1">
      <c r="H1947" s="2">
        <v>48269</v>
      </c>
      <c r="I1947" s="2"/>
      <c r="J1947" s="2">
        <v>48430</v>
      </c>
      <c r="K1947" s="2"/>
      <c r="L1947" s="2">
        <v>48081</v>
      </c>
      <c r="M1947" s="2"/>
      <c r="N1947" s="2">
        <v>48619</v>
      </c>
      <c r="P1947" s="2">
        <v>48204</v>
      </c>
      <c r="Q1947" s="2"/>
      <c r="R1947" s="2">
        <v>48494</v>
      </c>
      <c r="AB1947" s="2"/>
    </row>
    <row r="1948" spans="8:28" ht="15" customHeight="1">
      <c r="H1948" s="2">
        <v>48268</v>
      </c>
      <c r="I1948" s="2"/>
      <c r="J1948" s="2">
        <v>48431</v>
      </c>
      <c r="K1948" s="2"/>
      <c r="L1948" s="2">
        <v>48080</v>
      </c>
      <c r="M1948" s="2"/>
      <c r="N1948" s="2">
        <v>48620</v>
      </c>
      <c r="P1948" s="2">
        <v>48201</v>
      </c>
      <c r="Q1948" s="2"/>
      <c r="R1948" s="2">
        <v>48495</v>
      </c>
      <c r="AB1948" s="2"/>
    </row>
    <row r="1949" spans="8:28" ht="15" customHeight="1">
      <c r="H1949" s="2">
        <v>48267</v>
      </c>
      <c r="I1949" s="2"/>
      <c r="J1949" s="2">
        <v>48432</v>
      </c>
      <c r="K1949" s="2"/>
      <c r="L1949" s="2">
        <v>48079</v>
      </c>
      <c r="M1949" s="2"/>
      <c r="N1949" s="2">
        <v>48624</v>
      </c>
      <c r="P1949" s="2">
        <v>48200</v>
      </c>
      <c r="Q1949" s="2"/>
      <c r="R1949" s="2">
        <v>48499</v>
      </c>
      <c r="AB1949" s="2"/>
    </row>
    <row r="1950" spans="8:28" ht="15" customHeight="1">
      <c r="H1950" s="2">
        <v>48264</v>
      </c>
      <c r="I1950" s="2"/>
      <c r="J1950" s="2">
        <v>48435</v>
      </c>
      <c r="K1950" s="2"/>
      <c r="L1950" s="2">
        <v>48078</v>
      </c>
      <c r="M1950" s="2"/>
      <c r="N1950" s="2">
        <v>48625</v>
      </c>
      <c r="P1950" s="2">
        <v>48199</v>
      </c>
      <c r="Q1950" s="2"/>
      <c r="R1950" s="2">
        <v>48500</v>
      </c>
      <c r="AB1950" s="2"/>
    </row>
    <row r="1951" spans="8:28" ht="15" customHeight="1">
      <c r="H1951" s="2">
        <v>48263</v>
      </c>
      <c r="I1951" s="2"/>
      <c r="J1951" s="2">
        <v>48436</v>
      </c>
      <c r="K1951" s="2"/>
      <c r="L1951" s="2">
        <v>48075</v>
      </c>
      <c r="M1951" s="2"/>
      <c r="N1951" s="2">
        <v>48626</v>
      </c>
      <c r="P1951" s="2">
        <v>48198</v>
      </c>
      <c r="Q1951" s="2"/>
      <c r="R1951" s="2">
        <v>48501</v>
      </c>
      <c r="AB1951" s="2"/>
    </row>
    <row r="1952" spans="8:28" ht="15" customHeight="1">
      <c r="H1952" s="2">
        <v>48262</v>
      </c>
      <c r="I1952" s="2"/>
      <c r="J1952" s="2">
        <v>48437</v>
      </c>
      <c r="K1952" s="2"/>
      <c r="L1952" s="2">
        <v>48074</v>
      </c>
      <c r="M1952" s="2"/>
      <c r="N1952" s="2">
        <v>48627</v>
      </c>
      <c r="P1952" s="2">
        <v>48197</v>
      </c>
      <c r="Q1952" s="2"/>
      <c r="R1952" s="2">
        <v>48502</v>
      </c>
      <c r="AB1952" s="2"/>
    </row>
    <row r="1953" spans="8:28" ht="15" customHeight="1">
      <c r="H1953" s="2">
        <v>48261</v>
      </c>
      <c r="I1953" s="2"/>
      <c r="J1953" s="2">
        <v>48438</v>
      </c>
      <c r="K1953" s="2"/>
      <c r="L1953" s="2">
        <v>48073</v>
      </c>
      <c r="M1953" s="2"/>
      <c r="N1953" s="2">
        <v>48628</v>
      </c>
      <c r="P1953" s="2">
        <v>48194</v>
      </c>
      <c r="Q1953" s="2"/>
      <c r="R1953" s="2">
        <v>48505</v>
      </c>
      <c r="AB1953" s="2"/>
    </row>
    <row r="1954" spans="8:28" ht="15" customHeight="1">
      <c r="H1954" s="2">
        <v>48257</v>
      </c>
      <c r="I1954" s="2"/>
      <c r="J1954" s="2">
        <v>48439</v>
      </c>
      <c r="K1954" s="2"/>
      <c r="L1954" s="2">
        <v>48072</v>
      </c>
      <c r="M1954" s="2"/>
      <c r="N1954" s="2">
        <v>48632</v>
      </c>
      <c r="P1954" s="2">
        <v>48193</v>
      </c>
      <c r="Q1954" s="2"/>
      <c r="R1954" s="2">
        <v>48506</v>
      </c>
      <c r="AB1954" s="2"/>
    </row>
    <row r="1955" spans="8:28" ht="15" customHeight="1">
      <c r="H1955" s="2">
        <v>48256</v>
      </c>
      <c r="I1955" s="2"/>
      <c r="J1955" s="2">
        <v>48442</v>
      </c>
      <c r="K1955" s="2"/>
      <c r="L1955" s="2">
        <v>48068</v>
      </c>
      <c r="M1955" s="2"/>
      <c r="N1955" s="2">
        <v>48634</v>
      </c>
      <c r="P1955" s="2">
        <v>48192</v>
      </c>
      <c r="Q1955" s="2"/>
      <c r="R1955" s="2">
        <v>48507</v>
      </c>
      <c r="AB1955" s="2"/>
    </row>
    <row r="1956" spans="8:28" ht="15" customHeight="1">
      <c r="H1956" s="2">
        <v>48255</v>
      </c>
      <c r="I1956" s="2"/>
      <c r="J1956" s="2">
        <v>48443</v>
      </c>
      <c r="K1956" s="2"/>
      <c r="L1956" s="2">
        <v>48067</v>
      </c>
      <c r="M1956" s="2"/>
      <c r="N1956" s="2">
        <v>48635</v>
      </c>
      <c r="P1956" s="2">
        <v>48191</v>
      </c>
      <c r="Q1956" s="2"/>
      <c r="R1956" s="2">
        <v>48508</v>
      </c>
      <c r="AB1956" s="2"/>
    </row>
    <row r="1957" spans="8:28" ht="15" customHeight="1">
      <c r="H1957" s="2">
        <v>48254</v>
      </c>
      <c r="I1957" s="2"/>
      <c r="J1957" s="2">
        <v>48444</v>
      </c>
      <c r="K1957" s="2"/>
      <c r="L1957" s="2">
        <v>48066</v>
      </c>
      <c r="M1957" s="2"/>
      <c r="N1957" s="2">
        <v>48638</v>
      </c>
      <c r="P1957" s="2">
        <v>48190</v>
      </c>
      <c r="Q1957" s="2"/>
      <c r="R1957" s="2">
        <v>48509</v>
      </c>
      <c r="AB1957" s="2"/>
    </row>
    <row r="1958" spans="8:28" ht="15" customHeight="1">
      <c r="H1958" s="2">
        <v>48253</v>
      </c>
      <c r="I1958" s="2"/>
      <c r="J1958" s="2">
        <v>48445</v>
      </c>
      <c r="K1958" s="2"/>
      <c r="L1958" s="2">
        <v>48065</v>
      </c>
      <c r="M1958" s="2"/>
      <c r="N1958" s="2">
        <v>48639</v>
      </c>
      <c r="P1958" s="2">
        <v>48187</v>
      </c>
      <c r="Q1958" s="2"/>
      <c r="R1958" s="2">
        <v>48512</v>
      </c>
      <c r="AB1958" s="2"/>
    </row>
    <row r="1959" spans="8:28" ht="15" customHeight="1">
      <c r="H1959" s="2">
        <v>48250</v>
      </c>
      <c r="I1959" s="2"/>
      <c r="J1959" s="2">
        <v>48446</v>
      </c>
      <c r="K1959" s="2"/>
      <c r="L1959" s="2">
        <v>48064</v>
      </c>
      <c r="M1959" s="2"/>
      <c r="N1959" s="2">
        <v>48640</v>
      </c>
      <c r="P1959" s="2">
        <v>48186</v>
      </c>
      <c r="Q1959" s="2"/>
      <c r="R1959" s="2">
        <v>48513</v>
      </c>
      <c r="AB1959" s="2"/>
    </row>
    <row r="1960" spans="8:28" ht="15" customHeight="1">
      <c r="H1960" s="2">
        <v>48249</v>
      </c>
      <c r="I1960" s="2"/>
      <c r="J1960" s="2">
        <v>48449</v>
      </c>
      <c r="K1960" s="2"/>
      <c r="L1960" s="2">
        <v>48061</v>
      </c>
      <c r="M1960" s="2"/>
      <c r="N1960" s="2">
        <v>48641</v>
      </c>
      <c r="P1960" s="2">
        <v>48185</v>
      </c>
      <c r="Q1960" s="2"/>
      <c r="R1960" s="2">
        <v>48514</v>
      </c>
      <c r="AB1960" s="2"/>
    </row>
    <row r="1961" spans="8:28" ht="15" customHeight="1">
      <c r="H1961" s="2">
        <v>48248</v>
      </c>
      <c r="I1961" s="2"/>
      <c r="J1961" s="2">
        <v>48450</v>
      </c>
      <c r="K1961" s="2"/>
      <c r="L1961" s="2">
        <v>48060</v>
      </c>
      <c r="M1961" s="2"/>
      <c r="N1961" s="2">
        <v>48642</v>
      </c>
      <c r="P1961" s="2">
        <v>48184</v>
      </c>
      <c r="Q1961" s="2"/>
      <c r="R1961" s="2">
        <v>48515</v>
      </c>
      <c r="AB1961" s="2"/>
    </row>
    <row r="1962" spans="8:28" ht="15" customHeight="1">
      <c r="H1962" s="2">
        <v>48247</v>
      </c>
      <c r="I1962" s="2"/>
      <c r="J1962" s="2">
        <v>48451</v>
      </c>
      <c r="K1962" s="2"/>
      <c r="L1962" s="2">
        <v>48059</v>
      </c>
      <c r="M1962" s="2"/>
      <c r="N1962" s="2">
        <v>48645</v>
      </c>
      <c r="P1962" s="2">
        <v>48183</v>
      </c>
      <c r="Q1962" s="2"/>
      <c r="R1962" s="2">
        <v>48516</v>
      </c>
      <c r="AB1962" s="2"/>
    </row>
    <row r="1963" spans="8:28" ht="15" customHeight="1">
      <c r="H1963" s="2">
        <v>48246</v>
      </c>
      <c r="I1963" s="2"/>
      <c r="J1963" s="2">
        <v>48452</v>
      </c>
      <c r="K1963" s="2"/>
      <c r="L1963" s="2">
        <v>48058</v>
      </c>
      <c r="M1963" s="2"/>
      <c r="N1963" s="2">
        <v>48646</v>
      </c>
      <c r="P1963" s="2">
        <v>48180</v>
      </c>
      <c r="Q1963" s="2"/>
      <c r="R1963" s="2">
        <v>48519</v>
      </c>
      <c r="AB1963" s="2"/>
    </row>
    <row r="1964" spans="8:28" ht="15" customHeight="1">
      <c r="H1964" s="2">
        <v>48243</v>
      </c>
      <c r="I1964" s="2"/>
      <c r="J1964" s="2">
        <v>48453</v>
      </c>
      <c r="K1964" s="2"/>
      <c r="L1964" s="2">
        <v>48057</v>
      </c>
      <c r="M1964" s="2"/>
      <c r="N1964" s="2">
        <v>48647</v>
      </c>
      <c r="P1964" s="2">
        <v>48179</v>
      </c>
      <c r="Q1964" s="2"/>
      <c r="R1964" s="2">
        <v>48520</v>
      </c>
      <c r="AB1964" s="2"/>
    </row>
    <row r="1965" spans="8:28" ht="15" customHeight="1">
      <c r="H1965" s="2">
        <v>48242</v>
      </c>
      <c r="I1965" s="2"/>
      <c r="J1965" s="2">
        <v>48456</v>
      </c>
      <c r="K1965" s="2"/>
      <c r="L1965" s="2">
        <v>48054</v>
      </c>
      <c r="M1965" s="2"/>
      <c r="N1965" s="2">
        <v>48648</v>
      </c>
      <c r="P1965" s="2">
        <v>48178</v>
      </c>
      <c r="Q1965" s="2"/>
      <c r="R1965" s="2">
        <v>48521</v>
      </c>
      <c r="AB1965" s="2"/>
    </row>
    <row r="1966" spans="8:28" ht="15" customHeight="1">
      <c r="H1966" s="2">
        <v>48241</v>
      </c>
      <c r="I1966" s="2"/>
      <c r="J1966" s="2">
        <v>48457</v>
      </c>
      <c r="K1966" s="2"/>
      <c r="L1966" s="2">
        <v>48053</v>
      </c>
      <c r="M1966" s="2"/>
      <c r="N1966" s="2">
        <v>48649</v>
      </c>
      <c r="P1966" s="2">
        <v>48177</v>
      </c>
      <c r="Q1966" s="2"/>
      <c r="R1966" s="2">
        <v>48522</v>
      </c>
      <c r="AB1966" s="2"/>
    </row>
    <row r="1967" spans="8:28" ht="15" customHeight="1">
      <c r="H1967" s="2">
        <v>48240</v>
      </c>
      <c r="I1967" s="2"/>
      <c r="J1967" s="2">
        <v>48458</v>
      </c>
      <c r="K1967" s="2"/>
      <c r="L1967" s="2">
        <v>48052</v>
      </c>
      <c r="M1967" s="2"/>
      <c r="N1967" s="2">
        <v>48652</v>
      </c>
      <c r="P1967" s="2">
        <v>48176</v>
      </c>
      <c r="Q1967" s="2"/>
      <c r="R1967" s="2">
        <v>48523</v>
      </c>
      <c r="AB1967" s="2"/>
    </row>
    <row r="1968" spans="8:28" ht="15" customHeight="1">
      <c r="H1968" s="2">
        <v>48239</v>
      </c>
      <c r="I1968" s="2"/>
      <c r="J1968" s="2">
        <v>48459</v>
      </c>
      <c r="K1968" s="2"/>
      <c r="L1968" s="2">
        <v>48051</v>
      </c>
      <c r="M1968" s="2"/>
      <c r="N1968" s="2">
        <v>48653</v>
      </c>
      <c r="P1968" s="2">
        <v>48173</v>
      </c>
      <c r="Q1968" s="2"/>
      <c r="R1968" s="2">
        <v>48526</v>
      </c>
      <c r="AB1968" s="2"/>
    </row>
    <row r="1969" spans="8:28" ht="15" customHeight="1">
      <c r="H1969" s="2">
        <v>48236</v>
      </c>
      <c r="I1969" s="2"/>
      <c r="J1969" s="2">
        <v>48460</v>
      </c>
      <c r="K1969" s="2"/>
      <c r="L1969" s="2">
        <v>48047</v>
      </c>
      <c r="M1969" s="2"/>
      <c r="N1969" s="2">
        <v>48654</v>
      </c>
      <c r="P1969" s="2">
        <v>48172</v>
      </c>
      <c r="Q1969" s="2"/>
      <c r="R1969" s="2">
        <v>48527</v>
      </c>
      <c r="AB1969" s="2"/>
    </row>
    <row r="1970" spans="8:28" ht="15" customHeight="1">
      <c r="H1970" s="2">
        <v>48235</v>
      </c>
      <c r="I1970" s="2"/>
      <c r="J1970" s="2">
        <v>48464</v>
      </c>
      <c r="K1970" s="2"/>
      <c r="L1970" s="2">
        <v>48046</v>
      </c>
      <c r="M1970" s="2"/>
      <c r="N1970" s="2">
        <v>48655</v>
      </c>
      <c r="P1970" s="2">
        <v>48171</v>
      </c>
      <c r="Q1970" s="2"/>
      <c r="R1970" s="2">
        <v>48528</v>
      </c>
      <c r="AB1970" s="2"/>
    </row>
    <row r="1971" spans="8:28" ht="15" customHeight="1">
      <c r="H1971" s="2">
        <v>48234</v>
      </c>
      <c r="I1971" s="2"/>
      <c r="J1971" s="2">
        <v>48465</v>
      </c>
      <c r="K1971" s="2"/>
      <c r="L1971" s="2">
        <v>48045</v>
      </c>
      <c r="M1971" s="2"/>
      <c r="N1971" s="2">
        <v>48656</v>
      </c>
      <c r="P1971" s="2">
        <v>48170</v>
      </c>
      <c r="Q1971" s="2"/>
      <c r="R1971" s="2">
        <v>48529</v>
      </c>
      <c r="AB1971" s="2"/>
    </row>
    <row r="1972" spans="8:28" ht="15" customHeight="1">
      <c r="H1972" s="2">
        <v>48233</v>
      </c>
      <c r="I1972" s="2"/>
      <c r="J1972" s="2">
        <v>48466</v>
      </c>
      <c r="K1972" s="2"/>
      <c r="L1972" s="2">
        <v>48044</v>
      </c>
      <c r="M1972" s="2"/>
      <c r="N1972" s="2">
        <v>48660</v>
      </c>
      <c r="P1972" s="2">
        <v>48169</v>
      </c>
      <c r="Q1972" s="2"/>
      <c r="R1972" s="2">
        <v>48530</v>
      </c>
      <c r="AB1972" s="2"/>
    </row>
    <row r="1973" spans="8:28" ht="15" customHeight="1">
      <c r="H1973" s="2">
        <v>48229</v>
      </c>
      <c r="I1973" s="2"/>
      <c r="J1973" s="2">
        <v>48467</v>
      </c>
      <c r="K1973" s="2"/>
      <c r="L1973" s="2">
        <v>48043</v>
      </c>
      <c r="M1973" s="2"/>
      <c r="N1973" s="2">
        <v>48661</v>
      </c>
      <c r="P1973" s="2">
        <v>48166</v>
      </c>
      <c r="Q1973" s="2"/>
      <c r="R1973" s="2">
        <v>48533</v>
      </c>
      <c r="AB1973" s="2"/>
    </row>
    <row r="1974" spans="8:28" ht="15" customHeight="1">
      <c r="H1974" s="2">
        <v>48228</v>
      </c>
      <c r="I1974" s="2"/>
      <c r="J1974" s="2">
        <v>48470</v>
      </c>
      <c r="K1974" s="2"/>
      <c r="L1974" s="2">
        <v>48040</v>
      </c>
      <c r="M1974" s="2"/>
      <c r="N1974" s="2">
        <v>48662</v>
      </c>
      <c r="P1974" s="2">
        <v>48165</v>
      </c>
      <c r="Q1974" s="2"/>
      <c r="R1974" s="2">
        <v>48534</v>
      </c>
      <c r="AB1974" s="2"/>
    </row>
    <row r="1975" spans="8:28" ht="15" customHeight="1">
      <c r="H1975" s="2">
        <v>48227</v>
      </c>
      <c r="I1975" s="2"/>
      <c r="J1975" s="2">
        <v>48471</v>
      </c>
      <c r="K1975" s="2"/>
      <c r="L1975" s="2">
        <v>48039</v>
      </c>
      <c r="M1975" s="2"/>
      <c r="N1975" s="2">
        <v>48663</v>
      </c>
      <c r="P1975" s="2">
        <v>48164</v>
      </c>
      <c r="Q1975" s="2"/>
      <c r="R1975" s="2">
        <v>48535</v>
      </c>
      <c r="AB1975" s="2"/>
    </row>
    <row r="1976" spans="8:28" ht="15" customHeight="1">
      <c r="H1976" s="2">
        <v>48226</v>
      </c>
      <c r="I1976" s="2"/>
      <c r="J1976" s="2">
        <v>48472</v>
      </c>
      <c r="K1976" s="2"/>
      <c r="L1976" s="2">
        <v>48038</v>
      </c>
      <c r="M1976" s="2"/>
      <c r="N1976" s="2">
        <v>48666</v>
      </c>
      <c r="P1976" s="2">
        <v>48163</v>
      </c>
      <c r="Q1976" s="2"/>
      <c r="R1976" s="2">
        <v>48536</v>
      </c>
      <c r="AB1976" s="2"/>
    </row>
    <row r="1977" spans="8:28" ht="15" customHeight="1">
      <c r="H1977" s="2">
        <v>48225</v>
      </c>
      <c r="I1977" s="2"/>
      <c r="J1977" s="2">
        <v>48473</v>
      </c>
      <c r="K1977" s="2"/>
      <c r="L1977" s="2">
        <v>48037</v>
      </c>
      <c r="M1977" s="2"/>
      <c r="N1977" s="2">
        <v>48667</v>
      </c>
      <c r="P1977" s="2">
        <v>48162</v>
      </c>
      <c r="Q1977" s="2"/>
      <c r="R1977" s="2">
        <v>48537</v>
      </c>
      <c r="AB1977" s="2"/>
    </row>
    <row r="1978" spans="8:28" ht="15" customHeight="1">
      <c r="H1978" s="2">
        <v>48222</v>
      </c>
      <c r="I1978" s="2"/>
      <c r="J1978" s="2">
        <v>48474</v>
      </c>
      <c r="K1978" s="2"/>
      <c r="L1978" s="2">
        <v>48036</v>
      </c>
      <c r="M1978" s="2"/>
      <c r="N1978" s="2">
        <v>48668</v>
      </c>
      <c r="P1978" s="2">
        <v>48159</v>
      </c>
      <c r="Q1978" s="2"/>
      <c r="R1978" s="2">
        <v>48540</v>
      </c>
      <c r="AB1978" s="2"/>
    </row>
    <row r="1979" spans="8:28" ht="15" customHeight="1">
      <c r="H1979" s="2">
        <v>48221</v>
      </c>
      <c r="I1979" s="2"/>
      <c r="J1979" s="2">
        <v>48477</v>
      </c>
      <c r="K1979" s="2"/>
      <c r="L1979" s="2">
        <v>48032</v>
      </c>
      <c r="M1979" s="2"/>
      <c r="N1979" s="2">
        <v>48669</v>
      </c>
      <c r="P1979" s="2">
        <v>48158</v>
      </c>
      <c r="Q1979" s="2"/>
      <c r="R1979" s="2">
        <v>48541</v>
      </c>
      <c r="AB1979" s="2"/>
    </row>
    <row r="1980" spans="8:28" ht="15" customHeight="1">
      <c r="H1980" s="2">
        <v>48220</v>
      </c>
      <c r="I1980" s="2"/>
      <c r="J1980" s="2">
        <v>48478</v>
      </c>
      <c r="K1980" s="2"/>
      <c r="L1980" s="2">
        <v>48031</v>
      </c>
      <c r="M1980" s="2"/>
      <c r="N1980" s="2">
        <v>48670</v>
      </c>
      <c r="P1980" s="2">
        <v>48157</v>
      </c>
      <c r="Q1980" s="2"/>
      <c r="R1980" s="2">
        <v>48542</v>
      </c>
      <c r="AB1980" s="2"/>
    </row>
    <row r="1981" spans="8:28" ht="15" customHeight="1">
      <c r="H1981" s="2">
        <v>48219</v>
      </c>
      <c r="I1981" s="2"/>
      <c r="J1981" s="2">
        <v>48479</v>
      </c>
      <c r="K1981" s="2"/>
      <c r="L1981" s="2">
        <v>48030</v>
      </c>
      <c r="M1981" s="2"/>
      <c r="N1981" s="2">
        <v>48673</v>
      </c>
      <c r="P1981" s="2">
        <v>48156</v>
      </c>
      <c r="Q1981" s="2"/>
      <c r="R1981" s="2">
        <v>48543</v>
      </c>
      <c r="AB1981" s="2"/>
    </row>
    <row r="1982" spans="8:28" ht="15" customHeight="1">
      <c r="H1982" s="2">
        <v>48218</v>
      </c>
      <c r="I1982" s="2"/>
      <c r="J1982" s="2">
        <v>48480</v>
      </c>
      <c r="K1982" s="2"/>
      <c r="L1982" s="2">
        <v>48029</v>
      </c>
      <c r="M1982" s="2"/>
      <c r="N1982" s="2">
        <v>48674</v>
      </c>
      <c r="P1982" s="2">
        <v>48155</v>
      </c>
      <c r="Q1982" s="2"/>
      <c r="R1982" s="2">
        <v>48544</v>
      </c>
      <c r="AB1982" s="2"/>
    </row>
    <row r="1983" spans="8:28" ht="15" customHeight="1">
      <c r="H1983" s="2">
        <v>48215</v>
      </c>
      <c r="I1983" s="2"/>
      <c r="J1983" s="2">
        <v>48481</v>
      </c>
      <c r="K1983" s="2"/>
      <c r="L1983" s="2">
        <v>48026</v>
      </c>
      <c r="M1983" s="2"/>
      <c r="N1983" s="2">
        <v>48675</v>
      </c>
      <c r="P1983" s="2">
        <v>48152</v>
      </c>
      <c r="Q1983" s="2"/>
      <c r="R1983" s="2">
        <v>48547</v>
      </c>
      <c r="AB1983" s="2"/>
    </row>
    <row r="1984" spans="8:28" ht="15" customHeight="1">
      <c r="H1984" s="2">
        <v>48213</v>
      </c>
      <c r="I1984" s="2"/>
      <c r="J1984" s="2">
        <v>48484</v>
      </c>
      <c r="K1984" s="2"/>
      <c r="L1984" s="2">
        <v>48025</v>
      </c>
      <c r="M1984" s="2"/>
      <c r="N1984" s="2">
        <v>48676</v>
      </c>
      <c r="P1984" s="2">
        <v>48151</v>
      </c>
      <c r="Q1984" s="2"/>
      <c r="R1984" s="2">
        <v>48548</v>
      </c>
      <c r="AB1984" s="2"/>
    </row>
    <row r="1985" spans="8:28" ht="15" customHeight="1">
      <c r="H1985" s="2">
        <v>48212</v>
      </c>
      <c r="I1985" s="2"/>
      <c r="J1985" s="2">
        <v>48485</v>
      </c>
      <c r="K1985" s="2"/>
      <c r="L1985" s="2">
        <v>48024</v>
      </c>
      <c r="M1985" s="2"/>
      <c r="N1985" s="2">
        <v>48677</v>
      </c>
      <c r="P1985" s="2">
        <v>48150</v>
      </c>
      <c r="Q1985" s="2"/>
      <c r="R1985" s="2">
        <v>48549</v>
      </c>
      <c r="AB1985" s="2"/>
    </row>
    <row r="1986" spans="8:28" ht="15" customHeight="1">
      <c r="H1986" s="2">
        <v>48211</v>
      </c>
      <c r="I1986" s="2"/>
      <c r="J1986" s="2">
        <v>48486</v>
      </c>
      <c r="K1986" s="2"/>
      <c r="L1986" s="2">
        <v>48023</v>
      </c>
      <c r="M1986" s="2"/>
      <c r="N1986" s="2">
        <v>48680</v>
      </c>
      <c r="P1986" s="2">
        <v>48149</v>
      </c>
      <c r="Q1986" s="2"/>
      <c r="R1986" s="2">
        <v>48550</v>
      </c>
      <c r="AB1986" s="2"/>
    </row>
    <row r="1987" spans="8:28" ht="15" customHeight="1">
      <c r="H1987" s="2">
        <v>48208</v>
      </c>
      <c r="I1987" s="2"/>
      <c r="J1987" s="2">
        <v>48487</v>
      </c>
      <c r="K1987" s="2"/>
      <c r="L1987" s="2">
        <v>48022</v>
      </c>
      <c r="M1987" s="2"/>
      <c r="N1987" s="2">
        <v>48681</v>
      </c>
      <c r="P1987" s="2">
        <v>48148</v>
      </c>
      <c r="Q1987" s="2"/>
      <c r="R1987" s="2">
        <v>48551</v>
      </c>
      <c r="AB1987" s="2"/>
    </row>
    <row r="1988" spans="8:28" ht="15" customHeight="1">
      <c r="H1988" s="2">
        <v>48206</v>
      </c>
      <c r="I1988" s="2"/>
      <c r="J1988" s="2">
        <v>48488</v>
      </c>
      <c r="K1988" s="2"/>
      <c r="L1988" s="2">
        <v>48019</v>
      </c>
      <c r="M1988" s="2"/>
      <c r="N1988" s="2">
        <v>48682</v>
      </c>
      <c r="P1988" s="2">
        <v>48145</v>
      </c>
      <c r="Q1988" s="2"/>
      <c r="R1988" s="2">
        <v>48554</v>
      </c>
      <c r="AB1988" s="2"/>
    </row>
    <row r="1989" spans="8:28" ht="15" customHeight="1">
      <c r="H1989" s="2">
        <v>48205</v>
      </c>
      <c r="I1989" s="2"/>
      <c r="J1989" s="2">
        <v>48491</v>
      </c>
      <c r="K1989" s="2"/>
      <c r="L1989" s="2">
        <v>48017</v>
      </c>
      <c r="M1989" s="2"/>
      <c r="N1989" s="2">
        <v>48683</v>
      </c>
      <c r="P1989" s="2">
        <v>48144</v>
      </c>
      <c r="Q1989" s="2"/>
      <c r="R1989" s="2">
        <v>48555</v>
      </c>
      <c r="AB1989" s="2"/>
    </row>
    <row r="1990" spans="8:28" ht="15" customHeight="1">
      <c r="H1990" s="2">
        <v>48204</v>
      </c>
      <c r="I1990" s="2"/>
      <c r="J1990" s="2">
        <v>48492</v>
      </c>
      <c r="K1990" s="2"/>
      <c r="L1990" s="2">
        <v>48016</v>
      </c>
      <c r="M1990" s="2"/>
      <c r="N1990" s="2">
        <v>48687</v>
      </c>
      <c r="P1990" s="2">
        <v>48143</v>
      </c>
      <c r="Q1990" s="2"/>
      <c r="R1990" s="2">
        <v>48556</v>
      </c>
      <c r="AB1990" s="2"/>
    </row>
    <row r="1991" spans="8:28" ht="15" customHeight="1">
      <c r="H1991" s="2">
        <v>48201</v>
      </c>
      <c r="I1991" s="2"/>
      <c r="J1991" s="2">
        <v>48493</v>
      </c>
      <c r="K1991" s="2"/>
      <c r="L1991" s="2">
        <v>48015</v>
      </c>
      <c r="M1991" s="2"/>
      <c r="N1991" s="2">
        <v>48688</v>
      </c>
      <c r="P1991" s="2">
        <v>48142</v>
      </c>
      <c r="Q1991" s="2"/>
      <c r="R1991" s="2">
        <v>48557</v>
      </c>
      <c r="AB1991" s="2"/>
    </row>
    <row r="1992" spans="8:28" ht="15" customHeight="1">
      <c r="H1992" s="2">
        <v>48200</v>
      </c>
      <c r="I1992" s="2"/>
      <c r="J1992" s="2">
        <v>48494</v>
      </c>
      <c r="K1992" s="2"/>
      <c r="L1992" s="2">
        <v>48012</v>
      </c>
      <c r="M1992" s="2"/>
      <c r="N1992" s="2">
        <v>48689</v>
      </c>
      <c r="P1992" s="2">
        <v>48141</v>
      </c>
      <c r="Q1992" s="2"/>
      <c r="R1992" s="2">
        <v>48558</v>
      </c>
      <c r="AB1992" s="2"/>
    </row>
    <row r="1993" spans="8:28" ht="15" customHeight="1">
      <c r="H1993" s="2">
        <v>48199</v>
      </c>
      <c r="I1993" s="2"/>
      <c r="J1993" s="2">
        <v>48495</v>
      </c>
      <c r="K1993" s="2"/>
      <c r="L1993" s="2">
        <v>48011</v>
      </c>
      <c r="M1993" s="2"/>
      <c r="N1993" s="2">
        <v>48690</v>
      </c>
      <c r="P1993" s="2">
        <v>48138</v>
      </c>
      <c r="Q1993" s="2"/>
      <c r="R1993" s="2">
        <v>48561</v>
      </c>
      <c r="AB1993" s="2"/>
    </row>
    <row r="1994" spans="8:28" ht="15" customHeight="1">
      <c r="H1994" s="2">
        <v>48198</v>
      </c>
      <c r="I1994" s="2"/>
      <c r="J1994" s="2">
        <v>48498</v>
      </c>
      <c r="K1994" s="2"/>
      <c r="L1994" s="2">
        <v>48010</v>
      </c>
      <c r="M1994" s="2"/>
      <c r="N1994" s="2">
        <v>48691</v>
      </c>
      <c r="P1994" s="2">
        <v>48137</v>
      </c>
      <c r="Q1994" s="2"/>
      <c r="R1994" s="2">
        <v>48562</v>
      </c>
      <c r="AB1994" s="2"/>
    </row>
    <row r="1995" spans="8:28" ht="15" customHeight="1">
      <c r="H1995" s="2">
        <v>48197</v>
      </c>
      <c r="I1995" s="2"/>
      <c r="J1995" s="2">
        <v>48499</v>
      </c>
      <c r="K1995" s="2"/>
      <c r="L1995" s="2">
        <v>48009</v>
      </c>
      <c r="M1995" s="2"/>
      <c r="N1995" s="2">
        <v>48694</v>
      </c>
      <c r="P1995" s="2">
        <v>48136</v>
      </c>
      <c r="Q1995" s="2"/>
      <c r="R1995" s="2">
        <v>48563</v>
      </c>
      <c r="AB1995" s="2"/>
    </row>
    <row r="1996" spans="8:28" ht="15" customHeight="1">
      <c r="H1996" s="2">
        <v>48194</v>
      </c>
      <c r="I1996" s="2"/>
      <c r="J1996" s="2">
        <v>48500</v>
      </c>
      <c r="K1996" s="2"/>
      <c r="L1996" s="2">
        <v>48008</v>
      </c>
      <c r="M1996" s="2"/>
      <c r="N1996" s="2">
        <v>48695</v>
      </c>
      <c r="P1996" s="2">
        <v>48135</v>
      </c>
      <c r="Q1996" s="2"/>
      <c r="R1996" s="2">
        <v>48564</v>
      </c>
      <c r="AB1996" s="2"/>
    </row>
    <row r="1997" spans="8:28" ht="15" customHeight="1">
      <c r="H1997" s="2">
        <v>48193</v>
      </c>
      <c r="I1997" s="2"/>
      <c r="J1997" s="2">
        <v>48501</v>
      </c>
      <c r="K1997" s="2"/>
      <c r="L1997" s="2">
        <v>48005</v>
      </c>
      <c r="M1997" s="2"/>
      <c r="N1997" s="2">
        <v>48696</v>
      </c>
      <c r="P1997" s="2">
        <v>48134</v>
      </c>
      <c r="Q1997" s="2"/>
      <c r="R1997" s="2">
        <v>48565</v>
      </c>
      <c r="AB1997" s="2"/>
    </row>
    <row r="1998" spans="8:28" ht="15" customHeight="1">
      <c r="H1998" s="2">
        <v>48192</v>
      </c>
      <c r="I1998" s="2"/>
      <c r="J1998" s="2">
        <v>48502</v>
      </c>
      <c r="K1998" s="2"/>
      <c r="L1998" s="2">
        <v>48004</v>
      </c>
      <c r="M1998" s="2"/>
      <c r="N1998" s="2">
        <v>48697</v>
      </c>
      <c r="P1998" s="2">
        <v>48131</v>
      </c>
      <c r="Q1998" s="2"/>
      <c r="R1998" s="2">
        <v>48568</v>
      </c>
      <c r="AB1998" s="2"/>
    </row>
    <row r="1999" spans="8:28" ht="15" customHeight="1">
      <c r="H1999" s="2">
        <v>48191</v>
      </c>
      <c r="I1999" s="2"/>
      <c r="J1999" s="2">
        <v>48505</v>
      </c>
      <c r="K1999" s="2"/>
      <c r="L1999" s="2">
        <v>48003</v>
      </c>
      <c r="M1999" s="2"/>
      <c r="N1999" s="2">
        <v>48701</v>
      </c>
      <c r="P1999" s="2">
        <v>48129</v>
      </c>
      <c r="Q1999" s="2"/>
      <c r="R1999" s="2">
        <v>48569</v>
      </c>
      <c r="AB1999" s="2"/>
    </row>
    <row r="2000" spans="8:28" ht="15" customHeight="1">
      <c r="H2000" s="2">
        <v>48190</v>
      </c>
      <c r="I2000" s="2"/>
      <c r="J2000" s="2">
        <v>48506</v>
      </c>
      <c r="K2000" s="2"/>
      <c r="L2000" s="2">
        <v>48002</v>
      </c>
      <c r="M2000" s="2"/>
      <c r="N2000" s="2">
        <v>48705</v>
      </c>
      <c r="P2000" s="2">
        <v>48128</v>
      </c>
      <c r="Q2000" s="2"/>
      <c r="R2000" s="2">
        <v>48570</v>
      </c>
      <c r="AB2000" s="2"/>
    </row>
    <row r="2001" spans="8:28" ht="15" customHeight="1">
      <c r="H2001" s="2">
        <v>48187</v>
      </c>
      <c r="I2001" s="2"/>
      <c r="J2001" s="2">
        <v>48507</v>
      </c>
      <c r="K2001" s="2"/>
      <c r="L2001" s="2">
        <v>48001</v>
      </c>
      <c r="M2001" s="2"/>
      <c r="N2001" s="2">
        <v>48708</v>
      </c>
      <c r="P2001" s="2">
        <v>48127</v>
      </c>
      <c r="Q2001" s="2"/>
      <c r="R2001" s="2">
        <v>48571</v>
      </c>
      <c r="AB2001" s="2"/>
    </row>
    <row r="2002" spans="8:28" ht="15" customHeight="1">
      <c r="H2002" s="2">
        <v>48186</v>
      </c>
      <c r="I2002" s="2"/>
      <c r="J2002" s="2">
        <v>48508</v>
      </c>
      <c r="K2002" s="2"/>
      <c r="L2002" s="2">
        <v>47998</v>
      </c>
      <c r="M2002" s="2"/>
      <c r="N2002" s="2">
        <v>48709</v>
      </c>
      <c r="P2002" s="2">
        <v>48120</v>
      </c>
      <c r="Q2002" s="2"/>
      <c r="R2002" s="2">
        <v>48572</v>
      </c>
      <c r="AB2002" s="2"/>
    </row>
    <row r="2003" spans="8:28" ht="15" customHeight="1">
      <c r="H2003" s="2">
        <v>48185</v>
      </c>
      <c r="I2003" s="2"/>
      <c r="J2003" s="2">
        <v>48509</v>
      </c>
      <c r="K2003" s="2"/>
      <c r="L2003" s="2">
        <v>47997</v>
      </c>
      <c r="M2003" s="2"/>
      <c r="N2003" s="2">
        <v>48710</v>
      </c>
      <c r="P2003" s="2">
        <v>48117</v>
      </c>
      <c r="Q2003" s="2"/>
      <c r="R2003" s="2">
        <v>48576</v>
      </c>
      <c r="AB2003" s="2"/>
    </row>
    <row r="2004" spans="8:28" ht="15" customHeight="1">
      <c r="H2004" s="2">
        <v>48184</v>
      </c>
      <c r="I2004" s="2"/>
      <c r="J2004" s="2">
        <v>48512</v>
      </c>
      <c r="K2004" s="2"/>
      <c r="L2004" s="2">
        <v>47996</v>
      </c>
      <c r="M2004" s="2"/>
      <c r="N2004" s="2">
        <v>48711</v>
      </c>
      <c r="P2004" s="2">
        <v>48116</v>
      </c>
      <c r="Q2004" s="2"/>
      <c r="R2004" s="2">
        <v>48577</v>
      </c>
      <c r="AB2004" s="2"/>
    </row>
    <row r="2005" spans="8:28" ht="15" customHeight="1">
      <c r="H2005" s="2">
        <v>48183</v>
      </c>
      <c r="I2005" s="2"/>
      <c r="J2005" s="2">
        <v>48513</v>
      </c>
      <c r="K2005" s="2"/>
      <c r="L2005" s="2">
        <v>47995</v>
      </c>
      <c r="M2005" s="2"/>
      <c r="N2005" s="2">
        <v>48712</v>
      </c>
      <c r="P2005" s="2">
        <v>48115</v>
      </c>
      <c r="Q2005" s="2"/>
      <c r="R2005" s="2">
        <v>48578</v>
      </c>
      <c r="AB2005" s="2"/>
    </row>
    <row r="2006" spans="8:28" ht="15" customHeight="1">
      <c r="H2006" s="2">
        <v>48180</v>
      </c>
      <c r="I2006" s="2"/>
      <c r="J2006" s="2">
        <v>48514</v>
      </c>
      <c r="K2006" s="2"/>
      <c r="L2006" s="2">
        <v>47991</v>
      </c>
      <c r="M2006" s="2"/>
      <c r="N2006" s="2">
        <v>48715</v>
      </c>
      <c r="P2006" s="2">
        <v>48114</v>
      </c>
      <c r="Q2006" s="2"/>
      <c r="R2006" s="2">
        <v>48582</v>
      </c>
      <c r="AB2006" s="2"/>
    </row>
    <row r="2007" spans="8:28" ht="15" customHeight="1">
      <c r="H2007" s="2">
        <v>48178</v>
      </c>
      <c r="I2007" s="2"/>
      <c r="J2007" s="2">
        <v>48515</v>
      </c>
      <c r="K2007" s="2"/>
      <c r="L2007" s="2">
        <v>47990</v>
      </c>
      <c r="M2007" s="2"/>
      <c r="N2007" s="2">
        <v>48716</v>
      </c>
      <c r="P2007" s="2">
        <v>48113</v>
      </c>
      <c r="Q2007" s="2"/>
      <c r="R2007" s="2">
        <v>48583</v>
      </c>
      <c r="AB2007" s="2"/>
    </row>
    <row r="2008" spans="8:28" ht="15" customHeight="1">
      <c r="H2008" s="2">
        <v>48177</v>
      </c>
      <c r="I2008" s="2"/>
      <c r="J2008" s="2">
        <v>48516</v>
      </c>
      <c r="K2008" s="2"/>
      <c r="L2008" s="2">
        <v>47989</v>
      </c>
      <c r="M2008" s="2"/>
      <c r="N2008" s="2">
        <v>48717</v>
      </c>
      <c r="P2008" s="2">
        <v>48110</v>
      </c>
      <c r="Q2008" s="2"/>
      <c r="R2008" s="2">
        <v>48584</v>
      </c>
      <c r="AB2008" s="2"/>
    </row>
    <row r="2009" spans="8:28" ht="15" customHeight="1">
      <c r="H2009" s="2">
        <v>48176</v>
      </c>
      <c r="I2009" s="2"/>
      <c r="J2009" s="2">
        <v>48519</v>
      </c>
      <c r="K2009" s="2"/>
      <c r="L2009" s="2">
        <v>47988</v>
      </c>
      <c r="M2009" s="2"/>
      <c r="N2009" s="2">
        <v>48718</v>
      </c>
      <c r="P2009" s="2">
        <v>48109</v>
      </c>
      <c r="Q2009" s="2"/>
      <c r="R2009" s="2">
        <v>48585</v>
      </c>
      <c r="AB2009" s="2"/>
    </row>
    <row r="2010" spans="8:28" ht="15" customHeight="1">
      <c r="H2010" s="2">
        <v>48173</v>
      </c>
      <c r="I2010" s="2"/>
      <c r="J2010" s="2">
        <v>48520</v>
      </c>
      <c r="K2010" s="2"/>
      <c r="L2010" s="2">
        <v>47987</v>
      </c>
      <c r="M2010" s="2"/>
      <c r="N2010" s="2">
        <v>48719</v>
      </c>
      <c r="P2010" s="2">
        <v>48108</v>
      </c>
      <c r="Q2010" s="2"/>
      <c r="R2010" s="2">
        <v>48586</v>
      </c>
      <c r="AB2010" s="2"/>
    </row>
    <row r="2011" spans="8:28" ht="15" customHeight="1">
      <c r="H2011" s="2">
        <v>48172</v>
      </c>
      <c r="I2011" s="2"/>
      <c r="J2011" s="2">
        <v>48521</v>
      </c>
      <c r="K2011" s="2"/>
      <c r="L2011" s="2">
        <v>47984</v>
      </c>
      <c r="M2011" s="2"/>
      <c r="N2011" s="2">
        <v>48722</v>
      </c>
      <c r="P2011" s="2">
        <v>48107</v>
      </c>
      <c r="Q2011" s="2"/>
      <c r="R2011" s="2">
        <v>48589</v>
      </c>
      <c r="AB2011" s="2"/>
    </row>
    <row r="2012" spans="8:28" ht="15" customHeight="1">
      <c r="H2012" s="2">
        <v>48171</v>
      </c>
      <c r="I2012" s="2"/>
      <c r="J2012" s="2">
        <v>48522</v>
      </c>
      <c r="K2012" s="2"/>
      <c r="L2012" s="2">
        <v>47983</v>
      </c>
      <c r="M2012" s="2"/>
      <c r="N2012" s="2">
        <v>48723</v>
      </c>
      <c r="P2012" s="2">
        <v>48106</v>
      </c>
      <c r="Q2012" s="2"/>
      <c r="R2012" s="2">
        <v>48590</v>
      </c>
      <c r="AB2012" s="2"/>
    </row>
    <row r="2013" spans="8:28" ht="15" customHeight="1">
      <c r="H2013" s="2">
        <v>48170</v>
      </c>
      <c r="I2013" s="2"/>
      <c r="J2013" s="2">
        <v>48523</v>
      </c>
      <c r="K2013" s="2"/>
      <c r="L2013" s="2">
        <v>47982</v>
      </c>
      <c r="M2013" s="2"/>
      <c r="N2013" s="2">
        <v>48724</v>
      </c>
      <c r="P2013" s="2">
        <v>48103</v>
      </c>
      <c r="Q2013" s="2"/>
      <c r="R2013" s="2">
        <v>48591</v>
      </c>
      <c r="AB2013" s="2"/>
    </row>
    <row r="2014" spans="8:28" ht="15" customHeight="1">
      <c r="H2014" s="2">
        <v>48169</v>
      </c>
      <c r="I2014" s="2"/>
      <c r="J2014" s="2">
        <v>48526</v>
      </c>
      <c r="K2014" s="2"/>
      <c r="L2014" s="2">
        <v>47981</v>
      </c>
      <c r="M2014" s="2"/>
      <c r="N2014" s="2">
        <v>48725</v>
      </c>
      <c r="P2014" s="2">
        <v>48102</v>
      </c>
      <c r="Q2014" s="2"/>
      <c r="R2014" s="2">
        <v>48592</v>
      </c>
      <c r="AB2014" s="2"/>
    </row>
    <row r="2015" spans="8:28" ht="15" customHeight="1">
      <c r="H2015" s="2">
        <v>48166</v>
      </c>
      <c r="I2015" s="2"/>
      <c r="J2015" s="2">
        <v>48527</v>
      </c>
      <c r="K2015" s="2"/>
      <c r="L2015" s="2">
        <v>47980</v>
      </c>
      <c r="M2015" s="2"/>
      <c r="N2015" s="2">
        <v>48726</v>
      </c>
      <c r="P2015" s="2">
        <v>48101</v>
      </c>
      <c r="Q2015" s="2"/>
      <c r="R2015" s="2">
        <v>48593</v>
      </c>
      <c r="AB2015" s="2"/>
    </row>
    <row r="2016" spans="8:28" ht="15" customHeight="1">
      <c r="H2016" s="2">
        <v>48165</v>
      </c>
      <c r="I2016" s="2"/>
      <c r="J2016" s="2">
        <v>48528</v>
      </c>
      <c r="K2016" s="2"/>
      <c r="L2016" s="2">
        <v>47977</v>
      </c>
      <c r="M2016" s="2"/>
      <c r="N2016" s="2">
        <v>48730</v>
      </c>
      <c r="P2016" s="2">
        <v>48100</v>
      </c>
      <c r="Q2016" s="2"/>
      <c r="R2016" s="2">
        <v>48596</v>
      </c>
      <c r="AB2016" s="2"/>
    </row>
    <row r="2017" spans="8:28" ht="15" customHeight="1">
      <c r="H2017" s="2">
        <v>48164</v>
      </c>
      <c r="I2017" s="2"/>
      <c r="J2017" s="2">
        <v>48529</v>
      </c>
      <c r="K2017" s="2"/>
      <c r="L2017" s="2">
        <v>47976</v>
      </c>
      <c r="M2017" s="2"/>
      <c r="N2017" s="2">
        <v>48731</v>
      </c>
      <c r="P2017" s="2">
        <v>48099</v>
      </c>
      <c r="Q2017" s="2"/>
      <c r="R2017" s="2">
        <v>48597</v>
      </c>
      <c r="AB2017" s="2"/>
    </row>
    <row r="2018" spans="8:28" ht="15" customHeight="1">
      <c r="H2018" s="2">
        <v>48163</v>
      </c>
      <c r="I2018" s="2"/>
      <c r="J2018" s="2">
        <v>48530</v>
      </c>
      <c r="K2018" s="2"/>
      <c r="L2018" s="2">
        <v>47975</v>
      </c>
      <c r="M2018" s="2"/>
      <c r="N2018" s="2">
        <v>48732</v>
      </c>
      <c r="P2018" s="2">
        <v>48096</v>
      </c>
      <c r="Q2018" s="2"/>
      <c r="R2018" s="2">
        <v>48598</v>
      </c>
      <c r="AB2018" s="2"/>
    </row>
    <row r="2019" spans="8:28" ht="15" customHeight="1">
      <c r="H2019" s="2">
        <v>48162</v>
      </c>
      <c r="I2019" s="2"/>
      <c r="J2019" s="2">
        <v>48533</v>
      </c>
      <c r="K2019" s="2"/>
      <c r="L2019" s="2">
        <v>47970</v>
      </c>
      <c r="M2019" s="2"/>
      <c r="N2019" s="2">
        <v>48733</v>
      </c>
      <c r="P2019" s="2">
        <v>48095</v>
      </c>
      <c r="Q2019" s="2"/>
      <c r="R2019" s="2">
        <v>48599</v>
      </c>
      <c r="AB2019" s="2"/>
    </row>
    <row r="2020" spans="8:28" ht="15" customHeight="1">
      <c r="H2020" s="2">
        <v>48159</v>
      </c>
      <c r="I2020" s="2"/>
      <c r="J2020" s="2">
        <v>48534</v>
      </c>
      <c r="K2020" s="2"/>
      <c r="L2020" s="2">
        <v>47969</v>
      </c>
      <c r="M2020" s="2"/>
      <c r="N2020" s="2">
        <v>48736</v>
      </c>
      <c r="P2020" s="2">
        <v>48094</v>
      </c>
      <c r="Q2020" s="2"/>
      <c r="R2020" s="2">
        <v>48600</v>
      </c>
      <c r="AB2020" s="2"/>
    </row>
    <row r="2021" spans="8:28" ht="15" customHeight="1">
      <c r="H2021" s="2">
        <v>48158</v>
      </c>
      <c r="I2021" s="2"/>
      <c r="J2021" s="2">
        <v>48535</v>
      </c>
      <c r="K2021" s="2"/>
      <c r="L2021" s="2">
        <v>47968</v>
      </c>
      <c r="M2021" s="2"/>
      <c r="N2021" s="2">
        <v>48737</v>
      </c>
      <c r="P2021" s="2">
        <v>48093</v>
      </c>
      <c r="Q2021" s="2"/>
      <c r="R2021" s="2">
        <v>48603</v>
      </c>
      <c r="AB2021" s="2"/>
    </row>
    <row r="2022" spans="8:28" ht="15" customHeight="1">
      <c r="H2022" s="2">
        <v>48157</v>
      </c>
      <c r="I2022" s="2"/>
      <c r="J2022" s="2">
        <v>48536</v>
      </c>
      <c r="K2022" s="2"/>
      <c r="L2022" s="2">
        <v>47966</v>
      </c>
      <c r="M2022" s="2"/>
      <c r="N2022" s="2">
        <v>48738</v>
      </c>
      <c r="P2022" s="2">
        <v>48092</v>
      </c>
      <c r="Q2022" s="2"/>
      <c r="R2022" s="2">
        <v>48604</v>
      </c>
      <c r="AB2022" s="2"/>
    </row>
    <row r="2023" spans="8:28" ht="15" customHeight="1">
      <c r="H2023" s="2">
        <v>48156</v>
      </c>
      <c r="I2023" s="2"/>
      <c r="J2023" s="2">
        <v>48537</v>
      </c>
      <c r="K2023" s="2"/>
      <c r="L2023" s="2">
        <v>47963</v>
      </c>
      <c r="M2023" s="2"/>
      <c r="N2023" s="2">
        <v>48739</v>
      </c>
      <c r="P2023" s="2">
        <v>48089</v>
      </c>
      <c r="Q2023" s="2"/>
      <c r="R2023" s="2">
        <v>48605</v>
      </c>
      <c r="AB2023" s="2"/>
    </row>
    <row r="2024" spans="8:28" ht="15" customHeight="1">
      <c r="H2024" s="2">
        <v>48155</v>
      </c>
      <c r="I2024" s="2"/>
      <c r="J2024" s="2">
        <v>48540</v>
      </c>
      <c r="K2024" s="2"/>
      <c r="L2024" s="2">
        <v>47962</v>
      </c>
      <c r="M2024" s="2"/>
      <c r="N2024" s="2">
        <v>48740</v>
      </c>
      <c r="P2024" s="2">
        <v>48088</v>
      </c>
      <c r="Q2024" s="2"/>
      <c r="R2024" s="2">
        <v>48606</v>
      </c>
      <c r="AB2024" s="2"/>
    </row>
    <row r="2025" spans="8:28" ht="15" customHeight="1">
      <c r="H2025" s="2">
        <v>48152</v>
      </c>
      <c r="I2025" s="2"/>
      <c r="J2025" s="2">
        <v>48541</v>
      </c>
      <c r="K2025" s="2"/>
      <c r="L2025" s="2">
        <v>47961</v>
      </c>
      <c r="M2025" s="2"/>
      <c r="N2025" s="2">
        <v>48743</v>
      </c>
      <c r="P2025" s="2">
        <v>48087</v>
      </c>
      <c r="Q2025" s="2"/>
      <c r="R2025" s="2">
        <v>48607</v>
      </c>
      <c r="AB2025" s="2"/>
    </row>
    <row r="2026" spans="8:28" ht="15" customHeight="1">
      <c r="H2026" s="2">
        <v>48151</v>
      </c>
      <c r="I2026" s="2"/>
      <c r="J2026" s="2">
        <v>48542</v>
      </c>
      <c r="K2026" s="2"/>
      <c r="L2026" s="2">
        <v>47960</v>
      </c>
      <c r="M2026" s="2"/>
      <c r="N2026" s="2">
        <v>48744</v>
      </c>
      <c r="P2026" s="2">
        <v>48086</v>
      </c>
      <c r="Q2026" s="2"/>
      <c r="R2026" s="2">
        <v>48613</v>
      </c>
      <c r="AB2026" s="2"/>
    </row>
    <row r="2027" spans="8:28" ht="15" customHeight="1">
      <c r="H2027" s="2">
        <v>48150</v>
      </c>
      <c r="I2027" s="2"/>
      <c r="J2027" s="2">
        <v>48544</v>
      </c>
      <c r="K2027" s="2"/>
      <c r="L2027" s="2">
        <v>47959</v>
      </c>
      <c r="M2027" s="2"/>
      <c r="N2027" s="2">
        <v>48745</v>
      </c>
      <c r="P2027" s="2">
        <v>48085</v>
      </c>
      <c r="Q2027" s="2"/>
      <c r="R2027" s="2">
        <v>48614</v>
      </c>
      <c r="AB2027" s="2"/>
    </row>
    <row r="2028" spans="8:28" ht="15" customHeight="1">
      <c r="H2028" s="2">
        <v>48149</v>
      </c>
      <c r="I2028" s="2"/>
      <c r="J2028" s="2">
        <v>48547</v>
      </c>
      <c r="K2028" s="2"/>
      <c r="L2028" s="2">
        <v>47956</v>
      </c>
      <c r="M2028" s="2"/>
      <c r="N2028" s="2">
        <v>48746</v>
      </c>
      <c r="P2028" s="2">
        <v>48082</v>
      </c>
      <c r="Q2028" s="2"/>
      <c r="R2028" s="2">
        <v>48617</v>
      </c>
      <c r="AB2028" s="2"/>
    </row>
    <row r="2029" spans="8:28" ht="15" customHeight="1">
      <c r="H2029" s="2">
        <v>48148</v>
      </c>
      <c r="I2029" s="2"/>
      <c r="J2029" s="2">
        <v>48548</v>
      </c>
      <c r="K2029" s="2"/>
      <c r="L2029" s="2">
        <v>47955</v>
      </c>
      <c r="M2029" s="2"/>
      <c r="N2029" s="2">
        <v>48747</v>
      </c>
      <c r="P2029" s="2">
        <v>48081</v>
      </c>
      <c r="Q2029" s="2"/>
      <c r="R2029" s="2">
        <v>48618</v>
      </c>
      <c r="AB2029" s="2"/>
    </row>
    <row r="2030" spans="8:28" ht="15" customHeight="1">
      <c r="H2030" s="2">
        <v>48145</v>
      </c>
      <c r="I2030" s="2"/>
      <c r="J2030" s="2">
        <v>48549</v>
      </c>
      <c r="K2030" s="2"/>
      <c r="L2030" s="2">
        <v>47954</v>
      </c>
      <c r="M2030" s="2"/>
      <c r="N2030" s="2">
        <v>48751</v>
      </c>
      <c r="P2030" s="2">
        <v>48080</v>
      </c>
      <c r="Q2030" s="2"/>
      <c r="R2030" s="2">
        <v>48619</v>
      </c>
      <c r="AB2030" s="2"/>
    </row>
    <row r="2031" spans="8:28" ht="15" customHeight="1">
      <c r="H2031" s="2">
        <v>48144</v>
      </c>
      <c r="I2031" s="2"/>
      <c r="J2031" s="2">
        <v>48550</v>
      </c>
      <c r="K2031" s="2"/>
      <c r="L2031" s="2">
        <v>47953</v>
      </c>
      <c r="M2031" s="2"/>
      <c r="N2031" s="2">
        <v>48752</v>
      </c>
      <c r="P2031" s="2">
        <v>48079</v>
      </c>
      <c r="Q2031" s="2"/>
      <c r="R2031" s="2">
        <v>48620</v>
      </c>
      <c r="AB2031" s="2"/>
    </row>
    <row r="2032" spans="8:28" ht="15" customHeight="1">
      <c r="H2032" s="2">
        <v>48143</v>
      </c>
      <c r="I2032" s="2"/>
      <c r="J2032" s="2">
        <v>48551</v>
      </c>
      <c r="K2032" s="2"/>
      <c r="L2032" s="2">
        <v>47952</v>
      </c>
      <c r="M2032" s="2"/>
      <c r="N2032" s="2">
        <v>48753</v>
      </c>
      <c r="P2032" s="2">
        <v>48078</v>
      </c>
      <c r="Q2032" s="2"/>
      <c r="R2032" s="2">
        <v>48621</v>
      </c>
      <c r="AB2032" s="2"/>
    </row>
    <row r="2033" spans="8:28" ht="15" customHeight="1">
      <c r="H2033" s="2">
        <v>48142</v>
      </c>
      <c r="I2033" s="2"/>
      <c r="J2033" s="2">
        <v>48554</v>
      </c>
      <c r="K2033" s="2"/>
      <c r="L2033" s="2">
        <v>47948</v>
      </c>
      <c r="M2033" s="2"/>
      <c r="N2033" s="2">
        <v>48754</v>
      </c>
      <c r="P2033" s="2">
        <v>48074</v>
      </c>
      <c r="Q2033" s="2"/>
      <c r="R2033" s="2">
        <v>48624</v>
      </c>
      <c r="AB2033" s="2"/>
    </row>
    <row r="2034" spans="8:28" ht="15" customHeight="1">
      <c r="H2034" s="2">
        <v>48141</v>
      </c>
      <c r="I2034" s="2"/>
      <c r="J2034" s="2">
        <v>48555</v>
      </c>
      <c r="K2034" s="2"/>
      <c r="L2034" s="2">
        <v>47947</v>
      </c>
      <c r="M2034" s="2"/>
      <c r="N2034" s="2">
        <v>48757</v>
      </c>
      <c r="P2034" s="2">
        <v>48073</v>
      </c>
      <c r="Q2034" s="2"/>
      <c r="R2034" s="2">
        <v>48625</v>
      </c>
      <c r="AB2034" s="2"/>
    </row>
    <row r="2035" spans="8:28" ht="15" customHeight="1">
      <c r="H2035" s="2">
        <v>48138</v>
      </c>
      <c r="I2035" s="2"/>
      <c r="J2035" s="2">
        <v>48556</v>
      </c>
      <c r="K2035" s="2"/>
      <c r="L2035" s="2">
        <v>47946</v>
      </c>
      <c r="M2035" s="2"/>
      <c r="N2035" s="2">
        <v>48758</v>
      </c>
      <c r="P2035" s="2">
        <v>48072</v>
      </c>
      <c r="Q2035" s="2"/>
      <c r="R2035" s="2">
        <v>48626</v>
      </c>
      <c r="AB2035" s="2"/>
    </row>
    <row r="2036" spans="8:28" ht="15" customHeight="1">
      <c r="H2036" s="2">
        <v>48137</v>
      </c>
      <c r="I2036" s="2"/>
      <c r="J2036" s="2">
        <v>48557</v>
      </c>
      <c r="K2036" s="2"/>
      <c r="L2036" s="2">
        <v>47945</v>
      </c>
      <c r="M2036" s="2"/>
      <c r="N2036" s="2">
        <v>48759</v>
      </c>
      <c r="P2036" s="2">
        <v>48071</v>
      </c>
      <c r="Q2036" s="2"/>
      <c r="R2036" s="2">
        <v>48627</v>
      </c>
      <c r="AB2036" s="2"/>
    </row>
    <row r="2037" spans="8:28" ht="15" customHeight="1">
      <c r="H2037" s="2">
        <v>48136</v>
      </c>
      <c r="I2037" s="2"/>
      <c r="J2037" s="2">
        <v>48558</v>
      </c>
      <c r="K2037" s="2"/>
      <c r="L2037" s="2">
        <v>47942</v>
      </c>
      <c r="M2037" s="2"/>
      <c r="N2037" s="2">
        <v>48760</v>
      </c>
      <c r="P2037" s="2">
        <v>48068</v>
      </c>
      <c r="Q2037" s="2"/>
      <c r="R2037" s="2">
        <v>48628</v>
      </c>
      <c r="AB2037" s="2"/>
    </row>
    <row r="2038" spans="8:28" ht="15" customHeight="1">
      <c r="H2038" s="2">
        <v>48135</v>
      </c>
      <c r="I2038" s="2"/>
      <c r="J2038" s="2">
        <v>48561</v>
      </c>
      <c r="K2038" s="2"/>
      <c r="L2038" s="2">
        <v>47941</v>
      </c>
      <c r="M2038" s="2"/>
      <c r="N2038" s="2">
        <v>48761</v>
      </c>
      <c r="P2038" s="2">
        <v>48067</v>
      </c>
      <c r="Q2038" s="2"/>
      <c r="R2038" s="2">
        <v>48631</v>
      </c>
      <c r="AB2038" s="2"/>
    </row>
    <row r="2039" spans="8:28" ht="15" customHeight="1">
      <c r="H2039" s="2">
        <v>48134</v>
      </c>
      <c r="I2039" s="2"/>
      <c r="J2039" s="2">
        <v>48562</v>
      </c>
      <c r="K2039" s="2"/>
      <c r="L2039" s="2">
        <v>47940</v>
      </c>
      <c r="M2039" s="2"/>
      <c r="N2039" s="2">
        <v>48765</v>
      </c>
      <c r="P2039" s="2">
        <v>48066</v>
      </c>
      <c r="Q2039" s="2"/>
      <c r="R2039" s="2">
        <v>48632</v>
      </c>
      <c r="AB2039" s="2"/>
    </row>
    <row r="2040" spans="8:28" ht="15" customHeight="1">
      <c r="H2040" s="2">
        <v>48131</v>
      </c>
      <c r="I2040" s="2"/>
      <c r="J2040" s="2">
        <v>48563</v>
      </c>
      <c r="K2040" s="2"/>
      <c r="L2040" s="2">
        <v>47939</v>
      </c>
      <c r="M2040" s="2"/>
      <c r="N2040" s="2">
        <v>48766</v>
      </c>
      <c r="P2040" s="2">
        <v>48065</v>
      </c>
      <c r="Q2040" s="2"/>
      <c r="R2040" s="2">
        <v>48633</v>
      </c>
      <c r="AB2040" s="2"/>
    </row>
    <row r="2041" spans="8:28" ht="15" customHeight="1">
      <c r="H2041" s="2">
        <v>48130</v>
      </c>
      <c r="I2041" s="2"/>
      <c r="J2041" s="2">
        <v>48564</v>
      </c>
      <c r="K2041" s="2"/>
      <c r="L2041" s="2">
        <v>47938</v>
      </c>
      <c r="M2041" s="2"/>
      <c r="N2041" s="2">
        <v>48767</v>
      </c>
      <c r="P2041" s="2">
        <v>48064</v>
      </c>
      <c r="Q2041" s="2"/>
      <c r="R2041" s="2">
        <v>48634</v>
      </c>
      <c r="AB2041" s="2"/>
    </row>
    <row r="2042" spans="8:28" ht="15" customHeight="1">
      <c r="H2042" s="2">
        <v>48129</v>
      </c>
      <c r="I2042" s="2"/>
      <c r="J2042" s="2">
        <v>48565</v>
      </c>
      <c r="K2042" s="2"/>
      <c r="L2042" s="2">
        <v>47935</v>
      </c>
      <c r="M2042" s="2"/>
      <c r="N2042" s="2">
        <v>48768</v>
      </c>
      <c r="P2042" s="2">
        <v>48061</v>
      </c>
      <c r="Q2042" s="2"/>
      <c r="R2042" s="2">
        <v>48635</v>
      </c>
      <c r="AB2042" s="2"/>
    </row>
    <row r="2043" spans="8:28" ht="15" customHeight="1">
      <c r="H2043" s="2">
        <v>48128</v>
      </c>
      <c r="I2043" s="2"/>
      <c r="J2043" s="2">
        <v>48568</v>
      </c>
      <c r="K2043" s="2"/>
      <c r="L2043" s="2">
        <v>47934</v>
      </c>
      <c r="M2043" s="2"/>
      <c r="N2043" s="2">
        <v>48771</v>
      </c>
      <c r="P2043" s="2">
        <v>48060</v>
      </c>
      <c r="Q2043" s="2"/>
      <c r="R2043" s="2">
        <v>48638</v>
      </c>
      <c r="AB2043" s="2"/>
    </row>
    <row r="2044" spans="8:28" ht="15" customHeight="1">
      <c r="H2044" s="2">
        <v>48127</v>
      </c>
      <c r="I2044" s="2"/>
      <c r="J2044" s="2">
        <v>48569</v>
      </c>
      <c r="K2044" s="2"/>
      <c r="L2044" s="2">
        <v>47933</v>
      </c>
      <c r="M2044" s="2"/>
      <c r="N2044" s="2">
        <v>48772</v>
      </c>
      <c r="P2044" s="2">
        <v>48059</v>
      </c>
      <c r="Q2044" s="2"/>
      <c r="R2044" s="2">
        <v>48640</v>
      </c>
      <c r="AB2044" s="2"/>
    </row>
    <row r="2045" spans="8:28" ht="15" customHeight="1">
      <c r="H2045" s="2">
        <v>48124</v>
      </c>
      <c r="I2045" s="2"/>
      <c r="J2045" s="2">
        <v>48570</v>
      </c>
      <c r="K2045" s="2"/>
      <c r="L2045" s="2">
        <v>47932</v>
      </c>
      <c r="M2045" s="2"/>
      <c r="N2045" s="2">
        <v>48773</v>
      </c>
      <c r="P2045" s="2">
        <v>48058</v>
      </c>
      <c r="Q2045" s="2"/>
      <c r="R2045" s="2">
        <v>48641</v>
      </c>
      <c r="AB2045" s="2"/>
    </row>
    <row r="2046" spans="8:28" ht="15" customHeight="1">
      <c r="H2046" s="2">
        <v>48123</v>
      </c>
      <c r="I2046" s="2"/>
      <c r="J2046" s="2">
        <v>48571</v>
      </c>
      <c r="K2046" s="2"/>
      <c r="L2046" s="2">
        <v>47931</v>
      </c>
      <c r="M2046" s="2"/>
      <c r="N2046" s="2">
        <v>48774</v>
      </c>
      <c r="P2046" s="2">
        <v>48057</v>
      </c>
      <c r="Q2046" s="2"/>
      <c r="R2046" s="2">
        <v>48642</v>
      </c>
      <c r="AB2046" s="2"/>
    </row>
    <row r="2047" spans="8:28" ht="15" customHeight="1">
      <c r="H2047" s="2">
        <v>48122</v>
      </c>
      <c r="I2047" s="2"/>
      <c r="J2047" s="2">
        <v>48575</v>
      </c>
      <c r="K2047" s="2"/>
      <c r="L2047" s="2">
        <v>47927</v>
      </c>
      <c r="M2047" s="2"/>
      <c r="N2047" s="2">
        <v>48775</v>
      </c>
      <c r="P2047" s="2">
        <v>48054</v>
      </c>
      <c r="Q2047" s="2"/>
      <c r="R2047" s="2">
        <v>48645</v>
      </c>
      <c r="AB2047" s="2"/>
    </row>
    <row r="2048" spans="8:28" ht="15" customHeight="1">
      <c r="H2048" s="2">
        <v>48121</v>
      </c>
      <c r="I2048" s="2"/>
      <c r="J2048" s="2">
        <v>48576</v>
      </c>
      <c r="K2048" s="2"/>
      <c r="L2048" s="2">
        <v>47926</v>
      </c>
      <c r="M2048" s="2"/>
      <c r="N2048" s="2">
        <v>48779</v>
      </c>
      <c r="P2048" s="2">
        <v>48053</v>
      </c>
      <c r="Q2048" s="2"/>
      <c r="R2048" s="2">
        <v>48646</v>
      </c>
      <c r="AB2048" s="2"/>
    </row>
    <row r="2049" spans="8:28" ht="15" customHeight="1">
      <c r="H2049" s="2">
        <v>48120</v>
      </c>
      <c r="I2049" s="2"/>
      <c r="J2049" s="2">
        <v>48577</v>
      </c>
      <c r="K2049" s="2"/>
      <c r="L2049" s="2">
        <v>47925</v>
      </c>
      <c r="M2049" s="2"/>
      <c r="N2049" s="2">
        <v>48780</v>
      </c>
      <c r="P2049" s="2">
        <v>48052</v>
      </c>
      <c r="Q2049" s="2"/>
      <c r="R2049" s="2">
        <v>48647</v>
      </c>
      <c r="AB2049" s="2"/>
    </row>
    <row r="2050" spans="8:28" ht="15" customHeight="1">
      <c r="H2050" s="2">
        <v>48117</v>
      </c>
      <c r="I2050" s="2"/>
      <c r="J2050" s="2">
        <v>48578</v>
      </c>
      <c r="K2050" s="2"/>
      <c r="L2050" s="2">
        <v>47924</v>
      </c>
      <c r="M2050" s="2"/>
      <c r="N2050" s="2">
        <v>48781</v>
      </c>
      <c r="P2050" s="2">
        <v>48051</v>
      </c>
      <c r="Q2050" s="2"/>
      <c r="R2050" s="2">
        <v>48648</v>
      </c>
      <c r="AB2050" s="2"/>
    </row>
    <row r="2051" spans="8:28" ht="15" customHeight="1">
      <c r="H2051" s="2">
        <v>48116</v>
      </c>
      <c r="I2051" s="2"/>
      <c r="J2051" s="2">
        <v>48579</v>
      </c>
      <c r="K2051" s="2"/>
      <c r="L2051" s="2">
        <v>47921</v>
      </c>
      <c r="M2051" s="2"/>
      <c r="N2051" s="2">
        <v>48782</v>
      </c>
      <c r="P2051" s="2">
        <v>48050</v>
      </c>
      <c r="Q2051" s="2"/>
      <c r="R2051" s="2">
        <v>48649</v>
      </c>
      <c r="AB2051" s="2"/>
    </row>
    <row r="2052" spans="8:28" ht="15" customHeight="1">
      <c r="H2052" s="2">
        <v>48115</v>
      </c>
      <c r="I2052" s="2"/>
      <c r="J2052" s="2">
        <v>48582</v>
      </c>
      <c r="K2052" s="2"/>
      <c r="L2052" s="2">
        <v>47920</v>
      </c>
      <c r="M2052" s="2"/>
      <c r="N2052" s="2">
        <v>48785</v>
      </c>
      <c r="P2052" s="2">
        <v>48047</v>
      </c>
      <c r="Q2052" s="2"/>
      <c r="R2052" s="2">
        <v>48652</v>
      </c>
      <c r="AB2052" s="2"/>
    </row>
    <row r="2053" spans="8:28" ht="15" customHeight="1">
      <c r="H2053" s="2">
        <v>48114</v>
      </c>
      <c r="I2053" s="2"/>
      <c r="J2053" s="2">
        <v>48583</v>
      </c>
      <c r="K2053" s="2"/>
      <c r="L2053" s="2">
        <v>47919</v>
      </c>
      <c r="M2053" s="2"/>
      <c r="N2053" s="2">
        <v>48786</v>
      </c>
      <c r="P2053" s="2">
        <v>48046</v>
      </c>
      <c r="Q2053" s="2"/>
      <c r="R2053" s="2">
        <v>48653</v>
      </c>
      <c r="AB2053" s="2"/>
    </row>
    <row r="2054" spans="8:28" ht="15" customHeight="1">
      <c r="H2054" s="2">
        <v>48113</v>
      </c>
      <c r="I2054" s="2"/>
      <c r="J2054" s="2">
        <v>48584</v>
      </c>
      <c r="K2054" s="2"/>
      <c r="L2054" s="2">
        <v>47918</v>
      </c>
      <c r="M2054" s="2"/>
      <c r="N2054" s="2">
        <v>48787</v>
      </c>
      <c r="P2054" s="2">
        <v>48045</v>
      </c>
      <c r="Q2054" s="2"/>
      <c r="R2054" s="2">
        <v>48654</v>
      </c>
      <c r="AB2054" s="2"/>
    </row>
    <row r="2055" spans="8:28" ht="15" customHeight="1">
      <c r="H2055" s="2">
        <v>48110</v>
      </c>
      <c r="I2055" s="2"/>
      <c r="J2055" s="2">
        <v>48585</v>
      </c>
      <c r="K2055" s="2"/>
      <c r="L2055" s="2">
        <v>47917</v>
      </c>
      <c r="M2055" s="2"/>
      <c r="N2055" s="2">
        <v>48788</v>
      </c>
      <c r="P2055" s="2">
        <v>48044</v>
      </c>
      <c r="Q2055" s="2"/>
      <c r="R2055" s="2">
        <v>48655</v>
      </c>
      <c r="AB2055" s="2"/>
    </row>
    <row r="2056" spans="8:28" ht="15" customHeight="1">
      <c r="H2056" s="2">
        <v>48109</v>
      </c>
      <c r="I2056" s="2"/>
      <c r="J2056" s="2">
        <v>48586</v>
      </c>
      <c r="K2056" s="2"/>
      <c r="L2056" s="2">
        <v>47914</v>
      </c>
      <c r="M2056" s="2"/>
      <c r="N2056" s="2">
        <v>48789</v>
      </c>
      <c r="P2056" s="2">
        <v>48043</v>
      </c>
      <c r="Q2056" s="2"/>
      <c r="R2056" s="2">
        <v>48656</v>
      </c>
      <c r="AB2056" s="2"/>
    </row>
    <row r="2057" spans="8:28" ht="15" customHeight="1">
      <c r="H2057" s="2">
        <v>48108</v>
      </c>
      <c r="I2057" s="2"/>
      <c r="J2057" s="2">
        <v>48589</v>
      </c>
      <c r="K2057" s="2"/>
      <c r="L2057" s="2">
        <v>47913</v>
      </c>
      <c r="M2057" s="2"/>
      <c r="N2057" s="2">
        <v>48792</v>
      </c>
      <c r="P2057" s="2">
        <v>48040</v>
      </c>
      <c r="Q2057" s="2"/>
      <c r="R2057" s="2">
        <v>48659</v>
      </c>
      <c r="AB2057" s="2"/>
    </row>
    <row r="2058" spans="8:28" ht="15" customHeight="1">
      <c r="H2058" s="2">
        <v>48107</v>
      </c>
      <c r="I2058" s="2"/>
      <c r="J2058" s="2">
        <v>48590</v>
      </c>
      <c r="K2058" s="2"/>
      <c r="L2058" s="2">
        <v>47912</v>
      </c>
      <c r="M2058" s="2"/>
      <c r="N2058" s="2">
        <v>48793</v>
      </c>
      <c r="P2058" s="2">
        <v>48039</v>
      </c>
      <c r="Q2058" s="2"/>
      <c r="R2058" s="2">
        <v>48660</v>
      </c>
      <c r="AB2058" s="2"/>
    </row>
    <row r="2059" spans="8:28" ht="15" customHeight="1">
      <c r="H2059" s="2">
        <v>48106</v>
      </c>
      <c r="I2059" s="2"/>
      <c r="J2059" s="2">
        <v>48591</v>
      </c>
      <c r="K2059" s="2"/>
      <c r="L2059" s="2">
        <v>47911</v>
      </c>
      <c r="M2059" s="2"/>
      <c r="N2059" s="2">
        <v>48794</v>
      </c>
      <c r="P2059" s="2">
        <v>48038</v>
      </c>
      <c r="Q2059" s="2"/>
      <c r="R2059" s="2">
        <v>48661</v>
      </c>
      <c r="AB2059" s="2"/>
    </row>
    <row r="2060" spans="8:28" ht="15" customHeight="1">
      <c r="H2060" s="2">
        <v>48103</v>
      </c>
      <c r="I2060" s="2"/>
      <c r="J2060" s="2">
        <v>48592</v>
      </c>
      <c r="K2060" s="2"/>
      <c r="L2060" s="2">
        <v>47910</v>
      </c>
      <c r="M2060" s="2"/>
      <c r="N2060" s="2">
        <v>48795</v>
      </c>
      <c r="P2060" s="2">
        <v>48037</v>
      </c>
      <c r="Q2060" s="2"/>
      <c r="R2060" s="2">
        <v>48662</v>
      </c>
      <c r="AB2060" s="2"/>
    </row>
    <row r="2061" spans="8:28" ht="15" customHeight="1">
      <c r="H2061" s="2">
        <v>48102</v>
      </c>
      <c r="I2061" s="2"/>
      <c r="J2061" s="2">
        <v>48593</v>
      </c>
      <c r="K2061" s="2"/>
      <c r="L2061" s="2">
        <v>47907</v>
      </c>
      <c r="M2061" s="2"/>
      <c r="N2061" s="2">
        <v>48796</v>
      </c>
      <c r="P2061" s="2">
        <v>48036</v>
      </c>
      <c r="Q2061" s="2"/>
      <c r="R2061" s="2">
        <v>48663</v>
      </c>
      <c r="AB2061" s="2"/>
    </row>
    <row r="2062" spans="8:28" ht="15" customHeight="1">
      <c r="H2062" s="2">
        <v>48101</v>
      </c>
      <c r="I2062" s="2"/>
      <c r="J2062" s="2">
        <v>48597</v>
      </c>
      <c r="K2062" s="2"/>
      <c r="L2062" s="2">
        <v>47906</v>
      </c>
      <c r="M2062" s="2"/>
      <c r="N2062" s="2">
        <v>48799</v>
      </c>
      <c r="P2062" s="2">
        <v>48033</v>
      </c>
      <c r="Q2062" s="2"/>
      <c r="R2062" s="2">
        <v>48666</v>
      </c>
      <c r="AB2062" s="2"/>
    </row>
    <row r="2063" spans="8:28" ht="15" customHeight="1">
      <c r="H2063" s="2">
        <v>48100</v>
      </c>
      <c r="I2063" s="2"/>
      <c r="J2063" s="2">
        <v>48598</v>
      </c>
      <c r="K2063" s="2"/>
      <c r="L2063" s="2">
        <v>47905</v>
      </c>
      <c r="M2063" s="2"/>
      <c r="N2063" s="2">
        <v>48800</v>
      </c>
      <c r="P2063" s="2">
        <v>48032</v>
      </c>
      <c r="Q2063" s="2"/>
      <c r="R2063" s="2">
        <v>48667</v>
      </c>
      <c r="AB2063" s="2"/>
    </row>
    <row r="2064" spans="8:28" ht="15" customHeight="1">
      <c r="H2064" s="2">
        <v>48099</v>
      </c>
      <c r="I2064" s="2"/>
      <c r="J2064" s="2">
        <v>48599</v>
      </c>
      <c r="K2064" s="2"/>
      <c r="L2064" s="2">
        <v>47904</v>
      </c>
      <c r="M2064" s="2"/>
      <c r="N2064" s="2">
        <v>48801</v>
      </c>
      <c r="P2064" s="2">
        <v>48031</v>
      </c>
      <c r="Q2064" s="2"/>
      <c r="R2064" s="2">
        <v>48668</v>
      </c>
      <c r="AB2064" s="2"/>
    </row>
    <row r="2065" spans="8:28" ht="15" customHeight="1">
      <c r="H2065" s="2">
        <v>48096</v>
      </c>
      <c r="I2065" s="2"/>
      <c r="J2065" s="2">
        <v>48600</v>
      </c>
      <c r="K2065" s="2"/>
      <c r="L2065" s="2">
        <v>47900</v>
      </c>
      <c r="M2065" s="2"/>
      <c r="N2065" s="2">
        <v>48803</v>
      </c>
      <c r="P2065" s="2">
        <v>48030</v>
      </c>
      <c r="Q2065" s="2"/>
      <c r="R2065" s="2">
        <v>48669</v>
      </c>
      <c r="AB2065" s="2"/>
    </row>
    <row r="2066" spans="8:28" ht="15" customHeight="1">
      <c r="H2066" s="2">
        <v>48095</v>
      </c>
      <c r="I2066" s="2"/>
      <c r="J2066" s="2">
        <v>48603</v>
      </c>
      <c r="K2066" s="2"/>
      <c r="L2066" s="2">
        <v>47899</v>
      </c>
      <c r="M2066" s="2"/>
      <c r="N2066" s="2">
        <v>48806</v>
      </c>
      <c r="P2066" s="2">
        <v>48029</v>
      </c>
      <c r="Q2066" s="2"/>
      <c r="R2066" s="2">
        <v>48670</v>
      </c>
      <c r="AB2066" s="2"/>
    </row>
    <row r="2067" spans="8:28" ht="15" customHeight="1">
      <c r="H2067" s="2">
        <v>48094</v>
      </c>
      <c r="I2067" s="2"/>
      <c r="J2067" s="2">
        <v>48604</v>
      </c>
      <c r="K2067" s="2"/>
      <c r="L2067" s="2">
        <v>47898</v>
      </c>
      <c r="M2067" s="2"/>
      <c r="N2067" s="2">
        <v>48807</v>
      </c>
      <c r="P2067" s="2">
        <v>48026</v>
      </c>
      <c r="Q2067" s="2"/>
      <c r="R2067" s="2">
        <v>48673</v>
      </c>
      <c r="AB2067" s="2"/>
    </row>
    <row r="2068" spans="8:28" ht="15" customHeight="1">
      <c r="H2068" s="2">
        <v>48093</v>
      </c>
      <c r="I2068" s="2"/>
      <c r="J2068" s="2">
        <v>48605</v>
      </c>
      <c r="K2068" s="2"/>
      <c r="L2068" s="2">
        <v>47897</v>
      </c>
      <c r="M2068" s="2"/>
      <c r="N2068" s="2">
        <v>48808</v>
      </c>
      <c r="P2068" s="2">
        <v>48025</v>
      </c>
      <c r="Q2068" s="2"/>
      <c r="R2068" s="2">
        <v>48674</v>
      </c>
      <c r="AB2068" s="2"/>
    </row>
    <row r="2069" spans="8:28" ht="15" customHeight="1">
      <c r="H2069" s="2">
        <v>48089</v>
      </c>
      <c r="I2069" s="2"/>
      <c r="J2069" s="2">
        <v>48606</v>
      </c>
      <c r="K2069" s="2"/>
      <c r="L2069" s="2">
        <v>47893</v>
      </c>
      <c r="M2069" s="2"/>
      <c r="N2069" s="2">
        <v>48809</v>
      </c>
      <c r="P2069" s="2">
        <v>48024</v>
      </c>
      <c r="Q2069" s="2"/>
      <c r="R2069" s="2">
        <v>48675</v>
      </c>
      <c r="AB2069" s="2"/>
    </row>
    <row r="2070" spans="8:28" ht="15" customHeight="1">
      <c r="H2070" s="2">
        <v>48088</v>
      </c>
      <c r="I2070" s="2"/>
      <c r="J2070" s="2">
        <v>48607</v>
      </c>
      <c r="K2070" s="2"/>
      <c r="L2070" s="2">
        <v>47892</v>
      </c>
      <c r="M2070" s="2"/>
      <c r="N2070" s="2">
        <v>48810</v>
      </c>
      <c r="P2070" s="2">
        <v>48023</v>
      </c>
      <c r="Q2070" s="2"/>
      <c r="R2070" s="2">
        <v>48676</v>
      </c>
      <c r="AB2070" s="2"/>
    </row>
    <row r="2071" spans="8:28" ht="15" customHeight="1">
      <c r="H2071" s="2">
        <v>48087</v>
      </c>
      <c r="I2071" s="2"/>
      <c r="J2071" s="2">
        <v>48610</v>
      </c>
      <c r="K2071" s="2"/>
      <c r="L2071" s="2">
        <v>47891</v>
      </c>
      <c r="M2071" s="2"/>
      <c r="N2071" s="2">
        <v>48813</v>
      </c>
      <c r="P2071" s="2">
        <v>48022</v>
      </c>
      <c r="Q2071" s="2"/>
      <c r="R2071" s="2">
        <v>48677</v>
      </c>
      <c r="AB2071" s="2"/>
    </row>
    <row r="2072" spans="8:28" ht="15" customHeight="1">
      <c r="H2072" s="2">
        <v>48086</v>
      </c>
      <c r="I2072" s="2"/>
      <c r="J2072" s="2">
        <v>48611</v>
      </c>
      <c r="K2072" s="2"/>
      <c r="L2072" s="2">
        <v>47889</v>
      </c>
      <c r="M2072" s="2"/>
      <c r="N2072" s="2">
        <v>48814</v>
      </c>
      <c r="P2072" s="2">
        <v>48019</v>
      </c>
      <c r="Q2072" s="2"/>
      <c r="R2072" s="2">
        <v>48680</v>
      </c>
      <c r="AB2072" s="2"/>
    </row>
    <row r="2073" spans="8:28" ht="15" customHeight="1">
      <c r="H2073" s="2">
        <v>48085</v>
      </c>
      <c r="I2073" s="2"/>
      <c r="J2073" s="2">
        <v>48612</v>
      </c>
      <c r="K2073" s="2"/>
      <c r="L2073" s="2">
        <v>47886</v>
      </c>
      <c r="M2073" s="2"/>
      <c r="N2073" s="2">
        <v>48815</v>
      </c>
      <c r="P2073" s="2">
        <v>48018</v>
      </c>
      <c r="Q2073" s="2"/>
      <c r="R2073" s="2">
        <v>48681</v>
      </c>
      <c r="AB2073" s="2"/>
    </row>
    <row r="2074" spans="8:28" ht="15" customHeight="1">
      <c r="H2074" s="2">
        <v>48082</v>
      </c>
      <c r="I2074" s="2"/>
      <c r="J2074" s="2">
        <v>48613</v>
      </c>
      <c r="K2074" s="2"/>
      <c r="L2074" s="2">
        <v>47885</v>
      </c>
      <c r="M2074" s="2"/>
      <c r="N2074" s="2">
        <v>48816</v>
      </c>
      <c r="P2074" s="2">
        <v>48017</v>
      </c>
      <c r="Q2074" s="2"/>
      <c r="R2074" s="2">
        <v>48682</v>
      </c>
      <c r="AB2074" s="2"/>
    </row>
    <row r="2075" spans="8:28" ht="15" customHeight="1">
      <c r="H2075" s="2">
        <v>48081</v>
      </c>
      <c r="I2075" s="2"/>
      <c r="J2075" s="2">
        <v>48614</v>
      </c>
      <c r="K2075" s="2"/>
      <c r="L2075" s="2">
        <v>47884</v>
      </c>
      <c r="M2075" s="2"/>
      <c r="N2075" s="2">
        <v>48817</v>
      </c>
      <c r="P2075" s="2">
        <v>48016</v>
      </c>
      <c r="Q2075" s="2"/>
      <c r="R2075" s="2">
        <v>48683</v>
      </c>
      <c r="AB2075" s="2"/>
    </row>
    <row r="2076" spans="8:28" ht="15" customHeight="1">
      <c r="H2076" s="2">
        <v>48080</v>
      </c>
      <c r="I2076" s="2"/>
      <c r="J2076" s="2">
        <v>48617</v>
      </c>
      <c r="K2076" s="2"/>
      <c r="L2076" s="2">
        <v>47883</v>
      </c>
      <c r="M2076" s="2"/>
      <c r="N2076" s="2">
        <v>48820</v>
      </c>
      <c r="P2076" s="2">
        <v>48015</v>
      </c>
      <c r="Q2076" s="2"/>
      <c r="R2076" s="2">
        <v>48684</v>
      </c>
      <c r="AB2076" s="2"/>
    </row>
    <row r="2077" spans="8:28" ht="15" customHeight="1">
      <c r="H2077" s="2">
        <v>48079</v>
      </c>
      <c r="I2077" s="2"/>
      <c r="J2077" s="2">
        <v>48618</v>
      </c>
      <c r="K2077" s="2"/>
      <c r="L2077" s="2">
        <v>47882</v>
      </c>
      <c r="M2077" s="2"/>
      <c r="N2077" s="2">
        <v>48821</v>
      </c>
      <c r="P2077" s="2">
        <v>48012</v>
      </c>
      <c r="Q2077" s="2"/>
      <c r="R2077" s="2">
        <v>48687</v>
      </c>
      <c r="AB2077" s="2"/>
    </row>
    <row r="2078" spans="8:28" ht="15" customHeight="1">
      <c r="H2078" s="2">
        <v>48078</v>
      </c>
      <c r="I2078" s="2"/>
      <c r="J2078" s="2">
        <v>48619</v>
      </c>
      <c r="K2078" s="2"/>
      <c r="L2078" s="2">
        <v>47879</v>
      </c>
      <c r="M2078" s="2"/>
      <c r="N2078" s="2">
        <v>48822</v>
      </c>
      <c r="P2078" s="2">
        <v>48011</v>
      </c>
      <c r="Q2078" s="2"/>
      <c r="R2078" s="2">
        <v>48688</v>
      </c>
      <c r="AB2078" s="2"/>
    </row>
    <row r="2079" spans="8:28" ht="15" customHeight="1">
      <c r="H2079" s="2">
        <v>48075</v>
      </c>
      <c r="I2079" s="2"/>
      <c r="J2079" s="2">
        <v>48620</v>
      </c>
      <c r="K2079" s="2"/>
      <c r="L2079" s="2">
        <v>47878</v>
      </c>
      <c r="M2079" s="2"/>
      <c r="N2079" s="2">
        <v>48823</v>
      </c>
      <c r="P2079" s="2">
        <v>48010</v>
      </c>
      <c r="Q2079" s="2"/>
      <c r="R2079" s="2">
        <v>48689</v>
      </c>
      <c r="AB2079" s="2"/>
    </row>
    <row r="2080" spans="8:28" ht="15" customHeight="1">
      <c r="H2080" s="2">
        <v>48074</v>
      </c>
      <c r="I2080" s="2"/>
      <c r="J2080" s="2">
        <v>48621</v>
      </c>
      <c r="K2080" s="2"/>
      <c r="L2080" s="2">
        <v>47877</v>
      </c>
      <c r="M2080" s="2"/>
      <c r="N2080" s="2">
        <v>48824</v>
      </c>
      <c r="P2080" s="2">
        <v>48009</v>
      </c>
      <c r="Q2080" s="2"/>
      <c r="R2080" s="2">
        <v>48690</v>
      </c>
      <c r="AB2080" s="2"/>
    </row>
    <row r="2081" spans="8:28" ht="15" customHeight="1">
      <c r="H2081" s="2">
        <v>48073</v>
      </c>
      <c r="I2081" s="2"/>
      <c r="J2081" s="2">
        <v>48624</v>
      </c>
      <c r="K2081" s="2"/>
      <c r="L2081" s="2">
        <v>47876</v>
      </c>
      <c r="M2081" s="2"/>
      <c r="N2081" s="2">
        <v>48828</v>
      </c>
      <c r="P2081" s="2">
        <v>48008</v>
      </c>
      <c r="Q2081" s="2"/>
      <c r="R2081" s="2">
        <v>48691</v>
      </c>
      <c r="AB2081" s="2"/>
    </row>
    <row r="2082" spans="8:28" ht="15" customHeight="1">
      <c r="H2082" s="2">
        <v>48072</v>
      </c>
      <c r="I2082" s="2"/>
      <c r="J2082" s="2">
        <v>48625</v>
      </c>
      <c r="K2082" s="2"/>
      <c r="L2082" s="2">
        <v>47875</v>
      </c>
      <c r="M2082" s="2"/>
      <c r="N2082" s="2">
        <v>48829</v>
      </c>
      <c r="P2082" s="2">
        <v>48004</v>
      </c>
      <c r="Q2082" s="2"/>
      <c r="R2082" s="2">
        <v>48694</v>
      </c>
      <c r="AB2082" s="2"/>
    </row>
    <row r="2083" spans="8:28" ht="15" customHeight="1">
      <c r="H2083" s="2">
        <v>48071</v>
      </c>
      <c r="I2083" s="2"/>
      <c r="J2083" s="2">
        <v>48626</v>
      </c>
      <c r="K2083" s="2"/>
      <c r="L2083" s="2">
        <v>47872</v>
      </c>
      <c r="M2083" s="2"/>
      <c r="N2083" s="2">
        <v>48830</v>
      </c>
      <c r="P2083" s="2">
        <v>48003</v>
      </c>
      <c r="Q2083" s="2"/>
      <c r="R2083" s="2">
        <v>48695</v>
      </c>
      <c r="AB2083" s="2"/>
    </row>
    <row r="2084" spans="8:28" ht="15" customHeight="1">
      <c r="H2084" s="2">
        <v>48068</v>
      </c>
      <c r="I2084" s="2"/>
      <c r="J2084" s="2">
        <v>48627</v>
      </c>
      <c r="K2084" s="2"/>
      <c r="L2084" s="2">
        <v>47871</v>
      </c>
      <c r="M2084" s="2"/>
      <c r="N2084" s="2">
        <v>48831</v>
      </c>
      <c r="P2084" s="2">
        <v>48002</v>
      </c>
      <c r="Q2084" s="2"/>
      <c r="R2084" s="2">
        <v>48696</v>
      </c>
      <c r="AB2084" s="2"/>
    </row>
    <row r="2085" spans="8:28" ht="15" customHeight="1">
      <c r="H2085" s="2">
        <v>48067</v>
      </c>
      <c r="I2085" s="2"/>
      <c r="J2085" s="2">
        <v>48628</v>
      </c>
      <c r="K2085" s="2"/>
      <c r="L2085" s="2">
        <v>47870</v>
      </c>
      <c r="M2085" s="2"/>
      <c r="N2085" s="2">
        <v>48834</v>
      </c>
      <c r="P2085" s="2">
        <v>48001</v>
      </c>
      <c r="Q2085" s="2"/>
      <c r="R2085" s="2">
        <v>48697</v>
      </c>
      <c r="AB2085" s="2"/>
    </row>
    <row r="2086" spans="8:28" ht="15" customHeight="1">
      <c r="H2086" s="2">
        <v>48066</v>
      </c>
      <c r="I2086" s="2"/>
      <c r="J2086" s="2">
        <v>48632</v>
      </c>
      <c r="K2086" s="2"/>
      <c r="L2086" s="2">
        <v>47869</v>
      </c>
      <c r="M2086" s="2"/>
      <c r="N2086" s="2">
        <v>48835</v>
      </c>
      <c r="P2086" s="2">
        <v>47998</v>
      </c>
      <c r="Q2086" s="2"/>
      <c r="R2086" s="2">
        <v>48698</v>
      </c>
      <c r="AB2086" s="2"/>
    </row>
    <row r="2087" spans="8:28" ht="15" customHeight="1">
      <c r="H2087" s="2">
        <v>48065</v>
      </c>
      <c r="I2087" s="2"/>
      <c r="J2087" s="2">
        <v>48633</v>
      </c>
      <c r="K2087" s="2"/>
      <c r="L2087" s="2">
        <v>47865</v>
      </c>
      <c r="M2087" s="2"/>
      <c r="N2087" s="2">
        <v>48836</v>
      </c>
      <c r="P2087" s="2">
        <v>47997</v>
      </c>
      <c r="Q2087" s="2"/>
      <c r="R2087" s="2">
        <v>48701</v>
      </c>
      <c r="AB2087" s="2"/>
    </row>
    <row r="2088" spans="8:28" ht="15" customHeight="1">
      <c r="H2088" s="2">
        <v>48064</v>
      </c>
      <c r="I2088" s="2"/>
      <c r="J2088" s="2">
        <v>48634</v>
      </c>
      <c r="K2088" s="2"/>
      <c r="L2088" s="2">
        <v>47864</v>
      </c>
      <c r="M2088" s="2"/>
      <c r="N2088" s="2">
        <v>48837</v>
      </c>
      <c r="P2088" s="2">
        <v>47995</v>
      </c>
      <c r="Q2088" s="2"/>
      <c r="R2088" s="2">
        <v>48702</v>
      </c>
      <c r="AB2088" s="2"/>
    </row>
    <row r="2089" spans="8:28" ht="15" customHeight="1">
      <c r="H2089" s="2">
        <v>48061</v>
      </c>
      <c r="I2089" s="2"/>
      <c r="J2089" s="2">
        <v>48635</v>
      </c>
      <c r="K2089" s="2"/>
      <c r="L2089" s="2">
        <v>47863</v>
      </c>
      <c r="M2089" s="2"/>
      <c r="N2089" s="2">
        <v>48838</v>
      </c>
      <c r="P2089" s="2">
        <v>47994</v>
      </c>
      <c r="Q2089" s="2"/>
      <c r="R2089" s="2">
        <v>48703</v>
      </c>
      <c r="AB2089" s="2"/>
    </row>
    <row r="2090" spans="8:28" ht="15" customHeight="1">
      <c r="H2090" s="2">
        <v>48060</v>
      </c>
      <c r="I2090" s="2"/>
      <c r="J2090" s="2">
        <v>48638</v>
      </c>
      <c r="K2090" s="2"/>
      <c r="L2090" s="2">
        <v>47862</v>
      </c>
      <c r="M2090" s="2"/>
      <c r="N2090" s="2">
        <v>48842</v>
      </c>
      <c r="P2090" s="2">
        <v>47991</v>
      </c>
      <c r="Q2090" s="2"/>
      <c r="R2090" s="2">
        <v>48708</v>
      </c>
      <c r="AB2090" s="2"/>
    </row>
    <row r="2091" spans="8:28" ht="15" customHeight="1">
      <c r="H2091" s="2">
        <v>48059</v>
      </c>
      <c r="I2091" s="2"/>
      <c r="J2091" s="2">
        <v>48639</v>
      </c>
      <c r="K2091" s="2"/>
      <c r="L2091" s="2">
        <v>47858</v>
      </c>
      <c r="M2091" s="2"/>
      <c r="N2091" s="2">
        <v>48843</v>
      </c>
      <c r="P2091" s="2">
        <v>47990</v>
      </c>
      <c r="Q2091" s="2"/>
      <c r="R2091" s="2">
        <v>48709</v>
      </c>
      <c r="AB2091" s="2"/>
    </row>
    <row r="2092" spans="8:28" ht="15" customHeight="1">
      <c r="H2092" s="2">
        <v>48058</v>
      </c>
      <c r="I2092" s="2"/>
      <c r="J2092" s="2">
        <v>48640</v>
      </c>
      <c r="K2092" s="2"/>
      <c r="L2092" s="2">
        <v>47857</v>
      </c>
      <c r="M2092" s="2"/>
      <c r="N2092" s="2">
        <v>48844</v>
      </c>
      <c r="P2092" s="2">
        <v>47989</v>
      </c>
      <c r="Q2092" s="2"/>
      <c r="R2092" s="2">
        <v>48710</v>
      </c>
      <c r="AB2092" s="2"/>
    </row>
    <row r="2093" spans="8:28" ht="15" customHeight="1">
      <c r="H2093" s="2">
        <v>48057</v>
      </c>
      <c r="I2093" s="2"/>
      <c r="J2093" s="2">
        <v>48641</v>
      </c>
      <c r="K2093" s="2"/>
      <c r="L2093" s="2">
        <v>47856</v>
      </c>
      <c r="M2093" s="2"/>
      <c r="N2093" s="2">
        <v>48848</v>
      </c>
      <c r="P2093" s="2">
        <v>47988</v>
      </c>
      <c r="Q2093" s="2"/>
      <c r="R2093" s="2">
        <v>48711</v>
      </c>
      <c r="AB2093" s="2"/>
    </row>
    <row r="2094" spans="8:28" ht="15" customHeight="1">
      <c r="H2094" s="2">
        <v>48054</v>
      </c>
      <c r="I2094" s="2"/>
      <c r="J2094" s="2">
        <v>48642</v>
      </c>
      <c r="K2094" s="2"/>
      <c r="L2094" s="2">
        <v>47855</v>
      </c>
      <c r="M2094" s="2"/>
      <c r="N2094" s="2">
        <v>48849</v>
      </c>
      <c r="P2094" s="2">
        <v>47987</v>
      </c>
      <c r="Q2094" s="2"/>
      <c r="R2094" s="2">
        <v>48712</v>
      </c>
      <c r="AB2094" s="2"/>
    </row>
    <row r="2095" spans="8:28" ht="15" customHeight="1">
      <c r="H2095" s="2">
        <v>48053</v>
      </c>
      <c r="I2095" s="2"/>
      <c r="J2095" s="2">
        <v>48645</v>
      </c>
      <c r="K2095" s="2"/>
      <c r="L2095" s="2">
        <v>47854</v>
      </c>
      <c r="M2095" s="2"/>
      <c r="N2095" s="2">
        <v>48850</v>
      </c>
      <c r="P2095" s="2">
        <v>47984</v>
      </c>
      <c r="Q2095" s="2"/>
      <c r="R2095" s="2">
        <v>48715</v>
      </c>
      <c r="AB2095" s="2"/>
    </row>
    <row r="2096" spans="8:28" ht="15" customHeight="1">
      <c r="H2096" s="2">
        <v>48052</v>
      </c>
      <c r="I2096" s="2"/>
      <c r="J2096" s="2">
        <v>48646</v>
      </c>
      <c r="K2096" s="2"/>
      <c r="L2096" s="2">
        <v>47847</v>
      </c>
      <c r="M2096" s="2"/>
      <c r="N2096" s="2">
        <v>48851</v>
      </c>
      <c r="P2096" s="2">
        <v>47983</v>
      </c>
      <c r="Q2096" s="2"/>
      <c r="R2096" s="2">
        <v>48716</v>
      </c>
      <c r="AB2096" s="2"/>
    </row>
    <row r="2097" spans="8:28" ht="15" customHeight="1">
      <c r="H2097" s="2">
        <v>48051</v>
      </c>
      <c r="I2097" s="2"/>
      <c r="J2097" s="2">
        <v>48647</v>
      </c>
      <c r="K2097" s="2"/>
      <c r="L2097" s="2">
        <v>47844</v>
      </c>
      <c r="M2097" s="2"/>
      <c r="N2097" s="2">
        <v>48852</v>
      </c>
      <c r="P2097" s="2">
        <v>47982</v>
      </c>
      <c r="Q2097" s="2"/>
      <c r="R2097" s="2">
        <v>48717</v>
      </c>
      <c r="AB2097" s="2"/>
    </row>
    <row r="2098" spans="8:28" ht="15" customHeight="1">
      <c r="H2098" s="2">
        <v>48050</v>
      </c>
      <c r="I2098" s="2"/>
      <c r="J2098" s="2">
        <v>48648</v>
      </c>
      <c r="K2098" s="2"/>
      <c r="L2098" s="2">
        <v>47843</v>
      </c>
      <c r="M2098" s="2"/>
      <c r="N2098" s="2">
        <v>48855</v>
      </c>
      <c r="P2098" s="2">
        <v>47981</v>
      </c>
      <c r="Q2098" s="2"/>
      <c r="R2098" s="2">
        <v>48718</v>
      </c>
      <c r="AB2098" s="2"/>
    </row>
    <row r="2099" spans="8:28" ht="15" customHeight="1">
      <c r="H2099" s="2">
        <v>48047</v>
      </c>
      <c r="I2099" s="2"/>
      <c r="J2099" s="2">
        <v>48649</v>
      </c>
      <c r="K2099" s="2"/>
      <c r="L2099" s="2">
        <v>47841</v>
      </c>
      <c r="M2099" s="2"/>
      <c r="N2099" s="2">
        <v>48856</v>
      </c>
      <c r="P2099" s="2">
        <v>47980</v>
      </c>
      <c r="Q2099" s="2"/>
      <c r="R2099" s="2">
        <v>48719</v>
      </c>
      <c r="AB2099" s="2"/>
    </row>
    <row r="2100" spans="8:28" ht="15" customHeight="1">
      <c r="H2100" s="2">
        <v>48046</v>
      </c>
      <c r="I2100" s="2"/>
      <c r="J2100" s="2">
        <v>48652</v>
      </c>
      <c r="K2100" s="2"/>
      <c r="L2100" s="2">
        <v>47840</v>
      </c>
      <c r="M2100" s="2"/>
      <c r="N2100" s="2">
        <v>48857</v>
      </c>
      <c r="P2100" s="2">
        <v>47977</v>
      </c>
      <c r="Q2100" s="2"/>
      <c r="R2100" s="2">
        <v>48722</v>
      </c>
      <c r="AB2100" s="2"/>
    </row>
    <row r="2101" spans="8:28" ht="15" customHeight="1">
      <c r="H2101" s="2">
        <v>48045</v>
      </c>
      <c r="I2101" s="2"/>
      <c r="J2101" s="2">
        <v>48653</v>
      </c>
      <c r="K2101" s="2"/>
      <c r="L2101" s="2">
        <v>47837</v>
      </c>
      <c r="M2101" s="2"/>
      <c r="N2101" s="2">
        <v>48858</v>
      </c>
      <c r="P2101" s="2">
        <v>47976</v>
      </c>
      <c r="Q2101" s="2"/>
      <c r="R2101" s="2">
        <v>48723</v>
      </c>
      <c r="AB2101" s="2"/>
    </row>
    <row r="2102" spans="8:28" ht="15" customHeight="1">
      <c r="H2102" s="2">
        <v>48044</v>
      </c>
      <c r="I2102" s="2"/>
      <c r="J2102" s="2">
        <v>48654</v>
      </c>
      <c r="K2102" s="2"/>
      <c r="L2102" s="2">
        <v>47836</v>
      </c>
      <c r="M2102" s="2"/>
      <c r="N2102" s="2">
        <v>48859</v>
      </c>
      <c r="P2102" s="2">
        <v>47975</v>
      </c>
      <c r="Q2102" s="2"/>
      <c r="R2102" s="2">
        <v>48724</v>
      </c>
      <c r="AB2102" s="2"/>
    </row>
    <row r="2103" spans="8:28" ht="15" customHeight="1">
      <c r="H2103" s="2">
        <v>48043</v>
      </c>
      <c r="I2103" s="2"/>
      <c r="J2103" s="2">
        <v>48655</v>
      </c>
      <c r="K2103" s="2"/>
      <c r="L2103" s="2">
        <v>47835</v>
      </c>
      <c r="M2103" s="2"/>
      <c r="N2103" s="2">
        <v>48863</v>
      </c>
      <c r="P2103" s="2">
        <v>47974</v>
      </c>
      <c r="Q2103" s="2"/>
      <c r="R2103" s="2">
        <v>48725</v>
      </c>
      <c r="AB2103" s="2"/>
    </row>
    <row r="2104" spans="8:28" ht="15" customHeight="1">
      <c r="H2104" s="2">
        <v>48040</v>
      </c>
      <c r="I2104" s="2"/>
      <c r="J2104" s="2">
        <v>48656</v>
      </c>
      <c r="K2104" s="2"/>
      <c r="L2104" s="2">
        <v>47834</v>
      </c>
      <c r="M2104" s="2"/>
      <c r="N2104" s="2">
        <v>48864</v>
      </c>
      <c r="P2104" s="2">
        <v>47970</v>
      </c>
      <c r="Q2104" s="2"/>
      <c r="R2104" s="2">
        <v>48726</v>
      </c>
      <c r="AB2104" s="2"/>
    </row>
    <row r="2105" spans="8:28" ht="15" customHeight="1">
      <c r="H2105" s="2">
        <v>48039</v>
      </c>
      <c r="I2105" s="2"/>
      <c r="J2105" s="2">
        <v>48659</v>
      </c>
      <c r="K2105" s="2"/>
      <c r="L2105" s="2">
        <v>47833</v>
      </c>
      <c r="M2105" s="2"/>
      <c r="N2105" s="2">
        <v>48865</v>
      </c>
      <c r="P2105" s="2">
        <v>47968</v>
      </c>
      <c r="Q2105" s="2"/>
      <c r="R2105" s="2">
        <v>48729</v>
      </c>
      <c r="AB2105" s="2"/>
    </row>
    <row r="2106" spans="8:28" ht="15" customHeight="1">
      <c r="H2106" s="2">
        <v>48038</v>
      </c>
      <c r="I2106" s="2"/>
      <c r="J2106" s="2">
        <v>48660</v>
      </c>
      <c r="K2106" s="2"/>
      <c r="L2106" s="2">
        <v>47830</v>
      </c>
      <c r="M2106" s="2"/>
      <c r="N2106" s="2">
        <v>48866</v>
      </c>
      <c r="P2106" s="2">
        <v>47967</v>
      </c>
      <c r="Q2106" s="2"/>
      <c r="R2106" s="2">
        <v>48730</v>
      </c>
      <c r="AB2106" s="2"/>
    </row>
    <row r="2107" spans="8:28" ht="15" customHeight="1">
      <c r="H2107" s="2">
        <v>48037</v>
      </c>
      <c r="I2107" s="2"/>
      <c r="J2107" s="2">
        <v>48661</v>
      </c>
      <c r="K2107" s="2"/>
      <c r="L2107" s="2">
        <v>47829</v>
      </c>
      <c r="M2107" s="2"/>
      <c r="N2107" s="2">
        <v>48869</v>
      </c>
      <c r="P2107" s="2">
        <v>47966</v>
      </c>
      <c r="Q2107" s="2"/>
      <c r="R2107" s="2">
        <v>48731</v>
      </c>
      <c r="AB2107" s="2"/>
    </row>
    <row r="2108" spans="8:28" ht="15" customHeight="1">
      <c r="H2108" s="2">
        <v>48036</v>
      </c>
      <c r="I2108" s="2"/>
      <c r="J2108" s="2">
        <v>48662</v>
      </c>
      <c r="K2108" s="2"/>
      <c r="L2108" s="2">
        <v>47828</v>
      </c>
      <c r="M2108" s="2"/>
      <c r="N2108" s="2">
        <v>48870</v>
      </c>
      <c r="P2108" s="2">
        <v>47963</v>
      </c>
      <c r="Q2108" s="2"/>
      <c r="R2108" s="2">
        <v>48732</v>
      </c>
      <c r="AB2108" s="2"/>
    </row>
    <row r="2109" spans="8:28" ht="15" customHeight="1">
      <c r="H2109" s="2">
        <v>48032</v>
      </c>
      <c r="I2109" s="2"/>
      <c r="J2109" s="2">
        <v>48663</v>
      </c>
      <c r="K2109" s="2"/>
      <c r="L2109" s="2">
        <v>47827</v>
      </c>
      <c r="M2109" s="2"/>
      <c r="N2109" s="2">
        <v>48871</v>
      </c>
      <c r="P2109" s="2">
        <v>47962</v>
      </c>
      <c r="Q2109" s="2"/>
      <c r="R2109" s="2">
        <v>48733</v>
      </c>
      <c r="AB2109" s="2"/>
    </row>
    <row r="2110" spans="8:28" ht="15" customHeight="1">
      <c r="H2110" s="2">
        <v>48031</v>
      </c>
      <c r="I2110" s="2"/>
      <c r="J2110" s="2">
        <v>48666</v>
      </c>
      <c r="K2110" s="2"/>
      <c r="L2110" s="2">
        <v>47826</v>
      </c>
      <c r="M2110" s="2"/>
      <c r="N2110" s="2">
        <v>48872</v>
      </c>
      <c r="P2110" s="2">
        <v>47961</v>
      </c>
      <c r="Q2110" s="2"/>
      <c r="R2110" s="2">
        <v>48737</v>
      </c>
      <c r="AB2110" s="2"/>
    </row>
    <row r="2111" spans="8:28" ht="15" customHeight="1">
      <c r="H2111" s="2">
        <v>48030</v>
      </c>
      <c r="I2111" s="2"/>
      <c r="J2111" s="2">
        <v>48667</v>
      </c>
      <c r="K2111" s="2"/>
      <c r="L2111" s="2">
        <v>47823</v>
      </c>
      <c r="M2111" s="2"/>
      <c r="N2111" s="2">
        <v>48873</v>
      </c>
      <c r="P2111" s="2">
        <v>47960</v>
      </c>
      <c r="Q2111" s="2"/>
      <c r="R2111" s="2">
        <v>48738</v>
      </c>
      <c r="AB2111" s="2"/>
    </row>
    <row r="2112" spans="8:28" ht="15" customHeight="1">
      <c r="H2112" s="2">
        <v>48029</v>
      </c>
      <c r="I2112" s="2"/>
      <c r="J2112" s="2">
        <v>48668</v>
      </c>
      <c r="K2112" s="2"/>
      <c r="L2112" s="2">
        <v>47822</v>
      </c>
      <c r="M2112" s="2"/>
      <c r="N2112" s="2">
        <v>48876</v>
      </c>
      <c r="P2112" s="2">
        <v>47959</v>
      </c>
      <c r="Q2112" s="2"/>
      <c r="R2112" s="2">
        <v>48739</v>
      </c>
      <c r="AB2112" s="2"/>
    </row>
    <row r="2113" spans="8:28" ht="15" customHeight="1">
      <c r="H2113" s="2">
        <v>48026</v>
      </c>
      <c r="I2113" s="2"/>
      <c r="J2113" s="2">
        <v>48669</v>
      </c>
      <c r="K2113" s="2"/>
      <c r="L2113" s="2">
        <v>47821</v>
      </c>
      <c r="M2113" s="2"/>
      <c r="N2113" s="2">
        <v>48877</v>
      </c>
      <c r="P2113" s="2">
        <v>47956</v>
      </c>
      <c r="Q2113" s="2"/>
      <c r="R2113" s="2">
        <v>48740</v>
      </c>
      <c r="AB2113" s="2"/>
    </row>
    <row r="2114" spans="8:28" ht="15" customHeight="1">
      <c r="H2114" s="2">
        <v>48025</v>
      </c>
      <c r="I2114" s="2"/>
      <c r="J2114" s="2">
        <v>48670</v>
      </c>
      <c r="K2114" s="2"/>
      <c r="L2114" s="2">
        <v>47820</v>
      </c>
      <c r="M2114" s="2"/>
      <c r="N2114" s="2">
        <v>48878</v>
      </c>
      <c r="P2114" s="2">
        <v>47955</v>
      </c>
      <c r="Q2114" s="2"/>
      <c r="R2114" s="2">
        <v>48743</v>
      </c>
      <c r="AB2114" s="2"/>
    </row>
    <row r="2115" spans="8:28" ht="15" customHeight="1">
      <c r="H2115" s="2">
        <v>48024</v>
      </c>
      <c r="I2115" s="2"/>
      <c r="J2115" s="2">
        <v>48673</v>
      </c>
      <c r="K2115" s="2"/>
      <c r="L2115" s="2">
        <v>47819</v>
      </c>
      <c r="M2115" s="2"/>
      <c r="N2115" s="2">
        <v>48879</v>
      </c>
      <c r="P2115" s="2">
        <v>47954</v>
      </c>
      <c r="Q2115" s="2"/>
      <c r="R2115" s="2">
        <v>48744</v>
      </c>
      <c r="AB2115" s="2"/>
    </row>
    <row r="2116" spans="8:28" ht="15" customHeight="1">
      <c r="H2116" s="2">
        <v>48023</v>
      </c>
      <c r="I2116" s="2"/>
      <c r="J2116" s="2">
        <v>48674</v>
      </c>
      <c r="K2116" s="2"/>
      <c r="L2116" s="2">
        <v>47816</v>
      </c>
      <c r="M2116" s="2"/>
      <c r="N2116" s="2">
        <v>48880</v>
      </c>
      <c r="P2116" s="2">
        <v>47953</v>
      </c>
      <c r="Q2116" s="2"/>
      <c r="R2116" s="2">
        <v>48745</v>
      </c>
      <c r="AB2116" s="2"/>
    </row>
    <row r="2117" spans="8:28" ht="15" customHeight="1">
      <c r="H2117" s="2">
        <v>48022</v>
      </c>
      <c r="I2117" s="2"/>
      <c r="J2117" s="2">
        <v>48675</v>
      </c>
      <c r="K2117" s="2"/>
      <c r="L2117" s="2">
        <v>47814</v>
      </c>
      <c r="M2117" s="2"/>
      <c r="N2117" s="2">
        <v>48883</v>
      </c>
      <c r="P2117" s="2">
        <v>47952</v>
      </c>
      <c r="Q2117" s="2"/>
      <c r="R2117" s="2">
        <v>48746</v>
      </c>
      <c r="AB2117" s="2"/>
    </row>
    <row r="2118" spans="8:28" ht="15" customHeight="1">
      <c r="H2118" s="2">
        <v>48019</v>
      </c>
      <c r="I2118" s="2"/>
      <c r="J2118" s="2">
        <v>48676</v>
      </c>
      <c r="K2118" s="2"/>
      <c r="L2118" s="2">
        <v>47813</v>
      </c>
      <c r="M2118" s="2"/>
      <c r="N2118" s="2">
        <v>48884</v>
      </c>
      <c r="P2118" s="2">
        <v>47949</v>
      </c>
      <c r="Q2118" s="2"/>
      <c r="R2118" s="2">
        <v>48747</v>
      </c>
      <c r="AB2118" s="2"/>
    </row>
    <row r="2119" spans="8:28" ht="15" customHeight="1">
      <c r="H2119" s="2">
        <v>48017</v>
      </c>
      <c r="I2119" s="2"/>
      <c r="J2119" s="2">
        <v>48677</v>
      </c>
      <c r="K2119" s="2"/>
      <c r="L2119" s="2">
        <v>47812</v>
      </c>
      <c r="M2119" s="2"/>
      <c r="N2119" s="2">
        <v>48885</v>
      </c>
      <c r="P2119" s="2">
        <v>47948</v>
      </c>
      <c r="Q2119" s="2"/>
      <c r="R2119" s="2">
        <v>48750</v>
      </c>
      <c r="AB2119" s="2"/>
    </row>
    <row r="2120" spans="8:28" ht="15" customHeight="1">
      <c r="H2120" s="2">
        <v>48016</v>
      </c>
      <c r="I2120" s="2"/>
      <c r="J2120" s="2">
        <v>48680</v>
      </c>
      <c r="K2120" s="2"/>
      <c r="L2120" s="2">
        <v>47809</v>
      </c>
      <c r="M2120" s="2"/>
      <c r="N2120" s="2">
        <v>48887</v>
      </c>
      <c r="P2120" s="2">
        <v>47947</v>
      </c>
      <c r="Q2120" s="2"/>
      <c r="R2120" s="2">
        <v>48751</v>
      </c>
      <c r="AB2120" s="2"/>
    </row>
    <row r="2121" spans="8:28" ht="15" customHeight="1">
      <c r="H2121" s="2">
        <v>48015</v>
      </c>
      <c r="I2121" s="2"/>
      <c r="J2121" s="2">
        <v>48681</v>
      </c>
      <c r="K2121" s="2"/>
      <c r="L2121" s="2">
        <v>47808</v>
      </c>
      <c r="M2121" s="2"/>
      <c r="N2121" s="2">
        <v>48890</v>
      </c>
      <c r="P2121" s="2">
        <v>47946</v>
      </c>
      <c r="Q2121" s="2"/>
      <c r="R2121" s="2">
        <v>48752</v>
      </c>
      <c r="AB2121" s="2"/>
    </row>
    <row r="2122" spans="8:28" ht="15" customHeight="1">
      <c r="H2122" s="2">
        <v>48012</v>
      </c>
      <c r="I2122" s="2"/>
      <c r="J2122" s="2">
        <v>48682</v>
      </c>
      <c r="K2122" s="2"/>
      <c r="L2122" s="2">
        <v>47807</v>
      </c>
      <c r="M2122" s="2"/>
      <c r="N2122" s="2">
        <v>48891</v>
      </c>
      <c r="P2122" s="2">
        <v>47945</v>
      </c>
      <c r="Q2122" s="2"/>
      <c r="R2122" s="2">
        <v>48753</v>
      </c>
      <c r="AB2122" s="2"/>
    </row>
    <row r="2123" spans="8:28" ht="15" customHeight="1">
      <c r="H2123" s="2">
        <v>48011</v>
      </c>
      <c r="I2123" s="2"/>
      <c r="J2123" s="2">
        <v>48683</v>
      </c>
      <c r="K2123" s="2"/>
      <c r="L2123" s="2">
        <v>47806</v>
      </c>
      <c r="M2123" s="2"/>
      <c r="N2123" s="2">
        <v>48892</v>
      </c>
      <c r="P2123" s="2">
        <v>47942</v>
      </c>
      <c r="Q2123" s="2"/>
      <c r="R2123" s="2">
        <v>48754</v>
      </c>
      <c r="AB2123" s="2"/>
    </row>
    <row r="2124" spans="8:28" ht="15" customHeight="1">
      <c r="H2124" s="2">
        <v>48010</v>
      </c>
      <c r="I2124" s="2"/>
      <c r="J2124" s="2">
        <v>48687</v>
      </c>
      <c r="K2124" s="2"/>
      <c r="L2124" s="2">
        <v>47805</v>
      </c>
      <c r="M2124" s="2"/>
      <c r="N2124" s="2">
        <v>48893</v>
      </c>
      <c r="P2124" s="2">
        <v>47941</v>
      </c>
      <c r="Q2124" s="2"/>
      <c r="R2124" s="2">
        <v>48757</v>
      </c>
      <c r="AB2124" s="2"/>
    </row>
    <row r="2125" spans="8:28" ht="15" customHeight="1">
      <c r="H2125" s="2">
        <v>48009</v>
      </c>
      <c r="I2125" s="2"/>
      <c r="J2125" s="2">
        <v>48688</v>
      </c>
      <c r="K2125" s="2"/>
      <c r="L2125" s="2">
        <v>47802</v>
      </c>
      <c r="M2125" s="2"/>
      <c r="N2125" s="2">
        <v>48894</v>
      </c>
      <c r="P2125" s="2">
        <v>47940</v>
      </c>
      <c r="Q2125" s="2"/>
      <c r="R2125" s="2">
        <v>48758</v>
      </c>
      <c r="AB2125" s="2"/>
    </row>
    <row r="2126" spans="8:28" ht="15" customHeight="1">
      <c r="H2126" s="2">
        <v>48008</v>
      </c>
      <c r="I2126" s="2"/>
      <c r="J2126" s="2">
        <v>48689</v>
      </c>
      <c r="K2126" s="2"/>
      <c r="L2126" s="2">
        <v>47801</v>
      </c>
      <c r="M2126" s="2"/>
      <c r="N2126" s="2">
        <v>48897</v>
      </c>
      <c r="P2126" s="2">
        <v>47939</v>
      </c>
      <c r="Q2126" s="2"/>
      <c r="R2126" s="2">
        <v>48759</v>
      </c>
      <c r="AB2126" s="2"/>
    </row>
    <row r="2127" spans="8:28" ht="15" customHeight="1">
      <c r="H2127" s="2">
        <v>48005</v>
      </c>
      <c r="I2127" s="2"/>
      <c r="J2127" s="2">
        <v>48690</v>
      </c>
      <c r="K2127" s="2"/>
      <c r="L2127" s="2">
        <v>47800</v>
      </c>
      <c r="M2127" s="2"/>
      <c r="N2127" s="2">
        <v>48898</v>
      </c>
      <c r="P2127" s="2">
        <v>47938</v>
      </c>
      <c r="Q2127" s="2"/>
      <c r="R2127" s="2">
        <v>48760</v>
      </c>
      <c r="AB2127" s="2"/>
    </row>
    <row r="2128" spans="8:28" ht="15" customHeight="1">
      <c r="H2128" s="2">
        <v>48004</v>
      </c>
      <c r="I2128" s="2"/>
      <c r="J2128" s="2">
        <v>48691</v>
      </c>
      <c r="K2128" s="2"/>
      <c r="L2128" s="2">
        <v>47799</v>
      </c>
      <c r="M2128" s="2"/>
      <c r="N2128" s="2">
        <v>48899</v>
      </c>
      <c r="P2128" s="2">
        <v>47935</v>
      </c>
      <c r="Q2128" s="2"/>
      <c r="R2128" s="2">
        <v>48761</v>
      </c>
      <c r="AB2128" s="2"/>
    </row>
    <row r="2129" spans="8:28" ht="15" customHeight="1">
      <c r="H2129" s="2">
        <v>48003</v>
      </c>
      <c r="I2129" s="2"/>
      <c r="J2129" s="2">
        <v>48694</v>
      </c>
      <c r="K2129" s="2"/>
      <c r="L2129" s="2">
        <v>47798</v>
      </c>
      <c r="M2129" s="2"/>
      <c r="N2129" s="2">
        <v>48900</v>
      </c>
      <c r="P2129" s="2">
        <v>47934</v>
      </c>
      <c r="Q2129" s="2"/>
      <c r="R2129" s="2">
        <v>48764</v>
      </c>
      <c r="AB2129" s="2"/>
    </row>
    <row r="2130" spans="8:28" ht="15" customHeight="1">
      <c r="H2130" s="2">
        <v>48002</v>
      </c>
      <c r="I2130" s="2"/>
      <c r="J2130" s="2">
        <v>48695</v>
      </c>
      <c r="K2130" s="2"/>
      <c r="L2130" s="2">
        <v>47795</v>
      </c>
      <c r="M2130" s="2"/>
      <c r="N2130" s="2">
        <v>48901</v>
      </c>
      <c r="P2130" s="2">
        <v>47933</v>
      </c>
      <c r="Q2130" s="2"/>
      <c r="R2130" s="2">
        <v>48765</v>
      </c>
      <c r="AB2130" s="2"/>
    </row>
    <row r="2131" spans="8:28" ht="15" customHeight="1">
      <c r="H2131" s="2">
        <v>48001</v>
      </c>
      <c r="I2131" s="2"/>
      <c r="J2131" s="2">
        <v>48696</v>
      </c>
      <c r="K2131" s="2"/>
      <c r="L2131" s="2">
        <v>47794</v>
      </c>
      <c r="M2131" s="2"/>
      <c r="N2131" s="2">
        <v>48904</v>
      </c>
      <c r="P2131" s="2">
        <v>47932</v>
      </c>
      <c r="Q2131" s="2"/>
      <c r="R2131" s="2">
        <v>48766</v>
      </c>
      <c r="AB2131" s="2"/>
    </row>
    <row r="2132" spans="8:28" ht="15" customHeight="1">
      <c r="H2132" s="2">
        <v>47998</v>
      </c>
      <c r="I2132" s="2"/>
      <c r="J2132" s="2">
        <v>48697</v>
      </c>
      <c r="K2132" s="2"/>
      <c r="L2132" s="2">
        <v>47793</v>
      </c>
      <c r="M2132" s="2"/>
      <c r="N2132" s="2">
        <v>48905</v>
      </c>
      <c r="P2132" s="2">
        <v>47931</v>
      </c>
      <c r="Q2132" s="2"/>
      <c r="R2132" s="2">
        <v>48767</v>
      </c>
      <c r="AB2132" s="2"/>
    </row>
    <row r="2133" spans="8:28" ht="15" customHeight="1">
      <c r="H2133" s="2">
        <v>47997</v>
      </c>
      <c r="I2133" s="2"/>
      <c r="J2133" s="2">
        <v>48698</v>
      </c>
      <c r="K2133" s="2"/>
      <c r="L2133" s="2">
        <v>47792</v>
      </c>
      <c r="M2133" s="2"/>
      <c r="N2133" s="2">
        <v>48908</v>
      </c>
      <c r="P2133" s="2">
        <v>47928</v>
      </c>
      <c r="Q2133" s="2"/>
      <c r="R2133" s="2">
        <v>48768</v>
      </c>
      <c r="AB2133" s="2"/>
    </row>
    <row r="2134" spans="8:28" ht="15" customHeight="1">
      <c r="H2134" s="2">
        <v>47996</v>
      </c>
      <c r="I2134" s="2"/>
      <c r="J2134" s="2">
        <v>48701</v>
      </c>
      <c r="K2134" s="2"/>
      <c r="L2134" s="2">
        <v>47788</v>
      </c>
      <c r="M2134" s="2"/>
      <c r="N2134" s="2">
        <v>48911</v>
      </c>
      <c r="P2134" s="2">
        <v>47927</v>
      </c>
      <c r="Q2134" s="2"/>
      <c r="R2134" s="2">
        <v>48771</v>
      </c>
      <c r="AB2134" s="2"/>
    </row>
    <row r="2135" spans="8:28" ht="15" customHeight="1">
      <c r="H2135" s="2">
        <v>47995</v>
      </c>
      <c r="I2135" s="2"/>
      <c r="J2135" s="2">
        <v>48702</v>
      </c>
      <c r="K2135" s="2"/>
      <c r="L2135" s="2">
        <v>47787</v>
      </c>
      <c r="M2135" s="2"/>
      <c r="N2135" s="2">
        <v>48912</v>
      </c>
      <c r="P2135" s="2">
        <v>47926</v>
      </c>
      <c r="Q2135" s="2"/>
      <c r="R2135" s="2">
        <v>48772</v>
      </c>
      <c r="AB2135" s="2"/>
    </row>
    <row r="2136" spans="8:28" ht="15" customHeight="1">
      <c r="H2136" s="2">
        <v>47991</v>
      </c>
      <c r="I2136" s="2"/>
      <c r="J2136" s="2">
        <v>48703</v>
      </c>
      <c r="K2136" s="2"/>
      <c r="L2136" s="2">
        <v>47786</v>
      </c>
      <c r="M2136" s="2"/>
      <c r="N2136" s="2">
        <v>48913</v>
      </c>
      <c r="P2136" s="2">
        <v>47925</v>
      </c>
      <c r="Q2136" s="2"/>
      <c r="R2136" s="2">
        <v>48773</v>
      </c>
      <c r="AB2136" s="2"/>
    </row>
    <row r="2137" spans="8:28" ht="15" customHeight="1">
      <c r="H2137" s="2">
        <v>47990</v>
      </c>
      <c r="I2137" s="2"/>
      <c r="J2137" s="2">
        <v>48704</v>
      </c>
      <c r="K2137" s="2"/>
      <c r="L2137" s="2">
        <v>47785</v>
      </c>
      <c r="M2137" s="2"/>
      <c r="N2137" s="2">
        <v>48914</v>
      </c>
      <c r="P2137" s="2">
        <v>47924</v>
      </c>
      <c r="Q2137" s="2"/>
      <c r="R2137" s="2">
        <v>48774</v>
      </c>
      <c r="AB2137" s="2"/>
    </row>
    <row r="2138" spans="8:28" ht="15" customHeight="1">
      <c r="H2138" s="2">
        <v>47989</v>
      </c>
      <c r="I2138" s="2"/>
      <c r="J2138" s="2">
        <v>48705</v>
      </c>
      <c r="K2138" s="2"/>
      <c r="L2138" s="2">
        <v>47784</v>
      </c>
      <c r="M2138" s="2"/>
      <c r="N2138" s="2">
        <v>48915</v>
      </c>
      <c r="P2138" s="2">
        <v>47921</v>
      </c>
      <c r="Q2138" s="2"/>
      <c r="R2138" s="2">
        <v>48775</v>
      </c>
      <c r="AB2138" s="2"/>
    </row>
    <row r="2139" spans="8:28" ht="15" customHeight="1">
      <c r="H2139" s="2">
        <v>47988</v>
      </c>
      <c r="I2139" s="2"/>
      <c r="J2139" s="2">
        <v>48708</v>
      </c>
      <c r="K2139" s="2"/>
      <c r="L2139" s="2">
        <v>47781</v>
      </c>
      <c r="M2139" s="2"/>
      <c r="N2139" s="2">
        <v>48918</v>
      </c>
      <c r="P2139" s="2">
        <v>47920</v>
      </c>
      <c r="Q2139" s="2"/>
      <c r="R2139" s="2">
        <v>48778</v>
      </c>
      <c r="AB2139" s="2"/>
    </row>
    <row r="2140" spans="8:28" ht="15" customHeight="1">
      <c r="H2140" s="2">
        <v>47987</v>
      </c>
      <c r="I2140" s="2"/>
      <c r="J2140" s="2">
        <v>48709</v>
      </c>
      <c r="K2140" s="2"/>
      <c r="L2140" s="2">
        <v>47780</v>
      </c>
      <c r="M2140" s="2"/>
      <c r="N2140" s="2">
        <v>48919</v>
      </c>
      <c r="P2140" s="2">
        <v>47919</v>
      </c>
      <c r="Q2140" s="2"/>
      <c r="R2140" s="2">
        <v>48779</v>
      </c>
      <c r="AB2140" s="2"/>
    </row>
    <row r="2141" spans="8:28" ht="15" customHeight="1">
      <c r="H2141" s="2">
        <v>47984</v>
      </c>
      <c r="I2141" s="2"/>
      <c r="J2141" s="2">
        <v>48710</v>
      </c>
      <c r="K2141" s="2"/>
      <c r="L2141" s="2">
        <v>47779</v>
      </c>
      <c r="M2141" s="2"/>
      <c r="N2141" s="2">
        <v>48920</v>
      </c>
      <c r="P2141" s="2">
        <v>47918</v>
      </c>
      <c r="Q2141" s="2"/>
      <c r="R2141" s="2">
        <v>48780</v>
      </c>
      <c r="AB2141" s="2"/>
    </row>
    <row r="2142" spans="8:28" ht="15" customHeight="1">
      <c r="H2142" s="2">
        <v>47983</v>
      </c>
      <c r="I2142" s="2"/>
      <c r="J2142" s="2">
        <v>48711</v>
      </c>
      <c r="K2142" s="2"/>
      <c r="L2142" s="2">
        <v>47778</v>
      </c>
      <c r="M2142" s="2"/>
      <c r="N2142" s="2">
        <v>48921</v>
      </c>
      <c r="P2142" s="2">
        <v>47917</v>
      </c>
      <c r="Q2142" s="2"/>
      <c r="R2142" s="2">
        <v>48781</v>
      </c>
      <c r="AB2142" s="2"/>
    </row>
    <row r="2143" spans="8:28" ht="15" customHeight="1">
      <c r="H2143" s="2">
        <v>47982</v>
      </c>
      <c r="I2143" s="2"/>
      <c r="J2143" s="2">
        <v>48712</v>
      </c>
      <c r="K2143" s="2"/>
      <c r="L2143" s="2">
        <v>47777</v>
      </c>
      <c r="M2143" s="2"/>
      <c r="N2143" s="2">
        <v>48922</v>
      </c>
      <c r="P2143" s="2">
        <v>47914</v>
      </c>
      <c r="Q2143" s="2"/>
      <c r="R2143" s="2">
        <v>48782</v>
      </c>
      <c r="AB2143" s="2"/>
    </row>
    <row r="2144" spans="8:28" ht="15" customHeight="1">
      <c r="H2144" s="2">
        <v>47981</v>
      </c>
      <c r="I2144" s="2"/>
      <c r="J2144" s="2">
        <v>48715</v>
      </c>
      <c r="K2144" s="2"/>
      <c r="L2144" s="2">
        <v>47774</v>
      </c>
      <c r="M2144" s="2"/>
      <c r="N2144" s="2">
        <v>48925</v>
      </c>
      <c r="P2144" s="2">
        <v>47913</v>
      </c>
      <c r="Q2144" s="2"/>
      <c r="R2144" s="2">
        <v>48785</v>
      </c>
      <c r="AB2144" s="2"/>
    </row>
    <row r="2145" spans="8:28" ht="15" customHeight="1">
      <c r="H2145" s="2">
        <v>47980</v>
      </c>
      <c r="I2145" s="2"/>
      <c r="J2145" s="2">
        <v>48716</v>
      </c>
      <c r="K2145" s="2"/>
      <c r="L2145" s="2">
        <v>47773</v>
      </c>
      <c r="M2145" s="2"/>
      <c r="N2145" s="2">
        <v>48926</v>
      </c>
      <c r="P2145" s="2">
        <v>47912</v>
      </c>
      <c r="Q2145" s="2"/>
      <c r="R2145" s="2">
        <v>48786</v>
      </c>
      <c r="AB2145" s="2"/>
    </row>
    <row r="2146" spans="8:28" ht="15" customHeight="1">
      <c r="H2146" s="2">
        <v>47977</v>
      </c>
      <c r="I2146" s="2"/>
      <c r="J2146" s="2">
        <v>48717</v>
      </c>
      <c r="K2146" s="2"/>
      <c r="L2146" s="2">
        <v>47772</v>
      </c>
      <c r="M2146" s="2"/>
      <c r="N2146" s="2">
        <v>48927</v>
      </c>
      <c r="P2146" s="2">
        <v>47911</v>
      </c>
      <c r="Q2146" s="2"/>
      <c r="R2146" s="2">
        <v>48787</v>
      </c>
      <c r="AB2146" s="2"/>
    </row>
    <row r="2147" spans="8:28" ht="15" customHeight="1">
      <c r="H2147" s="2">
        <v>47976</v>
      </c>
      <c r="I2147" s="2"/>
      <c r="J2147" s="2">
        <v>48718</v>
      </c>
      <c r="K2147" s="2"/>
      <c r="L2147" s="2">
        <v>47771</v>
      </c>
      <c r="M2147" s="2"/>
      <c r="N2147" s="2">
        <v>48928</v>
      </c>
      <c r="P2147" s="2">
        <v>47907</v>
      </c>
      <c r="Q2147" s="2"/>
      <c r="R2147" s="2">
        <v>48788</v>
      </c>
      <c r="AB2147" s="2"/>
    </row>
    <row r="2148" spans="8:28" ht="15" customHeight="1">
      <c r="H2148" s="2">
        <v>47975</v>
      </c>
      <c r="I2148" s="2"/>
      <c r="J2148" s="2">
        <v>48719</v>
      </c>
      <c r="K2148" s="2"/>
      <c r="L2148" s="2">
        <v>47767</v>
      </c>
      <c r="M2148" s="2"/>
      <c r="N2148" s="2">
        <v>48929</v>
      </c>
      <c r="P2148" s="2">
        <v>47906</v>
      </c>
      <c r="Q2148" s="2"/>
      <c r="R2148" s="2">
        <v>48789</v>
      </c>
      <c r="AB2148" s="2"/>
    </row>
    <row r="2149" spans="8:28" ht="15" customHeight="1">
      <c r="H2149" s="2">
        <v>47974</v>
      </c>
      <c r="I2149" s="2"/>
      <c r="J2149" s="2">
        <v>48722</v>
      </c>
      <c r="K2149" s="2"/>
      <c r="L2149" s="2">
        <v>47766</v>
      </c>
      <c r="M2149" s="2"/>
      <c r="N2149" s="2">
        <v>48932</v>
      </c>
      <c r="P2149" s="2">
        <v>47905</v>
      </c>
      <c r="Q2149" s="2"/>
      <c r="R2149" s="2">
        <v>48792</v>
      </c>
      <c r="AB2149" s="2"/>
    </row>
    <row r="2150" spans="8:28" ht="15" customHeight="1">
      <c r="H2150" s="2">
        <v>47973</v>
      </c>
      <c r="I2150" s="2"/>
      <c r="J2150" s="2">
        <v>48723</v>
      </c>
      <c r="K2150" s="2"/>
      <c r="L2150" s="2">
        <v>47765</v>
      </c>
      <c r="M2150" s="2"/>
      <c r="N2150" s="2">
        <v>48933</v>
      </c>
      <c r="P2150" s="2">
        <v>47904</v>
      </c>
      <c r="Q2150" s="2"/>
      <c r="R2150" s="2">
        <v>48793</v>
      </c>
      <c r="AB2150" s="2"/>
    </row>
    <row r="2151" spans="8:28" ht="15" customHeight="1">
      <c r="H2151" s="2">
        <v>47970</v>
      </c>
      <c r="I2151" s="2"/>
      <c r="J2151" s="2">
        <v>48724</v>
      </c>
      <c r="K2151" s="2"/>
      <c r="L2151" s="2">
        <v>47764</v>
      </c>
      <c r="M2151" s="2"/>
      <c r="N2151" s="2">
        <v>48934</v>
      </c>
      <c r="P2151" s="2">
        <v>47903</v>
      </c>
      <c r="Q2151" s="2"/>
      <c r="R2151" s="2">
        <v>48794</v>
      </c>
      <c r="AB2151" s="2"/>
    </row>
    <row r="2152" spans="8:28" ht="15" customHeight="1">
      <c r="H2152" s="2">
        <v>47969</v>
      </c>
      <c r="I2152" s="2"/>
      <c r="J2152" s="2">
        <v>48725</v>
      </c>
      <c r="K2152" s="2"/>
      <c r="L2152" s="2">
        <v>47763</v>
      </c>
      <c r="M2152" s="2"/>
      <c r="N2152" s="2">
        <v>48935</v>
      </c>
      <c r="P2152" s="2">
        <v>47900</v>
      </c>
      <c r="Q2152" s="2"/>
      <c r="R2152" s="2">
        <v>48795</v>
      </c>
      <c r="AB2152" s="2"/>
    </row>
    <row r="2153" spans="8:28" ht="15" customHeight="1">
      <c r="H2153" s="2">
        <v>47968</v>
      </c>
      <c r="I2153" s="2"/>
      <c r="J2153" s="2">
        <v>48726</v>
      </c>
      <c r="K2153" s="2"/>
      <c r="L2153" s="2">
        <v>47760</v>
      </c>
      <c r="M2153" s="2"/>
      <c r="N2153" s="2">
        <v>48936</v>
      </c>
      <c r="P2153" s="2">
        <v>47899</v>
      </c>
      <c r="Q2153" s="2"/>
      <c r="R2153" s="2">
        <v>48796</v>
      </c>
      <c r="AB2153" s="2"/>
    </row>
    <row r="2154" spans="8:28" ht="15" customHeight="1">
      <c r="H2154" s="2">
        <v>47967</v>
      </c>
      <c r="I2154" s="2"/>
      <c r="J2154" s="2">
        <v>48730</v>
      </c>
      <c r="K2154" s="2"/>
      <c r="L2154" s="2">
        <v>47759</v>
      </c>
      <c r="M2154" s="2"/>
      <c r="N2154" s="2">
        <v>48940</v>
      </c>
      <c r="P2154" s="2">
        <v>47898</v>
      </c>
      <c r="Q2154" s="2"/>
      <c r="R2154" s="2">
        <v>48799</v>
      </c>
      <c r="AB2154" s="2"/>
    </row>
    <row r="2155" spans="8:28" ht="15" customHeight="1">
      <c r="H2155" s="2">
        <v>47966</v>
      </c>
      <c r="I2155" s="2"/>
      <c r="J2155" s="2">
        <v>48731</v>
      </c>
      <c r="K2155" s="2"/>
      <c r="L2155" s="2">
        <v>47758</v>
      </c>
      <c r="M2155" s="2"/>
      <c r="N2155" s="2">
        <v>48941</v>
      </c>
      <c r="P2155" s="2">
        <v>47897</v>
      </c>
      <c r="Q2155" s="2"/>
      <c r="R2155" s="2">
        <v>48800</v>
      </c>
      <c r="AB2155" s="2"/>
    </row>
    <row r="2156" spans="8:28" ht="15" customHeight="1">
      <c r="H2156" s="2">
        <v>47963</v>
      </c>
      <c r="I2156" s="2"/>
      <c r="J2156" s="2">
        <v>48732</v>
      </c>
      <c r="K2156" s="2"/>
      <c r="L2156" s="2">
        <v>47757</v>
      </c>
      <c r="M2156" s="2"/>
      <c r="N2156" s="2">
        <v>48942</v>
      </c>
      <c r="P2156" s="2">
        <v>47896</v>
      </c>
      <c r="Q2156" s="2"/>
      <c r="R2156" s="2">
        <v>48801</v>
      </c>
      <c r="AB2156" s="2"/>
    </row>
    <row r="2157" spans="8:28" ht="15" customHeight="1">
      <c r="H2157" s="2">
        <v>47962</v>
      </c>
      <c r="I2157" s="2"/>
      <c r="J2157" s="2">
        <v>48733</v>
      </c>
      <c r="K2157" s="2"/>
      <c r="L2157" s="2">
        <v>47756</v>
      </c>
      <c r="M2157" s="2"/>
      <c r="N2157" s="2">
        <v>48943</v>
      </c>
      <c r="P2157" s="2">
        <v>47893</v>
      </c>
      <c r="Q2157" s="2"/>
      <c r="R2157" s="2">
        <v>48802</v>
      </c>
      <c r="AB2157" s="2"/>
    </row>
    <row r="2158" spans="8:28" ht="15" customHeight="1">
      <c r="H2158" s="2">
        <v>47961</v>
      </c>
      <c r="I2158" s="2"/>
      <c r="J2158" s="2">
        <v>48736</v>
      </c>
      <c r="K2158" s="2"/>
      <c r="L2158" s="2">
        <v>47753</v>
      </c>
      <c r="M2158" s="2"/>
      <c r="N2158" s="2">
        <v>48948</v>
      </c>
      <c r="P2158" s="2">
        <v>47892</v>
      </c>
      <c r="Q2158" s="2"/>
      <c r="R2158" s="2">
        <v>48803</v>
      </c>
      <c r="AB2158" s="2"/>
    </row>
    <row r="2159" spans="8:28" ht="15" customHeight="1">
      <c r="H2159" s="2">
        <v>47960</v>
      </c>
      <c r="I2159" s="2"/>
      <c r="J2159" s="2">
        <v>48737</v>
      </c>
      <c r="K2159" s="2"/>
      <c r="L2159" s="2">
        <v>47752</v>
      </c>
      <c r="M2159" s="2"/>
      <c r="N2159" s="2">
        <v>48949</v>
      </c>
      <c r="P2159" s="2">
        <v>47891</v>
      </c>
      <c r="Q2159" s="2"/>
      <c r="R2159" s="2">
        <v>48807</v>
      </c>
      <c r="AB2159" s="2"/>
    </row>
    <row r="2160" spans="8:28" ht="15" customHeight="1">
      <c r="H2160" s="2">
        <v>47959</v>
      </c>
      <c r="I2160" s="2"/>
      <c r="J2160" s="2">
        <v>48738</v>
      </c>
      <c r="K2160" s="2"/>
      <c r="L2160" s="2">
        <v>47751</v>
      </c>
      <c r="M2160" s="2"/>
      <c r="N2160" s="2">
        <v>48950</v>
      </c>
      <c r="P2160" s="2">
        <v>47890</v>
      </c>
      <c r="Q2160" s="2"/>
      <c r="R2160" s="2">
        <v>48808</v>
      </c>
      <c r="AB2160" s="2"/>
    </row>
    <row r="2161" spans="8:28" ht="15" customHeight="1">
      <c r="H2161" s="2">
        <v>47956</v>
      </c>
      <c r="I2161" s="2"/>
      <c r="J2161" s="2">
        <v>48739</v>
      </c>
      <c r="K2161" s="2"/>
      <c r="L2161" s="2">
        <v>47750</v>
      </c>
      <c r="M2161" s="2"/>
      <c r="N2161" s="2">
        <v>48954</v>
      </c>
      <c r="P2161" s="2">
        <v>47889</v>
      </c>
      <c r="Q2161" s="2"/>
      <c r="R2161" s="2">
        <v>48809</v>
      </c>
      <c r="AB2161" s="2"/>
    </row>
    <row r="2162" spans="8:28" ht="15" customHeight="1">
      <c r="H2162" s="2">
        <v>47955</v>
      </c>
      <c r="I2162" s="2"/>
      <c r="J2162" s="2">
        <v>48740</v>
      </c>
      <c r="K2162" s="2"/>
      <c r="L2162" s="2">
        <v>47746</v>
      </c>
      <c r="M2162" s="2"/>
      <c r="N2162" s="2">
        <v>48955</v>
      </c>
      <c r="P2162" s="2">
        <v>47886</v>
      </c>
      <c r="Q2162" s="2"/>
      <c r="R2162" s="2">
        <v>48810</v>
      </c>
      <c r="AB2162" s="2"/>
    </row>
    <row r="2163" spans="8:28" ht="15" customHeight="1">
      <c r="H2163" s="2">
        <v>47954</v>
      </c>
      <c r="I2163" s="2"/>
      <c r="J2163" s="2">
        <v>48743</v>
      </c>
      <c r="K2163" s="2"/>
      <c r="L2163" s="2">
        <v>47745</v>
      </c>
      <c r="M2163" s="2"/>
      <c r="N2163" s="2">
        <v>48956</v>
      </c>
      <c r="P2163" s="2">
        <v>47885</v>
      </c>
      <c r="Q2163" s="2"/>
      <c r="R2163" s="2">
        <v>48813</v>
      </c>
      <c r="AB2163" s="2"/>
    </row>
    <row r="2164" spans="8:28" ht="15" customHeight="1">
      <c r="H2164" s="2">
        <v>47953</v>
      </c>
      <c r="I2164" s="2"/>
      <c r="J2164" s="2">
        <v>48744</v>
      </c>
      <c r="K2164" s="2"/>
      <c r="L2164" s="2">
        <v>47744</v>
      </c>
      <c r="M2164" s="2"/>
      <c r="N2164" s="2">
        <v>48957</v>
      </c>
      <c r="P2164" s="2">
        <v>47884</v>
      </c>
      <c r="Q2164" s="2"/>
      <c r="R2164" s="2">
        <v>48814</v>
      </c>
      <c r="AB2164" s="2"/>
    </row>
    <row r="2165" spans="8:28" ht="15" customHeight="1">
      <c r="H2165" s="2">
        <v>47952</v>
      </c>
      <c r="I2165" s="2"/>
      <c r="J2165" s="2">
        <v>48745</v>
      </c>
      <c r="K2165" s="2"/>
      <c r="L2165" s="2">
        <v>47743</v>
      </c>
      <c r="M2165" s="2"/>
      <c r="N2165" s="2">
        <v>48961</v>
      </c>
      <c r="P2165" s="2">
        <v>47883</v>
      </c>
      <c r="Q2165" s="2"/>
      <c r="R2165" s="2">
        <v>48815</v>
      </c>
      <c r="AB2165" s="2"/>
    </row>
    <row r="2166" spans="8:28" ht="15" customHeight="1">
      <c r="H2166" s="2">
        <v>47948</v>
      </c>
      <c r="I2166" s="2"/>
      <c r="J2166" s="2">
        <v>48746</v>
      </c>
      <c r="K2166" s="2"/>
      <c r="L2166" s="2">
        <v>47739</v>
      </c>
      <c r="M2166" s="2"/>
      <c r="N2166" s="2">
        <v>48962</v>
      </c>
      <c r="P2166" s="2">
        <v>47882</v>
      </c>
      <c r="Q2166" s="2"/>
      <c r="R2166" s="2">
        <v>48816</v>
      </c>
      <c r="AB2166" s="2"/>
    </row>
    <row r="2167" spans="8:28" ht="15" customHeight="1">
      <c r="H2167" s="2">
        <v>47947</v>
      </c>
      <c r="I2167" s="2"/>
      <c r="J2167" s="2">
        <v>48747</v>
      </c>
      <c r="K2167" s="2"/>
      <c r="L2167" s="2">
        <v>47738</v>
      </c>
      <c r="M2167" s="2"/>
      <c r="N2167" s="2">
        <v>48963</v>
      </c>
      <c r="P2167" s="2">
        <v>47879</v>
      </c>
      <c r="Q2167" s="2"/>
      <c r="R2167" s="2">
        <v>48817</v>
      </c>
      <c r="AB2167" s="2"/>
    </row>
    <row r="2168" spans="8:28" ht="15" customHeight="1">
      <c r="H2168" s="2">
        <v>47946</v>
      </c>
      <c r="I2168" s="2"/>
      <c r="J2168" s="2">
        <v>48751</v>
      </c>
      <c r="K2168" s="2"/>
      <c r="L2168" s="2">
        <v>47737</v>
      </c>
      <c r="M2168" s="2"/>
      <c r="N2168" s="2">
        <v>48964</v>
      </c>
      <c r="P2168" s="2">
        <v>47878</v>
      </c>
      <c r="Q2168" s="2"/>
      <c r="R2168" s="2">
        <v>48820</v>
      </c>
      <c r="AB2168" s="2"/>
    </row>
    <row r="2169" spans="8:28" ht="15" customHeight="1">
      <c r="H2169" s="2">
        <v>47945</v>
      </c>
      <c r="I2169" s="2"/>
      <c r="J2169" s="2">
        <v>48752</v>
      </c>
      <c r="K2169" s="2"/>
      <c r="L2169" s="2">
        <v>47736</v>
      </c>
      <c r="M2169" s="2"/>
      <c r="N2169" s="2">
        <v>48967</v>
      </c>
      <c r="P2169" s="2">
        <v>47877</v>
      </c>
      <c r="Q2169" s="2"/>
      <c r="R2169" s="2">
        <v>48821</v>
      </c>
      <c r="AB2169" s="2"/>
    </row>
    <row r="2170" spans="8:28" ht="15" customHeight="1">
      <c r="H2170" s="2">
        <v>47942</v>
      </c>
      <c r="I2170" s="2"/>
      <c r="J2170" s="2">
        <v>48753</v>
      </c>
      <c r="K2170" s="2"/>
      <c r="L2170" s="2">
        <v>47735</v>
      </c>
      <c r="M2170" s="2"/>
      <c r="N2170" s="2">
        <v>48968</v>
      </c>
      <c r="P2170" s="2">
        <v>47876</v>
      </c>
      <c r="Q2170" s="2"/>
      <c r="R2170" s="2">
        <v>48822</v>
      </c>
      <c r="AB2170" s="2"/>
    </row>
    <row r="2171" spans="8:28" ht="15" customHeight="1">
      <c r="H2171" s="2">
        <v>47941</v>
      </c>
      <c r="I2171" s="2"/>
      <c r="J2171" s="2">
        <v>48754</v>
      </c>
      <c r="K2171" s="2"/>
      <c r="L2171" s="2">
        <v>47732</v>
      </c>
      <c r="M2171" s="2"/>
      <c r="N2171" s="2">
        <v>48969</v>
      </c>
      <c r="P2171" s="2">
        <v>47875</v>
      </c>
      <c r="Q2171" s="2"/>
      <c r="R2171" s="2">
        <v>48823</v>
      </c>
      <c r="AB2171" s="2"/>
    </row>
    <row r="2172" spans="8:28" ht="15" customHeight="1">
      <c r="H2172" s="2">
        <v>47940</v>
      </c>
      <c r="I2172" s="2"/>
      <c r="J2172" s="2">
        <v>48757</v>
      </c>
      <c r="K2172" s="2"/>
      <c r="L2172" s="2">
        <v>47731</v>
      </c>
      <c r="M2172" s="2"/>
      <c r="N2172" s="2">
        <v>48970</v>
      </c>
      <c r="P2172" s="2">
        <v>47869</v>
      </c>
      <c r="Q2172" s="2"/>
      <c r="R2172" s="2">
        <v>48824</v>
      </c>
      <c r="AB2172" s="2"/>
    </row>
    <row r="2173" spans="8:28" ht="15" customHeight="1">
      <c r="H2173" s="2">
        <v>47939</v>
      </c>
      <c r="I2173" s="2"/>
      <c r="J2173" s="2">
        <v>48758</v>
      </c>
      <c r="K2173" s="2"/>
      <c r="L2173" s="2">
        <v>47730</v>
      </c>
      <c r="M2173" s="2"/>
      <c r="N2173" s="2">
        <v>48971</v>
      </c>
      <c r="P2173" s="2">
        <v>47868</v>
      </c>
      <c r="Q2173" s="2"/>
      <c r="R2173" s="2">
        <v>48827</v>
      </c>
      <c r="AB2173" s="2"/>
    </row>
    <row r="2174" spans="8:28" ht="15" customHeight="1">
      <c r="H2174" s="2">
        <v>47938</v>
      </c>
      <c r="I2174" s="2"/>
      <c r="J2174" s="2">
        <v>48759</v>
      </c>
      <c r="K2174" s="2"/>
      <c r="L2174" s="2">
        <v>47729</v>
      </c>
      <c r="M2174" s="2"/>
      <c r="N2174" s="2">
        <v>48974</v>
      </c>
      <c r="P2174" s="2">
        <v>47865</v>
      </c>
      <c r="Q2174" s="2"/>
      <c r="R2174" s="2">
        <v>48828</v>
      </c>
      <c r="AB2174" s="2"/>
    </row>
    <row r="2175" spans="8:28" ht="15" customHeight="1">
      <c r="H2175" s="2">
        <v>47935</v>
      </c>
      <c r="I2175" s="2"/>
      <c r="J2175" s="2">
        <v>48760</v>
      </c>
      <c r="K2175" s="2"/>
      <c r="L2175" s="2">
        <v>47725</v>
      </c>
      <c r="M2175" s="2"/>
      <c r="N2175" s="2">
        <v>48975</v>
      </c>
      <c r="P2175" s="2">
        <v>47864</v>
      </c>
      <c r="Q2175" s="2"/>
      <c r="R2175" s="2">
        <v>48834</v>
      </c>
      <c r="AB2175" s="2"/>
    </row>
    <row r="2176" spans="8:28" ht="15" customHeight="1">
      <c r="H2176" s="2">
        <v>47934</v>
      </c>
      <c r="I2176" s="2"/>
      <c r="J2176" s="2">
        <v>48761</v>
      </c>
      <c r="K2176" s="2"/>
      <c r="L2176" s="2">
        <v>47724</v>
      </c>
      <c r="M2176" s="2"/>
      <c r="N2176" s="2">
        <v>48976</v>
      </c>
      <c r="P2176" s="2">
        <v>47863</v>
      </c>
      <c r="Q2176" s="2"/>
      <c r="R2176" s="2">
        <v>48835</v>
      </c>
      <c r="AB2176" s="2"/>
    </row>
    <row r="2177" spans="8:28" ht="15" customHeight="1">
      <c r="H2177" s="2">
        <v>47933</v>
      </c>
      <c r="I2177" s="2"/>
      <c r="J2177" s="2">
        <v>48765</v>
      </c>
      <c r="K2177" s="2"/>
      <c r="L2177" s="2">
        <v>47723</v>
      </c>
      <c r="M2177" s="2"/>
      <c r="N2177" s="2">
        <v>48977</v>
      </c>
      <c r="P2177" s="2">
        <v>47862</v>
      </c>
      <c r="Q2177" s="2"/>
      <c r="R2177" s="2">
        <v>48836</v>
      </c>
      <c r="AB2177" s="2"/>
    </row>
    <row r="2178" spans="8:28" ht="15" customHeight="1">
      <c r="H2178" s="2">
        <v>47932</v>
      </c>
      <c r="I2178" s="2"/>
      <c r="J2178" s="2">
        <v>48766</v>
      </c>
      <c r="K2178" s="2"/>
      <c r="L2178" s="2">
        <v>47722</v>
      </c>
      <c r="M2178" s="2"/>
      <c r="N2178" s="2">
        <v>48978</v>
      </c>
      <c r="P2178" s="2">
        <v>47861</v>
      </c>
      <c r="Q2178" s="2"/>
      <c r="R2178" s="2">
        <v>48837</v>
      </c>
      <c r="AB2178" s="2"/>
    </row>
    <row r="2179" spans="8:28" ht="15" customHeight="1">
      <c r="H2179" s="2">
        <v>47931</v>
      </c>
      <c r="I2179" s="2"/>
      <c r="J2179" s="2">
        <v>48767</v>
      </c>
      <c r="K2179" s="2"/>
      <c r="L2179" s="2">
        <v>47721</v>
      </c>
      <c r="M2179" s="2"/>
      <c r="N2179" s="2">
        <v>48981</v>
      </c>
      <c r="P2179" s="2">
        <v>47858</v>
      </c>
      <c r="Q2179" s="2"/>
      <c r="R2179" s="2">
        <v>48838</v>
      </c>
      <c r="AB2179" s="2"/>
    </row>
    <row r="2180" spans="8:28" ht="15" customHeight="1">
      <c r="H2180" s="2">
        <v>47928</v>
      </c>
      <c r="I2180" s="2"/>
      <c r="J2180" s="2">
        <v>48768</v>
      </c>
      <c r="K2180" s="2"/>
      <c r="L2180" s="2">
        <v>47718</v>
      </c>
      <c r="M2180" s="2"/>
      <c r="N2180" s="2">
        <v>48982</v>
      </c>
      <c r="P2180" s="2">
        <v>47857</v>
      </c>
      <c r="Q2180" s="2"/>
      <c r="R2180" s="2">
        <v>48841</v>
      </c>
      <c r="AB2180" s="2"/>
    </row>
    <row r="2181" spans="8:28" ht="15" customHeight="1">
      <c r="H2181" s="2">
        <v>47927</v>
      </c>
      <c r="I2181" s="2"/>
      <c r="J2181" s="2">
        <v>48771</v>
      </c>
      <c r="K2181" s="2"/>
      <c r="L2181" s="2">
        <v>47717</v>
      </c>
      <c r="M2181" s="2"/>
      <c r="N2181" s="2">
        <v>48983</v>
      </c>
      <c r="P2181" s="2">
        <v>47856</v>
      </c>
      <c r="Q2181" s="2"/>
      <c r="R2181" s="2">
        <v>48842</v>
      </c>
      <c r="AB2181" s="2"/>
    </row>
    <row r="2182" spans="8:28" ht="15" customHeight="1">
      <c r="H2182" s="2">
        <v>47926</v>
      </c>
      <c r="I2182" s="2"/>
      <c r="J2182" s="2">
        <v>48772</v>
      </c>
      <c r="K2182" s="2"/>
      <c r="L2182" s="2">
        <v>47716</v>
      </c>
      <c r="M2182" s="2"/>
      <c r="N2182" s="2">
        <v>48984</v>
      </c>
      <c r="P2182" s="2">
        <v>47855</v>
      </c>
      <c r="Q2182" s="2"/>
      <c r="R2182" s="2">
        <v>48843</v>
      </c>
      <c r="AB2182" s="2"/>
    </row>
    <row r="2183" spans="8:28" ht="15" customHeight="1">
      <c r="H2183" s="2">
        <v>47925</v>
      </c>
      <c r="I2183" s="2"/>
      <c r="J2183" s="2">
        <v>48773</v>
      </c>
      <c r="K2183" s="2"/>
      <c r="L2183" s="2">
        <v>47715</v>
      </c>
      <c r="M2183" s="2"/>
      <c r="N2183" s="2">
        <v>48985</v>
      </c>
      <c r="P2183" s="2">
        <v>47854</v>
      </c>
      <c r="Q2183" s="2"/>
      <c r="R2183" s="2">
        <v>48844</v>
      </c>
      <c r="AB2183" s="2"/>
    </row>
    <row r="2184" spans="8:28" ht="15" customHeight="1">
      <c r="H2184" s="2">
        <v>47924</v>
      </c>
      <c r="I2184" s="2"/>
      <c r="J2184" s="2">
        <v>48774</v>
      </c>
      <c r="K2184" s="2"/>
      <c r="L2184" s="2">
        <v>47714</v>
      </c>
      <c r="M2184" s="2"/>
      <c r="N2184" s="2">
        <v>48988</v>
      </c>
      <c r="P2184" s="2">
        <v>47851</v>
      </c>
      <c r="Q2184" s="2"/>
      <c r="R2184" s="2">
        <v>48845</v>
      </c>
      <c r="AB2184" s="2"/>
    </row>
    <row r="2185" spans="8:28" ht="15" customHeight="1">
      <c r="H2185" s="2">
        <v>47921</v>
      </c>
      <c r="I2185" s="2"/>
      <c r="J2185" s="2">
        <v>48775</v>
      </c>
      <c r="K2185" s="2"/>
      <c r="L2185" s="2">
        <v>47711</v>
      </c>
      <c r="M2185" s="2"/>
      <c r="N2185" s="2">
        <v>48989</v>
      </c>
      <c r="P2185" s="2">
        <v>47850</v>
      </c>
      <c r="Q2185" s="2"/>
      <c r="R2185" s="2">
        <v>48848</v>
      </c>
      <c r="AB2185" s="2"/>
    </row>
    <row r="2186" spans="8:28" ht="15" customHeight="1">
      <c r="H2186" s="2">
        <v>47920</v>
      </c>
      <c r="I2186" s="2"/>
      <c r="J2186" s="2">
        <v>48778</v>
      </c>
      <c r="K2186" s="2"/>
      <c r="L2186" s="2">
        <v>47710</v>
      </c>
      <c r="M2186" s="2"/>
      <c r="N2186" s="2">
        <v>48990</v>
      </c>
      <c r="P2186" s="2">
        <v>47847</v>
      </c>
      <c r="Q2186" s="2"/>
      <c r="R2186" s="2">
        <v>48849</v>
      </c>
      <c r="AB2186" s="2"/>
    </row>
    <row r="2187" spans="8:28" ht="15" customHeight="1">
      <c r="H2187" s="2">
        <v>47919</v>
      </c>
      <c r="I2187" s="2"/>
      <c r="J2187" s="2">
        <v>48779</v>
      </c>
      <c r="K2187" s="2"/>
      <c r="L2187" s="2">
        <v>47709</v>
      </c>
      <c r="M2187" s="2"/>
      <c r="N2187" s="2">
        <v>48991</v>
      </c>
      <c r="P2187" s="2">
        <v>47844</v>
      </c>
      <c r="Q2187" s="2"/>
      <c r="R2187" s="2">
        <v>48850</v>
      </c>
      <c r="AB2187" s="2"/>
    </row>
    <row r="2188" spans="8:28" ht="15" customHeight="1">
      <c r="H2188" s="2">
        <v>47918</v>
      </c>
      <c r="I2188" s="2"/>
      <c r="J2188" s="2">
        <v>48780</v>
      </c>
      <c r="K2188" s="2"/>
      <c r="L2188" s="2">
        <v>47708</v>
      </c>
      <c r="M2188" s="2"/>
      <c r="N2188" s="2">
        <v>48992</v>
      </c>
      <c r="P2188" s="2">
        <v>47843</v>
      </c>
      <c r="Q2188" s="2"/>
      <c r="R2188" s="2">
        <v>48851</v>
      </c>
      <c r="AB2188" s="2"/>
    </row>
    <row r="2189" spans="8:28" ht="15" customHeight="1">
      <c r="H2189" s="2">
        <v>47917</v>
      </c>
      <c r="I2189" s="2"/>
      <c r="J2189" s="2">
        <v>48781</v>
      </c>
      <c r="K2189" s="2"/>
      <c r="L2189" s="2">
        <v>47704</v>
      </c>
      <c r="M2189" s="2"/>
      <c r="N2189" s="2">
        <v>48996</v>
      </c>
      <c r="P2189" s="2">
        <v>47841</v>
      </c>
      <c r="Q2189" s="2"/>
      <c r="R2189" s="2">
        <v>48852</v>
      </c>
      <c r="AB2189" s="2"/>
    </row>
    <row r="2190" spans="8:28" ht="15" customHeight="1">
      <c r="H2190" s="2">
        <v>47914</v>
      </c>
      <c r="I2190" s="2"/>
      <c r="J2190" s="2">
        <v>48782</v>
      </c>
      <c r="K2190" s="2"/>
      <c r="L2190" s="2">
        <v>47703</v>
      </c>
      <c r="M2190" s="2"/>
      <c r="N2190" s="2">
        <v>48997</v>
      </c>
      <c r="P2190" s="2">
        <v>47840</v>
      </c>
      <c r="Q2190" s="2"/>
      <c r="R2190" s="2">
        <v>48856</v>
      </c>
      <c r="AB2190" s="2"/>
    </row>
    <row r="2191" spans="8:28" ht="15" customHeight="1">
      <c r="H2191" s="2">
        <v>47913</v>
      </c>
      <c r="I2191" s="2"/>
      <c r="J2191" s="2">
        <v>48785</v>
      </c>
      <c r="K2191" s="2"/>
      <c r="L2191" s="2">
        <v>47702</v>
      </c>
      <c r="M2191" s="2"/>
      <c r="N2191" s="2">
        <v>48999</v>
      </c>
      <c r="P2191" s="2">
        <v>47837</v>
      </c>
      <c r="Q2191" s="2"/>
      <c r="R2191" s="2">
        <v>48857</v>
      </c>
      <c r="AB2191" s="2"/>
    </row>
    <row r="2192" spans="8:28" ht="15" customHeight="1">
      <c r="H2192" s="2">
        <v>47912</v>
      </c>
      <c r="I2192" s="2"/>
      <c r="J2192" s="2">
        <v>48786</v>
      </c>
      <c r="K2192" s="2"/>
      <c r="L2192" s="2">
        <v>47701</v>
      </c>
      <c r="M2192" s="2"/>
      <c r="N2192" s="2">
        <v>49002</v>
      </c>
      <c r="P2192" s="2">
        <v>47836</v>
      </c>
      <c r="Q2192" s="2"/>
      <c r="R2192" s="2">
        <v>48858</v>
      </c>
      <c r="AB2192" s="2"/>
    </row>
    <row r="2193" spans="8:28" ht="15" customHeight="1">
      <c r="H2193" s="2">
        <v>47911</v>
      </c>
      <c r="I2193" s="2"/>
      <c r="J2193" s="2">
        <v>48787</v>
      </c>
      <c r="K2193" s="2"/>
      <c r="L2193" s="2">
        <v>47700</v>
      </c>
      <c r="M2193" s="2"/>
      <c r="N2193" s="2">
        <v>49003</v>
      </c>
      <c r="P2193" s="2">
        <v>47835</v>
      </c>
      <c r="Q2193" s="2"/>
      <c r="R2193" s="2">
        <v>48859</v>
      </c>
      <c r="AB2193" s="2"/>
    </row>
    <row r="2194" spans="8:28" ht="15" customHeight="1">
      <c r="H2194" s="2">
        <v>47910</v>
      </c>
      <c r="I2194" s="2"/>
      <c r="J2194" s="2">
        <v>48788</v>
      </c>
      <c r="K2194" s="2"/>
      <c r="L2194" s="2">
        <v>47697</v>
      </c>
      <c r="M2194" s="2"/>
      <c r="N2194" s="2">
        <v>49004</v>
      </c>
      <c r="P2194" s="2">
        <v>47834</v>
      </c>
      <c r="Q2194" s="2"/>
      <c r="R2194" s="2">
        <v>48863</v>
      </c>
      <c r="AB2194" s="2"/>
    </row>
    <row r="2195" spans="8:28" ht="15" customHeight="1">
      <c r="H2195" s="2">
        <v>47907</v>
      </c>
      <c r="I2195" s="2"/>
      <c r="J2195" s="2">
        <v>48789</v>
      </c>
      <c r="K2195" s="2"/>
      <c r="L2195" s="2">
        <v>47696</v>
      </c>
      <c r="M2195" s="2"/>
      <c r="N2195" s="2">
        <v>49005</v>
      </c>
      <c r="P2195" s="2">
        <v>47833</v>
      </c>
      <c r="Q2195" s="2"/>
      <c r="R2195" s="2">
        <v>48864</v>
      </c>
      <c r="AB2195" s="2"/>
    </row>
    <row r="2196" spans="8:28" ht="15" customHeight="1">
      <c r="H2196" s="2">
        <v>47906</v>
      </c>
      <c r="I2196" s="2"/>
      <c r="J2196" s="2">
        <v>48792</v>
      </c>
      <c r="K2196" s="2"/>
      <c r="L2196" s="2">
        <v>47695</v>
      </c>
      <c r="M2196" s="2"/>
      <c r="N2196" s="2">
        <v>49006</v>
      </c>
      <c r="P2196" s="2">
        <v>47830</v>
      </c>
      <c r="Q2196" s="2"/>
      <c r="R2196" s="2">
        <v>48865</v>
      </c>
      <c r="AB2196" s="2"/>
    </row>
    <row r="2197" spans="8:28" ht="15" customHeight="1">
      <c r="H2197" s="2">
        <v>47905</v>
      </c>
      <c r="I2197" s="2"/>
      <c r="J2197" s="2">
        <v>48793</v>
      </c>
      <c r="K2197" s="2"/>
      <c r="L2197" s="2">
        <v>47694</v>
      </c>
      <c r="M2197" s="2"/>
      <c r="N2197" s="2">
        <v>49009</v>
      </c>
      <c r="P2197" s="2">
        <v>47829</v>
      </c>
      <c r="Q2197" s="2"/>
      <c r="R2197" s="2">
        <v>48866</v>
      </c>
      <c r="AB2197" s="2"/>
    </row>
    <row r="2198" spans="8:28" ht="15" customHeight="1">
      <c r="H2198" s="2">
        <v>47904</v>
      </c>
      <c r="I2198" s="2"/>
      <c r="J2198" s="2">
        <v>48794</v>
      </c>
      <c r="K2198" s="2"/>
      <c r="L2198" s="2">
        <v>47693</v>
      </c>
      <c r="M2198" s="2"/>
      <c r="N2198" s="2">
        <v>49010</v>
      </c>
      <c r="P2198" s="2">
        <v>47828</v>
      </c>
      <c r="Q2198" s="2"/>
      <c r="R2198" s="2">
        <v>48869</v>
      </c>
      <c r="AB2198" s="2"/>
    </row>
    <row r="2199" spans="8:28" ht="15" customHeight="1">
      <c r="H2199" s="2">
        <v>47903</v>
      </c>
      <c r="I2199" s="2"/>
      <c r="J2199" s="2">
        <v>48795</v>
      </c>
      <c r="K2199" s="2"/>
      <c r="L2199" s="2">
        <v>47690</v>
      </c>
      <c r="M2199" s="2"/>
      <c r="N2199" s="2">
        <v>49011</v>
      </c>
      <c r="P2199" s="2">
        <v>47827</v>
      </c>
      <c r="Q2199" s="2"/>
      <c r="R2199" s="2">
        <v>48870</v>
      </c>
      <c r="AB2199" s="2"/>
    </row>
    <row r="2200" spans="8:28" ht="15" customHeight="1">
      <c r="H2200" s="2">
        <v>47900</v>
      </c>
      <c r="I2200" s="2"/>
      <c r="J2200" s="2">
        <v>48796</v>
      </c>
      <c r="K2200" s="2"/>
      <c r="L2200" s="2">
        <v>47689</v>
      </c>
      <c r="M2200" s="2"/>
      <c r="N2200" s="2">
        <v>49012</v>
      </c>
      <c r="P2200" s="2">
        <v>47826</v>
      </c>
      <c r="Q2200" s="2"/>
      <c r="R2200" s="2">
        <v>48871</v>
      </c>
      <c r="AB2200" s="2"/>
    </row>
    <row r="2201" spans="8:28" ht="15" customHeight="1">
      <c r="H2201" s="2">
        <v>47899</v>
      </c>
      <c r="I2201" s="2"/>
      <c r="J2201" s="2">
        <v>48799</v>
      </c>
      <c r="K2201" s="2"/>
      <c r="L2201" s="2">
        <v>47688</v>
      </c>
      <c r="M2201" s="2"/>
      <c r="N2201" s="2">
        <v>49013</v>
      </c>
      <c r="P2201" s="2">
        <v>47823</v>
      </c>
      <c r="Q2201" s="2"/>
      <c r="R2201" s="2">
        <v>48872</v>
      </c>
      <c r="AB2201" s="2"/>
    </row>
    <row r="2202" spans="8:28" ht="15" customHeight="1">
      <c r="H2202" s="2">
        <v>47898</v>
      </c>
      <c r="I2202" s="2"/>
      <c r="J2202" s="2">
        <v>48800</v>
      </c>
      <c r="K2202" s="2"/>
      <c r="L2202" s="2">
        <v>47687</v>
      </c>
      <c r="M2202" s="2"/>
      <c r="N2202" s="2">
        <v>49016</v>
      </c>
      <c r="P2202" s="2">
        <v>47822</v>
      </c>
      <c r="Q2202" s="2"/>
      <c r="R2202" s="2">
        <v>48873</v>
      </c>
      <c r="AB2202" s="2"/>
    </row>
    <row r="2203" spans="8:28" ht="15" customHeight="1">
      <c r="H2203" s="2">
        <v>47897</v>
      </c>
      <c r="I2203" s="2"/>
      <c r="J2203" s="2">
        <v>48801</v>
      </c>
      <c r="K2203" s="2"/>
      <c r="L2203" s="2">
        <v>47686</v>
      </c>
      <c r="M2203" s="2"/>
      <c r="N2203" s="2">
        <v>49017</v>
      </c>
      <c r="P2203" s="2">
        <v>47821</v>
      </c>
      <c r="Q2203" s="2"/>
      <c r="R2203" s="2">
        <v>48876</v>
      </c>
      <c r="AB2203" s="2"/>
    </row>
    <row r="2204" spans="8:28" ht="15" customHeight="1">
      <c r="H2204" s="2">
        <v>47893</v>
      </c>
      <c r="I2204" s="2"/>
      <c r="J2204" s="2">
        <v>48802</v>
      </c>
      <c r="K2204" s="2"/>
      <c r="L2204" s="2">
        <v>47683</v>
      </c>
      <c r="M2204" s="2"/>
      <c r="N2204" s="2">
        <v>49018</v>
      </c>
      <c r="P2204" s="2">
        <v>47820</v>
      </c>
      <c r="Q2204" s="2"/>
      <c r="R2204" s="2">
        <v>48877</v>
      </c>
      <c r="AB2204" s="2"/>
    </row>
    <row r="2205" spans="8:28" ht="15" customHeight="1">
      <c r="H2205" s="2">
        <v>47892</v>
      </c>
      <c r="I2205" s="2"/>
      <c r="J2205" s="2">
        <v>48803</v>
      </c>
      <c r="K2205" s="2"/>
      <c r="L2205" s="2">
        <v>47682</v>
      </c>
      <c r="M2205" s="2"/>
      <c r="N2205" s="2">
        <v>49019</v>
      </c>
      <c r="P2205" s="2">
        <v>47819</v>
      </c>
      <c r="Q2205" s="2"/>
      <c r="R2205" s="2">
        <v>48878</v>
      </c>
      <c r="AB2205" s="2"/>
    </row>
    <row r="2206" spans="8:28" ht="15" customHeight="1">
      <c r="H2206" s="2">
        <v>47891</v>
      </c>
      <c r="I2206" s="2"/>
      <c r="J2206" s="2">
        <v>48806</v>
      </c>
      <c r="K2206" s="2"/>
      <c r="L2206" s="2">
        <v>47681</v>
      </c>
      <c r="M2206" s="2"/>
      <c r="N2206" s="2">
        <v>49020</v>
      </c>
      <c r="P2206" s="2">
        <v>47816</v>
      </c>
      <c r="Q2206" s="2"/>
      <c r="R2206" s="2">
        <v>48879</v>
      </c>
      <c r="AB2206" s="2"/>
    </row>
    <row r="2207" spans="8:28" ht="15" customHeight="1">
      <c r="H2207" s="2">
        <v>47890</v>
      </c>
      <c r="I2207" s="2"/>
      <c r="J2207" s="2">
        <v>48807</v>
      </c>
      <c r="K2207" s="2"/>
      <c r="L2207" s="2">
        <v>47680</v>
      </c>
      <c r="M2207" s="2"/>
      <c r="N2207" s="2">
        <v>49024</v>
      </c>
      <c r="P2207" s="2">
        <v>47815</v>
      </c>
      <c r="Q2207" s="2"/>
      <c r="R2207" s="2">
        <v>48880</v>
      </c>
      <c r="AB2207" s="2"/>
    </row>
    <row r="2208" spans="8:28" ht="15" customHeight="1">
      <c r="H2208" s="2">
        <v>47889</v>
      </c>
      <c r="I2208" s="2"/>
      <c r="J2208" s="2">
        <v>48808</v>
      </c>
      <c r="K2208" s="2"/>
      <c r="L2208" s="2">
        <v>47676</v>
      </c>
      <c r="M2208" s="2"/>
      <c r="N2208" s="2">
        <v>49025</v>
      </c>
      <c r="P2208" s="2">
        <v>47814</v>
      </c>
      <c r="Q2208" s="2"/>
      <c r="R2208" s="2">
        <v>48883</v>
      </c>
      <c r="AB2208" s="2"/>
    </row>
    <row r="2209" spans="8:28" ht="15" customHeight="1">
      <c r="H2209" s="2">
        <v>47886</v>
      </c>
      <c r="I2209" s="2"/>
      <c r="J2209" s="2">
        <v>48809</v>
      </c>
      <c r="K2209" s="2"/>
      <c r="L2209" s="2">
        <v>47675</v>
      </c>
      <c r="M2209" s="2"/>
      <c r="N2209" s="2">
        <v>49026</v>
      </c>
      <c r="P2209" s="2">
        <v>47813</v>
      </c>
      <c r="Q2209" s="2"/>
      <c r="R2209" s="2">
        <v>48884</v>
      </c>
      <c r="AB2209" s="2"/>
    </row>
    <row r="2210" spans="8:28" ht="15" customHeight="1">
      <c r="H2210" s="2">
        <v>47885</v>
      </c>
      <c r="I2210" s="2"/>
      <c r="J2210" s="2">
        <v>48810</v>
      </c>
      <c r="K2210" s="2"/>
      <c r="L2210" s="2">
        <v>47674</v>
      </c>
      <c r="M2210" s="2"/>
      <c r="N2210" s="2">
        <v>49027</v>
      </c>
      <c r="P2210" s="2">
        <v>47812</v>
      </c>
      <c r="Q2210" s="2"/>
      <c r="R2210" s="2">
        <v>48885</v>
      </c>
      <c r="AB2210" s="2"/>
    </row>
    <row r="2211" spans="8:28" ht="15" customHeight="1">
      <c r="H2211" s="2">
        <v>47884</v>
      </c>
      <c r="I2211" s="2"/>
      <c r="J2211" s="2">
        <v>48813</v>
      </c>
      <c r="K2211" s="2"/>
      <c r="L2211" s="2">
        <v>47673</v>
      </c>
      <c r="M2211" s="2"/>
      <c r="N2211" s="2">
        <v>49030</v>
      </c>
      <c r="P2211" s="2">
        <v>47809</v>
      </c>
      <c r="Q2211" s="2"/>
      <c r="R2211" s="2">
        <v>48886</v>
      </c>
      <c r="AB2211" s="2"/>
    </row>
    <row r="2212" spans="8:28" ht="15" customHeight="1">
      <c r="H2212" s="2">
        <v>47883</v>
      </c>
      <c r="I2212" s="2"/>
      <c r="J2212" s="2">
        <v>48814</v>
      </c>
      <c r="K2212" s="2"/>
      <c r="L2212" s="2">
        <v>47672</v>
      </c>
      <c r="M2212" s="2"/>
      <c r="N2212" s="2">
        <v>49031</v>
      </c>
      <c r="P2212" s="2">
        <v>47808</v>
      </c>
      <c r="Q2212" s="2"/>
      <c r="R2212" s="2">
        <v>48887</v>
      </c>
      <c r="AB2212" s="2"/>
    </row>
    <row r="2213" spans="8:28" ht="15" customHeight="1">
      <c r="H2213" s="2">
        <v>47882</v>
      </c>
      <c r="I2213" s="2"/>
      <c r="J2213" s="2">
        <v>48815</v>
      </c>
      <c r="K2213" s="2"/>
      <c r="L2213" s="2">
        <v>47669</v>
      </c>
      <c r="M2213" s="2"/>
      <c r="N2213" s="2">
        <v>49032</v>
      </c>
      <c r="P2213" s="2">
        <v>47807</v>
      </c>
      <c r="Q2213" s="2"/>
      <c r="R2213" s="2">
        <v>48890</v>
      </c>
      <c r="AB2213" s="2"/>
    </row>
    <row r="2214" spans="8:28" ht="15" customHeight="1">
      <c r="H2214" s="2">
        <v>47879</v>
      </c>
      <c r="I2214" s="2"/>
      <c r="J2214" s="2">
        <v>48816</v>
      </c>
      <c r="K2214" s="2"/>
      <c r="L2214" s="2">
        <v>47667</v>
      </c>
      <c r="M2214" s="2"/>
      <c r="N2214" s="2">
        <v>49033</v>
      </c>
      <c r="P2214" s="2">
        <v>47806</v>
      </c>
      <c r="Q2214" s="2"/>
      <c r="R2214" s="2">
        <v>48891</v>
      </c>
      <c r="AB2214" s="2"/>
    </row>
    <row r="2215" spans="8:28" ht="15" customHeight="1">
      <c r="H2215" s="2">
        <v>47878</v>
      </c>
      <c r="I2215" s="2"/>
      <c r="J2215" s="2">
        <v>48817</v>
      </c>
      <c r="K2215" s="2"/>
      <c r="L2215" s="2">
        <v>47666</v>
      </c>
      <c r="M2215" s="2"/>
      <c r="N2215" s="2">
        <v>49034</v>
      </c>
      <c r="P2215" s="2">
        <v>47805</v>
      </c>
      <c r="Q2215" s="2"/>
      <c r="R2215" s="2">
        <v>48892</v>
      </c>
      <c r="AB2215" s="2"/>
    </row>
    <row r="2216" spans="8:28" ht="15" customHeight="1">
      <c r="H2216" s="2">
        <v>47877</v>
      </c>
      <c r="I2216" s="2"/>
      <c r="J2216" s="2">
        <v>48820</v>
      </c>
      <c r="K2216" s="2"/>
      <c r="L2216" s="2">
        <v>47665</v>
      </c>
      <c r="M2216" s="2"/>
      <c r="N2216" s="2">
        <v>49037</v>
      </c>
      <c r="P2216" s="2">
        <v>47802</v>
      </c>
      <c r="Q2216" s="2"/>
      <c r="R2216" s="2">
        <v>48893</v>
      </c>
      <c r="AB2216" s="2"/>
    </row>
    <row r="2217" spans="8:28" ht="15" customHeight="1">
      <c r="H2217" s="2">
        <v>47876</v>
      </c>
      <c r="I2217" s="2"/>
      <c r="J2217" s="2">
        <v>48821</v>
      </c>
      <c r="K2217" s="2"/>
      <c r="L2217" s="2">
        <v>47662</v>
      </c>
      <c r="M2217" s="2"/>
      <c r="N2217" s="2">
        <v>49038</v>
      </c>
      <c r="P2217" s="2">
        <v>47801</v>
      </c>
      <c r="Q2217" s="2"/>
      <c r="R2217" s="2">
        <v>48894</v>
      </c>
      <c r="AB2217" s="2"/>
    </row>
    <row r="2218" spans="8:28" ht="15" customHeight="1">
      <c r="H2218" s="2">
        <v>47875</v>
      </c>
      <c r="I2218" s="2"/>
      <c r="J2218" s="2">
        <v>48822</v>
      </c>
      <c r="K2218" s="2"/>
      <c r="L2218" s="2">
        <v>47661</v>
      </c>
      <c r="M2218" s="2"/>
      <c r="N2218" s="2">
        <v>49039</v>
      </c>
      <c r="P2218" s="2">
        <v>47800</v>
      </c>
      <c r="Q2218" s="2"/>
      <c r="R2218" s="2">
        <v>48897</v>
      </c>
      <c r="AB2218" s="2"/>
    </row>
    <row r="2219" spans="8:28" ht="15" customHeight="1">
      <c r="H2219" s="2">
        <v>47872</v>
      </c>
      <c r="I2219" s="2"/>
      <c r="J2219" s="2">
        <v>48823</v>
      </c>
      <c r="K2219" s="2"/>
      <c r="L2219" s="2">
        <v>47660</v>
      </c>
      <c r="M2219" s="2"/>
      <c r="N2219" s="2">
        <v>49040</v>
      </c>
      <c r="P2219" s="2">
        <v>47799</v>
      </c>
      <c r="Q2219" s="2"/>
      <c r="R2219" s="2">
        <v>48898</v>
      </c>
      <c r="AB2219" s="2"/>
    </row>
    <row r="2220" spans="8:28" ht="15" customHeight="1">
      <c r="H2220" s="2">
        <v>47871</v>
      </c>
      <c r="I2220" s="2"/>
      <c r="J2220" s="2">
        <v>48824</v>
      </c>
      <c r="K2220" s="2"/>
      <c r="L2220" s="2">
        <v>47659</v>
      </c>
      <c r="M2220" s="2"/>
      <c r="N2220" s="2">
        <v>49044</v>
      </c>
      <c r="P2220" s="2">
        <v>47798</v>
      </c>
      <c r="Q2220" s="2"/>
      <c r="R2220" s="2">
        <v>48899</v>
      </c>
      <c r="AB2220" s="2"/>
    </row>
    <row r="2221" spans="8:28" ht="15" customHeight="1">
      <c r="H2221" s="2">
        <v>47870</v>
      </c>
      <c r="I2221" s="2"/>
      <c r="J2221" s="2">
        <v>48828</v>
      </c>
      <c r="K2221" s="2"/>
      <c r="L2221" s="2">
        <v>47658</v>
      </c>
      <c r="M2221" s="2"/>
      <c r="N2221" s="2">
        <v>49045</v>
      </c>
      <c r="P2221" s="2">
        <v>47795</v>
      </c>
      <c r="Q2221" s="2"/>
      <c r="R2221" s="2">
        <v>48900</v>
      </c>
      <c r="AB2221" s="2"/>
    </row>
    <row r="2222" spans="8:28" ht="15" customHeight="1">
      <c r="H2222" s="2">
        <v>47869</v>
      </c>
      <c r="I2222" s="2"/>
      <c r="J2222" s="2">
        <v>48829</v>
      </c>
      <c r="K2222" s="2"/>
      <c r="L2222" s="2">
        <v>47655</v>
      </c>
      <c r="M2222" s="2"/>
      <c r="N2222" s="2">
        <v>49046</v>
      </c>
      <c r="P2222" s="2">
        <v>47794</v>
      </c>
      <c r="Q2222" s="2"/>
      <c r="R2222" s="2">
        <v>48901</v>
      </c>
      <c r="AB2222" s="2"/>
    </row>
    <row r="2223" spans="8:28" ht="15" customHeight="1">
      <c r="H2223" s="2">
        <v>47865</v>
      </c>
      <c r="I2223" s="2"/>
      <c r="J2223" s="2">
        <v>48830</v>
      </c>
      <c r="K2223" s="2"/>
      <c r="L2223" s="2">
        <v>47654</v>
      </c>
      <c r="M2223" s="2"/>
      <c r="N2223" s="2">
        <v>49047</v>
      </c>
      <c r="P2223" s="2">
        <v>47793</v>
      </c>
      <c r="Q2223" s="2"/>
      <c r="R2223" s="2">
        <v>48904</v>
      </c>
      <c r="AB2223" s="2"/>
    </row>
    <row r="2224" spans="8:28" ht="15" customHeight="1">
      <c r="H2224" s="2">
        <v>47864</v>
      </c>
      <c r="I2224" s="2"/>
      <c r="J2224" s="2">
        <v>48831</v>
      </c>
      <c r="K2224" s="2"/>
      <c r="L2224" s="2">
        <v>47652</v>
      </c>
      <c r="M2224" s="2"/>
      <c r="N2224" s="2">
        <v>49048</v>
      </c>
      <c r="P2224" s="2">
        <v>47792</v>
      </c>
      <c r="Q2224" s="2"/>
      <c r="R2224" s="2">
        <v>48905</v>
      </c>
      <c r="AB2224" s="2"/>
    </row>
    <row r="2225" spans="8:28" ht="15" customHeight="1">
      <c r="H2225" s="2">
        <v>47863</v>
      </c>
      <c r="I2225" s="2"/>
      <c r="J2225" s="2">
        <v>48834</v>
      </c>
      <c r="K2225" s="2"/>
      <c r="L2225" s="2">
        <v>47651</v>
      </c>
      <c r="M2225" s="2"/>
      <c r="N2225" s="2">
        <v>49051</v>
      </c>
      <c r="P2225" s="2">
        <v>47791</v>
      </c>
      <c r="Q2225" s="2"/>
      <c r="R2225" s="2">
        <v>48906</v>
      </c>
      <c r="AB2225" s="2"/>
    </row>
    <row r="2226" spans="8:28" ht="15" customHeight="1">
      <c r="H2226" s="2">
        <v>47862</v>
      </c>
      <c r="I2226" s="2"/>
      <c r="J2226" s="2">
        <v>48835</v>
      </c>
      <c r="K2226" s="2"/>
      <c r="L2226" s="2">
        <v>47648</v>
      </c>
      <c r="M2226" s="2"/>
      <c r="N2226" s="2">
        <v>49052</v>
      </c>
      <c r="P2226" s="2">
        <v>47788</v>
      </c>
      <c r="Q2226" s="2"/>
      <c r="R2226" s="2">
        <v>48907</v>
      </c>
      <c r="AB2226" s="2"/>
    </row>
    <row r="2227" spans="8:28" ht="15" customHeight="1">
      <c r="H2227" s="2">
        <v>47861</v>
      </c>
      <c r="I2227" s="2"/>
      <c r="J2227" s="2">
        <v>48836</v>
      </c>
      <c r="K2227" s="2"/>
      <c r="L2227" s="2">
        <v>47647</v>
      </c>
      <c r="M2227" s="2"/>
      <c r="N2227" s="2">
        <v>49053</v>
      </c>
      <c r="P2227" s="2">
        <v>47787</v>
      </c>
      <c r="Q2227" s="2"/>
      <c r="R2227" s="2">
        <v>48908</v>
      </c>
      <c r="AB2227" s="2"/>
    </row>
    <row r="2228" spans="8:28" ht="15" customHeight="1">
      <c r="H2228" s="2">
        <v>47858</v>
      </c>
      <c r="I2228" s="2"/>
      <c r="J2228" s="2">
        <v>48837</v>
      </c>
      <c r="K2228" s="2"/>
      <c r="L2228" s="2">
        <v>47646</v>
      </c>
      <c r="M2228" s="2"/>
      <c r="N2228" s="2">
        <v>49054</v>
      </c>
      <c r="P2228" s="2">
        <v>47786</v>
      </c>
      <c r="Q2228" s="2"/>
      <c r="R2228" s="2">
        <v>48911</v>
      </c>
      <c r="AB2228" s="2"/>
    </row>
    <row r="2229" spans="8:28" ht="15" customHeight="1">
      <c r="H2229" s="2">
        <v>47857</v>
      </c>
      <c r="I2229" s="2"/>
      <c r="J2229" s="2">
        <v>48838</v>
      </c>
      <c r="K2229" s="2"/>
      <c r="L2229" s="2">
        <v>47645</v>
      </c>
      <c r="M2229" s="2"/>
      <c r="N2229" s="2">
        <v>49055</v>
      </c>
      <c r="P2229" s="2">
        <v>47785</v>
      </c>
      <c r="Q2229" s="2"/>
      <c r="R2229" s="2">
        <v>48912</v>
      </c>
      <c r="AB2229" s="2"/>
    </row>
    <row r="2230" spans="8:28" ht="15" customHeight="1">
      <c r="H2230" s="2">
        <v>47856</v>
      </c>
      <c r="I2230" s="2"/>
      <c r="J2230" s="2">
        <v>48841</v>
      </c>
      <c r="K2230" s="2"/>
      <c r="L2230" s="2">
        <v>47644</v>
      </c>
      <c r="M2230" s="2"/>
      <c r="N2230" s="2">
        <v>49058</v>
      </c>
      <c r="P2230" s="2">
        <v>47784</v>
      </c>
      <c r="Q2230" s="2"/>
      <c r="R2230" s="2">
        <v>48913</v>
      </c>
      <c r="AB2230" s="2"/>
    </row>
    <row r="2231" spans="8:28" ht="15" customHeight="1">
      <c r="H2231" s="2">
        <v>47855</v>
      </c>
      <c r="I2231" s="2"/>
      <c r="J2231" s="2">
        <v>48842</v>
      </c>
      <c r="K2231" s="2"/>
      <c r="L2231" s="2">
        <v>47641</v>
      </c>
      <c r="M2231" s="2"/>
      <c r="N2231" s="2">
        <v>49059</v>
      </c>
      <c r="P2231" s="2">
        <v>47781</v>
      </c>
      <c r="Q2231" s="2"/>
      <c r="R2231" s="2">
        <v>48914</v>
      </c>
      <c r="AB2231" s="2"/>
    </row>
    <row r="2232" spans="8:28" ht="15" customHeight="1">
      <c r="H2232" s="2">
        <v>47854</v>
      </c>
      <c r="I2232" s="2"/>
      <c r="J2232" s="2">
        <v>48843</v>
      </c>
      <c r="K2232" s="2"/>
      <c r="L2232" s="2">
        <v>47640</v>
      </c>
      <c r="M2232" s="2"/>
      <c r="N2232" s="2">
        <v>49060</v>
      </c>
      <c r="P2232" s="2">
        <v>47780</v>
      </c>
      <c r="Q2232" s="2"/>
      <c r="R2232" s="2">
        <v>48915</v>
      </c>
      <c r="AB2232" s="2"/>
    </row>
    <row r="2233" spans="8:28" ht="15" customHeight="1">
      <c r="H2233" s="2">
        <v>47851</v>
      </c>
      <c r="I2233" s="2"/>
      <c r="J2233" s="2">
        <v>48844</v>
      </c>
      <c r="K2233" s="2"/>
      <c r="L2233" s="2">
        <v>47639</v>
      </c>
      <c r="M2233" s="2"/>
      <c r="N2233" s="2">
        <v>49061</v>
      </c>
      <c r="P2233" s="2">
        <v>47779</v>
      </c>
      <c r="Q2233" s="2"/>
      <c r="R2233" s="2">
        <v>48918</v>
      </c>
      <c r="AB2233" s="2"/>
    </row>
    <row r="2234" spans="8:28" ht="15" customHeight="1">
      <c r="H2234" s="2">
        <v>47850</v>
      </c>
      <c r="I2234" s="2"/>
      <c r="J2234" s="2">
        <v>48845</v>
      </c>
      <c r="K2234" s="2"/>
      <c r="L2234" s="2">
        <v>47638</v>
      </c>
      <c r="M2234" s="2"/>
      <c r="N2234" s="2">
        <v>49062</v>
      </c>
      <c r="P2234" s="2">
        <v>47778</v>
      </c>
      <c r="Q2234" s="2"/>
      <c r="R2234" s="2">
        <v>48919</v>
      </c>
      <c r="AB2234" s="2"/>
    </row>
    <row r="2235" spans="8:28" ht="15" customHeight="1">
      <c r="H2235" s="2">
        <v>47848</v>
      </c>
      <c r="I2235" s="2"/>
      <c r="J2235" s="2">
        <v>48848</v>
      </c>
      <c r="K2235" s="2"/>
      <c r="L2235" s="2">
        <v>47637</v>
      </c>
      <c r="M2235" s="2"/>
      <c r="N2235" s="2">
        <v>49065</v>
      </c>
      <c r="P2235" s="2">
        <v>47777</v>
      </c>
      <c r="Q2235" s="2"/>
      <c r="R2235" s="2">
        <v>48920</v>
      </c>
      <c r="AB2235" s="2"/>
    </row>
    <row r="2236" spans="8:28" ht="15" customHeight="1">
      <c r="H2236" s="2">
        <v>47847</v>
      </c>
      <c r="I2236" s="2"/>
      <c r="J2236" s="2">
        <v>48849</v>
      </c>
      <c r="K2236" s="2"/>
      <c r="L2236" s="2">
        <v>47634</v>
      </c>
      <c r="M2236" s="2"/>
      <c r="N2236" s="2">
        <v>49066</v>
      </c>
      <c r="P2236" s="2">
        <v>47774</v>
      </c>
      <c r="Q2236" s="2"/>
      <c r="R2236" s="2">
        <v>48921</v>
      </c>
      <c r="AB2236" s="2"/>
    </row>
    <row r="2237" spans="8:28" ht="15" customHeight="1">
      <c r="H2237" s="2">
        <v>47844</v>
      </c>
      <c r="I2237" s="2"/>
      <c r="J2237" s="2">
        <v>48850</v>
      </c>
      <c r="K2237" s="2"/>
      <c r="L2237" s="2">
        <v>47633</v>
      </c>
      <c r="M2237" s="2"/>
      <c r="N2237" s="2">
        <v>49072</v>
      </c>
      <c r="P2237" s="2">
        <v>47773</v>
      </c>
      <c r="Q2237" s="2"/>
      <c r="R2237" s="2">
        <v>48922</v>
      </c>
      <c r="AB2237" s="2"/>
    </row>
    <row r="2238" spans="8:28" ht="15" customHeight="1">
      <c r="H2238" s="2">
        <v>47843</v>
      </c>
      <c r="I2238" s="2"/>
      <c r="J2238" s="2">
        <v>48851</v>
      </c>
      <c r="K2238" s="2"/>
      <c r="L2238" s="2">
        <v>47632</v>
      </c>
      <c r="M2238" s="2"/>
      <c r="N2238" s="2">
        <v>49073</v>
      </c>
      <c r="P2238" s="2">
        <v>47772</v>
      </c>
      <c r="Q2238" s="2"/>
      <c r="R2238" s="2">
        <v>48925</v>
      </c>
      <c r="AB2238" s="2"/>
    </row>
    <row r="2239" spans="8:28" ht="15" customHeight="1">
      <c r="H2239" s="2">
        <v>47841</v>
      </c>
      <c r="I2239" s="2"/>
      <c r="J2239" s="2">
        <v>48852</v>
      </c>
      <c r="K2239" s="2"/>
      <c r="L2239" s="2">
        <v>47631</v>
      </c>
      <c r="M2239" s="2"/>
      <c r="N2239" s="2">
        <v>49074</v>
      </c>
      <c r="P2239" s="2">
        <v>47771</v>
      </c>
      <c r="Q2239" s="2"/>
      <c r="R2239" s="2">
        <v>48926</v>
      </c>
      <c r="AB2239" s="2"/>
    </row>
    <row r="2240" spans="8:28" ht="15" customHeight="1">
      <c r="H2240" s="2">
        <v>47840</v>
      </c>
      <c r="I2240" s="2"/>
      <c r="J2240" s="2">
        <v>48855</v>
      </c>
      <c r="K2240" s="2"/>
      <c r="L2240" s="2">
        <v>47627</v>
      </c>
      <c r="M2240" s="2"/>
      <c r="N2240" s="2">
        <v>49075</v>
      </c>
      <c r="P2240" s="2">
        <v>47770</v>
      </c>
      <c r="Q2240" s="2"/>
      <c r="R2240" s="2">
        <v>48927</v>
      </c>
      <c r="AB2240" s="2"/>
    </row>
    <row r="2241" spans="8:28" ht="15" customHeight="1">
      <c r="H2241" s="2">
        <v>47837</v>
      </c>
      <c r="I2241" s="2"/>
      <c r="J2241" s="2">
        <v>48856</v>
      </c>
      <c r="K2241" s="2"/>
      <c r="L2241" s="2">
        <v>47626</v>
      </c>
      <c r="M2241" s="2"/>
      <c r="N2241" s="2">
        <v>49076</v>
      </c>
      <c r="P2241" s="2">
        <v>47767</v>
      </c>
      <c r="Q2241" s="2"/>
      <c r="R2241" s="2">
        <v>48928</v>
      </c>
      <c r="AB2241" s="2"/>
    </row>
    <row r="2242" spans="8:28" ht="15" customHeight="1">
      <c r="H2242" s="2">
        <v>47836</v>
      </c>
      <c r="I2242" s="2"/>
      <c r="J2242" s="2">
        <v>48857</v>
      </c>
      <c r="K2242" s="2"/>
      <c r="L2242" s="2">
        <v>47625</v>
      </c>
      <c r="M2242" s="2"/>
      <c r="N2242" s="2">
        <v>49079</v>
      </c>
      <c r="P2242" s="2">
        <v>47766</v>
      </c>
      <c r="Q2242" s="2"/>
      <c r="R2242" s="2">
        <v>48929</v>
      </c>
      <c r="AB2242" s="2"/>
    </row>
    <row r="2243" spans="8:28" ht="15" customHeight="1">
      <c r="H2243" s="2">
        <v>47835</v>
      </c>
      <c r="I2243" s="2"/>
      <c r="J2243" s="2">
        <v>48858</v>
      </c>
      <c r="K2243" s="2"/>
      <c r="L2243" s="2">
        <v>47624</v>
      </c>
      <c r="M2243" s="2"/>
      <c r="N2243" s="2">
        <v>49080</v>
      </c>
      <c r="P2243" s="2">
        <v>47764</v>
      </c>
      <c r="Q2243" s="2"/>
      <c r="R2243" s="2">
        <v>48932</v>
      </c>
      <c r="AB2243" s="2"/>
    </row>
    <row r="2244" spans="8:28" ht="15" customHeight="1">
      <c r="H2244" s="2">
        <v>47834</v>
      </c>
      <c r="I2244" s="2"/>
      <c r="J2244" s="2">
        <v>48859</v>
      </c>
      <c r="K2244" s="2"/>
      <c r="L2244" s="2">
        <v>47623</v>
      </c>
      <c r="M2244" s="2"/>
      <c r="N2244" s="2">
        <v>49081</v>
      </c>
      <c r="P2244" s="2">
        <v>47763</v>
      </c>
      <c r="Q2244" s="2"/>
      <c r="R2244" s="2">
        <v>48933</v>
      </c>
      <c r="AB2244" s="2"/>
    </row>
    <row r="2245" spans="8:28" ht="15" customHeight="1">
      <c r="H2245" s="2">
        <v>47833</v>
      </c>
      <c r="I2245" s="2"/>
      <c r="J2245" s="2">
        <v>48862</v>
      </c>
      <c r="K2245" s="2"/>
      <c r="L2245" s="2">
        <v>47620</v>
      </c>
      <c r="M2245" s="2"/>
      <c r="N2245" s="2">
        <v>49082</v>
      </c>
      <c r="P2245" s="2">
        <v>47760</v>
      </c>
      <c r="Q2245" s="2"/>
      <c r="R2245" s="2">
        <v>48934</v>
      </c>
      <c r="AB2245" s="2"/>
    </row>
    <row r="2246" spans="8:28" ht="15" customHeight="1">
      <c r="H2246" s="2">
        <v>47830</v>
      </c>
      <c r="I2246" s="2"/>
      <c r="J2246" s="2">
        <v>48863</v>
      </c>
      <c r="K2246" s="2"/>
      <c r="L2246" s="2">
        <v>47619</v>
      </c>
      <c r="M2246" s="2"/>
      <c r="N2246" s="2">
        <v>49083</v>
      </c>
      <c r="P2246" s="2">
        <v>47758</v>
      </c>
      <c r="Q2246" s="2"/>
      <c r="R2246" s="2">
        <v>48935</v>
      </c>
      <c r="AB2246" s="2"/>
    </row>
    <row r="2247" spans="8:28" ht="15" customHeight="1">
      <c r="H2247" s="2">
        <v>47829</v>
      </c>
      <c r="I2247" s="2"/>
      <c r="J2247" s="2">
        <v>48864</v>
      </c>
      <c r="K2247" s="2"/>
      <c r="L2247" s="2">
        <v>47618</v>
      </c>
      <c r="M2247" s="2"/>
      <c r="N2247" s="2">
        <v>49086</v>
      </c>
      <c r="P2247" s="2">
        <v>47757</v>
      </c>
      <c r="Q2247" s="2"/>
      <c r="R2247" s="2">
        <v>48936</v>
      </c>
      <c r="AB2247" s="2"/>
    </row>
    <row r="2248" spans="8:28" ht="15" customHeight="1">
      <c r="H2248" s="2">
        <v>47828</v>
      </c>
      <c r="I2248" s="2"/>
      <c r="J2248" s="2">
        <v>48865</v>
      </c>
      <c r="K2248" s="2"/>
      <c r="L2248" s="2">
        <v>47617</v>
      </c>
      <c r="M2248" s="2"/>
      <c r="N2248" s="2">
        <v>49087</v>
      </c>
      <c r="P2248" s="2">
        <v>47756</v>
      </c>
      <c r="Q2248" s="2"/>
      <c r="R2248" s="2">
        <v>48940</v>
      </c>
      <c r="AB2248" s="2"/>
    </row>
    <row r="2249" spans="8:28" ht="15" customHeight="1">
      <c r="H2249" s="2">
        <v>47827</v>
      </c>
      <c r="I2249" s="2"/>
      <c r="J2249" s="2">
        <v>48866</v>
      </c>
      <c r="K2249" s="2"/>
      <c r="L2249" s="2">
        <v>47616</v>
      </c>
      <c r="M2249" s="2"/>
      <c r="N2249" s="2">
        <v>49088</v>
      </c>
      <c r="P2249" s="2">
        <v>47753</v>
      </c>
      <c r="Q2249" s="2"/>
      <c r="R2249" s="2">
        <v>48941</v>
      </c>
      <c r="AB2249" s="2"/>
    </row>
    <row r="2250" spans="8:28" ht="15" customHeight="1">
      <c r="H2250" s="2">
        <v>47826</v>
      </c>
      <c r="I2250" s="2"/>
      <c r="J2250" s="2">
        <v>48869</v>
      </c>
      <c r="K2250" s="2"/>
      <c r="L2250" s="2">
        <v>47613</v>
      </c>
      <c r="M2250" s="2"/>
      <c r="N2250" s="2">
        <v>49089</v>
      </c>
      <c r="P2250" s="2">
        <v>47752</v>
      </c>
      <c r="Q2250" s="2"/>
      <c r="R2250" s="2">
        <v>48942</v>
      </c>
      <c r="AB2250" s="2"/>
    </row>
    <row r="2251" spans="8:28" ht="15" customHeight="1">
      <c r="H2251" s="2">
        <v>47823</v>
      </c>
      <c r="I2251" s="2"/>
      <c r="J2251" s="2">
        <v>48870</v>
      </c>
      <c r="K2251" s="2"/>
      <c r="L2251" s="2">
        <v>47612</v>
      </c>
      <c r="M2251" s="2"/>
      <c r="N2251" s="2">
        <v>49090</v>
      </c>
      <c r="P2251" s="2">
        <v>47751</v>
      </c>
      <c r="Q2251" s="2"/>
      <c r="R2251" s="2">
        <v>48946</v>
      </c>
      <c r="AB2251" s="2"/>
    </row>
    <row r="2252" spans="8:28" ht="15" customHeight="1">
      <c r="H2252" s="2">
        <v>47822</v>
      </c>
      <c r="I2252" s="2"/>
      <c r="J2252" s="2">
        <v>48871</v>
      </c>
      <c r="K2252" s="2"/>
      <c r="L2252" s="2">
        <v>47611</v>
      </c>
      <c r="M2252" s="2"/>
      <c r="N2252" s="2">
        <v>49094</v>
      </c>
      <c r="P2252" s="2">
        <v>47750</v>
      </c>
      <c r="Q2252" s="2"/>
      <c r="R2252" s="2">
        <v>48947</v>
      </c>
      <c r="AB2252" s="2"/>
    </row>
    <row r="2253" spans="8:28" ht="15" customHeight="1">
      <c r="H2253" s="2">
        <v>47821</v>
      </c>
      <c r="I2253" s="2"/>
      <c r="J2253" s="2">
        <v>48872</v>
      </c>
      <c r="K2253" s="2"/>
      <c r="L2253" s="2">
        <v>47610</v>
      </c>
      <c r="M2253" s="2"/>
      <c r="N2253" s="2">
        <v>49095</v>
      </c>
      <c r="P2253" s="2">
        <v>47749</v>
      </c>
      <c r="Q2253" s="2"/>
      <c r="R2253" s="2">
        <v>48948</v>
      </c>
      <c r="AB2253" s="2"/>
    </row>
    <row r="2254" spans="8:28" ht="15" customHeight="1">
      <c r="H2254" s="2">
        <v>47820</v>
      </c>
      <c r="I2254" s="2"/>
      <c r="J2254" s="2">
        <v>48873</v>
      </c>
      <c r="K2254" s="2"/>
      <c r="L2254" s="2">
        <v>47605</v>
      </c>
      <c r="M2254" s="2"/>
      <c r="N2254" s="2">
        <v>49096</v>
      </c>
      <c r="P2254" s="2">
        <v>47746</v>
      </c>
      <c r="Q2254" s="2"/>
      <c r="R2254" s="2">
        <v>48949</v>
      </c>
      <c r="AB2254" s="2"/>
    </row>
    <row r="2255" spans="8:28" ht="15" customHeight="1">
      <c r="H2255" s="2">
        <v>47819</v>
      </c>
      <c r="I2255" s="2"/>
      <c r="J2255" s="2">
        <v>48876</v>
      </c>
      <c r="K2255" s="2"/>
      <c r="L2255" s="2">
        <v>47604</v>
      </c>
      <c r="M2255" s="2"/>
      <c r="N2255" s="2">
        <v>49097</v>
      </c>
      <c r="P2255" s="2">
        <v>47745</v>
      </c>
      <c r="Q2255" s="2"/>
      <c r="R2255" s="2">
        <v>48950</v>
      </c>
      <c r="AB2255" s="2"/>
    </row>
    <row r="2256" spans="8:28" ht="15" customHeight="1">
      <c r="H2256" s="2">
        <v>47816</v>
      </c>
      <c r="I2256" s="2"/>
      <c r="J2256" s="2">
        <v>48877</v>
      </c>
      <c r="K2256" s="2"/>
      <c r="L2256" s="2">
        <v>47603</v>
      </c>
      <c r="M2256" s="2"/>
      <c r="N2256" s="2">
        <v>49100</v>
      </c>
      <c r="P2256" s="2">
        <v>47744</v>
      </c>
      <c r="Q2256" s="2"/>
      <c r="R2256" s="2">
        <v>48953</v>
      </c>
      <c r="AB2256" s="2"/>
    </row>
    <row r="2257" spans="8:28" ht="15" customHeight="1">
      <c r="H2257" s="2">
        <v>47814</v>
      </c>
      <c r="I2257" s="2"/>
      <c r="J2257" s="2">
        <v>48878</v>
      </c>
      <c r="K2257" s="2"/>
      <c r="L2257" s="2">
        <v>47599</v>
      </c>
      <c r="M2257" s="2"/>
      <c r="N2257" s="2">
        <v>49101</v>
      </c>
      <c r="P2257" s="2">
        <v>47743</v>
      </c>
      <c r="Q2257" s="2"/>
      <c r="R2257" s="2">
        <v>48954</v>
      </c>
      <c r="AB2257" s="2"/>
    </row>
    <row r="2258" spans="8:28" ht="15" customHeight="1">
      <c r="H2258" s="2">
        <v>47813</v>
      </c>
      <c r="I2258" s="2"/>
      <c r="J2258" s="2">
        <v>48879</v>
      </c>
      <c r="K2258" s="2"/>
      <c r="L2258" s="2">
        <v>47598</v>
      </c>
      <c r="M2258" s="2"/>
      <c r="N2258" s="2">
        <v>49102</v>
      </c>
      <c r="P2258" s="2">
        <v>47742</v>
      </c>
      <c r="Q2258" s="2"/>
      <c r="R2258" s="2">
        <v>48955</v>
      </c>
      <c r="AB2258" s="2"/>
    </row>
    <row r="2259" spans="8:28" ht="15" customHeight="1">
      <c r="H2259" s="2">
        <v>47812</v>
      </c>
      <c r="I2259" s="2"/>
      <c r="J2259" s="2">
        <v>48880</v>
      </c>
      <c r="K2259" s="2"/>
      <c r="L2259" s="2">
        <v>47597</v>
      </c>
      <c r="M2259" s="2"/>
      <c r="N2259" s="2">
        <v>49103</v>
      </c>
      <c r="P2259" s="2">
        <v>47736</v>
      </c>
      <c r="Q2259" s="2"/>
      <c r="R2259" s="2">
        <v>48956</v>
      </c>
      <c r="AB2259" s="2"/>
    </row>
    <row r="2260" spans="8:28" ht="15" customHeight="1">
      <c r="H2260" s="2">
        <v>47809</v>
      </c>
      <c r="I2260" s="2"/>
      <c r="J2260" s="2">
        <v>48883</v>
      </c>
      <c r="K2260" s="2"/>
      <c r="L2260" s="2">
        <v>47596</v>
      </c>
      <c r="M2260" s="2"/>
      <c r="N2260" s="2">
        <v>49104</v>
      </c>
      <c r="P2260" s="2">
        <v>47735</v>
      </c>
      <c r="Q2260" s="2"/>
      <c r="R2260" s="2">
        <v>48957</v>
      </c>
      <c r="AB2260" s="2"/>
    </row>
    <row r="2261" spans="8:28" ht="15" customHeight="1">
      <c r="H2261" s="2">
        <v>47808</v>
      </c>
      <c r="I2261" s="2"/>
      <c r="J2261" s="2">
        <v>48884</v>
      </c>
      <c r="K2261" s="2"/>
      <c r="L2261" s="2">
        <v>47595</v>
      </c>
      <c r="M2261" s="2"/>
      <c r="N2261" s="2">
        <v>49107</v>
      </c>
      <c r="P2261" s="2">
        <v>47732</v>
      </c>
      <c r="Q2261" s="2"/>
      <c r="R2261" s="2">
        <v>48960</v>
      </c>
      <c r="AB2261" s="2"/>
    </row>
    <row r="2262" spans="8:28" ht="15" customHeight="1">
      <c r="H2262" s="2">
        <v>47807</v>
      </c>
      <c r="I2262" s="2"/>
      <c r="J2262" s="2">
        <v>48885</v>
      </c>
      <c r="K2262" s="2"/>
      <c r="L2262" s="2">
        <v>47591</v>
      </c>
      <c r="M2262" s="2"/>
      <c r="N2262" s="2">
        <v>49108</v>
      </c>
      <c r="P2262" s="2">
        <v>47731</v>
      </c>
      <c r="Q2262" s="2"/>
      <c r="R2262" s="2">
        <v>48961</v>
      </c>
      <c r="AB2262" s="2"/>
    </row>
    <row r="2263" spans="8:28" ht="15" customHeight="1">
      <c r="H2263" s="2">
        <v>47806</v>
      </c>
      <c r="I2263" s="2"/>
      <c r="J2263" s="2">
        <v>48886</v>
      </c>
      <c r="K2263" s="2"/>
      <c r="L2263" s="2">
        <v>47590</v>
      </c>
      <c r="M2263" s="2"/>
      <c r="N2263" s="2">
        <v>49109</v>
      </c>
      <c r="P2263" s="2">
        <v>47730</v>
      </c>
      <c r="Q2263" s="2"/>
      <c r="R2263" s="2">
        <v>48962</v>
      </c>
      <c r="AB2263" s="2"/>
    </row>
    <row r="2264" spans="8:28" ht="15" customHeight="1">
      <c r="H2264" s="2">
        <v>47805</v>
      </c>
      <c r="I2264" s="2"/>
      <c r="J2264" s="2">
        <v>48887</v>
      </c>
      <c r="K2264" s="2"/>
      <c r="L2264" s="2">
        <v>47589</v>
      </c>
      <c r="M2264" s="2"/>
      <c r="N2264" s="2">
        <v>49110</v>
      </c>
      <c r="P2264" s="2">
        <v>47729</v>
      </c>
      <c r="Q2264" s="2"/>
      <c r="R2264" s="2">
        <v>48963</v>
      </c>
      <c r="AB2264" s="2"/>
    </row>
    <row r="2265" spans="8:28" ht="15" customHeight="1">
      <c r="H2265" s="2">
        <v>47802</v>
      </c>
      <c r="I2265" s="2"/>
      <c r="J2265" s="2">
        <v>48890</v>
      </c>
      <c r="K2265" s="2"/>
      <c r="L2265" s="2">
        <v>47588</v>
      </c>
      <c r="M2265" s="2"/>
      <c r="N2265" s="2">
        <v>49111</v>
      </c>
      <c r="P2265" s="2">
        <v>47728</v>
      </c>
      <c r="Q2265" s="2"/>
      <c r="R2265" s="2">
        <v>48964</v>
      </c>
      <c r="AB2265" s="2"/>
    </row>
    <row r="2266" spans="8:28" ht="15" customHeight="1">
      <c r="H2266" s="2">
        <v>47801</v>
      </c>
      <c r="I2266" s="2"/>
      <c r="J2266" s="2">
        <v>48891</v>
      </c>
      <c r="K2266" s="2"/>
      <c r="L2266" s="2">
        <v>47585</v>
      </c>
      <c r="M2266" s="2"/>
      <c r="N2266" s="2">
        <v>49115</v>
      </c>
      <c r="P2266" s="2">
        <v>47725</v>
      </c>
      <c r="Q2266" s="2"/>
      <c r="R2266" s="2">
        <v>48967</v>
      </c>
      <c r="AB2266" s="2"/>
    </row>
    <row r="2267" spans="8:28" ht="15" customHeight="1">
      <c r="H2267" s="2">
        <v>47800</v>
      </c>
      <c r="I2267" s="2"/>
      <c r="J2267" s="2">
        <v>48892</v>
      </c>
      <c r="K2267" s="2"/>
      <c r="L2267" s="2">
        <v>47584</v>
      </c>
      <c r="M2267" s="2"/>
      <c r="N2267" s="2">
        <v>49116</v>
      </c>
      <c r="P2267" s="2">
        <v>47724</v>
      </c>
      <c r="Q2267" s="2"/>
      <c r="R2267" s="2">
        <v>48968</v>
      </c>
      <c r="AB2267" s="2"/>
    </row>
    <row r="2268" spans="8:28" ht="15" customHeight="1">
      <c r="H2268" s="2">
        <v>47799</v>
      </c>
      <c r="I2268" s="2"/>
      <c r="J2268" s="2">
        <v>48893</v>
      </c>
      <c r="K2268" s="2"/>
      <c r="L2268" s="2">
        <v>47583</v>
      </c>
      <c r="M2268" s="2"/>
      <c r="N2268" s="2">
        <v>49117</v>
      </c>
      <c r="P2268" s="2">
        <v>47723</v>
      </c>
      <c r="Q2268" s="2"/>
      <c r="R2268" s="2">
        <v>48969</v>
      </c>
      <c r="AB2268" s="2"/>
    </row>
    <row r="2269" spans="8:28" ht="15" customHeight="1">
      <c r="H2269" s="2">
        <v>47798</v>
      </c>
      <c r="I2269" s="2"/>
      <c r="J2269" s="2">
        <v>48894</v>
      </c>
      <c r="K2269" s="2"/>
      <c r="L2269" s="2">
        <v>47582</v>
      </c>
      <c r="M2269" s="2"/>
      <c r="N2269" s="2">
        <v>49118</v>
      </c>
      <c r="P2269" s="2">
        <v>47722</v>
      </c>
      <c r="Q2269" s="2"/>
      <c r="R2269" s="2">
        <v>48970</v>
      </c>
      <c r="AB2269" s="2"/>
    </row>
    <row r="2270" spans="8:28" ht="15" customHeight="1">
      <c r="H2270" s="2">
        <v>47795</v>
      </c>
      <c r="I2270" s="2"/>
      <c r="J2270" s="2">
        <v>48897</v>
      </c>
      <c r="K2270" s="2"/>
      <c r="L2270" s="2">
        <v>47581</v>
      </c>
      <c r="M2270" s="2"/>
      <c r="N2270" s="2">
        <v>49121</v>
      </c>
      <c r="P2270" s="2">
        <v>47721</v>
      </c>
      <c r="Q2270" s="2"/>
      <c r="R2270" s="2">
        <v>48971</v>
      </c>
      <c r="AB2270" s="2"/>
    </row>
    <row r="2271" spans="8:28" ht="15" customHeight="1">
      <c r="H2271" s="2">
        <v>47794</v>
      </c>
      <c r="I2271" s="2"/>
      <c r="J2271" s="2">
        <v>48898</v>
      </c>
      <c r="K2271" s="2"/>
      <c r="L2271" s="2">
        <v>47578</v>
      </c>
      <c r="M2271" s="2"/>
      <c r="N2271" s="2">
        <v>49122</v>
      </c>
      <c r="P2271" s="2">
        <v>47718</v>
      </c>
      <c r="Q2271" s="2"/>
      <c r="R2271" s="2">
        <v>48974</v>
      </c>
      <c r="AB2271" s="2"/>
    </row>
    <row r="2272" spans="8:28" ht="15" customHeight="1">
      <c r="H2272" s="2">
        <v>47793</v>
      </c>
      <c r="I2272" s="2"/>
      <c r="J2272" s="2">
        <v>48899</v>
      </c>
      <c r="K2272" s="2"/>
      <c r="L2272" s="2">
        <v>47577</v>
      </c>
      <c r="M2272" s="2"/>
      <c r="N2272" s="2">
        <v>49123</v>
      </c>
      <c r="P2272" s="2">
        <v>47717</v>
      </c>
      <c r="Q2272" s="2"/>
      <c r="R2272" s="2">
        <v>48975</v>
      </c>
      <c r="AB2272" s="2"/>
    </row>
    <row r="2273" spans="8:28" ht="15" customHeight="1">
      <c r="H2273" s="2">
        <v>47792</v>
      </c>
      <c r="I2273" s="2"/>
      <c r="J2273" s="2">
        <v>48900</v>
      </c>
      <c r="K2273" s="2"/>
      <c r="L2273" s="2">
        <v>47576</v>
      </c>
      <c r="M2273" s="2"/>
      <c r="N2273" s="2">
        <v>49124</v>
      </c>
      <c r="P2273" s="2">
        <v>47716</v>
      </c>
      <c r="Q2273" s="2"/>
      <c r="R2273" s="2">
        <v>48976</v>
      </c>
      <c r="AB2273" s="2"/>
    </row>
    <row r="2274" spans="8:28" ht="15" customHeight="1">
      <c r="H2274" s="2">
        <v>47791</v>
      </c>
      <c r="I2274" s="2"/>
      <c r="J2274" s="2">
        <v>48901</v>
      </c>
      <c r="K2274" s="2"/>
      <c r="L2274" s="2">
        <v>47575</v>
      </c>
      <c r="M2274" s="2"/>
      <c r="N2274" s="2">
        <v>49125</v>
      </c>
      <c r="P2274" s="2">
        <v>47715</v>
      </c>
      <c r="Q2274" s="2"/>
      <c r="R2274" s="2">
        <v>48977</v>
      </c>
      <c r="AB2274" s="2"/>
    </row>
    <row r="2275" spans="8:28" ht="15" customHeight="1">
      <c r="H2275" s="2">
        <v>47788</v>
      </c>
      <c r="I2275" s="2"/>
      <c r="J2275" s="2">
        <v>48904</v>
      </c>
      <c r="K2275" s="2"/>
      <c r="L2275" s="2">
        <v>47574</v>
      </c>
      <c r="M2275" s="2"/>
      <c r="N2275" s="2">
        <v>49128</v>
      </c>
      <c r="P2275" s="2">
        <v>47714</v>
      </c>
      <c r="Q2275" s="2"/>
      <c r="R2275" s="2">
        <v>48978</v>
      </c>
      <c r="AB2275" s="2"/>
    </row>
    <row r="2276" spans="8:28" ht="15" customHeight="1">
      <c r="H2276" s="2">
        <v>47787</v>
      </c>
      <c r="I2276" s="2"/>
      <c r="J2276" s="2">
        <v>48905</v>
      </c>
      <c r="K2276" s="2"/>
      <c r="L2276" s="2">
        <v>47571</v>
      </c>
      <c r="M2276" s="2"/>
      <c r="N2276" s="2">
        <v>49130</v>
      </c>
      <c r="P2276" s="2">
        <v>47711</v>
      </c>
      <c r="Q2276" s="2"/>
      <c r="R2276" s="2">
        <v>48981</v>
      </c>
      <c r="AB2276" s="2"/>
    </row>
    <row r="2277" spans="8:28" ht="15" customHeight="1">
      <c r="H2277" s="2">
        <v>47786</v>
      </c>
      <c r="I2277" s="2"/>
      <c r="J2277" s="2">
        <v>48906</v>
      </c>
      <c r="K2277" s="2"/>
      <c r="L2277" s="2">
        <v>47570</v>
      </c>
      <c r="M2277" s="2"/>
      <c r="N2277" s="2">
        <v>49131</v>
      </c>
      <c r="P2277" s="2">
        <v>47709</v>
      </c>
      <c r="Q2277" s="2"/>
      <c r="R2277" s="2">
        <v>48982</v>
      </c>
      <c r="AB2277" s="2"/>
    </row>
    <row r="2278" spans="8:28" ht="15" customHeight="1">
      <c r="H2278" s="2">
        <v>47785</v>
      </c>
      <c r="I2278" s="2"/>
      <c r="J2278" s="2">
        <v>48908</v>
      </c>
      <c r="K2278" s="2"/>
      <c r="L2278" s="2">
        <v>47569</v>
      </c>
      <c r="M2278" s="2"/>
      <c r="N2278" s="2">
        <v>49132</v>
      </c>
      <c r="P2278" s="2">
        <v>47708</v>
      </c>
      <c r="Q2278" s="2"/>
      <c r="R2278" s="2">
        <v>48983</v>
      </c>
      <c r="AB2278" s="2"/>
    </row>
    <row r="2279" spans="8:28" ht="15" customHeight="1">
      <c r="H2279" s="2">
        <v>47784</v>
      </c>
      <c r="I2279" s="2"/>
      <c r="J2279" s="2">
        <v>48911</v>
      </c>
      <c r="K2279" s="2"/>
      <c r="L2279" s="2">
        <v>47568</v>
      </c>
      <c r="M2279" s="2"/>
      <c r="N2279" s="2">
        <v>49135</v>
      </c>
      <c r="P2279" s="2">
        <v>47707</v>
      </c>
      <c r="Q2279" s="2"/>
      <c r="R2279" s="2">
        <v>48984</v>
      </c>
      <c r="AB2279" s="2"/>
    </row>
    <row r="2280" spans="8:28" ht="15" customHeight="1">
      <c r="H2280" s="2">
        <v>47781</v>
      </c>
      <c r="I2280" s="2"/>
      <c r="J2280" s="2">
        <v>48912</v>
      </c>
      <c r="K2280" s="2"/>
      <c r="L2280" s="2">
        <v>47567</v>
      </c>
      <c r="M2280" s="2"/>
      <c r="N2280" s="2">
        <v>49136</v>
      </c>
      <c r="P2280" s="2">
        <v>47704</v>
      </c>
      <c r="Q2280" s="2"/>
      <c r="R2280" s="2">
        <v>48985</v>
      </c>
      <c r="AB2280" s="2"/>
    </row>
    <row r="2281" spans="8:28" ht="15" customHeight="1">
      <c r="H2281" s="2">
        <v>47780</v>
      </c>
      <c r="I2281" s="2"/>
      <c r="J2281" s="2">
        <v>48913</v>
      </c>
      <c r="K2281" s="2"/>
      <c r="L2281" s="2">
        <v>47564</v>
      </c>
      <c r="M2281" s="2"/>
      <c r="N2281" s="2">
        <v>49137</v>
      </c>
      <c r="P2281" s="2">
        <v>47703</v>
      </c>
      <c r="Q2281" s="2"/>
      <c r="R2281" s="2">
        <v>48988</v>
      </c>
      <c r="AB2281" s="2"/>
    </row>
    <row r="2282" spans="8:28" ht="15" customHeight="1">
      <c r="H2282" s="2">
        <v>47779</v>
      </c>
      <c r="I2282" s="2"/>
      <c r="J2282" s="2">
        <v>48914</v>
      </c>
      <c r="K2282" s="2"/>
      <c r="L2282" s="2">
        <v>47563</v>
      </c>
      <c r="M2282" s="2"/>
      <c r="N2282" s="2">
        <v>49138</v>
      </c>
      <c r="P2282" s="2">
        <v>47702</v>
      </c>
      <c r="Q2282" s="2"/>
      <c r="R2282" s="2">
        <v>48989</v>
      </c>
      <c r="AB2282" s="2"/>
    </row>
    <row r="2283" spans="8:28" ht="15" customHeight="1">
      <c r="H2283" s="2">
        <v>47778</v>
      </c>
      <c r="I2283" s="2"/>
      <c r="J2283" s="2">
        <v>48915</v>
      </c>
      <c r="K2283" s="2"/>
      <c r="L2283" s="2">
        <v>47561</v>
      </c>
      <c r="M2283" s="2"/>
      <c r="N2283" s="2">
        <v>49139</v>
      </c>
      <c r="P2283" s="2">
        <v>47701</v>
      </c>
      <c r="Q2283" s="2"/>
      <c r="R2283" s="2">
        <v>48990</v>
      </c>
      <c r="AB2283" s="2"/>
    </row>
    <row r="2284" spans="8:28" ht="15" customHeight="1">
      <c r="H2284" s="2">
        <v>47777</v>
      </c>
      <c r="I2284" s="2"/>
      <c r="J2284" s="2">
        <v>48918</v>
      </c>
      <c r="K2284" s="2"/>
      <c r="L2284" s="2">
        <v>47560</v>
      </c>
      <c r="M2284" s="2"/>
      <c r="N2284" s="2">
        <v>49143</v>
      </c>
      <c r="P2284" s="2">
        <v>47700</v>
      </c>
      <c r="Q2284" s="2"/>
      <c r="R2284" s="2">
        <v>48991</v>
      </c>
      <c r="AB2284" s="2"/>
    </row>
    <row r="2285" spans="8:28" ht="15" customHeight="1">
      <c r="H2285" s="2">
        <v>47774</v>
      </c>
      <c r="I2285" s="2"/>
      <c r="J2285" s="2">
        <v>48919</v>
      </c>
      <c r="K2285" s="2"/>
      <c r="L2285" s="2">
        <v>47557</v>
      </c>
      <c r="M2285" s="2"/>
      <c r="N2285" s="2">
        <v>49144</v>
      </c>
      <c r="P2285" s="2">
        <v>47697</v>
      </c>
      <c r="Q2285" s="2"/>
      <c r="R2285" s="2">
        <v>48992</v>
      </c>
      <c r="AB2285" s="2"/>
    </row>
    <row r="2286" spans="8:28" ht="15" customHeight="1">
      <c r="H2286" s="2">
        <v>47773</v>
      </c>
      <c r="I2286" s="2"/>
      <c r="J2286" s="2">
        <v>48920</v>
      </c>
      <c r="K2286" s="2"/>
      <c r="L2286" s="2">
        <v>47556</v>
      </c>
      <c r="M2286" s="2"/>
      <c r="N2286" s="2">
        <v>49145</v>
      </c>
      <c r="P2286" s="2">
        <v>47696</v>
      </c>
      <c r="Q2286" s="2"/>
      <c r="R2286" s="2">
        <v>48997</v>
      </c>
      <c r="AB2286" s="2"/>
    </row>
    <row r="2287" spans="8:28" ht="15" customHeight="1">
      <c r="H2287" s="2">
        <v>47772</v>
      </c>
      <c r="I2287" s="2"/>
      <c r="J2287" s="2">
        <v>48921</v>
      </c>
      <c r="K2287" s="2"/>
      <c r="L2287" s="2">
        <v>47555</v>
      </c>
      <c r="M2287" s="2"/>
      <c r="N2287" s="2">
        <v>49146</v>
      </c>
      <c r="P2287" s="2">
        <v>47695</v>
      </c>
      <c r="Q2287" s="2"/>
      <c r="R2287" s="2">
        <v>48998</v>
      </c>
      <c r="AB2287" s="2"/>
    </row>
    <row r="2288" spans="8:28" ht="15" customHeight="1">
      <c r="H2288" s="2">
        <v>47771</v>
      </c>
      <c r="I2288" s="2"/>
      <c r="J2288" s="2">
        <v>48922</v>
      </c>
      <c r="K2288" s="2"/>
      <c r="L2288" s="2">
        <v>47554</v>
      </c>
      <c r="M2288" s="2"/>
      <c r="N2288" s="2">
        <v>49149</v>
      </c>
      <c r="P2288" s="2">
        <v>47694</v>
      </c>
      <c r="Q2288" s="2"/>
      <c r="R2288" s="2">
        <v>48999</v>
      </c>
      <c r="AB2288" s="2"/>
    </row>
    <row r="2289" spans="8:28" ht="15" customHeight="1">
      <c r="H2289" s="2">
        <v>47770</v>
      </c>
      <c r="I2289" s="2"/>
      <c r="J2289" s="2">
        <v>48925</v>
      </c>
      <c r="K2289" s="2"/>
      <c r="L2289" s="2">
        <v>47553</v>
      </c>
      <c r="M2289" s="2"/>
      <c r="N2289" s="2">
        <v>49150</v>
      </c>
      <c r="P2289" s="2">
        <v>47693</v>
      </c>
      <c r="Q2289" s="2"/>
      <c r="R2289" s="2">
        <v>49002</v>
      </c>
      <c r="AB2289" s="2"/>
    </row>
    <row r="2290" spans="8:28" ht="15" customHeight="1">
      <c r="H2290" s="2">
        <v>47767</v>
      </c>
      <c r="I2290" s="2"/>
      <c r="J2290" s="2">
        <v>48926</v>
      </c>
      <c r="K2290" s="2"/>
      <c r="L2290" s="2">
        <v>47550</v>
      </c>
      <c r="M2290" s="2"/>
      <c r="N2290" s="2">
        <v>49151</v>
      </c>
      <c r="P2290" s="2">
        <v>47690</v>
      </c>
      <c r="Q2290" s="2"/>
      <c r="R2290" s="2">
        <v>49003</v>
      </c>
      <c r="AB2290" s="2"/>
    </row>
    <row r="2291" spans="8:28" ht="15" customHeight="1">
      <c r="H2291" s="2">
        <v>47766</v>
      </c>
      <c r="I2291" s="2"/>
      <c r="J2291" s="2">
        <v>48927</v>
      </c>
      <c r="K2291" s="2"/>
      <c r="L2291" s="2">
        <v>47549</v>
      </c>
      <c r="M2291" s="2"/>
      <c r="N2291" s="2">
        <v>49152</v>
      </c>
      <c r="P2291" s="2">
        <v>47689</v>
      </c>
      <c r="Q2291" s="2"/>
      <c r="R2291" s="2">
        <v>49005</v>
      </c>
      <c r="AB2291" s="2"/>
    </row>
    <row r="2292" spans="8:28" ht="15" customHeight="1">
      <c r="H2292" s="2">
        <v>47765</v>
      </c>
      <c r="I2292" s="2"/>
      <c r="J2292" s="2">
        <v>48928</v>
      </c>
      <c r="K2292" s="2"/>
      <c r="L2292" s="2">
        <v>47548</v>
      </c>
      <c r="M2292" s="2"/>
      <c r="N2292" s="2">
        <v>49153</v>
      </c>
      <c r="P2292" s="2">
        <v>47688</v>
      </c>
      <c r="Q2292" s="2"/>
      <c r="R2292" s="2">
        <v>49006</v>
      </c>
      <c r="AB2292" s="2"/>
    </row>
    <row r="2293" spans="8:28" ht="15" customHeight="1">
      <c r="H2293" s="2">
        <v>47764</v>
      </c>
      <c r="I2293" s="2"/>
      <c r="J2293" s="2">
        <v>48929</v>
      </c>
      <c r="K2293" s="2"/>
      <c r="L2293" s="2">
        <v>47547</v>
      </c>
      <c r="M2293" s="2"/>
      <c r="N2293" s="2">
        <v>49156</v>
      </c>
      <c r="P2293" s="2">
        <v>47687</v>
      </c>
      <c r="Q2293" s="2"/>
      <c r="R2293" s="2">
        <v>49009</v>
      </c>
      <c r="AB2293" s="2"/>
    </row>
    <row r="2294" spans="8:28" ht="15" customHeight="1">
      <c r="H2294" s="2">
        <v>47763</v>
      </c>
      <c r="I2294" s="2"/>
      <c r="J2294" s="2">
        <v>48932</v>
      </c>
      <c r="K2294" s="2"/>
      <c r="L2294" s="2">
        <v>47546</v>
      </c>
      <c r="M2294" s="2"/>
      <c r="N2294" s="2">
        <v>49157</v>
      </c>
      <c r="P2294" s="2">
        <v>47686</v>
      </c>
      <c r="Q2294" s="2"/>
      <c r="R2294" s="2">
        <v>49010</v>
      </c>
      <c r="AB2294" s="2"/>
    </row>
    <row r="2295" spans="8:28" ht="15" customHeight="1">
      <c r="H2295" s="2">
        <v>47760</v>
      </c>
      <c r="I2295" s="2"/>
      <c r="J2295" s="2">
        <v>48933</v>
      </c>
      <c r="K2295" s="2"/>
      <c r="L2295" s="2">
        <v>47543</v>
      </c>
      <c r="M2295" s="2"/>
      <c r="N2295" s="2">
        <v>49158</v>
      </c>
      <c r="P2295" s="2">
        <v>47683</v>
      </c>
      <c r="Q2295" s="2"/>
      <c r="R2295" s="2">
        <v>49011</v>
      </c>
      <c r="AB2295" s="2"/>
    </row>
    <row r="2296" spans="8:28" ht="15" customHeight="1">
      <c r="H2296" s="2">
        <v>47759</v>
      </c>
      <c r="I2296" s="2"/>
      <c r="J2296" s="2">
        <v>48934</v>
      </c>
      <c r="K2296" s="2"/>
      <c r="L2296" s="2">
        <v>47542</v>
      </c>
      <c r="M2296" s="2"/>
      <c r="N2296" s="2">
        <v>49159</v>
      </c>
      <c r="P2296" s="2">
        <v>47682</v>
      </c>
      <c r="Q2296" s="2"/>
      <c r="R2296" s="2">
        <v>49012</v>
      </c>
      <c r="AB2296" s="2"/>
    </row>
    <row r="2297" spans="8:28" ht="15" customHeight="1">
      <c r="H2297" s="2">
        <v>47758</v>
      </c>
      <c r="I2297" s="2"/>
      <c r="J2297" s="2">
        <v>48935</v>
      </c>
      <c r="K2297" s="2"/>
      <c r="L2297" s="2">
        <v>47541</v>
      </c>
      <c r="M2297" s="2"/>
      <c r="N2297" s="2">
        <v>49160</v>
      </c>
      <c r="P2297" s="2">
        <v>47681</v>
      </c>
      <c r="Q2297" s="2"/>
      <c r="R2297" s="2">
        <v>49013</v>
      </c>
      <c r="AB2297" s="2"/>
    </row>
    <row r="2298" spans="8:28" ht="15" customHeight="1">
      <c r="H2298" s="2">
        <v>47757</v>
      </c>
      <c r="I2298" s="2"/>
      <c r="J2298" s="2">
        <v>48936</v>
      </c>
      <c r="K2298" s="2"/>
      <c r="L2298" s="2">
        <v>47540</v>
      </c>
      <c r="M2298" s="2"/>
      <c r="N2298" s="2">
        <v>49163</v>
      </c>
      <c r="P2298" s="2">
        <v>47680</v>
      </c>
      <c r="Q2298" s="2"/>
      <c r="R2298" s="2">
        <v>49016</v>
      </c>
      <c r="AB2298" s="2"/>
    </row>
    <row r="2299" spans="8:28" ht="15" customHeight="1">
      <c r="H2299" s="2">
        <v>47756</v>
      </c>
      <c r="I2299" s="2"/>
      <c r="J2299" s="2">
        <v>48940</v>
      </c>
      <c r="K2299" s="2"/>
      <c r="L2299" s="2">
        <v>47539</v>
      </c>
      <c r="M2299" s="2"/>
      <c r="N2299" s="2">
        <v>49164</v>
      </c>
      <c r="P2299" s="2">
        <v>47679</v>
      </c>
      <c r="Q2299" s="2"/>
      <c r="R2299" s="2">
        <v>49017</v>
      </c>
      <c r="AB2299" s="2"/>
    </row>
    <row r="2300" spans="8:28" ht="15" customHeight="1">
      <c r="H2300" s="2">
        <v>47753</v>
      </c>
      <c r="I2300" s="2"/>
      <c r="J2300" s="2">
        <v>48941</v>
      </c>
      <c r="K2300" s="2"/>
      <c r="L2300" s="2">
        <v>47536</v>
      </c>
      <c r="M2300" s="2"/>
      <c r="N2300" s="2">
        <v>49165</v>
      </c>
      <c r="P2300" s="2">
        <v>47676</v>
      </c>
      <c r="Q2300" s="2"/>
      <c r="R2300" s="2">
        <v>49018</v>
      </c>
      <c r="AB2300" s="2"/>
    </row>
    <row r="2301" spans="8:28" ht="15" customHeight="1">
      <c r="H2301" s="2">
        <v>47752</v>
      </c>
      <c r="I2301" s="2"/>
      <c r="J2301" s="2">
        <v>48942</v>
      </c>
      <c r="K2301" s="2"/>
      <c r="L2301" s="2">
        <v>47535</v>
      </c>
      <c r="M2301" s="2"/>
      <c r="N2301" s="2">
        <v>49166</v>
      </c>
      <c r="P2301" s="2">
        <v>47675</v>
      </c>
      <c r="Q2301" s="2"/>
      <c r="R2301" s="2">
        <v>49019</v>
      </c>
      <c r="AB2301" s="2"/>
    </row>
    <row r="2302" spans="8:28" ht="15" customHeight="1">
      <c r="H2302" s="2">
        <v>47751</v>
      </c>
      <c r="I2302" s="2"/>
      <c r="J2302" s="2">
        <v>48943</v>
      </c>
      <c r="K2302" s="2"/>
      <c r="L2302" s="2">
        <v>47534</v>
      </c>
      <c r="M2302" s="2"/>
      <c r="N2302" s="2">
        <v>49170</v>
      </c>
      <c r="P2302" s="2">
        <v>47674</v>
      </c>
      <c r="Q2302" s="2"/>
      <c r="R2302" s="2">
        <v>49020</v>
      </c>
      <c r="AB2302" s="2"/>
    </row>
    <row r="2303" spans="8:28" ht="15" customHeight="1">
      <c r="H2303" s="2">
        <v>47750</v>
      </c>
      <c r="I2303" s="2"/>
      <c r="J2303" s="2">
        <v>48947</v>
      </c>
      <c r="K2303" s="2"/>
      <c r="L2303" s="2">
        <v>47533</v>
      </c>
      <c r="M2303" s="2"/>
      <c r="N2303" s="2">
        <v>49171</v>
      </c>
      <c r="P2303" s="2">
        <v>47673</v>
      </c>
      <c r="Q2303" s="2"/>
      <c r="R2303" s="2">
        <v>49023</v>
      </c>
      <c r="AB2303" s="2"/>
    </row>
    <row r="2304" spans="8:28" ht="15" customHeight="1">
      <c r="H2304" s="2">
        <v>47749</v>
      </c>
      <c r="I2304" s="2"/>
      <c r="J2304" s="2">
        <v>48948</v>
      </c>
      <c r="K2304" s="2"/>
      <c r="L2304" s="2">
        <v>47529</v>
      </c>
      <c r="M2304" s="2"/>
      <c r="N2304" s="2">
        <v>49172</v>
      </c>
      <c r="P2304" s="2">
        <v>47672</v>
      </c>
      <c r="Q2304" s="2"/>
      <c r="R2304" s="2">
        <v>49024</v>
      </c>
      <c r="AB2304" s="2"/>
    </row>
    <row r="2305" spans="8:28" ht="15" customHeight="1">
      <c r="H2305" s="2">
        <v>47746</v>
      </c>
      <c r="I2305" s="2"/>
      <c r="J2305" s="2">
        <v>48949</v>
      </c>
      <c r="K2305" s="2"/>
      <c r="L2305" s="2">
        <v>47528</v>
      </c>
      <c r="M2305" s="2"/>
      <c r="N2305" s="2">
        <v>49173</v>
      </c>
      <c r="P2305" s="2">
        <v>47669</v>
      </c>
      <c r="Q2305" s="2"/>
      <c r="R2305" s="2">
        <v>49025</v>
      </c>
      <c r="AB2305" s="2"/>
    </row>
    <row r="2306" spans="8:28" ht="15" customHeight="1">
      <c r="H2306" s="2">
        <v>47745</v>
      </c>
      <c r="I2306" s="2"/>
      <c r="J2306" s="2">
        <v>48950</v>
      </c>
      <c r="K2306" s="2"/>
      <c r="L2306" s="2">
        <v>47527</v>
      </c>
      <c r="M2306" s="2"/>
      <c r="N2306" s="2">
        <v>49174</v>
      </c>
      <c r="P2306" s="2">
        <v>47668</v>
      </c>
      <c r="Q2306" s="2"/>
      <c r="R2306" s="2">
        <v>49026</v>
      </c>
      <c r="AB2306" s="2"/>
    </row>
    <row r="2307" spans="8:28" ht="15" customHeight="1">
      <c r="H2307" s="2">
        <v>47744</v>
      </c>
      <c r="I2307" s="2"/>
      <c r="J2307" s="2">
        <v>48953</v>
      </c>
      <c r="K2307" s="2"/>
      <c r="L2307" s="2">
        <v>47526</v>
      </c>
      <c r="M2307" s="2"/>
      <c r="N2307" s="2">
        <v>49177</v>
      </c>
      <c r="P2307" s="2">
        <v>47667</v>
      </c>
      <c r="Q2307" s="2"/>
      <c r="R2307" s="2">
        <v>49027</v>
      </c>
      <c r="AB2307" s="2"/>
    </row>
    <row r="2308" spans="8:28" ht="15" customHeight="1">
      <c r="H2308" s="2">
        <v>47743</v>
      </c>
      <c r="I2308" s="2"/>
      <c r="J2308" s="2">
        <v>48954</v>
      </c>
      <c r="K2308" s="2"/>
      <c r="L2308" s="2">
        <v>47522</v>
      </c>
      <c r="M2308" s="2"/>
      <c r="N2308" s="2">
        <v>49178</v>
      </c>
      <c r="P2308" s="2">
        <v>47666</v>
      </c>
      <c r="Q2308" s="2"/>
      <c r="R2308" s="2">
        <v>49030</v>
      </c>
      <c r="AB2308" s="2"/>
    </row>
    <row r="2309" spans="8:28" ht="15" customHeight="1">
      <c r="H2309" s="2">
        <v>47742</v>
      </c>
      <c r="I2309" s="2"/>
      <c r="J2309" s="2">
        <v>48955</v>
      </c>
      <c r="K2309" s="2"/>
      <c r="L2309" s="2">
        <v>47521</v>
      </c>
      <c r="M2309" s="2"/>
      <c r="N2309" s="2">
        <v>49179</v>
      </c>
      <c r="P2309" s="2">
        <v>47665</v>
      </c>
      <c r="Q2309" s="2"/>
      <c r="R2309" s="2">
        <v>49031</v>
      </c>
      <c r="AB2309" s="2"/>
    </row>
    <row r="2310" spans="8:28" ht="15" customHeight="1">
      <c r="H2310" s="2">
        <v>47739</v>
      </c>
      <c r="I2310" s="2"/>
      <c r="J2310" s="2">
        <v>48956</v>
      </c>
      <c r="K2310" s="2"/>
      <c r="L2310" s="2">
        <v>47520</v>
      </c>
      <c r="M2310" s="2"/>
      <c r="N2310" s="2">
        <v>49180</v>
      </c>
      <c r="P2310" s="2">
        <v>47662</v>
      </c>
      <c r="Q2310" s="2"/>
      <c r="R2310" s="2">
        <v>49032</v>
      </c>
      <c r="AB2310" s="2"/>
    </row>
    <row r="2311" spans="8:28" ht="15" customHeight="1">
      <c r="H2311" s="2">
        <v>47738</v>
      </c>
      <c r="I2311" s="2"/>
      <c r="J2311" s="2">
        <v>48957</v>
      </c>
      <c r="K2311" s="2"/>
      <c r="L2311" s="2">
        <v>47519</v>
      </c>
      <c r="M2311" s="2"/>
      <c r="N2311" s="2">
        <v>49181</v>
      </c>
      <c r="P2311" s="2">
        <v>47661</v>
      </c>
      <c r="Q2311" s="2"/>
      <c r="R2311" s="2">
        <v>49033</v>
      </c>
      <c r="AB2311" s="2"/>
    </row>
    <row r="2312" spans="8:28" ht="15" customHeight="1">
      <c r="H2312" s="2">
        <v>47737</v>
      </c>
      <c r="I2312" s="2"/>
      <c r="J2312" s="2">
        <v>48961</v>
      </c>
      <c r="K2312" s="2"/>
      <c r="L2312" s="2">
        <v>47518</v>
      </c>
      <c r="M2312" s="2"/>
      <c r="N2312" s="2">
        <v>49184</v>
      </c>
      <c r="P2312" s="2">
        <v>47660</v>
      </c>
      <c r="Q2312" s="2"/>
      <c r="R2312" s="2">
        <v>49034</v>
      </c>
      <c r="AB2312" s="2"/>
    </row>
    <row r="2313" spans="8:28" ht="15" customHeight="1">
      <c r="H2313" s="2">
        <v>47736</v>
      </c>
      <c r="I2313" s="2"/>
      <c r="J2313" s="2">
        <v>48962</v>
      </c>
      <c r="K2313" s="2"/>
      <c r="L2313" s="2">
        <v>47515</v>
      </c>
      <c r="M2313" s="2"/>
      <c r="N2313" s="2">
        <v>49185</v>
      </c>
      <c r="P2313" s="2">
        <v>47659</v>
      </c>
      <c r="Q2313" s="2"/>
      <c r="R2313" s="2">
        <v>49037</v>
      </c>
      <c r="AB2313" s="2"/>
    </row>
    <row r="2314" spans="8:28" ht="15" customHeight="1">
      <c r="H2314" s="2">
        <v>47735</v>
      </c>
      <c r="I2314" s="2"/>
      <c r="J2314" s="2">
        <v>48963</v>
      </c>
      <c r="K2314" s="2"/>
      <c r="L2314" s="2">
        <v>47514</v>
      </c>
      <c r="M2314" s="2"/>
      <c r="N2314" s="2">
        <v>49186</v>
      </c>
      <c r="P2314" s="2">
        <v>47658</v>
      </c>
      <c r="Q2314" s="2"/>
      <c r="R2314" s="2">
        <v>49038</v>
      </c>
      <c r="AB2314" s="2"/>
    </row>
    <row r="2315" spans="8:28" ht="15" customHeight="1">
      <c r="H2315" s="2">
        <v>47732</v>
      </c>
      <c r="I2315" s="2"/>
      <c r="J2315" s="2">
        <v>48964</v>
      </c>
      <c r="K2315" s="2"/>
      <c r="L2315" s="2">
        <v>47513</v>
      </c>
      <c r="M2315" s="2"/>
      <c r="N2315" s="2">
        <v>49187</v>
      </c>
      <c r="P2315" s="2">
        <v>47655</v>
      </c>
      <c r="Q2315" s="2"/>
      <c r="R2315" s="2">
        <v>49039</v>
      </c>
      <c r="AB2315" s="2"/>
    </row>
    <row r="2316" spans="8:28" ht="15" customHeight="1">
      <c r="H2316" s="2">
        <v>47731</v>
      </c>
      <c r="I2316" s="2"/>
      <c r="J2316" s="2">
        <v>48967</v>
      </c>
      <c r="K2316" s="2"/>
      <c r="L2316" s="2">
        <v>47512</v>
      </c>
      <c r="M2316" s="2"/>
      <c r="N2316" s="2">
        <v>49188</v>
      </c>
      <c r="P2316" s="2">
        <v>47654</v>
      </c>
      <c r="Q2316" s="2"/>
      <c r="R2316" s="2">
        <v>49040</v>
      </c>
      <c r="AB2316" s="2"/>
    </row>
    <row r="2317" spans="8:28" ht="15" customHeight="1">
      <c r="H2317" s="2">
        <v>47730</v>
      </c>
      <c r="I2317" s="2"/>
      <c r="J2317" s="2">
        <v>48968</v>
      </c>
      <c r="K2317" s="2"/>
      <c r="L2317" s="2">
        <v>47511</v>
      </c>
      <c r="M2317" s="2"/>
      <c r="N2317" s="2">
        <v>49192</v>
      </c>
      <c r="P2317" s="2">
        <v>47653</v>
      </c>
      <c r="Q2317" s="2"/>
      <c r="R2317" s="2">
        <v>49041</v>
      </c>
      <c r="AB2317" s="2"/>
    </row>
    <row r="2318" spans="8:28" ht="15" customHeight="1">
      <c r="H2318" s="2">
        <v>47729</v>
      </c>
      <c r="I2318" s="2"/>
      <c r="J2318" s="2">
        <v>48969</v>
      </c>
      <c r="K2318" s="2"/>
      <c r="L2318" s="2">
        <v>47508</v>
      </c>
      <c r="M2318" s="2"/>
      <c r="N2318" s="2">
        <v>49193</v>
      </c>
      <c r="P2318" s="2">
        <v>47652</v>
      </c>
      <c r="Q2318" s="2"/>
      <c r="R2318" s="2">
        <v>49044</v>
      </c>
      <c r="AB2318" s="2"/>
    </row>
    <row r="2319" spans="8:28" ht="15" customHeight="1">
      <c r="H2319" s="2">
        <v>47725</v>
      </c>
      <c r="I2319" s="2"/>
      <c r="J2319" s="2">
        <v>48970</v>
      </c>
      <c r="K2319" s="2"/>
      <c r="L2319" s="2">
        <v>47507</v>
      </c>
      <c r="M2319" s="2"/>
      <c r="N2319" s="2">
        <v>49194</v>
      </c>
      <c r="P2319" s="2">
        <v>47651</v>
      </c>
      <c r="Q2319" s="2"/>
      <c r="R2319" s="2">
        <v>49045</v>
      </c>
      <c r="AB2319" s="2"/>
    </row>
    <row r="2320" spans="8:28" ht="15" customHeight="1">
      <c r="H2320" s="2">
        <v>47724</v>
      </c>
      <c r="I2320" s="2"/>
      <c r="J2320" s="2">
        <v>48971</v>
      </c>
      <c r="K2320" s="2"/>
      <c r="L2320" s="2">
        <v>47506</v>
      </c>
      <c r="M2320" s="2"/>
      <c r="N2320" s="2">
        <v>49195</v>
      </c>
      <c r="P2320" s="2">
        <v>47648</v>
      </c>
      <c r="Q2320" s="2"/>
      <c r="R2320" s="2">
        <v>49046</v>
      </c>
      <c r="AB2320" s="2"/>
    </row>
    <row r="2321" spans="8:28" ht="15" customHeight="1">
      <c r="H2321" s="2">
        <v>47723</v>
      </c>
      <c r="I2321" s="2"/>
      <c r="J2321" s="2">
        <v>48974</v>
      </c>
      <c r="K2321" s="2"/>
      <c r="L2321" s="2">
        <v>47505</v>
      </c>
      <c r="M2321" s="2"/>
      <c r="N2321" s="2">
        <v>49198</v>
      </c>
      <c r="P2321" s="2">
        <v>47647</v>
      </c>
      <c r="Q2321" s="2"/>
      <c r="R2321" s="2">
        <v>49047</v>
      </c>
      <c r="AB2321" s="2"/>
    </row>
    <row r="2322" spans="8:28" ht="15" customHeight="1">
      <c r="H2322" s="2">
        <v>47722</v>
      </c>
      <c r="I2322" s="2"/>
      <c r="J2322" s="2">
        <v>48975</v>
      </c>
      <c r="K2322" s="2"/>
      <c r="L2322" s="2">
        <v>47501</v>
      </c>
      <c r="M2322" s="2"/>
      <c r="N2322" s="2">
        <v>49199</v>
      </c>
      <c r="P2322" s="2">
        <v>47646</v>
      </c>
      <c r="Q2322" s="2"/>
      <c r="R2322" s="2">
        <v>49048</v>
      </c>
      <c r="AB2322" s="2"/>
    </row>
    <row r="2323" spans="8:28" ht="15" customHeight="1">
      <c r="H2323" s="2">
        <v>47721</v>
      </c>
      <c r="I2323" s="2"/>
      <c r="J2323" s="2">
        <v>48976</v>
      </c>
      <c r="K2323" s="2"/>
      <c r="L2323" s="2">
        <v>47500</v>
      </c>
      <c r="M2323" s="2"/>
      <c r="N2323" s="2">
        <v>49200</v>
      </c>
      <c r="P2323" s="2">
        <v>47645</v>
      </c>
      <c r="Q2323" s="2"/>
      <c r="R2323" s="2">
        <v>49051</v>
      </c>
      <c r="AB2323" s="2"/>
    </row>
    <row r="2324" spans="8:28" ht="15" customHeight="1">
      <c r="H2324" s="2">
        <v>47718</v>
      </c>
      <c r="I2324" s="2"/>
      <c r="J2324" s="2">
        <v>48977</v>
      </c>
      <c r="K2324" s="2"/>
      <c r="L2324" s="2">
        <v>47499</v>
      </c>
      <c r="M2324" s="2"/>
      <c r="N2324" s="2">
        <v>49201</v>
      </c>
      <c r="P2324" s="2">
        <v>47644</v>
      </c>
      <c r="Q2324" s="2"/>
      <c r="R2324" s="2">
        <v>49052</v>
      </c>
      <c r="AB2324" s="2"/>
    </row>
    <row r="2325" spans="8:28" ht="15" customHeight="1">
      <c r="H2325" s="2">
        <v>47717</v>
      </c>
      <c r="I2325" s="2"/>
      <c r="J2325" s="2">
        <v>48978</v>
      </c>
      <c r="K2325" s="2"/>
      <c r="L2325" s="2">
        <v>47498</v>
      </c>
      <c r="M2325" s="2"/>
      <c r="N2325" s="2">
        <v>49202</v>
      </c>
      <c r="P2325" s="2">
        <v>47641</v>
      </c>
      <c r="Q2325" s="2"/>
      <c r="R2325" s="2">
        <v>49053</v>
      </c>
      <c r="AB2325" s="2"/>
    </row>
    <row r="2326" spans="8:28" ht="15" customHeight="1">
      <c r="H2326" s="2">
        <v>47716</v>
      </c>
      <c r="I2326" s="2"/>
      <c r="J2326" s="2">
        <v>48981</v>
      </c>
      <c r="K2326" s="2"/>
      <c r="L2326" s="2">
        <v>47494</v>
      </c>
      <c r="M2326" s="2"/>
      <c r="N2326" s="2">
        <v>49206</v>
      </c>
      <c r="P2326" s="2">
        <v>47639</v>
      </c>
      <c r="Q2326" s="2"/>
      <c r="R2326" s="2">
        <v>49054</v>
      </c>
      <c r="AB2326" s="2"/>
    </row>
    <row r="2327" spans="8:28" ht="15" customHeight="1">
      <c r="H2327" s="2">
        <v>47715</v>
      </c>
      <c r="I2327" s="2"/>
      <c r="J2327" s="2">
        <v>48982</v>
      </c>
      <c r="K2327" s="2"/>
      <c r="L2327" s="2">
        <v>47493</v>
      </c>
      <c r="M2327" s="2"/>
      <c r="N2327" s="2">
        <v>49207</v>
      </c>
      <c r="P2327" s="2">
        <v>47638</v>
      </c>
      <c r="Q2327" s="2"/>
      <c r="R2327" s="2">
        <v>49055</v>
      </c>
      <c r="AB2327" s="2"/>
    </row>
    <row r="2328" spans="8:28" ht="15" customHeight="1">
      <c r="H2328" s="2">
        <v>47714</v>
      </c>
      <c r="I2328" s="2"/>
      <c r="J2328" s="2">
        <v>48983</v>
      </c>
      <c r="K2328" s="2"/>
      <c r="L2328" s="2">
        <v>47492</v>
      </c>
      <c r="M2328" s="2"/>
      <c r="N2328" s="2">
        <v>49208</v>
      </c>
      <c r="P2328" s="2">
        <v>47637</v>
      </c>
      <c r="Q2328" s="2"/>
      <c r="R2328" s="2">
        <v>49058</v>
      </c>
      <c r="AB2328" s="2"/>
    </row>
    <row r="2329" spans="8:28" ht="15" customHeight="1">
      <c r="H2329" s="2">
        <v>47711</v>
      </c>
      <c r="I2329" s="2"/>
      <c r="J2329" s="2">
        <v>48984</v>
      </c>
      <c r="K2329" s="2"/>
      <c r="L2329" s="2">
        <v>47491</v>
      </c>
      <c r="M2329" s="2"/>
      <c r="N2329" s="2">
        <v>49209</v>
      </c>
      <c r="P2329" s="2">
        <v>47634</v>
      </c>
      <c r="Q2329" s="2"/>
      <c r="R2329" s="2">
        <v>49059</v>
      </c>
      <c r="AB2329" s="2"/>
    </row>
    <row r="2330" spans="8:28" ht="15" customHeight="1">
      <c r="H2330" s="2">
        <v>47710</v>
      </c>
      <c r="I2330" s="2"/>
      <c r="J2330" s="2">
        <v>48985</v>
      </c>
      <c r="K2330" s="2"/>
      <c r="L2330" s="2">
        <v>47490</v>
      </c>
      <c r="M2330" s="2"/>
      <c r="N2330" s="2">
        <v>49212</v>
      </c>
      <c r="P2330" s="2">
        <v>47633</v>
      </c>
      <c r="Q2330" s="2"/>
      <c r="R2330" s="2">
        <v>49060</v>
      </c>
      <c r="AB2330" s="2"/>
    </row>
    <row r="2331" spans="8:28" ht="15" customHeight="1">
      <c r="H2331" s="2">
        <v>47709</v>
      </c>
      <c r="I2331" s="2"/>
      <c r="J2331" s="2">
        <v>48988</v>
      </c>
      <c r="K2331" s="2"/>
      <c r="L2331" s="2">
        <v>47487</v>
      </c>
      <c r="M2331" s="2"/>
      <c r="N2331" s="2">
        <v>49213</v>
      </c>
      <c r="P2331" s="2">
        <v>47632</v>
      </c>
      <c r="Q2331" s="2"/>
      <c r="R2331" s="2">
        <v>49061</v>
      </c>
      <c r="AB2331" s="2"/>
    </row>
    <row r="2332" spans="8:28" ht="15" customHeight="1">
      <c r="H2332" s="2">
        <v>47708</v>
      </c>
      <c r="I2332" s="2"/>
      <c r="J2332" s="2">
        <v>48989</v>
      </c>
      <c r="K2332" s="2"/>
      <c r="L2332" s="2">
        <v>47480</v>
      </c>
      <c r="M2332" s="2"/>
      <c r="N2332" s="2">
        <v>49214</v>
      </c>
      <c r="P2332" s="2">
        <v>47631</v>
      </c>
      <c r="Q2332" s="2"/>
      <c r="R2332" s="2">
        <v>49062</v>
      </c>
      <c r="AB2332" s="2"/>
    </row>
    <row r="2333" spans="8:28" ht="15" customHeight="1">
      <c r="H2333" s="2">
        <v>47707</v>
      </c>
      <c r="I2333" s="2"/>
      <c r="J2333" s="2">
        <v>48990</v>
      </c>
      <c r="K2333" s="2"/>
      <c r="L2333" s="2">
        <v>47479</v>
      </c>
      <c r="M2333" s="2"/>
      <c r="N2333" s="2">
        <v>49215</v>
      </c>
      <c r="P2333" s="2">
        <v>47630</v>
      </c>
      <c r="Q2333" s="2"/>
      <c r="R2333" s="2">
        <v>49066</v>
      </c>
      <c r="AB2333" s="2"/>
    </row>
    <row r="2334" spans="8:28" ht="15" customHeight="1">
      <c r="H2334" s="2">
        <v>47704</v>
      </c>
      <c r="I2334" s="2"/>
      <c r="J2334" s="2">
        <v>48991</v>
      </c>
      <c r="K2334" s="2"/>
      <c r="L2334" s="2">
        <v>47478</v>
      </c>
      <c r="M2334" s="2"/>
      <c r="N2334" s="2">
        <v>49216</v>
      </c>
      <c r="P2334" s="2">
        <v>47627</v>
      </c>
      <c r="Q2334" s="2"/>
      <c r="R2334" s="2">
        <v>49067</v>
      </c>
      <c r="AB2334" s="2"/>
    </row>
    <row r="2335" spans="8:28" ht="15" customHeight="1">
      <c r="H2335" s="2">
        <v>47703</v>
      </c>
      <c r="I2335" s="2"/>
      <c r="J2335" s="2">
        <v>48992</v>
      </c>
      <c r="K2335" s="2"/>
      <c r="L2335" s="2">
        <v>47476</v>
      </c>
      <c r="M2335" s="2"/>
      <c r="N2335" s="2">
        <v>49219</v>
      </c>
      <c r="P2335" s="2">
        <v>47626</v>
      </c>
      <c r="Q2335" s="2"/>
      <c r="R2335" s="2">
        <v>49068</v>
      </c>
      <c r="AB2335" s="2"/>
    </row>
    <row r="2336" spans="8:28" ht="15" customHeight="1">
      <c r="H2336" s="2">
        <v>47702</v>
      </c>
      <c r="I2336" s="2"/>
      <c r="J2336" s="2">
        <v>48996</v>
      </c>
      <c r="K2336" s="2"/>
      <c r="L2336" s="2">
        <v>47473</v>
      </c>
      <c r="M2336" s="2"/>
      <c r="N2336" s="2">
        <v>49220</v>
      </c>
      <c r="P2336" s="2">
        <v>47625</v>
      </c>
      <c r="Q2336" s="2"/>
      <c r="R2336" s="2">
        <v>49072</v>
      </c>
      <c r="AB2336" s="2"/>
    </row>
    <row r="2337" spans="8:28" ht="15" customHeight="1">
      <c r="H2337" s="2">
        <v>47701</v>
      </c>
      <c r="I2337" s="2"/>
      <c r="J2337" s="2">
        <v>48997</v>
      </c>
      <c r="K2337" s="2"/>
      <c r="L2337" s="2">
        <v>47472</v>
      </c>
      <c r="M2337" s="2"/>
      <c r="N2337" s="2">
        <v>49221</v>
      </c>
      <c r="P2337" s="2">
        <v>47624</v>
      </c>
      <c r="Q2337" s="2"/>
      <c r="R2337" s="2">
        <v>49073</v>
      </c>
      <c r="AB2337" s="2"/>
    </row>
    <row r="2338" spans="8:28" ht="15" customHeight="1">
      <c r="H2338" s="2">
        <v>47700</v>
      </c>
      <c r="I2338" s="2"/>
      <c r="J2338" s="2">
        <v>48998</v>
      </c>
      <c r="K2338" s="2"/>
      <c r="L2338" s="2">
        <v>47471</v>
      </c>
      <c r="M2338" s="2"/>
      <c r="N2338" s="2">
        <v>49222</v>
      </c>
      <c r="P2338" s="2">
        <v>47623</v>
      </c>
      <c r="Q2338" s="2"/>
      <c r="R2338" s="2">
        <v>49074</v>
      </c>
      <c r="AB2338" s="2"/>
    </row>
    <row r="2339" spans="8:28" ht="15" customHeight="1">
      <c r="H2339" s="2">
        <v>47697</v>
      </c>
      <c r="I2339" s="2"/>
      <c r="J2339" s="2">
        <v>48999</v>
      </c>
      <c r="K2339" s="2"/>
      <c r="L2339" s="2">
        <v>47470</v>
      </c>
      <c r="M2339" s="2"/>
      <c r="N2339" s="2">
        <v>49223</v>
      </c>
      <c r="P2339" s="2">
        <v>47620</v>
      </c>
      <c r="Q2339" s="2"/>
      <c r="R2339" s="2">
        <v>49075</v>
      </c>
      <c r="AB2339" s="2"/>
    </row>
    <row r="2340" spans="8:28" ht="15" customHeight="1">
      <c r="H2340" s="2">
        <v>47696</v>
      </c>
      <c r="I2340" s="2"/>
      <c r="J2340" s="2">
        <v>49002</v>
      </c>
      <c r="K2340" s="2"/>
      <c r="L2340" s="2">
        <v>47469</v>
      </c>
      <c r="M2340" s="2"/>
      <c r="N2340" s="2">
        <v>49227</v>
      </c>
      <c r="P2340" s="2">
        <v>47619</v>
      </c>
      <c r="Q2340" s="2"/>
      <c r="R2340" s="2">
        <v>49076</v>
      </c>
      <c r="AB2340" s="2"/>
    </row>
    <row r="2341" spans="8:28" ht="15" customHeight="1">
      <c r="H2341" s="2">
        <v>47695</v>
      </c>
      <c r="I2341" s="2"/>
      <c r="J2341" s="2">
        <v>49003</v>
      </c>
      <c r="K2341" s="2"/>
      <c r="L2341" s="2">
        <v>47466</v>
      </c>
      <c r="M2341" s="2"/>
      <c r="N2341" s="2">
        <v>49228</v>
      </c>
      <c r="P2341" s="2">
        <v>47618</v>
      </c>
      <c r="Q2341" s="2"/>
      <c r="R2341" s="2">
        <v>49079</v>
      </c>
      <c r="AB2341" s="2"/>
    </row>
    <row r="2342" spans="8:28" ht="15" customHeight="1">
      <c r="H2342" s="2">
        <v>47694</v>
      </c>
      <c r="I2342" s="2"/>
      <c r="J2342" s="2">
        <v>49004</v>
      </c>
      <c r="K2342" s="2"/>
      <c r="L2342" s="2">
        <v>47465</v>
      </c>
      <c r="M2342" s="2"/>
      <c r="N2342" s="2">
        <v>49229</v>
      </c>
      <c r="P2342" s="2">
        <v>47617</v>
      </c>
      <c r="Q2342" s="2"/>
      <c r="R2342" s="2">
        <v>49080</v>
      </c>
      <c r="AB2342" s="2"/>
    </row>
    <row r="2343" spans="8:28" ht="15" customHeight="1">
      <c r="H2343" s="2">
        <v>47693</v>
      </c>
      <c r="I2343" s="2"/>
      <c r="J2343" s="2">
        <v>49005</v>
      </c>
      <c r="K2343" s="2"/>
      <c r="L2343" s="2">
        <v>47464</v>
      </c>
      <c r="M2343" s="2"/>
      <c r="N2343" s="2">
        <v>49230</v>
      </c>
      <c r="P2343" s="2">
        <v>47616</v>
      </c>
      <c r="Q2343" s="2"/>
      <c r="R2343" s="2">
        <v>49081</v>
      </c>
      <c r="AB2343" s="2"/>
    </row>
    <row r="2344" spans="8:28" ht="15" customHeight="1">
      <c r="H2344" s="2">
        <v>47690</v>
      </c>
      <c r="I2344" s="2"/>
      <c r="J2344" s="2">
        <v>49006</v>
      </c>
      <c r="K2344" s="2"/>
      <c r="L2344" s="2">
        <v>47463</v>
      </c>
      <c r="M2344" s="2"/>
      <c r="N2344" s="2">
        <v>49233</v>
      </c>
      <c r="P2344" s="2">
        <v>47613</v>
      </c>
      <c r="Q2344" s="2"/>
      <c r="R2344" s="2">
        <v>49082</v>
      </c>
      <c r="AB2344" s="2"/>
    </row>
    <row r="2345" spans="8:28" ht="15" customHeight="1">
      <c r="H2345" s="2">
        <v>47689</v>
      </c>
      <c r="I2345" s="2"/>
      <c r="J2345" s="2">
        <v>49009</v>
      </c>
      <c r="K2345" s="2"/>
      <c r="L2345" s="2">
        <v>47462</v>
      </c>
      <c r="M2345" s="2"/>
      <c r="N2345" s="2">
        <v>49234</v>
      </c>
      <c r="P2345" s="2">
        <v>47611</v>
      </c>
      <c r="Q2345" s="2"/>
      <c r="R2345" s="2">
        <v>49083</v>
      </c>
      <c r="AB2345" s="2"/>
    </row>
    <row r="2346" spans="8:28" ht="15" customHeight="1">
      <c r="H2346" s="2">
        <v>47688</v>
      </c>
      <c r="I2346" s="2"/>
      <c r="J2346" s="2">
        <v>49010</v>
      </c>
      <c r="K2346" s="2"/>
      <c r="L2346" s="2">
        <v>47459</v>
      </c>
      <c r="M2346" s="2"/>
      <c r="N2346" s="2">
        <v>49235</v>
      </c>
      <c r="P2346" s="2">
        <v>47610</v>
      </c>
      <c r="Q2346" s="2"/>
      <c r="R2346" s="2">
        <v>49086</v>
      </c>
      <c r="AB2346" s="2"/>
    </row>
    <row r="2347" spans="8:28" ht="15" customHeight="1">
      <c r="H2347" s="2">
        <v>47687</v>
      </c>
      <c r="I2347" s="2"/>
      <c r="J2347" s="2">
        <v>49011</v>
      </c>
      <c r="K2347" s="2"/>
      <c r="L2347" s="2">
        <v>47458</v>
      </c>
      <c r="M2347" s="2"/>
      <c r="N2347" s="2">
        <v>49236</v>
      </c>
      <c r="P2347" s="2">
        <v>47606</v>
      </c>
      <c r="Q2347" s="2"/>
      <c r="R2347" s="2">
        <v>49087</v>
      </c>
      <c r="AB2347" s="2"/>
    </row>
    <row r="2348" spans="8:28" ht="15" customHeight="1">
      <c r="H2348" s="2">
        <v>47686</v>
      </c>
      <c r="I2348" s="2"/>
      <c r="J2348" s="2">
        <v>49012</v>
      </c>
      <c r="K2348" s="2"/>
      <c r="L2348" s="2">
        <v>47457</v>
      </c>
      <c r="M2348" s="2"/>
      <c r="N2348" s="2">
        <v>49237</v>
      </c>
      <c r="P2348" s="2">
        <v>47605</v>
      </c>
      <c r="Q2348" s="2"/>
      <c r="R2348" s="2">
        <v>49088</v>
      </c>
      <c r="AB2348" s="2"/>
    </row>
    <row r="2349" spans="8:28" ht="15" customHeight="1">
      <c r="H2349" s="2">
        <v>47683</v>
      </c>
      <c r="I2349" s="2"/>
      <c r="J2349" s="2">
        <v>49013</v>
      </c>
      <c r="K2349" s="2"/>
      <c r="L2349" s="2">
        <v>47456</v>
      </c>
      <c r="M2349" s="2"/>
      <c r="N2349" s="2">
        <v>49240</v>
      </c>
      <c r="P2349" s="2">
        <v>47603</v>
      </c>
      <c r="Q2349" s="2"/>
      <c r="R2349" s="2">
        <v>49090</v>
      </c>
      <c r="AB2349" s="2"/>
    </row>
    <row r="2350" spans="8:28" ht="15" customHeight="1">
      <c r="H2350" s="2">
        <v>47682</v>
      </c>
      <c r="I2350" s="2"/>
      <c r="J2350" s="2">
        <v>49016</v>
      </c>
      <c r="K2350" s="2"/>
      <c r="L2350" s="2">
        <v>47455</v>
      </c>
      <c r="M2350" s="2"/>
      <c r="N2350" s="2">
        <v>49241</v>
      </c>
      <c r="P2350" s="2">
        <v>47602</v>
      </c>
      <c r="Q2350" s="2"/>
      <c r="R2350" s="2">
        <v>49093</v>
      </c>
      <c r="AB2350" s="2"/>
    </row>
    <row r="2351" spans="8:28" ht="15" customHeight="1">
      <c r="H2351" s="2">
        <v>47681</v>
      </c>
      <c r="I2351" s="2"/>
      <c r="J2351" s="2">
        <v>49017</v>
      </c>
      <c r="K2351" s="2"/>
      <c r="L2351" s="2">
        <v>47452</v>
      </c>
      <c r="M2351" s="2"/>
      <c r="N2351" s="2">
        <v>49242</v>
      </c>
      <c r="P2351" s="2">
        <v>47599</v>
      </c>
      <c r="Q2351" s="2"/>
      <c r="R2351" s="2">
        <v>49094</v>
      </c>
      <c r="AB2351" s="2"/>
    </row>
    <row r="2352" spans="8:28" ht="15" customHeight="1">
      <c r="H2352" s="2">
        <v>47680</v>
      </c>
      <c r="I2352" s="2"/>
      <c r="J2352" s="2">
        <v>49018</v>
      </c>
      <c r="K2352" s="2"/>
      <c r="L2352" s="2">
        <v>47451</v>
      </c>
      <c r="M2352" s="2"/>
      <c r="N2352" s="2">
        <v>49243</v>
      </c>
      <c r="P2352" s="2">
        <v>47598</v>
      </c>
      <c r="Q2352" s="2"/>
      <c r="R2352" s="2">
        <v>49095</v>
      </c>
      <c r="AB2352" s="2"/>
    </row>
    <row r="2353" spans="8:28" ht="15" customHeight="1">
      <c r="H2353" s="2">
        <v>47679</v>
      </c>
      <c r="I2353" s="2"/>
      <c r="J2353" s="2">
        <v>49019</v>
      </c>
      <c r="K2353" s="2"/>
      <c r="L2353" s="2">
        <v>47450</v>
      </c>
      <c r="M2353" s="2"/>
      <c r="N2353" s="2">
        <v>49244</v>
      </c>
      <c r="P2353" s="2">
        <v>47597</v>
      </c>
      <c r="Q2353" s="2"/>
      <c r="R2353" s="2">
        <v>49096</v>
      </c>
      <c r="AB2353" s="2"/>
    </row>
    <row r="2354" spans="8:28" ht="15" customHeight="1">
      <c r="H2354" s="2">
        <v>47676</v>
      </c>
      <c r="I2354" s="2"/>
      <c r="J2354" s="2">
        <v>49020</v>
      </c>
      <c r="K2354" s="2"/>
      <c r="L2354" s="2">
        <v>47449</v>
      </c>
      <c r="M2354" s="2"/>
      <c r="N2354" s="2">
        <v>49247</v>
      </c>
      <c r="P2354" s="2">
        <v>47596</v>
      </c>
      <c r="Q2354" s="2"/>
      <c r="R2354" s="2">
        <v>49097</v>
      </c>
      <c r="AB2354" s="2"/>
    </row>
    <row r="2355" spans="8:28" ht="15" customHeight="1">
      <c r="H2355" s="2">
        <v>47675</v>
      </c>
      <c r="I2355" s="2"/>
      <c r="J2355" s="2">
        <v>49023</v>
      </c>
      <c r="K2355" s="2"/>
      <c r="L2355" s="2">
        <v>47448</v>
      </c>
      <c r="M2355" s="2"/>
      <c r="N2355" s="2">
        <v>49248</v>
      </c>
      <c r="P2355" s="2">
        <v>47595</v>
      </c>
      <c r="Q2355" s="2"/>
      <c r="R2355" s="2">
        <v>49100</v>
      </c>
      <c r="AB2355" s="2"/>
    </row>
    <row r="2356" spans="8:28" ht="15" customHeight="1">
      <c r="H2356" s="2">
        <v>47674</v>
      </c>
      <c r="I2356" s="2"/>
      <c r="J2356" s="2">
        <v>49024</v>
      </c>
      <c r="K2356" s="2"/>
      <c r="L2356" s="2">
        <v>47443</v>
      </c>
      <c r="M2356" s="2"/>
      <c r="N2356" s="2">
        <v>49249</v>
      </c>
      <c r="P2356" s="2">
        <v>47592</v>
      </c>
      <c r="Q2356" s="2"/>
      <c r="R2356" s="2">
        <v>49102</v>
      </c>
      <c r="AB2356" s="2"/>
    </row>
    <row r="2357" spans="8:28" ht="15" customHeight="1">
      <c r="H2357" s="2">
        <v>47673</v>
      </c>
      <c r="I2357" s="2"/>
      <c r="J2357" s="2">
        <v>49025</v>
      </c>
      <c r="K2357" s="2"/>
      <c r="L2357" s="2">
        <v>47442</v>
      </c>
      <c r="M2357" s="2"/>
      <c r="N2357" s="2">
        <v>49250</v>
      </c>
      <c r="P2357" s="2">
        <v>47591</v>
      </c>
      <c r="Q2357" s="2"/>
      <c r="R2357" s="2">
        <v>49103</v>
      </c>
      <c r="AB2357" s="2"/>
    </row>
    <row r="2358" spans="8:28" ht="15" customHeight="1">
      <c r="H2358" s="2">
        <v>47672</v>
      </c>
      <c r="I2358" s="2"/>
      <c r="J2358" s="2">
        <v>49026</v>
      </c>
      <c r="K2358" s="2"/>
      <c r="L2358" s="2">
        <v>47441</v>
      </c>
      <c r="M2358" s="2"/>
      <c r="N2358" s="2">
        <v>49254</v>
      </c>
      <c r="P2358" s="2">
        <v>47590</v>
      </c>
      <c r="Q2358" s="2"/>
      <c r="R2358" s="2">
        <v>49104</v>
      </c>
      <c r="AB2358" s="2"/>
    </row>
    <row r="2359" spans="8:28" ht="15" customHeight="1">
      <c r="H2359" s="2">
        <v>47669</v>
      </c>
      <c r="I2359" s="2"/>
      <c r="J2359" s="2">
        <v>49027</v>
      </c>
      <c r="K2359" s="2"/>
      <c r="L2359" s="2">
        <v>47438</v>
      </c>
      <c r="M2359" s="2"/>
      <c r="N2359" s="2">
        <v>49255</v>
      </c>
      <c r="P2359" s="2">
        <v>47589</v>
      </c>
      <c r="Q2359" s="2"/>
      <c r="R2359" s="2">
        <v>49107</v>
      </c>
      <c r="AB2359" s="2"/>
    </row>
    <row r="2360" spans="8:28" ht="15" customHeight="1">
      <c r="H2360" s="2">
        <v>47667</v>
      </c>
      <c r="I2360" s="2"/>
      <c r="J2360" s="2">
        <v>49030</v>
      </c>
      <c r="K2360" s="2"/>
      <c r="L2360" s="2">
        <v>47437</v>
      </c>
      <c r="M2360" s="2"/>
      <c r="N2360" s="2">
        <v>49256</v>
      </c>
      <c r="P2360" s="2">
        <v>47588</v>
      </c>
      <c r="Q2360" s="2"/>
      <c r="R2360" s="2">
        <v>49108</v>
      </c>
      <c r="AB2360" s="2"/>
    </row>
    <row r="2361" spans="8:28" ht="15" customHeight="1">
      <c r="H2361" s="2">
        <v>47666</v>
      </c>
      <c r="I2361" s="2"/>
      <c r="J2361" s="2">
        <v>49031</v>
      </c>
      <c r="K2361" s="2"/>
      <c r="L2361" s="2">
        <v>47436</v>
      </c>
      <c r="M2361" s="2"/>
      <c r="N2361" s="2">
        <v>49257</v>
      </c>
      <c r="P2361" s="2">
        <v>47585</v>
      </c>
      <c r="Q2361" s="2"/>
      <c r="R2361" s="2">
        <v>49109</v>
      </c>
      <c r="AB2361" s="2"/>
    </row>
    <row r="2362" spans="8:28" ht="15" customHeight="1">
      <c r="H2362" s="2">
        <v>47665</v>
      </c>
      <c r="I2362" s="2"/>
      <c r="J2362" s="2">
        <v>49032</v>
      </c>
      <c r="K2362" s="2"/>
      <c r="L2362" s="2">
        <v>47435</v>
      </c>
      <c r="M2362" s="2"/>
      <c r="N2362" s="2">
        <v>49258</v>
      </c>
      <c r="P2362" s="2">
        <v>47584</v>
      </c>
      <c r="Q2362" s="2"/>
      <c r="R2362" s="2">
        <v>49110</v>
      </c>
      <c r="AB2362" s="2"/>
    </row>
    <row r="2363" spans="8:28" ht="15" customHeight="1">
      <c r="H2363" s="2">
        <v>47662</v>
      </c>
      <c r="I2363" s="2"/>
      <c r="J2363" s="2">
        <v>49033</v>
      </c>
      <c r="K2363" s="2"/>
      <c r="L2363" s="2">
        <v>47434</v>
      </c>
      <c r="M2363" s="2"/>
      <c r="N2363" s="2">
        <v>49261</v>
      </c>
      <c r="P2363" s="2">
        <v>47583</v>
      </c>
      <c r="Q2363" s="2"/>
      <c r="R2363" s="2">
        <v>49111</v>
      </c>
      <c r="AB2363" s="2"/>
    </row>
    <row r="2364" spans="8:28" ht="15" customHeight="1">
      <c r="H2364" s="2">
        <v>47661</v>
      </c>
      <c r="I2364" s="2"/>
      <c r="J2364" s="2">
        <v>49034</v>
      </c>
      <c r="K2364" s="2"/>
      <c r="L2364" s="2">
        <v>47431</v>
      </c>
      <c r="M2364" s="2"/>
      <c r="N2364" s="2">
        <v>49262</v>
      </c>
      <c r="P2364" s="2">
        <v>47582</v>
      </c>
      <c r="Q2364" s="2"/>
      <c r="R2364" s="2">
        <v>49114</v>
      </c>
      <c r="AB2364" s="2"/>
    </row>
    <row r="2365" spans="8:28" ht="15" customHeight="1">
      <c r="H2365" s="2">
        <v>47660</v>
      </c>
      <c r="I2365" s="2"/>
      <c r="J2365" s="2">
        <v>49037</v>
      </c>
      <c r="K2365" s="2"/>
      <c r="L2365" s="2">
        <v>47430</v>
      </c>
      <c r="M2365" s="2"/>
      <c r="N2365" s="2">
        <v>49263</v>
      </c>
      <c r="P2365" s="2">
        <v>47581</v>
      </c>
      <c r="Q2365" s="2"/>
      <c r="R2365" s="2">
        <v>49115</v>
      </c>
      <c r="AB2365" s="2"/>
    </row>
    <row r="2366" spans="8:28" ht="15" customHeight="1">
      <c r="H2366" s="2">
        <v>47659</v>
      </c>
      <c r="I2366" s="2"/>
      <c r="J2366" s="2">
        <v>49038</v>
      </c>
      <c r="K2366" s="2"/>
      <c r="L2366" s="2">
        <v>47429</v>
      </c>
      <c r="M2366" s="2"/>
      <c r="N2366" s="2">
        <v>49264</v>
      </c>
      <c r="P2366" s="2">
        <v>47578</v>
      </c>
      <c r="Q2366" s="2"/>
      <c r="R2366" s="2">
        <v>49116</v>
      </c>
      <c r="AB2366" s="2"/>
    </row>
    <row r="2367" spans="8:28" ht="15" customHeight="1">
      <c r="H2367" s="2">
        <v>47658</v>
      </c>
      <c r="I2367" s="2"/>
      <c r="J2367" s="2">
        <v>49039</v>
      </c>
      <c r="K2367" s="2"/>
      <c r="L2367" s="2">
        <v>47428</v>
      </c>
      <c r="M2367" s="2"/>
      <c r="N2367" s="2">
        <v>49265</v>
      </c>
      <c r="P2367" s="2">
        <v>47577</v>
      </c>
      <c r="Q2367" s="2"/>
      <c r="R2367" s="2">
        <v>49117</v>
      </c>
      <c r="AB2367" s="2"/>
    </row>
    <row r="2368" spans="8:28" ht="15" customHeight="1">
      <c r="H2368" s="2">
        <v>47655</v>
      </c>
      <c r="I2368" s="2"/>
      <c r="J2368" s="2">
        <v>49040</v>
      </c>
      <c r="K2368" s="2"/>
      <c r="L2368" s="2">
        <v>47427</v>
      </c>
      <c r="M2368" s="2"/>
      <c r="N2368" s="2">
        <v>49268</v>
      </c>
      <c r="P2368" s="2">
        <v>47576</v>
      </c>
      <c r="Q2368" s="2"/>
      <c r="R2368" s="2">
        <v>49118</v>
      </c>
      <c r="AB2368" s="2"/>
    </row>
    <row r="2369" spans="8:28" ht="15" customHeight="1">
      <c r="H2369" s="2">
        <v>47654</v>
      </c>
      <c r="I2369" s="2"/>
      <c r="J2369" s="2">
        <v>49044</v>
      </c>
      <c r="K2369" s="2"/>
      <c r="L2369" s="2">
        <v>47424</v>
      </c>
      <c r="M2369" s="2"/>
      <c r="N2369" s="2">
        <v>49269</v>
      </c>
      <c r="P2369" s="2">
        <v>47575</v>
      </c>
      <c r="Q2369" s="2"/>
      <c r="R2369" s="2">
        <v>49121</v>
      </c>
      <c r="AB2369" s="2"/>
    </row>
    <row r="2370" spans="8:28" ht="15" customHeight="1">
      <c r="H2370" s="2">
        <v>47652</v>
      </c>
      <c r="I2370" s="2"/>
      <c r="J2370" s="2">
        <v>49045</v>
      </c>
      <c r="K2370" s="2"/>
      <c r="L2370" s="2">
        <v>47423</v>
      </c>
      <c r="M2370" s="2"/>
      <c r="N2370" s="2">
        <v>49270</v>
      </c>
      <c r="P2370" s="2">
        <v>47574</v>
      </c>
      <c r="Q2370" s="2"/>
      <c r="R2370" s="2">
        <v>49122</v>
      </c>
      <c r="AB2370" s="2"/>
    </row>
    <row r="2371" spans="8:28" ht="15" customHeight="1">
      <c r="H2371" s="2">
        <v>47651</v>
      </c>
      <c r="I2371" s="2"/>
      <c r="J2371" s="2">
        <v>49046</v>
      </c>
      <c r="K2371" s="2"/>
      <c r="L2371" s="2">
        <v>47422</v>
      </c>
      <c r="M2371" s="2"/>
      <c r="N2371" s="2">
        <v>49272</v>
      </c>
      <c r="P2371" s="2">
        <v>47571</v>
      </c>
      <c r="Q2371" s="2"/>
      <c r="R2371" s="2">
        <v>49123</v>
      </c>
      <c r="AB2371" s="2"/>
    </row>
    <row r="2372" spans="8:28" ht="15" customHeight="1">
      <c r="H2372" s="2">
        <v>47648</v>
      </c>
      <c r="I2372" s="2"/>
      <c r="J2372" s="2">
        <v>49047</v>
      </c>
      <c r="K2372" s="2"/>
      <c r="L2372" s="2">
        <v>47421</v>
      </c>
      <c r="M2372" s="2"/>
      <c r="N2372" s="2">
        <v>49275</v>
      </c>
      <c r="P2372" s="2">
        <v>47570</v>
      </c>
      <c r="Q2372" s="2"/>
      <c r="R2372" s="2">
        <v>49124</v>
      </c>
      <c r="AB2372" s="2"/>
    </row>
    <row r="2373" spans="8:28" ht="15" customHeight="1">
      <c r="H2373" s="2">
        <v>47647</v>
      </c>
      <c r="I2373" s="2"/>
      <c r="J2373" s="2">
        <v>49048</v>
      </c>
      <c r="K2373" s="2"/>
      <c r="L2373" s="2">
        <v>47420</v>
      </c>
      <c r="M2373" s="2"/>
      <c r="N2373" s="2">
        <v>49276</v>
      </c>
      <c r="P2373" s="2">
        <v>47569</v>
      </c>
      <c r="Q2373" s="2"/>
      <c r="R2373" s="2">
        <v>49125</v>
      </c>
      <c r="AB2373" s="2"/>
    </row>
    <row r="2374" spans="8:28" ht="15" customHeight="1">
      <c r="H2374" s="2">
        <v>47646</v>
      </c>
      <c r="I2374" s="2"/>
      <c r="J2374" s="2">
        <v>49051</v>
      </c>
      <c r="K2374" s="2"/>
      <c r="L2374" s="2">
        <v>47417</v>
      </c>
      <c r="M2374" s="2"/>
      <c r="N2374" s="2">
        <v>49277</v>
      </c>
      <c r="P2374" s="2">
        <v>47568</v>
      </c>
      <c r="Q2374" s="2"/>
      <c r="R2374" s="2">
        <v>49128</v>
      </c>
      <c r="AB2374" s="2"/>
    </row>
    <row r="2375" spans="8:28" ht="15" customHeight="1">
      <c r="H2375" s="2">
        <v>47645</v>
      </c>
      <c r="I2375" s="2"/>
      <c r="J2375" s="2">
        <v>49052</v>
      </c>
      <c r="K2375" s="2"/>
      <c r="L2375" s="2">
        <v>47416</v>
      </c>
      <c r="M2375" s="2"/>
      <c r="N2375" s="2">
        <v>49278</v>
      </c>
      <c r="P2375" s="2">
        <v>47567</v>
      </c>
      <c r="Q2375" s="2"/>
      <c r="R2375" s="2">
        <v>49129</v>
      </c>
      <c r="AB2375" s="2"/>
    </row>
    <row r="2376" spans="8:28" ht="15" customHeight="1">
      <c r="H2376" s="2">
        <v>47644</v>
      </c>
      <c r="I2376" s="2"/>
      <c r="J2376" s="2">
        <v>49053</v>
      </c>
      <c r="K2376" s="2"/>
      <c r="L2376" s="2">
        <v>47415</v>
      </c>
      <c r="M2376" s="2"/>
      <c r="N2376" s="2">
        <v>49279</v>
      </c>
      <c r="P2376" s="2">
        <v>47564</v>
      </c>
      <c r="Q2376" s="2"/>
      <c r="R2376" s="2">
        <v>49130</v>
      </c>
      <c r="AB2376" s="2"/>
    </row>
    <row r="2377" spans="8:28" ht="15" customHeight="1">
      <c r="H2377" s="2">
        <v>47641</v>
      </c>
      <c r="I2377" s="2"/>
      <c r="J2377" s="2">
        <v>49054</v>
      </c>
      <c r="K2377" s="2"/>
      <c r="L2377" s="2">
        <v>47414</v>
      </c>
      <c r="M2377" s="2"/>
      <c r="N2377" s="2">
        <v>49282</v>
      </c>
      <c r="P2377" s="2">
        <v>47563</v>
      </c>
      <c r="Q2377" s="2"/>
      <c r="R2377" s="2">
        <v>49131</v>
      </c>
      <c r="AB2377" s="2"/>
    </row>
    <row r="2378" spans="8:28" ht="15" customHeight="1">
      <c r="H2378" s="2">
        <v>47640</v>
      </c>
      <c r="I2378" s="2"/>
      <c r="J2378" s="2">
        <v>49055</v>
      </c>
      <c r="K2378" s="2"/>
      <c r="L2378" s="2">
        <v>47413</v>
      </c>
      <c r="M2378" s="2"/>
      <c r="N2378" s="2">
        <v>49283</v>
      </c>
      <c r="P2378" s="2">
        <v>47562</v>
      </c>
      <c r="Q2378" s="2"/>
      <c r="R2378" s="2">
        <v>49132</v>
      </c>
      <c r="AB2378" s="2"/>
    </row>
    <row r="2379" spans="8:28" ht="15" customHeight="1">
      <c r="H2379" s="2">
        <v>47639</v>
      </c>
      <c r="I2379" s="2"/>
      <c r="J2379" s="2">
        <v>49058</v>
      </c>
      <c r="K2379" s="2"/>
      <c r="L2379" s="2">
        <v>47410</v>
      </c>
      <c r="M2379" s="2"/>
      <c r="N2379" s="2">
        <v>49284</v>
      </c>
      <c r="P2379" s="2">
        <v>47561</v>
      </c>
      <c r="Q2379" s="2"/>
      <c r="R2379" s="2">
        <v>49135</v>
      </c>
      <c r="AB2379" s="2"/>
    </row>
    <row r="2380" spans="8:28" ht="15" customHeight="1">
      <c r="H2380" s="2">
        <v>47638</v>
      </c>
      <c r="I2380" s="2"/>
      <c r="J2380" s="2">
        <v>49059</v>
      </c>
      <c r="K2380" s="2"/>
      <c r="L2380" s="2">
        <v>47409</v>
      </c>
      <c r="M2380" s="2"/>
      <c r="N2380" s="2">
        <v>49285</v>
      </c>
      <c r="P2380" s="2">
        <v>47560</v>
      </c>
      <c r="Q2380" s="2"/>
      <c r="R2380" s="2">
        <v>49136</v>
      </c>
      <c r="AB2380" s="2"/>
    </row>
    <row r="2381" spans="8:28" ht="15" customHeight="1">
      <c r="H2381" s="2">
        <v>47637</v>
      </c>
      <c r="I2381" s="2"/>
      <c r="J2381" s="2">
        <v>49060</v>
      </c>
      <c r="K2381" s="2"/>
      <c r="L2381" s="2">
        <v>47408</v>
      </c>
      <c r="M2381" s="2"/>
      <c r="N2381" s="2">
        <v>49286</v>
      </c>
      <c r="P2381" s="2">
        <v>47557</v>
      </c>
      <c r="Q2381" s="2"/>
      <c r="R2381" s="2">
        <v>49137</v>
      </c>
      <c r="AB2381" s="2"/>
    </row>
    <row r="2382" spans="8:28" ht="15" customHeight="1">
      <c r="H2382" s="2">
        <v>47634</v>
      </c>
      <c r="I2382" s="2"/>
      <c r="J2382" s="2">
        <v>49061</v>
      </c>
      <c r="K2382" s="2"/>
      <c r="L2382" s="2">
        <v>47407</v>
      </c>
      <c r="M2382" s="2"/>
      <c r="N2382" s="2">
        <v>49289</v>
      </c>
      <c r="P2382" s="2">
        <v>47556</v>
      </c>
      <c r="Q2382" s="2"/>
      <c r="R2382" s="2">
        <v>49138</v>
      </c>
      <c r="AB2382" s="2"/>
    </row>
    <row r="2383" spans="8:28" ht="15" customHeight="1">
      <c r="H2383" s="2">
        <v>47633</v>
      </c>
      <c r="I2383" s="2"/>
      <c r="J2383" s="2">
        <v>49062</v>
      </c>
      <c r="K2383" s="2"/>
      <c r="L2383" s="2">
        <v>47406</v>
      </c>
      <c r="M2383" s="2"/>
      <c r="N2383" s="2">
        <v>49290</v>
      </c>
      <c r="P2383" s="2">
        <v>47555</v>
      </c>
      <c r="Q2383" s="2"/>
      <c r="R2383" s="2">
        <v>49139</v>
      </c>
      <c r="AB2383" s="2"/>
    </row>
    <row r="2384" spans="8:28" ht="15" customHeight="1">
      <c r="H2384" s="2">
        <v>47632</v>
      </c>
      <c r="I2384" s="2"/>
      <c r="J2384" s="2">
        <v>49065</v>
      </c>
      <c r="K2384" s="2"/>
      <c r="L2384" s="2">
        <v>47403</v>
      </c>
      <c r="M2384" s="2"/>
      <c r="N2384" s="2">
        <v>49291</v>
      </c>
      <c r="P2384" s="2">
        <v>47554</v>
      </c>
      <c r="Q2384" s="2"/>
      <c r="R2384" s="2">
        <v>49142</v>
      </c>
      <c r="AB2384" s="2"/>
    </row>
    <row r="2385" spans="8:28" ht="15" customHeight="1">
      <c r="H2385" s="2">
        <v>47631</v>
      </c>
      <c r="I2385" s="2"/>
      <c r="J2385" s="2">
        <v>49066</v>
      </c>
      <c r="K2385" s="2"/>
      <c r="L2385" s="2">
        <v>47402</v>
      </c>
      <c r="M2385" s="2"/>
      <c r="N2385" s="2">
        <v>49292</v>
      </c>
      <c r="P2385" s="2">
        <v>47553</v>
      </c>
      <c r="Q2385" s="2"/>
      <c r="R2385" s="2">
        <v>49143</v>
      </c>
      <c r="AB2385" s="2"/>
    </row>
    <row r="2386" spans="8:28" ht="15" customHeight="1">
      <c r="H2386" s="2">
        <v>47627</v>
      </c>
      <c r="I2386" s="2"/>
      <c r="J2386" s="2">
        <v>49067</v>
      </c>
      <c r="K2386" s="2"/>
      <c r="L2386" s="2">
        <v>47401</v>
      </c>
      <c r="M2386" s="2"/>
      <c r="N2386" s="2">
        <v>49293</v>
      </c>
      <c r="P2386" s="2">
        <v>47550</v>
      </c>
      <c r="Q2386" s="2"/>
      <c r="R2386" s="2">
        <v>49144</v>
      </c>
      <c r="AB2386" s="2"/>
    </row>
    <row r="2387" spans="8:28" ht="15" customHeight="1">
      <c r="H2387" s="2">
        <v>47626</v>
      </c>
      <c r="I2387" s="2"/>
      <c r="J2387" s="2">
        <v>49068</v>
      </c>
      <c r="K2387" s="2"/>
      <c r="L2387" s="2">
        <v>47400</v>
      </c>
      <c r="M2387" s="2"/>
      <c r="N2387" s="2">
        <v>49296</v>
      </c>
      <c r="P2387" s="2">
        <v>47549</v>
      </c>
      <c r="Q2387" s="2"/>
      <c r="R2387" s="2">
        <v>49145</v>
      </c>
      <c r="AB2387" s="2"/>
    </row>
    <row r="2388" spans="8:28" ht="15" customHeight="1">
      <c r="H2388" s="2">
        <v>47625</v>
      </c>
      <c r="I2388" s="2"/>
      <c r="J2388" s="2">
        <v>49069</v>
      </c>
      <c r="K2388" s="2"/>
      <c r="L2388" s="2">
        <v>47396</v>
      </c>
      <c r="M2388" s="2"/>
      <c r="N2388" s="2">
        <v>49297</v>
      </c>
      <c r="P2388" s="2">
        <v>47548</v>
      </c>
      <c r="Q2388" s="2"/>
      <c r="R2388" s="2">
        <v>49146</v>
      </c>
      <c r="AB2388" s="2"/>
    </row>
    <row r="2389" spans="8:28" ht="15" customHeight="1">
      <c r="H2389" s="2">
        <v>47624</v>
      </c>
      <c r="I2389" s="2"/>
      <c r="J2389" s="2">
        <v>49072</v>
      </c>
      <c r="K2389" s="2"/>
      <c r="L2389" s="2">
        <v>47395</v>
      </c>
      <c r="M2389" s="2"/>
      <c r="N2389" s="2">
        <v>49298</v>
      </c>
      <c r="P2389" s="2">
        <v>47547</v>
      </c>
      <c r="Q2389" s="2"/>
      <c r="R2389" s="2">
        <v>49149</v>
      </c>
      <c r="AB2389" s="2"/>
    </row>
    <row r="2390" spans="8:28" ht="15" customHeight="1">
      <c r="H2390" s="2">
        <v>47623</v>
      </c>
      <c r="I2390" s="2"/>
      <c r="J2390" s="2">
        <v>49073</v>
      </c>
      <c r="K2390" s="2"/>
      <c r="L2390" s="2">
        <v>47394</v>
      </c>
      <c r="M2390" s="2"/>
      <c r="N2390" s="2">
        <v>49299</v>
      </c>
      <c r="P2390" s="2">
        <v>47546</v>
      </c>
      <c r="Q2390" s="2"/>
      <c r="R2390" s="2">
        <v>49150</v>
      </c>
      <c r="AB2390" s="2"/>
    </row>
    <row r="2391" spans="8:28" ht="15" customHeight="1">
      <c r="H2391" s="2">
        <v>47620</v>
      </c>
      <c r="I2391" s="2"/>
      <c r="J2391" s="2">
        <v>49074</v>
      </c>
      <c r="K2391" s="2"/>
      <c r="L2391" s="2">
        <v>47393</v>
      </c>
      <c r="M2391" s="2"/>
      <c r="N2391" s="2">
        <v>49300</v>
      </c>
      <c r="P2391" s="2">
        <v>47542</v>
      </c>
      <c r="Q2391" s="2"/>
      <c r="R2391" s="2">
        <v>49151</v>
      </c>
      <c r="AB2391" s="2"/>
    </row>
    <row r="2392" spans="8:28" ht="15" customHeight="1">
      <c r="H2392" s="2">
        <v>47619</v>
      </c>
      <c r="I2392" s="2"/>
      <c r="J2392" s="2">
        <v>49075</v>
      </c>
      <c r="K2392" s="2"/>
      <c r="L2392" s="2">
        <v>47392</v>
      </c>
      <c r="M2392" s="2"/>
      <c r="N2392" s="2">
        <v>49304</v>
      </c>
      <c r="P2392" s="2">
        <v>47541</v>
      </c>
      <c r="Q2392" s="2"/>
      <c r="R2392" s="2">
        <v>49152</v>
      </c>
      <c r="AB2392" s="2"/>
    </row>
    <row r="2393" spans="8:28" ht="15" customHeight="1">
      <c r="H2393" s="2">
        <v>47618</v>
      </c>
      <c r="I2393" s="2"/>
      <c r="J2393" s="2">
        <v>49076</v>
      </c>
      <c r="K2393" s="2"/>
      <c r="L2393" s="2">
        <v>47389</v>
      </c>
      <c r="M2393" s="2"/>
      <c r="N2393" s="2">
        <v>49305</v>
      </c>
      <c r="P2393" s="2">
        <v>47540</v>
      </c>
      <c r="Q2393" s="2"/>
      <c r="R2393" s="2">
        <v>49153</v>
      </c>
      <c r="AB2393" s="2"/>
    </row>
    <row r="2394" spans="8:28" ht="15" customHeight="1">
      <c r="H2394" s="2">
        <v>47617</v>
      </c>
      <c r="I2394" s="2"/>
      <c r="J2394" s="2">
        <v>49079</v>
      </c>
      <c r="K2394" s="2"/>
      <c r="L2394" s="2">
        <v>47388</v>
      </c>
      <c r="M2394" s="2"/>
      <c r="N2394" s="2">
        <v>49306</v>
      </c>
      <c r="P2394" s="2">
        <v>47539</v>
      </c>
      <c r="Q2394" s="2"/>
      <c r="R2394" s="2">
        <v>49156</v>
      </c>
      <c r="AB2394" s="2"/>
    </row>
    <row r="2395" spans="8:28" ht="15" customHeight="1">
      <c r="H2395" s="2">
        <v>47616</v>
      </c>
      <c r="I2395" s="2"/>
      <c r="J2395" s="2">
        <v>49080</v>
      </c>
      <c r="K2395" s="2"/>
      <c r="L2395" s="2">
        <v>47387</v>
      </c>
      <c r="M2395" s="2"/>
      <c r="N2395" s="2">
        <v>49307</v>
      </c>
      <c r="P2395" s="2">
        <v>47536</v>
      </c>
      <c r="Q2395" s="2"/>
      <c r="R2395" s="2">
        <v>49157</v>
      </c>
      <c r="AB2395" s="2"/>
    </row>
    <row r="2396" spans="8:28" ht="15" customHeight="1">
      <c r="H2396" s="2">
        <v>47613</v>
      </c>
      <c r="I2396" s="2"/>
      <c r="J2396" s="2">
        <v>49081</v>
      </c>
      <c r="K2396" s="2"/>
      <c r="L2396" s="2">
        <v>47386</v>
      </c>
      <c r="M2396" s="2"/>
      <c r="N2396" s="2">
        <v>49313</v>
      </c>
      <c r="P2396" s="2">
        <v>47535</v>
      </c>
      <c r="Q2396" s="2"/>
      <c r="R2396" s="2">
        <v>49158</v>
      </c>
      <c r="AB2396" s="2"/>
    </row>
    <row r="2397" spans="8:28" ht="15" customHeight="1">
      <c r="H2397" s="2">
        <v>47612</v>
      </c>
      <c r="I2397" s="2"/>
      <c r="J2397" s="2">
        <v>49082</v>
      </c>
      <c r="K2397" s="2"/>
      <c r="L2397" s="2">
        <v>47382</v>
      </c>
      <c r="M2397" s="2"/>
      <c r="N2397" s="2">
        <v>49314</v>
      </c>
      <c r="P2397" s="2">
        <v>47534</v>
      </c>
      <c r="Q2397" s="2"/>
      <c r="R2397" s="2">
        <v>49159</v>
      </c>
      <c r="AB2397" s="2"/>
    </row>
    <row r="2398" spans="8:28" ht="15" customHeight="1">
      <c r="H2398" s="2">
        <v>47611</v>
      </c>
      <c r="I2398" s="2"/>
      <c r="J2398" s="2">
        <v>49083</v>
      </c>
      <c r="K2398" s="2"/>
      <c r="L2398" s="2">
        <v>47381</v>
      </c>
      <c r="M2398" s="2"/>
      <c r="N2398" s="2">
        <v>49318</v>
      </c>
      <c r="P2398" s="2">
        <v>47533</v>
      </c>
      <c r="Q2398" s="2"/>
      <c r="R2398" s="2">
        <v>49160</v>
      </c>
      <c r="AB2398" s="2"/>
    </row>
    <row r="2399" spans="8:28" ht="15" customHeight="1">
      <c r="H2399" s="2">
        <v>47610</v>
      </c>
      <c r="I2399" s="2"/>
      <c r="J2399" s="2">
        <v>49086</v>
      </c>
      <c r="K2399" s="2"/>
      <c r="L2399" s="2">
        <v>47380</v>
      </c>
      <c r="M2399" s="2"/>
      <c r="N2399" s="2">
        <v>49319</v>
      </c>
      <c r="P2399" s="2">
        <v>47532</v>
      </c>
      <c r="Q2399" s="2"/>
      <c r="R2399" s="2">
        <v>49163</v>
      </c>
      <c r="AB2399" s="2"/>
    </row>
    <row r="2400" spans="8:28" ht="15" customHeight="1">
      <c r="H2400" s="2">
        <v>47609</v>
      </c>
      <c r="I2400" s="2"/>
      <c r="J2400" s="2">
        <v>49087</v>
      </c>
      <c r="K2400" s="2"/>
      <c r="L2400" s="2">
        <v>47379</v>
      </c>
      <c r="M2400" s="2"/>
      <c r="N2400" s="2">
        <v>49320</v>
      </c>
      <c r="P2400" s="2">
        <v>47529</v>
      </c>
      <c r="Q2400" s="2"/>
      <c r="R2400" s="2">
        <v>49164</v>
      </c>
      <c r="AB2400" s="2"/>
    </row>
    <row r="2401" spans="8:28" ht="15" customHeight="1">
      <c r="H2401" s="2">
        <v>47606</v>
      </c>
      <c r="I2401" s="2"/>
      <c r="J2401" s="2">
        <v>49088</v>
      </c>
      <c r="K2401" s="2"/>
      <c r="L2401" s="2">
        <v>47375</v>
      </c>
      <c r="M2401" s="2"/>
      <c r="N2401" s="2">
        <v>49321</v>
      </c>
      <c r="P2401" s="2">
        <v>47528</v>
      </c>
      <c r="Q2401" s="2"/>
      <c r="R2401" s="2">
        <v>49165</v>
      </c>
      <c r="AB2401" s="2"/>
    </row>
    <row r="2402" spans="8:28" ht="15" customHeight="1">
      <c r="H2402" s="2">
        <v>47605</v>
      </c>
      <c r="I2402" s="2"/>
      <c r="J2402" s="2">
        <v>49089</v>
      </c>
      <c r="K2402" s="2"/>
      <c r="L2402" s="2">
        <v>47374</v>
      </c>
      <c r="M2402" s="2"/>
      <c r="N2402" s="2">
        <v>49325</v>
      </c>
      <c r="P2402" s="2">
        <v>47527</v>
      </c>
      <c r="Q2402" s="2"/>
      <c r="R2402" s="2">
        <v>49166</v>
      </c>
      <c r="AB2402" s="2"/>
    </row>
    <row r="2403" spans="8:28" ht="15" customHeight="1">
      <c r="H2403" s="2">
        <v>47604</v>
      </c>
      <c r="I2403" s="2"/>
      <c r="J2403" s="2">
        <v>49090</v>
      </c>
      <c r="K2403" s="2"/>
      <c r="L2403" s="2">
        <v>47373</v>
      </c>
      <c r="M2403" s="2"/>
      <c r="N2403" s="2">
        <v>49326</v>
      </c>
      <c r="P2403" s="2">
        <v>47526</v>
      </c>
      <c r="Q2403" s="2"/>
      <c r="R2403" s="2">
        <v>49167</v>
      </c>
      <c r="AB2403" s="2"/>
    </row>
    <row r="2404" spans="8:28" ht="15" customHeight="1">
      <c r="H2404" s="2">
        <v>47603</v>
      </c>
      <c r="I2404" s="2"/>
      <c r="J2404" s="2">
        <v>49094</v>
      </c>
      <c r="K2404" s="2"/>
      <c r="L2404" s="2">
        <v>47372</v>
      </c>
      <c r="M2404" s="2"/>
      <c r="N2404" s="2">
        <v>49327</v>
      </c>
      <c r="P2404" s="2">
        <v>47525</v>
      </c>
      <c r="Q2404" s="2"/>
      <c r="R2404" s="2">
        <v>49170</v>
      </c>
      <c r="AB2404" s="2"/>
    </row>
    <row r="2405" spans="8:28" ht="15" customHeight="1">
      <c r="H2405" s="2">
        <v>47602</v>
      </c>
      <c r="I2405" s="2"/>
      <c r="J2405" s="2">
        <v>49095</v>
      </c>
      <c r="K2405" s="2"/>
      <c r="L2405" s="2">
        <v>47371</v>
      </c>
      <c r="M2405" s="2"/>
      <c r="N2405" s="2">
        <v>49328</v>
      </c>
      <c r="P2405" s="2">
        <v>47522</v>
      </c>
      <c r="Q2405" s="2"/>
      <c r="R2405" s="2">
        <v>49172</v>
      </c>
      <c r="AB2405" s="2"/>
    </row>
    <row r="2406" spans="8:28" ht="15" customHeight="1">
      <c r="H2406" s="2">
        <v>47599</v>
      </c>
      <c r="I2406" s="2"/>
      <c r="J2406" s="2">
        <v>49096</v>
      </c>
      <c r="K2406" s="2"/>
      <c r="L2406" s="2">
        <v>47368</v>
      </c>
      <c r="M2406" s="2"/>
      <c r="N2406" s="2">
        <v>49331</v>
      </c>
      <c r="P2406" s="2">
        <v>47521</v>
      </c>
      <c r="Q2406" s="2"/>
      <c r="R2406" s="2">
        <v>49173</v>
      </c>
      <c r="AB2406" s="2"/>
    </row>
    <row r="2407" spans="8:28" ht="15" customHeight="1">
      <c r="H2407" s="2">
        <v>47598</v>
      </c>
      <c r="I2407" s="2"/>
      <c r="J2407" s="2">
        <v>49097</v>
      </c>
      <c r="K2407" s="2"/>
      <c r="L2407" s="2">
        <v>47367</v>
      </c>
      <c r="M2407" s="2"/>
      <c r="N2407" s="2">
        <v>49332</v>
      </c>
      <c r="P2407" s="2">
        <v>47520</v>
      </c>
      <c r="Q2407" s="2"/>
      <c r="R2407" s="2">
        <v>49174</v>
      </c>
      <c r="AB2407" s="2"/>
    </row>
    <row r="2408" spans="8:28" ht="15" customHeight="1">
      <c r="H2408" s="2">
        <v>47597</v>
      </c>
      <c r="I2408" s="2"/>
      <c r="J2408" s="2">
        <v>49100</v>
      </c>
      <c r="K2408" s="2"/>
      <c r="L2408" s="2">
        <v>47366</v>
      </c>
      <c r="M2408" s="2"/>
      <c r="N2408" s="2">
        <v>49333</v>
      </c>
      <c r="P2408" s="2">
        <v>47515</v>
      </c>
      <c r="Q2408" s="2"/>
      <c r="R2408" s="2">
        <v>49177</v>
      </c>
      <c r="AB2408" s="2"/>
    </row>
    <row r="2409" spans="8:28" ht="15" customHeight="1">
      <c r="H2409" s="2">
        <v>47596</v>
      </c>
      <c r="I2409" s="2"/>
      <c r="J2409" s="2">
        <v>49101</v>
      </c>
      <c r="K2409" s="2"/>
      <c r="L2409" s="2">
        <v>47365</v>
      </c>
      <c r="M2409" s="2"/>
      <c r="N2409" s="2">
        <v>49334</v>
      </c>
      <c r="P2409" s="2">
        <v>47514</v>
      </c>
      <c r="Q2409" s="2"/>
      <c r="R2409" s="2">
        <v>49178</v>
      </c>
      <c r="AB2409" s="2"/>
    </row>
    <row r="2410" spans="8:28" ht="15" customHeight="1">
      <c r="H2410" s="2">
        <v>47595</v>
      </c>
      <c r="I2410" s="2"/>
      <c r="J2410" s="2">
        <v>49102</v>
      </c>
      <c r="K2410" s="2"/>
      <c r="L2410" s="2">
        <v>47361</v>
      </c>
      <c r="M2410" s="2"/>
      <c r="N2410" s="2">
        <v>49335</v>
      </c>
      <c r="P2410" s="2">
        <v>47513</v>
      </c>
      <c r="Q2410" s="2"/>
      <c r="R2410" s="2">
        <v>49179</v>
      </c>
      <c r="AB2410" s="2"/>
    </row>
    <row r="2411" spans="8:28" ht="15" customHeight="1">
      <c r="H2411" s="2">
        <v>47591</v>
      </c>
      <c r="I2411" s="2"/>
      <c r="J2411" s="2">
        <v>49103</v>
      </c>
      <c r="K2411" s="2"/>
      <c r="L2411" s="2">
        <v>47360</v>
      </c>
      <c r="M2411" s="2"/>
      <c r="N2411" s="2">
        <v>49338</v>
      </c>
      <c r="P2411" s="2">
        <v>47512</v>
      </c>
      <c r="Q2411" s="2"/>
      <c r="R2411" s="2">
        <v>49180</v>
      </c>
      <c r="AB2411" s="2"/>
    </row>
    <row r="2412" spans="8:28" ht="15" customHeight="1">
      <c r="H2412" s="2">
        <v>47590</v>
      </c>
      <c r="I2412" s="2"/>
      <c r="J2412" s="2">
        <v>49104</v>
      </c>
      <c r="K2412" s="2"/>
      <c r="L2412" s="2">
        <v>47359</v>
      </c>
      <c r="M2412" s="2"/>
      <c r="N2412" s="2">
        <v>49339</v>
      </c>
      <c r="P2412" s="2">
        <v>47511</v>
      </c>
      <c r="Q2412" s="2"/>
      <c r="R2412" s="2">
        <v>49181</v>
      </c>
      <c r="AB2412" s="2"/>
    </row>
    <row r="2413" spans="8:28" ht="15" customHeight="1">
      <c r="H2413" s="2">
        <v>47589</v>
      </c>
      <c r="I2413" s="2"/>
      <c r="J2413" s="2">
        <v>49107</v>
      </c>
      <c r="K2413" s="2"/>
      <c r="L2413" s="2">
        <v>47358</v>
      </c>
      <c r="M2413" s="2"/>
      <c r="N2413" s="2">
        <v>49340</v>
      </c>
      <c r="P2413" s="2">
        <v>47508</v>
      </c>
      <c r="Q2413" s="2"/>
      <c r="R2413" s="2">
        <v>49184</v>
      </c>
      <c r="AB2413" s="2"/>
    </row>
    <row r="2414" spans="8:28" ht="15" customHeight="1">
      <c r="H2414" s="2">
        <v>47588</v>
      </c>
      <c r="I2414" s="2"/>
      <c r="J2414" s="2">
        <v>49108</v>
      </c>
      <c r="K2414" s="2"/>
      <c r="L2414" s="2">
        <v>47357</v>
      </c>
      <c r="M2414" s="2"/>
      <c r="N2414" s="2">
        <v>49341</v>
      </c>
      <c r="P2414" s="2">
        <v>47507</v>
      </c>
      <c r="Q2414" s="2"/>
      <c r="R2414" s="2">
        <v>49185</v>
      </c>
      <c r="AB2414" s="2"/>
    </row>
    <row r="2415" spans="8:28" ht="15" customHeight="1">
      <c r="H2415" s="2">
        <v>47585</v>
      </c>
      <c r="I2415" s="2"/>
      <c r="J2415" s="2">
        <v>49109</v>
      </c>
      <c r="K2415" s="2"/>
      <c r="L2415" s="2">
        <v>47354</v>
      </c>
      <c r="M2415" s="2"/>
      <c r="N2415" s="2">
        <v>49342</v>
      </c>
      <c r="P2415" s="2">
        <v>47506</v>
      </c>
      <c r="Q2415" s="2"/>
      <c r="R2415" s="2">
        <v>49186</v>
      </c>
      <c r="AB2415" s="2"/>
    </row>
    <row r="2416" spans="8:28" ht="15" customHeight="1">
      <c r="H2416" s="2">
        <v>47584</v>
      </c>
      <c r="I2416" s="2"/>
      <c r="J2416" s="2">
        <v>49110</v>
      </c>
      <c r="K2416" s="2"/>
      <c r="L2416" s="2">
        <v>47353</v>
      </c>
      <c r="M2416" s="2"/>
      <c r="N2416" s="2">
        <v>49345</v>
      </c>
      <c r="P2416" s="2">
        <v>47505</v>
      </c>
      <c r="Q2416" s="2"/>
      <c r="R2416" s="2">
        <v>49187</v>
      </c>
      <c r="AB2416" s="2"/>
    </row>
    <row r="2417" spans="8:28" ht="15" customHeight="1">
      <c r="H2417" s="2">
        <v>47583</v>
      </c>
      <c r="I2417" s="2"/>
      <c r="J2417" s="2">
        <v>49111</v>
      </c>
      <c r="K2417" s="2"/>
      <c r="L2417" s="2">
        <v>47352</v>
      </c>
      <c r="M2417" s="2"/>
      <c r="N2417" s="2">
        <v>49346</v>
      </c>
      <c r="P2417" s="2">
        <v>47504</v>
      </c>
      <c r="Q2417" s="2"/>
      <c r="R2417" s="2">
        <v>49188</v>
      </c>
      <c r="AB2417" s="2"/>
    </row>
    <row r="2418" spans="8:28" ht="15" customHeight="1">
      <c r="H2418" s="2">
        <v>47582</v>
      </c>
      <c r="I2418" s="2"/>
      <c r="J2418" s="2">
        <v>49115</v>
      </c>
      <c r="K2418" s="2"/>
      <c r="L2418" s="2">
        <v>47351</v>
      </c>
      <c r="M2418" s="2"/>
      <c r="N2418" s="2">
        <v>49347</v>
      </c>
      <c r="P2418" s="2">
        <v>47501</v>
      </c>
      <c r="Q2418" s="2"/>
      <c r="R2418" s="2">
        <v>49191</v>
      </c>
      <c r="AB2418" s="2"/>
    </row>
    <row r="2419" spans="8:28" ht="15" customHeight="1">
      <c r="H2419" s="2">
        <v>47581</v>
      </c>
      <c r="I2419" s="2"/>
      <c r="J2419" s="2">
        <v>49116</v>
      </c>
      <c r="K2419" s="2"/>
      <c r="L2419" s="2">
        <v>47350</v>
      </c>
      <c r="M2419" s="2"/>
      <c r="N2419" s="2">
        <v>49348</v>
      </c>
      <c r="P2419" s="2">
        <v>47500</v>
      </c>
      <c r="Q2419" s="2"/>
      <c r="R2419" s="2">
        <v>49192</v>
      </c>
      <c r="AB2419" s="2"/>
    </row>
    <row r="2420" spans="8:28" ht="15" customHeight="1">
      <c r="H2420" s="2">
        <v>47578</v>
      </c>
      <c r="I2420" s="2"/>
      <c r="J2420" s="2">
        <v>49117</v>
      </c>
      <c r="K2420" s="2"/>
      <c r="L2420" s="2">
        <v>47347</v>
      </c>
      <c r="M2420" s="2"/>
      <c r="N2420" s="2">
        <v>49349</v>
      </c>
      <c r="P2420" s="2">
        <v>47499</v>
      </c>
      <c r="Q2420" s="2"/>
      <c r="R2420" s="2">
        <v>49193</v>
      </c>
      <c r="AB2420" s="2"/>
    </row>
    <row r="2421" spans="8:28" ht="15" customHeight="1">
      <c r="H2421" s="2">
        <v>47577</v>
      </c>
      <c r="I2421" s="2"/>
      <c r="J2421" s="2">
        <v>49118</v>
      </c>
      <c r="K2421" s="2"/>
      <c r="L2421" s="2">
        <v>47346</v>
      </c>
      <c r="M2421" s="2"/>
      <c r="N2421" s="2">
        <v>49353</v>
      </c>
      <c r="P2421" s="2">
        <v>47498</v>
      </c>
      <c r="Q2421" s="2"/>
      <c r="R2421" s="2">
        <v>49194</v>
      </c>
      <c r="AB2421" s="2"/>
    </row>
    <row r="2422" spans="8:28" ht="15" customHeight="1">
      <c r="H2422" s="2">
        <v>47576</v>
      </c>
      <c r="I2422" s="2"/>
      <c r="J2422" s="2">
        <v>49121</v>
      </c>
      <c r="K2422" s="2"/>
      <c r="L2422" s="2">
        <v>47345</v>
      </c>
      <c r="M2422" s="2"/>
      <c r="N2422" s="2">
        <v>49354</v>
      </c>
      <c r="P2422" s="2">
        <v>47497</v>
      </c>
      <c r="Q2422" s="2"/>
      <c r="R2422" s="2">
        <v>49195</v>
      </c>
      <c r="AB2422" s="2"/>
    </row>
    <row r="2423" spans="8:28" ht="15" customHeight="1">
      <c r="H2423" s="2">
        <v>47575</v>
      </c>
      <c r="I2423" s="2"/>
      <c r="J2423" s="2">
        <v>49122</v>
      </c>
      <c r="K2423" s="2"/>
      <c r="L2423" s="2">
        <v>47344</v>
      </c>
      <c r="M2423" s="2"/>
      <c r="N2423" s="2">
        <v>49355</v>
      </c>
      <c r="P2423" s="2">
        <v>47494</v>
      </c>
      <c r="Q2423" s="2"/>
      <c r="R2423" s="2">
        <v>49198</v>
      </c>
      <c r="AB2423" s="2"/>
    </row>
    <row r="2424" spans="8:28" ht="15" customHeight="1">
      <c r="H2424" s="2">
        <v>47574</v>
      </c>
      <c r="I2424" s="2"/>
      <c r="J2424" s="2">
        <v>49123</v>
      </c>
      <c r="K2424" s="2"/>
      <c r="L2424" s="2">
        <v>47343</v>
      </c>
      <c r="M2424" s="2"/>
      <c r="N2424" s="2">
        <v>49356</v>
      </c>
      <c r="P2424" s="2">
        <v>47493</v>
      </c>
      <c r="Q2424" s="2"/>
      <c r="R2424" s="2">
        <v>49199</v>
      </c>
      <c r="AB2424" s="2"/>
    </row>
    <row r="2425" spans="8:28" ht="15" customHeight="1">
      <c r="H2425" s="2">
        <v>47571</v>
      </c>
      <c r="I2425" s="2"/>
      <c r="J2425" s="2">
        <v>49124</v>
      </c>
      <c r="K2425" s="2"/>
      <c r="L2425" s="2">
        <v>47340</v>
      </c>
      <c r="M2425" s="2"/>
      <c r="N2425" s="2">
        <v>49360</v>
      </c>
      <c r="P2425" s="2">
        <v>47492</v>
      </c>
      <c r="Q2425" s="2"/>
      <c r="R2425" s="2">
        <v>49200</v>
      </c>
      <c r="AB2425" s="2"/>
    </row>
    <row r="2426" spans="8:28" ht="15" customHeight="1">
      <c r="H2426" s="2">
        <v>47570</v>
      </c>
      <c r="I2426" s="2"/>
      <c r="J2426" s="2">
        <v>49125</v>
      </c>
      <c r="K2426" s="2"/>
      <c r="L2426" s="2">
        <v>47339</v>
      </c>
      <c r="M2426" s="2"/>
      <c r="N2426" s="2">
        <v>49361</v>
      </c>
      <c r="P2426" s="2">
        <v>47491</v>
      </c>
      <c r="Q2426" s="2"/>
      <c r="R2426" s="2">
        <v>49201</v>
      </c>
      <c r="AB2426" s="2"/>
    </row>
    <row r="2427" spans="8:28" ht="15" customHeight="1">
      <c r="H2427" s="2">
        <v>47569</v>
      </c>
      <c r="I2427" s="2"/>
      <c r="J2427" s="2">
        <v>49128</v>
      </c>
      <c r="K2427" s="2"/>
      <c r="L2427" s="2">
        <v>47338</v>
      </c>
      <c r="M2427" s="2"/>
      <c r="N2427" s="2">
        <v>49362</v>
      </c>
      <c r="P2427" s="2">
        <v>47490</v>
      </c>
      <c r="Q2427" s="2"/>
      <c r="R2427" s="2">
        <v>49202</v>
      </c>
      <c r="AB2427" s="2"/>
    </row>
    <row r="2428" spans="8:28" ht="15" customHeight="1">
      <c r="H2428" s="2">
        <v>47568</v>
      </c>
      <c r="I2428" s="2"/>
      <c r="J2428" s="2">
        <v>49130</v>
      </c>
      <c r="K2428" s="2"/>
      <c r="L2428" s="2">
        <v>47337</v>
      </c>
      <c r="M2428" s="2"/>
      <c r="N2428" s="2">
        <v>49366</v>
      </c>
      <c r="P2428" s="2">
        <v>47487</v>
      </c>
      <c r="Q2428" s="2"/>
      <c r="R2428" s="2">
        <v>49205</v>
      </c>
      <c r="AB2428" s="2"/>
    </row>
    <row r="2429" spans="8:28" ht="15" customHeight="1">
      <c r="H2429" s="2">
        <v>47567</v>
      </c>
      <c r="I2429" s="2"/>
      <c r="J2429" s="2">
        <v>49131</v>
      </c>
      <c r="K2429" s="2"/>
      <c r="L2429" s="2">
        <v>47336</v>
      </c>
      <c r="M2429" s="2"/>
      <c r="N2429" s="2">
        <v>49367</v>
      </c>
      <c r="P2429" s="2">
        <v>47486</v>
      </c>
      <c r="Q2429" s="2"/>
      <c r="R2429" s="2">
        <v>49206</v>
      </c>
      <c r="AB2429" s="2"/>
    </row>
    <row r="2430" spans="8:28" ht="15" customHeight="1">
      <c r="H2430" s="2">
        <v>47564</v>
      </c>
      <c r="I2430" s="2"/>
      <c r="J2430" s="2">
        <v>49132</v>
      </c>
      <c r="K2430" s="2"/>
      <c r="L2430" s="2">
        <v>47333</v>
      </c>
      <c r="M2430" s="2"/>
      <c r="N2430" s="2">
        <v>49368</v>
      </c>
      <c r="P2430" s="2">
        <v>47485</v>
      </c>
      <c r="Q2430" s="2"/>
      <c r="R2430" s="2">
        <v>49207</v>
      </c>
      <c r="AB2430" s="2"/>
    </row>
    <row r="2431" spans="8:28" ht="15" customHeight="1">
      <c r="H2431" s="2">
        <v>47563</v>
      </c>
      <c r="I2431" s="2"/>
      <c r="J2431" s="2">
        <v>49135</v>
      </c>
      <c r="K2431" s="2"/>
      <c r="L2431" s="2">
        <v>47332</v>
      </c>
      <c r="M2431" s="2"/>
      <c r="N2431" s="2">
        <v>49369</v>
      </c>
      <c r="P2431" s="2">
        <v>47480</v>
      </c>
      <c r="Q2431" s="2"/>
      <c r="R2431" s="2">
        <v>49208</v>
      </c>
      <c r="AB2431" s="2"/>
    </row>
    <row r="2432" spans="8:28" ht="15" customHeight="1">
      <c r="H2432" s="2">
        <v>47562</v>
      </c>
      <c r="I2432" s="2"/>
      <c r="J2432" s="2">
        <v>49136</v>
      </c>
      <c r="K2432" s="2"/>
      <c r="L2432" s="2">
        <v>47331</v>
      </c>
      <c r="M2432" s="2"/>
      <c r="N2432" s="2">
        <v>49370</v>
      </c>
      <c r="P2432" s="2">
        <v>47479</v>
      </c>
      <c r="Q2432" s="2"/>
      <c r="R2432" s="2">
        <v>49209</v>
      </c>
      <c r="AB2432" s="2"/>
    </row>
    <row r="2433" spans="8:28" ht="15" customHeight="1">
      <c r="H2433" s="2">
        <v>47561</v>
      </c>
      <c r="I2433" s="2"/>
      <c r="J2433" s="2">
        <v>49137</v>
      </c>
      <c r="K2433" s="2"/>
      <c r="L2433" s="2">
        <v>47330</v>
      </c>
      <c r="M2433" s="2"/>
      <c r="N2433" s="2">
        <v>49373</v>
      </c>
      <c r="P2433" s="2">
        <v>47478</v>
      </c>
      <c r="Q2433" s="2"/>
      <c r="R2433" s="2">
        <v>49212</v>
      </c>
      <c r="AB2433" s="2"/>
    </row>
    <row r="2434" spans="8:28" ht="15" customHeight="1">
      <c r="H2434" s="2">
        <v>47560</v>
      </c>
      <c r="I2434" s="2"/>
      <c r="J2434" s="2">
        <v>49138</v>
      </c>
      <c r="K2434" s="2"/>
      <c r="L2434" s="2">
        <v>47329</v>
      </c>
      <c r="M2434" s="2"/>
      <c r="N2434" s="2">
        <v>49374</v>
      </c>
      <c r="P2434" s="2">
        <v>47476</v>
      </c>
      <c r="Q2434" s="2"/>
      <c r="R2434" s="2">
        <v>49216</v>
      </c>
      <c r="AB2434" s="2"/>
    </row>
    <row r="2435" spans="8:28" ht="15" customHeight="1">
      <c r="H2435" s="2">
        <v>47557</v>
      </c>
      <c r="I2435" s="2"/>
      <c r="J2435" s="2">
        <v>49139</v>
      </c>
      <c r="K2435" s="2"/>
      <c r="L2435" s="2">
        <v>47326</v>
      </c>
      <c r="M2435" s="2"/>
      <c r="N2435" s="2">
        <v>49375</v>
      </c>
      <c r="P2435" s="2">
        <v>47473</v>
      </c>
      <c r="Q2435" s="2"/>
      <c r="R2435" s="2">
        <v>49219</v>
      </c>
      <c r="AB2435" s="2"/>
    </row>
    <row r="2436" spans="8:28" ht="15" customHeight="1">
      <c r="H2436" s="2">
        <v>47556</v>
      </c>
      <c r="I2436" s="2"/>
      <c r="J2436" s="2">
        <v>49142</v>
      </c>
      <c r="K2436" s="2"/>
      <c r="L2436" s="2">
        <v>47325</v>
      </c>
      <c r="M2436" s="2"/>
      <c r="N2436" s="2">
        <v>49376</v>
      </c>
      <c r="P2436" s="2">
        <v>47472</v>
      </c>
      <c r="Q2436" s="2"/>
      <c r="R2436" s="2">
        <v>49221</v>
      </c>
      <c r="AB2436" s="2"/>
    </row>
    <row r="2437" spans="8:28" ht="15" customHeight="1">
      <c r="H2437" s="2">
        <v>47555</v>
      </c>
      <c r="I2437" s="2"/>
      <c r="J2437" s="2">
        <v>49143</v>
      </c>
      <c r="K2437" s="2"/>
      <c r="L2437" s="2">
        <v>47324</v>
      </c>
      <c r="M2437" s="2"/>
      <c r="N2437" s="2">
        <v>49377</v>
      </c>
      <c r="P2437" s="2">
        <v>47471</v>
      </c>
      <c r="Q2437" s="2"/>
      <c r="R2437" s="2">
        <v>49222</v>
      </c>
      <c r="AB2437" s="2"/>
    </row>
    <row r="2438" spans="8:28" ht="15" customHeight="1">
      <c r="H2438" s="2">
        <v>47554</v>
      </c>
      <c r="I2438" s="2"/>
      <c r="J2438" s="2">
        <v>49144</v>
      </c>
      <c r="K2438" s="2"/>
      <c r="L2438" s="2">
        <v>47323</v>
      </c>
      <c r="M2438" s="2"/>
      <c r="N2438" s="2">
        <v>49380</v>
      </c>
      <c r="P2438" s="2">
        <v>47470</v>
      </c>
      <c r="Q2438" s="2"/>
      <c r="R2438" s="2">
        <v>49223</v>
      </c>
      <c r="AB2438" s="2"/>
    </row>
    <row r="2439" spans="8:28" ht="15" customHeight="1">
      <c r="H2439" s="2">
        <v>47553</v>
      </c>
      <c r="I2439" s="2"/>
      <c r="J2439" s="2">
        <v>49145</v>
      </c>
      <c r="K2439" s="2"/>
      <c r="L2439" s="2">
        <v>47322</v>
      </c>
      <c r="M2439" s="2"/>
      <c r="N2439" s="2">
        <v>49381</v>
      </c>
      <c r="P2439" s="2">
        <v>47469</v>
      </c>
      <c r="Q2439" s="2"/>
      <c r="R2439" s="2">
        <v>49227</v>
      </c>
      <c r="AB2439" s="2"/>
    </row>
    <row r="2440" spans="8:28" ht="15" customHeight="1">
      <c r="H2440" s="2">
        <v>47550</v>
      </c>
      <c r="I2440" s="2"/>
      <c r="J2440" s="2">
        <v>49146</v>
      </c>
      <c r="K2440" s="2"/>
      <c r="L2440" s="2">
        <v>47319</v>
      </c>
      <c r="M2440" s="2"/>
      <c r="N2440" s="2">
        <v>49382</v>
      </c>
      <c r="P2440" s="2">
        <v>47466</v>
      </c>
      <c r="Q2440" s="2"/>
      <c r="R2440" s="2">
        <v>49228</v>
      </c>
      <c r="AB2440" s="2"/>
    </row>
    <row r="2441" spans="8:28" ht="15" customHeight="1">
      <c r="H2441" s="2">
        <v>47549</v>
      </c>
      <c r="I2441" s="2"/>
      <c r="J2441" s="2">
        <v>49149</v>
      </c>
      <c r="K2441" s="2"/>
      <c r="L2441" s="2">
        <v>47318</v>
      </c>
      <c r="M2441" s="2"/>
      <c r="N2441" s="2">
        <v>49383</v>
      </c>
      <c r="P2441" s="2">
        <v>47465</v>
      </c>
      <c r="Q2441" s="2"/>
      <c r="R2441" s="2">
        <v>49229</v>
      </c>
      <c r="AB2441" s="2"/>
    </row>
    <row r="2442" spans="8:28" ht="15" customHeight="1">
      <c r="H2442" s="2">
        <v>47548</v>
      </c>
      <c r="I2442" s="2"/>
      <c r="J2442" s="2">
        <v>49150</v>
      </c>
      <c r="K2442" s="2"/>
      <c r="L2442" s="2">
        <v>47317</v>
      </c>
      <c r="M2442" s="2"/>
      <c r="N2442" s="2">
        <v>49384</v>
      </c>
      <c r="P2442" s="2">
        <v>47464</v>
      </c>
      <c r="Q2442" s="2"/>
      <c r="R2442" s="2">
        <v>49230</v>
      </c>
      <c r="AB2442" s="2"/>
    </row>
    <row r="2443" spans="8:28" ht="15" customHeight="1">
      <c r="H2443" s="2">
        <v>47547</v>
      </c>
      <c r="I2443" s="2"/>
      <c r="J2443" s="2">
        <v>49151</v>
      </c>
      <c r="K2443" s="2"/>
      <c r="L2443" s="2">
        <v>47316</v>
      </c>
      <c r="M2443" s="2"/>
      <c r="N2443" s="2">
        <v>49387</v>
      </c>
      <c r="P2443" s="2">
        <v>47463</v>
      </c>
      <c r="Q2443" s="2"/>
      <c r="R2443" s="2">
        <v>49233</v>
      </c>
      <c r="AB2443" s="2"/>
    </row>
    <row r="2444" spans="8:28" ht="15" customHeight="1">
      <c r="H2444" s="2">
        <v>47546</v>
      </c>
      <c r="I2444" s="2"/>
      <c r="J2444" s="2">
        <v>49152</v>
      </c>
      <c r="K2444" s="2"/>
      <c r="L2444" s="2">
        <v>47312</v>
      </c>
      <c r="M2444" s="2"/>
      <c r="N2444" s="2">
        <v>49388</v>
      </c>
      <c r="P2444" s="2">
        <v>47462</v>
      </c>
      <c r="Q2444" s="2"/>
      <c r="R2444" s="2">
        <v>49234</v>
      </c>
      <c r="AB2444" s="2"/>
    </row>
    <row r="2445" spans="8:28" ht="15" customHeight="1">
      <c r="H2445" s="2">
        <v>47543</v>
      </c>
      <c r="I2445" s="2"/>
      <c r="J2445" s="2">
        <v>49153</v>
      </c>
      <c r="K2445" s="2"/>
      <c r="L2445" s="2">
        <v>47311</v>
      </c>
      <c r="M2445" s="2"/>
      <c r="N2445" s="2">
        <v>49390</v>
      </c>
      <c r="P2445" s="2">
        <v>47459</v>
      </c>
      <c r="Q2445" s="2"/>
      <c r="R2445" s="2">
        <v>49235</v>
      </c>
      <c r="AB2445" s="2"/>
    </row>
    <row r="2446" spans="8:28" ht="15" customHeight="1">
      <c r="H2446" s="2">
        <v>47542</v>
      </c>
      <c r="I2446" s="2"/>
      <c r="J2446" s="2">
        <v>49156</v>
      </c>
      <c r="K2446" s="2"/>
      <c r="L2446" s="2">
        <v>47310</v>
      </c>
      <c r="M2446" s="2"/>
      <c r="N2446" s="2">
        <v>49394</v>
      </c>
      <c r="P2446" s="2">
        <v>47458</v>
      </c>
      <c r="Q2446" s="2"/>
      <c r="R2446" s="2">
        <v>49236</v>
      </c>
      <c r="AB2446" s="2"/>
    </row>
    <row r="2447" spans="8:28" ht="15" customHeight="1">
      <c r="H2447" s="2">
        <v>47541</v>
      </c>
      <c r="I2447" s="2"/>
      <c r="J2447" s="2">
        <v>49157</v>
      </c>
      <c r="K2447" s="2"/>
      <c r="L2447" s="2">
        <v>47309</v>
      </c>
      <c r="M2447" s="2"/>
      <c r="N2447" s="2">
        <v>49395</v>
      </c>
      <c r="P2447" s="2">
        <v>47457</v>
      </c>
      <c r="Q2447" s="2"/>
      <c r="R2447" s="2">
        <v>49237</v>
      </c>
      <c r="AB2447" s="2"/>
    </row>
    <row r="2448" spans="8:28" ht="15" customHeight="1">
      <c r="H2448" s="2">
        <v>47540</v>
      </c>
      <c r="I2448" s="2"/>
      <c r="J2448" s="2">
        <v>49158</v>
      </c>
      <c r="K2448" s="2"/>
      <c r="L2448" s="2">
        <v>47308</v>
      </c>
      <c r="M2448" s="2"/>
      <c r="N2448" s="2">
        <v>49396</v>
      </c>
      <c r="P2448" s="2">
        <v>47456</v>
      </c>
      <c r="Q2448" s="2"/>
      <c r="R2448" s="2">
        <v>49240</v>
      </c>
      <c r="AB2448" s="2"/>
    </row>
    <row r="2449" spans="8:28" ht="15" customHeight="1">
      <c r="H2449" s="2">
        <v>47539</v>
      </c>
      <c r="I2449" s="2"/>
      <c r="J2449" s="2">
        <v>49159</v>
      </c>
      <c r="K2449" s="2"/>
      <c r="L2449" s="2">
        <v>47305</v>
      </c>
      <c r="M2449" s="2"/>
      <c r="N2449" s="2">
        <v>49397</v>
      </c>
      <c r="P2449" s="2">
        <v>47455</v>
      </c>
      <c r="Q2449" s="2"/>
      <c r="R2449" s="2">
        <v>49241</v>
      </c>
      <c r="AB2449" s="2"/>
    </row>
    <row r="2450" spans="8:28" ht="15" customHeight="1">
      <c r="H2450" s="2">
        <v>47536</v>
      </c>
      <c r="I2450" s="2"/>
      <c r="J2450" s="2">
        <v>49160</v>
      </c>
      <c r="K2450" s="2"/>
      <c r="L2450" s="2">
        <v>47304</v>
      </c>
      <c r="M2450" s="2"/>
      <c r="N2450" s="2">
        <v>49398</v>
      </c>
      <c r="P2450" s="2">
        <v>47452</v>
      </c>
      <c r="Q2450" s="2"/>
      <c r="R2450" s="2">
        <v>49242</v>
      </c>
      <c r="AB2450" s="2"/>
    </row>
    <row r="2451" spans="8:28" ht="15" customHeight="1">
      <c r="H2451" s="2">
        <v>47535</v>
      </c>
      <c r="I2451" s="2"/>
      <c r="J2451" s="2">
        <v>49163</v>
      </c>
      <c r="K2451" s="2"/>
      <c r="L2451" s="2">
        <v>47302</v>
      </c>
      <c r="M2451" s="2"/>
      <c r="N2451" s="2">
        <v>49401</v>
      </c>
      <c r="P2451" s="2">
        <v>47451</v>
      </c>
      <c r="Q2451" s="2"/>
      <c r="R2451" s="2">
        <v>49243</v>
      </c>
      <c r="AB2451" s="2"/>
    </row>
    <row r="2452" spans="8:28" ht="15" customHeight="1">
      <c r="H2452" s="2">
        <v>47534</v>
      </c>
      <c r="I2452" s="2"/>
      <c r="J2452" s="2">
        <v>49164</v>
      </c>
      <c r="K2452" s="2"/>
      <c r="L2452" s="2">
        <v>47301</v>
      </c>
      <c r="M2452" s="2"/>
      <c r="N2452" s="2">
        <v>49402</v>
      </c>
      <c r="P2452" s="2">
        <v>47450</v>
      </c>
      <c r="Q2452" s="2"/>
      <c r="R2452" s="2">
        <v>49244</v>
      </c>
      <c r="AB2452" s="2"/>
    </row>
    <row r="2453" spans="8:28" ht="15" customHeight="1">
      <c r="H2453" s="2">
        <v>47533</v>
      </c>
      <c r="I2453" s="2"/>
      <c r="J2453" s="2">
        <v>49165</v>
      </c>
      <c r="K2453" s="2"/>
      <c r="L2453" s="2">
        <v>47298</v>
      </c>
      <c r="M2453" s="2"/>
      <c r="N2453" s="2">
        <v>49403</v>
      </c>
      <c r="P2453" s="2">
        <v>47449</v>
      </c>
      <c r="Q2453" s="2"/>
      <c r="R2453" s="2">
        <v>49247</v>
      </c>
      <c r="AB2453" s="2"/>
    </row>
    <row r="2454" spans="8:28" ht="15" customHeight="1">
      <c r="H2454" s="2">
        <v>47529</v>
      </c>
      <c r="I2454" s="2"/>
      <c r="J2454" s="2">
        <v>49166</v>
      </c>
      <c r="K2454" s="2"/>
      <c r="L2454" s="2">
        <v>47297</v>
      </c>
      <c r="M2454" s="2"/>
      <c r="N2454" s="2">
        <v>49404</v>
      </c>
      <c r="P2454" s="2">
        <v>47448</v>
      </c>
      <c r="Q2454" s="2"/>
      <c r="R2454" s="2">
        <v>49248</v>
      </c>
      <c r="AB2454" s="2"/>
    </row>
    <row r="2455" spans="8:28" ht="15" customHeight="1">
      <c r="H2455" s="2">
        <v>47528</v>
      </c>
      <c r="I2455" s="2"/>
      <c r="J2455" s="2">
        <v>49167</v>
      </c>
      <c r="K2455" s="2"/>
      <c r="L2455" s="2">
        <v>47296</v>
      </c>
      <c r="M2455" s="2"/>
      <c r="N2455" s="2">
        <v>49405</v>
      </c>
      <c r="P2455" s="2">
        <v>47445</v>
      </c>
      <c r="Q2455" s="2"/>
      <c r="R2455" s="2">
        <v>49249</v>
      </c>
      <c r="AB2455" s="2"/>
    </row>
    <row r="2456" spans="8:28" ht="15" customHeight="1">
      <c r="H2456" s="2">
        <v>47527</v>
      </c>
      <c r="I2456" s="2"/>
      <c r="J2456" s="2">
        <v>49170</v>
      </c>
      <c r="K2456" s="2"/>
      <c r="L2456" s="2">
        <v>47295</v>
      </c>
      <c r="M2456" s="2"/>
      <c r="N2456" s="2">
        <v>49408</v>
      </c>
      <c r="P2456" s="2">
        <v>47444</v>
      </c>
      <c r="Q2456" s="2"/>
      <c r="R2456" s="2">
        <v>49250</v>
      </c>
      <c r="AB2456" s="2"/>
    </row>
    <row r="2457" spans="8:28" ht="15" customHeight="1">
      <c r="H2457" s="2">
        <v>47526</v>
      </c>
      <c r="I2457" s="2"/>
      <c r="J2457" s="2">
        <v>49171</v>
      </c>
      <c r="K2457" s="2"/>
      <c r="L2457" s="2">
        <v>47294</v>
      </c>
      <c r="M2457" s="2"/>
      <c r="N2457" s="2">
        <v>49409</v>
      </c>
      <c r="P2457" s="2">
        <v>47443</v>
      </c>
      <c r="Q2457" s="2"/>
      <c r="R2457" s="2">
        <v>49251</v>
      </c>
      <c r="AB2457" s="2"/>
    </row>
    <row r="2458" spans="8:28" ht="15" customHeight="1">
      <c r="H2458" s="2">
        <v>47525</v>
      </c>
      <c r="I2458" s="2"/>
      <c r="J2458" s="2">
        <v>49172</v>
      </c>
      <c r="K2458" s="2"/>
      <c r="L2458" s="2">
        <v>47291</v>
      </c>
      <c r="M2458" s="2"/>
      <c r="N2458" s="2">
        <v>49410</v>
      </c>
      <c r="P2458" s="2">
        <v>47442</v>
      </c>
      <c r="Q2458" s="2"/>
      <c r="R2458" s="2">
        <v>49254</v>
      </c>
      <c r="AB2458" s="2"/>
    </row>
    <row r="2459" spans="8:28" ht="15" customHeight="1">
      <c r="H2459" s="2">
        <v>47522</v>
      </c>
      <c r="I2459" s="2"/>
      <c r="J2459" s="2">
        <v>49173</v>
      </c>
      <c r="K2459" s="2"/>
      <c r="L2459" s="2">
        <v>47290</v>
      </c>
      <c r="M2459" s="2"/>
      <c r="N2459" s="2">
        <v>49411</v>
      </c>
      <c r="P2459" s="2">
        <v>47441</v>
      </c>
      <c r="Q2459" s="2"/>
      <c r="R2459" s="2">
        <v>49255</v>
      </c>
      <c r="AB2459" s="2"/>
    </row>
    <row r="2460" spans="8:28" ht="15" customHeight="1">
      <c r="H2460" s="2">
        <v>47521</v>
      </c>
      <c r="I2460" s="2"/>
      <c r="J2460" s="2">
        <v>49174</v>
      </c>
      <c r="K2460" s="2"/>
      <c r="L2460" s="2">
        <v>47289</v>
      </c>
      <c r="M2460" s="2"/>
      <c r="N2460" s="2">
        <v>49412</v>
      </c>
      <c r="P2460" s="2">
        <v>47438</v>
      </c>
      <c r="Q2460" s="2"/>
      <c r="R2460" s="2">
        <v>49256</v>
      </c>
      <c r="AB2460" s="2"/>
    </row>
    <row r="2461" spans="8:28" ht="15" customHeight="1">
      <c r="H2461" s="2">
        <v>47520</v>
      </c>
      <c r="I2461" s="2"/>
      <c r="J2461" s="2">
        <v>49177</v>
      </c>
      <c r="K2461" s="2"/>
      <c r="L2461" s="2">
        <v>47287</v>
      </c>
      <c r="M2461" s="2"/>
      <c r="N2461" s="2">
        <v>49415</v>
      </c>
      <c r="P2461" s="2">
        <v>47437</v>
      </c>
      <c r="Q2461" s="2"/>
      <c r="R2461" s="2">
        <v>49257</v>
      </c>
      <c r="AB2461" s="2"/>
    </row>
    <row r="2462" spans="8:28" ht="15" customHeight="1">
      <c r="H2462" s="2">
        <v>47519</v>
      </c>
      <c r="I2462" s="2"/>
      <c r="J2462" s="2">
        <v>49178</v>
      </c>
      <c r="K2462" s="2"/>
      <c r="L2462" s="2">
        <v>47284</v>
      </c>
      <c r="M2462" s="2"/>
      <c r="N2462" s="2">
        <v>49416</v>
      </c>
      <c r="P2462" s="2">
        <v>47436</v>
      </c>
      <c r="Q2462" s="2"/>
      <c r="R2462" s="2">
        <v>49258</v>
      </c>
      <c r="AB2462" s="2"/>
    </row>
    <row r="2463" spans="8:28" ht="15" customHeight="1">
      <c r="H2463" s="2">
        <v>47518</v>
      </c>
      <c r="I2463" s="2"/>
      <c r="J2463" s="2">
        <v>49179</v>
      </c>
      <c r="K2463" s="2"/>
      <c r="L2463" s="2">
        <v>47283</v>
      </c>
      <c r="M2463" s="2"/>
      <c r="N2463" s="2">
        <v>49417</v>
      </c>
      <c r="P2463" s="2">
        <v>47435</v>
      </c>
      <c r="Q2463" s="2"/>
      <c r="R2463" s="2">
        <v>49261</v>
      </c>
      <c r="AB2463" s="2"/>
    </row>
    <row r="2464" spans="8:28" ht="15" customHeight="1">
      <c r="H2464" s="2">
        <v>47515</v>
      </c>
      <c r="I2464" s="2"/>
      <c r="J2464" s="2">
        <v>49180</v>
      </c>
      <c r="K2464" s="2"/>
      <c r="L2464" s="2">
        <v>47282</v>
      </c>
      <c r="M2464" s="2"/>
      <c r="N2464" s="2">
        <v>49418</v>
      </c>
      <c r="P2464" s="2">
        <v>47434</v>
      </c>
      <c r="Q2464" s="2"/>
      <c r="R2464" s="2">
        <v>49262</v>
      </c>
      <c r="AB2464" s="2"/>
    </row>
    <row r="2465" spans="8:28" ht="15" customHeight="1">
      <c r="H2465" s="2">
        <v>47514</v>
      </c>
      <c r="I2465" s="2"/>
      <c r="J2465" s="2">
        <v>49181</v>
      </c>
      <c r="K2465" s="2"/>
      <c r="L2465" s="2">
        <v>47281</v>
      </c>
      <c r="M2465" s="2"/>
      <c r="N2465" s="2">
        <v>49419</v>
      </c>
      <c r="P2465" s="2">
        <v>47431</v>
      </c>
      <c r="Q2465" s="2"/>
      <c r="R2465" s="2">
        <v>49263</v>
      </c>
      <c r="AB2465" s="2"/>
    </row>
    <row r="2466" spans="8:28" ht="15" customHeight="1">
      <c r="H2466" s="2">
        <v>47513</v>
      </c>
      <c r="I2466" s="2"/>
      <c r="J2466" s="2">
        <v>49184</v>
      </c>
      <c r="K2466" s="2"/>
      <c r="L2466" s="2">
        <v>47280</v>
      </c>
      <c r="M2466" s="2"/>
      <c r="N2466" s="2">
        <v>49422</v>
      </c>
      <c r="P2466" s="2">
        <v>47430</v>
      </c>
      <c r="Q2466" s="2"/>
      <c r="R2466" s="2">
        <v>49264</v>
      </c>
      <c r="AB2466" s="2"/>
    </row>
    <row r="2467" spans="8:28" ht="15" customHeight="1">
      <c r="H2467" s="2">
        <v>47512</v>
      </c>
      <c r="I2467" s="2"/>
      <c r="J2467" s="2">
        <v>49185</v>
      </c>
      <c r="K2467" s="2"/>
      <c r="L2467" s="2">
        <v>47277</v>
      </c>
      <c r="M2467" s="2"/>
      <c r="N2467" s="2">
        <v>49423</v>
      </c>
      <c r="P2467" s="2">
        <v>47429</v>
      </c>
      <c r="Q2467" s="2"/>
      <c r="R2467" s="2">
        <v>49265</v>
      </c>
      <c r="AB2467" s="2"/>
    </row>
    <row r="2468" spans="8:28" ht="15" customHeight="1">
      <c r="H2468" s="2">
        <v>47511</v>
      </c>
      <c r="I2468" s="2"/>
      <c r="J2468" s="2">
        <v>49186</v>
      </c>
      <c r="K2468" s="2"/>
      <c r="L2468" s="2">
        <v>47276</v>
      </c>
      <c r="M2468" s="2"/>
      <c r="N2468" s="2">
        <v>49424</v>
      </c>
      <c r="P2468" s="2">
        <v>47428</v>
      </c>
      <c r="Q2468" s="2"/>
      <c r="R2468" s="2">
        <v>49268</v>
      </c>
      <c r="AB2468" s="2"/>
    </row>
    <row r="2469" spans="8:28" ht="15" customHeight="1">
      <c r="H2469" s="2">
        <v>47508</v>
      </c>
      <c r="I2469" s="2"/>
      <c r="J2469" s="2">
        <v>49187</v>
      </c>
      <c r="K2469" s="2"/>
      <c r="L2469" s="2">
        <v>47275</v>
      </c>
      <c r="M2469" s="2"/>
      <c r="N2469" s="2">
        <v>49425</v>
      </c>
      <c r="P2469" s="2">
        <v>47427</v>
      </c>
      <c r="Q2469" s="2"/>
      <c r="R2469" s="2">
        <v>49269</v>
      </c>
      <c r="AB2469" s="2"/>
    </row>
    <row r="2470" spans="8:28" ht="15" customHeight="1">
      <c r="H2470" s="2">
        <v>47507</v>
      </c>
      <c r="I2470" s="2"/>
      <c r="J2470" s="2">
        <v>49188</v>
      </c>
      <c r="K2470" s="2"/>
      <c r="L2470" s="2">
        <v>47274</v>
      </c>
      <c r="M2470" s="2"/>
      <c r="N2470" s="2">
        <v>49426</v>
      </c>
      <c r="P2470" s="2">
        <v>47424</v>
      </c>
      <c r="Q2470" s="2"/>
      <c r="R2470" s="2">
        <v>49270</v>
      </c>
      <c r="AB2470" s="2"/>
    </row>
    <row r="2471" spans="8:28" ht="15" customHeight="1">
      <c r="H2471" s="2">
        <v>47506</v>
      </c>
      <c r="I2471" s="2"/>
      <c r="J2471" s="2">
        <v>49192</v>
      </c>
      <c r="K2471" s="2"/>
      <c r="L2471" s="2">
        <v>47273</v>
      </c>
      <c r="M2471" s="2"/>
      <c r="N2471" s="2">
        <v>49430</v>
      </c>
      <c r="P2471" s="2">
        <v>47423</v>
      </c>
      <c r="Q2471" s="2"/>
      <c r="R2471" s="2">
        <v>49271</v>
      </c>
      <c r="AB2471" s="2"/>
    </row>
    <row r="2472" spans="8:28" ht="15" customHeight="1">
      <c r="H2472" s="2">
        <v>47505</v>
      </c>
      <c r="I2472" s="2"/>
      <c r="J2472" s="2">
        <v>49193</v>
      </c>
      <c r="K2472" s="2"/>
      <c r="L2472" s="2">
        <v>47270</v>
      </c>
      <c r="M2472" s="2"/>
      <c r="N2472" s="2">
        <v>49431</v>
      </c>
      <c r="P2472" s="2">
        <v>47422</v>
      </c>
      <c r="Q2472" s="2"/>
      <c r="R2472" s="2">
        <v>49272</v>
      </c>
      <c r="AB2472" s="2"/>
    </row>
    <row r="2473" spans="8:28" ht="15" customHeight="1">
      <c r="H2473" s="2">
        <v>47501</v>
      </c>
      <c r="I2473" s="2"/>
      <c r="J2473" s="2">
        <v>49194</v>
      </c>
      <c r="K2473" s="2"/>
      <c r="L2473" s="2">
        <v>47269</v>
      </c>
      <c r="M2473" s="2"/>
      <c r="N2473" s="2">
        <v>49436</v>
      </c>
      <c r="P2473" s="2">
        <v>47421</v>
      </c>
      <c r="Q2473" s="2"/>
      <c r="R2473" s="2">
        <v>49275</v>
      </c>
      <c r="AB2473" s="2"/>
    </row>
    <row r="2474" spans="8:28" ht="15" customHeight="1">
      <c r="H2474" s="2">
        <v>47500</v>
      </c>
      <c r="I2474" s="2"/>
      <c r="J2474" s="2">
        <v>49195</v>
      </c>
      <c r="K2474" s="2"/>
      <c r="L2474" s="2">
        <v>47268</v>
      </c>
      <c r="M2474" s="2"/>
      <c r="N2474" s="2">
        <v>49437</v>
      </c>
      <c r="P2474" s="2">
        <v>47420</v>
      </c>
      <c r="Q2474" s="2"/>
      <c r="R2474" s="2">
        <v>49276</v>
      </c>
      <c r="AB2474" s="2"/>
    </row>
    <row r="2475" spans="8:28" ht="15" customHeight="1">
      <c r="H2475" s="2">
        <v>47499</v>
      </c>
      <c r="I2475" s="2"/>
      <c r="J2475" s="2">
        <v>49198</v>
      </c>
      <c r="K2475" s="2"/>
      <c r="L2475" s="2">
        <v>47267</v>
      </c>
      <c r="M2475" s="2"/>
      <c r="N2475" s="2">
        <v>49438</v>
      </c>
      <c r="P2475" s="2">
        <v>47417</v>
      </c>
      <c r="Q2475" s="2"/>
      <c r="R2475" s="2">
        <v>49277</v>
      </c>
      <c r="AB2475" s="2"/>
    </row>
    <row r="2476" spans="8:28" ht="15" customHeight="1">
      <c r="H2476" s="2">
        <v>47498</v>
      </c>
      <c r="I2476" s="2"/>
      <c r="J2476" s="2">
        <v>49199</v>
      </c>
      <c r="K2476" s="2"/>
      <c r="L2476" s="2">
        <v>47263</v>
      </c>
      <c r="M2476" s="2"/>
      <c r="N2476" s="2">
        <v>49439</v>
      </c>
      <c r="P2476" s="2">
        <v>47416</v>
      </c>
      <c r="Q2476" s="2"/>
      <c r="R2476" s="2">
        <v>49278</v>
      </c>
      <c r="AB2476" s="2"/>
    </row>
    <row r="2477" spans="8:28" ht="15" customHeight="1">
      <c r="H2477" s="2">
        <v>47497</v>
      </c>
      <c r="I2477" s="2"/>
      <c r="J2477" s="2">
        <v>49200</v>
      </c>
      <c r="K2477" s="2"/>
      <c r="L2477" s="2">
        <v>47262</v>
      </c>
      <c r="M2477" s="2"/>
      <c r="N2477" s="2">
        <v>49440</v>
      </c>
      <c r="P2477" s="2">
        <v>47415</v>
      </c>
      <c r="Q2477" s="2"/>
      <c r="R2477" s="2">
        <v>49279</v>
      </c>
      <c r="AB2477" s="2"/>
    </row>
    <row r="2478" spans="8:28" ht="15" customHeight="1">
      <c r="H2478" s="2">
        <v>47494</v>
      </c>
      <c r="I2478" s="2"/>
      <c r="J2478" s="2">
        <v>49201</v>
      </c>
      <c r="K2478" s="2"/>
      <c r="L2478" s="2">
        <v>47261</v>
      </c>
      <c r="M2478" s="2"/>
      <c r="N2478" s="2">
        <v>49443</v>
      </c>
      <c r="P2478" s="2">
        <v>47414</v>
      </c>
      <c r="Q2478" s="2"/>
      <c r="R2478" s="2">
        <v>49282</v>
      </c>
      <c r="AB2478" s="2"/>
    </row>
    <row r="2479" spans="8:28" ht="15" customHeight="1">
      <c r="H2479" s="2">
        <v>47493</v>
      </c>
      <c r="I2479" s="2"/>
      <c r="J2479" s="2">
        <v>49202</v>
      </c>
      <c r="K2479" s="2"/>
      <c r="L2479" s="2">
        <v>47260</v>
      </c>
      <c r="M2479" s="2"/>
      <c r="N2479" s="2">
        <v>49444</v>
      </c>
      <c r="P2479" s="2">
        <v>47413</v>
      </c>
      <c r="Q2479" s="2"/>
      <c r="R2479" s="2">
        <v>49283</v>
      </c>
      <c r="AB2479" s="2"/>
    </row>
    <row r="2480" spans="8:28" ht="15" customHeight="1">
      <c r="H2480" s="2">
        <v>47492</v>
      </c>
      <c r="I2480" s="2"/>
      <c r="J2480" s="2">
        <v>49205</v>
      </c>
      <c r="K2480" s="2"/>
      <c r="L2480" s="2">
        <v>47259</v>
      </c>
      <c r="M2480" s="2"/>
      <c r="N2480" s="2">
        <v>49445</v>
      </c>
      <c r="P2480" s="2">
        <v>47410</v>
      </c>
      <c r="Q2480" s="2"/>
      <c r="R2480" s="2">
        <v>49284</v>
      </c>
      <c r="AB2480" s="2"/>
    </row>
    <row r="2481" spans="8:28" ht="15" customHeight="1">
      <c r="H2481" s="2">
        <v>47491</v>
      </c>
      <c r="I2481" s="2"/>
      <c r="J2481" s="2">
        <v>49206</v>
      </c>
      <c r="K2481" s="2"/>
      <c r="L2481" s="2">
        <v>47256</v>
      </c>
      <c r="M2481" s="2"/>
      <c r="N2481" s="2">
        <v>49446</v>
      </c>
      <c r="P2481" s="2">
        <v>47409</v>
      </c>
      <c r="Q2481" s="2"/>
      <c r="R2481" s="2">
        <v>49285</v>
      </c>
      <c r="AB2481" s="2"/>
    </row>
    <row r="2482" spans="8:28" ht="15" customHeight="1">
      <c r="H2482" s="2">
        <v>47490</v>
      </c>
      <c r="I2482" s="2"/>
      <c r="J2482" s="2">
        <v>49207</v>
      </c>
      <c r="K2482" s="2"/>
      <c r="L2482" s="2">
        <v>47255</v>
      </c>
      <c r="M2482" s="2"/>
      <c r="N2482" s="2">
        <v>49447</v>
      </c>
      <c r="P2482" s="2">
        <v>47408</v>
      </c>
      <c r="Q2482" s="2"/>
      <c r="R2482" s="2">
        <v>49286</v>
      </c>
      <c r="AB2482" s="2"/>
    </row>
    <row r="2483" spans="8:28" ht="15" customHeight="1">
      <c r="H2483" s="2">
        <v>47487</v>
      </c>
      <c r="I2483" s="2"/>
      <c r="J2483" s="2">
        <v>49208</v>
      </c>
      <c r="K2483" s="2"/>
      <c r="L2483" s="2">
        <v>47254</v>
      </c>
      <c r="M2483" s="2"/>
      <c r="N2483" s="2">
        <v>49450</v>
      </c>
      <c r="P2483" s="2">
        <v>47407</v>
      </c>
      <c r="Q2483" s="2"/>
      <c r="R2483" s="2">
        <v>49289</v>
      </c>
      <c r="AB2483" s="2"/>
    </row>
    <row r="2484" spans="8:28" ht="15" customHeight="1">
      <c r="H2484" s="2">
        <v>47486</v>
      </c>
      <c r="I2484" s="2"/>
      <c r="J2484" s="2">
        <v>49209</v>
      </c>
      <c r="K2484" s="2"/>
      <c r="L2484" s="2">
        <v>47253</v>
      </c>
      <c r="M2484" s="2"/>
      <c r="N2484" s="2">
        <v>49451</v>
      </c>
      <c r="P2484" s="2">
        <v>47406</v>
      </c>
      <c r="Q2484" s="2"/>
      <c r="R2484" s="2">
        <v>49290</v>
      </c>
      <c r="AB2484" s="2"/>
    </row>
    <row r="2485" spans="8:28" ht="15" customHeight="1">
      <c r="H2485" s="2">
        <v>47485</v>
      </c>
      <c r="I2485" s="2"/>
      <c r="J2485" s="2">
        <v>49212</v>
      </c>
      <c r="K2485" s="2"/>
      <c r="L2485" s="2">
        <v>47252</v>
      </c>
      <c r="M2485" s="2"/>
      <c r="N2485" s="2">
        <v>49452</v>
      </c>
      <c r="P2485" s="2">
        <v>47403</v>
      </c>
      <c r="Q2485" s="2"/>
      <c r="R2485" s="2">
        <v>49291</v>
      </c>
      <c r="AB2485" s="2"/>
    </row>
    <row r="2486" spans="8:28" ht="15" customHeight="1">
      <c r="H2486" s="2">
        <v>47483</v>
      </c>
      <c r="I2486" s="2"/>
      <c r="J2486" s="2">
        <v>49213</v>
      </c>
      <c r="K2486" s="2"/>
      <c r="L2486" s="2">
        <v>47249</v>
      </c>
      <c r="M2486" s="2"/>
      <c r="N2486" s="2">
        <v>49453</v>
      </c>
      <c r="P2486" s="2">
        <v>47402</v>
      </c>
      <c r="Q2486" s="2"/>
      <c r="R2486" s="2">
        <v>49292</v>
      </c>
      <c r="AB2486" s="2"/>
    </row>
    <row r="2487" spans="8:28" ht="15" customHeight="1">
      <c r="H2487" s="2">
        <v>47480</v>
      </c>
      <c r="I2487" s="2"/>
      <c r="J2487" s="2">
        <v>49214</v>
      </c>
      <c r="K2487" s="2"/>
      <c r="L2487" s="2">
        <v>47248</v>
      </c>
      <c r="M2487" s="2"/>
      <c r="N2487" s="2">
        <v>49454</v>
      </c>
      <c r="P2487" s="2">
        <v>47401</v>
      </c>
      <c r="Q2487" s="2"/>
      <c r="R2487" s="2">
        <v>49293</v>
      </c>
      <c r="AB2487" s="2"/>
    </row>
    <row r="2488" spans="8:28" ht="15" customHeight="1">
      <c r="H2488" s="2">
        <v>47479</v>
      </c>
      <c r="I2488" s="2"/>
      <c r="J2488" s="2">
        <v>49215</v>
      </c>
      <c r="K2488" s="2"/>
      <c r="L2488" s="2">
        <v>47247</v>
      </c>
      <c r="M2488" s="2"/>
      <c r="N2488" s="2">
        <v>49458</v>
      </c>
      <c r="P2488" s="2">
        <v>47399</v>
      </c>
      <c r="Q2488" s="2"/>
      <c r="R2488" s="2">
        <v>49296</v>
      </c>
      <c r="AB2488" s="2"/>
    </row>
    <row r="2489" spans="8:28" ht="15" customHeight="1">
      <c r="H2489" s="2">
        <v>47478</v>
      </c>
      <c r="I2489" s="2"/>
      <c r="J2489" s="2">
        <v>49216</v>
      </c>
      <c r="K2489" s="2"/>
      <c r="L2489" s="2">
        <v>47246</v>
      </c>
      <c r="M2489" s="2"/>
      <c r="N2489" s="2">
        <v>49459</v>
      </c>
      <c r="P2489" s="2">
        <v>47396</v>
      </c>
      <c r="Q2489" s="2"/>
      <c r="R2489" s="2">
        <v>49297</v>
      </c>
      <c r="AB2489" s="2"/>
    </row>
    <row r="2490" spans="8:28" ht="15" customHeight="1">
      <c r="H2490" s="2">
        <v>47476</v>
      </c>
      <c r="I2490" s="2"/>
      <c r="J2490" s="2">
        <v>49219</v>
      </c>
      <c r="K2490" s="2"/>
      <c r="L2490" s="2">
        <v>47245</v>
      </c>
      <c r="M2490" s="2"/>
      <c r="N2490" s="2">
        <v>49460</v>
      </c>
      <c r="P2490" s="2">
        <v>47395</v>
      </c>
      <c r="Q2490" s="2"/>
      <c r="R2490" s="2">
        <v>49298</v>
      </c>
      <c r="AB2490" s="2"/>
    </row>
    <row r="2491" spans="8:28" ht="15" customHeight="1">
      <c r="H2491" s="2">
        <v>47473</v>
      </c>
      <c r="I2491" s="2"/>
      <c r="J2491" s="2">
        <v>49220</v>
      </c>
      <c r="K2491" s="2"/>
      <c r="L2491" s="2">
        <v>47240</v>
      </c>
      <c r="M2491" s="2"/>
      <c r="N2491" s="2">
        <v>49461</v>
      </c>
      <c r="P2491" s="2">
        <v>47393</v>
      </c>
      <c r="Q2491" s="2"/>
      <c r="R2491" s="2">
        <v>49299</v>
      </c>
      <c r="AB2491" s="2"/>
    </row>
    <row r="2492" spans="8:28" ht="15" customHeight="1">
      <c r="H2492" s="2">
        <v>47472</v>
      </c>
      <c r="I2492" s="2"/>
      <c r="J2492" s="2">
        <v>49221</v>
      </c>
      <c r="K2492" s="2"/>
      <c r="L2492" s="2">
        <v>47239</v>
      </c>
      <c r="M2492" s="2"/>
      <c r="N2492" s="2">
        <v>49464</v>
      </c>
      <c r="P2492" s="2">
        <v>47392</v>
      </c>
      <c r="Q2492" s="2"/>
      <c r="R2492" s="2">
        <v>49300</v>
      </c>
      <c r="AB2492" s="2"/>
    </row>
    <row r="2493" spans="8:28" ht="15" customHeight="1">
      <c r="H2493" s="2">
        <v>47471</v>
      </c>
      <c r="I2493" s="2"/>
      <c r="J2493" s="2">
        <v>49222</v>
      </c>
      <c r="K2493" s="2"/>
      <c r="L2493" s="2">
        <v>47235</v>
      </c>
      <c r="M2493" s="2"/>
      <c r="N2493" s="2">
        <v>49465</v>
      </c>
      <c r="P2493" s="2">
        <v>47389</v>
      </c>
      <c r="Q2493" s="2"/>
      <c r="R2493" s="2">
        <v>49304</v>
      </c>
      <c r="AB2493" s="2"/>
    </row>
    <row r="2494" spans="8:28" ht="15" customHeight="1">
      <c r="H2494" s="2">
        <v>47470</v>
      </c>
      <c r="I2494" s="2"/>
      <c r="J2494" s="2">
        <v>49223</v>
      </c>
      <c r="K2494" s="2"/>
      <c r="L2494" s="2">
        <v>47234</v>
      </c>
      <c r="M2494" s="2"/>
      <c r="N2494" s="2">
        <v>49466</v>
      </c>
      <c r="P2494" s="2">
        <v>47388</v>
      </c>
      <c r="Q2494" s="2"/>
      <c r="R2494" s="2">
        <v>49305</v>
      </c>
      <c r="AB2494" s="2"/>
    </row>
    <row r="2495" spans="8:28" ht="15" customHeight="1">
      <c r="H2495" s="2">
        <v>47469</v>
      </c>
      <c r="I2495" s="2"/>
      <c r="J2495" s="2">
        <v>49226</v>
      </c>
      <c r="K2495" s="2"/>
      <c r="L2495" s="2">
        <v>47233</v>
      </c>
      <c r="M2495" s="2"/>
      <c r="N2495" s="2">
        <v>49467</v>
      </c>
      <c r="P2495" s="2">
        <v>47387</v>
      </c>
      <c r="Q2495" s="2"/>
      <c r="R2495" s="2">
        <v>49306</v>
      </c>
      <c r="AB2495" s="2"/>
    </row>
    <row r="2496" spans="8:28" ht="15" customHeight="1">
      <c r="H2496" s="2">
        <v>47466</v>
      </c>
      <c r="I2496" s="2"/>
      <c r="J2496" s="2">
        <v>49227</v>
      </c>
      <c r="K2496" s="2"/>
      <c r="L2496" s="2">
        <v>47232</v>
      </c>
      <c r="M2496" s="2"/>
      <c r="N2496" s="2">
        <v>49468</v>
      </c>
      <c r="P2496" s="2">
        <v>47386</v>
      </c>
      <c r="Q2496" s="2"/>
      <c r="R2496" s="2">
        <v>49311</v>
      </c>
      <c r="AB2496" s="2"/>
    </row>
    <row r="2497" spans="8:28" ht="15" customHeight="1">
      <c r="H2497" s="2">
        <v>47465</v>
      </c>
      <c r="I2497" s="2"/>
      <c r="J2497" s="2">
        <v>49228</v>
      </c>
      <c r="K2497" s="2"/>
      <c r="L2497" s="2">
        <v>47231</v>
      </c>
      <c r="M2497" s="2"/>
      <c r="N2497" s="2">
        <v>49471</v>
      </c>
      <c r="P2497" s="2">
        <v>47381</v>
      </c>
      <c r="Q2497" s="2"/>
      <c r="R2497" s="2">
        <v>49312</v>
      </c>
      <c r="AB2497" s="2"/>
    </row>
    <row r="2498" spans="8:28" ht="15" customHeight="1">
      <c r="H2498" s="2">
        <v>47464</v>
      </c>
      <c r="I2498" s="2"/>
      <c r="J2498" s="2">
        <v>49229</v>
      </c>
      <c r="K2498" s="2"/>
      <c r="L2498" s="2">
        <v>47228</v>
      </c>
      <c r="M2498" s="2"/>
      <c r="N2498" s="2">
        <v>49472</v>
      </c>
      <c r="P2498" s="2">
        <v>47380</v>
      </c>
      <c r="Q2498" s="2"/>
      <c r="R2498" s="2">
        <v>49313</v>
      </c>
      <c r="AB2498" s="2"/>
    </row>
    <row r="2499" spans="8:28" ht="15" customHeight="1">
      <c r="H2499" s="2">
        <v>47463</v>
      </c>
      <c r="I2499" s="2"/>
      <c r="J2499" s="2">
        <v>49230</v>
      </c>
      <c r="K2499" s="2"/>
      <c r="L2499" s="2">
        <v>47227</v>
      </c>
      <c r="M2499" s="2"/>
      <c r="N2499" s="2">
        <v>49473</v>
      </c>
      <c r="P2499" s="2">
        <v>47379</v>
      </c>
      <c r="Q2499" s="2"/>
      <c r="R2499" s="2">
        <v>49314</v>
      </c>
      <c r="AB2499" s="2"/>
    </row>
    <row r="2500" spans="8:28" ht="15" customHeight="1">
      <c r="H2500" s="2">
        <v>47462</v>
      </c>
      <c r="I2500" s="2"/>
      <c r="J2500" s="2">
        <v>49233</v>
      </c>
      <c r="K2500" s="2"/>
      <c r="L2500" s="2">
        <v>47226</v>
      </c>
      <c r="M2500" s="2"/>
      <c r="N2500" s="2">
        <v>49474</v>
      </c>
      <c r="P2500" s="2">
        <v>47378</v>
      </c>
      <c r="Q2500" s="2"/>
      <c r="R2500" s="2">
        <v>49317</v>
      </c>
      <c r="AB2500" s="2"/>
    </row>
    <row r="2501" spans="8:28" ht="15" customHeight="1">
      <c r="H2501" s="2">
        <v>47459</v>
      </c>
      <c r="I2501" s="2"/>
      <c r="J2501" s="2">
        <v>49234</v>
      </c>
      <c r="K2501" s="2"/>
      <c r="L2501" s="2">
        <v>47225</v>
      </c>
      <c r="M2501" s="2"/>
      <c r="N2501" s="2">
        <v>49475</v>
      </c>
      <c r="P2501" s="2">
        <v>47375</v>
      </c>
      <c r="Q2501" s="2"/>
      <c r="R2501" s="2">
        <v>49318</v>
      </c>
      <c r="AB2501" s="2"/>
    </row>
    <row r="2502" spans="8:28" ht="15" customHeight="1">
      <c r="H2502" s="2">
        <v>47458</v>
      </c>
      <c r="I2502" s="2"/>
      <c r="J2502" s="2">
        <v>49235</v>
      </c>
      <c r="K2502" s="2"/>
      <c r="L2502" s="2">
        <v>47224</v>
      </c>
      <c r="M2502" s="2"/>
      <c r="N2502" s="2">
        <v>49478</v>
      </c>
      <c r="P2502" s="2">
        <v>47374</v>
      </c>
      <c r="Q2502" s="2"/>
      <c r="R2502" s="2">
        <v>49319</v>
      </c>
      <c r="AB2502" s="2"/>
    </row>
    <row r="2503" spans="8:28" ht="15" customHeight="1">
      <c r="H2503" s="2">
        <v>47457</v>
      </c>
      <c r="I2503" s="2"/>
      <c r="J2503" s="2">
        <v>49236</v>
      </c>
      <c r="K2503" s="2"/>
      <c r="L2503" s="2">
        <v>47221</v>
      </c>
      <c r="M2503" s="2"/>
      <c r="N2503" s="2">
        <v>49480</v>
      </c>
      <c r="P2503" s="2">
        <v>47373</v>
      </c>
      <c r="Q2503" s="2"/>
      <c r="R2503" s="2">
        <v>49320</v>
      </c>
      <c r="AB2503" s="2"/>
    </row>
    <row r="2504" spans="8:28" ht="15" customHeight="1">
      <c r="H2504" s="2">
        <v>47456</v>
      </c>
      <c r="I2504" s="2"/>
      <c r="J2504" s="2">
        <v>49237</v>
      </c>
      <c r="K2504" s="2"/>
      <c r="L2504" s="2">
        <v>47220</v>
      </c>
      <c r="M2504" s="2"/>
      <c r="N2504" s="2">
        <v>49481</v>
      </c>
      <c r="P2504" s="2">
        <v>47372</v>
      </c>
      <c r="Q2504" s="2"/>
      <c r="R2504" s="2">
        <v>49321</v>
      </c>
      <c r="AB2504" s="2"/>
    </row>
    <row r="2505" spans="8:28" ht="15" customHeight="1">
      <c r="H2505" s="2">
        <v>47455</v>
      </c>
      <c r="I2505" s="2"/>
      <c r="J2505" s="2">
        <v>49240</v>
      </c>
      <c r="K2505" s="2"/>
      <c r="L2505" s="2">
        <v>47219</v>
      </c>
      <c r="M2505" s="2"/>
      <c r="N2505" s="2">
        <v>49482</v>
      </c>
      <c r="P2505" s="2">
        <v>47371</v>
      </c>
      <c r="Q2505" s="2"/>
      <c r="R2505" s="2">
        <v>49324</v>
      </c>
      <c r="AB2505" s="2"/>
    </row>
    <row r="2506" spans="8:28" ht="15" customHeight="1">
      <c r="H2506" s="2">
        <v>47452</v>
      </c>
      <c r="I2506" s="2"/>
      <c r="J2506" s="2">
        <v>49241</v>
      </c>
      <c r="K2506" s="2"/>
      <c r="L2506" s="2">
        <v>47218</v>
      </c>
      <c r="M2506" s="2"/>
      <c r="N2506" s="2">
        <v>49485</v>
      </c>
      <c r="P2506" s="2">
        <v>47368</v>
      </c>
      <c r="Q2506" s="2"/>
      <c r="R2506" s="2">
        <v>49325</v>
      </c>
      <c r="AB2506" s="2"/>
    </row>
    <row r="2507" spans="8:28" ht="15" customHeight="1">
      <c r="H2507" s="2">
        <v>47451</v>
      </c>
      <c r="I2507" s="2"/>
      <c r="J2507" s="2">
        <v>49242</v>
      </c>
      <c r="K2507" s="2"/>
      <c r="L2507" s="2">
        <v>47217</v>
      </c>
      <c r="M2507" s="2"/>
      <c r="N2507" s="2">
        <v>49486</v>
      </c>
      <c r="P2507" s="2">
        <v>47367</v>
      </c>
      <c r="Q2507" s="2"/>
      <c r="R2507" s="2">
        <v>49326</v>
      </c>
      <c r="AB2507" s="2"/>
    </row>
    <row r="2508" spans="8:28" ht="15" customHeight="1">
      <c r="H2508" s="2">
        <v>47450</v>
      </c>
      <c r="I2508" s="2"/>
      <c r="J2508" s="2">
        <v>49243</v>
      </c>
      <c r="K2508" s="2"/>
      <c r="L2508" s="2">
        <v>47214</v>
      </c>
      <c r="M2508" s="2"/>
      <c r="N2508" s="2">
        <v>49487</v>
      </c>
      <c r="P2508" s="2">
        <v>47366</v>
      </c>
      <c r="Q2508" s="2"/>
      <c r="R2508" s="2">
        <v>49327</v>
      </c>
      <c r="AB2508" s="2"/>
    </row>
    <row r="2509" spans="8:28" ht="15" customHeight="1">
      <c r="H2509" s="2">
        <v>47449</v>
      </c>
      <c r="I2509" s="2"/>
      <c r="J2509" s="2">
        <v>49244</v>
      </c>
      <c r="K2509" s="2"/>
      <c r="L2509" s="2">
        <v>47213</v>
      </c>
      <c r="M2509" s="2"/>
      <c r="N2509" s="2">
        <v>49488</v>
      </c>
      <c r="P2509" s="2">
        <v>47365</v>
      </c>
      <c r="Q2509" s="2"/>
      <c r="R2509" s="2">
        <v>49328</v>
      </c>
      <c r="AB2509" s="2"/>
    </row>
    <row r="2510" spans="8:28" ht="15" customHeight="1">
      <c r="H2510" s="2">
        <v>47448</v>
      </c>
      <c r="I2510" s="2"/>
      <c r="J2510" s="2">
        <v>49247</v>
      </c>
      <c r="K2510" s="2"/>
      <c r="L2510" s="2">
        <v>47212</v>
      </c>
      <c r="M2510" s="2"/>
      <c r="N2510" s="2">
        <v>49489</v>
      </c>
      <c r="P2510" s="2">
        <v>47364</v>
      </c>
      <c r="Q2510" s="2"/>
      <c r="R2510" s="2">
        <v>49331</v>
      </c>
      <c r="AB2510" s="2"/>
    </row>
    <row r="2511" spans="8:28" ht="15" customHeight="1">
      <c r="H2511" s="2">
        <v>47445</v>
      </c>
      <c r="I2511" s="2"/>
      <c r="J2511" s="2">
        <v>49248</v>
      </c>
      <c r="K2511" s="2"/>
      <c r="L2511" s="2">
        <v>47211</v>
      </c>
      <c r="M2511" s="2"/>
      <c r="N2511" s="2">
        <v>49492</v>
      </c>
      <c r="P2511" s="2">
        <v>47361</v>
      </c>
      <c r="Q2511" s="2"/>
      <c r="R2511" s="2">
        <v>49332</v>
      </c>
      <c r="AB2511" s="2"/>
    </row>
    <row r="2512" spans="8:28" ht="15" customHeight="1">
      <c r="H2512" s="2">
        <v>47443</v>
      </c>
      <c r="I2512" s="2"/>
      <c r="J2512" s="2">
        <v>49249</v>
      </c>
      <c r="K2512" s="2"/>
      <c r="L2512" s="2">
        <v>47210</v>
      </c>
      <c r="M2512" s="2"/>
      <c r="N2512" s="2">
        <v>49493</v>
      </c>
      <c r="P2512" s="2">
        <v>47360</v>
      </c>
      <c r="Q2512" s="2"/>
      <c r="R2512" s="2">
        <v>49333</v>
      </c>
      <c r="AB2512" s="2"/>
    </row>
    <row r="2513" spans="8:28" ht="15" customHeight="1">
      <c r="H2513" s="2">
        <v>47442</v>
      </c>
      <c r="I2513" s="2"/>
      <c r="J2513" s="2">
        <v>49250</v>
      </c>
      <c r="K2513" s="2"/>
      <c r="L2513" s="2">
        <v>47206</v>
      </c>
      <c r="M2513" s="2"/>
      <c r="N2513" s="2">
        <v>49495</v>
      </c>
      <c r="P2513" s="2">
        <v>47359</v>
      </c>
      <c r="Q2513" s="2"/>
      <c r="R2513" s="2">
        <v>49334</v>
      </c>
      <c r="AB2513" s="2"/>
    </row>
    <row r="2514" spans="8:28" ht="15" customHeight="1">
      <c r="H2514" s="2">
        <v>47441</v>
      </c>
      <c r="I2514" s="2"/>
      <c r="J2514" s="2">
        <v>49251</v>
      </c>
      <c r="K2514" s="2"/>
      <c r="L2514" s="2">
        <v>47205</v>
      </c>
      <c r="M2514" s="2"/>
      <c r="N2514" s="2">
        <v>49496</v>
      </c>
      <c r="P2514" s="2">
        <v>47358</v>
      </c>
      <c r="Q2514" s="2"/>
      <c r="R2514" s="2">
        <v>49335</v>
      </c>
      <c r="AB2514" s="2"/>
    </row>
    <row r="2515" spans="8:28" ht="15" customHeight="1">
      <c r="H2515" s="2">
        <v>47438</v>
      </c>
      <c r="I2515" s="2"/>
      <c r="J2515" s="2">
        <v>49254</v>
      </c>
      <c r="K2515" s="2"/>
      <c r="L2515" s="2">
        <v>47204</v>
      </c>
      <c r="M2515" s="2"/>
      <c r="N2515" s="2">
        <v>49499</v>
      </c>
      <c r="P2515" s="2">
        <v>47357</v>
      </c>
      <c r="Q2515" s="2"/>
      <c r="R2515" s="2">
        <v>49338</v>
      </c>
      <c r="AB2515" s="2"/>
    </row>
    <row r="2516" spans="8:28" ht="15" customHeight="1">
      <c r="H2516" s="2">
        <v>47437</v>
      </c>
      <c r="I2516" s="2"/>
      <c r="J2516" s="2">
        <v>49255</v>
      </c>
      <c r="K2516" s="2"/>
      <c r="L2516" s="2">
        <v>47203</v>
      </c>
      <c r="M2516" s="2"/>
      <c r="N2516" s="2">
        <v>49500</v>
      </c>
      <c r="P2516" s="2">
        <v>47354</v>
      </c>
      <c r="Q2516" s="2"/>
      <c r="R2516" s="2">
        <v>49339</v>
      </c>
      <c r="AB2516" s="2"/>
    </row>
    <row r="2517" spans="8:28" ht="15" customHeight="1">
      <c r="H2517" s="2">
        <v>47436</v>
      </c>
      <c r="I2517" s="2"/>
      <c r="J2517" s="2">
        <v>49256</v>
      </c>
      <c r="K2517" s="2"/>
      <c r="L2517" s="2">
        <v>47200</v>
      </c>
      <c r="M2517" s="2"/>
      <c r="N2517" s="2">
        <v>49501</v>
      </c>
      <c r="P2517" s="2">
        <v>47353</v>
      </c>
      <c r="Q2517" s="2"/>
      <c r="R2517" s="2">
        <v>49340</v>
      </c>
      <c r="AB2517" s="2"/>
    </row>
    <row r="2518" spans="8:28" ht="15" customHeight="1">
      <c r="H2518" s="2">
        <v>47435</v>
      </c>
      <c r="I2518" s="2"/>
      <c r="J2518" s="2">
        <v>49257</v>
      </c>
      <c r="K2518" s="2"/>
      <c r="L2518" s="2">
        <v>47199</v>
      </c>
      <c r="M2518" s="2"/>
      <c r="N2518" s="2">
        <v>49502</v>
      </c>
      <c r="P2518" s="2">
        <v>47352</v>
      </c>
      <c r="Q2518" s="2"/>
      <c r="R2518" s="2">
        <v>49341</v>
      </c>
      <c r="AB2518" s="2"/>
    </row>
    <row r="2519" spans="8:28" ht="15" customHeight="1">
      <c r="H2519" s="2">
        <v>47434</v>
      </c>
      <c r="I2519" s="2"/>
      <c r="J2519" s="2">
        <v>49258</v>
      </c>
      <c r="K2519" s="2"/>
      <c r="L2519" s="2">
        <v>47198</v>
      </c>
      <c r="M2519" s="2"/>
      <c r="N2519" s="2">
        <v>49503</v>
      </c>
      <c r="P2519" s="2">
        <v>47351</v>
      </c>
      <c r="Q2519" s="2"/>
      <c r="R2519" s="2">
        <v>49342</v>
      </c>
      <c r="AB2519" s="2"/>
    </row>
    <row r="2520" spans="8:28" ht="15" customHeight="1">
      <c r="H2520" s="2">
        <v>47431</v>
      </c>
      <c r="I2520" s="2"/>
      <c r="J2520" s="2">
        <v>49261</v>
      </c>
      <c r="K2520" s="2"/>
      <c r="L2520" s="2">
        <v>47196</v>
      </c>
      <c r="M2520" s="2"/>
      <c r="N2520" s="2">
        <v>49507</v>
      </c>
      <c r="P2520" s="2">
        <v>47350</v>
      </c>
      <c r="Q2520" s="2"/>
      <c r="R2520" s="2">
        <v>49345</v>
      </c>
      <c r="AB2520" s="2"/>
    </row>
    <row r="2521" spans="8:28" ht="15" customHeight="1">
      <c r="H2521" s="2">
        <v>47430</v>
      </c>
      <c r="I2521" s="2"/>
      <c r="J2521" s="2">
        <v>49262</v>
      </c>
      <c r="K2521" s="2"/>
      <c r="L2521" s="2">
        <v>47193</v>
      </c>
      <c r="M2521" s="2"/>
      <c r="N2521" s="2">
        <v>49508</v>
      </c>
      <c r="P2521" s="2">
        <v>47347</v>
      </c>
      <c r="Q2521" s="2"/>
      <c r="R2521" s="2">
        <v>49346</v>
      </c>
      <c r="AB2521" s="2"/>
    </row>
    <row r="2522" spans="8:28" ht="15" customHeight="1">
      <c r="H2522" s="2">
        <v>47429</v>
      </c>
      <c r="I2522" s="2"/>
      <c r="J2522" s="2">
        <v>49263</v>
      </c>
      <c r="K2522" s="2"/>
      <c r="L2522" s="2">
        <v>47192</v>
      </c>
      <c r="M2522" s="2"/>
      <c r="N2522" s="2">
        <v>49509</v>
      </c>
      <c r="P2522" s="2">
        <v>47346</v>
      </c>
      <c r="Q2522" s="2"/>
      <c r="R2522" s="2">
        <v>49352</v>
      </c>
      <c r="AB2522" s="2"/>
    </row>
    <row r="2523" spans="8:28" ht="15" customHeight="1">
      <c r="H2523" s="2">
        <v>47428</v>
      </c>
      <c r="I2523" s="2"/>
      <c r="J2523" s="2">
        <v>49264</v>
      </c>
      <c r="K2523" s="2"/>
      <c r="L2523" s="2">
        <v>47191</v>
      </c>
      <c r="M2523" s="2"/>
      <c r="N2523" s="2">
        <v>49510</v>
      </c>
      <c r="P2523" s="2">
        <v>47344</v>
      </c>
      <c r="Q2523" s="2"/>
      <c r="R2523" s="2">
        <v>49353</v>
      </c>
      <c r="AB2523" s="2"/>
    </row>
    <row r="2524" spans="8:28" ht="15" customHeight="1">
      <c r="H2524" s="2">
        <v>47427</v>
      </c>
      <c r="I2524" s="2"/>
      <c r="J2524" s="2">
        <v>49265</v>
      </c>
      <c r="K2524" s="2"/>
      <c r="L2524" s="2">
        <v>47190</v>
      </c>
      <c r="M2524" s="2"/>
      <c r="N2524" s="2">
        <v>49513</v>
      </c>
      <c r="P2524" s="2">
        <v>47343</v>
      </c>
      <c r="Q2524" s="2"/>
      <c r="R2524" s="2">
        <v>49354</v>
      </c>
      <c r="AB2524" s="2"/>
    </row>
    <row r="2525" spans="8:28" ht="15" customHeight="1">
      <c r="H2525" s="2">
        <v>47424</v>
      </c>
      <c r="I2525" s="2"/>
      <c r="J2525" s="2">
        <v>49268</v>
      </c>
      <c r="K2525" s="2"/>
      <c r="L2525" s="2">
        <v>47189</v>
      </c>
      <c r="M2525" s="2"/>
      <c r="N2525" s="2">
        <v>49514</v>
      </c>
      <c r="P2525" s="2">
        <v>47340</v>
      </c>
      <c r="Q2525" s="2"/>
      <c r="R2525" s="2">
        <v>49355</v>
      </c>
      <c r="AB2525" s="2"/>
    </row>
    <row r="2526" spans="8:28" ht="15" customHeight="1">
      <c r="H2526" s="2">
        <v>47423</v>
      </c>
      <c r="I2526" s="2"/>
      <c r="J2526" s="2">
        <v>49269</v>
      </c>
      <c r="K2526" s="2"/>
      <c r="L2526" s="2">
        <v>47186</v>
      </c>
      <c r="M2526" s="2"/>
      <c r="N2526" s="2">
        <v>49515</v>
      </c>
      <c r="P2526" s="2">
        <v>47339</v>
      </c>
      <c r="Q2526" s="2"/>
      <c r="R2526" s="2">
        <v>49356</v>
      </c>
      <c r="AB2526" s="2"/>
    </row>
    <row r="2527" spans="8:28" ht="15" customHeight="1">
      <c r="H2527" s="2">
        <v>47422</v>
      </c>
      <c r="I2527" s="2"/>
      <c r="J2527" s="2">
        <v>49270</v>
      </c>
      <c r="K2527" s="2"/>
      <c r="L2527" s="2">
        <v>47185</v>
      </c>
      <c r="M2527" s="2"/>
      <c r="N2527" s="2">
        <v>49516</v>
      </c>
      <c r="P2527" s="2">
        <v>47338</v>
      </c>
      <c r="Q2527" s="2"/>
      <c r="R2527" s="2">
        <v>49359</v>
      </c>
      <c r="AB2527" s="2"/>
    </row>
    <row r="2528" spans="8:28" ht="15" customHeight="1">
      <c r="H2528" s="2">
        <v>47421</v>
      </c>
      <c r="I2528" s="2"/>
      <c r="J2528" s="2">
        <v>49272</v>
      </c>
      <c r="K2528" s="2"/>
      <c r="L2528" s="2">
        <v>47184</v>
      </c>
      <c r="M2528" s="2"/>
      <c r="N2528" s="2">
        <v>49517</v>
      </c>
      <c r="P2528" s="2">
        <v>47337</v>
      </c>
      <c r="Q2528" s="2"/>
      <c r="R2528" s="2">
        <v>49360</v>
      </c>
      <c r="AB2528" s="2"/>
    </row>
    <row r="2529" spans="8:28" ht="15" customHeight="1">
      <c r="H2529" s="2">
        <v>47420</v>
      </c>
      <c r="I2529" s="2"/>
      <c r="J2529" s="2">
        <v>49275</v>
      </c>
      <c r="K2529" s="2"/>
      <c r="L2529" s="2">
        <v>47183</v>
      </c>
      <c r="M2529" s="2"/>
      <c r="N2529" s="2">
        <v>49520</v>
      </c>
      <c r="P2529" s="2">
        <v>47336</v>
      </c>
      <c r="Q2529" s="2"/>
      <c r="R2529" s="2">
        <v>49361</v>
      </c>
      <c r="AB2529" s="2"/>
    </row>
    <row r="2530" spans="8:28" ht="15" customHeight="1">
      <c r="H2530" s="2">
        <v>47417</v>
      </c>
      <c r="I2530" s="2"/>
      <c r="J2530" s="2">
        <v>49276</v>
      </c>
      <c r="K2530" s="2"/>
      <c r="L2530" s="2">
        <v>47182</v>
      </c>
      <c r="M2530" s="2"/>
      <c r="N2530" s="2">
        <v>49521</v>
      </c>
      <c r="P2530" s="2">
        <v>47333</v>
      </c>
      <c r="Q2530" s="2"/>
      <c r="R2530" s="2">
        <v>49362</v>
      </c>
      <c r="AB2530" s="2"/>
    </row>
    <row r="2531" spans="8:28" ht="15" customHeight="1">
      <c r="H2531" s="2">
        <v>47416</v>
      </c>
      <c r="I2531" s="2"/>
      <c r="J2531" s="2">
        <v>49277</v>
      </c>
      <c r="K2531" s="2"/>
      <c r="L2531" s="2">
        <v>47179</v>
      </c>
      <c r="M2531" s="2"/>
      <c r="N2531" s="2">
        <v>49522</v>
      </c>
      <c r="P2531" s="2">
        <v>47332</v>
      </c>
      <c r="Q2531" s="2"/>
      <c r="R2531" s="2">
        <v>49363</v>
      </c>
      <c r="AB2531" s="2"/>
    </row>
    <row r="2532" spans="8:28" ht="15" customHeight="1">
      <c r="H2532" s="2">
        <v>47415</v>
      </c>
      <c r="I2532" s="2"/>
      <c r="J2532" s="2">
        <v>49278</v>
      </c>
      <c r="K2532" s="2"/>
      <c r="L2532" s="2">
        <v>47178</v>
      </c>
      <c r="M2532" s="2"/>
      <c r="N2532" s="2">
        <v>49523</v>
      </c>
      <c r="P2532" s="2">
        <v>47331</v>
      </c>
      <c r="Q2532" s="2"/>
      <c r="R2532" s="2">
        <v>49366</v>
      </c>
      <c r="AB2532" s="2"/>
    </row>
    <row r="2533" spans="8:28" ht="15" customHeight="1">
      <c r="H2533" s="2">
        <v>47414</v>
      </c>
      <c r="I2533" s="2"/>
      <c r="J2533" s="2">
        <v>49279</v>
      </c>
      <c r="K2533" s="2"/>
      <c r="L2533" s="2">
        <v>47177</v>
      </c>
      <c r="M2533" s="2"/>
      <c r="N2533" s="2">
        <v>49524</v>
      </c>
      <c r="P2533" s="2">
        <v>47330</v>
      </c>
      <c r="Q2533" s="2"/>
      <c r="R2533" s="2">
        <v>49367</v>
      </c>
      <c r="AB2533" s="2"/>
    </row>
    <row r="2534" spans="8:28" ht="15" customHeight="1">
      <c r="H2534" s="2">
        <v>47413</v>
      </c>
      <c r="I2534" s="2"/>
      <c r="J2534" s="2">
        <v>49282</v>
      </c>
      <c r="K2534" s="2"/>
      <c r="L2534" s="2">
        <v>47176</v>
      </c>
      <c r="M2534" s="2"/>
      <c r="N2534" s="2">
        <v>49527</v>
      </c>
      <c r="P2534" s="2">
        <v>47329</v>
      </c>
      <c r="Q2534" s="2"/>
      <c r="R2534" s="2">
        <v>49368</v>
      </c>
      <c r="AB2534" s="2"/>
    </row>
    <row r="2535" spans="8:28" ht="15" customHeight="1">
      <c r="H2535" s="2">
        <v>47410</v>
      </c>
      <c r="I2535" s="2"/>
      <c r="J2535" s="2">
        <v>49283</v>
      </c>
      <c r="K2535" s="2"/>
      <c r="L2535" s="2">
        <v>47175</v>
      </c>
      <c r="M2535" s="2"/>
      <c r="N2535" s="2">
        <v>49528</v>
      </c>
      <c r="P2535" s="2">
        <v>47326</v>
      </c>
      <c r="Q2535" s="2"/>
      <c r="R2535" s="2">
        <v>49370</v>
      </c>
      <c r="AB2535" s="2"/>
    </row>
    <row r="2536" spans="8:28" ht="15" customHeight="1">
      <c r="H2536" s="2">
        <v>47409</v>
      </c>
      <c r="I2536" s="2"/>
      <c r="J2536" s="2">
        <v>49284</v>
      </c>
      <c r="K2536" s="2"/>
      <c r="L2536" s="2">
        <v>47171</v>
      </c>
      <c r="M2536" s="2"/>
      <c r="N2536" s="2">
        <v>49529</v>
      </c>
      <c r="P2536" s="2">
        <v>47325</v>
      </c>
      <c r="Q2536" s="2"/>
      <c r="R2536" s="2">
        <v>49373</v>
      </c>
      <c r="AB2536" s="2"/>
    </row>
    <row r="2537" spans="8:28" ht="15" customHeight="1">
      <c r="H2537" s="2">
        <v>47408</v>
      </c>
      <c r="I2537" s="2"/>
      <c r="J2537" s="2">
        <v>49285</v>
      </c>
      <c r="K2537" s="2"/>
      <c r="L2537" s="2">
        <v>47170</v>
      </c>
      <c r="M2537" s="2"/>
      <c r="N2537" s="2">
        <v>49530</v>
      </c>
      <c r="P2537" s="2">
        <v>47324</v>
      </c>
      <c r="Q2537" s="2"/>
      <c r="R2537" s="2">
        <v>49374</v>
      </c>
      <c r="AB2537" s="2"/>
    </row>
    <row r="2538" spans="8:28" ht="15" customHeight="1">
      <c r="H2538" s="2">
        <v>47407</v>
      </c>
      <c r="I2538" s="2"/>
      <c r="J2538" s="2">
        <v>49286</v>
      </c>
      <c r="K2538" s="2"/>
      <c r="L2538" s="2">
        <v>47169</v>
      </c>
      <c r="M2538" s="2"/>
      <c r="N2538" s="2">
        <v>49531</v>
      </c>
      <c r="P2538" s="2">
        <v>47323</v>
      </c>
      <c r="Q2538" s="2"/>
      <c r="R2538" s="2">
        <v>49375</v>
      </c>
      <c r="AB2538" s="2"/>
    </row>
    <row r="2539" spans="8:28" ht="15" customHeight="1">
      <c r="H2539" s="2">
        <v>47406</v>
      </c>
      <c r="I2539" s="2"/>
      <c r="J2539" s="2">
        <v>49289</v>
      </c>
      <c r="K2539" s="2"/>
      <c r="L2539" s="2">
        <v>47165</v>
      </c>
      <c r="M2539" s="2"/>
      <c r="N2539" s="2">
        <v>49534</v>
      </c>
      <c r="P2539" s="2">
        <v>47322</v>
      </c>
      <c r="Q2539" s="2"/>
      <c r="R2539" s="2">
        <v>49376</v>
      </c>
      <c r="AB2539" s="2"/>
    </row>
    <row r="2540" spans="8:28" ht="15" customHeight="1">
      <c r="H2540" s="2">
        <v>47403</v>
      </c>
      <c r="I2540" s="2"/>
      <c r="J2540" s="2">
        <v>49290</v>
      </c>
      <c r="K2540" s="2"/>
      <c r="L2540" s="2">
        <v>47164</v>
      </c>
      <c r="M2540" s="2"/>
      <c r="N2540" s="2">
        <v>49535</v>
      </c>
      <c r="P2540" s="2">
        <v>47319</v>
      </c>
      <c r="Q2540" s="2"/>
      <c r="R2540" s="2">
        <v>49377</v>
      </c>
      <c r="AB2540" s="2"/>
    </row>
    <row r="2541" spans="8:28" ht="15" customHeight="1">
      <c r="H2541" s="2">
        <v>47402</v>
      </c>
      <c r="I2541" s="2"/>
      <c r="J2541" s="2">
        <v>49291</v>
      </c>
      <c r="K2541" s="2"/>
      <c r="L2541" s="2">
        <v>47163</v>
      </c>
      <c r="M2541" s="2"/>
      <c r="N2541" s="2">
        <v>49536</v>
      </c>
      <c r="P2541" s="2">
        <v>47318</v>
      </c>
      <c r="Q2541" s="2"/>
      <c r="R2541" s="2">
        <v>49380</v>
      </c>
      <c r="AB2541" s="2"/>
    </row>
    <row r="2542" spans="8:28" ht="15" customHeight="1">
      <c r="H2542" s="2">
        <v>47401</v>
      </c>
      <c r="I2542" s="2"/>
      <c r="J2542" s="2">
        <v>49292</v>
      </c>
      <c r="K2542" s="2"/>
      <c r="L2542" s="2">
        <v>47162</v>
      </c>
      <c r="M2542" s="2"/>
      <c r="N2542" s="2">
        <v>49537</v>
      </c>
      <c r="P2542" s="2">
        <v>47317</v>
      </c>
      <c r="Q2542" s="2"/>
      <c r="R2542" s="2">
        <v>49381</v>
      </c>
      <c r="AB2542" s="2"/>
    </row>
    <row r="2543" spans="8:28" ht="15" customHeight="1">
      <c r="H2543" s="2">
        <v>47400</v>
      </c>
      <c r="I2543" s="2"/>
      <c r="J2543" s="2">
        <v>49293</v>
      </c>
      <c r="K2543" s="2"/>
      <c r="L2543" s="2">
        <v>47158</v>
      </c>
      <c r="M2543" s="2"/>
      <c r="N2543" s="2">
        <v>49538</v>
      </c>
      <c r="P2543" s="2">
        <v>47316</v>
      </c>
      <c r="Q2543" s="2"/>
      <c r="R2543" s="2">
        <v>49382</v>
      </c>
      <c r="AB2543" s="2"/>
    </row>
    <row r="2544" spans="8:28" ht="15" customHeight="1">
      <c r="H2544" s="2">
        <v>47399</v>
      </c>
      <c r="I2544" s="2"/>
      <c r="J2544" s="2">
        <v>49296</v>
      </c>
      <c r="K2544" s="2"/>
      <c r="L2544" s="2">
        <v>47157</v>
      </c>
      <c r="M2544" s="2"/>
      <c r="N2544" s="2">
        <v>49541</v>
      </c>
      <c r="P2544" s="2">
        <v>47315</v>
      </c>
      <c r="Q2544" s="2"/>
      <c r="R2544" s="2">
        <v>49383</v>
      </c>
      <c r="AB2544" s="2"/>
    </row>
    <row r="2545" spans="8:28" ht="15" customHeight="1">
      <c r="H2545" s="2">
        <v>47396</v>
      </c>
      <c r="I2545" s="2"/>
      <c r="J2545" s="2">
        <v>49297</v>
      </c>
      <c r="K2545" s="2"/>
      <c r="L2545" s="2">
        <v>47156</v>
      </c>
      <c r="M2545" s="2"/>
      <c r="N2545" s="2">
        <v>49542</v>
      </c>
      <c r="P2545" s="2">
        <v>47312</v>
      </c>
      <c r="Q2545" s="2"/>
      <c r="R2545" s="2">
        <v>49384</v>
      </c>
      <c r="AB2545" s="2"/>
    </row>
    <row r="2546" spans="8:28" ht="15" customHeight="1">
      <c r="H2546" s="2">
        <v>47395</v>
      </c>
      <c r="I2546" s="2"/>
      <c r="J2546" s="2">
        <v>49298</v>
      </c>
      <c r="K2546" s="2"/>
      <c r="L2546" s="2">
        <v>47155</v>
      </c>
      <c r="M2546" s="2"/>
      <c r="N2546" s="2">
        <v>49543</v>
      </c>
      <c r="P2546" s="2">
        <v>47311</v>
      </c>
      <c r="Q2546" s="2"/>
      <c r="R2546" s="2">
        <v>49387</v>
      </c>
      <c r="AB2546" s="2"/>
    </row>
    <row r="2547" spans="8:28" ht="15" customHeight="1">
      <c r="H2547" s="2">
        <v>47394</v>
      </c>
      <c r="I2547" s="2"/>
      <c r="J2547" s="2">
        <v>49299</v>
      </c>
      <c r="K2547" s="2"/>
      <c r="L2547" s="2">
        <v>47154</v>
      </c>
      <c r="M2547" s="2"/>
      <c r="N2547" s="2">
        <v>49544</v>
      </c>
      <c r="P2547" s="2">
        <v>47310</v>
      </c>
      <c r="Q2547" s="2"/>
      <c r="R2547" s="2">
        <v>49388</v>
      </c>
      <c r="AB2547" s="2"/>
    </row>
    <row r="2548" spans="8:28" ht="15" customHeight="1">
      <c r="H2548" s="2">
        <v>47393</v>
      </c>
      <c r="I2548" s="2"/>
      <c r="J2548" s="2">
        <v>49300</v>
      </c>
      <c r="K2548" s="2"/>
      <c r="L2548" s="2">
        <v>47151</v>
      </c>
      <c r="M2548" s="2"/>
      <c r="N2548" s="2">
        <v>49545</v>
      </c>
      <c r="P2548" s="2">
        <v>47309</v>
      </c>
      <c r="Q2548" s="2"/>
      <c r="R2548" s="2">
        <v>49389</v>
      </c>
      <c r="AB2548" s="2"/>
    </row>
    <row r="2549" spans="8:28" ht="15" customHeight="1">
      <c r="H2549" s="2">
        <v>47392</v>
      </c>
      <c r="I2549" s="2"/>
      <c r="J2549" s="2">
        <v>49304</v>
      </c>
      <c r="K2549" s="2"/>
      <c r="L2549" s="2">
        <v>47150</v>
      </c>
      <c r="M2549" s="2"/>
      <c r="N2549" s="2">
        <v>49548</v>
      </c>
      <c r="P2549" s="2">
        <v>47308</v>
      </c>
      <c r="Q2549" s="2"/>
      <c r="R2549" s="2">
        <v>49390</v>
      </c>
      <c r="AB2549" s="2"/>
    </row>
    <row r="2550" spans="8:28" ht="15" customHeight="1">
      <c r="H2550" s="2">
        <v>47389</v>
      </c>
      <c r="I2550" s="2"/>
      <c r="J2550" s="2">
        <v>49305</v>
      </c>
      <c r="K2550" s="2"/>
      <c r="L2550" s="2">
        <v>47149</v>
      </c>
      <c r="M2550" s="2"/>
      <c r="N2550" s="2">
        <v>49549</v>
      </c>
      <c r="P2550" s="2">
        <v>47305</v>
      </c>
      <c r="Q2550" s="2"/>
      <c r="R2550" s="2">
        <v>49391</v>
      </c>
      <c r="AB2550" s="2"/>
    </row>
    <row r="2551" spans="8:28" ht="15" customHeight="1">
      <c r="H2551" s="2">
        <v>47388</v>
      </c>
      <c r="I2551" s="2"/>
      <c r="J2551" s="2">
        <v>49306</v>
      </c>
      <c r="K2551" s="2"/>
      <c r="L2551" s="2">
        <v>47148</v>
      </c>
      <c r="M2551" s="2"/>
      <c r="N2551" s="2">
        <v>49550</v>
      </c>
      <c r="P2551" s="2">
        <v>47304</v>
      </c>
      <c r="Q2551" s="2"/>
      <c r="R2551" s="2">
        <v>49394</v>
      </c>
      <c r="AB2551" s="2"/>
    </row>
    <row r="2552" spans="8:28" ht="15" customHeight="1">
      <c r="H2552" s="2">
        <v>47387</v>
      </c>
      <c r="I2552" s="2"/>
      <c r="J2552" s="2">
        <v>49307</v>
      </c>
      <c r="K2552" s="2"/>
      <c r="L2552" s="2">
        <v>47147</v>
      </c>
      <c r="M2552" s="2"/>
      <c r="N2552" s="2">
        <v>49551</v>
      </c>
      <c r="P2552" s="2">
        <v>47303</v>
      </c>
      <c r="Q2552" s="2"/>
      <c r="R2552" s="2">
        <v>49395</v>
      </c>
      <c r="AB2552" s="2"/>
    </row>
    <row r="2553" spans="8:28" ht="15" customHeight="1">
      <c r="H2553" s="2">
        <v>47386</v>
      </c>
      <c r="I2553" s="2"/>
      <c r="J2553" s="2">
        <v>49311</v>
      </c>
      <c r="K2553" s="2"/>
      <c r="L2553" s="2">
        <v>47144</v>
      </c>
      <c r="M2553" s="2"/>
      <c r="N2553" s="2">
        <v>49552</v>
      </c>
      <c r="P2553" s="2">
        <v>47302</v>
      </c>
      <c r="Q2553" s="2"/>
      <c r="R2553" s="2">
        <v>49396</v>
      </c>
      <c r="AB2553" s="2"/>
    </row>
    <row r="2554" spans="8:28" ht="15" customHeight="1">
      <c r="H2554" s="2">
        <v>47385</v>
      </c>
      <c r="I2554" s="2"/>
      <c r="J2554" s="2">
        <v>49312</v>
      </c>
      <c r="K2554" s="2"/>
      <c r="L2554" s="2">
        <v>47143</v>
      </c>
      <c r="M2554" s="2"/>
      <c r="N2554" s="2">
        <v>49556</v>
      </c>
      <c r="P2554" s="2">
        <v>47301</v>
      </c>
      <c r="Q2554" s="2"/>
      <c r="R2554" s="2">
        <v>49397</v>
      </c>
      <c r="AB2554" s="2"/>
    </row>
    <row r="2555" spans="8:28" ht="15" customHeight="1">
      <c r="H2555" s="2">
        <v>47382</v>
      </c>
      <c r="I2555" s="2"/>
      <c r="J2555" s="2">
        <v>49313</v>
      </c>
      <c r="K2555" s="2"/>
      <c r="L2555" s="2">
        <v>47142</v>
      </c>
      <c r="M2555" s="2"/>
      <c r="N2555" s="2">
        <v>49557</v>
      </c>
      <c r="P2555" s="2">
        <v>47298</v>
      </c>
      <c r="Q2555" s="2"/>
      <c r="R2555" s="2">
        <v>49398</v>
      </c>
      <c r="AB2555" s="2"/>
    </row>
    <row r="2556" spans="8:28" ht="15" customHeight="1">
      <c r="H2556" s="2">
        <v>47381</v>
      </c>
      <c r="I2556" s="2"/>
      <c r="J2556" s="2">
        <v>49314</v>
      </c>
      <c r="K2556" s="2"/>
      <c r="L2556" s="2">
        <v>47141</v>
      </c>
      <c r="M2556" s="2"/>
      <c r="N2556" s="2">
        <v>49558</v>
      </c>
      <c r="P2556" s="2">
        <v>47297</v>
      </c>
      <c r="Q2556" s="2"/>
      <c r="R2556" s="2">
        <v>49401</v>
      </c>
      <c r="AB2556" s="2"/>
    </row>
    <row r="2557" spans="8:28" ht="15" customHeight="1">
      <c r="H2557" s="2">
        <v>47380</v>
      </c>
      <c r="I2557" s="2"/>
      <c r="J2557" s="2">
        <v>49317</v>
      </c>
      <c r="K2557" s="2"/>
      <c r="L2557" s="2">
        <v>47140</v>
      </c>
      <c r="M2557" s="2"/>
      <c r="N2557" s="2">
        <v>49559</v>
      </c>
      <c r="P2557" s="2">
        <v>47296</v>
      </c>
      <c r="Q2557" s="2"/>
      <c r="R2557" s="2">
        <v>49402</v>
      </c>
      <c r="AB2557" s="2"/>
    </row>
    <row r="2558" spans="8:28" ht="15" customHeight="1">
      <c r="H2558" s="2">
        <v>47379</v>
      </c>
      <c r="I2558" s="2"/>
      <c r="J2558" s="2">
        <v>49318</v>
      </c>
      <c r="K2558" s="2"/>
      <c r="L2558" s="2">
        <v>47137</v>
      </c>
      <c r="M2558" s="2"/>
      <c r="N2558" s="2">
        <v>49562</v>
      </c>
      <c r="P2558" s="2">
        <v>47295</v>
      </c>
      <c r="Q2558" s="2"/>
      <c r="R2558" s="2">
        <v>49403</v>
      </c>
      <c r="AB2558" s="2"/>
    </row>
    <row r="2559" spans="8:28" ht="15" customHeight="1">
      <c r="H2559" s="2">
        <v>47378</v>
      </c>
      <c r="I2559" s="2"/>
      <c r="J2559" s="2">
        <v>49319</v>
      </c>
      <c r="K2559" s="2"/>
      <c r="L2559" s="2">
        <v>47136</v>
      </c>
      <c r="M2559" s="2"/>
      <c r="N2559" s="2">
        <v>49563</v>
      </c>
      <c r="P2559" s="2">
        <v>47294</v>
      </c>
      <c r="Q2559" s="2"/>
      <c r="R2559" s="2">
        <v>49404</v>
      </c>
      <c r="AB2559" s="2"/>
    </row>
    <row r="2560" spans="8:28" ht="15" customHeight="1">
      <c r="H2560" s="2">
        <v>47375</v>
      </c>
      <c r="I2560" s="2"/>
      <c r="J2560" s="2">
        <v>49320</v>
      </c>
      <c r="K2560" s="2"/>
      <c r="L2560" s="2">
        <v>47135</v>
      </c>
      <c r="M2560" s="2"/>
      <c r="N2560" s="2">
        <v>49564</v>
      </c>
      <c r="P2560" s="2">
        <v>47291</v>
      </c>
      <c r="Q2560" s="2"/>
      <c r="R2560" s="2">
        <v>49405</v>
      </c>
      <c r="AB2560" s="2"/>
    </row>
    <row r="2561" spans="8:28" ht="15" customHeight="1">
      <c r="H2561" s="2">
        <v>47374</v>
      </c>
      <c r="I2561" s="2"/>
      <c r="J2561" s="2">
        <v>49321</v>
      </c>
      <c r="K2561" s="2"/>
      <c r="L2561" s="2">
        <v>47134</v>
      </c>
      <c r="M2561" s="2"/>
      <c r="N2561" s="2">
        <v>49565</v>
      </c>
      <c r="P2561" s="2">
        <v>47290</v>
      </c>
      <c r="Q2561" s="2"/>
      <c r="R2561" s="2">
        <v>49408</v>
      </c>
      <c r="AB2561" s="2"/>
    </row>
    <row r="2562" spans="8:28" ht="15" customHeight="1">
      <c r="H2562" s="2">
        <v>47373</v>
      </c>
      <c r="I2562" s="2"/>
      <c r="J2562" s="2">
        <v>49325</v>
      </c>
      <c r="K2562" s="2"/>
      <c r="L2562" s="2">
        <v>47130</v>
      </c>
      <c r="M2562" s="2"/>
      <c r="N2562" s="2">
        <v>49566</v>
      </c>
      <c r="P2562" s="2">
        <v>47289</v>
      </c>
      <c r="Q2562" s="2"/>
      <c r="R2562" s="2">
        <v>49409</v>
      </c>
      <c r="AB2562" s="2"/>
    </row>
    <row r="2563" spans="8:28" ht="15" customHeight="1">
      <c r="H2563" s="2">
        <v>47372</v>
      </c>
      <c r="I2563" s="2"/>
      <c r="J2563" s="2">
        <v>49326</v>
      </c>
      <c r="K2563" s="2"/>
      <c r="L2563" s="2">
        <v>47129</v>
      </c>
      <c r="M2563" s="2"/>
      <c r="N2563" s="2">
        <v>49570</v>
      </c>
      <c r="P2563" s="2">
        <v>47288</v>
      </c>
      <c r="Q2563" s="2"/>
      <c r="R2563" s="2">
        <v>49410</v>
      </c>
      <c r="AB2563" s="2"/>
    </row>
    <row r="2564" spans="8:28" ht="15" customHeight="1">
      <c r="H2564" s="2">
        <v>47371</v>
      </c>
      <c r="I2564" s="2"/>
      <c r="J2564" s="2">
        <v>49327</v>
      </c>
      <c r="K2564" s="2"/>
      <c r="L2564" s="2">
        <v>47128</v>
      </c>
      <c r="M2564" s="2"/>
      <c r="N2564" s="2">
        <v>49571</v>
      </c>
      <c r="P2564" s="2">
        <v>47287</v>
      </c>
      <c r="Q2564" s="2"/>
      <c r="R2564" s="2">
        <v>49411</v>
      </c>
      <c r="AB2564" s="2"/>
    </row>
    <row r="2565" spans="8:28" ht="15" customHeight="1">
      <c r="H2565" s="2">
        <v>47368</v>
      </c>
      <c r="I2565" s="2"/>
      <c r="J2565" s="2">
        <v>49328</v>
      </c>
      <c r="K2565" s="2"/>
      <c r="L2565" s="2">
        <v>47127</v>
      </c>
      <c r="M2565" s="2"/>
      <c r="N2565" s="2">
        <v>49572</v>
      </c>
      <c r="P2565" s="2">
        <v>47284</v>
      </c>
      <c r="Q2565" s="2"/>
      <c r="R2565" s="2">
        <v>49412</v>
      </c>
      <c r="AB2565" s="2"/>
    </row>
    <row r="2566" spans="8:28" ht="15" customHeight="1">
      <c r="H2566" s="2">
        <v>47367</v>
      </c>
      <c r="I2566" s="2"/>
      <c r="J2566" s="2">
        <v>49331</v>
      </c>
      <c r="K2566" s="2"/>
      <c r="L2566" s="2">
        <v>47123</v>
      </c>
      <c r="M2566" s="2"/>
      <c r="N2566" s="2">
        <v>49573</v>
      </c>
      <c r="P2566" s="2">
        <v>47283</v>
      </c>
      <c r="Q2566" s="2"/>
      <c r="R2566" s="2">
        <v>49415</v>
      </c>
      <c r="AB2566" s="2"/>
    </row>
    <row r="2567" spans="8:28" ht="15" customHeight="1">
      <c r="H2567" s="2">
        <v>47366</v>
      </c>
      <c r="I2567" s="2"/>
      <c r="J2567" s="2">
        <v>49332</v>
      </c>
      <c r="K2567" s="2"/>
      <c r="L2567" s="2">
        <v>47122</v>
      </c>
      <c r="M2567" s="2"/>
      <c r="N2567" s="2">
        <v>49577</v>
      </c>
      <c r="P2567" s="2">
        <v>47282</v>
      </c>
      <c r="Q2567" s="2"/>
      <c r="R2567" s="2">
        <v>49416</v>
      </c>
      <c r="AB2567" s="2"/>
    </row>
    <row r="2568" spans="8:28" ht="15" customHeight="1">
      <c r="H2568" s="2">
        <v>47365</v>
      </c>
      <c r="I2568" s="2"/>
      <c r="J2568" s="2">
        <v>49333</v>
      </c>
      <c r="K2568" s="2"/>
      <c r="L2568" s="2">
        <v>47116</v>
      </c>
      <c r="M2568" s="2"/>
      <c r="N2568" s="2">
        <v>49578</v>
      </c>
      <c r="P2568" s="2">
        <v>47281</v>
      </c>
      <c r="Q2568" s="2"/>
      <c r="R2568" s="2">
        <v>49417</v>
      </c>
      <c r="AB2568" s="2"/>
    </row>
    <row r="2569" spans="8:28" ht="15" customHeight="1">
      <c r="H2569" s="2">
        <v>47361</v>
      </c>
      <c r="I2569" s="2"/>
      <c r="J2569" s="2">
        <v>49334</v>
      </c>
      <c r="K2569" s="2"/>
      <c r="L2569" s="2">
        <v>47115</v>
      </c>
      <c r="M2569" s="2"/>
      <c r="N2569" s="2">
        <v>49579</v>
      </c>
      <c r="P2569" s="2">
        <v>47280</v>
      </c>
      <c r="Q2569" s="2"/>
      <c r="R2569" s="2">
        <v>49418</v>
      </c>
      <c r="AB2569" s="2"/>
    </row>
    <row r="2570" spans="8:28" ht="15" customHeight="1">
      <c r="H2570" s="2">
        <v>47360</v>
      </c>
      <c r="I2570" s="2"/>
      <c r="J2570" s="2">
        <v>49335</v>
      </c>
      <c r="K2570" s="2"/>
      <c r="L2570" s="2">
        <v>47114</v>
      </c>
      <c r="M2570" s="2"/>
      <c r="N2570" s="2">
        <v>49580</v>
      </c>
      <c r="P2570" s="2">
        <v>47277</v>
      </c>
      <c r="Q2570" s="2"/>
      <c r="R2570" s="2">
        <v>49419</v>
      </c>
      <c r="AB2570" s="2"/>
    </row>
    <row r="2571" spans="8:28" ht="15" customHeight="1">
      <c r="H2571" s="2">
        <v>47359</v>
      </c>
      <c r="I2571" s="2"/>
      <c r="J2571" s="2">
        <v>49338</v>
      </c>
      <c r="K2571" s="2"/>
      <c r="L2571" s="2">
        <v>47113</v>
      </c>
      <c r="M2571" s="2"/>
      <c r="N2571" s="2">
        <v>49583</v>
      </c>
      <c r="P2571" s="2">
        <v>47276</v>
      </c>
      <c r="Q2571" s="2"/>
      <c r="R2571" s="2">
        <v>49422</v>
      </c>
      <c r="AB2571" s="2"/>
    </row>
    <row r="2572" spans="8:28" ht="15" customHeight="1">
      <c r="H2572" s="2">
        <v>47358</v>
      </c>
      <c r="I2572" s="2"/>
      <c r="J2572" s="2">
        <v>49339</v>
      </c>
      <c r="K2572" s="2"/>
      <c r="L2572" s="2">
        <v>47109</v>
      </c>
      <c r="M2572" s="2"/>
      <c r="N2572" s="2">
        <v>49584</v>
      </c>
      <c r="P2572" s="2">
        <v>47274</v>
      </c>
      <c r="Q2572" s="2"/>
      <c r="R2572" s="2">
        <v>49423</v>
      </c>
      <c r="AB2572" s="2"/>
    </row>
    <row r="2573" spans="8:28" ht="15" customHeight="1">
      <c r="H2573" s="2">
        <v>47357</v>
      </c>
      <c r="I2573" s="2"/>
      <c r="J2573" s="2">
        <v>49340</v>
      </c>
      <c r="K2573" s="2"/>
      <c r="L2573" s="2">
        <v>47108</v>
      </c>
      <c r="M2573" s="2"/>
      <c r="N2573" s="2">
        <v>49585</v>
      </c>
      <c r="P2573" s="2">
        <v>47273</v>
      </c>
      <c r="Q2573" s="2"/>
      <c r="R2573" s="2">
        <v>49424</v>
      </c>
      <c r="AB2573" s="2"/>
    </row>
    <row r="2574" spans="8:28" ht="15" customHeight="1">
      <c r="H2574" s="2">
        <v>47354</v>
      </c>
      <c r="I2574" s="2"/>
      <c r="J2574" s="2">
        <v>49341</v>
      </c>
      <c r="K2574" s="2"/>
      <c r="L2574" s="2">
        <v>47107</v>
      </c>
      <c r="M2574" s="2"/>
      <c r="N2574" s="2">
        <v>49586</v>
      </c>
      <c r="P2574" s="2">
        <v>47270</v>
      </c>
      <c r="Q2574" s="2"/>
      <c r="R2574" s="2">
        <v>49425</v>
      </c>
      <c r="AB2574" s="2"/>
    </row>
    <row r="2575" spans="8:28" ht="15" customHeight="1">
      <c r="H2575" s="2">
        <v>47353</v>
      </c>
      <c r="I2575" s="2"/>
      <c r="J2575" s="2">
        <v>49342</v>
      </c>
      <c r="K2575" s="2"/>
      <c r="L2575" s="2">
        <v>47106</v>
      </c>
      <c r="M2575" s="2"/>
      <c r="N2575" s="2">
        <v>49587</v>
      </c>
      <c r="P2575" s="2">
        <v>47269</v>
      </c>
      <c r="Q2575" s="2"/>
      <c r="R2575" s="2">
        <v>49426</v>
      </c>
      <c r="AB2575" s="2"/>
    </row>
    <row r="2576" spans="8:28" ht="15" customHeight="1">
      <c r="H2576" s="2">
        <v>47352</v>
      </c>
      <c r="I2576" s="2"/>
      <c r="J2576" s="2">
        <v>49345</v>
      </c>
      <c r="K2576" s="2"/>
      <c r="L2576" s="2">
        <v>47105</v>
      </c>
      <c r="M2576" s="2"/>
      <c r="N2576" s="2">
        <v>49591</v>
      </c>
      <c r="P2576" s="2">
        <v>47268</v>
      </c>
      <c r="Q2576" s="2"/>
      <c r="R2576" s="2">
        <v>49429</v>
      </c>
      <c r="AB2576" s="2"/>
    </row>
    <row r="2577" spans="8:28" ht="15" customHeight="1">
      <c r="H2577" s="2">
        <v>47351</v>
      </c>
      <c r="I2577" s="2"/>
      <c r="J2577" s="2">
        <v>49346</v>
      </c>
      <c r="K2577" s="2"/>
      <c r="L2577" s="2">
        <v>47102</v>
      </c>
      <c r="M2577" s="2"/>
      <c r="N2577" s="2">
        <v>49592</v>
      </c>
      <c r="P2577" s="2">
        <v>47267</v>
      </c>
      <c r="Q2577" s="2"/>
      <c r="R2577" s="2">
        <v>49431</v>
      </c>
      <c r="AB2577" s="2"/>
    </row>
    <row r="2578" spans="8:28" ht="15" customHeight="1">
      <c r="H2578" s="2">
        <v>47350</v>
      </c>
      <c r="I2578" s="2"/>
      <c r="J2578" s="2">
        <v>49347</v>
      </c>
      <c r="K2578" s="2"/>
      <c r="L2578" s="2">
        <v>47101</v>
      </c>
      <c r="M2578" s="2"/>
      <c r="N2578" s="2">
        <v>49593</v>
      </c>
      <c r="P2578" s="2">
        <v>47266</v>
      </c>
      <c r="Q2578" s="2"/>
      <c r="R2578" s="2">
        <v>49432</v>
      </c>
      <c r="AB2578" s="2"/>
    </row>
    <row r="2579" spans="8:28" ht="15" customHeight="1">
      <c r="H2579" s="2">
        <v>47347</v>
      </c>
      <c r="I2579" s="2"/>
      <c r="J2579" s="2">
        <v>49348</v>
      </c>
      <c r="K2579" s="2"/>
      <c r="L2579" s="2">
        <v>47100</v>
      </c>
      <c r="M2579" s="2"/>
      <c r="N2579" s="2">
        <v>49594</v>
      </c>
      <c r="P2579" s="2">
        <v>47263</v>
      </c>
      <c r="Q2579" s="2"/>
      <c r="R2579" s="2">
        <v>49433</v>
      </c>
      <c r="AB2579" s="2"/>
    </row>
    <row r="2580" spans="8:28" ht="15" customHeight="1">
      <c r="H2580" s="2">
        <v>47346</v>
      </c>
      <c r="I2580" s="2"/>
      <c r="J2580" s="2">
        <v>49349</v>
      </c>
      <c r="K2580" s="2"/>
      <c r="L2580" s="2">
        <v>47099</v>
      </c>
      <c r="M2580" s="2"/>
      <c r="N2580" s="2">
        <v>49597</v>
      </c>
      <c r="P2580" s="2">
        <v>47262</v>
      </c>
      <c r="Q2580" s="2"/>
      <c r="R2580" s="2">
        <v>49437</v>
      </c>
      <c r="AB2580" s="2"/>
    </row>
    <row r="2581" spans="8:28" ht="15" customHeight="1">
      <c r="H2581" s="2">
        <v>47345</v>
      </c>
      <c r="I2581" s="2"/>
      <c r="J2581" s="2">
        <v>49352</v>
      </c>
      <c r="K2581" s="2"/>
      <c r="L2581" s="2">
        <v>47098</v>
      </c>
      <c r="M2581" s="2"/>
      <c r="N2581" s="2">
        <v>49598</v>
      </c>
      <c r="P2581" s="2">
        <v>47261</v>
      </c>
      <c r="Q2581" s="2"/>
      <c r="R2581" s="2">
        <v>49438</v>
      </c>
      <c r="AB2581" s="2"/>
    </row>
    <row r="2582" spans="8:28" ht="15" customHeight="1">
      <c r="H2582" s="2">
        <v>47344</v>
      </c>
      <c r="I2582" s="2"/>
      <c r="J2582" s="2">
        <v>49353</v>
      </c>
      <c r="K2582" s="2"/>
      <c r="L2582" s="2">
        <v>47095</v>
      </c>
      <c r="M2582" s="2"/>
      <c r="N2582" s="2">
        <v>49599</v>
      </c>
      <c r="P2582" s="2">
        <v>47260</v>
      </c>
      <c r="Q2582" s="2"/>
      <c r="R2582" s="2">
        <v>49439</v>
      </c>
      <c r="AB2582" s="2"/>
    </row>
    <row r="2583" spans="8:28" ht="15" customHeight="1">
      <c r="H2583" s="2">
        <v>47343</v>
      </c>
      <c r="I2583" s="2"/>
      <c r="J2583" s="2">
        <v>49354</v>
      </c>
      <c r="K2583" s="2"/>
      <c r="L2583" s="2">
        <v>47094</v>
      </c>
      <c r="M2583" s="2"/>
      <c r="N2583" s="2">
        <v>49600</v>
      </c>
      <c r="P2583" s="2">
        <v>47256</v>
      </c>
      <c r="Q2583" s="2"/>
      <c r="R2583" s="2">
        <v>49440</v>
      </c>
      <c r="AB2583" s="2"/>
    </row>
    <row r="2584" spans="8:28" ht="15" customHeight="1">
      <c r="H2584" s="2">
        <v>47340</v>
      </c>
      <c r="I2584" s="2"/>
      <c r="J2584" s="2">
        <v>49355</v>
      </c>
      <c r="K2584" s="2"/>
      <c r="L2584" s="2">
        <v>47093</v>
      </c>
      <c r="M2584" s="2"/>
      <c r="N2584" s="2">
        <v>49601</v>
      </c>
      <c r="P2584" s="2">
        <v>47255</v>
      </c>
      <c r="Q2584" s="2"/>
      <c r="R2584" s="2">
        <v>49443</v>
      </c>
      <c r="AB2584" s="2"/>
    </row>
    <row r="2585" spans="8:28" ht="15" customHeight="1">
      <c r="H2585" s="2">
        <v>47339</v>
      </c>
      <c r="I2585" s="2"/>
      <c r="J2585" s="2">
        <v>49356</v>
      </c>
      <c r="K2585" s="2"/>
      <c r="L2585" s="2">
        <v>47092</v>
      </c>
      <c r="M2585" s="2"/>
      <c r="N2585" s="2">
        <v>49604</v>
      </c>
      <c r="P2585" s="2">
        <v>47254</v>
      </c>
      <c r="Q2585" s="2"/>
      <c r="R2585" s="2">
        <v>49445</v>
      </c>
      <c r="AB2585" s="2"/>
    </row>
    <row r="2586" spans="8:28" ht="15" customHeight="1">
      <c r="H2586" s="2">
        <v>47338</v>
      </c>
      <c r="I2586" s="2"/>
      <c r="J2586" s="2">
        <v>49360</v>
      </c>
      <c r="K2586" s="2"/>
      <c r="L2586" s="2">
        <v>47091</v>
      </c>
      <c r="M2586" s="2"/>
      <c r="N2586" s="2">
        <v>49605</v>
      </c>
      <c r="P2586" s="2">
        <v>47253</v>
      </c>
      <c r="Q2586" s="2"/>
      <c r="R2586" s="2">
        <v>49446</v>
      </c>
      <c r="AB2586" s="2"/>
    </row>
    <row r="2587" spans="8:28" ht="15" customHeight="1">
      <c r="H2587" s="2">
        <v>47337</v>
      </c>
      <c r="I2587" s="2"/>
      <c r="J2587" s="2">
        <v>49361</v>
      </c>
      <c r="K2587" s="2"/>
      <c r="L2587" s="2">
        <v>47088</v>
      </c>
      <c r="M2587" s="2"/>
      <c r="N2587" s="2">
        <v>49606</v>
      </c>
      <c r="P2587" s="2">
        <v>47252</v>
      </c>
      <c r="Q2587" s="2"/>
      <c r="R2587" s="2">
        <v>49447</v>
      </c>
      <c r="AB2587" s="2"/>
    </row>
    <row r="2588" spans="8:28" ht="15" customHeight="1">
      <c r="H2588" s="2">
        <v>47336</v>
      </c>
      <c r="I2588" s="2"/>
      <c r="J2588" s="2">
        <v>49362</v>
      </c>
      <c r="K2588" s="2"/>
      <c r="L2588" s="2">
        <v>47087</v>
      </c>
      <c r="M2588" s="2"/>
      <c r="N2588" s="2">
        <v>49607</v>
      </c>
      <c r="P2588" s="2">
        <v>47249</v>
      </c>
      <c r="Q2588" s="2"/>
      <c r="R2588" s="2">
        <v>49450</v>
      </c>
      <c r="AB2588" s="2"/>
    </row>
    <row r="2589" spans="8:28" ht="15" customHeight="1">
      <c r="H2589" s="2">
        <v>47333</v>
      </c>
      <c r="I2589" s="2"/>
      <c r="J2589" s="2">
        <v>49363</v>
      </c>
      <c r="K2589" s="2"/>
      <c r="L2589" s="2">
        <v>47086</v>
      </c>
      <c r="M2589" s="2"/>
      <c r="N2589" s="2">
        <v>49608</v>
      </c>
      <c r="P2589" s="2">
        <v>47248</v>
      </c>
      <c r="Q2589" s="2"/>
      <c r="R2589" s="2">
        <v>49451</v>
      </c>
      <c r="AB2589" s="2"/>
    </row>
    <row r="2590" spans="8:28" ht="15" customHeight="1">
      <c r="H2590" s="2">
        <v>47332</v>
      </c>
      <c r="I2590" s="2"/>
      <c r="J2590" s="2">
        <v>49366</v>
      </c>
      <c r="K2590" s="2"/>
      <c r="L2590" s="2">
        <v>47085</v>
      </c>
      <c r="M2590" s="2"/>
      <c r="N2590" s="2">
        <v>49611</v>
      </c>
      <c r="P2590" s="2">
        <v>47247</v>
      </c>
      <c r="Q2590" s="2"/>
      <c r="R2590" s="2">
        <v>49452</v>
      </c>
      <c r="AB2590" s="2"/>
    </row>
    <row r="2591" spans="8:28" ht="15" customHeight="1">
      <c r="H2591" s="2">
        <v>47331</v>
      </c>
      <c r="I2591" s="2"/>
      <c r="J2591" s="2">
        <v>49367</v>
      </c>
      <c r="K2591" s="2"/>
      <c r="L2591" s="2">
        <v>47084</v>
      </c>
      <c r="M2591" s="2"/>
      <c r="N2591" s="2">
        <v>49612</v>
      </c>
      <c r="P2591" s="2">
        <v>47246</v>
      </c>
      <c r="Q2591" s="2"/>
      <c r="R2591" s="2">
        <v>49453</v>
      </c>
      <c r="AB2591" s="2"/>
    </row>
    <row r="2592" spans="8:28" ht="15" customHeight="1">
      <c r="H2592" s="2">
        <v>47330</v>
      </c>
      <c r="I2592" s="2"/>
      <c r="J2592" s="2">
        <v>49368</v>
      </c>
      <c r="K2592" s="2"/>
      <c r="L2592" s="2">
        <v>47081</v>
      </c>
      <c r="M2592" s="2"/>
      <c r="N2592" s="2">
        <v>49613</v>
      </c>
      <c r="P2592" s="2">
        <v>47242</v>
      </c>
      <c r="Q2592" s="2"/>
      <c r="R2592" s="2">
        <v>49454</v>
      </c>
      <c r="AB2592" s="2"/>
    </row>
    <row r="2593" spans="8:28" ht="15" customHeight="1">
      <c r="H2593" s="2">
        <v>47329</v>
      </c>
      <c r="I2593" s="2"/>
      <c r="J2593" s="2">
        <v>49369</v>
      </c>
      <c r="K2593" s="2"/>
      <c r="L2593" s="2">
        <v>47079</v>
      </c>
      <c r="M2593" s="2"/>
      <c r="N2593" s="2">
        <v>49614</v>
      </c>
      <c r="P2593" s="2">
        <v>47241</v>
      </c>
      <c r="Q2593" s="2"/>
      <c r="R2593" s="2">
        <v>49457</v>
      </c>
      <c r="AB2593" s="2"/>
    </row>
    <row r="2594" spans="8:28" ht="15" customHeight="1">
      <c r="H2594" s="2">
        <v>47326</v>
      </c>
      <c r="I2594" s="2"/>
      <c r="J2594" s="2">
        <v>49370</v>
      </c>
      <c r="K2594" s="2"/>
      <c r="L2594" s="2">
        <v>47078</v>
      </c>
      <c r="M2594" s="2"/>
      <c r="N2594" s="2">
        <v>49615</v>
      </c>
      <c r="P2594" s="2">
        <v>47240</v>
      </c>
      <c r="Q2594" s="2"/>
      <c r="R2594" s="2">
        <v>49458</v>
      </c>
      <c r="AB2594" s="2"/>
    </row>
    <row r="2595" spans="8:28" ht="15" customHeight="1">
      <c r="H2595" s="2">
        <v>47325</v>
      </c>
      <c r="I2595" s="2"/>
      <c r="J2595" s="2">
        <v>49373</v>
      </c>
      <c r="K2595" s="2"/>
      <c r="L2595" s="2">
        <v>47077</v>
      </c>
      <c r="M2595" s="2"/>
      <c r="N2595" s="2">
        <v>49618</v>
      </c>
      <c r="P2595" s="2">
        <v>47238</v>
      </c>
      <c r="Q2595" s="2"/>
      <c r="R2595" s="2">
        <v>49459</v>
      </c>
      <c r="AB2595" s="2"/>
    </row>
    <row r="2596" spans="8:28" ht="15" customHeight="1">
      <c r="H2596" s="2">
        <v>47324</v>
      </c>
      <c r="I2596" s="2"/>
      <c r="J2596" s="2">
        <v>49374</v>
      </c>
      <c r="K2596" s="2"/>
      <c r="L2596" s="2">
        <v>47074</v>
      </c>
      <c r="M2596" s="2"/>
      <c r="N2596" s="2">
        <v>49619</v>
      </c>
      <c r="P2596" s="2">
        <v>47235</v>
      </c>
      <c r="Q2596" s="2"/>
      <c r="R2596" s="2">
        <v>49460</v>
      </c>
      <c r="AB2596" s="2"/>
    </row>
    <row r="2597" spans="8:28" ht="15" customHeight="1">
      <c r="H2597" s="2">
        <v>47323</v>
      </c>
      <c r="I2597" s="2"/>
      <c r="J2597" s="2">
        <v>49375</v>
      </c>
      <c r="K2597" s="2"/>
      <c r="L2597" s="2">
        <v>47073</v>
      </c>
      <c r="M2597" s="2"/>
      <c r="N2597" s="2">
        <v>49620</v>
      </c>
      <c r="P2597" s="2">
        <v>47234</v>
      </c>
      <c r="Q2597" s="2"/>
      <c r="R2597" s="2">
        <v>49461</v>
      </c>
      <c r="AB2597" s="2"/>
    </row>
    <row r="2598" spans="8:28" ht="15" customHeight="1">
      <c r="H2598" s="2">
        <v>47322</v>
      </c>
      <c r="I2598" s="2"/>
      <c r="J2598" s="2">
        <v>49376</v>
      </c>
      <c r="K2598" s="2"/>
      <c r="L2598" s="2">
        <v>47072</v>
      </c>
      <c r="M2598" s="2"/>
      <c r="N2598" s="2">
        <v>49621</v>
      </c>
      <c r="P2598" s="2">
        <v>47233</v>
      </c>
      <c r="Q2598" s="2"/>
      <c r="R2598" s="2">
        <v>49464</v>
      </c>
      <c r="AB2598" s="2"/>
    </row>
    <row r="2599" spans="8:28" ht="15" customHeight="1">
      <c r="H2599" s="2">
        <v>47319</v>
      </c>
      <c r="I2599" s="2"/>
      <c r="J2599" s="2">
        <v>49377</v>
      </c>
      <c r="K2599" s="2"/>
      <c r="L2599" s="2">
        <v>47071</v>
      </c>
      <c r="M2599" s="2"/>
      <c r="N2599" s="2">
        <v>49622</v>
      </c>
      <c r="P2599" s="2">
        <v>47232</v>
      </c>
      <c r="Q2599" s="2"/>
      <c r="R2599" s="2">
        <v>49465</v>
      </c>
      <c r="AB2599" s="2"/>
    </row>
    <row r="2600" spans="8:28" ht="15" customHeight="1">
      <c r="H2600" s="2">
        <v>47318</v>
      </c>
      <c r="I2600" s="2"/>
      <c r="J2600" s="2">
        <v>49380</v>
      </c>
      <c r="K2600" s="2"/>
      <c r="L2600" s="2">
        <v>47070</v>
      </c>
      <c r="M2600" s="2"/>
      <c r="N2600" s="2">
        <v>49625</v>
      </c>
      <c r="P2600" s="2">
        <v>47231</v>
      </c>
      <c r="Q2600" s="2"/>
      <c r="R2600" s="2">
        <v>49467</v>
      </c>
      <c r="AB2600" s="2"/>
    </row>
    <row r="2601" spans="8:28" ht="15" customHeight="1">
      <c r="H2601" s="2">
        <v>47317</v>
      </c>
      <c r="I2601" s="2"/>
      <c r="J2601" s="2">
        <v>49381</v>
      </c>
      <c r="K2601" s="2"/>
      <c r="L2601" s="2">
        <v>47067</v>
      </c>
      <c r="M2601" s="2"/>
      <c r="N2601" s="2">
        <v>49626</v>
      </c>
      <c r="P2601" s="2">
        <v>47228</v>
      </c>
      <c r="Q2601" s="2"/>
      <c r="R2601" s="2">
        <v>49468</v>
      </c>
      <c r="AB2601" s="2"/>
    </row>
    <row r="2602" spans="8:28" ht="15" customHeight="1">
      <c r="H2602" s="2">
        <v>47316</v>
      </c>
      <c r="I2602" s="2"/>
      <c r="J2602" s="2">
        <v>49382</v>
      </c>
      <c r="K2602" s="2"/>
      <c r="L2602" s="2">
        <v>47066</v>
      </c>
      <c r="M2602" s="2"/>
      <c r="N2602" s="2">
        <v>49627</v>
      </c>
      <c r="P2602" s="2">
        <v>47227</v>
      </c>
      <c r="Q2602" s="2"/>
      <c r="R2602" s="2">
        <v>49471</v>
      </c>
      <c r="AB2602" s="2"/>
    </row>
    <row r="2603" spans="8:28" ht="15" customHeight="1">
      <c r="H2603" s="2">
        <v>47315</v>
      </c>
      <c r="I2603" s="2"/>
      <c r="J2603" s="2">
        <v>49383</v>
      </c>
      <c r="K2603" s="2"/>
      <c r="L2603" s="2">
        <v>47065</v>
      </c>
      <c r="M2603" s="2"/>
      <c r="N2603" s="2">
        <v>49628</v>
      </c>
      <c r="P2603" s="2">
        <v>47226</v>
      </c>
      <c r="Q2603" s="2"/>
      <c r="R2603" s="2">
        <v>49472</v>
      </c>
      <c r="AB2603" s="2"/>
    </row>
    <row r="2604" spans="8:28" ht="15" customHeight="1">
      <c r="H2604" s="2">
        <v>47312</v>
      </c>
      <c r="I2604" s="2"/>
      <c r="J2604" s="2">
        <v>49384</v>
      </c>
      <c r="K2604" s="2"/>
      <c r="L2604" s="2">
        <v>47064</v>
      </c>
      <c r="M2604" s="2"/>
      <c r="N2604" s="2">
        <v>49629</v>
      </c>
      <c r="P2604" s="2">
        <v>47225</v>
      </c>
      <c r="Q2604" s="2"/>
      <c r="R2604" s="2">
        <v>49473</v>
      </c>
      <c r="AB2604" s="2"/>
    </row>
    <row r="2605" spans="8:28" ht="15" customHeight="1">
      <c r="H2605" s="2">
        <v>47311</v>
      </c>
      <c r="I2605" s="2"/>
      <c r="J2605" s="2">
        <v>49387</v>
      </c>
      <c r="K2605" s="2"/>
      <c r="L2605" s="2">
        <v>47063</v>
      </c>
      <c r="M2605" s="2"/>
      <c r="N2605" s="2">
        <v>49632</v>
      </c>
      <c r="P2605" s="2">
        <v>47224</v>
      </c>
      <c r="Q2605" s="2"/>
      <c r="R2605" s="2">
        <v>49474</v>
      </c>
      <c r="AB2605" s="2"/>
    </row>
    <row r="2606" spans="8:28" ht="15" customHeight="1">
      <c r="H2606" s="2">
        <v>47310</v>
      </c>
      <c r="I2606" s="2"/>
      <c r="J2606" s="2">
        <v>49388</v>
      </c>
      <c r="K2606" s="2"/>
      <c r="L2606" s="2">
        <v>47059</v>
      </c>
      <c r="M2606" s="2"/>
      <c r="N2606" s="2">
        <v>49633</v>
      </c>
      <c r="P2606" s="2">
        <v>47221</v>
      </c>
      <c r="Q2606" s="2"/>
      <c r="R2606" s="2">
        <v>49475</v>
      </c>
      <c r="AB2606" s="2"/>
    </row>
    <row r="2607" spans="8:28" ht="15" customHeight="1">
      <c r="H2607" s="2">
        <v>47309</v>
      </c>
      <c r="I2607" s="2"/>
      <c r="J2607" s="2">
        <v>49389</v>
      </c>
      <c r="K2607" s="2"/>
      <c r="L2607" s="2">
        <v>47058</v>
      </c>
      <c r="M2607" s="2"/>
      <c r="N2607" s="2">
        <v>49634</v>
      </c>
      <c r="P2607" s="2">
        <v>47220</v>
      </c>
      <c r="Q2607" s="2"/>
      <c r="R2607" s="2">
        <v>49478</v>
      </c>
      <c r="AB2607" s="2"/>
    </row>
    <row r="2608" spans="8:28" ht="15" customHeight="1">
      <c r="H2608" s="2">
        <v>47308</v>
      </c>
      <c r="I2608" s="2"/>
      <c r="J2608" s="2">
        <v>49390</v>
      </c>
      <c r="K2608" s="2"/>
      <c r="L2608" s="2">
        <v>47057</v>
      </c>
      <c r="M2608" s="2"/>
      <c r="N2608" s="2">
        <v>49639</v>
      </c>
      <c r="P2608" s="2">
        <v>47219</v>
      </c>
      <c r="Q2608" s="2"/>
      <c r="R2608" s="2">
        <v>49479</v>
      </c>
      <c r="AB2608" s="2"/>
    </row>
    <row r="2609" spans="8:28" ht="15" customHeight="1">
      <c r="H2609" s="2">
        <v>47305</v>
      </c>
      <c r="I2609" s="2"/>
      <c r="J2609" s="2">
        <v>49394</v>
      </c>
      <c r="K2609" s="2"/>
      <c r="L2609" s="2">
        <v>47056</v>
      </c>
      <c r="M2609" s="2"/>
      <c r="N2609" s="2">
        <v>49640</v>
      </c>
      <c r="P2609" s="2">
        <v>47218</v>
      </c>
      <c r="Q2609" s="2"/>
      <c r="R2609" s="2">
        <v>49480</v>
      </c>
      <c r="AB2609" s="2"/>
    </row>
    <row r="2610" spans="8:28" ht="15" customHeight="1">
      <c r="H2610" s="2">
        <v>47304</v>
      </c>
      <c r="I2610" s="2"/>
      <c r="J2610" s="2">
        <v>49395</v>
      </c>
      <c r="K2610" s="2"/>
      <c r="L2610" s="2">
        <v>47053</v>
      </c>
      <c r="M2610" s="2"/>
      <c r="N2610" s="2">
        <v>49641</v>
      </c>
      <c r="P2610" s="2">
        <v>47217</v>
      </c>
      <c r="Q2610" s="2"/>
      <c r="R2610" s="2">
        <v>49481</v>
      </c>
      <c r="AB2610" s="2"/>
    </row>
    <row r="2611" spans="8:28" ht="15" customHeight="1">
      <c r="H2611" s="2">
        <v>47302</v>
      </c>
      <c r="I2611" s="2"/>
      <c r="J2611" s="2">
        <v>49396</v>
      </c>
      <c r="K2611" s="2"/>
      <c r="L2611" s="2">
        <v>47052</v>
      </c>
      <c r="M2611" s="2"/>
      <c r="N2611" s="2">
        <v>49642</v>
      </c>
      <c r="P2611" s="2">
        <v>47214</v>
      </c>
      <c r="Q2611" s="2"/>
      <c r="R2611" s="2">
        <v>49482</v>
      </c>
      <c r="AB2611" s="2"/>
    </row>
    <row r="2612" spans="8:28" ht="15" customHeight="1">
      <c r="H2612" s="2">
        <v>47301</v>
      </c>
      <c r="I2612" s="2"/>
      <c r="J2612" s="2">
        <v>49397</v>
      </c>
      <c r="K2612" s="2"/>
      <c r="L2612" s="2">
        <v>47051</v>
      </c>
      <c r="M2612" s="2"/>
      <c r="N2612" s="2">
        <v>49643</v>
      </c>
      <c r="P2612" s="2">
        <v>47213</v>
      </c>
      <c r="Q2612" s="2"/>
      <c r="R2612" s="2">
        <v>49485</v>
      </c>
      <c r="AB2612" s="2"/>
    </row>
    <row r="2613" spans="8:28" ht="15" customHeight="1">
      <c r="H2613" s="2">
        <v>47298</v>
      </c>
      <c r="I2613" s="2"/>
      <c r="J2613" s="2">
        <v>49398</v>
      </c>
      <c r="K2613" s="2"/>
      <c r="L2613" s="2">
        <v>47050</v>
      </c>
      <c r="M2613" s="2"/>
      <c r="N2613" s="2">
        <v>49646</v>
      </c>
      <c r="P2613" s="2">
        <v>47212</v>
      </c>
      <c r="Q2613" s="2"/>
      <c r="R2613" s="2">
        <v>49486</v>
      </c>
      <c r="AB2613" s="2"/>
    </row>
    <row r="2614" spans="8:28" ht="15" customHeight="1">
      <c r="H2614" s="2">
        <v>47297</v>
      </c>
      <c r="I2614" s="2"/>
      <c r="J2614" s="2">
        <v>49401</v>
      </c>
      <c r="K2614" s="2"/>
      <c r="L2614" s="2">
        <v>47049</v>
      </c>
      <c r="M2614" s="2"/>
      <c r="N2614" s="2">
        <v>49647</v>
      </c>
      <c r="P2614" s="2">
        <v>47211</v>
      </c>
      <c r="Q2614" s="2"/>
      <c r="R2614" s="2">
        <v>49487</v>
      </c>
      <c r="AB2614" s="2"/>
    </row>
    <row r="2615" spans="8:28" ht="15" customHeight="1">
      <c r="H2615" s="2">
        <v>47296</v>
      </c>
      <c r="I2615" s="2"/>
      <c r="J2615" s="2">
        <v>49402</v>
      </c>
      <c r="K2615" s="2"/>
      <c r="L2615" s="2">
        <v>47046</v>
      </c>
      <c r="M2615" s="2"/>
      <c r="N2615" s="2">
        <v>49648</v>
      </c>
      <c r="P2615" s="2">
        <v>47210</v>
      </c>
      <c r="Q2615" s="2"/>
      <c r="R2615" s="2">
        <v>49488</v>
      </c>
      <c r="AB2615" s="2"/>
    </row>
    <row r="2616" spans="8:28" ht="15" customHeight="1">
      <c r="H2616" s="2">
        <v>47295</v>
      </c>
      <c r="I2616" s="2"/>
      <c r="J2616" s="2">
        <v>49403</v>
      </c>
      <c r="K2616" s="2"/>
      <c r="L2616" s="2">
        <v>47045</v>
      </c>
      <c r="M2616" s="2"/>
      <c r="N2616" s="2">
        <v>49649</v>
      </c>
      <c r="P2616" s="2">
        <v>47207</v>
      </c>
      <c r="Q2616" s="2"/>
      <c r="R2616" s="2">
        <v>49489</v>
      </c>
      <c r="AB2616" s="2"/>
    </row>
    <row r="2617" spans="8:28" ht="15" customHeight="1">
      <c r="H2617" s="2">
        <v>47294</v>
      </c>
      <c r="I2617" s="2"/>
      <c r="J2617" s="2">
        <v>49404</v>
      </c>
      <c r="K2617" s="2"/>
      <c r="L2617" s="2">
        <v>47044</v>
      </c>
      <c r="M2617" s="2"/>
      <c r="N2617" s="2">
        <v>49650</v>
      </c>
      <c r="P2617" s="2">
        <v>47206</v>
      </c>
      <c r="Q2617" s="2"/>
      <c r="R2617" s="2">
        <v>49492</v>
      </c>
      <c r="AB2617" s="2"/>
    </row>
    <row r="2618" spans="8:28" ht="15" customHeight="1">
      <c r="H2618" s="2">
        <v>47291</v>
      </c>
      <c r="I2618" s="2"/>
      <c r="J2618" s="2">
        <v>49405</v>
      </c>
      <c r="K2618" s="2"/>
      <c r="L2618" s="2">
        <v>47043</v>
      </c>
      <c r="M2618" s="2"/>
      <c r="N2618" s="2">
        <v>49653</v>
      </c>
      <c r="P2618" s="2">
        <v>47205</v>
      </c>
      <c r="Q2618" s="2"/>
      <c r="R2618" s="2">
        <v>49493</v>
      </c>
      <c r="AB2618" s="2"/>
    </row>
    <row r="2619" spans="8:28" ht="15" customHeight="1">
      <c r="H2619" s="2">
        <v>47290</v>
      </c>
      <c r="I2619" s="2"/>
      <c r="J2619" s="2">
        <v>49408</v>
      </c>
      <c r="K2619" s="2"/>
      <c r="L2619" s="2">
        <v>47042</v>
      </c>
      <c r="M2619" s="2"/>
      <c r="N2619" s="2">
        <v>49654</v>
      </c>
      <c r="P2619" s="2">
        <v>47204</v>
      </c>
      <c r="Q2619" s="2"/>
      <c r="R2619" s="2">
        <v>49494</v>
      </c>
      <c r="AB2619" s="2"/>
    </row>
    <row r="2620" spans="8:28" ht="15" customHeight="1">
      <c r="H2620" s="2">
        <v>47289</v>
      </c>
      <c r="I2620" s="2"/>
      <c r="J2620" s="2">
        <v>49409</v>
      </c>
      <c r="K2620" s="2"/>
      <c r="L2620" s="2">
        <v>47039</v>
      </c>
      <c r="M2620" s="2"/>
      <c r="N2620" s="2">
        <v>49655</v>
      </c>
      <c r="P2620" s="2">
        <v>47203</v>
      </c>
      <c r="Q2620" s="2"/>
      <c r="R2620" s="2">
        <v>49495</v>
      </c>
      <c r="AB2620" s="2"/>
    </row>
    <row r="2621" spans="8:28" ht="15" customHeight="1">
      <c r="H2621" s="2">
        <v>47287</v>
      </c>
      <c r="I2621" s="2"/>
      <c r="J2621" s="2">
        <v>49410</v>
      </c>
      <c r="K2621" s="2"/>
      <c r="L2621" s="2">
        <v>47038</v>
      </c>
      <c r="M2621" s="2"/>
      <c r="N2621" s="2">
        <v>49656</v>
      </c>
      <c r="P2621" s="2">
        <v>47200</v>
      </c>
      <c r="Q2621" s="2"/>
      <c r="R2621" s="2">
        <v>49496</v>
      </c>
      <c r="AB2621" s="2"/>
    </row>
    <row r="2622" spans="8:28" ht="15" customHeight="1">
      <c r="H2622" s="2">
        <v>47284</v>
      </c>
      <c r="I2622" s="2"/>
      <c r="J2622" s="2">
        <v>49411</v>
      </c>
      <c r="K2622" s="2"/>
      <c r="L2622" s="2">
        <v>47037</v>
      </c>
      <c r="M2622" s="2"/>
      <c r="N2622" s="2">
        <v>49657</v>
      </c>
      <c r="P2622" s="2">
        <v>47199</v>
      </c>
      <c r="Q2622" s="2"/>
      <c r="R2622" s="2">
        <v>49499</v>
      </c>
      <c r="AB2622" s="2"/>
    </row>
    <row r="2623" spans="8:28" ht="15" customHeight="1">
      <c r="H2623" s="2">
        <v>47283</v>
      </c>
      <c r="I2623" s="2"/>
      <c r="J2623" s="2">
        <v>49412</v>
      </c>
      <c r="K2623" s="2"/>
      <c r="L2623" s="2">
        <v>47036</v>
      </c>
      <c r="M2623" s="2"/>
      <c r="N2623" s="2">
        <v>49660</v>
      </c>
      <c r="P2623" s="2">
        <v>47198</v>
      </c>
      <c r="Q2623" s="2"/>
      <c r="R2623" s="2">
        <v>49500</v>
      </c>
      <c r="AB2623" s="2"/>
    </row>
    <row r="2624" spans="8:28" ht="15" customHeight="1">
      <c r="H2624" s="2">
        <v>47282</v>
      </c>
      <c r="I2624" s="2"/>
      <c r="J2624" s="2">
        <v>49415</v>
      </c>
      <c r="K2624" s="2"/>
      <c r="L2624" s="2">
        <v>47032</v>
      </c>
      <c r="M2624" s="2"/>
      <c r="N2624" s="2">
        <v>49661</v>
      </c>
      <c r="P2624" s="2">
        <v>47197</v>
      </c>
      <c r="Q2624" s="2"/>
      <c r="R2624" s="2">
        <v>49501</v>
      </c>
      <c r="AB2624" s="2"/>
    </row>
    <row r="2625" spans="8:28" ht="15" customHeight="1">
      <c r="H2625" s="2">
        <v>47281</v>
      </c>
      <c r="I2625" s="2"/>
      <c r="J2625" s="2">
        <v>49416</v>
      </c>
      <c r="K2625" s="2"/>
      <c r="L2625" s="2">
        <v>47031</v>
      </c>
      <c r="M2625" s="2"/>
      <c r="N2625" s="2">
        <v>49662</v>
      </c>
      <c r="P2625" s="2">
        <v>47196</v>
      </c>
      <c r="Q2625" s="2"/>
      <c r="R2625" s="2">
        <v>49502</v>
      </c>
      <c r="AB2625" s="2"/>
    </row>
    <row r="2626" spans="8:28" ht="15" customHeight="1">
      <c r="H2626" s="2">
        <v>47280</v>
      </c>
      <c r="I2626" s="2"/>
      <c r="J2626" s="2">
        <v>49417</v>
      </c>
      <c r="K2626" s="2"/>
      <c r="L2626" s="2">
        <v>47030</v>
      </c>
      <c r="M2626" s="2"/>
      <c r="N2626" s="2">
        <v>49663</v>
      </c>
      <c r="P2626" s="2">
        <v>47193</v>
      </c>
      <c r="Q2626" s="2"/>
      <c r="R2626" s="2">
        <v>49503</v>
      </c>
      <c r="AB2626" s="2"/>
    </row>
    <row r="2627" spans="8:28" ht="15" customHeight="1">
      <c r="H2627" s="2">
        <v>47277</v>
      </c>
      <c r="I2627" s="2"/>
      <c r="J2627" s="2">
        <v>49418</v>
      </c>
      <c r="K2627" s="2"/>
      <c r="L2627" s="2">
        <v>47029</v>
      </c>
      <c r="M2627" s="2"/>
      <c r="N2627" s="2">
        <v>49664</v>
      </c>
      <c r="P2627" s="2">
        <v>47192</v>
      </c>
      <c r="Q2627" s="2"/>
      <c r="R2627" s="2">
        <v>49506</v>
      </c>
      <c r="AB2627" s="2"/>
    </row>
    <row r="2628" spans="8:28" ht="15" customHeight="1">
      <c r="H2628" s="2">
        <v>47276</v>
      </c>
      <c r="I2628" s="2"/>
      <c r="J2628" s="2">
        <v>49419</v>
      </c>
      <c r="K2628" s="2"/>
      <c r="L2628" s="2">
        <v>47028</v>
      </c>
      <c r="M2628" s="2"/>
      <c r="N2628" s="2">
        <v>49667</v>
      </c>
      <c r="P2628" s="2">
        <v>47191</v>
      </c>
      <c r="Q2628" s="2"/>
      <c r="R2628" s="2">
        <v>49507</v>
      </c>
      <c r="AB2628" s="2"/>
    </row>
    <row r="2629" spans="8:28" ht="15" customHeight="1">
      <c r="H2629" s="2">
        <v>47275</v>
      </c>
      <c r="I2629" s="2"/>
      <c r="J2629" s="2">
        <v>49422</v>
      </c>
      <c r="K2629" s="2"/>
      <c r="L2629" s="2">
        <v>47025</v>
      </c>
      <c r="M2629" s="2"/>
      <c r="N2629" s="2">
        <v>49669</v>
      </c>
      <c r="P2629" s="2">
        <v>47190</v>
      </c>
      <c r="Q2629" s="2"/>
      <c r="R2629" s="2">
        <v>49508</v>
      </c>
      <c r="AB2629" s="2"/>
    </row>
    <row r="2630" spans="8:28" ht="15" customHeight="1">
      <c r="H2630" s="2">
        <v>47274</v>
      </c>
      <c r="I2630" s="2"/>
      <c r="J2630" s="2">
        <v>49423</v>
      </c>
      <c r="K2630" s="2"/>
      <c r="L2630" s="2">
        <v>47024</v>
      </c>
      <c r="M2630" s="2"/>
      <c r="N2630" s="2">
        <v>49670</v>
      </c>
      <c r="P2630" s="2">
        <v>47189</v>
      </c>
      <c r="Q2630" s="2"/>
      <c r="R2630" s="2">
        <v>49509</v>
      </c>
      <c r="AB2630" s="2"/>
    </row>
    <row r="2631" spans="8:28" ht="15" customHeight="1">
      <c r="H2631" s="2">
        <v>47273</v>
      </c>
      <c r="I2631" s="2"/>
      <c r="J2631" s="2">
        <v>49424</v>
      </c>
      <c r="K2631" s="2"/>
      <c r="L2631" s="2">
        <v>47023</v>
      </c>
      <c r="M2631" s="2"/>
      <c r="N2631" s="2">
        <v>49671</v>
      </c>
      <c r="P2631" s="2">
        <v>47186</v>
      </c>
      <c r="Q2631" s="2"/>
      <c r="R2631" s="2">
        <v>49510</v>
      </c>
      <c r="AB2631" s="2"/>
    </row>
    <row r="2632" spans="8:28" ht="15" customHeight="1">
      <c r="H2632" s="2">
        <v>47270</v>
      </c>
      <c r="I2632" s="2"/>
      <c r="J2632" s="2">
        <v>49425</v>
      </c>
      <c r="K2632" s="2"/>
      <c r="L2632" s="2">
        <v>47022</v>
      </c>
      <c r="M2632" s="2"/>
      <c r="N2632" s="2">
        <v>49678</v>
      </c>
      <c r="P2632" s="2">
        <v>47185</v>
      </c>
      <c r="Q2632" s="2"/>
      <c r="R2632" s="2">
        <v>49513</v>
      </c>
      <c r="AB2632" s="2"/>
    </row>
    <row r="2633" spans="8:28" ht="15" customHeight="1">
      <c r="H2633" s="2">
        <v>47269</v>
      </c>
      <c r="I2633" s="2"/>
      <c r="J2633" s="2">
        <v>49426</v>
      </c>
      <c r="K2633" s="2"/>
      <c r="L2633" s="2">
        <v>47021</v>
      </c>
      <c r="M2633" s="2"/>
      <c r="N2633" s="2">
        <v>49681</v>
      </c>
      <c r="P2633" s="2">
        <v>47184</v>
      </c>
      <c r="Q2633" s="2"/>
      <c r="R2633" s="2">
        <v>49514</v>
      </c>
      <c r="AB2633" s="2"/>
    </row>
    <row r="2634" spans="8:28" ht="15" customHeight="1">
      <c r="H2634" s="2">
        <v>47268</v>
      </c>
      <c r="I2634" s="2"/>
      <c r="J2634" s="2">
        <v>49429</v>
      </c>
      <c r="K2634" s="2"/>
      <c r="L2634" s="2">
        <v>47017</v>
      </c>
      <c r="M2634" s="2"/>
      <c r="N2634" s="2">
        <v>49682</v>
      </c>
      <c r="P2634" s="2">
        <v>47183</v>
      </c>
      <c r="Q2634" s="2"/>
      <c r="R2634" s="2">
        <v>49515</v>
      </c>
      <c r="AB2634" s="2"/>
    </row>
    <row r="2635" spans="8:28" ht="15" customHeight="1">
      <c r="H2635" s="2">
        <v>47267</v>
      </c>
      <c r="I2635" s="2"/>
      <c r="J2635" s="2">
        <v>49430</v>
      </c>
      <c r="K2635" s="2"/>
      <c r="L2635" s="2">
        <v>47016</v>
      </c>
      <c r="M2635" s="2"/>
      <c r="N2635" s="2">
        <v>49683</v>
      </c>
      <c r="P2635" s="2">
        <v>47182</v>
      </c>
      <c r="Q2635" s="2"/>
      <c r="R2635" s="2">
        <v>49516</v>
      </c>
      <c r="AB2635" s="2"/>
    </row>
    <row r="2636" spans="8:28" ht="15" customHeight="1">
      <c r="H2636" s="2">
        <v>47263</v>
      </c>
      <c r="I2636" s="2"/>
      <c r="J2636" s="2">
        <v>49431</v>
      </c>
      <c r="K2636" s="2"/>
      <c r="L2636" s="2">
        <v>47015</v>
      </c>
      <c r="M2636" s="2"/>
      <c r="N2636" s="2">
        <v>49684</v>
      </c>
      <c r="P2636" s="2">
        <v>47179</v>
      </c>
      <c r="Q2636" s="2"/>
      <c r="R2636" s="2">
        <v>49517</v>
      </c>
      <c r="AB2636" s="2"/>
    </row>
    <row r="2637" spans="8:28" ht="15" customHeight="1">
      <c r="H2637" s="2">
        <v>47262</v>
      </c>
      <c r="I2637" s="2"/>
      <c r="J2637" s="2">
        <v>49432</v>
      </c>
      <c r="K2637" s="2"/>
      <c r="L2637" s="2">
        <v>47011</v>
      </c>
      <c r="M2637" s="2"/>
      <c r="N2637" s="2">
        <v>49685</v>
      </c>
      <c r="P2637" s="2">
        <v>47177</v>
      </c>
      <c r="Q2637" s="2"/>
      <c r="R2637" s="2">
        <v>49520</v>
      </c>
      <c r="AB2637" s="2"/>
    </row>
    <row r="2638" spans="8:28" ht="15" customHeight="1">
      <c r="H2638" s="2">
        <v>47261</v>
      </c>
      <c r="I2638" s="2"/>
      <c r="J2638" s="2">
        <v>49433</v>
      </c>
      <c r="K2638" s="2"/>
      <c r="L2638" s="2">
        <v>47010</v>
      </c>
      <c r="M2638" s="2"/>
      <c r="N2638" s="2">
        <v>49689</v>
      </c>
      <c r="P2638" s="2">
        <v>47176</v>
      </c>
      <c r="Q2638" s="2"/>
      <c r="R2638" s="2">
        <v>49521</v>
      </c>
      <c r="AB2638" s="2"/>
    </row>
    <row r="2639" spans="8:28" ht="15" customHeight="1">
      <c r="H2639" s="2">
        <v>47260</v>
      </c>
      <c r="I2639" s="2"/>
      <c r="J2639" s="2">
        <v>49436</v>
      </c>
      <c r="K2639" s="2"/>
      <c r="L2639" s="2">
        <v>47009</v>
      </c>
      <c r="M2639" s="2"/>
      <c r="N2639" s="2">
        <v>49690</v>
      </c>
      <c r="P2639" s="2">
        <v>47175</v>
      </c>
      <c r="Q2639" s="2"/>
      <c r="R2639" s="2">
        <v>49522</v>
      </c>
      <c r="AB2639" s="2"/>
    </row>
    <row r="2640" spans="8:28" ht="15" customHeight="1">
      <c r="H2640" s="2">
        <v>47259</v>
      </c>
      <c r="I2640" s="2"/>
      <c r="J2640" s="2">
        <v>49437</v>
      </c>
      <c r="K2640" s="2"/>
      <c r="L2640" s="2">
        <v>47008</v>
      </c>
      <c r="M2640" s="2"/>
      <c r="N2640" s="2">
        <v>49691</v>
      </c>
      <c r="P2640" s="2">
        <v>47172</v>
      </c>
      <c r="Q2640" s="2"/>
      <c r="R2640" s="2">
        <v>49523</v>
      </c>
      <c r="AB2640" s="2"/>
    </row>
    <row r="2641" spans="8:28" ht="15" customHeight="1">
      <c r="H2641" s="2">
        <v>47256</v>
      </c>
      <c r="I2641" s="2"/>
      <c r="J2641" s="2">
        <v>49438</v>
      </c>
      <c r="K2641" s="2"/>
      <c r="L2641" s="2">
        <v>47007</v>
      </c>
      <c r="M2641" s="2"/>
      <c r="N2641" s="2">
        <v>49692</v>
      </c>
      <c r="P2641" s="2">
        <v>47171</v>
      </c>
      <c r="Q2641" s="2"/>
      <c r="R2641" s="2">
        <v>49524</v>
      </c>
      <c r="AB2641" s="2"/>
    </row>
    <row r="2642" spans="8:28" ht="15" customHeight="1">
      <c r="H2642" s="2">
        <v>47255</v>
      </c>
      <c r="I2642" s="2"/>
      <c r="J2642" s="2">
        <v>49439</v>
      </c>
      <c r="K2642" s="2"/>
      <c r="L2642" s="2">
        <v>47004</v>
      </c>
      <c r="M2642" s="2"/>
      <c r="N2642" s="2">
        <v>49696</v>
      </c>
      <c r="P2642" s="2">
        <v>47170</v>
      </c>
      <c r="Q2642" s="2"/>
      <c r="R2642" s="2">
        <v>49527</v>
      </c>
      <c r="AB2642" s="2"/>
    </row>
    <row r="2643" spans="8:28" ht="15" customHeight="1">
      <c r="H2643" s="2">
        <v>47254</v>
      </c>
      <c r="I2643" s="2"/>
      <c r="J2643" s="2">
        <v>49440</v>
      </c>
      <c r="K2643" s="2"/>
      <c r="L2643" s="2">
        <v>47003</v>
      </c>
      <c r="M2643" s="2"/>
      <c r="N2643" s="2">
        <v>49697</v>
      </c>
      <c r="P2643" s="2">
        <v>47169</v>
      </c>
      <c r="Q2643" s="2"/>
      <c r="R2643" s="2">
        <v>49528</v>
      </c>
      <c r="AB2643" s="2"/>
    </row>
    <row r="2644" spans="8:28" ht="15" customHeight="1">
      <c r="H2644" s="2">
        <v>47253</v>
      </c>
      <c r="I2644" s="2"/>
      <c r="J2644" s="2">
        <v>49443</v>
      </c>
      <c r="K2644" s="2"/>
      <c r="L2644" s="2">
        <v>47002</v>
      </c>
      <c r="M2644" s="2"/>
      <c r="N2644" s="2">
        <v>49698</v>
      </c>
      <c r="P2644" s="2">
        <v>47168</v>
      </c>
      <c r="Q2644" s="2"/>
      <c r="R2644" s="2">
        <v>49529</v>
      </c>
      <c r="AB2644" s="2"/>
    </row>
    <row r="2645" spans="8:28" ht="15" customHeight="1">
      <c r="H2645" s="2">
        <v>47252</v>
      </c>
      <c r="I2645" s="2"/>
      <c r="J2645" s="2">
        <v>49444</v>
      </c>
      <c r="K2645" s="2"/>
      <c r="L2645" s="2">
        <v>47001</v>
      </c>
      <c r="M2645" s="2"/>
      <c r="N2645" s="2">
        <v>49699</v>
      </c>
      <c r="P2645" s="2">
        <v>47165</v>
      </c>
      <c r="Q2645" s="2"/>
      <c r="R2645" s="2">
        <v>49530</v>
      </c>
      <c r="AB2645" s="2"/>
    </row>
    <row r="2646" spans="8:28" ht="15" customHeight="1">
      <c r="H2646" s="2">
        <v>47249</v>
      </c>
      <c r="I2646" s="2"/>
      <c r="J2646" s="2">
        <v>49445</v>
      </c>
      <c r="K2646" s="2"/>
      <c r="L2646" s="2">
        <v>46997</v>
      </c>
      <c r="M2646" s="2"/>
      <c r="N2646" s="2">
        <v>49702</v>
      </c>
      <c r="P2646" s="2">
        <v>47164</v>
      </c>
      <c r="Q2646" s="2"/>
      <c r="R2646" s="2">
        <v>49531</v>
      </c>
      <c r="AB2646" s="2"/>
    </row>
    <row r="2647" spans="8:28" ht="15" customHeight="1">
      <c r="H2647" s="2">
        <v>47248</v>
      </c>
      <c r="I2647" s="2"/>
      <c r="J2647" s="2">
        <v>49446</v>
      </c>
      <c r="K2647" s="2"/>
      <c r="L2647" s="2">
        <v>46996</v>
      </c>
      <c r="M2647" s="2"/>
      <c r="N2647" s="2">
        <v>49703</v>
      </c>
      <c r="P2647" s="2">
        <v>47158</v>
      </c>
      <c r="Q2647" s="2"/>
      <c r="R2647" s="2">
        <v>49534</v>
      </c>
      <c r="AB2647" s="2"/>
    </row>
    <row r="2648" spans="8:28" ht="15" customHeight="1">
      <c r="H2648" s="2">
        <v>47247</v>
      </c>
      <c r="I2648" s="2"/>
      <c r="J2648" s="2">
        <v>49447</v>
      </c>
      <c r="K2648" s="2"/>
      <c r="L2648" s="2">
        <v>46995</v>
      </c>
      <c r="M2648" s="2"/>
      <c r="N2648" s="2">
        <v>49704</v>
      </c>
      <c r="P2648" s="2">
        <v>47157</v>
      </c>
      <c r="Q2648" s="2"/>
      <c r="R2648" s="2">
        <v>49535</v>
      </c>
      <c r="AB2648" s="2"/>
    </row>
    <row r="2649" spans="8:28" ht="15" customHeight="1">
      <c r="H2649" s="2">
        <v>47246</v>
      </c>
      <c r="I2649" s="2"/>
      <c r="J2649" s="2">
        <v>49450</v>
      </c>
      <c r="K2649" s="2"/>
      <c r="L2649" s="2">
        <v>46994</v>
      </c>
      <c r="M2649" s="2"/>
      <c r="N2649" s="2">
        <v>49705</v>
      </c>
      <c r="P2649" s="2">
        <v>47156</v>
      </c>
      <c r="Q2649" s="2"/>
      <c r="R2649" s="2">
        <v>49537</v>
      </c>
      <c r="AB2649" s="2"/>
    </row>
    <row r="2650" spans="8:28" ht="15" customHeight="1">
      <c r="H2650" s="2">
        <v>47245</v>
      </c>
      <c r="I2650" s="2"/>
      <c r="J2650" s="2">
        <v>49451</v>
      </c>
      <c r="K2650" s="2"/>
      <c r="L2650" s="2">
        <v>46993</v>
      </c>
      <c r="M2650" s="2"/>
      <c r="N2650" s="2">
        <v>49706</v>
      </c>
      <c r="P2650" s="2">
        <v>47155</v>
      </c>
      <c r="Q2650" s="2"/>
      <c r="R2650" s="2">
        <v>49538</v>
      </c>
      <c r="AB2650" s="2"/>
    </row>
    <row r="2651" spans="8:28" ht="15" customHeight="1">
      <c r="H2651" s="2">
        <v>47242</v>
      </c>
      <c r="I2651" s="2"/>
      <c r="J2651" s="2">
        <v>49452</v>
      </c>
      <c r="K2651" s="2"/>
      <c r="L2651" s="2">
        <v>46990</v>
      </c>
      <c r="M2651" s="2"/>
      <c r="N2651" s="2">
        <v>49709</v>
      </c>
      <c r="P2651" s="2">
        <v>47154</v>
      </c>
      <c r="Q2651" s="2"/>
      <c r="R2651" s="2">
        <v>49541</v>
      </c>
      <c r="AB2651" s="2"/>
    </row>
    <row r="2652" spans="8:28" ht="15" customHeight="1">
      <c r="H2652" s="2">
        <v>47241</v>
      </c>
      <c r="I2652" s="2"/>
      <c r="J2652" s="2">
        <v>49453</v>
      </c>
      <c r="K2652" s="2"/>
      <c r="L2652" s="2">
        <v>46989</v>
      </c>
      <c r="M2652" s="2"/>
      <c r="N2652" s="2">
        <v>49710</v>
      </c>
      <c r="P2652" s="2">
        <v>47151</v>
      </c>
      <c r="Q2652" s="2"/>
      <c r="R2652" s="2">
        <v>49542</v>
      </c>
      <c r="AB2652" s="2"/>
    </row>
    <row r="2653" spans="8:28" ht="15" customHeight="1">
      <c r="H2653" s="2">
        <v>47240</v>
      </c>
      <c r="I2653" s="2"/>
      <c r="J2653" s="2">
        <v>49454</v>
      </c>
      <c r="K2653" s="2"/>
      <c r="L2653" s="2">
        <v>46988</v>
      </c>
      <c r="M2653" s="2"/>
      <c r="N2653" s="2">
        <v>49711</v>
      </c>
      <c r="P2653" s="2">
        <v>47150</v>
      </c>
      <c r="Q2653" s="2"/>
      <c r="R2653" s="2">
        <v>49543</v>
      </c>
      <c r="AB2653" s="2"/>
    </row>
    <row r="2654" spans="8:28" ht="15" customHeight="1">
      <c r="H2654" s="2">
        <v>47239</v>
      </c>
      <c r="I2654" s="2"/>
      <c r="J2654" s="2">
        <v>49458</v>
      </c>
      <c r="K2654" s="2"/>
      <c r="L2654" s="2">
        <v>46987</v>
      </c>
      <c r="M2654" s="2"/>
      <c r="N2654" s="2">
        <v>49712</v>
      </c>
      <c r="P2654" s="2">
        <v>47149</v>
      </c>
      <c r="Q2654" s="2"/>
      <c r="R2654" s="2">
        <v>49544</v>
      </c>
      <c r="AB2654" s="2"/>
    </row>
    <row r="2655" spans="8:28" ht="15" customHeight="1">
      <c r="H2655" s="2">
        <v>47238</v>
      </c>
      <c r="I2655" s="2"/>
      <c r="J2655" s="2">
        <v>49459</v>
      </c>
      <c r="K2655" s="2"/>
      <c r="L2655" s="2">
        <v>46986</v>
      </c>
      <c r="M2655" s="2"/>
      <c r="N2655" s="2">
        <v>49713</v>
      </c>
      <c r="P2655" s="2">
        <v>47148</v>
      </c>
      <c r="Q2655" s="2"/>
      <c r="R2655" s="2">
        <v>49545</v>
      </c>
      <c r="AB2655" s="2"/>
    </row>
    <row r="2656" spans="8:28" ht="15" customHeight="1">
      <c r="H2656" s="2">
        <v>47235</v>
      </c>
      <c r="I2656" s="2"/>
      <c r="J2656" s="2">
        <v>49460</v>
      </c>
      <c r="K2656" s="2"/>
      <c r="L2656" s="2">
        <v>46983</v>
      </c>
      <c r="M2656" s="2"/>
      <c r="N2656" s="2">
        <v>49717</v>
      </c>
      <c r="P2656" s="2">
        <v>47147</v>
      </c>
      <c r="Q2656" s="2"/>
      <c r="R2656" s="2">
        <v>49548</v>
      </c>
      <c r="AB2656" s="2"/>
    </row>
    <row r="2657" spans="8:28" ht="15" customHeight="1">
      <c r="H2657" s="2">
        <v>47234</v>
      </c>
      <c r="I2657" s="2"/>
      <c r="J2657" s="2">
        <v>49461</v>
      </c>
      <c r="K2657" s="2"/>
      <c r="L2657" s="2">
        <v>46982</v>
      </c>
      <c r="M2657" s="2"/>
      <c r="N2657" s="2">
        <v>49718</v>
      </c>
      <c r="P2657" s="2">
        <v>47144</v>
      </c>
      <c r="Q2657" s="2"/>
      <c r="R2657" s="2">
        <v>49549</v>
      </c>
      <c r="AB2657" s="2"/>
    </row>
    <row r="2658" spans="8:28" ht="15" customHeight="1">
      <c r="H2658" s="2">
        <v>47233</v>
      </c>
      <c r="I2658" s="2"/>
      <c r="J2658" s="2">
        <v>49464</v>
      </c>
      <c r="K2658" s="2"/>
      <c r="L2658" s="2">
        <v>46981</v>
      </c>
      <c r="M2658" s="2"/>
      <c r="N2658" s="2">
        <v>49719</v>
      </c>
      <c r="P2658" s="2">
        <v>47143</v>
      </c>
      <c r="Q2658" s="2"/>
      <c r="R2658" s="2">
        <v>49550</v>
      </c>
      <c r="AB2658" s="2"/>
    </row>
    <row r="2659" spans="8:28" ht="15" customHeight="1">
      <c r="H2659" s="2">
        <v>47232</v>
      </c>
      <c r="I2659" s="2"/>
      <c r="J2659" s="2">
        <v>49465</v>
      </c>
      <c r="K2659" s="2"/>
      <c r="L2659" s="2">
        <v>46980</v>
      </c>
      <c r="M2659" s="2"/>
      <c r="N2659" s="2">
        <v>49720</v>
      </c>
      <c r="P2659" s="2">
        <v>47142</v>
      </c>
      <c r="Q2659" s="2"/>
      <c r="R2659" s="2">
        <v>49551</v>
      </c>
      <c r="AB2659" s="2"/>
    </row>
    <row r="2660" spans="8:28" ht="15" customHeight="1">
      <c r="H2660" s="2">
        <v>47231</v>
      </c>
      <c r="I2660" s="2"/>
      <c r="J2660" s="2">
        <v>49466</v>
      </c>
      <c r="K2660" s="2"/>
      <c r="L2660" s="2">
        <v>46979</v>
      </c>
      <c r="M2660" s="2"/>
      <c r="N2660" s="2">
        <v>49724</v>
      </c>
      <c r="P2660" s="2">
        <v>47141</v>
      </c>
      <c r="Q2660" s="2"/>
      <c r="R2660" s="2">
        <v>49552</v>
      </c>
      <c r="AB2660" s="2"/>
    </row>
    <row r="2661" spans="8:28" ht="15" customHeight="1">
      <c r="H2661" s="2">
        <v>47228</v>
      </c>
      <c r="I2661" s="2"/>
      <c r="J2661" s="2">
        <v>49467</v>
      </c>
      <c r="K2661" s="2"/>
      <c r="L2661" s="2">
        <v>46975</v>
      </c>
      <c r="M2661" s="2"/>
      <c r="N2661" s="2">
        <v>49725</v>
      </c>
      <c r="P2661" s="2">
        <v>47140</v>
      </c>
      <c r="Q2661" s="2"/>
      <c r="R2661" s="2">
        <v>49555</v>
      </c>
      <c r="AB2661" s="2"/>
    </row>
    <row r="2662" spans="8:28" ht="15" customHeight="1">
      <c r="H2662" s="2">
        <v>47227</v>
      </c>
      <c r="I2662" s="2"/>
      <c r="J2662" s="2">
        <v>49468</v>
      </c>
      <c r="K2662" s="2"/>
      <c r="L2662" s="2">
        <v>46974</v>
      </c>
      <c r="M2662" s="2"/>
      <c r="N2662" s="2">
        <v>49726</v>
      </c>
      <c r="P2662" s="2">
        <v>47137</v>
      </c>
      <c r="Q2662" s="2"/>
      <c r="R2662" s="2">
        <v>49556</v>
      </c>
      <c r="AB2662" s="2"/>
    </row>
    <row r="2663" spans="8:28" ht="15" customHeight="1">
      <c r="H2663" s="2">
        <v>47226</v>
      </c>
      <c r="I2663" s="2"/>
      <c r="J2663" s="2">
        <v>49471</v>
      </c>
      <c r="K2663" s="2"/>
      <c r="L2663" s="2">
        <v>46973</v>
      </c>
      <c r="M2663" s="2"/>
      <c r="N2663" s="2">
        <v>49727</v>
      </c>
      <c r="P2663" s="2">
        <v>47136</v>
      </c>
      <c r="Q2663" s="2"/>
      <c r="R2663" s="2">
        <v>49557</v>
      </c>
      <c r="AB2663" s="2"/>
    </row>
    <row r="2664" spans="8:28" ht="15" customHeight="1">
      <c r="H2664" s="2">
        <v>47225</v>
      </c>
      <c r="I2664" s="2"/>
      <c r="J2664" s="2">
        <v>49472</v>
      </c>
      <c r="K2664" s="2"/>
      <c r="L2664" s="2">
        <v>46972</v>
      </c>
      <c r="M2664" s="2"/>
      <c r="N2664" s="2">
        <v>49730</v>
      </c>
      <c r="P2664" s="2">
        <v>47135</v>
      </c>
      <c r="Q2664" s="2"/>
      <c r="R2664" s="2">
        <v>49558</v>
      </c>
      <c r="AB2664" s="2"/>
    </row>
    <row r="2665" spans="8:28" ht="15" customHeight="1">
      <c r="H2665" s="2">
        <v>47224</v>
      </c>
      <c r="I2665" s="2"/>
      <c r="J2665" s="2">
        <v>49473</v>
      </c>
      <c r="K2665" s="2"/>
      <c r="L2665" s="2">
        <v>46969</v>
      </c>
      <c r="M2665" s="2"/>
      <c r="N2665" s="2">
        <v>49731</v>
      </c>
      <c r="P2665" s="2">
        <v>47134</v>
      </c>
      <c r="Q2665" s="2"/>
      <c r="R2665" s="2">
        <v>49559</v>
      </c>
      <c r="AB2665" s="2"/>
    </row>
    <row r="2666" spans="8:28" ht="15" customHeight="1">
      <c r="H2666" s="2">
        <v>47221</v>
      </c>
      <c r="I2666" s="2"/>
      <c r="J2666" s="2">
        <v>49474</v>
      </c>
      <c r="K2666" s="2"/>
      <c r="L2666" s="2">
        <v>46968</v>
      </c>
      <c r="M2666" s="2"/>
      <c r="N2666" s="2">
        <v>49732</v>
      </c>
      <c r="P2666" s="2">
        <v>47133</v>
      </c>
      <c r="Q2666" s="2"/>
      <c r="R2666" s="2">
        <v>49562</v>
      </c>
      <c r="AB2666" s="2"/>
    </row>
    <row r="2667" spans="8:28" ht="15" customHeight="1">
      <c r="H2667" s="2">
        <v>47220</v>
      </c>
      <c r="I2667" s="2"/>
      <c r="J2667" s="2">
        <v>49475</v>
      </c>
      <c r="K2667" s="2"/>
      <c r="L2667" s="2">
        <v>46967</v>
      </c>
      <c r="M2667" s="2"/>
      <c r="N2667" s="2">
        <v>49733</v>
      </c>
      <c r="P2667" s="2">
        <v>47130</v>
      </c>
      <c r="Q2667" s="2"/>
      <c r="R2667" s="2">
        <v>49563</v>
      </c>
      <c r="AB2667" s="2"/>
    </row>
    <row r="2668" spans="8:28" ht="15" customHeight="1">
      <c r="H2668" s="2">
        <v>47219</v>
      </c>
      <c r="I2668" s="2"/>
      <c r="J2668" s="2">
        <v>49478</v>
      </c>
      <c r="K2668" s="2"/>
      <c r="L2668" s="2">
        <v>46966</v>
      </c>
      <c r="M2668" s="2"/>
      <c r="N2668" s="2">
        <v>49734</v>
      </c>
      <c r="P2668" s="2">
        <v>47129</v>
      </c>
      <c r="Q2668" s="2"/>
      <c r="R2668" s="2">
        <v>49564</v>
      </c>
      <c r="AB2668" s="2"/>
    </row>
    <row r="2669" spans="8:28" ht="15" customHeight="1">
      <c r="H2669" s="2">
        <v>47218</v>
      </c>
      <c r="I2669" s="2"/>
      <c r="J2669" s="2">
        <v>49480</v>
      </c>
      <c r="K2669" s="2"/>
      <c r="L2669" s="2">
        <v>46965</v>
      </c>
      <c r="M2669" s="2"/>
      <c r="N2669" s="2">
        <v>49737</v>
      </c>
      <c r="P2669" s="2">
        <v>47128</v>
      </c>
      <c r="Q2669" s="2"/>
      <c r="R2669" s="2">
        <v>49565</v>
      </c>
      <c r="AB2669" s="2"/>
    </row>
    <row r="2670" spans="8:28" ht="15" customHeight="1">
      <c r="H2670" s="2">
        <v>47217</v>
      </c>
      <c r="I2670" s="2"/>
      <c r="J2670" s="2">
        <v>49481</v>
      </c>
      <c r="K2670" s="2"/>
      <c r="L2670" s="2">
        <v>46962</v>
      </c>
      <c r="M2670" s="2"/>
      <c r="N2670" s="2">
        <v>49738</v>
      </c>
      <c r="P2670" s="2">
        <v>47127</v>
      </c>
      <c r="Q2670" s="2"/>
      <c r="R2670" s="2">
        <v>49566</v>
      </c>
      <c r="AB2670" s="2"/>
    </row>
    <row r="2671" spans="8:28" ht="15" customHeight="1">
      <c r="H2671" s="2">
        <v>47214</v>
      </c>
      <c r="I2671" s="2"/>
      <c r="J2671" s="2">
        <v>49482</v>
      </c>
      <c r="K2671" s="2"/>
      <c r="L2671" s="2">
        <v>46961</v>
      </c>
      <c r="M2671" s="2"/>
      <c r="N2671" s="2">
        <v>49739</v>
      </c>
      <c r="P2671" s="2">
        <v>47126</v>
      </c>
      <c r="Q2671" s="2"/>
      <c r="R2671" s="2">
        <v>49571</v>
      </c>
      <c r="AB2671" s="2"/>
    </row>
    <row r="2672" spans="8:28" ht="15" customHeight="1">
      <c r="H2672" s="2">
        <v>47213</v>
      </c>
      <c r="I2672" s="2"/>
      <c r="J2672" s="2">
        <v>49485</v>
      </c>
      <c r="K2672" s="2"/>
      <c r="L2672" s="2">
        <v>46960</v>
      </c>
      <c r="M2672" s="2"/>
      <c r="N2672" s="2">
        <v>49740</v>
      </c>
      <c r="P2672" s="2">
        <v>47123</v>
      </c>
      <c r="Q2672" s="2"/>
      <c r="R2672" s="2">
        <v>49572</v>
      </c>
      <c r="AB2672" s="2"/>
    </row>
    <row r="2673" spans="8:28" ht="15" customHeight="1">
      <c r="H2673" s="2">
        <v>47212</v>
      </c>
      <c r="I2673" s="2"/>
      <c r="J2673" s="2">
        <v>49486</v>
      </c>
      <c r="K2673" s="2"/>
      <c r="L2673" s="2">
        <v>46959</v>
      </c>
      <c r="M2673" s="2"/>
      <c r="N2673" s="2">
        <v>49741</v>
      </c>
      <c r="P2673" s="2">
        <v>47122</v>
      </c>
      <c r="Q2673" s="2"/>
      <c r="R2673" s="2">
        <v>49573</v>
      </c>
      <c r="AB2673" s="2"/>
    </row>
    <row r="2674" spans="8:28" ht="15" customHeight="1">
      <c r="H2674" s="2">
        <v>47211</v>
      </c>
      <c r="I2674" s="2"/>
      <c r="J2674" s="2">
        <v>49487</v>
      </c>
      <c r="K2674" s="2"/>
      <c r="L2674" s="2">
        <v>46958</v>
      </c>
      <c r="M2674" s="2"/>
      <c r="N2674" s="2">
        <v>49744</v>
      </c>
      <c r="P2674" s="2">
        <v>47121</v>
      </c>
      <c r="Q2674" s="2"/>
      <c r="R2674" s="2">
        <v>49576</v>
      </c>
      <c r="AB2674" s="2"/>
    </row>
    <row r="2675" spans="8:28" ht="15" customHeight="1">
      <c r="H2675" s="2">
        <v>47210</v>
      </c>
      <c r="I2675" s="2"/>
      <c r="J2675" s="2">
        <v>49488</v>
      </c>
      <c r="K2675" s="2"/>
      <c r="L2675" s="2">
        <v>46955</v>
      </c>
      <c r="M2675" s="2"/>
      <c r="N2675" s="2">
        <v>49745</v>
      </c>
      <c r="P2675" s="2">
        <v>47120</v>
      </c>
      <c r="Q2675" s="2"/>
      <c r="R2675" s="2">
        <v>49577</v>
      </c>
      <c r="AB2675" s="2"/>
    </row>
    <row r="2676" spans="8:28" ht="15" customHeight="1">
      <c r="H2676" s="2">
        <v>47206</v>
      </c>
      <c r="I2676" s="2"/>
      <c r="J2676" s="2">
        <v>49489</v>
      </c>
      <c r="K2676" s="2"/>
      <c r="L2676" s="2">
        <v>46954</v>
      </c>
      <c r="M2676" s="2"/>
      <c r="N2676" s="2">
        <v>49746</v>
      </c>
      <c r="P2676" s="2">
        <v>47115</v>
      </c>
      <c r="Q2676" s="2"/>
      <c r="R2676" s="2">
        <v>49578</v>
      </c>
      <c r="AB2676" s="2"/>
    </row>
    <row r="2677" spans="8:28" ht="15" customHeight="1">
      <c r="H2677" s="2">
        <v>47205</v>
      </c>
      <c r="I2677" s="2"/>
      <c r="J2677" s="2">
        <v>49492</v>
      </c>
      <c r="K2677" s="2"/>
      <c r="L2677" s="2">
        <v>46953</v>
      </c>
      <c r="M2677" s="2"/>
      <c r="N2677" s="2">
        <v>49747</v>
      </c>
      <c r="P2677" s="2">
        <v>47114</v>
      </c>
      <c r="Q2677" s="2"/>
      <c r="R2677" s="2">
        <v>49579</v>
      </c>
      <c r="AB2677" s="2"/>
    </row>
    <row r="2678" spans="8:28" ht="15" customHeight="1">
      <c r="H2678" s="2">
        <v>47204</v>
      </c>
      <c r="I2678" s="2"/>
      <c r="J2678" s="2">
        <v>49493</v>
      </c>
      <c r="K2678" s="2"/>
      <c r="L2678" s="2">
        <v>46952</v>
      </c>
      <c r="M2678" s="2"/>
      <c r="N2678" s="2">
        <v>49748</v>
      </c>
      <c r="P2678" s="2">
        <v>47113</v>
      </c>
      <c r="Q2678" s="2"/>
      <c r="R2678" s="2">
        <v>49580</v>
      </c>
      <c r="AB2678" s="2"/>
    </row>
    <row r="2679" spans="8:28" ht="15" customHeight="1">
      <c r="H2679" s="2">
        <v>47203</v>
      </c>
      <c r="I2679" s="2"/>
      <c r="J2679" s="2">
        <v>49495</v>
      </c>
      <c r="K2679" s="2"/>
      <c r="L2679" s="2">
        <v>46948</v>
      </c>
      <c r="M2679" s="2"/>
      <c r="N2679" s="2">
        <v>49751</v>
      </c>
      <c r="P2679" s="2">
        <v>47109</v>
      </c>
      <c r="Q2679" s="2"/>
      <c r="R2679" s="2">
        <v>49583</v>
      </c>
      <c r="AB2679" s="2"/>
    </row>
    <row r="2680" spans="8:28" ht="15" customHeight="1">
      <c r="H2680" s="2">
        <v>47200</v>
      </c>
      <c r="I2680" s="2"/>
      <c r="J2680" s="2">
        <v>49496</v>
      </c>
      <c r="K2680" s="2"/>
      <c r="L2680" s="2">
        <v>46947</v>
      </c>
      <c r="M2680" s="2"/>
      <c r="N2680" s="2">
        <v>49752</v>
      </c>
      <c r="P2680" s="2">
        <v>47108</v>
      </c>
      <c r="Q2680" s="2"/>
      <c r="R2680" s="2">
        <v>49584</v>
      </c>
      <c r="AB2680" s="2"/>
    </row>
    <row r="2681" spans="8:28" ht="15" customHeight="1">
      <c r="H2681" s="2">
        <v>47199</v>
      </c>
      <c r="I2681" s="2"/>
      <c r="J2681" s="2">
        <v>49499</v>
      </c>
      <c r="K2681" s="2"/>
      <c r="L2681" s="2">
        <v>46946</v>
      </c>
      <c r="M2681" s="2"/>
      <c r="N2681" s="2">
        <v>49753</v>
      </c>
      <c r="P2681" s="2">
        <v>47107</v>
      </c>
      <c r="Q2681" s="2"/>
      <c r="R2681" s="2">
        <v>49586</v>
      </c>
      <c r="AB2681" s="2"/>
    </row>
    <row r="2682" spans="8:28" ht="15" customHeight="1">
      <c r="H2682" s="2">
        <v>47198</v>
      </c>
      <c r="I2682" s="2"/>
      <c r="J2682" s="2">
        <v>49500</v>
      </c>
      <c r="K2682" s="2"/>
      <c r="L2682" s="2">
        <v>46945</v>
      </c>
      <c r="M2682" s="2"/>
      <c r="N2682" s="2">
        <v>49755</v>
      </c>
      <c r="P2682" s="2">
        <v>47106</v>
      </c>
      <c r="Q2682" s="2"/>
      <c r="R2682" s="2">
        <v>49587</v>
      </c>
      <c r="AB2682" s="2"/>
    </row>
    <row r="2683" spans="8:28" ht="15" customHeight="1">
      <c r="H2683" s="2">
        <v>47197</v>
      </c>
      <c r="I2683" s="2"/>
      <c r="J2683" s="2">
        <v>49501</v>
      </c>
      <c r="K2683" s="2"/>
      <c r="L2683" s="2">
        <v>46944</v>
      </c>
      <c r="M2683" s="2"/>
      <c r="N2683" s="2">
        <v>49758</v>
      </c>
      <c r="P2683" s="2">
        <v>47105</v>
      </c>
      <c r="Q2683" s="2"/>
      <c r="R2683" s="2">
        <v>49590</v>
      </c>
      <c r="AB2683" s="2"/>
    </row>
    <row r="2684" spans="8:28" ht="15" customHeight="1">
      <c r="H2684" s="2">
        <v>47196</v>
      </c>
      <c r="I2684" s="2"/>
      <c r="J2684" s="2">
        <v>49502</v>
      </c>
      <c r="K2684" s="2"/>
      <c r="L2684" s="2">
        <v>46941</v>
      </c>
      <c r="M2684" s="2"/>
      <c r="N2684" s="2">
        <v>49759</v>
      </c>
      <c r="P2684" s="2">
        <v>47102</v>
      </c>
      <c r="Q2684" s="2"/>
      <c r="R2684" s="2">
        <v>49592</v>
      </c>
      <c r="AB2684" s="2"/>
    </row>
    <row r="2685" spans="8:28" ht="15" customHeight="1">
      <c r="H2685" s="2">
        <v>47193</v>
      </c>
      <c r="I2685" s="2"/>
      <c r="J2685" s="2">
        <v>49503</v>
      </c>
      <c r="K2685" s="2"/>
      <c r="L2685" s="2">
        <v>46940</v>
      </c>
      <c r="M2685" s="2"/>
      <c r="N2685" s="2">
        <v>49760</v>
      </c>
      <c r="P2685" s="2">
        <v>47101</v>
      </c>
      <c r="Q2685" s="2"/>
      <c r="R2685" s="2">
        <v>49593</v>
      </c>
      <c r="AB2685" s="2"/>
    </row>
    <row r="2686" spans="8:28" ht="15" customHeight="1">
      <c r="H2686" s="2">
        <v>47192</v>
      </c>
      <c r="I2686" s="2"/>
      <c r="J2686" s="2">
        <v>49506</v>
      </c>
      <c r="K2686" s="2"/>
      <c r="L2686" s="2">
        <v>46939</v>
      </c>
      <c r="M2686" s="2"/>
      <c r="N2686" s="2">
        <v>49761</v>
      </c>
      <c r="P2686" s="2">
        <v>47100</v>
      </c>
      <c r="Q2686" s="2"/>
      <c r="R2686" s="2">
        <v>49594</v>
      </c>
      <c r="AB2686" s="2"/>
    </row>
    <row r="2687" spans="8:28" ht="15" customHeight="1">
      <c r="H2687" s="2">
        <v>47191</v>
      </c>
      <c r="I2687" s="2"/>
      <c r="J2687" s="2">
        <v>49507</v>
      </c>
      <c r="K2687" s="2"/>
      <c r="L2687" s="2">
        <v>46937</v>
      </c>
      <c r="M2687" s="2"/>
      <c r="N2687" s="2">
        <v>49762</v>
      </c>
      <c r="P2687" s="2">
        <v>47099</v>
      </c>
      <c r="Q2687" s="2"/>
      <c r="R2687" s="2">
        <v>49597</v>
      </c>
      <c r="AB2687" s="2"/>
    </row>
    <row r="2688" spans="8:28" ht="15" customHeight="1">
      <c r="H2688" s="2">
        <v>47190</v>
      </c>
      <c r="I2688" s="2"/>
      <c r="J2688" s="2">
        <v>49508</v>
      </c>
      <c r="K2688" s="2"/>
      <c r="L2688" s="2">
        <v>46934</v>
      </c>
      <c r="M2688" s="2"/>
      <c r="N2688" s="2">
        <v>49765</v>
      </c>
      <c r="P2688" s="2">
        <v>47098</v>
      </c>
      <c r="Q2688" s="2"/>
      <c r="R2688" s="2">
        <v>49598</v>
      </c>
      <c r="AB2688" s="2"/>
    </row>
    <row r="2689" spans="8:28" ht="15" customHeight="1">
      <c r="H2689" s="2">
        <v>47189</v>
      </c>
      <c r="I2689" s="2"/>
      <c r="J2689" s="2">
        <v>49509</v>
      </c>
      <c r="K2689" s="2"/>
      <c r="L2689" s="2">
        <v>46933</v>
      </c>
      <c r="M2689" s="2"/>
      <c r="N2689" s="2">
        <v>49766</v>
      </c>
      <c r="P2689" s="2">
        <v>47095</v>
      </c>
      <c r="Q2689" s="2"/>
      <c r="R2689" s="2">
        <v>49599</v>
      </c>
      <c r="AB2689" s="2"/>
    </row>
    <row r="2690" spans="8:28" ht="15" customHeight="1">
      <c r="H2690" s="2">
        <v>47186</v>
      </c>
      <c r="I2690" s="2"/>
      <c r="J2690" s="2">
        <v>49510</v>
      </c>
      <c r="K2690" s="2"/>
      <c r="L2690" s="2">
        <v>46932</v>
      </c>
      <c r="M2690" s="2"/>
      <c r="N2690" s="2">
        <v>49767</v>
      </c>
      <c r="P2690" s="2">
        <v>47094</v>
      </c>
      <c r="Q2690" s="2"/>
      <c r="R2690" s="2">
        <v>49600</v>
      </c>
      <c r="AB2690" s="2"/>
    </row>
    <row r="2691" spans="8:28" ht="15" customHeight="1">
      <c r="H2691" s="2">
        <v>47185</v>
      </c>
      <c r="I2691" s="2"/>
      <c r="J2691" s="2">
        <v>49513</v>
      </c>
      <c r="K2691" s="2"/>
      <c r="L2691" s="2">
        <v>46931</v>
      </c>
      <c r="M2691" s="2"/>
      <c r="N2691" s="2">
        <v>49768</v>
      </c>
      <c r="P2691" s="2">
        <v>47093</v>
      </c>
      <c r="Q2691" s="2"/>
      <c r="R2691" s="2">
        <v>49601</v>
      </c>
      <c r="AB2691" s="2"/>
    </row>
    <row r="2692" spans="8:28" ht="15" customHeight="1">
      <c r="H2692" s="2">
        <v>47184</v>
      </c>
      <c r="I2692" s="2"/>
      <c r="J2692" s="2">
        <v>49514</v>
      </c>
      <c r="K2692" s="2"/>
      <c r="L2692" s="2">
        <v>46930</v>
      </c>
      <c r="M2692" s="2"/>
      <c r="N2692" s="2">
        <v>49769</v>
      </c>
      <c r="P2692" s="2">
        <v>47092</v>
      </c>
      <c r="Q2692" s="2"/>
      <c r="R2692" s="2">
        <v>49604</v>
      </c>
      <c r="AB2692" s="2"/>
    </row>
    <row r="2693" spans="8:28" ht="15" customHeight="1">
      <c r="H2693" s="2">
        <v>47183</v>
      </c>
      <c r="I2693" s="2"/>
      <c r="J2693" s="2">
        <v>49515</v>
      </c>
      <c r="K2693" s="2"/>
      <c r="L2693" s="2">
        <v>46927</v>
      </c>
      <c r="M2693" s="2"/>
      <c r="N2693" s="2">
        <v>49772</v>
      </c>
      <c r="P2693" s="2">
        <v>47091</v>
      </c>
      <c r="Q2693" s="2"/>
      <c r="R2693" s="2">
        <v>49605</v>
      </c>
      <c r="AB2693" s="2"/>
    </row>
    <row r="2694" spans="8:28" ht="15" customHeight="1">
      <c r="H2694" s="2">
        <v>47182</v>
      </c>
      <c r="I2694" s="2"/>
      <c r="J2694" s="2">
        <v>49516</v>
      </c>
      <c r="K2694" s="2"/>
      <c r="L2694" s="2">
        <v>46926</v>
      </c>
      <c r="M2694" s="2"/>
      <c r="N2694" s="2">
        <v>49773</v>
      </c>
      <c r="P2694" s="2">
        <v>47088</v>
      </c>
      <c r="Q2694" s="2"/>
      <c r="R2694" s="2">
        <v>49606</v>
      </c>
      <c r="AB2694" s="2"/>
    </row>
    <row r="2695" spans="8:28" ht="15" customHeight="1">
      <c r="H2695" s="2">
        <v>47179</v>
      </c>
      <c r="I2695" s="2"/>
      <c r="J2695" s="2">
        <v>49517</v>
      </c>
      <c r="K2695" s="2"/>
      <c r="L2695" s="2">
        <v>46925</v>
      </c>
      <c r="M2695" s="2"/>
      <c r="N2695" s="2">
        <v>49774</v>
      </c>
      <c r="P2695" s="2">
        <v>47087</v>
      </c>
      <c r="Q2695" s="2"/>
      <c r="R2695" s="2">
        <v>49607</v>
      </c>
      <c r="AB2695" s="2"/>
    </row>
    <row r="2696" spans="8:28" ht="15" customHeight="1">
      <c r="H2696" s="2">
        <v>47178</v>
      </c>
      <c r="I2696" s="2"/>
      <c r="J2696" s="2">
        <v>49520</v>
      </c>
      <c r="K2696" s="2"/>
      <c r="L2696" s="2">
        <v>46924</v>
      </c>
      <c r="M2696" s="2"/>
      <c r="N2696" s="2">
        <v>49775</v>
      </c>
      <c r="P2696" s="2">
        <v>47086</v>
      </c>
      <c r="Q2696" s="2"/>
      <c r="R2696" s="2">
        <v>49608</v>
      </c>
      <c r="AB2696" s="2"/>
    </row>
    <row r="2697" spans="8:28" ht="15" customHeight="1">
      <c r="H2697" s="2">
        <v>47177</v>
      </c>
      <c r="I2697" s="2"/>
      <c r="J2697" s="2">
        <v>49521</v>
      </c>
      <c r="K2697" s="2"/>
      <c r="L2697" s="2">
        <v>46920</v>
      </c>
      <c r="M2697" s="2"/>
      <c r="N2697" s="2">
        <v>49779</v>
      </c>
      <c r="P2697" s="2">
        <v>47085</v>
      </c>
      <c r="Q2697" s="2"/>
      <c r="R2697" s="2">
        <v>49611</v>
      </c>
      <c r="AB2697" s="2"/>
    </row>
    <row r="2698" spans="8:28" ht="15" customHeight="1">
      <c r="H2698" s="2">
        <v>47176</v>
      </c>
      <c r="I2698" s="2"/>
      <c r="J2698" s="2">
        <v>49522</v>
      </c>
      <c r="K2698" s="2"/>
      <c r="L2698" s="2">
        <v>46919</v>
      </c>
      <c r="M2698" s="2"/>
      <c r="N2698" s="2">
        <v>49780</v>
      </c>
      <c r="P2698" s="2">
        <v>47084</v>
      </c>
      <c r="Q2698" s="2"/>
      <c r="R2698" s="2">
        <v>49612</v>
      </c>
      <c r="AB2698" s="2"/>
    </row>
    <row r="2699" spans="8:28" ht="15" customHeight="1">
      <c r="H2699" s="2">
        <v>47175</v>
      </c>
      <c r="I2699" s="2"/>
      <c r="J2699" s="2">
        <v>49523</v>
      </c>
      <c r="K2699" s="2"/>
      <c r="L2699" s="2">
        <v>46918</v>
      </c>
      <c r="M2699" s="2"/>
      <c r="N2699" s="2">
        <v>49781</v>
      </c>
      <c r="P2699" s="2">
        <v>47081</v>
      </c>
      <c r="Q2699" s="2"/>
      <c r="R2699" s="2">
        <v>49613</v>
      </c>
      <c r="AB2699" s="2"/>
    </row>
    <row r="2700" spans="8:28" ht="15" customHeight="1">
      <c r="H2700" s="2">
        <v>47172</v>
      </c>
      <c r="I2700" s="2"/>
      <c r="J2700" s="2">
        <v>49524</v>
      </c>
      <c r="K2700" s="2"/>
      <c r="L2700" s="2">
        <v>46917</v>
      </c>
      <c r="M2700" s="2"/>
      <c r="N2700" s="2">
        <v>49782</v>
      </c>
      <c r="P2700" s="2">
        <v>47080</v>
      </c>
      <c r="Q2700" s="2"/>
      <c r="R2700" s="2">
        <v>49614</v>
      </c>
      <c r="AB2700" s="2"/>
    </row>
    <row r="2701" spans="8:28" ht="15" customHeight="1">
      <c r="H2701" s="2">
        <v>47171</v>
      </c>
      <c r="I2701" s="2"/>
      <c r="J2701" s="2">
        <v>49527</v>
      </c>
      <c r="K2701" s="2"/>
      <c r="L2701" s="2">
        <v>46916</v>
      </c>
      <c r="M2701" s="2"/>
      <c r="N2701" s="2">
        <v>49783</v>
      </c>
      <c r="P2701" s="2">
        <v>47079</v>
      </c>
      <c r="Q2701" s="2"/>
      <c r="R2701" s="2">
        <v>49615</v>
      </c>
      <c r="AB2701" s="2"/>
    </row>
    <row r="2702" spans="8:28" ht="15" customHeight="1">
      <c r="H2702" s="2">
        <v>47170</v>
      </c>
      <c r="I2702" s="2"/>
      <c r="J2702" s="2">
        <v>49528</v>
      </c>
      <c r="K2702" s="2"/>
      <c r="L2702" s="2">
        <v>46913</v>
      </c>
      <c r="M2702" s="2"/>
      <c r="N2702" s="2">
        <v>49786</v>
      </c>
      <c r="P2702" s="2">
        <v>47078</v>
      </c>
      <c r="Q2702" s="2"/>
      <c r="R2702" s="2">
        <v>49618</v>
      </c>
      <c r="AB2702" s="2"/>
    </row>
    <row r="2703" spans="8:28" ht="15" customHeight="1">
      <c r="H2703" s="2">
        <v>47169</v>
      </c>
      <c r="I2703" s="2"/>
      <c r="J2703" s="2">
        <v>49529</v>
      </c>
      <c r="K2703" s="2"/>
      <c r="L2703" s="2">
        <v>46912</v>
      </c>
      <c r="M2703" s="2"/>
      <c r="N2703" s="2">
        <v>49787</v>
      </c>
      <c r="P2703" s="2">
        <v>47077</v>
      </c>
      <c r="Q2703" s="2"/>
      <c r="R2703" s="2">
        <v>49619</v>
      </c>
      <c r="AB2703" s="2"/>
    </row>
    <row r="2704" spans="8:28" ht="15" customHeight="1">
      <c r="H2704" s="2">
        <v>47165</v>
      </c>
      <c r="I2704" s="2"/>
      <c r="J2704" s="2">
        <v>49530</v>
      </c>
      <c r="K2704" s="2"/>
      <c r="L2704" s="2">
        <v>46911</v>
      </c>
      <c r="M2704" s="2"/>
      <c r="N2704" s="2">
        <v>49788</v>
      </c>
      <c r="P2704" s="2">
        <v>47074</v>
      </c>
      <c r="Q2704" s="2"/>
      <c r="R2704" s="2">
        <v>49620</v>
      </c>
      <c r="AB2704" s="2"/>
    </row>
    <row r="2705" spans="8:28" ht="15" customHeight="1">
      <c r="H2705" s="2">
        <v>47164</v>
      </c>
      <c r="I2705" s="2"/>
      <c r="J2705" s="2">
        <v>49531</v>
      </c>
      <c r="K2705" s="2"/>
      <c r="L2705" s="2">
        <v>46910</v>
      </c>
      <c r="M2705" s="2"/>
      <c r="N2705" s="2">
        <v>49789</v>
      </c>
      <c r="P2705" s="2">
        <v>47073</v>
      </c>
      <c r="Q2705" s="2"/>
      <c r="R2705" s="2">
        <v>49621</v>
      </c>
      <c r="AB2705" s="2"/>
    </row>
    <row r="2706" spans="8:28" ht="15" customHeight="1">
      <c r="H2706" s="2">
        <v>47163</v>
      </c>
      <c r="I2706" s="2"/>
      <c r="J2706" s="2">
        <v>49534</v>
      </c>
      <c r="K2706" s="2"/>
      <c r="L2706" s="2">
        <v>46909</v>
      </c>
      <c r="M2706" s="2"/>
      <c r="N2706" s="2">
        <v>49790</v>
      </c>
      <c r="P2706" s="2">
        <v>47072</v>
      </c>
      <c r="Q2706" s="2"/>
      <c r="R2706" s="2">
        <v>49622</v>
      </c>
      <c r="AB2706" s="2"/>
    </row>
    <row r="2707" spans="8:28" ht="15" customHeight="1">
      <c r="H2707" s="2">
        <v>47162</v>
      </c>
      <c r="I2707" s="2"/>
      <c r="J2707" s="2">
        <v>49535</v>
      </c>
      <c r="K2707" s="2"/>
      <c r="L2707" s="2">
        <v>46906</v>
      </c>
      <c r="M2707" s="2"/>
      <c r="N2707" s="2">
        <v>49793</v>
      </c>
      <c r="P2707" s="2">
        <v>47071</v>
      </c>
      <c r="Q2707" s="2"/>
      <c r="R2707" s="2">
        <v>49625</v>
      </c>
      <c r="AB2707" s="2"/>
    </row>
    <row r="2708" spans="8:28" ht="15" customHeight="1">
      <c r="H2708" s="2">
        <v>47161</v>
      </c>
      <c r="I2708" s="2"/>
      <c r="J2708" s="2">
        <v>49536</v>
      </c>
      <c r="K2708" s="2"/>
      <c r="L2708" s="2">
        <v>46905</v>
      </c>
      <c r="M2708" s="2"/>
      <c r="N2708" s="2">
        <v>49795</v>
      </c>
      <c r="P2708" s="2">
        <v>47070</v>
      </c>
      <c r="Q2708" s="2"/>
      <c r="R2708" s="2">
        <v>49626</v>
      </c>
      <c r="AB2708" s="2"/>
    </row>
    <row r="2709" spans="8:28" ht="15" customHeight="1">
      <c r="H2709" s="2">
        <v>47158</v>
      </c>
      <c r="I2709" s="2"/>
      <c r="J2709" s="2">
        <v>49537</v>
      </c>
      <c r="K2709" s="2"/>
      <c r="L2709" s="2">
        <v>46904</v>
      </c>
      <c r="M2709" s="2"/>
      <c r="N2709" s="2">
        <v>49796</v>
      </c>
      <c r="P2709" s="2">
        <v>47067</v>
      </c>
      <c r="Q2709" s="2"/>
      <c r="R2709" s="2">
        <v>49627</v>
      </c>
      <c r="AB2709" s="2"/>
    </row>
    <row r="2710" spans="8:28" ht="15" customHeight="1">
      <c r="H2710" s="2">
        <v>47157</v>
      </c>
      <c r="I2710" s="2"/>
      <c r="J2710" s="2">
        <v>49538</v>
      </c>
      <c r="K2710" s="2"/>
      <c r="L2710" s="2">
        <v>46903</v>
      </c>
      <c r="M2710" s="2"/>
      <c r="N2710" s="2">
        <v>49797</v>
      </c>
      <c r="P2710" s="2">
        <v>47066</v>
      </c>
      <c r="Q2710" s="2"/>
      <c r="R2710" s="2">
        <v>49628</v>
      </c>
      <c r="AB2710" s="2"/>
    </row>
    <row r="2711" spans="8:28" ht="15" customHeight="1">
      <c r="H2711" s="2">
        <v>47156</v>
      </c>
      <c r="I2711" s="2"/>
      <c r="J2711" s="2">
        <v>49541</v>
      </c>
      <c r="K2711" s="2"/>
      <c r="L2711" s="2">
        <v>46899</v>
      </c>
      <c r="M2711" s="2"/>
      <c r="N2711" s="2">
        <v>49802</v>
      </c>
      <c r="P2711" s="2">
        <v>47065</v>
      </c>
      <c r="Q2711" s="2"/>
      <c r="R2711" s="2">
        <v>49629</v>
      </c>
      <c r="AB2711" s="2"/>
    </row>
    <row r="2712" spans="8:28" ht="15" customHeight="1">
      <c r="H2712" s="2">
        <v>47155</v>
      </c>
      <c r="I2712" s="2"/>
      <c r="J2712" s="2">
        <v>49542</v>
      </c>
      <c r="K2712" s="2"/>
      <c r="L2712" s="2">
        <v>46898</v>
      </c>
      <c r="M2712" s="2"/>
      <c r="N2712" s="2">
        <v>49803</v>
      </c>
      <c r="P2712" s="2">
        <v>47064</v>
      </c>
      <c r="Q2712" s="2"/>
      <c r="R2712" s="2">
        <v>49632</v>
      </c>
      <c r="AB2712" s="2"/>
    </row>
    <row r="2713" spans="8:28" ht="15" customHeight="1">
      <c r="H2713" s="2">
        <v>47154</v>
      </c>
      <c r="I2713" s="2"/>
      <c r="J2713" s="2">
        <v>49543</v>
      </c>
      <c r="K2713" s="2"/>
      <c r="L2713" s="2">
        <v>46897</v>
      </c>
      <c r="M2713" s="2"/>
      <c r="N2713" s="2">
        <v>49804</v>
      </c>
      <c r="P2713" s="2">
        <v>47063</v>
      </c>
      <c r="Q2713" s="2"/>
      <c r="R2713" s="2">
        <v>49633</v>
      </c>
      <c r="AB2713" s="2"/>
    </row>
    <row r="2714" spans="8:28" ht="15" customHeight="1">
      <c r="H2714" s="2">
        <v>47151</v>
      </c>
      <c r="I2714" s="2"/>
      <c r="J2714" s="2">
        <v>49544</v>
      </c>
      <c r="K2714" s="2"/>
      <c r="L2714" s="2">
        <v>46896</v>
      </c>
      <c r="M2714" s="2"/>
      <c r="N2714" s="2">
        <v>49807</v>
      </c>
      <c r="P2714" s="2">
        <v>47060</v>
      </c>
      <c r="Q2714" s="2"/>
      <c r="R2714" s="2">
        <v>49634</v>
      </c>
      <c r="AB2714" s="2"/>
    </row>
    <row r="2715" spans="8:28" ht="15" customHeight="1">
      <c r="H2715" s="2">
        <v>47150</v>
      </c>
      <c r="I2715" s="2"/>
      <c r="J2715" s="2">
        <v>49545</v>
      </c>
      <c r="K2715" s="2"/>
      <c r="L2715" s="2">
        <v>46895</v>
      </c>
      <c r="M2715" s="2"/>
      <c r="N2715" s="2">
        <v>49808</v>
      </c>
      <c r="P2715" s="2">
        <v>47059</v>
      </c>
      <c r="Q2715" s="2"/>
      <c r="R2715" s="2">
        <v>49635</v>
      </c>
      <c r="AB2715" s="2"/>
    </row>
    <row r="2716" spans="8:28" ht="15" customHeight="1">
      <c r="H2716" s="2">
        <v>47149</v>
      </c>
      <c r="I2716" s="2"/>
      <c r="J2716" s="2">
        <v>49548</v>
      </c>
      <c r="K2716" s="2"/>
      <c r="L2716" s="2">
        <v>46892</v>
      </c>
      <c r="M2716" s="2"/>
      <c r="N2716" s="2">
        <v>49809</v>
      </c>
      <c r="P2716" s="2">
        <v>47058</v>
      </c>
      <c r="Q2716" s="2"/>
      <c r="R2716" s="2">
        <v>49636</v>
      </c>
      <c r="AB2716" s="2"/>
    </row>
    <row r="2717" spans="8:28" ht="15" customHeight="1">
      <c r="H2717" s="2">
        <v>47148</v>
      </c>
      <c r="I2717" s="2"/>
      <c r="J2717" s="2">
        <v>49549</v>
      </c>
      <c r="K2717" s="2"/>
      <c r="L2717" s="2">
        <v>46891</v>
      </c>
      <c r="M2717" s="2"/>
      <c r="N2717" s="2">
        <v>49810</v>
      </c>
      <c r="P2717" s="2">
        <v>47057</v>
      </c>
      <c r="Q2717" s="2"/>
      <c r="R2717" s="2">
        <v>49639</v>
      </c>
      <c r="AB2717" s="2"/>
    </row>
    <row r="2718" spans="8:28" ht="15" customHeight="1">
      <c r="H2718" s="2">
        <v>47147</v>
      </c>
      <c r="I2718" s="2"/>
      <c r="J2718" s="2">
        <v>49550</v>
      </c>
      <c r="K2718" s="2"/>
      <c r="L2718" s="2">
        <v>46890</v>
      </c>
      <c r="M2718" s="2"/>
      <c r="N2718" s="2">
        <v>49811</v>
      </c>
      <c r="P2718" s="2">
        <v>47056</v>
      </c>
      <c r="Q2718" s="2"/>
      <c r="R2718" s="2">
        <v>49640</v>
      </c>
      <c r="AB2718" s="2"/>
    </row>
    <row r="2719" spans="8:28" ht="15" customHeight="1">
      <c r="H2719" s="2">
        <v>47144</v>
      </c>
      <c r="I2719" s="2"/>
      <c r="J2719" s="2">
        <v>49551</v>
      </c>
      <c r="K2719" s="2"/>
      <c r="L2719" s="2">
        <v>46889</v>
      </c>
      <c r="M2719" s="2"/>
      <c r="N2719" s="2">
        <v>49814</v>
      </c>
      <c r="P2719" s="2">
        <v>47053</v>
      </c>
      <c r="Q2719" s="2"/>
      <c r="R2719" s="2">
        <v>49641</v>
      </c>
      <c r="AB2719" s="2"/>
    </row>
    <row r="2720" spans="8:28" ht="15" customHeight="1">
      <c r="H2720" s="2">
        <v>47143</v>
      </c>
      <c r="I2720" s="2"/>
      <c r="J2720" s="2">
        <v>49552</v>
      </c>
      <c r="K2720" s="2"/>
      <c r="L2720" s="2">
        <v>46888</v>
      </c>
      <c r="M2720" s="2"/>
      <c r="N2720" s="2">
        <v>49815</v>
      </c>
      <c r="P2720" s="2">
        <v>47052</v>
      </c>
      <c r="Q2720" s="2"/>
      <c r="R2720" s="2">
        <v>49642</v>
      </c>
      <c r="AB2720" s="2"/>
    </row>
    <row r="2721" spans="8:28" ht="15" customHeight="1">
      <c r="H2721" s="2">
        <v>47142</v>
      </c>
      <c r="I2721" s="2"/>
      <c r="J2721" s="2">
        <v>49556</v>
      </c>
      <c r="K2721" s="2"/>
      <c r="L2721" s="2">
        <v>46885</v>
      </c>
      <c r="M2721" s="2"/>
      <c r="N2721" s="2">
        <v>49816</v>
      </c>
      <c r="P2721" s="2">
        <v>47051</v>
      </c>
      <c r="Q2721" s="2"/>
      <c r="R2721" s="2">
        <v>49643</v>
      </c>
      <c r="AB2721" s="2"/>
    </row>
    <row r="2722" spans="8:28" ht="15" customHeight="1">
      <c r="H2722" s="2">
        <v>47141</v>
      </c>
      <c r="I2722" s="2"/>
      <c r="J2722" s="2">
        <v>49557</v>
      </c>
      <c r="K2722" s="2"/>
      <c r="L2722" s="2">
        <v>46884</v>
      </c>
      <c r="M2722" s="2"/>
      <c r="N2722" s="2">
        <v>49817</v>
      </c>
      <c r="P2722" s="2">
        <v>47050</v>
      </c>
      <c r="Q2722" s="2"/>
      <c r="R2722" s="2">
        <v>49646</v>
      </c>
      <c r="AB2722" s="2"/>
    </row>
    <row r="2723" spans="8:28" ht="15" customHeight="1">
      <c r="H2723" s="2">
        <v>47140</v>
      </c>
      <c r="I2723" s="2"/>
      <c r="J2723" s="2">
        <v>49558</v>
      </c>
      <c r="K2723" s="2"/>
      <c r="L2723" s="2">
        <v>46883</v>
      </c>
      <c r="M2723" s="2"/>
      <c r="N2723" s="2">
        <v>49818</v>
      </c>
      <c r="P2723" s="2">
        <v>47049</v>
      </c>
      <c r="Q2723" s="2"/>
      <c r="R2723" s="2">
        <v>49647</v>
      </c>
      <c r="AB2723" s="2"/>
    </row>
    <row r="2724" spans="8:28" ht="15" customHeight="1">
      <c r="H2724" s="2">
        <v>47137</v>
      </c>
      <c r="I2724" s="2"/>
      <c r="J2724" s="2">
        <v>49559</v>
      </c>
      <c r="K2724" s="2"/>
      <c r="L2724" s="2">
        <v>46882</v>
      </c>
      <c r="M2724" s="2"/>
      <c r="N2724" s="2">
        <v>49822</v>
      </c>
      <c r="P2724" s="2">
        <v>47046</v>
      </c>
      <c r="Q2724" s="2"/>
      <c r="R2724" s="2">
        <v>49648</v>
      </c>
      <c r="AB2724" s="2"/>
    </row>
    <row r="2725" spans="8:28" ht="15" customHeight="1">
      <c r="H2725" s="2">
        <v>47136</v>
      </c>
      <c r="I2725" s="2"/>
      <c r="J2725" s="2">
        <v>49562</v>
      </c>
      <c r="K2725" s="2"/>
      <c r="L2725" s="2">
        <v>46881</v>
      </c>
      <c r="M2725" s="2"/>
      <c r="N2725" s="2">
        <v>49823</v>
      </c>
      <c r="P2725" s="2">
        <v>47045</v>
      </c>
      <c r="Q2725" s="2"/>
      <c r="R2725" s="2">
        <v>49649</v>
      </c>
      <c r="AB2725" s="2"/>
    </row>
    <row r="2726" spans="8:28" ht="15" customHeight="1">
      <c r="H2726" s="2">
        <v>47135</v>
      </c>
      <c r="I2726" s="2"/>
      <c r="J2726" s="2">
        <v>49563</v>
      </c>
      <c r="K2726" s="2"/>
      <c r="L2726" s="2">
        <v>46875</v>
      </c>
      <c r="M2726" s="2"/>
      <c r="N2726" s="2">
        <v>49824</v>
      </c>
      <c r="P2726" s="2">
        <v>47044</v>
      </c>
      <c r="Q2726" s="2"/>
      <c r="R2726" s="2">
        <v>49650</v>
      </c>
      <c r="AB2726" s="2"/>
    </row>
    <row r="2727" spans="8:28" ht="15" customHeight="1">
      <c r="H2727" s="2">
        <v>47134</v>
      </c>
      <c r="I2727" s="2"/>
      <c r="J2727" s="2">
        <v>49564</v>
      </c>
      <c r="K2727" s="2"/>
      <c r="L2727" s="2">
        <v>46874</v>
      </c>
      <c r="M2727" s="2"/>
      <c r="N2727" s="2">
        <v>49825</v>
      </c>
      <c r="P2727" s="2">
        <v>47043</v>
      </c>
      <c r="Q2727" s="2"/>
      <c r="R2727" s="2">
        <v>49653</v>
      </c>
      <c r="AB2727" s="2"/>
    </row>
    <row r="2728" spans="8:28" ht="15" customHeight="1">
      <c r="H2728" s="2">
        <v>47130</v>
      </c>
      <c r="I2728" s="2"/>
      <c r="J2728" s="2">
        <v>49565</v>
      </c>
      <c r="K2728" s="2"/>
      <c r="L2728" s="2">
        <v>46871</v>
      </c>
      <c r="M2728" s="2"/>
      <c r="N2728" s="2">
        <v>49828</v>
      </c>
      <c r="P2728" s="2">
        <v>47042</v>
      </c>
      <c r="Q2728" s="2"/>
      <c r="R2728" s="2">
        <v>49654</v>
      </c>
      <c r="AB2728" s="2"/>
    </row>
    <row r="2729" spans="8:28" ht="15" customHeight="1">
      <c r="H2729" s="2">
        <v>47129</v>
      </c>
      <c r="I2729" s="2"/>
      <c r="J2729" s="2">
        <v>49566</v>
      </c>
      <c r="K2729" s="2"/>
      <c r="L2729" s="2">
        <v>46870</v>
      </c>
      <c r="M2729" s="2"/>
      <c r="N2729" s="2">
        <v>49829</v>
      </c>
      <c r="P2729" s="2">
        <v>47039</v>
      </c>
      <c r="Q2729" s="2"/>
      <c r="R2729" s="2">
        <v>49655</v>
      </c>
      <c r="AB2729" s="2"/>
    </row>
    <row r="2730" spans="8:28" ht="15" customHeight="1">
      <c r="H2730" s="2">
        <v>47128</v>
      </c>
      <c r="I2730" s="2"/>
      <c r="J2730" s="2">
        <v>49569</v>
      </c>
      <c r="K2730" s="2"/>
      <c r="L2730" s="2">
        <v>46869</v>
      </c>
      <c r="M2730" s="2"/>
      <c r="N2730" s="2">
        <v>49830</v>
      </c>
      <c r="P2730" s="2">
        <v>47038</v>
      </c>
      <c r="Q2730" s="2"/>
      <c r="R2730" s="2">
        <v>49656</v>
      </c>
      <c r="AB2730" s="2"/>
    </row>
    <row r="2731" spans="8:28" ht="15" customHeight="1">
      <c r="H2731" s="2">
        <v>47127</v>
      </c>
      <c r="I2731" s="2"/>
      <c r="J2731" s="2">
        <v>49570</v>
      </c>
      <c r="K2731" s="2"/>
      <c r="L2731" s="2">
        <v>46868</v>
      </c>
      <c r="M2731" s="2"/>
      <c r="N2731" s="2">
        <v>49831</v>
      </c>
      <c r="P2731" s="2">
        <v>47037</v>
      </c>
      <c r="Q2731" s="2"/>
      <c r="R2731" s="2">
        <v>49657</v>
      </c>
      <c r="AB2731" s="2"/>
    </row>
    <row r="2732" spans="8:28" ht="15" customHeight="1">
      <c r="H2732" s="2">
        <v>47126</v>
      </c>
      <c r="I2732" s="2"/>
      <c r="J2732" s="2">
        <v>49571</v>
      </c>
      <c r="K2732" s="2"/>
      <c r="L2732" s="2">
        <v>46867</v>
      </c>
      <c r="M2732" s="2"/>
      <c r="N2732" s="2">
        <v>49832</v>
      </c>
      <c r="P2732" s="2">
        <v>47036</v>
      </c>
      <c r="Q2732" s="2"/>
      <c r="R2732" s="2">
        <v>49660</v>
      </c>
      <c r="AB2732" s="2"/>
    </row>
    <row r="2733" spans="8:28" ht="15" customHeight="1">
      <c r="H2733" s="2">
        <v>47123</v>
      </c>
      <c r="I2733" s="2"/>
      <c r="J2733" s="2">
        <v>49572</v>
      </c>
      <c r="K2733" s="2"/>
      <c r="L2733" s="2">
        <v>46864</v>
      </c>
      <c r="M2733" s="2"/>
      <c r="N2733" s="2">
        <v>49835</v>
      </c>
      <c r="P2733" s="2">
        <v>47032</v>
      </c>
      <c r="Q2733" s="2"/>
      <c r="R2733" s="2">
        <v>49661</v>
      </c>
      <c r="AB2733" s="2"/>
    </row>
    <row r="2734" spans="8:28" ht="15" customHeight="1">
      <c r="H2734" s="2">
        <v>47122</v>
      </c>
      <c r="I2734" s="2"/>
      <c r="J2734" s="2">
        <v>49573</v>
      </c>
      <c r="K2734" s="2"/>
      <c r="L2734" s="2">
        <v>46863</v>
      </c>
      <c r="M2734" s="2"/>
      <c r="N2734" s="2">
        <v>49836</v>
      </c>
      <c r="P2734" s="2">
        <v>47025</v>
      </c>
      <c r="Q2734" s="2"/>
      <c r="R2734" s="2">
        <v>49662</v>
      </c>
      <c r="AB2734" s="2"/>
    </row>
    <row r="2735" spans="8:28" ht="15" customHeight="1">
      <c r="H2735" s="2">
        <v>47121</v>
      </c>
      <c r="I2735" s="2"/>
      <c r="J2735" s="2">
        <v>49576</v>
      </c>
      <c r="K2735" s="2"/>
      <c r="L2735" s="2">
        <v>46862</v>
      </c>
      <c r="M2735" s="2"/>
      <c r="N2735" s="2">
        <v>49837</v>
      </c>
      <c r="P2735" s="2">
        <v>47024</v>
      </c>
      <c r="Q2735" s="2"/>
      <c r="R2735" s="2">
        <v>49663</v>
      </c>
      <c r="AB2735" s="2"/>
    </row>
    <row r="2736" spans="8:28" ht="15" customHeight="1">
      <c r="H2736" s="2">
        <v>47120</v>
      </c>
      <c r="I2736" s="2"/>
      <c r="J2736" s="2">
        <v>49577</v>
      </c>
      <c r="K2736" s="2"/>
      <c r="L2736" s="2">
        <v>46861</v>
      </c>
      <c r="M2736" s="2"/>
      <c r="N2736" s="2">
        <v>49838</v>
      </c>
      <c r="P2736" s="2">
        <v>47023</v>
      </c>
      <c r="Q2736" s="2"/>
      <c r="R2736" s="2">
        <v>49664</v>
      </c>
      <c r="AB2736" s="2"/>
    </row>
    <row r="2737" spans="8:28" ht="15" customHeight="1">
      <c r="H2737" s="2">
        <v>47116</v>
      </c>
      <c r="I2737" s="2"/>
      <c r="J2737" s="2">
        <v>49578</v>
      </c>
      <c r="K2737" s="2"/>
      <c r="L2737" s="2">
        <v>46860</v>
      </c>
      <c r="M2737" s="2"/>
      <c r="N2737" s="2">
        <v>49839</v>
      </c>
      <c r="P2737" s="2">
        <v>47022</v>
      </c>
      <c r="Q2737" s="2"/>
      <c r="R2737" s="2">
        <v>49667</v>
      </c>
      <c r="AB2737" s="2"/>
    </row>
    <row r="2738" spans="8:28" ht="15" customHeight="1">
      <c r="H2738" s="2">
        <v>47115</v>
      </c>
      <c r="I2738" s="2"/>
      <c r="J2738" s="2">
        <v>49579</v>
      </c>
      <c r="K2738" s="2"/>
      <c r="L2738" s="2">
        <v>46856</v>
      </c>
      <c r="M2738" s="2"/>
      <c r="N2738" s="2">
        <v>49842</v>
      </c>
      <c r="P2738" s="2">
        <v>47021</v>
      </c>
      <c r="Q2738" s="2"/>
      <c r="R2738" s="2">
        <v>49669</v>
      </c>
      <c r="AB2738" s="2"/>
    </row>
    <row r="2739" spans="8:28" ht="15" customHeight="1">
      <c r="H2739" s="2">
        <v>47114</v>
      </c>
      <c r="I2739" s="2"/>
      <c r="J2739" s="2">
        <v>49580</v>
      </c>
      <c r="K2739" s="2"/>
      <c r="L2739" s="2">
        <v>46855</v>
      </c>
      <c r="M2739" s="2"/>
      <c r="N2739" s="2">
        <v>49843</v>
      </c>
      <c r="P2739" s="2">
        <v>47018</v>
      </c>
      <c r="Q2739" s="2"/>
      <c r="R2739" s="2">
        <v>49670</v>
      </c>
      <c r="AB2739" s="2"/>
    </row>
    <row r="2740" spans="8:28" ht="15" customHeight="1">
      <c r="H2740" s="2">
        <v>47113</v>
      </c>
      <c r="I2740" s="2"/>
      <c r="J2740" s="2">
        <v>49583</v>
      </c>
      <c r="K2740" s="2"/>
      <c r="L2740" s="2">
        <v>46854</v>
      </c>
      <c r="M2740" s="2"/>
      <c r="N2740" s="2">
        <v>49844</v>
      </c>
      <c r="P2740" s="2">
        <v>47017</v>
      </c>
      <c r="Q2740" s="2"/>
      <c r="R2740" s="2">
        <v>49671</v>
      </c>
      <c r="AB2740" s="2"/>
    </row>
    <row r="2741" spans="8:28" ht="15" customHeight="1">
      <c r="H2741" s="2">
        <v>47109</v>
      </c>
      <c r="I2741" s="2"/>
      <c r="J2741" s="2">
        <v>49584</v>
      </c>
      <c r="K2741" s="2"/>
      <c r="L2741" s="2">
        <v>46853</v>
      </c>
      <c r="M2741" s="2"/>
      <c r="N2741" s="2">
        <v>49846</v>
      </c>
      <c r="P2741" s="2">
        <v>47016</v>
      </c>
      <c r="Q2741" s="2"/>
      <c r="R2741" s="2">
        <v>49676</v>
      </c>
      <c r="AB2741" s="2"/>
    </row>
    <row r="2742" spans="8:28" ht="15" customHeight="1">
      <c r="H2742" s="2">
        <v>47108</v>
      </c>
      <c r="I2742" s="2"/>
      <c r="J2742" s="2">
        <v>49585</v>
      </c>
      <c r="K2742" s="2"/>
      <c r="L2742" s="2">
        <v>46850</v>
      </c>
      <c r="M2742" s="2"/>
      <c r="N2742" s="2">
        <v>49849</v>
      </c>
      <c r="P2742" s="2">
        <v>47015</v>
      </c>
      <c r="Q2742" s="2"/>
      <c r="R2742" s="2">
        <v>49677</v>
      </c>
      <c r="AB2742" s="2"/>
    </row>
    <row r="2743" spans="8:28" ht="15" customHeight="1">
      <c r="H2743" s="2">
        <v>47107</v>
      </c>
      <c r="I2743" s="2"/>
      <c r="J2743" s="2">
        <v>49586</v>
      </c>
      <c r="K2743" s="2"/>
      <c r="L2743" s="2">
        <v>46849</v>
      </c>
      <c r="M2743" s="2"/>
      <c r="N2743" s="2">
        <v>49850</v>
      </c>
      <c r="P2743" s="2">
        <v>47014</v>
      </c>
      <c r="Q2743" s="2"/>
      <c r="R2743" s="2">
        <v>49678</v>
      </c>
      <c r="AB2743" s="2"/>
    </row>
    <row r="2744" spans="8:28" ht="15" customHeight="1">
      <c r="H2744" s="2">
        <v>47106</v>
      </c>
      <c r="I2744" s="2"/>
      <c r="J2744" s="2">
        <v>49587</v>
      </c>
      <c r="K2744" s="2"/>
      <c r="L2744" s="2">
        <v>46848</v>
      </c>
      <c r="M2744" s="2"/>
      <c r="N2744" s="2">
        <v>49851</v>
      </c>
      <c r="P2744" s="2">
        <v>47011</v>
      </c>
      <c r="Q2744" s="2"/>
      <c r="R2744" s="2">
        <v>49681</v>
      </c>
      <c r="AB2744" s="2"/>
    </row>
    <row r="2745" spans="8:28" ht="15" customHeight="1">
      <c r="H2745" s="2">
        <v>47105</v>
      </c>
      <c r="I2745" s="2"/>
      <c r="J2745" s="2">
        <v>49590</v>
      </c>
      <c r="K2745" s="2"/>
      <c r="L2745" s="2">
        <v>46847</v>
      </c>
      <c r="M2745" s="2"/>
      <c r="N2745" s="2">
        <v>49852</v>
      </c>
      <c r="P2745" s="2">
        <v>47010</v>
      </c>
      <c r="Q2745" s="2"/>
      <c r="R2745" s="2">
        <v>49682</v>
      </c>
      <c r="AB2745" s="2"/>
    </row>
    <row r="2746" spans="8:28" ht="15" customHeight="1">
      <c r="H2746" s="2">
        <v>47102</v>
      </c>
      <c r="I2746" s="2"/>
      <c r="J2746" s="2">
        <v>49591</v>
      </c>
      <c r="K2746" s="2"/>
      <c r="L2746" s="2">
        <v>46846</v>
      </c>
      <c r="M2746" s="2"/>
      <c r="N2746" s="2">
        <v>49853</v>
      </c>
      <c r="P2746" s="2">
        <v>47009</v>
      </c>
      <c r="Q2746" s="2"/>
      <c r="R2746" s="2">
        <v>49683</v>
      </c>
      <c r="AB2746" s="2"/>
    </row>
    <row r="2747" spans="8:28" ht="15" customHeight="1">
      <c r="H2747" s="2">
        <v>47101</v>
      </c>
      <c r="I2747" s="2"/>
      <c r="J2747" s="2">
        <v>49592</v>
      </c>
      <c r="K2747" s="2"/>
      <c r="L2747" s="2">
        <v>46843</v>
      </c>
      <c r="M2747" s="2"/>
      <c r="N2747" s="2">
        <v>49856</v>
      </c>
      <c r="P2747" s="2">
        <v>47008</v>
      </c>
      <c r="Q2747" s="2"/>
      <c r="R2747" s="2">
        <v>49684</v>
      </c>
      <c r="AB2747" s="2"/>
    </row>
    <row r="2748" spans="8:28" ht="15" customHeight="1">
      <c r="H2748" s="2">
        <v>47100</v>
      </c>
      <c r="I2748" s="2"/>
      <c r="J2748" s="2">
        <v>49593</v>
      </c>
      <c r="K2748" s="2"/>
      <c r="L2748" s="2">
        <v>46842</v>
      </c>
      <c r="M2748" s="2"/>
      <c r="N2748" s="2">
        <v>49857</v>
      </c>
      <c r="P2748" s="2">
        <v>47007</v>
      </c>
      <c r="Q2748" s="2"/>
      <c r="R2748" s="2">
        <v>49685</v>
      </c>
      <c r="AB2748" s="2"/>
    </row>
    <row r="2749" spans="8:28" ht="15" customHeight="1">
      <c r="H2749" s="2">
        <v>47099</v>
      </c>
      <c r="I2749" s="2"/>
      <c r="J2749" s="2">
        <v>49594</v>
      </c>
      <c r="K2749" s="2"/>
      <c r="L2749" s="2">
        <v>46841</v>
      </c>
      <c r="M2749" s="2"/>
      <c r="N2749" s="2">
        <v>49858</v>
      </c>
      <c r="P2749" s="2">
        <v>47004</v>
      </c>
      <c r="Q2749" s="2"/>
      <c r="R2749" s="2">
        <v>49688</v>
      </c>
      <c r="AB2749" s="2"/>
    </row>
    <row r="2750" spans="8:28" ht="15" customHeight="1">
      <c r="H2750" s="2">
        <v>47098</v>
      </c>
      <c r="I2750" s="2"/>
      <c r="J2750" s="2">
        <v>49597</v>
      </c>
      <c r="K2750" s="2"/>
      <c r="L2750" s="2">
        <v>46840</v>
      </c>
      <c r="M2750" s="2"/>
      <c r="N2750" s="2">
        <v>49859</v>
      </c>
      <c r="P2750" s="2">
        <v>47003</v>
      </c>
      <c r="Q2750" s="2"/>
      <c r="R2750" s="2">
        <v>49689</v>
      </c>
      <c r="AB2750" s="2"/>
    </row>
    <row r="2751" spans="8:28" ht="15" customHeight="1">
      <c r="H2751" s="2">
        <v>47095</v>
      </c>
      <c r="I2751" s="2"/>
      <c r="J2751" s="2">
        <v>49598</v>
      </c>
      <c r="K2751" s="2"/>
      <c r="L2751" s="2">
        <v>46839</v>
      </c>
      <c r="M2751" s="2"/>
      <c r="N2751" s="2">
        <v>49863</v>
      </c>
      <c r="P2751" s="2">
        <v>47002</v>
      </c>
      <c r="Q2751" s="2"/>
      <c r="R2751" s="2">
        <v>49690</v>
      </c>
      <c r="AB2751" s="2"/>
    </row>
    <row r="2752" spans="8:28" ht="15" customHeight="1">
      <c r="H2752" s="2">
        <v>47094</v>
      </c>
      <c r="I2752" s="2"/>
      <c r="J2752" s="2">
        <v>49599</v>
      </c>
      <c r="K2752" s="2"/>
      <c r="L2752" s="2">
        <v>46836</v>
      </c>
      <c r="M2752" s="2"/>
      <c r="N2752" s="2">
        <v>49864</v>
      </c>
      <c r="P2752" s="2">
        <v>47001</v>
      </c>
      <c r="Q2752" s="2"/>
      <c r="R2752" s="2">
        <v>49691</v>
      </c>
      <c r="AB2752" s="2"/>
    </row>
    <row r="2753" spans="8:28" ht="15" customHeight="1">
      <c r="H2753" s="2">
        <v>47093</v>
      </c>
      <c r="I2753" s="2"/>
      <c r="J2753" s="2">
        <v>49600</v>
      </c>
      <c r="K2753" s="2"/>
      <c r="L2753" s="2">
        <v>46835</v>
      </c>
      <c r="M2753" s="2"/>
      <c r="N2753" s="2">
        <v>49865</v>
      </c>
      <c r="P2753" s="2">
        <v>47000</v>
      </c>
      <c r="Q2753" s="2"/>
      <c r="R2753" s="2">
        <v>49692</v>
      </c>
      <c r="AB2753" s="2"/>
    </row>
    <row r="2754" spans="8:28" ht="15" customHeight="1">
      <c r="H2754" s="2">
        <v>47092</v>
      </c>
      <c r="I2754" s="2"/>
      <c r="J2754" s="2">
        <v>49601</v>
      </c>
      <c r="K2754" s="2"/>
      <c r="L2754" s="2">
        <v>46834</v>
      </c>
      <c r="M2754" s="2"/>
      <c r="N2754" s="2">
        <v>49866</v>
      </c>
      <c r="P2754" s="2">
        <v>46997</v>
      </c>
      <c r="Q2754" s="2"/>
      <c r="R2754" s="2">
        <v>49695</v>
      </c>
      <c r="AB2754" s="2"/>
    </row>
    <row r="2755" spans="8:28" ht="15" customHeight="1">
      <c r="H2755" s="2">
        <v>47091</v>
      </c>
      <c r="I2755" s="2"/>
      <c r="J2755" s="2">
        <v>49604</v>
      </c>
      <c r="K2755" s="2"/>
      <c r="L2755" s="2">
        <v>46833</v>
      </c>
      <c r="M2755" s="2"/>
      <c r="N2755" s="2">
        <v>49867</v>
      </c>
      <c r="P2755" s="2">
        <v>46996</v>
      </c>
      <c r="Q2755" s="2"/>
      <c r="R2755" s="2">
        <v>49696</v>
      </c>
      <c r="AB2755" s="2"/>
    </row>
    <row r="2756" spans="8:28" ht="15" customHeight="1">
      <c r="H2756" s="2">
        <v>47088</v>
      </c>
      <c r="I2756" s="2"/>
      <c r="J2756" s="2">
        <v>49605</v>
      </c>
      <c r="K2756" s="2"/>
      <c r="L2756" s="2">
        <v>46829</v>
      </c>
      <c r="M2756" s="2"/>
      <c r="N2756" s="2">
        <v>49870</v>
      </c>
      <c r="P2756" s="2">
        <v>46995</v>
      </c>
      <c r="Q2756" s="2"/>
      <c r="R2756" s="2">
        <v>49697</v>
      </c>
      <c r="AB2756" s="2"/>
    </row>
    <row r="2757" spans="8:28" ht="15" customHeight="1">
      <c r="H2757" s="2">
        <v>47087</v>
      </c>
      <c r="I2757" s="2"/>
      <c r="J2757" s="2">
        <v>49606</v>
      </c>
      <c r="K2757" s="2"/>
      <c r="L2757" s="2">
        <v>46828</v>
      </c>
      <c r="M2757" s="2"/>
      <c r="N2757" s="2">
        <v>49871</v>
      </c>
      <c r="P2757" s="2">
        <v>46994</v>
      </c>
      <c r="Q2757" s="2"/>
      <c r="R2757" s="2">
        <v>49698</v>
      </c>
      <c r="AB2757" s="2"/>
    </row>
    <row r="2758" spans="8:28" ht="15" customHeight="1">
      <c r="H2758" s="2">
        <v>47086</v>
      </c>
      <c r="I2758" s="2"/>
      <c r="J2758" s="2">
        <v>49607</v>
      </c>
      <c r="K2758" s="2"/>
      <c r="L2758" s="2">
        <v>46827</v>
      </c>
      <c r="M2758" s="2"/>
      <c r="N2758" s="2">
        <v>49872</v>
      </c>
      <c r="P2758" s="2">
        <v>46993</v>
      </c>
      <c r="Q2758" s="2"/>
      <c r="R2758" s="2">
        <v>49699</v>
      </c>
      <c r="AB2758" s="2"/>
    </row>
    <row r="2759" spans="8:28" ht="15" customHeight="1">
      <c r="H2759" s="2">
        <v>47085</v>
      </c>
      <c r="I2759" s="2"/>
      <c r="J2759" s="2">
        <v>49608</v>
      </c>
      <c r="K2759" s="2"/>
      <c r="L2759" s="2">
        <v>46826</v>
      </c>
      <c r="M2759" s="2"/>
      <c r="N2759" s="2">
        <v>49873</v>
      </c>
      <c r="P2759" s="2">
        <v>46990</v>
      </c>
      <c r="Q2759" s="2"/>
      <c r="R2759" s="2">
        <v>49705</v>
      </c>
      <c r="AB2759" s="2"/>
    </row>
    <row r="2760" spans="8:28" ht="15" customHeight="1">
      <c r="H2760" s="2">
        <v>47084</v>
      </c>
      <c r="I2760" s="2"/>
      <c r="J2760" s="2">
        <v>49611</v>
      </c>
      <c r="K2760" s="2"/>
      <c r="L2760" s="2">
        <v>46825</v>
      </c>
      <c r="M2760" s="2"/>
      <c r="N2760" s="2">
        <v>49874</v>
      </c>
      <c r="P2760" s="2">
        <v>46989</v>
      </c>
      <c r="Q2760" s="2"/>
      <c r="R2760" s="2">
        <v>49706</v>
      </c>
      <c r="AB2760" s="2"/>
    </row>
    <row r="2761" spans="8:28" ht="15" customHeight="1">
      <c r="H2761" s="2">
        <v>47081</v>
      </c>
      <c r="I2761" s="2"/>
      <c r="J2761" s="2">
        <v>49612</v>
      </c>
      <c r="K2761" s="2"/>
      <c r="L2761" s="2">
        <v>46822</v>
      </c>
      <c r="M2761" s="2"/>
      <c r="N2761" s="2">
        <v>49878</v>
      </c>
      <c r="P2761" s="2">
        <v>46988</v>
      </c>
      <c r="Q2761" s="2"/>
      <c r="R2761" s="2">
        <v>49709</v>
      </c>
      <c r="AB2761" s="2"/>
    </row>
    <row r="2762" spans="8:28" ht="15" customHeight="1">
      <c r="H2762" s="2">
        <v>47079</v>
      </c>
      <c r="I2762" s="2"/>
      <c r="J2762" s="2">
        <v>49613</v>
      </c>
      <c r="K2762" s="2"/>
      <c r="L2762" s="2">
        <v>46821</v>
      </c>
      <c r="M2762" s="2"/>
      <c r="N2762" s="2">
        <v>49879</v>
      </c>
      <c r="P2762" s="2">
        <v>46987</v>
      </c>
      <c r="Q2762" s="2"/>
      <c r="R2762" s="2">
        <v>49710</v>
      </c>
      <c r="AB2762" s="2"/>
    </row>
    <row r="2763" spans="8:28" ht="15" customHeight="1">
      <c r="H2763" s="2">
        <v>47078</v>
      </c>
      <c r="I2763" s="2"/>
      <c r="J2763" s="2">
        <v>49614</v>
      </c>
      <c r="K2763" s="2"/>
      <c r="L2763" s="2">
        <v>46820</v>
      </c>
      <c r="M2763" s="2"/>
      <c r="N2763" s="2">
        <v>49880</v>
      </c>
      <c r="P2763" s="2">
        <v>46986</v>
      </c>
      <c r="Q2763" s="2"/>
      <c r="R2763" s="2">
        <v>49711</v>
      </c>
      <c r="AB2763" s="2"/>
    </row>
    <row r="2764" spans="8:28" ht="15" customHeight="1">
      <c r="H2764" s="2">
        <v>47077</v>
      </c>
      <c r="I2764" s="2"/>
      <c r="J2764" s="2">
        <v>49615</v>
      </c>
      <c r="K2764" s="2"/>
      <c r="L2764" s="2">
        <v>46819</v>
      </c>
      <c r="M2764" s="2"/>
      <c r="N2764" s="2">
        <v>49881</v>
      </c>
      <c r="P2764" s="2">
        <v>46983</v>
      </c>
      <c r="Q2764" s="2"/>
      <c r="R2764" s="2">
        <v>49712</v>
      </c>
      <c r="AB2764" s="2"/>
    </row>
    <row r="2765" spans="8:28" ht="15" customHeight="1">
      <c r="H2765" s="2">
        <v>47074</v>
      </c>
      <c r="I2765" s="2"/>
      <c r="J2765" s="2">
        <v>49618</v>
      </c>
      <c r="K2765" s="2"/>
      <c r="L2765" s="2">
        <v>46818</v>
      </c>
      <c r="M2765" s="2"/>
      <c r="N2765" s="2">
        <v>49884</v>
      </c>
      <c r="P2765" s="2">
        <v>46982</v>
      </c>
      <c r="Q2765" s="2"/>
      <c r="R2765" s="2">
        <v>49713</v>
      </c>
      <c r="AB2765" s="2"/>
    </row>
    <row r="2766" spans="8:28" ht="15" customHeight="1">
      <c r="H2766" s="2">
        <v>47073</v>
      </c>
      <c r="I2766" s="2"/>
      <c r="J2766" s="2">
        <v>49619</v>
      </c>
      <c r="K2766" s="2"/>
      <c r="L2766" s="2">
        <v>46815</v>
      </c>
      <c r="M2766" s="2"/>
      <c r="N2766" s="2">
        <v>49885</v>
      </c>
      <c r="P2766" s="2">
        <v>46981</v>
      </c>
      <c r="Q2766" s="2"/>
      <c r="R2766" s="2">
        <v>49716</v>
      </c>
      <c r="AB2766" s="2"/>
    </row>
    <row r="2767" spans="8:28" ht="15" customHeight="1">
      <c r="H2767" s="2">
        <v>47072</v>
      </c>
      <c r="I2767" s="2"/>
      <c r="J2767" s="2">
        <v>49620</v>
      </c>
      <c r="K2767" s="2"/>
      <c r="L2767" s="2">
        <v>46814</v>
      </c>
      <c r="M2767" s="2"/>
      <c r="N2767" s="2">
        <v>49886</v>
      </c>
      <c r="P2767" s="2">
        <v>46979</v>
      </c>
      <c r="Q2767" s="2"/>
      <c r="R2767" s="2">
        <v>49717</v>
      </c>
      <c r="AB2767" s="2"/>
    </row>
    <row r="2768" spans="8:28" ht="15" customHeight="1">
      <c r="H2768" s="2">
        <v>47071</v>
      </c>
      <c r="I2768" s="2"/>
      <c r="J2768" s="2">
        <v>49621</v>
      </c>
      <c r="K2768" s="2"/>
      <c r="L2768" s="2">
        <v>46813</v>
      </c>
      <c r="M2768" s="2"/>
      <c r="N2768" s="2">
        <v>49887</v>
      </c>
      <c r="P2768" s="2">
        <v>46976</v>
      </c>
      <c r="Q2768" s="2"/>
      <c r="R2768" s="2">
        <v>49718</v>
      </c>
      <c r="AB2768" s="2"/>
    </row>
    <row r="2769" spans="8:28" ht="15" customHeight="1">
      <c r="H2769" s="2">
        <v>47070</v>
      </c>
      <c r="I2769" s="2"/>
      <c r="J2769" s="2">
        <v>49622</v>
      </c>
      <c r="K2769" s="2"/>
      <c r="L2769" s="2">
        <v>46812</v>
      </c>
      <c r="M2769" s="2"/>
      <c r="N2769" s="2">
        <v>49888</v>
      </c>
      <c r="P2769" s="2">
        <v>46975</v>
      </c>
      <c r="Q2769" s="2"/>
      <c r="R2769" s="2">
        <v>49719</v>
      </c>
      <c r="AB2769" s="2"/>
    </row>
    <row r="2770" spans="8:28" ht="15" customHeight="1">
      <c r="H2770" s="2">
        <v>47067</v>
      </c>
      <c r="I2770" s="2"/>
      <c r="J2770" s="2">
        <v>49625</v>
      </c>
      <c r="K2770" s="2"/>
      <c r="L2770" s="2">
        <v>46811</v>
      </c>
      <c r="M2770" s="2"/>
      <c r="N2770" s="2">
        <v>49891</v>
      </c>
      <c r="P2770" s="2">
        <v>46974</v>
      </c>
      <c r="Q2770" s="2"/>
      <c r="R2770" s="2">
        <v>49720</v>
      </c>
      <c r="AB2770" s="2"/>
    </row>
    <row r="2771" spans="8:28" ht="15" customHeight="1">
      <c r="H2771" s="2">
        <v>47066</v>
      </c>
      <c r="I2771" s="2"/>
      <c r="J2771" s="2">
        <v>49626</v>
      </c>
      <c r="K2771" s="2"/>
      <c r="L2771" s="2">
        <v>46808</v>
      </c>
      <c r="M2771" s="2"/>
      <c r="N2771" s="2">
        <v>49892</v>
      </c>
      <c r="P2771" s="2">
        <v>46973</v>
      </c>
      <c r="Q2771" s="2"/>
      <c r="R2771" s="2">
        <v>49723</v>
      </c>
      <c r="AB2771" s="2"/>
    </row>
    <row r="2772" spans="8:28" ht="15" customHeight="1">
      <c r="H2772" s="2">
        <v>47065</v>
      </c>
      <c r="I2772" s="2"/>
      <c r="J2772" s="2">
        <v>49627</v>
      </c>
      <c r="K2772" s="2"/>
      <c r="L2772" s="2">
        <v>46807</v>
      </c>
      <c r="M2772" s="2"/>
      <c r="N2772" s="2">
        <v>49893</v>
      </c>
      <c r="P2772" s="2">
        <v>46972</v>
      </c>
      <c r="Q2772" s="2"/>
      <c r="R2772" s="2">
        <v>49724</v>
      </c>
      <c r="AB2772" s="2"/>
    </row>
    <row r="2773" spans="8:28" ht="15" customHeight="1">
      <c r="H2773" s="2">
        <v>47064</v>
      </c>
      <c r="I2773" s="2"/>
      <c r="J2773" s="2">
        <v>49628</v>
      </c>
      <c r="K2773" s="2"/>
      <c r="L2773" s="2">
        <v>46805</v>
      </c>
      <c r="M2773" s="2"/>
      <c r="N2773" s="2">
        <v>49894</v>
      </c>
      <c r="P2773" s="2">
        <v>46969</v>
      </c>
      <c r="Q2773" s="2"/>
      <c r="R2773" s="2">
        <v>49725</v>
      </c>
      <c r="AB2773" s="2"/>
    </row>
    <row r="2774" spans="8:28" ht="15" customHeight="1">
      <c r="H2774" s="2">
        <v>47063</v>
      </c>
      <c r="I2774" s="2"/>
      <c r="J2774" s="2">
        <v>49629</v>
      </c>
      <c r="K2774" s="2"/>
      <c r="L2774" s="2">
        <v>46801</v>
      </c>
      <c r="M2774" s="2"/>
      <c r="N2774" s="2">
        <v>49895</v>
      </c>
      <c r="P2774" s="2">
        <v>46968</v>
      </c>
      <c r="Q2774" s="2"/>
      <c r="R2774" s="2">
        <v>49726</v>
      </c>
      <c r="AB2774" s="2"/>
    </row>
    <row r="2775" spans="8:28" ht="15" customHeight="1">
      <c r="H2775" s="2">
        <v>47060</v>
      </c>
      <c r="I2775" s="2"/>
      <c r="J2775" s="2">
        <v>49632</v>
      </c>
      <c r="K2775" s="2"/>
      <c r="L2775" s="2">
        <v>46800</v>
      </c>
      <c r="M2775" s="2"/>
      <c r="N2775" s="2">
        <v>49899</v>
      </c>
      <c r="P2775" s="2">
        <v>46967</v>
      </c>
      <c r="Q2775" s="2"/>
      <c r="R2775" s="2">
        <v>49727</v>
      </c>
      <c r="AB2775" s="2"/>
    </row>
    <row r="2776" spans="8:28" ht="15" customHeight="1">
      <c r="H2776" s="2">
        <v>47059</v>
      </c>
      <c r="I2776" s="2"/>
      <c r="J2776" s="2">
        <v>49633</v>
      </c>
      <c r="K2776" s="2"/>
      <c r="L2776" s="2">
        <v>46799</v>
      </c>
      <c r="M2776" s="2"/>
      <c r="N2776" s="2">
        <v>49900</v>
      </c>
      <c r="P2776" s="2">
        <v>46966</v>
      </c>
      <c r="Q2776" s="2"/>
      <c r="R2776" s="2">
        <v>49730</v>
      </c>
      <c r="AB2776" s="2"/>
    </row>
    <row r="2777" spans="8:28" ht="15" customHeight="1">
      <c r="H2777" s="2">
        <v>47058</v>
      </c>
      <c r="I2777" s="2"/>
      <c r="J2777" s="2">
        <v>49634</v>
      </c>
      <c r="K2777" s="2"/>
      <c r="L2777" s="2">
        <v>46798</v>
      </c>
      <c r="M2777" s="2"/>
      <c r="N2777" s="2">
        <v>49901</v>
      </c>
      <c r="P2777" s="2">
        <v>46965</v>
      </c>
      <c r="Q2777" s="2"/>
      <c r="R2777" s="2">
        <v>49731</v>
      </c>
      <c r="AB2777" s="2"/>
    </row>
    <row r="2778" spans="8:28" ht="15" customHeight="1">
      <c r="H2778" s="2">
        <v>47057</v>
      </c>
      <c r="I2778" s="2"/>
      <c r="J2778" s="2">
        <v>49636</v>
      </c>
      <c r="K2778" s="2"/>
      <c r="L2778" s="2">
        <v>46797</v>
      </c>
      <c r="M2778" s="2"/>
      <c r="N2778" s="2">
        <v>49902</v>
      </c>
      <c r="P2778" s="2">
        <v>46962</v>
      </c>
      <c r="Q2778" s="2"/>
      <c r="R2778" s="2">
        <v>49732</v>
      </c>
      <c r="AB2778" s="2"/>
    </row>
    <row r="2779" spans="8:28" ht="15" customHeight="1">
      <c r="H2779" s="2">
        <v>47056</v>
      </c>
      <c r="I2779" s="2"/>
      <c r="J2779" s="2">
        <v>49639</v>
      </c>
      <c r="K2779" s="2"/>
      <c r="L2779" s="2">
        <v>46793</v>
      </c>
      <c r="M2779" s="2"/>
      <c r="N2779" s="2">
        <v>49905</v>
      </c>
      <c r="P2779" s="2">
        <v>46961</v>
      </c>
      <c r="Q2779" s="2"/>
      <c r="R2779" s="2">
        <v>49733</v>
      </c>
      <c r="AB2779" s="2"/>
    </row>
    <row r="2780" spans="8:28" ht="15" customHeight="1">
      <c r="H2780" s="2">
        <v>47053</v>
      </c>
      <c r="I2780" s="2"/>
      <c r="J2780" s="2">
        <v>49640</v>
      </c>
      <c r="K2780" s="2"/>
      <c r="L2780" s="2">
        <v>46792</v>
      </c>
      <c r="M2780" s="2"/>
      <c r="N2780" s="2">
        <v>49906</v>
      </c>
      <c r="P2780" s="2">
        <v>46960</v>
      </c>
      <c r="Q2780" s="2"/>
      <c r="R2780" s="2">
        <v>49734</v>
      </c>
      <c r="AB2780" s="2"/>
    </row>
    <row r="2781" spans="8:28" ht="15" customHeight="1">
      <c r="H2781" s="2">
        <v>47052</v>
      </c>
      <c r="I2781" s="2"/>
      <c r="J2781" s="2">
        <v>49641</v>
      </c>
      <c r="K2781" s="2"/>
      <c r="L2781" s="2">
        <v>46791</v>
      </c>
      <c r="M2781" s="2"/>
      <c r="N2781" s="2">
        <v>49907</v>
      </c>
      <c r="P2781" s="2">
        <v>46959</v>
      </c>
      <c r="Q2781" s="2"/>
      <c r="R2781" s="2">
        <v>49738</v>
      </c>
      <c r="AB2781" s="2"/>
    </row>
    <row r="2782" spans="8:28" ht="15" customHeight="1">
      <c r="H2782" s="2">
        <v>47051</v>
      </c>
      <c r="I2782" s="2"/>
      <c r="J2782" s="2">
        <v>49642</v>
      </c>
      <c r="K2782" s="2"/>
      <c r="L2782" s="2">
        <v>46790</v>
      </c>
      <c r="M2782" s="2"/>
      <c r="N2782" s="2">
        <v>49908</v>
      </c>
      <c r="P2782" s="2">
        <v>46958</v>
      </c>
      <c r="Q2782" s="2"/>
      <c r="R2782" s="2">
        <v>49739</v>
      </c>
      <c r="AB2782" s="2"/>
    </row>
    <row r="2783" spans="8:28" ht="15" customHeight="1">
      <c r="H2783" s="2">
        <v>47050</v>
      </c>
      <c r="I2783" s="2"/>
      <c r="J2783" s="2">
        <v>49643</v>
      </c>
      <c r="K2783" s="2"/>
      <c r="L2783" s="2">
        <v>46787</v>
      </c>
      <c r="M2783" s="2"/>
      <c r="N2783" s="2">
        <v>49909</v>
      </c>
      <c r="P2783" s="2">
        <v>46955</v>
      </c>
      <c r="Q2783" s="2"/>
      <c r="R2783" s="2">
        <v>49740</v>
      </c>
      <c r="AB2783" s="2"/>
    </row>
    <row r="2784" spans="8:28" ht="15" customHeight="1">
      <c r="H2784" s="2">
        <v>47049</v>
      </c>
      <c r="I2784" s="2"/>
      <c r="J2784" s="2">
        <v>49646</v>
      </c>
      <c r="K2784" s="2"/>
      <c r="L2784" s="2">
        <v>46786</v>
      </c>
      <c r="M2784" s="2"/>
      <c r="N2784" s="2">
        <v>49912</v>
      </c>
      <c r="P2784" s="2">
        <v>46954</v>
      </c>
      <c r="Q2784" s="2"/>
      <c r="R2784" s="2">
        <v>49741</v>
      </c>
      <c r="AB2784" s="2"/>
    </row>
    <row r="2785" spans="8:28" ht="15" customHeight="1">
      <c r="H2785" s="2">
        <v>47046</v>
      </c>
      <c r="I2785" s="2"/>
      <c r="J2785" s="2">
        <v>49647</v>
      </c>
      <c r="K2785" s="2"/>
      <c r="L2785" s="2">
        <v>46785</v>
      </c>
      <c r="M2785" s="2"/>
      <c r="N2785" s="2">
        <v>49913</v>
      </c>
      <c r="P2785" s="2">
        <v>46953</v>
      </c>
      <c r="Q2785" s="2"/>
      <c r="R2785" s="2">
        <v>49744</v>
      </c>
      <c r="AB2785" s="2"/>
    </row>
    <row r="2786" spans="8:28" ht="15" customHeight="1">
      <c r="H2786" s="2">
        <v>47045</v>
      </c>
      <c r="I2786" s="2"/>
      <c r="J2786" s="2">
        <v>49648</v>
      </c>
      <c r="K2786" s="2"/>
      <c r="L2786" s="2">
        <v>46784</v>
      </c>
      <c r="M2786" s="2"/>
      <c r="N2786" s="2">
        <v>49914</v>
      </c>
      <c r="P2786" s="2">
        <v>46952</v>
      </c>
      <c r="Q2786" s="2"/>
      <c r="R2786" s="2">
        <v>49745</v>
      </c>
      <c r="AB2786" s="2"/>
    </row>
    <row r="2787" spans="8:28" ht="15" customHeight="1">
      <c r="H2787" s="2">
        <v>47044</v>
      </c>
      <c r="I2787" s="2"/>
      <c r="J2787" s="2">
        <v>49649</v>
      </c>
      <c r="K2787" s="2"/>
      <c r="L2787" s="2">
        <v>46783</v>
      </c>
      <c r="M2787" s="2"/>
      <c r="N2787" s="2">
        <v>49915</v>
      </c>
      <c r="P2787" s="2">
        <v>46951</v>
      </c>
      <c r="Q2787" s="2"/>
      <c r="R2787" s="2">
        <v>49746</v>
      </c>
      <c r="AB2787" s="2"/>
    </row>
    <row r="2788" spans="8:28" ht="15" customHeight="1">
      <c r="H2788" s="2">
        <v>47043</v>
      </c>
      <c r="I2788" s="2"/>
      <c r="J2788" s="2">
        <v>49650</v>
      </c>
      <c r="K2788" s="2"/>
      <c r="L2788" s="2">
        <v>46780</v>
      </c>
      <c r="M2788" s="2"/>
      <c r="N2788" s="2">
        <v>49916</v>
      </c>
      <c r="P2788" s="2">
        <v>46948</v>
      </c>
      <c r="Q2788" s="2"/>
      <c r="R2788" s="2">
        <v>49747</v>
      </c>
      <c r="AB2788" s="2"/>
    </row>
    <row r="2789" spans="8:28" ht="15" customHeight="1">
      <c r="H2789" s="2">
        <v>47042</v>
      </c>
      <c r="I2789" s="2"/>
      <c r="J2789" s="2">
        <v>49653</v>
      </c>
      <c r="K2789" s="2"/>
      <c r="L2789" s="2">
        <v>46779</v>
      </c>
      <c r="M2789" s="2"/>
      <c r="N2789" s="2">
        <v>49920</v>
      </c>
      <c r="P2789" s="2">
        <v>46947</v>
      </c>
      <c r="Q2789" s="2"/>
      <c r="R2789" s="2">
        <v>49748</v>
      </c>
      <c r="AB2789" s="2"/>
    </row>
    <row r="2790" spans="8:28" ht="15" customHeight="1">
      <c r="H2790" s="2">
        <v>47039</v>
      </c>
      <c r="I2790" s="2"/>
      <c r="J2790" s="2">
        <v>49654</v>
      </c>
      <c r="K2790" s="2"/>
      <c r="L2790" s="2">
        <v>46778</v>
      </c>
      <c r="M2790" s="2"/>
      <c r="N2790" s="2">
        <v>49921</v>
      </c>
      <c r="P2790" s="2">
        <v>46946</v>
      </c>
      <c r="Q2790" s="2"/>
      <c r="R2790" s="2">
        <v>49751</v>
      </c>
      <c r="AB2790" s="2"/>
    </row>
    <row r="2791" spans="8:28" ht="15" customHeight="1">
      <c r="H2791" s="2">
        <v>47038</v>
      </c>
      <c r="I2791" s="2"/>
      <c r="J2791" s="2">
        <v>49655</v>
      </c>
      <c r="K2791" s="2"/>
      <c r="L2791" s="2">
        <v>46777</v>
      </c>
      <c r="M2791" s="2"/>
      <c r="N2791" s="2">
        <v>49922</v>
      </c>
      <c r="P2791" s="2">
        <v>46945</v>
      </c>
      <c r="Q2791" s="2"/>
      <c r="R2791" s="2">
        <v>49752</v>
      </c>
      <c r="AB2791" s="2"/>
    </row>
    <row r="2792" spans="8:28" ht="15" customHeight="1">
      <c r="H2792" s="2">
        <v>47037</v>
      </c>
      <c r="I2792" s="2"/>
      <c r="J2792" s="2">
        <v>49656</v>
      </c>
      <c r="K2792" s="2"/>
      <c r="L2792" s="2">
        <v>46776</v>
      </c>
      <c r="M2792" s="2"/>
      <c r="N2792" s="2">
        <v>49923</v>
      </c>
      <c r="P2792" s="2">
        <v>46944</v>
      </c>
      <c r="Q2792" s="2"/>
      <c r="R2792" s="2">
        <v>49753</v>
      </c>
      <c r="AB2792" s="2"/>
    </row>
    <row r="2793" spans="8:28" ht="15" customHeight="1">
      <c r="H2793" s="2">
        <v>47036</v>
      </c>
      <c r="I2793" s="2"/>
      <c r="J2793" s="2">
        <v>49657</v>
      </c>
      <c r="K2793" s="2"/>
      <c r="L2793" s="2">
        <v>46773</v>
      </c>
      <c r="M2793" s="2"/>
      <c r="N2793" s="2">
        <v>49926</v>
      </c>
      <c r="P2793" s="2">
        <v>46941</v>
      </c>
      <c r="Q2793" s="2"/>
      <c r="R2793" s="2">
        <v>49754</v>
      </c>
      <c r="AB2793" s="2"/>
    </row>
    <row r="2794" spans="8:28" ht="15" customHeight="1">
      <c r="H2794" s="2">
        <v>47035</v>
      </c>
      <c r="I2794" s="2"/>
      <c r="J2794" s="2">
        <v>49660</v>
      </c>
      <c r="K2794" s="2"/>
      <c r="L2794" s="2">
        <v>46772</v>
      </c>
      <c r="M2794" s="2"/>
      <c r="N2794" s="2">
        <v>49927</v>
      </c>
      <c r="P2794" s="2">
        <v>46940</v>
      </c>
      <c r="Q2794" s="2"/>
      <c r="R2794" s="2">
        <v>49755</v>
      </c>
      <c r="AB2794" s="2"/>
    </row>
    <row r="2795" spans="8:28" ht="15" customHeight="1">
      <c r="H2795" s="2">
        <v>47032</v>
      </c>
      <c r="I2795" s="2"/>
      <c r="J2795" s="2">
        <v>49661</v>
      </c>
      <c r="K2795" s="2"/>
      <c r="L2795" s="2">
        <v>46771</v>
      </c>
      <c r="M2795" s="2"/>
      <c r="N2795" s="2">
        <v>49928</v>
      </c>
      <c r="P2795" s="2">
        <v>46939</v>
      </c>
      <c r="Q2795" s="2"/>
      <c r="R2795" s="2">
        <v>49758</v>
      </c>
      <c r="AB2795" s="2"/>
    </row>
    <row r="2796" spans="8:28" ht="15" customHeight="1">
      <c r="H2796" s="2">
        <v>47031</v>
      </c>
      <c r="I2796" s="2"/>
      <c r="J2796" s="2">
        <v>49662</v>
      </c>
      <c r="K2796" s="2"/>
      <c r="L2796" s="2">
        <v>46770</v>
      </c>
      <c r="M2796" s="2"/>
      <c r="N2796" s="2">
        <v>49929</v>
      </c>
      <c r="P2796" s="2">
        <v>46938</v>
      </c>
      <c r="Q2796" s="2"/>
      <c r="R2796" s="2">
        <v>49759</v>
      </c>
      <c r="AB2796" s="2"/>
    </row>
    <row r="2797" spans="8:28" ht="15" customHeight="1">
      <c r="H2797" s="2">
        <v>47030</v>
      </c>
      <c r="I2797" s="2"/>
      <c r="J2797" s="2">
        <v>49663</v>
      </c>
      <c r="K2797" s="2"/>
      <c r="L2797" s="2">
        <v>46766</v>
      </c>
      <c r="M2797" s="2"/>
      <c r="N2797" s="2">
        <v>49930</v>
      </c>
      <c r="P2797" s="2">
        <v>46937</v>
      </c>
      <c r="Q2797" s="2"/>
      <c r="R2797" s="2">
        <v>49760</v>
      </c>
      <c r="AB2797" s="2"/>
    </row>
    <row r="2798" spans="8:28" ht="15" customHeight="1">
      <c r="H2798" s="2">
        <v>47029</v>
      </c>
      <c r="I2798" s="2"/>
      <c r="J2798" s="2">
        <v>49664</v>
      </c>
      <c r="K2798" s="2"/>
      <c r="L2798" s="2">
        <v>46765</v>
      </c>
      <c r="M2798" s="2"/>
      <c r="N2798" s="2">
        <v>49934</v>
      </c>
      <c r="P2798" s="2">
        <v>46934</v>
      </c>
      <c r="Q2798" s="2"/>
      <c r="R2798" s="2">
        <v>49761</v>
      </c>
      <c r="AB2798" s="2"/>
    </row>
    <row r="2799" spans="8:28" ht="15" customHeight="1">
      <c r="H2799" s="2">
        <v>47028</v>
      </c>
      <c r="I2799" s="2"/>
      <c r="J2799" s="2">
        <v>49667</v>
      </c>
      <c r="K2799" s="2"/>
      <c r="L2799" s="2">
        <v>46764</v>
      </c>
      <c r="M2799" s="2"/>
      <c r="N2799" s="2">
        <v>49935</v>
      </c>
      <c r="P2799" s="2">
        <v>46933</v>
      </c>
      <c r="Q2799" s="2"/>
      <c r="R2799" s="2">
        <v>49762</v>
      </c>
      <c r="AB2799" s="2"/>
    </row>
    <row r="2800" spans="8:28" ht="15" customHeight="1">
      <c r="H2800" s="2">
        <v>47025</v>
      </c>
      <c r="I2800" s="2"/>
      <c r="J2800" s="2">
        <v>49669</v>
      </c>
      <c r="K2800" s="2"/>
      <c r="L2800" s="2">
        <v>46763</v>
      </c>
      <c r="M2800" s="2"/>
      <c r="N2800" s="2">
        <v>49936</v>
      </c>
      <c r="P2800" s="2">
        <v>46932</v>
      </c>
      <c r="Q2800" s="2"/>
      <c r="R2800" s="2">
        <v>49765</v>
      </c>
      <c r="AB2800" s="2"/>
    </row>
    <row r="2801" spans="8:28" ht="15" customHeight="1">
      <c r="H2801" s="2">
        <v>47024</v>
      </c>
      <c r="I2801" s="2"/>
      <c r="J2801" s="2">
        <v>49670</v>
      </c>
      <c r="K2801" s="2"/>
      <c r="L2801" s="2">
        <v>46759</v>
      </c>
      <c r="M2801" s="2"/>
      <c r="N2801" s="2">
        <v>49937</v>
      </c>
      <c r="P2801" s="2">
        <v>46931</v>
      </c>
      <c r="Q2801" s="2"/>
      <c r="R2801" s="2">
        <v>49766</v>
      </c>
      <c r="AB2801" s="2"/>
    </row>
    <row r="2802" spans="8:28" ht="15" customHeight="1">
      <c r="H2802" s="2">
        <v>47023</v>
      </c>
      <c r="I2802" s="2"/>
      <c r="J2802" s="2">
        <v>49671</v>
      </c>
      <c r="K2802" s="2"/>
      <c r="L2802" s="2">
        <v>46758</v>
      </c>
      <c r="M2802" s="2"/>
      <c r="N2802" s="2">
        <v>49941</v>
      </c>
      <c r="P2802" s="2">
        <v>46930</v>
      </c>
      <c r="Q2802" s="2"/>
      <c r="R2802" s="2">
        <v>49767</v>
      </c>
      <c r="AB2802" s="2"/>
    </row>
    <row r="2803" spans="8:28" ht="15" customHeight="1">
      <c r="H2803" s="2">
        <v>47022</v>
      </c>
      <c r="I2803" s="2"/>
      <c r="J2803" s="2">
        <v>49674</v>
      </c>
      <c r="K2803" s="2"/>
      <c r="L2803" s="2">
        <v>46757</v>
      </c>
      <c r="M2803" s="2"/>
      <c r="N2803" s="2">
        <v>49942</v>
      </c>
      <c r="P2803" s="2">
        <v>46927</v>
      </c>
      <c r="Q2803" s="2"/>
      <c r="R2803" s="2">
        <v>49768</v>
      </c>
      <c r="AB2803" s="2"/>
    </row>
    <row r="2804" spans="8:28" ht="15" customHeight="1">
      <c r="H2804" s="2">
        <v>47021</v>
      </c>
      <c r="I2804" s="2"/>
      <c r="J2804" s="2">
        <v>49676</v>
      </c>
      <c r="K2804" s="2"/>
      <c r="L2804" s="2">
        <v>46756</v>
      </c>
      <c r="M2804" s="2"/>
      <c r="N2804" s="2">
        <v>49943</v>
      </c>
      <c r="P2804" s="2">
        <v>46926</v>
      </c>
      <c r="Q2804" s="2"/>
      <c r="R2804" s="2">
        <v>49769</v>
      </c>
      <c r="AB2804" s="2"/>
    </row>
    <row r="2805" spans="8:28" ht="15" customHeight="1">
      <c r="H2805" s="2">
        <v>47018</v>
      </c>
      <c r="I2805" s="2"/>
      <c r="J2805" s="2">
        <v>49677</v>
      </c>
      <c r="K2805" s="2"/>
      <c r="L2805" s="2">
        <v>46751</v>
      </c>
      <c r="M2805" s="2"/>
      <c r="N2805" s="2">
        <v>49944</v>
      </c>
      <c r="P2805" s="2">
        <v>46925</v>
      </c>
      <c r="Q2805" s="2"/>
      <c r="R2805" s="2">
        <v>49772</v>
      </c>
      <c r="AB2805" s="2"/>
    </row>
    <row r="2806" spans="8:28" ht="15" customHeight="1">
      <c r="H2806" s="2">
        <v>47017</v>
      </c>
      <c r="I2806" s="2"/>
      <c r="J2806" s="2">
        <v>49678</v>
      </c>
      <c r="K2806" s="2"/>
      <c r="L2806" s="2">
        <v>46750</v>
      </c>
      <c r="M2806" s="2"/>
      <c r="N2806" s="2">
        <v>49947</v>
      </c>
      <c r="P2806" s="2">
        <v>46924</v>
      </c>
      <c r="Q2806" s="2"/>
      <c r="R2806" s="2">
        <v>49773</v>
      </c>
      <c r="AB2806" s="2"/>
    </row>
    <row r="2807" spans="8:28" ht="15" customHeight="1">
      <c r="H2807" s="2">
        <v>47016</v>
      </c>
      <c r="I2807" s="2"/>
      <c r="J2807" s="2">
        <v>49681</v>
      </c>
      <c r="K2807" s="2"/>
      <c r="L2807" s="2">
        <v>46749</v>
      </c>
      <c r="M2807" s="2"/>
      <c r="N2807" s="2">
        <v>49948</v>
      </c>
      <c r="P2807" s="2">
        <v>46923</v>
      </c>
      <c r="Q2807" s="2"/>
      <c r="R2807" s="2">
        <v>49774</v>
      </c>
      <c r="AB2807" s="2"/>
    </row>
    <row r="2808" spans="8:28" ht="15" customHeight="1">
      <c r="H2808" s="2">
        <v>47015</v>
      </c>
      <c r="I2808" s="2"/>
      <c r="J2808" s="2">
        <v>49682</v>
      </c>
      <c r="K2808" s="2"/>
      <c r="L2808" s="2">
        <v>46748</v>
      </c>
      <c r="M2808" s="2"/>
      <c r="N2808" s="2">
        <v>49949</v>
      </c>
      <c r="P2808" s="2">
        <v>46920</v>
      </c>
      <c r="Q2808" s="2"/>
      <c r="R2808" s="2">
        <v>49775</v>
      </c>
      <c r="AB2808" s="2"/>
    </row>
    <row r="2809" spans="8:28" ht="15" customHeight="1">
      <c r="H2809" s="2">
        <v>47014</v>
      </c>
      <c r="I2809" s="2"/>
      <c r="J2809" s="2">
        <v>49683</v>
      </c>
      <c r="K2809" s="2"/>
      <c r="L2809" s="2">
        <v>46744</v>
      </c>
      <c r="M2809" s="2"/>
      <c r="N2809" s="2">
        <v>49950</v>
      </c>
      <c r="P2809" s="2">
        <v>46919</v>
      </c>
      <c r="Q2809" s="2"/>
      <c r="R2809" s="2">
        <v>49776</v>
      </c>
      <c r="AB2809" s="2"/>
    </row>
    <row r="2810" spans="8:28" ht="15" customHeight="1">
      <c r="H2810" s="2">
        <v>47011</v>
      </c>
      <c r="I2810" s="2"/>
      <c r="J2810" s="2">
        <v>49684</v>
      </c>
      <c r="K2810" s="2"/>
      <c r="L2810" s="2">
        <v>46743</v>
      </c>
      <c r="M2810" s="2"/>
      <c r="N2810" s="2">
        <v>49951</v>
      </c>
      <c r="P2810" s="2">
        <v>46918</v>
      </c>
      <c r="Q2810" s="2"/>
      <c r="R2810" s="2">
        <v>49779</v>
      </c>
      <c r="AB2810" s="2"/>
    </row>
    <row r="2811" spans="8:28" ht="15" customHeight="1">
      <c r="H2811" s="2">
        <v>47010</v>
      </c>
      <c r="I2811" s="2"/>
      <c r="J2811" s="2">
        <v>49685</v>
      </c>
      <c r="K2811" s="2"/>
      <c r="L2811" s="2">
        <v>46742</v>
      </c>
      <c r="M2811" s="2"/>
      <c r="N2811" s="2">
        <v>49954</v>
      </c>
      <c r="P2811" s="2">
        <v>46917</v>
      </c>
      <c r="Q2811" s="2"/>
      <c r="R2811" s="2">
        <v>49780</v>
      </c>
      <c r="AB2811" s="2"/>
    </row>
    <row r="2812" spans="8:28" ht="15" customHeight="1">
      <c r="H2812" s="2">
        <v>47009</v>
      </c>
      <c r="I2812" s="2"/>
      <c r="J2812" s="2">
        <v>49688</v>
      </c>
      <c r="K2812" s="2"/>
      <c r="L2812" s="2">
        <v>46741</v>
      </c>
      <c r="M2812" s="2"/>
      <c r="N2812" s="2">
        <v>49955</v>
      </c>
      <c r="P2812" s="2">
        <v>46916</v>
      </c>
      <c r="Q2812" s="2"/>
      <c r="R2812" s="2">
        <v>49781</v>
      </c>
      <c r="AB2812" s="2"/>
    </row>
    <row r="2813" spans="8:28" ht="15" customHeight="1">
      <c r="H2813" s="2">
        <v>47008</v>
      </c>
      <c r="I2813" s="2"/>
      <c r="J2813" s="2">
        <v>49689</v>
      </c>
      <c r="K2813" s="2"/>
      <c r="L2813" s="2">
        <v>46738</v>
      </c>
      <c r="M2813" s="2"/>
      <c r="N2813" s="2">
        <v>49956</v>
      </c>
      <c r="P2813" s="2">
        <v>46913</v>
      </c>
      <c r="Q2813" s="2"/>
      <c r="R2813" s="2">
        <v>49782</v>
      </c>
      <c r="AB2813" s="2"/>
    </row>
    <row r="2814" spans="8:28" ht="15" customHeight="1">
      <c r="H2814" s="2">
        <v>47007</v>
      </c>
      <c r="I2814" s="2"/>
      <c r="J2814" s="2">
        <v>49690</v>
      </c>
      <c r="K2814" s="2"/>
      <c r="L2814" s="2">
        <v>46737</v>
      </c>
      <c r="M2814" s="2"/>
      <c r="N2814" s="2">
        <v>49957</v>
      </c>
      <c r="P2814" s="2">
        <v>46912</v>
      </c>
      <c r="Q2814" s="2"/>
      <c r="R2814" s="2">
        <v>49783</v>
      </c>
      <c r="AB2814" s="2"/>
    </row>
    <row r="2815" spans="8:28" ht="15" customHeight="1">
      <c r="H2815" s="2">
        <v>47004</v>
      </c>
      <c r="I2815" s="2"/>
      <c r="J2815" s="2">
        <v>49691</v>
      </c>
      <c r="K2815" s="2"/>
      <c r="L2815" s="2">
        <v>46736</v>
      </c>
      <c r="M2815" s="2"/>
      <c r="N2815" s="2">
        <v>49958</v>
      </c>
      <c r="P2815" s="2">
        <v>46911</v>
      </c>
      <c r="Q2815" s="2"/>
      <c r="R2815" s="2">
        <v>49786</v>
      </c>
      <c r="AB2815" s="2"/>
    </row>
    <row r="2816" spans="8:28" ht="15" customHeight="1">
      <c r="H2816" s="2">
        <v>47003</v>
      </c>
      <c r="I2816" s="2"/>
      <c r="J2816" s="2">
        <v>49692</v>
      </c>
      <c r="K2816" s="2"/>
      <c r="L2816" s="2">
        <v>46735</v>
      </c>
      <c r="M2816" s="2"/>
      <c r="N2816" s="2">
        <v>49962</v>
      </c>
      <c r="P2816" s="2">
        <v>46909</v>
      </c>
      <c r="Q2816" s="2"/>
      <c r="R2816" s="2">
        <v>49787</v>
      </c>
      <c r="AB2816" s="2"/>
    </row>
    <row r="2817" spans="8:28" ht="15" customHeight="1">
      <c r="H2817" s="2">
        <v>47002</v>
      </c>
      <c r="I2817" s="2"/>
      <c r="J2817" s="2">
        <v>49696</v>
      </c>
      <c r="K2817" s="2"/>
      <c r="L2817" s="2">
        <v>46734</v>
      </c>
      <c r="M2817" s="2"/>
      <c r="N2817" s="2">
        <v>49963</v>
      </c>
      <c r="P2817" s="2">
        <v>46906</v>
      </c>
      <c r="Q2817" s="2"/>
      <c r="R2817" s="2">
        <v>49788</v>
      </c>
      <c r="AB2817" s="2"/>
    </row>
    <row r="2818" spans="8:28" ht="15" customHeight="1">
      <c r="H2818" s="2">
        <v>47001</v>
      </c>
      <c r="I2818" s="2"/>
      <c r="J2818" s="2">
        <v>49697</v>
      </c>
      <c r="K2818" s="2"/>
      <c r="L2818" s="2">
        <v>46731</v>
      </c>
      <c r="M2818" s="2"/>
      <c r="N2818" s="2">
        <v>49964</v>
      </c>
      <c r="P2818" s="2">
        <v>46905</v>
      </c>
      <c r="Q2818" s="2"/>
      <c r="R2818" s="2">
        <v>49789</v>
      </c>
      <c r="AB2818" s="2"/>
    </row>
    <row r="2819" spans="8:28" ht="15" customHeight="1">
      <c r="H2819" s="2">
        <v>46997</v>
      </c>
      <c r="I2819" s="2"/>
      <c r="J2819" s="2">
        <v>49698</v>
      </c>
      <c r="K2819" s="2"/>
      <c r="L2819" s="2">
        <v>46730</v>
      </c>
      <c r="M2819" s="2"/>
      <c r="N2819" s="2">
        <v>49965</v>
      </c>
      <c r="P2819" s="2">
        <v>46904</v>
      </c>
      <c r="Q2819" s="2"/>
      <c r="R2819" s="2">
        <v>49790</v>
      </c>
      <c r="AB2819" s="2"/>
    </row>
    <row r="2820" spans="8:28" ht="15" customHeight="1">
      <c r="H2820" s="2">
        <v>46996</v>
      </c>
      <c r="I2820" s="2"/>
      <c r="J2820" s="2">
        <v>49699</v>
      </c>
      <c r="K2820" s="2"/>
      <c r="L2820" s="2">
        <v>46729</v>
      </c>
      <c r="M2820" s="2"/>
      <c r="N2820" s="2">
        <v>49968</v>
      </c>
      <c r="P2820" s="2">
        <v>46903</v>
      </c>
      <c r="Q2820" s="2"/>
      <c r="R2820" s="2">
        <v>49793</v>
      </c>
      <c r="AB2820" s="2"/>
    </row>
    <row r="2821" spans="8:28" ht="15" customHeight="1">
      <c r="H2821" s="2">
        <v>46995</v>
      </c>
      <c r="I2821" s="2"/>
      <c r="J2821" s="2">
        <v>49702</v>
      </c>
      <c r="K2821" s="2"/>
      <c r="L2821" s="2">
        <v>46728</v>
      </c>
      <c r="M2821" s="2"/>
      <c r="N2821" s="2">
        <v>49969</v>
      </c>
      <c r="P2821" s="2">
        <v>46902</v>
      </c>
      <c r="Q2821" s="2"/>
      <c r="R2821" s="2">
        <v>49794</v>
      </c>
      <c r="AB2821" s="2"/>
    </row>
    <row r="2822" spans="8:28" ht="15" customHeight="1">
      <c r="H2822" s="2">
        <v>46994</v>
      </c>
      <c r="I2822" s="2"/>
      <c r="J2822" s="2">
        <v>49703</v>
      </c>
      <c r="K2822" s="2"/>
      <c r="L2822" s="2">
        <v>46727</v>
      </c>
      <c r="M2822" s="2"/>
      <c r="N2822" s="2">
        <v>49970</v>
      </c>
      <c r="P2822" s="2">
        <v>46899</v>
      </c>
      <c r="Q2822" s="2"/>
      <c r="R2822" s="2">
        <v>49795</v>
      </c>
      <c r="AB2822" s="2"/>
    </row>
    <row r="2823" spans="8:28" ht="15" customHeight="1">
      <c r="H2823" s="2">
        <v>46993</v>
      </c>
      <c r="I2823" s="2"/>
      <c r="J2823" s="2">
        <v>49704</v>
      </c>
      <c r="K2823" s="2"/>
      <c r="L2823" s="2">
        <v>46724</v>
      </c>
      <c r="M2823" s="2"/>
      <c r="N2823" s="2">
        <v>49971</v>
      </c>
      <c r="P2823" s="2">
        <v>46898</v>
      </c>
      <c r="Q2823" s="2"/>
      <c r="R2823" s="2">
        <v>49797</v>
      </c>
      <c r="AB2823" s="2"/>
    </row>
    <row r="2824" spans="8:28" ht="15" customHeight="1">
      <c r="H2824" s="2">
        <v>46990</v>
      </c>
      <c r="I2824" s="2"/>
      <c r="J2824" s="2">
        <v>49705</v>
      </c>
      <c r="K2824" s="2"/>
      <c r="L2824" s="2">
        <v>46723</v>
      </c>
      <c r="M2824" s="2"/>
      <c r="N2824" s="2">
        <v>49972</v>
      </c>
      <c r="P2824" s="2">
        <v>46897</v>
      </c>
      <c r="Q2824" s="2"/>
      <c r="R2824" s="2">
        <v>49802</v>
      </c>
      <c r="AB2824" s="2"/>
    </row>
    <row r="2825" spans="8:28" ht="15" customHeight="1">
      <c r="H2825" s="2">
        <v>46989</v>
      </c>
      <c r="I2825" s="2"/>
      <c r="J2825" s="2">
        <v>49706</v>
      </c>
      <c r="K2825" s="2"/>
      <c r="L2825" s="2">
        <v>46722</v>
      </c>
      <c r="M2825" s="2"/>
      <c r="N2825" s="2">
        <v>49975</v>
      </c>
      <c r="P2825" s="2">
        <v>46896</v>
      </c>
      <c r="Q2825" s="2"/>
      <c r="R2825" s="2">
        <v>49803</v>
      </c>
      <c r="AB2825" s="2"/>
    </row>
    <row r="2826" spans="8:28" ht="15" customHeight="1">
      <c r="H2826" s="2">
        <v>46988</v>
      </c>
      <c r="I2826" s="2"/>
      <c r="J2826" s="2">
        <v>49709</v>
      </c>
      <c r="K2826" s="2"/>
      <c r="L2826" s="2">
        <v>46721</v>
      </c>
      <c r="M2826" s="2"/>
      <c r="N2826" s="2">
        <v>49976</v>
      </c>
      <c r="P2826" s="2">
        <v>46895</v>
      </c>
      <c r="Q2826" s="2"/>
      <c r="R2826" s="2">
        <v>49804</v>
      </c>
      <c r="AB2826" s="2"/>
    </row>
    <row r="2827" spans="8:28" ht="15" customHeight="1">
      <c r="H2827" s="2">
        <v>46987</v>
      </c>
      <c r="I2827" s="2"/>
      <c r="J2827" s="2">
        <v>49710</v>
      </c>
      <c r="K2827" s="2"/>
      <c r="L2827" s="2">
        <v>46720</v>
      </c>
      <c r="M2827" s="2"/>
      <c r="N2827" s="2">
        <v>49977</v>
      </c>
      <c r="P2827" s="2">
        <v>46892</v>
      </c>
      <c r="Q2827" s="2"/>
      <c r="R2827" s="2">
        <v>49807</v>
      </c>
      <c r="AB2827" s="2"/>
    </row>
    <row r="2828" spans="8:28" ht="15" customHeight="1">
      <c r="H2828" s="2">
        <v>46986</v>
      </c>
      <c r="I2828" s="2"/>
      <c r="J2828" s="2">
        <v>49711</v>
      </c>
      <c r="K2828" s="2"/>
      <c r="L2828" s="2">
        <v>46717</v>
      </c>
      <c r="M2828" s="2"/>
      <c r="N2828" s="2">
        <v>49978</v>
      </c>
      <c r="P2828" s="2">
        <v>46891</v>
      </c>
      <c r="Q2828" s="2"/>
      <c r="R2828" s="2">
        <v>49808</v>
      </c>
      <c r="AB2828" s="2"/>
    </row>
    <row r="2829" spans="8:28" ht="15" customHeight="1">
      <c r="H2829" s="2">
        <v>46983</v>
      </c>
      <c r="I2829" s="2"/>
      <c r="J2829" s="2">
        <v>49712</v>
      </c>
      <c r="K2829" s="2"/>
      <c r="L2829" s="2">
        <v>46715</v>
      </c>
      <c r="M2829" s="2"/>
      <c r="N2829" s="2">
        <v>49979</v>
      </c>
      <c r="P2829" s="2">
        <v>46890</v>
      </c>
      <c r="Q2829" s="2"/>
      <c r="R2829" s="2">
        <v>49809</v>
      </c>
      <c r="AB2829" s="2"/>
    </row>
    <row r="2830" spans="8:28" ht="15" customHeight="1">
      <c r="H2830" s="2">
        <v>46982</v>
      </c>
      <c r="I2830" s="2"/>
      <c r="J2830" s="2">
        <v>49713</v>
      </c>
      <c r="K2830" s="2"/>
      <c r="L2830" s="2">
        <v>46713</v>
      </c>
      <c r="M2830" s="2"/>
      <c r="N2830" s="2">
        <v>49983</v>
      </c>
      <c r="P2830" s="2">
        <v>46889</v>
      </c>
      <c r="Q2830" s="2"/>
      <c r="R2830" s="2">
        <v>49810</v>
      </c>
      <c r="AB2830" s="2"/>
    </row>
    <row r="2831" spans="8:28" ht="15" customHeight="1">
      <c r="H2831" s="2">
        <v>46981</v>
      </c>
      <c r="I2831" s="2"/>
      <c r="J2831" s="2">
        <v>49716</v>
      </c>
      <c r="K2831" s="2"/>
      <c r="L2831" s="2">
        <v>46710</v>
      </c>
      <c r="M2831" s="2"/>
      <c r="N2831" s="2">
        <v>49984</v>
      </c>
      <c r="P2831" s="2">
        <v>46888</v>
      </c>
      <c r="Q2831" s="2"/>
      <c r="R2831" s="2">
        <v>49811</v>
      </c>
      <c r="AB2831" s="2"/>
    </row>
    <row r="2832" spans="8:28" ht="15" customHeight="1">
      <c r="H2832" s="2">
        <v>46980</v>
      </c>
      <c r="I2832" s="2"/>
      <c r="J2832" s="2">
        <v>49717</v>
      </c>
      <c r="K2832" s="2"/>
      <c r="L2832" s="2">
        <v>46709</v>
      </c>
      <c r="M2832" s="2"/>
      <c r="N2832" s="2">
        <v>49985</v>
      </c>
      <c r="P2832" s="2">
        <v>46885</v>
      </c>
      <c r="Q2832" s="2"/>
      <c r="R2832" s="2">
        <v>49814</v>
      </c>
      <c r="AB2832" s="2"/>
    </row>
    <row r="2833" spans="8:28" ht="15" customHeight="1">
      <c r="H2833" s="2">
        <v>46979</v>
      </c>
      <c r="I2833" s="2"/>
      <c r="J2833" s="2">
        <v>49718</v>
      </c>
      <c r="K2833" s="2"/>
      <c r="L2833" s="2">
        <v>46708</v>
      </c>
      <c r="M2833" s="2"/>
      <c r="N2833" s="2">
        <v>49986</v>
      </c>
      <c r="P2833" s="2">
        <v>46884</v>
      </c>
      <c r="Q2833" s="2"/>
      <c r="R2833" s="2">
        <v>49815</v>
      </c>
      <c r="AB2833" s="2"/>
    </row>
    <row r="2834" spans="8:28" ht="15" customHeight="1">
      <c r="H2834" s="2">
        <v>46976</v>
      </c>
      <c r="I2834" s="2"/>
      <c r="J2834" s="2">
        <v>49719</v>
      </c>
      <c r="K2834" s="2"/>
      <c r="L2834" s="2">
        <v>46707</v>
      </c>
      <c r="M2834" s="2"/>
      <c r="N2834" s="2">
        <v>49989</v>
      </c>
      <c r="P2834" s="2">
        <v>46883</v>
      </c>
      <c r="Q2834" s="2"/>
      <c r="R2834" s="2">
        <v>49816</v>
      </c>
      <c r="AB2834" s="2"/>
    </row>
    <row r="2835" spans="8:28" ht="15" customHeight="1">
      <c r="H2835" s="2">
        <v>46975</v>
      </c>
      <c r="I2835" s="2"/>
      <c r="J2835" s="2">
        <v>49720</v>
      </c>
      <c r="K2835" s="2"/>
      <c r="L2835" s="2">
        <v>46706</v>
      </c>
      <c r="M2835" s="2"/>
      <c r="N2835" s="2">
        <v>49990</v>
      </c>
      <c r="P2835" s="2">
        <v>46882</v>
      </c>
      <c r="Q2835" s="2"/>
      <c r="R2835" s="2">
        <v>49817</v>
      </c>
      <c r="AB2835" s="2"/>
    </row>
    <row r="2836" spans="8:28" ht="15" customHeight="1">
      <c r="H2836" s="2">
        <v>46974</v>
      </c>
      <c r="I2836" s="2"/>
      <c r="J2836" s="2">
        <v>49724</v>
      </c>
      <c r="K2836" s="2"/>
      <c r="L2836" s="2">
        <v>46703</v>
      </c>
      <c r="M2836" s="2"/>
      <c r="N2836" s="2">
        <v>49991</v>
      </c>
      <c r="P2836" s="2">
        <v>46881</v>
      </c>
      <c r="Q2836" s="2"/>
      <c r="R2836" s="2">
        <v>49818</v>
      </c>
      <c r="AB2836" s="2"/>
    </row>
    <row r="2837" spans="8:28" ht="15" customHeight="1">
      <c r="H2837" s="2">
        <v>46973</v>
      </c>
      <c r="I2837" s="2"/>
      <c r="J2837" s="2">
        <v>49725</v>
      </c>
      <c r="K2837" s="2"/>
      <c r="L2837" s="2">
        <v>46702</v>
      </c>
      <c r="M2837" s="2"/>
      <c r="N2837" s="2">
        <v>49992</v>
      </c>
      <c r="P2837" s="2">
        <v>46877</v>
      </c>
      <c r="Q2837" s="2"/>
      <c r="R2837" s="2">
        <v>49821</v>
      </c>
      <c r="AB2837" s="2"/>
    </row>
    <row r="2838" spans="8:28" ht="15" customHeight="1">
      <c r="H2838" s="2">
        <v>46972</v>
      </c>
      <c r="I2838" s="2"/>
      <c r="J2838" s="2">
        <v>49726</v>
      </c>
      <c r="K2838" s="2"/>
      <c r="L2838" s="2">
        <v>46701</v>
      </c>
      <c r="M2838" s="2"/>
      <c r="N2838" s="2">
        <v>49993</v>
      </c>
      <c r="P2838" s="2">
        <v>46876</v>
      </c>
      <c r="Q2838" s="2"/>
      <c r="R2838" s="2">
        <v>49822</v>
      </c>
      <c r="AB2838" s="2"/>
    </row>
    <row r="2839" spans="8:28" ht="15" customHeight="1">
      <c r="H2839" s="2">
        <v>46969</v>
      </c>
      <c r="I2839" s="2"/>
      <c r="J2839" s="2">
        <v>49727</v>
      </c>
      <c r="K2839" s="2"/>
      <c r="L2839" s="2">
        <v>46700</v>
      </c>
      <c r="M2839" s="2"/>
      <c r="N2839" s="2">
        <v>49996</v>
      </c>
      <c r="P2839" s="2">
        <v>46871</v>
      </c>
      <c r="Q2839" s="2"/>
      <c r="R2839" s="2">
        <v>49823</v>
      </c>
      <c r="AB2839" s="2"/>
    </row>
    <row r="2840" spans="8:28" ht="15" customHeight="1">
      <c r="H2840" s="2">
        <v>46968</v>
      </c>
      <c r="I2840" s="2"/>
      <c r="J2840" s="2">
        <v>49730</v>
      </c>
      <c r="K2840" s="2"/>
      <c r="L2840" s="2">
        <v>46699</v>
      </c>
      <c r="M2840" s="2"/>
      <c r="N2840" s="2">
        <v>49997</v>
      </c>
      <c r="P2840" s="2">
        <v>46870</v>
      </c>
      <c r="Q2840" s="2"/>
      <c r="R2840" s="2">
        <v>49824</v>
      </c>
      <c r="AB2840" s="2"/>
    </row>
    <row r="2841" spans="8:28" ht="15" customHeight="1">
      <c r="H2841" s="2">
        <v>46967</v>
      </c>
      <c r="I2841" s="2"/>
      <c r="J2841" s="2">
        <v>49731</v>
      </c>
      <c r="K2841" s="2"/>
      <c r="L2841" s="2">
        <v>46696</v>
      </c>
      <c r="M2841" s="2"/>
      <c r="N2841" s="2">
        <v>49998</v>
      </c>
      <c r="P2841" s="2">
        <v>46869</v>
      </c>
      <c r="Q2841" s="2"/>
      <c r="R2841" s="2">
        <v>49825</v>
      </c>
      <c r="AB2841" s="2"/>
    </row>
    <row r="2842" spans="8:28" ht="15" customHeight="1">
      <c r="H2842" s="2">
        <v>46966</v>
      </c>
      <c r="I2842" s="2"/>
      <c r="J2842" s="2">
        <v>49732</v>
      </c>
      <c r="K2842" s="2"/>
      <c r="L2842" s="2">
        <v>46695</v>
      </c>
      <c r="M2842" s="2"/>
      <c r="N2842" s="2">
        <v>49999</v>
      </c>
      <c r="P2842" s="2">
        <v>46868</v>
      </c>
      <c r="Q2842" s="2"/>
      <c r="R2842" s="2">
        <v>49828</v>
      </c>
      <c r="AB2842" s="2"/>
    </row>
    <row r="2843" spans="8:28" ht="15" customHeight="1">
      <c r="H2843" s="2">
        <v>46965</v>
      </c>
      <c r="I2843" s="2"/>
      <c r="J2843" s="2">
        <v>49733</v>
      </c>
      <c r="K2843" s="2"/>
      <c r="L2843" s="2">
        <v>46693</v>
      </c>
      <c r="M2843" s="2"/>
      <c r="N2843" s="2">
        <v>50000</v>
      </c>
      <c r="P2843" s="2">
        <v>46867</v>
      </c>
      <c r="Q2843" s="2"/>
      <c r="R2843" s="2">
        <v>49829</v>
      </c>
      <c r="AB2843" s="2"/>
    </row>
    <row r="2844" spans="8:28" ht="15" customHeight="1">
      <c r="H2844" s="2">
        <v>46962</v>
      </c>
      <c r="I2844" s="2"/>
      <c r="J2844" s="2">
        <v>49734</v>
      </c>
      <c r="K2844" s="2"/>
      <c r="L2844" s="2">
        <v>46692</v>
      </c>
      <c r="M2844" s="2"/>
      <c r="N2844" s="2">
        <v>50004</v>
      </c>
      <c r="P2844" s="2">
        <v>46864</v>
      </c>
      <c r="Q2844" s="2"/>
      <c r="R2844" s="2">
        <v>49830</v>
      </c>
      <c r="AB2844" s="2"/>
    </row>
    <row r="2845" spans="8:28" ht="15" customHeight="1">
      <c r="H2845" s="2">
        <v>46961</v>
      </c>
      <c r="I2845" s="2"/>
      <c r="J2845" s="2">
        <v>49737</v>
      </c>
      <c r="K2845" s="2"/>
      <c r="L2845" s="2">
        <v>46689</v>
      </c>
      <c r="M2845" s="2"/>
      <c r="N2845" s="2">
        <v>50005</v>
      </c>
      <c r="P2845" s="2">
        <v>46863</v>
      </c>
      <c r="Q2845" s="2"/>
      <c r="R2845" s="2">
        <v>49831</v>
      </c>
      <c r="AB2845" s="2"/>
    </row>
    <row r="2846" spans="8:28" ht="15" customHeight="1">
      <c r="H2846" s="2">
        <v>46960</v>
      </c>
      <c r="I2846" s="2"/>
      <c r="J2846" s="2">
        <v>49738</v>
      </c>
      <c r="K2846" s="2"/>
      <c r="L2846" s="2">
        <v>46688</v>
      </c>
      <c r="M2846" s="2"/>
      <c r="N2846" s="2">
        <v>50007</v>
      </c>
      <c r="P2846" s="2">
        <v>46862</v>
      </c>
      <c r="Q2846" s="2"/>
      <c r="R2846" s="2">
        <v>49835</v>
      </c>
      <c r="AB2846" s="2"/>
    </row>
    <row r="2847" spans="8:28" ht="15" customHeight="1">
      <c r="H2847" s="2">
        <v>46959</v>
      </c>
      <c r="I2847" s="2"/>
      <c r="J2847" s="2">
        <v>49739</v>
      </c>
      <c r="K2847" s="2"/>
      <c r="L2847" s="2">
        <v>46687</v>
      </c>
      <c r="M2847" s="2"/>
      <c r="N2847" s="2">
        <v>50010</v>
      </c>
      <c r="P2847" s="2">
        <v>46861</v>
      </c>
      <c r="Q2847" s="2"/>
      <c r="R2847" s="2">
        <v>49836</v>
      </c>
      <c r="AB2847" s="2"/>
    </row>
    <row r="2848" spans="8:28" ht="15" customHeight="1">
      <c r="H2848" s="2">
        <v>46958</v>
      </c>
      <c r="I2848" s="2"/>
      <c r="J2848" s="2">
        <v>49740</v>
      </c>
      <c r="K2848" s="2"/>
      <c r="L2848" s="2">
        <v>46686</v>
      </c>
      <c r="M2848" s="2"/>
      <c r="N2848" s="2">
        <v>50011</v>
      </c>
      <c r="P2848" s="2">
        <v>46860</v>
      </c>
      <c r="Q2848" s="2"/>
      <c r="R2848" s="2">
        <v>49837</v>
      </c>
      <c r="AB2848" s="2"/>
    </row>
    <row r="2849" spans="8:28" ht="15" customHeight="1">
      <c r="H2849" s="2">
        <v>46955</v>
      </c>
      <c r="I2849" s="2"/>
      <c r="J2849" s="2">
        <v>49741</v>
      </c>
      <c r="K2849" s="2"/>
      <c r="L2849" s="2">
        <v>46685</v>
      </c>
      <c r="M2849" s="2"/>
      <c r="N2849" s="2">
        <v>50012</v>
      </c>
      <c r="P2849" s="2">
        <v>46857</v>
      </c>
      <c r="Q2849" s="2"/>
      <c r="R2849" s="2">
        <v>49838</v>
      </c>
      <c r="AB2849" s="2"/>
    </row>
    <row r="2850" spans="8:28" ht="15" customHeight="1">
      <c r="H2850" s="2">
        <v>46954</v>
      </c>
      <c r="I2850" s="2"/>
      <c r="J2850" s="2">
        <v>49744</v>
      </c>
      <c r="K2850" s="2"/>
      <c r="L2850" s="2">
        <v>46682</v>
      </c>
      <c r="M2850" s="2"/>
      <c r="N2850" s="2">
        <v>50013</v>
      </c>
      <c r="P2850" s="2">
        <v>46856</v>
      </c>
      <c r="Q2850" s="2"/>
      <c r="R2850" s="2">
        <v>49839</v>
      </c>
      <c r="AB2850" s="2"/>
    </row>
    <row r="2851" spans="8:28" ht="15" customHeight="1">
      <c r="H2851" s="2">
        <v>46953</v>
      </c>
      <c r="I2851" s="2"/>
      <c r="J2851" s="2">
        <v>49745</v>
      </c>
      <c r="K2851" s="2"/>
      <c r="L2851" s="2">
        <v>46681</v>
      </c>
      <c r="M2851" s="2"/>
      <c r="N2851" s="2">
        <v>50014</v>
      </c>
      <c r="P2851" s="2">
        <v>46855</v>
      </c>
      <c r="Q2851" s="2"/>
      <c r="R2851" s="2">
        <v>49842</v>
      </c>
      <c r="AB2851" s="2"/>
    </row>
    <row r="2852" spans="8:28" ht="15" customHeight="1">
      <c r="H2852" s="2">
        <v>46952</v>
      </c>
      <c r="I2852" s="2"/>
      <c r="J2852" s="2">
        <v>49746</v>
      </c>
      <c r="K2852" s="2"/>
      <c r="L2852" s="2">
        <v>46680</v>
      </c>
      <c r="M2852" s="2"/>
      <c r="N2852" s="2">
        <v>50017</v>
      </c>
      <c r="P2852" s="2">
        <v>46854</v>
      </c>
      <c r="Q2852" s="2"/>
      <c r="R2852" s="2">
        <v>49843</v>
      </c>
      <c r="AB2852" s="2"/>
    </row>
    <row r="2853" spans="8:28" ht="15" customHeight="1">
      <c r="H2853" s="2">
        <v>46951</v>
      </c>
      <c r="I2853" s="2"/>
      <c r="J2853" s="2">
        <v>49747</v>
      </c>
      <c r="K2853" s="2"/>
      <c r="L2853" s="2">
        <v>46679</v>
      </c>
      <c r="M2853" s="2"/>
      <c r="N2853" s="2">
        <v>50018</v>
      </c>
      <c r="P2853" s="2">
        <v>46853</v>
      </c>
      <c r="Q2853" s="2"/>
      <c r="R2853" s="2">
        <v>49844</v>
      </c>
      <c r="AB2853" s="2"/>
    </row>
    <row r="2854" spans="8:28" ht="15" customHeight="1">
      <c r="H2854" s="2">
        <v>46948</v>
      </c>
      <c r="I2854" s="2"/>
      <c r="J2854" s="2">
        <v>49748</v>
      </c>
      <c r="K2854" s="2"/>
      <c r="L2854" s="2">
        <v>46678</v>
      </c>
      <c r="M2854" s="2"/>
      <c r="N2854" s="2">
        <v>50019</v>
      </c>
      <c r="P2854" s="2">
        <v>46850</v>
      </c>
      <c r="Q2854" s="2"/>
      <c r="R2854" s="2">
        <v>49845</v>
      </c>
      <c r="AB2854" s="2"/>
    </row>
    <row r="2855" spans="8:28" ht="15" customHeight="1">
      <c r="H2855" s="2">
        <v>46947</v>
      </c>
      <c r="I2855" s="2"/>
      <c r="J2855" s="2">
        <v>49751</v>
      </c>
      <c r="K2855" s="2"/>
      <c r="L2855" s="2">
        <v>46675</v>
      </c>
      <c r="M2855" s="2"/>
      <c r="N2855" s="2">
        <v>50020</v>
      </c>
      <c r="P2855" s="2">
        <v>46849</v>
      </c>
      <c r="Q2855" s="2"/>
      <c r="R2855" s="2">
        <v>49846</v>
      </c>
      <c r="AB2855" s="2"/>
    </row>
    <row r="2856" spans="8:28" ht="15" customHeight="1">
      <c r="H2856" s="2">
        <v>46946</v>
      </c>
      <c r="I2856" s="2"/>
      <c r="J2856" s="2">
        <v>49752</v>
      </c>
      <c r="K2856" s="2"/>
      <c r="L2856" s="2">
        <v>46674</v>
      </c>
      <c r="M2856" s="2"/>
      <c r="N2856" s="2">
        <v>50021</v>
      </c>
      <c r="P2856" s="2">
        <v>46848</v>
      </c>
      <c r="Q2856" s="2"/>
      <c r="R2856" s="2">
        <v>49849</v>
      </c>
      <c r="AB2856" s="2"/>
    </row>
    <row r="2857" spans="8:28" ht="15" customHeight="1">
      <c r="H2857" s="2">
        <v>46945</v>
      </c>
      <c r="I2857" s="2"/>
      <c r="J2857" s="2">
        <v>49753</v>
      </c>
      <c r="K2857" s="2"/>
      <c r="L2857" s="2">
        <v>46673</v>
      </c>
      <c r="M2857" s="2"/>
      <c r="N2857" s="2">
        <v>50024</v>
      </c>
      <c r="P2857" s="2">
        <v>46847</v>
      </c>
      <c r="Q2857" s="2"/>
      <c r="R2857" s="2">
        <v>49850</v>
      </c>
      <c r="AB2857" s="2"/>
    </row>
    <row r="2858" spans="8:28" ht="15" customHeight="1">
      <c r="H2858" s="2">
        <v>46944</v>
      </c>
      <c r="I2858" s="2"/>
      <c r="J2858" s="2">
        <v>49754</v>
      </c>
      <c r="K2858" s="2"/>
      <c r="L2858" s="2">
        <v>46672</v>
      </c>
      <c r="M2858" s="2"/>
      <c r="N2858" s="2">
        <v>50025</v>
      </c>
      <c r="P2858" s="2">
        <v>46846</v>
      </c>
      <c r="Q2858" s="2"/>
      <c r="R2858" s="2">
        <v>49851</v>
      </c>
      <c r="AB2858" s="2"/>
    </row>
    <row r="2859" spans="8:28" ht="15" customHeight="1">
      <c r="H2859" s="2">
        <v>46941</v>
      </c>
      <c r="I2859" s="2"/>
      <c r="J2859" s="2">
        <v>49755</v>
      </c>
      <c r="K2859" s="2"/>
      <c r="L2859" s="2">
        <v>46668</v>
      </c>
      <c r="M2859" s="2"/>
      <c r="N2859" s="2">
        <v>50026</v>
      </c>
      <c r="P2859" s="2">
        <v>46843</v>
      </c>
      <c r="Q2859" s="2"/>
      <c r="R2859" s="2">
        <v>49852</v>
      </c>
      <c r="AB2859" s="2"/>
    </row>
    <row r="2860" spans="8:28" ht="15" customHeight="1">
      <c r="H2860" s="2">
        <v>46940</v>
      </c>
      <c r="I2860" s="2"/>
      <c r="J2860" s="2">
        <v>49758</v>
      </c>
      <c r="K2860" s="2"/>
      <c r="L2860" s="2">
        <v>46667</v>
      </c>
      <c r="M2860" s="2"/>
      <c r="N2860" s="2">
        <v>50027</v>
      </c>
      <c r="P2860" s="2">
        <v>46842</v>
      </c>
      <c r="Q2860" s="2"/>
      <c r="R2860" s="2">
        <v>49853</v>
      </c>
      <c r="AB2860" s="2"/>
    </row>
    <row r="2861" spans="8:28" ht="15" customHeight="1">
      <c r="H2861" s="2">
        <v>46939</v>
      </c>
      <c r="I2861" s="2"/>
      <c r="J2861" s="2">
        <v>49759</v>
      </c>
      <c r="K2861" s="2"/>
      <c r="L2861" s="2">
        <v>46666</v>
      </c>
      <c r="M2861" s="2"/>
      <c r="N2861" s="2">
        <v>50028</v>
      </c>
      <c r="P2861" s="2">
        <v>46841</v>
      </c>
      <c r="Q2861" s="2"/>
      <c r="R2861" s="2">
        <v>49856</v>
      </c>
      <c r="AB2861" s="2"/>
    </row>
    <row r="2862" spans="8:28" ht="15" customHeight="1">
      <c r="H2862" s="2">
        <v>46937</v>
      </c>
      <c r="I2862" s="2"/>
      <c r="J2862" s="2">
        <v>49760</v>
      </c>
      <c r="K2862" s="2"/>
      <c r="L2862" s="2">
        <v>46665</v>
      </c>
      <c r="M2862" s="2"/>
      <c r="N2862" s="2">
        <v>50031</v>
      </c>
      <c r="P2862" s="2">
        <v>46840</v>
      </c>
      <c r="Q2862" s="2"/>
      <c r="R2862" s="2">
        <v>49857</v>
      </c>
      <c r="AB2862" s="2"/>
    </row>
    <row r="2863" spans="8:28" ht="15" customHeight="1">
      <c r="H2863" s="2">
        <v>46934</v>
      </c>
      <c r="I2863" s="2"/>
      <c r="J2863" s="2">
        <v>49761</v>
      </c>
      <c r="K2863" s="2"/>
      <c r="L2863" s="2">
        <v>46664</v>
      </c>
      <c r="M2863" s="2"/>
      <c r="N2863" s="2">
        <v>50032</v>
      </c>
      <c r="P2863" s="2">
        <v>46839</v>
      </c>
      <c r="Q2863" s="2"/>
      <c r="R2863" s="2">
        <v>49858</v>
      </c>
      <c r="AB2863" s="2"/>
    </row>
    <row r="2864" spans="8:28" ht="15" customHeight="1">
      <c r="H2864" s="2">
        <v>46933</v>
      </c>
      <c r="I2864" s="2"/>
      <c r="J2864" s="2">
        <v>49762</v>
      </c>
      <c r="K2864" s="2"/>
      <c r="L2864" s="2">
        <v>46661</v>
      </c>
      <c r="M2864" s="2"/>
      <c r="N2864" s="2">
        <v>50033</v>
      </c>
      <c r="P2864" s="2">
        <v>46836</v>
      </c>
      <c r="Q2864" s="2"/>
      <c r="R2864" s="2">
        <v>49859</v>
      </c>
      <c r="AB2864" s="2"/>
    </row>
    <row r="2865" spans="8:28" ht="15" customHeight="1">
      <c r="H2865" s="2">
        <v>46932</v>
      </c>
      <c r="I2865" s="2"/>
      <c r="J2865" s="2">
        <v>49765</v>
      </c>
      <c r="K2865" s="2"/>
      <c r="L2865" s="2">
        <v>46660</v>
      </c>
      <c r="M2865" s="2"/>
      <c r="N2865" s="2">
        <v>50035</v>
      </c>
      <c r="P2865" s="2">
        <v>46835</v>
      </c>
      <c r="Q2865" s="2"/>
      <c r="R2865" s="2">
        <v>49860</v>
      </c>
      <c r="AB2865" s="2"/>
    </row>
    <row r="2866" spans="8:28" ht="15" customHeight="1">
      <c r="H2866" s="2">
        <v>46931</v>
      </c>
      <c r="I2866" s="2"/>
      <c r="J2866" s="2">
        <v>49766</v>
      </c>
      <c r="K2866" s="2"/>
      <c r="L2866" s="2">
        <v>46659</v>
      </c>
      <c r="M2866" s="2"/>
      <c r="N2866" s="2">
        <v>50038</v>
      </c>
      <c r="P2866" s="2">
        <v>46834</v>
      </c>
      <c r="Q2866" s="2"/>
      <c r="R2866" s="2">
        <v>49863</v>
      </c>
      <c r="AB2866" s="2"/>
    </row>
    <row r="2867" spans="8:28" ht="15" customHeight="1">
      <c r="H2867" s="2">
        <v>46930</v>
      </c>
      <c r="I2867" s="2"/>
      <c r="J2867" s="2">
        <v>49767</v>
      </c>
      <c r="K2867" s="2"/>
      <c r="L2867" s="2">
        <v>46658</v>
      </c>
      <c r="M2867" s="2"/>
      <c r="N2867" s="2">
        <v>50039</v>
      </c>
      <c r="P2867" s="2">
        <v>46833</v>
      </c>
      <c r="Q2867" s="2"/>
      <c r="R2867" s="2">
        <v>49864</v>
      </c>
      <c r="AB2867" s="2"/>
    </row>
    <row r="2868" spans="8:28" ht="15" customHeight="1">
      <c r="H2868" s="2">
        <v>46927</v>
      </c>
      <c r="I2868" s="2"/>
      <c r="J2868" s="2">
        <v>49768</v>
      </c>
      <c r="K2868" s="2"/>
      <c r="L2868" s="2">
        <v>46657</v>
      </c>
      <c r="M2868" s="2"/>
      <c r="N2868" s="2">
        <v>50045</v>
      </c>
      <c r="P2868" s="2">
        <v>46832</v>
      </c>
      <c r="Q2868" s="2"/>
      <c r="R2868" s="2">
        <v>49865</v>
      </c>
      <c r="AB2868" s="2"/>
    </row>
    <row r="2869" spans="8:28" ht="15" customHeight="1">
      <c r="H2869" s="2">
        <v>46926</v>
      </c>
      <c r="I2869" s="2"/>
      <c r="J2869" s="2">
        <v>49769</v>
      </c>
      <c r="K2869" s="2"/>
      <c r="L2869" s="2">
        <v>46654</v>
      </c>
      <c r="M2869" s="2"/>
      <c r="N2869" s="2">
        <v>50046</v>
      </c>
      <c r="P2869" s="2">
        <v>46829</v>
      </c>
      <c r="Q2869" s="2"/>
      <c r="R2869" s="2">
        <v>49866</v>
      </c>
      <c r="AB2869" s="2"/>
    </row>
    <row r="2870" spans="8:28" ht="15" customHeight="1">
      <c r="H2870" s="2">
        <v>46925</v>
      </c>
      <c r="I2870" s="2"/>
      <c r="J2870" s="2">
        <v>49772</v>
      </c>
      <c r="K2870" s="2"/>
      <c r="L2870" s="2">
        <v>46652</v>
      </c>
      <c r="M2870" s="2"/>
      <c r="N2870" s="2">
        <v>50047</v>
      </c>
      <c r="P2870" s="2">
        <v>46828</v>
      </c>
      <c r="Q2870" s="2"/>
      <c r="R2870" s="2">
        <v>49867</v>
      </c>
      <c r="AB2870" s="2"/>
    </row>
    <row r="2871" spans="8:28" ht="15" customHeight="1">
      <c r="H2871" s="2">
        <v>46924</v>
      </c>
      <c r="I2871" s="2"/>
      <c r="J2871" s="2">
        <v>49773</v>
      </c>
      <c r="K2871" s="2"/>
      <c r="L2871" s="2">
        <v>46651</v>
      </c>
      <c r="M2871" s="2"/>
      <c r="N2871" s="2">
        <v>50048</v>
      </c>
      <c r="P2871" s="2">
        <v>46827</v>
      </c>
      <c r="Q2871" s="2"/>
      <c r="R2871" s="2">
        <v>49870</v>
      </c>
      <c r="AB2871" s="2"/>
    </row>
    <row r="2872" spans="8:28" ht="15" customHeight="1">
      <c r="H2872" s="2">
        <v>46920</v>
      </c>
      <c r="I2872" s="2"/>
      <c r="J2872" s="2">
        <v>49774</v>
      </c>
      <c r="K2872" s="2"/>
      <c r="L2872" s="2">
        <v>46647</v>
      </c>
      <c r="M2872" s="2"/>
      <c r="N2872" s="2">
        <v>50049</v>
      </c>
      <c r="P2872" s="2">
        <v>46826</v>
      </c>
      <c r="Q2872" s="2"/>
      <c r="R2872" s="2">
        <v>49871</v>
      </c>
      <c r="AB2872" s="2"/>
    </row>
    <row r="2873" spans="8:28" ht="15" customHeight="1">
      <c r="H2873" s="2">
        <v>46919</v>
      </c>
      <c r="I2873" s="2"/>
      <c r="J2873" s="2">
        <v>49775</v>
      </c>
      <c r="K2873" s="2"/>
      <c r="L2873" s="2">
        <v>46646</v>
      </c>
      <c r="M2873" s="2"/>
      <c r="N2873" s="2">
        <v>50053</v>
      </c>
      <c r="P2873" s="2">
        <v>46825</v>
      </c>
      <c r="Q2873" s="2"/>
      <c r="R2873" s="2">
        <v>49872</v>
      </c>
      <c r="AB2873" s="2"/>
    </row>
    <row r="2874" spans="8:28" ht="15" customHeight="1">
      <c r="H2874" s="2">
        <v>46918</v>
      </c>
      <c r="I2874" s="2"/>
      <c r="J2874" s="2">
        <v>49779</v>
      </c>
      <c r="K2874" s="2"/>
      <c r="L2874" s="2">
        <v>46645</v>
      </c>
      <c r="M2874" s="2"/>
      <c r="N2874" s="2">
        <v>50054</v>
      </c>
      <c r="P2874" s="2">
        <v>46822</v>
      </c>
      <c r="Q2874" s="2"/>
      <c r="R2874" s="2">
        <v>49873</v>
      </c>
      <c r="AB2874" s="2"/>
    </row>
    <row r="2875" spans="8:28" ht="15" customHeight="1">
      <c r="H2875" s="2">
        <v>46917</v>
      </c>
      <c r="I2875" s="2"/>
      <c r="J2875" s="2">
        <v>49780</v>
      </c>
      <c r="K2875" s="2"/>
      <c r="L2875" s="2">
        <v>46644</v>
      </c>
      <c r="M2875" s="2"/>
      <c r="N2875" s="2">
        <v>50055</v>
      </c>
      <c r="P2875" s="2">
        <v>46821</v>
      </c>
      <c r="Q2875" s="2"/>
      <c r="R2875" s="2">
        <v>49874</v>
      </c>
      <c r="AB2875" s="2"/>
    </row>
    <row r="2876" spans="8:28" ht="15" customHeight="1">
      <c r="H2876" s="2">
        <v>46916</v>
      </c>
      <c r="I2876" s="2"/>
      <c r="J2876" s="2">
        <v>49781</v>
      </c>
      <c r="K2876" s="2"/>
      <c r="L2876" s="2">
        <v>46643</v>
      </c>
      <c r="M2876" s="2"/>
      <c r="N2876" s="2">
        <v>50056</v>
      </c>
      <c r="P2876" s="2">
        <v>46820</v>
      </c>
      <c r="Q2876" s="2"/>
      <c r="R2876" s="2">
        <v>49877</v>
      </c>
      <c r="AB2876" s="2"/>
    </row>
    <row r="2877" spans="8:28" ht="15" customHeight="1">
      <c r="H2877" s="2">
        <v>46913</v>
      </c>
      <c r="I2877" s="2"/>
      <c r="J2877" s="2">
        <v>49782</v>
      </c>
      <c r="K2877" s="2"/>
      <c r="L2877" s="2">
        <v>46640</v>
      </c>
      <c r="M2877" s="2"/>
      <c r="N2877" s="2">
        <v>50060</v>
      </c>
      <c r="P2877" s="2">
        <v>46819</v>
      </c>
      <c r="Q2877" s="2"/>
      <c r="R2877" s="2">
        <v>49878</v>
      </c>
      <c r="AB2877" s="2"/>
    </row>
    <row r="2878" spans="8:28" ht="15" customHeight="1">
      <c r="H2878" s="2">
        <v>46912</v>
      </c>
      <c r="I2878" s="2"/>
      <c r="J2878" s="2">
        <v>49783</v>
      </c>
      <c r="K2878" s="2"/>
      <c r="L2878" s="2">
        <v>46639</v>
      </c>
      <c r="M2878" s="2"/>
      <c r="N2878" s="2">
        <v>50061</v>
      </c>
      <c r="P2878" s="2">
        <v>46818</v>
      </c>
      <c r="Q2878" s="2"/>
      <c r="R2878" s="2">
        <v>49879</v>
      </c>
      <c r="AB2878" s="2"/>
    </row>
    <row r="2879" spans="8:28" ht="15" customHeight="1">
      <c r="H2879" s="2">
        <v>46911</v>
      </c>
      <c r="I2879" s="2"/>
      <c r="J2879" s="2">
        <v>49786</v>
      </c>
      <c r="K2879" s="2"/>
      <c r="L2879" s="2">
        <v>46638</v>
      </c>
      <c r="M2879" s="2"/>
      <c r="N2879" s="2">
        <v>50062</v>
      </c>
      <c r="P2879" s="2">
        <v>46815</v>
      </c>
      <c r="Q2879" s="2"/>
      <c r="R2879" s="2">
        <v>49880</v>
      </c>
      <c r="AB2879" s="2"/>
    </row>
    <row r="2880" spans="8:28" ht="15" customHeight="1">
      <c r="H2880" s="2">
        <v>46910</v>
      </c>
      <c r="I2880" s="2"/>
      <c r="J2880" s="2">
        <v>49787</v>
      </c>
      <c r="K2880" s="2"/>
      <c r="L2880" s="2">
        <v>46637</v>
      </c>
      <c r="M2880" s="2"/>
      <c r="N2880" s="2">
        <v>50063</v>
      </c>
      <c r="P2880" s="2">
        <v>46814</v>
      </c>
      <c r="Q2880" s="2"/>
      <c r="R2880" s="2">
        <v>49881</v>
      </c>
      <c r="AB2880" s="2"/>
    </row>
    <row r="2881" spans="8:28" ht="15" customHeight="1">
      <c r="H2881" s="2">
        <v>46909</v>
      </c>
      <c r="I2881" s="2"/>
      <c r="J2881" s="2">
        <v>49788</v>
      </c>
      <c r="K2881" s="2"/>
      <c r="L2881" s="2">
        <v>46633</v>
      </c>
      <c r="M2881" s="2"/>
      <c r="N2881" s="2">
        <v>50066</v>
      </c>
      <c r="P2881" s="2">
        <v>46812</v>
      </c>
      <c r="Q2881" s="2"/>
      <c r="R2881" s="2">
        <v>49884</v>
      </c>
      <c r="AB2881" s="2"/>
    </row>
    <row r="2882" spans="8:28" ht="15" customHeight="1">
      <c r="H2882" s="2">
        <v>46906</v>
      </c>
      <c r="I2882" s="2"/>
      <c r="J2882" s="2">
        <v>49789</v>
      </c>
      <c r="K2882" s="2"/>
      <c r="L2882" s="2">
        <v>46632</v>
      </c>
      <c r="M2882" s="2"/>
      <c r="N2882" s="2">
        <v>50067</v>
      </c>
      <c r="P2882" s="2">
        <v>46811</v>
      </c>
      <c r="Q2882" s="2"/>
      <c r="R2882" s="2">
        <v>49885</v>
      </c>
      <c r="AB2882" s="2"/>
    </row>
    <row r="2883" spans="8:28" ht="15" customHeight="1">
      <c r="H2883" s="2">
        <v>46905</v>
      </c>
      <c r="I2883" s="2"/>
      <c r="J2883" s="2">
        <v>49790</v>
      </c>
      <c r="K2883" s="2"/>
      <c r="L2883" s="2">
        <v>46631</v>
      </c>
      <c r="M2883" s="2"/>
      <c r="N2883" s="2">
        <v>50068</v>
      </c>
      <c r="P2883" s="2">
        <v>46808</v>
      </c>
      <c r="Q2883" s="2"/>
      <c r="R2883" s="2">
        <v>49886</v>
      </c>
      <c r="AB2883" s="2"/>
    </row>
    <row r="2884" spans="8:28" ht="15" customHeight="1">
      <c r="H2884" s="2">
        <v>46904</v>
      </c>
      <c r="I2884" s="2"/>
      <c r="J2884" s="2">
        <v>49793</v>
      </c>
      <c r="K2884" s="2"/>
      <c r="L2884" s="2">
        <v>46630</v>
      </c>
      <c r="M2884" s="2"/>
      <c r="N2884" s="2">
        <v>50069</v>
      </c>
      <c r="P2884" s="2">
        <v>46807</v>
      </c>
      <c r="Q2884" s="2"/>
      <c r="R2884" s="2">
        <v>49887</v>
      </c>
      <c r="AB2884" s="2"/>
    </row>
    <row r="2885" spans="8:28" ht="15" customHeight="1">
      <c r="H2885" s="2">
        <v>46903</v>
      </c>
      <c r="I2885" s="2"/>
      <c r="J2885" s="2">
        <v>49794</v>
      </c>
      <c r="K2885" s="2"/>
      <c r="L2885" s="2">
        <v>46629</v>
      </c>
      <c r="M2885" s="2"/>
      <c r="N2885" s="2">
        <v>50070</v>
      </c>
      <c r="P2885" s="2">
        <v>46806</v>
      </c>
      <c r="Q2885" s="2"/>
      <c r="R2885" s="2">
        <v>49888</v>
      </c>
      <c r="AB2885" s="2"/>
    </row>
    <row r="2886" spans="8:28" ht="15" customHeight="1">
      <c r="H2886" s="2">
        <v>46899</v>
      </c>
      <c r="I2886" s="2"/>
      <c r="J2886" s="2">
        <v>49795</v>
      </c>
      <c r="K2886" s="2"/>
      <c r="L2886" s="2">
        <v>46626</v>
      </c>
      <c r="M2886" s="2"/>
      <c r="N2886" s="2">
        <v>50073</v>
      </c>
      <c r="P2886" s="2">
        <v>46805</v>
      </c>
      <c r="Q2886" s="2"/>
      <c r="R2886" s="2">
        <v>49891</v>
      </c>
      <c r="AB2886" s="2"/>
    </row>
    <row r="2887" spans="8:28" ht="15" customHeight="1">
      <c r="H2887" s="2">
        <v>46898</v>
      </c>
      <c r="I2887" s="2"/>
      <c r="J2887" s="2">
        <v>49796</v>
      </c>
      <c r="K2887" s="2"/>
      <c r="L2887" s="2">
        <v>46625</v>
      </c>
      <c r="M2887" s="2"/>
      <c r="N2887" s="2">
        <v>50074</v>
      </c>
      <c r="P2887" s="2">
        <v>46804</v>
      </c>
      <c r="Q2887" s="2"/>
      <c r="R2887" s="2">
        <v>49892</v>
      </c>
      <c r="AB2887" s="2"/>
    </row>
    <row r="2888" spans="8:28" ht="15" customHeight="1">
      <c r="H2888" s="2">
        <v>46897</v>
      </c>
      <c r="I2888" s="2"/>
      <c r="J2888" s="2">
        <v>49797</v>
      </c>
      <c r="K2888" s="2"/>
      <c r="L2888" s="2">
        <v>46624</v>
      </c>
      <c r="M2888" s="2"/>
      <c r="N2888" s="2">
        <v>50075</v>
      </c>
      <c r="P2888" s="2">
        <v>46801</v>
      </c>
      <c r="Q2888" s="2"/>
      <c r="R2888" s="2">
        <v>49893</v>
      </c>
      <c r="AB2888" s="2"/>
    </row>
    <row r="2889" spans="8:28" ht="15" customHeight="1">
      <c r="H2889" s="2">
        <v>46896</v>
      </c>
      <c r="I2889" s="2"/>
      <c r="J2889" s="2">
        <v>49800</v>
      </c>
      <c r="K2889" s="2"/>
      <c r="L2889" s="2">
        <v>46623</v>
      </c>
      <c r="M2889" s="2"/>
      <c r="N2889" s="2">
        <v>50076</v>
      </c>
      <c r="P2889" s="2">
        <v>46800</v>
      </c>
      <c r="Q2889" s="2"/>
      <c r="R2889" s="2">
        <v>49894</v>
      </c>
      <c r="AB2889" s="2"/>
    </row>
    <row r="2890" spans="8:28" ht="15" customHeight="1">
      <c r="H2890" s="2">
        <v>46895</v>
      </c>
      <c r="I2890" s="2"/>
      <c r="J2890" s="2">
        <v>49801</v>
      </c>
      <c r="K2890" s="2"/>
      <c r="L2890" s="2">
        <v>46622</v>
      </c>
      <c r="M2890" s="2"/>
      <c r="N2890" s="2">
        <v>50077</v>
      </c>
      <c r="P2890" s="2">
        <v>46799</v>
      </c>
      <c r="Q2890" s="2"/>
      <c r="R2890" s="2">
        <v>49895</v>
      </c>
      <c r="AB2890" s="2"/>
    </row>
    <row r="2891" spans="8:28" ht="15" customHeight="1">
      <c r="H2891" s="2">
        <v>46892</v>
      </c>
      <c r="I2891" s="2"/>
      <c r="J2891" s="2">
        <v>49802</v>
      </c>
      <c r="K2891" s="2"/>
      <c r="L2891" s="2">
        <v>46619</v>
      </c>
      <c r="M2891" s="2"/>
      <c r="N2891" s="2">
        <v>50080</v>
      </c>
      <c r="P2891" s="2">
        <v>46798</v>
      </c>
      <c r="Q2891" s="2"/>
      <c r="R2891" s="2">
        <v>49898</v>
      </c>
      <c r="AB2891" s="2"/>
    </row>
    <row r="2892" spans="8:28" ht="15" customHeight="1">
      <c r="H2892" s="2">
        <v>46891</v>
      </c>
      <c r="I2892" s="2"/>
      <c r="J2892" s="2">
        <v>49803</v>
      </c>
      <c r="K2892" s="2"/>
      <c r="L2892" s="2">
        <v>46618</v>
      </c>
      <c r="M2892" s="2"/>
      <c r="N2892" s="2">
        <v>50081</v>
      </c>
      <c r="P2892" s="2">
        <v>46797</v>
      </c>
      <c r="Q2892" s="2"/>
      <c r="R2892" s="2">
        <v>49899</v>
      </c>
      <c r="AB2892" s="2"/>
    </row>
    <row r="2893" spans="8:28" ht="15" customHeight="1">
      <c r="H2893" s="2">
        <v>46890</v>
      </c>
      <c r="I2893" s="2"/>
      <c r="J2893" s="2">
        <v>49804</v>
      </c>
      <c r="K2893" s="2"/>
      <c r="L2893" s="2">
        <v>46617</v>
      </c>
      <c r="M2893" s="2"/>
      <c r="N2893" s="2">
        <v>50083</v>
      </c>
      <c r="P2893" s="2">
        <v>46794</v>
      </c>
      <c r="Q2893" s="2"/>
      <c r="R2893" s="2">
        <v>49900</v>
      </c>
      <c r="AB2893" s="2"/>
    </row>
    <row r="2894" spans="8:28" ht="15" customHeight="1">
      <c r="H2894" s="2">
        <v>46889</v>
      </c>
      <c r="I2894" s="2"/>
      <c r="J2894" s="2">
        <v>49807</v>
      </c>
      <c r="K2894" s="2"/>
      <c r="L2894" s="2">
        <v>46616</v>
      </c>
      <c r="M2894" s="2"/>
      <c r="N2894" s="2">
        <v>50084</v>
      </c>
      <c r="P2894" s="2">
        <v>46793</v>
      </c>
      <c r="Q2894" s="2"/>
      <c r="R2894" s="2">
        <v>49901</v>
      </c>
      <c r="AB2894" s="2"/>
    </row>
    <row r="2895" spans="8:28" ht="15" customHeight="1">
      <c r="H2895" s="2">
        <v>46888</v>
      </c>
      <c r="I2895" s="2"/>
      <c r="J2895" s="2">
        <v>49808</v>
      </c>
      <c r="K2895" s="2"/>
      <c r="L2895" s="2">
        <v>46615</v>
      </c>
      <c r="M2895" s="2"/>
      <c r="N2895" s="2">
        <v>50088</v>
      </c>
      <c r="P2895" s="2">
        <v>46792</v>
      </c>
      <c r="Q2895" s="2"/>
      <c r="R2895" s="2">
        <v>49905</v>
      </c>
      <c r="AB2895" s="2"/>
    </row>
    <row r="2896" spans="8:28" ht="15" customHeight="1">
      <c r="H2896" s="2">
        <v>46885</v>
      </c>
      <c r="I2896" s="2"/>
      <c r="J2896" s="2">
        <v>49809</v>
      </c>
      <c r="K2896" s="2"/>
      <c r="L2896" s="2">
        <v>46612</v>
      </c>
      <c r="M2896" s="2"/>
      <c r="N2896" s="2">
        <v>50089</v>
      </c>
      <c r="P2896" s="2">
        <v>46791</v>
      </c>
      <c r="Q2896" s="2"/>
      <c r="R2896" s="2">
        <v>49906</v>
      </c>
      <c r="AB2896" s="2"/>
    </row>
    <row r="2897" spans="8:28" ht="15" customHeight="1">
      <c r="H2897" s="2">
        <v>46884</v>
      </c>
      <c r="I2897" s="2"/>
      <c r="J2897" s="2">
        <v>49810</v>
      </c>
      <c r="K2897" s="2"/>
      <c r="L2897" s="2">
        <v>46611</v>
      </c>
      <c r="M2897" s="2"/>
      <c r="N2897" s="2">
        <v>50090</v>
      </c>
      <c r="P2897" s="2">
        <v>46790</v>
      </c>
      <c r="Q2897" s="2"/>
      <c r="R2897" s="2">
        <v>49907</v>
      </c>
      <c r="AB2897" s="2"/>
    </row>
    <row r="2898" spans="8:28" ht="15" customHeight="1">
      <c r="H2898" s="2">
        <v>46883</v>
      </c>
      <c r="I2898" s="2"/>
      <c r="J2898" s="2">
        <v>49811</v>
      </c>
      <c r="K2898" s="2"/>
      <c r="L2898" s="2">
        <v>46609</v>
      </c>
      <c r="M2898" s="2"/>
      <c r="N2898" s="2">
        <v>50091</v>
      </c>
      <c r="P2898" s="2">
        <v>46787</v>
      </c>
      <c r="Q2898" s="2"/>
      <c r="R2898" s="2">
        <v>49908</v>
      </c>
      <c r="AB2898" s="2"/>
    </row>
    <row r="2899" spans="8:28" ht="15" customHeight="1">
      <c r="H2899" s="2">
        <v>46882</v>
      </c>
      <c r="I2899" s="2"/>
      <c r="J2899" s="2">
        <v>49814</v>
      </c>
      <c r="K2899" s="2"/>
      <c r="L2899" s="2">
        <v>46608</v>
      </c>
      <c r="M2899" s="2"/>
      <c r="N2899" s="2">
        <v>50095</v>
      </c>
      <c r="P2899" s="2">
        <v>46786</v>
      </c>
      <c r="Q2899" s="2"/>
      <c r="R2899" s="2">
        <v>49909</v>
      </c>
      <c r="AB2899" s="2"/>
    </row>
    <row r="2900" spans="8:28" ht="15" customHeight="1">
      <c r="H2900" s="2">
        <v>46881</v>
      </c>
      <c r="I2900" s="2"/>
      <c r="J2900" s="2">
        <v>49815</v>
      </c>
      <c r="K2900" s="2"/>
      <c r="L2900" s="2">
        <v>46605</v>
      </c>
      <c r="M2900" s="2"/>
      <c r="N2900" s="2">
        <v>50096</v>
      </c>
      <c r="P2900" s="2">
        <v>46785</v>
      </c>
      <c r="Q2900" s="2"/>
      <c r="R2900" s="2">
        <v>49912</v>
      </c>
      <c r="AB2900" s="2"/>
    </row>
    <row r="2901" spans="8:28" ht="15" customHeight="1">
      <c r="H2901" s="2">
        <v>46878</v>
      </c>
      <c r="I2901" s="2"/>
      <c r="J2901" s="2">
        <v>49816</v>
      </c>
      <c r="K2901" s="2"/>
      <c r="L2901" s="2">
        <v>46604</v>
      </c>
      <c r="M2901" s="2"/>
      <c r="N2901" s="2">
        <v>50097</v>
      </c>
      <c r="P2901" s="2">
        <v>46784</v>
      </c>
      <c r="Q2901" s="2"/>
      <c r="R2901" s="2">
        <v>49913</v>
      </c>
      <c r="AB2901" s="2"/>
    </row>
    <row r="2902" spans="8:28" ht="15" customHeight="1">
      <c r="H2902" s="2">
        <v>46877</v>
      </c>
      <c r="I2902" s="2"/>
      <c r="J2902" s="2">
        <v>49817</v>
      </c>
      <c r="K2902" s="2"/>
      <c r="L2902" s="2">
        <v>46603</v>
      </c>
      <c r="M2902" s="2"/>
      <c r="N2902" s="2">
        <v>50098</v>
      </c>
      <c r="P2902" s="2">
        <v>46783</v>
      </c>
      <c r="Q2902" s="2"/>
      <c r="R2902" s="2">
        <v>49914</v>
      </c>
      <c r="AB2902" s="2"/>
    </row>
    <row r="2903" spans="8:28" ht="15" customHeight="1">
      <c r="H2903" s="2">
        <v>46876</v>
      </c>
      <c r="I2903" s="2"/>
      <c r="J2903" s="2">
        <v>49818</v>
      </c>
      <c r="K2903" s="2"/>
      <c r="L2903" s="2">
        <v>46602</v>
      </c>
      <c r="M2903" s="2"/>
      <c r="N2903" s="2">
        <v>50101</v>
      </c>
      <c r="P2903" s="2">
        <v>46777</v>
      </c>
      <c r="Q2903" s="2"/>
      <c r="R2903" s="2">
        <v>49915</v>
      </c>
      <c r="AB2903" s="2"/>
    </row>
    <row r="2904" spans="8:28" ht="15" customHeight="1">
      <c r="H2904" s="2">
        <v>46875</v>
      </c>
      <c r="I2904" s="2"/>
      <c r="J2904" s="2">
        <v>49822</v>
      </c>
      <c r="K2904" s="2"/>
      <c r="L2904" s="2">
        <v>46601</v>
      </c>
      <c r="M2904" s="2"/>
      <c r="N2904" s="2">
        <v>50102</v>
      </c>
      <c r="P2904" s="2">
        <v>46776</v>
      </c>
      <c r="Q2904" s="2"/>
      <c r="R2904" s="2">
        <v>49916</v>
      </c>
      <c r="AB2904" s="2"/>
    </row>
    <row r="2905" spans="8:28" ht="15" customHeight="1">
      <c r="H2905" s="2">
        <v>46874</v>
      </c>
      <c r="I2905" s="2"/>
      <c r="J2905" s="2">
        <v>49823</v>
      </c>
      <c r="K2905" s="2"/>
      <c r="L2905" s="2">
        <v>46598</v>
      </c>
      <c r="M2905" s="2"/>
      <c r="N2905" s="2">
        <v>50103</v>
      </c>
      <c r="P2905" s="2">
        <v>46773</v>
      </c>
      <c r="Q2905" s="2"/>
      <c r="R2905" s="2">
        <v>49919</v>
      </c>
      <c r="AB2905" s="2"/>
    </row>
    <row r="2906" spans="8:28" ht="15" customHeight="1">
      <c r="H2906" s="2">
        <v>46871</v>
      </c>
      <c r="I2906" s="2"/>
      <c r="J2906" s="2">
        <v>49824</v>
      </c>
      <c r="K2906" s="2"/>
      <c r="L2906" s="2">
        <v>46597</v>
      </c>
      <c r="M2906" s="2"/>
      <c r="N2906" s="2">
        <v>50104</v>
      </c>
      <c r="P2906" s="2">
        <v>46772</v>
      </c>
      <c r="Q2906" s="2"/>
      <c r="R2906" s="2">
        <v>49920</v>
      </c>
      <c r="AB2906" s="2"/>
    </row>
    <row r="2907" spans="8:28" ht="15" customHeight="1">
      <c r="H2907" s="2">
        <v>46870</v>
      </c>
      <c r="I2907" s="2"/>
      <c r="J2907" s="2">
        <v>49825</v>
      </c>
      <c r="K2907" s="2"/>
      <c r="L2907" s="2">
        <v>46596</v>
      </c>
      <c r="M2907" s="2"/>
      <c r="N2907" s="2">
        <v>50105</v>
      </c>
      <c r="P2907" s="2">
        <v>46771</v>
      </c>
      <c r="Q2907" s="2"/>
      <c r="R2907" s="2">
        <v>49921</v>
      </c>
      <c r="AB2907" s="2"/>
    </row>
    <row r="2908" spans="8:28" ht="15" customHeight="1">
      <c r="H2908" s="2">
        <v>46869</v>
      </c>
      <c r="I2908" s="2"/>
      <c r="J2908" s="2">
        <v>49828</v>
      </c>
      <c r="K2908" s="2"/>
      <c r="L2908" s="2">
        <v>46595</v>
      </c>
      <c r="M2908" s="2"/>
      <c r="N2908" s="2">
        <v>50108</v>
      </c>
      <c r="P2908" s="2">
        <v>46770</v>
      </c>
      <c r="Q2908" s="2"/>
      <c r="R2908" s="2">
        <v>49922</v>
      </c>
      <c r="AB2908" s="2"/>
    </row>
    <row r="2909" spans="8:28" ht="15" customHeight="1">
      <c r="H2909" s="2">
        <v>46868</v>
      </c>
      <c r="I2909" s="2"/>
      <c r="J2909" s="2">
        <v>49829</v>
      </c>
      <c r="K2909" s="2"/>
      <c r="L2909" s="2">
        <v>46594</v>
      </c>
      <c r="M2909" s="2"/>
      <c r="N2909" s="2">
        <v>50109</v>
      </c>
      <c r="P2909" s="2">
        <v>46769</v>
      </c>
      <c r="Q2909" s="2"/>
      <c r="R2909" s="2">
        <v>49923</v>
      </c>
      <c r="AB2909" s="2"/>
    </row>
    <row r="2910" spans="8:28" ht="15" customHeight="1">
      <c r="H2910" s="2">
        <v>46867</v>
      </c>
      <c r="I2910" s="2"/>
      <c r="J2910" s="2">
        <v>49830</v>
      </c>
      <c r="K2910" s="2"/>
      <c r="L2910" s="2">
        <v>46591</v>
      </c>
      <c r="M2910" s="2"/>
      <c r="N2910" s="2">
        <v>50110</v>
      </c>
      <c r="P2910" s="2">
        <v>46766</v>
      </c>
      <c r="Q2910" s="2"/>
      <c r="R2910" s="2">
        <v>49926</v>
      </c>
      <c r="AB2910" s="2"/>
    </row>
    <row r="2911" spans="8:28" ht="15" customHeight="1">
      <c r="H2911" s="2">
        <v>46864</v>
      </c>
      <c r="I2911" s="2"/>
      <c r="J2911" s="2">
        <v>49831</v>
      </c>
      <c r="K2911" s="2"/>
      <c r="L2911" s="2">
        <v>46590</v>
      </c>
      <c r="M2911" s="2"/>
      <c r="N2911" s="2">
        <v>50111</v>
      </c>
      <c r="P2911" s="2">
        <v>46765</v>
      </c>
      <c r="Q2911" s="2"/>
      <c r="R2911" s="2">
        <v>49927</v>
      </c>
      <c r="AB2911" s="2"/>
    </row>
    <row r="2912" spans="8:28" ht="15" customHeight="1">
      <c r="H2912" s="2">
        <v>46863</v>
      </c>
      <c r="I2912" s="2"/>
      <c r="J2912" s="2">
        <v>49832</v>
      </c>
      <c r="K2912" s="2"/>
      <c r="L2912" s="2">
        <v>46589</v>
      </c>
      <c r="M2912" s="2"/>
      <c r="N2912" s="2">
        <v>50112</v>
      </c>
      <c r="P2912" s="2">
        <v>46764</v>
      </c>
      <c r="Q2912" s="2"/>
      <c r="R2912" s="2">
        <v>49928</v>
      </c>
      <c r="AB2912" s="2"/>
    </row>
    <row r="2913" spans="8:28" ht="15" customHeight="1">
      <c r="H2913" s="2">
        <v>46862</v>
      </c>
      <c r="I2913" s="2"/>
      <c r="J2913" s="2">
        <v>49835</v>
      </c>
      <c r="K2913" s="2"/>
      <c r="L2913" s="2">
        <v>46588</v>
      </c>
      <c r="M2913" s="2"/>
      <c r="N2913" s="2">
        <v>50115</v>
      </c>
      <c r="P2913" s="2">
        <v>46763</v>
      </c>
      <c r="Q2913" s="2"/>
      <c r="R2913" s="2">
        <v>49929</v>
      </c>
      <c r="AB2913" s="2"/>
    </row>
    <row r="2914" spans="8:28" ht="15" customHeight="1">
      <c r="H2914" s="2">
        <v>46861</v>
      </c>
      <c r="I2914" s="2"/>
      <c r="J2914" s="2">
        <v>49836</v>
      </c>
      <c r="K2914" s="2"/>
      <c r="L2914" s="2">
        <v>46584</v>
      </c>
      <c r="M2914" s="2"/>
      <c r="N2914" s="2">
        <v>50116</v>
      </c>
      <c r="P2914" s="2">
        <v>46762</v>
      </c>
      <c r="Q2914" s="2"/>
      <c r="R2914" s="2">
        <v>49930</v>
      </c>
      <c r="AB2914" s="2"/>
    </row>
    <row r="2915" spans="8:28" ht="15" customHeight="1">
      <c r="H2915" s="2">
        <v>46860</v>
      </c>
      <c r="I2915" s="2"/>
      <c r="J2915" s="2">
        <v>49837</v>
      </c>
      <c r="K2915" s="2"/>
      <c r="L2915" s="2">
        <v>46583</v>
      </c>
      <c r="M2915" s="2"/>
      <c r="N2915" s="2">
        <v>50117</v>
      </c>
      <c r="P2915" s="2">
        <v>46759</v>
      </c>
      <c r="Q2915" s="2"/>
      <c r="R2915" s="2">
        <v>49933</v>
      </c>
      <c r="AB2915" s="2"/>
    </row>
    <row r="2916" spans="8:28" ht="15" customHeight="1">
      <c r="H2916" s="2">
        <v>46856</v>
      </c>
      <c r="I2916" s="2"/>
      <c r="J2916" s="2">
        <v>49838</v>
      </c>
      <c r="K2916" s="2"/>
      <c r="L2916" s="2">
        <v>46582</v>
      </c>
      <c r="M2916" s="2"/>
      <c r="N2916" s="2">
        <v>50118</v>
      </c>
      <c r="P2916" s="2">
        <v>46758</v>
      </c>
      <c r="Q2916" s="2"/>
      <c r="R2916" s="2">
        <v>49934</v>
      </c>
      <c r="AB2916" s="2"/>
    </row>
    <row r="2917" spans="8:28" ht="15" customHeight="1">
      <c r="H2917" s="2">
        <v>46855</v>
      </c>
      <c r="I2917" s="2"/>
      <c r="J2917" s="2">
        <v>49839</v>
      </c>
      <c r="K2917" s="2"/>
      <c r="L2917" s="2">
        <v>46581</v>
      </c>
      <c r="M2917" s="2"/>
      <c r="N2917" s="2">
        <v>50122</v>
      </c>
      <c r="P2917" s="2">
        <v>46757</v>
      </c>
      <c r="Q2917" s="2"/>
      <c r="R2917" s="2">
        <v>49935</v>
      </c>
      <c r="AB2917" s="2"/>
    </row>
    <row r="2918" spans="8:28" ht="15" customHeight="1">
      <c r="H2918" s="2">
        <v>46854</v>
      </c>
      <c r="I2918" s="2"/>
      <c r="J2918" s="2">
        <v>49842</v>
      </c>
      <c r="K2918" s="2"/>
      <c r="L2918" s="2">
        <v>46580</v>
      </c>
      <c r="M2918" s="2"/>
      <c r="N2918" s="2">
        <v>50123</v>
      </c>
      <c r="P2918" s="2">
        <v>46756</v>
      </c>
      <c r="Q2918" s="2"/>
      <c r="R2918" s="2">
        <v>49936</v>
      </c>
      <c r="AB2918" s="2"/>
    </row>
    <row r="2919" spans="8:28" ht="15" customHeight="1">
      <c r="H2919" s="2">
        <v>46853</v>
      </c>
      <c r="I2919" s="2"/>
      <c r="J2919" s="2">
        <v>49843</v>
      </c>
      <c r="K2919" s="2"/>
      <c r="L2919" s="2">
        <v>46577</v>
      </c>
      <c r="M2919" s="2"/>
      <c r="N2919" s="2">
        <v>50124</v>
      </c>
      <c r="P2919" s="2">
        <v>46755</v>
      </c>
      <c r="Q2919" s="2"/>
      <c r="R2919" s="2">
        <v>49937</v>
      </c>
      <c r="AB2919" s="2"/>
    </row>
    <row r="2920" spans="8:28" ht="15" customHeight="1">
      <c r="H2920" s="2">
        <v>46850</v>
      </c>
      <c r="I2920" s="2"/>
      <c r="J2920" s="2">
        <v>49844</v>
      </c>
      <c r="K2920" s="2"/>
      <c r="L2920" s="2">
        <v>46576</v>
      </c>
      <c r="M2920" s="2"/>
      <c r="N2920" s="2">
        <v>50125</v>
      </c>
      <c r="P2920" s="2">
        <v>46751</v>
      </c>
      <c r="Q2920" s="2"/>
      <c r="R2920" s="2">
        <v>49940</v>
      </c>
      <c r="AB2920" s="2"/>
    </row>
    <row r="2921" spans="8:28" ht="15" customHeight="1">
      <c r="H2921" s="2">
        <v>46849</v>
      </c>
      <c r="I2921" s="2"/>
      <c r="J2921" s="2">
        <v>49846</v>
      </c>
      <c r="K2921" s="2"/>
      <c r="L2921" s="2">
        <v>46575</v>
      </c>
      <c r="M2921" s="2"/>
      <c r="N2921" s="2">
        <v>50126</v>
      </c>
      <c r="P2921" s="2">
        <v>46750</v>
      </c>
      <c r="Q2921" s="2"/>
      <c r="R2921" s="2">
        <v>49941</v>
      </c>
      <c r="AB2921" s="2"/>
    </row>
    <row r="2922" spans="8:28" ht="15" customHeight="1">
      <c r="H2922" s="2">
        <v>46848</v>
      </c>
      <c r="I2922" s="2"/>
      <c r="J2922" s="2">
        <v>49849</v>
      </c>
      <c r="K2922" s="2"/>
      <c r="L2922" s="2">
        <v>46574</v>
      </c>
      <c r="M2922" s="2"/>
      <c r="N2922" s="2">
        <v>50129</v>
      </c>
      <c r="P2922" s="2">
        <v>46749</v>
      </c>
      <c r="Q2922" s="2"/>
      <c r="R2922" s="2">
        <v>49942</v>
      </c>
      <c r="AB2922" s="2"/>
    </row>
    <row r="2923" spans="8:28" ht="15" customHeight="1">
      <c r="H2923" s="2">
        <v>46847</v>
      </c>
      <c r="I2923" s="2"/>
      <c r="J2923" s="2">
        <v>49850</v>
      </c>
      <c r="K2923" s="2"/>
      <c r="L2923" s="2">
        <v>46570</v>
      </c>
      <c r="M2923" s="2"/>
      <c r="N2923" s="2">
        <v>50130</v>
      </c>
      <c r="P2923" s="2">
        <v>46745</v>
      </c>
      <c r="Q2923" s="2"/>
      <c r="R2923" s="2">
        <v>49943</v>
      </c>
      <c r="AB2923" s="2"/>
    </row>
    <row r="2924" spans="8:28" ht="15" customHeight="1">
      <c r="H2924" s="2">
        <v>46846</v>
      </c>
      <c r="I2924" s="2"/>
      <c r="J2924" s="2">
        <v>49851</v>
      </c>
      <c r="K2924" s="2"/>
      <c r="L2924" s="2">
        <v>46569</v>
      </c>
      <c r="M2924" s="2"/>
      <c r="N2924" s="2">
        <v>50131</v>
      </c>
      <c r="P2924" s="2">
        <v>46744</v>
      </c>
      <c r="Q2924" s="2"/>
      <c r="R2924" s="2">
        <v>49944</v>
      </c>
      <c r="AB2924" s="2"/>
    </row>
    <row r="2925" spans="8:28" ht="15" customHeight="1">
      <c r="H2925" s="2">
        <v>46843</v>
      </c>
      <c r="I2925" s="2"/>
      <c r="J2925" s="2">
        <v>49852</v>
      </c>
      <c r="K2925" s="2"/>
      <c r="L2925" s="2">
        <v>46568</v>
      </c>
      <c r="M2925" s="2"/>
      <c r="N2925" s="2">
        <v>50132</v>
      </c>
      <c r="P2925" s="2">
        <v>46743</v>
      </c>
      <c r="Q2925" s="2"/>
      <c r="R2925" s="2">
        <v>49947</v>
      </c>
      <c r="AB2925" s="2"/>
    </row>
    <row r="2926" spans="8:28" ht="15" customHeight="1">
      <c r="H2926" s="2">
        <v>46842</v>
      </c>
      <c r="I2926" s="2"/>
      <c r="J2926" s="2">
        <v>49853</v>
      </c>
      <c r="K2926" s="2"/>
      <c r="L2926" s="2">
        <v>46567</v>
      </c>
      <c r="M2926" s="2"/>
      <c r="N2926" s="2">
        <v>50136</v>
      </c>
      <c r="P2926" s="2">
        <v>46742</v>
      </c>
      <c r="Q2926" s="2"/>
      <c r="R2926" s="2">
        <v>49948</v>
      </c>
      <c r="AB2926" s="2"/>
    </row>
    <row r="2927" spans="8:28" ht="15" customHeight="1">
      <c r="H2927" s="2">
        <v>46841</v>
      </c>
      <c r="I2927" s="2"/>
      <c r="J2927" s="2">
        <v>49856</v>
      </c>
      <c r="K2927" s="2"/>
      <c r="L2927" s="2">
        <v>46566</v>
      </c>
      <c r="M2927" s="2"/>
      <c r="N2927" s="2">
        <v>50137</v>
      </c>
      <c r="P2927" s="2">
        <v>46741</v>
      </c>
      <c r="Q2927" s="2"/>
      <c r="R2927" s="2">
        <v>49949</v>
      </c>
      <c r="AB2927" s="2"/>
    </row>
    <row r="2928" spans="8:28" ht="15" customHeight="1">
      <c r="H2928" s="2">
        <v>46840</v>
      </c>
      <c r="I2928" s="2"/>
      <c r="J2928" s="2">
        <v>49857</v>
      </c>
      <c r="K2928" s="2"/>
      <c r="L2928" s="2">
        <v>46563</v>
      </c>
      <c r="M2928" s="2"/>
      <c r="N2928" s="2">
        <v>50138</v>
      </c>
      <c r="P2928" s="2">
        <v>46738</v>
      </c>
      <c r="Q2928" s="2"/>
      <c r="R2928" s="2">
        <v>49950</v>
      </c>
      <c r="AB2928" s="2"/>
    </row>
    <row r="2929" spans="8:28" ht="15" customHeight="1">
      <c r="H2929" s="2">
        <v>46839</v>
      </c>
      <c r="I2929" s="2"/>
      <c r="J2929" s="2">
        <v>49858</v>
      </c>
      <c r="K2929" s="2"/>
      <c r="L2929" s="2">
        <v>46562</v>
      </c>
      <c r="M2929" s="2"/>
      <c r="N2929" s="2">
        <v>50139</v>
      </c>
      <c r="P2929" s="2">
        <v>46737</v>
      </c>
      <c r="Q2929" s="2"/>
      <c r="R2929" s="2">
        <v>49956</v>
      </c>
      <c r="AB2929" s="2"/>
    </row>
    <row r="2930" spans="8:28" ht="15" customHeight="1">
      <c r="H2930" s="2">
        <v>46836</v>
      </c>
      <c r="I2930" s="2"/>
      <c r="J2930" s="2">
        <v>49859</v>
      </c>
      <c r="K2930" s="2"/>
      <c r="L2930" s="2">
        <v>46561</v>
      </c>
      <c r="M2930" s="2"/>
      <c r="N2930" s="2">
        <v>50140</v>
      </c>
      <c r="P2930" s="2">
        <v>46736</v>
      </c>
      <c r="Q2930" s="2"/>
      <c r="R2930" s="2">
        <v>49958</v>
      </c>
      <c r="AB2930" s="2"/>
    </row>
    <row r="2931" spans="8:28" ht="15" customHeight="1">
      <c r="H2931" s="2">
        <v>46835</v>
      </c>
      <c r="I2931" s="2"/>
      <c r="J2931" s="2">
        <v>49863</v>
      </c>
      <c r="K2931" s="2"/>
      <c r="L2931" s="2">
        <v>46560</v>
      </c>
      <c r="M2931" s="2"/>
      <c r="N2931" s="2">
        <v>50143</v>
      </c>
      <c r="P2931" s="2">
        <v>46735</v>
      </c>
      <c r="Q2931" s="2"/>
      <c r="R2931" s="2">
        <v>49961</v>
      </c>
      <c r="AB2931" s="2"/>
    </row>
    <row r="2932" spans="8:28" ht="15" customHeight="1">
      <c r="H2932" s="2">
        <v>46834</v>
      </c>
      <c r="I2932" s="2"/>
      <c r="J2932" s="2">
        <v>49864</v>
      </c>
      <c r="K2932" s="2"/>
      <c r="L2932" s="2">
        <v>46559</v>
      </c>
      <c r="M2932" s="2"/>
      <c r="N2932" s="2">
        <v>50144</v>
      </c>
      <c r="P2932" s="2">
        <v>46734</v>
      </c>
      <c r="Q2932" s="2"/>
      <c r="R2932" s="2">
        <v>49962</v>
      </c>
      <c r="AB2932" s="2"/>
    </row>
    <row r="2933" spans="8:28" ht="15" customHeight="1">
      <c r="H2933" s="2">
        <v>46833</v>
      </c>
      <c r="I2933" s="2"/>
      <c r="J2933" s="2">
        <v>49865</v>
      </c>
      <c r="K2933" s="2"/>
      <c r="L2933" s="2">
        <v>46555</v>
      </c>
      <c r="M2933" s="2"/>
      <c r="N2933" s="2">
        <v>50145</v>
      </c>
      <c r="P2933" s="2">
        <v>46731</v>
      </c>
      <c r="Q2933" s="2"/>
      <c r="R2933" s="2">
        <v>49963</v>
      </c>
      <c r="AB2933" s="2"/>
    </row>
    <row r="2934" spans="8:28" ht="15" customHeight="1">
      <c r="H2934" s="2">
        <v>46832</v>
      </c>
      <c r="I2934" s="2"/>
      <c r="J2934" s="2">
        <v>49866</v>
      </c>
      <c r="K2934" s="2"/>
      <c r="L2934" s="2">
        <v>46554</v>
      </c>
      <c r="M2934" s="2"/>
      <c r="N2934" s="2">
        <v>50146</v>
      </c>
      <c r="P2934" s="2">
        <v>46730</v>
      </c>
      <c r="Q2934" s="2"/>
      <c r="R2934" s="2">
        <v>49964</v>
      </c>
      <c r="AB2934" s="2"/>
    </row>
    <row r="2935" spans="8:28" ht="15" customHeight="1">
      <c r="H2935" s="2">
        <v>46829</v>
      </c>
      <c r="I2935" s="2"/>
      <c r="J2935" s="2">
        <v>49867</v>
      </c>
      <c r="K2935" s="2"/>
      <c r="L2935" s="2">
        <v>46553</v>
      </c>
      <c r="M2935" s="2"/>
      <c r="N2935" s="2">
        <v>50147</v>
      </c>
      <c r="P2935" s="2">
        <v>46729</v>
      </c>
      <c r="Q2935" s="2"/>
      <c r="R2935" s="2">
        <v>49965</v>
      </c>
      <c r="AB2935" s="2"/>
    </row>
    <row r="2936" spans="8:28" ht="15" customHeight="1">
      <c r="H2936" s="2">
        <v>46828</v>
      </c>
      <c r="I2936" s="2"/>
      <c r="J2936" s="2">
        <v>49870</v>
      </c>
      <c r="K2936" s="2"/>
      <c r="L2936" s="2">
        <v>46552</v>
      </c>
      <c r="M2936" s="2"/>
      <c r="N2936" s="2">
        <v>50150</v>
      </c>
      <c r="P2936" s="2">
        <v>46728</v>
      </c>
      <c r="Q2936" s="2"/>
      <c r="R2936" s="2">
        <v>49968</v>
      </c>
      <c r="AB2936" s="2"/>
    </row>
    <row r="2937" spans="8:28" ht="15" customHeight="1">
      <c r="H2937" s="2">
        <v>46827</v>
      </c>
      <c r="I2937" s="2"/>
      <c r="J2937" s="2">
        <v>49871</v>
      </c>
      <c r="K2937" s="2"/>
      <c r="L2937" s="2">
        <v>46549</v>
      </c>
      <c r="M2937" s="2"/>
      <c r="N2937" s="2">
        <v>50151</v>
      </c>
      <c r="P2937" s="2">
        <v>46727</v>
      </c>
      <c r="Q2937" s="2"/>
      <c r="R2937" s="2">
        <v>49969</v>
      </c>
      <c r="AB2937" s="2"/>
    </row>
    <row r="2938" spans="8:28" ht="15" customHeight="1">
      <c r="H2938" s="2">
        <v>46826</v>
      </c>
      <c r="I2938" s="2"/>
      <c r="J2938" s="2">
        <v>49872</v>
      </c>
      <c r="K2938" s="2"/>
      <c r="L2938" s="2">
        <v>46548</v>
      </c>
      <c r="M2938" s="2"/>
      <c r="N2938" s="2">
        <v>50152</v>
      </c>
      <c r="P2938" s="2">
        <v>46724</v>
      </c>
      <c r="Q2938" s="2"/>
      <c r="R2938" s="2">
        <v>49970</v>
      </c>
      <c r="AB2938" s="2"/>
    </row>
    <row r="2939" spans="8:28" ht="15" customHeight="1">
      <c r="H2939" s="2">
        <v>46825</v>
      </c>
      <c r="I2939" s="2"/>
      <c r="J2939" s="2">
        <v>49873</v>
      </c>
      <c r="K2939" s="2"/>
      <c r="L2939" s="2">
        <v>46547</v>
      </c>
      <c r="M2939" s="2"/>
      <c r="N2939" s="2">
        <v>50153</v>
      </c>
      <c r="P2939" s="2">
        <v>46723</v>
      </c>
      <c r="Q2939" s="2"/>
      <c r="R2939" s="2">
        <v>49971</v>
      </c>
      <c r="AB2939" s="2"/>
    </row>
    <row r="2940" spans="8:28" ht="15" customHeight="1">
      <c r="H2940" s="2">
        <v>46822</v>
      </c>
      <c r="I2940" s="2"/>
      <c r="J2940" s="2">
        <v>49874</v>
      </c>
      <c r="K2940" s="2"/>
      <c r="L2940" s="2">
        <v>46546</v>
      </c>
      <c r="M2940" s="2"/>
      <c r="N2940" s="2">
        <v>50154</v>
      </c>
      <c r="P2940" s="2">
        <v>46722</v>
      </c>
      <c r="Q2940" s="2"/>
      <c r="R2940" s="2">
        <v>49972</v>
      </c>
      <c r="AB2940" s="2"/>
    </row>
    <row r="2941" spans="8:28" ht="15" customHeight="1">
      <c r="H2941" s="2">
        <v>46821</v>
      </c>
      <c r="I2941" s="2"/>
      <c r="J2941" s="2">
        <v>49877</v>
      </c>
      <c r="K2941" s="2"/>
      <c r="L2941" s="2">
        <v>46545</v>
      </c>
      <c r="M2941" s="2"/>
      <c r="N2941" s="2">
        <v>50157</v>
      </c>
      <c r="P2941" s="2">
        <v>46721</v>
      </c>
      <c r="Q2941" s="2"/>
      <c r="R2941" s="2">
        <v>49975</v>
      </c>
      <c r="AB2941" s="2"/>
    </row>
    <row r="2942" spans="8:28" ht="15" customHeight="1">
      <c r="H2942" s="2">
        <v>46820</v>
      </c>
      <c r="I2942" s="2"/>
      <c r="J2942" s="2">
        <v>49878</v>
      </c>
      <c r="K2942" s="2"/>
      <c r="L2942" s="2">
        <v>46542</v>
      </c>
      <c r="M2942" s="2"/>
      <c r="N2942" s="2">
        <v>50158</v>
      </c>
      <c r="P2942" s="2">
        <v>46720</v>
      </c>
      <c r="Q2942" s="2"/>
      <c r="R2942" s="2">
        <v>49976</v>
      </c>
      <c r="AB2942" s="2"/>
    </row>
    <row r="2943" spans="8:28" ht="15" customHeight="1">
      <c r="H2943" s="2">
        <v>46819</v>
      </c>
      <c r="I2943" s="2"/>
      <c r="J2943" s="2">
        <v>49879</v>
      </c>
      <c r="K2943" s="2"/>
      <c r="L2943" s="2">
        <v>46541</v>
      </c>
      <c r="M2943" s="2"/>
      <c r="N2943" s="2">
        <v>50160</v>
      </c>
      <c r="P2943" s="2">
        <v>46717</v>
      </c>
      <c r="Q2943" s="2"/>
      <c r="R2943" s="2">
        <v>49977</v>
      </c>
      <c r="AB2943" s="2"/>
    </row>
    <row r="2944" spans="8:28" ht="15" customHeight="1">
      <c r="H2944" s="2">
        <v>46818</v>
      </c>
      <c r="I2944" s="2"/>
      <c r="J2944" s="2">
        <v>49880</v>
      </c>
      <c r="K2944" s="2"/>
      <c r="L2944" s="2">
        <v>46540</v>
      </c>
      <c r="M2944" s="2"/>
      <c r="N2944" s="2">
        <v>50161</v>
      </c>
      <c r="P2944" s="2">
        <v>46716</v>
      </c>
      <c r="Q2944" s="2"/>
      <c r="R2944" s="2">
        <v>49978</v>
      </c>
      <c r="AB2944" s="2"/>
    </row>
    <row r="2945" spans="8:28" ht="15" customHeight="1">
      <c r="H2945" s="2">
        <v>46815</v>
      </c>
      <c r="I2945" s="2"/>
      <c r="J2945" s="2">
        <v>49881</v>
      </c>
      <c r="K2945" s="2"/>
      <c r="L2945" s="2">
        <v>46539</v>
      </c>
      <c r="M2945" s="2"/>
      <c r="N2945" s="2">
        <v>50167</v>
      </c>
      <c r="P2945" s="2">
        <v>46715</v>
      </c>
      <c r="Q2945" s="2"/>
      <c r="R2945" s="2">
        <v>49979</v>
      </c>
      <c r="AB2945" s="2"/>
    </row>
    <row r="2946" spans="8:28" ht="15" customHeight="1">
      <c r="H2946" s="2">
        <v>46814</v>
      </c>
      <c r="I2946" s="2"/>
      <c r="J2946" s="2">
        <v>49884</v>
      </c>
      <c r="K2946" s="2"/>
      <c r="L2946" s="2">
        <v>46535</v>
      </c>
      <c r="M2946" s="2"/>
      <c r="N2946" s="2">
        <v>50168</v>
      </c>
      <c r="P2946" s="2">
        <v>46714</v>
      </c>
      <c r="Q2946" s="2"/>
      <c r="R2946" s="2">
        <v>49982</v>
      </c>
      <c r="AB2946" s="2"/>
    </row>
    <row r="2947" spans="8:28" ht="15" customHeight="1">
      <c r="H2947" s="2">
        <v>46813</v>
      </c>
      <c r="I2947" s="2"/>
      <c r="J2947" s="2">
        <v>49885</v>
      </c>
      <c r="K2947" s="2"/>
      <c r="L2947" s="2">
        <v>46534</v>
      </c>
      <c r="M2947" s="2"/>
      <c r="N2947" s="2">
        <v>50171</v>
      </c>
      <c r="P2947" s="2">
        <v>46713</v>
      </c>
      <c r="Q2947" s="2"/>
      <c r="R2947" s="2">
        <v>49983</v>
      </c>
      <c r="AB2947" s="2"/>
    </row>
    <row r="2948" spans="8:28" ht="15" customHeight="1">
      <c r="H2948" s="2">
        <v>46812</v>
      </c>
      <c r="I2948" s="2"/>
      <c r="J2948" s="2">
        <v>49886</v>
      </c>
      <c r="K2948" s="2"/>
      <c r="L2948" s="2">
        <v>46533</v>
      </c>
      <c r="M2948" s="2"/>
      <c r="N2948" s="2">
        <v>50172</v>
      </c>
      <c r="P2948" s="2">
        <v>46710</v>
      </c>
      <c r="Q2948" s="2"/>
      <c r="R2948" s="2">
        <v>49984</v>
      </c>
      <c r="AB2948" s="2"/>
    </row>
    <row r="2949" spans="8:28" ht="15" customHeight="1">
      <c r="H2949" s="2">
        <v>46811</v>
      </c>
      <c r="I2949" s="2"/>
      <c r="J2949" s="2">
        <v>49887</v>
      </c>
      <c r="K2949" s="2"/>
      <c r="L2949" s="2">
        <v>46532</v>
      </c>
      <c r="M2949" s="2"/>
      <c r="N2949" s="2">
        <v>50173</v>
      </c>
      <c r="P2949" s="2">
        <v>46709</v>
      </c>
      <c r="Q2949" s="2"/>
      <c r="R2949" s="2">
        <v>49985</v>
      </c>
      <c r="AB2949" s="2"/>
    </row>
    <row r="2950" spans="8:28" ht="15" customHeight="1">
      <c r="H2950" s="2">
        <v>46808</v>
      </c>
      <c r="I2950" s="2"/>
      <c r="J2950" s="2">
        <v>49888</v>
      </c>
      <c r="K2950" s="2"/>
      <c r="L2950" s="2">
        <v>46531</v>
      </c>
      <c r="M2950" s="2"/>
      <c r="N2950" s="2">
        <v>50174</v>
      </c>
      <c r="P2950" s="2">
        <v>46708</v>
      </c>
      <c r="Q2950" s="2"/>
      <c r="R2950" s="2">
        <v>49986</v>
      </c>
      <c r="AB2950" s="2"/>
    </row>
    <row r="2951" spans="8:28" ht="15" customHeight="1">
      <c r="H2951" s="2">
        <v>46807</v>
      </c>
      <c r="I2951" s="2"/>
      <c r="J2951" s="2">
        <v>49891</v>
      </c>
      <c r="K2951" s="2"/>
      <c r="L2951" s="2">
        <v>46528</v>
      </c>
      <c r="M2951" s="2"/>
      <c r="N2951" s="2">
        <v>50175</v>
      </c>
      <c r="P2951" s="2">
        <v>46707</v>
      </c>
      <c r="Q2951" s="2"/>
      <c r="R2951" s="2">
        <v>49989</v>
      </c>
      <c r="AB2951" s="2"/>
    </row>
    <row r="2952" spans="8:28" ht="15" customHeight="1">
      <c r="H2952" s="2">
        <v>46806</v>
      </c>
      <c r="I2952" s="2"/>
      <c r="J2952" s="2">
        <v>49892</v>
      </c>
      <c r="K2952" s="2"/>
      <c r="L2952" s="2">
        <v>46527</v>
      </c>
      <c r="M2952" s="2"/>
      <c r="N2952" s="2">
        <v>50178</v>
      </c>
      <c r="P2952" s="2">
        <v>46706</v>
      </c>
      <c r="Q2952" s="2"/>
      <c r="R2952" s="2">
        <v>49990</v>
      </c>
      <c r="AB2952" s="2"/>
    </row>
    <row r="2953" spans="8:28" ht="15" customHeight="1">
      <c r="H2953" s="2">
        <v>46805</v>
      </c>
      <c r="I2953" s="2"/>
      <c r="J2953" s="2">
        <v>49893</v>
      </c>
      <c r="K2953" s="2"/>
      <c r="L2953" s="2">
        <v>46526</v>
      </c>
      <c r="M2953" s="2"/>
      <c r="N2953" s="2">
        <v>50179</v>
      </c>
      <c r="P2953" s="2">
        <v>46703</v>
      </c>
      <c r="Q2953" s="2"/>
      <c r="R2953" s="2">
        <v>49991</v>
      </c>
      <c r="AB2953" s="2"/>
    </row>
    <row r="2954" spans="8:28" ht="15" customHeight="1">
      <c r="H2954" s="2">
        <v>46801</v>
      </c>
      <c r="I2954" s="2"/>
      <c r="J2954" s="2">
        <v>49894</v>
      </c>
      <c r="K2954" s="2"/>
      <c r="L2954" s="2">
        <v>46525</v>
      </c>
      <c r="M2954" s="2"/>
      <c r="N2954" s="2">
        <v>50180</v>
      </c>
      <c r="P2954" s="2">
        <v>46702</v>
      </c>
      <c r="Q2954" s="2"/>
      <c r="R2954" s="2">
        <v>49992</v>
      </c>
      <c r="AB2954" s="2"/>
    </row>
    <row r="2955" spans="8:28" ht="15" customHeight="1">
      <c r="H2955" s="2">
        <v>46800</v>
      </c>
      <c r="I2955" s="2"/>
      <c r="J2955" s="2">
        <v>49895</v>
      </c>
      <c r="K2955" s="2"/>
      <c r="L2955" s="2">
        <v>46524</v>
      </c>
      <c r="M2955" s="2"/>
      <c r="N2955" s="2">
        <v>50181</v>
      </c>
      <c r="P2955" s="2">
        <v>46701</v>
      </c>
      <c r="Q2955" s="2"/>
      <c r="R2955" s="2">
        <v>49993</v>
      </c>
      <c r="AB2955" s="2"/>
    </row>
    <row r="2956" spans="8:28" ht="15" customHeight="1">
      <c r="H2956" s="2">
        <v>46799</v>
      </c>
      <c r="I2956" s="2"/>
      <c r="J2956" s="2">
        <v>49898</v>
      </c>
      <c r="K2956" s="2"/>
      <c r="L2956" s="2">
        <v>46521</v>
      </c>
      <c r="M2956" s="2"/>
      <c r="N2956" s="2">
        <v>50182</v>
      </c>
      <c r="P2956" s="2">
        <v>46700</v>
      </c>
      <c r="Q2956" s="2"/>
      <c r="R2956" s="2">
        <v>49996</v>
      </c>
      <c r="AB2956" s="2"/>
    </row>
    <row r="2957" spans="8:28" ht="15" customHeight="1">
      <c r="H2957" s="2">
        <v>46798</v>
      </c>
      <c r="I2957" s="2"/>
      <c r="J2957" s="2">
        <v>49899</v>
      </c>
      <c r="K2957" s="2"/>
      <c r="L2957" s="2">
        <v>46520</v>
      </c>
      <c r="M2957" s="2"/>
      <c r="N2957" s="2">
        <v>50186</v>
      </c>
      <c r="P2957" s="2">
        <v>46699</v>
      </c>
      <c r="Q2957" s="2"/>
      <c r="R2957" s="2">
        <v>49997</v>
      </c>
      <c r="AB2957" s="2"/>
    </row>
    <row r="2958" spans="8:28" ht="15" customHeight="1">
      <c r="H2958" s="2">
        <v>46797</v>
      </c>
      <c r="I2958" s="2"/>
      <c r="J2958" s="2">
        <v>49900</v>
      </c>
      <c r="K2958" s="2"/>
      <c r="L2958" s="2">
        <v>46519</v>
      </c>
      <c r="M2958" s="2"/>
      <c r="N2958" s="2">
        <v>50187</v>
      </c>
      <c r="P2958" s="2">
        <v>46696</v>
      </c>
      <c r="Q2958" s="2"/>
      <c r="R2958" s="2">
        <v>49998</v>
      </c>
      <c r="AB2958" s="2"/>
    </row>
    <row r="2959" spans="8:28" ht="15" customHeight="1">
      <c r="H2959" s="2">
        <v>46794</v>
      </c>
      <c r="I2959" s="2"/>
      <c r="J2959" s="2">
        <v>49901</v>
      </c>
      <c r="K2959" s="2"/>
      <c r="L2959" s="2">
        <v>46518</v>
      </c>
      <c r="M2959" s="2"/>
      <c r="N2959" s="2">
        <v>50188</v>
      </c>
      <c r="P2959" s="2">
        <v>46695</v>
      </c>
      <c r="Q2959" s="2"/>
      <c r="R2959" s="2">
        <v>49999</v>
      </c>
      <c r="AB2959" s="2"/>
    </row>
    <row r="2960" spans="8:28" ht="15" customHeight="1">
      <c r="H2960" s="2">
        <v>46793</v>
      </c>
      <c r="I2960" s="2"/>
      <c r="J2960" s="2">
        <v>49902</v>
      </c>
      <c r="K2960" s="2"/>
      <c r="L2960" s="2">
        <v>46517</v>
      </c>
      <c r="M2960" s="2"/>
      <c r="N2960" s="2">
        <v>50189</v>
      </c>
      <c r="P2960" s="2">
        <v>46694</v>
      </c>
      <c r="Q2960" s="2"/>
      <c r="R2960" s="2">
        <v>50000</v>
      </c>
      <c r="AB2960" s="2"/>
    </row>
    <row r="2961" spans="8:28" ht="15" customHeight="1">
      <c r="H2961" s="2">
        <v>46792</v>
      </c>
      <c r="I2961" s="2"/>
      <c r="J2961" s="2">
        <v>49905</v>
      </c>
      <c r="K2961" s="2"/>
      <c r="L2961" s="2">
        <v>46514</v>
      </c>
      <c r="M2961" s="2"/>
      <c r="N2961" s="2">
        <v>50192</v>
      </c>
      <c r="P2961" s="2">
        <v>46693</v>
      </c>
      <c r="Q2961" s="2"/>
      <c r="R2961" s="2">
        <v>50003</v>
      </c>
      <c r="AB2961" s="2"/>
    </row>
    <row r="2962" spans="8:28" ht="15" customHeight="1">
      <c r="H2962" s="2">
        <v>46791</v>
      </c>
      <c r="I2962" s="2"/>
      <c r="J2962" s="2">
        <v>49906</v>
      </c>
      <c r="K2962" s="2"/>
      <c r="L2962" s="2">
        <v>46513</v>
      </c>
      <c r="M2962" s="2"/>
      <c r="N2962" s="2">
        <v>50193</v>
      </c>
      <c r="P2962" s="2">
        <v>46692</v>
      </c>
      <c r="Q2962" s="2"/>
      <c r="R2962" s="2">
        <v>50004</v>
      </c>
      <c r="AB2962" s="2"/>
    </row>
    <row r="2963" spans="8:28" ht="15" customHeight="1">
      <c r="H2963" s="2">
        <v>46790</v>
      </c>
      <c r="I2963" s="2"/>
      <c r="J2963" s="2">
        <v>49907</v>
      </c>
      <c r="K2963" s="2"/>
      <c r="L2963" s="2">
        <v>46507</v>
      </c>
      <c r="M2963" s="2"/>
      <c r="N2963" s="2">
        <v>50194</v>
      </c>
      <c r="P2963" s="2">
        <v>46689</v>
      </c>
      <c r="Q2963" s="2"/>
      <c r="R2963" s="2">
        <v>50005</v>
      </c>
      <c r="AB2963" s="2"/>
    </row>
    <row r="2964" spans="8:28" ht="15" customHeight="1">
      <c r="H2964" s="2">
        <v>46787</v>
      </c>
      <c r="I2964" s="2"/>
      <c r="J2964" s="2">
        <v>49908</v>
      </c>
      <c r="K2964" s="2"/>
      <c r="L2964" s="2">
        <v>46505</v>
      </c>
      <c r="M2964" s="2"/>
      <c r="N2964" s="2">
        <v>50195</v>
      </c>
      <c r="P2964" s="2">
        <v>46688</v>
      </c>
      <c r="Q2964" s="2"/>
      <c r="R2964" s="2">
        <v>50006</v>
      </c>
      <c r="AB2964" s="2"/>
    </row>
    <row r="2965" spans="8:28" ht="15" customHeight="1">
      <c r="H2965" s="2">
        <v>46786</v>
      </c>
      <c r="I2965" s="2"/>
      <c r="J2965" s="2">
        <v>49909</v>
      </c>
      <c r="K2965" s="2"/>
      <c r="L2965" s="2">
        <v>46504</v>
      </c>
      <c r="M2965" s="2"/>
      <c r="N2965" s="2">
        <v>50196</v>
      </c>
      <c r="P2965" s="2">
        <v>46687</v>
      </c>
      <c r="Q2965" s="2"/>
      <c r="R2965" s="2">
        <v>50007</v>
      </c>
      <c r="AB2965" s="2"/>
    </row>
    <row r="2966" spans="8:28" ht="15" customHeight="1">
      <c r="H2966" s="2">
        <v>46785</v>
      </c>
      <c r="I2966" s="2"/>
      <c r="J2966" s="2">
        <v>49912</v>
      </c>
      <c r="K2966" s="2"/>
      <c r="L2966" s="2">
        <v>46503</v>
      </c>
      <c r="M2966" s="2"/>
      <c r="N2966" s="2">
        <v>50199</v>
      </c>
      <c r="P2966" s="2">
        <v>46686</v>
      </c>
      <c r="Q2966" s="2"/>
      <c r="R2966" s="2">
        <v>50010</v>
      </c>
      <c r="AB2966" s="2"/>
    </row>
    <row r="2967" spans="8:28" ht="15" customHeight="1">
      <c r="H2967" s="2">
        <v>46784</v>
      </c>
      <c r="I2967" s="2"/>
      <c r="J2967" s="2">
        <v>49913</v>
      </c>
      <c r="K2967" s="2"/>
      <c r="L2967" s="2">
        <v>46500</v>
      </c>
      <c r="M2967" s="2"/>
      <c r="N2967" s="2">
        <v>50200</v>
      </c>
      <c r="P2967" s="2">
        <v>46685</v>
      </c>
      <c r="Q2967" s="2"/>
      <c r="R2967" s="2">
        <v>50011</v>
      </c>
      <c r="AB2967" s="2"/>
    </row>
    <row r="2968" spans="8:28" ht="15" customHeight="1">
      <c r="H2968" s="2">
        <v>46783</v>
      </c>
      <c r="I2968" s="2"/>
      <c r="J2968" s="2">
        <v>49914</v>
      </c>
      <c r="K2968" s="2"/>
      <c r="L2968" s="2">
        <v>46499</v>
      </c>
      <c r="M2968" s="2"/>
      <c r="N2968" s="2">
        <v>50201</v>
      </c>
      <c r="P2968" s="2">
        <v>46682</v>
      </c>
      <c r="Q2968" s="2"/>
      <c r="R2968" s="2">
        <v>50012</v>
      </c>
      <c r="AB2968" s="2"/>
    </row>
    <row r="2969" spans="8:28" ht="15" customHeight="1">
      <c r="H2969" s="2">
        <v>46780</v>
      </c>
      <c r="I2969" s="2"/>
      <c r="J2969" s="2">
        <v>49915</v>
      </c>
      <c r="K2969" s="2"/>
      <c r="L2969" s="2">
        <v>46498</v>
      </c>
      <c r="M2969" s="2"/>
      <c r="N2969" s="2">
        <v>50202</v>
      </c>
      <c r="P2969" s="2">
        <v>46681</v>
      </c>
      <c r="Q2969" s="2"/>
      <c r="R2969" s="2">
        <v>50013</v>
      </c>
      <c r="AB2969" s="2"/>
    </row>
    <row r="2970" spans="8:28" ht="15" customHeight="1">
      <c r="H2970" s="2">
        <v>46779</v>
      </c>
      <c r="I2970" s="2"/>
      <c r="J2970" s="2">
        <v>49916</v>
      </c>
      <c r="K2970" s="2"/>
      <c r="L2970" s="2">
        <v>46497</v>
      </c>
      <c r="M2970" s="2"/>
      <c r="N2970" s="2">
        <v>50203</v>
      </c>
      <c r="P2970" s="2">
        <v>46680</v>
      </c>
      <c r="Q2970" s="2"/>
      <c r="R2970" s="2">
        <v>50014</v>
      </c>
      <c r="AB2970" s="2"/>
    </row>
    <row r="2971" spans="8:28" ht="15" customHeight="1">
      <c r="H2971" s="2">
        <v>46778</v>
      </c>
      <c r="I2971" s="2"/>
      <c r="J2971" s="2">
        <v>49920</v>
      </c>
      <c r="K2971" s="2"/>
      <c r="L2971" s="2">
        <v>46496</v>
      </c>
      <c r="M2971" s="2"/>
      <c r="N2971" s="2">
        <v>50206</v>
      </c>
      <c r="P2971" s="2">
        <v>46679</v>
      </c>
      <c r="Q2971" s="2"/>
      <c r="R2971" s="2">
        <v>50017</v>
      </c>
      <c r="AB2971" s="2"/>
    </row>
    <row r="2972" spans="8:28" ht="15" customHeight="1">
      <c r="H2972" s="2">
        <v>46777</v>
      </c>
      <c r="I2972" s="2"/>
      <c r="J2972" s="2">
        <v>49921</v>
      </c>
      <c r="K2972" s="2"/>
      <c r="L2972" s="2">
        <v>46493</v>
      </c>
      <c r="M2972" s="2"/>
      <c r="N2972" s="2">
        <v>50207</v>
      </c>
      <c r="P2972" s="2">
        <v>46678</v>
      </c>
      <c r="Q2972" s="2"/>
      <c r="R2972" s="2">
        <v>50018</v>
      </c>
      <c r="AB2972" s="2"/>
    </row>
    <row r="2973" spans="8:28" ht="15" customHeight="1">
      <c r="H2973" s="2">
        <v>46776</v>
      </c>
      <c r="I2973" s="2"/>
      <c r="J2973" s="2">
        <v>49922</v>
      </c>
      <c r="K2973" s="2"/>
      <c r="L2973" s="2">
        <v>46492</v>
      </c>
      <c r="M2973" s="2"/>
      <c r="N2973" s="2">
        <v>50208</v>
      </c>
      <c r="P2973" s="2">
        <v>46675</v>
      </c>
      <c r="Q2973" s="2"/>
      <c r="R2973" s="2">
        <v>50019</v>
      </c>
      <c r="AB2973" s="2"/>
    </row>
    <row r="2974" spans="8:28" ht="15" customHeight="1">
      <c r="H2974" s="2">
        <v>46773</v>
      </c>
      <c r="I2974" s="2"/>
      <c r="J2974" s="2">
        <v>49923</v>
      </c>
      <c r="K2974" s="2"/>
      <c r="L2974" s="2">
        <v>46491</v>
      </c>
      <c r="M2974" s="2"/>
      <c r="N2974" s="2">
        <v>50209</v>
      </c>
      <c r="P2974" s="2">
        <v>46674</v>
      </c>
      <c r="Q2974" s="2"/>
      <c r="R2974" s="2">
        <v>50020</v>
      </c>
      <c r="AB2974" s="2"/>
    </row>
    <row r="2975" spans="8:28" ht="15" customHeight="1">
      <c r="H2975" s="2">
        <v>46772</v>
      </c>
      <c r="I2975" s="2"/>
      <c r="J2975" s="2">
        <v>49926</v>
      </c>
      <c r="K2975" s="2"/>
      <c r="L2975" s="2">
        <v>46490</v>
      </c>
      <c r="M2975" s="2"/>
      <c r="N2975" s="2">
        <v>50213</v>
      </c>
      <c r="P2975" s="2">
        <v>46673</v>
      </c>
      <c r="Q2975" s="2"/>
      <c r="R2975" s="2">
        <v>50021</v>
      </c>
      <c r="AB2975" s="2"/>
    </row>
    <row r="2976" spans="8:28" ht="15" customHeight="1">
      <c r="H2976" s="2">
        <v>46771</v>
      </c>
      <c r="I2976" s="2"/>
      <c r="J2976" s="2">
        <v>49927</v>
      </c>
      <c r="K2976" s="2"/>
      <c r="L2976" s="2">
        <v>46489</v>
      </c>
      <c r="M2976" s="2"/>
      <c r="N2976" s="2">
        <v>50214</v>
      </c>
      <c r="P2976" s="2">
        <v>46672</v>
      </c>
      <c r="Q2976" s="2"/>
      <c r="R2976" s="2">
        <v>50024</v>
      </c>
      <c r="AB2976" s="2"/>
    </row>
    <row r="2977" spans="8:28" ht="15" customHeight="1">
      <c r="H2977" s="2">
        <v>46770</v>
      </c>
      <c r="I2977" s="2"/>
      <c r="J2977" s="2">
        <v>49928</v>
      </c>
      <c r="K2977" s="2"/>
      <c r="L2977" s="2">
        <v>46486</v>
      </c>
      <c r="M2977" s="2"/>
      <c r="N2977" s="2">
        <v>50215</v>
      </c>
      <c r="P2977" s="2">
        <v>46668</v>
      </c>
      <c r="Q2977" s="2"/>
      <c r="R2977" s="2">
        <v>50025</v>
      </c>
      <c r="AB2977" s="2"/>
    </row>
    <row r="2978" spans="8:28" ht="15" customHeight="1">
      <c r="H2978" s="2">
        <v>46766</v>
      </c>
      <c r="I2978" s="2"/>
      <c r="J2978" s="2">
        <v>49929</v>
      </c>
      <c r="K2978" s="2"/>
      <c r="L2978" s="2">
        <v>46485</v>
      </c>
      <c r="M2978" s="2"/>
      <c r="N2978" s="2">
        <v>50216</v>
      </c>
      <c r="P2978" s="2">
        <v>46667</v>
      </c>
      <c r="Q2978" s="2"/>
      <c r="R2978" s="2">
        <v>50026</v>
      </c>
      <c r="AB2978" s="2"/>
    </row>
    <row r="2979" spans="8:28" ht="15" customHeight="1">
      <c r="H2979" s="2">
        <v>46765</v>
      </c>
      <c r="I2979" s="2"/>
      <c r="J2979" s="2">
        <v>49930</v>
      </c>
      <c r="K2979" s="2"/>
      <c r="L2979" s="2">
        <v>46484</v>
      </c>
      <c r="M2979" s="2"/>
      <c r="N2979" s="2">
        <v>50217</v>
      </c>
      <c r="P2979" s="2">
        <v>46666</v>
      </c>
      <c r="Q2979" s="2"/>
      <c r="R2979" s="2">
        <v>50027</v>
      </c>
      <c r="AB2979" s="2"/>
    </row>
    <row r="2980" spans="8:28" ht="15" customHeight="1">
      <c r="H2980" s="2">
        <v>46764</v>
      </c>
      <c r="I2980" s="2"/>
      <c r="J2980" s="2">
        <v>49933</v>
      </c>
      <c r="K2980" s="2"/>
      <c r="L2980" s="2">
        <v>46483</v>
      </c>
      <c r="M2980" s="2"/>
      <c r="N2980" s="2">
        <v>50220</v>
      </c>
      <c r="P2980" s="2">
        <v>46665</v>
      </c>
      <c r="Q2980" s="2"/>
      <c r="R2980" s="2">
        <v>50028</v>
      </c>
      <c r="AB2980" s="2"/>
    </row>
    <row r="2981" spans="8:28" ht="15" customHeight="1">
      <c r="H2981" s="2">
        <v>46763</v>
      </c>
      <c r="I2981" s="2"/>
      <c r="J2981" s="2">
        <v>49934</v>
      </c>
      <c r="K2981" s="2"/>
      <c r="L2981" s="2">
        <v>46482</v>
      </c>
      <c r="M2981" s="2"/>
      <c r="N2981" s="2">
        <v>50221</v>
      </c>
      <c r="P2981" s="2">
        <v>46661</v>
      </c>
      <c r="Q2981" s="2"/>
      <c r="R2981" s="2">
        <v>50031</v>
      </c>
      <c r="AB2981" s="2"/>
    </row>
    <row r="2982" spans="8:28" ht="15" customHeight="1">
      <c r="H2982" s="2">
        <v>46762</v>
      </c>
      <c r="I2982" s="2"/>
      <c r="J2982" s="2">
        <v>49935</v>
      </c>
      <c r="K2982" s="2"/>
      <c r="L2982" s="2">
        <v>46479</v>
      </c>
      <c r="M2982" s="2"/>
      <c r="N2982" s="2">
        <v>50222</v>
      </c>
      <c r="P2982" s="2">
        <v>46660</v>
      </c>
      <c r="Q2982" s="2"/>
      <c r="R2982" s="2">
        <v>50032</v>
      </c>
      <c r="AB2982" s="2"/>
    </row>
    <row r="2983" spans="8:28" ht="15" customHeight="1">
      <c r="H2983" s="2">
        <v>46759</v>
      </c>
      <c r="I2983" s="2"/>
      <c r="J2983" s="2">
        <v>49936</v>
      </c>
      <c r="K2983" s="2"/>
      <c r="L2983" s="2">
        <v>46478</v>
      </c>
      <c r="M2983" s="2"/>
      <c r="N2983" s="2">
        <v>50223</v>
      </c>
      <c r="P2983" s="2">
        <v>46659</v>
      </c>
      <c r="Q2983" s="2"/>
      <c r="R2983" s="2">
        <v>50033</v>
      </c>
      <c r="AB2983" s="2"/>
    </row>
    <row r="2984" spans="8:28" ht="15" customHeight="1">
      <c r="H2984" s="2">
        <v>46758</v>
      </c>
      <c r="I2984" s="2"/>
      <c r="J2984" s="2">
        <v>49937</v>
      </c>
      <c r="K2984" s="2"/>
      <c r="L2984" s="2">
        <v>46477</v>
      </c>
      <c r="M2984" s="2"/>
      <c r="N2984" s="2">
        <v>50227</v>
      </c>
      <c r="P2984" s="2">
        <v>46658</v>
      </c>
      <c r="Q2984" s="2"/>
      <c r="R2984" s="2">
        <v>50035</v>
      </c>
      <c r="AB2984" s="2"/>
    </row>
    <row r="2985" spans="8:28" ht="15" customHeight="1">
      <c r="H2985" s="2">
        <v>46757</v>
      </c>
      <c r="I2985" s="2"/>
      <c r="J2985" s="2">
        <v>49940</v>
      </c>
      <c r="K2985" s="2"/>
      <c r="L2985" s="2">
        <v>46476</v>
      </c>
      <c r="M2985" s="2"/>
      <c r="N2985" s="2">
        <v>50228</v>
      </c>
      <c r="P2985" s="2">
        <v>46657</v>
      </c>
      <c r="Q2985" s="2"/>
      <c r="R2985" s="2">
        <v>50038</v>
      </c>
      <c r="AB2985" s="2"/>
    </row>
    <row r="2986" spans="8:28" ht="15" customHeight="1">
      <c r="H2986" s="2">
        <v>46756</v>
      </c>
      <c r="I2986" s="2"/>
      <c r="J2986" s="2">
        <v>49941</v>
      </c>
      <c r="K2986" s="2"/>
      <c r="L2986" s="2">
        <v>46475</v>
      </c>
      <c r="M2986" s="2"/>
      <c r="N2986" s="2">
        <v>50229</v>
      </c>
      <c r="P2986" s="2">
        <v>46654</v>
      </c>
      <c r="Q2986" s="2"/>
      <c r="R2986" s="2">
        <v>50039</v>
      </c>
      <c r="AB2986" s="2"/>
    </row>
    <row r="2987" spans="8:28" ht="15" customHeight="1">
      <c r="H2987" s="2">
        <v>46755</v>
      </c>
      <c r="I2987" s="2"/>
      <c r="J2987" s="2">
        <v>49942</v>
      </c>
      <c r="K2987" s="2"/>
      <c r="L2987" s="2">
        <v>46471</v>
      </c>
      <c r="M2987" s="2"/>
      <c r="N2987" s="2">
        <v>50230</v>
      </c>
      <c r="P2987" s="2">
        <v>46653</v>
      </c>
      <c r="Q2987" s="2"/>
      <c r="R2987" s="2">
        <v>50042</v>
      </c>
      <c r="AB2987" s="2"/>
    </row>
    <row r="2988" spans="8:28" ht="15" customHeight="1">
      <c r="H2988" s="2">
        <v>46752</v>
      </c>
      <c r="I2988" s="2"/>
      <c r="J2988" s="2">
        <v>49943</v>
      </c>
      <c r="K2988" s="2"/>
      <c r="L2988" s="2">
        <v>46470</v>
      </c>
      <c r="M2988" s="2"/>
      <c r="N2988" s="2">
        <v>50231</v>
      </c>
      <c r="P2988" s="2">
        <v>46652</v>
      </c>
      <c r="Q2988" s="2"/>
      <c r="R2988" s="2">
        <v>50045</v>
      </c>
      <c r="AB2988" s="2"/>
    </row>
    <row r="2989" spans="8:28" ht="15" customHeight="1">
      <c r="H2989" s="2">
        <v>46751</v>
      </c>
      <c r="I2989" s="2"/>
      <c r="J2989" s="2">
        <v>49944</v>
      </c>
      <c r="K2989" s="2"/>
      <c r="L2989" s="2">
        <v>46469</v>
      </c>
      <c r="M2989" s="2"/>
      <c r="N2989" s="2">
        <v>50234</v>
      </c>
      <c r="P2989" s="2">
        <v>46651</v>
      </c>
      <c r="Q2989" s="2"/>
      <c r="R2989" s="2">
        <v>50046</v>
      </c>
      <c r="AB2989" s="2"/>
    </row>
    <row r="2990" spans="8:28" ht="15" customHeight="1">
      <c r="H2990" s="2">
        <v>46750</v>
      </c>
      <c r="I2990" s="2"/>
      <c r="J2990" s="2">
        <v>49947</v>
      </c>
      <c r="K2990" s="2"/>
      <c r="L2990" s="2">
        <v>46465</v>
      </c>
      <c r="M2990" s="2"/>
      <c r="N2990" s="2">
        <v>50235</v>
      </c>
      <c r="P2990" s="2">
        <v>46650</v>
      </c>
      <c r="Q2990" s="2"/>
      <c r="R2990" s="2">
        <v>50047</v>
      </c>
      <c r="AB2990" s="2"/>
    </row>
    <row r="2991" spans="8:28" ht="15" customHeight="1">
      <c r="H2991" s="2">
        <v>46749</v>
      </c>
      <c r="I2991" s="2"/>
      <c r="J2991" s="2">
        <v>49948</v>
      </c>
      <c r="K2991" s="2"/>
      <c r="L2991" s="2">
        <v>46464</v>
      </c>
      <c r="M2991" s="2"/>
      <c r="N2991" s="2">
        <v>50236</v>
      </c>
      <c r="P2991" s="2">
        <v>46647</v>
      </c>
      <c r="Q2991" s="2"/>
      <c r="R2991" s="2">
        <v>50048</v>
      </c>
      <c r="AB2991" s="2"/>
    </row>
    <row r="2992" spans="8:28" ht="15" customHeight="1">
      <c r="H2992" s="2">
        <v>46748</v>
      </c>
      <c r="I2992" s="2"/>
      <c r="J2992" s="2">
        <v>49949</v>
      </c>
      <c r="K2992" s="2"/>
      <c r="L2992" s="2">
        <v>46463</v>
      </c>
      <c r="M2992" s="2"/>
      <c r="N2992" s="2">
        <v>50237</v>
      </c>
      <c r="P2992" s="2">
        <v>46643</v>
      </c>
      <c r="Q2992" s="2"/>
      <c r="R2992" s="2">
        <v>50049</v>
      </c>
      <c r="AB2992" s="2"/>
    </row>
    <row r="2993" spans="8:28" ht="15" customHeight="1">
      <c r="H2993" s="2">
        <v>46744</v>
      </c>
      <c r="I2993" s="2"/>
      <c r="J2993" s="2">
        <v>49950</v>
      </c>
      <c r="K2993" s="2"/>
      <c r="L2993" s="2">
        <v>46462</v>
      </c>
      <c r="M2993" s="2"/>
      <c r="N2993" s="2">
        <v>50238</v>
      </c>
      <c r="P2993" s="2">
        <v>46640</v>
      </c>
      <c r="Q2993" s="2"/>
      <c r="R2993" s="2">
        <v>50052</v>
      </c>
      <c r="AB2993" s="2"/>
    </row>
    <row r="2994" spans="8:28" ht="15" customHeight="1">
      <c r="H2994" s="2">
        <v>46743</v>
      </c>
      <c r="I2994" s="2"/>
      <c r="J2994" s="2">
        <v>49951</v>
      </c>
      <c r="K2994" s="2"/>
      <c r="L2994" s="2">
        <v>46461</v>
      </c>
      <c r="M2994" s="2"/>
      <c r="N2994" s="2">
        <v>50242</v>
      </c>
      <c r="P2994" s="2">
        <v>46639</v>
      </c>
      <c r="Q2994" s="2"/>
      <c r="R2994" s="2">
        <v>50053</v>
      </c>
      <c r="AB2994" s="2"/>
    </row>
    <row r="2995" spans="8:28" ht="15" customHeight="1">
      <c r="H2995" s="2">
        <v>46742</v>
      </c>
      <c r="I2995" s="2"/>
      <c r="J2995" s="2">
        <v>49954</v>
      </c>
      <c r="K2995" s="2"/>
      <c r="L2995" s="2">
        <v>46458</v>
      </c>
      <c r="M2995" s="2"/>
      <c r="N2995" s="2">
        <v>50243</v>
      </c>
      <c r="P2995" s="2">
        <v>46638</v>
      </c>
      <c r="Q2995" s="2"/>
      <c r="R2995" s="2">
        <v>50054</v>
      </c>
      <c r="AB2995" s="2"/>
    </row>
    <row r="2996" spans="8:28" ht="15" customHeight="1">
      <c r="H2996" s="2">
        <v>46741</v>
      </c>
      <c r="I2996" s="2"/>
      <c r="J2996" s="2">
        <v>49955</v>
      </c>
      <c r="K2996" s="2"/>
      <c r="L2996" s="2">
        <v>46457</v>
      </c>
      <c r="M2996" s="2"/>
      <c r="N2996" s="2">
        <v>50244</v>
      </c>
      <c r="P2996" s="2">
        <v>46637</v>
      </c>
      <c r="Q2996" s="2"/>
      <c r="R2996" s="2">
        <v>50055</v>
      </c>
      <c r="AB2996" s="2"/>
    </row>
    <row r="2997" spans="8:28" ht="15" customHeight="1">
      <c r="H2997" s="2">
        <v>46738</v>
      </c>
      <c r="I2997" s="2"/>
      <c r="J2997" s="2">
        <v>49956</v>
      </c>
      <c r="K2997" s="2"/>
      <c r="L2997" s="2">
        <v>46456</v>
      </c>
      <c r="M2997" s="2"/>
      <c r="N2997" s="2">
        <v>50245</v>
      </c>
      <c r="P2997" s="2">
        <v>46636</v>
      </c>
      <c r="Q2997" s="2"/>
      <c r="R2997" s="2">
        <v>50056</v>
      </c>
      <c r="AB2997" s="2"/>
    </row>
    <row r="2998" spans="8:28" ht="15" customHeight="1">
      <c r="H2998" s="2">
        <v>46737</v>
      </c>
      <c r="I2998" s="2"/>
      <c r="J2998" s="2">
        <v>49957</v>
      </c>
      <c r="K2998" s="2"/>
      <c r="L2998" s="2">
        <v>46455</v>
      </c>
      <c r="M2998" s="2"/>
      <c r="N2998" s="2">
        <v>50248</v>
      </c>
      <c r="P2998" s="2">
        <v>46633</v>
      </c>
      <c r="Q2998" s="2"/>
      <c r="R2998" s="2">
        <v>50059</v>
      </c>
      <c r="AB2998" s="2"/>
    </row>
    <row r="2999" spans="8:28" ht="15" customHeight="1">
      <c r="H2999" s="2">
        <v>46736</v>
      </c>
      <c r="I2999" s="2"/>
      <c r="J2999" s="2">
        <v>49958</v>
      </c>
      <c r="K2999" s="2"/>
      <c r="L2999" s="2">
        <v>46454</v>
      </c>
      <c r="M2999" s="2"/>
      <c r="N2999" s="2">
        <v>50249</v>
      </c>
      <c r="P2999" s="2">
        <v>46632</v>
      </c>
      <c r="Q2999" s="2"/>
      <c r="R2999" s="2">
        <v>50060</v>
      </c>
      <c r="AB2999" s="2"/>
    </row>
    <row r="3000" spans="8:28" ht="15" customHeight="1">
      <c r="H3000" s="2">
        <v>46735</v>
      </c>
      <c r="I3000" s="2"/>
      <c r="J3000" s="2">
        <v>49961</v>
      </c>
      <c r="K3000" s="2"/>
      <c r="L3000" s="2">
        <v>46451</v>
      </c>
      <c r="M3000" s="2"/>
      <c r="N3000" s="2">
        <v>50250</v>
      </c>
      <c r="P3000" s="2">
        <v>46631</v>
      </c>
      <c r="Q3000" s="2"/>
      <c r="R3000" s="2">
        <v>50061</v>
      </c>
      <c r="AB3000" s="2"/>
    </row>
    <row r="3001" spans="8:28" ht="15" customHeight="1">
      <c r="H3001" s="2">
        <v>46734</v>
      </c>
      <c r="I3001" s="2"/>
      <c r="J3001" s="2">
        <v>49962</v>
      </c>
      <c r="K3001" s="2"/>
      <c r="L3001" s="2">
        <v>46450</v>
      </c>
      <c r="M3001" s="2"/>
      <c r="N3001" s="2">
        <v>50251</v>
      </c>
      <c r="P3001" s="2">
        <v>46630</v>
      </c>
      <c r="Q3001" s="2"/>
      <c r="R3001" s="2">
        <v>50062</v>
      </c>
      <c r="AB3001" s="2"/>
    </row>
    <row r="3002" spans="8:28" ht="15" customHeight="1">
      <c r="H3002" s="2">
        <v>46731</v>
      </c>
      <c r="I3002" s="2"/>
      <c r="J3002" s="2">
        <v>49963</v>
      </c>
      <c r="K3002" s="2"/>
      <c r="L3002" s="2">
        <v>46449</v>
      </c>
      <c r="M3002" s="2"/>
      <c r="N3002" s="2">
        <v>50252</v>
      </c>
      <c r="P3002" s="2">
        <v>46629</v>
      </c>
      <c r="Q3002" s="2"/>
      <c r="R3002" s="2">
        <v>50063</v>
      </c>
      <c r="AB3002" s="2"/>
    </row>
    <row r="3003" spans="8:28" ht="15" customHeight="1">
      <c r="H3003" s="2">
        <v>46730</v>
      </c>
      <c r="I3003" s="2"/>
      <c r="J3003" s="2">
        <v>49964</v>
      </c>
      <c r="K3003" s="2"/>
      <c r="L3003" s="2">
        <v>46448</v>
      </c>
      <c r="M3003" s="2"/>
      <c r="N3003" s="2">
        <v>50255</v>
      </c>
      <c r="P3003" s="2">
        <v>46626</v>
      </c>
      <c r="Q3003" s="2"/>
      <c r="R3003" s="2">
        <v>50066</v>
      </c>
      <c r="AB3003" s="2"/>
    </row>
    <row r="3004" spans="8:28" ht="15" customHeight="1">
      <c r="H3004" s="2">
        <v>46729</v>
      </c>
      <c r="I3004" s="2"/>
      <c r="J3004" s="2">
        <v>49965</v>
      </c>
      <c r="K3004" s="2"/>
      <c r="L3004" s="2">
        <v>46447</v>
      </c>
      <c r="M3004" s="2"/>
      <c r="N3004" s="2">
        <v>50256</v>
      </c>
      <c r="P3004" s="2">
        <v>46625</v>
      </c>
      <c r="Q3004" s="2"/>
      <c r="R3004" s="2">
        <v>50067</v>
      </c>
      <c r="AB3004" s="2"/>
    </row>
    <row r="3005" spans="8:28" ht="15" customHeight="1">
      <c r="H3005" s="2">
        <v>46728</v>
      </c>
      <c r="I3005" s="2"/>
      <c r="J3005" s="2">
        <v>49968</v>
      </c>
      <c r="K3005" s="2"/>
      <c r="L3005" s="2">
        <v>46444</v>
      </c>
      <c r="M3005" s="2"/>
      <c r="N3005" s="2">
        <v>50257</v>
      </c>
      <c r="P3005" s="2">
        <v>46624</v>
      </c>
      <c r="Q3005" s="2"/>
      <c r="R3005" s="2">
        <v>50068</v>
      </c>
      <c r="AB3005" s="2"/>
    </row>
    <row r="3006" spans="8:28" ht="15" customHeight="1">
      <c r="H3006" s="2">
        <v>46727</v>
      </c>
      <c r="I3006" s="2"/>
      <c r="J3006" s="2">
        <v>49969</v>
      </c>
      <c r="K3006" s="2"/>
      <c r="L3006" s="2">
        <v>46443</v>
      </c>
      <c r="M3006" s="2"/>
      <c r="N3006" s="2">
        <v>50258</v>
      </c>
      <c r="P3006" s="2">
        <v>46623</v>
      </c>
      <c r="Q3006" s="2"/>
      <c r="R3006" s="2">
        <v>50069</v>
      </c>
      <c r="AB3006" s="2"/>
    </row>
    <row r="3007" spans="8:28" ht="15" customHeight="1">
      <c r="H3007" s="2">
        <v>46724</v>
      </c>
      <c r="I3007" s="2"/>
      <c r="J3007" s="2">
        <v>49970</v>
      </c>
      <c r="K3007" s="2"/>
      <c r="L3007" s="2">
        <v>46442</v>
      </c>
      <c r="M3007" s="2"/>
      <c r="N3007" s="2">
        <v>50259</v>
      </c>
      <c r="P3007" s="2">
        <v>46622</v>
      </c>
      <c r="Q3007" s="2"/>
      <c r="R3007" s="2">
        <v>50070</v>
      </c>
      <c r="AB3007" s="2"/>
    </row>
    <row r="3008" spans="8:28" ht="15" customHeight="1">
      <c r="H3008" s="2">
        <v>46723</v>
      </c>
      <c r="I3008" s="2"/>
      <c r="J3008" s="2">
        <v>49971</v>
      </c>
      <c r="K3008" s="2"/>
      <c r="L3008" s="2">
        <v>46440</v>
      </c>
      <c r="M3008" s="2"/>
      <c r="N3008" s="2">
        <v>50262</v>
      </c>
      <c r="P3008" s="2">
        <v>46619</v>
      </c>
      <c r="Q3008" s="2"/>
      <c r="R3008" s="2">
        <v>50073</v>
      </c>
      <c r="AB3008" s="2"/>
    </row>
    <row r="3009" spans="8:28" ht="15" customHeight="1">
      <c r="H3009" s="2">
        <v>46722</v>
      </c>
      <c r="I3009" s="2"/>
      <c r="J3009" s="2">
        <v>49972</v>
      </c>
      <c r="K3009" s="2"/>
      <c r="L3009" s="2">
        <v>46437</v>
      </c>
      <c r="M3009" s="2"/>
      <c r="N3009" s="2">
        <v>50264</v>
      </c>
      <c r="P3009" s="2">
        <v>46618</v>
      </c>
      <c r="Q3009" s="2"/>
      <c r="R3009" s="2">
        <v>50074</v>
      </c>
      <c r="AB3009" s="2"/>
    </row>
    <row r="3010" spans="8:28" ht="15" customHeight="1">
      <c r="H3010" s="2">
        <v>46721</v>
      </c>
      <c r="I3010" s="2"/>
      <c r="J3010" s="2">
        <v>49975</v>
      </c>
      <c r="K3010" s="2"/>
      <c r="L3010" s="2">
        <v>46436</v>
      </c>
      <c r="M3010" s="2"/>
      <c r="N3010" s="2">
        <v>50265</v>
      </c>
      <c r="P3010" s="2">
        <v>46617</v>
      </c>
      <c r="Q3010" s="2"/>
      <c r="R3010" s="2">
        <v>50075</v>
      </c>
      <c r="AB3010" s="2"/>
    </row>
    <row r="3011" spans="8:28" ht="15" customHeight="1">
      <c r="H3011" s="2">
        <v>46720</v>
      </c>
      <c r="I3011" s="2"/>
      <c r="J3011" s="2">
        <v>49976</v>
      </c>
      <c r="K3011" s="2"/>
      <c r="L3011" s="2">
        <v>46435</v>
      </c>
      <c r="M3011" s="2"/>
      <c r="N3011" s="2">
        <v>50266</v>
      </c>
      <c r="P3011" s="2">
        <v>46616</v>
      </c>
      <c r="Q3011" s="2"/>
      <c r="R3011" s="2">
        <v>50076</v>
      </c>
      <c r="AB3011" s="2"/>
    </row>
    <row r="3012" spans="8:28" ht="15" customHeight="1">
      <c r="H3012" s="2">
        <v>46717</v>
      </c>
      <c r="I3012" s="2"/>
      <c r="J3012" s="2">
        <v>49977</v>
      </c>
      <c r="K3012" s="2"/>
      <c r="L3012" s="2">
        <v>46434</v>
      </c>
      <c r="M3012" s="2"/>
      <c r="N3012" s="2">
        <v>50269</v>
      </c>
      <c r="P3012" s="2">
        <v>46612</v>
      </c>
      <c r="Q3012" s="2"/>
      <c r="R3012" s="2">
        <v>50077</v>
      </c>
      <c r="AB3012" s="2"/>
    </row>
    <row r="3013" spans="8:28" ht="15" customHeight="1">
      <c r="H3013" s="2">
        <v>46715</v>
      </c>
      <c r="I3013" s="2"/>
      <c r="J3013" s="2">
        <v>49978</v>
      </c>
      <c r="K3013" s="2"/>
      <c r="L3013" s="2">
        <v>46430</v>
      </c>
      <c r="M3013" s="2"/>
      <c r="N3013" s="2">
        <v>50270</v>
      </c>
      <c r="P3013" s="2">
        <v>46611</v>
      </c>
      <c r="Q3013" s="2"/>
      <c r="R3013" s="2">
        <v>50080</v>
      </c>
      <c r="AB3013" s="2"/>
    </row>
    <row r="3014" spans="8:28" ht="15" customHeight="1">
      <c r="H3014" s="2">
        <v>46714</v>
      </c>
      <c r="I3014" s="2"/>
      <c r="J3014" s="2">
        <v>49979</v>
      </c>
      <c r="K3014" s="2"/>
      <c r="L3014" s="2">
        <v>46428</v>
      </c>
      <c r="M3014" s="2"/>
      <c r="N3014" s="2">
        <v>50271</v>
      </c>
      <c r="P3014" s="2">
        <v>46610</v>
      </c>
      <c r="Q3014" s="2"/>
      <c r="R3014" s="2">
        <v>50081</v>
      </c>
      <c r="AB3014" s="2"/>
    </row>
    <row r="3015" spans="8:28" ht="15" customHeight="1">
      <c r="H3015" s="2">
        <v>46713</v>
      </c>
      <c r="I3015" s="2"/>
      <c r="J3015" s="2">
        <v>49982</v>
      </c>
      <c r="K3015" s="2"/>
      <c r="L3015" s="2">
        <v>46427</v>
      </c>
      <c r="M3015" s="2"/>
      <c r="N3015" s="2">
        <v>50272</v>
      </c>
      <c r="P3015" s="2">
        <v>46609</v>
      </c>
      <c r="Q3015" s="2"/>
      <c r="R3015" s="2">
        <v>50082</v>
      </c>
      <c r="AB3015" s="2"/>
    </row>
    <row r="3016" spans="8:28" ht="15" customHeight="1">
      <c r="H3016" s="2">
        <v>46710</v>
      </c>
      <c r="I3016" s="2"/>
      <c r="J3016" s="2">
        <v>49983</v>
      </c>
      <c r="K3016" s="2"/>
      <c r="L3016" s="2">
        <v>46426</v>
      </c>
      <c r="M3016" s="2"/>
      <c r="N3016" s="2">
        <v>50273</v>
      </c>
      <c r="P3016" s="2">
        <v>46608</v>
      </c>
      <c r="Q3016" s="2"/>
      <c r="R3016" s="2">
        <v>50083</v>
      </c>
      <c r="AB3016" s="2"/>
    </row>
    <row r="3017" spans="8:28" ht="15" customHeight="1">
      <c r="H3017" s="2">
        <v>46709</v>
      </c>
      <c r="I3017" s="2"/>
      <c r="J3017" s="2">
        <v>49984</v>
      </c>
      <c r="K3017" s="2"/>
      <c r="L3017" s="2">
        <v>46423</v>
      </c>
      <c r="M3017" s="2"/>
      <c r="N3017" s="2">
        <v>50276</v>
      </c>
      <c r="P3017" s="2">
        <v>46605</v>
      </c>
      <c r="Q3017" s="2"/>
      <c r="R3017" s="2">
        <v>50084</v>
      </c>
      <c r="AB3017" s="2"/>
    </row>
    <row r="3018" spans="8:28" ht="15" customHeight="1">
      <c r="H3018" s="2">
        <v>46708</v>
      </c>
      <c r="I3018" s="2"/>
      <c r="J3018" s="2">
        <v>49985</v>
      </c>
      <c r="K3018" s="2"/>
      <c r="L3018" s="2">
        <v>46422</v>
      </c>
      <c r="M3018" s="2"/>
      <c r="N3018" s="2">
        <v>50277</v>
      </c>
      <c r="P3018" s="2">
        <v>46604</v>
      </c>
      <c r="Q3018" s="2"/>
      <c r="R3018" s="2">
        <v>50089</v>
      </c>
      <c r="AB3018" s="2"/>
    </row>
    <row r="3019" spans="8:28" ht="15" customHeight="1">
      <c r="H3019" s="2">
        <v>46707</v>
      </c>
      <c r="I3019" s="2"/>
      <c r="J3019" s="2">
        <v>49986</v>
      </c>
      <c r="K3019" s="2"/>
      <c r="L3019" s="2">
        <v>46421</v>
      </c>
      <c r="M3019" s="2"/>
      <c r="N3019" s="2">
        <v>50278</v>
      </c>
      <c r="P3019" s="2">
        <v>46603</v>
      </c>
      <c r="Q3019" s="2"/>
      <c r="R3019" s="2">
        <v>50090</v>
      </c>
      <c r="AB3019" s="2"/>
    </row>
    <row r="3020" spans="8:28" ht="15" customHeight="1">
      <c r="H3020" s="2">
        <v>46706</v>
      </c>
      <c r="I3020" s="2"/>
      <c r="J3020" s="2">
        <v>49989</v>
      </c>
      <c r="K3020" s="2"/>
      <c r="L3020" s="2">
        <v>46420</v>
      </c>
      <c r="M3020" s="2"/>
      <c r="N3020" s="2">
        <v>50279</v>
      </c>
      <c r="P3020" s="2">
        <v>46602</v>
      </c>
      <c r="Q3020" s="2"/>
      <c r="R3020" s="2">
        <v>50091</v>
      </c>
      <c r="AB3020" s="2"/>
    </row>
    <row r="3021" spans="8:28" ht="15" customHeight="1">
      <c r="H3021" s="2">
        <v>46703</v>
      </c>
      <c r="I3021" s="2"/>
      <c r="J3021" s="2">
        <v>49990</v>
      </c>
      <c r="K3021" s="2"/>
      <c r="L3021" s="2">
        <v>46419</v>
      </c>
      <c r="M3021" s="2"/>
      <c r="N3021" s="2">
        <v>50280</v>
      </c>
      <c r="P3021" s="2">
        <v>46601</v>
      </c>
      <c r="Q3021" s="2"/>
      <c r="R3021" s="2">
        <v>50094</v>
      </c>
      <c r="AB3021" s="2"/>
    </row>
    <row r="3022" spans="8:28" ht="15" customHeight="1">
      <c r="H3022" s="2">
        <v>46702</v>
      </c>
      <c r="I3022" s="2"/>
      <c r="J3022" s="2">
        <v>49991</v>
      </c>
      <c r="K3022" s="2"/>
      <c r="L3022" s="2">
        <v>46416</v>
      </c>
      <c r="M3022" s="2"/>
      <c r="N3022" s="2">
        <v>50283</v>
      </c>
      <c r="P3022" s="2">
        <v>46598</v>
      </c>
      <c r="Q3022" s="2"/>
      <c r="R3022" s="2">
        <v>50095</v>
      </c>
      <c r="AB3022" s="2"/>
    </row>
    <row r="3023" spans="8:28" ht="15" customHeight="1">
      <c r="H3023" s="2">
        <v>46701</v>
      </c>
      <c r="I3023" s="2"/>
      <c r="J3023" s="2">
        <v>49992</v>
      </c>
      <c r="K3023" s="2"/>
      <c r="L3023" s="2">
        <v>46415</v>
      </c>
      <c r="M3023" s="2"/>
      <c r="N3023" s="2">
        <v>50284</v>
      </c>
      <c r="P3023" s="2">
        <v>46597</v>
      </c>
      <c r="Q3023" s="2"/>
      <c r="R3023" s="2">
        <v>50096</v>
      </c>
      <c r="AB3023" s="2"/>
    </row>
    <row r="3024" spans="8:28" ht="15" customHeight="1">
      <c r="H3024" s="2">
        <v>46700</v>
      </c>
      <c r="I3024" s="2"/>
      <c r="J3024" s="2">
        <v>49993</v>
      </c>
      <c r="K3024" s="2"/>
      <c r="L3024" s="2">
        <v>46414</v>
      </c>
      <c r="M3024" s="2"/>
      <c r="N3024" s="2">
        <v>50285</v>
      </c>
      <c r="P3024" s="2">
        <v>46596</v>
      </c>
      <c r="Q3024" s="2"/>
      <c r="R3024" s="2">
        <v>50097</v>
      </c>
      <c r="AB3024" s="2"/>
    </row>
    <row r="3025" spans="8:28" ht="15" customHeight="1">
      <c r="H3025" s="2">
        <v>46699</v>
      </c>
      <c r="I3025" s="2"/>
      <c r="J3025" s="2">
        <v>49996</v>
      </c>
      <c r="K3025" s="2"/>
      <c r="L3025" s="2">
        <v>46413</v>
      </c>
      <c r="M3025" s="2"/>
      <c r="N3025" s="2">
        <v>50286</v>
      </c>
      <c r="P3025" s="2">
        <v>46595</v>
      </c>
      <c r="Q3025" s="2"/>
      <c r="R3025" s="2">
        <v>50098</v>
      </c>
      <c r="AB3025" s="2"/>
    </row>
    <row r="3026" spans="8:28" ht="15" customHeight="1">
      <c r="H3026" s="2">
        <v>46696</v>
      </c>
      <c r="I3026" s="2"/>
      <c r="J3026" s="2">
        <v>49997</v>
      </c>
      <c r="K3026" s="2"/>
      <c r="L3026" s="2">
        <v>46412</v>
      </c>
      <c r="M3026" s="2"/>
      <c r="N3026" s="2">
        <v>50287</v>
      </c>
      <c r="P3026" s="2">
        <v>46594</v>
      </c>
      <c r="Q3026" s="2"/>
      <c r="R3026" s="2">
        <v>50102</v>
      </c>
      <c r="AB3026" s="2"/>
    </row>
    <row r="3027" spans="8:28" ht="15" customHeight="1">
      <c r="H3027" s="2">
        <v>46695</v>
      </c>
      <c r="I3027" s="2"/>
      <c r="J3027" s="2">
        <v>49998</v>
      </c>
      <c r="K3027" s="2"/>
      <c r="L3027" s="2">
        <v>46409</v>
      </c>
      <c r="M3027" s="2"/>
      <c r="N3027" s="2">
        <v>50291</v>
      </c>
      <c r="P3027" s="2">
        <v>46591</v>
      </c>
      <c r="Q3027" s="2"/>
      <c r="R3027" s="2">
        <v>50103</v>
      </c>
      <c r="AB3027" s="2"/>
    </row>
    <row r="3028" spans="8:28" ht="15" customHeight="1">
      <c r="H3028" s="2">
        <v>46694</v>
      </c>
      <c r="I3028" s="2"/>
      <c r="J3028" s="2">
        <v>49999</v>
      </c>
      <c r="K3028" s="2"/>
      <c r="L3028" s="2">
        <v>46408</v>
      </c>
      <c r="M3028" s="2"/>
      <c r="N3028" s="2">
        <v>50292</v>
      </c>
      <c r="P3028" s="2">
        <v>46590</v>
      </c>
      <c r="Q3028" s="2"/>
      <c r="R3028" s="2">
        <v>50104</v>
      </c>
      <c r="AB3028" s="2"/>
    </row>
    <row r="3029" spans="8:28" ht="15" customHeight="1">
      <c r="H3029" s="2">
        <v>46693</v>
      </c>
      <c r="I3029" s="2"/>
      <c r="J3029" s="2">
        <v>50000</v>
      </c>
      <c r="K3029" s="2"/>
      <c r="L3029" s="2">
        <v>46407</v>
      </c>
      <c r="M3029" s="2"/>
      <c r="N3029" s="2">
        <v>50293</v>
      </c>
      <c r="P3029" s="2">
        <v>46589</v>
      </c>
      <c r="Q3029" s="2"/>
      <c r="R3029" s="2">
        <v>50105</v>
      </c>
      <c r="AB3029" s="2"/>
    </row>
    <row r="3030" spans="8:28" ht="15" customHeight="1">
      <c r="H3030" s="2">
        <v>46692</v>
      </c>
      <c r="I3030" s="2"/>
      <c r="J3030" s="2">
        <v>50003</v>
      </c>
      <c r="K3030" s="2"/>
      <c r="L3030" s="2">
        <v>46406</v>
      </c>
      <c r="M3030" s="2"/>
      <c r="N3030" s="2">
        <v>50294</v>
      </c>
      <c r="P3030" s="2">
        <v>46588</v>
      </c>
      <c r="Q3030" s="2"/>
      <c r="R3030" s="2">
        <v>50108</v>
      </c>
      <c r="AB3030" s="2"/>
    </row>
    <row r="3031" spans="8:28" ht="15" customHeight="1">
      <c r="H3031" s="2">
        <v>46689</v>
      </c>
      <c r="I3031" s="2"/>
      <c r="J3031" s="2">
        <v>50004</v>
      </c>
      <c r="K3031" s="2"/>
      <c r="L3031" s="2">
        <v>46402</v>
      </c>
      <c r="M3031" s="2"/>
      <c r="N3031" s="2">
        <v>50297</v>
      </c>
      <c r="P3031" s="2">
        <v>46587</v>
      </c>
      <c r="Q3031" s="2"/>
      <c r="R3031" s="2">
        <v>50109</v>
      </c>
      <c r="AB3031" s="2"/>
    </row>
    <row r="3032" spans="8:28" ht="15" customHeight="1">
      <c r="H3032" s="2">
        <v>46688</v>
      </c>
      <c r="I3032" s="2"/>
      <c r="J3032" s="2">
        <v>50005</v>
      </c>
      <c r="K3032" s="2"/>
      <c r="L3032" s="2">
        <v>46401</v>
      </c>
      <c r="M3032" s="2"/>
      <c r="N3032" s="2">
        <v>50298</v>
      </c>
      <c r="P3032" s="2">
        <v>46584</v>
      </c>
      <c r="Q3032" s="2"/>
      <c r="R3032" s="2">
        <v>50110</v>
      </c>
      <c r="AB3032" s="2"/>
    </row>
    <row r="3033" spans="8:28" ht="15" customHeight="1">
      <c r="H3033" s="2">
        <v>46687</v>
      </c>
      <c r="I3033" s="2"/>
      <c r="J3033" s="2">
        <v>50007</v>
      </c>
      <c r="K3033" s="2"/>
      <c r="L3033" s="2">
        <v>46400</v>
      </c>
      <c r="M3033" s="2"/>
      <c r="N3033" s="2">
        <v>50299</v>
      </c>
      <c r="P3033" s="2">
        <v>46583</v>
      </c>
      <c r="Q3033" s="2"/>
      <c r="R3033" s="2">
        <v>50111</v>
      </c>
      <c r="AB3033" s="2"/>
    </row>
    <row r="3034" spans="8:28" ht="15" customHeight="1">
      <c r="H3034" s="2">
        <v>46686</v>
      </c>
      <c r="I3034" s="2"/>
      <c r="J3034" s="2">
        <v>50010</v>
      </c>
      <c r="K3034" s="2"/>
      <c r="L3034" s="2">
        <v>46399</v>
      </c>
      <c r="M3034" s="2"/>
      <c r="N3034" s="2">
        <v>50300</v>
      </c>
      <c r="P3034" s="2">
        <v>46582</v>
      </c>
      <c r="Q3034" s="2"/>
      <c r="R3034" s="2">
        <v>50112</v>
      </c>
      <c r="AB3034" s="2"/>
    </row>
    <row r="3035" spans="8:28" ht="15" customHeight="1">
      <c r="H3035" s="2">
        <v>46685</v>
      </c>
      <c r="I3035" s="2"/>
      <c r="J3035" s="2">
        <v>50011</v>
      </c>
      <c r="K3035" s="2"/>
      <c r="L3035" s="2">
        <v>46395</v>
      </c>
      <c r="M3035" s="2"/>
      <c r="N3035" s="2">
        <v>50301</v>
      </c>
      <c r="P3035" s="2">
        <v>46581</v>
      </c>
      <c r="Q3035" s="2"/>
      <c r="R3035" s="2">
        <v>50115</v>
      </c>
      <c r="AB3035" s="2"/>
    </row>
    <row r="3036" spans="8:28" ht="15" customHeight="1">
      <c r="H3036" s="2">
        <v>46682</v>
      </c>
      <c r="I3036" s="2"/>
      <c r="J3036" s="2">
        <v>50012</v>
      </c>
      <c r="K3036" s="2"/>
      <c r="L3036" s="2">
        <v>46394</v>
      </c>
      <c r="M3036" s="2"/>
      <c r="N3036" s="2">
        <v>50305</v>
      </c>
      <c r="P3036" s="2">
        <v>46580</v>
      </c>
      <c r="Q3036" s="2"/>
      <c r="R3036" s="2">
        <v>50116</v>
      </c>
      <c r="AB3036" s="2"/>
    </row>
    <row r="3037" spans="8:28" ht="15" customHeight="1">
      <c r="H3037" s="2">
        <v>46681</v>
      </c>
      <c r="I3037" s="2"/>
      <c r="J3037" s="2">
        <v>50013</v>
      </c>
      <c r="K3037" s="2"/>
      <c r="L3037" s="2">
        <v>46393</v>
      </c>
      <c r="M3037" s="2"/>
      <c r="N3037" s="2">
        <v>50307</v>
      </c>
      <c r="P3037" s="2">
        <v>46577</v>
      </c>
      <c r="Q3037" s="2"/>
      <c r="R3037" s="2">
        <v>50117</v>
      </c>
      <c r="AB3037" s="2"/>
    </row>
    <row r="3038" spans="8:28" ht="15" customHeight="1">
      <c r="H3038" s="2">
        <v>46680</v>
      </c>
      <c r="I3038" s="2"/>
      <c r="J3038" s="2">
        <v>50014</v>
      </c>
      <c r="K3038" s="2"/>
      <c r="L3038" s="2">
        <v>46392</v>
      </c>
      <c r="M3038" s="2"/>
      <c r="N3038" s="2">
        <v>50308</v>
      </c>
      <c r="P3038" s="2">
        <v>46576</v>
      </c>
      <c r="Q3038" s="2"/>
      <c r="R3038" s="2">
        <v>50118</v>
      </c>
      <c r="AB3038" s="2"/>
    </row>
    <row r="3039" spans="8:28" ht="15" customHeight="1">
      <c r="H3039" s="2">
        <v>46679</v>
      </c>
      <c r="I3039" s="2"/>
      <c r="J3039" s="2">
        <v>50017</v>
      </c>
      <c r="K3039" s="2"/>
      <c r="L3039" s="2">
        <v>46391</v>
      </c>
      <c r="M3039" s="2"/>
      <c r="N3039" s="2">
        <v>50311</v>
      </c>
      <c r="P3039" s="2">
        <v>46575</v>
      </c>
      <c r="Q3039" s="2"/>
      <c r="R3039" s="2">
        <v>50119</v>
      </c>
      <c r="AB3039" s="2"/>
    </row>
    <row r="3040" spans="8:28" ht="15" customHeight="1">
      <c r="H3040" s="2">
        <v>46678</v>
      </c>
      <c r="I3040" s="2"/>
      <c r="J3040" s="2">
        <v>50018</v>
      </c>
      <c r="K3040" s="2"/>
      <c r="L3040" s="2">
        <v>46386</v>
      </c>
      <c r="M3040" s="2"/>
      <c r="N3040" s="2">
        <v>50312</v>
      </c>
      <c r="P3040" s="2">
        <v>46574</v>
      </c>
      <c r="Q3040" s="2"/>
      <c r="R3040" s="2">
        <v>50122</v>
      </c>
      <c r="AB3040" s="2"/>
    </row>
    <row r="3041" spans="8:28" ht="15" customHeight="1">
      <c r="H3041" s="2">
        <v>46675</v>
      </c>
      <c r="I3041" s="2"/>
      <c r="J3041" s="2">
        <v>50019</v>
      </c>
      <c r="K3041" s="2"/>
      <c r="L3041" s="2">
        <v>46385</v>
      </c>
      <c r="M3041" s="2"/>
      <c r="N3041" s="2">
        <v>50313</v>
      </c>
      <c r="P3041" s="2">
        <v>46573</v>
      </c>
      <c r="Q3041" s="2"/>
      <c r="R3041" s="2">
        <v>50123</v>
      </c>
      <c r="AB3041" s="2"/>
    </row>
    <row r="3042" spans="8:28" ht="15" customHeight="1">
      <c r="H3042" s="2">
        <v>46674</v>
      </c>
      <c r="I3042" s="2"/>
      <c r="J3042" s="2">
        <v>50020</v>
      </c>
      <c r="K3042" s="2"/>
      <c r="L3042" s="2">
        <v>46384</v>
      </c>
      <c r="M3042" s="2"/>
      <c r="N3042" s="2">
        <v>50314</v>
      </c>
      <c r="P3042" s="2">
        <v>46570</v>
      </c>
      <c r="Q3042" s="2"/>
      <c r="R3042" s="2">
        <v>50124</v>
      </c>
      <c r="AB3042" s="2"/>
    </row>
    <row r="3043" spans="8:28" ht="15" customHeight="1">
      <c r="H3043" s="2">
        <v>46673</v>
      </c>
      <c r="I3043" s="2"/>
      <c r="J3043" s="2">
        <v>50021</v>
      </c>
      <c r="K3043" s="2"/>
      <c r="L3043" s="2">
        <v>46380</v>
      </c>
      <c r="M3043" s="2"/>
      <c r="N3043" s="2">
        <v>50315</v>
      </c>
      <c r="P3043" s="2">
        <v>46569</v>
      </c>
      <c r="Q3043" s="2"/>
      <c r="R3043" s="2">
        <v>50125</v>
      </c>
      <c r="AB3043" s="2"/>
    </row>
    <row r="3044" spans="8:28" ht="15" customHeight="1">
      <c r="H3044" s="2">
        <v>46672</v>
      </c>
      <c r="I3044" s="2"/>
      <c r="J3044" s="2">
        <v>50024</v>
      </c>
      <c r="K3044" s="2"/>
      <c r="L3044" s="2">
        <v>46379</v>
      </c>
      <c r="M3044" s="2"/>
      <c r="N3044" s="2">
        <v>50318</v>
      </c>
      <c r="P3044" s="2">
        <v>46568</v>
      </c>
      <c r="Q3044" s="2"/>
      <c r="R3044" s="2">
        <v>50126</v>
      </c>
      <c r="AB3044" s="2"/>
    </row>
    <row r="3045" spans="8:28" ht="15" customHeight="1">
      <c r="H3045" s="2">
        <v>46671</v>
      </c>
      <c r="I3045" s="2"/>
      <c r="J3045" s="2">
        <v>50025</v>
      </c>
      <c r="K3045" s="2"/>
      <c r="L3045" s="2">
        <v>46378</v>
      </c>
      <c r="M3045" s="2"/>
      <c r="N3045" s="2">
        <v>50319</v>
      </c>
      <c r="P3045" s="2">
        <v>46567</v>
      </c>
      <c r="Q3045" s="2"/>
      <c r="R3045" s="2">
        <v>50129</v>
      </c>
      <c r="AB3045" s="2"/>
    </row>
    <row r="3046" spans="8:28" ht="15" customHeight="1">
      <c r="H3046" s="2">
        <v>46668</v>
      </c>
      <c r="I3046" s="2"/>
      <c r="J3046" s="2">
        <v>50026</v>
      </c>
      <c r="K3046" s="2"/>
      <c r="L3046" s="2">
        <v>46377</v>
      </c>
      <c r="M3046" s="2"/>
      <c r="N3046" s="2">
        <v>50320</v>
      </c>
      <c r="P3046" s="2">
        <v>46566</v>
      </c>
      <c r="Q3046" s="2"/>
      <c r="R3046" s="2">
        <v>50130</v>
      </c>
      <c r="AB3046" s="2"/>
    </row>
    <row r="3047" spans="8:28" ht="15" customHeight="1">
      <c r="H3047" s="2">
        <v>46667</v>
      </c>
      <c r="I3047" s="2"/>
      <c r="J3047" s="2">
        <v>50027</v>
      </c>
      <c r="K3047" s="2"/>
      <c r="L3047" s="2">
        <v>46374</v>
      </c>
      <c r="M3047" s="2"/>
      <c r="N3047" s="2">
        <v>50321</v>
      </c>
      <c r="P3047" s="2">
        <v>46563</v>
      </c>
      <c r="Q3047" s="2"/>
      <c r="R3047" s="2">
        <v>50131</v>
      </c>
      <c r="AB3047" s="2"/>
    </row>
    <row r="3048" spans="8:28" ht="15" customHeight="1">
      <c r="H3048" s="2">
        <v>46666</v>
      </c>
      <c r="I3048" s="2"/>
      <c r="J3048" s="2">
        <v>50028</v>
      </c>
      <c r="K3048" s="2"/>
      <c r="L3048" s="2">
        <v>46373</v>
      </c>
      <c r="M3048" s="2"/>
      <c r="N3048" s="2">
        <v>50322</v>
      </c>
      <c r="P3048" s="2">
        <v>46562</v>
      </c>
      <c r="Q3048" s="2"/>
      <c r="R3048" s="2">
        <v>50132</v>
      </c>
      <c r="AB3048" s="2"/>
    </row>
    <row r="3049" spans="8:28" ht="15" customHeight="1">
      <c r="H3049" s="2">
        <v>46665</v>
      </c>
      <c r="I3049" s="2"/>
      <c r="J3049" s="2">
        <v>50031</v>
      </c>
      <c r="K3049" s="2"/>
      <c r="L3049" s="2">
        <v>46372</v>
      </c>
      <c r="M3049" s="2"/>
      <c r="N3049" s="2">
        <v>50326</v>
      </c>
      <c r="P3049" s="2">
        <v>46561</v>
      </c>
      <c r="Q3049" s="2"/>
      <c r="R3049" s="2">
        <v>50133</v>
      </c>
      <c r="AB3049" s="2"/>
    </row>
    <row r="3050" spans="8:28" ht="15" customHeight="1">
      <c r="H3050" s="2">
        <v>46664</v>
      </c>
      <c r="I3050" s="2"/>
      <c r="J3050" s="2">
        <v>50032</v>
      </c>
      <c r="K3050" s="2"/>
      <c r="L3050" s="2">
        <v>46371</v>
      </c>
      <c r="M3050" s="2"/>
      <c r="N3050" s="2">
        <v>50327</v>
      </c>
      <c r="P3050" s="2">
        <v>46560</v>
      </c>
      <c r="Q3050" s="2"/>
      <c r="R3050" s="2">
        <v>50136</v>
      </c>
      <c r="AB3050" s="2"/>
    </row>
    <row r="3051" spans="8:28" ht="15" customHeight="1">
      <c r="H3051" s="2">
        <v>46661</v>
      </c>
      <c r="I3051" s="2"/>
      <c r="J3051" s="2">
        <v>50033</v>
      </c>
      <c r="K3051" s="2"/>
      <c r="L3051" s="2">
        <v>46370</v>
      </c>
      <c r="M3051" s="2"/>
      <c r="N3051" s="2">
        <v>50328</v>
      </c>
      <c r="P3051" s="2">
        <v>46559</v>
      </c>
      <c r="Q3051" s="2"/>
      <c r="R3051" s="2">
        <v>50137</v>
      </c>
      <c r="AB3051" s="2"/>
    </row>
    <row r="3052" spans="8:28" ht="15" customHeight="1">
      <c r="H3052" s="2">
        <v>46660</v>
      </c>
      <c r="I3052" s="2"/>
      <c r="J3052" s="2">
        <v>50035</v>
      </c>
      <c r="K3052" s="2"/>
      <c r="L3052" s="2">
        <v>46367</v>
      </c>
      <c r="M3052" s="2"/>
      <c r="N3052" s="2">
        <v>50329</v>
      </c>
      <c r="P3052" s="2">
        <v>46556</v>
      </c>
      <c r="Q3052" s="2"/>
      <c r="R3052" s="2">
        <v>50138</v>
      </c>
      <c r="AB3052" s="2"/>
    </row>
    <row r="3053" spans="8:28" ht="15" customHeight="1">
      <c r="H3053" s="2">
        <v>46659</v>
      </c>
      <c r="I3053" s="2"/>
      <c r="J3053" s="2">
        <v>50038</v>
      </c>
      <c r="K3053" s="2"/>
      <c r="L3053" s="2">
        <v>46366</v>
      </c>
      <c r="M3053" s="2"/>
      <c r="N3053" s="2">
        <v>50332</v>
      </c>
      <c r="P3053" s="2">
        <v>46555</v>
      </c>
      <c r="Q3053" s="2"/>
      <c r="R3053" s="2">
        <v>50139</v>
      </c>
      <c r="AB3053" s="2"/>
    </row>
    <row r="3054" spans="8:28" ht="15" customHeight="1">
      <c r="H3054" s="2">
        <v>46658</v>
      </c>
      <c r="I3054" s="2"/>
      <c r="J3054" s="2">
        <v>50039</v>
      </c>
      <c r="K3054" s="2"/>
      <c r="L3054" s="2">
        <v>46365</v>
      </c>
      <c r="M3054" s="2"/>
      <c r="N3054" s="2">
        <v>50333</v>
      </c>
      <c r="P3054" s="2">
        <v>46554</v>
      </c>
      <c r="Q3054" s="2"/>
      <c r="R3054" s="2">
        <v>50140</v>
      </c>
      <c r="AB3054" s="2"/>
    </row>
    <row r="3055" spans="8:28" ht="15" customHeight="1">
      <c r="H3055" s="2">
        <v>46657</v>
      </c>
      <c r="I3055" s="2"/>
      <c r="J3055" s="2">
        <v>50040</v>
      </c>
      <c r="K3055" s="2"/>
      <c r="L3055" s="2">
        <v>46364</v>
      </c>
      <c r="M3055" s="2"/>
      <c r="N3055" s="2">
        <v>50334</v>
      </c>
      <c r="P3055" s="2">
        <v>46553</v>
      </c>
      <c r="Q3055" s="2"/>
      <c r="R3055" s="2">
        <v>50143</v>
      </c>
      <c r="AB3055" s="2"/>
    </row>
    <row r="3056" spans="8:28" ht="15" customHeight="1">
      <c r="H3056" s="2">
        <v>46654</v>
      </c>
      <c r="I3056" s="2"/>
      <c r="J3056" s="2">
        <v>50042</v>
      </c>
      <c r="K3056" s="2"/>
      <c r="L3056" s="2">
        <v>46363</v>
      </c>
      <c r="M3056" s="2"/>
      <c r="N3056" s="2">
        <v>50335</v>
      </c>
      <c r="P3056" s="2">
        <v>46552</v>
      </c>
      <c r="Q3056" s="2"/>
      <c r="R3056" s="2">
        <v>50144</v>
      </c>
      <c r="AB3056" s="2"/>
    </row>
    <row r="3057" spans="8:28" ht="15" customHeight="1">
      <c r="H3057" s="2">
        <v>46653</v>
      </c>
      <c r="I3057" s="2"/>
      <c r="J3057" s="2">
        <v>50045</v>
      </c>
      <c r="K3057" s="2"/>
      <c r="L3057" s="2">
        <v>46360</v>
      </c>
      <c r="M3057" s="2"/>
      <c r="N3057" s="2">
        <v>50336</v>
      </c>
      <c r="P3057" s="2">
        <v>46549</v>
      </c>
      <c r="Q3057" s="2"/>
      <c r="R3057" s="2">
        <v>50145</v>
      </c>
      <c r="AB3057" s="2"/>
    </row>
    <row r="3058" spans="8:28" ht="15" customHeight="1">
      <c r="H3058" s="2">
        <v>46652</v>
      </c>
      <c r="I3058" s="2"/>
      <c r="J3058" s="2">
        <v>50046</v>
      </c>
      <c r="K3058" s="2"/>
      <c r="L3058" s="2">
        <v>46359</v>
      </c>
      <c r="M3058" s="2"/>
      <c r="N3058" s="2">
        <v>50339</v>
      </c>
      <c r="P3058" s="2">
        <v>46548</v>
      </c>
      <c r="Q3058" s="2"/>
      <c r="R3058" s="2">
        <v>50146</v>
      </c>
      <c r="AB3058" s="2"/>
    </row>
    <row r="3059" spans="8:28" ht="15" customHeight="1">
      <c r="H3059" s="2">
        <v>46651</v>
      </c>
      <c r="I3059" s="2"/>
      <c r="J3059" s="2">
        <v>50047</v>
      </c>
      <c r="K3059" s="2"/>
      <c r="L3059" s="2">
        <v>46358</v>
      </c>
      <c r="M3059" s="2"/>
      <c r="N3059" s="2">
        <v>50340</v>
      </c>
      <c r="P3059" s="2">
        <v>46547</v>
      </c>
      <c r="Q3059" s="2"/>
      <c r="R3059" s="2">
        <v>50147</v>
      </c>
      <c r="AB3059" s="2"/>
    </row>
    <row r="3060" spans="8:28" ht="15" customHeight="1">
      <c r="H3060" s="2">
        <v>46650</v>
      </c>
      <c r="I3060" s="2"/>
      <c r="J3060" s="2">
        <v>50048</v>
      </c>
      <c r="K3060" s="2"/>
      <c r="L3060" s="2">
        <v>46357</v>
      </c>
      <c r="M3060" s="2"/>
      <c r="N3060" s="2">
        <v>50341</v>
      </c>
      <c r="P3060" s="2">
        <v>46546</v>
      </c>
      <c r="Q3060" s="2"/>
      <c r="R3060" s="2">
        <v>50150</v>
      </c>
      <c r="AB3060" s="2"/>
    </row>
    <row r="3061" spans="8:28" ht="15" customHeight="1">
      <c r="H3061" s="2">
        <v>46647</v>
      </c>
      <c r="I3061" s="2"/>
      <c r="J3061" s="2">
        <v>50049</v>
      </c>
      <c r="K3061" s="2"/>
      <c r="L3061" s="2">
        <v>46356</v>
      </c>
      <c r="M3061" s="2"/>
      <c r="N3061" s="2">
        <v>50342</v>
      </c>
      <c r="P3061" s="2">
        <v>46545</v>
      </c>
      <c r="Q3061" s="2"/>
      <c r="R3061" s="2">
        <v>50151</v>
      </c>
      <c r="AB3061" s="2"/>
    </row>
    <row r="3062" spans="8:28" ht="15" customHeight="1">
      <c r="H3062" s="2">
        <v>46646</v>
      </c>
      <c r="I3062" s="2"/>
      <c r="J3062" s="2">
        <v>50052</v>
      </c>
      <c r="K3062" s="2"/>
      <c r="L3062" s="2">
        <v>46353</v>
      </c>
      <c r="M3062" s="2"/>
      <c r="N3062" s="2">
        <v>50343</v>
      </c>
      <c r="P3062" s="2">
        <v>46542</v>
      </c>
      <c r="Q3062" s="2"/>
      <c r="R3062" s="2">
        <v>50152</v>
      </c>
      <c r="AB3062" s="2"/>
    </row>
    <row r="3063" spans="8:28" ht="15" customHeight="1">
      <c r="H3063" s="2">
        <v>46645</v>
      </c>
      <c r="I3063" s="2"/>
      <c r="J3063" s="2">
        <v>50053</v>
      </c>
      <c r="K3063" s="2"/>
      <c r="L3063" s="2">
        <v>46351</v>
      </c>
      <c r="M3063" s="2"/>
      <c r="N3063" s="2">
        <v>50346</v>
      </c>
      <c r="P3063" s="2">
        <v>46541</v>
      </c>
      <c r="Q3063" s="2"/>
      <c r="R3063" s="2">
        <v>50153</v>
      </c>
      <c r="AB3063" s="2"/>
    </row>
    <row r="3064" spans="8:28" ht="15" customHeight="1">
      <c r="H3064" s="2">
        <v>46644</v>
      </c>
      <c r="I3064" s="2"/>
      <c r="J3064" s="2">
        <v>50054</v>
      </c>
      <c r="K3064" s="2"/>
      <c r="L3064" s="2">
        <v>46350</v>
      </c>
      <c r="M3064" s="2"/>
      <c r="N3064" s="2">
        <v>50348</v>
      </c>
      <c r="P3064" s="2">
        <v>46540</v>
      </c>
      <c r="Q3064" s="2"/>
      <c r="R3064" s="2">
        <v>50154</v>
      </c>
      <c r="AB3064" s="2"/>
    </row>
    <row r="3065" spans="8:28" ht="15" customHeight="1">
      <c r="H3065" s="2">
        <v>46643</v>
      </c>
      <c r="I3065" s="2"/>
      <c r="J3065" s="2">
        <v>50055</v>
      </c>
      <c r="K3065" s="2"/>
      <c r="L3065" s="2">
        <v>46346</v>
      </c>
      <c r="M3065" s="2"/>
      <c r="N3065" s="2">
        <v>50349</v>
      </c>
      <c r="P3065" s="2">
        <v>46539</v>
      </c>
      <c r="Q3065" s="2"/>
      <c r="R3065" s="2">
        <v>50157</v>
      </c>
      <c r="AB3065" s="2"/>
    </row>
    <row r="3066" spans="8:28" ht="15" customHeight="1">
      <c r="H3066" s="2">
        <v>46640</v>
      </c>
      <c r="I3066" s="2"/>
      <c r="J3066" s="2">
        <v>50056</v>
      </c>
      <c r="K3066" s="2"/>
      <c r="L3066" s="2">
        <v>46345</v>
      </c>
      <c r="M3066" s="2"/>
      <c r="N3066" s="2">
        <v>50350</v>
      </c>
      <c r="P3066" s="2">
        <v>46538</v>
      </c>
      <c r="Q3066" s="2"/>
      <c r="R3066" s="2">
        <v>50158</v>
      </c>
      <c r="AB3066" s="2"/>
    </row>
    <row r="3067" spans="8:28" ht="15" customHeight="1">
      <c r="H3067" s="2">
        <v>46639</v>
      </c>
      <c r="I3067" s="2"/>
      <c r="J3067" s="2">
        <v>50060</v>
      </c>
      <c r="K3067" s="2"/>
      <c r="L3067" s="2">
        <v>46344</v>
      </c>
      <c r="M3067" s="2"/>
      <c r="N3067" s="2">
        <v>50353</v>
      </c>
      <c r="P3067" s="2">
        <v>46535</v>
      </c>
      <c r="Q3067" s="2"/>
      <c r="R3067" s="2">
        <v>50159</v>
      </c>
      <c r="AB3067" s="2"/>
    </row>
    <row r="3068" spans="8:28" ht="15" customHeight="1">
      <c r="H3068" s="2">
        <v>46638</v>
      </c>
      <c r="I3068" s="2"/>
      <c r="J3068" s="2">
        <v>50061</v>
      </c>
      <c r="K3068" s="2"/>
      <c r="L3068" s="2">
        <v>46343</v>
      </c>
      <c r="M3068" s="2"/>
      <c r="N3068" s="2">
        <v>50354</v>
      </c>
      <c r="P3068" s="2">
        <v>46534</v>
      </c>
      <c r="Q3068" s="2"/>
      <c r="R3068" s="2">
        <v>50160</v>
      </c>
      <c r="AB3068" s="2"/>
    </row>
    <row r="3069" spans="8:28" ht="15" customHeight="1">
      <c r="H3069" s="2">
        <v>46637</v>
      </c>
      <c r="I3069" s="2"/>
      <c r="J3069" s="2">
        <v>50062</v>
      </c>
      <c r="K3069" s="2"/>
      <c r="L3069" s="2">
        <v>46342</v>
      </c>
      <c r="M3069" s="2"/>
      <c r="N3069" s="2">
        <v>50355</v>
      </c>
      <c r="P3069" s="2">
        <v>46533</v>
      </c>
      <c r="Q3069" s="2"/>
      <c r="R3069" s="2">
        <v>50164</v>
      </c>
      <c r="AB3069" s="2"/>
    </row>
    <row r="3070" spans="8:28" ht="15" customHeight="1">
      <c r="H3070" s="2">
        <v>46633</v>
      </c>
      <c r="I3070" s="2"/>
      <c r="J3070" s="2">
        <v>50063</v>
      </c>
      <c r="K3070" s="2"/>
      <c r="L3070" s="2">
        <v>46339</v>
      </c>
      <c r="M3070" s="2"/>
      <c r="N3070" s="2">
        <v>50356</v>
      </c>
      <c r="P3070" s="2">
        <v>46532</v>
      </c>
      <c r="Q3070" s="2"/>
      <c r="R3070" s="2">
        <v>50166</v>
      </c>
      <c r="AB3070" s="2"/>
    </row>
    <row r="3071" spans="8:28" ht="15" customHeight="1">
      <c r="H3071" s="2">
        <v>46632</v>
      </c>
      <c r="I3071" s="2"/>
      <c r="J3071" s="2">
        <v>50066</v>
      </c>
      <c r="K3071" s="2"/>
      <c r="L3071" s="2">
        <v>46338</v>
      </c>
      <c r="M3071" s="2"/>
      <c r="N3071" s="2">
        <v>50357</v>
      </c>
      <c r="P3071" s="2">
        <v>46531</v>
      </c>
      <c r="Q3071" s="2"/>
      <c r="R3071" s="2">
        <v>50167</v>
      </c>
      <c r="AB3071" s="2"/>
    </row>
    <row r="3072" spans="8:28" ht="15" customHeight="1">
      <c r="H3072" s="2">
        <v>46631</v>
      </c>
      <c r="I3072" s="2"/>
      <c r="J3072" s="2">
        <v>50067</v>
      </c>
      <c r="K3072" s="2"/>
      <c r="L3072" s="2">
        <v>46337</v>
      </c>
      <c r="M3072" s="2"/>
      <c r="N3072" s="2">
        <v>50360</v>
      </c>
      <c r="P3072" s="2">
        <v>46528</v>
      </c>
      <c r="Q3072" s="2"/>
      <c r="R3072" s="2">
        <v>50168</v>
      </c>
      <c r="AB3072" s="2"/>
    </row>
    <row r="3073" spans="8:28" ht="15" customHeight="1">
      <c r="H3073" s="2">
        <v>46630</v>
      </c>
      <c r="I3073" s="2"/>
      <c r="J3073" s="2">
        <v>50068</v>
      </c>
      <c r="K3073" s="2"/>
      <c r="L3073" s="2">
        <v>46336</v>
      </c>
      <c r="M3073" s="2"/>
      <c r="N3073" s="2">
        <v>50361</v>
      </c>
      <c r="P3073" s="2">
        <v>46527</v>
      </c>
      <c r="Q3073" s="2"/>
      <c r="R3073" s="2">
        <v>50171</v>
      </c>
      <c r="AB3073" s="2"/>
    </row>
    <row r="3074" spans="8:28" ht="15" customHeight="1">
      <c r="H3074" s="2">
        <v>46629</v>
      </c>
      <c r="I3074" s="2"/>
      <c r="J3074" s="2">
        <v>50069</v>
      </c>
      <c r="K3074" s="2"/>
      <c r="L3074" s="2">
        <v>46335</v>
      </c>
      <c r="M3074" s="2"/>
      <c r="N3074" s="2">
        <v>50362</v>
      </c>
      <c r="P3074" s="2">
        <v>46526</v>
      </c>
      <c r="Q3074" s="2"/>
      <c r="R3074" s="2">
        <v>50172</v>
      </c>
      <c r="AB3074" s="2"/>
    </row>
    <row r="3075" spans="8:28" ht="15" customHeight="1">
      <c r="H3075" s="2">
        <v>46626</v>
      </c>
      <c r="I3075" s="2"/>
      <c r="J3075" s="2">
        <v>50070</v>
      </c>
      <c r="K3075" s="2"/>
      <c r="L3075" s="2">
        <v>46332</v>
      </c>
      <c r="M3075" s="2"/>
      <c r="N3075" s="2">
        <v>50363</v>
      </c>
      <c r="P3075" s="2">
        <v>46525</v>
      </c>
      <c r="Q3075" s="2"/>
      <c r="R3075" s="2">
        <v>50173</v>
      </c>
      <c r="AB3075" s="2"/>
    </row>
    <row r="3076" spans="8:28" ht="15" customHeight="1">
      <c r="H3076" s="2">
        <v>46625</v>
      </c>
      <c r="I3076" s="2"/>
      <c r="J3076" s="2">
        <v>50073</v>
      </c>
      <c r="K3076" s="2"/>
      <c r="L3076" s="2">
        <v>46331</v>
      </c>
      <c r="M3076" s="2"/>
      <c r="N3076" s="2">
        <v>50364</v>
      </c>
      <c r="P3076" s="2">
        <v>46524</v>
      </c>
      <c r="Q3076" s="2"/>
      <c r="R3076" s="2">
        <v>50174</v>
      </c>
      <c r="AB3076" s="2"/>
    </row>
    <row r="3077" spans="8:28" ht="15" customHeight="1">
      <c r="H3077" s="2">
        <v>46624</v>
      </c>
      <c r="I3077" s="2"/>
      <c r="J3077" s="2">
        <v>50074</v>
      </c>
      <c r="K3077" s="2"/>
      <c r="L3077" s="2">
        <v>46330</v>
      </c>
      <c r="M3077" s="2"/>
      <c r="N3077" s="2">
        <v>50368</v>
      </c>
      <c r="P3077" s="2">
        <v>46521</v>
      </c>
      <c r="Q3077" s="2"/>
      <c r="R3077" s="2">
        <v>50175</v>
      </c>
      <c r="AB3077" s="2"/>
    </row>
    <row r="3078" spans="8:28" ht="15" customHeight="1">
      <c r="H3078" s="2">
        <v>46623</v>
      </c>
      <c r="I3078" s="2"/>
      <c r="J3078" s="2">
        <v>50075</v>
      </c>
      <c r="K3078" s="2"/>
      <c r="L3078" s="2">
        <v>46328</v>
      </c>
      <c r="M3078" s="2"/>
      <c r="N3078" s="2">
        <v>50369</v>
      </c>
      <c r="P3078" s="2">
        <v>46519</v>
      </c>
      <c r="Q3078" s="2"/>
      <c r="R3078" s="2">
        <v>50178</v>
      </c>
      <c r="AB3078" s="2"/>
    </row>
    <row r="3079" spans="8:28" ht="15" customHeight="1">
      <c r="H3079" s="2">
        <v>46622</v>
      </c>
      <c r="I3079" s="2"/>
      <c r="J3079" s="2">
        <v>50076</v>
      </c>
      <c r="K3079" s="2"/>
      <c r="L3079" s="2">
        <v>46325</v>
      </c>
      <c r="M3079" s="2"/>
      <c r="N3079" s="2">
        <v>50371</v>
      </c>
      <c r="P3079" s="2">
        <v>46518</v>
      </c>
      <c r="Q3079" s="2"/>
      <c r="R3079" s="2">
        <v>50179</v>
      </c>
      <c r="AB3079" s="2"/>
    </row>
    <row r="3080" spans="8:28" ht="15" customHeight="1">
      <c r="H3080" s="2">
        <v>46619</v>
      </c>
      <c r="I3080" s="2"/>
      <c r="J3080" s="2">
        <v>50077</v>
      </c>
      <c r="K3080" s="2"/>
      <c r="L3080" s="2">
        <v>46324</v>
      </c>
      <c r="M3080" s="2"/>
      <c r="N3080" s="2">
        <v>50374</v>
      </c>
      <c r="P3080" s="2">
        <v>46517</v>
      </c>
      <c r="Q3080" s="2"/>
      <c r="R3080" s="2">
        <v>50180</v>
      </c>
      <c r="AB3080" s="2"/>
    </row>
    <row r="3081" spans="8:28" ht="15" customHeight="1">
      <c r="H3081" s="2">
        <v>46618</v>
      </c>
      <c r="I3081" s="2"/>
      <c r="J3081" s="2">
        <v>50080</v>
      </c>
      <c r="K3081" s="2"/>
      <c r="L3081" s="2">
        <v>46323</v>
      </c>
      <c r="M3081" s="2"/>
      <c r="N3081" s="2">
        <v>50375</v>
      </c>
      <c r="P3081" s="2">
        <v>46514</v>
      </c>
      <c r="Q3081" s="2"/>
      <c r="R3081" s="2">
        <v>50181</v>
      </c>
      <c r="AB3081" s="2"/>
    </row>
    <row r="3082" spans="8:28" ht="15" customHeight="1">
      <c r="H3082" s="2">
        <v>46617</v>
      </c>
      <c r="I3082" s="2"/>
      <c r="J3082" s="2">
        <v>50081</v>
      </c>
      <c r="K3082" s="2"/>
      <c r="L3082" s="2">
        <v>46322</v>
      </c>
      <c r="M3082" s="2"/>
      <c r="N3082" s="2">
        <v>50376</v>
      </c>
      <c r="P3082" s="2">
        <v>46513</v>
      </c>
      <c r="Q3082" s="2"/>
      <c r="R3082" s="2">
        <v>50185</v>
      </c>
      <c r="AB3082" s="2"/>
    </row>
    <row r="3083" spans="8:28" ht="15" customHeight="1">
      <c r="H3083" s="2">
        <v>46616</v>
      </c>
      <c r="I3083" s="2"/>
      <c r="J3083" s="2">
        <v>50082</v>
      </c>
      <c r="K3083" s="2"/>
      <c r="L3083" s="2">
        <v>46321</v>
      </c>
      <c r="M3083" s="2"/>
      <c r="N3083" s="2">
        <v>50377</v>
      </c>
      <c r="P3083" s="2">
        <v>46511</v>
      </c>
      <c r="Q3083" s="2"/>
      <c r="R3083" s="2">
        <v>50186</v>
      </c>
      <c r="AB3083" s="2"/>
    </row>
    <row r="3084" spans="8:28" ht="15" customHeight="1">
      <c r="H3084" s="2">
        <v>46615</v>
      </c>
      <c r="I3084" s="2"/>
      <c r="J3084" s="2">
        <v>50083</v>
      </c>
      <c r="K3084" s="2"/>
      <c r="L3084" s="2">
        <v>46318</v>
      </c>
      <c r="M3084" s="2"/>
      <c r="N3084" s="2">
        <v>50378</v>
      </c>
      <c r="P3084" s="2">
        <v>46510</v>
      </c>
      <c r="Q3084" s="2"/>
      <c r="R3084" s="2">
        <v>50187</v>
      </c>
      <c r="AB3084" s="2"/>
    </row>
    <row r="3085" spans="8:28" ht="15" customHeight="1">
      <c r="H3085" s="2">
        <v>46612</v>
      </c>
      <c r="I3085" s="2"/>
      <c r="J3085" s="2">
        <v>50084</v>
      </c>
      <c r="K3085" s="2"/>
      <c r="L3085" s="2">
        <v>46317</v>
      </c>
      <c r="M3085" s="2"/>
      <c r="N3085" s="2">
        <v>50381</v>
      </c>
      <c r="P3085" s="2">
        <v>46507</v>
      </c>
      <c r="Q3085" s="2"/>
      <c r="R3085" s="2">
        <v>50188</v>
      </c>
      <c r="AB3085" s="2"/>
    </row>
    <row r="3086" spans="8:28" ht="15" customHeight="1">
      <c r="H3086" s="2">
        <v>46611</v>
      </c>
      <c r="I3086" s="2"/>
      <c r="J3086" s="2">
        <v>50088</v>
      </c>
      <c r="K3086" s="2"/>
      <c r="L3086" s="2">
        <v>46316</v>
      </c>
      <c r="M3086" s="2"/>
      <c r="N3086" s="2">
        <v>50382</v>
      </c>
      <c r="P3086" s="2">
        <v>46506</v>
      </c>
      <c r="Q3086" s="2"/>
      <c r="R3086" s="2">
        <v>50189</v>
      </c>
      <c r="AB3086" s="2"/>
    </row>
    <row r="3087" spans="8:28" ht="15" customHeight="1">
      <c r="H3087" s="2">
        <v>46610</v>
      </c>
      <c r="I3087" s="2"/>
      <c r="J3087" s="2">
        <v>50089</v>
      </c>
      <c r="K3087" s="2"/>
      <c r="L3087" s="2">
        <v>46315</v>
      </c>
      <c r="M3087" s="2"/>
      <c r="N3087" s="2">
        <v>50383</v>
      </c>
      <c r="P3087" s="2">
        <v>46505</v>
      </c>
      <c r="Q3087" s="2"/>
      <c r="R3087" s="2">
        <v>50192</v>
      </c>
      <c r="AB3087" s="2"/>
    </row>
    <row r="3088" spans="8:28" ht="15" customHeight="1">
      <c r="H3088" s="2">
        <v>46609</v>
      </c>
      <c r="I3088" s="2"/>
      <c r="J3088" s="2">
        <v>50090</v>
      </c>
      <c r="K3088" s="2"/>
      <c r="L3088" s="2">
        <v>46314</v>
      </c>
      <c r="M3088" s="2"/>
      <c r="N3088" s="2">
        <v>50384</v>
      </c>
      <c r="P3088" s="2">
        <v>46504</v>
      </c>
      <c r="Q3088" s="2"/>
      <c r="R3088" s="2">
        <v>50193</v>
      </c>
      <c r="AB3088" s="2"/>
    </row>
    <row r="3089" spans="8:28" ht="15" customHeight="1">
      <c r="H3089" s="2">
        <v>46608</v>
      </c>
      <c r="I3089" s="2"/>
      <c r="J3089" s="2">
        <v>50091</v>
      </c>
      <c r="K3089" s="2"/>
      <c r="L3089" s="2">
        <v>46311</v>
      </c>
      <c r="M3089" s="2"/>
      <c r="N3089" s="2">
        <v>50385</v>
      </c>
      <c r="P3089" s="2">
        <v>46503</v>
      </c>
      <c r="Q3089" s="2"/>
      <c r="R3089" s="2">
        <v>50194</v>
      </c>
      <c r="AB3089" s="2"/>
    </row>
    <row r="3090" spans="8:28" ht="15" customHeight="1">
      <c r="H3090" s="2">
        <v>46605</v>
      </c>
      <c r="I3090" s="2"/>
      <c r="J3090" s="2">
        <v>50094</v>
      </c>
      <c r="K3090" s="2"/>
      <c r="L3090" s="2">
        <v>46310</v>
      </c>
      <c r="M3090" s="2"/>
      <c r="N3090" s="2">
        <v>50388</v>
      </c>
      <c r="P3090" s="2">
        <v>46500</v>
      </c>
      <c r="Q3090" s="2"/>
      <c r="R3090" s="2">
        <v>50195</v>
      </c>
      <c r="AB3090" s="2"/>
    </row>
    <row r="3091" spans="8:28" ht="15" customHeight="1">
      <c r="H3091" s="2">
        <v>46604</v>
      </c>
      <c r="I3091" s="2"/>
      <c r="J3091" s="2">
        <v>50095</v>
      </c>
      <c r="K3091" s="2"/>
      <c r="L3091" s="2">
        <v>46309</v>
      </c>
      <c r="M3091" s="2"/>
      <c r="N3091" s="2">
        <v>50389</v>
      </c>
      <c r="P3091" s="2">
        <v>46499</v>
      </c>
      <c r="Q3091" s="2"/>
      <c r="R3091" s="2">
        <v>50196</v>
      </c>
      <c r="AB3091" s="2"/>
    </row>
    <row r="3092" spans="8:28" ht="15" customHeight="1">
      <c r="H3092" s="2">
        <v>46603</v>
      </c>
      <c r="I3092" s="2"/>
      <c r="J3092" s="2">
        <v>50096</v>
      </c>
      <c r="K3092" s="2"/>
      <c r="L3092" s="2">
        <v>46308</v>
      </c>
      <c r="M3092" s="2"/>
      <c r="N3092" s="2">
        <v>50390</v>
      </c>
      <c r="P3092" s="2">
        <v>46498</v>
      </c>
      <c r="Q3092" s="2"/>
      <c r="R3092" s="2">
        <v>50199</v>
      </c>
      <c r="AB3092" s="2"/>
    </row>
    <row r="3093" spans="8:28" ht="15" customHeight="1">
      <c r="H3093" s="2">
        <v>46602</v>
      </c>
      <c r="I3093" s="2"/>
      <c r="J3093" s="2">
        <v>50097</v>
      </c>
      <c r="K3093" s="2"/>
      <c r="L3093" s="2">
        <v>46304</v>
      </c>
      <c r="M3093" s="2"/>
      <c r="N3093" s="2">
        <v>50391</v>
      </c>
      <c r="P3093" s="2">
        <v>46497</v>
      </c>
      <c r="Q3093" s="2"/>
      <c r="R3093" s="2">
        <v>50200</v>
      </c>
      <c r="AB3093" s="2"/>
    </row>
    <row r="3094" spans="8:28" ht="15" customHeight="1">
      <c r="H3094" s="2">
        <v>46601</v>
      </c>
      <c r="I3094" s="2"/>
      <c r="J3094" s="2">
        <v>50098</v>
      </c>
      <c r="K3094" s="2"/>
      <c r="L3094" s="2">
        <v>46303</v>
      </c>
      <c r="M3094" s="2"/>
      <c r="N3094" s="2">
        <v>50392</v>
      </c>
      <c r="P3094" s="2">
        <v>46496</v>
      </c>
      <c r="Q3094" s="2"/>
      <c r="R3094" s="2">
        <v>50201</v>
      </c>
      <c r="AB3094" s="2"/>
    </row>
    <row r="3095" spans="8:28" ht="15" customHeight="1">
      <c r="H3095" s="2">
        <v>46598</v>
      </c>
      <c r="I3095" s="2"/>
      <c r="J3095" s="2">
        <v>50101</v>
      </c>
      <c r="K3095" s="2"/>
      <c r="L3095" s="2">
        <v>46302</v>
      </c>
      <c r="M3095" s="2"/>
      <c r="N3095" s="2">
        <v>50395</v>
      </c>
      <c r="P3095" s="2">
        <v>46493</v>
      </c>
      <c r="Q3095" s="2"/>
      <c r="R3095" s="2">
        <v>50202</v>
      </c>
      <c r="AB3095" s="2"/>
    </row>
    <row r="3096" spans="8:28" ht="15" customHeight="1">
      <c r="H3096" s="2">
        <v>46597</v>
      </c>
      <c r="I3096" s="2"/>
      <c r="J3096" s="2">
        <v>50102</v>
      </c>
      <c r="K3096" s="2"/>
      <c r="L3096" s="2">
        <v>46301</v>
      </c>
      <c r="M3096" s="2"/>
      <c r="N3096" s="2">
        <v>50396</v>
      </c>
      <c r="P3096" s="2">
        <v>46492</v>
      </c>
      <c r="Q3096" s="2"/>
      <c r="R3096" s="2">
        <v>50203</v>
      </c>
      <c r="AB3096" s="2"/>
    </row>
    <row r="3097" spans="8:28" ht="15" customHeight="1">
      <c r="H3097" s="2">
        <v>46596</v>
      </c>
      <c r="I3097" s="2"/>
      <c r="J3097" s="2">
        <v>50103</v>
      </c>
      <c r="K3097" s="2"/>
      <c r="L3097" s="2">
        <v>46300</v>
      </c>
      <c r="M3097" s="2"/>
      <c r="N3097" s="2">
        <v>50397</v>
      </c>
      <c r="P3097" s="2">
        <v>46491</v>
      </c>
      <c r="Q3097" s="2"/>
      <c r="R3097" s="2">
        <v>50206</v>
      </c>
      <c r="AB3097" s="2"/>
    </row>
    <row r="3098" spans="8:28" ht="15" customHeight="1">
      <c r="H3098" s="2">
        <v>46595</v>
      </c>
      <c r="I3098" s="2"/>
      <c r="J3098" s="2">
        <v>50104</v>
      </c>
      <c r="K3098" s="2"/>
      <c r="L3098" s="2">
        <v>46297</v>
      </c>
      <c r="M3098" s="2"/>
      <c r="N3098" s="2">
        <v>50398</v>
      </c>
      <c r="P3098" s="2">
        <v>46490</v>
      </c>
      <c r="Q3098" s="2"/>
      <c r="R3098" s="2">
        <v>50207</v>
      </c>
      <c r="AB3098" s="2"/>
    </row>
    <row r="3099" spans="8:28" ht="15" customHeight="1">
      <c r="H3099" s="2">
        <v>46594</v>
      </c>
      <c r="I3099" s="2"/>
      <c r="J3099" s="2">
        <v>50105</v>
      </c>
      <c r="K3099" s="2"/>
      <c r="L3099" s="2">
        <v>46296</v>
      </c>
      <c r="M3099" s="2"/>
      <c r="N3099" s="2">
        <v>50402</v>
      </c>
      <c r="P3099" s="2">
        <v>46489</v>
      </c>
      <c r="Q3099" s="2"/>
      <c r="R3099" s="2">
        <v>50208</v>
      </c>
      <c r="AB3099" s="2"/>
    </row>
    <row r="3100" spans="8:28" ht="15" customHeight="1">
      <c r="H3100" s="2">
        <v>46591</v>
      </c>
      <c r="I3100" s="2"/>
      <c r="J3100" s="2">
        <v>50108</v>
      </c>
      <c r="K3100" s="2"/>
      <c r="L3100" s="2">
        <v>46295</v>
      </c>
      <c r="M3100" s="2"/>
      <c r="N3100" s="2">
        <v>50403</v>
      </c>
      <c r="P3100" s="2">
        <v>46486</v>
      </c>
      <c r="Q3100" s="2"/>
      <c r="R3100" s="2">
        <v>50209</v>
      </c>
      <c r="AB3100" s="2"/>
    </row>
    <row r="3101" spans="8:28" ht="15" customHeight="1">
      <c r="H3101" s="2">
        <v>46590</v>
      </c>
      <c r="I3101" s="2"/>
      <c r="J3101" s="2">
        <v>50109</v>
      </c>
      <c r="K3101" s="2"/>
      <c r="L3101" s="2">
        <v>46294</v>
      </c>
      <c r="M3101" s="2"/>
      <c r="N3101" s="2">
        <v>50404</v>
      </c>
      <c r="P3101" s="2">
        <v>46485</v>
      </c>
      <c r="Q3101" s="2"/>
      <c r="R3101" s="2">
        <v>50210</v>
      </c>
      <c r="AB3101" s="2"/>
    </row>
    <row r="3102" spans="8:28" ht="15" customHeight="1">
      <c r="H3102" s="2">
        <v>46589</v>
      </c>
      <c r="I3102" s="2"/>
      <c r="J3102" s="2">
        <v>50110</v>
      </c>
      <c r="K3102" s="2"/>
      <c r="L3102" s="2">
        <v>46293</v>
      </c>
      <c r="M3102" s="2"/>
      <c r="N3102" s="2">
        <v>50409</v>
      </c>
      <c r="P3102" s="2">
        <v>46484</v>
      </c>
      <c r="Q3102" s="2"/>
      <c r="R3102" s="2">
        <v>50213</v>
      </c>
      <c r="AB3102" s="2"/>
    </row>
    <row r="3103" spans="8:28" ht="15" customHeight="1">
      <c r="H3103" s="2">
        <v>46588</v>
      </c>
      <c r="I3103" s="2"/>
      <c r="J3103" s="2">
        <v>50111</v>
      </c>
      <c r="K3103" s="2"/>
      <c r="L3103" s="2">
        <v>46290</v>
      </c>
      <c r="M3103" s="2"/>
      <c r="N3103" s="2">
        <v>50410</v>
      </c>
      <c r="P3103" s="2">
        <v>46483</v>
      </c>
      <c r="Q3103" s="2"/>
      <c r="R3103" s="2">
        <v>50214</v>
      </c>
      <c r="AB3103" s="2"/>
    </row>
    <row r="3104" spans="8:28" ht="15" customHeight="1">
      <c r="H3104" s="2">
        <v>46587</v>
      </c>
      <c r="I3104" s="2"/>
      <c r="J3104" s="2">
        <v>50112</v>
      </c>
      <c r="K3104" s="2"/>
      <c r="L3104" s="2">
        <v>46289</v>
      </c>
      <c r="M3104" s="2"/>
      <c r="N3104" s="2">
        <v>50411</v>
      </c>
      <c r="P3104" s="2">
        <v>46482</v>
      </c>
      <c r="Q3104" s="2"/>
      <c r="R3104" s="2">
        <v>50215</v>
      </c>
      <c r="AB3104" s="2"/>
    </row>
    <row r="3105" spans="8:28" ht="15" customHeight="1">
      <c r="H3105" s="2">
        <v>46584</v>
      </c>
      <c r="I3105" s="2"/>
      <c r="J3105" s="2">
        <v>50115</v>
      </c>
      <c r="K3105" s="2"/>
      <c r="L3105" s="2">
        <v>46287</v>
      </c>
      <c r="M3105" s="2"/>
      <c r="N3105" s="2">
        <v>50412</v>
      </c>
      <c r="P3105" s="2">
        <v>46479</v>
      </c>
      <c r="Q3105" s="2"/>
      <c r="R3105" s="2">
        <v>50216</v>
      </c>
      <c r="AB3105" s="2"/>
    </row>
    <row r="3106" spans="8:28" ht="15" customHeight="1">
      <c r="H3106" s="2">
        <v>46583</v>
      </c>
      <c r="I3106" s="2"/>
      <c r="J3106" s="2">
        <v>50116</v>
      </c>
      <c r="K3106" s="2"/>
      <c r="L3106" s="2">
        <v>46283</v>
      </c>
      <c r="M3106" s="2"/>
      <c r="N3106" s="2">
        <v>50413</v>
      </c>
      <c r="P3106" s="2">
        <v>46478</v>
      </c>
      <c r="Q3106" s="2"/>
      <c r="R3106" s="2">
        <v>50217</v>
      </c>
      <c r="AB3106" s="2"/>
    </row>
    <row r="3107" spans="8:28" ht="15" customHeight="1">
      <c r="H3107" s="2">
        <v>46582</v>
      </c>
      <c r="I3107" s="2"/>
      <c r="J3107" s="2">
        <v>50117</v>
      </c>
      <c r="K3107" s="2"/>
      <c r="L3107" s="2">
        <v>46282</v>
      </c>
      <c r="M3107" s="2"/>
      <c r="N3107" s="2">
        <v>50417</v>
      </c>
      <c r="P3107" s="2">
        <v>46477</v>
      </c>
      <c r="Q3107" s="2"/>
      <c r="R3107" s="2">
        <v>50220</v>
      </c>
      <c r="AB3107" s="2"/>
    </row>
    <row r="3108" spans="8:28" ht="15" customHeight="1">
      <c r="H3108" s="2">
        <v>46581</v>
      </c>
      <c r="I3108" s="2"/>
      <c r="J3108" s="2">
        <v>50118</v>
      </c>
      <c r="K3108" s="2"/>
      <c r="L3108" s="2">
        <v>46281</v>
      </c>
      <c r="M3108" s="2"/>
      <c r="N3108" s="2">
        <v>50418</v>
      </c>
      <c r="P3108" s="2">
        <v>46476</v>
      </c>
      <c r="Q3108" s="2"/>
      <c r="R3108" s="2">
        <v>50221</v>
      </c>
      <c r="AB3108" s="2"/>
    </row>
    <row r="3109" spans="8:28" ht="15" customHeight="1">
      <c r="H3109" s="2">
        <v>46580</v>
      </c>
      <c r="I3109" s="2"/>
      <c r="J3109" s="2">
        <v>50119</v>
      </c>
      <c r="K3109" s="2"/>
      <c r="L3109" s="2">
        <v>46280</v>
      </c>
      <c r="M3109" s="2"/>
      <c r="N3109" s="2">
        <v>50419</v>
      </c>
      <c r="P3109" s="2">
        <v>46475</v>
      </c>
      <c r="Q3109" s="2"/>
      <c r="R3109" s="2">
        <v>50222</v>
      </c>
      <c r="AB3109" s="2"/>
    </row>
    <row r="3110" spans="8:28" ht="15" customHeight="1">
      <c r="H3110" s="2">
        <v>46577</v>
      </c>
      <c r="I3110" s="2"/>
      <c r="J3110" s="2">
        <v>50122</v>
      </c>
      <c r="K3110" s="2"/>
      <c r="L3110" s="2">
        <v>46279</v>
      </c>
      <c r="M3110" s="2"/>
      <c r="N3110" s="2">
        <v>50420</v>
      </c>
      <c r="P3110" s="2">
        <v>46472</v>
      </c>
      <c r="Q3110" s="2"/>
      <c r="R3110" s="2">
        <v>50223</v>
      </c>
      <c r="AB3110" s="2"/>
    </row>
    <row r="3111" spans="8:28" ht="15" customHeight="1">
      <c r="H3111" s="2">
        <v>46576</v>
      </c>
      <c r="I3111" s="2"/>
      <c r="J3111" s="2">
        <v>50123</v>
      </c>
      <c r="K3111" s="2"/>
      <c r="L3111" s="2">
        <v>46276</v>
      </c>
      <c r="M3111" s="2"/>
      <c r="N3111" s="2">
        <v>50424</v>
      </c>
      <c r="P3111" s="2">
        <v>46471</v>
      </c>
      <c r="Q3111" s="2"/>
      <c r="R3111" s="2">
        <v>50224</v>
      </c>
      <c r="AB3111" s="2"/>
    </row>
    <row r="3112" spans="8:28" ht="15" customHeight="1">
      <c r="H3112" s="2">
        <v>46575</v>
      </c>
      <c r="I3112" s="2"/>
      <c r="J3112" s="2">
        <v>50124</v>
      </c>
      <c r="K3112" s="2"/>
      <c r="L3112" s="2">
        <v>46275</v>
      </c>
      <c r="M3112" s="2"/>
      <c r="N3112" s="2">
        <v>50425</v>
      </c>
      <c r="P3112" s="2">
        <v>46470</v>
      </c>
      <c r="Q3112" s="2"/>
      <c r="R3112" s="2">
        <v>50227</v>
      </c>
      <c r="AB3112" s="2"/>
    </row>
    <row r="3113" spans="8:28" ht="15" customHeight="1">
      <c r="H3113" s="2">
        <v>46574</v>
      </c>
      <c r="I3113" s="2"/>
      <c r="J3113" s="2">
        <v>50125</v>
      </c>
      <c r="K3113" s="2"/>
      <c r="L3113" s="2">
        <v>46274</v>
      </c>
      <c r="M3113" s="2"/>
      <c r="N3113" s="2">
        <v>50426</v>
      </c>
      <c r="P3113" s="2">
        <v>46469</v>
      </c>
      <c r="Q3113" s="2"/>
      <c r="R3113" s="2">
        <v>50228</v>
      </c>
      <c r="AB3113" s="2"/>
    </row>
    <row r="3114" spans="8:28" ht="15" customHeight="1">
      <c r="H3114" s="2">
        <v>46570</v>
      </c>
      <c r="I3114" s="2"/>
      <c r="J3114" s="2">
        <v>50126</v>
      </c>
      <c r="K3114" s="2"/>
      <c r="L3114" s="2">
        <v>46273</v>
      </c>
      <c r="M3114" s="2"/>
      <c r="N3114" s="2">
        <v>50427</v>
      </c>
      <c r="P3114" s="2">
        <v>46468</v>
      </c>
      <c r="Q3114" s="2"/>
      <c r="R3114" s="2">
        <v>50229</v>
      </c>
      <c r="AB3114" s="2"/>
    </row>
    <row r="3115" spans="8:28" ht="15" customHeight="1">
      <c r="H3115" s="2">
        <v>46569</v>
      </c>
      <c r="I3115" s="2"/>
      <c r="J3115" s="2">
        <v>50129</v>
      </c>
      <c r="K3115" s="2"/>
      <c r="L3115" s="2">
        <v>46269</v>
      </c>
      <c r="M3115" s="2"/>
      <c r="N3115" s="2">
        <v>50430</v>
      </c>
      <c r="P3115" s="2">
        <v>46465</v>
      </c>
      <c r="Q3115" s="2"/>
      <c r="R3115" s="2">
        <v>50230</v>
      </c>
      <c r="AB3115" s="2"/>
    </row>
    <row r="3116" spans="8:28" ht="15" customHeight="1">
      <c r="H3116" s="2">
        <v>46568</v>
      </c>
      <c r="I3116" s="2"/>
      <c r="J3116" s="2">
        <v>50130</v>
      </c>
      <c r="K3116" s="2"/>
      <c r="L3116" s="2">
        <v>46268</v>
      </c>
      <c r="M3116" s="2"/>
      <c r="N3116" s="2">
        <v>50431</v>
      </c>
      <c r="P3116" s="2">
        <v>46464</v>
      </c>
      <c r="Q3116" s="2"/>
      <c r="R3116" s="2">
        <v>50231</v>
      </c>
      <c r="AB3116" s="2"/>
    </row>
    <row r="3117" spans="8:28" ht="15" customHeight="1">
      <c r="H3117" s="2">
        <v>46567</v>
      </c>
      <c r="I3117" s="2"/>
      <c r="J3117" s="2">
        <v>50131</v>
      </c>
      <c r="K3117" s="2"/>
      <c r="L3117" s="2">
        <v>46267</v>
      </c>
      <c r="M3117" s="2"/>
      <c r="N3117" s="2">
        <v>50432</v>
      </c>
      <c r="P3117" s="2">
        <v>46463</v>
      </c>
      <c r="Q3117" s="2"/>
      <c r="R3117" s="2">
        <v>50234</v>
      </c>
      <c r="AB3117" s="2"/>
    </row>
    <row r="3118" spans="8:28" ht="15" customHeight="1">
      <c r="H3118" s="2">
        <v>46566</v>
      </c>
      <c r="I3118" s="2"/>
      <c r="J3118" s="2">
        <v>50132</v>
      </c>
      <c r="K3118" s="2"/>
      <c r="L3118" s="2">
        <v>46266</v>
      </c>
      <c r="M3118" s="2"/>
      <c r="N3118" s="2">
        <v>50433</v>
      </c>
      <c r="P3118" s="2">
        <v>46462</v>
      </c>
      <c r="Q3118" s="2"/>
      <c r="R3118" s="2">
        <v>50235</v>
      </c>
      <c r="AB3118" s="2"/>
    </row>
    <row r="3119" spans="8:28" ht="15" customHeight="1">
      <c r="H3119" s="2">
        <v>46563</v>
      </c>
      <c r="I3119" s="2"/>
      <c r="J3119" s="2">
        <v>50136</v>
      </c>
      <c r="K3119" s="2"/>
      <c r="L3119" s="2">
        <v>46265</v>
      </c>
      <c r="M3119" s="2"/>
      <c r="N3119" s="2">
        <v>50434</v>
      </c>
      <c r="P3119" s="2">
        <v>46461</v>
      </c>
      <c r="Q3119" s="2"/>
      <c r="R3119" s="2">
        <v>50236</v>
      </c>
      <c r="AB3119" s="2"/>
    </row>
    <row r="3120" spans="8:28" ht="15" customHeight="1">
      <c r="H3120" s="2">
        <v>46562</v>
      </c>
      <c r="I3120" s="2"/>
      <c r="J3120" s="2">
        <v>50137</v>
      </c>
      <c r="K3120" s="2"/>
      <c r="L3120" s="2">
        <v>46262</v>
      </c>
      <c r="M3120" s="2"/>
      <c r="N3120" s="2">
        <v>50437</v>
      </c>
      <c r="P3120" s="2">
        <v>46458</v>
      </c>
      <c r="Q3120" s="2"/>
      <c r="R3120" s="2">
        <v>50237</v>
      </c>
      <c r="AB3120" s="2"/>
    </row>
    <row r="3121" spans="8:28" ht="15" customHeight="1">
      <c r="H3121" s="2">
        <v>46561</v>
      </c>
      <c r="I3121" s="2"/>
      <c r="J3121" s="2">
        <v>50138</v>
      </c>
      <c r="K3121" s="2"/>
      <c r="L3121" s="2">
        <v>46261</v>
      </c>
      <c r="M3121" s="2"/>
      <c r="N3121" s="2">
        <v>50438</v>
      </c>
      <c r="P3121" s="2">
        <v>46457</v>
      </c>
      <c r="Q3121" s="2"/>
      <c r="R3121" s="2">
        <v>50238</v>
      </c>
      <c r="AB3121" s="2"/>
    </row>
    <row r="3122" spans="8:28" ht="15" customHeight="1">
      <c r="H3122" s="2">
        <v>46560</v>
      </c>
      <c r="I3122" s="2"/>
      <c r="J3122" s="2">
        <v>50139</v>
      </c>
      <c r="K3122" s="2"/>
      <c r="L3122" s="2">
        <v>46260</v>
      </c>
      <c r="M3122" s="2"/>
      <c r="N3122" s="2">
        <v>50439</v>
      </c>
      <c r="P3122" s="2">
        <v>46456</v>
      </c>
      <c r="Q3122" s="2"/>
      <c r="R3122" s="2">
        <v>50241</v>
      </c>
      <c r="AB3122" s="2"/>
    </row>
    <row r="3123" spans="8:28" ht="15" customHeight="1">
      <c r="H3123" s="2">
        <v>46559</v>
      </c>
      <c r="I3123" s="2"/>
      <c r="J3123" s="2">
        <v>50140</v>
      </c>
      <c r="K3123" s="2"/>
      <c r="L3123" s="2">
        <v>46259</v>
      </c>
      <c r="M3123" s="2"/>
      <c r="N3123" s="2">
        <v>50440</v>
      </c>
      <c r="P3123" s="2">
        <v>46455</v>
      </c>
      <c r="Q3123" s="2"/>
      <c r="R3123" s="2">
        <v>50242</v>
      </c>
      <c r="AB3123" s="2"/>
    </row>
    <row r="3124" spans="8:28" ht="15" customHeight="1">
      <c r="H3124" s="2">
        <v>46555</v>
      </c>
      <c r="I3124" s="2"/>
      <c r="J3124" s="2">
        <v>50143</v>
      </c>
      <c r="K3124" s="2"/>
      <c r="L3124" s="2">
        <v>46258</v>
      </c>
      <c r="M3124" s="2"/>
      <c r="N3124" s="2">
        <v>50441</v>
      </c>
      <c r="P3124" s="2">
        <v>46454</v>
      </c>
      <c r="Q3124" s="2"/>
      <c r="R3124" s="2">
        <v>50243</v>
      </c>
      <c r="AB3124" s="2"/>
    </row>
    <row r="3125" spans="8:28" ht="15" customHeight="1">
      <c r="H3125" s="2">
        <v>46554</v>
      </c>
      <c r="I3125" s="2"/>
      <c r="J3125" s="2">
        <v>50144</v>
      </c>
      <c r="K3125" s="2"/>
      <c r="L3125" s="2">
        <v>46255</v>
      </c>
      <c r="M3125" s="2"/>
      <c r="N3125" s="2">
        <v>50444</v>
      </c>
      <c r="P3125" s="2">
        <v>46451</v>
      </c>
      <c r="Q3125" s="2"/>
      <c r="R3125" s="2">
        <v>50244</v>
      </c>
      <c r="AB3125" s="2"/>
    </row>
    <row r="3126" spans="8:28" ht="15" customHeight="1">
      <c r="H3126" s="2">
        <v>46553</v>
      </c>
      <c r="I3126" s="2"/>
      <c r="J3126" s="2">
        <v>50145</v>
      </c>
      <c r="K3126" s="2"/>
      <c r="L3126" s="2">
        <v>46254</v>
      </c>
      <c r="M3126" s="2"/>
      <c r="N3126" s="2">
        <v>50445</v>
      </c>
      <c r="P3126" s="2">
        <v>46450</v>
      </c>
      <c r="Q3126" s="2"/>
      <c r="R3126" s="2">
        <v>50245</v>
      </c>
      <c r="AB3126" s="2"/>
    </row>
    <row r="3127" spans="8:28" ht="15" customHeight="1">
      <c r="H3127" s="2">
        <v>46552</v>
      </c>
      <c r="I3127" s="2"/>
      <c r="J3127" s="2">
        <v>50146</v>
      </c>
      <c r="K3127" s="2"/>
      <c r="L3127" s="2">
        <v>46253</v>
      </c>
      <c r="M3127" s="2"/>
      <c r="N3127" s="2">
        <v>50446</v>
      </c>
      <c r="P3127" s="2">
        <v>46449</v>
      </c>
      <c r="Q3127" s="2"/>
      <c r="R3127" s="2">
        <v>50248</v>
      </c>
      <c r="AB3127" s="2"/>
    </row>
    <row r="3128" spans="8:28" ht="15" customHeight="1">
      <c r="H3128" s="2">
        <v>46549</v>
      </c>
      <c r="I3128" s="2"/>
      <c r="J3128" s="2">
        <v>50147</v>
      </c>
      <c r="K3128" s="2"/>
      <c r="L3128" s="2">
        <v>46252</v>
      </c>
      <c r="M3128" s="2"/>
      <c r="N3128" s="2">
        <v>50448</v>
      </c>
      <c r="P3128" s="2">
        <v>46448</v>
      </c>
      <c r="Q3128" s="2"/>
      <c r="R3128" s="2">
        <v>50249</v>
      </c>
      <c r="AB3128" s="2"/>
    </row>
    <row r="3129" spans="8:28" ht="15" customHeight="1">
      <c r="H3129" s="2">
        <v>46548</v>
      </c>
      <c r="I3129" s="2"/>
      <c r="J3129" s="2">
        <v>50150</v>
      </c>
      <c r="K3129" s="2"/>
      <c r="L3129" s="2">
        <v>46251</v>
      </c>
      <c r="M3129" s="2"/>
      <c r="N3129" s="2">
        <v>50452</v>
      </c>
      <c r="P3129" s="2">
        <v>46444</v>
      </c>
      <c r="Q3129" s="2"/>
      <c r="R3129" s="2">
        <v>50250</v>
      </c>
      <c r="AB3129" s="2"/>
    </row>
    <row r="3130" spans="8:28" ht="15" customHeight="1">
      <c r="H3130" s="2">
        <v>46547</v>
      </c>
      <c r="I3130" s="2"/>
      <c r="J3130" s="2">
        <v>50151</v>
      </c>
      <c r="K3130" s="2"/>
      <c r="L3130" s="2">
        <v>46248</v>
      </c>
      <c r="M3130" s="2"/>
      <c r="N3130" s="2">
        <v>50453</v>
      </c>
      <c r="P3130" s="2">
        <v>46443</v>
      </c>
      <c r="Q3130" s="2"/>
      <c r="R3130" s="2">
        <v>50251</v>
      </c>
      <c r="AB3130" s="2"/>
    </row>
    <row r="3131" spans="8:28" ht="15" customHeight="1">
      <c r="H3131" s="2">
        <v>46546</v>
      </c>
      <c r="I3131" s="2"/>
      <c r="J3131" s="2">
        <v>50152</v>
      </c>
      <c r="K3131" s="2"/>
      <c r="L3131" s="2">
        <v>46247</v>
      </c>
      <c r="M3131" s="2"/>
      <c r="N3131" s="2">
        <v>50454</v>
      </c>
      <c r="P3131" s="2">
        <v>46442</v>
      </c>
      <c r="Q3131" s="2"/>
      <c r="R3131" s="2">
        <v>50252</v>
      </c>
      <c r="AB3131" s="2"/>
    </row>
    <row r="3132" spans="8:28" ht="15" customHeight="1">
      <c r="H3132" s="2">
        <v>46545</v>
      </c>
      <c r="I3132" s="2"/>
      <c r="J3132" s="2">
        <v>50153</v>
      </c>
      <c r="K3132" s="2"/>
      <c r="L3132" s="2">
        <v>46246</v>
      </c>
      <c r="M3132" s="2"/>
      <c r="N3132" s="2">
        <v>50455</v>
      </c>
      <c r="P3132" s="2">
        <v>46441</v>
      </c>
      <c r="Q3132" s="2"/>
      <c r="R3132" s="2">
        <v>50255</v>
      </c>
      <c r="AB3132" s="2"/>
    </row>
    <row r="3133" spans="8:28" ht="15" customHeight="1">
      <c r="H3133" s="2">
        <v>46542</v>
      </c>
      <c r="I3133" s="2"/>
      <c r="J3133" s="2">
        <v>50154</v>
      </c>
      <c r="K3133" s="2"/>
      <c r="L3133" s="2">
        <v>46244</v>
      </c>
      <c r="M3133" s="2"/>
      <c r="N3133" s="2">
        <v>50458</v>
      </c>
      <c r="P3133" s="2">
        <v>46440</v>
      </c>
      <c r="Q3133" s="2"/>
      <c r="R3133" s="2">
        <v>50256</v>
      </c>
      <c r="AB3133" s="2"/>
    </row>
    <row r="3134" spans="8:28" ht="15" customHeight="1">
      <c r="H3134" s="2">
        <v>46541</v>
      </c>
      <c r="I3134" s="2"/>
      <c r="J3134" s="2">
        <v>50157</v>
      </c>
      <c r="K3134" s="2"/>
      <c r="L3134" s="2">
        <v>46241</v>
      </c>
      <c r="M3134" s="2"/>
      <c r="N3134" s="2">
        <v>50460</v>
      </c>
      <c r="P3134" s="2">
        <v>46437</v>
      </c>
      <c r="Q3134" s="2"/>
      <c r="R3134" s="2">
        <v>50257</v>
      </c>
      <c r="AB3134" s="2"/>
    </row>
    <row r="3135" spans="8:28" ht="15" customHeight="1">
      <c r="H3135" s="2">
        <v>46540</v>
      </c>
      <c r="I3135" s="2"/>
      <c r="J3135" s="2">
        <v>50158</v>
      </c>
      <c r="K3135" s="2"/>
      <c r="L3135" s="2">
        <v>46240</v>
      </c>
      <c r="M3135" s="2"/>
      <c r="N3135" s="2">
        <v>50461</v>
      </c>
      <c r="P3135" s="2">
        <v>46436</v>
      </c>
      <c r="Q3135" s="2"/>
      <c r="R3135" s="2">
        <v>50258</v>
      </c>
      <c r="AB3135" s="2"/>
    </row>
    <row r="3136" spans="8:28" ht="15" customHeight="1">
      <c r="H3136" s="2">
        <v>46539</v>
      </c>
      <c r="I3136" s="2"/>
      <c r="J3136" s="2">
        <v>50159</v>
      </c>
      <c r="K3136" s="2"/>
      <c r="L3136" s="2">
        <v>46239</v>
      </c>
      <c r="M3136" s="2"/>
      <c r="N3136" s="2">
        <v>50462</v>
      </c>
      <c r="P3136" s="2">
        <v>46435</v>
      </c>
      <c r="Q3136" s="2"/>
      <c r="R3136" s="2">
        <v>50259</v>
      </c>
      <c r="AB3136" s="2"/>
    </row>
    <row r="3137" spans="8:28" ht="15" customHeight="1">
      <c r="H3137" s="2">
        <v>46535</v>
      </c>
      <c r="I3137" s="2"/>
      <c r="J3137" s="2">
        <v>50160</v>
      </c>
      <c r="K3137" s="2"/>
      <c r="L3137" s="2">
        <v>46238</v>
      </c>
      <c r="M3137" s="2"/>
      <c r="N3137" s="2">
        <v>50465</v>
      </c>
      <c r="P3137" s="2">
        <v>46434</v>
      </c>
      <c r="Q3137" s="2"/>
      <c r="R3137" s="2">
        <v>50262</v>
      </c>
      <c r="AB3137" s="2"/>
    </row>
    <row r="3138" spans="8:28" ht="15" customHeight="1">
      <c r="H3138" s="2">
        <v>46534</v>
      </c>
      <c r="I3138" s="2"/>
      <c r="J3138" s="2">
        <v>50161</v>
      </c>
      <c r="K3138" s="2"/>
      <c r="L3138" s="2">
        <v>46237</v>
      </c>
      <c r="M3138" s="2"/>
      <c r="N3138" s="2">
        <v>50466</v>
      </c>
      <c r="P3138" s="2">
        <v>46433</v>
      </c>
      <c r="Q3138" s="2"/>
      <c r="R3138" s="2">
        <v>50263</v>
      </c>
      <c r="AB3138" s="2"/>
    </row>
    <row r="3139" spans="8:28" ht="15" customHeight="1">
      <c r="H3139" s="2">
        <v>46533</v>
      </c>
      <c r="I3139" s="2"/>
      <c r="J3139" s="2">
        <v>50164</v>
      </c>
      <c r="K3139" s="2"/>
      <c r="L3139" s="2">
        <v>46234</v>
      </c>
      <c r="M3139" s="2"/>
      <c r="N3139" s="2">
        <v>50467</v>
      </c>
      <c r="P3139" s="2">
        <v>46430</v>
      </c>
      <c r="Q3139" s="2"/>
      <c r="R3139" s="2">
        <v>50264</v>
      </c>
      <c r="AB3139" s="2"/>
    </row>
    <row r="3140" spans="8:28" ht="15" customHeight="1">
      <c r="H3140" s="2">
        <v>46532</v>
      </c>
      <c r="I3140" s="2"/>
      <c r="J3140" s="2">
        <v>50165</v>
      </c>
      <c r="K3140" s="2"/>
      <c r="L3140" s="2">
        <v>46233</v>
      </c>
      <c r="M3140" s="2"/>
      <c r="N3140" s="2">
        <v>50468</v>
      </c>
      <c r="P3140" s="2">
        <v>46429</v>
      </c>
      <c r="Q3140" s="2"/>
      <c r="R3140" s="2">
        <v>50265</v>
      </c>
      <c r="AB3140" s="2"/>
    </row>
    <row r="3141" spans="8:28" ht="15" customHeight="1">
      <c r="H3141" s="2">
        <v>46531</v>
      </c>
      <c r="I3141" s="2"/>
      <c r="J3141" s="2">
        <v>50166</v>
      </c>
      <c r="K3141" s="2"/>
      <c r="L3141" s="2">
        <v>46232</v>
      </c>
      <c r="M3141" s="2"/>
      <c r="N3141" s="2">
        <v>50469</v>
      </c>
      <c r="P3141" s="2">
        <v>46428</v>
      </c>
      <c r="Q3141" s="2"/>
      <c r="R3141" s="2">
        <v>50266</v>
      </c>
      <c r="AB3141" s="2"/>
    </row>
    <row r="3142" spans="8:28" ht="15" customHeight="1">
      <c r="H3142" s="2">
        <v>46528</v>
      </c>
      <c r="I3142" s="2"/>
      <c r="J3142" s="2">
        <v>50167</v>
      </c>
      <c r="K3142" s="2"/>
      <c r="L3142" s="2">
        <v>46231</v>
      </c>
      <c r="M3142" s="2"/>
      <c r="N3142" s="2">
        <v>50472</v>
      </c>
      <c r="P3142" s="2">
        <v>46423</v>
      </c>
      <c r="Q3142" s="2"/>
      <c r="R3142" s="2">
        <v>50270</v>
      </c>
      <c r="AB3142" s="2"/>
    </row>
    <row r="3143" spans="8:28" ht="15" customHeight="1">
      <c r="H3143" s="2">
        <v>46527</v>
      </c>
      <c r="I3143" s="2"/>
      <c r="J3143" s="2">
        <v>50168</v>
      </c>
      <c r="K3143" s="2"/>
      <c r="L3143" s="2">
        <v>46230</v>
      </c>
      <c r="M3143" s="2"/>
      <c r="N3143" s="2">
        <v>50473</v>
      </c>
      <c r="P3143" s="2">
        <v>46422</v>
      </c>
      <c r="Q3143" s="2"/>
      <c r="R3143" s="2">
        <v>50271</v>
      </c>
      <c r="AB3143" s="2"/>
    </row>
    <row r="3144" spans="8:28" ht="15" customHeight="1">
      <c r="H3144" s="2">
        <v>46526</v>
      </c>
      <c r="I3144" s="2"/>
      <c r="J3144" s="2">
        <v>50171</v>
      </c>
      <c r="K3144" s="2"/>
      <c r="L3144" s="2">
        <v>46227</v>
      </c>
      <c r="M3144" s="2"/>
      <c r="N3144" s="2">
        <v>50474</v>
      </c>
      <c r="P3144" s="2">
        <v>46421</v>
      </c>
      <c r="Q3144" s="2"/>
      <c r="R3144" s="2">
        <v>50272</v>
      </c>
      <c r="AB3144" s="2"/>
    </row>
    <row r="3145" spans="8:28" ht="15" customHeight="1">
      <c r="H3145" s="2">
        <v>46525</v>
      </c>
      <c r="I3145" s="2"/>
      <c r="J3145" s="2">
        <v>50172</v>
      </c>
      <c r="K3145" s="2"/>
      <c r="L3145" s="2">
        <v>46226</v>
      </c>
      <c r="M3145" s="2"/>
      <c r="N3145" s="2">
        <v>50475</v>
      </c>
      <c r="P3145" s="2">
        <v>46420</v>
      </c>
      <c r="Q3145" s="2"/>
      <c r="R3145" s="2">
        <v>50273</v>
      </c>
      <c r="AB3145" s="2"/>
    </row>
    <row r="3146" spans="8:28" ht="15" customHeight="1">
      <c r="H3146" s="2">
        <v>46524</v>
      </c>
      <c r="I3146" s="2"/>
      <c r="J3146" s="2">
        <v>50173</v>
      </c>
      <c r="K3146" s="2"/>
      <c r="L3146" s="2">
        <v>46225</v>
      </c>
      <c r="M3146" s="2"/>
      <c r="N3146" s="2">
        <v>50476</v>
      </c>
      <c r="P3146" s="2">
        <v>46419</v>
      </c>
      <c r="Q3146" s="2"/>
      <c r="R3146" s="2">
        <v>50276</v>
      </c>
      <c r="AB3146" s="2"/>
    </row>
    <row r="3147" spans="8:28" ht="15" customHeight="1">
      <c r="H3147" s="2">
        <v>46521</v>
      </c>
      <c r="I3147" s="2"/>
      <c r="J3147" s="2">
        <v>50174</v>
      </c>
      <c r="K3147" s="2"/>
      <c r="L3147" s="2">
        <v>46224</v>
      </c>
      <c r="M3147" s="2"/>
      <c r="N3147" s="2">
        <v>50479</v>
      </c>
      <c r="P3147" s="2">
        <v>46416</v>
      </c>
      <c r="Q3147" s="2"/>
      <c r="R3147" s="2">
        <v>50277</v>
      </c>
      <c r="AB3147" s="2"/>
    </row>
    <row r="3148" spans="8:28" ht="15" customHeight="1">
      <c r="H3148" s="2">
        <v>46520</v>
      </c>
      <c r="I3148" s="2"/>
      <c r="J3148" s="2">
        <v>50175</v>
      </c>
      <c r="K3148" s="2"/>
      <c r="L3148" s="2">
        <v>46220</v>
      </c>
      <c r="M3148" s="2"/>
      <c r="N3148" s="2">
        <v>50480</v>
      </c>
      <c r="P3148" s="2">
        <v>46415</v>
      </c>
      <c r="Q3148" s="2"/>
      <c r="R3148" s="2">
        <v>50278</v>
      </c>
      <c r="AB3148" s="2"/>
    </row>
    <row r="3149" spans="8:28" ht="15" customHeight="1">
      <c r="H3149" s="2">
        <v>46519</v>
      </c>
      <c r="I3149" s="2"/>
      <c r="J3149" s="2">
        <v>50178</v>
      </c>
      <c r="K3149" s="2"/>
      <c r="L3149" s="2">
        <v>46219</v>
      </c>
      <c r="M3149" s="2"/>
      <c r="N3149" s="2">
        <v>50481</v>
      </c>
      <c r="P3149" s="2">
        <v>46414</v>
      </c>
      <c r="Q3149" s="2"/>
      <c r="R3149" s="2">
        <v>50279</v>
      </c>
      <c r="AB3149" s="2"/>
    </row>
    <row r="3150" spans="8:28" ht="15" customHeight="1">
      <c r="H3150" s="2">
        <v>46518</v>
      </c>
      <c r="I3150" s="2"/>
      <c r="J3150" s="2">
        <v>50179</v>
      </c>
      <c r="K3150" s="2"/>
      <c r="L3150" s="2">
        <v>46218</v>
      </c>
      <c r="M3150" s="2"/>
      <c r="N3150" s="2">
        <v>50482</v>
      </c>
      <c r="P3150" s="2">
        <v>46413</v>
      </c>
      <c r="Q3150" s="2"/>
      <c r="R3150" s="2">
        <v>50280</v>
      </c>
      <c r="AB3150" s="2"/>
    </row>
    <row r="3151" spans="8:28" ht="15" customHeight="1">
      <c r="H3151" s="2">
        <v>46517</v>
      </c>
      <c r="I3151" s="2"/>
      <c r="J3151" s="2">
        <v>50180</v>
      </c>
      <c r="K3151" s="2"/>
      <c r="L3151" s="2">
        <v>46217</v>
      </c>
      <c r="M3151" s="2"/>
      <c r="N3151" s="2">
        <v>50483</v>
      </c>
      <c r="P3151" s="2">
        <v>46412</v>
      </c>
      <c r="Q3151" s="2"/>
      <c r="R3151" s="2">
        <v>50283</v>
      </c>
      <c r="AB3151" s="2"/>
    </row>
    <row r="3152" spans="8:28" ht="15" customHeight="1">
      <c r="H3152" s="2">
        <v>46514</v>
      </c>
      <c r="I3152" s="2"/>
      <c r="J3152" s="2">
        <v>50181</v>
      </c>
      <c r="K3152" s="2"/>
      <c r="L3152" s="2">
        <v>46216</v>
      </c>
      <c r="M3152" s="2"/>
      <c r="N3152" s="2">
        <v>50486</v>
      </c>
      <c r="P3152" s="2">
        <v>46409</v>
      </c>
      <c r="Q3152" s="2"/>
      <c r="R3152" s="2">
        <v>50284</v>
      </c>
      <c r="AB3152" s="2"/>
    </row>
    <row r="3153" spans="8:28" ht="15" customHeight="1">
      <c r="H3153" s="2">
        <v>46513</v>
      </c>
      <c r="I3153" s="2"/>
      <c r="J3153" s="2">
        <v>50182</v>
      </c>
      <c r="K3153" s="2"/>
      <c r="L3153" s="2">
        <v>46213</v>
      </c>
      <c r="M3153" s="2"/>
      <c r="N3153" s="2">
        <v>50487</v>
      </c>
      <c r="P3153" s="2">
        <v>46408</v>
      </c>
      <c r="Q3153" s="2"/>
      <c r="R3153" s="2">
        <v>50285</v>
      </c>
      <c r="AB3153" s="2"/>
    </row>
    <row r="3154" spans="8:28" ht="15" customHeight="1">
      <c r="H3154" s="2">
        <v>46512</v>
      </c>
      <c r="I3154" s="2"/>
      <c r="J3154" s="2">
        <v>50186</v>
      </c>
      <c r="K3154" s="2"/>
      <c r="L3154" s="2">
        <v>46212</v>
      </c>
      <c r="M3154" s="2"/>
      <c r="N3154" s="2">
        <v>50488</v>
      </c>
      <c r="P3154" s="2">
        <v>46407</v>
      </c>
      <c r="Q3154" s="2"/>
      <c r="R3154" s="2">
        <v>50286</v>
      </c>
      <c r="AB3154" s="2"/>
    </row>
    <row r="3155" spans="8:28" ht="15" customHeight="1">
      <c r="H3155" s="2">
        <v>46511</v>
      </c>
      <c r="I3155" s="2"/>
      <c r="J3155" s="2">
        <v>50187</v>
      </c>
      <c r="K3155" s="2"/>
      <c r="L3155" s="2">
        <v>46211</v>
      </c>
      <c r="M3155" s="2"/>
      <c r="N3155" s="2">
        <v>50489</v>
      </c>
      <c r="P3155" s="2">
        <v>46406</v>
      </c>
      <c r="Q3155" s="2"/>
      <c r="R3155" s="2">
        <v>50287</v>
      </c>
      <c r="AB3155" s="2"/>
    </row>
    <row r="3156" spans="8:28" ht="15" customHeight="1">
      <c r="H3156" s="2">
        <v>46510</v>
      </c>
      <c r="I3156" s="2"/>
      <c r="J3156" s="2">
        <v>50188</v>
      </c>
      <c r="K3156" s="2"/>
      <c r="L3156" s="2">
        <v>46210</v>
      </c>
      <c r="M3156" s="2"/>
      <c r="N3156" s="2">
        <v>50490</v>
      </c>
      <c r="P3156" s="2">
        <v>46405</v>
      </c>
      <c r="Q3156" s="2"/>
      <c r="R3156" s="2">
        <v>50290</v>
      </c>
      <c r="AB3156" s="2"/>
    </row>
    <row r="3157" spans="8:28" ht="15" customHeight="1">
      <c r="H3157" s="2">
        <v>46507</v>
      </c>
      <c r="I3157" s="2"/>
      <c r="J3157" s="2">
        <v>50189</v>
      </c>
      <c r="K3157" s="2"/>
      <c r="L3157" s="2">
        <v>46209</v>
      </c>
      <c r="M3157" s="2"/>
      <c r="N3157" s="2">
        <v>50493</v>
      </c>
      <c r="P3157" s="2">
        <v>46402</v>
      </c>
      <c r="Q3157" s="2"/>
      <c r="R3157" s="2">
        <v>50291</v>
      </c>
      <c r="AB3157" s="2"/>
    </row>
    <row r="3158" spans="8:28" ht="15" customHeight="1">
      <c r="H3158" s="2">
        <v>46506</v>
      </c>
      <c r="I3158" s="2"/>
      <c r="J3158" s="2">
        <v>50192</v>
      </c>
      <c r="K3158" s="2"/>
      <c r="L3158" s="2">
        <v>46205</v>
      </c>
      <c r="M3158" s="2"/>
      <c r="N3158" s="2">
        <v>50494</v>
      </c>
      <c r="P3158" s="2">
        <v>46401</v>
      </c>
      <c r="Q3158" s="2"/>
      <c r="R3158" s="2">
        <v>50292</v>
      </c>
      <c r="AB3158" s="2"/>
    </row>
    <row r="3159" spans="8:28" ht="15" customHeight="1">
      <c r="H3159" s="2">
        <v>46505</v>
      </c>
      <c r="I3159" s="2"/>
      <c r="J3159" s="2">
        <v>50193</v>
      </c>
      <c r="K3159" s="2"/>
      <c r="L3159" s="2">
        <v>46204</v>
      </c>
      <c r="M3159" s="2"/>
      <c r="N3159" s="2">
        <v>50495</v>
      </c>
      <c r="P3159" s="2">
        <v>46400</v>
      </c>
      <c r="Q3159" s="2"/>
      <c r="R3159" s="2">
        <v>50293</v>
      </c>
      <c r="AB3159" s="2"/>
    </row>
    <row r="3160" spans="8:28" ht="15" customHeight="1">
      <c r="H3160" s="2">
        <v>46504</v>
      </c>
      <c r="I3160" s="2"/>
      <c r="J3160" s="2">
        <v>50194</v>
      </c>
      <c r="K3160" s="2"/>
      <c r="L3160" s="2">
        <v>46203</v>
      </c>
      <c r="M3160" s="2"/>
      <c r="N3160" s="2">
        <v>50496</v>
      </c>
      <c r="P3160" s="2">
        <v>46399</v>
      </c>
      <c r="Q3160" s="2"/>
      <c r="R3160" s="2">
        <v>50294</v>
      </c>
      <c r="AB3160" s="2"/>
    </row>
    <row r="3161" spans="8:28" ht="15" customHeight="1">
      <c r="H3161" s="2">
        <v>46503</v>
      </c>
      <c r="I3161" s="2"/>
      <c r="J3161" s="2">
        <v>50195</v>
      </c>
      <c r="K3161" s="2"/>
      <c r="L3161" s="2">
        <v>46202</v>
      </c>
      <c r="M3161" s="2"/>
      <c r="N3161" s="2">
        <v>50497</v>
      </c>
      <c r="P3161" s="2">
        <v>46398</v>
      </c>
      <c r="Q3161" s="2"/>
      <c r="R3161" s="2">
        <v>50297</v>
      </c>
      <c r="AB3161" s="2"/>
    </row>
    <row r="3162" spans="8:28" ht="15" customHeight="1">
      <c r="H3162" s="2">
        <v>46500</v>
      </c>
      <c r="I3162" s="2"/>
      <c r="J3162" s="2">
        <v>50196</v>
      </c>
      <c r="K3162" s="2"/>
      <c r="L3162" s="2">
        <v>46199</v>
      </c>
      <c r="M3162" s="2"/>
      <c r="N3162" s="2">
        <v>50500</v>
      </c>
      <c r="P3162" s="2">
        <v>46395</v>
      </c>
      <c r="Q3162" s="2"/>
      <c r="R3162" s="2">
        <v>50298</v>
      </c>
      <c r="AB3162" s="2"/>
    </row>
    <row r="3163" spans="8:28" ht="15" customHeight="1">
      <c r="H3163" s="2">
        <v>46499</v>
      </c>
      <c r="I3163" s="2"/>
      <c r="J3163" s="2">
        <v>50199</v>
      </c>
      <c r="K3163" s="2"/>
      <c r="L3163" s="2">
        <v>46198</v>
      </c>
      <c r="M3163" s="2"/>
      <c r="N3163" s="2">
        <v>50501</v>
      </c>
      <c r="P3163" s="2">
        <v>46394</v>
      </c>
      <c r="Q3163" s="2"/>
      <c r="R3163" s="2">
        <v>50299</v>
      </c>
      <c r="AB3163" s="2"/>
    </row>
    <row r="3164" spans="8:28" ht="15" customHeight="1">
      <c r="H3164" s="2">
        <v>46498</v>
      </c>
      <c r="I3164" s="2"/>
      <c r="J3164" s="2">
        <v>50200</v>
      </c>
      <c r="K3164" s="2"/>
      <c r="L3164" s="2">
        <v>46197</v>
      </c>
      <c r="M3164" s="2"/>
      <c r="N3164" s="2">
        <v>50502</v>
      </c>
      <c r="P3164" s="2">
        <v>46393</v>
      </c>
      <c r="Q3164" s="2"/>
      <c r="R3164" s="2">
        <v>50300</v>
      </c>
      <c r="AB3164" s="2"/>
    </row>
    <row r="3165" spans="8:28" ht="15" customHeight="1">
      <c r="H3165" s="2">
        <v>46497</v>
      </c>
      <c r="I3165" s="2"/>
      <c r="J3165" s="2">
        <v>50201</v>
      </c>
      <c r="K3165" s="2"/>
      <c r="L3165" s="2">
        <v>46196</v>
      </c>
      <c r="M3165" s="2"/>
      <c r="N3165" s="2">
        <v>50503</v>
      </c>
      <c r="P3165" s="2">
        <v>46392</v>
      </c>
      <c r="Q3165" s="2"/>
      <c r="R3165" s="2">
        <v>50301</v>
      </c>
      <c r="AB3165" s="2"/>
    </row>
    <row r="3166" spans="8:28" ht="15" customHeight="1">
      <c r="H3166" s="2">
        <v>46496</v>
      </c>
      <c r="I3166" s="2"/>
      <c r="J3166" s="2">
        <v>50202</v>
      </c>
      <c r="K3166" s="2"/>
      <c r="L3166" s="2">
        <v>46195</v>
      </c>
      <c r="M3166" s="2"/>
      <c r="N3166" s="2">
        <v>50504</v>
      </c>
      <c r="P3166" s="2">
        <v>46391</v>
      </c>
      <c r="Q3166" s="2"/>
      <c r="R3166" s="2">
        <v>50304</v>
      </c>
      <c r="AB3166" s="2"/>
    </row>
    <row r="3167" spans="8:28" ht="15" customHeight="1">
      <c r="H3167" s="2">
        <v>46493</v>
      </c>
      <c r="I3167" s="2"/>
      <c r="J3167" s="2">
        <v>50203</v>
      </c>
      <c r="K3167" s="2"/>
      <c r="L3167" s="2">
        <v>46191</v>
      </c>
      <c r="M3167" s="2"/>
      <c r="N3167" s="2">
        <v>50507</v>
      </c>
      <c r="P3167" s="2">
        <v>46386</v>
      </c>
      <c r="Q3167" s="2"/>
      <c r="R3167" s="2">
        <v>50305</v>
      </c>
      <c r="AB3167" s="2"/>
    </row>
    <row r="3168" spans="8:28" ht="15" customHeight="1">
      <c r="H3168" s="2">
        <v>46492</v>
      </c>
      <c r="I3168" s="2"/>
      <c r="J3168" s="2">
        <v>50206</v>
      </c>
      <c r="K3168" s="2"/>
      <c r="L3168" s="2">
        <v>46190</v>
      </c>
      <c r="M3168" s="2"/>
      <c r="N3168" s="2">
        <v>50508</v>
      </c>
      <c r="P3168" s="2">
        <v>46385</v>
      </c>
      <c r="Q3168" s="2"/>
      <c r="R3168" s="2">
        <v>50311</v>
      </c>
      <c r="AB3168" s="2"/>
    </row>
    <row r="3169" spans="8:28" ht="15" customHeight="1">
      <c r="H3169" s="2">
        <v>46491</v>
      </c>
      <c r="I3169" s="2"/>
      <c r="J3169" s="2">
        <v>50207</v>
      </c>
      <c r="K3169" s="2"/>
      <c r="L3169" s="2">
        <v>46189</v>
      </c>
      <c r="M3169" s="2"/>
      <c r="N3169" s="2">
        <v>50509</v>
      </c>
      <c r="P3169" s="2">
        <v>46384</v>
      </c>
      <c r="Q3169" s="2"/>
      <c r="R3169" s="2">
        <v>50312</v>
      </c>
      <c r="AB3169" s="2"/>
    </row>
    <row r="3170" spans="8:28" ht="15" customHeight="1">
      <c r="H3170" s="2">
        <v>46490</v>
      </c>
      <c r="I3170" s="2"/>
      <c r="J3170" s="2">
        <v>50208</v>
      </c>
      <c r="K3170" s="2"/>
      <c r="L3170" s="2">
        <v>46188</v>
      </c>
      <c r="M3170" s="2"/>
      <c r="N3170" s="2">
        <v>50510</v>
      </c>
      <c r="P3170" s="2">
        <v>46380</v>
      </c>
      <c r="Q3170" s="2"/>
      <c r="R3170" s="2">
        <v>50313</v>
      </c>
      <c r="AB3170" s="2"/>
    </row>
    <row r="3171" spans="8:28" ht="15" customHeight="1">
      <c r="H3171" s="2">
        <v>46489</v>
      </c>
      <c r="I3171" s="2"/>
      <c r="J3171" s="2">
        <v>50209</v>
      </c>
      <c r="K3171" s="2"/>
      <c r="L3171" s="2">
        <v>46185</v>
      </c>
      <c r="M3171" s="2"/>
      <c r="N3171" s="2">
        <v>50511</v>
      </c>
      <c r="P3171" s="2">
        <v>46379</v>
      </c>
      <c r="Q3171" s="2"/>
      <c r="R3171" s="2">
        <v>50314</v>
      </c>
      <c r="AB3171" s="2"/>
    </row>
    <row r="3172" spans="8:28" ht="15" customHeight="1">
      <c r="H3172" s="2">
        <v>46486</v>
      </c>
      <c r="I3172" s="2"/>
      <c r="J3172" s="2">
        <v>50213</v>
      </c>
      <c r="K3172" s="2"/>
      <c r="L3172" s="2">
        <v>46184</v>
      </c>
      <c r="M3172" s="2"/>
      <c r="N3172" s="2">
        <v>50514</v>
      </c>
      <c r="P3172" s="2">
        <v>46378</v>
      </c>
      <c r="Q3172" s="2"/>
      <c r="R3172" s="2">
        <v>50315</v>
      </c>
      <c r="AB3172" s="2"/>
    </row>
    <row r="3173" spans="8:28" ht="15" customHeight="1">
      <c r="H3173" s="2">
        <v>46485</v>
      </c>
      <c r="I3173" s="2"/>
      <c r="J3173" s="2">
        <v>50214</v>
      </c>
      <c r="K3173" s="2"/>
      <c r="L3173" s="2">
        <v>46183</v>
      </c>
      <c r="M3173" s="2"/>
      <c r="N3173" s="2">
        <v>50515</v>
      </c>
      <c r="P3173" s="2">
        <v>46377</v>
      </c>
      <c r="Q3173" s="2"/>
      <c r="R3173" s="2">
        <v>50319</v>
      </c>
      <c r="AB3173" s="2"/>
    </row>
    <row r="3174" spans="8:28" ht="15" customHeight="1">
      <c r="H3174" s="2">
        <v>46484</v>
      </c>
      <c r="I3174" s="2"/>
      <c r="J3174" s="2">
        <v>50215</v>
      </c>
      <c r="K3174" s="2"/>
      <c r="L3174" s="2">
        <v>46182</v>
      </c>
      <c r="M3174" s="2"/>
      <c r="N3174" s="2">
        <v>50516</v>
      </c>
      <c r="P3174" s="2">
        <v>46374</v>
      </c>
      <c r="Q3174" s="2"/>
      <c r="R3174" s="2">
        <v>50320</v>
      </c>
      <c r="AB3174" s="2"/>
    </row>
    <row r="3175" spans="8:28" ht="15" customHeight="1">
      <c r="H3175" s="2">
        <v>46483</v>
      </c>
      <c r="I3175" s="2"/>
      <c r="J3175" s="2">
        <v>50216</v>
      </c>
      <c r="K3175" s="2"/>
      <c r="L3175" s="2">
        <v>46181</v>
      </c>
      <c r="M3175" s="2"/>
      <c r="N3175" s="2">
        <v>50517</v>
      </c>
      <c r="P3175" s="2">
        <v>46373</v>
      </c>
      <c r="Q3175" s="2"/>
      <c r="R3175" s="2">
        <v>50321</v>
      </c>
      <c r="AB3175" s="2"/>
    </row>
    <row r="3176" spans="8:28" ht="15" customHeight="1">
      <c r="H3176" s="2">
        <v>46482</v>
      </c>
      <c r="I3176" s="2"/>
      <c r="J3176" s="2">
        <v>50217</v>
      </c>
      <c r="K3176" s="2"/>
      <c r="L3176" s="2">
        <v>46178</v>
      </c>
      <c r="M3176" s="2"/>
      <c r="N3176" s="2">
        <v>50521</v>
      </c>
      <c r="P3176" s="2">
        <v>46372</v>
      </c>
      <c r="Q3176" s="2"/>
      <c r="R3176" s="2">
        <v>50325</v>
      </c>
      <c r="AB3176" s="2"/>
    </row>
    <row r="3177" spans="8:28" ht="15" customHeight="1">
      <c r="H3177" s="2">
        <v>46479</v>
      </c>
      <c r="I3177" s="2"/>
      <c r="J3177" s="2">
        <v>50220</v>
      </c>
      <c r="K3177" s="2"/>
      <c r="L3177" s="2">
        <v>46177</v>
      </c>
      <c r="M3177" s="2"/>
      <c r="N3177" s="2">
        <v>50522</v>
      </c>
      <c r="P3177" s="2">
        <v>46371</v>
      </c>
      <c r="Q3177" s="2"/>
      <c r="R3177" s="2">
        <v>50326</v>
      </c>
      <c r="AB3177" s="2"/>
    </row>
    <row r="3178" spans="8:28" ht="15" customHeight="1">
      <c r="H3178" s="2">
        <v>46478</v>
      </c>
      <c r="I3178" s="2"/>
      <c r="J3178" s="2">
        <v>50221</v>
      </c>
      <c r="K3178" s="2"/>
      <c r="L3178" s="2">
        <v>46176</v>
      </c>
      <c r="M3178" s="2"/>
      <c r="N3178" s="2">
        <v>50523</v>
      </c>
      <c r="P3178" s="2">
        <v>46370</v>
      </c>
      <c r="Q3178" s="2"/>
      <c r="R3178" s="2">
        <v>50327</v>
      </c>
      <c r="AB3178" s="2"/>
    </row>
    <row r="3179" spans="8:28" ht="15" customHeight="1">
      <c r="H3179" s="2">
        <v>46477</v>
      </c>
      <c r="I3179" s="2"/>
      <c r="J3179" s="2">
        <v>50222</v>
      </c>
      <c r="K3179" s="2"/>
      <c r="L3179" s="2">
        <v>46175</v>
      </c>
      <c r="M3179" s="2"/>
      <c r="N3179" s="2">
        <v>50525</v>
      </c>
      <c r="P3179" s="2">
        <v>46367</v>
      </c>
      <c r="Q3179" s="2"/>
      <c r="R3179" s="2">
        <v>50328</v>
      </c>
      <c r="AB3179" s="2"/>
    </row>
    <row r="3180" spans="8:28" ht="15" customHeight="1">
      <c r="H3180" s="2">
        <v>46476</v>
      </c>
      <c r="I3180" s="2"/>
      <c r="J3180" s="2">
        <v>50223</v>
      </c>
      <c r="K3180" s="2"/>
      <c r="L3180" s="2">
        <v>46174</v>
      </c>
      <c r="M3180" s="2"/>
      <c r="N3180" s="2">
        <v>50531</v>
      </c>
      <c r="P3180" s="2">
        <v>46366</v>
      </c>
      <c r="Q3180" s="2"/>
      <c r="R3180" s="2">
        <v>50329</v>
      </c>
      <c r="AB3180" s="2"/>
    </row>
    <row r="3181" spans="8:28" ht="15" customHeight="1">
      <c r="H3181" s="2">
        <v>46475</v>
      </c>
      <c r="I3181" s="2"/>
      <c r="J3181" s="2">
        <v>50227</v>
      </c>
      <c r="K3181" s="2"/>
      <c r="L3181" s="2">
        <v>46171</v>
      </c>
      <c r="M3181" s="2"/>
      <c r="N3181" s="2">
        <v>50532</v>
      </c>
      <c r="P3181" s="2">
        <v>46365</v>
      </c>
      <c r="Q3181" s="2"/>
      <c r="R3181" s="2">
        <v>50332</v>
      </c>
      <c r="AB3181" s="2"/>
    </row>
    <row r="3182" spans="8:28" ht="15" customHeight="1">
      <c r="H3182" s="2">
        <v>46471</v>
      </c>
      <c r="I3182" s="2"/>
      <c r="J3182" s="2">
        <v>50228</v>
      </c>
      <c r="K3182" s="2"/>
      <c r="L3182" s="2">
        <v>46170</v>
      </c>
      <c r="M3182" s="2"/>
      <c r="N3182" s="2">
        <v>50535</v>
      </c>
      <c r="P3182" s="2">
        <v>46364</v>
      </c>
      <c r="Q3182" s="2"/>
      <c r="R3182" s="2">
        <v>50333</v>
      </c>
      <c r="AB3182" s="2"/>
    </row>
    <row r="3183" spans="8:28" ht="15" customHeight="1">
      <c r="H3183" s="2">
        <v>46470</v>
      </c>
      <c r="I3183" s="2"/>
      <c r="J3183" s="2">
        <v>50229</v>
      </c>
      <c r="K3183" s="2"/>
      <c r="L3183" s="2">
        <v>46169</v>
      </c>
      <c r="M3183" s="2"/>
      <c r="N3183" s="2">
        <v>50536</v>
      </c>
      <c r="P3183" s="2">
        <v>46363</v>
      </c>
      <c r="Q3183" s="2"/>
      <c r="R3183" s="2">
        <v>50334</v>
      </c>
      <c r="AB3183" s="2"/>
    </row>
    <row r="3184" spans="8:28" ht="15" customHeight="1">
      <c r="H3184" s="2">
        <v>46469</v>
      </c>
      <c r="I3184" s="2"/>
      <c r="J3184" s="2">
        <v>50230</v>
      </c>
      <c r="K3184" s="2"/>
      <c r="L3184" s="2">
        <v>46168</v>
      </c>
      <c r="M3184" s="2"/>
      <c r="N3184" s="2">
        <v>50537</v>
      </c>
      <c r="P3184" s="2">
        <v>46360</v>
      </c>
      <c r="Q3184" s="2"/>
      <c r="R3184" s="2">
        <v>50335</v>
      </c>
      <c r="AB3184" s="2"/>
    </row>
    <row r="3185" spans="8:28" ht="15" customHeight="1">
      <c r="H3185" s="2">
        <v>46468</v>
      </c>
      <c r="I3185" s="2"/>
      <c r="J3185" s="2">
        <v>50231</v>
      </c>
      <c r="K3185" s="2"/>
      <c r="L3185" s="2">
        <v>46164</v>
      </c>
      <c r="M3185" s="2"/>
      <c r="N3185" s="2">
        <v>50538</v>
      </c>
      <c r="P3185" s="2">
        <v>46359</v>
      </c>
      <c r="Q3185" s="2"/>
      <c r="R3185" s="2">
        <v>50336</v>
      </c>
      <c r="AB3185" s="2"/>
    </row>
    <row r="3186" spans="8:28" ht="15" customHeight="1">
      <c r="H3186" s="2">
        <v>46465</v>
      </c>
      <c r="I3186" s="2"/>
      <c r="J3186" s="2">
        <v>50234</v>
      </c>
      <c r="K3186" s="2"/>
      <c r="L3186" s="2">
        <v>46163</v>
      </c>
      <c r="M3186" s="2"/>
      <c r="N3186" s="2">
        <v>50539</v>
      </c>
      <c r="P3186" s="2">
        <v>46358</v>
      </c>
      <c r="Q3186" s="2"/>
      <c r="R3186" s="2">
        <v>50339</v>
      </c>
      <c r="AB3186" s="2"/>
    </row>
    <row r="3187" spans="8:28" ht="15" customHeight="1">
      <c r="H3187" s="2">
        <v>46464</v>
      </c>
      <c r="I3187" s="2"/>
      <c r="J3187" s="2">
        <v>50235</v>
      </c>
      <c r="K3187" s="2"/>
      <c r="L3187" s="2">
        <v>46162</v>
      </c>
      <c r="M3187" s="2"/>
      <c r="N3187" s="2">
        <v>50542</v>
      </c>
      <c r="P3187" s="2">
        <v>46357</v>
      </c>
      <c r="Q3187" s="2"/>
      <c r="R3187" s="2">
        <v>50340</v>
      </c>
      <c r="AB3187" s="2"/>
    </row>
    <row r="3188" spans="8:28" ht="15" customHeight="1">
      <c r="H3188" s="2">
        <v>46463</v>
      </c>
      <c r="I3188" s="2"/>
      <c r="J3188" s="2">
        <v>50236</v>
      </c>
      <c r="K3188" s="2"/>
      <c r="L3188" s="2">
        <v>46161</v>
      </c>
      <c r="M3188" s="2"/>
      <c r="N3188" s="2">
        <v>50543</v>
      </c>
      <c r="P3188" s="2">
        <v>46356</v>
      </c>
      <c r="Q3188" s="2"/>
      <c r="R3188" s="2">
        <v>50341</v>
      </c>
      <c r="AB3188" s="2"/>
    </row>
    <row r="3189" spans="8:28" ht="15" customHeight="1">
      <c r="H3189" s="2">
        <v>46462</v>
      </c>
      <c r="I3189" s="2"/>
      <c r="J3189" s="2">
        <v>50237</v>
      </c>
      <c r="K3189" s="2"/>
      <c r="L3189" s="2">
        <v>46160</v>
      </c>
      <c r="M3189" s="2"/>
      <c r="N3189" s="2">
        <v>50544</v>
      </c>
      <c r="P3189" s="2">
        <v>46353</v>
      </c>
      <c r="Q3189" s="2"/>
      <c r="R3189" s="2">
        <v>50342</v>
      </c>
      <c r="AB3189" s="2"/>
    </row>
    <row r="3190" spans="8:28" ht="15" customHeight="1">
      <c r="H3190" s="2">
        <v>46461</v>
      </c>
      <c r="I3190" s="2"/>
      <c r="J3190" s="2">
        <v>50238</v>
      </c>
      <c r="K3190" s="2"/>
      <c r="L3190" s="2">
        <v>46157</v>
      </c>
      <c r="M3190" s="2"/>
      <c r="N3190" s="2">
        <v>50545</v>
      </c>
      <c r="P3190" s="2">
        <v>46352</v>
      </c>
      <c r="Q3190" s="2"/>
      <c r="R3190" s="2">
        <v>50343</v>
      </c>
      <c r="AB3190" s="2"/>
    </row>
    <row r="3191" spans="8:28" ht="15" customHeight="1">
      <c r="H3191" s="2">
        <v>46458</v>
      </c>
      <c r="I3191" s="2"/>
      <c r="J3191" s="2">
        <v>50241</v>
      </c>
      <c r="K3191" s="2"/>
      <c r="L3191" s="2">
        <v>46156</v>
      </c>
      <c r="M3191" s="2"/>
      <c r="N3191" s="2">
        <v>50546</v>
      </c>
      <c r="P3191" s="2">
        <v>46351</v>
      </c>
      <c r="Q3191" s="2"/>
      <c r="R3191" s="2">
        <v>50346</v>
      </c>
      <c r="AB3191" s="2"/>
    </row>
    <row r="3192" spans="8:28" ht="15" customHeight="1">
      <c r="H3192" s="2">
        <v>46457</v>
      </c>
      <c r="I3192" s="2"/>
      <c r="J3192" s="2">
        <v>50242</v>
      </c>
      <c r="K3192" s="2"/>
      <c r="L3192" s="2">
        <v>46155</v>
      </c>
      <c r="M3192" s="2"/>
      <c r="N3192" s="2">
        <v>50549</v>
      </c>
      <c r="P3192" s="2">
        <v>46350</v>
      </c>
      <c r="Q3192" s="2"/>
      <c r="R3192" s="2">
        <v>50347</v>
      </c>
      <c r="AB3192" s="2"/>
    </row>
    <row r="3193" spans="8:28" ht="15" customHeight="1">
      <c r="H3193" s="2">
        <v>46456</v>
      </c>
      <c r="I3193" s="2"/>
      <c r="J3193" s="2">
        <v>50243</v>
      </c>
      <c r="K3193" s="2"/>
      <c r="L3193" s="2">
        <v>46154</v>
      </c>
      <c r="M3193" s="2"/>
      <c r="N3193" s="2">
        <v>50550</v>
      </c>
      <c r="P3193" s="2">
        <v>46349</v>
      </c>
      <c r="Q3193" s="2"/>
      <c r="R3193" s="2">
        <v>50348</v>
      </c>
      <c r="AB3193" s="2"/>
    </row>
    <row r="3194" spans="8:28" ht="15" customHeight="1">
      <c r="H3194" s="2">
        <v>46455</v>
      </c>
      <c r="I3194" s="2"/>
      <c r="J3194" s="2">
        <v>50244</v>
      </c>
      <c r="K3194" s="2"/>
      <c r="L3194" s="2">
        <v>46153</v>
      </c>
      <c r="M3194" s="2"/>
      <c r="N3194" s="2">
        <v>50551</v>
      </c>
      <c r="P3194" s="2">
        <v>46346</v>
      </c>
      <c r="Q3194" s="2"/>
      <c r="R3194" s="2">
        <v>50349</v>
      </c>
      <c r="AB3194" s="2"/>
    </row>
    <row r="3195" spans="8:28" ht="15" customHeight="1">
      <c r="H3195" s="2">
        <v>46454</v>
      </c>
      <c r="I3195" s="2"/>
      <c r="J3195" s="2">
        <v>50245</v>
      </c>
      <c r="K3195" s="2"/>
      <c r="L3195" s="2">
        <v>46150</v>
      </c>
      <c r="M3195" s="2"/>
      <c r="N3195" s="2">
        <v>50552</v>
      </c>
      <c r="P3195" s="2">
        <v>46345</v>
      </c>
      <c r="Q3195" s="2"/>
      <c r="R3195" s="2">
        <v>50350</v>
      </c>
      <c r="AB3195" s="2"/>
    </row>
    <row r="3196" spans="8:28" ht="15" customHeight="1">
      <c r="H3196" s="2">
        <v>46451</v>
      </c>
      <c r="I3196" s="2"/>
      <c r="J3196" s="2">
        <v>50248</v>
      </c>
      <c r="K3196" s="2"/>
      <c r="L3196" s="2">
        <v>46149</v>
      </c>
      <c r="M3196" s="2"/>
      <c r="N3196" s="2">
        <v>50553</v>
      </c>
      <c r="P3196" s="2">
        <v>46344</v>
      </c>
      <c r="Q3196" s="2"/>
      <c r="R3196" s="2">
        <v>50353</v>
      </c>
      <c r="AB3196" s="2"/>
    </row>
    <row r="3197" spans="8:28" ht="15" customHeight="1">
      <c r="H3197" s="2">
        <v>46450</v>
      </c>
      <c r="I3197" s="2"/>
      <c r="J3197" s="2">
        <v>50249</v>
      </c>
      <c r="K3197" s="2"/>
      <c r="L3197" s="2">
        <v>46143</v>
      </c>
      <c r="M3197" s="2"/>
      <c r="N3197" s="2">
        <v>50557</v>
      </c>
      <c r="P3197" s="2">
        <v>46343</v>
      </c>
      <c r="Q3197" s="2"/>
      <c r="R3197" s="2">
        <v>50354</v>
      </c>
      <c r="AB3197" s="2"/>
    </row>
    <row r="3198" spans="8:28" ht="15" customHeight="1">
      <c r="H3198" s="2">
        <v>46449</v>
      </c>
      <c r="I3198" s="2"/>
      <c r="J3198" s="2">
        <v>50250</v>
      </c>
      <c r="K3198" s="2"/>
      <c r="L3198" s="2">
        <v>46142</v>
      </c>
      <c r="M3198" s="2"/>
      <c r="N3198" s="2">
        <v>50558</v>
      </c>
      <c r="P3198" s="2">
        <v>46342</v>
      </c>
      <c r="Q3198" s="2"/>
      <c r="R3198" s="2">
        <v>50355</v>
      </c>
      <c r="AB3198" s="2"/>
    </row>
    <row r="3199" spans="8:28" ht="15" customHeight="1">
      <c r="H3199" s="2">
        <v>46448</v>
      </c>
      <c r="I3199" s="2"/>
      <c r="J3199" s="2">
        <v>50251</v>
      </c>
      <c r="K3199" s="2"/>
      <c r="L3199" s="2">
        <v>46140</v>
      </c>
      <c r="M3199" s="2"/>
      <c r="N3199" s="2">
        <v>50559</v>
      </c>
      <c r="P3199" s="2">
        <v>46339</v>
      </c>
      <c r="Q3199" s="2"/>
      <c r="R3199" s="2">
        <v>50356</v>
      </c>
      <c r="AB3199" s="2"/>
    </row>
    <row r="3200" spans="8:28" ht="15" customHeight="1">
      <c r="H3200" s="2">
        <v>46447</v>
      </c>
      <c r="I3200" s="2"/>
      <c r="J3200" s="2">
        <v>50252</v>
      </c>
      <c r="K3200" s="2"/>
      <c r="L3200" s="2">
        <v>46139</v>
      </c>
      <c r="M3200" s="2"/>
      <c r="N3200" s="2">
        <v>50560</v>
      </c>
      <c r="P3200" s="2">
        <v>46338</v>
      </c>
      <c r="Q3200" s="2"/>
      <c r="R3200" s="2">
        <v>50357</v>
      </c>
      <c r="AB3200" s="2"/>
    </row>
    <row r="3201" spans="8:28" ht="15" customHeight="1">
      <c r="H3201" s="2">
        <v>46444</v>
      </c>
      <c r="I3201" s="2"/>
      <c r="J3201" s="2">
        <v>50255</v>
      </c>
      <c r="K3201" s="2"/>
      <c r="L3201" s="2">
        <v>46136</v>
      </c>
      <c r="M3201" s="2"/>
      <c r="N3201" s="2">
        <v>50563</v>
      </c>
      <c r="P3201" s="2">
        <v>46337</v>
      </c>
      <c r="Q3201" s="2"/>
      <c r="R3201" s="2">
        <v>50360</v>
      </c>
      <c r="AB3201" s="2"/>
    </row>
    <row r="3202" spans="8:28" ht="15" customHeight="1">
      <c r="H3202" s="2">
        <v>46443</v>
      </c>
      <c r="I3202" s="2"/>
      <c r="J3202" s="2">
        <v>50256</v>
      </c>
      <c r="K3202" s="2"/>
      <c r="L3202" s="2">
        <v>46135</v>
      </c>
      <c r="M3202" s="2"/>
      <c r="N3202" s="2">
        <v>50564</v>
      </c>
      <c r="P3202" s="2">
        <v>46336</v>
      </c>
      <c r="Q3202" s="2"/>
      <c r="R3202" s="2">
        <v>50361</v>
      </c>
      <c r="AB3202" s="2"/>
    </row>
    <row r="3203" spans="8:28" ht="15" customHeight="1">
      <c r="H3203" s="2">
        <v>46442</v>
      </c>
      <c r="I3203" s="2"/>
      <c r="J3203" s="2">
        <v>50257</v>
      </c>
      <c r="K3203" s="2"/>
      <c r="L3203" s="2">
        <v>46134</v>
      </c>
      <c r="M3203" s="2"/>
      <c r="N3203" s="2">
        <v>50565</v>
      </c>
      <c r="P3203" s="2">
        <v>46335</v>
      </c>
      <c r="Q3203" s="2"/>
      <c r="R3203" s="2">
        <v>50362</v>
      </c>
      <c r="AB3203" s="2"/>
    </row>
    <row r="3204" spans="8:28" ht="15" customHeight="1">
      <c r="H3204" s="2">
        <v>46441</v>
      </c>
      <c r="I3204" s="2"/>
      <c r="J3204" s="2">
        <v>50258</v>
      </c>
      <c r="K3204" s="2"/>
      <c r="L3204" s="2">
        <v>46133</v>
      </c>
      <c r="M3204" s="2"/>
      <c r="N3204" s="2">
        <v>50566</v>
      </c>
      <c r="P3204" s="2">
        <v>46332</v>
      </c>
      <c r="Q3204" s="2"/>
      <c r="R3204" s="2">
        <v>50363</v>
      </c>
      <c r="AB3204" s="2"/>
    </row>
    <row r="3205" spans="8:28" ht="15" customHeight="1">
      <c r="H3205" s="2">
        <v>46440</v>
      </c>
      <c r="I3205" s="2"/>
      <c r="J3205" s="2">
        <v>50259</v>
      </c>
      <c r="K3205" s="2"/>
      <c r="L3205" s="2">
        <v>46132</v>
      </c>
      <c r="M3205" s="2"/>
      <c r="N3205" s="2">
        <v>50567</v>
      </c>
      <c r="P3205" s="2">
        <v>46331</v>
      </c>
      <c r="Q3205" s="2"/>
      <c r="R3205" s="2">
        <v>50364</v>
      </c>
      <c r="AB3205" s="2"/>
    </row>
    <row r="3206" spans="8:28" ht="15" customHeight="1">
      <c r="H3206" s="2">
        <v>46437</v>
      </c>
      <c r="I3206" s="2"/>
      <c r="J3206" s="2">
        <v>50262</v>
      </c>
      <c r="K3206" s="2"/>
      <c r="L3206" s="2">
        <v>46129</v>
      </c>
      <c r="M3206" s="2"/>
      <c r="N3206" s="2">
        <v>50570</v>
      </c>
      <c r="P3206" s="2">
        <v>46330</v>
      </c>
      <c r="Q3206" s="2"/>
      <c r="R3206" s="2">
        <v>50367</v>
      </c>
      <c r="AB3206" s="2"/>
    </row>
    <row r="3207" spans="8:28" ht="15" customHeight="1">
      <c r="H3207" s="2">
        <v>46436</v>
      </c>
      <c r="I3207" s="2"/>
      <c r="J3207" s="2">
        <v>50263</v>
      </c>
      <c r="K3207" s="2"/>
      <c r="L3207" s="2">
        <v>46128</v>
      </c>
      <c r="M3207" s="2"/>
      <c r="N3207" s="2">
        <v>50571</v>
      </c>
      <c r="P3207" s="2">
        <v>46329</v>
      </c>
      <c r="Q3207" s="2"/>
      <c r="R3207" s="2">
        <v>50368</v>
      </c>
      <c r="AB3207" s="2"/>
    </row>
    <row r="3208" spans="8:28" ht="15" customHeight="1">
      <c r="H3208" s="2">
        <v>46435</v>
      </c>
      <c r="I3208" s="2"/>
      <c r="J3208" s="2">
        <v>50264</v>
      </c>
      <c r="K3208" s="2"/>
      <c r="L3208" s="2">
        <v>46127</v>
      </c>
      <c r="M3208" s="2"/>
      <c r="N3208" s="2">
        <v>50572</v>
      </c>
      <c r="P3208" s="2">
        <v>46328</v>
      </c>
      <c r="Q3208" s="2"/>
      <c r="R3208" s="2">
        <v>50369</v>
      </c>
      <c r="AB3208" s="2"/>
    </row>
    <row r="3209" spans="8:28" ht="15" customHeight="1">
      <c r="H3209" s="2">
        <v>46434</v>
      </c>
      <c r="I3209" s="2"/>
      <c r="J3209" s="2">
        <v>50265</v>
      </c>
      <c r="K3209" s="2"/>
      <c r="L3209" s="2">
        <v>46126</v>
      </c>
      <c r="M3209" s="2"/>
      <c r="N3209" s="2">
        <v>50573</v>
      </c>
      <c r="P3209" s="2">
        <v>46325</v>
      </c>
      <c r="Q3209" s="2"/>
      <c r="R3209" s="2">
        <v>50370</v>
      </c>
      <c r="AB3209" s="2"/>
    </row>
    <row r="3210" spans="8:28" ht="15" customHeight="1">
      <c r="H3210" s="2">
        <v>46430</v>
      </c>
      <c r="I3210" s="2"/>
      <c r="J3210" s="2">
        <v>50266</v>
      </c>
      <c r="K3210" s="2"/>
      <c r="L3210" s="2">
        <v>46125</v>
      </c>
      <c r="M3210" s="2"/>
      <c r="N3210" s="2">
        <v>50577</v>
      </c>
      <c r="P3210" s="2">
        <v>46324</v>
      </c>
      <c r="Q3210" s="2"/>
      <c r="R3210" s="2">
        <v>50371</v>
      </c>
      <c r="AB3210" s="2"/>
    </row>
    <row r="3211" spans="8:28" ht="15" customHeight="1">
      <c r="H3211" s="2">
        <v>46429</v>
      </c>
      <c r="I3211" s="2"/>
      <c r="J3211" s="2">
        <v>50269</v>
      </c>
      <c r="K3211" s="2"/>
      <c r="L3211" s="2">
        <v>46122</v>
      </c>
      <c r="M3211" s="2"/>
      <c r="N3211" s="2">
        <v>50578</v>
      </c>
      <c r="P3211" s="2">
        <v>46323</v>
      </c>
      <c r="Q3211" s="2"/>
      <c r="R3211" s="2">
        <v>50374</v>
      </c>
      <c r="AB3211" s="2"/>
    </row>
    <row r="3212" spans="8:28" ht="15" customHeight="1">
      <c r="H3212" s="2">
        <v>46428</v>
      </c>
      <c r="I3212" s="2"/>
      <c r="J3212" s="2">
        <v>50270</v>
      </c>
      <c r="K3212" s="2"/>
      <c r="L3212" s="2">
        <v>46121</v>
      </c>
      <c r="M3212" s="2"/>
      <c r="N3212" s="2">
        <v>50579</v>
      </c>
      <c r="P3212" s="2">
        <v>46322</v>
      </c>
      <c r="Q3212" s="2"/>
      <c r="R3212" s="2">
        <v>50375</v>
      </c>
      <c r="AB3212" s="2"/>
    </row>
    <row r="3213" spans="8:28" ht="15" customHeight="1">
      <c r="H3213" s="2">
        <v>46427</v>
      </c>
      <c r="I3213" s="2"/>
      <c r="J3213" s="2">
        <v>50271</v>
      </c>
      <c r="K3213" s="2"/>
      <c r="L3213" s="2">
        <v>46120</v>
      </c>
      <c r="M3213" s="2"/>
      <c r="N3213" s="2">
        <v>50580</v>
      </c>
      <c r="P3213" s="2">
        <v>46321</v>
      </c>
      <c r="Q3213" s="2"/>
      <c r="R3213" s="2">
        <v>50376</v>
      </c>
      <c r="AB3213" s="2"/>
    </row>
    <row r="3214" spans="8:28" ht="15" customHeight="1">
      <c r="H3214" s="2">
        <v>46426</v>
      </c>
      <c r="I3214" s="2"/>
      <c r="J3214" s="2">
        <v>50272</v>
      </c>
      <c r="K3214" s="2"/>
      <c r="L3214" s="2">
        <v>46119</v>
      </c>
      <c r="M3214" s="2"/>
      <c r="N3214" s="2">
        <v>50581</v>
      </c>
      <c r="P3214" s="2">
        <v>46318</v>
      </c>
      <c r="Q3214" s="2"/>
      <c r="R3214" s="2">
        <v>50377</v>
      </c>
      <c r="AB3214" s="2"/>
    </row>
    <row r="3215" spans="8:28" ht="15" customHeight="1">
      <c r="H3215" s="2">
        <v>46423</v>
      </c>
      <c r="I3215" s="2"/>
      <c r="J3215" s="2">
        <v>50273</v>
      </c>
      <c r="K3215" s="2"/>
      <c r="L3215" s="2">
        <v>46118</v>
      </c>
      <c r="M3215" s="2"/>
      <c r="N3215" s="2">
        <v>50584</v>
      </c>
      <c r="P3215" s="2">
        <v>46317</v>
      </c>
      <c r="Q3215" s="2"/>
      <c r="R3215" s="2">
        <v>50378</v>
      </c>
      <c r="AB3215" s="2"/>
    </row>
    <row r="3216" spans="8:28" ht="15" customHeight="1">
      <c r="H3216" s="2">
        <v>46422</v>
      </c>
      <c r="I3216" s="2"/>
      <c r="J3216" s="2">
        <v>50276</v>
      </c>
      <c r="K3216" s="2"/>
      <c r="L3216" s="2">
        <v>46114</v>
      </c>
      <c r="M3216" s="2"/>
      <c r="N3216" s="2">
        <v>50585</v>
      </c>
      <c r="P3216" s="2">
        <v>46316</v>
      </c>
      <c r="Q3216" s="2"/>
      <c r="R3216" s="2">
        <v>50381</v>
      </c>
      <c r="AB3216" s="2"/>
    </row>
    <row r="3217" spans="8:28" ht="15" customHeight="1">
      <c r="H3217" s="2">
        <v>46421</v>
      </c>
      <c r="I3217" s="2"/>
      <c r="J3217" s="2">
        <v>50277</v>
      </c>
      <c r="K3217" s="2"/>
      <c r="L3217" s="2">
        <v>46113</v>
      </c>
      <c r="M3217" s="2"/>
      <c r="N3217" s="2">
        <v>50586</v>
      </c>
      <c r="P3217" s="2">
        <v>46315</v>
      </c>
      <c r="Q3217" s="2"/>
      <c r="R3217" s="2">
        <v>50382</v>
      </c>
      <c r="AB3217" s="2"/>
    </row>
    <row r="3218" spans="8:28" ht="15" customHeight="1">
      <c r="H3218" s="2">
        <v>46420</v>
      </c>
      <c r="I3218" s="2"/>
      <c r="J3218" s="2">
        <v>50278</v>
      </c>
      <c r="K3218" s="2"/>
      <c r="L3218" s="2">
        <v>46112</v>
      </c>
      <c r="M3218" s="2"/>
      <c r="N3218" s="2">
        <v>50587</v>
      </c>
      <c r="P3218" s="2">
        <v>46314</v>
      </c>
      <c r="Q3218" s="2"/>
      <c r="R3218" s="2">
        <v>50383</v>
      </c>
      <c r="AB3218" s="2"/>
    </row>
    <row r="3219" spans="8:28" ht="15" customHeight="1">
      <c r="H3219" s="2">
        <v>46419</v>
      </c>
      <c r="I3219" s="2"/>
      <c r="J3219" s="2">
        <v>50279</v>
      </c>
      <c r="K3219" s="2"/>
      <c r="L3219" s="2">
        <v>46111</v>
      </c>
      <c r="M3219" s="2"/>
      <c r="N3219" s="2">
        <v>50588</v>
      </c>
      <c r="P3219" s="2">
        <v>46311</v>
      </c>
      <c r="Q3219" s="2"/>
      <c r="R3219" s="2">
        <v>50384</v>
      </c>
      <c r="AB3219" s="2"/>
    </row>
    <row r="3220" spans="8:28" ht="15" customHeight="1">
      <c r="H3220" s="2">
        <v>46416</v>
      </c>
      <c r="I3220" s="2"/>
      <c r="J3220" s="2">
        <v>50280</v>
      </c>
      <c r="K3220" s="2"/>
      <c r="L3220" s="2">
        <v>46108</v>
      </c>
      <c r="M3220" s="2"/>
      <c r="N3220" s="2">
        <v>50592</v>
      </c>
      <c r="P3220" s="2">
        <v>46310</v>
      </c>
      <c r="Q3220" s="2"/>
      <c r="R3220" s="2">
        <v>50385</v>
      </c>
      <c r="AB3220" s="2"/>
    </row>
    <row r="3221" spans="8:28" ht="15" customHeight="1">
      <c r="H3221" s="2">
        <v>46415</v>
      </c>
      <c r="I3221" s="2"/>
      <c r="J3221" s="2">
        <v>50283</v>
      </c>
      <c r="K3221" s="2"/>
      <c r="L3221" s="2">
        <v>46107</v>
      </c>
      <c r="M3221" s="2"/>
      <c r="N3221" s="2">
        <v>50593</v>
      </c>
      <c r="P3221" s="2">
        <v>46309</v>
      </c>
      <c r="Q3221" s="2"/>
      <c r="R3221" s="2">
        <v>50388</v>
      </c>
      <c r="AB3221" s="2"/>
    </row>
    <row r="3222" spans="8:28" ht="15" customHeight="1">
      <c r="H3222" s="2">
        <v>46414</v>
      </c>
      <c r="I3222" s="2"/>
      <c r="J3222" s="2">
        <v>50284</v>
      </c>
      <c r="K3222" s="2"/>
      <c r="L3222" s="2">
        <v>46106</v>
      </c>
      <c r="M3222" s="2"/>
      <c r="N3222" s="2">
        <v>50594</v>
      </c>
      <c r="P3222" s="2">
        <v>46308</v>
      </c>
      <c r="Q3222" s="2"/>
      <c r="R3222" s="2">
        <v>50389</v>
      </c>
      <c r="AB3222" s="2"/>
    </row>
    <row r="3223" spans="8:28" ht="15" customHeight="1">
      <c r="H3223" s="2">
        <v>46413</v>
      </c>
      <c r="I3223" s="2"/>
      <c r="J3223" s="2">
        <v>50285</v>
      </c>
      <c r="K3223" s="2"/>
      <c r="L3223" s="2">
        <v>46105</v>
      </c>
      <c r="M3223" s="2"/>
      <c r="N3223" s="2">
        <v>50595</v>
      </c>
      <c r="P3223" s="2">
        <v>46307</v>
      </c>
      <c r="Q3223" s="2"/>
      <c r="R3223" s="2">
        <v>50390</v>
      </c>
      <c r="AB3223" s="2"/>
    </row>
    <row r="3224" spans="8:28" ht="15" customHeight="1">
      <c r="H3224" s="2">
        <v>46412</v>
      </c>
      <c r="I3224" s="2"/>
      <c r="J3224" s="2">
        <v>50286</v>
      </c>
      <c r="K3224" s="2"/>
      <c r="L3224" s="2">
        <v>46104</v>
      </c>
      <c r="M3224" s="2"/>
      <c r="N3224" s="2">
        <v>50598</v>
      </c>
      <c r="P3224" s="2">
        <v>46303</v>
      </c>
      <c r="Q3224" s="2"/>
      <c r="R3224" s="2">
        <v>50391</v>
      </c>
      <c r="AB3224" s="2"/>
    </row>
    <row r="3225" spans="8:28" ht="15" customHeight="1">
      <c r="H3225" s="2">
        <v>46409</v>
      </c>
      <c r="I3225" s="2"/>
      <c r="J3225" s="2">
        <v>50287</v>
      </c>
      <c r="K3225" s="2"/>
      <c r="L3225" s="2">
        <v>46100</v>
      </c>
      <c r="M3225" s="2"/>
      <c r="N3225" s="2">
        <v>50599</v>
      </c>
      <c r="P3225" s="2">
        <v>46302</v>
      </c>
      <c r="Q3225" s="2"/>
      <c r="R3225" s="2">
        <v>50392</v>
      </c>
      <c r="AB3225" s="2"/>
    </row>
    <row r="3226" spans="8:28" ht="15" customHeight="1">
      <c r="H3226" s="2">
        <v>46408</v>
      </c>
      <c r="I3226" s="2"/>
      <c r="J3226" s="2">
        <v>50291</v>
      </c>
      <c r="K3226" s="2"/>
      <c r="L3226" s="2">
        <v>46099</v>
      </c>
      <c r="M3226" s="2"/>
      <c r="N3226" s="2">
        <v>50600</v>
      </c>
      <c r="P3226" s="2">
        <v>46301</v>
      </c>
      <c r="Q3226" s="2"/>
      <c r="R3226" s="2">
        <v>50395</v>
      </c>
      <c r="AB3226" s="2"/>
    </row>
    <row r="3227" spans="8:28" ht="15" customHeight="1">
      <c r="H3227" s="2">
        <v>46407</v>
      </c>
      <c r="I3227" s="2"/>
      <c r="J3227" s="2">
        <v>50292</v>
      </c>
      <c r="K3227" s="2"/>
      <c r="L3227" s="2">
        <v>46098</v>
      </c>
      <c r="M3227" s="2"/>
      <c r="N3227" s="2">
        <v>50601</v>
      </c>
      <c r="P3227" s="2">
        <v>46297</v>
      </c>
      <c r="Q3227" s="2"/>
      <c r="R3227" s="2">
        <v>50396</v>
      </c>
      <c r="AB3227" s="2"/>
    </row>
    <row r="3228" spans="8:28" ht="15" customHeight="1">
      <c r="H3228" s="2">
        <v>46406</v>
      </c>
      <c r="I3228" s="2"/>
      <c r="J3228" s="2">
        <v>50293</v>
      </c>
      <c r="K3228" s="2"/>
      <c r="L3228" s="2">
        <v>46097</v>
      </c>
      <c r="M3228" s="2"/>
      <c r="N3228" s="2">
        <v>50602</v>
      </c>
      <c r="P3228" s="2">
        <v>46296</v>
      </c>
      <c r="Q3228" s="2"/>
      <c r="R3228" s="2">
        <v>50397</v>
      </c>
      <c r="AB3228" s="2"/>
    </row>
    <row r="3229" spans="8:28" ht="15" customHeight="1">
      <c r="H3229" s="2">
        <v>46402</v>
      </c>
      <c r="I3229" s="2"/>
      <c r="J3229" s="2">
        <v>50294</v>
      </c>
      <c r="K3229" s="2"/>
      <c r="L3229" s="2">
        <v>46094</v>
      </c>
      <c r="M3229" s="2"/>
      <c r="N3229" s="2">
        <v>50606</v>
      </c>
      <c r="P3229" s="2">
        <v>46295</v>
      </c>
      <c r="Q3229" s="2"/>
      <c r="R3229" s="2">
        <v>50398</v>
      </c>
      <c r="AB3229" s="2"/>
    </row>
    <row r="3230" spans="8:28" ht="15" customHeight="1">
      <c r="H3230" s="2">
        <v>46401</v>
      </c>
      <c r="I3230" s="2"/>
      <c r="J3230" s="2">
        <v>50297</v>
      </c>
      <c r="K3230" s="2"/>
      <c r="L3230" s="2">
        <v>46093</v>
      </c>
      <c r="M3230" s="2"/>
      <c r="N3230" s="2">
        <v>50607</v>
      </c>
      <c r="P3230" s="2">
        <v>46294</v>
      </c>
      <c r="Q3230" s="2"/>
      <c r="R3230" s="2">
        <v>50402</v>
      </c>
      <c r="AB3230" s="2"/>
    </row>
    <row r="3231" spans="8:28" ht="15" customHeight="1">
      <c r="H3231" s="2">
        <v>46400</v>
      </c>
      <c r="I3231" s="2"/>
      <c r="J3231" s="2">
        <v>50298</v>
      </c>
      <c r="K3231" s="2"/>
      <c r="L3231" s="2">
        <v>46092</v>
      </c>
      <c r="M3231" s="2"/>
      <c r="N3231" s="2">
        <v>50608</v>
      </c>
      <c r="P3231" s="2">
        <v>46293</v>
      </c>
      <c r="Q3231" s="2"/>
      <c r="R3231" s="2">
        <v>50403</v>
      </c>
      <c r="AB3231" s="2"/>
    </row>
    <row r="3232" spans="8:28" ht="15" customHeight="1">
      <c r="H3232" s="2">
        <v>46399</v>
      </c>
      <c r="I3232" s="2"/>
      <c r="J3232" s="2">
        <v>50299</v>
      </c>
      <c r="K3232" s="2"/>
      <c r="L3232" s="2">
        <v>46091</v>
      </c>
      <c r="M3232" s="2"/>
      <c r="N3232" s="2">
        <v>50609</v>
      </c>
      <c r="P3232" s="2">
        <v>46288</v>
      </c>
      <c r="Q3232" s="2"/>
      <c r="R3232" s="2">
        <v>50404</v>
      </c>
      <c r="AB3232" s="2"/>
    </row>
    <row r="3233" spans="8:28" ht="15" customHeight="1">
      <c r="H3233" s="2">
        <v>46398</v>
      </c>
      <c r="I3233" s="2"/>
      <c r="J3233" s="2">
        <v>50300</v>
      </c>
      <c r="K3233" s="2"/>
      <c r="L3233" s="2">
        <v>46090</v>
      </c>
      <c r="M3233" s="2"/>
      <c r="N3233" s="2">
        <v>50612</v>
      </c>
      <c r="P3233" s="2">
        <v>46287</v>
      </c>
      <c r="Q3233" s="2"/>
      <c r="R3233" s="2">
        <v>50409</v>
      </c>
      <c r="AB3233" s="2"/>
    </row>
    <row r="3234" spans="8:28" ht="15" customHeight="1">
      <c r="H3234" s="2">
        <v>46395</v>
      </c>
      <c r="I3234" s="2"/>
      <c r="J3234" s="2">
        <v>50301</v>
      </c>
      <c r="K3234" s="2"/>
      <c r="L3234" s="2">
        <v>46087</v>
      </c>
      <c r="M3234" s="2"/>
      <c r="N3234" s="2">
        <v>50613</v>
      </c>
      <c r="P3234" s="2">
        <v>46286</v>
      </c>
      <c r="Q3234" s="2"/>
      <c r="R3234" s="2">
        <v>50410</v>
      </c>
      <c r="AB3234" s="2"/>
    </row>
    <row r="3235" spans="8:28" ht="15" customHeight="1">
      <c r="H3235" s="2">
        <v>46394</v>
      </c>
      <c r="I3235" s="2"/>
      <c r="J3235" s="2">
        <v>50304</v>
      </c>
      <c r="K3235" s="2"/>
      <c r="L3235" s="2">
        <v>46086</v>
      </c>
      <c r="M3235" s="2"/>
      <c r="N3235" s="2">
        <v>50614</v>
      </c>
      <c r="P3235" s="2">
        <v>46283</v>
      </c>
      <c r="Q3235" s="2"/>
      <c r="R3235" s="2">
        <v>50411</v>
      </c>
      <c r="AB3235" s="2"/>
    </row>
    <row r="3236" spans="8:28" ht="15" customHeight="1">
      <c r="H3236" s="2">
        <v>46393</v>
      </c>
      <c r="I3236" s="2"/>
      <c r="J3236" s="2">
        <v>50305</v>
      </c>
      <c r="K3236" s="2"/>
      <c r="L3236" s="2">
        <v>46085</v>
      </c>
      <c r="M3236" s="2"/>
      <c r="N3236" s="2">
        <v>50615</v>
      </c>
      <c r="P3236" s="2">
        <v>46282</v>
      </c>
      <c r="Q3236" s="2"/>
      <c r="R3236" s="2">
        <v>50412</v>
      </c>
      <c r="AB3236" s="2"/>
    </row>
    <row r="3237" spans="8:28" ht="15" customHeight="1">
      <c r="H3237" s="2">
        <v>46392</v>
      </c>
      <c r="I3237" s="2"/>
      <c r="J3237" s="2">
        <v>50306</v>
      </c>
      <c r="K3237" s="2"/>
      <c r="L3237" s="2">
        <v>46084</v>
      </c>
      <c r="M3237" s="2"/>
      <c r="N3237" s="2">
        <v>50616</v>
      </c>
      <c r="P3237" s="2">
        <v>46281</v>
      </c>
      <c r="Q3237" s="2"/>
      <c r="R3237" s="2">
        <v>50413</v>
      </c>
      <c r="AB3237" s="2"/>
    </row>
    <row r="3238" spans="8:28" ht="15" customHeight="1">
      <c r="H3238" s="2">
        <v>46391</v>
      </c>
      <c r="I3238" s="2"/>
      <c r="J3238" s="2">
        <v>50307</v>
      </c>
      <c r="K3238" s="2"/>
      <c r="L3238" s="2">
        <v>46083</v>
      </c>
      <c r="M3238" s="2"/>
      <c r="N3238" s="2">
        <v>50619</v>
      </c>
      <c r="P3238" s="2">
        <v>46280</v>
      </c>
      <c r="Q3238" s="2"/>
      <c r="R3238" s="2">
        <v>50416</v>
      </c>
      <c r="AB3238" s="2"/>
    </row>
    <row r="3239" spans="8:28" ht="15" customHeight="1">
      <c r="H3239" s="2">
        <v>46387</v>
      </c>
      <c r="I3239" s="2"/>
      <c r="J3239" s="2">
        <v>50308</v>
      </c>
      <c r="K3239" s="2"/>
      <c r="L3239" s="2">
        <v>46080</v>
      </c>
      <c r="M3239" s="2"/>
      <c r="N3239" s="2">
        <v>50620</v>
      </c>
      <c r="P3239" s="2">
        <v>46279</v>
      </c>
      <c r="Q3239" s="2"/>
      <c r="R3239" s="2">
        <v>50417</v>
      </c>
      <c r="AB3239" s="2"/>
    </row>
    <row r="3240" spans="8:28" ht="15" customHeight="1">
      <c r="H3240" s="2">
        <v>46386</v>
      </c>
      <c r="I3240" s="2"/>
      <c r="J3240" s="2">
        <v>50311</v>
      </c>
      <c r="K3240" s="2"/>
      <c r="L3240" s="2">
        <v>46079</v>
      </c>
      <c r="M3240" s="2"/>
      <c r="N3240" s="2">
        <v>50621</v>
      </c>
      <c r="P3240" s="2">
        <v>46276</v>
      </c>
      <c r="Q3240" s="2"/>
      <c r="R3240" s="2">
        <v>50418</v>
      </c>
      <c r="AB3240" s="2"/>
    </row>
    <row r="3241" spans="8:28" ht="15" customHeight="1">
      <c r="H3241" s="2">
        <v>46385</v>
      </c>
      <c r="I3241" s="2"/>
      <c r="J3241" s="2">
        <v>50312</v>
      </c>
      <c r="K3241" s="2"/>
      <c r="L3241" s="2">
        <v>46078</v>
      </c>
      <c r="M3241" s="2"/>
      <c r="N3241" s="2">
        <v>50622</v>
      </c>
      <c r="P3241" s="2">
        <v>46275</v>
      </c>
      <c r="Q3241" s="2"/>
      <c r="R3241" s="2">
        <v>50419</v>
      </c>
      <c r="AB3241" s="2"/>
    </row>
    <row r="3242" spans="8:28" ht="15" customHeight="1">
      <c r="H3242" s="2">
        <v>46384</v>
      </c>
      <c r="I3242" s="2"/>
      <c r="J3242" s="2">
        <v>50313</v>
      </c>
      <c r="K3242" s="2"/>
      <c r="L3242" s="2">
        <v>46077</v>
      </c>
      <c r="M3242" s="2"/>
      <c r="N3242" s="2">
        <v>50623</v>
      </c>
      <c r="P3242" s="2">
        <v>46274</v>
      </c>
      <c r="Q3242" s="2"/>
      <c r="R3242" s="2">
        <v>50420</v>
      </c>
      <c r="AB3242" s="2"/>
    </row>
    <row r="3243" spans="8:28" ht="15" customHeight="1">
      <c r="H3243" s="2">
        <v>46380</v>
      </c>
      <c r="I3243" s="2"/>
      <c r="J3243" s="2">
        <v>50314</v>
      </c>
      <c r="K3243" s="2"/>
      <c r="L3243" s="2">
        <v>46073</v>
      </c>
      <c r="M3243" s="2"/>
      <c r="N3243" s="2">
        <v>50626</v>
      </c>
      <c r="P3243" s="2">
        <v>46273</v>
      </c>
      <c r="Q3243" s="2"/>
      <c r="R3243" s="2">
        <v>50423</v>
      </c>
      <c r="AB3243" s="2"/>
    </row>
    <row r="3244" spans="8:28" ht="15" customHeight="1">
      <c r="H3244" s="2">
        <v>46379</v>
      </c>
      <c r="I3244" s="2"/>
      <c r="J3244" s="2">
        <v>50315</v>
      </c>
      <c r="K3244" s="2"/>
      <c r="L3244" s="2">
        <v>46072</v>
      </c>
      <c r="M3244" s="2"/>
      <c r="N3244" s="2">
        <v>50627</v>
      </c>
      <c r="P3244" s="2">
        <v>46272</v>
      </c>
      <c r="Q3244" s="2"/>
      <c r="R3244" s="2">
        <v>50424</v>
      </c>
      <c r="AB3244" s="2"/>
    </row>
    <row r="3245" spans="8:28" ht="15" customHeight="1">
      <c r="H3245" s="2">
        <v>46378</v>
      </c>
      <c r="I3245" s="2"/>
      <c r="J3245" s="2">
        <v>50318</v>
      </c>
      <c r="K3245" s="2"/>
      <c r="L3245" s="2">
        <v>46071</v>
      </c>
      <c r="M3245" s="2"/>
      <c r="N3245" s="2">
        <v>50629</v>
      </c>
      <c r="P3245" s="2">
        <v>46269</v>
      </c>
      <c r="Q3245" s="2"/>
      <c r="R3245" s="2">
        <v>50425</v>
      </c>
      <c r="AB3245" s="2"/>
    </row>
    <row r="3246" spans="8:28" ht="15" customHeight="1">
      <c r="H3246" s="2">
        <v>46377</v>
      </c>
      <c r="I3246" s="2"/>
      <c r="J3246" s="2">
        <v>50319</v>
      </c>
      <c r="K3246" s="2"/>
      <c r="L3246" s="2">
        <v>46070</v>
      </c>
      <c r="M3246" s="2"/>
      <c r="N3246" s="2">
        <v>50630</v>
      </c>
      <c r="P3246" s="2">
        <v>46268</v>
      </c>
      <c r="Q3246" s="2"/>
      <c r="R3246" s="2">
        <v>50426</v>
      </c>
      <c r="AB3246" s="2"/>
    </row>
    <row r="3247" spans="8:28" ht="15" customHeight="1">
      <c r="H3247" s="2">
        <v>46374</v>
      </c>
      <c r="I3247" s="2"/>
      <c r="J3247" s="2">
        <v>50320</v>
      </c>
      <c r="K3247" s="2"/>
      <c r="L3247" s="2">
        <v>46066</v>
      </c>
      <c r="M3247" s="2"/>
      <c r="N3247" s="2">
        <v>50633</v>
      </c>
      <c r="P3247" s="2">
        <v>46267</v>
      </c>
      <c r="Q3247" s="2"/>
      <c r="R3247" s="2">
        <v>50427</v>
      </c>
      <c r="AB3247" s="2"/>
    </row>
    <row r="3248" spans="8:28" ht="15" customHeight="1">
      <c r="H3248" s="2">
        <v>46373</v>
      </c>
      <c r="I3248" s="2"/>
      <c r="J3248" s="2">
        <v>50321</v>
      </c>
      <c r="K3248" s="2"/>
      <c r="L3248" s="2">
        <v>46065</v>
      </c>
      <c r="M3248" s="2"/>
      <c r="N3248" s="2">
        <v>50634</v>
      </c>
      <c r="P3248" s="2">
        <v>46266</v>
      </c>
      <c r="Q3248" s="2"/>
      <c r="R3248" s="2">
        <v>50430</v>
      </c>
      <c r="AB3248" s="2"/>
    </row>
    <row r="3249" spans="8:28" ht="15" customHeight="1">
      <c r="H3249" s="2">
        <v>46372</v>
      </c>
      <c r="I3249" s="2"/>
      <c r="J3249" s="2">
        <v>50322</v>
      </c>
      <c r="K3249" s="2"/>
      <c r="L3249" s="2">
        <v>46063</v>
      </c>
      <c r="M3249" s="2"/>
      <c r="N3249" s="2">
        <v>50635</v>
      </c>
      <c r="P3249" s="2">
        <v>46265</v>
      </c>
      <c r="Q3249" s="2"/>
      <c r="R3249" s="2">
        <v>50431</v>
      </c>
      <c r="AB3249" s="2"/>
    </row>
    <row r="3250" spans="8:28" ht="15" customHeight="1">
      <c r="H3250" s="2">
        <v>46371</v>
      </c>
      <c r="I3250" s="2"/>
      <c r="J3250" s="2">
        <v>50325</v>
      </c>
      <c r="K3250" s="2"/>
      <c r="L3250" s="2">
        <v>46062</v>
      </c>
      <c r="M3250" s="2"/>
      <c r="N3250" s="2">
        <v>50636</v>
      </c>
      <c r="P3250" s="2">
        <v>46262</v>
      </c>
      <c r="Q3250" s="2"/>
      <c r="R3250" s="2">
        <v>50432</v>
      </c>
      <c r="AB3250" s="2"/>
    </row>
    <row r="3251" spans="8:28" ht="15" customHeight="1">
      <c r="H3251" s="2">
        <v>46370</v>
      </c>
      <c r="I3251" s="2"/>
      <c r="J3251" s="2">
        <v>50326</v>
      </c>
      <c r="K3251" s="2"/>
      <c r="L3251" s="2">
        <v>46059</v>
      </c>
      <c r="M3251" s="2"/>
      <c r="N3251" s="2">
        <v>50637</v>
      </c>
      <c r="P3251" s="2">
        <v>46261</v>
      </c>
      <c r="Q3251" s="2"/>
      <c r="R3251" s="2">
        <v>50433</v>
      </c>
      <c r="AB3251" s="2"/>
    </row>
    <row r="3252" spans="8:28" ht="15" customHeight="1">
      <c r="H3252" s="2">
        <v>46367</v>
      </c>
      <c r="I3252" s="2"/>
      <c r="J3252" s="2">
        <v>50327</v>
      </c>
      <c r="K3252" s="2"/>
      <c r="L3252" s="2">
        <v>46058</v>
      </c>
      <c r="M3252" s="2"/>
      <c r="N3252" s="2">
        <v>50640</v>
      </c>
      <c r="P3252" s="2">
        <v>46260</v>
      </c>
      <c r="Q3252" s="2"/>
      <c r="R3252" s="2">
        <v>50434</v>
      </c>
      <c r="AB3252" s="2"/>
    </row>
    <row r="3253" spans="8:28" ht="15" customHeight="1">
      <c r="H3253" s="2">
        <v>46366</v>
      </c>
      <c r="I3253" s="2"/>
      <c r="J3253" s="2">
        <v>50328</v>
      </c>
      <c r="K3253" s="2"/>
      <c r="L3253" s="2">
        <v>46057</v>
      </c>
      <c r="M3253" s="2"/>
      <c r="N3253" s="2">
        <v>50641</v>
      </c>
      <c r="P3253" s="2">
        <v>46259</v>
      </c>
      <c r="Q3253" s="2"/>
      <c r="R3253" s="2">
        <v>50437</v>
      </c>
      <c r="AB3253" s="2"/>
    </row>
    <row r="3254" spans="8:28" ht="15" customHeight="1">
      <c r="H3254" s="2">
        <v>46365</v>
      </c>
      <c r="I3254" s="2"/>
      <c r="J3254" s="2">
        <v>50329</v>
      </c>
      <c r="K3254" s="2"/>
      <c r="L3254" s="2">
        <v>46056</v>
      </c>
      <c r="M3254" s="2"/>
      <c r="N3254" s="2">
        <v>50642</v>
      </c>
      <c r="P3254" s="2">
        <v>46258</v>
      </c>
      <c r="Q3254" s="2"/>
      <c r="R3254" s="2">
        <v>50438</v>
      </c>
      <c r="AB3254" s="2"/>
    </row>
    <row r="3255" spans="8:28" ht="15" customHeight="1">
      <c r="H3255" s="2">
        <v>46364</v>
      </c>
      <c r="I3255" s="2"/>
      <c r="J3255" s="2">
        <v>50332</v>
      </c>
      <c r="K3255" s="2"/>
      <c r="L3255" s="2">
        <v>46055</v>
      </c>
      <c r="M3255" s="2"/>
      <c r="N3255" s="2">
        <v>50643</v>
      </c>
      <c r="P3255" s="2">
        <v>46255</v>
      </c>
      <c r="Q3255" s="2"/>
      <c r="R3255" s="2">
        <v>50444</v>
      </c>
      <c r="AB3255" s="2"/>
    </row>
    <row r="3256" spans="8:28" ht="15" customHeight="1">
      <c r="H3256" s="2">
        <v>46363</v>
      </c>
      <c r="I3256" s="2"/>
      <c r="J3256" s="2">
        <v>50333</v>
      </c>
      <c r="K3256" s="2"/>
      <c r="L3256" s="2">
        <v>46052</v>
      </c>
      <c r="M3256" s="2"/>
      <c r="N3256" s="2">
        <v>50644</v>
      </c>
      <c r="P3256" s="2">
        <v>46254</v>
      </c>
      <c r="Q3256" s="2"/>
      <c r="R3256" s="2">
        <v>50445</v>
      </c>
      <c r="AB3256" s="2"/>
    </row>
    <row r="3257" spans="8:28" ht="15" customHeight="1">
      <c r="H3257" s="2">
        <v>46360</v>
      </c>
      <c r="I3257" s="2"/>
      <c r="J3257" s="2">
        <v>50334</v>
      </c>
      <c r="K3257" s="2"/>
      <c r="L3257" s="2">
        <v>46051</v>
      </c>
      <c r="M3257" s="2"/>
      <c r="N3257" s="2">
        <v>50647</v>
      </c>
      <c r="P3257" s="2">
        <v>46253</v>
      </c>
      <c r="Q3257" s="2"/>
      <c r="R3257" s="2">
        <v>50446</v>
      </c>
      <c r="AB3257" s="2"/>
    </row>
    <row r="3258" spans="8:28" ht="15" customHeight="1">
      <c r="H3258" s="2">
        <v>46359</v>
      </c>
      <c r="I3258" s="2"/>
      <c r="J3258" s="2">
        <v>50335</v>
      </c>
      <c r="K3258" s="2"/>
      <c r="L3258" s="2">
        <v>46050</v>
      </c>
      <c r="M3258" s="2"/>
      <c r="N3258" s="2">
        <v>50648</v>
      </c>
      <c r="P3258" s="2">
        <v>46252</v>
      </c>
      <c r="Q3258" s="2"/>
      <c r="R3258" s="2">
        <v>50447</v>
      </c>
      <c r="AB3258" s="2"/>
    </row>
    <row r="3259" spans="8:28" ht="15" customHeight="1">
      <c r="H3259" s="2">
        <v>46358</v>
      </c>
      <c r="I3259" s="2"/>
      <c r="J3259" s="2">
        <v>50336</v>
      </c>
      <c r="K3259" s="2"/>
      <c r="L3259" s="2">
        <v>46049</v>
      </c>
      <c r="M3259" s="2"/>
      <c r="N3259" s="2">
        <v>50649</v>
      </c>
      <c r="P3259" s="2">
        <v>46248</v>
      </c>
      <c r="Q3259" s="2"/>
      <c r="R3259" s="2">
        <v>50448</v>
      </c>
      <c r="AB3259" s="2"/>
    </row>
    <row r="3260" spans="8:28" ht="15" customHeight="1">
      <c r="H3260" s="2">
        <v>46357</v>
      </c>
      <c r="I3260" s="2"/>
      <c r="J3260" s="2">
        <v>50339</v>
      </c>
      <c r="K3260" s="2"/>
      <c r="L3260" s="2">
        <v>46048</v>
      </c>
      <c r="M3260" s="2"/>
      <c r="N3260" s="2">
        <v>50650</v>
      </c>
      <c r="P3260" s="2">
        <v>46247</v>
      </c>
      <c r="Q3260" s="2"/>
      <c r="R3260" s="2">
        <v>50451</v>
      </c>
      <c r="AB3260" s="2"/>
    </row>
    <row r="3261" spans="8:28" ht="15" customHeight="1">
      <c r="H3261" s="2">
        <v>46356</v>
      </c>
      <c r="I3261" s="2"/>
      <c r="J3261" s="2">
        <v>50340</v>
      </c>
      <c r="K3261" s="2"/>
      <c r="L3261" s="2">
        <v>46045</v>
      </c>
      <c r="M3261" s="2"/>
      <c r="N3261" s="2">
        <v>50651</v>
      </c>
      <c r="P3261" s="2">
        <v>46246</v>
      </c>
      <c r="Q3261" s="2"/>
      <c r="R3261" s="2">
        <v>50452</v>
      </c>
      <c r="AB3261" s="2"/>
    </row>
    <row r="3262" spans="8:28" ht="15" customHeight="1">
      <c r="H3262" s="2">
        <v>46353</v>
      </c>
      <c r="I3262" s="2"/>
      <c r="J3262" s="2">
        <v>50341</v>
      </c>
      <c r="K3262" s="2"/>
      <c r="L3262" s="2">
        <v>46044</v>
      </c>
      <c r="M3262" s="2"/>
      <c r="N3262" s="2">
        <v>50655</v>
      </c>
      <c r="P3262" s="2">
        <v>46245</v>
      </c>
      <c r="Q3262" s="2"/>
      <c r="R3262" s="2">
        <v>50453</v>
      </c>
      <c r="AB3262" s="2"/>
    </row>
    <row r="3263" spans="8:28" ht="15" customHeight="1">
      <c r="H3263" s="2">
        <v>46351</v>
      </c>
      <c r="I3263" s="2"/>
      <c r="J3263" s="2">
        <v>50342</v>
      </c>
      <c r="K3263" s="2"/>
      <c r="L3263" s="2">
        <v>46043</v>
      </c>
      <c r="M3263" s="2"/>
      <c r="N3263" s="2">
        <v>50656</v>
      </c>
      <c r="P3263" s="2">
        <v>46244</v>
      </c>
      <c r="Q3263" s="2"/>
      <c r="R3263" s="2">
        <v>50454</v>
      </c>
      <c r="AB3263" s="2"/>
    </row>
    <row r="3264" spans="8:28" ht="15" customHeight="1">
      <c r="H3264" s="2">
        <v>46350</v>
      </c>
      <c r="I3264" s="2"/>
      <c r="J3264" s="2">
        <v>50343</v>
      </c>
      <c r="K3264" s="2"/>
      <c r="L3264" s="2">
        <v>46042</v>
      </c>
      <c r="M3264" s="2"/>
      <c r="N3264" s="2">
        <v>50657</v>
      </c>
      <c r="P3264" s="2">
        <v>46241</v>
      </c>
      <c r="Q3264" s="2"/>
      <c r="R3264" s="2">
        <v>50455</v>
      </c>
      <c r="AB3264" s="2"/>
    </row>
    <row r="3265" spans="8:28" ht="15" customHeight="1">
      <c r="H3265" s="2">
        <v>46349</v>
      </c>
      <c r="I3265" s="2"/>
      <c r="J3265" s="2">
        <v>50346</v>
      </c>
      <c r="K3265" s="2"/>
      <c r="L3265" s="2">
        <v>46038</v>
      </c>
      <c r="M3265" s="2"/>
      <c r="N3265" s="2">
        <v>50658</v>
      </c>
      <c r="P3265" s="2">
        <v>46240</v>
      </c>
      <c r="Q3265" s="2"/>
      <c r="R3265" s="2">
        <v>50458</v>
      </c>
      <c r="AB3265" s="2"/>
    </row>
    <row r="3266" spans="8:28" ht="15" customHeight="1">
      <c r="H3266" s="2">
        <v>46346</v>
      </c>
      <c r="I3266" s="2"/>
      <c r="J3266" s="2">
        <v>50347</v>
      </c>
      <c r="K3266" s="2"/>
      <c r="L3266" s="2">
        <v>46037</v>
      </c>
      <c r="M3266" s="2"/>
      <c r="N3266" s="2">
        <v>50661</v>
      </c>
      <c r="P3266" s="2">
        <v>46239</v>
      </c>
      <c r="Q3266" s="2"/>
      <c r="R3266" s="2">
        <v>50459</v>
      </c>
      <c r="AB3266" s="2"/>
    </row>
    <row r="3267" spans="8:28" ht="15" customHeight="1">
      <c r="H3267" s="2">
        <v>46345</v>
      </c>
      <c r="I3267" s="2"/>
      <c r="J3267" s="2">
        <v>50348</v>
      </c>
      <c r="K3267" s="2"/>
      <c r="L3267" s="2">
        <v>46036</v>
      </c>
      <c r="M3267" s="2"/>
      <c r="N3267" s="2">
        <v>50662</v>
      </c>
      <c r="P3267" s="2">
        <v>46238</v>
      </c>
      <c r="Q3267" s="2"/>
      <c r="R3267" s="2">
        <v>50460</v>
      </c>
      <c r="AB3267" s="2"/>
    </row>
    <row r="3268" spans="8:28" ht="15" customHeight="1">
      <c r="H3268" s="2">
        <v>46344</v>
      </c>
      <c r="I3268" s="2"/>
      <c r="J3268" s="2">
        <v>50349</v>
      </c>
      <c r="K3268" s="2"/>
      <c r="L3268" s="2">
        <v>46035</v>
      </c>
      <c r="M3268" s="2"/>
      <c r="N3268" s="2">
        <v>50663</v>
      </c>
      <c r="P3268" s="2">
        <v>46237</v>
      </c>
      <c r="Q3268" s="2"/>
      <c r="R3268" s="2">
        <v>50461</v>
      </c>
      <c r="AB3268" s="2"/>
    </row>
    <row r="3269" spans="8:28" ht="15" customHeight="1">
      <c r="H3269" s="2">
        <v>46343</v>
      </c>
      <c r="I3269" s="2"/>
      <c r="J3269" s="2">
        <v>50350</v>
      </c>
      <c r="K3269" s="2"/>
      <c r="L3269" s="2">
        <v>46031</v>
      </c>
      <c r="M3269" s="2"/>
      <c r="N3269" s="2">
        <v>50664</v>
      </c>
      <c r="P3269" s="2">
        <v>46234</v>
      </c>
      <c r="Q3269" s="2"/>
      <c r="R3269" s="2">
        <v>50462</v>
      </c>
      <c r="AB3269" s="2"/>
    </row>
    <row r="3270" spans="8:28" ht="15" customHeight="1">
      <c r="H3270" s="2">
        <v>46342</v>
      </c>
      <c r="I3270" s="2"/>
      <c r="J3270" s="2">
        <v>50353</v>
      </c>
      <c r="K3270" s="2"/>
      <c r="L3270" s="2">
        <v>46030</v>
      </c>
      <c r="M3270" s="2"/>
      <c r="N3270" s="2">
        <v>50665</v>
      </c>
      <c r="P3270" s="2">
        <v>46233</v>
      </c>
      <c r="Q3270" s="2"/>
      <c r="R3270" s="2">
        <v>50466</v>
      </c>
      <c r="AB3270" s="2"/>
    </row>
    <row r="3271" spans="8:28" ht="15" customHeight="1">
      <c r="H3271" s="2">
        <v>46339</v>
      </c>
      <c r="I3271" s="2"/>
      <c r="J3271" s="2">
        <v>50354</v>
      </c>
      <c r="K3271" s="2"/>
      <c r="L3271" s="2">
        <v>46029</v>
      </c>
      <c r="M3271" s="2"/>
      <c r="N3271" s="2">
        <v>50669</v>
      </c>
      <c r="P3271" s="2">
        <v>46232</v>
      </c>
      <c r="Q3271" s="2"/>
      <c r="R3271" s="2">
        <v>50467</v>
      </c>
      <c r="AB3271" s="2"/>
    </row>
    <row r="3272" spans="8:28" ht="15" customHeight="1">
      <c r="H3272" s="2">
        <v>46338</v>
      </c>
      <c r="I3272" s="2"/>
      <c r="J3272" s="2">
        <v>50355</v>
      </c>
      <c r="K3272" s="2"/>
      <c r="L3272" s="2">
        <v>46028</v>
      </c>
      <c r="M3272" s="2"/>
      <c r="N3272" s="2">
        <v>50670</v>
      </c>
      <c r="P3272" s="2">
        <v>46231</v>
      </c>
      <c r="Q3272" s="2"/>
      <c r="R3272" s="2">
        <v>50468</v>
      </c>
      <c r="AB3272" s="2"/>
    </row>
    <row r="3273" spans="8:28" ht="15" customHeight="1">
      <c r="H3273" s="2">
        <v>46337</v>
      </c>
      <c r="I3273" s="2"/>
      <c r="J3273" s="2">
        <v>50356</v>
      </c>
      <c r="K3273" s="2"/>
      <c r="L3273" s="2">
        <v>46027</v>
      </c>
      <c r="M3273" s="2"/>
      <c r="N3273" s="2">
        <v>50672</v>
      </c>
      <c r="P3273" s="2">
        <v>46230</v>
      </c>
      <c r="Q3273" s="2"/>
      <c r="R3273" s="2">
        <v>50469</v>
      </c>
      <c r="AB3273" s="2"/>
    </row>
    <row r="3274" spans="8:28" ht="15" customHeight="1">
      <c r="H3274" s="2">
        <v>46336</v>
      </c>
      <c r="I3274" s="2"/>
      <c r="J3274" s="2">
        <v>50357</v>
      </c>
      <c r="K3274" s="2"/>
      <c r="L3274" s="2">
        <v>46021</v>
      </c>
      <c r="M3274" s="2"/>
      <c r="N3274" s="2">
        <v>50675</v>
      </c>
      <c r="P3274" s="2">
        <v>46227</v>
      </c>
      <c r="Q3274" s="2"/>
      <c r="R3274" s="2">
        <v>50472</v>
      </c>
      <c r="AB3274" s="2"/>
    </row>
    <row r="3275" spans="8:28" ht="15" customHeight="1">
      <c r="H3275" s="2">
        <v>46335</v>
      </c>
      <c r="I3275" s="2"/>
      <c r="J3275" s="2">
        <v>50360</v>
      </c>
      <c r="K3275" s="2"/>
      <c r="L3275" s="2">
        <v>46020</v>
      </c>
      <c r="M3275" s="2"/>
      <c r="N3275" s="2">
        <v>50676</v>
      </c>
      <c r="P3275" s="2">
        <v>46226</v>
      </c>
      <c r="Q3275" s="2"/>
      <c r="R3275" s="2">
        <v>50473</v>
      </c>
      <c r="AB3275" s="2"/>
    </row>
    <row r="3276" spans="8:28" ht="15" customHeight="1">
      <c r="H3276" s="2">
        <v>46332</v>
      </c>
      <c r="I3276" s="2"/>
      <c r="J3276" s="2">
        <v>50361</v>
      </c>
      <c r="K3276" s="2"/>
      <c r="L3276" s="2">
        <v>46017</v>
      </c>
      <c r="M3276" s="2"/>
      <c r="N3276" s="2">
        <v>50677</v>
      </c>
      <c r="P3276" s="2">
        <v>46225</v>
      </c>
      <c r="Q3276" s="2"/>
      <c r="R3276" s="2">
        <v>50474</v>
      </c>
      <c r="AB3276" s="2"/>
    </row>
    <row r="3277" spans="8:28" ht="15" customHeight="1">
      <c r="H3277" s="2">
        <v>46331</v>
      </c>
      <c r="I3277" s="2"/>
      <c r="J3277" s="2">
        <v>50362</v>
      </c>
      <c r="K3277" s="2"/>
      <c r="L3277" s="2">
        <v>46015</v>
      </c>
      <c r="M3277" s="2"/>
      <c r="N3277" s="2">
        <v>50678</v>
      </c>
      <c r="P3277" s="2">
        <v>46224</v>
      </c>
      <c r="Q3277" s="2"/>
      <c r="R3277" s="2">
        <v>50475</v>
      </c>
      <c r="AB3277" s="2"/>
    </row>
    <row r="3278" spans="8:28" ht="15" customHeight="1">
      <c r="H3278" s="2">
        <v>46330</v>
      </c>
      <c r="I3278" s="2"/>
      <c r="J3278" s="2">
        <v>50363</v>
      </c>
      <c r="K3278" s="2"/>
      <c r="L3278" s="2">
        <v>46014</v>
      </c>
      <c r="M3278" s="2"/>
      <c r="N3278" s="2">
        <v>50679</v>
      </c>
      <c r="P3278" s="2">
        <v>46223</v>
      </c>
      <c r="Q3278" s="2"/>
      <c r="R3278" s="2">
        <v>50476</v>
      </c>
      <c r="AB3278" s="2"/>
    </row>
    <row r="3279" spans="8:28" ht="15" customHeight="1">
      <c r="H3279" s="2">
        <v>46329</v>
      </c>
      <c r="I3279" s="2"/>
      <c r="J3279" s="2">
        <v>50364</v>
      </c>
      <c r="K3279" s="2"/>
      <c r="L3279" s="2">
        <v>46013</v>
      </c>
      <c r="M3279" s="2"/>
      <c r="N3279" s="2">
        <v>50682</v>
      </c>
      <c r="P3279" s="2">
        <v>46220</v>
      </c>
      <c r="Q3279" s="2"/>
      <c r="R3279" s="2">
        <v>50479</v>
      </c>
      <c r="AB3279" s="2"/>
    </row>
    <row r="3280" spans="8:28" ht="15" customHeight="1">
      <c r="H3280" s="2">
        <v>46328</v>
      </c>
      <c r="I3280" s="2"/>
      <c r="J3280" s="2">
        <v>50367</v>
      </c>
      <c r="K3280" s="2"/>
      <c r="L3280" s="2">
        <v>46010</v>
      </c>
      <c r="M3280" s="2"/>
      <c r="N3280" s="2">
        <v>50683</v>
      </c>
      <c r="P3280" s="2">
        <v>46219</v>
      </c>
      <c r="Q3280" s="2"/>
      <c r="R3280" s="2">
        <v>50480</v>
      </c>
      <c r="AB3280" s="2"/>
    </row>
    <row r="3281" spans="8:28" ht="15" customHeight="1">
      <c r="H3281" s="2">
        <v>46325</v>
      </c>
      <c r="I3281" s="2"/>
      <c r="J3281" s="2">
        <v>50368</v>
      </c>
      <c r="K3281" s="2"/>
      <c r="L3281" s="2">
        <v>46009</v>
      </c>
      <c r="M3281" s="2"/>
      <c r="N3281" s="2">
        <v>50684</v>
      </c>
      <c r="P3281" s="2">
        <v>46218</v>
      </c>
      <c r="Q3281" s="2"/>
      <c r="R3281" s="2">
        <v>50481</v>
      </c>
      <c r="AB3281" s="2"/>
    </row>
    <row r="3282" spans="8:28" ht="15" customHeight="1">
      <c r="H3282" s="2">
        <v>46324</v>
      </c>
      <c r="I3282" s="2"/>
      <c r="J3282" s="2">
        <v>50369</v>
      </c>
      <c r="K3282" s="2"/>
      <c r="L3282" s="2">
        <v>46008</v>
      </c>
      <c r="M3282" s="2"/>
      <c r="N3282" s="2">
        <v>50685</v>
      </c>
      <c r="P3282" s="2">
        <v>46217</v>
      </c>
      <c r="Q3282" s="2"/>
      <c r="R3282" s="2">
        <v>50482</v>
      </c>
      <c r="AB3282" s="2"/>
    </row>
    <row r="3283" spans="8:28" ht="15" customHeight="1">
      <c r="H3283" s="2">
        <v>46323</v>
      </c>
      <c r="I3283" s="2"/>
      <c r="J3283" s="2">
        <v>50371</v>
      </c>
      <c r="K3283" s="2"/>
      <c r="L3283" s="2">
        <v>46007</v>
      </c>
      <c r="M3283" s="2"/>
      <c r="N3283" s="2">
        <v>50686</v>
      </c>
      <c r="P3283" s="2">
        <v>46216</v>
      </c>
      <c r="Q3283" s="2"/>
      <c r="R3283" s="2">
        <v>50483</v>
      </c>
      <c r="AB3283" s="2"/>
    </row>
    <row r="3284" spans="8:28" ht="15" customHeight="1">
      <c r="H3284" s="2">
        <v>46322</v>
      </c>
      <c r="I3284" s="2"/>
      <c r="J3284" s="2">
        <v>50374</v>
      </c>
      <c r="K3284" s="2"/>
      <c r="L3284" s="2">
        <v>46006</v>
      </c>
      <c r="M3284" s="2"/>
      <c r="N3284" s="2">
        <v>50690</v>
      </c>
      <c r="P3284" s="2">
        <v>46213</v>
      </c>
      <c r="Q3284" s="2"/>
      <c r="R3284" s="2">
        <v>50486</v>
      </c>
      <c r="AB3284" s="2"/>
    </row>
    <row r="3285" spans="8:28" ht="15" customHeight="1">
      <c r="H3285" s="2">
        <v>46321</v>
      </c>
      <c r="I3285" s="2"/>
      <c r="J3285" s="2">
        <v>50375</v>
      </c>
      <c r="K3285" s="2"/>
      <c r="L3285" s="2">
        <v>46003</v>
      </c>
      <c r="M3285" s="2"/>
      <c r="N3285" s="2">
        <v>50691</v>
      </c>
      <c r="P3285" s="2">
        <v>46212</v>
      </c>
      <c r="Q3285" s="2"/>
      <c r="R3285" s="2">
        <v>50487</v>
      </c>
      <c r="AB3285" s="2"/>
    </row>
    <row r="3286" spans="8:28" ht="15" customHeight="1">
      <c r="H3286" s="2">
        <v>46318</v>
      </c>
      <c r="I3286" s="2"/>
      <c r="J3286" s="2">
        <v>50376</v>
      </c>
      <c r="K3286" s="2"/>
      <c r="L3286" s="2">
        <v>46002</v>
      </c>
      <c r="M3286" s="2"/>
      <c r="N3286" s="2">
        <v>50692</v>
      </c>
      <c r="P3286" s="2">
        <v>46211</v>
      </c>
      <c r="Q3286" s="2"/>
      <c r="R3286" s="2">
        <v>50488</v>
      </c>
      <c r="AB3286" s="2"/>
    </row>
    <row r="3287" spans="8:28" ht="15" customHeight="1">
      <c r="H3287" s="2">
        <v>46317</v>
      </c>
      <c r="I3287" s="2"/>
      <c r="J3287" s="2">
        <v>50377</v>
      </c>
      <c r="K3287" s="2"/>
      <c r="L3287" s="2">
        <v>46001</v>
      </c>
      <c r="M3287" s="2"/>
      <c r="N3287" s="2">
        <v>50693</v>
      </c>
      <c r="P3287" s="2">
        <v>46210</v>
      </c>
      <c r="Q3287" s="2"/>
      <c r="R3287" s="2">
        <v>50489</v>
      </c>
      <c r="AB3287" s="2"/>
    </row>
    <row r="3288" spans="8:28" ht="15" customHeight="1">
      <c r="H3288" s="2">
        <v>46316</v>
      </c>
      <c r="I3288" s="2"/>
      <c r="J3288" s="2">
        <v>50378</v>
      </c>
      <c r="K3288" s="2"/>
      <c r="L3288" s="2">
        <v>46000</v>
      </c>
      <c r="M3288" s="2"/>
      <c r="N3288" s="2">
        <v>50696</v>
      </c>
      <c r="P3288" s="2">
        <v>46209</v>
      </c>
      <c r="Q3288" s="2"/>
      <c r="R3288" s="2">
        <v>50490</v>
      </c>
      <c r="AB3288" s="2"/>
    </row>
    <row r="3289" spans="8:28" ht="15" customHeight="1">
      <c r="H3289" s="2">
        <v>46315</v>
      </c>
      <c r="I3289" s="2"/>
      <c r="J3289" s="2">
        <v>50381</v>
      </c>
      <c r="K3289" s="2"/>
      <c r="L3289" s="2">
        <v>45999</v>
      </c>
      <c r="M3289" s="2"/>
      <c r="N3289" s="2">
        <v>50697</v>
      </c>
      <c r="P3289" s="2">
        <v>46206</v>
      </c>
      <c r="Q3289" s="2"/>
      <c r="R3289" s="2">
        <v>50493</v>
      </c>
      <c r="AB3289" s="2"/>
    </row>
    <row r="3290" spans="8:28" ht="15" customHeight="1">
      <c r="H3290" s="2">
        <v>46314</v>
      </c>
      <c r="I3290" s="2"/>
      <c r="J3290" s="2">
        <v>50382</v>
      </c>
      <c r="K3290" s="2"/>
      <c r="L3290" s="2">
        <v>45996</v>
      </c>
      <c r="M3290" s="2"/>
      <c r="N3290" s="2">
        <v>50698</v>
      </c>
      <c r="P3290" s="2">
        <v>46205</v>
      </c>
      <c r="Q3290" s="2"/>
      <c r="R3290" s="2">
        <v>50494</v>
      </c>
      <c r="AB3290" s="2"/>
    </row>
    <row r="3291" spans="8:28" ht="15" customHeight="1">
      <c r="H3291" s="2">
        <v>46311</v>
      </c>
      <c r="I3291" s="2"/>
      <c r="J3291" s="2">
        <v>50383</v>
      </c>
      <c r="K3291" s="2"/>
      <c r="L3291" s="2">
        <v>45995</v>
      </c>
      <c r="M3291" s="2"/>
      <c r="N3291" s="2">
        <v>50699</v>
      </c>
      <c r="P3291" s="2">
        <v>46204</v>
      </c>
      <c r="Q3291" s="2"/>
      <c r="R3291" s="2">
        <v>50495</v>
      </c>
      <c r="AB3291" s="2"/>
    </row>
    <row r="3292" spans="8:28" ht="15" customHeight="1">
      <c r="H3292" s="2">
        <v>46310</v>
      </c>
      <c r="I3292" s="2"/>
      <c r="J3292" s="2">
        <v>50384</v>
      </c>
      <c r="K3292" s="2"/>
      <c r="L3292" s="2">
        <v>45994</v>
      </c>
      <c r="M3292" s="2"/>
      <c r="N3292" s="2">
        <v>50700</v>
      </c>
      <c r="P3292" s="2">
        <v>46203</v>
      </c>
      <c r="Q3292" s="2"/>
      <c r="R3292" s="2">
        <v>50496</v>
      </c>
      <c r="AB3292" s="2"/>
    </row>
    <row r="3293" spans="8:28" ht="15" customHeight="1">
      <c r="H3293" s="2">
        <v>46309</v>
      </c>
      <c r="I3293" s="2"/>
      <c r="J3293" s="2">
        <v>50385</v>
      </c>
      <c r="K3293" s="2"/>
      <c r="L3293" s="2">
        <v>45993</v>
      </c>
      <c r="M3293" s="2"/>
      <c r="N3293" s="2">
        <v>50703</v>
      </c>
      <c r="P3293" s="2">
        <v>46202</v>
      </c>
      <c r="Q3293" s="2"/>
      <c r="R3293" s="2">
        <v>50497</v>
      </c>
      <c r="AB3293" s="2"/>
    </row>
    <row r="3294" spans="8:28" ht="15" customHeight="1">
      <c r="H3294" s="2">
        <v>46308</v>
      </c>
      <c r="I3294" s="2"/>
      <c r="J3294" s="2">
        <v>50388</v>
      </c>
      <c r="K3294" s="2"/>
      <c r="L3294" s="2">
        <v>45992</v>
      </c>
      <c r="M3294" s="2"/>
      <c r="N3294" s="2">
        <v>50704</v>
      </c>
      <c r="P3294" s="2">
        <v>46199</v>
      </c>
      <c r="Q3294" s="2"/>
      <c r="R3294" s="2">
        <v>50500</v>
      </c>
      <c r="AB3294" s="2"/>
    </row>
    <row r="3295" spans="8:28" ht="15" customHeight="1">
      <c r="H3295" s="2">
        <v>46307</v>
      </c>
      <c r="I3295" s="2"/>
      <c r="J3295" s="2">
        <v>50389</v>
      </c>
      <c r="K3295" s="2"/>
      <c r="L3295" s="2">
        <v>45989</v>
      </c>
      <c r="M3295" s="2"/>
      <c r="N3295" s="2">
        <v>50705</v>
      </c>
      <c r="P3295" s="2">
        <v>46198</v>
      </c>
      <c r="Q3295" s="2"/>
      <c r="R3295" s="2">
        <v>50501</v>
      </c>
      <c r="AB3295" s="2"/>
    </row>
    <row r="3296" spans="8:28" ht="15" customHeight="1">
      <c r="H3296" s="2">
        <v>46304</v>
      </c>
      <c r="I3296" s="2"/>
      <c r="J3296" s="2">
        <v>50390</v>
      </c>
      <c r="K3296" s="2"/>
      <c r="L3296" s="2">
        <v>45987</v>
      </c>
      <c r="M3296" s="2"/>
      <c r="N3296" s="2">
        <v>50706</v>
      </c>
      <c r="P3296" s="2">
        <v>46197</v>
      </c>
      <c r="Q3296" s="2"/>
      <c r="R3296" s="2">
        <v>50502</v>
      </c>
      <c r="AB3296" s="2"/>
    </row>
    <row r="3297" spans="8:28" ht="15" customHeight="1">
      <c r="H3297" s="2">
        <v>46303</v>
      </c>
      <c r="I3297" s="2"/>
      <c r="J3297" s="2">
        <v>50391</v>
      </c>
      <c r="K3297" s="2"/>
      <c r="L3297" s="2">
        <v>45986</v>
      </c>
      <c r="M3297" s="2"/>
      <c r="N3297" s="2">
        <v>50707</v>
      </c>
      <c r="P3297" s="2">
        <v>46196</v>
      </c>
      <c r="Q3297" s="2"/>
      <c r="R3297" s="2">
        <v>50503</v>
      </c>
      <c r="AB3297" s="2"/>
    </row>
    <row r="3298" spans="8:28" ht="15" customHeight="1">
      <c r="H3298" s="2">
        <v>46302</v>
      </c>
      <c r="I3298" s="2"/>
      <c r="J3298" s="2">
        <v>50392</v>
      </c>
      <c r="K3298" s="2"/>
      <c r="L3298" s="2">
        <v>45982</v>
      </c>
      <c r="M3298" s="2"/>
      <c r="N3298" s="2">
        <v>50710</v>
      </c>
      <c r="P3298" s="2">
        <v>46195</v>
      </c>
      <c r="Q3298" s="2"/>
      <c r="R3298" s="2">
        <v>50504</v>
      </c>
      <c r="AB3298" s="2"/>
    </row>
    <row r="3299" spans="8:28" ht="15" customHeight="1">
      <c r="H3299" s="2">
        <v>46301</v>
      </c>
      <c r="I3299" s="2"/>
      <c r="J3299" s="2">
        <v>50395</v>
      </c>
      <c r="K3299" s="2"/>
      <c r="L3299" s="2">
        <v>45981</v>
      </c>
      <c r="M3299" s="2"/>
      <c r="N3299" s="2">
        <v>50711</v>
      </c>
      <c r="P3299" s="2">
        <v>46192</v>
      </c>
      <c r="Q3299" s="2"/>
      <c r="R3299" s="2">
        <v>50507</v>
      </c>
      <c r="AB3299" s="2"/>
    </row>
    <row r="3300" spans="8:28" ht="15" customHeight="1">
      <c r="H3300" s="2">
        <v>46300</v>
      </c>
      <c r="I3300" s="2"/>
      <c r="J3300" s="2">
        <v>50396</v>
      </c>
      <c r="K3300" s="2"/>
      <c r="L3300" s="2">
        <v>45980</v>
      </c>
      <c r="M3300" s="2"/>
      <c r="N3300" s="2">
        <v>50713</v>
      </c>
      <c r="P3300" s="2">
        <v>46191</v>
      </c>
      <c r="Q3300" s="2"/>
      <c r="R3300" s="2">
        <v>50508</v>
      </c>
      <c r="AB3300" s="2"/>
    </row>
    <row r="3301" spans="8:28" ht="15" customHeight="1">
      <c r="H3301" s="2">
        <v>46297</v>
      </c>
      <c r="I3301" s="2"/>
      <c r="J3301" s="2">
        <v>50397</v>
      </c>
      <c r="K3301" s="2"/>
      <c r="L3301" s="2">
        <v>45979</v>
      </c>
      <c r="M3301" s="2"/>
      <c r="N3301" s="2">
        <v>50714</v>
      </c>
      <c r="P3301" s="2">
        <v>46190</v>
      </c>
      <c r="Q3301" s="2"/>
      <c r="R3301" s="2">
        <v>50509</v>
      </c>
      <c r="AB3301" s="2"/>
    </row>
    <row r="3302" spans="8:28" ht="15" customHeight="1">
      <c r="H3302" s="2">
        <v>46296</v>
      </c>
      <c r="I3302" s="2"/>
      <c r="J3302" s="2">
        <v>50398</v>
      </c>
      <c r="K3302" s="2"/>
      <c r="L3302" s="2">
        <v>45978</v>
      </c>
      <c r="M3302" s="2"/>
      <c r="N3302" s="2">
        <v>50717</v>
      </c>
      <c r="P3302" s="2">
        <v>46189</v>
      </c>
      <c r="Q3302" s="2"/>
      <c r="R3302" s="2">
        <v>50510</v>
      </c>
      <c r="AB3302" s="2"/>
    </row>
    <row r="3303" spans="8:28" ht="15" customHeight="1">
      <c r="H3303" s="2">
        <v>46295</v>
      </c>
      <c r="I3303" s="2"/>
      <c r="J3303" s="2">
        <v>50402</v>
      </c>
      <c r="K3303" s="2"/>
      <c r="L3303" s="2">
        <v>45975</v>
      </c>
      <c r="M3303" s="2"/>
      <c r="N3303" s="2">
        <v>50718</v>
      </c>
      <c r="P3303" s="2">
        <v>46188</v>
      </c>
      <c r="Q3303" s="2"/>
      <c r="R3303" s="2">
        <v>50511</v>
      </c>
      <c r="AB3303" s="2"/>
    </row>
    <row r="3304" spans="8:28" ht="15" customHeight="1">
      <c r="H3304" s="2">
        <v>46294</v>
      </c>
      <c r="I3304" s="2"/>
      <c r="J3304" s="2">
        <v>50403</v>
      </c>
      <c r="K3304" s="2"/>
      <c r="L3304" s="2">
        <v>45974</v>
      </c>
      <c r="M3304" s="2"/>
      <c r="N3304" s="2">
        <v>50719</v>
      </c>
      <c r="P3304" s="2">
        <v>46185</v>
      </c>
      <c r="Q3304" s="2"/>
      <c r="R3304" s="2">
        <v>50514</v>
      </c>
      <c r="AB3304" s="2"/>
    </row>
    <row r="3305" spans="8:28" ht="15" customHeight="1">
      <c r="H3305" s="2">
        <v>46293</v>
      </c>
      <c r="I3305" s="2"/>
      <c r="J3305" s="2">
        <v>50404</v>
      </c>
      <c r="K3305" s="2"/>
      <c r="L3305" s="2">
        <v>45973</v>
      </c>
      <c r="M3305" s="2"/>
      <c r="N3305" s="2">
        <v>50720</v>
      </c>
      <c r="P3305" s="2">
        <v>46184</v>
      </c>
      <c r="Q3305" s="2"/>
      <c r="R3305" s="2">
        <v>50515</v>
      </c>
      <c r="AB3305" s="2"/>
    </row>
    <row r="3306" spans="8:28" ht="15" customHeight="1">
      <c r="H3306" s="2">
        <v>46290</v>
      </c>
      <c r="I3306" s="2"/>
      <c r="J3306" s="2">
        <v>50405</v>
      </c>
      <c r="K3306" s="2"/>
      <c r="L3306" s="2">
        <v>45972</v>
      </c>
      <c r="M3306" s="2"/>
      <c r="N3306" s="2">
        <v>50721</v>
      </c>
      <c r="P3306" s="2">
        <v>46183</v>
      </c>
      <c r="Q3306" s="2"/>
      <c r="R3306" s="2">
        <v>50516</v>
      </c>
      <c r="AB3306" s="2"/>
    </row>
    <row r="3307" spans="8:28" ht="15" customHeight="1">
      <c r="H3307" s="2">
        <v>46289</v>
      </c>
      <c r="I3307" s="2"/>
      <c r="J3307" s="2">
        <v>50409</v>
      </c>
      <c r="K3307" s="2"/>
      <c r="L3307" s="2">
        <v>45971</v>
      </c>
      <c r="M3307" s="2"/>
      <c r="N3307" s="2">
        <v>50724</v>
      </c>
      <c r="P3307" s="2">
        <v>46182</v>
      </c>
      <c r="Q3307" s="2"/>
      <c r="R3307" s="2">
        <v>50517</v>
      </c>
      <c r="AB3307" s="2"/>
    </row>
    <row r="3308" spans="8:28" ht="15" customHeight="1">
      <c r="H3308" s="2">
        <v>46288</v>
      </c>
      <c r="I3308" s="2"/>
      <c r="J3308" s="2">
        <v>50410</v>
      </c>
      <c r="K3308" s="2"/>
      <c r="L3308" s="2">
        <v>45968</v>
      </c>
      <c r="M3308" s="2"/>
      <c r="N3308" s="2">
        <v>50725</v>
      </c>
      <c r="P3308" s="2">
        <v>46181</v>
      </c>
      <c r="Q3308" s="2"/>
      <c r="R3308" s="2">
        <v>50518</v>
      </c>
      <c r="AB3308" s="2"/>
    </row>
    <row r="3309" spans="8:28" ht="15" customHeight="1">
      <c r="H3309" s="2">
        <v>46287</v>
      </c>
      <c r="I3309" s="2"/>
      <c r="J3309" s="2">
        <v>50411</v>
      </c>
      <c r="K3309" s="2"/>
      <c r="L3309" s="2">
        <v>45967</v>
      </c>
      <c r="M3309" s="2"/>
      <c r="N3309" s="2">
        <v>50726</v>
      </c>
      <c r="P3309" s="2">
        <v>46178</v>
      </c>
      <c r="Q3309" s="2"/>
      <c r="R3309" s="2">
        <v>50521</v>
      </c>
      <c r="AB3309" s="2"/>
    </row>
    <row r="3310" spans="8:28" ht="15" customHeight="1">
      <c r="H3310" s="2">
        <v>46286</v>
      </c>
      <c r="I3310" s="2"/>
      <c r="J3310" s="2">
        <v>50412</v>
      </c>
      <c r="K3310" s="2"/>
      <c r="L3310" s="2">
        <v>45966</v>
      </c>
      <c r="M3310" s="2"/>
      <c r="N3310" s="2">
        <v>50727</v>
      </c>
      <c r="P3310" s="2">
        <v>46177</v>
      </c>
      <c r="Q3310" s="2"/>
      <c r="R3310" s="2">
        <v>50522</v>
      </c>
      <c r="AB3310" s="2"/>
    </row>
    <row r="3311" spans="8:28" ht="15" customHeight="1">
      <c r="H3311" s="2">
        <v>46283</v>
      </c>
      <c r="I3311" s="2"/>
      <c r="J3311" s="2">
        <v>50413</v>
      </c>
      <c r="K3311" s="2"/>
      <c r="L3311" s="2">
        <v>45965</v>
      </c>
      <c r="M3311" s="2"/>
      <c r="N3311" s="2">
        <v>50728</v>
      </c>
      <c r="P3311" s="2">
        <v>46176</v>
      </c>
      <c r="Q3311" s="2"/>
      <c r="R3311" s="2">
        <v>50523</v>
      </c>
      <c r="AB3311" s="2"/>
    </row>
    <row r="3312" spans="8:28" ht="15" customHeight="1">
      <c r="H3312" s="2">
        <v>46282</v>
      </c>
      <c r="I3312" s="2"/>
      <c r="J3312" s="2">
        <v>50416</v>
      </c>
      <c r="K3312" s="2"/>
      <c r="L3312" s="2">
        <v>45961</v>
      </c>
      <c r="M3312" s="2"/>
      <c r="N3312" s="2">
        <v>50731</v>
      </c>
      <c r="P3312" s="2">
        <v>46175</v>
      </c>
      <c r="Q3312" s="2"/>
      <c r="R3312" s="2">
        <v>50524</v>
      </c>
      <c r="AB3312" s="2"/>
    </row>
    <row r="3313" spans="8:28" ht="15" customHeight="1">
      <c r="H3313" s="2">
        <v>46281</v>
      </c>
      <c r="I3313" s="2"/>
      <c r="J3313" s="2">
        <v>50417</v>
      </c>
      <c r="K3313" s="2"/>
      <c r="L3313" s="2">
        <v>45960</v>
      </c>
      <c r="M3313" s="2"/>
      <c r="N3313" s="2">
        <v>50733</v>
      </c>
      <c r="P3313" s="2">
        <v>46174</v>
      </c>
      <c r="Q3313" s="2"/>
      <c r="R3313" s="2">
        <v>50525</v>
      </c>
      <c r="AB3313" s="2"/>
    </row>
    <row r="3314" spans="8:28" ht="15" customHeight="1">
      <c r="H3314" s="2">
        <v>46280</v>
      </c>
      <c r="I3314" s="2"/>
      <c r="J3314" s="2">
        <v>50418</v>
      </c>
      <c r="K3314" s="2"/>
      <c r="L3314" s="2">
        <v>45959</v>
      </c>
      <c r="M3314" s="2"/>
      <c r="N3314" s="2">
        <v>50735</v>
      </c>
      <c r="P3314" s="2">
        <v>46171</v>
      </c>
      <c r="Q3314" s="2"/>
      <c r="R3314" s="2">
        <v>50528</v>
      </c>
      <c r="AB3314" s="2"/>
    </row>
    <row r="3315" spans="8:28" ht="15" customHeight="1">
      <c r="H3315" s="2">
        <v>46279</v>
      </c>
      <c r="I3315" s="2"/>
      <c r="J3315" s="2">
        <v>50419</v>
      </c>
      <c r="K3315" s="2"/>
      <c r="L3315" s="2">
        <v>45958</v>
      </c>
      <c r="M3315" s="2"/>
      <c r="N3315" s="2">
        <v>50738</v>
      </c>
      <c r="P3315" s="2">
        <v>46170</v>
      </c>
      <c r="Q3315" s="2"/>
      <c r="R3315" s="2">
        <v>50529</v>
      </c>
      <c r="AB3315" s="2"/>
    </row>
    <row r="3316" spans="8:28" ht="15" customHeight="1">
      <c r="H3316" s="2">
        <v>46276</v>
      </c>
      <c r="I3316" s="2"/>
      <c r="J3316" s="2">
        <v>50420</v>
      </c>
      <c r="K3316" s="2"/>
      <c r="L3316" s="2">
        <v>45957</v>
      </c>
      <c r="M3316" s="2"/>
      <c r="N3316" s="2">
        <v>50739</v>
      </c>
      <c r="P3316" s="2">
        <v>46169</v>
      </c>
      <c r="Q3316" s="2"/>
      <c r="R3316" s="2">
        <v>50531</v>
      </c>
      <c r="AB3316" s="2"/>
    </row>
    <row r="3317" spans="8:28" ht="15" customHeight="1">
      <c r="H3317" s="2">
        <v>46275</v>
      </c>
      <c r="I3317" s="2"/>
      <c r="J3317" s="2">
        <v>50424</v>
      </c>
      <c r="K3317" s="2"/>
      <c r="L3317" s="2">
        <v>45954</v>
      </c>
      <c r="M3317" s="2"/>
      <c r="N3317" s="2">
        <v>50740</v>
      </c>
      <c r="P3317" s="2">
        <v>46168</v>
      </c>
      <c r="Q3317" s="2"/>
      <c r="R3317" s="2">
        <v>50532</v>
      </c>
      <c r="AB3317" s="2"/>
    </row>
    <row r="3318" spans="8:28" ht="15" customHeight="1">
      <c r="H3318" s="2">
        <v>46274</v>
      </c>
      <c r="I3318" s="2"/>
      <c r="J3318" s="2">
        <v>50425</v>
      </c>
      <c r="K3318" s="2"/>
      <c r="L3318" s="2">
        <v>45953</v>
      </c>
      <c r="M3318" s="2"/>
      <c r="N3318" s="2">
        <v>50741</v>
      </c>
      <c r="P3318" s="2">
        <v>46164</v>
      </c>
      <c r="Q3318" s="2"/>
      <c r="R3318" s="2">
        <v>50535</v>
      </c>
      <c r="AB3318" s="2"/>
    </row>
    <row r="3319" spans="8:28" ht="15" customHeight="1">
      <c r="H3319" s="2">
        <v>46273</v>
      </c>
      <c r="I3319" s="2"/>
      <c r="J3319" s="2">
        <v>50426</v>
      </c>
      <c r="K3319" s="2"/>
      <c r="L3319" s="2">
        <v>45952</v>
      </c>
      <c r="M3319" s="2"/>
      <c r="N3319" s="2">
        <v>50742</v>
      </c>
      <c r="P3319" s="2">
        <v>46163</v>
      </c>
      <c r="Q3319" s="2"/>
      <c r="R3319" s="2">
        <v>50537</v>
      </c>
      <c r="AB3319" s="2"/>
    </row>
    <row r="3320" spans="8:28" ht="15" customHeight="1">
      <c r="H3320" s="2">
        <v>46269</v>
      </c>
      <c r="I3320" s="2"/>
      <c r="J3320" s="2">
        <v>50427</v>
      </c>
      <c r="K3320" s="2"/>
      <c r="L3320" s="2">
        <v>45951</v>
      </c>
      <c r="M3320" s="2"/>
      <c r="N3320" s="2">
        <v>50745</v>
      </c>
      <c r="P3320" s="2">
        <v>46162</v>
      </c>
      <c r="Q3320" s="2"/>
      <c r="R3320" s="2">
        <v>50538</v>
      </c>
      <c r="AB3320" s="2"/>
    </row>
    <row r="3321" spans="8:28" ht="15" customHeight="1">
      <c r="H3321" s="2">
        <v>46268</v>
      </c>
      <c r="I3321" s="2"/>
      <c r="J3321" s="2">
        <v>50430</v>
      </c>
      <c r="K3321" s="2"/>
      <c r="L3321" s="2">
        <v>45950</v>
      </c>
      <c r="M3321" s="2"/>
      <c r="N3321" s="2">
        <v>50746</v>
      </c>
      <c r="P3321" s="2">
        <v>46161</v>
      </c>
      <c r="Q3321" s="2"/>
      <c r="R3321" s="2">
        <v>50539</v>
      </c>
      <c r="AB3321" s="2"/>
    </row>
    <row r="3322" spans="8:28" ht="15" customHeight="1">
      <c r="H3322" s="2">
        <v>46267</v>
      </c>
      <c r="I3322" s="2"/>
      <c r="J3322" s="2">
        <v>50431</v>
      </c>
      <c r="K3322" s="2"/>
      <c r="L3322" s="2">
        <v>45947</v>
      </c>
      <c r="M3322" s="2"/>
      <c r="N3322" s="2">
        <v>50747</v>
      </c>
      <c r="P3322" s="2">
        <v>46160</v>
      </c>
      <c r="Q3322" s="2"/>
      <c r="R3322" s="2">
        <v>50542</v>
      </c>
      <c r="AB3322" s="2"/>
    </row>
    <row r="3323" spans="8:28" ht="15" customHeight="1">
      <c r="H3323" s="2">
        <v>46266</v>
      </c>
      <c r="I3323" s="2"/>
      <c r="J3323" s="2">
        <v>50432</v>
      </c>
      <c r="K3323" s="2"/>
      <c r="L3323" s="2">
        <v>45946</v>
      </c>
      <c r="M3323" s="2"/>
      <c r="N3323" s="2">
        <v>50748</v>
      </c>
      <c r="P3323" s="2">
        <v>46157</v>
      </c>
      <c r="Q3323" s="2"/>
      <c r="R3323" s="2">
        <v>50543</v>
      </c>
      <c r="AB3323" s="2"/>
    </row>
    <row r="3324" spans="8:28" ht="15" customHeight="1">
      <c r="H3324" s="2">
        <v>46265</v>
      </c>
      <c r="I3324" s="2"/>
      <c r="J3324" s="2">
        <v>50433</v>
      </c>
      <c r="K3324" s="2"/>
      <c r="L3324" s="2">
        <v>45945</v>
      </c>
      <c r="M3324" s="2"/>
      <c r="N3324" s="2">
        <v>50749</v>
      </c>
      <c r="P3324" s="2">
        <v>46156</v>
      </c>
      <c r="Q3324" s="2"/>
      <c r="R3324" s="2">
        <v>50544</v>
      </c>
      <c r="AB3324" s="2"/>
    </row>
    <row r="3325" spans="8:28" ht="15" customHeight="1">
      <c r="H3325" s="2">
        <v>46262</v>
      </c>
      <c r="I3325" s="2"/>
      <c r="J3325" s="2">
        <v>50434</v>
      </c>
      <c r="K3325" s="2"/>
      <c r="L3325" s="2">
        <v>45944</v>
      </c>
      <c r="M3325" s="2"/>
      <c r="N3325" s="2">
        <v>50752</v>
      </c>
      <c r="P3325" s="2">
        <v>46155</v>
      </c>
      <c r="Q3325" s="2"/>
      <c r="R3325" s="2">
        <v>50545</v>
      </c>
      <c r="AB3325" s="2"/>
    </row>
    <row r="3326" spans="8:28" ht="15" customHeight="1">
      <c r="H3326" s="2">
        <v>46261</v>
      </c>
      <c r="I3326" s="2"/>
      <c r="J3326" s="2">
        <v>50437</v>
      </c>
      <c r="K3326" s="2"/>
      <c r="L3326" s="2">
        <v>45940</v>
      </c>
      <c r="M3326" s="2"/>
      <c r="N3326" s="2">
        <v>50753</v>
      </c>
      <c r="P3326" s="2">
        <v>46154</v>
      </c>
      <c r="Q3326" s="2"/>
      <c r="R3326" s="2">
        <v>50546</v>
      </c>
      <c r="AB3326" s="2"/>
    </row>
    <row r="3327" spans="8:28" ht="15" customHeight="1">
      <c r="H3327" s="2">
        <v>46260</v>
      </c>
      <c r="I3327" s="2"/>
      <c r="J3327" s="2">
        <v>50438</v>
      </c>
      <c r="K3327" s="2"/>
      <c r="L3327" s="2">
        <v>45939</v>
      </c>
      <c r="M3327" s="2"/>
      <c r="N3327" s="2">
        <v>50754</v>
      </c>
      <c r="P3327" s="2">
        <v>46153</v>
      </c>
      <c r="Q3327" s="2"/>
      <c r="R3327" s="2">
        <v>50549</v>
      </c>
      <c r="AB3327" s="2"/>
    </row>
    <row r="3328" spans="8:28" ht="15" customHeight="1">
      <c r="H3328" s="2">
        <v>46259</v>
      </c>
      <c r="I3328" s="2"/>
      <c r="J3328" s="2">
        <v>50439</v>
      </c>
      <c r="K3328" s="2"/>
      <c r="L3328" s="2">
        <v>45938</v>
      </c>
      <c r="M3328" s="2"/>
      <c r="N3328" s="2">
        <v>50755</v>
      </c>
      <c r="P3328" s="2">
        <v>46150</v>
      </c>
      <c r="Q3328" s="2"/>
      <c r="R3328" s="2">
        <v>50550</v>
      </c>
      <c r="AB3328" s="2"/>
    </row>
    <row r="3329" spans="8:28" ht="15" customHeight="1">
      <c r="H3329" s="2">
        <v>46258</v>
      </c>
      <c r="I3329" s="2"/>
      <c r="J3329" s="2">
        <v>50440</v>
      </c>
      <c r="K3329" s="2"/>
      <c r="L3329" s="2">
        <v>45937</v>
      </c>
      <c r="M3329" s="2"/>
      <c r="N3329" s="2">
        <v>50756</v>
      </c>
      <c r="P3329" s="2">
        <v>46149</v>
      </c>
      <c r="Q3329" s="2"/>
      <c r="R3329" s="2">
        <v>50551</v>
      </c>
      <c r="AB3329" s="2"/>
    </row>
    <row r="3330" spans="8:28" ht="15" customHeight="1">
      <c r="H3330" s="2">
        <v>46255</v>
      </c>
      <c r="I3330" s="2"/>
      <c r="J3330" s="2">
        <v>50441</v>
      </c>
      <c r="K3330" s="2"/>
      <c r="L3330" s="2">
        <v>45936</v>
      </c>
      <c r="M3330" s="2"/>
      <c r="N3330" s="2">
        <v>50759</v>
      </c>
      <c r="P3330" s="2">
        <v>46148</v>
      </c>
      <c r="Q3330" s="2"/>
      <c r="R3330" s="2">
        <v>50552</v>
      </c>
      <c r="AB3330" s="2"/>
    </row>
    <row r="3331" spans="8:28" ht="15" customHeight="1">
      <c r="H3331" s="2">
        <v>46254</v>
      </c>
      <c r="I3331" s="2"/>
      <c r="J3331" s="2">
        <v>50444</v>
      </c>
      <c r="K3331" s="2"/>
      <c r="L3331" s="2">
        <v>45933</v>
      </c>
      <c r="M3331" s="2"/>
      <c r="N3331" s="2">
        <v>50760</v>
      </c>
      <c r="P3331" s="2">
        <v>46146</v>
      </c>
      <c r="Q3331" s="2"/>
      <c r="R3331" s="2">
        <v>50553</v>
      </c>
      <c r="AB3331" s="2"/>
    </row>
    <row r="3332" spans="8:28" ht="15" customHeight="1">
      <c r="H3332" s="2">
        <v>46253</v>
      </c>
      <c r="I3332" s="2"/>
      <c r="J3332" s="2">
        <v>50445</v>
      </c>
      <c r="K3332" s="2"/>
      <c r="L3332" s="2">
        <v>45932</v>
      </c>
      <c r="M3332" s="2"/>
      <c r="N3332" s="2">
        <v>50761</v>
      </c>
      <c r="P3332" s="2">
        <v>46142</v>
      </c>
      <c r="Q3332" s="2"/>
      <c r="R3332" s="2">
        <v>50556</v>
      </c>
      <c r="AB3332" s="2"/>
    </row>
    <row r="3333" spans="8:28" ht="15" customHeight="1">
      <c r="H3333" s="2">
        <v>46252</v>
      </c>
      <c r="I3333" s="2"/>
      <c r="J3333" s="2">
        <v>50446</v>
      </c>
      <c r="K3333" s="2"/>
      <c r="L3333" s="2">
        <v>45931</v>
      </c>
      <c r="M3333" s="2"/>
      <c r="N3333" s="2">
        <v>50762</v>
      </c>
      <c r="P3333" s="2">
        <v>46141</v>
      </c>
      <c r="Q3333" s="2"/>
      <c r="R3333" s="2">
        <v>50557</v>
      </c>
      <c r="AB3333" s="2"/>
    </row>
    <row r="3334" spans="8:28" ht="15" customHeight="1">
      <c r="H3334" s="2">
        <v>46251</v>
      </c>
      <c r="I3334" s="2"/>
      <c r="J3334" s="2">
        <v>50447</v>
      </c>
      <c r="K3334" s="2"/>
      <c r="L3334" s="2">
        <v>45930</v>
      </c>
      <c r="M3334" s="2"/>
      <c r="N3334" s="2">
        <v>50766</v>
      </c>
      <c r="P3334" s="2">
        <v>46140</v>
      </c>
      <c r="Q3334" s="2"/>
      <c r="R3334" s="2">
        <v>50558</v>
      </c>
      <c r="AB3334" s="2"/>
    </row>
    <row r="3335" spans="8:28" ht="15" customHeight="1">
      <c r="H3335" s="2">
        <v>46248</v>
      </c>
      <c r="I3335" s="2"/>
      <c r="J3335" s="2">
        <v>50448</v>
      </c>
      <c r="K3335" s="2"/>
      <c r="L3335" s="2">
        <v>45929</v>
      </c>
      <c r="M3335" s="2"/>
      <c r="N3335" s="2">
        <v>50767</v>
      </c>
      <c r="P3335" s="2">
        <v>46139</v>
      </c>
      <c r="Q3335" s="2"/>
      <c r="R3335" s="2">
        <v>50559</v>
      </c>
      <c r="AB3335" s="2"/>
    </row>
    <row r="3336" spans="8:28" ht="15" customHeight="1">
      <c r="H3336" s="2">
        <v>46247</v>
      </c>
      <c r="I3336" s="2"/>
      <c r="J3336" s="2">
        <v>50452</v>
      </c>
      <c r="K3336" s="2"/>
      <c r="L3336" s="2">
        <v>45926</v>
      </c>
      <c r="M3336" s="2"/>
      <c r="N3336" s="2">
        <v>50768</v>
      </c>
      <c r="P3336" s="2">
        <v>46136</v>
      </c>
      <c r="Q3336" s="2"/>
      <c r="R3336" s="2">
        <v>50560</v>
      </c>
      <c r="AB3336" s="2"/>
    </row>
    <row r="3337" spans="8:28" ht="15" customHeight="1">
      <c r="H3337" s="2">
        <v>46246</v>
      </c>
      <c r="I3337" s="2"/>
      <c r="J3337" s="2">
        <v>50453</v>
      </c>
      <c r="K3337" s="2"/>
      <c r="L3337" s="2">
        <v>45925</v>
      </c>
      <c r="M3337" s="2"/>
      <c r="N3337" s="2">
        <v>50769</v>
      </c>
      <c r="P3337" s="2">
        <v>46135</v>
      </c>
      <c r="Q3337" s="2"/>
      <c r="R3337" s="2">
        <v>50563</v>
      </c>
      <c r="AB3337" s="2"/>
    </row>
    <row r="3338" spans="8:28" ht="15" customHeight="1">
      <c r="H3338" s="2">
        <v>46245</v>
      </c>
      <c r="I3338" s="2"/>
      <c r="J3338" s="2">
        <v>50454</v>
      </c>
      <c r="K3338" s="2"/>
      <c r="L3338" s="2">
        <v>45924</v>
      </c>
      <c r="M3338" s="2"/>
      <c r="N3338" s="2">
        <v>50774</v>
      </c>
      <c r="P3338" s="2">
        <v>46134</v>
      </c>
      <c r="Q3338" s="2"/>
      <c r="R3338" s="2">
        <v>50564</v>
      </c>
      <c r="AB3338" s="2"/>
    </row>
    <row r="3339" spans="8:28" ht="15" customHeight="1">
      <c r="H3339" s="2">
        <v>46244</v>
      </c>
      <c r="I3339" s="2"/>
      <c r="J3339" s="2">
        <v>50455</v>
      </c>
      <c r="K3339" s="2"/>
      <c r="L3339" s="2">
        <v>45922</v>
      </c>
      <c r="M3339" s="2"/>
      <c r="N3339" s="2">
        <v>50775</v>
      </c>
      <c r="P3339" s="2">
        <v>46133</v>
      </c>
      <c r="Q3339" s="2"/>
      <c r="R3339" s="2">
        <v>50565</v>
      </c>
      <c r="AB3339" s="2"/>
    </row>
    <row r="3340" spans="8:28" ht="15" customHeight="1">
      <c r="H3340" s="2">
        <v>46241</v>
      </c>
      <c r="I3340" s="2"/>
      <c r="J3340" s="2">
        <v>50458</v>
      </c>
      <c r="K3340" s="2"/>
      <c r="L3340" s="2">
        <v>45919</v>
      </c>
      <c r="M3340" s="2"/>
      <c r="N3340" s="2">
        <v>50776</v>
      </c>
      <c r="P3340" s="2">
        <v>46132</v>
      </c>
      <c r="Q3340" s="2"/>
      <c r="R3340" s="2">
        <v>50566</v>
      </c>
      <c r="AB3340" s="2"/>
    </row>
    <row r="3341" spans="8:28" ht="15" customHeight="1">
      <c r="H3341" s="2">
        <v>46240</v>
      </c>
      <c r="I3341" s="2"/>
      <c r="J3341" s="2">
        <v>50459</v>
      </c>
      <c r="K3341" s="2"/>
      <c r="L3341" s="2">
        <v>45918</v>
      </c>
      <c r="M3341" s="2"/>
      <c r="N3341" s="2">
        <v>50777</v>
      </c>
      <c r="P3341" s="2">
        <v>46129</v>
      </c>
      <c r="Q3341" s="2"/>
      <c r="R3341" s="2">
        <v>50567</v>
      </c>
      <c r="AB3341" s="2"/>
    </row>
    <row r="3342" spans="8:28" ht="15" customHeight="1">
      <c r="H3342" s="2">
        <v>46239</v>
      </c>
      <c r="I3342" s="2"/>
      <c r="J3342" s="2">
        <v>50460</v>
      </c>
      <c r="K3342" s="2"/>
      <c r="L3342" s="2">
        <v>45917</v>
      </c>
      <c r="M3342" s="2"/>
      <c r="N3342" s="2">
        <v>50781</v>
      </c>
      <c r="P3342" s="2">
        <v>46128</v>
      </c>
      <c r="Q3342" s="2"/>
      <c r="R3342" s="2">
        <v>50570</v>
      </c>
      <c r="AB3342" s="2"/>
    </row>
    <row r="3343" spans="8:28" ht="15" customHeight="1">
      <c r="H3343" s="2">
        <v>46238</v>
      </c>
      <c r="I3343" s="2"/>
      <c r="J3343" s="2">
        <v>50461</v>
      </c>
      <c r="K3343" s="2"/>
      <c r="L3343" s="2">
        <v>45916</v>
      </c>
      <c r="M3343" s="2"/>
      <c r="N3343" s="2">
        <v>50782</v>
      </c>
      <c r="P3343" s="2">
        <v>46127</v>
      </c>
      <c r="Q3343" s="2"/>
      <c r="R3343" s="2">
        <v>50571</v>
      </c>
      <c r="AB3343" s="2"/>
    </row>
    <row r="3344" spans="8:28" ht="15" customHeight="1">
      <c r="H3344" s="2">
        <v>46237</v>
      </c>
      <c r="I3344" s="2"/>
      <c r="J3344" s="2">
        <v>50462</v>
      </c>
      <c r="K3344" s="2"/>
      <c r="L3344" s="2">
        <v>45912</v>
      </c>
      <c r="M3344" s="2"/>
      <c r="N3344" s="2">
        <v>50783</v>
      </c>
      <c r="P3344" s="2">
        <v>46126</v>
      </c>
      <c r="Q3344" s="2"/>
      <c r="R3344" s="2">
        <v>50572</v>
      </c>
      <c r="AB3344" s="2"/>
    </row>
    <row r="3345" spans="8:28" ht="15" customHeight="1">
      <c r="H3345" s="2">
        <v>46234</v>
      </c>
      <c r="I3345" s="2"/>
      <c r="J3345" s="2">
        <v>50465</v>
      </c>
      <c r="K3345" s="2"/>
      <c r="L3345" s="2">
        <v>45911</v>
      </c>
      <c r="M3345" s="2"/>
      <c r="N3345" s="2">
        <v>50784</v>
      </c>
      <c r="P3345" s="2">
        <v>46125</v>
      </c>
      <c r="Q3345" s="2"/>
      <c r="R3345" s="2">
        <v>50573</v>
      </c>
      <c r="AB3345" s="2"/>
    </row>
    <row r="3346" spans="8:28" ht="15" customHeight="1">
      <c r="H3346" s="2">
        <v>46233</v>
      </c>
      <c r="I3346" s="2"/>
      <c r="J3346" s="2">
        <v>50466</v>
      </c>
      <c r="K3346" s="2"/>
      <c r="L3346" s="2">
        <v>45910</v>
      </c>
      <c r="M3346" s="2"/>
      <c r="N3346" s="2">
        <v>50788</v>
      </c>
      <c r="P3346" s="2">
        <v>46122</v>
      </c>
      <c r="Q3346" s="2"/>
      <c r="R3346" s="2">
        <v>50574</v>
      </c>
      <c r="AB3346" s="2"/>
    </row>
    <row r="3347" spans="8:28" ht="15" customHeight="1">
      <c r="H3347" s="2">
        <v>46232</v>
      </c>
      <c r="I3347" s="2"/>
      <c r="J3347" s="2">
        <v>50467</v>
      </c>
      <c r="K3347" s="2"/>
      <c r="L3347" s="2">
        <v>45909</v>
      </c>
      <c r="M3347" s="2"/>
      <c r="N3347" s="2">
        <v>50789</v>
      </c>
      <c r="P3347" s="2">
        <v>46121</v>
      </c>
      <c r="Q3347" s="2"/>
      <c r="R3347" s="2">
        <v>50577</v>
      </c>
      <c r="AB3347" s="2"/>
    </row>
    <row r="3348" spans="8:28" ht="15" customHeight="1">
      <c r="H3348" s="2">
        <v>46231</v>
      </c>
      <c r="I3348" s="2"/>
      <c r="J3348" s="2">
        <v>50468</v>
      </c>
      <c r="K3348" s="2"/>
      <c r="L3348" s="2">
        <v>45908</v>
      </c>
      <c r="M3348" s="2"/>
      <c r="N3348" s="2">
        <v>50790</v>
      </c>
      <c r="P3348" s="2">
        <v>46120</v>
      </c>
      <c r="Q3348" s="2"/>
      <c r="R3348" s="2">
        <v>50578</v>
      </c>
      <c r="AB3348" s="2"/>
    </row>
    <row r="3349" spans="8:28" ht="15" customHeight="1">
      <c r="H3349" s="2">
        <v>46230</v>
      </c>
      <c r="I3349" s="2"/>
      <c r="J3349" s="2">
        <v>50469</v>
      </c>
      <c r="K3349" s="2"/>
      <c r="L3349" s="2">
        <v>45905</v>
      </c>
      <c r="M3349" s="2"/>
      <c r="N3349" s="2">
        <v>50791</v>
      </c>
      <c r="P3349" s="2">
        <v>46119</v>
      </c>
      <c r="Q3349" s="2"/>
      <c r="R3349" s="2">
        <v>50579</v>
      </c>
      <c r="AB3349" s="2"/>
    </row>
    <row r="3350" spans="8:28" ht="15" customHeight="1">
      <c r="H3350" s="2">
        <v>46227</v>
      </c>
      <c r="I3350" s="2"/>
      <c r="J3350" s="2">
        <v>50472</v>
      </c>
      <c r="K3350" s="2"/>
      <c r="L3350" s="2">
        <v>45904</v>
      </c>
      <c r="M3350" s="2"/>
      <c r="N3350" s="2">
        <v>50794</v>
      </c>
      <c r="P3350" s="2">
        <v>46118</v>
      </c>
      <c r="Q3350" s="2"/>
      <c r="R3350" s="2">
        <v>50580</v>
      </c>
      <c r="AB3350" s="2"/>
    </row>
    <row r="3351" spans="8:28" ht="15" customHeight="1">
      <c r="H3351" s="2">
        <v>46226</v>
      </c>
      <c r="I3351" s="2"/>
      <c r="J3351" s="2">
        <v>50473</v>
      </c>
      <c r="K3351" s="2"/>
      <c r="L3351" s="2">
        <v>45903</v>
      </c>
      <c r="M3351" s="2"/>
      <c r="N3351" s="2">
        <v>50795</v>
      </c>
      <c r="P3351" s="2">
        <v>46115</v>
      </c>
      <c r="Q3351" s="2"/>
      <c r="R3351" s="2">
        <v>50581</v>
      </c>
      <c r="AB3351" s="2"/>
    </row>
    <row r="3352" spans="8:28" ht="15" customHeight="1">
      <c r="H3352" s="2">
        <v>46225</v>
      </c>
      <c r="I3352" s="2"/>
      <c r="J3352" s="2">
        <v>50474</v>
      </c>
      <c r="K3352" s="2"/>
      <c r="L3352" s="2">
        <v>45902</v>
      </c>
      <c r="M3352" s="2"/>
      <c r="N3352" s="2">
        <v>50796</v>
      </c>
      <c r="P3352" s="2">
        <v>46114</v>
      </c>
      <c r="Q3352" s="2"/>
      <c r="R3352" s="2">
        <v>50584</v>
      </c>
      <c r="AB3352" s="2"/>
    </row>
    <row r="3353" spans="8:28" ht="15" customHeight="1">
      <c r="H3353" s="2">
        <v>46224</v>
      </c>
      <c r="I3353" s="2"/>
      <c r="J3353" s="2">
        <v>50475</v>
      </c>
      <c r="K3353" s="2"/>
      <c r="L3353" s="2">
        <v>45898</v>
      </c>
      <c r="M3353" s="2"/>
      <c r="N3353" s="2">
        <v>50797</v>
      </c>
      <c r="P3353" s="2">
        <v>46113</v>
      </c>
      <c r="Q3353" s="2"/>
      <c r="R3353" s="2">
        <v>50585</v>
      </c>
      <c r="AB3353" s="2"/>
    </row>
    <row r="3354" spans="8:28" ht="15" customHeight="1">
      <c r="H3354" s="2">
        <v>46223</v>
      </c>
      <c r="I3354" s="2"/>
      <c r="J3354" s="2">
        <v>50476</v>
      </c>
      <c r="K3354" s="2"/>
      <c r="L3354" s="2">
        <v>45897</v>
      </c>
      <c r="M3354" s="2"/>
      <c r="N3354" s="2">
        <v>50798</v>
      </c>
      <c r="P3354" s="2">
        <v>46112</v>
      </c>
      <c r="Q3354" s="2"/>
      <c r="R3354" s="2">
        <v>50586</v>
      </c>
      <c r="AB3354" s="2"/>
    </row>
    <row r="3355" spans="8:28" ht="15" customHeight="1">
      <c r="H3355" s="2">
        <v>46220</v>
      </c>
      <c r="I3355" s="2"/>
      <c r="J3355" s="2">
        <v>50479</v>
      </c>
      <c r="K3355" s="2"/>
      <c r="L3355" s="2">
        <v>45896</v>
      </c>
      <c r="M3355" s="2"/>
      <c r="N3355" s="2">
        <v>50801</v>
      </c>
      <c r="P3355" s="2">
        <v>46111</v>
      </c>
      <c r="Q3355" s="2"/>
      <c r="R3355" s="2">
        <v>50587</v>
      </c>
      <c r="AB3355" s="2"/>
    </row>
    <row r="3356" spans="8:28" ht="15" customHeight="1">
      <c r="H3356" s="2">
        <v>46219</v>
      </c>
      <c r="I3356" s="2"/>
      <c r="J3356" s="2">
        <v>50480</v>
      </c>
      <c r="K3356" s="2"/>
      <c r="L3356" s="2">
        <v>45895</v>
      </c>
      <c r="M3356" s="2"/>
      <c r="N3356" s="2">
        <v>50802</v>
      </c>
      <c r="P3356" s="2">
        <v>46108</v>
      </c>
      <c r="Q3356" s="2"/>
      <c r="R3356" s="2">
        <v>50588</v>
      </c>
      <c r="AB3356" s="2"/>
    </row>
    <row r="3357" spans="8:28" ht="15" customHeight="1">
      <c r="H3357" s="2">
        <v>46218</v>
      </c>
      <c r="I3357" s="2"/>
      <c r="J3357" s="2">
        <v>50481</v>
      </c>
      <c r="K3357" s="2"/>
      <c r="L3357" s="2">
        <v>45894</v>
      </c>
      <c r="M3357" s="2"/>
      <c r="N3357" s="2">
        <v>50803</v>
      </c>
      <c r="P3357" s="2">
        <v>46107</v>
      </c>
      <c r="Q3357" s="2"/>
      <c r="R3357" s="2">
        <v>50591</v>
      </c>
      <c r="AB3357" s="2"/>
    </row>
    <row r="3358" spans="8:28" ht="15" customHeight="1">
      <c r="H3358" s="2">
        <v>46217</v>
      </c>
      <c r="I3358" s="2"/>
      <c r="J3358" s="2">
        <v>50482</v>
      </c>
      <c r="K3358" s="2"/>
      <c r="L3358" s="2">
        <v>45891</v>
      </c>
      <c r="M3358" s="2"/>
      <c r="N3358" s="2">
        <v>50804</v>
      </c>
      <c r="P3358" s="2">
        <v>46106</v>
      </c>
      <c r="Q3358" s="2"/>
      <c r="R3358" s="2">
        <v>50592</v>
      </c>
      <c r="AB3358" s="2"/>
    </row>
    <row r="3359" spans="8:28" ht="15" customHeight="1">
      <c r="H3359" s="2">
        <v>46216</v>
      </c>
      <c r="I3359" s="2"/>
      <c r="J3359" s="2">
        <v>50483</v>
      </c>
      <c r="K3359" s="2"/>
      <c r="L3359" s="2">
        <v>45890</v>
      </c>
      <c r="M3359" s="2"/>
      <c r="N3359" s="2">
        <v>50805</v>
      </c>
      <c r="P3359" s="2">
        <v>46105</v>
      </c>
      <c r="Q3359" s="2"/>
      <c r="R3359" s="2">
        <v>50593</v>
      </c>
      <c r="AB3359" s="2"/>
    </row>
    <row r="3360" spans="8:28" ht="15" customHeight="1">
      <c r="H3360" s="2">
        <v>46213</v>
      </c>
      <c r="I3360" s="2"/>
      <c r="J3360" s="2">
        <v>50486</v>
      </c>
      <c r="K3360" s="2"/>
      <c r="L3360" s="2">
        <v>45889</v>
      </c>
      <c r="M3360" s="2"/>
      <c r="N3360" s="2">
        <v>50808</v>
      </c>
      <c r="P3360" s="2">
        <v>46104</v>
      </c>
      <c r="Q3360" s="2"/>
      <c r="R3360" s="2">
        <v>50594</v>
      </c>
      <c r="AB3360" s="2"/>
    </row>
    <row r="3361" spans="8:28" ht="15" customHeight="1">
      <c r="H3361" s="2">
        <v>46212</v>
      </c>
      <c r="I3361" s="2"/>
      <c r="J3361" s="2">
        <v>50487</v>
      </c>
      <c r="K3361" s="2"/>
      <c r="L3361" s="2">
        <v>45888</v>
      </c>
      <c r="M3361" s="2"/>
      <c r="N3361" s="2">
        <v>50809</v>
      </c>
      <c r="P3361" s="2">
        <v>46101</v>
      </c>
      <c r="Q3361" s="2"/>
      <c r="R3361" s="2">
        <v>50595</v>
      </c>
      <c r="AB3361" s="2"/>
    </row>
    <row r="3362" spans="8:28" ht="15" customHeight="1">
      <c r="H3362" s="2">
        <v>46211</v>
      </c>
      <c r="I3362" s="2"/>
      <c r="J3362" s="2">
        <v>50488</v>
      </c>
      <c r="K3362" s="2"/>
      <c r="L3362" s="2">
        <v>45887</v>
      </c>
      <c r="M3362" s="2"/>
      <c r="N3362" s="2">
        <v>50810</v>
      </c>
      <c r="P3362" s="2">
        <v>46100</v>
      </c>
      <c r="Q3362" s="2"/>
      <c r="R3362" s="2">
        <v>50598</v>
      </c>
      <c r="AB3362" s="2"/>
    </row>
    <row r="3363" spans="8:28" ht="15" customHeight="1">
      <c r="H3363" s="2">
        <v>46210</v>
      </c>
      <c r="I3363" s="2"/>
      <c r="J3363" s="2">
        <v>50489</v>
      </c>
      <c r="K3363" s="2"/>
      <c r="L3363" s="2">
        <v>45884</v>
      </c>
      <c r="M3363" s="2"/>
      <c r="N3363" s="2">
        <v>50811</v>
      </c>
      <c r="P3363" s="2">
        <v>46099</v>
      </c>
      <c r="Q3363" s="2"/>
      <c r="R3363" s="2">
        <v>50599</v>
      </c>
      <c r="AB3363" s="2"/>
    </row>
    <row r="3364" spans="8:28" ht="15" customHeight="1">
      <c r="H3364" s="2">
        <v>46209</v>
      </c>
      <c r="I3364" s="2"/>
      <c r="J3364" s="2">
        <v>50490</v>
      </c>
      <c r="K3364" s="2"/>
      <c r="L3364" s="2">
        <v>45883</v>
      </c>
      <c r="M3364" s="2"/>
      <c r="N3364" s="2">
        <v>50815</v>
      </c>
      <c r="P3364" s="2">
        <v>46098</v>
      </c>
      <c r="Q3364" s="2"/>
      <c r="R3364" s="2">
        <v>50600</v>
      </c>
      <c r="AB3364" s="2"/>
    </row>
    <row r="3365" spans="8:28" ht="15" customHeight="1">
      <c r="H3365" s="2">
        <v>46205</v>
      </c>
      <c r="I3365" s="2"/>
      <c r="J3365" s="2">
        <v>50493</v>
      </c>
      <c r="K3365" s="2"/>
      <c r="L3365" s="2">
        <v>45882</v>
      </c>
      <c r="M3365" s="2"/>
      <c r="N3365" s="2">
        <v>50816</v>
      </c>
      <c r="P3365" s="2">
        <v>46097</v>
      </c>
      <c r="Q3365" s="2"/>
      <c r="R3365" s="2">
        <v>50601</v>
      </c>
      <c r="AB3365" s="2"/>
    </row>
    <row r="3366" spans="8:28" ht="15" customHeight="1">
      <c r="H3366" s="2">
        <v>46204</v>
      </c>
      <c r="I3366" s="2"/>
      <c r="J3366" s="2">
        <v>50494</v>
      </c>
      <c r="K3366" s="2"/>
      <c r="L3366" s="2">
        <v>45881</v>
      </c>
      <c r="M3366" s="2"/>
      <c r="N3366" s="2">
        <v>50817</v>
      </c>
      <c r="P3366" s="2">
        <v>46094</v>
      </c>
      <c r="Q3366" s="2"/>
      <c r="R3366" s="2">
        <v>50602</v>
      </c>
      <c r="AB3366" s="2"/>
    </row>
    <row r="3367" spans="8:28" ht="15" customHeight="1">
      <c r="H3367" s="2">
        <v>46203</v>
      </c>
      <c r="I3367" s="2"/>
      <c r="J3367" s="2">
        <v>50495</v>
      </c>
      <c r="K3367" s="2"/>
      <c r="L3367" s="2">
        <v>45877</v>
      </c>
      <c r="M3367" s="2"/>
      <c r="N3367" s="2">
        <v>50818</v>
      </c>
      <c r="P3367" s="2">
        <v>46093</v>
      </c>
      <c r="Q3367" s="2"/>
      <c r="R3367" s="2">
        <v>50605</v>
      </c>
      <c r="AB3367" s="2"/>
    </row>
    <row r="3368" spans="8:28" ht="15" customHeight="1">
      <c r="H3368" s="2">
        <v>46202</v>
      </c>
      <c r="I3368" s="2"/>
      <c r="J3368" s="2">
        <v>50496</v>
      </c>
      <c r="K3368" s="2"/>
      <c r="L3368" s="2">
        <v>45876</v>
      </c>
      <c r="M3368" s="2"/>
      <c r="N3368" s="2">
        <v>50819</v>
      </c>
      <c r="P3368" s="2">
        <v>46092</v>
      </c>
      <c r="Q3368" s="2"/>
      <c r="R3368" s="2">
        <v>50606</v>
      </c>
      <c r="AB3368" s="2"/>
    </row>
    <row r="3369" spans="8:28" ht="15" customHeight="1">
      <c r="H3369" s="2">
        <v>46199</v>
      </c>
      <c r="I3369" s="2"/>
      <c r="J3369" s="2">
        <v>50497</v>
      </c>
      <c r="K3369" s="2"/>
      <c r="L3369" s="2">
        <v>45875</v>
      </c>
      <c r="M3369" s="2"/>
      <c r="N3369" s="2">
        <v>50823</v>
      </c>
      <c r="P3369" s="2">
        <v>46091</v>
      </c>
      <c r="Q3369" s="2"/>
      <c r="R3369" s="2">
        <v>50607</v>
      </c>
      <c r="AB3369" s="2"/>
    </row>
    <row r="3370" spans="8:28" ht="15" customHeight="1">
      <c r="H3370" s="2">
        <v>46198</v>
      </c>
      <c r="I3370" s="2"/>
      <c r="J3370" s="2">
        <v>50500</v>
      </c>
      <c r="K3370" s="2"/>
      <c r="L3370" s="2">
        <v>45874</v>
      </c>
      <c r="M3370" s="2"/>
      <c r="N3370" s="2">
        <v>50825</v>
      </c>
      <c r="P3370" s="2">
        <v>46090</v>
      </c>
      <c r="Q3370" s="2"/>
      <c r="R3370" s="2">
        <v>50608</v>
      </c>
      <c r="AB3370" s="2"/>
    </row>
    <row r="3371" spans="8:28" ht="15" customHeight="1">
      <c r="H3371" s="2">
        <v>46197</v>
      </c>
      <c r="I3371" s="2"/>
      <c r="J3371" s="2">
        <v>50501</v>
      </c>
      <c r="K3371" s="2"/>
      <c r="L3371" s="2">
        <v>45873</v>
      </c>
      <c r="M3371" s="2"/>
      <c r="N3371" s="2">
        <v>50826</v>
      </c>
      <c r="P3371" s="2">
        <v>46087</v>
      </c>
      <c r="Q3371" s="2"/>
      <c r="R3371" s="2">
        <v>50609</v>
      </c>
      <c r="AB3371" s="2"/>
    </row>
    <row r="3372" spans="8:28" ht="15" customHeight="1">
      <c r="H3372" s="2">
        <v>46196</v>
      </c>
      <c r="I3372" s="2"/>
      <c r="J3372" s="2">
        <v>50502</v>
      </c>
      <c r="K3372" s="2"/>
      <c r="L3372" s="2">
        <v>45870</v>
      </c>
      <c r="M3372" s="2"/>
      <c r="N3372" s="2">
        <v>50829</v>
      </c>
      <c r="P3372" s="2">
        <v>46086</v>
      </c>
      <c r="Q3372" s="2"/>
      <c r="R3372" s="2">
        <v>50612</v>
      </c>
      <c r="AB3372" s="2"/>
    </row>
    <row r="3373" spans="8:28" ht="15" customHeight="1">
      <c r="H3373" s="2">
        <v>46195</v>
      </c>
      <c r="I3373" s="2"/>
      <c r="J3373" s="2">
        <v>50503</v>
      </c>
      <c r="K3373" s="2"/>
      <c r="L3373" s="2">
        <v>45869</v>
      </c>
      <c r="M3373" s="2"/>
      <c r="N3373" s="2">
        <v>50830</v>
      </c>
      <c r="P3373" s="2">
        <v>46085</v>
      </c>
      <c r="Q3373" s="2"/>
      <c r="R3373" s="2">
        <v>50613</v>
      </c>
      <c r="AB3373" s="2"/>
    </row>
    <row r="3374" spans="8:28" ht="15" customHeight="1">
      <c r="H3374" s="2">
        <v>46191</v>
      </c>
      <c r="I3374" s="2"/>
      <c r="J3374" s="2">
        <v>50504</v>
      </c>
      <c r="K3374" s="2"/>
      <c r="L3374" s="2">
        <v>45868</v>
      </c>
      <c r="M3374" s="2"/>
      <c r="N3374" s="2">
        <v>50831</v>
      </c>
      <c r="P3374" s="2">
        <v>46084</v>
      </c>
      <c r="Q3374" s="2"/>
      <c r="R3374" s="2">
        <v>50614</v>
      </c>
      <c r="AB3374" s="2"/>
    </row>
    <row r="3375" spans="8:28" ht="15" customHeight="1">
      <c r="H3375" s="2">
        <v>46190</v>
      </c>
      <c r="I3375" s="2"/>
      <c r="J3375" s="2">
        <v>50507</v>
      </c>
      <c r="K3375" s="2"/>
      <c r="L3375" s="2">
        <v>45867</v>
      </c>
      <c r="M3375" s="2"/>
      <c r="N3375" s="2">
        <v>50832</v>
      </c>
      <c r="P3375" s="2">
        <v>46080</v>
      </c>
      <c r="Q3375" s="2"/>
      <c r="R3375" s="2">
        <v>50615</v>
      </c>
      <c r="AB3375" s="2"/>
    </row>
    <row r="3376" spans="8:28" ht="15" customHeight="1">
      <c r="H3376" s="2">
        <v>46189</v>
      </c>
      <c r="I3376" s="2"/>
      <c r="J3376" s="2">
        <v>50508</v>
      </c>
      <c r="K3376" s="2"/>
      <c r="L3376" s="2">
        <v>45866</v>
      </c>
      <c r="M3376" s="2"/>
      <c r="N3376" s="2">
        <v>50833</v>
      </c>
      <c r="P3376" s="2">
        <v>46079</v>
      </c>
      <c r="Q3376" s="2"/>
      <c r="R3376" s="2">
        <v>50616</v>
      </c>
      <c r="AB3376" s="2"/>
    </row>
    <row r="3377" spans="8:28" ht="15" customHeight="1">
      <c r="H3377" s="2">
        <v>46188</v>
      </c>
      <c r="I3377" s="2"/>
      <c r="J3377" s="2">
        <v>50509</v>
      </c>
      <c r="K3377" s="2"/>
      <c r="L3377" s="2">
        <v>45863</v>
      </c>
      <c r="M3377" s="2"/>
      <c r="N3377" s="2">
        <v>50836</v>
      </c>
      <c r="P3377" s="2">
        <v>46078</v>
      </c>
      <c r="Q3377" s="2"/>
      <c r="R3377" s="2">
        <v>50619</v>
      </c>
      <c r="AB3377" s="2"/>
    </row>
    <row r="3378" spans="8:28" ht="15" customHeight="1">
      <c r="H3378" s="2">
        <v>46185</v>
      </c>
      <c r="I3378" s="2"/>
      <c r="J3378" s="2">
        <v>50510</v>
      </c>
      <c r="K3378" s="2"/>
      <c r="L3378" s="2">
        <v>45862</v>
      </c>
      <c r="M3378" s="2"/>
      <c r="N3378" s="2">
        <v>50837</v>
      </c>
      <c r="P3378" s="2">
        <v>46077</v>
      </c>
      <c r="Q3378" s="2"/>
      <c r="R3378" s="2">
        <v>50620</v>
      </c>
      <c r="AB3378" s="2"/>
    </row>
    <row r="3379" spans="8:28" ht="15" customHeight="1">
      <c r="H3379" s="2">
        <v>46184</v>
      </c>
      <c r="I3379" s="2"/>
      <c r="J3379" s="2">
        <v>50511</v>
      </c>
      <c r="K3379" s="2"/>
      <c r="L3379" s="2">
        <v>45861</v>
      </c>
      <c r="M3379" s="2"/>
      <c r="N3379" s="2">
        <v>50838</v>
      </c>
      <c r="P3379" s="2">
        <v>46076</v>
      </c>
      <c r="Q3379" s="2"/>
      <c r="R3379" s="2">
        <v>50621</v>
      </c>
      <c r="AB3379" s="2"/>
    </row>
    <row r="3380" spans="8:28" ht="15" customHeight="1">
      <c r="H3380" s="2">
        <v>46183</v>
      </c>
      <c r="I3380" s="2"/>
      <c r="J3380" s="2">
        <v>50514</v>
      </c>
      <c r="K3380" s="2"/>
      <c r="L3380" s="2">
        <v>45860</v>
      </c>
      <c r="M3380" s="2"/>
      <c r="N3380" s="2">
        <v>50839</v>
      </c>
      <c r="P3380" s="2">
        <v>46073</v>
      </c>
      <c r="Q3380" s="2"/>
      <c r="R3380" s="2">
        <v>50622</v>
      </c>
      <c r="AB3380" s="2"/>
    </row>
    <row r="3381" spans="8:28" ht="15" customHeight="1">
      <c r="H3381" s="2">
        <v>46182</v>
      </c>
      <c r="I3381" s="2"/>
      <c r="J3381" s="2">
        <v>50515</v>
      </c>
      <c r="K3381" s="2"/>
      <c r="L3381" s="2">
        <v>45856</v>
      </c>
      <c r="M3381" s="2"/>
      <c r="N3381" s="2">
        <v>50840</v>
      </c>
      <c r="P3381" s="2">
        <v>46072</v>
      </c>
      <c r="Q3381" s="2"/>
      <c r="R3381" s="2">
        <v>50623</v>
      </c>
      <c r="AB3381" s="2"/>
    </row>
    <row r="3382" spans="8:28" ht="15" customHeight="1">
      <c r="H3382" s="2">
        <v>46181</v>
      </c>
      <c r="I3382" s="2"/>
      <c r="J3382" s="2">
        <v>50516</v>
      </c>
      <c r="K3382" s="2"/>
      <c r="L3382" s="2">
        <v>45855</v>
      </c>
      <c r="M3382" s="2"/>
      <c r="N3382" s="2">
        <v>50843</v>
      </c>
      <c r="P3382" s="2">
        <v>46066</v>
      </c>
      <c r="Q3382" s="2"/>
      <c r="R3382" s="2">
        <v>50626</v>
      </c>
      <c r="AB3382" s="2"/>
    </row>
    <row r="3383" spans="8:28" ht="15" customHeight="1">
      <c r="H3383" s="2">
        <v>46178</v>
      </c>
      <c r="I3383" s="2"/>
      <c r="J3383" s="2">
        <v>50517</v>
      </c>
      <c r="K3383" s="2"/>
      <c r="L3383" s="2">
        <v>45854</v>
      </c>
      <c r="M3383" s="2"/>
      <c r="N3383" s="2">
        <v>50844</v>
      </c>
      <c r="P3383" s="2">
        <v>46065</v>
      </c>
      <c r="Q3383" s="2"/>
      <c r="R3383" s="2">
        <v>50627</v>
      </c>
      <c r="AB3383" s="2"/>
    </row>
    <row r="3384" spans="8:28" ht="15" customHeight="1">
      <c r="H3384" s="2">
        <v>46177</v>
      </c>
      <c r="I3384" s="2"/>
      <c r="J3384" s="2">
        <v>50521</v>
      </c>
      <c r="K3384" s="2"/>
      <c r="L3384" s="2">
        <v>45853</v>
      </c>
      <c r="M3384" s="2"/>
      <c r="N3384" s="2">
        <v>50845</v>
      </c>
      <c r="P3384" s="2">
        <v>46064</v>
      </c>
      <c r="Q3384" s="2"/>
      <c r="R3384" s="2">
        <v>50628</v>
      </c>
      <c r="AB3384" s="2"/>
    </row>
    <row r="3385" spans="8:28" ht="15" customHeight="1">
      <c r="H3385" s="2">
        <v>46176</v>
      </c>
      <c r="I3385" s="2"/>
      <c r="J3385" s="2">
        <v>50522</v>
      </c>
      <c r="K3385" s="2"/>
      <c r="L3385" s="2">
        <v>45852</v>
      </c>
      <c r="M3385" s="2"/>
      <c r="N3385" s="2">
        <v>50846</v>
      </c>
      <c r="P3385" s="2">
        <v>46063</v>
      </c>
      <c r="Q3385" s="2"/>
      <c r="R3385" s="2">
        <v>50629</v>
      </c>
      <c r="AB3385" s="2"/>
    </row>
    <row r="3386" spans="8:28" ht="15" customHeight="1">
      <c r="H3386" s="2">
        <v>46175</v>
      </c>
      <c r="I3386" s="2"/>
      <c r="J3386" s="2">
        <v>50523</v>
      </c>
      <c r="K3386" s="2"/>
      <c r="L3386" s="2">
        <v>45849</v>
      </c>
      <c r="M3386" s="2"/>
      <c r="N3386" s="2">
        <v>50847</v>
      </c>
      <c r="P3386" s="2">
        <v>46062</v>
      </c>
      <c r="Q3386" s="2"/>
      <c r="R3386" s="2">
        <v>50630</v>
      </c>
      <c r="AB3386" s="2"/>
    </row>
    <row r="3387" spans="8:28" ht="15" customHeight="1">
      <c r="H3387" s="2">
        <v>46174</v>
      </c>
      <c r="I3387" s="2"/>
      <c r="J3387" s="2">
        <v>50524</v>
      </c>
      <c r="K3387" s="2"/>
      <c r="L3387" s="2">
        <v>45848</v>
      </c>
      <c r="M3387" s="2"/>
      <c r="N3387" s="2">
        <v>50851</v>
      </c>
      <c r="P3387" s="2">
        <v>46059</v>
      </c>
      <c r="Q3387" s="2"/>
      <c r="R3387" s="2">
        <v>50634</v>
      </c>
      <c r="AB3387" s="2"/>
    </row>
    <row r="3388" spans="8:28" ht="15" customHeight="1">
      <c r="H3388" s="2">
        <v>46171</v>
      </c>
      <c r="I3388" s="2"/>
      <c r="J3388" s="2">
        <v>50525</v>
      </c>
      <c r="K3388" s="2"/>
      <c r="L3388" s="2">
        <v>45847</v>
      </c>
      <c r="M3388" s="2"/>
      <c r="N3388" s="2">
        <v>50852</v>
      </c>
      <c r="P3388" s="2">
        <v>46058</v>
      </c>
      <c r="Q3388" s="2"/>
      <c r="R3388" s="2">
        <v>50635</v>
      </c>
      <c r="AB3388" s="2"/>
    </row>
    <row r="3389" spans="8:28" ht="15" customHeight="1">
      <c r="H3389" s="2">
        <v>46170</v>
      </c>
      <c r="I3389" s="2"/>
      <c r="J3389" s="2">
        <v>50528</v>
      </c>
      <c r="K3389" s="2"/>
      <c r="L3389" s="2">
        <v>45846</v>
      </c>
      <c r="M3389" s="2"/>
      <c r="N3389" s="2">
        <v>50853</v>
      </c>
      <c r="P3389" s="2">
        <v>46057</v>
      </c>
      <c r="Q3389" s="2"/>
      <c r="R3389" s="2">
        <v>50636</v>
      </c>
      <c r="AB3389" s="2"/>
    </row>
    <row r="3390" spans="8:28" ht="15" customHeight="1">
      <c r="H3390" s="2">
        <v>46169</v>
      </c>
      <c r="I3390" s="2"/>
      <c r="J3390" s="2">
        <v>50529</v>
      </c>
      <c r="K3390" s="2"/>
      <c r="L3390" s="2">
        <v>45845</v>
      </c>
      <c r="M3390" s="2"/>
      <c r="N3390" s="2">
        <v>50854</v>
      </c>
      <c r="P3390" s="2">
        <v>46056</v>
      </c>
      <c r="Q3390" s="2"/>
      <c r="R3390" s="2">
        <v>50637</v>
      </c>
      <c r="AB3390" s="2"/>
    </row>
    <row r="3391" spans="8:28" ht="15" customHeight="1">
      <c r="H3391" s="2">
        <v>46168</v>
      </c>
      <c r="I3391" s="2"/>
      <c r="J3391" s="2">
        <v>50530</v>
      </c>
      <c r="K3391" s="2"/>
      <c r="L3391" s="2">
        <v>45841</v>
      </c>
      <c r="M3391" s="2"/>
      <c r="N3391" s="2">
        <v>50857</v>
      </c>
      <c r="P3391" s="2">
        <v>46055</v>
      </c>
      <c r="Q3391" s="2"/>
      <c r="R3391" s="2">
        <v>50640</v>
      </c>
      <c r="AB3391" s="2"/>
    </row>
    <row r="3392" spans="8:28" ht="15" customHeight="1">
      <c r="H3392" s="2">
        <v>46164</v>
      </c>
      <c r="I3392" s="2"/>
      <c r="J3392" s="2">
        <v>50531</v>
      </c>
      <c r="K3392" s="2"/>
      <c r="L3392" s="2">
        <v>45840</v>
      </c>
      <c r="M3392" s="2"/>
      <c r="N3392" s="2">
        <v>50858</v>
      </c>
      <c r="P3392" s="2">
        <v>46052</v>
      </c>
      <c r="Q3392" s="2"/>
      <c r="R3392" s="2">
        <v>50641</v>
      </c>
      <c r="AB3392" s="2"/>
    </row>
    <row r="3393" spans="8:28" ht="15" customHeight="1">
      <c r="H3393" s="2">
        <v>46163</v>
      </c>
      <c r="I3393" s="2"/>
      <c r="J3393" s="2">
        <v>50532</v>
      </c>
      <c r="K3393" s="2"/>
      <c r="L3393" s="2">
        <v>45839</v>
      </c>
      <c r="M3393" s="2"/>
      <c r="N3393" s="2">
        <v>50859</v>
      </c>
      <c r="P3393" s="2">
        <v>46051</v>
      </c>
      <c r="Q3393" s="2"/>
      <c r="R3393" s="2">
        <v>50642</v>
      </c>
      <c r="AB3393" s="2"/>
    </row>
    <row r="3394" spans="8:28" ht="15" customHeight="1">
      <c r="H3394" s="2">
        <v>46162</v>
      </c>
      <c r="I3394" s="2"/>
      <c r="J3394" s="2">
        <v>50535</v>
      </c>
      <c r="K3394" s="2"/>
      <c r="L3394" s="2">
        <v>45838</v>
      </c>
      <c r="M3394" s="2"/>
      <c r="N3394" s="2">
        <v>50860</v>
      </c>
      <c r="P3394" s="2">
        <v>46050</v>
      </c>
      <c r="Q3394" s="2"/>
      <c r="R3394" s="2">
        <v>50643</v>
      </c>
      <c r="AB3394" s="2"/>
    </row>
    <row r="3395" spans="8:28" ht="15" customHeight="1">
      <c r="H3395" s="2">
        <v>46161</v>
      </c>
      <c r="I3395" s="2"/>
      <c r="J3395" s="2">
        <v>50536</v>
      </c>
      <c r="K3395" s="2"/>
      <c r="L3395" s="2">
        <v>45835</v>
      </c>
      <c r="M3395" s="2"/>
      <c r="N3395" s="2">
        <v>50861</v>
      </c>
      <c r="P3395" s="2">
        <v>46049</v>
      </c>
      <c r="Q3395" s="2"/>
      <c r="R3395" s="2">
        <v>50644</v>
      </c>
      <c r="AB3395" s="2"/>
    </row>
    <row r="3396" spans="8:28" ht="15" customHeight="1">
      <c r="H3396" s="2">
        <v>46160</v>
      </c>
      <c r="I3396" s="2"/>
      <c r="J3396" s="2">
        <v>50537</v>
      </c>
      <c r="K3396" s="2"/>
      <c r="L3396" s="2">
        <v>45834</v>
      </c>
      <c r="M3396" s="2"/>
      <c r="N3396" s="2">
        <v>50864</v>
      </c>
      <c r="P3396" s="2">
        <v>46048</v>
      </c>
      <c r="Q3396" s="2"/>
      <c r="R3396" s="2">
        <v>50647</v>
      </c>
      <c r="AB3396" s="2"/>
    </row>
    <row r="3397" spans="8:28" ht="15" customHeight="1">
      <c r="H3397" s="2">
        <v>46157</v>
      </c>
      <c r="I3397" s="2"/>
      <c r="J3397" s="2">
        <v>50538</v>
      </c>
      <c r="K3397" s="2"/>
      <c r="L3397" s="2">
        <v>45833</v>
      </c>
      <c r="M3397" s="2"/>
      <c r="N3397" s="2">
        <v>50865</v>
      </c>
      <c r="P3397" s="2">
        <v>46045</v>
      </c>
      <c r="Q3397" s="2"/>
      <c r="R3397" s="2">
        <v>50648</v>
      </c>
      <c r="AB3397" s="2"/>
    </row>
    <row r="3398" spans="8:28" ht="15" customHeight="1">
      <c r="H3398" s="2">
        <v>46156</v>
      </c>
      <c r="I3398" s="2"/>
      <c r="J3398" s="2">
        <v>50539</v>
      </c>
      <c r="K3398" s="2"/>
      <c r="L3398" s="2">
        <v>45832</v>
      </c>
      <c r="M3398" s="2"/>
      <c r="N3398" s="2">
        <v>50866</v>
      </c>
      <c r="P3398" s="2">
        <v>46044</v>
      </c>
      <c r="Q3398" s="2"/>
      <c r="R3398" s="2">
        <v>50649</v>
      </c>
      <c r="AB3398" s="2"/>
    </row>
    <row r="3399" spans="8:28" ht="15" customHeight="1">
      <c r="H3399" s="2">
        <v>46155</v>
      </c>
      <c r="I3399" s="2"/>
      <c r="J3399" s="2">
        <v>50542</v>
      </c>
      <c r="K3399" s="2"/>
      <c r="L3399" s="2">
        <v>45831</v>
      </c>
      <c r="M3399" s="2"/>
      <c r="N3399" s="2">
        <v>50867</v>
      </c>
      <c r="P3399" s="2">
        <v>46043</v>
      </c>
      <c r="Q3399" s="2"/>
      <c r="R3399" s="2">
        <v>50650</v>
      </c>
      <c r="AB3399" s="2"/>
    </row>
    <row r="3400" spans="8:28" ht="15" customHeight="1">
      <c r="H3400" s="2">
        <v>46154</v>
      </c>
      <c r="I3400" s="2"/>
      <c r="J3400" s="2">
        <v>50543</v>
      </c>
      <c r="K3400" s="2"/>
      <c r="L3400" s="2">
        <v>45828</v>
      </c>
      <c r="M3400" s="2"/>
      <c r="N3400" s="2">
        <v>50871</v>
      </c>
      <c r="P3400" s="2">
        <v>46042</v>
      </c>
      <c r="Q3400" s="2"/>
      <c r="R3400" s="2">
        <v>50651</v>
      </c>
      <c r="AB3400" s="2"/>
    </row>
    <row r="3401" spans="8:28" ht="15" customHeight="1">
      <c r="H3401" s="2">
        <v>46153</v>
      </c>
      <c r="I3401" s="2"/>
      <c r="J3401" s="2">
        <v>50544</v>
      </c>
      <c r="K3401" s="2"/>
      <c r="L3401" s="2">
        <v>45826</v>
      </c>
      <c r="M3401" s="2"/>
      <c r="N3401" s="2">
        <v>50872</v>
      </c>
      <c r="P3401" s="2">
        <v>46041</v>
      </c>
      <c r="Q3401" s="2"/>
      <c r="R3401" s="2">
        <v>50654</v>
      </c>
      <c r="AB3401" s="2"/>
    </row>
    <row r="3402" spans="8:28" ht="15" customHeight="1">
      <c r="H3402" s="2">
        <v>46150</v>
      </c>
      <c r="I3402" s="2"/>
      <c r="J3402" s="2">
        <v>50545</v>
      </c>
      <c r="K3402" s="2"/>
      <c r="L3402" s="2">
        <v>45825</v>
      </c>
      <c r="M3402" s="2"/>
      <c r="N3402" s="2">
        <v>50873</v>
      </c>
      <c r="P3402" s="2">
        <v>46038</v>
      </c>
      <c r="Q3402" s="2"/>
      <c r="R3402" s="2">
        <v>50655</v>
      </c>
      <c r="AB3402" s="2"/>
    </row>
    <row r="3403" spans="8:28" ht="15" customHeight="1">
      <c r="H3403" s="2">
        <v>46149</v>
      </c>
      <c r="I3403" s="2"/>
      <c r="J3403" s="2">
        <v>50546</v>
      </c>
      <c r="K3403" s="2"/>
      <c r="L3403" s="2">
        <v>45824</v>
      </c>
      <c r="M3403" s="2"/>
      <c r="N3403" s="2">
        <v>50874</v>
      </c>
      <c r="P3403" s="2">
        <v>46037</v>
      </c>
      <c r="Q3403" s="2"/>
      <c r="R3403" s="2">
        <v>50656</v>
      </c>
      <c r="AB3403" s="2"/>
    </row>
    <row r="3404" spans="8:28" ht="15" customHeight="1">
      <c r="H3404" s="2">
        <v>46148</v>
      </c>
      <c r="I3404" s="2"/>
      <c r="J3404" s="2">
        <v>50549</v>
      </c>
      <c r="K3404" s="2"/>
      <c r="L3404" s="2">
        <v>45821</v>
      </c>
      <c r="M3404" s="2"/>
      <c r="N3404" s="2">
        <v>50875</v>
      </c>
      <c r="P3404" s="2">
        <v>46036</v>
      </c>
      <c r="Q3404" s="2"/>
      <c r="R3404" s="2">
        <v>50657</v>
      </c>
      <c r="AB3404" s="2"/>
    </row>
    <row r="3405" spans="8:28" ht="15" customHeight="1">
      <c r="H3405" s="2">
        <v>46147</v>
      </c>
      <c r="I3405" s="2"/>
      <c r="J3405" s="2">
        <v>50550</v>
      </c>
      <c r="K3405" s="2"/>
      <c r="L3405" s="2">
        <v>45820</v>
      </c>
      <c r="M3405" s="2"/>
      <c r="N3405" s="2">
        <v>50878</v>
      </c>
      <c r="P3405" s="2">
        <v>46035</v>
      </c>
      <c r="Q3405" s="2"/>
      <c r="R3405" s="2">
        <v>50658</v>
      </c>
      <c r="AB3405" s="2"/>
    </row>
    <row r="3406" spans="8:28" ht="15" customHeight="1">
      <c r="H3406" s="2">
        <v>46146</v>
      </c>
      <c r="I3406" s="2"/>
      <c r="J3406" s="2">
        <v>50551</v>
      </c>
      <c r="K3406" s="2"/>
      <c r="L3406" s="2">
        <v>45819</v>
      </c>
      <c r="M3406" s="2"/>
      <c r="N3406" s="2">
        <v>50879</v>
      </c>
      <c r="P3406" s="2">
        <v>46034</v>
      </c>
      <c r="Q3406" s="2"/>
      <c r="R3406" s="2">
        <v>50664</v>
      </c>
      <c r="AB3406" s="2"/>
    </row>
    <row r="3407" spans="8:28" ht="15" customHeight="1">
      <c r="H3407" s="2">
        <v>46143</v>
      </c>
      <c r="I3407" s="2"/>
      <c r="J3407" s="2">
        <v>50552</v>
      </c>
      <c r="K3407" s="2"/>
      <c r="L3407" s="2">
        <v>45818</v>
      </c>
      <c r="M3407" s="2"/>
      <c r="N3407" s="2">
        <v>50880</v>
      </c>
      <c r="P3407" s="2">
        <v>46031</v>
      </c>
      <c r="Q3407" s="2"/>
      <c r="R3407" s="2">
        <v>50665</v>
      </c>
      <c r="AB3407" s="2"/>
    </row>
    <row r="3408" spans="8:28" ht="15" customHeight="1">
      <c r="H3408" s="2">
        <v>46142</v>
      </c>
      <c r="I3408" s="2"/>
      <c r="J3408" s="2">
        <v>50553</v>
      </c>
      <c r="K3408" s="2"/>
      <c r="L3408" s="2">
        <v>45817</v>
      </c>
      <c r="M3408" s="2"/>
      <c r="N3408" s="2">
        <v>50881</v>
      </c>
      <c r="P3408" s="2">
        <v>46030</v>
      </c>
      <c r="Q3408" s="2"/>
      <c r="R3408" s="2">
        <v>50668</v>
      </c>
      <c r="AB3408" s="2"/>
    </row>
    <row r="3409" spans="8:28" ht="15" customHeight="1">
      <c r="H3409" s="2">
        <v>46141</v>
      </c>
      <c r="I3409" s="2"/>
      <c r="J3409" s="2">
        <v>50557</v>
      </c>
      <c r="K3409" s="2"/>
      <c r="L3409" s="2">
        <v>45814</v>
      </c>
      <c r="M3409" s="2"/>
      <c r="N3409" s="2">
        <v>50882</v>
      </c>
      <c r="P3409" s="2">
        <v>46029</v>
      </c>
      <c r="Q3409" s="2"/>
      <c r="R3409" s="2">
        <v>50669</v>
      </c>
      <c r="AB3409" s="2"/>
    </row>
    <row r="3410" spans="8:28" ht="15" customHeight="1">
      <c r="H3410" s="2">
        <v>46140</v>
      </c>
      <c r="I3410" s="2"/>
      <c r="J3410" s="2">
        <v>50558</v>
      </c>
      <c r="K3410" s="2"/>
      <c r="L3410" s="2">
        <v>45813</v>
      </c>
      <c r="M3410" s="2"/>
      <c r="N3410" s="2">
        <v>50885</v>
      </c>
      <c r="P3410" s="2">
        <v>46028</v>
      </c>
      <c r="Q3410" s="2"/>
      <c r="R3410" s="2">
        <v>50670</v>
      </c>
      <c r="AB3410" s="2"/>
    </row>
    <row r="3411" spans="8:28" ht="15" customHeight="1">
      <c r="H3411" s="2">
        <v>46139</v>
      </c>
      <c r="I3411" s="2"/>
      <c r="J3411" s="2">
        <v>50559</v>
      </c>
      <c r="K3411" s="2"/>
      <c r="L3411" s="2">
        <v>45812</v>
      </c>
      <c r="M3411" s="2"/>
      <c r="N3411" s="2">
        <v>50886</v>
      </c>
      <c r="P3411" s="2">
        <v>46027</v>
      </c>
      <c r="Q3411" s="2"/>
      <c r="R3411" s="2">
        <v>50671</v>
      </c>
      <c r="AB3411" s="2"/>
    </row>
    <row r="3412" spans="8:28" ht="15" customHeight="1">
      <c r="H3412" s="2">
        <v>46136</v>
      </c>
      <c r="I3412" s="2"/>
      <c r="J3412" s="2">
        <v>50560</v>
      </c>
      <c r="K3412" s="2"/>
      <c r="L3412" s="2">
        <v>45811</v>
      </c>
      <c r="M3412" s="2"/>
      <c r="N3412" s="2">
        <v>50887</v>
      </c>
      <c r="P3412" s="2">
        <v>46024</v>
      </c>
      <c r="Q3412" s="2"/>
      <c r="R3412" s="2">
        <v>50672</v>
      </c>
      <c r="AB3412" s="2"/>
    </row>
    <row r="3413" spans="8:28" ht="15" customHeight="1">
      <c r="H3413" s="2">
        <v>46135</v>
      </c>
      <c r="I3413" s="2"/>
      <c r="J3413" s="2">
        <v>50563</v>
      </c>
      <c r="K3413" s="2"/>
      <c r="L3413" s="2">
        <v>45810</v>
      </c>
      <c r="M3413" s="2"/>
      <c r="N3413" s="2">
        <v>50888</v>
      </c>
      <c r="P3413" s="2">
        <v>46021</v>
      </c>
      <c r="Q3413" s="2"/>
      <c r="R3413" s="2">
        <v>50675</v>
      </c>
      <c r="AB3413" s="2"/>
    </row>
    <row r="3414" spans="8:28" ht="15" customHeight="1">
      <c r="H3414" s="2">
        <v>46134</v>
      </c>
      <c r="I3414" s="2"/>
      <c r="J3414" s="2">
        <v>50564</v>
      </c>
      <c r="K3414" s="2"/>
      <c r="L3414" s="2">
        <v>45807</v>
      </c>
      <c r="M3414" s="2"/>
      <c r="N3414" s="2">
        <v>50892</v>
      </c>
      <c r="P3414" s="2">
        <v>46020</v>
      </c>
      <c r="Q3414" s="2"/>
      <c r="R3414" s="2">
        <v>50676</v>
      </c>
      <c r="AB3414" s="2"/>
    </row>
    <row r="3415" spans="8:28" ht="15" customHeight="1">
      <c r="H3415" s="2">
        <v>46133</v>
      </c>
      <c r="I3415" s="2"/>
      <c r="J3415" s="2">
        <v>50565</v>
      </c>
      <c r="K3415" s="2"/>
      <c r="L3415" s="2">
        <v>45806</v>
      </c>
      <c r="M3415" s="2"/>
      <c r="N3415" s="2">
        <v>50896</v>
      </c>
      <c r="P3415" s="2">
        <v>46017</v>
      </c>
      <c r="Q3415" s="2"/>
      <c r="R3415" s="2">
        <v>50677</v>
      </c>
      <c r="AB3415" s="2"/>
    </row>
    <row r="3416" spans="8:28" ht="15" customHeight="1">
      <c r="H3416" s="2">
        <v>46132</v>
      </c>
      <c r="I3416" s="2"/>
      <c r="J3416" s="2">
        <v>50566</v>
      </c>
      <c r="K3416" s="2"/>
      <c r="L3416" s="2">
        <v>45805</v>
      </c>
      <c r="M3416" s="2"/>
      <c r="N3416" s="2">
        <v>50899</v>
      </c>
      <c r="P3416" s="2">
        <v>46015</v>
      </c>
      <c r="Q3416" s="2"/>
      <c r="R3416" s="2">
        <v>50678</v>
      </c>
      <c r="AB3416" s="2"/>
    </row>
    <row r="3417" spans="8:28" ht="15" customHeight="1">
      <c r="H3417" s="2">
        <v>46129</v>
      </c>
      <c r="I3417" s="2"/>
      <c r="J3417" s="2">
        <v>50567</v>
      </c>
      <c r="K3417" s="2"/>
      <c r="L3417" s="2">
        <v>45804</v>
      </c>
      <c r="M3417" s="2"/>
      <c r="N3417" s="2">
        <v>50900</v>
      </c>
      <c r="P3417" s="2">
        <v>46014</v>
      </c>
      <c r="Q3417" s="2"/>
      <c r="R3417" s="2">
        <v>50679</v>
      </c>
      <c r="AB3417" s="2"/>
    </row>
    <row r="3418" spans="8:28" ht="15" customHeight="1">
      <c r="H3418" s="2">
        <v>46128</v>
      </c>
      <c r="I3418" s="2"/>
      <c r="J3418" s="2">
        <v>50570</v>
      </c>
      <c r="K3418" s="2"/>
      <c r="L3418" s="2">
        <v>45800</v>
      </c>
      <c r="M3418" s="2"/>
      <c r="N3418" s="2">
        <v>50901</v>
      </c>
      <c r="P3418" s="2">
        <v>46013</v>
      </c>
      <c r="Q3418" s="2"/>
      <c r="R3418" s="2">
        <v>50683</v>
      </c>
      <c r="AB3418" s="2"/>
    </row>
    <row r="3419" spans="8:28" ht="15" customHeight="1">
      <c r="H3419" s="2">
        <v>46127</v>
      </c>
      <c r="I3419" s="2"/>
      <c r="J3419" s="2">
        <v>50571</v>
      </c>
      <c r="K3419" s="2"/>
      <c r="L3419" s="2">
        <v>45799</v>
      </c>
      <c r="M3419" s="2"/>
      <c r="N3419" s="2">
        <v>50902</v>
      </c>
      <c r="P3419" s="2">
        <v>46010</v>
      </c>
      <c r="Q3419" s="2"/>
      <c r="R3419" s="2">
        <v>50684</v>
      </c>
      <c r="AB3419" s="2"/>
    </row>
    <row r="3420" spans="8:28" ht="15" customHeight="1">
      <c r="H3420" s="2">
        <v>46126</v>
      </c>
      <c r="I3420" s="2"/>
      <c r="J3420" s="2">
        <v>50572</v>
      </c>
      <c r="K3420" s="2"/>
      <c r="L3420" s="2">
        <v>45798</v>
      </c>
      <c r="M3420" s="2"/>
      <c r="N3420" s="2">
        <v>50903</v>
      </c>
      <c r="P3420" s="2">
        <v>46009</v>
      </c>
      <c r="Q3420" s="2"/>
      <c r="R3420" s="2">
        <v>50685</v>
      </c>
      <c r="AB3420" s="2"/>
    </row>
    <row r="3421" spans="8:28" ht="15" customHeight="1">
      <c r="H3421" s="2">
        <v>46125</v>
      </c>
      <c r="I3421" s="2"/>
      <c r="J3421" s="2">
        <v>50573</v>
      </c>
      <c r="K3421" s="2"/>
      <c r="L3421" s="2">
        <v>45797</v>
      </c>
      <c r="M3421" s="2"/>
      <c r="N3421" s="2">
        <v>50906</v>
      </c>
      <c r="P3421" s="2">
        <v>46008</v>
      </c>
      <c r="Q3421" s="2"/>
      <c r="R3421" s="2">
        <v>50686</v>
      </c>
      <c r="AB3421" s="2"/>
    </row>
    <row r="3422" spans="8:28" ht="15" customHeight="1">
      <c r="H3422" s="2">
        <v>46122</v>
      </c>
      <c r="I3422" s="2"/>
      <c r="J3422" s="2">
        <v>50577</v>
      </c>
      <c r="K3422" s="2"/>
      <c r="L3422" s="2">
        <v>45796</v>
      </c>
      <c r="M3422" s="2"/>
      <c r="N3422" s="2">
        <v>50907</v>
      </c>
      <c r="P3422" s="2">
        <v>46007</v>
      </c>
      <c r="Q3422" s="2"/>
      <c r="R3422" s="2">
        <v>50690</v>
      </c>
      <c r="AB3422" s="2"/>
    </row>
    <row r="3423" spans="8:28" ht="15" customHeight="1">
      <c r="H3423" s="2">
        <v>46121</v>
      </c>
      <c r="I3423" s="2"/>
      <c r="J3423" s="2">
        <v>50578</v>
      </c>
      <c r="K3423" s="2"/>
      <c r="L3423" s="2">
        <v>45793</v>
      </c>
      <c r="M3423" s="2"/>
      <c r="N3423" s="2">
        <v>50908</v>
      </c>
      <c r="P3423" s="2">
        <v>46006</v>
      </c>
      <c r="Q3423" s="2"/>
      <c r="R3423" s="2">
        <v>50691</v>
      </c>
      <c r="AB3423" s="2"/>
    </row>
    <row r="3424" spans="8:28" ht="15" customHeight="1">
      <c r="H3424" s="2">
        <v>46120</v>
      </c>
      <c r="I3424" s="2"/>
      <c r="J3424" s="2">
        <v>50579</v>
      </c>
      <c r="K3424" s="2"/>
      <c r="L3424" s="2">
        <v>45792</v>
      </c>
      <c r="M3424" s="2"/>
      <c r="N3424" s="2">
        <v>50909</v>
      </c>
      <c r="P3424" s="2">
        <v>46003</v>
      </c>
      <c r="Q3424" s="2"/>
      <c r="R3424" s="2">
        <v>50692</v>
      </c>
      <c r="AB3424" s="2"/>
    </row>
    <row r="3425" spans="8:28" ht="15" customHeight="1">
      <c r="H3425" s="2">
        <v>46119</v>
      </c>
      <c r="I3425" s="2"/>
      <c r="J3425" s="2">
        <v>50580</v>
      </c>
      <c r="K3425" s="2"/>
      <c r="L3425" s="2">
        <v>45791</v>
      </c>
      <c r="M3425" s="2"/>
      <c r="N3425" s="2">
        <v>50910</v>
      </c>
      <c r="P3425" s="2">
        <v>46002</v>
      </c>
      <c r="Q3425" s="2"/>
      <c r="R3425" s="2">
        <v>50693</v>
      </c>
      <c r="AB3425" s="2"/>
    </row>
    <row r="3426" spans="8:28" ht="15" customHeight="1">
      <c r="H3426" s="2">
        <v>46118</v>
      </c>
      <c r="I3426" s="2"/>
      <c r="J3426" s="2">
        <v>50581</v>
      </c>
      <c r="K3426" s="2"/>
      <c r="L3426" s="2">
        <v>45790</v>
      </c>
      <c r="M3426" s="2"/>
      <c r="N3426" s="2">
        <v>50913</v>
      </c>
      <c r="P3426" s="2">
        <v>46001</v>
      </c>
      <c r="Q3426" s="2"/>
      <c r="R3426" s="2">
        <v>50696</v>
      </c>
      <c r="AB3426" s="2"/>
    </row>
    <row r="3427" spans="8:28" ht="15" customHeight="1">
      <c r="H3427" s="2">
        <v>46114</v>
      </c>
      <c r="I3427" s="2"/>
      <c r="J3427" s="2">
        <v>50584</v>
      </c>
      <c r="K3427" s="2"/>
      <c r="L3427" s="2">
        <v>45789</v>
      </c>
      <c r="M3427" s="2"/>
      <c r="N3427" s="2">
        <v>50914</v>
      </c>
      <c r="P3427" s="2">
        <v>46000</v>
      </c>
      <c r="Q3427" s="2"/>
      <c r="R3427" s="2">
        <v>50697</v>
      </c>
      <c r="AB3427" s="2"/>
    </row>
    <row r="3428" spans="8:28" ht="15" customHeight="1">
      <c r="H3428" s="2">
        <v>46113</v>
      </c>
      <c r="I3428" s="2"/>
      <c r="J3428" s="2">
        <v>50585</v>
      </c>
      <c r="K3428" s="2"/>
      <c r="L3428" s="2">
        <v>45786</v>
      </c>
      <c r="M3428" s="2"/>
      <c r="N3428" s="2">
        <v>50915</v>
      </c>
      <c r="P3428" s="2">
        <v>45999</v>
      </c>
      <c r="Q3428" s="2"/>
      <c r="R3428" s="2">
        <v>50698</v>
      </c>
      <c r="AB3428" s="2"/>
    </row>
    <row r="3429" spans="8:28" ht="15" customHeight="1">
      <c r="H3429" s="2">
        <v>46112</v>
      </c>
      <c r="I3429" s="2"/>
      <c r="J3429" s="2">
        <v>50586</v>
      </c>
      <c r="K3429" s="2"/>
      <c r="L3429" s="2">
        <v>45785</v>
      </c>
      <c r="M3429" s="2"/>
      <c r="N3429" s="2">
        <v>50916</v>
      </c>
      <c r="P3429" s="2">
        <v>45996</v>
      </c>
      <c r="Q3429" s="2"/>
      <c r="R3429" s="2">
        <v>50699</v>
      </c>
      <c r="AB3429" s="2"/>
    </row>
    <row r="3430" spans="8:28" ht="15" customHeight="1">
      <c r="H3430" s="2">
        <v>46111</v>
      </c>
      <c r="I3430" s="2"/>
      <c r="J3430" s="2">
        <v>50587</v>
      </c>
      <c r="K3430" s="2"/>
      <c r="L3430" s="2">
        <v>45784</v>
      </c>
      <c r="M3430" s="2"/>
      <c r="N3430" s="2">
        <v>50917</v>
      </c>
      <c r="P3430" s="2">
        <v>45995</v>
      </c>
      <c r="Q3430" s="2"/>
      <c r="R3430" s="2">
        <v>50700</v>
      </c>
      <c r="AB3430" s="2"/>
    </row>
    <row r="3431" spans="8:28" ht="15" customHeight="1">
      <c r="H3431" s="2">
        <v>46108</v>
      </c>
      <c r="I3431" s="2"/>
      <c r="J3431" s="2">
        <v>50588</v>
      </c>
      <c r="K3431" s="2"/>
      <c r="L3431" s="2">
        <v>45779</v>
      </c>
      <c r="M3431" s="2"/>
      <c r="N3431" s="2">
        <v>50921</v>
      </c>
      <c r="P3431" s="2">
        <v>45994</v>
      </c>
      <c r="Q3431" s="2"/>
      <c r="R3431" s="2">
        <v>50703</v>
      </c>
      <c r="AB3431" s="2"/>
    </row>
    <row r="3432" spans="8:28" ht="15" customHeight="1">
      <c r="H3432" s="2">
        <v>46107</v>
      </c>
      <c r="I3432" s="2"/>
      <c r="J3432" s="2">
        <v>50592</v>
      </c>
      <c r="K3432" s="2"/>
      <c r="L3432" s="2">
        <v>45778</v>
      </c>
      <c r="M3432" s="2"/>
      <c r="N3432" s="2">
        <v>50922</v>
      </c>
      <c r="P3432" s="2">
        <v>45993</v>
      </c>
      <c r="Q3432" s="2"/>
      <c r="R3432" s="2">
        <v>50704</v>
      </c>
      <c r="AB3432" s="2"/>
    </row>
    <row r="3433" spans="8:28" ht="15" customHeight="1">
      <c r="H3433" s="2">
        <v>46106</v>
      </c>
      <c r="I3433" s="2"/>
      <c r="J3433" s="2">
        <v>50593</v>
      </c>
      <c r="K3433" s="2"/>
      <c r="L3433" s="2">
        <v>45777</v>
      </c>
      <c r="M3433" s="2"/>
      <c r="N3433" s="2">
        <v>50923</v>
      </c>
      <c r="P3433" s="2">
        <v>45992</v>
      </c>
      <c r="Q3433" s="2"/>
      <c r="R3433" s="2">
        <v>50705</v>
      </c>
      <c r="AB3433" s="2"/>
    </row>
    <row r="3434" spans="8:28" ht="15" customHeight="1">
      <c r="H3434" s="2">
        <v>46105</v>
      </c>
      <c r="I3434" s="2"/>
      <c r="J3434" s="2">
        <v>50594</v>
      </c>
      <c r="K3434" s="2"/>
      <c r="L3434" s="2">
        <v>45775</v>
      </c>
      <c r="M3434" s="2"/>
      <c r="N3434" s="2">
        <v>50924</v>
      </c>
      <c r="P3434" s="2">
        <v>45989</v>
      </c>
      <c r="Q3434" s="2"/>
      <c r="R3434" s="2">
        <v>50706</v>
      </c>
      <c r="AB3434" s="2"/>
    </row>
    <row r="3435" spans="8:28" ht="15" customHeight="1">
      <c r="H3435" s="2">
        <v>46104</v>
      </c>
      <c r="I3435" s="2"/>
      <c r="J3435" s="2">
        <v>50595</v>
      </c>
      <c r="K3435" s="2"/>
      <c r="L3435" s="2">
        <v>45772</v>
      </c>
      <c r="M3435" s="2"/>
      <c r="N3435" s="2">
        <v>50927</v>
      </c>
      <c r="P3435" s="2">
        <v>45988</v>
      </c>
      <c r="Q3435" s="2"/>
      <c r="R3435" s="2">
        <v>50707</v>
      </c>
      <c r="AB3435" s="2"/>
    </row>
    <row r="3436" spans="8:28" ht="15" customHeight="1">
      <c r="H3436" s="2">
        <v>46101</v>
      </c>
      <c r="I3436" s="2"/>
      <c r="J3436" s="2">
        <v>50598</v>
      </c>
      <c r="K3436" s="2"/>
      <c r="L3436" s="2">
        <v>45771</v>
      </c>
      <c r="M3436" s="2"/>
      <c r="N3436" s="2">
        <v>50928</v>
      </c>
      <c r="P3436" s="2">
        <v>45987</v>
      </c>
      <c r="Q3436" s="2"/>
      <c r="R3436" s="2">
        <v>50710</v>
      </c>
      <c r="AB3436" s="2"/>
    </row>
    <row r="3437" spans="8:28" ht="15" customHeight="1">
      <c r="H3437" s="2">
        <v>46100</v>
      </c>
      <c r="I3437" s="2"/>
      <c r="J3437" s="2">
        <v>50599</v>
      </c>
      <c r="K3437" s="2"/>
      <c r="L3437" s="2">
        <v>45770</v>
      </c>
      <c r="M3437" s="2"/>
      <c r="N3437" s="2">
        <v>50929</v>
      </c>
      <c r="P3437" s="2">
        <v>45986</v>
      </c>
      <c r="Q3437" s="2"/>
      <c r="R3437" s="2">
        <v>50711</v>
      </c>
      <c r="AB3437" s="2"/>
    </row>
    <row r="3438" spans="8:28" ht="15" customHeight="1">
      <c r="H3438" s="2">
        <v>46099</v>
      </c>
      <c r="I3438" s="2"/>
      <c r="J3438" s="2">
        <v>50600</v>
      </c>
      <c r="K3438" s="2"/>
      <c r="L3438" s="2">
        <v>45769</v>
      </c>
      <c r="M3438" s="2"/>
      <c r="N3438" s="2">
        <v>50930</v>
      </c>
      <c r="P3438" s="2">
        <v>45985</v>
      </c>
      <c r="Q3438" s="2"/>
      <c r="R3438" s="2">
        <v>50712</v>
      </c>
      <c r="AB3438" s="2"/>
    </row>
    <row r="3439" spans="8:28" ht="15" customHeight="1">
      <c r="H3439" s="2">
        <v>46098</v>
      </c>
      <c r="I3439" s="2"/>
      <c r="J3439" s="2">
        <v>50601</v>
      </c>
      <c r="K3439" s="2"/>
      <c r="L3439" s="2">
        <v>45768</v>
      </c>
      <c r="M3439" s="2"/>
      <c r="N3439" s="2">
        <v>50931</v>
      </c>
      <c r="P3439" s="2">
        <v>45982</v>
      </c>
      <c r="Q3439" s="2"/>
      <c r="R3439" s="2">
        <v>50713</v>
      </c>
      <c r="AB3439" s="2"/>
    </row>
    <row r="3440" spans="8:28" ht="15" customHeight="1">
      <c r="H3440" s="2">
        <v>46097</v>
      </c>
      <c r="I3440" s="2"/>
      <c r="J3440" s="2">
        <v>50602</v>
      </c>
      <c r="K3440" s="2"/>
      <c r="L3440" s="2">
        <v>45764</v>
      </c>
      <c r="M3440" s="2"/>
      <c r="N3440" s="2">
        <v>50934</v>
      </c>
      <c r="P3440" s="2">
        <v>45981</v>
      </c>
      <c r="Q3440" s="2"/>
      <c r="R3440" s="2">
        <v>50714</v>
      </c>
      <c r="AB3440" s="2"/>
    </row>
    <row r="3441" spans="8:28" ht="15" customHeight="1">
      <c r="H3441" s="2">
        <v>46094</v>
      </c>
      <c r="I3441" s="2"/>
      <c r="J3441" s="2">
        <v>50605</v>
      </c>
      <c r="K3441" s="2"/>
      <c r="L3441" s="2">
        <v>45763</v>
      </c>
      <c r="M3441" s="2"/>
      <c r="N3441" s="2">
        <v>50935</v>
      </c>
      <c r="P3441" s="2">
        <v>45980</v>
      </c>
      <c r="Q3441" s="2"/>
      <c r="R3441" s="2">
        <v>50717</v>
      </c>
      <c r="AB3441" s="2"/>
    </row>
    <row r="3442" spans="8:28" ht="15" customHeight="1">
      <c r="H3442" s="2">
        <v>46093</v>
      </c>
      <c r="I3442" s="2"/>
      <c r="J3442" s="2">
        <v>50606</v>
      </c>
      <c r="K3442" s="2"/>
      <c r="L3442" s="2">
        <v>45762</v>
      </c>
      <c r="M3442" s="2"/>
      <c r="N3442" s="2">
        <v>50936</v>
      </c>
      <c r="P3442" s="2">
        <v>45979</v>
      </c>
      <c r="Q3442" s="2"/>
      <c r="R3442" s="2">
        <v>50718</v>
      </c>
      <c r="AB3442" s="2"/>
    </row>
    <row r="3443" spans="8:28" ht="15" customHeight="1">
      <c r="H3443" s="2">
        <v>46092</v>
      </c>
      <c r="I3443" s="2"/>
      <c r="J3443" s="2">
        <v>50607</v>
      </c>
      <c r="K3443" s="2"/>
      <c r="L3443" s="2">
        <v>45761</v>
      </c>
      <c r="M3443" s="2"/>
      <c r="N3443" s="2">
        <v>50937</v>
      </c>
      <c r="P3443" s="2">
        <v>45978</v>
      </c>
      <c r="Q3443" s="2"/>
      <c r="R3443" s="2">
        <v>50719</v>
      </c>
      <c r="AB3443" s="2"/>
    </row>
    <row r="3444" spans="8:28" ht="15" customHeight="1">
      <c r="H3444" s="2">
        <v>46091</v>
      </c>
      <c r="I3444" s="2"/>
      <c r="J3444" s="2">
        <v>50608</v>
      </c>
      <c r="K3444" s="2"/>
      <c r="L3444" s="2">
        <v>45758</v>
      </c>
      <c r="M3444" s="2"/>
      <c r="N3444" s="2">
        <v>50938</v>
      </c>
      <c r="P3444" s="2">
        <v>45975</v>
      </c>
      <c r="Q3444" s="2"/>
      <c r="R3444" s="2">
        <v>50720</v>
      </c>
      <c r="AB3444" s="2"/>
    </row>
    <row r="3445" spans="8:28" ht="15" customHeight="1">
      <c r="H3445" s="2">
        <v>46090</v>
      </c>
      <c r="I3445" s="2"/>
      <c r="J3445" s="2">
        <v>50609</v>
      </c>
      <c r="K3445" s="2"/>
      <c r="L3445" s="2">
        <v>45757</v>
      </c>
      <c r="M3445" s="2"/>
      <c r="N3445" s="2">
        <v>50942</v>
      </c>
      <c r="P3445" s="2">
        <v>45974</v>
      </c>
      <c r="Q3445" s="2"/>
      <c r="R3445" s="2">
        <v>50721</v>
      </c>
      <c r="AB3445" s="2"/>
    </row>
    <row r="3446" spans="8:28" ht="15" customHeight="1">
      <c r="H3446" s="2">
        <v>46087</v>
      </c>
      <c r="I3446" s="2"/>
      <c r="J3446" s="2">
        <v>50612</v>
      </c>
      <c r="K3446" s="2"/>
      <c r="L3446" s="2">
        <v>45756</v>
      </c>
      <c r="M3446" s="2"/>
      <c r="N3446" s="2">
        <v>50943</v>
      </c>
      <c r="P3446" s="2">
        <v>45973</v>
      </c>
      <c r="Q3446" s="2"/>
      <c r="R3446" s="2">
        <v>50724</v>
      </c>
      <c r="AB3446" s="2"/>
    </row>
    <row r="3447" spans="8:28" ht="15" customHeight="1">
      <c r="H3447" s="2">
        <v>46086</v>
      </c>
      <c r="I3447" s="2"/>
      <c r="J3447" s="2">
        <v>50613</v>
      </c>
      <c r="K3447" s="2"/>
      <c r="L3447" s="2">
        <v>45755</v>
      </c>
      <c r="M3447" s="2"/>
      <c r="N3447" s="2">
        <v>50944</v>
      </c>
      <c r="P3447" s="2">
        <v>45972</v>
      </c>
      <c r="Q3447" s="2"/>
      <c r="R3447" s="2">
        <v>50725</v>
      </c>
      <c r="AB3447" s="2"/>
    </row>
    <row r="3448" spans="8:28" ht="15" customHeight="1">
      <c r="H3448" s="2">
        <v>46085</v>
      </c>
      <c r="I3448" s="2"/>
      <c r="J3448" s="2">
        <v>50614</v>
      </c>
      <c r="K3448" s="2"/>
      <c r="L3448" s="2">
        <v>45754</v>
      </c>
      <c r="M3448" s="2"/>
      <c r="N3448" s="2">
        <v>50945</v>
      </c>
      <c r="P3448" s="2">
        <v>45971</v>
      </c>
      <c r="Q3448" s="2"/>
      <c r="R3448" s="2">
        <v>50726</v>
      </c>
      <c r="AB3448" s="2"/>
    </row>
    <row r="3449" spans="8:28" ht="15" customHeight="1">
      <c r="H3449" s="2">
        <v>46084</v>
      </c>
      <c r="I3449" s="2"/>
      <c r="J3449" s="2">
        <v>50615</v>
      </c>
      <c r="K3449" s="2"/>
      <c r="L3449" s="2">
        <v>45751</v>
      </c>
      <c r="M3449" s="2"/>
      <c r="N3449" s="2">
        <v>50948</v>
      </c>
      <c r="P3449" s="2">
        <v>45968</v>
      </c>
      <c r="Q3449" s="2"/>
      <c r="R3449" s="2">
        <v>50727</v>
      </c>
      <c r="AB3449" s="2"/>
    </row>
    <row r="3450" spans="8:28" ht="15" customHeight="1">
      <c r="H3450" s="2">
        <v>46083</v>
      </c>
      <c r="I3450" s="2"/>
      <c r="J3450" s="2">
        <v>50616</v>
      </c>
      <c r="K3450" s="2"/>
      <c r="L3450" s="2">
        <v>45750</v>
      </c>
      <c r="M3450" s="2"/>
      <c r="N3450" s="2">
        <v>50949</v>
      </c>
      <c r="P3450" s="2">
        <v>45967</v>
      </c>
      <c r="Q3450" s="2"/>
      <c r="R3450" s="2">
        <v>50728</v>
      </c>
      <c r="AB3450" s="2"/>
    </row>
    <row r="3451" spans="8:28" ht="15" customHeight="1">
      <c r="H3451" s="2">
        <v>46080</v>
      </c>
      <c r="I3451" s="2"/>
      <c r="J3451" s="2">
        <v>50619</v>
      </c>
      <c r="K3451" s="2"/>
      <c r="L3451" s="2">
        <v>45749</v>
      </c>
      <c r="M3451" s="2"/>
      <c r="N3451" s="2">
        <v>50950</v>
      </c>
      <c r="P3451" s="2">
        <v>45966</v>
      </c>
      <c r="Q3451" s="2"/>
      <c r="R3451" s="2">
        <v>50731</v>
      </c>
      <c r="AB3451" s="2"/>
    </row>
    <row r="3452" spans="8:28" ht="15" customHeight="1">
      <c r="H3452" s="2">
        <v>46079</v>
      </c>
      <c r="I3452" s="2"/>
      <c r="J3452" s="2">
        <v>50620</v>
      </c>
      <c r="K3452" s="2"/>
      <c r="L3452" s="2">
        <v>45748</v>
      </c>
      <c r="M3452" s="2"/>
      <c r="N3452" s="2">
        <v>50951</v>
      </c>
      <c r="P3452" s="2">
        <v>45965</v>
      </c>
      <c r="Q3452" s="2"/>
      <c r="R3452" s="2">
        <v>50732</v>
      </c>
      <c r="AB3452" s="2"/>
    </row>
    <row r="3453" spans="8:28" ht="15" customHeight="1">
      <c r="H3453" s="2">
        <v>46078</v>
      </c>
      <c r="I3453" s="2"/>
      <c r="J3453" s="2">
        <v>50621</v>
      </c>
      <c r="K3453" s="2"/>
      <c r="L3453" s="2">
        <v>45747</v>
      </c>
      <c r="M3453" s="2"/>
      <c r="N3453" s="2">
        <v>50952</v>
      </c>
      <c r="P3453" s="2">
        <v>45964</v>
      </c>
      <c r="Q3453" s="2"/>
      <c r="R3453" s="2">
        <v>50733</v>
      </c>
      <c r="AB3453" s="2"/>
    </row>
    <row r="3454" spans="8:28" ht="15" customHeight="1">
      <c r="H3454" s="2">
        <v>46077</v>
      </c>
      <c r="I3454" s="2"/>
      <c r="J3454" s="2">
        <v>50622</v>
      </c>
      <c r="K3454" s="2"/>
      <c r="L3454" s="2">
        <v>45744</v>
      </c>
      <c r="M3454" s="2"/>
      <c r="N3454" s="2">
        <v>50956</v>
      </c>
      <c r="P3454" s="2">
        <v>45961</v>
      </c>
      <c r="Q3454" s="2"/>
      <c r="R3454" s="2">
        <v>50734</v>
      </c>
      <c r="AB3454" s="2"/>
    </row>
    <row r="3455" spans="8:28" ht="15" customHeight="1">
      <c r="H3455" s="2">
        <v>46076</v>
      </c>
      <c r="I3455" s="2"/>
      <c r="J3455" s="2">
        <v>50623</v>
      </c>
      <c r="K3455" s="2"/>
      <c r="L3455" s="2">
        <v>45743</v>
      </c>
      <c r="M3455" s="2"/>
      <c r="N3455" s="2">
        <v>50957</v>
      </c>
      <c r="P3455" s="2">
        <v>45960</v>
      </c>
      <c r="Q3455" s="2"/>
      <c r="R3455" s="2">
        <v>50735</v>
      </c>
      <c r="AB3455" s="2"/>
    </row>
    <row r="3456" spans="8:28" ht="15" customHeight="1">
      <c r="H3456" s="2">
        <v>46073</v>
      </c>
      <c r="I3456" s="2"/>
      <c r="J3456" s="2">
        <v>50626</v>
      </c>
      <c r="K3456" s="2"/>
      <c r="L3456" s="2">
        <v>45742</v>
      </c>
      <c r="M3456" s="2"/>
      <c r="N3456" s="2">
        <v>50958</v>
      </c>
      <c r="P3456" s="2">
        <v>45959</v>
      </c>
      <c r="Q3456" s="2"/>
      <c r="R3456" s="2">
        <v>50738</v>
      </c>
      <c r="AB3456" s="2"/>
    </row>
    <row r="3457" spans="8:28" ht="15" customHeight="1">
      <c r="H3457" s="2">
        <v>46072</v>
      </c>
      <c r="I3457" s="2"/>
      <c r="J3457" s="2">
        <v>50627</v>
      </c>
      <c r="K3457" s="2"/>
      <c r="L3457" s="2">
        <v>45741</v>
      </c>
      <c r="M3457" s="2"/>
      <c r="N3457" s="2">
        <v>50959</v>
      </c>
      <c r="P3457" s="2">
        <v>45958</v>
      </c>
      <c r="Q3457" s="2"/>
      <c r="R3457" s="2">
        <v>50739</v>
      </c>
      <c r="AB3457" s="2"/>
    </row>
    <row r="3458" spans="8:28" ht="15" customHeight="1">
      <c r="H3458" s="2">
        <v>46071</v>
      </c>
      <c r="I3458" s="2"/>
      <c r="J3458" s="2">
        <v>50628</v>
      </c>
      <c r="K3458" s="2"/>
      <c r="L3458" s="2">
        <v>45740</v>
      </c>
      <c r="M3458" s="2"/>
      <c r="N3458" s="2">
        <v>50962</v>
      </c>
      <c r="P3458" s="2">
        <v>45957</v>
      </c>
      <c r="Q3458" s="2"/>
      <c r="R3458" s="2">
        <v>50740</v>
      </c>
      <c r="AB3458" s="2"/>
    </row>
    <row r="3459" spans="8:28" ht="15" customHeight="1">
      <c r="H3459" s="2">
        <v>46070</v>
      </c>
      <c r="I3459" s="2"/>
      <c r="J3459" s="2">
        <v>50629</v>
      </c>
      <c r="K3459" s="2"/>
      <c r="L3459" s="2">
        <v>45737</v>
      </c>
      <c r="M3459" s="2"/>
      <c r="N3459" s="2">
        <v>50963</v>
      </c>
      <c r="P3459" s="2">
        <v>45954</v>
      </c>
      <c r="Q3459" s="2"/>
      <c r="R3459" s="2">
        <v>50741</v>
      </c>
      <c r="AB3459" s="2"/>
    </row>
    <row r="3460" spans="8:28" ht="15" customHeight="1">
      <c r="H3460" s="2">
        <v>46066</v>
      </c>
      <c r="I3460" s="2"/>
      <c r="J3460" s="2">
        <v>50630</v>
      </c>
      <c r="K3460" s="2"/>
      <c r="L3460" s="2">
        <v>45735</v>
      </c>
      <c r="M3460" s="2"/>
      <c r="N3460" s="2">
        <v>50964</v>
      </c>
      <c r="P3460" s="2">
        <v>45953</v>
      </c>
      <c r="Q3460" s="2"/>
      <c r="R3460" s="2">
        <v>50742</v>
      </c>
      <c r="AB3460" s="2"/>
    </row>
    <row r="3461" spans="8:28" ht="15" customHeight="1">
      <c r="H3461" s="2">
        <v>46065</v>
      </c>
      <c r="I3461" s="2"/>
      <c r="J3461" s="2">
        <v>50633</v>
      </c>
      <c r="K3461" s="2"/>
      <c r="L3461" s="2">
        <v>45734</v>
      </c>
      <c r="M3461" s="2"/>
      <c r="N3461" s="2">
        <v>50965</v>
      </c>
      <c r="P3461" s="2">
        <v>45952</v>
      </c>
      <c r="Q3461" s="2"/>
      <c r="R3461" s="2">
        <v>50745</v>
      </c>
      <c r="AB3461" s="2"/>
    </row>
    <row r="3462" spans="8:28" ht="15" customHeight="1">
      <c r="H3462" s="2">
        <v>46064</v>
      </c>
      <c r="I3462" s="2"/>
      <c r="J3462" s="2">
        <v>50634</v>
      </c>
      <c r="K3462" s="2"/>
      <c r="L3462" s="2">
        <v>45733</v>
      </c>
      <c r="M3462" s="2"/>
      <c r="N3462" s="2">
        <v>50966</v>
      </c>
      <c r="P3462" s="2">
        <v>45951</v>
      </c>
      <c r="Q3462" s="2"/>
      <c r="R3462" s="2">
        <v>50746</v>
      </c>
      <c r="AB3462" s="2"/>
    </row>
    <row r="3463" spans="8:28" ht="15" customHeight="1">
      <c r="H3463" s="2">
        <v>46063</v>
      </c>
      <c r="I3463" s="2"/>
      <c r="J3463" s="2">
        <v>50635</v>
      </c>
      <c r="K3463" s="2"/>
      <c r="L3463" s="2">
        <v>45730</v>
      </c>
      <c r="M3463" s="2"/>
      <c r="N3463" s="2">
        <v>50970</v>
      </c>
      <c r="P3463" s="2">
        <v>45950</v>
      </c>
      <c r="Q3463" s="2"/>
      <c r="R3463" s="2">
        <v>50747</v>
      </c>
      <c r="AB3463" s="2"/>
    </row>
    <row r="3464" spans="8:28" ht="15" customHeight="1">
      <c r="H3464" s="2">
        <v>46062</v>
      </c>
      <c r="I3464" s="2"/>
      <c r="J3464" s="2">
        <v>50636</v>
      </c>
      <c r="K3464" s="2"/>
      <c r="L3464" s="2">
        <v>45729</v>
      </c>
      <c r="M3464" s="2"/>
      <c r="N3464" s="2">
        <v>50971</v>
      </c>
      <c r="P3464" s="2">
        <v>45947</v>
      </c>
      <c r="Q3464" s="2"/>
      <c r="R3464" s="2">
        <v>50748</v>
      </c>
      <c r="AB3464" s="2"/>
    </row>
    <row r="3465" spans="8:28" ht="15" customHeight="1">
      <c r="H3465" s="2">
        <v>46059</v>
      </c>
      <c r="I3465" s="2"/>
      <c r="J3465" s="2">
        <v>50637</v>
      </c>
      <c r="K3465" s="2"/>
      <c r="L3465" s="2">
        <v>45728</v>
      </c>
      <c r="M3465" s="2"/>
      <c r="N3465" s="2">
        <v>50972</v>
      </c>
      <c r="P3465" s="2">
        <v>45946</v>
      </c>
      <c r="Q3465" s="2"/>
      <c r="R3465" s="2">
        <v>50749</v>
      </c>
      <c r="AB3465" s="2"/>
    </row>
    <row r="3466" spans="8:28" ht="15" customHeight="1">
      <c r="H3466" s="2">
        <v>46058</v>
      </c>
      <c r="I3466" s="2"/>
      <c r="J3466" s="2">
        <v>50640</v>
      </c>
      <c r="K3466" s="2"/>
      <c r="L3466" s="2">
        <v>45727</v>
      </c>
      <c r="M3466" s="2"/>
      <c r="N3466" s="2">
        <v>50973</v>
      </c>
      <c r="P3466" s="2">
        <v>45945</v>
      </c>
      <c r="Q3466" s="2"/>
      <c r="R3466" s="2">
        <v>50752</v>
      </c>
      <c r="AB3466" s="2"/>
    </row>
    <row r="3467" spans="8:28" ht="15" customHeight="1">
      <c r="H3467" s="2">
        <v>46057</v>
      </c>
      <c r="I3467" s="2"/>
      <c r="J3467" s="2">
        <v>50641</v>
      </c>
      <c r="K3467" s="2"/>
      <c r="L3467" s="2">
        <v>45726</v>
      </c>
      <c r="M3467" s="2"/>
      <c r="N3467" s="2">
        <v>50976</v>
      </c>
      <c r="P3467" s="2">
        <v>45944</v>
      </c>
      <c r="Q3467" s="2"/>
      <c r="R3467" s="2">
        <v>50753</v>
      </c>
      <c r="AB3467" s="2"/>
    </row>
    <row r="3468" spans="8:28" ht="15" customHeight="1">
      <c r="H3468" s="2">
        <v>46056</v>
      </c>
      <c r="I3468" s="2"/>
      <c r="J3468" s="2">
        <v>50642</v>
      </c>
      <c r="K3468" s="2"/>
      <c r="L3468" s="2">
        <v>45723</v>
      </c>
      <c r="M3468" s="2"/>
      <c r="N3468" s="2">
        <v>50977</v>
      </c>
      <c r="P3468" s="2">
        <v>45943</v>
      </c>
      <c r="Q3468" s="2"/>
      <c r="R3468" s="2">
        <v>50754</v>
      </c>
      <c r="AB3468" s="2"/>
    </row>
    <row r="3469" spans="8:28" ht="15" customHeight="1">
      <c r="H3469" s="2">
        <v>46055</v>
      </c>
      <c r="I3469" s="2"/>
      <c r="J3469" s="2">
        <v>50643</v>
      </c>
      <c r="K3469" s="2"/>
      <c r="L3469" s="2">
        <v>45722</v>
      </c>
      <c r="M3469" s="2"/>
      <c r="N3469" s="2">
        <v>50978</v>
      </c>
      <c r="P3469" s="2">
        <v>45940</v>
      </c>
      <c r="Q3469" s="2"/>
      <c r="R3469" s="2">
        <v>50755</v>
      </c>
      <c r="AB3469" s="2"/>
    </row>
    <row r="3470" spans="8:28" ht="15" customHeight="1">
      <c r="H3470" s="2">
        <v>46052</v>
      </c>
      <c r="I3470" s="2"/>
      <c r="J3470" s="2">
        <v>50644</v>
      </c>
      <c r="K3470" s="2"/>
      <c r="L3470" s="2">
        <v>45721</v>
      </c>
      <c r="M3470" s="2"/>
      <c r="N3470" s="2">
        <v>50979</v>
      </c>
      <c r="P3470" s="2">
        <v>45932</v>
      </c>
      <c r="Q3470" s="2"/>
      <c r="R3470" s="2">
        <v>50756</v>
      </c>
      <c r="AB3470" s="2"/>
    </row>
    <row r="3471" spans="8:28" ht="15" customHeight="1">
      <c r="H3471" s="2">
        <v>46051</v>
      </c>
      <c r="I3471" s="2"/>
      <c r="J3471" s="2">
        <v>50647</v>
      </c>
      <c r="K3471" s="2"/>
      <c r="L3471" s="2">
        <v>45720</v>
      </c>
      <c r="M3471" s="2"/>
      <c r="N3471" s="2">
        <v>50980</v>
      </c>
      <c r="P3471" s="2">
        <v>45931</v>
      </c>
      <c r="Q3471" s="2"/>
      <c r="R3471" s="2">
        <v>50759</v>
      </c>
      <c r="AB3471" s="2"/>
    </row>
    <row r="3472" spans="8:28" ht="15" customHeight="1">
      <c r="H3472" s="2">
        <v>46050</v>
      </c>
      <c r="I3472" s="2"/>
      <c r="J3472" s="2">
        <v>50648</v>
      </c>
      <c r="K3472" s="2"/>
      <c r="L3472" s="2">
        <v>45719</v>
      </c>
      <c r="M3472" s="2"/>
      <c r="N3472" s="2">
        <v>50983</v>
      </c>
      <c r="P3472" s="2">
        <v>45930</v>
      </c>
      <c r="Q3472" s="2"/>
      <c r="R3472" s="2">
        <v>50760</v>
      </c>
      <c r="AB3472" s="2"/>
    </row>
    <row r="3473" spans="8:28" ht="15" customHeight="1">
      <c r="H3473" s="2">
        <v>46049</v>
      </c>
      <c r="I3473" s="2"/>
      <c r="J3473" s="2">
        <v>50649</v>
      </c>
      <c r="K3473" s="2"/>
      <c r="L3473" s="2">
        <v>45716</v>
      </c>
      <c r="M3473" s="2"/>
      <c r="N3473" s="2">
        <v>50984</v>
      </c>
      <c r="P3473" s="2">
        <v>45929</v>
      </c>
      <c r="Q3473" s="2"/>
      <c r="R3473" s="2">
        <v>50761</v>
      </c>
      <c r="AB3473" s="2"/>
    </row>
    <row r="3474" spans="8:28" ht="15" customHeight="1">
      <c r="H3474" s="2">
        <v>46048</v>
      </c>
      <c r="I3474" s="2"/>
      <c r="J3474" s="2">
        <v>50650</v>
      </c>
      <c r="K3474" s="2"/>
      <c r="L3474" s="2">
        <v>45715</v>
      </c>
      <c r="M3474" s="2"/>
      <c r="N3474" s="2">
        <v>50985</v>
      </c>
      <c r="P3474" s="2">
        <v>45926</v>
      </c>
      <c r="Q3474" s="2"/>
      <c r="R3474" s="2">
        <v>50762</v>
      </c>
      <c r="AB3474" s="2"/>
    </row>
    <row r="3475" spans="8:28" ht="15" customHeight="1">
      <c r="H3475" s="2">
        <v>46045</v>
      </c>
      <c r="I3475" s="2"/>
      <c r="J3475" s="2">
        <v>50651</v>
      </c>
      <c r="K3475" s="2"/>
      <c r="L3475" s="2">
        <v>45714</v>
      </c>
      <c r="M3475" s="2"/>
      <c r="N3475" s="2">
        <v>50986</v>
      </c>
      <c r="P3475" s="2">
        <v>45925</v>
      </c>
      <c r="Q3475" s="2"/>
      <c r="R3475" s="2">
        <v>50763</v>
      </c>
      <c r="AB3475" s="2"/>
    </row>
    <row r="3476" spans="8:28" ht="15" customHeight="1">
      <c r="H3476" s="2">
        <v>46044</v>
      </c>
      <c r="I3476" s="2"/>
      <c r="J3476" s="2">
        <v>50655</v>
      </c>
      <c r="K3476" s="2"/>
      <c r="L3476" s="2">
        <v>45713</v>
      </c>
      <c r="M3476" s="2"/>
      <c r="N3476" s="2">
        <v>50987</v>
      </c>
      <c r="P3476" s="2">
        <v>45924</v>
      </c>
      <c r="Q3476" s="2"/>
      <c r="R3476" s="2">
        <v>50767</v>
      </c>
      <c r="AB3476" s="2"/>
    </row>
    <row r="3477" spans="8:28" ht="15" customHeight="1">
      <c r="H3477" s="2">
        <v>46043</v>
      </c>
      <c r="I3477" s="2"/>
      <c r="J3477" s="2">
        <v>50656</v>
      </c>
      <c r="K3477" s="2"/>
      <c r="L3477" s="2">
        <v>45709</v>
      </c>
      <c r="M3477" s="2"/>
      <c r="N3477" s="2">
        <v>50990</v>
      </c>
      <c r="P3477" s="2">
        <v>45923</v>
      </c>
      <c r="Q3477" s="2"/>
      <c r="R3477" s="2">
        <v>50768</v>
      </c>
      <c r="AB3477" s="2"/>
    </row>
    <row r="3478" spans="8:28" ht="15" customHeight="1">
      <c r="H3478" s="2">
        <v>46042</v>
      </c>
      <c r="I3478" s="2"/>
      <c r="J3478" s="2">
        <v>50657</v>
      </c>
      <c r="K3478" s="2"/>
      <c r="L3478" s="2">
        <v>45708</v>
      </c>
      <c r="M3478" s="2"/>
      <c r="N3478" s="2">
        <v>50991</v>
      </c>
      <c r="P3478" s="2">
        <v>45922</v>
      </c>
      <c r="Q3478" s="2"/>
      <c r="R3478" s="2">
        <v>50769</v>
      </c>
      <c r="AB3478" s="2"/>
    </row>
    <row r="3479" spans="8:28" ht="15" customHeight="1">
      <c r="H3479" s="2">
        <v>46038</v>
      </c>
      <c r="I3479" s="2"/>
      <c r="J3479" s="2">
        <v>50658</v>
      </c>
      <c r="K3479" s="2"/>
      <c r="L3479" s="2">
        <v>45707</v>
      </c>
      <c r="M3479" s="2"/>
      <c r="N3479" s="2">
        <v>50992</v>
      </c>
      <c r="P3479" s="2">
        <v>45919</v>
      </c>
      <c r="Q3479" s="2"/>
      <c r="R3479" s="2">
        <v>50773</v>
      </c>
      <c r="AB3479" s="2"/>
    </row>
    <row r="3480" spans="8:28" ht="15" customHeight="1">
      <c r="H3480" s="2">
        <v>46037</v>
      </c>
      <c r="I3480" s="2"/>
      <c r="J3480" s="2">
        <v>50661</v>
      </c>
      <c r="K3480" s="2"/>
      <c r="L3480" s="2">
        <v>45706</v>
      </c>
      <c r="M3480" s="2"/>
      <c r="N3480" s="2">
        <v>50994</v>
      </c>
      <c r="P3480" s="2">
        <v>45918</v>
      </c>
      <c r="Q3480" s="2"/>
      <c r="R3480" s="2">
        <v>50774</v>
      </c>
      <c r="AB3480" s="2"/>
    </row>
    <row r="3481" spans="8:28" ht="15" customHeight="1">
      <c r="H3481" s="2">
        <v>46036</v>
      </c>
      <c r="I3481" s="2"/>
      <c r="J3481" s="2">
        <v>50662</v>
      </c>
      <c r="K3481" s="2"/>
      <c r="L3481" s="2">
        <v>45702</v>
      </c>
      <c r="M3481" s="2"/>
      <c r="N3481" s="2">
        <v>50997</v>
      </c>
      <c r="P3481" s="2">
        <v>45917</v>
      </c>
      <c r="Q3481" s="2"/>
      <c r="R3481" s="2">
        <v>50775</v>
      </c>
      <c r="AB3481" s="2"/>
    </row>
    <row r="3482" spans="8:28" ht="15" customHeight="1">
      <c r="H3482" s="2">
        <v>46035</v>
      </c>
      <c r="I3482" s="2"/>
      <c r="J3482" s="2">
        <v>50663</v>
      </c>
      <c r="K3482" s="2"/>
      <c r="L3482" s="2">
        <v>45701</v>
      </c>
      <c r="M3482" s="2"/>
      <c r="N3482" s="2">
        <v>50998</v>
      </c>
      <c r="P3482" s="2">
        <v>45916</v>
      </c>
      <c r="Q3482" s="2"/>
      <c r="R3482" s="2">
        <v>50776</v>
      </c>
      <c r="AB3482" s="2"/>
    </row>
    <row r="3483" spans="8:28" ht="15" customHeight="1">
      <c r="H3483" s="2">
        <v>46034</v>
      </c>
      <c r="I3483" s="2"/>
      <c r="J3483" s="2">
        <v>50664</v>
      </c>
      <c r="K3483" s="2"/>
      <c r="L3483" s="2">
        <v>45700</v>
      </c>
      <c r="M3483" s="2"/>
      <c r="N3483" s="2">
        <v>50999</v>
      </c>
      <c r="P3483" s="2">
        <v>45915</v>
      </c>
      <c r="Q3483" s="2"/>
      <c r="R3483" s="2">
        <v>50777</v>
      </c>
      <c r="AB3483" s="2"/>
    </row>
    <row r="3484" spans="8:28" ht="15" customHeight="1">
      <c r="H3484" s="2">
        <v>46031</v>
      </c>
      <c r="I3484" s="2"/>
      <c r="J3484" s="2">
        <v>50665</v>
      </c>
      <c r="K3484" s="2"/>
      <c r="L3484" s="2">
        <v>45698</v>
      </c>
      <c r="M3484" s="2"/>
      <c r="N3484" s="2">
        <v>51000</v>
      </c>
      <c r="P3484" s="2">
        <v>45912</v>
      </c>
      <c r="Q3484" s="2"/>
      <c r="R3484" s="2">
        <v>50780</v>
      </c>
      <c r="AB3484" s="2"/>
    </row>
    <row r="3485" spans="8:28" ht="15" customHeight="1">
      <c r="H3485" s="2">
        <v>46030</v>
      </c>
      <c r="I3485" s="2"/>
      <c r="J3485" s="2">
        <v>50668</v>
      </c>
      <c r="K3485" s="2"/>
      <c r="L3485" s="2">
        <v>45695</v>
      </c>
      <c r="M3485" s="2"/>
      <c r="N3485" s="2">
        <v>51001</v>
      </c>
      <c r="P3485" s="2">
        <v>45911</v>
      </c>
      <c r="Q3485" s="2"/>
      <c r="R3485" s="2">
        <v>50781</v>
      </c>
      <c r="AB3485" s="2"/>
    </row>
    <row r="3486" spans="8:28" ht="15" customHeight="1">
      <c r="H3486" s="2">
        <v>46029</v>
      </c>
      <c r="I3486" s="2"/>
      <c r="J3486" s="2">
        <v>50669</v>
      </c>
      <c r="K3486" s="2"/>
      <c r="L3486" s="2">
        <v>45694</v>
      </c>
      <c r="M3486" s="2"/>
      <c r="N3486" s="2">
        <v>51004</v>
      </c>
      <c r="P3486" s="2">
        <v>45910</v>
      </c>
      <c r="Q3486" s="2"/>
      <c r="R3486" s="2">
        <v>50782</v>
      </c>
      <c r="AB3486" s="2"/>
    </row>
    <row r="3487" spans="8:28" ht="15" customHeight="1">
      <c r="H3487" s="2">
        <v>46028</v>
      </c>
      <c r="I3487" s="2"/>
      <c r="J3487" s="2">
        <v>50670</v>
      </c>
      <c r="K3487" s="2"/>
      <c r="L3487" s="2">
        <v>45693</v>
      </c>
      <c r="M3487" s="2"/>
      <c r="N3487" s="2">
        <v>51005</v>
      </c>
      <c r="P3487" s="2">
        <v>45909</v>
      </c>
      <c r="Q3487" s="2"/>
      <c r="R3487" s="2">
        <v>50783</v>
      </c>
      <c r="AB3487" s="2"/>
    </row>
    <row r="3488" spans="8:28" ht="15" customHeight="1">
      <c r="H3488" s="2">
        <v>46027</v>
      </c>
      <c r="I3488" s="2"/>
      <c r="J3488" s="2">
        <v>50671</v>
      </c>
      <c r="K3488" s="2"/>
      <c r="L3488" s="2">
        <v>45692</v>
      </c>
      <c r="M3488" s="2"/>
      <c r="N3488" s="2">
        <v>51006</v>
      </c>
      <c r="P3488" s="2">
        <v>45908</v>
      </c>
      <c r="Q3488" s="2"/>
      <c r="R3488" s="2">
        <v>50784</v>
      </c>
      <c r="AB3488" s="2"/>
    </row>
    <row r="3489" spans="8:28" ht="15" customHeight="1">
      <c r="H3489" s="2">
        <v>46024</v>
      </c>
      <c r="I3489" s="2"/>
      <c r="J3489" s="2">
        <v>50672</v>
      </c>
      <c r="K3489" s="2"/>
      <c r="L3489" s="2">
        <v>45691</v>
      </c>
      <c r="M3489" s="2"/>
      <c r="N3489" s="2">
        <v>51007</v>
      </c>
      <c r="P3489" s="2">
        <v>45905</v>
      </c>
      <c r="Q3489" s="2"/>
      <c r="R3489" s="2">
        <v>50787</v>
      </c>
      <c r="AB3489" s="2"/>
    </row>
    <row r="3490" spans="8:28" ht="15" customHeight="1">
      <c r="H3490" s="2">
        <v>46022</v>
      </c>
      <c r="I3490" s="2"/>
      <c r="J3490" s="2">
        <v>50675</v>
      </c>
      <c r="K3490" s="2"/>
      <c r="L3490" s="2">
        <v>45688</v>
      </c>
      <c r="M3490" s="2"/>
      <c r="N3490" s="2">
        <v>51008</v>
      </c>
      <c r="P3490" s="2">
        <v>45904</v>
      </c>
      <c r="Q3490" s="2"/>
      <c r="R3490" s="2">
        <v>50788</v>
      </c>
      <c r="AB3490" s="2"/>
    </row>
    <row r="3491" spans="8:28" ht="15" customHeight="1">
      <c r="H3491" s="2">
        <v>46021</v>
      </c>
      <c r="I3491" s="2"/>
      <c r="J3491" s="2">
        <v>50676</v>
      </c>
      <c r="K3491" s="2"/>
      <c r="L3491" s="2">
        <v>45687</v>
      </c>
      <c r="M3491" s="2"/>
      <c r="N3491" s="2">
        <v>51011</v>
      </c>
      <c r="P3491" s="2">
        <v>45903</v>
      </c>
      <c r="Q3491" s="2"/>
      <c r="R3491" s="2">
        <v>50789</v>
      </c>
      <c r="AB3491" s="2"/>
    </row>
    <row r="3492" spans="8:28" ht="15" customHeight="1">
      <c r="H3492" s="2">
        <v>46020</v>
      </c>
      <c r="I3492" s="2"/>
      <c r="J3492" s="2">
        <v>50677</v>
      </c>
      <c r="K3492" s="2"/>
      <c r="L3492" s="2">
        <v>45686</v>
      </c>
      <c r="M3492" s="2"/>
      <c r="N3492" s="2">
        <v>51012</v>
      </c>
      <c r="P3492" s="2">
        <v>45902</v>
      </c>
      <c r="Q3492" s="2"/>
      <c r="R3492" s="2">
        <v>50790</v>
      </c>
      <c r="AB3492" s="2"/>
    </row>
    <row r="3493" spans="8:28" ht="15" customHeight="1">
      <c r="H3493" s="2">
        <v>46017</v>
      </c>
      <c r="I3493" s="2"/>
      <c r="J3493" s="2">
        <v>50678</v>
      </c>
      <c r="K3493" s="2"/>
      <c r="L3493" s="2">
        <v>45685</v>
      </c>
      <c r="M3493" s="2"/>
      <c r="N3493" s="2">
        <v>51013</v>
      </c>
      <c r="P3493" s="2">
        <v>45901</v>
      </c>
      <c r="Q3493" s="2"/>
      <c r="R3493" s="2">
        <v>50791</v>
      </c>
      <c r="AB3493" s="2"/>
    </row>
    <row r="3494" spans="8:28" ht="15" customHeight="1">
      <c r="H3494" s="2">
        <v>46015</v>
      </c>
      <c r="I3494" s="2"/>
      <c r="J3494" s="2">
        <v>50679</v>
      </c>
      <c r="K3494" s="2"/>
      <c r="L3494" s="2">
        <v>45684</v>
      </c>
      <c r="M3494" s="2"/>
      <c r="N3494" s="2">
        <v>51014</v>
      </c>
      <c r="P3494" s="2">
        <v>45898</v>
      </c>
      <c r="Q3494" s="2"/>
      <c r="R3494" s="2">
        <v>50797</v>
      </c>
      <c r="AB3494" s="2"/>
    </row>
    <row r="3495" spans="8:28" ht="15" customHeight="1">
      <c r="H3495" s="2">
        <v>46014</v>
      </c>
      <c r="I3495" s="2"/>
      <c r="J3495" s="2">
        <v>50682</v>
      </c>
      <c r="K3495" s="2"/>
      <c r="L3495" s="2">
        <v>45681</v>
      </c>
      <c r="M3495" s="2"/>
      <c r="N3495" s="2">
        <v>51015</v>
      </c>
      <c r="P3495" s="2">
        <v>45897</v>
      </c>
      <c r="Q3495" s="2"/>
      <c r="R3495" s="2">
        <v>50798</v>
      </c>
      <c r="AB3495" s="2"/>
    </row>
    <row r="3496" spans="8:28" ht="15" customHeight="1">
      <c r="H3496" s="2">
        <v>46013</v>
      </c>
      <c r="I3496" s="2"/>
      <c r="J3496" s="2">
        <v>50683</v>
      </c>
      <c r="K3496" s="2"/>
      <c r="L3496" s="2">
        <v>45680</v>
      </c>
      <c r="M3496" s="2"/>
      <c r="N3496" s="2">
        <v>51019</v>
      </c>
      <c r="P3496" s="2">
        <v>45896</v>
      </c>
      <c r="Q3496" s="2"/>
      <c r="R3496" s="2">
        <v>50801</v>
      </c>
      <c r="AB3496" s="2"/>
    </row>
    <row r="3497" spans="8:28" ht="15" customHeight="1">
      <c r="H3497" s="2">
        <v>46010</v>
      </c>
      <c r="I3497" s="2"/>
      <c r="J3497" s="2">
        <v>50684</v>
      </c>
      <c r="K3497" s="2"/>
      <c r="L3497" s="2">
        <v>45679</v>
      </c>
      <c r="M3497" s="2"/>
      <c r="N3497" s="2">
        <v>51020</v>
      </c>
      <c r="P3497" s="2">
        <v>45895</v>
      </c>
      <c r="Q3497" s="2"/>
      <c r="R3497" s="2">
        <v>50802</v>
      </c>
      <c r="AB3497" s="2"/>
    </row>
    <row r="3498" spans="8:28" ht="15" customHeight="1">
      <c r="H3498" s="2">
        <v>46009</v>
      </c>
      <c r="I3498" s="2"/>
      <c r="J3498" s="2">
        <v>50685</v>
      </c>
      <c r="K3498" s="2"/>
      <c r="L3498" s="2">
        <v>45678</v>
      </c>
      <c r="M3498" s="2"/>
      <c r="N3498" s="2">
        <v>51021</v>
      </c>
      <c r="P3498" s="2">
        <v>45894</v>
      </c>
      <c r="Q3498" s="2"/>
      <c r="R3498" s="2">
        <v>50803</v>
      </c>
      <c r="AB3498" s="2"/>
    </row>
    <row r="3499" spans="8:28" ht="15" customHeight="1">
      <c r="H3499" s="2">
        <v>46008</v>
      </c>
      <c r="I3499" s="2"/>
      <c r="J3499" s="2">
        <v>50686</v>
      </c>
      <c r="K3499" s="2"/>
      <c r="L3499" s="2">
        <v>45674</v>
      </c>
      <c r="M3499" s="2"/>
      <c r="N3499" s="2">
        <v>51022</v>
      </c>
      <c r="P3499" s="2">
        <v>45891</v>
      </c>
      <c r="Q3499" s="2"/>
      <c r="R3499" s="2">
        <v>50804</v>
      </c>
      <c r="AB3499" s="2"/>
    </row>
    <row r="3500" spans="8:28" ht="15" customHeight="1">
      <c r="H3500" s="2">
        <v>46007</v>
      </c>
      <c r="I3500" s="2"/>
      <c r="J3500" s="2">
        <v>50689</v>
      </c>
      <c r="K3500" s="2"/>
      <c r="L3500" s="2">
        <v>45673</v>
      </c>
      <c r="M3500" s="2"/>
      <c r="N3500" s="2">
        <v>51025</v>
      </c>
      <c r="P3500" s="2">
        <v>45890</v>
      </c>
      <c r="Q3500" s="2"/>
      <c r="R3500" s="2">
        <v>50805</v>
      </c>
      <c r="AB3500" s="2"/>
    </row>
    <row r="3501" spans="8:28" ht="15" customHeight="1">
      <c r="H3501" s="2">
        <v>46006</v>
      </c>
      <c r="I3501" s="2"/>
      <c r="J3501" s="2">
        <v>50690</v>
      </c>
      <c r="K3501" s="2"/>
      <c r="L3501" s="2">
        <v>45672</v>
      </c>
      <c r="M3501" s="2"/>
      <c r="N3501" s="2">
        <v>51026</v>
      </c>
      <c r="P3501" s="2">
        <v>45889</v>
      </c>
      <c r="Q3501" s="2"/>
      <c r="R3501" s="2">
        <v>50808</v>
      </c>
      <c r="AB3501" s="2"/>
    </row>
    <row r="3502" spans="8:28" ht="15" customHeight="1">
      <c r="H3502" s="2">
        <v>46003</v>
      </c>
      <c r="I3502" s="2"/>
      <c r="J3502" s="2">
        <v>50691</v>
      </c>
      <c r="K3502" s="2"/>
      <c r="L3502" s="2">
        <v>45671</v>
      </c>
      <c r="M3502" s="2"/>
      <c r="N3502" s="2">
        <v>51027</v>
      </c>
      <c r="P3502" s="2">
        <v>45888</v>
      </c>
      <c r="Q3502" s="2"/>
      <c r="R3502" s="2">
        <v>50809</v>
      </c>
      <c r="AB3502" s="2"/>
    </row>
    <row r="3503" spans="8:28" ht="15" customHeight="1">
      <c r="H3503" s="2">
        <v>46002</v>
      </c>
      <c r="I3503" s="2"/>
      <c r="J3503" s="2">
        <v>50692</v>
      </c>
      <c r="K3503" s="2"/>
      <c r="L3503" s="2">
        <v>45667</v>
      </c>
      <c r="M3503" s="2"/>
      <c r="N3503" s="2">
        <v>51028</v>
      </c>
      <c r="P3503" s="2">
        <v>45887</v>
      </c>
      <c r="Q3503" s="2"/>
      <c r="R3503" s="2">
        <v>50810</v>
      </c>
      <c r="AB3503" s="2"/>
    </row>
    <row r="3504" spans="8:28" ht="15" customHeight="1">
      <c r="H3504" s="2">
        <v>46001</v>
      </c>
      <c r="I3504" s="2"/>
      <c r="J3504" s="2">
        <v>50693</v>
      </c>
      <c r="K3504" s="2"/>
      <c r="L3504" s="2">
        <v>45666</v>
      </c>
      <c r="M3504" s="2"/>
      <c r="N3504" s="2">
        <v>51029</v>
      </c>
      <c r="P3504" s="2">
        <v>45883</v>
      </c>
      <c r="Q3504" s="2"/>
      <c r="R3504" s="2">
        <v>50811</v>
      </c>
      <c r="AB3504" s="2"/>
    </row>
    <row r="3505" spans="8:28" ht="15" customHeight="1">
      <c r="H3505" s="2">
        <v>46000</v>
      </c>
      <c r="I3505" s="2"/>
      <c r="J3505" s="2">
        <v>50696</v>
      </c>
      <c r="K3505" s="2"/>
      <c r="L3505" s="2">
        <v>45665</v>
      </c>
      <c r="M3505" s="2"/>
      <c r="N3505" s="2">
        <v>51033</v>
      </c>
      <c r="P3505" s="2">
        <v>45882</v>
      </c>
      <c r="Q3505" s="2"/>
      <c r="R3505" s="2">
        <v>50812</v>
      </c>
      <c r="AB3505" s="2"/>
    </row>
    <row r="3506" spans="8:28" ht="15" customHeight="1">
      <c r="H3506" s="2">
        <v>45999</v>
      </c>
      <c r="I3506" s="2"/>
      <c r="J3506" s="2">
        <v>50697</v>
      </c>
      <c r="K3506" s="2"/>
      <c r="L3506" s="2">
        <v>45664</v>
      </c>
      <c r="M3506" s="2"/>
      <c r="N3506" s="2">
        <v>51034</v>
      </c>
      <c r="P3506" s="2">
        <v>45881</v>
      </c>
      <c r="Q3506" s="2"/>
      <c r="R3506" s="2">
        <v>50815</v>
      </c>
      <c r="AB3506" s="2"/>
    </row>
    <row r="3507" spans="8:28" ht="15" customHeight="1">
      <c r="H3507" s="2">
        <v>45996</v>
      </c>
      <c r="I3507" s="2"/>
      <c r="J3507" s="2">
        <v>50698</v>
      </c>
      <c r="K3507" s="2"/>
      <c r="L3507" s="2">
        <v>45663</v>
      </c>
      <c r="M3507" s="2"/>
      <c r="N3507" s="2">
        <v>51035</v>
      </c>
      <c r="P3507" s="2">
        <v>45880</v>
      </c>
      <c r="Q3507" s="2"/>
      <c r="R3507" s="2">
        <v>50816</v>
      </c>
      <c r="AB3507" s="2"/>
    </row>
    <row r="3508" spans="8:28" ht="15" customHeight="1">
      <c r="H3508" s="2">
        <v>45995</v>
      </c>
      <c r="I3508" s="2"/>
      <c r="J3508" s="2">
        <v>50699</v>
      </c>
      <c r="K3508" s="2"/>
      <c r="L3508" s="2">
        <v>45656</v>
      </c>
      <c r="M3508" s="2"/>
      <c r="N3508" s="2">
        <v>51039</v>
      </c>
      <c r="P3508" s="2">
        <v>45877</v>
      </c>
      <c r="Q3508" s="2"/>
      <c r="R3508" s="2">
        <v>50817</v>
      </c>
      <c r="AB3508" s="2"/>
    </row>
    <row r="3509" spans="8:28" ht="15" customHeight="1">
      <c r="H3509" s="2">
        <v>45994</v>
      </c>
      <c r="I3509" s="2"/>
      <c r="J3509" s="2">
        <v>50700</v>
      </c>
      <c r="K3509" s="2"/>
      <c r="L3509" s="2">
        <v>45653</v>
      </c>
      <c r="M3509" s="2"/>
      <c r="N3509" s="2">
        <v>51040</v>
      </c>
      <c r="P3509" s="2">
        <v>45876</v>
      </c>
      <c r="Q3509" s="2"/>
      <c r="R3509" s="2">
        <v>50818</v>
      </c>
      <c r="AB3509" s="2"/>
    </row>
    <row r="3510" spans="8:28" ht="15" customHeight="1">
      <c r="H3510" s="2">
        <v>45993</v>
      </c>
      <c r="I3510" s="2"/>
      <c r="J3510" s="2">
        <v>50703</v>
      </c>
      <c r="K3510" s="2"/>
      <c r="L3510" s="2">
        <v>45652</v>
      </c>
      <c r="M3510" s="2"/>
      <c r="N3510" s="2">
        <v>51041</v>
      </c>
      <c r="P3510" s="2">
        <v>45875</v>
      </c>
      <c r="Q3510" s="2"/>
      <c r="R3510" s="2">
        <v>50819</v>
      </c>
      <c r="AB3510" s="2"/>
    </row>
    <row r="3511" spans="8:28" ht="15" customHeight="1">
      <c r="H3511" s="2">
        <v>45992</v>
      </c>
      <c r="I3511" s="2"/>
      <c r="J3511" s="2">
        <v>50704</v>
      </c>
      <c r="K3511" s="2"/>
      <c r="L3511" s="2">
        <v>45650</v>
      </c>
      <c r="M3511" s="2"/>
      <c r="N3511" s="2">
        <v>51042</v>
      </c>
      <c r="P3511" s="2">
        <v>45874</v>
      </c>
      <c r="Q3511" s="2"/>
      <c r="R3511" s="2">
        <v>50822</v>
      </c>
      <c r="AB3511" s="2"/>
    </row>
    <row r="3512" spans="8:28" ht="15" customHeight="1">
      <c r="H3512" s="2">
        <v>45989</v>
      </c>
      <c r="I3512" s="2"/>
      <c r="J3512" s="2">
        <v>50705</v>
      </c>
      <c r="K3512" s="2"/>
      <c r="L3512" s="2">
        <v>45649</v>
      </c>
      <c r="M3512" s="2"/>
      <c r="N3512" s="2">
        <v>51043</v>
      </c>
      <c r="P3512" s="2">
        <v>45873</v>
      </c>
      <c r="Q3512" s="2"/>
      <c r="R3512" s="2">
        <v>50823</v>
      </c>
      <c r="AB3512" s="2"/>
    </row>
    <row r="3513" spans="8:28" ht="15" customHeight="1">
      <c r="H3513" s="2">
        <v>45987</v>
      </c>
      <c r="I3513" s="2"/>
      <c r="J3513" s="2">
        <v>50706</v>
      </c>
      <c r="K3513" s="2"/>
      <c r="L3513" s="2">
        <v>45646</v>
      </c>
      <c r="M3513" s="2"/>
      <c r="N3513" s="2">
        <v>51046</v>
      </c>
      <c r="P3513" s="2">
        <v>45870</v>
      </c>
      <c r="Q3513" s="2"/>
      <c r="R3513" s="2">
        <v>50824</v>
      </c>
      <c r="AB3513" s="2"/>
    </row>
    <row r="3514" spans="8:28" ht="15" customHeight="1">
      <c r="H3514" s="2">
        <v>45986</v>
      </c>
      <c r="I3514" s="2"/>
      <c r="J3514" s="2">
        <v>50707</v>
      </c>
      <c r="K3514" s="2"/>
      <c r="L3514" s="2">
        <v>45645</v>
      </c>
      <c r="M3514" s="2"/>
      <c r="N3514" s="2">
        <v>51047</v>
      </c>
      <c r="P3514" s="2">
        <v>45869</v>
      </c>
      <c r="Q3514" s="2"/>
      <c r="R3514" s="2">
        <v>50825</v>
      </c>
      <c r="AB3514" s="2"/>
    </row>
    <row r="3515" spans="8:28" ht="15" customHeight="1">
      <c r="H3515" s="2">
        <v>45985</v>
      </c>
      <c r="I3515" s="2"/>
      <c r="J3515" s="2">
        <v>50710</v>
      </c>
      <c r="K3515" s="2"/>
      <c r="L3515" s="2">
        <v>45644</v>
      </c>
      <c r="M3515" s="2"/>
      <c r="N3515" s="2">
        <v>51048</v>
      </c>
      <c r="P3515" s="2">
        <v>45868</v>
      </c>
      <c r="Q3515" s="2"/>
      <c r="R3515" s="2">
        <v>50826</v>
      </c>
      <c r="AB3515" s="2"/>
    </row>
    <row r="3516" spans="8:28" ht="15" customHeight="1">
      <c r="H3516" s="2">
        <v>45982</v>
      </c>
      <c r="I3516" s="2"/>
      <c r="J3516" s="2">
        <v>50711</v>
      </c>
      <c r="K3516" s="2"/>
      <c r="L3516" s="2">
        <v>45643</v>
      </c>
      <c r="M3516" s="2"/>
      <c r="N3516" s="2">
        <v>51049</v>
      </c>
      <c r="P3516" s="2">
        <v>45867</v>
      </c>
      <c r="Q3516" s="2"/>
      <c r="R3516" s="2">
        <v>50829</v>
      </c>
      <c r="AB3516" s="2"/>
    </row>
    <row r="3517" spans="8:28" ht="15" customHeight="1">
      <c r="H3517" s="2">
        <v>45981</v>
      </c>
      <c r="I3517" s="2"/>
      <c r="J3517" s="2">
        <v>50712</v>
      </c>
      <c r="K3517" s="2"/>
      <c r="L3517" s="2">
        <v>45642</v>
      </c>
      <c r="M3517" s="2"/>
      <c r="N3517" s="2">
        <v>51050</v>
      </c>
      <c r="P3517" s="2">
        <v>45866</v>
      </c>
      <c r="Q3517" s="2"/>
      <c r="R3517" s="2">
        <v>50831</v>
      </c>
      <c r="AB3517" s="2"/>
    </row>
    <row r="3518" spans="8:28" ht="15" customHeight="1">
      <c r="H3518" s="2">
        <v>45980</v>
      </c>
      <c r="I3518" s="2"/>
      <c r="J3518" s="2">
        <v>50713</v>
      </c>
      <c r="K3518" s="2"/>
      <c r="L3518" s="2">
        <v>45639</v>
      </c>
      <c r="M3518" s="2"/>
      <c r="N3518" s="2">
        <v>51054</v>
      </c>
      <c r="P3518" s="2">
        <v>45863</v>
      </c>
      <c r="Q3518" s="2"/>
      <c r="R3518" s="2">
        <v>50832</v>
      </c>
      <c r="AB3518" s="2"/>
    </row>
    <row r="3519" spans="8:28" ht="15" customHeight="1">
      <c r="H3519" s="2">
        <v>45979</v>
      </c>
      <c r="I3519" s="2"/>
      <c r="J3519" s="2">
        <v>50714</v>
      </c>
      <c r="K3519" s="2"/>
      <c r="L3519" s="2">
        <v>45638</v>
      </c>
      <c r="M3519" s="2"/>
      <c r="N3519" s="2">
        <v>51055</v>
      </c>
      <c r="P3519" s="2">
        <v>45862</v>
      </c>
      <c r="Q3519" s="2"/>
      <c r="R3519" s="2">
        <v>50833</v>
      </c>
      <c r="AB3519" s="2"/>
    </row>
    <row r="3520" spans="8:28" ht="15" customHeight="1">
      <c r="H3520" s="2">
        <v>45978</v>
      </c>
      <c r="I3520" s="2"/>
      <c r="J3520" s="2">
        <v>50717</v>
      </c>
      <c r="K3520" s="2"/>
      <c r="L3520" s="2">
        <v>45637</v>
      </c>
      <c r="M3520" s="2"/>
      <c r="N3520" s="2">
        <v>51056</v>
      </c>
      <c r="P3520" s="2">
        <v>45861</v>
      </c>
      <c r="Q3520" s="2"/>
      <c r="R3520" s="2">
        <v>50836</v>
      </c>
      <c r="AB3520" s="2"/>
    </row>
    <row r="3521" spans="8:28" ht="15" customHeight="1">
      <c r="H3521" s="2">
        <v>45975</v>
      </c>
      <c r="I3521" s="2"/>
      <c r="J3521" s="2">
        <v>50718</v>
      </c>
      <c r="K3521" s="2"/>
      <c r="L3521" s="2">
        <v>45636</v>
      </c>
      <c r="M3521" s="2"/>
      <c r="N3521" s="2">
        <v>51057</v>
      </c>
      <c r="P3521" s="2">
        <v>45860</v>
      </c>
      <c r="Q3521" s="2"/>
      <c r="R3521" s="2">
        <v>50837</v>
      </c>
      <c r="AB3521" s="2"/>
    </row>
    <row r="3522" spans="8:28" ht="15" customHeight="1">
      <c r="H3522" s="2">
        <v>45974</v>
      </c>
      <c r="I3522" s="2"/>
      <c r="J3522" s="2">
        <v>50719</v>
      </c>
      <c r="K3522" s="2"/>
      <c r="L3522" s="2">
        <v>45635</v>
      </c>
      <c r="M3522" s="2"/>
      <c r="N3522" s="2">
        <v>51060</v>
      </c>
      <c r="P3522" s="2">
        <v>45859</v>
      </c>
      <c r="Q3522" s="2"/>
      <c r="R3522" s="2">
        <v>50838</v>
      </c>
      <c r="AB3522" s="2"/>
    </row>
    <row r="3523" spans="8:28" ht="15" customHeight="1">
      <c r="H3523" s="2">
        <v>45973</v>
      </c>
      <c r="I3523" s="2"/>
      <c r="J3523" s="2">
        <v>50720</v>
      </c>
      <c r="K3523" s="2"/>
      <c r="L3523" s="2">
        <v>45632</v>
      </c>
      <c r="M3523" s="2"/>
      <c r="N3523" s="2">
        <v>51061</v>
      </c>
      <c r="P3523" s="2">
        <v>45856</v>
      </c>
      <c r="Q3523" s="2"/>
      <c r="R3523" s="2">
        <v>50839</v>
      </c>
      <c r="AB3523" s="2"/>
    </row>
    <row r="3524" spans="8:28" ht="15" customHeight="1">
      <c r="H3524" s="2">
        <v>45972</v>
      </c>
      <c r="I3524" s="2"/>
      <c r="J3524" s="2">
        <v>50721</v>
      </c>
      <c r="K3524" s="2"/>
      <c r="L3524" s="2">
        <v>45631</v>
      </c>
      <c r="M3524" s="2"/>
      <c r="N3524" s="2">
        <v>51062</v>
      </c>
      <c r="P3524" s="2">
        <v>45855</v>
      </c>
      <c r="Q3524" s="2"/>
      <c r="R3524" s="2">
        <v>50840</v>
      </c>
      <c r="AB3524" s="2"/>
    </row>
    <row r="3525" spans="8:28" ht="15" customHeight="1">
      <c r="H3525" s="2">
        <v>45971</v>
      </c>
      <c r="I3525" s="2"/>
      <c r="J3525" s="2">
        <v>50724</v>
      </c>
      <c r="K3525" s="2"/>
      <c r="L3525" s="2">
        <v>45630</v>
      </c>
      <c r="M3525" s="2"/>
      <c r="N3525" s="2">
        <v>51063</v>
      </c>
      <c r="P3525" s="2">
        <v>45854</v>
      </c>
      <c r="Q3525" s="2"/>
      <c r="R3525" s="2">
        <v>50843</v>
      </c>
      <c r="AB3525" s="2"/>
    </row>
    <row r="3526" spans="8:28" ht="15" customHeight="1">
      <c r="H3526" s="2">
        <v>45968</v>
      </c>
      <c r="I3526" s="2"/>
      <c r="J3526" s="2">
        <v>50725</v>
      </c>
      <c r="K3526" s="2"/>
      <c r="L3526" s="2">
        <v>45629</v>
      </c>
      <c r="M3526" s="2"/>
      <c r="N3526" s="2">
        <v>51064</v>
      </c>
      <c r="P3526" s="2">
        <v>45853</v>
      </c>
      <c r="Q3526" s="2"/>
      <c r="R3526" s="2">
        <v>50844</v>
      </c>
      <c r="AB3526" s="2"/>
    </row>
    <row r="3527" spans="8:28" ht="15" customHeight="1">
      <c r="H3527" s="2">
        <v>45967</v>
      </c>
      <c r="I3527" s="2"/>
      <c r="J3527" s="2">
        <v>50726</v>
      </c>
      <c r="K3527" s="2"/>
      <c r="L3527" s="2">
        <v>45628</v>
      </c>
      <c r="M3527" s="2"/>
      <c r="N3527" s="2">
        <v>51067</v>
      </c>
      <c r="P3527" s="2">
        <v>45852</v>
      </c>
      <c r="Q3527" s="2"/>
      <c r="R3527" s="2">
        <v>50845</v>
      </c>
      <c r="AB3527" s="2"/>
    </row>
    <row r="3528" spans="8:28" ht="15" customHeight="1">
      <c r="H3528" s="2">
        <v>45966</v>
      </c>
      <c r="I3528" s="2"/>
      <c r="J3528" s="2">
        <v>50727</v>
      </c>
      <c r="K3528" s="2"/>
      <c r="L3528" s="2">
        <v>45625</v>
      </c>
      <c r="M3528" s="2"/>
      <c r="N3528" s="2">
        <v>51068</v>
      </c>
      <c r="P3528" s="2">
        <v>45849</v>
      </c>
      <c r="Q3528" s="2"/>
      <c r="R3528" s="2">
        <v>50846</v>
      </c>
      <c r="AB3528" s="2"/>
    </row>
    <row r="3529" spans="8:28" ht="15" customHeight="1">
      <c r="H3529" s="2">
        <v>45965</v>
      </c>
      <c r="I3529" s="2"/>
      <c r="J3529" s="2">
        <v>50728</v>
      </c>
      <c r="K3529" s="2"/>
      <c r="L3529" s="2">
        <v>45623</v>
      </c>
      <c r="M3529" s="2"/>
      <c r="N3529" s="2">
        <v>51069</v>
      </c>
      <c r="P3529" s="2">
        <v>45848</v>
      </c>
      <c r="Q3529" s="2"/>
      <c r="R3529" s="2">
        <v>50847</v>
      </c>
      <c r="AB3529" s="2"/>
    </row>
    <row r="3530" spans="8:28" ht="15" customHeight="1">
      <c r="H3530" s="2">
        <v>45964</v>
      </c>
      <c r="I3530" s="2"/>
      <c r="J3530" s="2">
        <v>50731</v>
      </c>
      <c r="K3530" s="2"/>
      <c r="L3530" s="2">
        <v>45622</v>
      </c>
      <c r="M3530" s="2"/>
      <c r="N3530" s="2">
        <v>51070</v>
      </c>
      <c r="P3530" s="2">
        <v>45847</v>
      </c>
      <c r="Q3530" s="2"/>
      <c r="R3530" s="2">
        <v>50850</v>
      </c>
      <c r="AB3530" s="2"/>
    </row>
    <row r="3531" spans="8:28" ht="15" customHeight="1">
      <c r="H3531" s="2">
        <v>45961</v>
      </c>
      <c r="I3531" s="2"/>
      <c r="J3531" s="2">
        <v>50732</v>
      </c>
      <c r="K3531" s="2"/>
      <c r="L3531" s="2">
        <v>45621</v>
      </c>
      <c r="M3531" s="2"/>
      <c r="N3531" s="2">
        <v>51071</v>
      </c>
      <c r="P3531" s="2">
        <v>45846</v>
      </c>
      <c r="Q3531" s="2"/>
      <c r="R3531" s="2">
        <v>50851</v>
      </c>
      <c r="AB3531" s="2"/>
    </row>
    <row r="3532" spans="8:28" ht="15" customHeight="1">
      <c r="H3532" s="2">
        <v>45960</v>
      </c>
      <c r="I3532" s="2"/>
      <c r="J3532" s="2">
        <v>50733</v>
      </c>
      <c r="K3532" s="2"/>
      <c r="L3532" s="2">
        <v>45618</v>
      </c>
      <c r="M3532" s="2"/>
      <c r="N3532" s="2">
        <v>51074</v>
      </c>
      <c r="P3532" s="2">
        <v>45845</v>
      </c>
      <c r="Q3532" s="2"/>
      <c r="R3532" s="2">
        <v>50852</v>
      </c>
      <c r="AB3532" s="2"/>
    </row>
    <row r="3533" spans="8:28" ht="15" customHeight="1">
      <c r="H3533" s="2">
        <v>45959</v>
      </c>
      <c r="I3533" s="2"/>
      <c r="J3533" s="2">
        <v>50735</v>
      </c>
      <c r="K3533" s="2"/>
      <c r="L3533" s="2">
        <v>45617</v>
      </c>
      <c r="M3533" s="2"/>
      <c r="N3533" s="2">
        <v>51075</v>
      </c>
      <c r="P3533" s="2">
        <v>45842</v>
      </c>
      <c r="Q3533" s="2"/>
      <c r="R3533" s="2">
        <v>50853</v>
      </c>
      <c r="AB3533" s="2"/>
    </row>
    <row r="3534" spans="8:28" ht="15" customHeight="1">
      <c r="H3534" s="2">
        <v>45958</v>
      </c>
      <c r="I3534" s="2"/>
      <c r="J3534" s="2">
        <v>50738</v>
      </c>
      <c r="K3534" s="2"/>
      <c r="L3534" s="2">
        <v>45616</v>
      </c>
      <c r="M3534" s="2"/>
      <c r="N3534" s="2">
        <v>51076</v>
      </c>
      <c r="P3534" s="2">
        <v>45841</v>
      </c>
      <c r="Q3534" s="2"/>
      <c r="R3534" s="2">
        <v>50854</v>
      </c>
      <c r="AB3534" s="2"/>
    </row>
    <row r="3535" spans="8:28" ht="15" customHeight="1">
      <c r="H3535" s="2">
        <v>45957</v>
      </c>
      <c r="I3535" s="2"/>
      <c r="J3535" s="2">
        <v>50739</v>
      </c>
      <c r="K3535" s="2"/>
      <c r="L3535" s="2">
        <v>45615</v>
      </c>
      <c r="M3535" s="2"/>
      <c r="N3535" s="2">
        <v>51078</v>
      </c>
      <c r="P3535" s="2">
        <v>45840</v>
      </c>
      <c r="Q3535" s="2"/>
      <c r="R3535" s="2">
        <v>50857</v>
      </c>
      <c r="AB3535" s="2"/>
    </row>
    <row r="3536" spans="8:28" ht="15" customHeight="1">
      <c r="H3536" s="2">
        <v>45954</v>
      </c>
      <c r="I3536" s="2"/>
      <c r="J3536" s="2">
        <v>50740</v>
      </c>
      <c r="K3536" s="2"/>
      <c r="L3536" s="2">
        <v>45614</v>
      </c>
      <c r="M3536" s="2"/>
      <c r="N3536" s="2">
        <v>51081</v>
      </c>
      <c r="P3536" s="2">
        <v>45839</v>
      </c>
      <c r="Q3536" s="2"/>
      <c r="R3536" s="2">
        <v>50858</v>
      </c>
      <c r="AB3536" s="2"/>
    </row>
    <row r="3537" spans="8:28" ht="15" customHeight="1">
      <c r="H3537" s="2">
        <v>45953</v>
      </c>
      <c r="I3537" s="2"/>
      <c r="J3537" s="2">
        <v>50741</v>
      </c>
      <c r="K3537" s="2"/>
      <c r="L3537" s="2">
        <v>45611</v>
      </c>
      <c r="M3537" s="2"/>
      <c r="N3537" s="2">
        <v>51082</v>
      </c>
      <c r="P3537" s="2">
        <v>45838</v>
      </c>
      <c r="Q3537" s="2"/>
      <c r="R3537" s="2">
        <v>50859</v>
      </c>
      <c r="AB3537" s="2"/>
    </row>
    <row r="3538" spans="8:28" ht="15" customHeight="1">
      <c r="H3538" s="2">
        <v>45952</v>
      </c>
      <c r="I3538" s="2"/>
      <c r="J3538" s="2">
        <v>50742</v>
      </c>
      <c r="K3538" s="2"/>
      <c r="L3538" s="2">
        <v>45610</v>
      </c>
      <c r="M3538" s="2"/>
      <c r="N3538" s="2">
        <v>51083</v>
      </c>
      <c r="P3538" s="2">
        <v>45835</v>
      </c>
      <c r="Q3538" s="2"/>
      <c r="R3538" s="2">
        <v>50860</v>
      </c>
      <c r="AB3538" s="2"/>
    </row>
    <row r="3539" spans="8:28" ht="15" customHeight="1">
      <c r="H3539" s="2">
        <v>45951</v>
      </c>
      <c r="I3539" s="2"/>
      <c r="J3539" s="2">
        <v>50745</v>
      </c>
      <c r="K3539" s="2"/>
      <c r="L3539" s="2">
        <v>45609</v>
      </c>
      <c r="M3539" s="2"/>
      <c r="N3539" s="2">
        <v>51084</v>
      </c>
      <c r="P3539" s="2">
        <v>45834</v>
      </c>
      <c r="Q3539" s="2"/>
      <c r="R3539" s="2">
        <v>50861</v>
      </c>
      <c r="AB3539" s="2"/>
    </row>
    <row r="3540" spans="8:28" ht="15" customHeight="1">
      <c r="H3540" s="2">
        <v>45950</v>
      </c>
      <c r="I3540" s="2"/>
      <c r="J3540" s="2">
        <v>50746</v>
      </c>
      <c r="K3540" s="2"/>
      <c r="L3540" s="2">
        <v>45608</v>
      </c>
      <c r="M3540" s="2"/>
      <c r="N3540" s="2">
        <v>51085</v>
      </c>
      <c r="P3540" s="2">
        <v>45833</v>
      </c>
      <c r="Q3540" s="2"/>
      <c r="R3540" s="2">
        <v>50864</v>
      </c>
      <c r="AB3540" s="2"/>
    </row>
    <row r="3541" spans="8:28" ht="15" customHeight="1">
      <c r="H3541" s="2">
        <v>45947</v>
      </c>
      <c r="I3541" s="2"/>
      <c r="J3541" s="2">
        <v>50747</v>
      </c>
      <c r="K3541" s="2"/>
      <c r="L3541" s="2">
        <v>45607</v>
      </c>
      <c r="M3541" s="2"/>
      <c r="N3541" s="2">
        <v>51088</v>
      </c>
      <c r="P3541" s="2">
        <v>45832</v>
      </c>
      <c r="Q3541" s="2"/>
      <c r="R3541" s="2">
        <v>50865</v>
      </c>
      <c r="AB3541" s="2"/>
    </row>
    <row r="3542" spans="8:28" ht="15" customHeight="1">
      <c r="H3542" s="2">
        <v>45946</v>
      </c>
      <c r="I3542" s="2"/>
      <c r="J3542" s="2">
        <v>50748</v>
      </c>
      <c r="K3542" s="2"/>
      <c r="L3542" s="2">
        <v>45604</v>
      </c>
      <c r="M3542" s="2"/>
      <c r="N3542" s="2">
        <v>51089</v>
      </c>
      <c r="P3542" s="2">
        <v>45831</v>
      </c>
      <c r="Q3542" s="2"/>
      <c r="R3542" s="2">
        <v>50866</v>
      </c>
      <c r="AB3542" s="2"/>
    </row>
    <row r="3543" spans="8:28" ht="15" customHeight="1">
      <c r="H3543" s="2">
        <v>45945</v>
      </c>
      <c r="I3543" s="2"/>
      <c r="J3543" s="2">
        <v>50749</v>
      </c>
      <c r="K3543" s="2"/>
      <c r="L3543" s="2">
        <v>45603</v>
      </c>
      <c r="M3543" s="2"/>
      <c r="N3543" s="2">
        <v>51090</v>
      </c>
      <c r="P3543" s="2">
        <v>45828</v>
      </c>
      <c r="Q3543" s="2"/>
      <c r="R3543" s="2">
        <v>50867</v>
      </c>
      <c r="AB3543" s="2"/>
    </row>
    <row r="3544" spans="8:28" ht="15" customHeight="1">
      <c r="H3544" s="2">
        <v>45944</v>
      </c>
      <c r="I3544" s="2"/>
      <c r="J3544" s="2">
        <v>50752</v>
      </c>
      <c r="K3544" s="2"/>
      <c r="L3544" s="2">
        <v>45602</v>
      </c>
      <c r="M3544" s="2"/>
      <c r="N3544" s="2">
        <v>51091</v>
      </c>
      <c r="P3544" s="2">
        <v>45827</v>
      </c>
      <c r="Q3544" s="2"/>
      <c r="R3544" s="2">
        <v>50868</v>
      </c>
      <c r="AB3544" s="2"/>
    </row>
    <row r="3545" spans="8:28" ht="15" customHeight="1">
      <c r="H3545" s="2">
        <v>45943</v>
      </c>
      <c r="I3545" s="2"/>
      <c r="J3545" s="2">
        <v>50753</v>
      </c>
      <c r="K3545" s="2"/>
      <c r="L3545" s="2">
        <v>45601</v>
      </c>
      <c r="M3545" s="2"/>
      <c r="N3545" s="2">
        <v>51092</v>
      </c>
      <c r="P3545" s="2">
        <v>45826</v>
      </c>
      <c r="Q3545" s="2"/>
      <c r="R3545" s="2">
        <v>50871</v>
      </c>
      <c r="AB3545" s="2"/>
    </row>
    <row r="3546" spans="8:28" ht="15" customHeight="1">
      <c r="H3546" s="2">
        <v>45940</v>
      </c>
      <c r="I3546" s="2"/>
      <c r="J3546" s="2">
        <v>50754</v>
      </c>
      <c r="K3546" s="2"/>
      <c r="L3546" s="2">
        <v>45597</v>
      </c>
      <c r="M3546" s="2"/>
      <c r="N3546" s="2">
        <v>51095</v>
      </c>
      <c r="P3546" s="2">
        <v>45825</v>
      </c>
      <c r="Q3546" s="2"/>
      <c r="R3546" s="2">
        <v>50872</v>
      </c>
      <c r="AB3546" s="2"/>
    </row>
    <row r="3547" spans="8:28" ht="15" customHeight="1">
      <c r="H3547" s="2">
        <v>45939</v>
      </c>
      <c r="I3547" s="2"/>
      <c r="J3547" s="2">
        <v>50755</v>
      </c>
      <c r="K3547" s="2"/>
      <c r="L3547" s="2">
        <v>45596</v>
      </c>
      <c r="M3547" s="2"/>
      <c r="N3547" s="2">
        <v>51096</v>
      </c>
      <c r="P3547" s="2">
        <v>45824</v>
      </c>
      <c r="Q3547" s="2"/>
      <c r="R3547" s="2">
        <v>50873</v>
      </c>
      <c r="AB3547" s="2"/>
    </row>
    <row r="3548" spans="8:28" ht="15" customHeight="1">
      <c r="H3548" s="2">
        <v>45938</v>
      </c>
      <c r="I3548" s="2"/>
      <c r="J3548" s="2">
        <v>50756</v>
      </c>
      <c r="K3548" s="2"/>
      <c r="L3548" s="2"/>
      <c r="M3548" s="2"/>
      <c r="N3548" s="2"/>
      <c r="P3548" s="2">
        <v>45821</v>
      </c>
      <c r="Q3548" s="2"/>
      <c r="R3548" s="2">
        <v>50874</v>
      </c>
      <c r="AB3548" s="2"/>
    </row>
    <row r="3549" spans="8:28" ht="15" customHeight="1">
      <c r="H3549" s="2">
        <v>45937</v>
      </c>
      <c r="I3549" s="2"/>
      <c r="J3549" s="2">
        <v>50759</v>
      </c>
      <c r="K3549" s="2"/>
      <c r="L3549" s="2"/>
      <c r="M3549" s="2"/>
      <c r="N3549" s="2"/>
      <c r="P3549" s="2">
        <v>45820</v>
      </c>
      <c r="Q3549" s="2"/>
      <c r="R3549" s="2">
        <v>50875</v>
      </c>
      <c r="AB3549" s="2"/>
    </row>
    <row r="3550" spans="8:28" ht="15" customHeight="1">
      <c r="H3550" s="2">
        <v>45936</v>
      </c>
      <c r="I3550" s="2"/>
      <c r="J3550" s="2">
        <v>50760</v>
      </c>
      <c r="K3550" s="2"/>
      <c r="L3550" s="2"/>
      <c r="M3550" s="2"/>
      <c r="N3550" s="2"/>
      <c r="P3550" s="2">
        <v>45819</v>
      </c>
      <c r="Q3550" s="2"/>
      <c r="R3550" s="2">
        <v>50878</v>
      </c>
      <c r="AB3550" s="2"/>
    </row>
    <row r="3551" spans="8:28" ht="15" customHeight="1">
      <c r="H3551" s="2">
        <v>45933</v>
      </c>
      <c r="I3551" s="2"/>
      <c r="J3551" s="2">
        <v>50761</v>
      </c>
      <c r="K3551" s="2"/>
      <c r="L3551" s="2"/>
      <c r="M3551" s="2"/>
      <c r="N3551" s="2"/>
      <c r="P3551" s="2">
        <v>45818</v>
      </c>
      <c r="Q3551" s="2"/>
      <c r="R3551" s="2">
        <v>50879</v>
      </c>
      <c r="AB3551" s="2"/>
    </row>
    <row r="3552" spans="8:28" ht="15" customHeight="1">
      <c r="H3552" s="2">
        <v>45932</v>
      </c>
      <c r="I3552" s="2"/>
      <c r="J3552" s="2">
        <v>50762</v>
      </c>
      <c r="K3552" s="2"/>
      <c r="L3552" s="2"/>
      <c r="M3552" s="2"/>
      <c r="N3552" s="2"/>
      <c r="P3552" s="2">
        <v>45817</v>
      </c>
      <c r="Q3552" s="2"/>
      <c r="R3552" s="2">
        <v>50880</v>
      </c>
      <c r="AB3552" s="2"/>
    </row>
    <row r="3553" spans="8:28" ht="15" customHeight="1">
      <c r="H3553" s="2">
        <v>45931</v>
      </c>
      <c r="I3553" s="2"/>
      <c r="J3553" s="2">
        <v>50766</v>
      </c>
      <c r="K3553" s="2"/>
      <c r="L3553" s="2"/>
      <c r="M3553" s="2"/>
      <c r="N3553" s="2"/>
      <c r="P3553" s="2">
        <v>45813</v>
      </c>
      <c r="Q3553" s="2"/>
      <c r="R3553" s="2">
        <v>50881</v>
      </c>
      <c r="AB3553" s="2"/>
    </row>
    <row r="3554" spans="8:28" ht="15" customHeight="1">
      <c r="H3554" s="2">
        <v>45930</v>
      </c>
      <c r="I3554" s="2"/>
      <c r="J3554" s="2">
        <v>50767</v>
      </c>
      <c r="K3554" s="2"/>
      <c r="L3554" s="2"/>
      <c r="M3554" s="2"/>
      <c r="N3554" s="2"/>
      <c r="P3554" s="2">
        <v>45812</v>
      </c>
      <c r="Q3554" s="2"/>
      <c r="R3554" s="2">
        <v>50882</v>
      </c>
      <c r="AB3554" s="2"/>
    </row>
    <row r="3555" spans="8:28" ht="15" customHeight="1">
      <c r="H3555" s="2">
        <v>45929</v>
      </c>
      <c r="I3555" s="2"/>
      <c r="J3555" s="2">
        <v>50768</v>
      </c>
      <c r="K3555" s="2"/>
      <c r="L3555" s="2"/>
      <c r="M3555" s="2"/>
      <c r="N3555" s="2"/>
      <c r="P3555" s="2">
        <v>45811</v>
      </c>
      <c r="Q3555" s="2"/>
      <c r="R3555" s="2">
        <v>50885</v>
      </c>
      <c r="AB3555" s="2"/>
    </row>
    <row r="3556" spans="8:28" ht="15" customHeight="1">
      <c r="H3556" s="2">
        <v>45926</v>
      </c>
      <c r="I3556" s="2"/>
      <c r="J3556" s="2">
        <v>50769</v>
      </c>
      <c r="K3556" s="2"/>
      <c r="L3556" s="2"/>
      <c r="M3556" s="2"/>
      <c r="N3556" s="2"/>
      <c r="P3556" s="2">
        <v>45810</v>
      </c>
      <c r="Q3556" s="2"/>
      <c r="R3556" s="2">
        <v>50886</v>
      </c>
      <c r="AB3556" s="2"/>
    </row>
    <row r="3557" spans="8:28" ht="15" customHeight="1">
      <c r="H3557" s="2">
        <v>45925</v>
      </c>
      <c r="I3557" s="2"/>
      <c r="J3557" s="2">
        <v>50770</v>
      </c>
      <c r="K3557" s="2"/>
      <c r="L3557" s="2"/>
      <c r="M3557" s="2"/>
      <c r="N3557" s="2"/>
      <c r="P3557" s="2">
        <v>45807</v>
      </c>
      <c r="Q3557" s="2"/>
      <c r="R3557" s="2">
        <v>50887</v>
      </c>
      <c r="AB3557" s="2"/>
    </row>
    <row r="3558" spans="8:28" ht="15" customHeight="1">
      <c r="H3558" s="2">
        <v>45924</v>
      </c>
      <c r="I3558" s="2"/>
      <c r="J3558" s="2">
        <v>50773</v>
      </c>
      <c r="K3558" s="2"/>
      <c r="L3558" s="2"/>
      <c r="M3558" s="2"/>
      <c r="N3558" s="2"/>
      <c r="P3558" s="2">
        <v>45806</v>
      </c>
      <c r="Q3558" s="2"/>
      <c r="R3558" s="2">
        <v>50888</v>
      </c>
      <c r="AB3558" s="2"/>
    </row>
    <row r="3559" spans="8:28" ht="15" customHeight="1">
      <c r="H3559" s="2">
        <v>45923</v>
      </c>
      <c r="I3559" s="2"/>
      <c r="J3559" s="2">
        <v>50774</v>
      </c>
      <c r="K3559" s="2"/>
      <c r="L3559" s="2"/>
      <c r="M3559" s="2"/>
      <c r="N3559" s="2"/>
      <c r="P3559" s="2">
        <v>45805</v>
      </c>
      <c r="Q3559" s="2"/>
      <c r="R3559" s="2">
        <v>50889</v>
      </c>
      <c r="AB3559" s="2"/>
    </row>
    <row r="3560" spans="8:28" ht="15" customHeight="1">
      <c r="H3560" s="2">
        <v>45922</v>
      </c>
      <c r="I3560" s="2"/>
      <c r="J3560" s="2">
        <v>50775</v>
      </c>
      <c r="K3560" s="2"/>
      <c r="L3560" s="2"/>
      <c r="M3560" s="2"/>
      <c r="N3560" s="2"/>
      <c r="P3560" s="2">
        <v>45804</v>
      </c>
      <c r="Q3560" s="2"/>
      <c r="R3560" s="2">
        <v>50893</v>
      </c>
      <c r="AB3560" s="2"/>
    </row>
    <row r="3561" spans="8:28" ht="15" customHeight="1">
      <c r="H3561" s="2">
        <v>45919</v>
      </c>
      <c r="I3561" s="2"/>
      <c r="J3561" s="2">
        <v>50776</v>
      </c>
      <c r="K3561" s="2"/>
      <c r="L3561" s="2"/>
      <c r="M3561" s="2"/>
      <c r="N3561" s="2"/>
      <c r="P3561" s="2">
        <v>45803</v>
      </c>
      <c r="Q3561" s="2"/>
      <c r="R3561" s="2">
        <v>50894</v>
      </c>
      <c r="AB3561" s="2"/>
    </row>
    <row r="3562" spans="8:28" ht="15" customHeight="1">
      <c r="H3562" s="2">
        <v>45918</v>
      </c>
      <c r="I3562" s="2"/>
      <c r="J3562" s="2">
        <v>50777</v>
      </c>
      <c r="K3562" s="2"/>
      <c r="L3562" s="2"/>
      <c r="M3562" s="2"/>
      <c r="N3562" s="2"/>
      <c r="P3562" s="2">
        <v>45800</v>
      </c>
      <c r="Q3562" s="2"/>
      <c r="R3562" s="2">
        <v>50896</v>
      </c>
      <c r="AB3562" s="2"/>
    </row>
    <row r="3563" spans="8:28" ht="15" customHeight="1">
      <c r="H3563" s="2">
        <v>45917</v>
      </c>
      <c r="I3563" s="2"/>
      <c r="J3563" s="2">
        <v>50780</v>
      </c>
      <c r="K3563" s="2"/>
      <c r="L3563" s="2"/>
      <c r="M3563" s="2"/>
      <c r="N3563" s="2"/>
      <c r="P3563" s="2">
        <v>45799</v>
      </c>
      <c r="Q3563" s="2"/>
      <c r="R3563" s="2">
        <v>50899</v>
      </c>
      <c r="AB3563" s="2"/>
    </row>
    <row r="3564" spans="8:28" ht="15" customHeight="1">
      <c r="H3564" s="2">
        <v>45916</v>
      </c>
      <c r="I3564" s="2"/>
      <c r="J3564" s="2">
        <v>50781</v>
      </c>
      <c r="K3564" s="2"/>
      <c r="L3564" s="2"/>
      <c r="M3564" s="2"/>
      <c r="N3564" s="2"/>
      <c r="P3564" s="2">
        <v>45798</v>
      </c>
      <c r="Q3564" s="2"/>
      <c r="R3564" s="2">
        <v>50900</v>
      </c>
      <c r="AB3564" s="2"/>
    </row>
    <row r="3565" spans="8:28" ht="15" customHeight="1">
      <c r="H3565" s="2">
        <v>45915</v>
      </c>
      <c r="I3565" s="2"/>
      <c r="J3565" s="2">
        <v>50782</v>
      </c>
      <c r="K3565" s="2"/>
      <c r="L3565" s="2"/>
      <c r="M3565" s="2"/>
      <c r="N3565" s="2"/>
      <c r="P3565" s="2">
        <v>45797</v>
      </c>
      <c r="Q3565" s="2"/>
      <c r="R3565" s="2">
        <v>50901</v>
      </c>
      <c r="AB3565" s="2"/>
    </row>
    <row r="3566" spans="8:28" ht="15" customHeight="1">
      <c r="H3566" s="2">
        <v>45912</v>
      </c>
      <c r="I3566" s="2"/>
      <c r="J3566" s="2">
        <v>50783</v>
      </c>
      <c r="K3566" s="2"/>
      <c r="L3566" s="2"/>
      <c r="M3566" s="2"/>
      <c r="N3566" s="2"/>
      <c r="P3566" s="2">
        <v>45796</v>
      </c>
      <c r="Q3566" s="2"/>
      <c r="R3566" s="2">
        <v>50902</v>
      </c>
      <c r="AB3566" s="2"/>
    </row>
    <row r="3567" spans="8:28" ht="15" customHeight="1">
      <c r="H3567" s="2">
        <v>45911</v>
      </c>
      <c r="I3567" s="2"/>
      <c r="J3567" s="2">
        <v>50784</v>
      </c>
      <c r="K3567" s="2"/>
      <c r="L3567" s="2"/>
      <c r="M3567" s="2"/>
      <c r="N3567" s="2"/>
      <c r="P3567" s="2">
        <v>45793</v>
      </c>
      <c r="Q3567" s="2"/>
      <c r="R3567" s="2">
        <v>50903</v>
      </c>
      <c r="AB3567" s="2"/>
    </row>
    <row r="3568" spans="8:28" ht="15" customHeight="1">
      <c r="H3568" s="2">
        <v>45910</v>
      </c>
      <c r="I3568" s="2"/>
      <c r="J3568" s="2">
        <v>50788</v>
      </c>
      <c r="K3568" s="2"/>
      <c r="L3568" s="2"/>
      <c r="M3568" s="2"/>
      <c r="N3568" s="2"/>
      <c r="P3568" s="2">
        <v>45792</v>
      </c>
      <c r="Q3568" s="2"/>
      <c r="R3568" s="2">
        <v>50906</v>
      </c>
      <c r="AB3568" s="2"/>
    </row>
    <row r="3569" spans="8:28" ht="15" customHeight="1">
      <c r="H3569" s="2">
        <v>45909</v>
      </c>
      <c r="I3569" s="2"/>
      <c r="J3569" s="2">
        <v>50789</v>
      </c>
      <c r="K3569" s="2"/>
      <c r="L3569" s="2"/>
      <c r="M3569" s="2"/>
      <c r="N3569" s="2"/>
      <c r="P3569" s="2">
        <v>45791</v>
      </c>
      <c r="Q3569" s="2"/>
      <c r="R3569" s="2">
        <v>50907</v>
      </c>
      <c r="AB3569" s="2"/>
    </row>
    <row r="3570" spans="8:28" ht="15" customHeight="1">
      <c r="H3570" s="2">
        <v>45908</v>
      </c>
      <c r="I3570" s="2"/>
      <c r="J3570" s="2">
        <v>50790</v>
      </c>
      <c r="K3570" s="2"/>
      <c r="L3570" s="2"/>
      <c r="M3570" s="2"/>
      <c r="N3570" s="2"/>
      <c r="P3570" s="2">
        <v>45790</v>
      </c>
      <c r="Q3570" s="2"/>
      <c r="R3570" s="2">
        <v>50908</v>
      </c>
      <c r="AB3570" s="2"/>
    </row>
    <row r="3571" spans="8:28" ht="15" customHeight="1">
      <c r="H3571" s="2">
        <v>45905</v>
      </c>
      <c r="I3571" s="2"/>
      <c r="J3571" s="2">
        <v>50791</v>
      </c>
      <c r="K3571" s="2"/>
      <c r="L3571" s="2"/>
      <c r="M3571" s="2"/>
      <c r="N3571" s="2"/>
      <c r="P3571" s="2">
        <v>45789</v>
      </c>
      <c r="Q3571" s="2"/>
      <c r="R3571" s="2">
        <v>50909</v>
      </c>
      <c r="AB3571" s="2"/>
    </row>
    <row r="3572" spans="8:28" ht="15" customHeight="1">
      <c r="H3572" s="2">
        <v>45904</v>
      </c>
      <c r="I3572" s="2"/>
      <c r="J3572" s="2">
        <v>50794</v>
      </c>
      <c r="K3572" s="2"/>
      <c r="L3572" s="2"/>
      <c r="M3572" s="2"/>
      <c r="N3572" s="2"/>
      <c r="P3572" s="2">
        <v>45786</v>
      </c>
      <c r="Q3572" s="2"/>
      <c r="R3572" s="2">
        <v>50910</v>
      </c>
      <c r="AB3572" s="2"/>
    </row>
    <row r="3573" spans="8:28" ht="15" customHeight="1">
      <c r="H3573" s="2">
        <v>45903</v>
      </c>
      <c r="I3573" s="2"/>
      <c r="J3573" s="2">
        <v>50795</v>
      </c>
      <c r="K3573" s="2"/>
      <c r="L3573" s="2"/>
      <c r="M3573" s="2"/>
      <c r="N3573" s="2"/>
      <c r="P3573" s="2">
        <v>45785</v>
      </c>
      <c r="Q3573" s="2"/>
      <c r="R3573" s="2">
        <v>50913</v>
      </c>
      <c r="AB3573" s="2"/>
    </row>
    <row r="3574" spans="8:28" ht="15" customHeight="1">
      <c r="H3574" s="2">
        <v>45902</v>
      </c>
      <c r="I3574" s="2"/>
      <c r="J3574" s="2">
        <v>50796</v>
      </c>
      <c r="K3574" s="2"/>
      <c r="L3574" s="2"/>
      <c r="M3574" s="2"/>
      <c r="N3574" s="2"/>
      <c r="P3574" s="2">
        <v>45784</v>
      </c>
      <c r="Q3574" s="2"/>
      <c r="R3574" s="2">
        <v>50914</v>
      </c>
      <c r="AB3574" s="2"/>
    </row>
    <row r="3575" spans="8:28" ht="15" customHeight="1">
      <c r="H3575" s="2">
        <v>45898</v>
      </c>
      <c r="I3575" s="2"/>
      <c r="J3575" s="2">
        <v>50797</v>
      </c>
      <c r="K3575" s="2"/>
      <c r="L3575" s="2"/>
      <c r="M3575" s="2"/>
      <c r="N3575" s="2"/>
      <c r="P3575" s="2">
        <v>45779</v>
      </c>
      <c r="Q3575" s="2"/>
      <c r="R3575" s="2">
        <v>50915</v>
      </c>
      <c r="AB3575" s="2"/>
    </row>
    <row r="3576" spans="8:28" ht="15" customHeight="1">
      <c r="H3576" s="2">
        <v>45897</v>
      </c>
      <c r="I3576" s="2"/>
      <c r="J3576" s="2">
        <v>50798</v>
      </c>
      <c r="K3576" s="2"/>
      <c r="L3576" s="2"/>
      <c r="M3576" s="2"/>
      <c r="N3576" s="2"/>
      <c r="P3576" s="2">
        <v>45777</v>
      </c>
      <c r="Q3576" s="2"/>
      <c r="R3576" s="2">
        <v>50916</v>
      </c>
      <c r="AB3576" s="2"/>
    </row>
    <row r="3577" spans="8:28" ht="15" customHeight="1">
      <c r="H3577" s="2">
        <v>45896</v>
      </c>
      <c r="I3577" s="2"/>
      <c r="J3577" s="2">
        <v>50801</v>
      </c>
      <c r="K3577" s="2"/>
      <c r="L3577" s="2"/>
      <c r="M3577" s="2"/>
      <c r="N3577" s="2"/>
      <c r="P3577" s="2">
        <v>45776</v>
      </c>
      <c r="Q3577" s="2"/>
      <c r="R3577" s="2">
        <v>50917</v>
      </c>
      <c r="AB3577" s="2"/>
    </row>
    <row r="3578" spans="8:28" ht="15" customHeight="1">
      <c r="H3578" s="2">
        <v>45895</v>
      </c>
      <c r="I3578" s="2"/>
      <c r="J3578" s="2">
        <v>50802</v>
      </c>
      <c r="K3578" s="2"/>
      <c r="L3578" s="2"/>
      <c r="M3578" s="2"/>
      <c r="N3578" s="2"/>
      <c r="P3578" s="2">
        <v>45775</v>
      </c>
      <c r="Q3578" s="2"/>
      <c r="R3578" s="2">
        <v>50920</v>
      </c>
      <c r="AB3578" s="2"/>
    </row>
    <row r="3579" spans="8:28" ht="15" customHeight="1">
      <c r="H3579" s="2">
        <v>45894</v>
      </c>
      <c r="I3579" s="2"/>
      <c r="J3579" s="2">
        <v>50803</v>
      </c>
      <c r="K3579" s="2"/>
      <c r="L3579" s="2"/>
      <c r="M3579" s="2"/>
      <c r="N3579" s="2"/>
      <c r="P3579" s="2">
        <v>45772</v>
      </c>
      <c r="Q3579" s="2"/>
      <c r="R3579" s="2">
        <v>50921</v>
      </c>
      <c r="AB3579" s="2"/>
    </row>
    <row r="3580" spans="8:28" ht="15" customHeight="1">
      <c r="H3580" s="2">
        <v>45891</v>
      </c>
      <c r="I3580" s="2"/>
      <c r="J3580" s="2">
        <v>50804</v>
      </c>
      <c r="K3580" s="2"/>
      <c r="L3580" s="2"/>
      <c r="M3580" s="2"/>
      <c r="N3580" s="2"/>
      <c r="P3580" s="2">
        <v>45771</v>
      </c>
      <c r="Q3580" s="2"/>
      <c r="R3580" s="2">
        <v>50922</v>
      </c>
      <c r="AB3580" s="2"/>
    </row>
    <row r="3581" spans="8:28" ht="15" customHeight="1">
      <c r="H3581" s="2">
        <v>45890</v>
      </c>
      <c r="I3581" s="2"/>
      <c r="J3581" s="2">
        <v>50805</v>
      </c>
      <c r="K3581" s="2"/>
      <c r="L3581" s="2"/>
      <c r="M3581" s="2"/>
      <c r="N3581" s="2"/>
      <c r="P3581" s="2">
        <v>45770</v>
      </c>
      <c r="Q3581" s="2"/>
      <c r="R3581" s="2">
        <v>50923</v>
      </c>
      <c r="AB3581" s="2"/>
    </row>
    <row r="3582" spans="8:28" ht="15" customHeight="1">
      <c r="H3582" s="2">
        <v>45889</v>
      </c>
      <c r="I3582" s="2"/>
      <c r="J3582" s="2">
        <v>50808</v>
      </c>
      <c r="K3582" s="2"/>
      <c r="L3582" s="2"/>
      <c r="M3582" s="2"/>
      <c r="N3582" s="2"/>
      <c r="P3582" s="2">
        <v>45769</v>
      </c>
      <c r="Q3582" s="2"/>
      <c r="R3582" s="2">
        <v>50924</v>
      </c>
      <c r="AB3582" s="2"/>
    </row>
    <row r="3583" spans="8:28" ht="15" customHeight="1">
      <c r="H3583" s="2">
        <v>45888</v>
      </c>
      <c r="I3583" s="2"/>
      <c r="J3583" s="2">
        <v>50809</v>
      </c>
      <c r="K3583" s="2"/>
      <c r="L3583" s="2"/>
      <c r="M3583" s="2"/>
      <c r="N3583" s="2"/>
      <c r="P3583" s="2">
        <v>45768</v>
      </c>
      <c r="Q3583" s="2"/>
      <c r="R3583" s="2">
        <v>50928</v>
      </c>
      <c r="AB3583" s="2"/>
    </row>
    <row r="3584" spans="8:28" ht="15" customHeight="1">
      <c r="H3584" s="2">
        <v>45887</v>
      </c>
      <c r="I3584" s="2"/>
      <c r="J3584" s="2">
        <v>50810</v>
      </c>
      <c r="K3584" s="2"/>
      <c r="L3584" s="2"/>
      <c r="M3584" s="2"/>
      <c r="N3584" s="2"/>
      <c r="P3584" s="2">
        <v>45765</v>
      </c>
      <c r="Q3584" s="2"/>
      <c r="R3584" s="2">
        <v>50929</v>
      </c>
      <c r="AB3584" s="2"/>
    </row>
    <row r="3585" spans="8:28" ht="15" customHeight="1">
      <c r="H3585" s="2">
        <v>45884</v>
      </c>
      <c r="I3585" s="2"/>
      <c r="J3585" s="2">
        <v>50811</v>
      </c>
      <c r="K3585" s="2"/>
      <c r="L3585" s="2"/>
      <c r="M3585" s="2"/>
      <c r="N3585" s="2"/>
      <c r="P3585" s="2">
        <v>45764</v>
      </c>
      <c r="Q3585" s="2"/>
      <c r="R3585" s="2">
        <v>50930</v>
      </c>
      <c r="AB3585" s="2"/>
    </row>
    <row r="3586" spans="8:28" ht="15" customHeight="1">
      <c r="H3586" s="2">
        <v>45883</v>
      </c>
      <c r="I3586" s="2"/>
      <c r="J3586" s="2">
        <v>50812</v>
      </c>
      <c r="K3586" s="2"/>
      <c r="L3586" s="2"/>
      <c r="M3586" s="2"/>
      <c r="N3586" s="2"/>
      <c r="P3586" s="2">
        <v>45763</v>
      </c>
      <c r="Q3586" s="2"/>
      <c r="R3586" s="2">
        <v>50931</v>
      </c>
      <c r="AB3586" s="2"/>
    </row>
    <row r="3587" spans="8:28" ht="15" customHeight="1">
      <c r="H3587" s="2">
        <v>45882</v>
      </c>
      <c r="I3587" s="2"/>
      <c r="J3587" s="2">
        <v>50815</v>
      </c>
      <c r="K3587" s="2"/>
      <c r="L3587" s="2"/>
      <c r="M3587" s="2"/>
      <c r="N3587" s="2"/>
      <c r="P3587" s="2">
        <v>45762</v>
      </c>
      <c r="Q3587" s="2"/>
      <c r="R3587" s="2">
        <v>50934</v>
      </c>
      <c r="AB3587" s="2"/>
    </row>
    <row r="3588" spans="8:28" ht="15" customHeight="1">
      <c r="H3588" s="2">
        <v>45881</v>
      </c>
      <c r="I3588" s="2"/>
      <c r="J3588" s="2">
        <v>50816</v>
      </c>
      <c r="K3588" s="2"/>
      <c r="L3588" s="2"/>
      <c r="M3588" s="2"/>
      <c r="N3588" s="2"/>
      <c r="P3588" s="2">
        <v>45761</v>
      </c>
      <c r="Q3588" s="2"/>
      <c r="R3588" s="2">
        <v>50935</v>
      </c>
      <c r="AB3588" s="2"/>
    </row>
    <row r="3589" spans="8:28" ht="15" customHeight="1">
      <c r="H3589" s="2">
        <v>45880</v>
      </c>
      <c r="I3589" s="2"/>
      <c r="J3589" s="2">
        <v>50817</v>
      </c>
      <c r="K3589" s="2"/>
      <c r="L3589" s="2"/>
      <c r="M3589" s="2"/>
      <c r="N3589" s="2"/>
      <c r="P3589" s="2">
        <v>45758</v>
      </c>
      <c r="Q3589" s="2"/>
      <c r="R3589" s="2">
        <v>50936</v>
      </c>
      <c r="AB3589" s="2"/>
    </row>
    <row r="3590" spans="8:28" ht="15" customHeight="1">
      <c r="H3590" s="2">
        <v>45877</v>
      </c>
      <c r="I3590" s="2"/>
      <c r="J3590" s="2">
        <v>50818</v>
      </c>
      <c r="K3590" s="2"/>
      <c r="L3590" s="2"/>
      <c r="M3590" s="2"/>
      <c r="N3590" s="2"/>
      <c r="P3590" s="2">
        <v>45757</v>
      </c>
      <c r="Q3590" s="2"/>
      <c r="R3590" s="2">
        <v>50937</v>
      </c>
      <c r="AB3590" s="2"/>
    </row>
    <row r="3591" spans="8:28" ht="15" customHeight="1">
      <c r="H3591" s="2">
        <v>45876</v>
      </c>
      <c r="I3591" s="2"/>
      <c r="J3591" s="2">
        <v>50819</v>
      </c>
      <c r="K3591" s="2"/>
      <c r="L3591" s="2"/>
      <c r="M3591" s="2"/>
      <c r="N3591" s="2"/>
      <c r="P3591" s="2">
        <v>45756</v>
      </c>
      <c r="Q3591" s="2"/>
      <c r="R3591" s="2">
        <v>50938</v>
      </c>
      <c r="AB3591" s="2"/>
    </row>
    <row r="3592" spans="8:28" ht="15" customHeight="1">
      <c r="H3592" s="2">
        <v>45875</v>
      </c>
      <c r="I3592" s="2"/>
      <c r="J3592" s="2">
        <v>50823</v>
      </c>
      <c r="K3592" s="2"/>
      <c r="L3592" s="2"/>
      <c r="M3592" s="2"/>
      <c r="N3592" s="2"/>
      <c r="P3592" s="2">
        <v>45755</v>
      </c>
      <c r="Q3592" s="2"/>
      <c r="R3592" s="2">
        <v>50941</v>
      </c>
      <c r="AB3592" s="2"/>
    </row>
    <row r="3593" spans="8:28" ht="15" customHeight="1">
      <c r="H3593" s="2">
        <v>45874</v>
      </c>
      <c r="I3593" s="2"/>
      <c r="J3593" s="2">
        <v>50824</v>
      </c>
      <c r="K3593" s="2"/>
      <c r="L3593" s="2"/>
      <c r="M3593" s="2"/>
      <c r="N3593" s="2"/>
      <c r="P3593" s="2">
        <v>45754</v>
      </c>
      <c r="Q3593" s="2"/>
      <c r="R3593" s="2">
        <v>50942</v>
      </c>
      <c r="AB3593" s="2"/>
    </row>
    <row r="3594" spans="8:28" ht="15" customHeight="1">
      <c r="H3594" s="2">
        <v>45873</v>
      </c>
      <c r="I3594" s="2"/>
      <c r="J3594" s="2">
        <v>50825</v>
      </c>
      <c r="K3594" s="2"/>
      <c r="L3594" s="2"/>
      <c r="M3594" s="2"/>
      <c r="N3594" s="2"/>
      <c r="P3594" s="2">
        <v>45751</v>
      </c>
      <c r="Q3594" s="2"/>
      <c r="R3594" s="2">
        <v>50943</v>
      </c>
      <c r="AB3594" s="2"/>
    </row>
    <row r="3595" spans="8:28" ht="15" customHeight="1">
      <c r="H3595" s="2">
        <v>45870</v>
      </c>
      <c r="I3595" s="2"/>
      <c r="J3595" s="2">
        <v>50826</v>
      </c>
      <c r="K3595" s="2"/>
      <c r="L3595" s="2"/>
      <c r="M3595" s="2"/>
      <c r="N3595" s="2"/>
      <c r="P3595" s="2">
        <v>45750</v>
      </c>
      <c r="Q3595" s="2"/>
      <c r="R3595" s="2">
        <v>50944</v>
      </c>
      <c r="AB3595" s="2"/>
    </row>
    <row r="3596" spans="8:28" ht="15" customHeight="1">
      <c r="H3596" s="2">
        <v>45869</v>
      </c>
      <c r="I3596" s="2"/>
      <c r="J3596" s="2">
        <v>50829</v>
      </c>
      <c r="K3596" s="2"/>
      <c r="L3596" s="2"/>
      <c r="M3596" s="2"/>
      <c r="N3596" s="2"/>
      <c r="P3596" s="2">
        <v>45749</v>
      </c>
      <c r="Q3596" s="2"/>
      <c r="R3596" s="2">
        <v>50945</v>
      </c>
      <c r="AB3596" s="2"/>
    </row>
    <row r="3597" spans="8:28" ht="15" customHeight="1">
      <c r="H3597" s="2">
        <v>45868</v>
      </c>
      <c r="I3597" s="2"/>
      <c r="J3597" s="2">
        <v>50830</v>
      </c>
      <c r="K3597" s="2"/>
      <c r="L3597" s="2"/>
      <c r="M3597" s="2"/>
      <c r="N3597" s="2"/>
      <c r="P3597" s="2">
        <v>45748</v>
      </c>
      <c r="Q3597" s="2"/>
      <c r="R3597" s="2">
        <v>50948</v>
      </c>
      <c r="AB3597" s="2"/>
    </row>
    <row r="3598" spans="8:28" ht="15" customHeight="1">
      <c r="H3598" s="2">
        <v>45867</v>
      </c>
      <c r="I3598" s="2"/>
      <c r="J3598" s="2">
        <v>50831</v>
      </c>
      <c r="K3598" s="2"/>
      <c r="L3598" s="2"/>
      <c r="M3598" s="2"/>
      <c r="N3598" s="2"/>
      <c r="P3598" s="2">
        <v>45747</v>
      </c>
      <c r="Q3598" s="2"/>
      <c r="R3598" s="2">
        <v>50949</v>
      </c>
      <c r="AB3598" s="2"/>
    </row>
    <row r="3599" spans="8:28" ht="15" customHeight="1">
      <c r="H3599" s="2">
        <v>45866</v>
      </c>
      <c r="I3599" s="2"/>
      <c r="J3599" s="2">
        <v>50832</v>
      </c>
      <c r="K3599" s="2"/>
      <c r="L3599" s="2"/>
      <c r="M3599" s="2"/>
      <c r="N3599" s="2"/>
      <c r="P3599" s="2">
        <v>45744</v>
      </c>
      <c r="Q3599" s="2"/>
      <c r="R3599" s="2">
        <v>50950</v>
      </c>
      <c r="AB3599" s="2"/>
    </row>
    <row r="3600" spans="8:28" ht="15" customHeight="1">
      <c r="H3600" s="2">
        <v>45863</v>
      </c>
      <c r="I3600" s="2"/>
      <c r="J3600" s="2">
        <v>50833</v>
      </c>
      <c r="K3600" s="2"/>
      <c r="L3600" s="2"/>
      <c r="M3600" s="2"/>
      <c r="N3600" s="2"/>
      <c r="P3600" s="2">
        <v>45743</v>
      </c>
      <c r="Q3600" s="2"/>
      <c r="R3600" s="2">
        <v>50951</v>
      </c>
      <c r="AB3600" s="2"/>
    </row>
    <row r="3601" spans="8:28" ht="15" customHeight="1">
      <c r="H3601" s="2">
        <v>45862</v>
      </c>
      <c r="I3601" s="2"/>
      <c r="J3601" s="2">
        <v>50836</v>
      </c>
      <c r="K3601" s="2"/>
      <c r="L3601" s="2"/>
      <c r="M3601" s="2"/>
      <c r="N3601" s="2"/>
      <c r="P3601" s="2">
        <v>45742</v>
      </c>
      <c r="Q3601" s="2"/>
      <c r="R3601" s="2">
        <v>50952</v>
      </c>
      <c r="AB3601" s="2"/>
    </row>
    <row r="3602" spans="8:28" ht="15" customHeight="1">
      <c r="H3602" s="2">
        <v>45861</v>
      </c>
      <c r="I3602" s="2"/>
      <c r="J3602" s="2">
        <v>50837</v>
      </c>
      <c r="K3602" s="2"/>
      <c r="L3602" s="2"/>
      <c r="M3602" s="2"/>
      <c r="N3602" s="2"/>
      <c r="P3602" s="2">
        <v>45741</v>
      </c>
      <c r="Q3602" s="2"/>
      <c r="R3602" s="2">
        <v>50955</v>
      </c>
      <c r="AB3602" s="2"/>
    </row>
    <row r="3603" spans="8:28" ht="15" customHeight="1">
      <c r="H3603" s="2">
        <v>45860</v>
      </c>
      <c r="I3603" s="2"/>
      <c r="J3603" s="2">
        <v>50838</v>
      </c>
      <c r="K3603" s="2"/>
      <c r="L3603" s="2"/>
      <c r="M3603" s="2"/>
      <c r="N3603" s="2"/>
      <c r="P3603" s="2">
        <v>45740</v>
      </c>
      <c r="Q3603" s="2"/>
      <c r="R3603" s="2">
        <v>50956</v>
      </c>
      <c r="AB3603" s="2"/>
    </row>
    <row r="3604" spans="8:28" ht="15" customHeight="1">
      <c r="H3604" s="2">
        <v>45859</v>
      </c>
      <c r="I3604" s="2"/>
      <c r="J3604" s="2">
        <v>50839</v>
      </c>
      <c r="K3604" s="2"/>
      <c r="L3604" s="2"/>
      <c r="M3604" s="2"/>
      <c r="N3604" s="2"/>
      <c r="P3604" s="2">
        <v>45737</v>
      </c>
      <c r="Q3604" s="2"/>
      <c r="R3604" s="2">
        <v>50957</v>
      </c>
      <c r="AB3604" s="2"/>
    </row>
    <row r="3605" spans="8:28" ht="15" customHeight="1">
      <c r="H3605" s="2">
        <v>45856</v>
      </c>
      <c r="I3605" s="2"/>
      <c r="J3605" s="2">
        <v>50840</v>
      </c>
      <c r="K3605" s="2"/>
      <c r="L3605" s="2"/>
      <c r="M3605" s="2"/>
      <c r="N3605" s="2"/>
      <c r="P3605" s="2">
        <v>45736</v>
      </c>
      <c r="Q3605" s="2"/>
      <c r="R3605" s="2">
        <v>50958</v>
      </c>
      <c r="AB3605" s="2"/>
    </row>
    <row r="3606" spans="8:28" ht="15" customHeight="1">
      <c r="H3606" s="2">
        <v>45855</v>
      </c>
      <c r="I3606" s="2"/>
      <c r="J3606" s="2">
        <v>50843</v>
      </c>
      <c r="K3606" s="2"/>
      <c r="L3606" s="2"/>
      <c r="M3606" s="2"/>
      <c r="N3606" s="2"/>
      <c r="P3606" s="2">
        <v>45735</v>
      </c>
      <c r="Q3606" s="2"/>
      <c r="R3606" s="2">
        <v>50959</v>
      </c>
      <c r="AB3606" s="2"/>
    </row>
    <row r="3607" spans="8:28" ht="15" customHeight="1">
      <c r="H3607" s="2">
        <v>45854</v>
      </c>
      <c r="I3607" s="2"/>
      <c r="J3607" s="2">
        <v>50844</v>
      </c>
      <c r="K3607" s="2"/>
      <c r="L3607" s="2"/>
      <c r="M3607" s="2"/>
      <c r="N3607" s="2"/>
      <c r="P3607" s="2">
        <v>45734</v>
      </c>
      <c r="Q3607" s="2"/>
      <c r="R3607" s="2">
        <v>50962</v>
      </c>
      <c r="AB3607" s="2"/>
    </row>
    <row r="3608" spans="8:28" ht="15" customHeight="1">
      <c r="H3608" s="2">
        <v>45853</v>
      </c>
      <c r="I3608" s="2"/>
      <c r="J3608" s="2">
        <v>50845</v>
      </c>
      <c r="K3608" s="2"/>
      <c r="L3608" s="2"/>
      <c r="M3608" s="2"/>
      <c r="N3608" s="2"/>
      <c r="P3608" s="2">
        <v>45733</v>
      </c>
      <c r="Q3608" s="2"/>
      <c r="R3608" s="2">
        <v>50963</v>
      </c>
      <c r="AB3608" s="2"/>
    </row>
    <row r="3609" spans="8:28" ht="15" customHeight="1">
      <c r="H3609" s="2">
        <v>45852</v>
      </c>
      <c r="I3609" s="2"/>
      <c r="J3609" s="2">
        <v>50846</v>
      </c>
      <c r="K3609" s="2"/>
      <c r="L3609" s="2"/>
      <c r="M3609" s="2"/>
      <c r="N3609" s="2"/>
      <c r="P3609" s="2">
        <v>45730</v>
      </c>
      <c r="Q3609" s="2"/>
      <c r="R3609" s="2">
        <v>50964</v>
      </c>
      <c r="AB3609" s="2"/>
    </row>
    <row r="3610" spans="8:28" ht="15" customHeight="1">
      <c r="H3610" s="2">
        <v>45849</v>
      </c>
      <c r="I3610" s="2"/>
      <c r="J3610" s="2">
        <v>50847</v>
      </c>
      <c r="K3610" s="2"/>
      <c r="L3610" s="2"/>
      <c r="M3610" s="2"/>
      <c r="N3610" s="2"/>
      <c r="P3610" s="2">
        <v>45729</v>
      </c>
      <c r="Q3610" s="2"/>
      <c r="R3610" s="2">
        <v>50965</v>
      </c>
      <c r="AB3610" s="2"/>
    </row>
    <row r="3611" spans="8:28" ht="15" customHeight="1">
      <c r="H3611" s="2">
        <v>45848</v>
      </c>
      <c r="I3611" s="2"/>
      <c r="J3611" s="2">
        <v>50850</v>
      </c>
      <c r="K3611" s="2"/>
      <c r="L3611" s="2"/>
      <c r="M3611" s="2"/>
      <c r="N3611" s="2"/>
      <c r="P3611" s="2">
        <v>45728</v>
      </c>
      <c r="Q3611" s="2"/>
      <c r="R3611" s="2">
        <v>50966</v>
      </c>
      <c r="AB3611" s="2"/>
    </row>
    <row r="3612" spans="8:28" ht="15" customHeight="1">
      <c r="H3612" s="2">
        <v>45847</v>
      </c>
      <c r="I3612" s="2"/>
      <c r="J3612" s="2">
        <v>50851</v>
      </c>
      <c r="K3612" s="2"/>
      <c r="L3612" s="2"/>
      <c r="M3612" s="2"/>
      <c r="N3612" s="2"/>
      <c r="P3612" s="2">
        <v>45727</v>
      </c>
      <c r="Q3612" s="2"/>
      <c r="R3612" s="2">
        <v>50969</v>
      </c>
      <c r="AB3612" s="2"/>
    </row>
    <row r="3613" spans="8:28" ht="15" customHeight="1">
      <c r="H3613" s="2">
        <v>45846</v>
      </c>
      <c r="I3613" s="2"/>
      <c r="J3613" s="2">
        <v>50852</v>
      </c>
      <c r="K3613" s="2"/>
      <c r="L3613" s="2"/>
      <c r="M3613" s="2"/>
      <c r="N3613" s="2"/>
      <c r="P3613" s="2">
        <v>45726</v>
      </c>
      <c r="Q3613" s="2"/>
      <c r="R3613" s="2">
        <v>50970</v>
      </c>
      <c r="AB3613" s="2"/>
    </row>
    <row r="3614" spans="8:28" ht="15" customHeight="1">
      <c r="H3614" s="2">
        <v>45845</v>
      </c>
      <c r="I3614" s="2"/>
      <c r="J3614" s="2">
        <v>50853</v>
      </c>
      <c r="K3614" s="2"/>
      <c r="L3614" s="2"/>
      <c r="M3614" s="2"/>
      <c r="N3614" s="2"/>
      <c r="P3614" s="2">
        <v>45723</v>
      </c>
      <c r="Q3614" s="2"/>
      <c r="R3614" s="2">
        <v>50971</v>
      </c>
      <c r="AB3614" s="2"/>
    </row>
    <row r="3615" spans="8:28" ht="15" customHeight="1">
      <c r="H3615" s="2">
        <v>45841</v>
      </c>
      <c r="I3615" s="2"/>
      <c r="J3615" s="2">
        <v>50854</v>
      </c>
      <c r="K3615" s="2"/>
      <c r="L3615" s="2"/>
      <c r="M3615" s="2"/>
      <c r="N3615" s="2"/>
      <c r="P3615" s="2">
        <v>45722</v>
      </c>
      <c r="Q3615" s="2"/>
      <c r="R3615" s="2">
        <v>50972</v>
      </c>
      <c r="AB3615" s="2"/>
    </row>
    <row r="3616" spans="8:28" ht="15" customHeight="1">
      <c r="H3616" s="2">
        <v>45840</v>
      </c>
      <c r="I3616" s="2"/>
      <c r="J3616" s="2">
        <v>50857</v>
      </c>
      <c r="K3616" s="2"/>
      <c r="L3616" s="2"/>
      <c r="M3616" s="2"/>
      <c r="N3616" s="2"/>
      <c r="P3616" s="2">
        <v>45721</v>
      </c>
      <c r="Q3616" s="2"/>
      <c r="R3616" s="2">
        <v>50973</v>
      </c>
      <c r="AB3616" s="2"/>
    </row>
    <row r="3617" spans="8:28" ht="15" customHeight="1">
      <c r="H3617" s="2">
        <v>45839</v>
      </c>
      <c r="I3617" s="2"/>
      <c r="J3617" s="2">
        <v>50858</v>
      </c>
      <c r="K3617" s="2"/>
      <c r="L3617" s="2"/>
      <c r="M3617" s="2"/>
      <c r="N3617" s="2"/>
      <c r="P3617" s="2">
        <v>45720</v>
      </c>
      <c r="Q3617" s="2"/>
      <c r="R3617" s="2">
        <v>50976</v>
      </c>
      <c r="AB3617" s="2"/>
    </row>
    <row r="3618" spans="8:28" ht="15" customHeight="1">
      <c r="H3618" s="2">
        <v>45838</v>
      </c>
      <c r="I3618" s="2"/>
      <c r="J3618" s="2">
        <v>50859</v>
      </c>
      <c r="K3618" s="2"/>
      <c r="L3618" s="2"/>
      <c r="M3618" s="2"/>
      <c r="N3618" s="2"/>
      <c r="P3618" s="2">
        <v>45716</v>
      </c>
      <c r="Q3618" s="2"/>
      <c r="R3618" s="2">
        <v>50977</v>
      </c>
      <c r="AB3618" s="2"/>
    </row>
    <row r="3619" spans="8:28" ht="15" customHeight="1">
      <c r="H3619" s="2">
        <v>45835</v>
      </c>
      <c r="I3619" s="2"/>
      <c r="J3619" s="2">
        <v>50860</v>
      </c>
      <c r="K3619" s="2"/>
      <c r="L3619" s="2"/>
      <c r="M3619" s="2"/>
      <c r="N3619" s="2"/>
      <c r="P3619" s="2">
        <v>45715</v>
      </c>
      <c r="Q3619" s="2"/>
      <c r="R3619" s="2">
        <v>50978</v>
      </c>
      <c r="AB3619" s="2"/>
    </row>
    <row r="3620" spans="8:28" ht="15" customHeight="1">
      <c r="H3620" s="2">
        <v>45834</v>
      </c>
      <c r="I3620" s="2"/>
      <c r="J3620" s="2">
        <v>50861</v>
      </c>
      <c r="K3620" s="2"/>
      <c r="L3620" s="2"/>
      <c r="M3620" s="2"/>
      <c r="N3620" s="2"/>
      <c r="P3620" s="2">
        <v>45714</v>
      </c>
      <c r="Q3620" s="2"/>
      <c r="R3620" s="2">
        <v>50979</v>
      </c>
      <c r="AB3620" s="2"/>
    </row>
    <row r="3621" spans="8:28" ht="15" customHeight="1">
      <c r="H3621" s="2">
        <v>45833</v>
      </c>
      <c r="I3621" s="2"/>
      <c r="J3621" s="2">
        <v>50864</v>
      </c>
      <c r="K3621" s="2"/>
      <c r="L3621" s="2"/>
      <c r="M3621" s="2"/>
      <c r="N3621" s="2"/>
      <c r="P3621" s="2">
        <v>45713</v>
      </c>
      <c r="Q3621" s="2"/>
      <c r="R3621" s="2">
        <v>50980</v>
      </c>
      <c r="AB3621" s="2"/>
    </row>
    <row r="3622" spans="8:28" ht="15" customHeight="1">
      <c r="H3622" s="2">
        <v>45832</v>
      </c>
      <c r="I3622" s="2"/>
      <c r="J3622" s="2">
        <v>50865</v>
      </c>
      <c r="K3622" s="2"/>
      <c r="L3622" s="2"/>
      <c r="M3622" s="2"/>
      <c r="N3622" s="2"/>
      <c r="P3622" s="2">
        <v>45712</v>
      </c>
      <c r="Q3622" s="2"/>
      <c r="R3622" s="2">
        <v>50983</v>
      </c>
      <c r="AB3622" s="2"/>
    </row>
    <row r="3623" spans="8:28" ht="15" customHeight="1">
      <c r="H3623" s="2">
        <v>45831</v>
      </c>
      <c r="I3623" s="2"/>
      <c r="J3623" s="2">
        <v>50866</v>
      </c>
      <c r="K3623" s="2"/>
      <c r="L3623" s="2"/>
      <c r="M3623" s="2"/>
      <c r="N3623" s="2"/>
      <c r="P3623" s="2">
        <v>45709</v>
      </c>
      <c r="Q3623" s="2"/>
      <c r="R3623" s="2">
        <v>50984</v>
      </c>
      <c r="AB3623" s="2"/>
    </row>
    <row r="3624" spans="8:28" ht="15" customHeight="1">
      <c r="H3624" s="2">
        <v>45828</v>
      </c>
      <c r="I3624" s="2"/>
      <c r="J3624" s="2">
        <v>50867</v>
      </c>
      <c r="K3624" s="2"/>
      <c r="L3624" s="2"/>
      <c r="M3624" s="2"/>
      <c r="N3624" s="2"/>
      <c r="P3624" s="2">
        <v>45708</v>
      </c>
      <c r="Q3624" s="2"/>
      <c r="R3624" s="2">
        <v>50985</v>
      </c>
      <c r="AB3624" s="2"/>
    </row>
    <row r="3625" spans="8:28" ht="15" customHeight="1">
      <c r="H3625" s="2">
        <v>45826</v>
      </c>
      <c r="I3625" s="2"/>
      <c r="J3625" s="2">
        <v>50871</v>
      </c>
      <c r="K3625" s="2"/>
      <c r="L3625" s="2"/>
      <c r="M3625" s="2"/>
      <c r="N3625" s="2"/>
      <c r="P3625" s="2">
        <v>45707</v>
      </c>
      <c r="Q3625" s="2"/>
      <c r="R3625" s="2">
        <v>50986</v>
      </c>
      <c r="AB3625" s="2"/>
    </row>
    <row r="3626" spans="8:28" ht="15" customHeight="1">
      <c r="H3626" s="2">
        <v>45825</v>
      </c>
      <c r="I3626" s="2"/>
      <c r="J3626" s="2">
        <v>50872</v>
      </c>
      <c r="K3626" s="2"/>
      <c r="L3626" s="2"/>
      <c r="M3626" s="2"/>
      <c r="N3626" s="2"/>
      <c r="P3626" s="2">
        <v>45706</v>
      </c>
      <c r="Q3626" s="2"/>
      <c r="R3626" s="2">
        <v>50987</v>
      </c>
      <c r="AB3626" s="2"/>
    </row>
    <row r="3627" spans="8:28" ht="15" customHeight="1">
      <c r="H3627" s="2">
        <v>45824</v>
      </c>
      <c r="I3627" s="2"/>
      <c r="J3627" s="2">
        <v>50873</v>
      </c>
      <c r="K3627" s="2"/>
      <c r="L3627" s="2"/>
      <c r="M3627" s="2"/>
      <c r="N3627" s="2"/>
      <c r="P3627" s="2">
        <v>45705</v>
      </c>
      <c r="Q3627" s="2"/>
      <c r="R3627" s="2">
        <v>50990</v>
      </c>
      <c r="AB3627" s="2"/>
    </row>
    <row r="3628" spans="8:28" ht="15" customHeight="1">
      <c r="H3628" s="2">
        <v>45821</v>
      </c>
      <c r="I3628" s="2"/>
      <c r="J3628" s="2">
        <v>50874</v>
      </c>
      <c r="K3628" s="2"/>
      <c r="L3628" s="2"/>
      <c r="M3628" s="2"/>
      <c r="N3628" s="2"/>
      <c r="P3628" s="2">
        <v>45702</v>
      </c>
      <c r="Q3628" s="2"/>
      <c r="R3628" s="2">
        <v>50991</v>
      </c>
      <c r="AB3628" s="2"/>
    </row>
    <row r="3629" spans="8:28" ht="15" customHeight="1">
      <c r="H3629" s="2">
        <v>45820</v>
      </c>
      <c r="I3629" s="2"/>
      <c r="J3629" s="2">
        <v>50875</v>
      </c>
      <c r="K3629" s="2"/>
      <c r="L3629" s="2"/>
      <c r="M3629" s="2"/>
      <c r="N3629" s="2"/>
      <c r="P3629" s="2">
        <v>45701</v>
      </c>
      <c r="Q3629" s="2"/>
      <c r="R3629" s="2">
        <v>50992</v>
      </c>
      <c r="AB3629" s="2"/>
    </row>
    <row r="3630" spans="8:28" ht="15" customHeight="1">
      <c r="H3630" s="2">
        <v>45819</v>
      </c>
      <c r="I3630" s="2"/>
      <c r="J3630" s="2">
        <v>50878</v>
      </c>
      <c r="K3630" s="2"/>
      <c r="L3630" s="2"/>
      <c r="M3630" s="2"/>
      <c r="N3630" s="2"/>
      <c r="P3630" s="2">
        <v>45700</v>
      </c>
      <c r="Q3630" s="2"/>
      <c r="R3630" s="2">
        <v>50993</v>
      </c>
      <c r="AB3630" s="2"/>
    </row>
    <row r="3631" spans="8:28" ht="15" customHeight="1">
      <c r="H3631" s="2">
        <v>45818</v>
      </c>
      <c r="I3631" s="2"/>
      <c r="J3631" s="2">
        <v>50879</v>
      </c>
      <c r="K3631" s="2"/>
      <c r="L3631" s="2"/>
      <c r="M3631" s="2"/>
      <c r="N3631" s="2"/>
      <c r="P3631" s="2">
        <v>45699</v>
      </c>
      <c r="Q3631" s="2"/>
      <c r="R3631" s="2">
        <v>50994</v>
      </c>
      <c r="AB3631" s="2"/>
    </row>
    <row r="3632" spans="8:28" ht="15" customHeight="1">
      <c r="H3632" s="2">
        <v>45817</v>
      </c>
      <c r="I3632" s="2"/>
      <c r="J3632" s="2">
        <v>50880</v>
      </c>
      <c r="K3632" s="2"/>
      <c r="L3632" s="2"/>
      <c r="M3632" s="2"/>
      <c r="N3632" s="2"/>
      <c r="P3632" s="2">
        <v>45698</v>
      </c>
      <c r="Q3632" s="2"/>
      <c r="R3632" s="2">
        <v>50998</v>
      </c>
      <c r="AB3632" s="2"/>
    </row>
    <row r="3633" spans="8:28" ht="15" customHeight="1">
      <c r="H3633" s="2">
        <v>45814</v>
      </c>
      <c r="I3633" s="2"/>
      <c r="J3633" s="2">
        <v>50881</v>
      </c>
      <c r="K3633" s="2"/>
      <c r="L3633" s="2"/>
      <c r="M3633" s="2"/>
      <c r="N3633" s="2"/>
      <c r="P3633" s="2">
        <v>45695</v>
      </c>
      <c r="Q3633" s="2"/>
      <c r="R3633" s="2">
        <v>50999</v>
      </c>
      <c r="AB3633" s="2"/>
    </row>
    <row r="3634" spans="8:28" ht="15" customHeight="1">
      <c r="H3634" s="2">
        <v>45813</v>
      </c>
      <c r="I3634" s="2"/>
      <c r="J3634" s="2">
        <v>50882</v>
      </c>
      <c r="K3634" s="2"/>
      <c r="L3634" s="2"/>
      <c r="M3634" s="2"/>
      <c r="N3634" s="2"/>
      <c r="P3634" s="2">
        <v>45694</v>
      </c>
      <c r="Q3634" s="2"/>
      <c r="R3634" s="2">
        <v>51000</v>
      </c>
      <c r="AB3634" s="2"/>
    </row>
    <row r="3635" spans="8:28" ht="15" customHeight="1">
      <c r="H3635" s="2">
        <v>45812</v>
      </c>
      <c r="I3635" s="2"/>
      <c r="J3635" s="2">
        <v>50885</v>
      </c>
      <c r="K3635" s="2"/>
      <c r="L3635" s="2"/>
      <c r="M3635" s="2"/>
      <c r="N3635" s="2"/>
      <c r="P3635" s="2">
        <v>45693</v>
      </c>
      <c r="Q3635" s="2"/>
      <c r="R3635" s="2">
        <v>51001</v>
      </c>
      <c r="AB3635" s="2"/>
    </row>
    <row r="3636" spans="8:28" ht="15" customHeight="1">
      <c r="H3636" s="2">
        <v>45811</v>
      </c>
      <c r="I3636" s="2"/>
      <c r="J3636" s="2">
        <v>50886</v>
      </c>
      <c r="K3636" s="2"/>
      <c r="L3636" s="2"/>
      <c r="M3636" s="2"/>
      <c r="N3636" s="2"/>
      <c r="P3636" s="2">
        <v>45692</v>
      </c>
      <c r="Q3636" s="2"/>
      <c r="R3636" s="2">
        <v>51004</v>
      </c>
      <c r="AB3636" s="2"/>
    </row>
    <row r="3637" spans="8:28" ht="15" customHeight="1">
      <c r="H3637" s="2">
        <v>45810</v>
      </c>
      <c r="I3637" s="2"/>
      <c r="J3637" s="2">
        <v>50887</v>
      </c>
      <c r="K3637" s="2"/>
      <c r="L3637" s="2"/>
      <c r="M3637" s="2"/>
      <c r="N3637" s="2"/>
      <c r="P3637" s="2">
        <v>45691</v>
      </c>
      <c r="Q3637" s="2"/>
      <c r="R3637" s="2">
        <v>51005</v>
      </c>
      <c r="AB3637" s="2"/>
    </row>
    <row r="3638" spans="8:28" ht="15" customHeight="1">
      <c r="H3638" s="2">
        <v>45807</v>
      </c>
      <c r="I3638" s="2"/>
      <c r="J3638" s="2">
        <v>50888</v>
      </c>
      <c r="K3638" s="2"/>
      <c r="L3638" s="2"/>
      <c r="M3638" s="2"/>
      <c r="N3638" s="2"/>
      <c r="P3638" s="2">
        <v>45688</v>
      </c>
      <c r="Q3638" s="2"/>
      <c r="R3638" s="2">
        <v>51006</v>
      </c>
      <c r="AB3638" s="2"/>
    </row>
    <row r="3639" spans="8:28" ht="15" customHeight="1">
      <c r="H3639" s="2">
        <v>45806</v>
      </c>
      <c r="I3639" s="2"/>
      <c r="J3639" s="2">
        <v>50889</v>
      </c>
      <c r="K3639" s="2"/>
      <c r="L3639" s="2"/>
      <c r="M3639" s="2"/>
      <c r="N3639" s="2"/>
      <c r="P3639" s="2">
        <v>45684</v>
      </c>
      <c r="Q3639" s="2"/>
      <c r="R3639" s="2">
        <v>51007</v>
      </c>
      <c r="AB3639" s="2"/>
    </row>
    <row r="3640" spans="8:28" ht="15" customHeight="1">
      <c r="H3640" s="2">
        <v>45805</v>
      </c>
      <c r="I3640" s="2"/>
      <c r="J3640" s="2">
        <v>50892</v>
      </c>
      <c r="K3640" s="2"/>
      <c r="L3640" s="2"/>
      <c r="M3640" s="2"/>
      <c r="N3640" s="2"/>
      <c r="P3640" s="2">
        <v>45681</v>
      </c>
      <c r="Q3640" s="2"/>
      <c r="R3640" s="2">
        <v>51008</v>
      </c>
      <c r="AB3640" s="2"/>
    </row>
    <row r="3641" spans="8:28" ht="15" customHeight="1">
      <c r="H3641" s="2">
        <v>45804</v>
      </c>
      <c r="I3641" s="2"/>
      <c r="J3641" s="2">
        <v>50893</v>
      </c>
      <c r="K3641" s="2"/>
      <c r="L3641" s="2"/>
      <c r="M3641" s="2"/>
      <c r="N3641" s="2"/>
      <c r="P3641" s="2">
        <v>45680</v>
      </c>
      <c r="Q3641" s="2"/>
      <c r="R3641" s="2">
        <v>51011</v>
      </c>
      <c r="AB3641" s="2"/>
    </row>
    <row r="3642" spans="8:28" ht="15" customHeight="1">
      <c r="H3642" s="2">
        <v>45800</v>
      </c>
      <c r="I3642" s="2"/>
      <c r="J3642" s="2">
        <v>50894</v>
      </c>
      <c r="K3642" s="2"/>
      <c r="L3642" s="2"/>
      <c r="M3642" s="2"/>
      <c r="N3642" s="2"/>
      <c r="P3642" s="2">
        <v>45679</v>
      </c>
      <c r="Q3642" s="2"/>
      <c r="R3642" s="2">
        <v>51012</v>
      </c>
      <c r="AB3642" s="2"/>
    </row>
    <row r="3643" spans="8:28" ht="15" customHeight="1">
      <c r="H3643" s="2">
        <v>45799</v>
      </c>
      <c r="I3643" s="2"/>
      <c r="J3643" s="2">
        <v>50895</v>
      </c>
      <c r="K3643" s="2"/>
      <c r="L3643" s="2"/>
      <c r="M3643" s="2"/>
      <c r="N3643" s="2"/>
      <c r="P3643" s="2">
        <v>45678</v>
      </c>
      <c r="Q3643" s="2"/>
      <c r="R3643" s="2">
        <v>51013</v>
      </c>
      <c r="AB3643" s="2"/>
    </row>
    <row r="3644" spans="8:28" ht="15" customHeight="1">
      <c r="H3644" s="2">
        <v>45798</v>
      </c>
      <c r="I3644" s="2"/>
      <c r="J3644" s="2">
        <v>50896</v>
      </c>
      <c r="K3644" s="2"/>
      <c r="L3644" s="2"/>
      <c r="M3644" s="2"/>
      <c r="N3644" s="2"/>
      <c r="P3644" s="2">
        <v>45677</v>
      </c>
      <c r="Q3644" s="2"/>
      <c r="R3644" s="2">
        <v>51014</v>
      </c>
      <c r="AB3644" s="2"/>
    </row>
    <row r="3645" spans="8:28" ht="15" customHeight="1">
      <c r="H3645" s="2">
        <v>45797</v>
      </c>
      <c r="I3645" s="2"/>
      <c r="J3645" s="2">
        <v>50899</v>
      </c>
      <c r="K3645" s="2"/>
      <c r="L3645" s="2"/>
      <c r="M3645" s="2"/>
      <c r="N3645" s="2"/>
      <c r="P3645" s="2">
        <v>45674</v>
      </c>
      <c r="Q3645" s="2"/>
      <c r="R3645" s="2">
        <v>51015</v>
      </c>
      <c r="AB3645" s="2"/>
    </row>
    <row r="3646" spans="8:28" ht="15" customHeight="1">
      <c r="H3646" s="2">
        <v>45796</v>
      </c>
      <c r="I3646" s="2"/>
      <c r="J3646" s="2">
        <v>50900</v>
      </c>
      <c r="K3646" s="2"/>
      <c r="L3646" s="2"/>
      <c r="M3646" s="2"/>
      <c r="N3646" s="2"/>
      <c r="P3646" s="2">
        <v>45673</v>
      </c>
      <c r="Q3646" s="2"/>
      <c r="R3646" s="2">
        <v>51018</v>
      </c>
      <c r="AB3646" s="2"/>
    </row>
    <row r="3647" spans="8:28" ht="15" customHeight="1">
      <c r="H3647" s="2">
        <v>45793</v>
      </c>
      <c r="I3647" s="2"/>
      <c r="J3647" s="2">
        <v>50901</v>
      </c>
      <c r="K3647" s="2"/>
      <c r="L3647" s="2"/>
      <c r="M3647" s="2"/>
      <c r="N3647" s="2"/>
      <c r="P3647" s="2">
        <v>45672</v>
      </c>
      <c r="Q3647" s="2"/>
      <c r="R3647" s="2">
        <v>51019</v>
      </c>
      <c r="AB3647" s="2"/>
    </row>
    <row r="3648" spans="8:28" ht="15" customHeight="1">
      <c r="H3648" s="2">
        <v>45792</v>
      </c>
      <c r="I3648" s="2"/>
      <c r="J3648" s="2">
        <v>50902</v>
      </c>
      <c r="K3648" s="2"/>
      <c r="L3648" s="2"/>
      <c r="M3648" s="2"/>
      <c r="N3648" s="2"/>
      <c r="P3648" s="2">
        <v>45671</v>
      </c>
      <c r="Q3648" s="2"/>
      <c r="R3648" s="2">
        <v>51020</v>
      </c>
      <c r="AB3648" s="2"/>
    </row>
    <row r="3649" spans="8:28" ht="15" customHeight="1">
      <c r="H3649" s="2">
        <v>45791</v>
      </c>
      <c r="I3649" s="2"/>
      <c r="J3649" s="2">
        <v>50903</v>
      </c>
      <c r="K3649" s="2"/>
      <c r="L3649" s="2"/>
      <c r="M3649" s="2"/>
      <c r="N3649" s="2"/>
      <c r="P3649" s="2">
        <v>45670</v>
      </c>
      <c r="Q3649" s="2"/>
      <c r="R3649" s="2">
        <v>51021</v>
      </c>
      <c r="AB3649" s="2"/>
    </row>
    <row r="3650" spans="8:28" ht="15" customHeight="1">
      <c r="H3650" s="2">
        <v>45790</v>
      </c>
      <c r="I3650" s="2"/>
      <c r="J3650" s="2">
        <v>50906</v>
      </c>
      <c r="K3650" s="2"/>
      <c r="L3650" s="2"/>
      <c r="M3650" s="2"/>
      <c r="N3650" s="2"/>
      <c r="P3650" s="2">
        <v>45667</v>
      </c>
      <c r="Q3650" s="2"/>
      <c r="R3650" s="2">
        <v>51022</v>
      </c>
      <c r="AB3650" s="2"/>
    </row>
    <row r="3651" spans="8:28" ht="15" customHeight="1">
      <c r="H3651" s="2">
        <v>45789</v>
      </c>
      <c r="I3651" s="2"/>
      <c r="J3651" s="2">
        <v>50907</v>
      </c>
      <c r="K3651" s="2"/>
      <c r="L3651" s="2"/>
      <c r="M3651" s="2"/>
      <c r="N3651" s="2"/>
      <c r="P3651" s="2">
        <v>45666</v>
      </c>
      <c r="Q3651" s="2"/>
      <c r="R3651" s="2">
        <v>51025</v>
      </c>
      <c r="AB3651" s="2"/>
    </row>
    <row r="3652" spans="8:28" ht="15" customHeight="1">
      <c r="H3652" s="2">
        <v>45786</v>
      </c>
      <c r="I3652" s="2"/>
      <c r="J3652" s="2">
        <v>50908</v>
      </c>
      <c r="K3652" s="2"/>
      <c r="L3652" s="2"/>
      <c r="M3652" s="2"/>
      <c r="N3652" s="2"/>
      <c r="P3652" s="2">
        <v>45665</v>
      </c>
      <c r="Q3652" s="2"/>
      <c r="R3652" s="2">
        <v>51026</v>
      </c>
      <c r="AB3652" s="2"/>
    </row>
    <row r="3653" spans="8:28" ht="15" customHeight="1">
      <c r="H3653" s="2">
        <v>45785</v>
      </c>
      <c r="I3653" s="2"/>
      <c r="J3653" s="2">
        <v>50909</v>
      </c>
      <c r="K3653" s="2"/>
      <c r="L3653" s="2"/>
      <c r="M3653" s="2"/>
      <c r="N3653" s="2"/>
      <c r="P3653" s="2">
        <v>45664</v>
      </c>
      <c r="Q3653" s="2"/>
      <c r="R3653" s="2">
        <v>51027</v>
      </c>
      <c r="AB3653" s="2"/>
    </row>
    <row r="3654" spans="8:28" ht="15" customHeight="1">
      <c r="H3654" s="2">
        <v>45784</v>
      </c>
      <c r="I3654" s="2"/>
      <c r="J3654" s="2">
        <v>50910</v>
      </c>
      <c r="K3654" s="2"/>
      <c r="L3654" s="2"/>
      <c r="M3654" s="2"/>
      <c r="N3654" s="2"/>
      <c r="P3654" s="2">
        <v>45663</v>
      </c>
      <c r="Q3654" s="2"/>
      <c r="R3654" s="2">
        <v>51028</v>
      </c>
      <c r="AB3654" s="2"/>
    </row>
    <row r="3655" spans="8:28" ht="15" customHeight="1">
      <c r="H3655" s="2">
        <v>45783</v>
      </c>
      <c r="I3655" s="2"/>
      <c r="J3655" s="2">
        <v>50913</v>
      </c>
      <c r="K3655" s="2"/>
      <c r="L3655" s="2"/>
      <c r="M3655" s="2"/>
      <c r="N3655" s="2"/>
      <c r="P3655" s="2">
        <v>45660</v>
      </c>
      <c r="Q3655" s="2"/>
      <c r="R3655" s="2">
        <v>51029</v>
      </c>
      <c r="AB3655" s="2"/>
    </row>
    <row r="3656" spans="8:28" ht="15" customHeight="1">
      <c r="H3656" s="2">
        <v>45782</v>
      </c>
      <c r="I3656" s="2"/>
      <c r="J3656" s="2">
        <v>50914</v>
      </c>
      <c r="K3656" s="2"/>
      <c r="L3656" s="2"/>
      <c r="M3656" s="2"/>
      <c r="N3656" s="2"/>
      <c r="P3656" s="2">
        <v>45659</v>
      </c>
      <c r="Q3656" s="2"/>
      <c r="R3656" s="2">
        <v>51032</v>
      </c>
      <c r="AB3656" s="2"/>
    </row>
    <row r="3657" spans="8:28" ht="15" customHeight="1">
      <c r="H3657" s="2">
        <v>45779</v>
      </c>
      <c r="I3657" s="2"/>
      <c r="J3657" s="2">
        <v>50915</v>
      </c>
      <c r="K3657" s="2"/>
      <c r="L3657" s="2"/>
      <c r="M3657" s="2"/>
      <c r="N3657" s="2"/>
      <c r="P3657" s="2">
        <v>45656</v>
      </c>
      <c r="Q3657" s="2"/>
      <c r="R3657" s="2">
        <v>51033</v>
      </c>
      <c r="AB3657" s="2"/>
    </row>
    <row r="3658" spans="8:28" ht="15" customHeight="1">
      <c r="H3658" s="2">
        <v>45778</v>
      </c>
      <c r="I3658" s="2"/>
      <c r="J3658" s="2">
        <v>50916</v>
      </c>
      <c r="K3658" s="2"/>
      <c r="L3658" s="2"/>
      <c r="M3658" s="2"/>
      <c r="N3658" s="2"/>
      <c r="P3658" s="2">
        <v>45653</v>
      </c>
      <c r="Q3658" s="2"/>
      <c r="R3658" s="2">
        <v>51034</v>
      </c>
      <c r="AB3658" s="2"/>
    </row>
    <row r="3659" spans="8:28" ht="15" customHeight="1">
      <c r="H3659" s="2">
        <v>45777</v>
      </c>
      <c r="I3659" s="2"/>
      <c r="J3659" s="2">
        <v>50917</v>
      </c>
      <c r="K3659" s="2"/>
      <c r="L3659" s="2"/>
      <c r="M3659" s="2"/>
      <c r="N3659" s="2"/>
      <c r="P3659" s="2">
        <v>45652</v>
      </c>
      <c r="Q3659" s="2"/>
      <c r="R3659" s="2">
        <v>51035</v>
      </c>
      <c r="AB3659" s="2"/>
    </row>
    <row r="3660" spans="8:28" ht="15" customHeight="1">
      <c r="H3660" s="2">
        <v>45776</v>
      </c>
      <c r="I3660" s="2"/>
      <c r="J3660" s="2">
        <v>50921</v>
      </c>
      <c r="K3660" s="2"/>
      <c r="L3660" s="2"/>
      <c r="M3660" s="2"/>
      <c r="N3660" s="2"/>
      <c r="P3660" s="2">
        <v>45650</v>
      </c>
      <c r="Q3660" s="2"/>
      <c r="R3660" s="2">
        <v>51036</v>
      </c>
      <c r="AB3660" s="2"/>
    </row>
    <row r="3661" spans="8:28" ht="15" customHeight="1">
      <c r="H3661" s="2">
        <v>45775</v>
      </c>
      <c r="I3661" s="2"/>
      <c r="J3661" s="2">
        <v>50922</v>
      </c>
      <c r="K3661" s="2"/>
      <c r="L3661" s="2"/>
      <c r="M3661" s="2"/>
      <c r="N3661" s="2"/>
      <c r="P3661" s="2">
        <v>45649</v>
      </c>
      <c r="Q3661" s="2"/>
      <c r="R3661" s="2">
        <v>51039</v>
      </c>
      <c r="AB3661" s="2"/>
    </row>
    <row r="3662" spans="8:28" ht="15" customHeight="1">
      <c r="H3662" s="2">
        <v>45772</v>
      </c>
      <c r="I3662" s="2"/>
      <c r="J3662" s="2">
        <v>50923</v>
      </c>
      <c r="K3662" s="2"/>
      <c r="L3662" s="2"/>
      <c r="M3662" s="2"/>
      <c r="N3662" s="2"/>
      <c r="P3662" s="2">
        <v>45646</v>
      </c>
      <c r="Q3662" s="2"/>
      <c r="R3662" s="2">
        <v>51040</v>
      </c>
      <c r="AB3662" s="2"/>
    </row>
    <row r="3663" spans="8:28" ht="15" customHeight="1">
      <c r="H3663" s="2">
        <v>45771</v>
      </c>
      <c r="I3663" s="2"/>
      <c r="J3663" s="2">
        <v>50924</v>
      </c>
      <c r="K3663" s="2"/>
      <c r="L3663" s="2"/>
      <c r="M3663" s="2"/>
      <c r="N3663" s="2"/>
      <c r="P3663" s="2">
        <v>45645</v>
      </c>
      <c r="Q3663" s="2"/>
      <c r="R3663" s="2">
        <v>51041</v>
      </c>
      <c r="AB3663" s="2"/>
    </row>
    <row r="3664" spans="8:28" ht="15" customHeight="1">
      <c r="H3664" s="2">
        <v>45770</v>
      </c>
      <c r="I3664" s="2"/>
      <c r="J3664" s="2">
        <v>50927</v>
      </c>
      <c r="K3664" s="2"/>
      <c r="L3664" s="2"/>
      <c r="M3664" s="2"/>
      <c r="N3664" s="2"/>
      <c r="P3664" s="2">
        <v>45644</v>
      </c>
      <c r="Q3664" s="2"/>
      <c r="R3664" s="2">
        <v>51042</v>
      </c>
      <c r="AB3664" s="2"/>
    </row>
    <row r="3665" spans="8:28" ht="15" customHeight="1">
      <c r="H3665" s="2">
        <v>45769</v>
      </c>
      <c r="I3665" s="2"/>
      <c r="J3665" s="2">
        <v>50928</v>
      </c>
      <c r="K3665" s="2"/>
      <c r="L3665" s="2"/>
      <c r="M3665" s="2"/>
      <c r="N3665" s="2"/>
      <c r="P3665" s="2">
        <v>45643</v>
      </c>
      <c r="Q3665" s="2"/>
      <c r="R3665" s="2">
        <v>51043</v>
      </c>
      <c r="AB3665" s="2"/>
    </row>
    <row r="3666" spans="8:28" ht="15" customHeight="1">
      <c r="H3666" s="2">
        <v>45768</v>
      </c>
      <c r="I3666" s="2"/>
      <c r="J3666" s="2">
        <v>50929</v>
      </c>
      <c r="K3666" s="2"/>
      <c r="L3666" s="2"/>
      <c r="M3666" s="2"/>
      <c r="N3666" s="2"/>
      <c r="P3666" s="2">
        <v>45642</v>
      </c>
      <c r="Q3666" s="2"/>
      <c r="R3666" s="2">
        <v>51049</v>
      </c>
      <c r="AB3666" s="2"/>
    </row>
    <row r="3667" spans="8:28" ht="15" customHeight="1">
      <c r="H3667" s="2">
        <v>45764</v>
      </c>
      <c r="I3667" s="2"/>
      <c r="J3667" s="2">
        <v>50930</v>
      </c>
      <c r="K3667" s="2"/>
      <c r="L3667" s="2"/>
      <c r="M3667" s="2"/>
      <c r="N3667" s="2"/>
      <c r="P3667" s="2">
        <v>45639</v>
      </c>
      <c r="Q3667" s="2"/>
      <c r="R3667" s="2">
        <v>51050</v>
      </c>
      <c r="AB3667" s="2"/>
    </row>
    <row r="3668" spans="8:28" ht="15" customHeight="1">
      <c r="H3668" s="2">
        <v>45763</v>
      </c>
      <c r="I3668" s="2"/>
      <c r="J3668" s="2">
        <v>50931</v>
      </c>
      <c r="K3668" s="2"/>
      <c r="L3668" s="2"/>
      <c r="M3668" s="2"/>
      <c r="N3668" s="2"/>
      <c r="P3668" s="2">
        <v>45638</v>
      </c>
      <c r="Q3668" s="2"/>
      <c r="R3668" s="2">
        <v>51054</v>
      </c>
      <c r="AB3668" s="2"/>
    </row>
    <row r="3669" spans="8:28" ht="15" customHeight="1">
      <c r="H3669" s="2">
        <v>45762</v>
      </c>
      <c r="I3669" s="2"/>
      <c r="J3669" s="2">
        <v>50934</v>
      </c>
      <c r="K3669" s="2"/>
      <c r="L3669" s="2"/>
      <c r="M3669" s="2"/>
      <c r="N3669" s="2"/>
      <c r="P3669" s="2">
        <v>45637</v>
      </c>
      <c r="Q3669" s="2"/>
      <c r="R3669" s="2">
        <v>51055</v>
      </c>
      <c r="AB3669" s="2"/>
    </row>
    <row r="3670" spans="8:28" ht="15" customHeight="1">
      <c r="H3670" s="2">
        <v>45761</v>
      </c>
      <c r="I3670" s="2"/>
      <c r="J3670" s="2">
        <v>50935</v>
      </c>
      <c r="K3670" s="2"/>
      <c r="L3670" s="2"/>
      <c r="M3670" s="2"/>
      <c r="N3670" s="2"/>
      <c r="P3670" s="2">
        <v>45636</v>
      </c>
      <c r="Q3670" s="2"/>
      <c r="R3670" s="2">
        <v>51056</v>
      </c>
      <c r="AB3670" s="2"/>
    </row>
    <row r="3671" spans="8:28" ht="15" customHeight="1">
      <c r="H3671" s="2">
        <v>45758</v>
      </c>
      <c r="I3671" s="2"/>
      <c r="J3671" s="2">
        <v>50936</v>
      </c>
      <c r="K3671" s="2"/>
      <c r="L3671" s="2"/>
      <c r="M3671" s="2"/>
      <c r="N3671" s="2"/>
      <c r="P3671" s="2">
        <v>45635</v>
      </c>
      <c r="Q3671" s="2"/>
      <c r="R3671" s="2">
        <v>51057</v>
      </c>
      <c r="AB3671" s="2"/>
    </row>
    <row r="3672" spans="8:28" ht="15" customHeight="1">
      <c r="H3672" s="2">
        <v>45757</v>
      </c>
      <c r="I3672" s="2"/>
      <c r="J3672" s="2">
        <v>50937</v>
      </c>
      <c r="K3672" s="2"/>
      <c r="L3672" s="2"/>
      <c r="M3672" s="2"/>
      <c r="N3672" s="2"/>
      <c r="P3672" s="2">
        <v>45632</v>
      </c>
      <c r="Q3672" s="2"/>
      <c r="R3672" s="2">
        <v>51060</v>
      </c>
      <c r="AB3672" s="2"/>
    </row>
    <row r="3673" spans="8:28" ht="15" customHeight="1">
      <c r="H3673" s="2">
        <v>45756</v>
      </c>
      <c r="I3673" s="2"/>
      <c r="J3673" s="2">
        <v>50938</v>
      </c>
      <c r="K3673" s="2"/>
      <c r="L3673" s="2"/>
      <c r="M3673" s="2"/>
      <c r="N3673" s="2"/>
      <c r="P3673" s="2">
        <v>45631</v>
      </c>
      <c r="Q3673" s="2"/>
      <c r="R3673" s="2">
        <v>51061</v>
      </c>
      <c r="AB3673" s="2"/>
    </row>
    <row r="3674" spans="8:28" ht="15" customHeight="1">
      <c r="H3674" s="2">
        <v>45755</v>
      </c>
      <c r="I3674" s="2"/>
      <c r="J3674" s="2">
        <v>50942</v>
      </c>
      <c r="K3674" s="2"/>
      <c r="L3674" s="2"/>
      <c r="M3674" s="2"/>
      <c r="N3674" s="2"/>
      <c r="P3674" s="2">
        <v>45630</v>
      </c>
      <c r="Q3674" s="2"/>
      <c r="R3674" s="2">
        <v>51062</v>
      </c>
      <c r="AB3674" s="2"/>
    </row>
    <row r="3675" spans="8:28" ht="15" customHeight="1">
      <c r="H3675" s="2">
        <v>45754</v>
      </c>
      <c r="I3675" s="2"/>
      <c r="J3675" s="2">
        <v>50943</v>
      </c>
      <c r="K3675" s="2"/>
      <c r="L3675" s="2"/>
      <c r="M3675" s="2"/>
      <c r="N3675" s="2"/>
      <c r="P3675" s="2">
        <v>45629</v>
      </c>
      <c r="Q3675" s="2"/>
      <c r="R3675" s="2">
        <v>51063</v>
      </c>
      <c r="AB3675" s="2"/>
    </row>
    <row r="3676" spans="8:28" ht="15" customHeight="1">
      <c r="H3676" s="2">
        <v>45751</v>
      </c>
      <c r="I3676" s="2"/>
      <c r="J3676" s="2">
        <v>50944</v>
      </c>
      <c r="K3676" s="2"/>
      <c r="L3676" s="2"/>
      <c r="M3676" s="2"/>
      <c r="N3676" s="2"/>
      <c r="P3676" s="2">
        <v>45628</v>
      </c>
      <c r="Q3676" s="2"/>
      <c r="R3676" s="2">
        <v>51064</v>
      </c>
      <c r="AB3676" s="2"/>
    </row>
    <row r="3677" spans="8:28" ht="15" customHeight="1">
      <c r="H3677" s="2">
        <v>45750</v>
      </c>
      <c r="I3677" s="2"/>
      <c r="J3677" s="2">
        <v>50945</v>
      </c>
      <c r="K3677" s="2"/>
      <c r="L3677" s="2"/>
      <c r="M3677" s="2"/>
      <c r="N3677" s="2"/>
      <c r="P3677" s="2">
        <v>45625</v>
      </c>
      <c r="Q3677" s="2"/>
      <c r="R3677" s="2">
        <v>51067</v>
      </c>
      <c r="AB3677" s="2"/>
    </row>
    <row r="3678" spans="8:28" ht="15" customHeight="1">
      <c r="H3678" s="2">
        <v>45749</v>
      </c>
      <c r="I3678" s="2"/>
      <c r="J3678" s="2">
        <v>50948</v>
      </c>
      <c r="K3678" s="2"/>
      <c r="L3678" s="2"/>
      <c r="M3678" s="2"/>
      <c r="N3678" s="2"/>
      <c r="P3678" s="2">
        <v>45624</v>
      </c>
      <c r="Q3678" s="2"/>
      <c r="R3678" s="2">
        <v>51068</v>
      </c>
      <c r="AB3678" s="2"/>
    </row>
    <row r="3679" spans="8:28" ht="15" customHeight="1">
      <c r="H3679" s="2">
        <v>45748</v>
      </c>
      <c r="I3679" s="2"/>
      <c r="J3679" s="2">
        <v>50949</v>
      </c>
      <c r="K3679" s="2"/>
      <c r="L3679" s="2"/>
      <c r="M3679" s="2"/>
      <c r="N3679" s="2"/>
      <c r="P3679" s="2">
        <v>45623</v>
      </c>
      <c r="Q3679" s="2"/>
      <c r="R3679" s="2">
        <v>51069</v>
      </c>
      <c r="AB3679" s="2"/>
    </row>
    <row r="3680" spans="8:28" ht="15" customHeight="1">
      <c r="H3680" s="2">
        <v>45747</v>
      </c>
      <c r="I3680" s="2"/>
      <c r="J3680" s="2">
        <v>50950</v>
      </c>
      <c r="K3680" s="2"/>
      <c r="L3680" s="2"/>
      <c r="M3680" s="2"/>
      <c r="N3680" s="2"/>
      <c r="P3680" s="2">
        <v>45622</v>
      </c>
      <c r="Q3680" s="2"/>
      <c r="R3680" s="2">
        <v>51070</v>
      </c>
      <c r="AB3680" s="2"/>
    </row>
    <row r="3681" spans="8:28" ht="15" customHeight="1">
      <c r="H3681" s="2">
        <v>45744</v>
      </c>
      <c r="I3681" s="2"/>
      <c r="J3681" s="2">
        <v>50951</v>
      </c>
      <c r="K3681" s="2"/>
      <c r="L3681" s="2"/>
      <c r="M3681" s="2"/>
      <c r="N3681" s="2"/>
      <c r="P3681" s="2">
        <v>45621</v>
      </c>
      <c r="Q3681" s="2"/>
      <c r="R3681" s="2">
        <v>51071</v>
      </c>
      <c r="AB3681" s="2"/>
    </row>
    <row r="3682" spans="8:28" ht="15" customHeight="1">
      <c r="H3682" s="2">
        <v>45743</v>
      </c>
      <c r="I3682" s="2"/>
      <c r="J3682" s="2">
        <v>50952</v>
      </c>
      <c r="K3682" s="2"/>
      <c r="L3682" s="2"/>
      <c r="M3682" s="2"/>
      <c r="N3682" s="2"/>
      <c r="P3682" s="2">
        <v>45618</v>
      </c>
      <c r="Q3682" s="2"/>
      <c r="R3682" s="2">
        <v>51074</v>
      </c>
      <c r="AB3682" s="2"/>
    </row>
    <row r="3683" spans="8:28" ht="15" customHeight="1">
      <c r="H3683" s="2">
        <v>45742</v>
      </c>
      <c r="I3683" s="2"/>
      <c r="J3683" s="2">
        <v>50956</v>
      </c>
      <c r="K3683" s="2"/>
      <c r="L3683" s="2"/>
      <c r="M3683" s="2"/>
      <c r="N3683" s="2"/>
      <c r="P3683" s="2">
        <v>45617</v>
      </c>
      <c r="Q3683" s="2"/>
      <c r="R3683" s="2">
        <v>51075</v>
      </c>
      <c r="AB3683" s="2"/>
    </row>
    <row r="3684" spans="8:28" ht="15" customHeight="1">
      <c r="H3684" s="2">
        <v>45741</v>
      </c>
      <c r="I3684" s="2"/>
      <c r="J3684" s="2">
        <v>50957</v>
      </c>
      <c r="K3684" s="2"/>
      <c r="L3684" s="2"/>
      <c r="M3684" s="2"/>
      <c r="N3684" s="2"/>
      <c r="P3684" s="2">
        <v>45616</v>
      </c>
      <c r="Q3684" s="2"/>
      <c r="R3684" s="2">
        <v>51076</v>
      </c>
      <c r="AB3684" s="2"/>
    </row>
    <row r="3685" spans="8:28" ht="15" customHeight="1">
      <c r="H3685" s="2">
        <v>45740</v>
      </c>
      <c r="I3685" s="2"/>
      <c r="J3685" s="2">
        <v>50958</v>
      </c>
      <c r="K3685" s="2"/>
      <c r="L3685" s="2"/>
      <c r="M3685" s="2"/>
      <c r="N3685" s="2"/>
      <c r="P3685" s="2">
        <v>45615</v>
      </c>
      <c r="Q3685" s="2"/>
      <c r="R3685" s="2">
        <v>51077</v>
      </c>
      <c r="AB3685" s="2"/>
    </row>
    <row r="3686" spans="8:28" ht="15" customHeight="1">
      <c r="H3686" s="2">
        <v>45737</v>
      </c>
      <c r="I3686" s="2"/>
      <c r="J3686" s="2">
        <v>50959</v>
      </c>
      <c r="K3686" s="2"/>
      <c r="L3686" s="2"/>
      <c r="M3686" s="2"/>
      <c r="N3686" s="2"/>
      <c r="P3686" s="2">
        <v>45614</v>
      </c>
      <c r="Q3686" s="2"/>
      <c r="R3686" s="2">
        <v>51078</v>
      </c>
      <c r="AB3686" s="2"/>
    </row>
    <row r="3687" spans="8:28" ht="15" customHeight="1">
      <c r="H3687" s="2">
        <v>45736</v>
      </c>
      <c r="I3687" s="2"/>
      <c r="J3687" s="2">
        <v>50962</v>
      </c>
      <c r="K3687" s="2"/>
      <c r="L3687" s="2"/>
      <c r="M3687" s="2"/>
      <c r="N3687" s="2"/>
      <c r="P3687" s="2">
        <v>45611</v>
      </c>
      <c r="Q3687" s="2"/>
      <c r="R3687" s="2">
        <v>51081</v>
      </c>
      <c r="AB3687" s="2"/>
    </row>
    <row r="3688" spans="8:28" ht="15" customHeight="1">
      <c r="H3688" s="2">
        <v>45735</v>
      </c>
      <c r="I3688" s="2"/>
      <c r="J3688" s="2">
        <v>50963</v>
      </c>
      <c r="K3688" s="2"/>
      <c r="L3688" s="2"/>
      <c r="M3688" s="2"/>
      <c r="N3688" s="2"/>
      <c r="P3688" s="2">
        <v>45610</v>
      </c>
      <c r="Q3688" s="2"/>
      <c r="R3688" s="2">
        <v>51082</v>
      </c>
      <c r="AB3688" s="2"/>
    </row>
    <row r="3689" spans="8:28" ht="15" customHeight="1">
      <c r="H3689" s="2">
        <v>45734</v>
      </c>
      <c r="I3689" s="2"/>
      <c r="J3689" s="2">
        <v>50964</v>
      </c>
      <c r="K3689" s="2"/>
      <c r="L3689" s="2"/>
      <c r="M3689" s="2"/>
      <c r="N3689" s="2"/>
      <c r="P3689" s="2">
        <v>45609</v>
      </c>
      <c r="Q3689" s="2"/>
      <c r="R3689" s="2">
        <v>51083</v>
      </c>
      <c r="AB3689" s="2"/>
    </row>
    <row r="3690" spans="8:28" ht="15" customHeight="1">
      <c r="H3690" s="2">
        <v>45733</v>
      </c>
      <c r="I3690" s="2"/>
      <c r="J3690" s="2">
        <v>50965</v>
      </c>
      <c r="K3690" s="2"/>
      <c r="L3690" s="2"/>
      <c r="M3690" s="2"/>
      <c r="N3690" s="2"/>
      <c r="P3690" s="2">
        <v>45608</v>
      </c>
      <c r="Q3690" s="2"/>
      <c r="R3690" s="2">
        <v>51084</v>
      </c>
      <c r="AB3690" s="2"/>
    </row>
    <row r="3691" spans="8:28" ht="15" customHeight="1">
      <c r="H3691" s="2">
        <v>45730</v>
      </c>
      <c r="I3691" s="2"/>
      <c r="J3691" s="2">
        <v>50966</v>
      </c>
      <c r="K3691" s="2"/>
      <c r="L3691" s="2"/>
      <c r="M3691" s="2"/>
      <c r="N3691" s="2"/>
      <c r="P3691" s="2">
        <v>45607</v>
      </c>
      <c r="Q3691" s="2"/>
      <c r="R3691" s="2">
        <v>51085</v>
      </c>
      <c r="AB3691" s="2"/>
    </row>
    <row r="3692" spans="8:28" ht="15" customHeight="1">
      <c r="H3692" s="2">
        <v>45729</v>
      </c>
      <c r="I3692" s="2"/>
      <c r="J3692" s="2">
        <v>50969</v>
      </c>
      <c r="K3692" s="2"/>
      <c r="L3692" s="2"/>
      <c r="M3692" s="2"/>
      <c r="N3692" s="2"/>
      <c r="P3692" s="2">
        <v>45604</v>
      </c>
      <c r="Q3692" s="2"/>
      <c r="R3692" s="2">
        <v>51088</v>
      </c>
      <c r="AB3692" s="2"/>
    </row>
    <row r="3693" spans="8:28" ht="15" customHeight="1">
      <c r="H3693" s="2">
        <v>45728</v>
      </c>
      <c r="I3693" s="2"/>
      <c r="J3693" s="2">
        <v>50970</v>
      </c>
      <c r="K3693" s="2"/>
      <c r="L3693" s="2"/>
      <c r="M3693" s="2"/>
      <c r="N3693" s="2"/>
      <c r="P3693" s="2">
        <v>45603</v>
      </c>
      <c r="Q3693" s="2"/>
      <c r="R3693" s="2">
        <v>51089</v>
      </c>
      <c r="AB3693" s="2"/>
    </row>
    <row r="3694" spans="8:28" ht="15" customHeight="1">
      <c r="H3694" s="2">
        <v>45727</v>
      </c>
      <c r="I3694" s="2"/>
      <c r="J3694" s="2">
        <v>50971</v>
      </c>
      <c r="K3694" s="2"/>
      <c r="L3694" s="2"/>
      <c r="M3694" s="2"/>
      <c r="N3694" s="2"/>
      <c r="P3694" s="2">
        <v>45602</v>
      </c>
      <c r="Q3694" s="2"/>
      <c r="R3694" s="2">
        <v>51090</v>
      </c>
      <c r="AB3694" s="2"/>
    </row>
    <row r="3695" spans="8:28" ht="15" customHeight="1">
      <c r="H3695" s="2">
        <v>45726</v>
      </c>
      <c r="I3695" s="2"/>
      <c r="J3695" s="2">
        <v>50972</v>
      </c>
      <c r="K3695" s="2"/>
      <c r="L3695" s="2"/>
      <c r="M3695" s="2"/>
      <c r="N3695" s="2"/>
      <c r="P3695" s="2">
        <v>45601</v>
      </c>
      <c r="Q3695" s="2"/>
      <c r="R3695" s="2">
        <v>51091</v>
      </c>
      <c r="AB3695" s="2"/>
    </row>
    <row r="3696" spans="8:28" ht="15" customHeight="1">
      <c r="H3696" s="2">
        <v>45723</v>
      </c>
      <c r="I3696" s="2"/>
      <c r="J3696" s="2">
        <v>50973</v>
      </c>
      <c r="K3696" s="2"/>
      <c r="L3696" s="2"/>
      <c r="M3696" s="2"/>
      <c r="N3696" s="2"/>
      <c r="P3696" s="2">
        <v>45600</v>
      </c>
      <c r="Q3696" s="2"/>
      <c r="R3696" s="2">
        <v>51092</v>
      </c>
      <c r="AB3696" s="2"/>
    </row>
    <row r="3697" spans="8:28" ht="15" customHeight="1">
      <c r="H3697" s="2">
        <v>45722</v>
      </c>
      <c r="I3697" s="2"/>
      <c r="J3697" s="2">
        <v>50976</v>
      </c>
      <c r="K3697" s="2"/>
      <c r="L3697" s="2"/>
      <c r="M3697" s="2"/>
      <c r="N3697" s="2"/>
      <c r="P3697" s="2">
        <v>45597</v>
      </c>
      <c r="Q3697" s="2"/>
      <c r="R3697" s="2">
        <v>51095</v>
      </c>
      <c r="AB3697" s="2"/>
    </row>
    <row r="3698" spans="8:28" ht="15" customHeight="1">
      <c r="H3698" s="2">
        <v>45721</v>
      </c>
      <c r="I3698" s="2"/>
      <c r="J3698" s="2">
        <v>50977</v>
      </c>
      <c r="K3698" s="2"/>
      <c r="L3698" s="2"/>
      <c r="M3698" s="2"/>
      <c r="N3698" s="2"/>
      <c r="P3698" s="2">
        <v>45596</v>
      </c>
      <c r="Q3698" s="2"/>
      <c r="R3698" s="2">
        <v>51096</v>
      </c>
      <c r="AB3698" s="2"/>
    </row>
    <row r="3699" spans="8:28" ht="15" customHeight="1">
      <c r="H3699" s="2">
        <v>45720</v>
      </c>
      <c r="I3699" s="2"/>
      <c r="J3699" s="2">
        <v>50978</v>
      </c>
      <c r="K3699" s="2"/>
      <c r="L3699" s="2"/>
      <c r="M3699" s="2"/>
      <c r="N3699" s="2"/>
      <c r="P3699" s="2"/>
      <c r="Q3699" s="2"/>
      <c r="R3699" s="2"/>
      <c r="AB3699" s="2"/>
    </row>
    <row r="3700" spans="8:28" ht="15" customHeight="1">
      <c r="H3700" s="2">
        <v>45719</v>
      </c>
      <c r="I3700" s="2"/>
      <c r="J3700" s="2">
        <v>50979</v>
      </c>
      <c r="K3700" s="2"/>
      <c r="L3700" s="2"/>
      <c r="M3700" s="2"/>
      <c r="N3700" s="2"/>
      <c r="P3700" s="2"/>
      <c r="Q3700" s="2"/>
      <c r="R3700" s="2"/>
      <c r="AB3700" s="2"/>
    </row>
    <row r="3701" spans="8:28" ht="15" customHeight="1">
      <c r="H3701" s="2">
        <v>45716</v>
      </c>
      <c r="I3701" s="2"/>
      <c r="J3701" s="2">
        <v>50980</v>
      </c>
      <c r="K3701" s="2"/>
      <c r="L3701" s="2"/>
      <c r="M3701" s="2"/>
      <c r="N3701" s="2"/>
      <c r="P3701" s="2"/>
      <c r="Q3701" s="2"/>
      <c r="R3701" s="2"/>
      <c r="AB3701" s="2"/>
    </row>
    <row r="3702" spans="8:28" ht="15" customHeight="1">
      <c r="H3702" s="2">
        <v>45715</v>
      </c>
      <c r="I3702" s="2"/>
      <c r="J3702" s="2">
        <v>50983</v>
      </c>
      <c r="K3702" s="2"/>
      <c r="L3702" s="2"/>
      <c r="M3702" s="2"/>
      <c r="N3702" s="2"/>
      <c r="P3702" s="2"/>
      <c r="Q3702" s="2"/>
      <c r="R3702" s="2"/>
      <c r="AB3702" s="2"/>
    </row>
    <row r="3703" spans="8:28" ht="15" customHeight="1">
      <c r="H3703" s="2">
        <v>45714</v>
      </c>
      <c r="I3703" s="2"/>
      <c r="J3703" s="2">
        <v>50984</v>
      </c>
      <c r="K3703" s="2"/>
      <c r="L3703" s="2"/>
      <c r="M3703" s="2"/>
      <c r="N3703" s="2"/>
      <c r="P3703" s="2"/>
      <c r="Q3703" s="2"/>
      <c r="R3703" s="2"/>
      <c r="AB3703" s="2"/>
    </row>
    <row r="3704" spans="8:28" ht="15" customHeight="1">
      <c r="H3704" s="2">
        <v>45713</v>
      </c>
      <c r="I3704" s="2"/>
      <c r="J3704" s="2">
        <v>50985</v>
      </c>
      <c r="K3704" s="2"/>
      <c r="L3704" s="2"/>
      <c r="M3704" s="2"/>
      <c r="N3704" s="2"/>
      <c r="P3704" s="2"/>
      <c r="Q3704" s="2"/>
      <c r="R3704" s="2"/>
      <c r="AB3704" s="2"/>
    </row>
    <row r="3705" spans="8:28" ht="15" customHeight="1">
      <c r="H3705" s="2">
        <v>45712</v>
      </c>
      <c r="I3705" s="2"/>
      <c r="J3705" s="2">
        <v>50986</v>
      </c>
      <c r="K3705" s="2"/>
      <c r="L3705" s="2"/>
      <c r="M3705" s="2"/>
      <c r="N3705" s="2"/>
      <c r="P3705" s="2"/>
      <c r="Q3705" s="2"/>
      <c r="R3705" s="2"/>
      <c r="AB3705" s="2"/>
    </row>
    <row r="3706" spans="8:28" ht="15" customHeight="1">
      <c r="H3706" s="2">
        <v>45709</v>
      </c>
      <c r="I3706" s="2"/>
      <c r="J3706" s="2">
        <v>50987</v>
      </c>
      <c r="K3706" s="2"/>
      <c r="L3706" s="2"/>
      <c r="M3706" s="2"/>
      <c r="N3706" s="2"/>
      <c r="P3706" s="2"/>
      <c r="Q3706" s="2"/>
      <c r="R3706" s="2"/>
      <c r="AB3706" s="2"/>
    </row>
    <row r="3707" spans="8:28" ht="15" customHeight="1">
      <c r="H3707" s="2">
        <v>45708</v>
      </c>
      <c r="I3707" s="2"/>
      <c r="J3707" s="2">
        <v>50990</v>
      </c>
      <c r="K3707" s="2"/>
      <c r="L3707" s="2"/>
      <c r="M3707" s="2"/>
      <c r="N3707" s="2"/>
      <c r="P3707" s="2"/>
      <c r="Q3707" s="2"/>
      <c r="R3707" s="2"/>
      <c r="AB3707" s="2"/>
    </row>
    <row r="3708" spans="8:28" ht="15" customHeight="1">
      <c r="H3708" s="2">
        <v>45707</v>
      </c>
      <c r="I3708" s="2"/>
      <c r="J3708" s="2">
        <v>50991</v>
      </c>
      <c r="K3708" s="2"/>
      <c r="L3708" s="2"/>
      <c r="M3708" s="2"/>
      <c r="N3708" s="2"/>
      <c r="P3708" s="2"/>
      <c r="Q3708" s="2"/>
      <c r="R3708" s="2"/>
      <c r="AB3708" s="2"/>
    </row>
    <row r="3709" spans="8:28" ht="15" customHeight="1">
      <c r="H3709" s="2">
        <v>45706</v>
      </c>
      <c r="I3709" s="2"/>
      <c r="J3709" s="2">
        <v>50992</v>
      </c>
      <c r="K3709" s="2"/>
      <c r="L3709" s="2"/>
      <c r="M3709" s="2"/>
      <c r="N3709" s="2"/>
      <c r="P3709" s="2"/>
      <c r="Q3709" s="2"/>
      <c r="R3709" s="2"/>
      <c r="AB3709" s="2"/>
    </row>
    <row r="3710" spans="8:28" ht="15" customHeight="1">
      <c r="H3710" s="2">
        <v>45702</v>
      </c>
      <c r="I3710" s="2"/>
      <c r="J3710" s="2">
        <v>50993</v>
      </c>
      <c r="K3710" s="2"/>
      <c r="L3710" s="2"/>
      <c r="M3710" s="2"/>
      <c r="N3710" s="2"/>
      <c r="P3710" s="2"/>
      <c r="Q3710" s="2"/>
      <c r="R3710" s="2"/>
      <c r="AB3710" s="2"/>
    </row>
    <row r="3711" spans="8:28" ht="15" customHeight="1">
      <c r="H3711" s="2">
        <v>45701</v>
      </c>
      <c r="I3711" s="2"/>
      <c r="J3711" s="2">
        <v>50994</v>
      </c>
      <c r="K3711" s="2"/>
      <c r="L3711" s="2"/>
      <c r="M3711" s="2"/>
      <c r="N3711" s="2"/>
      <c r="P3711" s="2"/>
      <c r="Q3711" s="2"/>
      <c r="R3711" s="2"/>
      <c r="AB3711" s="2"/>
    </row>
    <row r="3712" spans="8:28" ht="15" customHeight="1">
      <c r="H3712" s="2">
        <v>45700</v>
      </c>
      <c r="I3712" s="2"/>
      <c r="J3712" s="2">
        <v>50997</v>
      </c>
      <c r="K3712" s="2"/>
      <c r="L3712" s="2"/>
      <c r="M3712" s="2"/>
      <c r="N3712" s="2"/>
      <c r="P3712" s="2"/>
      <c r="Q3712" s="2"/>
      <c r="R3712" s="2"/>
      <c r="AB3712" s="2"/>
    </row>
    <row r="3713" spans="8:28" ht="15" customHeight="1">
      <c r="H3713" s="2">
        <v>45699</v>
      </c>
      <c r="I3713" s="2"/>
      <c r="J3713" s="2">
        <v>50998</v>
      </c>
      <c r="K3713" s="2"/>
      <c r="L3713" s="2"/>
      <c r="M3713" s="2"/>
      <c r="N3713" s="2"/>
      <c r="P3713" s="2"/>
      <c r="Q3713" s="2"/>
      <c r="R3713" s="2"/>
      <c r="AB3713" s="2"/>
    </row>
    <row r="3714" spans="8:28" ht="15" customHeight="1">
      <c r="H3714" s="2">
        <v>45698</v>
      </c>
      <c r="I3714" s="2"/>
      <c r="J3714" s="2">
        <v>50999</v>
      </c>
      <c r="K3714" s="2"/>
      <c r="L3714" s="2"/>
      <c r="M3714" s="2"/>
      <c r="N3714" s="2"/>
      <c r="P3714" s="2"/>
      <c r="Q3714" s="2"/>
      <c r="R3714" s="2"/>
      <c r="AB3714" s="2"/>
    </row>
    <row r="3715" spans="8:28" ht="15" customHeight="1">
      <c r="H3715" s="2">
        <v>45695</v>
      </c>
      <c r="I3715" s="2"/>
      <c r="J3715" s="2">
        <v>51000</v>
      </c>
      <c r="K3715" s="2"/>
      <c r="L3715" s="2"/>
      <c r="M3715" s="2"/>
      <c r="N3715" s="2"/>
      <c r="P3715" s="2"/>
      <c r="Q3715" s="2"/>
      <c r="R3715" s="2"/>
      <c r="AB3715" s="2"/>
    </row>
    <row r="3716" spans="8:28" ht="15" customHeight="1">
      <c r="H3716" s="2">
        <v>45694</v>
      </c>
      <c r="I3716" s="2"/>
      <c r="J3716" s="2">
        <v>51001</v>
      </c>
      <c r="K3716" s="2"/>
      <c r="L3716" s="2"/>
      <c r="M3716" s="2"/>
      <c r="N3716" s="2"/>
      <c r="P3716" s="2"/>
      <c r="Q3716" s="2"/>
      <c r="R3716" s="2"/>
      <c r="AB3716" s="2"/>
    </row>
    <row r="3717" spans="8:28" ht="15" customHeight="1">
      <c r="H3717" s="2">
        <v>45693</v>
      </c>
      <c r="I3717" s="2"/>
      <c r="J3717" s="2">
        <v>51004</v>
      </c>
      <c r="K3717" s="2"/>
      <c r="L3717" s="2"/>
      <c r="M3717" s="2"/>
      <c r="N3717" s="2"/>
      <c r="P3717" s="2"/>
      <c r="Q3717" s="2"/>
      <c r="R3717" s="2"/>
      <c r="AB3717" s="2"/>
    </row>
    <row r="3718" spans="8:28" ht="15" customHeight="1">
      <c r="H3718" s="2">
        <v>45692</v>
      </c>
      <c r="I3718" s="2"/>
      <c r="J3718" s="2">
        <v>51005</v>
      </c>
      <c r="K3718" s="2"/>
      <c r="L3718" s="2"/>
      <c r="M3718" s="2"/>
      <c r="N3718" s="2"/>
      <c r="P3718" s="2"/>
      <c r="Q3718" s="2"/>
      <c r="R3718" s="2"/>
      <c r="AB3718" s="2"/>
    </row>
    <row r="3719" spans="8:28" ht="15" customHeight="1">
      <c r="H3719" s="2">
        <v>45691</v>
      </c>
      <c r="I3719" s="2"/>
      <c r="J3719" s="2">
        <v>51006</v>
      </c>
      <c r="K3719" s="2"/>
      <c r="L3719" s="2"/>
      <c r="M3719" s="2"/>
      <c r="N3719" s="2"/>
      <c r="P3719" s="2"/>
      <c r="Q3719" s="2"/>
      <c r="R3719" s="2"/>
      <c r="AB3719" s="2"/>
    </row>
    <row r="3720" spans="8:28" ht="15" customHeight="1">
      <c r="H3720" s="2">
        <v>45688</v>
      </c>
      <c r="I3720" s="2"/>
      <c r="J3720" s="2">
        <v>51007</v>
      </c>
      <c r="K3720" s="2"/>
      <c r="L3720" s="2"/>
      <c r="M3720" s="2"/>
      <c r="N3720" s="2"/>
      <c r="P3720" s="2"/>
      <c r="Q3720" s="2"/>
      <c r="R3720" s="2"/>
      <c r="AB3720" s="2"/>
    </row>
    <row r="3721" spans="8:28" ht="15" customHeight="1">
      <c r="H3721" s="2">
        <v>45687</v>
      </c>
      <c r="I3721" s="2"/>
      <c r="J3721" s="2">
        <v>51008</v>
      </c>
      <c r="K3721" s="2"/>
      <c r="L3721" s="2"/>
      <c r="M3721" s="2"/>
      <c r="N3721" s="2"/>
      <c r="P3721" s="2"/>
      <c r="Q3721" s="2"/>
      <c r="R3721" s="2"/>
      <c r="AB3721" s="2"/>
    </row>
    <row r="3722" spans="8:28" ht="15" customHeight="1">
      <c r="H3722" s="2">
        <v>45686</v>
      </c>
      <c r="I3722" s="2"/>
      <c r="J3722" s="2">
        <v>51011</v>
      </c>
      <c r="K3722" s="2"/>
      <c r="L3722" s="2"/>
      <c r="M3722" s="2"/>
      <c r="N3722" s="2"/>
      <c r="P3722" s="2"/>
      <c r="Q3722" s="2"/>
      <c r="R3722" s="2"/>
      <c r="AB3722" s="2"/>
    </row>
    <row r="3723" spans="8:28" ht="15" customHeight="1">
      <c r="H3723" s="2">
        <v>45685</v>
      </c>
      <c r="I3723" s="2"/>
      <c r="J3723" s="2">
        <v>51012</v>
      </c>
      <c r="K3723" s="2"/>
      <c r="L3723" s="2"/>
      <c r="M3723" s="2"/>
      <c r="N3723" s="2"/>
      <c r="P3723" s="2"/>
      <c r="Q3723" s="2"/>
      <c r="R3723" s="2"/>
      <c r="AB3723" s="2"/>
    </row>
    <row r="3724" spans="8:28" ht="15" customHeight="1">
      <c r="H3724" s="2">
        <v>45684</v>
      </c>
      <c r="I3724" s="2"/>
      <c r="J3724" s="2">
        <v>51013</v>
      </c>
      <c r="K3724" s="2"/>
      <c r="L3724" s="2"/>
      <c r="M3724" s="2"/>
      <c r="N3724" s="2"/>
      <c r="P3724" s="2"/>
      <c r="Q3724" s="2"/>
      <c r="R3724" s="2"/>
      <c r="AB3724" s="2"/>
    </row>
    <row r="3725" spans="8:28" ht="15" customHeight="1">
      <c r="H3725" s="2">
        <v>45681</v>
      </c>
      <c r="I3725" s="2"/>
      <c r="J3725" s="2">
        <v>51014</v>
      </c>
      <c r="K3725" s="2"/>
      <c r="L3725" s="2"/>
      <c r="M3725" s="2"/>
      <c r="N3725" s="2"/>
      <c r="P3725" s="2"/>
      <c r="Q3725" s="2"/>
      <c r="R3725" s="2"/>
      <c r="AB3725" s="2"/>
    </row>
    <row r="3726" spans="8:28" ht="15" customHeight="1">
      <c r="H3726" s="2">
        <v>45680</v>
      </c>
      <c r="I3726" s="2"/>
      <c r="J3726" s="2">
        <v>51015</v>
      </c>
      <c r="K3726" s="2"/>
      <c r="L3726" s="2"/>
      <c r="M3726" s="2"/>
      <c r="N3726" s="2"/>
      <c r="P3726" s="2"/>
      <c r="Q3726" s="2"/>
      <c r="R3726" s="2"/>
      <c r="AB3726" s="2"/>
    </row>
    <row r="3727" spans="8:28" ht="15" customHeight="1">
      <c r="H3727" s="2">
        <v>45679</v>
      </c>
      <c r="I3727" s="2"/>
      <c r="J3727" s="2">
        <v>51019</v>
      </c>
      <c r="K3727" s="2"/>
      <c r="L3727" s="2"/>
      <c r="M3727" s="2"/>
      <c r="N3727" s="2"/>
      <c r="P3727" s="2"/>
      <c r="Q3727" s="2"/>
      <c r="R3727" s="2"/>
      <c r="AB3727" s="2"/>
    </row>
    <row r="3728" spans="8:28" ht="15" customHeight="1">
      <c r="H3728" s="2">
        <v>45678</v>
      </c>
      <c r="I3728" s="2"/>
      <c r="J3728" s="2">
        <v>51020</v>
      </c>
      <c r="K3728" s="2"/>
      <c r="L3728" s="2"/>
      <c r="M3728" s="2"/>
      <c r="N3728" s="2"/>
      <c r="P3728" s="2"/>
      <c r="Q3728" s="2"/>
      <c r="R3728" s="2"/>
      <c r="AB3728" s="2"/>
    </row>
    <row r="3729" spans="8:28" ht="15" customHeight="1">
      <c r="H3729" s="2">
        <v>45674</v>
      </c>
      <c r="I3729" s="2"/>
      <c r="J3729" s="2">
        <v>51021</v>
      </c>
      <c r="K3729" s="2"/>
      <c r="L3729" s="2"/>
      <c r="M3729" s="2"/>
      <c r="N3729" s="2"/>
      <c r="P3729" s="2"/>
      <c r="Q3729" s="2"/>
      <c r="R3729" s="2"/>
      <c r="AB3729" s="2"/>
    </row>
    <row r="3730" spans="8:28" ht="15" customHeight="1">
      <c r="H3730" s="2">
        <v>45673</v>
      </c>
      <c r="I3730" s="2"/>
      <c r="J3730" s="2">
        <v>51022</v>
      </c>
      <c r="K3730" s="2"/>
      <c r="L3730" s="2"/>
      <c r="M3730" s="2"/>
      <c r="N3730" s="2"/>
      <c r="P3730" s="2"/>
      <c r="Q3730" s="2"/>
      <c r="R3730" s="2"/>
      <c r="AB3730" s="2"/>
    </row>
    <row r="3731" spans="8:28" ht="15" customHeight="1">
      <c r="H3731" s="2">
        <v>45672</v>
      </c>
      <c r="I3731" s="2"/>
      <c r="J3731" s="2">
        <v>51025</v>
      </c>
      <c r="K3731" s="2"/>
      <c r="L3731" s="2"/>
      <c r="M3731" s="2"/>
      <c r="N3731" s="2"/>
      <c r="P3731" s="2"/>
      <c r="Q3731" s="2"/>
      <c r="R3731" s="2"/>
      <c r="AB3731" s="2"/>
    </row>
    <row r="3732" spans="8:28" ht="15" customHeight="1">
      <c r="H3732" s="2">
        <v>45671</v>
      </c>
      <c r="I3732" s="2"/>
      <c r="J3732" s="2">
        <v>51026</v>
      </c>
      <c r="K3732" s="2"/>
      <c r="L3732" s="2"/>
      <c r="M3732" s="2"/>
      <c r="N3732" s="2"/>
      <c r="P3732" s="2"/>
      <c r="Q3732" s="2"/>
      <c r="R3732" s="2"/>
      <c r="AB3732" s="2"/>
    </row>
    <row r="3733" spans="8:28" ht="15" customHeight="1">
      <c r="H3733" s="2">
        <v>45670</v>
      </c>
      <c r="I3733" s="2"/>
      <c r="J3733" s="2">
        <v>51027</v>
      </c>
      <c r="K3733" s="2"/>
      <c r="L3733" s="2"/>
      <c r="M3733" s="2"/>
      <c r="N3733" s="2"/>
      <c r="P3733" s="2"/>
      <c r="Q3733" s="2"/>
      <c r="R3733" s="2"/>
      <c r="AB3733" s="2"/>
    </row>
    <row r="3734" spans="8:28" ht="15" customHeight="1">
      <c r="H3734" s="2">
        <v>45667</v>
      </c>
      <c r="I3734" s="2"/>
      <c r="J3734" s="2">
        <v>51028</v>
      </c>
      <c r="K3734" s="2"/>
      <c r="L3734" s="2"/>
      <c r="M3734" s="2"/>
      <c r="N3734" s="2"/>
      <c r="P3734" s="2"/>
      <c r="Q3734" s="2"/>
      <c r="R3734" s="2"/>
      <c r="AB3734" s="2"/>
    </row>
    <row r="3735" spans="8:28" ht="15" customHeight="1">
      <c r="H3735" s="2">
        <v>45666</v>
      </c>
      <c r="I3735" s="2"/>
      <c r="J3735" s="2">
        <v>51029</v>
      </c>
      <c r="K3735" s="2"/>
      <c r="L3735" s="2"/>
      <c r="M3735" s="2"/>
      <c r="N3735" s="2"/>
      <c r="P3735" s="2"/>
      <c r="Q3735" s="2"/>
      <c r="R3735" s="2"/>
      <c r="AB3735" s="2"/>
    </row>
    <row r="3736" spans="8:28" ht="15" customHeight="1">
      <c r="H3736" s="2">
        <v>45665</v>
      </c>
      <c r="I3736" s="2"/>
      <c r="J3736" s="2">
        <v>51032</v>
      </c>
      <c r="K3736" s="2"/>
      <c r="L3736" s="2"/>
      <c r="M3736" s="2"/>
      <c r="N3736" s="2"/>
      <c r="P3736" s="2"/>
      <c r="Q3736" s="2"/>
      <c r="R3736" s="2"/>
      <c r="AB3736" s="2"/>
    </row>
    <row r="3737" spans="8:28" ht="15" customHeight="1">
      <c r="H3737" s="2">
        <v>45664</v>
      </c>
      <c r="I3737" s="2"/>
      <c r="J3737" s="2">
        <v>51033</v>
      </c>
      <c r="K3737" s="2"/>
      <c r="L3737" s="2"/>
      <c r="M3737" s="2"/>
      <c r="N3737" s="2"/>
      <c r="P3737" s="2"/>
      <c r="Q3737" s="2"/>
      <c r="R3737" s="2"/>
      <c r="AB3737" s="2"/>
    </row>
    <row r="3738" spans="8:28" ht="15" customHeight="1">
      <c r="H3738" s="2">
        <v>45663</v>
      </c>
      <c r="I3738" s="2"/>
      <c r="J3738" s="2">
        <v>51034</v>
      </c>
      <c r="K3738" s="2"/>
      <c r="L3738" s="2"/>
      <c r="M3738" s="2"/>
      <c r="N3738" s="2"/>
      <c r="P3738" s="2"/>
      <c r="Q3738" s="2"/>
      <c r="R3738" s="2"/>
      <c r="AB3738" s="2"/>
    </row>
    <row r="3739" spans="8:28" ht="15" customHeight="1">
      <c r="H3739" s="2">
        <v>45660</v>
      </c>
      <c r="I3739" s="2"/>
      <c r="J3739" s="2">
        <v>51035</v>
      </c>
      <c r="K3739" s="2"/>
      <c r="L3739" s="2"/>
      <c r="M3739" s="2"/>
      <c r="N3739" s="2"/>
      <c r="P3739" s="2"/>
      <c r="Q3739" s="2"/>
      <c r="R3739" s="2"/>
      <c r="AB3739" s="2"/>
    </row>
    <row r="3740" spans="8:28" ht="15" customHeight="1">
      <c r="H3740" s="2">
        <v>45659</v>
      </c>
      <c r="I3740" s="2"/>
      <c r="J3740" s="2">
        <v>51036</v>
      </c>
      <c r="K3740" s="2"/>
      <c r="L3740" s="2"/>
      <c r="M3740" s="2"/>
      <c r="N3740" s="2"/>
      <c r="P3740" s="2"/>
      <c r="Q3740" s="2"/>
      <c r="R3740" s="2"/>
      <c r="AB3740" s="2"/>
    </row>
    <row r="3741" spans="8:28" ht="15" customHeight="1">
      <c r="H3741" s="2">
        <v>45657</v>
      </c>
      <c r="I3741" s="2"/>
      <c r="J3741" s="2">
        <v>51039</v>
      </c>
      <c r="K3741" s="2"/>
      <c r="L3741" s="2"/>
      <c r="M3741" s="2"/>
      <c r="N3741" s="2"/>
      <c r="P3741" s="2"/>
      <c r="Q3741" s="2"/>
      <c r="R3741" s="2"/>
      <c r="AB3741" s="2"/>
    </row>
    <row r="3742" spans="8:28" ht="15" customHeight="1">
      <c r="H3742" s="2">
        <v>45656</v>
      </c>
      <c r="I3742" s="2"/>
      <c r="J3742" s="2">
        <v>51040</v>
      </c>
      <c r="K3742" s="2"/>
      <c r="L3742" s="2"/>
      <c r="M3742" s="2"/>
      <c r="N3742" s="2"/>
      <c r="P3742" s="2"/>
      <c r="Q3742" s="2"/>
      <c r="R3742" s="2"/>
      <c r="AB3742" s="2"/>
    </row>
    <row r="3743" spans="8:28" ht="15" customHeight="1">
      <c r="H3743" s="2">
        <v>45653</v>
      </c>
      <c r="I3743" s="2"/>
      <c r="J3743" s="2">
        <v>51041</v>
      </c>
      <c r="K3743" s="2"/>
      <c r="L3743" s="2"/>
      <c r="M3743" s="2"/>
      <c r="N3743" s="2"/>
      <c r="P3743" s="2"/>
      <c r="Q3743" s="2"/>
      <c r="R3743" s="2"/>
      <c r="AB3743" s="2"/>
    </row>
    <row r="3744" spans="8:28" ht="15" customHeight="1">
      <c r="H3744" s="2">
        <v>45652</v>
      </c>
      <c r="I3744" s="2"/>
      <c r="J3744" s="2">
        <v>51042</v>
      </c>
      <c r="K3744" s="2"/>
      <c r="L3744" s="2"/>
      <c r="M3744" s="2"/>
      <c r="N3744" s="2"/>
      <c r="P3744" s="2"/>
      <c r="Q3744" s="2"/>
      <c r="R3744" s="2"/>
      <c r="AB3744" s="2"/>
    </row>
    <row r="3745" spans="8:28" ht="15" customHeight="1">
      <c r="H3745" s="2">
        <v>45650</v>
      </c>
      <c r="I3745" s="2"/>
      <c r="J3745" s="2">
        <v>51043</v>
      </c>
      <c r="K3745" s="2"/>
      <c r="L3745" s="2"/>
      <c r="M3745" s="2"/>
      <c r="N3745" s="2"/>
      <c r="P3745" s="2"/>
      <c r="Q3745" s="2"/>
      <c r="R3745" s="2"/>
      <c r="AB3745" s="2"/>
    </row>
    <row r="3746" spans="8:28" ht="15" customHeight="1">
      <c r="H3746" s="2">
        <v>45649</v>
      </c>
      <c r="I3746" s="2"/>
      <c r="J3746" s="2">
        <v>51046</v>
      </c>
      <c r="K3746" s="2"/>
      <c r="L3746" s="2"/>
      <c r="M3746" s="2"/>
      <c r="N3746" s="2"/>
      <c r="P3746" s="2"/>
      <c r="Q3746" s="2"/>
      <c r="R3746" s="2"/>
      <c r="AB3746" s="2"/>
    </row>
    <row r="3747" spans="8:28" ht="15" customHeight="1">
      <c r="H3747" s="2">
        <v>45646</v>
      </c>
      <c r="I3747" s="2"/>
      <c r="J3747" s="2">
        <v>51047</v>
      </c>
      <c r="K3747" s="2"/>
      <c r="L3747" s="2"/>
      <c r="M3747" s="2"/>
      <c r="N3747" s="2"/>
      <c r="P3747" s="2"/>
      <c r="Q3747" s="2"/>
      <c r="R3747" s="2"/>
      <c r="AB3747" s="2"/>
    </row>
    <row r="3748" spans="8:28" ht="15" customHeight="1">
      <c r="H3748" s="2">
        <v>45645</v>
      </c>
      <c r="I3748" s="2"/>
      <c r="J3748" s="2">
        <v>51048</v>
      </c>
      <c r="K3748" s="2"/>
      <c r="L3748" s="2"/>
      <c r="M3748" s="2"/>
      <c r="N3748" s="2"/>
      <c r="P3748" s="2"/>
      <c r="Q3748" s="2"/>
      <c r="R3748" s="2"/>
      <c r="AB3748" s="2"/>
    </row>
    <row r="3749" spans="8:28" ht="15" customHeight="1">
      <c r="H3749" s="2">
        <v>45644</v>
      </c>
      <c r="I3749" s="2"/>
      <c r="J3749" s="2">
        <v>51049</v>
      </c>
      <c r="K3749" s="2"/>
      <c r="L3749" s="2"/>
      <c r="M3749" s="2"/>
      <c r="N3749" s="2"/>
      <c r="P3749" s="2"/>
      <c r="Q3749" s="2"/>
      <c r="R3749" s="2"/>
      <c r="AB3749" s="2"/>
    </row>
    <row r="3750" spans="8:28" ht="15" customHeight="1">
      <c r="H3750" s="2">
        <v>45643</v>
      </c>
      <c r="I3750" s="2"/>
      <c r="J3750" s="2">
        <v>51050</v>
      </c>
      <c r="K3750" s="2"/>
      <c r="L3750" s="2"/>
      <c r="M3750" s="2"/>
      <c r="N3750" s="2"/>
      <c r="P3750" s="2"/>
      <c r="Q3750" s="2"/>
      <c r="R3750" s="2"/>
      <c r="AB3750" s="2"/>
    </row>
    <row r="3751" spans="8:28" ht="15" customHeight="1">
      <c r="H3751" s="2">
        <v>45642</v>
      </c>
      <c r="I3751" s="2"/>
      <c r="J3751" s="2">
        <v>51053</v>
      </c>
      <c r="K3751" s="2"/>
      <c r="L3751" s="2"/>
      <c r="M3751" s="2"/>
      <c r="N3751" s="2"/>
      <c r="P3751" s="2"/>
      <c r="Q3751" s="2"/>
      <c r="R3751" s="2"/>
      <c r="AB3751" s="2"/>
    </row>
    <row r="3752" spans="8:28" ht="15" customHeight="1">
      <c r="H3752" s="2">
        <v>45639</v>
      </c>
      <c r="I3752" s="2"/>
      <c r="J3752" s="2">
        <v>51054</v>
      </c>
      <c r="K3752" s="2"/>
      <c r="L3752" s="2"/>
      <c r="M3752" s="2"/>
      <c r="N3752" s="2"/>
      <c r="P3752" s="2"/>
      <c r="Q3752" s="2"/>
      <c r="R3752" s="2"/>
      <c r="AB3752" s="2"/>
    </row>
    <row r="3753" spans="8:28" ht="15" customHeight="1">
      <c r="H3753" s="2">
        <v>45638</v>
      </c>
      <c r="I3753" s="2"/>
      <c r="J3753" s="2">
        <v>51055</v>
      </c>
      <c r="K3753" s="2"/>
      <c r="L3753" s="2"/>
      <c r="M3753" s="2"/>
      <c r="N3753" s="2"/>
      <c r="P3753" s="2"/>
      <c r="Q3753" s="2"/>
      <c r="R3753" s="2"/>
      <c r="AB3753" s="2"/>
    </row>
    <row r="3754" spans="8:28" ht="15" customHeight="1">
      <c r="H3754" s="2">
        <v>45637</v>
      </c>
      <c r="I3754" s="2"/>
      <c r="J3754" s="2">
        <v>51056</v>
      </c>
      <c r="K3754" s="2"/>
      <c r="L3754" s="2"/>
      <c r="M3754" s="2"/>
      <c r="N3754" s="2"/>
      <c r="P3754" s="2"/>
      <c r="Q3754" s="2"/>
      <c r="R3754" s="2"/>
      <c r="AB3754" s="2"/>
    </row>
    <row r="3755" spans="8:28" ht="15" customHeight="1">
      <c r="H3755" s="2">
        <v>45636</v>
      </c>
      <c r="I3755" s="2"/>
      <c r="J3755" s="2">
        <v>51057</v>
      </c>
      <c r="K3755" s="2"/>
      <c r="L3755" s="2"/>
      <c r="M3755" s="2"/>
      <c r="N3755" s="2"/>
      <c r="P3755" s="2"/>
      <c r="Q3755" s="2"/>
      <c r="R3755" s="2"/>
      <c r="AB3755" s="2"/>
    </row>
    <row r="3756" spans="8:28" ht="15" customHeight="1">
      <c r="H3756" s="2">
        <v>45635</v>
      </c>
      <c r="I3756" s="2"/>
      <c r="J3756" s="2">
        <v>51060</v>
      </c>
      <c r="K3756" s="2"/>
      <c r="L3756" s="2"/>
      <c r="M3756" s="2"/>
      <c r="N3756" s="2"/>
      <c r="P3756" s="2"/>
      <c r="Q3756" s="2"/>
      <c r="R3756" s="2"/>
      <c r="AB3756" s="2"/>
    </row>
    <row r="3757" spans="8:28" ht="15" customHeight="1">
      <c r="H3757" s="2">
        <v>45632</v>
      </c>
      <c r="I3757" s="2"/>
      <c r="J3757" s="2">
        <v>51061</v>
      </c>
      <c r="K3757" s="2"/>
      <c r="L3757" s="2"/>
      <c r="M3757" s="2"/>
      <c r="N3757" s="2"/>
      <c r="P3757" s="2"/>
      <c r="Q3757" s="2"/>
      <c r="R3757" s="2"/>
      <c r="AB3757" s="2"/>
    </row>
    <row r="3758" spans="8:28" ht="15" customHeight="1">
      <c r="H3758" s="2">
        <v>45631</v>
      </c>
      <c r="I3758" s="2"/>
      <c r="J3758" s="2">
        <v>51062</v>
      </c>
      <c r="K3758" s="2"/>
      <c r="L3758" s="2"/>
      <c r="M3758" s="2"/>
      <c r="N3758" s="2"/>
      <c r="P3758" s="2"/>
      <c r="Q3758" s="2"/>
      <c r="R3758" s="2"/>
      <c r="AB3758" s="2"/>
    </row>
    <row r="3759" spans="8:28" ht="15" customHeight="1">
      <c r="H3759" s="2">
        <v>45630</v>
      </c>
      <c r="I3759" s="2"/>
      <c r="J3759" s="2">
        <v>51063</v>
      </c>
      <c r="K3759" s="2"/>
      <c r="L3759" s="2"/>
      <c r="M3759" s="2"/>
      <c r="N3759" s="2"/>
      <c r="P3759" s="2"/>
      <c r="Q3759" s="2"/>
      <c r="R3759" s="2"/>
      <c r="AB3759" s="2"/>
    </row>
    <row r="3760" spans="8:28" ht="15" customHeight="1">
      <c r="H3760" s="2">
        <v>45629</v>
      </c>
      <c r="I3760" s="2"/>
      <c r="J3760" s="2">
        <v>51064</v>
      </c>
      <c r="K3760" s="2"/>
      <c r="L3760" s="2"/>
      <c r="M3760" s="2"/>
      <c r="N3760" s="2"/>
      <c r="P3760" s="2"/>
      <c r="Q3760" s="2"/>
      <c r="R3760" s="2"/>
      <c r="AB3760" s="2"/>
    </row>
    <row r="3761" spans="8:28" ht="15" customHeight="1">
      <c r="H3761" s="2">
        <v>45628</v>
      </c>
      <c r="I3761" s="2"/>
      <c r="J3761" s="2">
        <v>51067</v>
      </c>
      <c r="K3761" s="2"/>
      <c r="L3761" s="2"/>
      <c r="M3761" s="2"/>
      <c r="N3761" s="2"/>
      <c r="P3761" s="2"/>
      <c r="Q3761" s="2"/>
      <c r="R3761" s="2"/>
      <c r="AB3761" s="2"/>
    </row>
    <row r="3762" spans="8:28" ht="15" customHeight="1">
      <c r="H3762" s="2">
        <v>45625</v>
      </c>
      <c r="I3762" s="2"/>
      <c r="J3762" s="2">
        <v>51068</v>
      </c>
      <c r="K3762" s="2"/>
      <c r="L3762" s="2"/>
      <c r="M3762" s="2"/>
      <c r="N3762" s="2"/>
      <c r="P3762" s="2"/>
      <c r="Q3762" s="2"/>
      <c r="R3762" s="2"/>
      <c r="AB3762" s="2"/>
    </row>
    <row r="3763" spans="8:28" ht="15" customHeight="1">
      <c r="H3763" s="2">
        <v>45623</v>
      </c>
      <c r="I3763" s="2"/>
      <c r="J3763" s="2">
        <v>51069</v>
      </c>
      <c r="K3763" s="2"/>
      <c r="L3763" s="2"/>
      <c r="M3763" s="2"/>
      <c r="N3763" s="2"/>
      <c r="P3763" s="2"/>
      <c r="Q3763" s="2"/>
      <c r="R3763" s="2"/>
      <c r="AB3763" s="2"/>
    </row>
    <row r="3764" spans="8:28" ht="15" customHeight="1">
      <c r="H3764" s="2">
        <v>45622</v>
      </c>
      <c r="I3764" s="2"/>
      <c r="J3764" s="2">
        <v>51070</v>
      </c>
      <c r="K3764" s="2"/>
      <c r="L3764" s="2"/>
      <c r="M3764" s="2"/>
      <c r="N3764" s="2"/>
      <c r="P3764" s="2"/>
      <c r="Q3764" s="2"/>
      <c r="R3764" s="2"/>
      <c r="AB3764" s="2"/>
    </row>
    <row r="3765" spans="8:28" ht="15" customHeight="1">
      <c r="H3765" s="2">
        <v>45621</v>
      </c>
      <c r="I3765" s="2"/>
      <c r="J3765" s="2">
        <v>51071</v>
      </c>
      <c r="K3765" s="2"/>
      <c r="L3765" s="2"/>
      <c r="M3765" s="2"/>
      <c r="N3765" s="2"/>
      <c r="P3765" s="2"/>
      <c r="Q3765" s="2"/>
      <c r="R3765" s="2"/>
      <c r="AB3765" s="2"/>
    </row>
    <row r="3766" spans="8:28" ht="15" customHeight="1">
      <c r="H3766" s="2">
        <v>45618</v>
      </c>
      <c r="I3766" s="2"/>
      <c r="J3766" s="2">
        <v>51074</v>
      </c>
      <c r="K3766" s="2"/>
      <c r="L3766" s="2"/>
      <c r="M3766" s="2"/>
      <c r="N3766" s="2"/>
      <c r="P3766" s="2"/>
      <c r="Q3766" s="2"/>
      <c r="R3766" s="2"/>
      <c r="AB3766" s="2"/>
    </row>
    <row r="3767" spans="8:28" ht="15" customHeight="1">
      <c r="H3767" s="2">
        <v>45617</v>
      </c>
      <c r="I3767" s="2"/>
      <c r="J3767" s="2">
        <v>51075</v>
      </c>
      <c r="K3767" s="2"/>
      <c r="L3767" s="2"/>
      <c r="M3767" s="2"/>
      <c r="N3767" s="2"/>
      <c r="P3767" s="2"/>
      <c r="Q3767" s="2"/>
      <c r="R3767" s="2"/>
      <c r="AB3767" s="2"/>
    </row>
    <row r="3768" spans="8:28" ht="15" customHeight="1">
      <c r="H3768" s="2">
        <v>45616</v>
      </c>
      <c r="I3768" s="2"/>
      <c r="J3768" s="2">
        <v>51076</v>
      </c>
      <c r="K3768" s="2"/>
      <c r="L3768" s="2"/>
      <c r="M3768" s="2"/>
      <c r="N3768" s="2"/>
      <c r="P3768" s="2"/>
      <c r="Q3768" s="2"/>
      <c r="R3768" s="2"/>
      <c r="AB3768" s="2"/>
    </row>
    <row r="3769" spans="8:28" ht="15" customHeight="1">
      <c r="H3769" s="2">
        <v>45615</v>
      </c>
      <c r="I3769" s="2"/>
      <c r="J3769" s="2">
        <v>51077</v>
      </c>
      <c r="K3769" s="2"/>
      <c r="L3769" s="2"/>
      <c r="M3769" s="2"/>
      <c r="N3769" s="2"/>
      <c r="P3769" s="2"/>
      <c r="Q3769" s="2"/>
      <c r="R3769" s="2"/>
      <c r="AB3769" s="2"/>
    </row>
    <row r="3770" spans="8:28" ht="15" customHeight="1">
      <c r="H3770" s="2">
        <v>45614</v>
      </c>
      <c r="I3770" s="2"/>
      <c r="J3770" s="2">
        <v>51078</v>
      </c>
      <c r="K3770" s="2"/>
      <c r="L3770" s="2"/>
      <c r="M3770" s="2"/>
      <c r="N3770" s="2"/>
      <c r="P3770" s="2"/>
      <c r="Q3770" s="2"/>
      <c r="R3770" s="2"/>
      <c r="AB3770" s="2"/>
    </row>
    <row r="3771" spans="8:28" ht="15" customHeight="1">
      <c r="H3771" s="2">
        <v>45611</v>
      </c>
      <c r="I3771" s="2"/>
      <c r="J3771" s="2">
        <v>51081</v>
      </c>
      <c r="K3771" s="2"/>
      <c r="L3771" s="2"/>
      <c r="M3771" s="2"/>
      <c r="N3771" s="2"/>
      <c r="P3771" s="2"/>
      <c r="Q3771" s="2"/>
      <c r="R3771" s="2"/>
      <c r="AB3771" s="2"/>
    </row>
    <row r="3772" spans="8:28" ht="15" customHeight="1">
      <c r="H3772" s="2">
        <v>45610</v>
      </c>
      <c r="I3772" s="2"/>
      <c r="J3772" s="2">
        <v>51082</v>
      </c>
      <c r="K3772" s="2"/>
      <c r="L3772" s="2"/>
      <c r="M3772" s="2"/>
      <c r="N3772" s="2"/>
      <c r="P3772" s="2"/>
      <c r="Q3772" s="2"/>
      <c r="R3772" s="2"/>
      <c r="AB3772" s="2"/>
    </row>
    <row r="3773" spans="8:28" ht="15" customHeight="1">
      <c r="H3773" s="2">
        <v>45609</v>
      </c>
      <c r="I3773" s="2"/>
      <c r="J3773" s="2">
        <v>51083</v>
      </c>
      <c r="K3773" s="2"/>
      <c r="L3773" s="2"/>
      <c r="M3773" s="2"/>
      <c r="N3773" s="2"/>
      <c r="P3773" s="2"/>
      <c r="Q3773" s="2"/>
      <c r="R3773" s="2"/>
      <c r="AB3773" s="2"/>
    </row>
    <row r="3774" spans="8:28" ht="15" customHeight="1">
      <c r="H3774" s="2">
        <v>45608</v>
      </c>
      <c r="I3774" s="2"/>
      <c r="J3774" s="2">
        <v>51084</v>
      </c>
      <c r="K3774" s="2"/>
      <c r="L3774" s="2"/>
      <c r="M3774" s="2"/>
      <c r="N3774" s="2"/>
      <c r="P3774" s="2"/>
      <c r="Q3774" s="2"/>
      <c r="R3774" s="2"/>
      <c r="AB3774" s="2"/>
    </row>
    <row r="3775" spans="8:28" ht="15" customHeight="1">
      <c r="H3775" s="2">
        <v>45607</v>
      </c>
      <c r="I3775" s="2"/>
      <c r="J3775" s="2">
        <v>51085</v>
      </c>
      <c r="K3775" s="2"/>
      <c r="L3775" s="2"/>
      <c r="M3775" s="2"/>
      <c r="N3775" s="2"/>
      <c r="P3775" s="2"/>
      <c r="Q3775" s="2"/>
      <c r="R3775" s="2"/>
      <c r="AB3775" s="2"/>
    </row>
    <row r="3776" spans="8:28" ht="15" customHeight="1">
      <c r="H3776" s="2">
        <v>45604</v>
      </c>
      <c r="I3776" s="2"/>
      <c r="J3776" s="2">
        <v>51088</v>
      </c>
      <c r="K3776" s="2"/>
      <c r="L3776" s="2"/>
      <c r="M3776" s="2"/>
      <c r="N3776" s="2"/>
      <c r="P3776" s="2"/>
      <c r="Q3776" s="2"/>
      <c r="R3776" s="2"/>
      <c r="AB3776" s="2"/>
    </row>
    <row r="3777" spans="8:28" ht="15" customHeight="1">
      <c r="H3777" s="2">
        <v>45603</v>
      </c>
      <c r="I3777" s="2"/>
      <c r="J3777" s="2">
        <v>51089</v>
      </c>
      <c r="K3777" s="2"/>
      <c r="L3777" s="2"/>
      <c r="M3777" s="2"/>
      <c r="N3777" s="2"/>
      <c r="P3777" s="2"/>
      <c r="Q3777" s="2"/>
      <c r="R3777" s="2"/>
      <c r="AB3777" s="2"/>
    </row>
    <row r="3778" spans="8:28" ht="15" customHeight="1">
      <c r="H3778" s="2">
        <v>45602</v>
      </c>
      <c r="I3778" s="2"/>
      <c r="J3778" s="2">
        <v>51090</v>
      </c>
      <c r="K3778" s="2"/>
      <c r="L3778" s="2"/>
      <c r="M3778" s="2"/>
      <c r="N3778" s="2"/>
      <c r="P3778" s="2"/>
      <c r="Q3778" s="2"/>
      <c r="R3778" s="2"/>
      <c r="AB3778" s="2"/>
    </row>
    <row r="3779" spans="8:28" ht="15" customHeight="1">
      <c r="H3779" s="2">
        <v>45601</v>
      </c>
      <c r="I3779" s="2"/>
      <c r="J3779" s="2">
        <v>51091</v>
      </c>
      <c r="K3779" s="2"/>
      <c r="L3779" s="2"/>
      <c r="M3779" s="2"/>
      <c r="N3779" s="2"/>
      <c r="P3779" s="2"/>
      <c r="Q3779" s="2"/>
      <c r="R3779" s="2"/>
      <c r="AB3779" s="2"/>
    </row>
    <row r="3780" spans="8:28" ht="15" customHeight="1">
      <c r="H3780" s="2">
        <v>45600</v>
      </c>
      <c r="I3780" s="2"/>
      <c r="J3780" s="2">
        <v>51092</v>
      </c>
      <c r="K3780" s="2"/>
      <c r="L3780" s="2"/>
      <c r="M3780" s="2"/>
      <c r="N3780" s="2"/>
      <c r="P3780" s="2"/>
      <c r="Q3780" s="2"/>
      <c r="R3780" s="2"/>
      <c r="AB3780" s="2"/>
    </row>
    <row r="3781" spans="8:28" ht="15" customHeight="1">
      <c r="H3781" s="2">
        <v>45597</v>
      </c>
      <c r="I3781" s="2"/>
      <c r="J3781" s="2">
        <v>51095</v>
      </c>
      <c r="K3781" s="2"/>
      <c r="L3781" s="2"/>
      <c r="M3781" s="2"/>
      <c r="N3781" s="2"/>
      <c r="P3781" s="2"/>
      <c r="Q3781" s="2"/>
      <c r="R3781" s="2"/>
      <c r="AB3781" s="2"/>
    </row>
    <row r="3782" spans="8:28" ht="15" customHeight="1">
      <c r="H3782" s="2">
        <v>45596</v>
      </c>
      <c r="I3782" s="2"/>
      <c r="J3782" s="2">
        <v>51096</v>
      </c>
      <c r="K3782" s="2"/>
      <c r="L3782" s="2"/>
      <c r="M3782" s="2"/>
      <c r="N3782" s="2"/>
      <c r="P3782" s="2"/>
      <c r="Q3782" s="2"/>
      <c r="R3782" s="2"/>
      <c r="AB3782" s="2"/>
    </row>
    <row r="3783" spans="8:28" ht="15" customHeight="1">
      <c r="H3783" s="2"/>
      <c r="I3783" s="2"/>
      <c r="J3783" s="2"/>
      <c r="K3783" s="2"/>
      <c r="L3783" s="2"/>
      <c r="M3783" s="2"/>
      <c r="N3783" s="2"/>
      <c r="P3783" s="2"/>
      <c r="Q3783" s="2"/>
      <c r="R3783" s="2"/>
      <c r="AB3783" s="2"/>
    </row>
    <row r="3784" spans="8:28" ht="15" customHeight="1">
      <c r="H3784" s="2"/>
      <c r="I3784" s="2"/>
      <c r="J3784" s="2"/>
      <c r="K3784" s="2"/>
      <c r="L3784" s="2"/>
      <c r="M3784" s="2"/>
      <c r="N3784" s="2"/>
      <c r="P3784" s="2"/>
      <c r="Q3784" s="2"/>
      <c r="R3784" s="2"/>
      <c r="AB3784" s="2"/>
    </row>
    <row r="3785" spans="8:28" ht="15" customHeight="1">
      <c r="H3785" s="2"/>
      <c r="I3785" s="2"/>
      <c r="J3785" s="2"/>
      <c r="K3785" s="2"/>
      <c r="L3785" s="2"/>
      <c r="M3785" s="2"/>
      <c r="N3785" s="2"/>
      <c r="P3785" s="2"/>
      <c r="Q3785" s="2"/>
      <c r="R3785" s="2"/>
      <c r="AB3785" s="2"/>
    </row>
    <row r="3786" spans="8:28" ht="15" customHeight="1">
      <c r="H3786" s="2"/>
      <c r="I3786" s="2"/>
      <c r="J3786" s="2"/>
      <c r="K3786" s="2"/>
      <c r="L3786" s="2"/>
      <c r="M3786" s="2"/>
      <c r="N3786" s="2"/>
      <c r="P3786" s="2"/>
      <c r="Q3786" s="2"/>
      <c r="R3786" s="2"/>
      <c r="AB3786" s="2"/>
    </row>
    <row r="3787" spans="8:28" ht="15" customHeight="1">
      <c r="H3787" s="2"/>
      <c r="I3787" s="2"/>
      <c r="J3787" s="2"/>
      <c r="K3787" s="2"/>
      <c r="L3787" s="2"/>
      <c r="M3787" s="2"/>
      <c r="N3787" s="2"/>
      <c r="P3787" s="2"/>
      <c r="Q3787" s="2"/>
      <c r="R3787" s="2"/>
      <c r="AB3787" s="2"/>
    </row>
    <row r="3788" spans="8:28" ht="15" customHeight="1">
      <c r="H3788" s="2"/>
      <c r="I3788" s="2"/>
      <c r="J3788" s="2"/>
      <c r="K3788" s="2"/>
      <c r="L3788" s="2"/>
      <c r="M3788" s="2"/>
      <c r="N3788" s="2"/>
      <c r="P3788" s="2"/>
      <c r="Q3788" s="2"/>
      <c r="R3788" s="2"/>
      <c r="AB3788" s="2"/>
    </row>
    <row r="3789" spans="8:28" ht="15" customHeight="1">
      <c r="H3789" s="2"/>
      <c r="I3789" s="2"/>
      <c r="J3789" s="2"/>
      <c r="K3789" s="2"/>
      <c r="L3789" s="2"/>
      <c r="M3789" s="2"/>
      <c r="N3789" s="2"/>
      <c r="P3789" s="2"/>
      <c r="Q3789" s="2"/>
      <c r="R3789" s="2"/>
      <c r="AB3789" s="2"/>
    </row>
    <row r="3790" spans="8:28" ht="15" customHeight="1">
      <c r="H3790" s="2"/>
      <c r="I3790" s="2"/>
      <c r="J3790" s="2"/>
      <c r="K3790" s="2"/>
      <c r="L3790" s="2"/>
      <c r="M3790" s="2"/>
      <c r="N3790" s="2"/>
      <c r="P3790" s="2"/>
      <c r="Q3790" s="2"/>
      <c r="R3790" s="2"/>
      <c r="AB3790" s="2"/>
    </row>
    <row r="3791" spans="8:28" ht="15" customHeight="1">
      <c r="H3791" s="2"/>
      <c r="I3791" s="2"/>
      <c r="J3791" s="2"/>
      <c r="K3791" s="2"/>
      <c r="L3791" s="2"/>
      <c r="M3791" s="2"/>
      <c r="N3791" s="2"/>
      <c r="P3791" s="2"/>
      <c r="Q3791" s="2"/>
      <c r="R3791" s="2"/>
      <c r="AB3791" s="2"/>
    </row>
    <row r="3792" spans="8:28" ht="15" customHeight="1">
      <c r="H3792" s="2"/>
      <c r="I3792" s="2"/>
      <c r="J3792" s="2"/>
      <c r="K3792" s="2"/>
      <c r="L3792" s="2"/>
      <c r="M3792" s="2"/>
      <c r="N3792" s="2"/>
      <c r="P3792" s="2"/>
      <c r="Q3792" s="2"/>
      <c r="R3792" s="2"/>
      <c r="AB3792" s="2"/>
    </row>
    <row r="3793" spans="8:28" ht="15" customHeight="1">
      <c r="H3793" s="2"/>
      <c r="I3793" s="2"/>
      <c r="J3793" s="2"/>
      <c r="K3793" s="2"/>
      <c r="L3793" s="2"/>
      <c r="M3793" s="2"/>
      <c r="N3793" s="2"/>
      <c r="P3793" s="2"/>
      <c r="Q3793" s="2"/>
      <c r="R3793" s="2"/>
      <c r="AB3793" s="2"/>
    </row>
    <row r="3794" spans="8:28" ht="15" customHeight="1">
      <c r="H3794" s="2"/>
      <c r="I3794" s="2"/>
      <c r="J3794" s="2"/>
      <c r="K3794" s="2"/>
      <c r="L3794" s="2"/>
      <c r="M3794" s="2"/>
      <c r="N3794" s="2"/>
      <c r="P3794" s="2"/>
      <c r="Q3794" s="2"/>
      <c r="R3794" s="2"/>
      <c r="AB3794" s="2"/>
    </row>
    <row r="3795" spans="8:28" ht="15" customHeight="1">
      <c r="H3795" s="2"/>
      <c r="I3795" s="2"/>
      <c r="J3795" s="2"/>
      <c r="K3795" s="2"/>
      <c r="L3795" s="2"/>
      <c r="M3795" s="2"/>
      <c r="N3795" s="2"/>
      <c r="P3795" s="2"/>
      <c r="Q3795" s="2"/>
      <c r="R3795" s="2"/>
      <c r="AB3795" s="2"/>
    </row>
    <row r="3796" spans="8:28" ht="15" customHeight="1">
      <c r="H3796" s="2"/>
      <c r="I3796" s="2"/>
      <c r="J3796" s="2"/>
      <c r="K3796" s="2"/>
      <c r="L3796" s="2"/>
      <c r="M3796" s="2"/>
      <c r="N3796" s="2"/>
      <c r="P3796" s="2"/>
      <c r="Q3796" s="2"/>
      <c r="R3796" s="2"/>
      <c r="AB3796" s="2"/>
    </row>
    <row r="3797" spans="8:28" ht="15" customHeight="1">
      <c r="H3797" s="2"/>
      <c r="I3797" s="2"/>
      <c r="J3797" s="2"/>
      <c r="K3797" s="2"/>
      <c r="L3797" s="2"/>
      <c r="M3797" s="2"/>
      <c r="N3797" s="2"/>
      <c r="P3797" s="2"/>
      <c r="Q3797" s="2"/>
      <c r="R3797" s="2"/>
      <c r="AB3797" s="2"/>
    </row>
    <row r="3798" spans="8:28" ht="15" customHeight="1">
      <c r="H3798" s="2"/>
      <c r="I3798" s="2"/>
      <c r="J3798" s="2"/>
      <c r="K3798" s="2"/>
      <c r="L3798" s="2"/>
      <c r="M3798" s="2"/>
      <c r="N3798" s="2"/>
      <c r="P3798" s="2"/>
      <c r="Q3798" s="2"/>
      <c r="R3798" s="2"/>
      <c r="AB3798" s="2"/>
    </row>
    <row r="3799" spans="8:28" ht="15" customHeight="1">
      <c r="H3799" s="2"/>
      <c r="I3799" s="2"/>
      <c r="J3799" s="2"/>
      <c r="K3799" s="2"/>
      <c r="L3799" s="2"/>
      <c r="M3799" s="2"/>
      <c r="N3799" s="2"/>
      <c r="P3799" s="2"/>
      <c r="Q3799" s="2"/>
      <c r="R3799" s="2"/>
      <c r="AB3799" s="2"/>
    </row>
    <row r="3800" spans="8:28" ht="15" customHeight="1">
      <c r="H3800" s="2"/>
      <c r="I3800" s="2"/>
      <c r="J3800" s="2"/>
      <c r="K3800" s="2"/>
      <c r="L3800" s="2"/>
      <c r="M3800" s="2"/>
      <c r="N3800" s="2"/>
      <c r="P3800" s="2"/>
      <c r="Q3800" s="2"/>
      <c r="R3800" s="2"/>
      <c r="AB3800" s="2"/>
    </row>
    <row r="3801" spans="8:28" ht="15" customHeight="1">
      <c r="H3801" s="2"/>
      <c r="I3801" s="2"/>
      <c r="J3801" s="2"/>
      <c r="K3801" s="2"/>
      <c r="L3801" s="2"/>
      <c r="M3801" s="2"/>
      <c r="N3801" s="2"/>
      <c r="P3801" s="2"/>
      <c r="Q3801" s="2"/>
      <c r="R3801" s="2"/>
      <c r="AB3801" s="2"/>
    </row>
    <row r="3802" spans="8:28" ht="15" customHeight="1">
      <c r="H3802" s="2"/>
      <c r="I3802" s="2"/>
      <c r="J3802" s="2"/>
      <c r="K3802" s="2"/>
      <c r="L3802" s="2"/>
      <c r="M3802" s="2"/>
      <c r="N3802" s="2"/>
      <c r="P3802" s="2"/>
      <c r="Q3802" s="2"/>
      <c r="R3802" s="2"/>
      <c r="AB3802" s="2"/>
    </row>
    <row r="3803" spans="8:28" ht="15" customHeight="1">
      <c r="H3803" s="2"/>
      <c r="I3803" s="2"/>
      <c r="J3803" s="2"/>
      <c r="K3803" s="2"/>
      <c r="L3803" s="2"/>
      <c r="M3803" s="2"/>
      <c r="N3803" s="2"/>
      <c r="P3803" s="2"/>
      <c r="Q3803" s="2"/>
      <c r="R3803" s="2"/>
      <c r="AB3803" s="2"/>
    </row>
    <row r="3804" spans="8:28" ht="15" customHeight="1">
      <c r="H3804" s="2"/>
      <c r="I3804" s="2"/>
      <c r="J3804" s="2"/>
      <c r="K3804" s="2"/>
      <c r="L3804" s="2"/>
      <c r="M3804" s="2"/>
      <c r="N3804" s="2"/>
      <c r="P3804" s="2"/>
      <c r="Q3804" s="2"/>
      <c r="R3804" s="2"/>
      <c r="AB3804" s="2"/>
    </row>
    <row r="3805" spans="8:28" ht="15" customHeight="1">
      <c r="H3805" s="2"/>
      <c r="I3805" s="2"/>
      <c r="J3805" s="2"/>
      <c r="K3805" s="2"/>
      <c r="L3805" s="2"/>
      <c r="M3805" s="2"/>
      <c r="N3805" s="2"/>
      <c r="P3805" s="2"/>
      <c r="Q3805" s="2"/>
      <c r="R3805" s="2"/>
      <c r="AB3805" s="2"/>
    </row>
    <row r="3806" spans="8:28" ht="15" customHeight="1">
      <c r="H3806" s="2"/>
      <c r="I3806" s="2"/>
      <c r="J3806" s="2"/>
      <c r="K3806" s="2"/>
      <c r="L3806" s="2"/>
      <c r="M3806" s="2"/>
      <c r="N3806" s="2"/>
      <c r="P3806" s="2"/>
      <c r="Q3806" s="2"/>
      <c r="R3806" s="2"/>
      <c r="AB3806" s="2"/>
    </row>
    <row r="3807" spans="8:28" ht="15" customHeight="1">
      <c r="H3807" s="2"/>
      <c r="I3807" s="2"/>
      <c r="J3807" s="2"/>
      <c r="K3807" s="2"/>
      <c r="L3807" s="2"/>
      <c r="M3807" s="2"/>
      <c r="N3807" s="2"/>
      <c r="P3807" s="2"/>
      <c r="Q3807" s="2"/>
      <c r="R3807" s="2"/>
      <c r="AB3807" s="2"/>
    </row>
    <row r="3808" spans="8:28" ht="15" customHeight="1">
      <c r="H3808" s="2"/>
      <c r="I3808" s="2"/>
      <c r="J3808" s="2"/>
      <c r="K3808" s="2"/>
      <c r="L3808" s="2"/>
      <c r="M3808" s="2"/>
      <c r="N3808" s="2"/>
      <c r="P3808" s="2"/>
      <c r="Q3808" s="2"/>
      <c r="R3808" s="2"/>
      <c r="AB3808" s="2"/>
    </row>
    <row r="3809" spans="8:28" ht="15" customHeight="1">
      <c r="H3809" s="2"/>
      <c r="I3809" s="2"/>
      <c r="J3809" s="2"/>
      <c r="K3809" s="2"/>
      <c r="L3809" s="2"/>
      <c r="M3809" s="2"/>
      <c r="N3809" s="2"/>
      <c r="P3809" s="2"/>
      <c r="Q3809" s="2"/>
      <c r="R3809" s="2"/>
      <c r="AB3809" s="2"/>
    </row>
    <row r="3810" spans="8:28" ht="15" customHeight="1">
      <c r="H3810" s="2"/>
      <c r="I3810" s="2"/>
      <c r="J3810" s="2"/>
      <c r="K3810" s="2"/>
      <c r="L3810" s="2"/>
      <c r="M3810" s="2"/>
      <c r="N3810" s="2"/>
      <c r="P3810" s="2"/>
      <c r="Q3810" s="2"/>
      <c r="R3810" s="2"/>
      <c r="AB3810" s="2"/>
    </row>
    <row r="3811" spans="8:28" ht="15" customHeight="1">
      <c r="H3811" s="2"/>
      <c r="I3811" s="2"/>
      <c r="J3811" s="2"/>
      <c r="K3811" s="2"/>
      <c r="L3811" s="2"/>
      <c r="M3811" s="2"/>
      <c r="N3811" s="2"/>
      <c r="P3811" s="2"/>
      <c r="Q3811" s="2"/>
      <c r="R3811" s="2"/>
      <c r="AB3811" s="2"/>
    </row>
    <row r="3812" spans="8:28" ht="15" customHeight="1">
      <c r="H3812" s="2"/>
      <c r="I3812" s="2"/>
      <c r="J3812" s="2"/>
      <c r="K3812" s="2"/>
      <c r="L3812" s="2"/>
      <c r="M3812" s="2"/>
      <c r="N3812" s="2"/>
      <c r="P3812" s="2"/>
      <c r="Q3812" s="2"/>
      <c r="R3812" s="2"/>
      <c r="AB3812" s="2"/>
    </row>
    <row r="3813" spans="8:28" ht="15" customHeight="1">
      <c r="H3813" s="2"/>
      <c r="I3813" s="2"/>
      <c r="J3813" s="2"/>
      <c r="K3813" s="2"/>
      <c r="L3813" s="2"/>
      <c r="M3813" s="2"/>
      <c r="N3813" s="2"/>
      <c r="P3813" s="2"/>
      <c r="Q3813" s="2"/>
      <c r="R3813" s="2"/>
      <c r="AB3813" s="2"/>
    </row>
    <row r="3814" spans="8:28" ht="15" customHeight="1">
      <c r="H3814" s="2"/>
      <c r="I3814" s="2"/>
      <c r="J3814" s="2"/>
      <c r="K3814" s="2"/>
      <c r="L3814" s="2"/>
      <c r="M3814" s="2"/>
      <c r="N3814" s="2"/>
      <c r="P3814" s="2"/>
      <c r="Q3814" s="2"/>
      <c r="R3814" s="2"/>
      <c r="AB3814" s="2"/>
    </row>
    <row r="3815" spans="8:28" ht="15" customHeight="1">
      <c r="H3815" s="2"/>
      <c r="I3815" s="2"/>
      <c r="J3815" s="2"/>
      <c r="K3815" s="2"/>
      <c r="L3815" s="2"/>
      <c r="M3815" s="2"/>
      <c r="N3815" s="2"/>
      <c r="P3815" s="2"/>
      <c r="Q3815" s="2"/>
      <c r="R3815" s="2"/>
      <c r="AB3815" s="2"/>
    </row>
    <row r="3816" spans="8:28" ht="15" customHeight="1">
      <c r="H3816" s="2"/>
      <c r="I3816" s="2"/>
      <c r="J3816" s="2"/>
      <c r="K3816" s="2"/>
      <c r="L3816" s="2"/>
      <c r="M3816" s="2"/>
      <c r="N3816" s="2"/>
      <c r="P3816" s="2"/>
      <c r="Q3816" s="2"/>
      <c r="R3816" s="2"/>
      <c r="AB3816" s="2"/>
    </row>
    <row r="3817" spans="8:28" ht="15" customHeight="1">
      <c r="H3817" s="2"/>
      <c r="I3817" s="2"/>
      <c r="J3817" s="2"/>
      <c r="K3817" s="2"/>
      <c r="L3817" s="2"/>
      <c r="M3817" s="2"/>
      <c r="N3817" s="2"/>
      <c r="P3817" s="2"/>
      <c r="Q3817" s="2"/>
      <c r="R3817" s="2"/>
      <c r="AB3817" s="2"/>
    </row>
    <row r="3818" spans="8:28" ht="15" customHeight="1">
      <c r="H3818" s="2"/>
      <c r="I3818" s="2"/>
      <c r="J3818" s="2"/>
      <c r="K3818" s="2"/>
      <c r="L3818" s="2"/>
      <c r="M3818" s="2"/>
      <c r="N3818" s="2"/>
      <c r="P3818" s="2"/>
      <c r="Q3818" s="2"/>
      <c r="R3818" s="2"/>
      <c r="AB3818" s="2"/>
    </row>
    <row r="3819" spans="8:28" ht="15" customHeight="1">
      <c r="H3819" s="2"/>
      <c r="I3819" s="2"/>
      <c r="J3819" s="2"/>
      <c r="K3819" s="2"/>
      <c r="L3819" s="2"/>
      <c r="M3819" s="2"/>
      <c r="N3819" s="2"/>
      <c r="P3819" s="2"/>
      <c r="Q3819" s="2"/>
      <c r="R3819" s="2"/>
      <c r="AB3819" s="2"/>
    </row>
    <row r="3820" spans="8:28" ht="15" customHeight="1">
      <c r="H3820" s="2"/>
      <c r="I3820" s="2"/>
      <c r="J3820" s="2"/>
      <c r="K3820" s="2"/>
      <c r="L3820" s="2"/>
      <c r="M3820" s="2"/>
      <c r="N3820" s="2"/>
      <c r="P3820" s="2"/>
      <c r="Q3820" s="2"/>
      <c r="R3820" s="2"/>
      <c r="AB3820" s="2"/>
    </row>
    <row r="3821" spans="8:28" ht="15" customHeight="1">
      <c r="H3821" s="2"/>
      <c r="I3821" s="2"/>
      <c r="J3821" s="2"/>
      <c r="K3821" s="2"/>
      <c r="L3821" s="2"/>
      <c r="M3821" s="2"/>
      <c r="N3821" s="2"/>
      <c r="P3821" s="2"/>
      <c r="Q3821" s="2"/>
      <c r="R3821" s="2"/>
      <c r="AB3821" s="2"/>
    </row>
    <row r="3822" spans="8:28" ht="15" customHeight="1">
      <c r="H3822" s="2"/>
      <c r="I3822" s="2"/>
      <c r="J3822" s="2"/>
      <c r="K3822" s="2"/>
      <c r="L3822" s="2"/>
      <c r="M3822" s="2"/>
      <c r="N3822" s="2"/>
      <c r="P3822" s="2"/>
      <c r="Q3822" s="2"/>
      <c r="R3822" s="2"/>
      <c r="AB3822" s="2"/>
    </row>
    <row r="3823" spans="8:28" ht="15" customHeight="1">
      <c r="H3823" s="2"/>
      <c r="I3823" s="2"/>
      <c r="J3823" s="2"/>
      <c r="K3823" s="2"/>
      <c r="L3823" s="2"/>
      <c r="M3823" s="2"/>
      <c r="N3823" s="2"/>
      <c r="P3823" s="2"/>
      <c r="Q3823" s="2"/>
      <c r="R3823" s="2"/>
      <c r="AB3823" s="2"/>
    </row>
    <row r="3824" spans="8:28" ht="15" customHeight="1">
      <c r="H3824" s="2"/>
      <c r="I3824" s="2"/>
      <c r="J3824" s="2"/>
      <c r="K3824" s="2"/>
      <c r="L3824" s="2"/>
      <c r="M3824" s="2"/>
      <c r="N3824" s="2"/>
      <c r="P3824" s="2"/>
      <c r="Q3824" s="2"/>
      <c r="R3824" s="2"/>
      <c r="AB3824" s="2"/>
    </row>
    <row r="3825" spans="8:28" ht="15" customHeight="1">
      <c r="H3825" s="2"/>
      <c r="I3825" s="2"/>
      <c r="J3825" s="2"/>
      <c r="K3825" s="2"/>
      <c r="L3825" s="2"/>
      <c r="M3825" s="2"/>
      <c r="N3825" s="2"/>
      <c r="P3825" s="2"/>
      <c r="Q3825" s="2"/>
      <c r="R3825" s="2"/>
      <c r="AB3825" s="2"/>
    </row>
    <row r="3826" spans="8:28" ht="15" customHeight="1">
      <c r="H3826" s="2"/>
      <c r="I3826" s="2"/>
      <c r="J3826" s="2"/>
      <c r="K3826" s="2"/>
      <c r="L3826" s="2"/>
      <c r="M3826" s="2"/>
      <c r="N3826" s="2"/>
      <c r="P3826" s="2"/>
      <c r="Q3826" s="2"/>
      <c r="R3826" s="2"/>
      <c r="AB3826" s="2"/>
    </row>
    <row r="3827" spans="8:28" ht="15" customHeight="1">
      <c r="H3827" s="2"/>
      <c r="I3827" s="2"/>
      <c r="J3827" s="2"/>
      <c r="K3827" s="2"/>
      <c r="L3827" s="2"/>
      <c r="M3827" s="2"/>
      <c r="N3827" s="2"/>
      <c r="P3827" s="2"/>
      <c r="Q3827" s="2"/>
      <c r="R3827" s="2"/>
      <c r="AB3827" s="2"/>
    </row>
    <row r="3828" spans="8:28" ht="15" customHeight="1">
      <c r="H3828" s="2"/>
      <c r="I3828" s="2"/>
      <c r="J3828" s="2"/>
      <c r="K3828" s="2"/>
      <c r="L3828" s="2"/>
      <c r="M3828" s="2"/>
      <c r="N3828" s="2"/>
      <c r="P3828" s="2"/>
      <c r="Q3828" s="2"/>
      <c r="R3828" s="2"/>
      <c r="AB3828" s="2"/>
    </row>
    <row r="3829" spans="8:28" ht="15" customHeight="1">
      <c r="H3829" s="2"/>
      <c r="I3829" s="2"/>
      <c r="J3829" s="2"/>
      <c r="K3829" s="2"/>
      <c r="L3829" s="2"/>
      <c r="M3829" s="2"/>
      <c r="N3829" s="2"/>
      <c r="P3829" s="2"/>
      <c r="Q3829" s="2"/>
      <c r="R3829" s="2"/>
      <c r="AB3829" s="2"/>
    </row>
    <row r="3830" spans="8:28" ht="15" customHeight="1">
      <c r="H3830" s="2"/>
      <c r="I3830" s="2"/>
      <c r="J3830" s="2"/>
      <c r="K3830" s="2"/>
      <c r="L3830" s="2"/>
      <c r="M3830" s="2"/>
      <c r="N3830" s="2"/>
      <c r="P3830" s="2"/>
      <c r="Q3830" s="2"/>
      <c r="R3830" s="2"/>
      <c r="AB3830" s="2"/>
    </row>
    <row r="3831" spans="8:28" ht="15" customHeight="1">
      <c r="H3831" s="2"/>
      <c r="I3831" s="2"/>
      <c r="J3831" s="2"/>
      <c r="K3831" s="2"/>
      <c r="L3831" s="2"/>
      <c r="M3831" s="2"/>
      <c r="N3831" s="2"/>
      <c r="P3831" s="2"/>
      <c r="Q3831" s="2"/>
      <c r="R3831" s="2"/>
      <c r="AB3831" s="2"/>
    </row>
    <row r="3832" spans="8:28" ht="15" customHeight="1">
      <c r="H3832" s="2"/>
      <c r="I3832" s="2"/>
      <c r="J3832" s="2"/>
      <c r="K3832" s="2"/>
      <c r="L3832" s="2"/>
      <c r="M3832" s="2"/>
      <c r="N3832" s="2"/>
      <c r="P3832" s="2"/>
      <c r="Q3832" s="2"/>
      <c r="R3832" s="2"/>
      <c r="AB3832" s="2"/>
    </row>
    <row r="3833" spans="8:28" ht="15" customHeight="1">
      <c r="H3833" s="2"/>
      <c r="I3833" s="2"/>
      <c r="J3833" s="2"/>
      <c r="K3833" s="2"/>
      <c r="L3833" s="2"/>
      <c r="M3833" s="2"/>
      <c r="N3833" s="2"/>
      <c r="P3833" s="2"/>
      <c r="Q3833" s="2"/>
      <c r="R3833" s="2"/>
      <c r="AB3833" s="2"/>
    </row>
    <row r="3834" spans="8:28" ht="15" customHeight="1">
      <c r="H3834" s="2"/>
      <c r="I3834" s="2"/>
      <c r="J3834" s="2"/>
      <c r="K3834" s="2"/>
      <c r="L3834" s="2"/>
      <c r="M3834" s="2"/>
      <c r="N3834" s="2"/>
      <c r="P3834" s="2"/>
      <c r="Q3834" s="2"/>
      <c r="R3834" s="2"/>
      <c r="AB3834" s="2"/>
    </row>
    <row r="3835" spans="8:28" ht="15" customHeight="1">
      <c r="H3835" s="2"/>
      <c r="I3835" s="2"/>
      <c r="J3835" s="2"/>
      <c r="K3835" s="2"/>
      <c r="L3835" s="2"/>
      <c r="M3835" s="2"/>
      <c r="N3835" s="2"/>
      <c r="P3835" s="2"/>
      <c r="Q3835" s="2"/>
      <c r="R3835" s="2"/>
      <c r="AB3835" s="2"/>
    </row>
    <row r="3836" spans="8:28" ht="15" customHeight="1">
      <c r="H3836" s="2"/>
      <c r="I3836" s="2"/>
      <c r="J3836" s="2"/>
      <c r="K3836" s="2"/>
      <c r="L3836" s="2"/>
      <c r="M3836" s="2"/>
      <c r="N3836" s="2"/>
      <c r="P3836" s="2"/>
      <c r="Q3836" s="2"/>
      <c r="R3836" s="2"/>
      <c r="AB3836" s="2"/>
    </row>
    <row r="3837" spans="8:28" ht="15" customHeight="1">
      <c r="H3837" s="2"/>
      <c r="I3837" s="2"/>
      <c r="J3837" s="2"/>
      <c r="K3837" s="2"/>
      <c r="L3837" s="2"/>
      <c r="M3837" s="2"/>
      <c r="N3837" s="2"/>
      <c r="P3837" s="2"/>
      <c r="Q3837" s="2"/>
      <c r="R3837" s="2"/>
      <c r="AB3837" s="2"/>
    </row>
    <row r="3838" spans="8:28" ht="15" customHeight="1">
      <c r="H3838" s="2"/>
      <c r="I3838" s="2"/>
      <c r="J3838" s="2"/>
      <c r="K3838" s="2"/>
      <c r="L3838" s="2"/>
      <c r="M3838" s="2"/>
      <c r="N3838" s="2"/>
      <c r="P3838" s="2"/>
      <c r="Q3838" s="2"/>
      <c r="R3838" s="2"/>
      <c r="AB3838" s="2"/>
    </row>
    <row r="3839" spans="8:28" ht="15" customHeight="1">
      <c r="H3839" s="2"/>
      <c r="I3839" s="2"/>
      <c r="J3839" s="2"/>
      <c r="K3839" s="2"/>
      <c r="L3839" s="2"/>
      <c r="M3839" s="2"/>
      <c r="N3839" s="2"/>
      <c r="P3839" s="2"/>
      <c r="Q3839" s="2"/>
      <c r="R3839" s="2"/>
      <c r="AB3839" s="2"/>
    </row>
    <row r="3840" spans="8:28" ht="15" customHeight="1">
      <c r="H3840" s="2"/>
      <c r="I3840" s="2"/>
      <c r="J3840" s="2"/>
      <c r="K3840" s="2"/>
      <c r="L3840" s="2"/>
      <c r="M3840" s="2"/>
      <c r="N3840" s="2"/>
      <c r="P3840" s="2"/>
      <c r="Q3840" s="2"/>
      <c r="R3840" s="2"/>
      <c r="AB3840" s="2"/>
    </row>
    <row r="3841" spans="8:28" ht="15" customHeight="1">
      <c r="H3841" s="2"/>
      <c r="I3841" s="2"/>
      <c r="J3841" s="2"/>
      <c r="K3841" s="2"/>
      <c r="L3841" s="2"/>
      <c r="M3841" s="2"/>
      <c r="N3841" s="2"/>
      <c r="P3841" s="2"/>
      <c r="Q3841" s="2"/>
      <c r="R3841" s="2"/>
      <c r="AB3841" s="2"/>
    </row>
    <row r="3842" spans="8:28" ht="15" customHeight="1">
      <c r="H3842" s="2"/>
      <c r="I3842" s="2"/>
      <c r="J3842" s="2"/>
      <c r="K3842" s="2"/>
      <c r="L3842" s="2"/>
      <c r="M3842" s="2"/>
      <c r="N3842" s="2"/>
      <c r="P3842" s="2"/>
      <c r="Q3842" s="2"/>
      <c r="R3842" s="2"/>
      <c r="AB3842" s="2"/>
    </row>
    <row r="3843" spans="8:28" ht="15" customHeight="1">
      <c r="H3843" s="2"/>
      <c r="I3843" s="2"/>
      <c r="J3843" s="2"/>
      <c r="K3843" s="2"/>
      <c r="L3843" s="2"/>
      <c r="M3843" s="2"/>
      <c r="N3843" s="2"/>
      <c r="P3843" s="2"/>
      <c r="Q3843" s="2"/>
      <c r="R3843" s="2"/>
      <c r="AB3843" s="2"/>
    </row>
    <row r="3844" spans="8:28" ht="15" customHeight="1">
      <c r="H3844" s="2"/>
      <c r="I3844" s="2"/>
      <c r="J3844" s="2"/>
      <c r="K3844" s="2"/>
      <c r="L3844" s="2"/>
      <c r="M3844" s="2"/>
      <c r="N3844" s="2"/>
      <c r="P3844" s="2"/>
      <c r="Q3844" s="2"/>
      <c r="R3844" s="2"/>
      <c r="AB3844" s="2"/>
    </row>
    <row r="3845" spans="8:28" ht="15" customHeight="1">
      <c r="H3845" s="2"/>
      <c r="I3845" s="2"/>
      <c r="J3845" s="2"/>
      <c r="K3845" s="2"/>
      <c r="L3845" s="2"/>
      <c r="M3845" s="2"/>
      <c r="N3845" s="2"/>
      <c r="P3845" s="2"/>
      <c r="Q3845" s="2"/>
      <c r="R3845" s="2"/>
      <c r="AB3845" s="2"/>
    </row>
    <row r="3846" spans="8:28" ht="15" customHeight="1">
      <c r="H3846" s="2"/>
      <c r="I3846" s="2"/>
      <c r="J3846" s="2"/>
      <c r="K3846" s="2"/>
      <c r="L3846" s="2"/>
      <c r="M3846" s="2"/>
      <c r="N3846" s="2"/>
      <c r="P3846" s="2"/>
      <c r="Q3846" s="2"/>
      <c r="R3846" s="2"/>
      <c r="AB3846" s="2"/>
    </row>
    <row r="3847" spans="8:28" ht="15" customHeight="1">
      <c r="H3847" s="2"/>
      <c r="I3847" s="2"/>
      <c r="J3847" s="2"/>
      <c r="K3847" s="2"/>
      <c r="L3847" s="2"/>
      <c r="M3847" s="2"/>
      <c r="N3847" s="2"/>
      <c r="P3847" s="2"/>
      <c r="Q3847" s="2"/>
      <c r="R3847" s="2"/>
      <c r="AB3847" s="2"/>
    </row>
    <row r="3848" spans="8:28" ht="15" customHeight="1">
      <c r="H3848" s="2"/>
      <c r="I3848" s="2"/>
      <c r="J3848" s="2"/>
      <c r="K3848" s="2"/>
      <c r="L3848" s="2"/>
      <c r="M3848" s="2"/>
      <c r="N3848" s="2"/>
      <c r="P3848" s="2"/>
      <c r="Q3848" s="2"/>
      <c r="R3848" s="2"/>
      <c r="AB3848" s="2"/>
    </row>
    <row r="3849" spans="8:28" ht="15" customHeight="1">
      <c r="H3849" s="2"/>
      <c r="I3849" s="2"/>
      <c r="J3849" s="2"/>
      <c r="K3849" s="2"/>
      <c r="L3849" s="2"/>
      <c r="M3849" s="2"/>
      <c r="N3849" s="2"/>
      <c r="P3849" s="2"/>
      <c r="Q3849" s="2"/>
      <c r="R3849" s="2"/>
      <c r="AB3849" s="2"/>
    </row>
    <row r="3850" spans="8:28" ht="15" customHeight="1">
      <c r="H3850" s="2"/>
      <c r="I3850" s="2"/>
      <c r="J3850" s="2"/>
      <c r="K3850" s="2"/>
      <c r="L3850" s="2"/>
      <c r="M3850" s="2"/>
      <c r="N3850" s="2"/>
      <c r="P3850" s="2"/>
      <c r="Q3850" s="2"/>
      <c r="R3850" s="2"/>
      <c r="AB3850" s="2"/>
    </row>
    <row r="3851" spans="8:28" ht="15" customHeight="1">
      <c r="H3851" s="2"/>
      <c r="I3851" s="2"/>
      <c r="J3851" s="2"/>
      <c r="K3851" s="2"/>
      <c r="L3851" s="2"/>
      <c r="M3851" s="2"/>
      <c r="N3851" s="2"/>
      <c r="P3851" s="2"/>
      <c r="Q3851" s="2"/>
      <c r="R3851" s="2"/>
      <c r="AB3851" s="2"/>
    </row>
    <row r="3852" spans="8:28" ht="15" customHeight="1">
      <c r="H3852" s="2"/>
      <c r="I3852" s="2"/>
      <c r="J3852" s="2"/>
      <c r="K3852" s="2"/>
      <c r="L3852" s="2"/>
      <c r="M3852" s="2"/>
      <c r="N3852" s="2"/>
      <c r="P3852" s="2"/>
      <c r="Q3852" s="2"/>
      <c r="R3852" s="2"/>
      <c r="AB3852" s="2"/>
    </row>
    <row r="3853" spans="8:28" ht="15" customHeight="1">
      <c r="H3853" s="2"/>
      <c r="I3853" s="2"/>
      <c r="J3853" s="2"/>
      <c r="K3853" s="2"/>
      <c r="L3853" s="2"/>
      <c r="M3853" s="2"/>
      <c r="N3853" s="2"/>
      <c r="P3853" s="2"/>
      <c r="Q3853" s="2"/>
      <c r="R3853" s="2"/>
      <c r="AB3853" s="2"/>
    </row>
    <row r="3854" spans="8:28" ht="15" customHeight="1">
      <c r="H3854" s="2"/>
      <c r="I3854" s="2"/>
      <c r="J3854" s="2"/>
      <c r="K3854" s="2"/>
      <c r="L3854" s="2"/>
      <c r="M3854" s="2"/>
      <c r="N3854" s="2"/>
      <c r="P3854" s="2"/>
      <c r="Q3854" s="2"/>
      <c r="R3854" s="2"/>
      <c r="AB3854" s="2"/>
    </row>
    <row r="3855" spans="8:28" ht="15" customHeight="1">
      <c r="H3855" s="2"/>
      <c r="I3855" s="2"/>
      <c r="J3855" s="2"/>
      <c r="K3855" s="2"/>
      <c r="L3855" s="2"/>
      <c r="M3855" s="2"/>
      <c r="N3855" s="2"/>
      <c r="P3855" s="2"/>
      <c r="Q3855" s="2"/>
      <c r="R3855" s="2"/>
      <c r="AB3855" s="2"/>
    </row>
    <row r="3856" spans="8:28" ht="15" customHeight="1">
      <c r="H3856" s="2"/>
      <c r="I3856" s="2"/>
      <c r="J3856" s="2"/>
      <c r="K3856" s="2"/>
      <c r="L3856" s="2"/>
      <c r="M3856" s="2"/>
      <c r="N3856" s="2"/>
      <c r="P3856" s="2"/>
      <c r="Q3856" s="2"/>
      <c r="R3856" s="2"/>
      <c r="AB3856" s="2"/>
    </row>
    <row r="3857" spans="8:28" ht="15" customHeight="1">
      <c r="H3857" s="2"/>
      <c r="I3857" s="2"/>
      <c r="J3857" s="2"/>
      <c r="K3857" s="2"/>
      <c r="L3857" s="2"/>
      <c r="M3857" s="2"/>
      <c r="N3857" s="2"/>
      <c r="P3857" s="2"/>
      <c r="Q3857" s="2"/>
      <c r="R3857" s="2"/>
      <c r="AB3857" s="2"/>
    </row>
    <row r="3858" spans="8:28" ht="15" customHeight="1">
      <c r="H3858" s="2"/>
      <c r="I3858" s="2"/>
      <c r="J3858" s="2"/>
      <c r="K3858" s="2"/>
      <c r="L3858" s="2"/>
      <c r="M3858" s="2"/>
      <c r="N3858" s="2"/>
      <c r="P3858" s="2"/>
      <c r="Q3858" s="2"/>
      <c r="R3858" s="2"/>
      <c r="AB3858" s="2"/>
    </row>
    <row r="3859" spans="8:28" ht="15" customHeight="1">
      <c r="H3859" s="2"/>
      <c r="I3859" s="2"/>
      <c r="J3859" s="2"/>
      <c r="K3859" s="2"/>
      <c r="L3859" s="2"/>
      <c r="M3859" s="2"/>
      <c r="N3859" s="2"/>
      <c r="P3859" s="2"/>
      <c r="Q3859" s="2"/>
      <c r="R3859" s="2"/>
      <c r="AB3859" s="2"/>
    </row>
    <row r="3860" spans="8:28" ht="15" customHeight="1">
      <c r="H3860" s="2"/>
      <c r="I3860" s="2"/>
      <c r="J3860" s="2"/>
      <c r="K3860" s="2"/>
      <c r="L3860" s="2"/>
      <c r="M3860" s="2"/>
      <c r="N3860" s="2"/>
      <c r="P3860" s="2"/>
      <c r="Q3860" s="2"/>
      <c r="R3860" s="2"/>
      <c r="AB3860" s="2"/>
    </row>
    <row r="3861" spans="8:28" ht="15" customHeight="1">
      <c r="H3861" s="2"/>
      <c r="I3861" s="2"/>
      <c r="J3861" s="2"/>
      <c r="K3861" s="2"/>
      <c r="L3861" s="2"/>
      <c r="M3861" s="2"/>
      <c r="N3861" s="2"/>
      <c r="P3861" s="2"/>
      <c r="Q3861" s="2"/>
      <c r="R3861" s="2"/>
      <c r="AB3861" s="2"/>
    </row>
    <row r="3862" spans="8:28" ht="15" customHeight="1">
      <c r="H3862" s="2"/>
      <c r="I3862" s="2"/>
      <c r="J3862" s="2"/>
      <c r="K3862" s="2"/>
      <c r="L3862" s="2"/>
      <c r="M3862" s="2"/>
      <c r="N3862" s="2"/>
      <c r="P3862" s="2"/>
      <c r="Q3862" s="2"/>
      <c r="R3862" s="2"/>
      <c r="AB3862" s="2"/>
    </row>
    <row r="3863" spans="8:28" ht="15" customHeight="1">
      <c r="H3863" s="2"/>
      <c r="I3863" s="2"/>
      <c r="J3863" s="2"/>
      <c r="K3863" s="2"/>
      <c r="L3863" s="2"/>
      <c r="M3863" s="2"/>
      <c r="N3863" s="2"/>
      <c r="P3863" s="2"/>
      <c r="Q3863" s="2"/>
      <c r="R3863" s="2"/>
      <c r="AB3863" s="2"/>
    </row>
    <row r="3864" spans="8:28" ht="15" customHeight="1">
      <c r="H3864" s="2"/>
      <c r="I3864" s="2"/>
      <c r="J3864" s="2"/>
      <c r="K3864" s="2"/>
      <c r="L3864" s="2"/>
      <c r="M3864" s="2"/>
      <c r="N3864" s="2"/>
      <c r="P3864" s="2"/>
      <c r="Q3864" s="2"/>
      <c r="R3864" s="2"/>
      <c r="AB3864" s="2"/>
    </row>
    <row r="3865" spans="8:28" ht="15" customHeight="1">
      <c r="H3865" s="2"/>
      <c r="I3865" s="2"/>
      <c r="J3865" s="2"/>
      <c r="K3865" s="2"/>
      <c r="L3865" s="2"/>
      <c r="M3865" s="2"/>
      <c r="N3865" s="2"/>
      <c r="P3865" s="2"/>
      <c r="Q3865" s="2"/>
      <c r="R3865" s="2"/>
      <c r="AB3865" s="2"/>
    </row>
    <row r="3866" spans="8:28" ht="15" customHeight="1">
      <c r="H3866" s="2"/>
      <c r="I3866" s="2"/>
      <c r="J3866" s="2"/>
      <c r="K3866" s="2"/>
      <c r="L3866" s="2"/>
      <c r="M3866" s="2"/>
      <c r="N3866" s="2"/>
      <c r="P3866" s="2"/>
      <c r="Q3866" s="2"/>
      <c r="R3866" s="2"/>
      <c r="AB3866" s="2"/>
    </row>
    <row r="3867" spans="8:28" ht="15" customHeight="1">
      <c r="H3867" s="2"/>
      <c r="I3867" s="2"/>
      <c r="J3867" s="2"/>
      <c r="K3867" s="2"/>
      <c r="L3867" s="2"/>
      <c r="M3867" s="2"/>
      <c r="N3867" s="2"/>
      <c r="P3867" s="2"/>
      <c r="Q3867" s="2"/>
      <c r="R3867" s="2"/>
      <c r="AB3867" s="2"/>
    </row>
    <row r="3868" spans="8:28" ht="15" customHeight="1">
      <c r="H3868" s="2"/>
      <c r="I3868" s="2"/>
      <c r="J3868" s="2"/>
      <c r="K3868" s="2"/>
      <c r="L3868" s="2"/>
      <c r="M3868" s="2"/>
      <c r="N3868" s="2"/>
      <c r="P3868" s="2"/>
      <c r="Q3868" s="2"/>
      <c r="R3868" s="2"/>
      <c r="AB3868" s="2"/>
    </row>
    <row r="3869" spans="8:28" ht="15" customHeight="1">
      <c r="H3869" s="2"/>
      <c r="I3869" s="2"/>
      <c r="J3869" s="2"/>
      <c r="K3869" s="2"/>
      <c r="L3869" s="2"/>
      <c r="M3869" s="2"/>
      <c r="N3869" s="2"/>
      <c r="P3869" s="2"/>
      <c r="Q3869" s="2"/>
      <c r="R3869" s="2"/>
      <c r="AB3869" s="2"/>
    </row>
    <row r="3870" spans="8:28" ht="15" customHeight="1">
      <c r="H3870" s="2"/>
      <c r="I3870" s="2"/>
      <c r="J3870" s="2"/>
      <c r="K3870" s="2"/>
      <c r="L3870" s="2"/>
      <c r="M3870" s="2"/>
      <c r="N3870" s="2"/>
      <c r="P3870" s="2"/>
      <c r="Q3870" s="2"/>
      <c r="R3870" s="2"/>
      <c r="AB3870" s="2"/>
    </row>
    <row r="3871" spans="8:28" ht="15" customHeight="1">
      <c r="H3871" s="2"/>
      <c r="I3871" s="2"/>
      <c r="J3871" s="2"/>
      <c r="K3871" s="2"/>
      <c r="L3871" s="2"/>
      <c r="M3871" s="2"/>
      <c r="N3871" s="2"/>
      <c r="P3871" s="2"/>
      <c r="Q3871" s="2"/>
      <c r="R3871" s="2"/>
      <c r="AB3871" s="2"/>
    </row>
    <row r="3872" spans="8:28" ht="15" customHeight="1">
      <c r="H3872" s="2"/>
      <c r="I3872" s="2"/>
      <c r="J3872" s="2"/>
      <c r="K3872" s="2"/>
      <c r="L3872" s="2"/>
      <c r="M3872" s="2"/>
      <c r="N3872" s="2"/>
      <c r="P3872" s="2"/>
      <c r="Q3872" s="2"/>
      <c r="R3872" s="2"/>
      <c r="AB3872" s="2"/>
    </row>
    <row r="3873" spans="8:28" ht="15" customHeight="1">
      <c r="H3873" s="2"/>
      <c r="I3873" s="2"/>
      <c r="J3873" s="2"/>
      <c r="K3873" s="2"/>
      <c r="L3873" s="2"/>
      <c r="M3873" s="2"/>
      <c r="N3873" s="2"/>
      <c r="P3873" s="2"/>
      <c r="Q3873" s="2"/>
      <c r="R3873" s="2"/>
      <c r="AB3873" s="2"/>
    </row>
    <row r="3874" spans="8:28" ht="15" customHeight="1">
      <c r="H3874" s="2"/>
      <c r="I3874" s="2"/>
      <c r="J3874" s="2"/>
      <c r="K3874" s="2"/>
      <c r="L3874" s="2"/>
      <c r="M3874" s="2"/>
      <c r="N3874" s="2"/>
      <c r="P3874" s="2"/>
      <c r="Q3874" s="2"/>
      <c r="R3874" s="2"/>
      <c r="AB3874" s="2"/>
    </row>
    <row r="3875" spans="8:28" ht="15" customHeight="1">
      <c r="H3875" s="2"/>
      <c r="I3875" s="2"/>
      <c r="J3875" s="2"/>
      <c r="K3875" s="2"/>
      <c r="L3875" s="2"/>
      <c r="M3875" s="2"/>
      <c r="N3875" s="2"/>
      <c r="P3875" s="2"/>
      <c r="Q3875" s="2"/>
      <c r="R3875" s="2"/>
      <c r="AB3875" s="2"/>
    </row>
    <row r="3876" spans="8:28" ht="15" customHeight="1">
      <c r="H3876" s="2"/>
      <c r="I3876" s="2"/>
      <c r="J3876" s="2"/>
      <c r="K3876" s="2"/>
      <c r="L3876" s="2"/>
      <c r="M3876" s="2"/>
      <c r="N3876" s="2"/>
      <c r="P3876" s="2"/>
      <c r="Q3876" s="2"/>
      <c r="R3876" s="2"/>
      <c r="AB3876" s="2"/>
    </row>
    <row r="3877" spans="8:28" ht="15" customHeight="1">
      <c r="H3877" s="2"/>
      <c r="I3877" s="2"/>
      <c r="J3877" s="2"/>
      <c r="K3877" s="2"/>
      <c r="L3877" s="2"/>
      <c r="M3877" s="2"/>
      <c r="N3877" s="2"/>
      <c r="P3877" s="2"/>
      <c r="Q3877" s="2"/>
      <c r="R3877" s="2"/>
      <c r="AB3877" s="2"/>
    </row>
    <row r="3878" spans="8:28" ht="15" customHeight="1">
      <c r="H3878" s="2"/>
      <c r="I3878" s="2"/>
      <c r="J3878" s="2"/>
      <c r="K3878" s="2"/>
      <c r="L3878" s="2"/>
      <c r="M3878" s="2"/>
      <c r="N3878" s="2"/>
      <c r="P3878" s="2"/>
      <c r="Q3878" s="2"/>
      <c r="R3878" s="2"/>
      <c r="AB3878" s="2"/>
    </row>
    <row r="3879" spans="8:28" ht="15" customHeight="1">
      <c r="H3879" s="2"/>
      <c r="I3879" s="2"/>
      <c r="J3879" s="2"/>
      <c r="K3879" s="2"/>
      <c r="L3879" s="2"/>
      <c r="M3879" s="2"/>
      <c r="N3879" s="2"/>
      <c r="P3879" s="2"/>
      <c r="Q3879" s="2"/>
      <c r="R3879" s="2"/>
      <c r="AB3879" s="2"/>
    </row>
    <row r="3880" spans="8:28" ht="15" customHeight="1">
      <c r="H3880" s="2"/>
      <c r="I3880" s="2"/>
      <c r="J3880" s="2"/>
      <c r="K3880" s="2"/>
      <c r="L3880" s="2"/>
      <c r="M3880" s="2"/>
      <c r="N3880" s="2"/>
      <c r="P3880" s="2"/>
      <c r="Q3880" s="2"/>
      <c r="R3880" s="2"/>
      <c r="AB3880" s="2"/>
    </row>
    <row r="3881" spans="8:28" ht="15" customHeight="1">
      <c r="H3881" s="2"/>
      <c r="I3881" s="2"/>
      <c r="J3881" s="2"/>
      <c r="K3881" s="2"/>
      <c r="L3881" s="2"/>
      <c r="M3881" s="2"/>
      <c r="N3881" s="2"/>
      <c r="P3881" s="2"/>
      <c r="Q3881" s="2"/>
      <c r="R3881" s="2"/>
      <c r="AB3881" s="2"/>
    </row>
    <row r="3882" spans="8:28" ht="15" customHeight="1">
      <c r="H3882" s="2"/>
      <c r="I3882" s="2"/>
      <c r="J3882" s="2"/>
      <c r="K3882" s="2"/>
      <c r="L3882" s="2"/>
      <c r="M3882" s="2"/>
      <c r="N3882" s="2"/>
      <c r="P3882" s="2"/>
      <c r="Q3882" s="2"/>
      <c r="R3882" s="2"/>
      <c r="AB3882" s="2"/>
    </row>
    <row r="3883" spans="8:28" ht="15" customHeight="1">
      <c r="H3883" s="2"/>
      <c r="I3883" s="2"/>
      <c r="J3883" s="2"/>
      <c r="K3883" s="2"/>
      <c r="L3883" s="2"/>
      <c r="M3883" s="2"/>
      <c r="N3883" s="2"/>
      <c r="P3883" s="2"/>
      <c r="Q3883" s="2"/>
      <c r="R3883" s="2"/>
      <c r="AB3883" s="2"/>
    </row>
    <row r="3884" spans="8:28" ht="15" customHeight="1">
      <c r="H3884" s="2"/>
      <c r="I3884" s="2"/>
      <c r="J3884" s="2"/>
      <c r="K3884" s="2"/>
      <c r="L3884" s="2"/>
      <c r="M3884" s="2"/>
      <c r="N3884" s="2"/>
      <c r="P3884" s="2"/>
      <c r="Q3884" s="2"/>
      <c r="R3884" s="2"/>
      <c r="AB3884" s="2"/>
    </row>
    <row r="3885" spans="8:28" ht="15" customHeight="1">
      <c r="H3885" s="2"/>
      <c r="I3885" s="2"/>
      <c r="J3885" s="2"/>
      <c r="K3885" s="2"/>
      <c r="L3885" s="2"/>
      <c r="M3885" s="2"/>
      <c r="N3885" s="2"/>
      <c r="P3885" s="2"/>
      <c r="Q3885" s="2"/>
      <c r="R3885" s="2"/>
      <c r="AB3885" s="2"/>
    </row>
    <row r="3886" spans="8:28" ht="15" customHeight="1">
      <c r="H3886" s="2"/>
      <c r="I3886" s="2"/>
      <c r="J3886" s="2"/>
      <c r="K3886" s="2"/>
      <c r="L3886" s="2"/>
      <c r="M3886" s="2"/>
      <c r="N3886" s="2"/>
      <c r="P3886" s="2"/>
      <c r="Q3886" s="2"/>
      <c r="R3886" s="2"/>
      <c r="AB3886" s="2"/>
    </row>
    <row r="3887" spans="8:28" ht="15" customHeight="1">
      <c r="H3887" s="2"/>
      <c r="I3887" s="2"/>
      <c r="J3887" s="2"/>
      <c r="K3887" s="2"/>
      <c r="L3887" s="2"/>
      <c r="M3887" s="2"/>
      <c r="N3887" s="2"/>
      <c r="P3887" s="2"/>
      <c r="Q3887" s="2"/>
      <c r="R3887" s="2"/>
      <c r="AB3887" s="2"/>
    </row>
    <row r="3888" spans="8:28" ht="15" customHeight="1">
      <c r="H3888" s="2"/>
      <c r="I3888" s="2"/>
      <c r="J3888" s="2"/>
      <c r="K3888" s="2"/>
      <c r="L3888" s="2"/>
      <c r="M3888" s="2"/>
      <c r="N3888" s="2"/>
      <c r="P3888" s="2"/>
      <c r="Q3888" s="2"/>
      <c r="R3888" s="2"/>
      <c r="AB3888" s="2"/>
    </row>
    <row r="3889" spans="8:28" ht="15" customHeight="1">
      <c r="H3889" s="2"/>
      <c r="I3889" s="2"/>
      <c r="J3889" s="2"/>
      <c r="K3889" s="2"/>
      <c r="L3889" s="2"/>
      <c r="M3889" s="2"/>
      <c r="N3889" s="2"/>
      <c r="P3889" s="2"/>
      <c r="Q3889" s="2"/>
      <c r="R3889" s="2"/>
      <c r="AB3889" s="2"/>
    </row>
    <row r="3890" spans="8:28" ht="15" customHeight="1">
      <c r="H3890" s="2"/>
      <c r="I3890" s="2"/>
      <c r="J3890" s="2"/>
      <c r="K3890" s="2"/>
      <c r="L3890" s="2"/>
      <c r="M3890" s="2"/>
      <c r="N3890" s="2"/>
      <c r="P3890" s="2"/>
      <c r="Q3890" s="2"/>
      <c r="R3890" s="2"/>
      <c r="AB3890" s="2"/>
    </row>
    <row r="3891" spans="8:28" ht="15" customHeight="1">
      <c r="H3891" s="2"/>
      <c r="I3891" s="2"/>
      <c r="J3891" s="2"/>
      <c r="K3891" s="2"/>
      <c r="L3891" s="2"/>
      <c r="M3891" s="2"/>
      <c r="N3891" s="2"/>
      <c r="P3891" s="2"/>
      <c r="Q3891" s="2"/>
      <c r="R3891" s="2"/>
      <c r="AB3891" s="2"/>
    </row>
    <row r="3892" spans="8:28" ht="15" customHeight="1">
      <c r="H3892" s="2"/>
      <c r="I3892" s="2"/>
      <c r="J3892" s="2"/>
      <c r="K3892" s="2"/>
      <c r="L3892" s="2"/>
      <c r="M3892" s="2"/>
      <c r="N3892" s="2"/>
      <c r="P3892" s="2"/>
      <c r="Q3892" s="2"/>
      <c r="R3892" s="2"/>
      <c r="AB3892" s="2"/>
    </row>
    <row r="3893" spans="8:28" ht="15" customHeight="1">
      <c r="H3893" s="2"/>
      <c r="I3893" s="2"/>
      <c r="J3893" s="2"/>
      <c r="K3893" s="2"/>
      <c r="L3893" s="2"/>
      <c r="M3893" s="2"/>
      <c r="N3893" s="2"/>
      <c r="P3893" s="2"/>
      <c r="Q3893" s="2"/>
      <c r="R3893" s="2"/>
      <c r="AB3893" s="2"/>
    </row>
    <row r="3894" spans="8:28" ht="15" customHeight="1">
      <c r="H3894" s="2"/>
      <c r="I3894" s="2"/>
      <c r="J3894" s="2"/>
      <c r="K3894" s="2"/>
      <c r="L3894" s="2"/>
      <c r="M3894" s="2"/>
      <c r="N3894" s="2"/>
      <c r="P3894" s="2"/>
      <c r="Q3894" s="2"/>
      <c r="R3894" s="2"/>
      <c r="AB3894" s="2"/>
    </row>
    <row r="3895" spans="8:28" ht="15" customHeight="1">
      <c r="H3895" s="2"/>
      <c r="I3895" s="2"/>
      <c r="J3895" s="2"/>
      <c r="K3895" s="2"/>
      <c r="L3895" s="2"/>
      <c r="M3895" s="2"/>
      <c r="N3895" s="2"/>
      <c r="P3895" s="2"/>
      <c r="Q3895" s="2"/>
      <c r="R3895" s="2"/>
      <c r="AB3895" s="2"/>
    </row>
    <row r="3896" spans="8:28" ht="15" customHeight="1">
      <c r="H3896" s="2"/>
      <c r="I3896" s="2"/>
      <c r="J3896" s="2"/>
      <c r="K3896" s="2"/>
      <c r="L3896" s="2"/>
      <c r="M3896" s="2"/>
      <c r="N3896" s="2"/>
      <c r="P3896" s="2"/>
      <c r="Q3896" s="2"/>
      <c r="R3896" s="2"/>
      <c r="AB3896" s="2"/>
    </row>
    <row r="3897" spans="8:28" ht="15" customHeight="1">
      <c r="H3897" s="2"/>
      <c r="I3897" s="2"/>
      <c r="J3897" s="2"/>
      <c r="K3897" s="2"/>
      <c r="L3897" s="2"/>
      <c r="M3897" s="2"/>
      <c r="N3897" s="2"/>
      <c r="P3897" s="2"/>
      <c r="Q3897" s="2"/>
      <c r="R3897" s="2"/>
      <c r="AB3897" s="2"/>
    </row>
    <row r="3898" spans="8:28" ht="15" customHeight="1">
      <c r="H3898" s="2"/>
      <c r="I3898" s="2"/>
      <c r="J3898" s="2"/>
      <c r="K3898" s="2"/>
      <c r="L3898" s="2"/>
      <c r="M3898" s="2"/>
      <c r="N3898" s="2"/>
      <c r="P3898" s="2"/>
      <c r="Q3898" s="2"/>
      <c r="R3898" s="2"/>
      <c r="AB3898" s="2"/>
    </row>
    <row r="3899" spans="8:28" ht="15" customHeight="1">
      <c r="H3899" s="2"/>
      <c r="I3899" s="2"/>
      <c r="J3899" s="2"/>
      <c r="K3899" s="2"/>
      <c r="L3899" s="2"/>
      <c r="M3899" s="2"/>
      <c r="N3899" s="2"/>
      <c r="P3899" s="2"/>
      <c r="Q3899" s="2"/>
      <c r="R3899" s="2"/>
      <c r="AB3899" s="2"/>
    </row>
    <row r="3900" spans="8:28" ht="15" customHeight="1">
      <c r="H3900" s="2"/>
      <c r="I3900" s="2"/>
      <c r="J3900" s="2"/>
      <c r="K3900" s="2"/>
      <c r="L3900" s="2"/>
      <c r="M3900" s="2"/>
      <c r="N3900" s="2"/>
      <c r="P3900" s="2"/>
      <c r="Q3900" s="2"/>
      <c r="R3900" s="2"/>
      <c r="AB3900" s="2"/>
    </row>
    <row r="3901" spans="8:28" ht="15" customHeight="1">
      <c r="H3901" s="2"/>
      <c r="I3901" s="2"/>
      <c r="J3901" s="2"/>
      <c r="K3901" s="2"/>
      <c r="L3901" s="2"/>
      <c r="M3901" s="2"/>
      <c r="N3901" s="2"/>
      <c r="P3901" s="2"/>
      <c r="Q3901" s="2"/>
      <c r="R3901" s="2"/>
      <c r="AB3901" s="2"/>
    </row>
    <row r="3902" spans="8:28" ht="15" customHeight="1">
      <c r="H3902" s="2"/>
      <c r="I3902" s="2"/>
      <c r="J3902" s="2"/>
      <c r="K3902" s="2"/>
      <c r="L3902" s="2"/>
      <c r="M3902" s="2"/>
      <c r="N3902" s="2"/>
      <c r="P3902" s="2"/>
      <c r="Q3902" s="2"/>
      <c r="R3902" s="2"/>
      <c r="AB3902" s="2"/>
    </row>
    <row r="3903" spans="8:28" ht="15" customHeight="1">
      <c r="H3903" s="2"/>
      <c r="I3903" s="2"/>
      <c r="J3903" s="2"/>
      <c r="K3903" s="2"/>
      <c r="L3903" s="2"/>
      <c r="M3903" s="2"/>
      <c r="N3903" s="2"/>
      <c r="P3903" s="2"/>
      <c r="Q3903" s="2"/>
      <c r="R3903" s="2"/>
      <c r="AB3903" s="2"/>
    </row>
    <row r="3904" spans="8:28" ht="15" customHeight="1">
      <c r="H3904" s="2"/>
      <c r="I3904" s="2"/>
      <c r="J3904" s="2"/>
      <c r="K3904" s="2"/>
      <c r="L3904" s="2"/>
      <c r="M3904" s="2"/>
      <c r="N3904" s="2"/>
      <c r="P3904" s="2"/>
      <c r="Q3904" s="2"/>
      <c r="R3904" s="2"/>
      <c r="AB3904" s="2"/>
    </row>
    <row r="3905" spans="8:28" ht="15" customHeight="1">
      <c r="H3905" s="2"/>
      <c r="I3905" s="2"/>
      <c r="J3905" s="2"/>
      <c r="K3905" s="2"/>
      <c r="L3905" s="2"/>
      <c r="M3905" s="2"/>
      <c r="N3905" s="2"/>
      <c r="P3905" s="2"/>
      <c r="Q3905" s="2"/>
      <c r="R3905" s="2"/>
      <c r="AB3905" s="2"/>
    </row>
    <row r="3906" spans="8:28" ht="15" customHeight="1">
      <c r="H3906" s="2"/>
      <c r="I3906" s="2"/>
      <c r="J3906" s="2"/>
      <c r="K3906" s="2"/>
      <c r="L3906" s="2"/>
      <c r="M3906" s="2"/>
      <c r="N3906" s="2"/>
      <c r="P3906" s="2"/>
      <c r="Q3906" s="2"/>
      <c r="R3906" s="2"/>
      <c r="AB3906" s="2"/>
    </row>
    <row r="3907" spans="8:28" ht="15" customHeight="1">
      <c r="H3907" s="2"/>
      <c r="I3907" s="2"/>
      <c r="J3907" s="2"/>
      <c r="K3907" s="2"/>
      <c r="L3907" s="2"/>
      <c r="M3907" s="2"/>
      <c r="N3907" s="2"/>
      <c r="P3907" s="2"/>
      <c r="Q3907" s="2"/>
      <c r="R3907" s="2"/>
      <c r="AB3907" s="2"/>
    </row>
    <row r="3908" spans="8:28" ht="15" customHeight="1">
      <c r="H3908" s="2"/>
      <c r="I3908" s="2"/>
      <c r="J3908" s="2"/>
      <c r="K3908" s="2"/>
      <c r="L3908" s="2"/>
      <c r="M3908" s="2"/>
      <c r="N3908" s="2"/>
      <c r="P3908" s="2"/>
      <c r="Q3908" s="2"/>
      <c r="R3908" s="2"/>
      <c r="AB3908" s="2"/>
    </row>
    <row r="3909" spans="8:28" ht="15" customHeight="1">
      <c r="H3909" s="2"/>
      <c r="I3909" s="2"/>
      <c r="J3909" s="2"/>
      <c r="K3909" s="2"/>
      <c r="L3909" s="2"/>
      <c r="M3909" s="2"/>
      <c r="N3909" s="2"/>
      <c r="P3909" s="2"/>
      <c r="Q3909" s="2"/>
      <c r="R3909" s="2"/>
      <c r="AB3909" s="2"/>
    </row>
    <row r="3910" spans="8:28" ht="15" customHeight="1">
      <c r="H3910" s="2"/>
      <c r="I3910" s="2"/>
      <c r="J3910" s="2"/>
      <c r="K3910" s="2"/>
      <c r="L3910" s="2"/>
      <c r="M3910" s="2"/>
      <c r="N3910" s="2"/>
      <c r="P3910" s="2"/>
      <c r="Q3910" s="2"/>
      <c r="R3910" s="2"/>
      <c r="AB3910" s="2"/>
    </row>
    <row r="3911" spans="8:28" ht="15" customHeight="1">
      <c r="H3911" s="2"/>
      <c r="I3911" s="2"/>
      <c r="J3911" s="2"/>
      <c r="K3911" s="2"/>
      <c r="L3911" s="2"/>
      <c r="M3911" s="2"/>
      <c r="N3911" s="2"/>
      <c r="P3911" s="2"/>
      <c r="Q3911" s="2"/>
      <c r="R3911" s="2"/>
      <c r="AB3911" s="2"/>
    </row>
    <row r="3912" spans="8:28" ht="15" customHeight="1">
      <c r="H3912" s="2"/>
      <c r="I3912" s="2"/>
      <c r="J3912" s="2"/>
      <c r="K3912" s="2"/>
      <c r="L3912" s="2"/>
      <c r="M3912" s="2"/>
      <c r="N3912" s="2"/>
      <c r="P3912" s="2"/>
      <c r="Q3912" s="2"/>
      <c r="R3912" s="2"/>
      <c r="AB3912" s="2"/>
    </row>
    <row r="3913" spans="8:28" ht="15" customHeight="1">
      <c r="H3913" s="2"/>
      <c r="I3913" s="2"/>
      <c r="J3913" s="2"/>
      <c r="K3913" s="2"/>
      <c r="L3913" s="2"/>
      <c r="M3913" s="2"/>
      <c r="N3913" s="2"/>
      <c r="P3913" s="2"/>
      <c r="Q3913" s="2"/>
      <c r="R3913" s="2"/>
      <c r="AB3913" s="2"/>
    </row>
    <row r="3914" spans="8:28" ht="15" customHeight="1">
      <c r="H3914" s="2"/>
      <c r="I3914" s="2"/>
      <c r="J3914" s="2"/>
      <c r="K3914" s="2"/>
      <c r="L3914" s="2"/>
      <c r="M3914" s="2"/>
      <c r="N3914" s="2"/>
      <c r="P3914" s="2"/>
      <c r="Q3914" s="2"/>
      <c r="R3914" s="2"/>
      <c r="AB3914" s="2"/>
    </row>
    <row r="3915" spans="8:28" ht="15" customHeight="1">
      <c r="H3915" s="2"/>
      <c r="I3915" s="2"/>
      <c r="J3915" s="2"/>
      <c r="K3915" s="2"/>
      <c r="L3915" s="2"/>
      <c r="M3915" s="2"/>
      <c r="N3915" s="2"/>
      <c r="P3915" s="2"/>
      <c r="Q3915" s="2"/>
      <c r="R3915" s="2"/>
      <c r="AB3915" s="2"/>
    </row>
    <row r="3916" spans="8:28" ht="15" customHeight="1">
      <c r="H3916" s="2"/>
      <c r="I3916" s="2"/>
      <c r="J3916" s="2"/>
      <c r="K3916" s="2"/>
      <c r="L3916" s="2"/>
      <c r="M3916" s="2"/>
      <c r="N3916" s="2"/>
      <c r="P3916" s="2"/>
      <c r="Q3916" s="2"/>
      <c r="R3916" s="2"/>
      <c r="AB3916" s="2"/>
    </row>
    <row r="3917" spans="8:28" ht="15" customHeight="1">
      <c r="H3917" s="2"/>
      <c r="I3917" s="2"/>
      <c r="J3917" s="2"/>
      <c r="K3917" s="2"/>
      <c r="L3917" s="2"/>
      <c r="M3917" s="2"/>
      <c r="N3917" s="2"/>
      <c r="P3917" s="2"/>
      <c r="Q3917" s="2"/>
      <c r="R3917" s="2"/>
      <c r="AB3917" s="2"/>
    </row>
    <row r="3918" spans="8:28" ht="15" customHeight="1">
      <c r="H3918" s="2"/>
      <c r="I3918" s="2"/>
      <c r="J3918" s="2"/>
      <c r="K3918" s="2"/>
      <c r="L3918" s="2"/>
      <c r="M3918" s="2"/>
      <c r="N3918" s="2"/>
      <c r="P3918" s="2"/>
      <c r="Q3918" s="2"/>
      <c r="R3918" s="2"/>
      <c r="AB3918" s="2"/>
    </row>
    <row r="3919" spans="8:28" ht="15" customHeight="1">
      <c r="H3919" s="2"/>
      <c r="I3919" s="2"/>
      <c r="J3919" s="2"/>
      <c r="K3919" s="2"/>
      <c r="L3919" s="2"/>
      <c r="M3919" s="2"/>
      <c r="N3919" s="2"/>
      <c r="P3919" s="2"/>
      <c r="Q3919" s="2"/>
      <c r="R3919" s="2"/>
      <c r="AB3919" s="2"/>
    </row>
    <row r="3920" spans="8:28" ht="15" customHeight="1">
      <c r="H3920" s="2"/>
      <c r="I3920" s="2"/>
      <c r="J3920" s="2"/>
      <c r="K3920" s="2"/>
      <c r="L3920" s="2"/>
      <c r="M3920" s="2"/>
      <c r="N3920" s="2"/>
      <c r="P3920" s="2"/>
      <c r="Q3920" s="2"/>
      <c r="R3920" s="2"/>
      <c r="AB3920" s="2"/>
    </row>
    <row r="3921" spans="8:28" ht="15" customHeight="1">
      <c r="H3921" s="2"/>
      <c r="I3921" s="2"/>
      <c r="J3921" s="2"/>
      <c r="K3921" s="2"/>
      <c r="L3921" s="2"/>
      <c r="M3921" s="2"/>
      <c r="N3921" s="2"/>
      <c r="P3921" s="2"/>
      <c r="Q3921" s="2"/>
      <c r="R3921" s="2"/>
      <c r="AB3921" s="2"/>
    </row>
    <row r="3922" spans="8:28" ht="15" customHeight="1">
      <c r="H3922" s="2"/>
      <c r="I3922" s="2"/>
      <c r="J3922" s="2"/>
      <c r="K3922" s="2"/>
      <c r="L3922" s="2"/>
      <c r="M3922" s="2"/>
      <c r="N3922" s="2"/>
      <c r="P3922" s="2"/>
      <c r="Q3922" s="2"/>
      <c r="R3922" s="2"/>
      <c r="AB3922" s="2"/>
    </row>
    <row r="3923" spans="8:28" ht="15" customHeight="1">
      <c r="H3923" s="2"/>
      <c r="I3923" s="2"/>
      <c r="J3923" s="2"/>
      <c r="K3923" s="2"/>
      <c r="L3923" s="2"/>
      <c r="M3923" s="2"/>
      <c r="N3923" s="2"/>
      <c r="P3923" s="2"/>
      <c r="Q3923" s="2"/>
      <c r="R3923" s="2"/>
      <c r="AB3923" s="2"/>
    </row>
    <row r="3924" spans="8:28" ht="15" customHeight="1">
      <c r="H3924" s="2"/>
      <c r="I3924" s="2"/>
      <c r="J3924" s="2"/>
      <c r="K3924" s="2"/>
      <c r="L3924" s="2"/>
      <c r="M3924" s="2"/>
      <c r="N3924" s="2"/>
      <c r="P3924" s="2"/>
      <c r="Q3924" s="2"/>
      <c r="R3924" s="2"/>
      <c r="AB3924" s="2"/>
    </row>
    <row r="3925" spans="8:28" ht="15" customHeight="1">
      <c r="H3925" s="2"/>
      <c r="I3925" s="2"/>
      <c r="J3925" s="2"/>
      <c r="K3925" s="2"/>
      <c r="L3925" s="2"/>
      <c r="M3925" s="2"/>
      <c r="N3925" s="2"/>
      <c r="P3925" s="2"/>
      <c r="Q3925" s="2"/>
      <c r="R3925" s="2"/>
      <c r="AB3925" s="2"/>
    </row>
    <row r="3926" spans="8:28" ht="15" customHeight="1">
      <c r="H3926" s="2"/>
      <c r="I3926" s="2"/>
      <c r="J3926" s="2"/>
      <c r="K3926" s="2"/>
      <c r="L3926" s="2"/>
      <c r="M3926" s="2"/>
      <c r="N3926" s="2"/>
      <c r="P3926" s="2"/>
      <c r="Q3926" s="2"/>
      <c r="R3926" s="2"/>
      <c r="AB3926" s="2"/>
    </row>
    <row r="3927" spans="8:28" ht="15" customHeight="1">
      <c r="H3927" s="2"/>
      <c r="I3927" s="2"/>
      <c r="J3927" s="2"/>
      <c r="K3927" s="2"/>
      <c r="L3927" s="2"/>
      <c r="M3927" s="2"/>
      <c r="N3927" s="2"/>
      <c r="P3927" s="2"/>
      <c r="Q3927" s="2"/>
      <c r="R3927" s="2"/>
      <c r="AB3927" s="2"/>
    </row>
    <row r="3928" spans="8:28" ht="15" customHeight="1">
      <c r="H3928" s="2"/>
      <c r="I3928" s="2"/>
      <c r="J3928" s="2"/>
      <c r="K3928" s="2"/>
      <c r="L3928" s="2"/>
      <c r="M3928" s="2"/>
      <c r="N3928" s="2"/>
      <c r="P3928" s="2"/>
      <c r="Q3928" s="2"/>
      <c r="R3928" s="2"/>
      <c r="AB3928" s="2"/>
    </row>
    <row r="3929" spans="8:28" ht="15" customHeight="1">
      <c r="H3929" s="2"/>
      <c r="I3929" s="2"/>
      <c r="J3929" s="2"/>
      <c r="K3929" s="2"/>
      <c r="L3929" s="2"/>
      <c r="M3929" s="2"/>
      <c r="N3929" s="2"/>
      <c r="P3929" s="2"/>
      <c r="Q3929" s="2"/>
      <c r="R3929" s="2"/>
      <c r="AB3929" s="2"/>
    </row>
    <row r="3930" spans="8:28" ht="15" customHeight="1">
      <c r="H3930" s="2"/>
      <c r="I3930" s="2"/>
      <c r="J3930" s="2"/>
      <c r="K3930" s="2"/>
      <c r="L3930" s="2"/>
      <c r="M3930" s="2"/>
      <c r="N3930" s="2"/>
      <c r="P3930" s="2"/>
      <c r="Q3930" s="2"/>
      <c r="R3930" s="2"/>
      <c r="AB3930" s="2"/>
    </row>
    <row r="3931" spans="8:28" ht="15" customHeight="1">
      <c r="H3931" s="2"/>
      <c r="I3931" s="2"/>
      <c r="J3931" s="2"/>
      <c r="K3931" s="2"/>
      <c r="L3931" s="2"/>
      <c r="M3931" s="2"/>
      <c r="N3931" s="2"/>
      <c r="P3931" s="2"/>
      <c r="Q3931" s="2"/>
      <c r="R3931" s="2"/>
      <c r="AB3931" s="2"/>
    </row>
    <row r="3932" spans="8:28" ht="15" customHeight="1">
      <c r="H3932" s="2"/>
      <c r="I3932" s="2"/>
      <c r="J3932" s="2"/>
      <c r="K3932" s="2"/>
      <c r="L3932" s="2"/>
      <c r="M3932" s="2"/>
      <c r="N3932" s="2"/>
      <c r="P3932" s="2"/>
      <c r="Q3932" s="2"/>
      <c r="R3932" s="2"/>
      <c r="AB3932" s="2"/>
    </row>
    <row r="3933" spans="8:28" ht="15" customHeight="1">
      <c r="H3933" s="2"/>
      <c r="I3933" s="2"/>
      <c r="J3933" s="2"/>
      <c r="K3933" s="2"/>
      <c r="L3933" s="2"/>
      <c r="M3933" s="2"/>
      <c r="N3933" s="2"/>
      <c r="P3933" s="2"/>
      <c r="Q3933" s="2"/>
      <c r="R3933" s="2"/>
      <c r="AB3933" s="2"/>
    </row>
    <row r="3934" spans="8:28" ht="15" customHeight="1">
      <c r="H3934" s="2"/>
      <c r="I3934" s="2"/>
      <c r="J3934" s="2"/>
      <c r="K3934" s="2"/>
      <c r="L3934" s="2"/>
      <c r="M3934" s="2"/>
      <c r="N3934" s="2"/>
      <c r="P3934" s="2"/>
      <c r="Q3934" s="2"/>
      <c r="R3934" s="2"/>
      <c r="AB3934" s="2"/>
    </row>
    <row r="3935" spans="8:28" ht="15" customHeight="1">
      <c r="H3935" s="2"/>
      <c r="I3935" s="2"/>
      <c r="J3935" s="2"/>
      <c r="K3935" s="2"/>
      <c r="L3935" s="2"/>
      <c r="M3935" s="2"/>
      <c r="N3935" s="2"/>
      <c r="P3935" s="2"/>
      <c r="Q3935" s="2"/>
      <c r="R3935" s="2"/>
      <c r="AB3935" s="2"/>
    </row>
    <row r="3936" spans="8:28" ht="15" customHeight="1">
      <c r="H3936" s="2"/>
      <c r="I3936" s="2"/>
      <c r="J3936" s="2"/>
      <c r="K3936" s="2"/>
      <c r="L3936" s="2"/>
      <c r="M3936" s="2"/>
      <c r="N3936" s="2"/>
      <c r="P3936" s="2"/>
      <c r="Q3936" s="2"/>
      <c r="R3936" s="2"/>
      <c r="AB3936" s="2"/>
    </row>
    <row r="3937" spans="8:28" ht="15" customHeight="1">
      <c r="H3937" s="2"/>
      <c r="I3937" s="2"/>
      <c r="J3937" s="2"/>
      <c r="K3937" s="2"/>
      <c r="L3937" s="2"/>
      <c r="M3937" s="2"/>
      <c r="N3937" s="2"/>
      <c r="P3937" s="2"/>
      <c r="Q3937" s="2"/>
      <c r="R3937" s="2"/>
      <c r="AB3937" s="2"/>
    </row>
    <row r="3938" spans="8:28" ht="15" customHeight="1">
      <c r="H3938" s="2"/>
      <c r="I3938" s="2"/>
      <c r="J3938" s="2"/>
      <c r="K3938" s="2"/>
      <c r="L3938" s="2"/>
      <c r="M3938" s="2"/>
      <c r="N3938" s="2"/>
      <c r="P3938" s="2"/>
      <c r="Q3938" s="2"/>
      <c r="R3938" s="2"/>
      <c r="AB3938" s="2"/>
    </row>
    <row r="3939" spans="8:28" ht="15" customHeight="1">
      <c r="H3939" s="2"/>
      <c r="I3939" s="2"/>
      <c r="J3939" s="2"/>
      <c r="K3939" s="2"/>
      <c r="L3939" s="2"/>
      <c r="M3939" s="2"/>
      <c r="N3939" s="2"/>
      <c r="P3939" s="2"/>
      <c r="Q3939" s="2"/>
      <c r="R3939" s="2"/>
      <c r="AB3939" s="2"/>
    </row>
    <row r="3940" spans="8:28" ht="15" customHeight="1">
      <c r="H3940" s="2"/>
      <c r="I3940" s="2"/>
      <c r="J3940" s="2"/>
      <c r="K3940" s="2"/>
      <c r="L3940" s="2"/>
      <c r="M3940" s="2"/>
      <c r="N3940" s="2"/>
      <c r="P3940" s="2"/>
      <c r="Q3940" s="2"/>
      <c r="R3940" s="2"/>
      <c r="AB3940" s="2"/>
    </row>
    <row r="3941" spans="8:28" ht="15" customHeight="1">
      <c r="H3941" s="2"/>
      <c r="I3941" s="2"/>
      <c r="J3941" s="2"/>
      <c r="K3941" s="2"/>
      <c r="L3941" s="2"/>
      <c r="M3941" s="2"/>
      <c r="N3941" s="2"/>
      <c r="P3941" s="2"/>
      <c r="Q3941" s="2"/>
      <c r="R3941" s="2"/>
      <c r="AB3941" s="2"/>
    </row>
    <row r="3942" spans="8:28" ht="15" customHeight="1">
      <c r="H3942" s="2"/>
      <c r="I3942" s="2"/>
      <c r="J3942" s="2"/>
      <c r="K3942" s="2"/>
      <c r="L3942" s="2"/>
      <c r="M3942" s="2"/>
      <c r="N3942" s="2"/>
      <c r="P3942" s="2"/>
      <c r="Q3942" s="2"/>
      <c r="R3942" s="2"/>
      <c r="AB3942" s="2"/>
    </row>
    <row r="3943" spans="8:28" ht="15" customHeight="1">
      <c r="H3943" s="2"/>
      <c r="I3943" s="2"/>
      <c r="J3943" s="2"/>
      <c r="K3943" s="2"/>
      <c r="L3943" s="2"/>
      <c r="M3943" s="2"/>
      <c r="N3943" s="2"/>
      <c r="P3943" s="2"/>
      <c r="Q3943" s="2"/>
      <c r="R3943" s="2"/>
      <c r="AB3943" s="2"/>
    </row>
    <row r="3944" spans="8:28" ht="15" customHeight="1">
      <c r="H3944" s="2"/>
      <c r="I3944" s="2"/>
      <c r="J3944" s="2"/>
      <c r="K3944" s="2"/>
      <c r="L3944" s="2"/>
      <c r="M3944" s="2"/>
      <c r="N3944" s="2"/>
      <c r="P3944" s="2"/>
      <c r="Q3944" s="2"/>
      <c r="R3944" s="2"/>
      <c r="AB3944" s="2"/>
    </row>
    <row r="3945" spans="8:28" ht="15" customHeight="1">
      <c r="H3945" s="2"/>
      <c r="I3945" s="2"/>
      <c r="J3945" s="2"/>
      <c r="K3945" s="2"/>
      <c r="L3945" s="2"/>
      <c r="M3945" s="2"/>
      <c r="N3945" s="2"/>
      <c r="P3945" s="2"/>
      <c r="Q3945" s="2"/>
      <c r="R3945" s="2"/>
      <c r="AB3945" s="2"/>
    </row>
    <row r="3946" spans="8:28" ht="15" customHeight="1">
      <c r="H3946" s="2"/>
      <c r="I3946" s="2"/>
      <c r="J3946" s="2"/>
      <c r="K3946" s="2"/>
      <c r="L3946" s="2"/>
      <c r="M3946" s="2"/>
      <c r="N3946" s="2"/>
      <c r="P3946" s="2"/>
      <c r="Q3946" s="2"/>
      <c r="R3946" s="2"/>
      <c r="AB3946" s="2"/>
    </row>
    <row r="3947" spans="8:28" ht="15" customHeight="1">
      <c r="H3947" s="2"/>
      <c r="I3947" s="2"/>
      <c r="J3947" s="2"/>
      <c r="K3947" s="2"/>
      <c r="L3947" s="2"/>
      <c r="M3947" s="2"/>
      <c r="N3947" s="2"/>
      <c r="P3947" s="2"/>
      <c r="Q3947" s="2"/>
      <c r="R3947" s="2"/>
      <c r="AB3947" s="2"/>
    </row>
    <row r="3948" spans="8:28" ht="15" customHeight="1">
      <c r="H3948" s="2"/>
      <c r="I3948" s="2"/>
      <c r="J3948" s="2"/>
      <c r="K3948" s="2"/>
      <c r="L3948" s="2"/>
      <c r="M3948" s="2"/>
      <c r="N3948" s="2"/>
      <c r="P3948" s="2"/>
      <c r="Q3948" s="2"/>
      <c r="R3948" s="2"/>
      <c r="AB3948" s="2"/>
    </row>
    <row r="3949" spans="8:28" ht="15" customHeight="1">
      <c r="H3949" s="2"/>
      <c r="I3949" s="2"/>
      <c r="J3949" s="2"/>
      <c r="K3949" s="2"/>
      <c r="L3949" s="2"/>
      <c r="M3949" s="2"/>
      <c r="N3949" s="2"/>
      <c r="P3949" s="2"/>
      <c r="Q3949" s="2"/>
      <c r="R3949" s="2"/>
      <c r="AB3949" s="2"/>
    </row>
    <row r="3950" spans="8:28" ht="15" customHeight="1">
      <c r="H3950" s="2"/>
      <c r="I3950" s="2"/>
      <c r="J3950" s="2"/>
      <c r="K3950" s="2"/>
      <c r="L3950" s="2"/>
      <c r="M3950" s="2"/>
      <c r="N3950" s="2"/>
      <c r="P3950" s="2"/>
      <c r="Q3950" s="2"/>
      <c r="R3950" s="2"/>
      <c r="AB3950" s="2"/>
    </row>
    <row r="3951" spans="8:28" ht="15" customHeight="1">
      <c r="H3951" s="2"/>
      <c r="I3951" s="2"/>
      <c r="J3951" s="2"/>
      <c r="K3951" s="2"/>
      <c r="L3951" s="2"/>
      <c r="M3951" s="2"/>
      <c r="N3951" s="2"/>
      <c r="P3951" s="2"/>
      <c r="Q3951" s="2"/>
      <c r="R3951" s="2"/>
      <c r="AB3951" s="2"/>
    </row>
    <row r="3952" spans="8:28" ht="15" customHeight="1">
      <c r="H3952" s="2"/>
      <c r="I3952" s="2"/>
      <c r="J3952" s="2"/>
      <c r="K3952" s="2"/>
      <c r="L3952" s="2"/>
      <c r="M3952" s="2"/>
      <c r="N3952" s="2"/>
      <c r="P3952" s="2"/>
      <c r="Q3952" s="2"/>
      <c r="R3952" s="2"/>
      <c r="AB3952" s="2"/>
    </row>
    <row r="3953" spans="8:28" ht="15" customHeight="1">
      <c r="H3953" s="2"/>
      <c r="I3953" s="2"/>
      <c r="J3953" s="2"/>
      <c r="K3953" s="2"/>
      <c r="L3953" s="2"/>
      <c r="M3953" s="2"/>
      <c r="N3953" s="2"/>
      <c r="P3953" s="2"/>
      <c r="Q3953" s="2"/>
      <c r="R3953" s="2"/>
      <c r="AB3953" s="2"/>
    </row>
    <row r="3954" spans="8:28" ht="15" customHeight="1">
      <c r="H3954" s="2"/>
      <c r="I3954" s="2"/>
      <c r="J3954" s="2"/>
      <c r="K3954" s="2"/>
      <c r="L3954" s="2"/>
      <c r="M3954" s="2"/>
      <c r="N3954" s="2"/>
      <c r="P3954" s="2"/>
      <c r="Q3954" s="2"/>
      <c r="R3954" s="2"/>
      <c r="AB3954" s="2"/>
    </row>
    <row r="3955" spans="8:28" ht="15" customHeight="1">
      <c r="H3955" s="2"/>
      <c r="I3955" s="2"/>
      <c r="J3955" s="2"/>
      <c r="K3955" s="2"/>
      <c r="L3955" s="2"/>
      <c r="M3955" s="2"/>
      <c r="N3955" s="2"/>
      <c r="P3955" s="2"/>
      <c r="Q3955" s="2"/>
      <c r="R3955" s="2"/>
      <c r="AB3955" s="2"/>
    </row>
    <row r="3956" spans="8:28" ht="15" customHeight="1">
      <c r="H3956" s="2"/>
      <c r="I3956" s="2"/>
      <c r="J3956" s="2"/>
      <c r="K3956" s="2"/>
      <c r="L3956" s="2"/>
      <c r="M3956" s="2"/>
      <c r="N3956" s="2"/>
      <c r="P3956" s="2"/>
      <c r="Q3956" s="2"/>
      <c r="R3956" s="2"/>
      <c r="AB3956" s="2"/>
    </row>
    <row r="3957" spans="8:28" ht="15" customHeight="1">
      <c r="H3957" s="2"/>
      <c r="I3957" s="2"/>
      <c r="J3957" s="2"/>
      <c r="K3957" s="2"/>
      <c r="L3957" s="2"/>
      <c r="M3957" s="2"/>
      <c r="N3957" s="2"/>
      <c r="P3957" s="2"/>
      <c r="Q3957" s="2"/>
      <c r="R3957" s="2"/>
      <c r="AB3957" s="2"/>
    </row>
    <row r="3958" spans="8:28" ht="15" customHeight="1">
      <c r="H3958" s="2"/>
      <c r="I3958" s="2"/>
      <c r="J3958" s="2"/>
      <c r="K3958" s="2"/>
      <c r="L3958" s="2"/>
      <c r="M3958" s="2"/>
      <c r="N3958" s="2"/>
      <c r="P3958" s="2"/>
      <c r="Q3958" s="2"/>
      <c r="R3958" s="2"/>
      <c r="AB3958" s="2"/>
    </row>
    <row r="3959" spans="8:28" ht="15" customHeight="1">
      <c r="H3959" s="2"/>
      <c r="I3959" s="2"/>
      <c r="J3959" s="2"/>
      <c r="K3959" s="2"/>
      <c r="L3959" s="2"/>
      <c r="M3959" s="2"/>
      <c r="N3959" s="2"/>
      <c r="P3959" s="2"/>
      <c r="Q3959" s="2"/>
      <c r="R3959" s="2"/>
      <c r="AB3959" s="2"/>
    </row>
    <row r="3960" spans="8:28" ht="15" customHeight="1">
      <c r="H3960" s="2"/>
      <c r="I3960" s="2"/>
      <c r="J3960" s="2"/>
      <c r="K3960" s="2"/>
      <c r="L3960" s="2"/>
      <c r="M3960" s="2"/>
      <c r="N3960" s="2"/>
      <c r="P3960" s="2"/>
      <c r="Q3960" s="2"/>
      <c r="R3960" s="2"/>
      <c r="AB3960" s="2"/>
    </row>
    <row r="3961" spans="8:28" ht="15" customHeight="1">
      <c r="H3961" s="2"/>
      <c r="I3961" s="2"/>
      <c r="J3961" s="2"/>
      <c r="K3961" s="2"/>
      <c r="L3961" s="2"/>
      <c r="M3961" s="2"/>
      <c r="N3961" s="2"/>
      <c r="P3961" s="2"/>
      <c r="Q3961" s="2"/>
      <c r="R3961" s="2"/>
      <c r="AB3961" s="2"/>
    </row>
    <row r="3962" spans="8:28" ht="15" customHeight="1">
      <c r="H3962" s="2"/>
      <c r="I3962" s="2"/>
      <c r="J3962" s="2"/>
      <c r="K3962" s="2"/>
      <c r="L3962" s="2"/>
      <c r="M3962" s="2"/>
      <c r="N3962" s="2"/>
      <c r="P3962" s="2"/>
      <c r="Q3962" s="2"/>
      <c r="R3962" s="2"/>
      <c r="AB3962" s="2"/>
    </row>
    <row r="3963" spans="8:28" ht="15" customHeight="1">
      <c r="H3963" s="2"/>
      <c r="I3963" s="2"/>
      <c r="J3963" s="2"/>
      <c r="K3963" s="2"/>
      <c r="L3963" s="2"/>
      <c r="M3963" s="2"/>
      <c r="N3963" s="2"/>
      <c r="P3963" s="2"/>
      <c r="Q3963" s="2"/>
      <c r="R3963" s="2"/>
      <c r="AB3963" s="2"/>
    </row>
    <row r="3964" spans="8:28" ht="15" customHeight="1">
      <c r="H3964" s="2"/>
      <c r="I3964" s="2"/>
      <c r="J3964" s="2"/>
      <c r="K3964" s="2"/>
      <c r="L3964" s="2"/>
      <c r="M3964" s="2"/>
      <c r="N3964" s="2"/>
      <c r="P3964" s="2"/>
      <c r="Q3964" s="2"/>
      <c r="R3964" s="2"/>
      <c r="AB3964" s="2"/>
    </row>
    <row r="3965" spans="8:28" ht="15" customHeight="1">
      <c r="H3965" s="2"/>
      <c r="I3965" s="2"/>
      <c r="J3965" s="2"/>
      <c r="K3965" s="2"/>
      <c r="L3965" s="2"/>
      <c r="M3965" s="2"/>
      <c r="N3965" s="2"/>
      <c r="P3965" s="2"/>
      <c r="Q3965" s="2"/>
      <c r="R3965" s="2"/>
      <c r="AB3965" s="2"/>
    </row>
    <row r="3966" spans="8:28" ht="15" customHeight="1">
      <c r="H3966" s="2"/>
      <c r="I3966" s="2"/>
      <c r="J3966" s="2"/>
      <c r="K3966" s="2"/>
      <c r="L3966" s="2"/>
      <c r="M3966" s="2"/>
      <c r="N3966" s="2"/>
      <c r="P3966" s="2"/>
      <c r="Q3966" s="2"/>
      <c r="R3966" s="2"/>
      <c r="AB3966" s="2"/>
    </row>
    <row r="3967" spans="8:28" ht="15" customHeight="1">
      <c r="H3967" s="2"/>
      <c r="I3967" s="2"/>
      <c r="J3967" s="2"/>
      <c r="K3967" s="2"/>
      <c r="L3967" s="2"/>
      <c r="M3967" s="2"/>
      <c r="N3967" s="2"/>
      <c r="P3967" s="2"/>
      <c r="Q3967" s="2"/>
      <c r="R3967" s="2"/>
      <c r="AB3967" s="2"/>
    </row>
    <row r="3968" spans="8:28" ht="15" customHeight="1">
      <c r="H3968" s="2"/>
      <c r="I3968" s="2"/>
      <c r="J3968" s="2"/>
      <c r="K3968" s="2"/>
      <c r="L3968" s="2"/>
      <c r="M3968" s="2"/>
      <c r="N3968" s="2"/>
      <c r="P3968" s="2"/>
      <c r="Q3968" s="2"/>
      <c r="R3968" s="2"/>
      <c r="AB3968" s="2"/>
    </row>
    <row r="3969" spans="8:28" ht="15" customHeight="1">
      <c r="H3969" s="2"/>
      <c r="I3969" s="2"/>
      <c r="J3969" s="2"/>
      <c r="K3969" s="2"/>
      <c r="L3969" s="2"/>
      <c r="M3969" s="2"/>
      <c r="N3969" s="2"/>
      <c r="P3969" s="2"/>
      <c r="Q3969" s="2"/>
      <c r="R3969" s="2"/>
      <c r="AB3969" s="2"/>
    </row>
    <row r="3970" spans="8:28" ht="15" customHeight="1">
      <c r="H3970" s="2"/>
      <c r="I3970" s="2"/>
      <c r="J3970" s="2"/>
      <c r="K3970" s="2"/>
      <c r="L3970" s="2"/>
      <c r="M3970" s="2"/>
      <c r="N3970" s="2"/>
      <c r="P3970" s="2"/>
      <c r="Q3970" s="2"/>
      <c r="R3970" s="2"/>
      <c r="AB3970" s="2"/>
    </row>
    <row r="3971" spans="8:28" ht="15" customHeight="1">
      <c r="H3971" s="2"/>
      <c r="I3971" s="2"/>
      <c r="J3971" s="2"/>
      <c r="K3971" s="2"/>
      <c r="L3971" s="2"/>
      <c r="M3971" s="2"/>
      <c r="N3971" s="2"/>
      <c r="P3971" s="2"/>
      <c r="Q3971" s="2"/>
      <c r="R3971" s="2"/>
      <c r="AB3971" s="2"/>
    </row>
    <row r="3972" spans="8:28" ht="15" customHeight="1">
      <c r="H3972" s="2"/>
      <c r="I3972" s="2"/>
      <c r="J3972" s="2"/>
      <c r="K3972" s="2"/>
      <c r="L3972" s="2"/>
      <c r="M3972" s="2"/>
      <c r="N3972" s="2"/>
      <c r="P3972" s="2"/>
      <c r="Q3972" s="2"/>
      <c r="R3972" s="2"/>
      <c r="AB3972" s="2"/>
    </row>
    <row r="3973" spans="8:28" ht="15" customHeight="1">
      <c r="H3973" s="2"/>
      <c r="I3973" s="2"/>
      <c r="J3973" s="2"/>
      <c r="K3973" s="2"/>
      <c r="L3973" s="2"/>
      <c r="M3973" s="2"/>
      <c r="N3973" s="2"/>
      <c r="P3973" s="2"/>
      <c r="Q3973" s="2"/>
      <c r="R3973" s="2"/>
      <c r="AB3973" s="2"/>
    </row>
    <row r="3974" spans="8:28" ht="15" customHeight="1">
      <c r="H3974" s="2"/>
      <c r="I3974" s="2"/>
      <c r="J3974" s="2"/>
      <c r="K3974" s="2"/>
      <c r="L3974" s="2"/>
      <c r="M3974" s="2"/>
      <c r="N3974" s="2"/>
      <c r="P3974" s="2"/>
      <c r="Q3974" s="2"/>
      <c r="R3974" s="2"/>
      <c r="AB3974" s="2"/>
    </row>
    <row r="3975" spans="8:28" ht="15" customHeight="1">
      <c r="H3975" s="2"/>
      <c r="I3975" s="2"/>
      <c r="J3975" s="2"/>
      <c r="K3975" s="2"/>
      <c r="L3975" s="2"/>
      <c r="M3975" s="2"/>
      <c r="N3975" s="2"/>
      <c r="P3975" s="2"/>
      <c r="Q3975" s="2"/>
      <c r="R3975" s="2"/>
      <c r="AB3975" s="2"/>
    </row>
    <row r="3976" spans="8:28" ht="15" customHeight="1">
      <c r="H3976" s="2"/>
      <c r="I3976" s="2"/>
      <c r="J3976" s="2"/>
      <c r="K3976" s="2"/>
      <c r="L3976" s="2"/>
      <c r="M3976" s="2"/>
      <c r="N3976" s="2"/>
      <c r="P3976" s="2"/>
      <c r="Q3976" s="2"/>
      <c r="R3976" s="2"/>
      <c r="AB3976" s="2"/>
    </row>
    <row r="3977" spans="8:28" ht="15" customHeight="1">
      <c r="H3977" s="2"/>
      <c r="I3977" s="2"/>
      <c r="J3977" s="2"/>
      <c r="K3977" s="2"/>
      <c r="L3977" s="2"/>
      <c r="M3977" s="2"/>
      <c r="N3977" s="2"/>
      <c r="P3977" s="2"/>
      <c r="Q3977" s="2"/>
      <c r="R3977" s="2"/>
      <c r="AB3977" s="2"/>
    </row>
    <row r="3978" spans="8:28" ht="15" customHeight="1">
      <c r="H3978" s="2"/>
      <c r="I3978" s="2"/>
      <c r="J3978" s="2"/>
      <c r="K3978" s="2"/>
      <c r="L3978" s="2"/>
      <c r="M3978" s="2"/>
      <c r="N3978" s="2"/>
      <c r="P3978" s="2"/>
      <c r="Q3978" s="2"/>
      <c r="R3978" s="2"/>
      <c r="AB3978" s="2"/>
    </row>
    <row r="3979" spans="8:28" ht="15" customHeight="1">
      <c r="H3979" s="2"/>
      <c r="I3979" s="2"/>
      <c r="J3979" s="2"/>
      <c r="K3979" s="2"/>
      <c r="L3979" s="2"/>
      <c r="M3979" s="2"/>
      <c r="N3979" s="2"/>
      <c r="P3979" s="2"/>
      <c r="Q3979" s="2"/>
      <c r="R3979" s="2"/>
      <c r="AB3979" s="2"/>
    </row>
    <row r="3980" spans="8:28" ht="15" customHeight="1">
      <c r="H3980" s="2"/>
      <c r="I3980" s="2"/>
      <c r="J3980" s="2"/>
      <c r="K3980" s="2"/>
      <c r="L3980" s="2"/>
      <c r="M3980" s="2"/>
      <c r="N3980" s="2"/>
      <c r="P3980" s="2"/>
      <c r="Q3980" s="2"/>
      <c r="R3980" s="2"/>
      <c r="AB3980" s="2"/>
    </row>
    <row r="3981" spans="8:28" ht="15" customHeight="1">
      <c r="H3981" s="2"/>
      <c r="I3981" s="2"/>
      <c r="J3981" s="2"/>
      <c r="K3981" s="2"/>
      <c r="L3981" s="2"/>
      <c r="M3981" s="2"/>
      <c r="N3981" s="2"/>
      <c r="P3981" s="2"/>
      <c r="Q3981" s="2"/>
      <c r="R3981" s="2"/>
      <c r="AB3981" s="2"/>
    </row>
    <row r="3982" spans="8:28" ht="15" customHeight="1">
      <c r="H3982" s="2"/>
      <c r="I3982" s="2"/>
      <c r="J3982" s="2"/>
      <c r="K3982" s="2"/>
      <c r="L3982" s="2"/>
      <c r="M3982" s="2"/>
      <c r="N3982" s="2"/>
      <c r="P3982" s="2"/>
      <c r="Q3982" s="2"/>
      <c r="R3982" s="2"/>
      <c r="AB3982" s="2"/>
    </row>
    <row r="3983" spans="8:28" ht="15" customHeight="1">
      <c r="H3983" s="2"/>
      <c r="I3983" s="2"/>
      <c r="J3983" s="2"/>
      <c r="K3983" s="2"/>
      <c r="L3983" s="2"/>
      <c r="M3983" s="2"/>
      <c r="N3983" s="2"/>
      <c r="P3983" s="2"/>
      <c r="Q3983" s="2"/>
      <c r="R3983" s="2"/>
      <c r="AB3983" s="2"/>
    </row>
    <row r="3984" spans="8:28" ht="15" customHeight="1">
      <c r="H3984" s="2"/>
      <c r="I3984" s="2"/>
      <c r="J3984" s="2"/>
      <c r="K3984" s="2"/>
      <c r="L3984" s="2"/>
      <c r="M3984" s="2"/>
      <c r="N3984" s="2"/>
      <c r="P3984" s="2"/>
      <c r="Q3984" s="2"/>
      <c r="R3984" s="2"/>
      <c r="AB3984" s="2"/>
    </row>
    <row r="3985" spans="8:28" ht="15" customHeight="1">
      <c r="H3985" s="2"/>
      <c r="I3985" s="2"/>
      <c r="J3985" s="2"/>
      <c r="K3985" s="2"/>
      <c r="L3985" s="2"/>
      <c r="M3985" s="2"/>
      <c r="N3985" s="2"/>
      <c r="P3985" s="2"/>
      <c r="Q3985" s="2"/>
      <c r="R3985" s="2"/>
      <c r="AB3985" s="2"/>
    </row>
    <row r="3986" spans="8:28" ht="15" customHeight="1">
      <c r="H3986" s="2"/>
      <c r="I3986" s="2"/>
      <c r="J3986" s="2"/>
      <c r="K3986" s="2"/>
      <c r="L3986" s="2"/>
      <c r="M3986" s="2"/>
      <c r="N3986" s="2"/>
      <c r="P3986" s="2"/>
      <c r="Q3986" s="2"/>
      <c r="R3986" s="2"/>
      <c r="AB3986" s="2"/>
    </row>
    <row r="3987" spans="8:28" ht="15" customHeight="1">
      <c r="H3987" s="2"/>
      <c r="I3987" s="2"/>
      <c r="J3987" s="2"/>
      <c r="K3987" s="2"/>
      <c r="L3987" s="2"/>
      <c r="M3987" s="2"/>
      <c r="N3987" s="2"/>
      <c r="P3987" s="2"/>
      <c r="Q3987" s="2"/>
      <c r="R3987" s="2"/>
      <c r="AB3987" s="2"/>
    </row>
    <row r="3988" spans="8:28" ht="15" customHeight="1">
      <c r="H3988" s="2"/>
      <c r="I3988" s="2"/>
      <c r="J3988" s="2"/>
      <c r="K3988" s="2"/>
      <c r="L3988" s="2"/>
      <c r="M3988" s="2"/>
      <c r="N3988" s="2"/>
      <c r="P3988" s="2"/>
      <c r="Q3988" s="2"/>
      <c r="R3988" s="2"/>
      <c r="AB3988" s="2"/>
    </row>
    <row r="3989" spans="8:28" ht="15" customHeight="1">
      <c r="H3989" s="2"/>
      <c r="I3989" s="2"/>
      <c r="J3989" s="2"/>
      <c r="K3989" s="2"/>
      <c r="L3989" s="2"/>
      <c r="M3989" s="2"/>
      <c r="N3989" s="2"/>
      <c r="P3989" s="2"/>
      <c r="Q3989" s="2"/>
      <c r="R3989" s="2"/>
      <c r="AB3989" s="2"/>
    </row>
    <row r="3990" spans="8:28" ht="15" customHeight="1">
      <c r="H3990" s="2"/>
      <c r="I3990" s="2"/>
      <c r="J3990" s="2"/>
      <c r="K3990" s="2"/>
      <c r="L3990" s="2"/>
      <c r="M3990" s="2"/>
      <c r="N3990" s="2"/>
      <c r="P3990" s="2"/>
      <c r="Q3990" s="2"/>
      <c r="R3990" s="2"/>
      <c r="AB3990" s="2"/>
    </row>
    <row r="3991" spans="8:28" ht="15" customHeight="1">
      <c r="H3991" s="2"/>
      <c r="I3991" s="2"/>
      <c r="J3991" s="2"/>
      <c r="K3991" s="2"/>
      <c r="L3991" s="2"/>
      <c r="M3991" s="2"/>
      <c r="N3991" s="2"/>
      <c r="P3991" s="2"/>
      <c r="Q3991" s="2"/>
      <c r="R3991" s="2"/>
      <c r="AB3991" s="2"/>
    </row>
    <row r="3992" spans="8:28" ht="15" customHeight="1">
      <c r="H3992" s="2"/>
      <c r="I3992" s="2"/>
      <c r="J3992" s="2"/>
      <c r="K3992" s="2"/>
      <c r="L3992" s="2"/>
      <c r="M3992" s="2"/>
      <c r="N3992" s="2"/>
      <c r="P3992" s="2"/>
      <c r="Q3992" s="2"/>
      <c r="R3992" s="2"/>
      <c r="AB3992" s="2"/>
    </row>
    <row r="3993" spans="8:28" ht="15" customHeight="1">
      <c r="H3993" s="2"/>
      <c r="I3993" s="2"/>
      <c r="J3993" s="2"/>
      <c r="K3993" s="2"/>
      <c r="L3993" s="2"/>
      <c r="M3993" s="2"/>
      <c r="N3993" s="2"/>
      <c r="P3993" s="2"/>
      <c r="Q3993" s="2"/>
      <c r="R3993" s="2"/>
      <c r="AB3993" s="2"/>
    </row>
    <row r="3994" spans="8:28" ht="15" customHeight="1">
      <c r="H3994" s="2"/>
      <c r="I3994" s="2"/>
      <c r="J3994" s="2"/>
      <c r="K3994" s="2"/>
      <c r="L3994" s="2"/>
      <c r="M3994" s="2"/>
      <c r="N3994" s="2"/>
      <c r="P3994" s="2"/>
      <c r="Q3994" s="2"/>
      <c r="R3994" s="2"/>
      <c r="AB3994" s="2"/>
    </row>
    <row r="3995" spans="8:28" ht="15" customHeight="1">
      <c r="H3995" s="2"/>
      <c r="I3995" s="2"/>
      <c r="J3995" s="2"/>
      <c r="K3995" s="2"/>
      <c r="L3995" s="2"/>
      <c r="M3995" s="2"/>
      <c r="N3995" s="2"/>
      <c r="P3995" s="2"/>
      <c r="Q3995" s="2"/>
      <c r="R3995" s="2"/>
      <c r="AB3995" s="2"/>
    </row>
    <row r="3996" spans="8:28" ht="15" customHeight="1">
      <c r="H3996" s="2"/>
      <c r="I3996" s="2"/>
      <c r="J3996" s="2"/>
      <c r="K3996" s="2"/>
      <c r="L3996" s="2"/>
      <c r="M3996" s="2"/>
      <c r="N3996" s="2"/>
      <c r="P3996" s="2"/>
      <c r="Q3996" s="2"/>
      <c r="R3996" s="2"/>
      <c r="AB3996" s="2"/>
    </row>
    <row r="3997" spans="8:28" ht="15" customHeight="1">
      <c r="H3997" s="2"/>
      <c r="I3997" s="2"/>
      <c r="J3997" s="2"/>
      <c r="K3997" s="2"/>
      <c r="L3997" s="2"/>
      <c r="M3997" s="2"/>
      <c r="N3997" s="2"/>
      <c r="P3997" s="2"/>
      <c r="Q3997" s="2"/>
      <c r="R3997" s="2"/>
      <c r="AB3997" s="2"/>
    </row>
    <row r="3998" spans="8:28" ht="15" customHeight="1">
      <c r="H3998" s="2"/>
      <c r="I3998" s="2"/>
      <c r="J3998" s="2"/>
      <c r="K3998" s="2"/>
      <c r="L3998" s="2"/>
      <c r="M3998" s="2"/>
      <c r="N3998" s="2"/>
      <c r="P3998" s="2"/>
      <c r="Q3998" s="2"/>
      <c r="R3998" s="2"/>
      <c r="AB3998" s="2"/>
    </row>
    <row r="3999" spans="8:28" ht="15" customHeight="1">
      <c r="H3999" s="2"/>
      <c r="I3999" s="2"/>
      <c r="J3999" s="2"/>
      <c r="K3999" s="2"/>
      <c r="L3999" s="2"/>
      <c r="M3999" s="2"/>
      <c r="N3999" s="2"/>
      <c r="P3999" s="2"/>
      <c r="Q3999" s="2"/>
      <c r="R3999" s="2"/>
      <c r="AB3999" s="2"/>
    </row>
    <row r="4000" spans="8:28" ht="15" customHeight="1">
      <c r="H4000" s="2"/>
      <c r="I4000" s="2"/>
      <c r="J4000" s="2"/>
      <c r="K4000" s="2"/>
      <c r="L4000" s="2"/>
      <c r="M4000" s="2"/>
      <c r="N4000" s="2"/>
      <c r="P4000" s="2"/>
      <c r="Q4000" s="2"/>
      <c r="R4000" s="2"/>
      <c r="AB4000" s="2"/>
    </row>
    <row r="4001" spans="8:28" ht="15" customHeight="1">
      <c r="H4001" s="2"/>
      <c r="I4001" s="2"/>
      <c r="J4001" s="2"/>
      <c r="K4001" s="2"/>
      <c r="L4001" s="2"/>
      <c r="M4001" s="2"/>
      <c r="N4001" s="2"/>
      <c r="P4001" s="2"/>
      <c r="Q4001" s="2"/>
      <c r="R4001" s="2"/>
      <c r="AB4001" s="2"/>
    </row>
    <row r="4002" spans="8:28" ht="15" customHeight="1">
      <c r="H4002" s="2"/>
      <c r="I4002" s="2"/>
      <c r="J4002" s="2"/>
      <c r="K4002" s="2"/>
      <c r="L4002" s="2"/>
      <c r="M4002" s="2"/>
      <c r="N4002" s="2"/>
      <c r="P4002" s="2"/>
      <c r="Q4002" s="2"/>
      <c r="R4002" s="2"/>
      <c r="AB4002" s="2"/>
    </row>
    <row r="4003" spans="8:28" ht="15" customHeight="1">
      <c r="H4003" s="2"/>
      <c r="I4003" s="2"/>
      <c r="J4003" s="2"/>
      <c r="K4003" s="2"/>
      <c r="L4003" s="2"/>
      <c r="M4003" s="2"/>
      <c r="N4003" s="2"/>
      <c r="P4003" s="2"/>
      <c r="Q4003" s="2"/>
      <c r="R4003" s="2"/>
      <c r="AB4003" s="2"/>
    </row>
    <row r="4004" spans="8:28" ht="15" customHeight="1">
      <c r="H4004" s="2"/>
      <c r="I4004" s="2"/>
      <c r="J4004" s="2"/>
      <c r="K4004" s="2"/>
      <c r="L4004" s="2"/>
      <c r="M4004" s="2"/>
      <c r="N4004" s="2"/>
      <c r="P4004" s="2"/>
      <c r="Q4004" s="2"/>
      <c r="R4004" s="2"/>
      <c r="AB4004" s="2"/>
    </row>
    <row r="4005" spans="8:28" ht="15" customHeight="1">
      <c r="H4005" s="2"/>
      <c r="I4005" s="2"/>
      <c r="J4005" s="2"/>
      <c r="K4005" s="2"/>
      <c r="L4005" s="2"/>
      <c r="M4005" s="2"/>
      <c r="N4005" s="2"/>
      <c r="P4005" s="2"/>
      <c r="Q4005" s="2"/>
      <c r="R4005" s="2"/>
      <c r="AB4005" s="2"/>
    </row>
    <row r="4006" spans="8:28" ht="15" customHeight="1">
      <c r="H4006" s="2"/>
      <c r="I4006" s="2"/>
      <c r="J4006" s="2"/>
      <c r="K4006" s="2"/>
      <c r="L4006" s="2"/>
      <c r="M4006" s="2"/>
      <c r="N4006" s="2"/>
      <c r="P4006" s="2"/>
      <c r="Q4006" s="2"/>
      <c r="R4006" s="2"/>
      <c r="AB4006" s="2"/>
    </row>
    <row r="4007" spans="8:28" ht="15" customHeight="1">
      <c r="H4007" s="2"/>
      <c r="I4007" s="2"/>
      <c r="J4007" s="2"/>
      <c r="K4007" s="2"/>
      <c r="L4007" s="2"/>
      <c r="M4007" s="2"/>
      <c r="N4007" s="2"/>
      <c r="P4007" s="2"/>
      <c r="Q4007" s="2"/>
      <c r="R4007" s="2"/>
      <c r="AB4007" s="2"/>
    </row>
    <row r="4008" spans="8:28" ht="15" customHeight="1">
      <c r="H4008" s="2"/>
      <c r="I4008" s="2"/>
      <c r="J4008" s="2"/>
      <c r="K4008" s="2"/>
      <c r="L4008" s="2"/>
      <c r="M4008" s="2"/>
      <c r="N4008" s="2"/>
      <c r="P4008" s="2"/>
      <c r="Q4008" s="2"/>
      <c r="R4008" s="2"/>
      <c r="AB4008" s="2"/>
    </row>
    <row r="4009" spans="8:28" ht="15" customHeight="1">
      <c r="H4009" s="2"/>
      <c r="I4009" s="2"/>
      <c r="J4009" s="2"/>
      <c r="K4009" s="2"/>
      <c r="L4009" s="2"/>
      <c r="M4009" s="2"/>
      <c r="N4009" s="2"/>
      <c r="P4009" s="2"/>
      <c r="Q4009" s="2"/>
      <c r="R4009" s="2"/>
      <c r="AB4009" s="2"/>
    </row>
    <row r="4010" spans="8:28" ht="15" customHeight="1">
      <c r="H4010" s="2"/>
      <c r="I4010" s="2"/>
      <c r="J4010" s="2"/>
      <c r="K4010" s="2"/>
      <c r="L4010" s="2"/>
      <c r="M4010" s="2"/>
      <c r="N4010" s="2"/>
      <c r="P4010" s="2"/>
      <c r="Q4010" s="2"/>
      <c r="R4010" s="2"/>
      <c r="AB4010" s="2"/>
    </row>
    <row r="4011" spans="8:28" ht="15" customHeight="1">
      <c r="H4011" s="2"/>
      <c r="I4011" s="2"/>
      <c r="J4011" s="2"/>
      <c r="K4011" s="2"/>
      <c r="L4011" s="2"/>
      <c r="M4011" s="2"/>
      <c r="N4011" s="2"/>
      <c r="P4011" s="2"/>
      <c r="Q4011" s="2"/>
      <c r="R4011" s="2"/>
      <c r="AB4011" s="2"/>
    </row>
    <row r="4012" spans="8:28" ht="15" customHeight="1">
      <c r="H4012" s="2"/>
      <c r="I4012" s="2"/>
      <c r="J4012" s="2"/>
      <c r="K4012" s="2"/>
      <c r="L4012" s="2"/>
      <c r="M4012" s="2"/>
      <c r="N4012" s="2"/>
      <c r="P4012" s="2"/>
      <c r="Q4012" s="2"/>
      <c r="R4012" s="2"/>
      <c r="AB4012" s="2"/>
    </row>
    <row r="4013" spans="8:28" ht="15" customHeight="1">
      <c r="H4013" s="2"/>
      <c r="I4013" s="2"/>
      <c r="J4013" s="2"/>
      <c r="K4013" s="2"/>
      <c r="L4013" s="2"/>
      <c r="M4013" s="2"/>
      <c r="N4013" s="2"/>
      <c r="P4013" s="2"/>
      <c r="Q4013" s="2"/>
      <c r="R4013" s="2"/>
      <c r="AB4013" s="2"/>
    </row>
    <row r="4014" spans="8:28" ht="15" customHeight="1">
      <c r="H4014" s="2"/>
      <c r="I4014" s="2"/>
      <c r="J4014" s="2"/>
      <c r="K4014" s="2"/>
      <c r="L4014" s="2"/>
      <c r="M4014" s="2"/>
      <c r="N4014" s="2"/>
      <c r="P4014" s="2"/>
      <c r="Q4014" s="2"/>
      <c r="R4014" s="2"/>
      <c r="AB4014" s="2"/>
    </row>
    <row r="4015" spans="8:28" ht="15" customHeight="1">
      <c r="H4015" s="2"/>
      <c r="I4015" s="2"/>
      <c r="J4015" s="2"/>
      <c r="K4015" s="2"/>
      <c r="L4015" s="2"/>
      <c r="M4015" s="2"/>
      <c r="N4015" s="2"/>
      <c r="P4015" s="2"/>
      <c r="Q4015" s="2"/>
      <c r="R4015" s="2"/>
      <c r="AB4015" s="2"/>
    </row>
    <row r="4016" spans="8:28" ht="15" customHeight="1">
      <c r="H4016" s="2"/>
      <c r="I4016" s="2"/>
      <c r="J4016" s="2"/>
      <c r="K4016" s="2"/>
      <c r="L4016" s="2"/>
      <c r="M4016" s="2"/>
      <c r="N4016" s="2"/>
      <c r="P4016" s="2"/>
      <c r="Q4016" s="2"/>
      <c r="R4016" s="2"/>
      <c r="AB4016" s="2"/>
    </row>
    <row r="4017" spans="8:28" ht="15" customHeight="1">
      <c r="H4017" s="2"/>
      <c r="I4017" s="2"/>
      <c r="J4017" s="2"/>
      <c r="K4017" s="2"/>
      <c r="L4017" s="2"/>
      <c r="M4017" s="2"/>
      <c r="N4017" s="2"/>
      <c r="P4017" s="2"/>
      <c r="Q4017" s="2"/>
      <c r="R4017" s="2"/>
      <c r="AB4017" s="2"/>
    </row>
    <row r="4018" spans="8:28" ht="15" customHeight="1">
      <c r="H4018" s="2"/>
      <c r="I4018" s="2"/>
      <c r="J4018" s="2"/>
      <c r="K4018" s="2"/>
      <c r="L4018" s="2"/>
      <c r="M4018" s="2"/>
      <c r="N4018" s="2"/>
      <c r="P4018" s="2"/>
      <c r="Q4018" s="2"/>
      <c r="R4018" s="2"/>
      <c r="AB4018" s="2"/>
    </row>
    <row r="4019" spans="8:28" ht="15" customHeight="1">
      <c r="H4019" s="2"/>
      <c r="I4019" s="2"/>
      <c r="J4019" s="2"/>
      <c r="K4019" s="2"/>
      <c r="L4019" s="2"/>
      <c r="M4019" s="2"/>
      <c r="N4019" s="2"/>
      <c r="P4019" s="2"/>
      <c r="Q4019" s="2"/>
      <c r="R4019" s="2"/>
      <c r="AB4019" s="2"/>
    </row>
    <row r="4020" spans="8:28" ht="15" customHeight="1">
      <c r="H4020" s="2"/>
      <c r="I4020" s="2"/>
      <c r="J4020" s="2"/>
      <c r="K4020" s="2"/>
      <c r="L4020" s="2"/>
      <c r="M4020" s="2"/>
      <c r="N4020" s="2"/>
      <c r="P4020" s="2"/>
      <c r="Q4020" s="2"/>
      <c r="R4020" s="2"/>
      <c r="AB4020" s="2"/>
    </row>
    <row r="4021" spans="8:28" ht="15" customHeight="1">
      <c r="H4021" s="2"/>
      <c r="I4021" s="2"/>
      <c r="J4021" s="2"/>
      <c r="K4021" s="2"/>
      <c r="L4021" s="2"/>
      <c r="M4021" s="2"/>
      <c r="N4021" s="2"/>
      <c r="P4021" s="2"/>
      <c r="Q4021" s="2"/>
      <c r="R4021" s="2"/>
      <c r="AB4021" s="2"/>
    </row>
    <row r="4022" spans="8:28" ht="15" customHeight="1">
      <c r="H4022" s="2"/>
      <c r="I4022" s="2"/>
      <c r="J4022" s="2"/>
      <c r="K4022" s="2"/>
      <c r="L4022" s="2"/>
      <c r="M4022" s="2"/>
      <c r="N4022" s="2"/>
      <c r="P4022" s="2"/>
      <c r="Q4022" s="2"/>
      <c r="R4022" s="2"/>
      <c r="AB4022" s="2"/>
    </row>
    <row r="4023" spans="8:28" ht="15" customHeight="1">
      <c r="H4023" s="2"/>
      <c r="I4023" s="2"/>
      <c r="J4023" s="2"/>
      <c r="K4023" s="2"/>
      <c r="L4023" s="2"/>
      <c r="M4023" s="2"/>
      <c r="N4023" s="2"/>
      <c r="P4023" s="2"/>
      <c r="Q4023" s="2"/>
      <c r="R4023" s="2"/>
      <c r="AB4023" s="2"/>
    </row>
    <row r="4024" spans="8:28" ht="15" customHeight="1">
      <c r="H4024" s="2"/>
      <c r="I4024" s="2"/>
      <c r="J4024" s="2"/>
      <c r="K4024" s="2"/>
      <c r="L4024" s="2"/>
      <c r="M4024" s="2"/>
      <c r="N4024" s="2"/>
      <c r="P4024" s="2"/>
      <c r="Q4024" s="2"/>
      <c r="R4024" s="2"/>
      <c r="AB4024" s="2"/>
    </row>
    <row r="4025" spans="8:28" ht="15" customHeight="1">
      <c r="H4025" s="2"/>
      <c r="I4025" s="2"/>
      <c r="J4025" s="2"/>
      <c r="K4025" s="2"/>
      <c r="L4025" s="2"/>
      <c r="M4025" s="2"/>
      <c r="N4025" s="2"/>
      <c r="P4025" s="2"/>
      <c r="Q4025" s="2"/>
      <c r="R4025" s="2"/>
      <c r="AB4025" s="2"/>
    </row>
    <row r="4026" spans="8:28" ht="15" customHeight="1">
      <c r="H4026" s="2"/>
      <c r="I4026" s="2"/>
      <c r="J4026" s="2"/>
      <c r="K4026" s="2"/>
      <c r="L4026" s="2"/>
      <c r="M4026" s="2"/>
      <c r="N4026" s="2"/>
      <c r="P4026" s="2"/>
      <c r="Q4026" s="2"/>
      <c r="R4026" s="2"/>
      <c r="AB4026" s="2"/>
    </row>
    <row r="4027" spans="8:28" ht="15" customHeight="1">
      <c r="H4027" s="2"/>
      <c r="I4027" s="2"/>
      <c r="J4027" s="2"/>
      <c r="K4027" s="2"/>
      <c r="L4027" s="2"/>
      <c r="M4027" s="2"/>
      <c r="N4027" s="2"/>
      <c r="P4027" s="2"/>
      <c r="Q4027" s="2"/>
      <c r="R4027" s="2"/>
      <c r="AB4027" s="2"/>
    </row>
    <row r="4028" spans="8:28" ht="15" customHeight="1">
      <c r="H4028" s="2"/>
      <c r="I4028" s="2"/>
      <c r="J4028" s="2"/>
      <c r="K4028" s="2"/>
      <c r="L4028" s="2"/>
      <c r="M4028" s="2"/>
      <c r="N4028" s="2"/>
      <c r="P4028" s="2"/>
      <c r="Q4028" s="2"/>
      <c r="R4028" s="2"/>
      <c r="AB4028" s="2"/>
    </row>
    <row r="4029" spans="8:28" ht="15" customHeight="1">
      <c r="H4029" s="2"/>
      <c r="I4029" s="2"/>
      <c r="J4029" s="2"/>
      <c r="K4029" s="2"/>
      <c r="L4029" s="2"/>
      <c r="M4029" s="2"/>
      <c r="N4029" s="2"/>
      <c r="P4029" s="2"/>
      <c r="Q4029" s="2"/>
      <c r="R4029" s="2"/>
      <c r="AB4029" s="2"/>
    </row>
    <row r="4030" spans="8:28" ht="15" customHeight="1">
      <c r="H4030" s="2"/>
      <c r="I4030" s="2"/>
      <c r="J4030" s="2"/>
      <c r="K4030" s="2"/>
      <c r="L4030" s="2"/>
      <c r="M4030" s="2"/>
      <c r="N4030" s="2"/>
      <c r="P4030" s="2"/>
      <c r="Q4030" s="2"/>
      <c r="R4030" s="2"/>
      <c r="AB4030" s="2"/>
    </row>
    <row r="4031" spans="8:28" ht="15" customHeight="1">
      <c r="H4031" s="2"/>
      <c r="I4031" s="2"/>
      <c r="J4031" s="2"/>
      <c r="K4031" s="2"/>
      <c r="L4031" s="2"/>
      <c r="M4031" s="2"/>
      <c r="N4031" s="2"/>
      <c r="P4031" s="2"/>
      <c r="Q4031" s="2"/>
      <c r="R4031" s="2"/>
      <c r="AB4031" s="2"/>
    </row>
    <row r="4032" spans="8:28" ht="15" customHeight="1">
      <c r="H4032" s="2"/>
      <c r="I4032" s="2"/>
      <c r="J4032" s="2"/>
      <c r="K4032" s="2"/>
      <c r="L4032" s="2"/>
      <c r="M4032" s="2"/>
      <c r="N4032" s="2"/>
      <c r="P4032" s="2"/>
      <c r="Q4032" s="2"/>
      <c r="R4032" s="2"/>
      <c r="AB4032" s="2"/>
    </row>
    <row r="4033" spans="8:28" ht="15" customHeight="1">
      <c r="H4033" s="2"/>
      <c r="I4033" s="2"/>
      <c r="J4033" s="2"/>
      <c r="K4033" s="2"/>
      <c r="L4033" s="2"/>
      <c r="M4033" s="2"/>
      <c r="N4033" s="2"/>
      <c r="P4033" s="2"/>
      <c r="Q4033" s="2"/>
      <c r="R4033" s="2"/>
      <c r="AB4033" s="2"/>
    </row>
    <row r="4034" spans="8:28" ht="15" customHeight="1">
      <c r="H4034" s="2"/>
      <c r="I4034" s="2"/>
      <c r="J4034" s="2"/>
      <c r="K4034" s="2"/>
      <c r="L4034" s="2"/>
      <c r="M4034" s="2"/>
      <c r="N4034" s="2"/>
      <c r="P4034" s="2"/>
      <c r="Q4034" s="2"/>
      <c r="R4034" s="2"/>
      <c r="AB4034" s="2"/>
    </row>
    <row r="4035" spans="8:28" ht="15" customHeight="1">
      <c r="H4035" s="2"/>
      <c r="I4035" s="2"/>
      <c r="J4035" s="2"/>
      <c r="K4035" s="2"/>
      <c r="L4035" s="2"/>
      <c r="M4035" s="2"/>
      <c r="N4035" s="2"/>
      <c r="P4035" s="2"/>
      <c r="Q4035" s="2"/>
      <c r="R4035" s="2"/>
      <c r="AB4035" s="2"/>
    </row>
    <row r="4036" spans="8:28" ht="15" customHeight="1">
      <c r="H4036" s="2"/>
      <c r="I4036" s="2"/>
      <c r="J4036" s="2"/>
      <c r="K4036" s="2"/>
      <c r="L4036" s="2"/>
      <c r="M4036" s="2"/>
      <c r="N4036" s="2"/>
      <c r="P4036" s="2"/>
      <c r="Q4036" s="2"/>
      <c r="R4036" s="2"/>
      <c r="AB4036" s="2"/>
    </row>
    <row r="4037" spans="8:28" ht="15" customHeight="1">
      <c r="H4037" s="2"/>
      <c r="I4037" s="2"/>
      <c r="J4037" s="2"/>
      <c r="K4037" s="2"/>
      <c r="L4037" s="2"/>
      <c r="M4037" s="2"/>
      <c r="N4037" s="2"/>
      <c r="P4037" s="2"/>
      <c r="Q4037" s="2"/>
      <c r="R4037" s="2"/>
      <c r="AB4037" s="2"/>
    </row>
    <row r="4038" spans="8:28" ht="15" customHeight="1">
      <c r="H4038" s="2"/>
      <c r="I4038" s="2"/>
      <c r="J4038" s="2"/>
      <c r="K4038" s="2"/>
      <c r="L4038" s="2"/>
      <c r="M4038" s="2"/>
      <c r="N4038" s="2"/>
      <c r="P4038" s="2"/>
      <c r="Q4038" s="2"/>
      <c r="R4038" s="2"/>
      <c r="AB4038" s="2"/>
    </row>
    <row r="4039" spans="8:28" ht="15" customHeight="1">
      <c r="H4039" s="2"/>
      <c r="I4039" s="2"/>
      <c r="J4039" s="2"/>
      <c r="K4039" s="2"/>
      <c r="L4039" s="2"/>
      <c r="M4039" s="2"/>
      <c r="N4039" s="2"/>
      <c r="P4039" s="2"/>
      <c r="Q4039" s="2"/>
      <c r="R4039" s="2"/>
      <c r="AB4039" s="2"/>
    </row>
    <row r="4040" spans="8:28" ht="15" customHeight="1">
      <c r="H4040" s="2"/>
      <c r="I4040" s="2"/>
      <c r="J4040" s="2"/>
      <c r="K4040" s="2"/>
      <c r="L4040" s="2"/>
      <c r="M4040" s="2"/>
      <c r="N4040" s="2"/>
      <c r="P4040" s="2"/>
      <c r="Q4040" s="2"/>
      <c r="R4040" s="2"/>
      <c r="AB4040" s="2"/>
    </row>
    <row r="4041" spans="8:28" ht="15" customHeight="1">
      <c r="H4041" s="2"/>
      <c r="I4041" s="2"/>
      <c r="J4041" s="2"/>
      <c r="K4041" s="2"/>
      <c r="L4041" s="2"/>
      <c r="M4041" s="2"/>
      <c r="N4041" s="2"/>
      <c r="P4041" s="2"/>
      <c r="Q4041" s="2"/>
      <c r="R4041" s="2"/>
      <c r="AB4041" s="2"/>
    </row>
    <row r="4042" spans="8:28" ht="15" customHeight="1">
      <c r="H4042" s="2"/>
      <c r="I4042" s="2"/>
      <c r="J4042" s="2"/>
      <c r="K4042" s="2"/>
      <c r="L4042" s="2"/>
      <c r="M4042" s="2"/>
      <c r="N4042" s="2"/>
      <c r="P4042" s="2"/>
      <c r="Q4042" s="2"/>
      <c r="R4042" s="2"/>
      <c r="AB4042" s="2"/>
    </row>
    <row r="4043" spans="8:28" ht="15" customHeight="1">
      <c r="H4043" s="2"/>
      <c r="I4043" s="2"/>
      <c r="J4043" s="2"/>
      <c r="K4043" s="2"/>
      <c r="L4043" s="2"/>
      <c r="M4043" s="2"/>
      <c r="N4043" s="2"/>
      <c r="P4043" s="2"/>
      <c r="Q4043" s="2"/>
      <c r="R4043" s="2"/>
      <c r="AB4043" s="2"/>
    </row>
    <row r="4044" spans="8:28" ht="15" customHeight="1">
      <c r="H4044" s="2"/>
      <c r="I4044" s="2"/>
      <c r="J4044" s="2"/>
      <c r="K4044" s="2"/>
      <c r="L4044" s="2"/>
      <c r="M4044" s="2"/>
      <c r="N4044" s="2"/>
      <c r="P4044" s="2"/>
      <c r="Q4044" s="2"/>
      <c r="R4044" s="2"/>
      <c r="AB4044" s="2"/>
    </row>
    <row r="4045" spans="8:28" ht="15" customHeight="1">
      <c r="H4045" s="2"/>
      <c r="I4045" s="2"/>
      <c r="J4045" s="2"/>
      <c r="K4045" s="2"/>
      <c r="L4045" s="2"/>
      <c r="M4045" s="2"/>
      <c r="N4045" s="2"/>
      <c r="P4045" s="2"/>
      <c r="Q4045" s="2"/>
      <c r="R4045" s="2"/>
      <c r="AB4045" s="2"/>
    </row>
    <row r="4046" spans="8:28" ht="15" customHeight="1">
      <c r="H4046" s="2"/>
      <c r="I4046" s="2"/>
      <c r="J4046" s="2"/>
      <c r="K4046" s="2"/>
      <c r="L4046" s="2"/>
      <c r="M4046" s="2"/>
      <c r="N4046" s="2"/>
      <c r="P4046" s="2"/>
      <c r="Q4046" s="2"/>
      <c r="R4046" s="2"/>
      <c r="AB4046" s="2"/>
    </row>
    <row r="4047" spans="8:28" ht="15" customHeight="1">
      <c r="H4047" s="2"/>
      <c r="I4047" s="2"/>
      <c r="J4047" s="2"/>
      <c r="K4047" s="2"/>
      <c r="L4047" s="2"/>
      <c r="M4047" s="2"/>
      <c r="N4047" s="2"/>
      <c r="P4047" s="2"/>
      <c r="Q4047" s="2"/>
      <c r="R4047" s="2"/>
      <c r="AB4047" s="2"/>
    </row>
    <row r="4048" spans="8:28" ht="15" customHeight="1">
      <c r="H4048" s="2"/>
      <c r="I4048" s="2"/>
      <c r="J4048" s="2"/>
      <c r="K4048" s="2"/>
      <c r="L4048" s="2"/>
      <c r="M4048" s="2"/>
      <c r="N4048" s="2"/>
      <c r="P4048" s="2"/>
      <c r="Q4048" s="2"/>
      <c r="R4048" s="2"/>
      <c r="AB4048" s="2"/>
    </row>
    <row r="4049" spans="8:28" ht="15" customHeight="1">
      <c r="H4049" s="2"/>
      <c r="I4049" s="2"/>
      <c r="J4049" s="2"/>
      <c r="K4049" s="2"/>
      <c r="L4049" s="2"/>
      <c r="M4049" s="2"/>
      <c r="N4049" s="2"/>
      <c r="P4049" s="2"/>
      <c r="Q4049" s="2"/>
      <c r="R4049" s="2"/>
      <c r="AB4049" s="2"/>
    </row>
    <row r="4050" spans="8:28" ht="15" customHeight="1">
      <c r="H4050" s="2"/>
      <c r="I4050" s="2"/>
      <c r="J4050" s="2"/>
      <c r="K4050" s="2"/>
      <c r="L4050" s="2"/>
      <c r="M4050" s="2"/>
      <c r="N4050" s="2"/>
      <c r="P4050" s="2"/>
      <c r="Q4050" s="2"/>
      <c r="R4050" s="2"/>
      <c r="AB4050" s="2"/>
    </row>
    <row r="4051" spans="8:28" ht="15" customHeight="1">
      <c r="H4051" s="2"/>
      <c r="I4051" s="2"/>
      <c r="J4051" s="2"/>
      <c r="K4051" s="2"/>
      <c r="L4051" s="2"/>
      <c r="M4051" s="2"/>
      <c r="N4051" s="2"/>
      <c r="P4051" s="2"/>
      <c r="Q4051" s="2"/>
      <c r="R4051" s="2"/>
      <c r="AB4051" s="2"/>
    </row>
    <row r="4052" spans="8:28" ht="15" customHeight="1">
      <c r="H4052" s="2"/>
      <c r="I4052" s="2"/>
      <c r="J4052" s="2"/>
      <c r="K4052" s="2"/>
      <c r="L4052" s="2"/>
      <c r="M4052" s="2"/>
      <c r="N4052" s="2"/>
      <c r="P4052" s="2"/>
      <c r="Q4052" s="2"/>
      <c r="R4052" s="2"/>
      <c r="AB4052" s="2"/>
    </row>
    <row r="4053" spans="8:28" ht="15" customHeight="1">
      <c r="H4053" s="2"/>
      <c r="I4053" s="2"/>
      <c r="J4053" s="2"/>
      <c r="K4053" s="2"/>
      <c r="L4053" s="2"/>
      <c r="M4053" s="2"/>
      <c r="N4053" s="2"/>
      <c r="P4053" s="2"/>
      <c r="Q4053" s="2"/>
      <c r="R4053" s="2"/>
      <c r="AB4053" s="2"/>
    </row>
    <row r="4054" spans="8:28" ht="15" customHeight="1">
      <c r="H4054" s="2"/>
      <c r="I4054" s="2"/>
      <c r="J4054" s="2"/>
      <c r="K4054" s="2"/>
      <c r="L4054" s="2"/>
      <c r="M4054" s="2"/>
      <c r="N4054" s="2"/>
      <c r="P4054" s="2"/>
      <c r="Q4054" s="2"/>
      <c r="R4054" s="2"/>
      <c r="AB4054" s="2"/>
    </row>
    <row r="4055" spans="8:28" ht="15" customHeight="1">
      <c r="H4055" s="2"/>
      <c r="I4055" s="2"/>
      <c r="J4055" s="2"/>
      <c r="K4055" s="2"/>
      <c r="L4055" s="2"/>
      <c r="M4055" s="2"/>
      <c r="N4055" s="2"/>
      <c r="P4055" s="2"/>
      <c r="Q4055" s="2"/>
      <c r="R4055" s="2"/>
      <c r="AB4055" s="2"/>
    </row>
    <row r="4056" spans="8:28" ht="15" customHeight="1">
      <c r="H4056" s="2"/>
      <c r="I4056" s="2"/>
      <c r="J4056" s="2"/>
      <c r="K4056" s="2"/>
      <c r="L4056" s="2"/>
      <c r="M4056" s="2"/>
      <c r="N4056" s="2"/>
      <c r="P4056" s="2"/>
      <c r="Q4056" s="2"/>
      <c r="R4056" s="2"/>
      <c r="AB4056" s="2"/>
    </row>
    <row r="4057" spans="8:28" ht="15" customHeight="1">
      <c r="H4057" s="2"/>
      <c r="I4057" s="2"/>
      <c r="J4057" s="2"/>
      <c r="K4057" s="2"/>
      <c r="L4057" s="2"/>
      <c r="M4057" s="2"/>
      <c r="N4057" s="2"/>
      <c r="P4057" s="2"/>
      <c r="Q4057" s="2"/>
      <c r="R4057" s="2"/>
      <c r="AB4057" s="2"/>
    </row>
    <row r="4058" spans="8:28" ht="15" customHeight="1">
      <c r="H4058" s="2"/>
      <c r="I4058" s="2"/>
      <c r="J4058" s="2"/>
      <c r="K4058" s="2"/>
      <c r="L4058" s="2"/>
      <c r="M4058" s="2"/>
      <c r="N4058" s="2"/>
      <c r="P4058" s="2"/>
      <c r="Q4058" s="2"/>
      <c r="R4058" s="2"/>
      <c r="AB4058" s="2"/>
    </row>
    <row r="4059" spans="8:28" ht="15" customHeight="1">
      <c r="H4059" s="2"/>
      <c r="I4059" s="2"/>
      <c r="J4059" s="2"/>
      <c r="K4059" s="2"/>
      <c r="L4059" s="2"/>
      <c r="M4059" s="2"/>
      <c r="N4059" s="2"/>
      <c r="P4059" s="2"/>
      <c r="Q4059" s="2"/>
      <c r="R4059" s="2"/>
      <c r="AB4059" s="2"/>
    </row>
    <row r="4060" spans="8:28" ht="15" customHeight="1">
      <c r="H4060" s="2"/>
      <c r="I4060" s="2"/>
      <c r="J4060" s="2"/>
      <c r="K4060" s="2"/>
      <c r="L4060" s="2"/>
      <c r="M4060" s="2"/>
      <c r="N4060" s="2"/>
      <c r="P4060" s="2"/>
      <c r="Q4060" s="2"/>
      <c r="R4060" s="2"/>
      <c r="AB4060" s="2"/>
    </row>
    <row r="4061" spans="8:28" ht="15" customHeight="1">
      <c r="H4061" s="2"/>
      <c r="I4061" s="2"/>
      <c r="J4061" s="2"/>
      <c r="K4061" s="2"/>
      <c r="L4061" s="2"/>
      <c r="M4061" s="2"/>
      <c r="N4061" s="2"/>
      <c r="P4061" s="2"/>
      <c r="Q4061" s="2"/>
      <c r="R4061" s="2"/>
      <c r="AB4061" s="2"/>
    </row>
    <row r="4062" spans="8:28" ht="15" customHeight="1">
      <c r="H4062" s="2"/>
      <c r="I4062" s="2"/>
      <c r="J4062" s="2"/>
      <c r="K4062" s="2"/>
      <c r="L4062" s="2"/>
      <c r="M4062" s="2"/>
      <c r="N4062" s="2"/>
      <c r="P4062" s="2"/>
      <c r="Q4062" s="2"/>
      <c r="R4062" s="2"/>
      <c r="AB4062" s="2"/>
    </row>
    <row r="4063" spans="8:28" ht="15" customHeight="1">
      <c r="H4063" s="2"/>
      <c r="I4063" s="2"/>
      <c r="J4063" s="2"/>
      <c r="K4063" s="2"/>
      <c r="L4063" s="2"/>
      <c r="M4063" s="2"/>
      <c r="N4063" s="2"/>
      <c r="P4063" s="2"/>
      <c r="Q4063" s="2"/>
      <c r="R4063" s="2"/>
      <c r="AB4063" s="2"/>
    </row>
    <row r="4064" spans="8:28" ht="15" customHeight="1">
      <c r="H4064" s="2"/>
      <c r="I4064" s="2"/>
      <c r="J4064" s="2"/>
      <c r="K4064" s="2"/>
      <c r="L4064" s="2"/>
      <c r="M4064" s="2"/>
      <c r="N4064" s="2"/>
      <c r="P4064" s="2"/>
      <c r="Q4064" s="2"/>
      <c r="R4064" s="2"/>
      <c r="AB4064" s="2"/>
    </row>
    <row r="4065" spans="8:28" ht="15" customHeight="1">
      <c r="H4065" s="2"/>
      <c r="I4065" s="2"/>
      <c r="J4065" s="2"/>
      <c r="K4065" s="2"/>
      <c r="L4065" s="2"/>
      <c r="M4065" s="2"/>
      <c r="N4065" s="2"/>
      <c r="P4065" s="2"/>
      <c r="Q4065" s="2"/>
      <c r="R4065" s="2"/>
      <c r="AB4065" s="2"/>
    </row>
    <row r="4066" spans="8:28" ht="15" customHeight="1">
      <c r="H4066" s="2"/>
      <c r="I4066" s="2"/>
      <c r="J4066" s="2"/>
      <c r="K4066" s="2"/>
      <c r="L4066" s="2"/>
      <c r="M4066" s="2"/>
      <c r="N4066" s="2"/>
      <c r="P4066" s="2"/>
      <c r="Q4066" s="2"/>
      <c r="R4066" s="2"/>
      <c r="AB4066" s="2"/>
    </row>
    <row r="4067" spans="8:28" ht="15" customHeight="1">
      <c r="H4067" s="2"/>
      <c r="I4067" s="2"/>
      <c r="J4067" s="2"/>
      <c r="K4067" s="2"/>
      <c r="L4067" s="2"/>
      <c r="M4067" s="2"/>
      <c r="N4067" s="2"/>
      <c r="P4067" s="2"/>
      <c r="Q4067" s="2"/>
      <c r="R4067" s="2"/>
      <c r="AB4067" s="2"/>
    </row>
    <row r="4068" spans="8:28" ht="15" customHeight="1">
      <c r="H4068" s="2"/>
      <c r="I4068" s="2"/>
      <c r="J4068" s="2"/>
      <c r="K4068" s="2"/>
      <c r="L4068" s="2"/>
      <c r="M4068" s="2"/>
      <c r="N4068" s="2"/>
      <c r="P4068" s="2"/>
      <c r="Q4068" s="2"/>
      <c r="R4068" s="2"/>
      <c r="AB4068" s="2"/>
    </row>
    <row r="4069" spans="8:28" ht="15" customHeight="1">
      <c r="H4069" s="2"/>
      <c r="I4069" s="2"/>
      <c r="J4069" s="2"/>
      <c r="K4069" s="2"/>
      <c r="L4069" s="2"/>
      <c r="M4069" s="2"/>
      <c r="N4069" s="2"/>
      <c r="P4069" s="2"/>
      <c r="Q4069" s="2"/>
      <c r="R4069" s="2"/>
      <c r="AB4069" s="2"/>
    </row>
    <row r="4070" spans="8:28" ht="15" customHeight="1">
      <c r="H4070" s="2"/>
      <c r="I4070" s="2"/>
      <c r="J4070" s="2"/>
      <c r="K4070" s="2"/>
      <c r="L4070" s="2"/>
      <c r="M4070" s="2"/>
      <c r="N4070" s="2"/>
      <c r="P4070" s="2"/>
      <c r="Q4070" s="2"/>
      <c r="R4070" s="2"/>
      <c r="AB4070" s="2"/>
    </row>
    <row r="4071" spans="8:28" ht="15" customHeight="1">
      <c r="H4071" s="2"/>
      <c r="I4071" s="2"/>
      <c r="J4071" s="2"/>
      <c r="K4071" s="2"/>
      <c r="L4071" s="2"/>
      <c r="M4071" s="2"/>
      <c r="N4071" s="2"/>
      <c r="P4071" s="2"/>
      <c r="Q4071" s="2"/>
      <c r="R4071" s="2"/>
      <c r="AB4071" s="2"/>
    </row>
    <row r="4072" spans="8:28" ht="15" customHeight="1">
      <c r="H4072" s="2"/>
      <c r="I4072" s="2"/>
      <c r="J4072" s="2"/>
      <c r="K4072" s="2"/>
      <c r="L4072" s="2"/>
      <c r="M4072" s="2"/>
      <c r="N4072" s="2"/>
      <c r="P4072" s="2"/>
      <c r="Q4072" s="2"/>
      <c r="R4072" s="2"/>
      <c r="AB4072" s="2"/>
    </row>
    <row r="4073" spans="8:28" ht="15" customHeight="1">
      <c r="H4073" s="2"/>
      <c r="I4073" s="2"/>
      <c r="J4073" s="2"/>
      <c r="K4073" s="2"/>
      <c r="L4073" s="2"/>
      <c r="M4073" s="2"/>
      <c r="N4073" s="2"/>
      <c r="P4073" s="2"/>
      <c r="Q4073" s="2"/>
      <c r="R4073" s="2"/>
      <c r="AB4073" s="2"/>
    </row>
    <row r="4074" spans="8:28" ht="15" customHeight="1">
      <c r="H4074" s="2"/>
      <c r="I4074" s="2"/>
      <c r="J4074" s="2"/>
      <c r="K4074" s="2"/>
      <c r="L4074" s="2"/>
      <c r="M4074" s="2"/>
      <c r="N4074" s="2"/>
      <c r="P4074" s="2"/>
      <c r="Q4074" s="2"/>
      <c r="R4074" s="2"/>
      <c r="AB4074" s="2"/>
    </row>
    <row r="4075" spans="8:28" ht="15" customHeight="1">
      <c r="H4075" s="2"/>
      <c r="I4075" s="2"/>
      <c r="J4075" s="2"/>
      <c r="K4075" s="2"/>
      <c r="L4075" s="2"/>
      <c r="M4075" s="2"/>
      <c r="N4075" s="2"/>
      <c r="P4075" s="2"/>
      <c r="Q4075" s="2"/>
      <c r="R4075" s="2"/>
      <c r="AB4075" s="2"/>
    </row>
    <row r="4076" spans="8:28" ht="15" customHeight="1">
      <c r="H4076" s="2"/>
      <c r="I4076" s="2"/>
      <c r="J4076" s="2"/>
      <c r="K4076" s="2"/>
      <c r="L4076" s="2"/>
      <c r="M4076" s="2"/>
      <c r="N4076" s="2"/>
      <c r="P4076" s="2"/>
      <c r="Q4076" s="2"/>
      <c r="R4076" s="2"/>
      <c r="AB4076" s="2"/>
    </row>
    <row r="4077" spans="8:28" ht="15" customHeight="1">
      <c r="H4077" s="2"/>
      <c r="I4077" s="2"/>
      <c r="J4077" s="2"/>
      <c r="K4077" s="2"/>
      <c r="L4077" s="2"/>
      <c r="M4077" s="2"/>
      <c r="N4077" s="2"/>
      <c r="P4077" s="2"/>
      <c r="Q4077" s="2"/>
      <c r="R4077" s="2"/>
      <c r="AB4077" s="2"/>
    </row>
    <row r="4078" spans="8:28" ht="15" customHeight="1">
      <c r="H4078" s="2"/>
      <c r="I4078" s="2"/>
      <c r="J4078" s="2"/>
      <c r="K4078" s="2"/>
      <c r="L4078" s="2"/>
      <c r="M4078" s="2"/>
      <c r="N4078" s="2"/>
      <c r="P4078" s="2"/>
      <c r="Q4078" s="2"/>
      <c r="R4078" s="2"/>
      <c r="AB4078" s="2"/>
    </row>
    <row r="4079" spans="8:28" ht="15" customHeight="1">
      <c r="H4079" s="2"/>
      <c r="I4079" s="2"/>
      <c r="J4079" s="2"/>
      <c r="K4079" s="2"/>
      <c r="L4079" s="2"/>
      <c r="M4079" s="2"/>
      <c r="N4079" s="2"/>
      <c r="P4079" s="2"/>
      <c r="Q4079" s="2"/>
      <c r="R4079" s="2"/>
      <c r="AB4079" s="2"/>
    </row>
    <row r="4080" spans="8:28" ht="15" customHeight="1">
      <c r="H4080" s="2"/>
      <c r="I4080" s="2"/>
      <c r="J4080" s="2"/>
      <c r="K4080" s="2"/>
      <c r="L4080" s="2"/>
      <c r="M4080" s="2"/>
      <c r="N4080" s="2"/>
      <c r="P4080" s="2"/>
      <c r="Q4080" s="2"/>
      <c r="R4080" s="2"/>
      <c r="AB4080" s="2"/>
    </row>
    <row r="4081" spans="8:28" ht="15" customHeight="1">
      <c r="H4081" s="2"/>
      <c r="I4081" s="2"/>
      <c r="J4081" s="2"/>
      <c r="K4081" s="2"/>
      <c r="L4081" s="2"/>
      <c r="M4081" s="2"/>
      <c r="N4081" s="2"/>
      <c r="P4081" s="2"/>
      <c r="Q4081" s="2"/>
      <c r="R4081" s="2"/>
      <c r="AB4081" s="2"/>
    </row>
    <row r="4082" spans="8:28" ht="15" customHeight="1">
      <c r="H4082" s="2"/>
      <c r="I4082" s="2"/>
      <c r="J4082" s="2"/>
      <c r="K4082" s="2"/>
      <c r="L4082" s="2"/>
      <c r="M4082" s="2"/>
      <c r="N4082" s="2"/>
      <c r="P4082" s="2"/>
      <c r="Q4082" s="2"/>
      <c r="R4082" s="2"/>
      <c r="AB4082" s="2"/>
    </row>
    <row r="4083" spans="8:28" ht="15" customHeight="1">
      <c r="H4083" s="2"/>
      <c r="I4083" s="2"/>
      <c r="J4083" s="2"/>
      <c r="K4083" s="2"/>
      <c r="L4083" s="2"/>
      <c r="M4083" s="2"/>
      <c r="N4083" s="2"/>
      <c r="P4083" s="2"/>
      <c r="Q4083" s="2"/>
      <c r="R4083" s="2"/>
      <c r="AB4083" s="2"/>
    </row>
    <row r="4084" spans="8:28" ht="15" customHeight="1">
      <c r="H4084" s="2"/>
      <c r="I4084" s="2"/>
      <c r="J4084" s="2"/>
      <c r="K4084" s="2"/>
      <c r="L4084" s="2"/>
      <c r="M4084" s="2"/>
      <c r="N4084" s="2"/>
      <c r="P4084" s="2"/>
      <c r="Q4084" s="2"/>
      <c r="R4084" s="2"/>
      <c r="AB4084" s="2"/>
    </row>
    <row r="4085" spans="8:28" ht="15" customHeight="1">
      <c r="H4085" s="2"/>
      <c r="I4085" s="2"/>
      <c r="J4085" s="2"/>
      <c r="K4085" s="2"/>
      <c r="L4085" s="2"/>
      <c r="M4085" s="2"/>
      <c r="N4085" s="2"/>
      <c r="P4085" s="2"/>
      <c r="Q4085" s="2"/>
      <c r="R4085" s="2"/>
      <c r="AB4085" s="2"/>
    </row>
    <row r="4086" spans="8:28" ht="15" customHeight="1">
      <c r="H4086" s="2"/>
      <c r="I4086" s="2"/>
      <c r="J4086" s="2"/>
      <c r="K4086" s="2"/>
      <c r="L4086" s="2"/>
      <c r="M4086" s="2"/>
      <c r="N4086" s="2"/>
      <c r="P4086" s="2"/>
      <c r="Q4086" s="2"/>
      <c r="R4086" s="2"/>
      <c r="AB4086" s="2"/>
    </row>
    <row r="4087" spans="8:28" ht="15" customHeight="1">
      <c r="H4087" s="2"/>
      <c r="I4087" s="2"/>
      <c r="J4087" s="2"/>
      <c r="K4087" s="2"/>
      <c r="L4087" s="2"/>
      <c r="M4087" s="2"/>
      <c r="N4087" s="2"/>
      <c r="P4087" s="2"/>
      <c r="Q4087" s="2"/>
      <c r="R4087" s="2"/>
      <c r="AB4087" s="2"/>
    </row>
    <row r="4088" spans="8:28" ht="15" customHeight="1">
      <c r="H4088" s="2"/>
      <c r="I4088" s="2"/>
      <c r="J4088" s="2"/>
      <c r="K4088" s="2"/>
      <c r="L4088" s="2"/>
      <c r="M4088" s="2"/>
      <c r="N4088" s="2"/>
      <c r="P4088" s="2"/>
      <c r="Q4088" s="2"/>
      <c r="R4088" s="2"/>
      <c r="AB4088" s="2"/>
    </row>
    <row r="4089" spans="8:28" ht="15" customHeight="1">
      <c r="H4089" s="2"/>
      <c r="I4089" s="2"/>
      <c r="J4089" s="2"/>
      <c r="K4089" s="2"/>
      <c r="L4089" s="2"/>
      <c r="M4089" s="2"/>
      <c r="N4089" s="2"/>
      <c r="P4089" s="2"/>
      <c r="Q4089" s="2"/>
      <c r="R4089" s="2"/>
      <c r="AB4089" s="2"/>
    </row>
    <row r="4090" spans="8:28" ht="15" customHeight="1">
      <c r="H4090" s="2"/>
      <c r="I4090" s="2"/>
      <c r="J4090" s="2"/>
      <c r="K4090" s="2"/>
      <c r="L4090" s="2"/>
      <c r="M4090" s="2"/>
      <c r="N4090" s="2"/>
      <c r="P4090" s="2"/>
      <c r="Q4090" s="2"/>
      <c r="R4090" s="2"/>
      <c r="AB4090" s="2"/>
    </row>
    <row r="4091" spans="8:28" ht="15" customHeight="1">
      <c r="H4091" s="2"/>
      <c r="I4091" s="2"/>
      <c r="J4091" s="2"/>
      <c r="K4091" s="2"/>
      <c r="L4091" s="2"/>
      <c r="M4091" s="2"/>
      <c r="N4091" s="2"/>
      <c r="P4091" s="2"/>
      <c r="Q4091" s="2"/>
      <c r="R4091" s="2"/>
      <c r="AB4091" s="2"/>
    </row>
    <row r="4092" spans="8:28" ht="15" customHeight="1">
      <c r="H4092" s="2"/>
      <c r="I4092" s="2"/>
      <c r="J4092" s="2"/>
      <c r="K4092" s="2"/>
      <c r="L4092" s="2"/>
      <c r="M4092" s="2"/>
      <c r="N4092" s="2"/>
      <c r="P4092" s="2"/>
      <c r="Q4092" s="2"/>
      <c r="R4092" s="2"/>
      <c r="AB4092" s="2"/>
    </row>
    <row r="4093" spans="8:28" ht="15" customHeight="1">
      <c r="H4093" s="2"/>
      <c r="I4093" s="2"/>
      <c r="J4093" s="2"/>
      <c r="K4093" s="2"/>
      <c r="L4093" s="2"/>
      <c r="M4093" s="2"/>
      <c r="N4093" s="2"/>
      <c r="P4093" s="2"/>
      <c r="Q4093" s="2"/>
      <c r="R4093" s="2"/>
      <c r="AB4093" s="2"/>
    </row>
    <row r="4094" spans="8:28" ht="15" customHeight="1">
      <c r="H4094" s="2"/>
      <c r="I4094" s="2"/>
      <c r="J4094" s="2"/>
      <c r="K4094" s="2"/>
      <c r="L4094" s="2"/>
      <c r="M4094" s="2"/>
      <c r="N4094" s="2"/>
      <c r="P4094" s="2"/>
      <c r="Q4094" s="2"/>
      <c r="R4094" s="2"/>
      <c r="AB4094" s="2"/>
    </row>
    <row r="4095" spans="8:28" ht="15" customHeight="1">
      <c r="H4095" s="2"/>
      <c r="I4095" s="2"/>
      <c r="J4095" s="2"/>
      <c r="K4095" s="2"/>
      <c r="L4095" s="2"/>
      <c r="M4095" s="2"/>
      <c r="N4095" s="2"/>
      <c r="P4095" s="2"/>
      <c r="Q4095" s="2"/>
      <c r="R4095" s="2"/>
      <c r="AB4095" s="2"/>
    </row>
    <row r="4096" spans="8:28" ht="15" customHeight="1">
      <c r="H4096" s="2"/>
      <c r="I4096" s="2"/>
      <c r="J4096" s="2"/>
      <c r="K4096" s="2"/>
      <c r="L4096" s="2"/>
      <c r="M4096" s="2"/>
      <c r="N4096" s="2"/>
      <c r="P4096" s="2"/>
      <c r="Q4096" s="2"/>
      <c r="R4096" s="2"/>
      <c r="AB4096" s="2"/>
    </row>
    <row r="4097" spans="8:28" ht="15" customHeight="1">
      <c r="H4097" s="2"/>
      <c r="I4097" s="2"/>
      <c r="J4097" s="2"/>
      <c r="K4097" s="2"/>
      <c r="L4097" s="2"/>
      <c r="M4097" s="2"/>
      <c r="N4097" s="2"/>
      <c r="P4097" s="2"/>
      <c r="Q4097" s="2"/>
      <c r="R4097" s="2"/>
      <c r="AB4097" s="2"/>
    </row>
    <row r="4098" spans="8:28" ht="15" customHeight="1">
      <c r="H4098" s="2"/>
      <c r="I4098" s="2"/>
      <c r="J4098" s="2"/>
      <c r="K4098" s="2"/>
      <c r="L4098" s="2"/>
      <c r="M4098" s="2"/>
      <c r="N4098" s="2"/>
      <c r="P4098" s="2"/>
      <c r="Q4098" s="2"/>
      <c r="R4098" s="2"/>
      <c r="AB4098" s="2"/>
    </row>
    <row r="4099" spans="8:28" ht="15" customHeight="1">
      <c r="H4099" s="2"/>
      <c r="I4099" s="2"/>
      <c r="J4099" s="2"/>
      <c r="K4099" s="2"/>
      <c r="L4099" s="2"/>
      <c r="M4099" s="2"/>
      <c r="N4099" s="2"/>
      <c r="P4099" s="2"/>
      <c r="Q4099" s="2"/>
      <c r="R4099" s="2"/>
      <c r="AB4099" s="2"/>
    </row>
    <row r="4100" spans="8:28" ht="15" customHeight="1">
      <c r="H4100" s="2"/>
      <c r="I4100" s="2"/>
      <c r="J4100" s="2"/>
      <c r="K4100" s="2"/>
      <c r="L4100" s="2"/>
      <c r="M4100" s="2"/>
      <c r="N4100" s="2"/>
      <c r="P4100" s="2"/>
      <c r="Q4100" s="2"/>
      <c r="R4100" s="2"/>
      <c r="AB4100" s="2"/>
    </row>
    <row r="4101" spans="8:28" ht="15" customHeight="1">
      <c r="H4101" s="2"/>
      <c r="I4101" s="2"/>
      <c r="J4101" s="2"/>
      <c r="K4101" s="2"/>
      <c r="L4101" s="2"/>
      <c r="M4101" s="2"/>
      <c r="N4101" s="2"/>
      <c r="P4101" s="2"/>
      <c r="Q4101" s="2"/>
      <c r="R4101" s="2"/>
      <c r="AB4101" s="2"/>
    </row>
    <row r="4102" spans="8:28" ht="15" customHeight="1">
      <c r="H4102" s="2"/>
      <c r="I4102" s="2"/>
      <c r="J4102" s="2"/>
      <c r="K4102" s="2"/>
      <c r="L4102" s="2"/>
      <c r="M4102" s="2"/>
      <c r="N4102" s="2"/>
      <c r="P4102" s="2"/>
      <c r="Q4102" s="2"/>
      <c r="R4102" s="2"/>
      <c r="AB4102" s="2"/>
    </row>
    <row r="4103" spans="8:28" ht="15" customHeight="1">
      <c r="H4103" s="2"/>
      <c r="I4103" s="2"/>
      <c r="J4103" s="2"/>
      <c r="K4103" s="2"/>
      <c r="L4103" s="2"/>
      <c r="M4103" s="2"/>
      <c r="N4103" s="2"/>
      <c r="P4103" s="2"/>
      <c r="Q4103" s="2"/>
      <c r="R4103" s="2"/>
      <c r="AB4103" s="2"/>
    </row>
    <row r="4104" spans="8:28" ht="15" customHeight="1">
      <c r="H4104" s="2"/>
      <c r="I4104" s="2"/>
      <c r="J4104" s="2"/>
      <c r="K4104" s="2"/>
      <c r="L4104" s="2"/>
      <c r="M4104" s="2"/>
      <c r="N4104" s="2"/>
      <c r="P4104" s="2"/>
      <c r="Q4104" s="2"/>
      <c r="R4104" s="2"/>
      <c r="AB4104" s="2"/>
    </row>
    <row r="4105" spans="8:28" ht="15" customHeight="1">
      <c r="H4105" s="2"/>
      <c r="I4105" s="2"/>
      <c r="J4105" s="2"/>
      <c r="K4105" s="2"/>
      <c r="L4105" s="2"/>
      <c r="M4105" s="2"/>
      <c r="N4105" s="2"/>
      <c r="P4105" s="2"/>
      <c r="Q4105" s="2"/>
      <c r="R4105" s="2"/>
      <c r="AB4105" s="2"/>
    </row>
    <row r="4106" spans="8:28" ht="15" customHeight="1">
      <c r="H4106" s="2"/>
      <c r="I4106" s="2"/>
      <c r="J4106" s="2"/>
      <c r="K4106" s="2"/>
      <c r="L4106" s="2"/>
      <c r="M4106" s="2"/>
      <c r="N4106" s="2"/>
      <c r="P4106" s="2"/>
      <c r="Q4106" s="2"/>
      <c r="R4106" s="2"/>
      <c r="AB4106" s="2"/>
    </row>
    <row r="4107" spans="8:28" ht="15" customHeight="1">
      <c r="H4107" s="2"/>
      <c r="I4107" s="2"/>
      <c r="J4107" s="2"/>
      <c r="K4107" s="2"/>
      <c r="L4107" s="2"/>
      <c r="M4107" s="2"/>
      <c r="N4107" s="2"/>
      <c r="P4107" s="2"/>
      <c r="Q4107" s="2"/>
      <c r="R4107" s="2"/>
      <c r="AB4107" s="2"/>
    </row>
    <row r="4108" spans="8:28" ht="15" customHeight="1">
      <c r="H4108" s="2"/>
      <c r="I4108" s="2"/>
      <c r="J4108" s="2"/>
      <c r="K4108" s="2"/>
      <c r="L4108" s="2"/>
      <c r="M4108" s="2"/>
      <c r="N4108" s="2"/>
      <c r="P4108" s="2"/>
      <c r="Q4108" s="2"/>
      <c r="R4108" s="2"/>
      <c r="AB4108" s="2"/>
    </row>
    <row r="4109" spans="8:28" ht="15" customHeight="1">
      <c r="H4109" s="2"/>
      <c r="I4109" s="2"/>
      <c r="J4109" s="2"/>
      <c r="K4109" s="2"/>
      <c r="L4109" s="2"/>
      <c r="M4109" s="2"/>
      <c r="N4109" s="2"/>
      <c r="P4109" s="2"/>
      <c r="Q4109" s="2"/>
      <c r="R4109" s="2"/>
      <c r="AB4109" s="2"/>
    </row>
    <row r="4110" spans="8:28" ht="15" customHeight="1">
      <c r="H4110" s="2"/>
      <c r="I4110" s="2"/>
      <c r="J4110" s="2"/>
      <c r="K4110" s="2"/>
      <c r="L4110" s="2"/>
      <c r="M4110" s="2"/>
      <c r="N4110" s="2"/>
      <c r="P4110" s="2"/>
      <c r="Q4110" s="2"/>
      <c r="R4110" s="2"/>
      <c r="AB4110" s="2"/>
    </row>
    <row r="4111" spans="8:28" ht="15" customHeight="1">
      <c r="H4111" s="2"/>
      <c r="I4111" s="2"/>
      <c r="J4111" s="2"/>
      <c r="K4111" s="2"/>
      <c r="L4111" s="2"/>
      <c r="M4111" s="2"/>
      <c r="N4111" s="2"/>
      <c r="P4111" s="2"/>
      <c r="Q4111" s="2"/>
      <c r="R4111" s="2"/>
      <c r="AB4111" s="2"/>
    </row>
    <row r="4112" spans="8:28" ht="15" customHeight="1">
      <c r="H4112" s="2"/>
      <c r="I4112" s="2"/>
      <c r="J4112" s="2"/>
      <c r="K4112" s="2"/>
      <c r="L4112" s="2"/>
      <c r="M4112" s="2"/>
      <c r="N4112" s="2"/>
      <c r="P4112" s="2"/>
      <c r="Q4112" s="2"/>
      <c r="R4112" s="2"/>
      <c r="AB4112" s="2"/>
    </row>
    <row r="4113" spans="8:28" ht="15" customHeight="1">
      <c r="H4113" s="2"/>
      <c r="I4113" s="2"/>
      <c r="J4113" s="2"/>
      <c r="K4113" s="2"/>
      <c r="L4113" s="2"/>
      <c r="M4113" s="2"/>
      <c r="N4113" s="2"/>
      <c r="P4113" s="2"/>
      <c r="Q4113" s="2"/>
      <c r="R4113" s="2"/>
      <c r="AB4113" s="2"/>
    </row>
    <row r="4114" spans="8:28" ht="15" customHeight="1">
      <c r="H4114" s="2"/>
      <c r="I4114" s="2"/>
      <c r="J4114" s="2"/>
      <c r="K4114" s="2"/>
      <c r="L4114" s="2"/>
      <c r="M4114" s="2"/>
      <c r="N4114" s="2"/>
      <c r="P4114" s="2"/>
      <c r="Q4114" s="2"/>
      <c r="R4114" s="2"/>
      <c r="AB4114" s="2"/>
    </row>
    <row r="4115" spans="8:28" ht="15" customHeight="1">
      <c r="H4115" s="2"/>
      <c r="I4115" s="2"/>
      <c r="J4115" s="2"/>
      <c r="K4115" s="2"/>
      <c r="L4115" s="2"/>
      <c r="M4115" s="2"/>
      <c r="N4115" s="2"/>
      <c r="P4115" s="2"/>
      <c r="Q4115" s="2"/>
      <c r="R4115" s="2"/>
      <c r="AB4115" s="2"/>
    </row>
    <row r="4116" spans="8:28" ht="15" customHeight="1">
      <c r="H4116" s="2"/>
      <c r="I4116" s="2"/>
      <c r="J4116" s="2"/>
      <c r="K4116" s="2"/>
      <c r="L4116" s="2"/>
      <c r="M4116" s="2"/>
      <c r="N4116" s="2"/>
      <c r="P4116" s="2"/>
      <c r="Q4116" s="2"/>
      <c r="R4116" s="2"/>
      <c r="AB4116" s="2"/>
    </row>
    <row r="4117" spans="8:28" ht="15" customHeight="1">
      <c r="H4117" s="2"/>
      <c r="I4117" s="2"/>
      <c r="J4117" s="2"/>
      <c r="K4117" s="2"/>
      <c r="L4117" s="2"/>
      <c r="M4117" s="2"/>
      <c r="N4117" s="2"/>
      <c r="P4117" s="2"/>
      <c r="Q4117" s="2"/>
      <c r="R4117" s="2"/>
      <c r="AB4117" s="2"/>
    </row>
    <row r="4118" spans="8:28" ht="15" customHeight="1">
      <c r="H4118" s="2"/>
      <c r="I4118" s="2"/>
      <c r="J4118" s="2"/>
      <c r="K4118" s="2"/>
      <c r="L4118" s="2"/>
      <c r="M4118" s="2"/>
      <c r="N4118" s="2"/>
      <c r="P4118" s="2"/>
      <c r="Q4118" s="2"/>
      <c r="R4118" s="2"/>
      <c r="AB4118" s="2"/>
    </row>
    <row r="4119" spans="8:28" ht="15" customHeight="1">
      <c r="H4119" s="2"/>
      <c r="I4119" s="2"/>
      <c r="J4119" s="2"/>
      <c r="K4119" s="2"/>
      <c r="L4119" s="2"/>
      <c r="M4119" s="2"/>
      <c r="N4119" s="2"/>
      <c r="P4119" s="2"/>
      <c r="Q4119" s="2"/>
      <c r="R4119" s="2"/>
      <c r="AB4119" s="2"/>
    </row>
    <row r="4120" spans="8:28" ht="15" customHeight="1">
      <c r="H4120" s="2"/>
      <c r="I4120" s="2"/>
      <c r="J4120" s="2"/>
      <c r="K4120" s="2"/>
      <c r="L4120" s="2"/>
      <c r="M4120" s="2"/>
      <c r="N4120" s="2"/>
      <c r="P4120" s="2"/>
      <c r="Q4120" s="2"/>
      <c r="R4120" s="2"/>
      <c r="AB4120" s="2"/>
    </row>
    <row r="4121" spans="8:28" ht="15" customHeight="1">
      <c r="H4121" s="2"/>
      <c r="I4121" s="2"/>
      <c r="J4121" s="2"/>
      <c r="K4121" s="2"/>
      <c r="L4121" s="2"/>
      <c r="M4121" s="2"/>
      <c r="N4121" s="2"/>
      <c r="P4121" s="2"/>
      <c r="Q4121" s="2"/>
      <c r="R4121" s="2"/>
      <c r="AB4121" s="2"/>
    </row>
    <row r="4122" spans="8:28" ht="15" customHeight="1">
      <c r="H4122" s="2"/>
      <c r="I4122" s="2"/>
      <c r="J4122" s="2"/>
      <c r="K4122" s="2"/>
      <c r="L4122" s="2"/>
      <c r="M4122" s="2"/>
      <c r="N4122" s="2"/>
      <c r="P4122" s="2"/>
      <c r="Q4122" s="2"/>
      <c r="R4122" s="2"/>
      <c r="AB4122" s="2"/>
    </row>
    <row r="4123" spans="8:28" ht="15" customHeight="1">
      <c r="H4123" s="2"/>
      <c r="I4123" s="2"/>
      <c r="J4123" s="2"/>
      <c r="K4123" s="2"/>
      <c r="L4123" s="2"/>
      <c r="M4123" s="2"/>
      <c r="N4123" s="2"/>
      <c r="P4123" s="2"/>
      <c r="Q4123" s="2"/>
      <c r="R4123" s="2"/>
      <c r="AB4123" s="2"/>
    </row>
    <row r="4124" spans="8:28" ht="15" customHeight="1">
      <c r="H4124" s="2"/>
      <c r="I4124" s="2"/>
      <c r="J4124" s="2"/>
      <c r="K4124" s="2"/>
      <c r="L4124" s="2"/>
      <c r="M4124" s="2"/>
      <c r="N4124" s="2"/>
      <c r="P4124" s="2"/>
      <c r="Q4124" s="2"/>
      <c r="R4124" s="2"/>
      <c r="AB4124" s="2"/>
    </row>
    <row r="4125" spans="8:28" ht="15" customHeight="1">
      <c r="H4125" s="2"/>
      <c r="I4125" s="2"/>
      <c r="J4125" s="2"/>
      <c r="K4125" s="2"/>
      <c r="L4125" s="2"/>
      <c r="M4125" s="2"/>
      <c r="N4125" s="2"/>
      <c r="P4125" s="2"/>
      <c r="Q4125" s="2"/>
      <c r="R4125" s="2"/>
      <c r="AB4125" s="2"/>
    </row>
    <row r="4126" spans="8:28" ht="15" customHeight="1">
      <c r="H4126" s="2"/>
      <c r="I4126" s="2"/>
      <c r="J4126" s="2"/>
      <c r="K4126" s="2"/>
      <c r="L4126" s="2"/>
      <c r="M4126" s="2"/>
      <c r="N4126" s="2"/>
      <c r="P4126" s="2"/>
      <c r="Q4126" s="2"/>
      <c r="R4126" s="2"/>
      <c r="AB4126" s="2"/>
    </row>
    <row r="4127" spans="8:28" ht="15" customHeight="1">
      <c r="H4127" s="2"/>
      <c r="I4127" s="2"/>
      <c r="J4127" s="2"/>
      <c r="K4127" s="2"/>
      <c r="L4127" s="2"/>
      <c r="M4127" s="2"/>
      <c r="N4127" s="2"/>
      <c r="P4127" s="2"/>
      <c r="Q4127" s="2"/>
      <c r="R4127" s="2"/>
      <c r="AB4127" s="2"/>
    </row>
    <row r="4128" spans="8:28" ht="15" customHeight="1">
      <c r="H4128" s="2"/>
      <c r="I4128" s="2"/>
      <c r="J4128" s="2"/>
      <c r="K4128" s="2"/>
      <c r="L4128" s="2"/>
      <c r="M4128" s="2"/>
      <c r="N4128" s="2"/>
      <c r="P4128" s="2"/>
      <c r="Q4128" s="2"/>
      <c r="R4128" s="2"/>
      <c r="AB4128" s="2"/>
    </row>
    <row r="4129" spans="8:28" ht="15" customHeight="1">
      <c r="H4129" s="2"/>
      <c r="I4129" s="2"/>
      <c r="J4129" s="2"/>
      <c r="K4129" s="2"/>
      <c r="L4129" s="2"/>
      <c r="M4129" s="2"/>
      <c r="N4129" s="2"/>
      <c r="P4129" s="2"/>
      <c r="Q4129" s="2"/>
      <c r="R4129" s="2"/>
      <c r="AB4129" s="2"/>
    </row>
    <row r="4130" spans="8:28" ht="15" customHeight="1">
      <c r="H4130" s="2"/>
      <c r="I4130" s="2"/>
      <c r="J4130" s="2"/>
      <c r="K4130" s="2"/>
      <c r="L4130" s="2"/>
      <c r="M4130" s="2"/>
      <c r="N4130" s="2"/>
      <c r="P4130" s="2"/>
      <c r="Q4130" s="2"/>
      <c r="R4130" s="2"/>
      <c r="AB4130" s="2"/>
    </row>
    <row r="4131" spans="8:28" ht="15" customHeight="1">
      <c r="H4131" s="2"/>
      <c r="I4131" s="2"/>
      <c r="J4131" s="2"/>
      <c r="K4131" s="2"/>
      <c r="L4131" s="2"/>
      <c r="M4131" s="2"/>
      <c r="N4131" s="2"/>
      <c r="P4131" s="2"/>
      <c r="Q4131" s="2"/>
      <c r="R4131" s="2"/>
      <c r="AB4131" s="2"/>
    </row>
    <row r="4132" spans="8:28" ht="15" customHeight="1">
      <c r="H4132" s="2"/>
      <c r="I4132" s="2"/>
      <c r="J4132" s="2"/>
      <c r="K4132" s="2"/>
      <c r="L4132" s="2"/>
      <c r="M4132" s="2"/>
      <c r="N4132" s="2"/>
      <c r="P4132" s="2"/>
      <c r="Q4132" s="2"/>
      <c r="R4132" s="2"/>
      <c r="AB4132" s="2"/>
    </row>
    <row r="4133" spans="8:28" ht="15" customHeight="1">
      <c r="H4133" s="2"/>
      <c r="I4133" s="2"/>
      <c r="J4133" s="2"/>
      <c r="K4133" s="2"/>
      <c r="L4133" s="2"/>
      <c r="M4133" s="2"/>
      <c r="N4133" s="2"/>
      <c r="P4133" s="2"/>
      <c r="Q4133" s="2"/>
      <c r="R4133" s="2"/>
      <c r="AB4133" s="2"/>
    </row>
    <row r="4134" spans="8:28" ht="15" customHeight="1">
      <c r="H4134" s="2"/>
      <c r="I4134" s="2"/>
      <c r="J4134" s="2"/>
      <c r="K4134" s="2"/>
      <c r="L4134" s="2"/>
      <c r="M4134" s="2"/>
      <c r="N4134" s="2"/>
      <c r="P4134" s="2"/>
      <c r="Q4134" s="2"/>
      <c r="R4134" s="2"/>
      <c r="AB4134" s="2"/>
    </row>
    <row r="4135" spans="8:28" ht="15" customHeight="1">
      <c r="H4135" s="2"/>
      <c r="I4135" s="2"/>
      <c r="J4135" s="2"/>
      <c r="K4135" s="2"/>
      <c r="L4135" s="2"/>
      <c r="M4135" s="2"/>
      <c r="N4135" s="2"/>
      <c r="P4135" s="2"/>
      <c r="Q4135" s="2"/>
      <c r="R4135" s="2"/>
      <c r="AB4135" s="2"/>
    </row>
    <row r="4136" spans="8:28" ht="15" customHeight="1">
      <c r="H4136" s="2"/>
      <c r="I4136" s="2"/>
      <c r="J4136" s="2"/>
      <c r="K4136" s="2"/>
      <c r="L4136" s="2"/>
      <c r="M4136" s="2"/>
      <c r="N4136" s="2"/>
      <c r="P4136" s="2"/>
      <c r="Q4136" s="2"/>
      <c r="R4136" s="2"/>
      <c r="AB4136" s="2"/>
    </row>
    <row r="4137" spans="8:28" ht="15" customHeight="1">
      <c r="H4137" s="2"/>
      <c r="I4137" s="2"/>
      <c r="J4137" s="2"/>
      <c r="K4137" s="2"/>
      <c r="L4137" s="2"/>
      <c r="M4137" s="2"/>
      <c r="N4137" s="2"/>
      <c r="P4137" s="2"/>
      <c r="Q4137" s="2"/>
      <c r="R4137" s="2"/>
      <c r="AB4137" s="2"/>
    </row>
    <row r="4138" spans="8:28" ht="15" customHeight="1">
      <c r="H4138" s="2"/>
      <c r="I4138" s="2"/>
      <c r="J4138" s="2"/>
      <c r="K4138" s="2"/>
      <c r="L4138" s="2"/>
      <c r="M4138" s="2"/>
      <c r="N4138" s="2"/>
      <c r="P4138" s="2"/>
      <c r="Q4138" s="2"/>
      <c r="R4138" s="2"/>
      <c r="AB4138" s="2"/>
    </row>
    <row r="4139" spans="8:28" ht="15" customHeight="1">
      <c r="H4139" s="2"/>
      <c r="I4139" s="2"/>
      <c r="J4139" s="2"/>
      <c r="K4139" s="2"/>
      <c r="L4139" s="2"/>
      <c r="M4139" s="2"/>
      <c r="N4139" s="2"/>
      <c r="P4139" s="2"/>
      <c r="Q4139" s="2"/>
      <c r="R4139" s="2"/>
      <c r="AB4139" s="2"/>
    </row>
    <row r="4140" spans="8:28" ht="15" customHeight="1">
      <c r="H4140" s="2"/>
      <c r="I4140" s="2"/>
      <c r="J4140" s="2"/>
      <c r="K4140" s="2"/>
      <c r="L4140" s="2"/>
      <c r="M4140" s="2"/>
      <c r="N4140" s="2"/>
      <c r="P4140" s="2"/>
      <c r="Q4140" s="2"/>
      <c r="R4140" s="2"/>
      <c r="AB4140" s="2"/>
    </row>
    <row r="4141" spans="8:28" ht="15" customHeight="1">
      <c r="H4141" s="2"/>
      <c r="I4141" s="2"/>
      <c r="J4141" s="2"/>
      <c r="K4141" s="2"/>
      <c r="L4141" s="2"/>
      <c r="M4141" s="2"/>
      <c r="N4141" s="2"/>
      <c r="P4141" s="2"/>
      <c r="Q4141" s="2"/>
      <c r="R4141" s="2"/>
      <c r="AB4141" s="2"/>
    </row>
    <row r="4142" spans="8:28" ht="15" customHeight="1">
      <c r="H4142" s="2"/>
      <c r="I4142" s="2"/>
      <c r="J4142" s="2"/>
      <c r="K4142" s="2"/>
      <c r="L4142" s="2"/>
      <c r="M4142" s="2"/>
      <c r="N4142" s="2"/>
      <c r="P4142" s="2"/>
      <c r="Q4142" s="2"/>
      <c r="R4142" s="2"/>
      <c r="AB4142" s="2"/>
    </row>
    <row r="4143" spans="8:28" ht="15" customHeight="1">
      <c r="H4143" s="2"/>
      <c r="I4143" s="2"/>
      <c r="J4143" s="2"/>
      <c r="K4143" s="2"/>
      <c r="L4143" s="2"/>
      <c r="M4143" s="2"/>
      <c r="N4143" s="2"/>
      <c r="P4143" s="2"/>
      <c r="Q4143" s="2"/>
      <c r="R4143" s="2"/>
      <c r="AB4143" s="2"/>
    </row>
    <row r="4144" spans="8:28" ht="15" customHeight="1">
      <c r="H4144" s="2"/>
      <c r="I4144" s="2"/>
      <c r="J4144" s="2"/>
      <c r="K4144" s="2"/>
      <c r="L4144" s="2"/>
      <c r="M4144" s="2"/>
      <c r="N4144" s="2"/>
      <c r="P4144" s="2"/>
      <c r="Q4144" s="2"/>
      <c r="R4144" s="2"/>
      <c r="AB4144" s="2"/>
    </row>
    <row r="4145" spans="8:28" ht="15" customHeight="1">
      <c r="H4145" s="2"/>
      <c r="I4145" s="2"/>
      <c r="J4145" s="2"/>
      <c r="K4145" s="2"/>
      <c r="L4145" s="2"/>
      <c r="M4145" s="2"/>
      <c r="N4145" s="2"/>
      <c r="P4145" s="2"/>
      <c r="Q4145" s="2"/>
      <c r="R4145" s="2"/>
      <c r="AB4145" s="2"/>
    </row>
    <row r="4146" spans="8:28" ht="15" customHeight="1">
      <c r="H4146" s="2"/>
      <c r="I4146" s="2"/>
      <c r="J4146" s="2"/>
      <c r="K4146" s="2"/>
      <c r="L4146" s="2"/>
      <c r="M4146" s="2"/>
      <c r="N4146" s="2"/>
      <c r="P4146" s="2"/>
      <c r="Q4146" s="2"/>
      <c r="R4146" s="2"/>
      <c r="AB4146" s="2"/>
    </row>
    <row r="4147" spans="8:28" ht="15" customHeight="1">
      <c r="H4147" s="2"/>
      <c r="I4147" s="2"/>
      <c r="J4147" s="2"/>
      <c r="K4147" s="2"/>
      <c r="L4147" s="2"/>
      <c r="M4147" s="2"/>
      <c r="N4147" s="2"/>
      <c r="P4147" s="2"/>
      <c r="Q4147" s="2"/>
      <c r="R4147" s="2"/>
      <c r="AB4147" s="2"/>
    </row>
    <row r="4148" spans="8:28" ht="15" customHeight="1">
      <c r="H4148" s="2"/>
      <c r="I4148" s="2"/>
      <c r="J4148" s="2"/>
      <c r="K4148" s="2"/>
      <c r="L4148" s="2"/>
      <c r="M4148" s="2"/>
      <c r="N4148" s="2"/>
      <c r="P4148" s="2"/>
      <c r="Q4148" s="2"/>
      <c r="R4148" s="2"/>
      <c r="AB4148" s="2"/>
    </row>
    <row r="4149" spans="8:28" ht="15" customHeight="1">
      <c r="H4149" s="2"/>
      <c r="I4149" s="2"/>
      <c r="J4149" s="2"/>
      <c r="K4149" s="2"/>
      <c r="L4149" s="2"/>
      <c r="M4149" s="2"/>
      <c r="N4149" s="2"/>
      <c r="P4149" s="2"/>
      <c r="Q4149" s="2"/>
      <c r="R4149" s="2"/>
      <c r="AB4149" s="2"/>
    </row>
    <row r="4150" spans="8:28" ht="15" customHeight="1">
      <c r="H4150" s="2"/>
      <c r="I4150" s="2"/>
      <c r="J4150" s="2"/>
      <c r="K4150" s="2"/>
      <c r="L4150" s="2"/>
      <c r="M4150" s="2"/>
      <c r="N4150" s="2"/>
      <c r="P4150" s="2"/>
      <c r="Q4150" s="2"/>
      <c r="R4150" s="2"/>
      <c r="AB4150" s="2"/>
    </row>
    <row r="4151" spans="8:28" ht="15" customHeight="1">
      <c r="H4151" s="2"/>
      <c r="I4151" s="2"/>
      <c r="J4151" s="2"/>
      <c r="K4151" s="2"/>
      <c r="L4151" s="2"/>
      <c r="M4151" s="2"/>
      <c r="N4151" s="2"/>
      <c r="P4151" s="2"/>
      <c r="Q4151" s="2"/>
      <c r="R4151" s="2"/>
      <c r="AB4151" s="2"/>
    </row>
    <row r="4152" spans="8:28" ht="15" customHeight="1">
      <c r="H4152" s="2"/>
      <c r="I4152" s="2"/>
      <c r="J4152" s="2"/>
      <c r="K4152" s="2"/>
      <c r="L4152" s="2"/>
      <c r="M4152" s="2"/>
      <c r="N4152" s="2"/>
      <c r="P4152" s="2"/>
      <c r="Q4152" s="2"/>
      <c r="R4152" s="2"/>
      <c r="AB4152" s="2"/>
    </row>
    <row r="4153" spans="8:28" ht="15" customHeight="1">
      <c r="H4153" s="2"/>
      <c r="I4153" s="2"/>
      <c r="J4153" s="2"/>
      <c r="K4153" s="2"/>
      <c r="L4153" s="2"/>
      <c r="M4153" s="2"/>
      <c r="N4153" s="2"/>
      <c r="P4153" s="2"/>
      <c r="Q4153" s="2"/>
      <c r="R4153" s="2"/>
      <c r="AB4153" s="2"/>
    </row>
    <row r="4154" spans="8:28" ht="15" customHeight="1">
      <c r="H4154" s="2"/>
      <c r="I4154" s="2"/>
      <c r="J4154" s="2"/>
      <c r="K4154" s="2"/>
      <c r="L4154" s="2"/>
      <c r="M4154" s="2"/>
      <c r="N4154" s="2"/>
      <c r="P4154" s="2"/>
      <c r="Q4154" s="2"/>
      <c r="R4154" s="2"/>
      <c r="AB4154" s="2"/>
    </row>
    <row r="4155" spans="8:28" ht="15" customHeight="1">
      <c r="H4155" s="2"/>
      <c r="I4155" s="2"/>
      <c r="J4155" s="2"/>
      <c r="K4155" s="2"/>
      <c r="L4155" s="2"/>
      <c r="M4155" s="2"/>
      <c r="N4155" s="2"/>
      <c r="P4155" s="2"/>
      <c r="Q4155" s="2"/>
      <c r="R4155" s="2"/>
      <c r="AB4155" s="2"/>
    </row>
    <row r="4156" spans="8:28" ht="15" customHeight="1">
      <c r="H4156" s="2"/>
      <c r="I4156" s="2"/>
      <c r="J4156" s="2"/>
      <c r="K4156" s="2"/>
      <c r="L4156" s="2"/>
      <c r="M4156" s="2"/>
      <c r="N4156" s="2"/>
      <c r="P4156" s="2"/>
      <c r="Q4156" s="2"/>
      <c r="R4156" s="2"/>
      <c r="AB4156" s="2"/>
    </row>
    <row r="4157" spans="8:28" ht="15" customHeight="1">
      <c r="H4157" s="2"/>
      <c r="I4157" s="2"/>
      <c r="J4157" s="2"/>
      <c r="K4157" s="2"/>
      <c r="L4157" s="2"/>
      <c r="M4157" s="2"/>
      <c r="N4157" s="2"/>
      <c r="P4157" s="2"/>
      <c r="Q4157" s="2"/>
      <c r="R4157" s="2"/>
      <c r="AB4157" s="2"/>
    </row>
    <row r="4158" spans="8:28" ht="15" customHeight="1">
      <c r="H4158" s="2"/>
      <c r="I4158" s="2"/>
      <c r="J4158" s="2"/>
      <c r="K4158" s="2"/>
      <c r="L4158" s="2"/>
      <c r="M4158" s="2"/>
      <c r="N4158" s="2"/>
      <c r="P4158" s="2"/>
      <c r="Q4158" s="2"/>
      <c r="R4158" s="2"/>
      <c r="AB4158" s="2"/>
    </row>
    <row r="4159" spans="8:28" ht="15" customHeight="1">
      <c r="H4159" s="2"/>
      <c r="I4159" s="2"/>
      <c r="J4159" s="2"/>
      <c r="K4159" s="2"/>
      <c r="L4159" s="2"/>
      <c r="M4159" s="2"/>
      <c r="N4159" s="2"/>
      <c r="P4159" s="2"/>
      <c r="Q4159" s="2"/>
      <c r="R4159" s="2"/>
      <c r="AB4159" s="2"/>
    </row>
    <row r="4160" spans="8:28" ht="15" customHeight="1">
      <c r="H4160" s="2"/>
      <c r="I4160" s="2"/>
      <c r="J4160" s="2"/>
      <c r="K4160" s="2"/>
      <c r="L4160" s="2"/>
      <c r="M4160" s="2"/>
      <c r="N4160" s="2"/>
      <c r="P4160" s="2"/>
      <c r="Q4160" s="2"/>
      <c r="R4160" s="2"/>
      <c r="AB4160" s="2"/>
    </row>
    <row r="4161" spans="8:28" ht="15" customHeight="1">
      <c r="H4161" s="2"/>
      <c r="I4161" s="2"/>
      <c r="J4161" s="2"/>
      <c r="K4161" s="2"/>
      <c r="L4161" s="2"/>
      <c r="M4161" s="2"/>
      <c r="N4161" s="2"/>
      <c r="P4161" s="2"/>
      <c r="Q4161" s="2"/>
      <c r="R4161" s="2"/>
      <c r="AB4161" s="2"/>
    </row>
    <row r="4162" spans="8:28" ht="15" customHeight="1">
      <c r="H4162" s="2"/>
      <c r="I4162" s="2"/>
      <c r="J4162" s="2"/>
      <c r="K4162" s="2"/>
      <c r="L4162" s="2"/>
      <c r="M4162" s="2"/>
      <c r="N4162" s="2"/>
      <c r="P4162" s="2"/>
      <c r="Q4162" s="2"/>
      <c r="R4162" s="2"/>
      <c r="AB4162" s="2"/>
    </row>
    <row r="4163" spans="8:28" ht="15" customHeight="1">
      <c r="H4163" s="2"/>
      <c r="I4163" s="2"/>
      <c r="J4163" s="2"/>
      <c r="K4163" s="2"/>
      <c r="L4163" s="2"/>
      <c r="M4163" s="2"/>
      <c r="N4163" s="2"/>
      <c r="P4163" s="2"/>
      <c r="Q4163" s="2"/>
      <c r="R4163" s="2"/>
      <c r="AB4163" s="2"/>
    </row>
    <row r="4164" spans="8:28" ht="15" customHeight="1">
      <c r="H4164" s="2"/>
      <c r="I4164" s="2"/>
      <c r="J4164" s="2"/>
      <c r="K4164" s="2"/>
      <c r="L4164" s="2"/>
      <c r="M4164" s="2"/>
      <c r="N4164" s="2"/>
      <c r="P4164" s="2"/>
      <c r="Q4164" s="2"/>
      <c r="R4164" s="2"/>
      <c r="AB4164" s="2"/>
    </row>
    <row r="4165" spans="8:28" ht="15" customHeight="1">
      <c r="H4165" s="2"/>
      <c r="I4165" s="2"/>
      <c r="J4165" s="2"/>
      <c r="K4165" s="2"/>
      <c r="L4165" s="2"/>
      <c r="M4165" s="2"/>
      <c r="N4165" s="2"/>
      <c r="P4165" s="2"/>
      <c r="Q4165" s="2"/>
      <c r="R4165" s="2"/>
      <c r="AB4165" s="2"/>
    </row>
    <row r="4166" spans="8:28" ht="15" customHeight="1">
      <c r="H4166" s="2"/>
      <c r="I4166" s="2"/>
      <c r="J4166" s="2"/>
      <c r="K4166" s="2"/>
      <c r="L4166" s="2"/>
      <c r="M4166" s="2"/>
      <c r="N4166" s="2"/>
      <c r="P4166" s="2"/>
      <c r="Q4166" s="2"/>
      <c r="R4166" s="2"/>
      <c r="AB4166" s="2"/>
    </row>
    <row r="4167" spans="8:28" ht="15" customHeight="1">
      <c r="H4167" s="2"/>
      <c r="I4167" s="2"/>
      <c r="J4167" s="2"/>
      <c r="K4167" s="2"/>
      <c r="L4167" s="2"/>
      <c r="M4167" s="2"/>
      <c r="N4167" s="2"/>
      <c r="P4167" s="2"/>
      <c r="Q4167" s="2"/>
      <c r="R4167" s="2"/>
      <c r="AB4167" s="2"/>
    </row>
    <row r="4168" spans="8:28" ht="15" customHeight="1">
      <c r="H4168" s="2"/>
      <c r="I4168" s="2"/>
      <c r="J4168" s="2"/>
      <c r="K4168" s="2"/>
      <c r="L4168" s="2"/>
      <c r="M4168" s="2"/>
      <c r="N4168" s="2"/>
      <c r="P4168" s="2"/>
      <c r="Q4168" s="2"/>
      <c r="R4168" s="2"/>
      <c r="AB4168" s="2"/>
    </row>
    <row r="4169" spans="8:28" ht="15" customHeight="1">
      <c r="H4169" s="2"/>
      <c r="I4169" s="2"/>
      <c r="J4169" s="2"/>
      <c r="K4169" s="2"/>
      <c r="L4169" s="2"/>
      <c r="M4169" s="2"/>
      <c r="N4169" s="2"/>
      <c r="P4169" s="2"/>
      <c r="Q4169" s="2"/>
      <c r="R4169" s="2"/>
      <c r="AB4169" s="2"/>
    </row>
    <row r="4170" spans="8:28" ht="15" customHeight="1">
      <c r="H4170" s="2"/>
      <c r="I4170" s="2"/>
      <c r="J4170" s="2"/>
      <c r="K4170" s="2"/>
      <c r="L4170" s="2"/>
      <c r="M4170" s="2"/>
      <c r="N4170" s="2"/>
      <c r="P4170" s="2"/>
      <c r="Q4170" s="2"/>
      <c r="R4170" s="2"/>
      <c r="AB4170" s="2"/>
    </row>
    <row r="4171" spans="8:28" ht="15" customHeight="1">
      <c r="H4171" s="2"/>
      <c r="I4171" s="2"/>
      <c r="J4171" s="2"/>
      <c r="K4171" s="2"/>
      <c r="L4171" s="2"/>
      <c r="M4171" s="2"/>
      <c r="N4171" s="2"/>
      <c r="P4171" s="2"/>
      <c r="Q4171" s="2"/>
      <c r="R4171" s="2"/>
      <c r="AB4171" s="2"/>
    </row>
    <row r="4172" spans="8:28" ht="15" customHeight="1">
      <c r="H4172" s="2"/>
      <c r="I4172" s="2"/>
      <c r="J4172" s="2"/>
      <c r="K4172" s="2"/>
      <c r="L4172" s="2"/>
      <c r="M4172" s="2"/>
      <c r="N4172" s="2"/>
      <c r="P4172" s="2"/>
      <c r="Q4172" s="2"/>
      <c r="R4172" s="2"/>
      <c r="AB4172" s="2"/>
    </row>
    <row r="4173" spans="8:28" ht="15" customHeight="1">
      <c r="H4173" s="2"/>
      <c r="I4173" s="2"/>
      <c r="J4173" s="2"/>
      <c r="K4173" s="2"/>
      <c r="L4173" s="2"/>
      <c r="M4173" s="2"/>
      <c r="N4173" s="2"/>
      <c r="P4173" s="2"/>
      <c r="Q4173" s="2"/>
      <c r="R4173" s="2"/>
      <c r="AB4173" s="2"/>
    </row>
    <row r="4174" spans="8:28" ht="15" customHeight="1">
      <c r="H4174" s="2"/>
      <c r="I4174" s="2"/>
      <c r="J4174" s="2"/>
      <c r="K4174" s="2"/>
      <c r="L4174" s="2"/>
      <c r="M4174" s="2"/>
      <c r="N4174" s="2"/>
      <c r="P4174" s="2"/>
      <c r="Q4174" s="2"/>
      <c r="R4174" s="2"/>
      <c r="AB4174" s="2"/>
    </row>
    <row r="4175" spans="8:28" ht="15" customHeight="1">
      <c r="H4175" s="2"/>
      <c r="I4175" s="2"/>
      <c r="J4175" s="2"/>
      <c r="K4175" s="2"/>
      <c r="L4175" s="2"/>
      <c r="M4175" s="2"/>
      <c r="N4175" s="2"/>
      <c r="P4175" s="2"/>
      <c r="Q4175" s="2"/>
      <c r="R4175" s="2"/>
      <c r="AB4175" s="2"/>
    </row>
    <row r="4176" spans="8:28" ht="15" customHeight="1">
      <c r="H4176" s="2"/>
      <c r="I4176" s="2"/>
      <c r="J4176" s="2"/>
      <c r="K4176" s="2"/>
      <c r="L4176" s="2"/>
      <c r="M4176" s="2"/>
      <c r="N4176" s="2"/>
      <c r="P4176" s="2"/>
      <c r="Q4176" s="2"/>
      <c r="R4176" s="2"/>
      <c r="AB4176" s="2"/>
    </row>
    <row r="4177" spans="8:28" ht="15" customHeight="1">
      <c r="H4177" s="2"/>
      <c r="I4177" s="2"/>
      <c r="J4177" s="2"/>
      <c r="K4177" s="2"/>
      <c r="L4177" s="2"/>
      <c r="M4177" s="2"/>
      <c r="N4177" s="2"/>
      <c r="P4177" s="2"/>
      <c r="Q4177" s="2"/>
      <c r="R4177" s="2"/>
      <c r="AB4177" s="2"/>
    </row>
    <row r="4178" spans="8:28" ht="15" customHeight="1">
      <c r="H4178" s="2"/>
      <c r="I4178" s="2"/>
      <c r="J4178" s="2"/>
      <c r="K4178" s="2"/>
      <c r="L4178" s="2"/>
      <c r="M4178" s="2"/>
      <c r="N4178" s="2"/>
      <c r="P4178" s="2"/>
      <c r="Q4178" s="2"/>
      <c r="R4178" s="2"/>
      <c r="AB4178" s="2"/>
    </row>
    <row r="4179" spans="8:28" ht="15" customHeight="1">
      <c r="H4179" s="2"/>
      <c r="I4179" s="2"/>
      <c r="J4179" s="2"/>
      <c r="K4179" s="2"/>
      <c r="L4179" s="2"/>
      <c r="M4179" s="2"/>
      <c r="N4179" s="2"/>
      <c r="P4179" s="2"/>
      <c r="Q4179" s="2"/>
      <c r="R4179" s="2"/>
      <c r="AB4179" s="2"/>
    </row>
    <row r="4180" spans="8:28" ht="15" customHeight="1">
      <c r="H4180" s="2"/>
      <c r="I4180" s="2"/>
      <c r="J4180" s="2"/>
      <c r="K4180" s="2"/>
      <c r="L4180" s="2"/>
      <c r="M4180" s="2"/>
      <c r="N4180" s="2"/>
      <c r="P4180" s="2"/>
      <c r="Q4180" s="2"/>
      <c r="R4180" s="2"/>
      <c r="AB4180" s="2"/>
    </row>
    <row r="4181" spans="8:28" ht="15" customHeight="1">
      <c r="H4181" s="2"/>
      <c r="I4181" s="2"/>
      <c r="J4181" s="2"/>
      <c r="K4181" s="2"/>
      <c r="L4181" s="2"/>
      <c r="M4181" s="2"/>
      <c r="N4181" s="2"/>
      <c r="P4181" s="2"/>
      <c r="Q4181" s="2"/>
      <c r="R4181" s="2"/>
      <c r="AB4181" s="2"/>
    </row>
    <row r="4182" spans="8:28" ht="15" customHeight="1">
      <c r="H4182" s="2"/>
      <c r="I4182" s="2"/>
      <c r="J4182" s="2"/>
      <c r="K4182" s="2"/>
      <c r="L4182" s="2"/>
      <c r="M4182" s="2"/>
      <c r="N4182" s="2"/>
      <c r="P4182" s="2"/>
      <c r="Q4182" s="2"/>
      <c r="R4182" s="2"/>
      <c r="AB4182" s="2"/>
    </row>
    <row r="4183" spans="8:28" ht="15" customHeight="1">
      <c r="H4183" s="2"/>
      <c r="I4183" s="2"/>
      <c r="J4183" s="2"/>
      <c r="K4183" s="2"/>
      <c r="L4183" s="2"/>
      <c r="M4183" s="2"/>
      <c r="N4183" s="2"/>
      <c r="P4183" s="2"/>
      <c r="Q4183" s="2"/>
      <c r="R4183" s="2"/>
      <c r="AB4183" s="2"/>
    </row>
    <row r="4184" spans="8:28" ht="15" customHeight="1">
      <c r="H4184" s="2"/>
      <c r="I4184" s="2"/>
      <c r="J4184" s="2"/>
      <c r="K4184" s="2"/>
      <c r="L4184" s="2"/>
      <c r="M4184" s="2"/>
      <c r="N4184" s="2"/>
      <c r="P4184" s="2"/>
      <c r="Q4184" s="2"/>
      <c r="R4184" s="2"/>
      <c r="AB4184" s="2"/>
    </row>
    <row r="4185" spans="8:28" ht="15" customHeight="1">
      <c r="H4185" s="2"/>
      <c r="I4185" s="2"/>
      <c r="J4185" s="2"/>
      <c r="K4185" s="2"/>
      <c r="L4185" s="2"/>
      <c r="M4185" s="2"/>
      <c r="N4185" s="2"/>
      <c r="P4185" s="2"/>
      <c r="Q4185" s="2"/>
      <c r="R4185" s="2"/>
      <c r="AB4185" s="2"/>
    </row>
    <row r="4186" spans="8:28" ht="15" customHeight="1">
      <c r="H4186" s="2"/>
      <c r="I4186" s="2"/>
      <c r="J4186" s="2"/>
      <c r="K4186" s="2"/>
      <c r="L4186" s="2"/>
      <c r="M4186" s="2"/>
      <c r="N4186" s="2"/>
      <c r="P4186" s="2"/>
      <c r="Q4186" s="2"/>
      <c r="R4186" s="2"/>
      <c r="AB4186" s="2"/>
    </row>
    <row r="4187" spans="8:28" ht="15" customHeight="1">
      <c r="H4187" s="2"/>
      <c r="I4187" s="2"/>
      <c r="J4187" s="2"/>
      <c r="K4187" s="2"/>
      <c r="L4187" s="2"/>
      <c r="M4187" s="2"/>
      <c r="N4187" s="2"/>
      <c r="P4187" s="2"/>
      <c r="Q4187" s="2"/>
      <c r="R4187" s="2"/>
      <c r="AB4187" s="2"/>
    </row>
    <row r="4188" spans="8:28" ht="15" customHeight="1">
      <c r="H4188" s="2"/>
      <c r="I4188" s="2"/>
      <c r="J4188" s="2"/>
      <c r="K4188" s="2"/>
      <c r="L4188" s="2"/>
      <c r="M4188" s="2"/>
      <c r="N4188" s="2"/>
      <c r="P4188" s="2"/>
      <c r="Q4188" s="2"/>
      <c r="R4188" s="2"/>
      <c r="AB4188" s="2"/>
    </row>
    <row r="4189" spans="8:28" ht="15" customHeight="1">
      <c r="H4189" s="2"/>
      <c r="I4189" s="2"/>
      <c r="J4189" s="2"/>
      <c r="K4189" s="2"/>
      <c r="L4189" s="2"/>
      <c r="M4189" s="2"/>
      <c r="N4189" s="2"/>
      <c r="P4189" s="2"/>
      <c r="Q4189" s="2"/>
      <c r="R4189" s="2"/>
      <c r="AB4189" s="2"/>
    </row>
    <row r="4190" spans="8:28" ht="15" customHeight="1">
      <c r="H4190" s="2"/>
      <c r="I4190" s="2"/>
      <c r="J4190" s="2"/>
      <c r="K4190" s="2"/>
      <c r="L4190" s="2"/>
      <c r="M4190" s="2"/>
      <c r="N4190" s="2"/>
      <c r="P4190" s="2"/>
      <c r="Q4190" s="2"/>
      <c r="R4190" s="2"/>
      <c r="AB4190" s="2"/>
    </row>
    <row r="4191" spans="8:28" ht="15" customHeight="1">
      <c r="H4191" s="2"/>
      <c r="I4191" s="2"/>
      <c r="J4191" s="2"/>
      <c r="K4191" s="2"/>
      <c r="L4191" s="2"/>
      <c r="M4191" s="2"/>
      <c r="N4191" s="2"/>
      <c r="P4191" s="2"/>
      <c r="Q4191" s="2"/>
      <c r="R4191" s="2"/>
      <c r="AB4191" s="2"/>
    </row>
    <row r="4192" spans="8:28" ht="15" customHeight="1">
      <c r="H4192" s="2"/>
      <c r="I4192" s="2"/>
      <c r="J4192" s="2"/>
      <c r="K4192" s="2"/>
      <c r="L4192" s="2"/>
      <c r="M4192" s="2"/>
      <c r="N4192" s="2"/>
      <c r="P4192" s="2"/>
      <c r="Q4192" s="2"/>
      <c r="R4192" s="2"/>
      <c r="AB4192" s="2"/>
    </row>
    <row r="4193" spans="8:28" ht="15" customHeight="1">
      <c r="H4193" s="2"/>
      <c r="I4193" s="2"/>
      <c r="J4193" s="2"/>
      <c r="K4193" s="2"/>
      <c r="L4193" s="2"/>
      <c r="M4193" s="2"/>
      <c r="N4193" s="2"/>
      <c r="P4193" s="2"/>
      <c r="Q4193" s="2"/>
      <c r="R4193" s="2"/>
      <c r="AB4193" s="2"/>
    </row>
    <row r="4194" spans="8:28" ht="15" customHeight="1">
      <c r="H4194" s="2"/>
      <c r="I4194" s="2"/>
      <c r="J4194" s="2"/>
      <c r="K4194" s="2"/>
      <c r="L4194" s="2"/>
      <c r="M4194" s="2"/>
      <c r="N4194" s="2"/>
      <c r="P4194" s="2"/>
      <c r="Q4194" s="2"/>
      <c r="R4194" s="2"/>
      <c r="AB4194" s="2"/>
    </row>
    <row r="4195" spans="8:28" ht="15" customHeight="1">
      <c r="H4195" s="2"/>
      <c r="I4195" s="2"/>
      <c r="J4195" s="2"/>
      <c r="K4195" s="2"/>
      <c r="L4195" s="2"/>
      <c r="M4195" s="2"/>
      <c r="N4195" s="2"/>
      <c r="P4195" s="2"/>
      <c r="Q4195" s="2"/>
      <c r="R4195" s="2"/>
      <c r="AB4195" s="2"/>
    </row>
    <row r="4196" spans="8:28" ht="15" customHeight="1">
      <c r="H4196" s="2"/>
      <c r="I4196" s="2"/>
      <c r="J4196" s="2"/>
      <c r="K4196" s="2"/>
      <c r="L4196" s="2"/>
      <c r="M4196" s="2"/>
      <c r="N4196" s="2"/>
      <c r="P4196" s="2"/>
      <c r="Q4196" s="2"/>
      <c r="R4196" s="2"/>
      <c r="AB4196" s="2"/>
    </row>
    <row r="4197" spans="8:28" ht="15" customHeight="1">
      <c r="H4197" s="2"/>
      <c r="I4197" s="2"/>
      <c r="J4197" s="2"/>
      <c r="K4197" s="2"/>
      <c r="L4197" s="2"/>
      <c r="M4197" s="2"/>
      <c r="N4197" s="2"/>
      <c r="P4197" s="2"/>
      <c r="Q4197" s="2"/>
      <c r="R4197" s="2"/>
      <c r="AB4197" s="2"/>
    </row>
    <row r="4198" spans="8:28" ht="15" customHeight="1">
      <c r="H4198" s="2"/>
      <c r="I4198" s="2"/>
      <c r="J4198" s="2"/>
      <c r="K4198" s="2"/>
      <c r="L4198" s="2"/>
      <c r="M4198" s="2"/>
      <c r="N4198" s="2"/>
      <c r="P4198" s="2"/>
      <c r="Q4198" s="2"/>
      <c r="R4198" s="2"/>
      <c r="AB4198" s="2"/>
    </row>
    <row r="4199" spans="8:28" ht="15" customHeight="1">
      <c r="H4199" s="2"/>
      <c r="I4199" s="2"/>
      <c r="J4199" s="2"/>
      <c r="K4199" s="2"/>
      <c r="L4199" s="2"/>
      <c r="M4199" s="2"/>
      <c r="N4199" s="2"/>
      <c r="P4199" s="2"/>
      <c r="Q4199" s="2"/>
      <c r="R4199" s="2"/>
      <c r="AB4199" s="2"/>
    </row>
    <row r="4200" spans="8:28" ht="15" customHeight="1">
      <c r="H4200" s="2"/>
      <c r="I4200" s="2"/>
      <c r="J4200" s="2"/>
      <c r="K4200" s="2"/>
      <c r="L4200" s="2"/>
      <c r="M4200" s="2"/>
      <c r="N4200" s="2"/>
      <c r="P4200" s="2"/>
      <c r="Q4200" s="2"/>
      <c r="R4200" s="2"/>
      <c r="AB4200" s="2"/>
    </row>
    <row r="4201" spans="8:28" ht="15" customHeight="1">
      <c r="H4201" s="2"/>
      <c r="I4201" s="2"/>
      <c r="J4201" s="2"/>
      <c r="K4201" s="2"/>
      <c r="L4201" s="2"/>
      <c r="M4201" s="2"/>
      <c r="N4201" s="2"/>
      <c r="P4201" s="2"/>
      <c r="Q4201" s="2"/>
      <c r="R4201" s="2"/>
      <c r="AB4201" s="2"/>
    </row>
    <row r="4202" spans="8:28" ht="15" customHeight="1">
      <c r="H4202" s="2"/>
      <c r="I4202" s="2"/>
      <c r="J4202" s="2"/>
      <c r="K4202" s="2"/>
      <c r="L4202" s="2"/>
      <c r="M4202" s="2"/>
      <c r="N4202" s="2"/>
      <c r="P4202" s="2"/>
      <c r="Q4202" s="2"/>
      <c r="R4202" s="2"/>
      <c r="AB4202" s="2"/>
    </row>
    <row r="4203" spans="8:28" ht="15" customHeight="1">
      <c r="H4203" s="2"/>
      <c r="I4203" s="2"/>
      <c r="J4203" s="2"/>
      <c r="K4203" s="2"/>
      <c r="L4203" s="2"/>
      <c r="M4203" s="2"/>
      <c r="N4203" s="2"/>
      <c r="P4203" s="2"/>
      <c r="Q4203" s="2"/>
      <c r="R4203" s="2"/>
      <c r="AB4203" s="2"/>
    </row>
    <row r="4204" spans="8:28" ht="15" customHeight="1">
      <c r="H4204" s="2"/>
      <c r="I4204" s="2"/>
      <c r="J4204" s="2"/>
      <c r="K4204" s="2"/>
      <c r="L4204" s="2"/>
      <c r="M4204" s="2"/>
      <c r="N4204" s="2"/>
      <c r="P4204" s="2"/>
      <c r="Q4204" s="2"/>
      <c r="R4204" s="2"/>
      <c r="AB4204" s="2"/>
    </row>
    <row r="4205" spans="8:28" ht="15" customHeight="1">
      <c r="H4205" s="2"/>
      <c r="I4205" s="2"/>
      <c r="J4205" s="2"/>
      <c r="K4205" s="2"/>
      <c r="L4205" s="2"/>
      <c r="M4205" s="2"/>
      <c r="N4205" s="2"/>
      <c r="P4205" s="2"/>
      <c r="Q4205" s="2"/>
      <c r="R4205" s="2"/>
      <c r="AB4205" s="2"/>
    </row>
    <row r="4206" spans="8:28" ht="15" customHeight="1">
      <c r="H4206" s="2"/>
      <c r="I4206" s="2"/>
      <c r="J4206" s="2"/>
      <c r="K4206" s="2"/>
      <c r="L4206" s="2"/>
      <c r="M4206" s="2"/>
      <c r="N4206" s="2"/>
      <c r="P4206" s="2"/>
      <c r="Q4206" s="2"/>
      <c r="R4206" s="2"/>
      <c r="AB4206" s="2"/>
    </row>
    <row r="4207" spans="8:28" ht="15" customHeight="1">
      <c r="H4207" s="2"/>
      <c r="I4207" s="2"/>
      <c r="J4207" s="2"/>
      <c r="K4207" s="2"/>
      <c r="L4207" s="2"/>
      <c r="M4207" s="2"/>
      <c r="N4207" s="2"/>
      <c r="P4207" s="2"/>
      <c r="Q4207" s="2"/>
      <c r="R4207" s="2"/>
      <c r="AB4207" s="2"/>
    </row>
    <row r="4208" spans="8:28" ht="15" customHeight="1">
      <c r="H4208" s="2"/>
      <c r="I4208" s="2"/>
      <c r="J4208" s="2"/>
      <c r="K4208" s="2"/>
      <c r="L4208" s="2"/>
      <c r="M4208" s="2"/>
      <c r="N4208" s="2"/>
      <c r="P4208" s="2"/>
      <c r="Q4208" s="2"/>
      <c r="R4208" s="2"/>
      <c r="AB4208" s="2"/>
    </row>
    <row r="4209" spans="8:28" ht="15" customHeight="1">
      <c r="H4209" s="2"/>
      <c r="I4209" s="2"/>
      <c r="J4209" s="2"/>
      <c r="K4209" s="2"/>
      <c r="L4209" s="2"/>
      <c r="M4209" s="2"/>
      <c r="N4209" s="2"/>
      <c r="P4209" s="2"/>
      <c r="Q4209" s="2"/>
      <c r="R4209" s="2"/>
      <c r="AB4209" s="2"/>
    </row>
    <row r="4210" spans="8:28" ht="15" customHeight="1">
      <c r="H4210" s="2"/>
      <c r="I4210" s="2"/>
      <c r="J4210" s="2"/>
      <c r="K4210" s="2"/>
      <c r="L4210" s="2"/>
      <c r="M4210" s="2"/>
      <c r="N4210" s="2"/>
      <c r="P4210" s="2"/>
      <c r="Q4210" s="2"/>
      <c r="R4210" s="2"/>
      <c r="AB4210" s="2"/>
    </row>
    <row r="4211" spans="8:28" ht="15" customHeight="1">
      <c r="H4211" s="2"/>
      <c r="I4211" s="2"/>
      <c r="J4211" s="2"/>
      <c r="K4211" s="2"/>
      <c r="L4211" s="2"/>
      <c r="M4211" s="2"/>
      <c r="N4211" s="2"/>
      <c r="P4211" s="2"/>
      <c r="Q4211" s="2"/>
      <c r="R4211" s="2"/>
      <c r="AB4211" s="2"/>
    </row>
    <row r="4212" spans="8:28" ht="15" customHeight="1">
      <c r="H4212" s="2"/>
      <c r="I4212" s="2"/>
      <c r="J4212" s="2"/>
      <c r="K4212" s="2"/>
      <c r="L4212" s="2"/>
      <c r="M4212" s="2"/>
      <c r="N4212" s="2"/>
      <c r="P4212" s="2"/>
      <c r="Q4212" s="2"/>
      <c r="R4212" s="2"/>
      <c r="AB4212" s="2"/>
    </row>
    <row r="4213" spans="8:28" ht="15" customHeight="1">
      <c r="H4213" s="2"/>
      <c r="I4213" s="2"/>
      <c r="J4213" s="2"/>
      <c r="K4213" s="2"/>
      <c r="L4213" s="2"/>
      <c r="M4213" s="2"/>
      <c r="N4213" s="2"/>
      <c r="P4213" s="2"/>
      <c r="Q4213" s="2"/>
      <c r="R4213" s="2"/>
      <c r="AB4213" s="2"/>
    </row>
    <row r="4214" spans="8:28" ht="15" customHeight="1">
      <c r="H4214" s="2"/>
      <c r="I4214" s="2"/>
      <c r="J4214" s="2"/>
      <c r="K4214" s="2"/>
      <c r="L4214" s="2"/>
      <c r="M4214" s="2"/>
      <c r="N4214" s="2"/>
      <c r="P4214" s="2"/>
      <c r="Q4214" s="2"/>
      <c r="R4214" s="2"/>
      <c r="AB4214" s="2"/>
    </row>
    <row r="4215" spans="8:28" ht="15" customHeight="1">
      <c r="H4215" s="2"/>
      <c r="I4215" s="2"/>
      <c r="J4215" s="2"/>
      <c r="K4215" s="2"/>
      <c r="L4215" s="2"/>
      <c r="M4215" s="2"/>
      <c r="N4215" s="2"/>
      <c r="P4215" s="2"/>
      <c r="Q4215" s="2"/>
      <c r="R4215" s="2"/>
      <c r="AB4215" s="2"/>
    </row>
    <row r="4216" spans="8:28" ht="15" customHeight="1">
      <c r="H4216" s="2"/>
      <c r="I4216" s="2"/>
      <c r="J4216" s="2"/>
      <c r="K4216" s="2"/>
      <c r="L4216" s="2"/>
      <c r="M4216" s="2"/>
      <c r="N4216" s="2"/>
      <c r="P4216" s="2"/>
      <c r="Q4216" s="2"/>
      <c r="R4216" s="2"/>
      <c r="AB4216" s="2"/>
    </row>
    <row r="4217" spans="8:28" ht="15" customHeight="1">
      <c r="H4217" s="2"/>
      <c r="I4217" s="2"/>
      <c r="J4217" s="2"/>
      <c r="K4217" s="2"/>
      <c r="L4217" s="2"/>
      <c r="M4217" s="2"/>
      <c r="N4217" s="2"/>
      <c r="P4217" s="2"/>
      <c r="Q4217" s="2"/>
      <c r="R4217" s="2"/>
      <c r="AB4217" s="2"/>
    </row>
    <row r="4218" spans="8:28" ht="15" customHeight="1">
      <c r="H4218" s="2"/>
      <c r="I4218" s="2"/>
      <c r="J4218" s="2"/>
      <c r="K4218" s="2"/>
      <c r="L4218" s="2"/>
      <c r="M4218" s="2"/>
      <c r="N4218" s="2"/>
      <c r="P4218" s="2"/>
      <c r="Q4218" s="2"/>
      <c r="R4218" s="2"/>
      <c r="AB4218" s="2"/>
    </row>
    <row r="4219" spans="8:28" ht="15" customHeight="1">
      <c r="H4219" s="2"/>
      <c r="I4219" s="2"/>
      <c r="J4219" s="2"/>
      <c r="K4219" s="2"/>
      <c r="L4219" s="2"/>
      <c r="M4219" s="2"/>
      <c r="N4219" s="2"/>
      <c r="P4219" s="2"/>
      <c r="Q4219" s="2"/>
      <c r="R4219" s="2"/>
      <c r="AB4219" s="2"/>
    </row>
    <row r="4220" spans="8:28" ht="15" customHeight="1">
      <c r="H4220" s="2"/>
      <c r="I4220" s="2"/>
      <c r="J4220" s="2"/>
      <c r="K4220" s="2"/>
      <c r="L4220" s="2"/>
      <c r="M4220" s="2"/>
      <c r="N4220" s="2"/>
      <c r="P4220" s="2"/>
      <c r="Q4220" s="2"/>
      <c r="R4220" s="2"/>
      <c r="AB4220" s="2"/>
    </row>
    <row r="4221" spans="8:28" ht="15" customHeight="1">
      <c r="H4221" s="2"/>
      <c r="I4221" s="2"/>
      <c r="J4221" s="2"/>
      <c r="K4221" s="2"/>
      <c r="L4221" s="2"/>
      <c r="M4221" s="2"/>
      <c r="N4221" s="2"/>
      <c r="P4221" s="2"/>
      <c r="Q4221" s="2"/>
      <c r="R4221" s="2"/>
      <c r="AB4221" s="2"/>
    </row>
    <row r="4222" spans="8:28" ht="15" customHeight="1">
      <c r="H4222" s="2"/>
      <c r="I4222" s="2"/>
      <c r="J4222" s="2"/>
      <c r="K4222" s="2"/>
      <c r="L4222" s="2"/>
      <c r="M4222" s="2"/>
      <c r="N4222" s="2"/>
      <c r="P4222" s="2"/>
      <c r="Q4222" s="2"/>
      <c r="R4222" s="2"/>
      <c r="AB4222" s="2"/>
    </row>
    <row r="4223" spans="8:28" ht="15" customHeight="1">
      <c r="H4223" s="2"/>
      <c r="I4223" s="2"/>
      <c r="J4223" s="2"/>
      <c r="K4223" s="2"/>
      <c r="L4223" s="2"/>
      <c r="M4223" s="2"/>
      <c r="N4223" s="2"/>
      <c r="P4223" s="2"/>
      <c r="Q4223" s="2"/>
      <c r="R4223" s="2"/>
      <c r="AB4223" s="2"/>
    </row>
    <row r="4224" spans="8:28" ht="15" customHeight="1">
      <c r="H4224" s="2"/>
      <c r="I4224" s="2"/>
      <c r="J4224" s="2"/>
      <c r="K4224" s="2"/>
      <c r="L4224" s="2"/>
      <c r="M4224" s="2"/>
      <c r="N4224" s="2"/>
      <c r="P4224" s="2"/>
      <c r="Q4224" s="2"/>
      <c r="R4224" s="2"/>
      <c r="AB4224" s="2"/>
    </row>
    <row r="4225" spans="8:28" ht="15" customHeight="1">
      <c r="H4225" s="2"/>
      <c r="I4225" s="2"/>
      <c r="J4225" s="2"/>
      <c r="K4225" s="2"/>
      <c r="L4225" s="2"/>
      <c r="M4225" s="2"/>
      <c r="N4225" s="2"/>
      <c r="P4225" s="2"/>
      <c r="Q4225" s="2"/>
      <c r="R4225" s="2"/>
      <c r="AB4225" s="2"/>
    </row>
    <row r="4226" spans="8:28" ht="15" customHeight="1">
      <c r="H4226" s="2"/>
      <c r="I4226" s="2"/>
      <c r="J4226" s="2"/>
      <c r="K4226" s="2"/>
      <c r="L4226" s="2"/>
      <c r="M4226" s="2"/>
      <c r="N4226" s="2"/>
      <c r="P4226" s="2"/>
      <c r="Q4226" s="2"/>
      <c r="R4226" s="2"/>
      <c r="AB4226" s="2"/>
    </row>
    <row r="4227" spans="8:28" ht="15" customHeight="1">
      <c r="H4227" s="2"/>
      <c r="I4227" s="2"/>
      <c r="J4227" s="2"/>
      <c r="K4227" s="2"/>
      <c r="L4227" s="2"/>
      <c r="M4227" s="2"/>
      <c r="N4227" s="2"/>
      <c r="P4227" s="2"/>
      <c r="Q4227" s="2"/>
      <c r="R4227" s="2"/>
      <c r="AB4227" s="2"/>
    </row>
    <row r="4228" spans="8:28" ht="15" customHeight="1">
      <c r="H4228" s="2"/>
      <c r="I4228" s="2"/>
      <c r="J4228" s="2"/>
      <c r="K4228" s="2"/>
      <c r="L4228" s="2"/>
      <c r="M4228" s="2"/>
      <c r="N4228" s="2"/>
      <c r="P4228" s="2"/>
      <c r="Q4228" s="2"/>
      <c r="R4228" s="2"/>
      <c r="AB4228" s="2"/>
    </row>
    <row r="4229" spans="8:28" ht="15" customHeight="1">
      <c r="H4229" s="2"/>
      <c r="I4229" s="2"/>
      <c r="J4229" s="2"/>
      <c r="K4229" s="2"/>
      <c r="L4229" s="2"/>
      <c r="M4229" s="2"/>
      <c r="N4229" s="2"/>
      <c r="P4229" s="2"/>
      <c r="Q4229" s="2"/>
      <c r="R4229" s="2"/>
      <c r="AB4229" s="2"/>
    </row>
    <row r="4230" spans="8:28" ht="15" customHeight="1">
      <c r="H4230" s="2"/>
      <c r="I4230" s="2"/>
      <c r="J4230" s="2"/>
      <c r="K4230" s="2"/>
      <c r="L4230" s="2"/>
      <c r="M4230" s="2"/>
      <c r="N4230" s="2"/>
      <c r="P4230" s="2"/>
      <c r="Q4230" s="2"/>
      <c r="R4230" s="2"/>
      <c r="AB4230" s="2"/>
    </row>
    <row r="4231" spans="8:28" ht="15" customHeight="1">
      <c r="H4231" s="2"/>
      <c r="I4231" s="2"/>
      <c r="J4231" s="2"/>
      <c r="K4231" s="2"/>
      <c r="L4231" s="2"/>
      <c r="M4231" s="2"/>
      <c r="N4231" s="2"/>
      <c r="P4231" s="2"/>
      <c r="Q4231" s="2"/>
      <c r="R4231" s="2"/>
      <c r="AB4231" s="2"/>
    </row>
    <row r="4232" spans="8:28" ht="15" customHeight="1">
      <c r="H4232" s="2"/>
      <c r="I4232" s="2"/>
      <c r="J4232" s="2"/>
      <c r="K4232" s="2"/>
      <c r="L4232" s="2"/>
      <c r="M4232" s="2"/>
      <c r="N4232" s="2"/>
      <c r="P4232" s="2"/>
      <c r="Q4232" s="2"/>
      <c r="R4232" s="2"/>
      <c r="AB4232" s="2"/>
    </row>
    <row r="4233" spans="8:28" ht="15" customHeight="1">
      <c r="H4233" s="2"/>
      <c r="I4233" s="2"/>
      <c r="J4233" s="2"/>
      <c r="K4233" s="2"/>
      <c r="L4233" s="2"/>
      <c r="M4233" s="2"/>
      <c r="N4233" s="2"/>
      <c r="P4233" s="2"/>
      <c r="Q4233" s="2"/>
      <c r="R4233" s="2"/>
      <c r="AB4233" s="2"/>
    </row>
    <row r="4234" spans="8:28" ht="15" customHeight="1">
      <c r="H4234" s="2"/>
      <c r="I4234" s="2"/>
      <c r="J4234" s="2"/>
      <c r="K4234" s="2"/>
      <c r="L4234" s="2"/>
      <c r="M4234" s="2"/>
      <c r="N4234" s="2"/>
      <c r="P4234" s="2"/>
      <c r="Q4234" s="2"/>
      <c r="R4234" s="2"/>
      <c r="AB4234" s="2"/>
    </row>
    <row r="4235" spans="8:28" ht="15" customHeight="1">
      <c r="H4235" s="2"/>
      <c r="I4235" s="2"/>
      <c r="J4235" s="2"/>
      <c r="K4235" s="2"/>
      <c r="L4235" s="2"/>
      <c r="M4235" s="2"/>
      <c r="N4235" s="2"/>
      <c r="P4235" s="2"/>
      <c r="Q4235" s="2"/>
      <c r="R4235" s="2"/>
      <c r="AB4235" s="2"/>
    </row>
    <row r="4236" spans="8:28" ht="15" customHeight="1">
      <c r="H4236" s="2"/>
      <c r="I4236" s="2"/>
      <c r="J4236" s="2"/>
      <c r="K4236" s="2"/>
      <c r="L4236" s="2"/>
      <c r="M4236" s="2"/>
      <c r="N4236" s="2"/>
      <c r="P4236" s="2"/>
      <c r="Q4236" s="2"/>
      <c r="R4236" s="2"/>
      <c r="AB4236" s="2"/>
    </row>
    <row r="4237" spans="8:28" ht="15" customHeight="1">
      <c r="H4237" s="2"/>
      <c r="I4237" s="2"/>
      <c r="J4237" s="2"/>
      <c r="K4237" s="2"/>
      <c r="L4237" s="2"/>
      <c r="M4237" s="2"/>
      <c r="N4237" s="2"/>
      <c r="P4237" s="2"/>
      <c r="Q4237" s="2"/>
      <c r="R4237" s="2"/>
      <c r="AB4237" s="2"/>
    </row>
    <row r="4238" spans="8:28" ht="15" customHeight="1">
      <c r="H4238" s="2"/>
      <c r="I4238" s="2"/>
      <c r="J4238" s="2"/>
      <c r="K4238" s="2"/>
      <c r="L4238" s="2"/>
      <c r="M4238" s="2"/>
      <c r="N4238" s="2"/>
      <c r="P4238" s="2"/>
      <c r="Q4238" s="2"/>
      <c r="R4238" s="2"/>
      <c r="AB4238" s="2"/>
    </row>
    <row r="4239" spans="8:28" ht="15" customHeight="1">
      <c r="H4239" s="2"/>
      <c r="I4239" s="2"/>
      <c r="J4239" s="2"/>
      <c r="K4239" s="2"/>
      <c r="L4239" s="2"/>
      <c r="M4239" s="2"/>
      <c r="N4239" s="2"/>
      <c r="P4239" s="2"/>
      <c r="Q4239" s="2"/>
      <c r="R4239" s="2"/>
      <c r="AB4239" s="2"/>
    </row>
    <row r="4240" spans="8:28" ht="15" customHeight="1">
      <c r="H4240" s="2"/>
      <c r="I4240" s="2"/>
      <c r="J4240" s="2"/>
      <c r="K4240" s="2"/>
      <c r="L4240" s="2"/>
      <c r="M4240" s="2"/>
      <c r="N4240" s="2"/>
      <c r="P4240" s="2"/>
      <c r="Q4240" s="2"/>
      <c r="R4240" s="2"/>
      <c r="AB4240" s="2"/>
    </row>
    <row r="4241" spans="8:28" ht="15" customHeight="1">
      <c r="H4241" s="2"/>
      <c r="I4241" s="2"/>
      <c r="J4241" s="2"/>
      <c r="K4241" s="2"/>
      <c r="L4241" s="2"/>
      <c r="M4241" s="2"/>
      <c r="N4241" s="2"/>
      <c r="P4241" s="2"/>
      <c r="Q4241" s="2"/>
      <c r="R4241" s="2"/>
      <c r="AB4241" s="2"/>
    </row>
    <row r="4242" spans="8:28" ht="15" customHeight="1">
      <c r="H4242" s="2"/>
      <c r="I4242" s="2"/>
      <c r="J4242" s="2"/>
      <c r="K4242" s="2"/>
      <c r="L4242" s="2"/>
      <c r="M4242" s="2"/>
      <c r="N4242" s="2"/>
      <c r="P4242" s="2"/>
      <c r="Q4242" s="2"/>
      <c r="R4242" s="2"/>
      <c r="AB4242" s="2"/>
    </row>
    <row r="4243" spans="8:28" ht="15" customHeight="1">
      <c r="H4243" s="2"/>
      <c r="I4243" s="2"/>
      <c r="J4243" s="2"/>
      <c r="K4243" s="2"/>
      <c r="L4243" s="2"/>
      <c r="M4243" s="2"/>
      <c r="N4243" s="2"/>
      <c r="P4243" s="2"/>
      <c r="Q4243" s="2"/>
      <c r="R4243" s="2"/>
      <c r="AB4243" s="2"/>
    </row>
    <row r="4244" spans="8:28" ht="15" customHeight="1">
      <c r="H4244" s="2"/>
      <c r="I4244" s="2"/>
      <c r="J4244" s="2"/>
      <c r="K4244" s="2"/>
      <c r="L4244" s="2"/>
      <c r="M4244" s="2"/>
      <c r="N4244" s="2"/>
      <c r="P4244" s="2"/>
      <c r="Q4244" s="2"/>
      <c r="R4244" s="2"/>
      <c r="AB4244" s="2"/>
    </row>
    <row r="4245" spans="8:28" ht="15" customHeight="1">
      <c r="H4245" s="2"/>
      <c r="I4245" s="2"/>
      <c r="J4245" s="2"/>
      <c r="K4245" s="2"/>
      <c r="L4245" s="2"/>
      <c r="M4245" s="2"/>
      <c r="N4245" s="2"/>
      <c r="P4245" s="2"/>
      <c r="Q4245" s="2"/>
      <c r="R4245" s="2"/>
      <c r="AB4245" s="2"/>
    </row>
    <row r="4246" spans="8:28" ht="15" customHeight="1">
      <c r="H4246" s="2"/>
      <c r="I4246" s="2"/>
      <c r="J4246" s="2"/>
      <c r="K4246" s="2"/>
      <c r="L4246" s="2"/>
      <c r="M4246" s="2"/>
      <c r="N4246" s="2"/>
      <c r="P4246" s="2"/>
      <c r="Q4246" s="2"/>
      <c r="R4246" s="2"/>
      <c r="AB4246" s="2"/>
    </row>
    <row r="4247" spans="8:28" ht="15" customHeight="1">
      <c r="H4247" s="2"/>
      <c r="I4247" s="2"/>
      <c r="J4247" s="2"/>
      <c r="K4247" s="2"/>
      <c r="L4247" s="2"/>
      <c r="M4247" s="2"/>
      <c r="N4247" s="2"/>
      <c r="P4247" s="2"/>
      <c r="Q4247" s="2"/>
      <c r="R4247" s="2"/>
      <c r="AB4247" s="2"/>
    </row>
    <row r="4248" spans="8:28" ht="15" customHeight="1">
      <c r="H4248" s="2"/>
      <c r="I4248" s="2"/>
      <c r="J4248" s="2"/>
      <c r="K4248" s="2"/>
      <c r="L4248" s="2"/>
      <c r="M4248" s="2"/>
      <c r="N4248" s="2"/>
      <c r="P4248" s="2"/>
      <c r="Q4248" s="2"/>
      <c r="R4248" s="2"/>
      <c r="AB4248" s="2"/>
    </row>
    <row r="4249" spans="8:28" ht="15" customHeight="1">
      <c r="H4249" s="2"/>
      <c r="I4249" s="2"/>
      <c r="J4249" s="2"/>
      <c r="K4249" s="2"/>
      <c r="L4249" s="2"/>
      <c r="M4249" s="2"/>
      <c r="N4249" s="2"/>
      <c r="P4249" s="2"/>
      <c r="Q4249" s="2"/>
      <c r="R4249" s="2"/>
      <c r="AB4249" s="2"/>
    </row>
    <row r="4250" spans="8:28" ht="15" customHeight="1">
      <c r="H4250" s="2"/>
      <c r="I4250" s="2"/>
      <c r="J4250" s="2"/>
      <c r="K4250" s="2"/>
      <c r="L4250" s="2"/>
      <c r="M4250" s="2"/>
      <c r="N4250" s="2"/>
      <c r="P4250" s="2"/>
      <c r="Q4250" s="2"/>
      <c r="R4250" s="2"/>
      <c r="AB4250" s="2"/>
    </row>
    <row r="4251" spans="8:28" ht="15" customHeight="1">
      <c r="H4251" s="2"/>
      <c r="I4251" s="2"/>
      <c r="J4251" s="2"/>
      <c r="K4251" s="2"/>
      <c r="L4251" s="2"/>
      <c r="M4251" s="2"/>
      <c r="N4251" s="2"/>
      <c r="P4251" s="2"/>
      <c r="Q4251" s="2"/>
      <c r="R4251" s="2"/>
      <c r="AB4251" s="2"/>
    </row>
    <row r="4252" spans="8:28" ht="15" customHeight="1">
      <c r="H4252" s="2"/>
      <c r="I4252" s="2"/>
      <c r="J4252" s="2"/>
      <c r="K4252" s="2"/>
      <c r="L4252" s="2"/>
      <c r="M4252" s="2"/>
      <c r="N4252" s="2"/>
      <c r="P4252" s="2"/>
      <c r="Q4252" s="2"/>
      <c r="R4252" s="2"/>
      <c r="AB4252" s="2"/>
    </row>
    <row r="4253" spans="8:28" ht="15" customHeight="1">
      <c r="H4253" s="2"/>
      <c r="I4253" s="2"/>
      <c r="J4253" s="2"/>
      <c r="K4253" s="2"/>
      <c r="L4253" s="2"/>
      <c r="M4253" s="2"/>
      <c r="N4253" s="2"/>
      <c r="P4253" s="2"/>
      <c r="Q4253" s="2"/>
      <c r="R4253" s="2"/>
      <c r="AB4253" s="2"/>
    </row>
    <row r="4254" spans="8:28" ht="15" customHeight="1">
      <c r="H4254" s="2"/>
      <c r="I4254" s="2"/>
      <c r="J4254" s="2"/>
      <c r="K4254" s="2"/>
      <c r="L4254" s="2"/>
      <c r="M4254" s="2"/>
      <c r="N4254" s="2"/>
      <c r="P4254" s="2"/>
      <c r="Q4254" s="2"/>
      <c r="R4254" s="2"/>
      <c r="AB4254" s="2"/>
    </row>
    <row r="4255" spans="8:28" ht="15" customHeight="1">
      <c r="H4255" s="2"/>
      <c r="I4255" s="2"/>
      <c r="J4255" s="2"/>
      <c r="K4255" s="2"/>
      <c r="L4255" s="2"/>
      <c r="M4255" s="2"/>
      <c r="N4255" s="2"/>
      <c r="P4255" s="2"/>
      <c r="Q4255" s="2"/>
      <c r="R4255" s="2"/>
      <c r="AB4255" s="2"/>
    </row>
    <row r="4256" spans="8:28" ht="15" customHeight="1">
      <c r="H4256" s="2"/>
      <c r="I4256" s="2"/>
      <c r="J4256" s="2"/>
      <c r="K4256" s="2"/>
      <c r="L4256" s="2"/>
      <c r="M4256" s="2"/>
      <c r="N4256" s="2"/>
      <c r="P4256" s="2"/>
      <c r="Q4256" s="2"/>
      <c r="R4256" s="2"/>
      <c r="AB4256" s="2"/>
    </row>
    <row r="4257" spans="8:28" ht="15" customHeight="1">
      <c r="H4257" s="2"/>
      <c r="I4257" s="2"/>
      <c r="J4257" s="2"/>
      <c r="K4257" s="2"/>
      <c r="L4257" s="2"/>
      <c r="M4257" s="2"/>
      <c r="N4257" s="2"/>
      <c r="P4257" s="2"/>
      <c r="Q4257" s="2"/>
      <c r="R4257" s="2"/>
      <c r="AB4257" s="2"/>
    </row>
    <row r="4258" spans="8:28" ht="15" customHeight="1">
      <c r="H4258" s="2"/>
      <c r="I4258" s="2"/>
      <c r="J4258" s="2"/>
      <c r="K4258" s="2"/>
      <c r="L4258" s="2"/>
      <c r="M4258" s="2"/>
      <c r="N4258" s="2"/>
      <c r="P4258" s="2"/>
      <c r="Q4258" s="2"/>
      <c r="R4258" s="2"/>
      <c r="AB4258" s="2"/>
    </row>
    <row r="4259" spans="8:28" ht="15" customHeight="1">
      <c r="H4259" s="2"/>
      <c r="I4259" s="2"/>
      <c r="J4259" s="2"/>
      <c r="K4259" s="2"/>
      <c r="L4259" s="2"/>
      <c r="M4259" s="2"/>
      <c r="N4259" s="2"/>
      <c r="P4259" s="2"/>
      <c r="Q4259" s="2"/>
      <c r="R4259" s="2"/>
      <c r="AB4259" s="2"/>
    </row>
    <row r="4260" spans="8:28" ht="15" customHeight="1">
      <c r="H4260" s="2"/>
      <c r="I4260" s="2"/>
      <c r="J4260" s="2"/>
      <c r="K4260" s="2"/>
      <c r="L4260" s="2"/>
      <c r="M4260" s="2"/>
      <c r="N4260" s="2"/>
      <c r="P4260" s="2"/>
      <c r="Q4260" s="2"/>
      <c r="R4260" s="2"/>
      <c r="AB4260" s="2"/>
    </row>
    <row r="4261" spans="8:28" ht="15" customHeight="1">
      <c r="H4261" s="2"/>
      <c r="I4261" s="2"/>
      <c r="J4261" s="2"/>
      <c r="K4261" s="2"/>
      <c r="L4261" s="2"/>
      <c r="M4261" s="2"/>
      <c r="N4261" s="2"/>
      <c r="P4261" s="2"/>
      <c r="Q4261" s="2"/>
      <c r="R4261" s="2"/>
      <c r="AB4261" s="2"/>
    </row>
    <row r="4262" spans="8:28" ht="15" customHeight="1">
      <c r="H4262" s="2"/>
      <c r="I4262" s="2"/>
      <c r="J4262" s="2"/>
      <c r="K4262" s="2"/>
      <c r="L4262" s="2"/>
      <c r="M4262" s="2"/>
      <c r="N4262" s="2"/>
      <c r="P4262" s="2"/>
      <c r="Q4262" s="2"/>
      <c r="R4262" s="2"/>
      <c r="AB4262" s="2"/>
    </row>
    <row r="4263" spans="8:28" ht="15" customHeight="1">
      <c r="H4263" s="2"/>
      <c r="I4263" s="2"/>
      <c r="J4263" s="2"/>
      <c r="K4263" s="2"/>
      <c r="L4263" s="2"/>
      <c r="M4263" s="2"/>
      <c r="N4263" s="2"/>
      <c r="P4263" s="2"/>
      <c r="Q4263" s="2"/>
      <c r="R4263" s="2"/>
      <c r="AB4263" s="2"/>
    </row>
    <row r="4264" spans="8:28" ht="15" customHeight="1">
      <c r="H4264" s="2"/>
      <c r="I4264" s="2"/>
      <c r="J4264" s="2"/>
      <c r="K4264" s="2"/>
      <c r="L4264" s="2"/>
      <c r="M4264" s="2"/>
      <c r="N4264" s="2"/>
      <c r="P4264" s="2"/>
      <c r="Q4264" s="2"/>
      <c r="R4264" s="2"/>
      <c r="AB4264" s="2"/>
    </row>
    <row r="4265" spans="8:28" ht="15" customHeight="1">
      <c r="H4265" s="2"/>
      <c r="I4265" s="2"/>
      <c r="J4265" s="2"/>
      <c r="K4265" s="2"/>
      <c r="L4265" s="2"/>
      <c r="M4265" s="2"/>
      <c r="N4265" s="2"/>
      <c r="P4265" s="2"/>
      <c r="Q4265" s="2"/>
      <c r="R4265" s="2"/>
      <c r="AB4265" s="2"/>
    </row>
    <row r="4266" spans="8:28" ht="15" customHeight="1">
      <c r="H4266" s="2"/>
      <c r="I4266" s="2"/>
      <c r="J4266" s="2"/>
      <c r="K4266" s="2"/>
      <c r="L4266" s="2"/>
      <c r="M4266" s="2"/>
      <c r="N4266" s="2"/>
      <c r="P4266" s="2"/>
      <c r="Q4266" s="2"/>
      <c r="R4266" s="2"/>
      <c r="AB4266" s="2"/>
    </row>
    <row r="4267" spans="8:28" ht="15" customHeight="1">
      <c r="H4267" s="2"/>
      <c r="I4267" s="2"/>
      <c r="J4267" s="2"/>
      <c r="K4267" s="2"/>
      <c r="L4267" s="2"/>
      <c r="M4267" s="2"/>
      <c r="N4267" s="2"/>
      <c r="P4267" s="2"/>
      <c r="Q4267" s="2"/>
      <c r="R4267" s="2"/>
      <c r="AB4267" s="2"/>
    </row>
    <row r="4268" spans="8:28" ht="15" customHeight="1">
      <c r="H4268" s="2"/>
      <c r="I4268" s="2"/>
      <c r="J4268" s="2"/>
      <c r="K4268" s="2"/>
      <c r="L4268" s="2"/>
      <c r="M4268" s="2"/>
      <c r="N4268" s="2"/>
      <c r="P4268" s="2"/>
      <c r="Q4268" s="2"/>
      <c r="R4268" s="2"/>
      <c r="AB4268" s="2"/>
    </row>
    <row r="4269" spans="8:28" ht="15" customHeight="1">
      <c r="H4269" s="2"/>
      <c r="I4269" s="2"/>
      <c r="J4269" s="2"/>
      <c r="K4269" s="2"/>
      <c r="L4269" s="2"/>
      <c r="M4269" s="2"/>
      <c r="N4269" s="2"/>
      <c r="P4269" s="2"/>
      <c r="Q4269" s="2"/>
      <c r="R4269" s="2"/>
      <c r="AB4269" s="2"/>
    </row>
    <row r="4270" spans="8:28" ht="15" customHeight="1">
      <c r="H4270" s="2"/>
      <c r="I4270" s="2"/>
      <c r="J4270" s="2"/>
      <c r="K4270" s="2"/>
      <c r="L4270" s="2"/>
      <c r="M4270" s="2"/>
      <c r="N4270" s="2"/>
      <c r="P4270" s="2"/>
      <c r="Q4270" s="2"/>
      <c r="R4270" s="2"/>
      <c r="AB4270" s="2"/>
    </row>
    <row r="4271" spans="8:28" ht="15" customHeight="1">
      <c r="H4271" s="2"/>
      <c r="I4271" s="2"/>
      <c r="J4271" s="2"/>
      <c r="K4271" s="2"/>
      <c r="L4271" s="2"/>
      <c r="M4271" s="2"/>
      <c r="N4271" s="2"/>
      <c r="P4271" s="2"/>
      <c r="Q4271" s="2"/>
      <c r="R4271" s="2"/>
      <c r="AB4271" s="2"/>
    </row>
    <row r="4272" spans="8:28" ht="15" customHeight="1">
      <c r="H4272" s="2"/>
      <c r="I4272" s="2"/>
      <c r="J4272" s="2"/>
      <c r="K4272" s="2"/>
      <c r="L4272" s="2"/>
      <c r="M4272" s="2"/>
      <c r="N4272" s="2"/>
      <c r="P4272" s="2"/>
      <c r="Q4272" s="2"/>
      <c r="R4272" s="2"/>
      <c r="AB4272" s="2"/>
    </row>
    <row r="4273" spans="8:28" ht="15" customHeight="1">
      <c r="H4273" s="2"/>
      <c r="I4273" s="2"/>
      <c r="J4273" s="2"/>
      <c r="K4273" s="2"/>
      <c r="L4273" s="2"/>
      <c r="M4273" s="2"/>
      <c r="N4273" s="2"/>
      <c r="P4273" s="2"/>
      <c r="Q4273" s="2"/>
      <c r="R4273" s="2"/>
      <c r="AB4273" s="2"/>
    </row>
    <row r="4274" spans="8:28" ht="15" customHeight="1">
      <c r="H4274" s="2"/>
      <c r="I4274" s="2"/>
      <c r="J4274" s="2"/>
      <c r="K4274" s="2"/>
      <c r="L4274" s="2"/>
      <c r="M4274" s="2"/>
      <c r="N4274" s="2"/>
      <c r="P4274" s="2"/>
      <c r="Q4274" s="2"/>
      <c r="R4274" s="2"/>
      <c r="AB4274" s="2"/>
    </row>
    <row r="4275" spans="8:28" ht="15" customHeight="1">
      <c r="H4275" s="2"/>
      <c r="I4275" s="2"/>
      <c r="J4275" s="2"/>
      <c r="K4275" s="2"/>
      <c r="L4275" s="2"/>
      <c r="M4275" s="2"/>
      <c r="N4275" s="2"/>
      <c r="P4275" s="2"/>
      <c r="Q4275" s="2"/>
      <c r="R4275" s="2"/>
      <c r="AB4275" s="2"/>
    </row>
    <row r="4276" spans="8:28" ht="15" customHeight="1">
      <c r="H4276" s="2"/>
      <c r="I4276" s="2"/>
      <c r="J4276" s="2"/>
      <c r="K4276" s="2"/>
      <c r="L4276" s="2"/>
      <c r="M4276" s="2"/>
      <c r="N4276" s="2"/>
      <c r="P4276" s="2"/>
      <c r="Q4276" s="2"/>
      <c r="R4276" s="2"/>
      <c r="AB4276" s="2"/>
    </row>
    <row r="4277" spans="8:28" ht="15" customHeight="1">
      <c r="H4277" s="2"/>
      <c r="I4277" s="2"/>
      <c r="J4277" s="2"/>
      <c r="K4277" s="2"/>
      <c r="L4277" s="2"/>
      <c r="M4277" s="2"/>
      <c r="N4277" s="2"/>
      <c r="P4277" s="2"/>
      <c r="Q4277" s="2"/>
      <c r="R4277" s="2"/>
      <c r="AB4277" s="2"/>
    </row>
    <row r="4278" spans="8:28" ht="15" customHeight="1">
      <c r="H4278" s="2"/>
      <c r="I4278" s="2"/>
      <c r="J4278" s="2"/>
      <c r="K4278" s="2"/>
      <c r="L4278" s="2"/>
      <c r="M4278" s="2"/>
      <c r="N4278" s="2"/>
      <c r="P4278" s="2"/>
      <c r="Q4278" s="2"/>
      <c r="R4278" s="2"/>
      <c r="AB4278" s="2"/>
    </row>
    <row r="4279" spans="8:28" ht="15" customHeight="1">
      <c r="H4279" s="2"/>
      <c r="I4279" s="2"/>
      <c r="J4279" s="2"/>
      <c r="K4279" s="2"/>
      <c r="L4279" s="2"/>
      <c r="M4279" s="2"/>
      <c r="N4279" s="2"/>
      <c r="P4279" s="2"/>
      <c r="Q4279" s="2"/>
      <c r="R4279" s="2"/>
      <c r="AB4279" s="2"/>
    </row>
    <row r="4280" spans="8:28" ht="15" customHeight="1">
      <c r="H4280" s="2"/>
      <c r="I4280" s="2"/>
      <c r="J4280" s="2"/>
      <c r="K4280" s="2"/>
      <c r="L4280" s="2"/>
      <c r="M4280" s="2"/>
      <c r="N4280" s="2"/>
      <c r="P4280" s="2"/>
      <c r="Q4280" s="2"/>
      <c r="R4280" s="2"/>
      <c r="AB4280" s="2"/>
    </row>
    <row r="4281" spans="8:28" ht="15" customHeight="1">
      <c r="H4281" s="2"/>
      <c r="I4281" s="2"/>
      <c r="J4281" s="2"/>
      <c r="K4281" s="2"/>
      <c r="L4281" s="2"/>
      <c r="M4281" s="2"/>
      <c r="N4281" s="2"/>
      <c r="P4281" s="2"/>
      <c r="Q4281" s="2"/>
      <c r="R4281" s="2"/>
      <c r="AB4281" s="2"/>
    </row>
    <row r="4282" spans="8:28" ht="15" customHeight="1">
      <c r="H4282" s="2"/>
      <c r="I4282" s="2"/>
      <c r="J4282" s="2"/>
      <c r="K4282" s="2"/>
      <c r="L4282" s="2"/>
      <c r="M4282" s="2"/>
      <c r="N4282" s="2"/>
      <c r="P4282" s="2"/>
      <c r="Q4282" s="2"/>
      <c r="R4282" s="2"/>
      <c r="AB4282" s="2"/>
    </row>
    <row r="4283" spans="8:28" ht="15" customHeight="1">
      <c r="H4283" s="2"/>
      <c r="I4283" s="2"/>
      <c r="J4283" s="2"/>
      <c r="K4283" s="2"/>
      <c r="L4283" s="2"/>
      <c r="M4283" s="2"/>
      <c r="N4283" s="2"/>
      <c r="P4283" s="2"/>
      <c r="Q4283" s="2"/>
      <c r="R4283" s="2"/>
      <c r="AB4283" s="2"/>
    </row>
    <row r="4284" spans="8:28" ht="15" customHeight="1">
      <c r="H4284" s="2"/>
      <c r="I4284" s="2"/>
      <c r="J4284" s="2"/>
      <c r="K4284" s="2"/>
      <c r="L4284" s="2"/>
      <c r="M4284" s="2"/>
      <c r="N4284" s="2"/>
      <c r="P4284" s="2"/>
      <c r="Q4284" s="2"/>
      <c r="R4284" s="2"/>
      <c r="AB4284" s="2"/>
    </row>
    <row r="4285" spans="8:28" ht="15" customHeight="1">
      <c r="H4285" s="2"/>
      <c r="I4285" s="2"/>
      <c r="J4285" s="2"/>
      <c r="K4285" s="2"/>
      <c r="L4285" s="2"/>
      <c r="M4285" s="2"/>
      <c r="N4285" s="2"/>
      <c r="P4285" s="2"/>
      <c r="Q4285" s="2"/>
      <c r="R4285" s="2"/>
      <c r="AB4285" s="2"/>
    </row>
    <row r="4286" spans="8:28" ht="15" customHeight="1">
      <c r="H4286" s="2"/>
      <c r="I4286" s="2"/>
      <c r="J4286" s="2"/>
      <c r="K4286" s="2"/>
      <c r="L4286" s="2"/>
      <c r="M4286" s="2"/>
      <c r="N4286" s="2"/>
      <c r="P4286" s="2"/>
      <c r="Q4286" s="2"/>
      <c r="R4286" s="2"/>
      <c r="AB4286" s="2"/>
    </row>
    <row r="4287" spans="8:28" ht="15" customHeight="1">
      <c r="H4287" s="2"/>
      <c r="I4287" s="2"/>
      <c r="J4287" s="2"/>
      <c r="K4287" s="2"/>
      <c r="L4287" s="2"/>
      <c r="M4287" s="2"/>
      <c r="N4287" s="2"/>
      <c r="P4287" s="2"/>
      <c r="Q4287" s="2"/>
      <c r="R4287" s="2"/>
      <c r="AB4287" s="2"/>
    </row>
    <row r="4288" spans="8:28" ht="15" customHeight="1">
      <c r="H4288" s="2"/>
      <c r="I4288" s="2"/>
      <c r="J4288" s="2"/>
      <c r="K4288" s="2"/>
      <c r="L4288" s="2"/>
      <c r="M4288" s="2"/>
      <c r="N4288" s="2"/>
      <c r="P4288" s="2"/>
      <c r="Q4288" s="2"/>
      <c r="R4288" s="2"/>
      <c r="AB4288" s="2"/>
    </row>
    <row r="4289" spans="8:28" ht="15" customHeight="1">
      <c r="H4289" s="2"/>
      <c r="I4289" s="2"/>
      <c r="J4289" s="2"/>
      <c r="K4289" s="2"/>
      <c r="L4289" s="2"/>
      <c r="M4289" s="2"/>
      <c r="N4289" s="2"/>
      <c r="P4289" s="2"/>
      <c r="Q4289" s="2"/>
      <c r="R4289" s="2"/>
      <c r="AB4289" s="2"/>
    </row>
    <row r="4290" spans="8:28" ht="15" customHeight="1">
      <c r="H4290" s="2"/>
      <c r="I4290" s="2"/>
      <c r="J4290" s="2"/>
      <c r="K4290" s="2"/>
      <c r="L4290" s="2"/>
      <c r="M4290" s="2"/>
      <c r="N4290" s="2"/>
      <c r="P4290" s="2"/>
      <c r="Q4290" s="2"/>
      <c r="R4290" s="2"/>
      <c r="AB4290" s="2"/>
    </row>
    <row r="4291" spans="8:28" ht="15" customHeight="1">
      <c r="H4291" s="2"/>
      <c r="I4291" s="2"/>
      <c r="J4291" s="2"/>
      <c r="K4291" s="2"/>
      <c r="L4291" s="2"/>
      <c r="M4291" s="2"/>
      <c r="N4291" s="2"/>
      <c r="P4291" s="2"/>
      <c r="Q4291" s="2"/>
      <c r="R4291" s="2"/>
      <c r="AB4291" s="2"/>
    </row>
    <row r="4292" spans="8:28" ht="15" customHeight="1">
      <c r="H4292" s="2"/>
      <c r="I4292" s="2"/>
      <c r="J4292" s="2"/>
      <c r="K4292" s="2"/>
      <c r="L4292" s="2"/>
      <c r="M4292" s="2"/>
      <c r="N4292" s="2"/>
      <c r="P4292" s="2"/>
      <c r="Q4292" s="2"/>
      <c r="R4292" s="2"/>
      <c r="AB4292" s="2"/>
    </row>
    <row r="4293" spans="8:28" ht="15" customHeight="1">
      <c r="H4293" s="2"/>
      <c r="I4293" s="2"/>
      <c r="J4293" s="2"/>
      <c r="K4293" s="2"/>
      <c r="L4293" s="2"/>
      <c r="M4293" s="2"/>
      <c r="N4293" s="2"/>
      <c r="P4293" s="2"/>
      <c r="Q4293" s="2"/>
      <c r="R4293" s="2"/>
      <c r="AB4293" s="2"/>
    </row>
    <row r="4294" spans="8:28" ht="15" customHeight="1">
      <c r="H4294" s="2"/>
      <c r="I4294" s="2"/>
      <c r="J4294" s="2"/>
      <c r="K4294" s="2"/>
      <c r="L4294" s="2"/>
      <c r="M4294" s="2"/>
      <c r="N4294" s="2"/>
      <c r="P4294" s="2"/>
      <c r="Q4294" s="2"/>
      <c r="R4294" s="2"/>
      <c r="AB4294" s="2"/>
    </row>
    <row r="4295" spans="8:28" ht="15" customHeight="1">
      <c r="H4295" s="2"/>
      <c r="I4295" s="2"/>
      <c r="J4295" s="2"/>
      <c r="K4295" s="2"/>
      <c r="L4295" s="2"/>
      <c r="M4295" s="2"/>
      <c r="N4295" s="2"/>
      <c r="P4295" s="2"/>
      <c r="Q4295" s="2"/>
      <c r="R4295" s="2"/>
      <c r="AB4295" s="2"/>
    </row>
    <row r="4296" spans="8:28" ht="15" customHeight="1">
      <c r="H4296" s="2"/>
      <c r="I4296" s="2"/>
      <c r="J4296" s="2"/>
      <c r="K4296" s="2"/>
      <c r="L4296" s="2"/>
      <c r="M4296" s="2"/>
      <c r="N4296" s="2"/>
      <c r="P4296" s="2"/>
      <c r="Q4296" s="2"/>
      <c r="R4296" s="2"/>
      <c r="AB4296" s="2"/>
    </row>
    <row r="4297" spans="8:28" ht="15" customHeight="1">
      <c r="H4297" s="2"/>
      <c r="I4297" s="2"/>
      <c r="J4297" s="2"/>
      <c r="K4297" s="2"/>
      <c r="L4297" s="2"/>
      <c r="M4297" s="2"/>
      <c r="N4297" s="2"/>
      <c r="P4297" s="2"/>
      <c r="Q4297" s="2"/>
      <c r="R4297" s="2"/>
      <c r="AB4297" s="2"/>
    </row>
    <row r="4298" spans="8:28" ht="15" customHeight="1">
      <c r="H4298" s="2"/>
      <c r="I4298" s="2"/>
      <c r="J4298" s="2"/>
      <c r="K4298" s="2"/>
      <c r="L4298" s="2"/>
      <c r="M4298" s="2"/>
      <c r="N4298" s="2"/>
      <c r="P4298" s="2"/>
      <c r="Q4298" s="2"/>
      <c r="R4298" s="2"/>
      <c r="AB4298" s="2"/>
    </row>
    <row r="4299" spans="8:28" ht="15" customHeight="1">
      <c r="H4299" s="2"/>
      <c r="I4299" s="2"/>
      <c r="J4299" s="2"/>
      <c r="K4299" s="2"/>
      <c r="L4299" s="2"/>
      <c r="M4299" s="2"/>
      <c r="N4299" s="2"/>
      <c r="P4299" s="2"/>
      <c r="Q4299" s="2"/>
      <c r="R4299" s="2"/>
      <c r="AB4299" s="2"/>
    </row>
    <row r="4300" spans="8:28" ht="15" customHeight="1">
      <c r="H4300" s="2"/>
      <c r="I4300" s="2"/>
      <c r="J4300" s="2"/>
      <c r="K4300" s="2"/>
      <c r="L4300" s="2"/>
      <c r="M4300" s="2"/>
      <c r="N4300" s="2"/>
      <c r="P4300" s="2"/>
      <c r="Q4300" s="2"/>
      <c r="R4300" s="2"/>
      <c r="AB4300" s="2"/>
    </row>
    <row r="4301" spans="8:28" ht="15" customHeight="1">
      <c r="H4301" s="2"/>
      <c r="I4301" s="2"/>
      <c r="J4301" s="2"/>
      <c r="K4301" s="2"/>
      <c r="L4301" s="2"/>
      <c r="M4301" s="2"/>
      <c r="N4301" s="2"/>
      <c r="P4301" s="2"/>
      <c r="Q4301" s="2"/>
      <c r="R4301" s="2"/>
      <c r="AB4301" s="2"/>
    </row>
    <row r="4302" spans="8:28" ht="15" customHeight="1">
      <c r="H4302" s="2"/>
      <c r="I4302" s="2"/>
      <c r="J4302" s="2"/>
      <c r="K4302" s="2"/>
      <c r="L4302" s="2"/>
      <c r="M4302" s="2"/>
      <c r="N4302" s="2"/>
      <c r="P4302" s="2"/>
      <c r="Q4302" s="2"/>
      <c r="R4302" s="2"/>
      <c r="AB4302" s="2"/>
    </row>
    <row r="4303" spans="8:28" ht="15" customHeight="1">
      <c r="H4303" s="2"/>
      <c r="I4303" s="2"/>
      <c r="J4303" s="2"/>
      <c r="K4303" s="2"/>
      <c r="L4303" s="2"/>
      <c r="M4303" s="2"/>
      <c r="N4303" s="2"/>
      <c r="P4303" s="2"/>
      <c r="Q4303" s="2"/>
      <c r="R4303" s="2"/>
      <c r="AB4303" s="2"/>
    </row>
    <row r="4304" spans="8:28" ht="15" customHeight="1">
      <c r="H4304" s="2"/>
      <c r="I4304" s="2"/>
      <c r="J4304" s="2"/>
      <c r="K4304" s="2"/>
      <c r="L4304" s="2"/>
      <c r="M4304" s="2"/>
      <c r="N4304" s="2"/>
      <c r="P4304" s="2"/>
      <c r="Q4304" s="2"/>
      <c r="R4304" s="2"/>
      <c r="AB4304" s="2"/>
    </row>
    <row r="4305" spans="8:28" ht="15" customHeight="1">
      <c r="H4305" s="2"/>
      <c r="I4305" s="2"/>
      <c r="J4305" s="2"/>
      <c r="K4305" s="2"/>
      <c r="L4305" s="2"/>
      <c r="M4305" s="2"/>
      <c r="N4305" s="2"/>
      <c r="P4305" s="2"/>
      <c r="Q4305" s="2"/>
      <c r="R4305" s="2"/>
      <c r="AB4305" s="2"/>
    </row>
    <row r="4306" spans="8:28" ht="15" customHeight="1">
      <c r="H4306" s="2"/>
      <c r="I4306" s="2"/>
      <c r="J4306" s="2"/>
      <c r="K4306" s="2"/>
      <c r="L4306" s="2"/>
      <c r="M4306" s="2"/>
      <c r="N4306" s="2"/>
      <c r="P4306" s="2"/>
      <c r="Q4306" s="2"/>
      <c r="R4306" s="2"/>
      <c r="AB4306" s="2"/>
    </row>
    <row r="4307" spans="8:28" ht="15" customHeight="1">
      <c r="H4307" s="2"/>
      <c r="I4307" s="2"/>
      <c r="J4307" s="2"/>
      <c r="K4307" s="2"/>
      <c r="L4307" s="2"/>
      <c r="M4307" s="2"/>
      <c r="N4307" s="2"/>
      <c r="P4307" s="2"/>
      <c r="Q4307" s="2"/>
      <c r="R4307" s="2"/>
      <c r="AB4307" s="2"/>
    </row>
    <row r="4308" spans="8:28" ht="15" customHeight="1">
      <c r="H4308" s="2"/>
      <c r="I4308" s="2"/>
      <c r="J4308" s="2"/>
      <c r="K4308" s="2"/>
      <c r="L4308" s="2"/>
      <c r="M4308" s="2"/>
      <c r="N4308" s="2"/>
      <c r="P4308" s="2"/>
      <c r="Q4308" s="2"/>
      <c r="R4308" s="2"/>
      <c r="AB4308" s="2"/>
    </row>
    <row r="4309" spans="8:28" ht="15" customHeight="1">
      <c r="H4309" s="2"/>
      <c r="I4309" s="2"/>
      <c r="J4309" s="2"/>
      <c r="K4309" s="2"/>
      <c r="L4309" s="2"/>
      <c r="M4309" s="2"/>
      <c r="N4309" s="2"/>
      <c r="P4309" s="2"/>
      <c r="Q4309" s="2"/>
      <c r="R4309" s="2"/>
      <c r="AB4309" s="2"/>
    </row>
    <row r="4310" spans="8:28" ht="15" customHeight="1">
      <c r="H4310" s="2"/>
      <c r="I4310" s="2"/>
      <c r="J4310" s="2"/>
      <c r="K4310" s="2"/>
      <c r="L4310" s="2"/>
      <c r="M4310" s="2"/>
      <c r="N4310" s="2"/>
      <c r="P4310" s="2"/>
      <c r="Q4310" s="2"/>
      <c r="R4310" s="2"/>
      <c r="AB4310" s="2"/>
    </row>
    <row r="4311" spans="8:28" ht="15" customHeight="1">
      <c r="H4311" s="2"/>
      <c r="I4311" s="2"/>
      <c r="J4311" s="2"/>
      <c r="K4311" s="2"/>
      <c r="L4311" s="2"/>
      <c r="M4311" s="2"/>
      <c r="N4311" s="2"/>
      <c r="P4311" s="2"/>
      <c r="Q4311" s="2"/>
      <c r="R4311" s="2"/>
      <c r="AB4311" s="2"/>
    </row>
    <row r="4312" spans="8:28" ht="15" customHeight="1">
      <c r="H4312" s="2"/>
      <c r="I4312" s="2"/>
      <c r="J4312" s="2"/>
      <c r="K4312" s="2"/>
      <c r="L4312" s="2"/>
      <c r="M4312" s="2"/>
      <c r="N4312" s="2"/>
      <c r="P4312" s="2"/>
      <c r="Q4312" s="2"/>
      <c r="R4312" s="2"/>
      <c r="AB4312" s="2"/>
    </row>
    <row r="4313" spans="8:28" ht="15" customHeight="1">
      <c r="H4313" s="2"/>
      <c r="I4313" s="2"/>
      <c r="J4313" s="2"/>
      <c r="K4313" s="2"/>
      <c r="L4313" s="2"/>
      <c r="M4313" s="2"/>
      <c r="N4313" s="2"/>
      <c r="P4313" s="2"/>
      <c r="Q4313" s="2"/>
      <c r="R4313" s="2"/>
      <c r="AB4313" s="2"/>
    </row>
    <row r="4314" spans="8:28" ht="15" customHeight="1">
      <c r="H4314" s="2"/>
      <c r="I4314" s="2"/>
      <c r="J4314" s="2"/>
      <c r="K4314" s="2"/>
      <c r="L4314" s="2"/>
      <c r="M4314" s="2"/>
      <c r="N4314" s="2"/>
      <c r="P4314" s="2"/>
      <c r="Q4314" s="2"/>
      <c r="R4314" s="2"/>
      <c r="AB4314" s="2"/>
    </row>
    <row r="4315" spans="8:28" ht="15" customHeight="1">
      <c r="H4315" s="2"/>
      <c r="I4315" s="2"/>
      <c r="J4315" s="2"/>
      <c r="K4315" s="2"/>
      <c r="L4315" s="2"/>
      <c r="M4315" s="2"/>
      <c r="N4315" s="2"/>
      <c r="P4315" s="2"/>
      <c r="Q4315" s="2"/>
      <c r="R4315" s="2"/>
      <c r="AB4315" s="2"/>
    </row>
    <row r="4316" spans="8:28" ht="15" customHeight="1">
      <c r="H4316" s="2"/>
      <c r="I4316" s="2"/>
      <c r="J4316" s="2"/>
      <c r="K4316" s="2"/>
      <c r="L4316" s="2"/>
      <c r="M4316" s="2"/>
      <c r="N4316" s="2"/>
      <c r="P4316" s="2"/>
      <c r="Q4316" s="2"/>
      <c r="R4316" s="2"/>
      <c r="AB4316" s="2"/>
    </row>
    <row r="4317" spans="8:28" ht="15" customHeight="1">
      <c r="H4317" s="2"/>
      <c r="I4317" s="2"/>
      <c r="J4317" s="2"/>
      <c r="K4317" s="2"/>
      <c r="L4317" s="2"/>
      <c r="M4317" s="2"/>
      <c r="N4317" s="2"/>
      <c r="P4317" s="2"/>
      <c r="Q4317" s="2"/>
      <c r="R4317" s="2"/>
      <c r="AB4317" s="2"/>
    </row>
    <row r="4318" spans="8:28" ht="15" customHeight="1">
      <c r="H4318" s="2"/>
      <c r="I4318" s="2"/>
      <c r="J4318" s="2"/>
      <c r="K4318" s="2"/>
      <c r="L4318" s="2"/>
      <c r="M4318" s="2"/>
      <c r="N4318" s="2"/>
      <c r="P4318" s="2"/>
      <c r="Q4318" s="2"/>
      <c r="R4318" s="2"/>
      <c r="AB4318" s="2"/>
    </row>
    <row r="4319" spans="8:28" ht="15" customHeight="1">
      <c r="H4319" s="2"/>
      <c r="I4319" s="2"/>
      <c r="J4319" s="2"/>
      <c r="K4319" s="2"/>
      <c r="L4319" s="2"/>
      <c r="M4319" s="2"/>
      <c r="N4319" s="2"/>
      <c r="P4319" s="2"/>
      <c r="Q4319" s="2"/>
      <c r="R4319" s="2"/>
      <c r="AB4319" s="2"/>
    </row>
    <row r="4320" spans="8:28" ht="15" customHeight="1">
      <c r="H4320" s="2"/>
      <c r="I4320" s="2"/>
      <c r="J4320" s="2"/>
      <c r="K4320" s="2"/>
      <c r="L4320" s="2"/>
      <c r="M4320" s="2"/>
      <c r="N4320" s="2"/>
      <c r="P4320" s="2"/>
      <c r="Q4320" s="2"/>
      <c r="R4320" s="2"/>
      <c r="AB4320" s="2"/>
    </row>
    <row r="4321" spans="8:28" ht="15" customHeight="1">
      <c r="H4321" s="2"/>
      <c r="I4321" s="2"/>
      <c r="J4321" s="2"/>
      <c r="K4321" s="2"/>
      <c r="L4321" s="2"/>
      <c r="M4321" s="2"/>
      <c r="N4321" s="2"/>
      <c r="P4321" s="2"/>
      <c r="Q4321" s="2"/>
      <c r="R4321" s="2"/>
      <c r="AB4321" s="2"/>
    </row>
    <row r="4322" spans="8:28" ht="15" customHeight="1">
      <c r="H4322" s="2"/>
      <c r="I4322" s="2"/>
      <c r="J4322" s="2"/>
      <c r="K4322" s="2"/>
      <c r="L4322" s="2"/>
      <c r="M4322" s="2"/>
      <c r="N4322" s="2"/>
      <c r="P4322" s="2"/>
      <c r="Q4322" s="2"/>
      <c r="R4322" s="2"/>
      <c r="AB4322" s="2"/>
    </row>
    <row r="4323" spans="8:28" ht="15" customHeight="1">
      <c r="H4323" s="2"/>
      <c r="I4323" s="2"/>
      <c r="J4323" s="2"/>
      <c r="K4323" s="2"/>
      <c r="L4323" s="2"/>
      <c r="M4323" s="2"/>
      <c r="N4323" s="2"/>
      <c r="P4323" s="2"/>
      <c r="Q4323" s="2"/>
      <c r="R4323" s="2"/>
      <c r="AB4323" s="2"/>
    </row>
    <row r="4324" spans="8:28" ht="15" customHeight="1">
      <c r="H4324" s="2"/>
      <c r="I4324" s="2"/>
      <c r="J4324" s="2"/>
      <c r="K4324" s="2"/>
      <c r="L4324" s="2"/>
      <c r="M4324" s="2"/>
      <c r="N4324" s="2"/>
      <c r="P4324" s="2"/>
      <c r="Q4324" s="2"/>
      <c r="R4324" s="2"/>
      <c r="AB4324" s="2"/>
    </row>
    <row r="4325" spans="8:28" ht="15" customHeight="1">
      <c r="H4325" s="2"/>
      <c r="I4325" s="2"/>
      <c r="J4325" s="2"/>
      <c r="K4325" s="2"/>
      <c r="L4325" s="2"/>
      <c r="M4325" s="2"/>
      <c r="N4325" s="2"/>
      <c r="P4325" s="2"/>
      <c r="Q4325" s="2"/>
      <c r="R4325" s="2"/>
      <c r="AB4325" s="2"/>
    </row>
    <row r="4326" spans="8:28" ht="15" customHeight="1">
      <c r="H4326" s="2"/>
      <c r="I4326" s="2"/>
      <c r="J4326" s="2"/>
      <c r="K4326" s="2"/>
      <c r="L4326" s="2"/>
      <c r="M4326" s="2"/>
      <c r="N4326" s="2"/>
      <c r="P4326" s="2"/>
      <c r="Q4326" s="2"/>
      <c r="R4326" s="2"/>
      <c r="AB4326" s="2"/>
    </row>
    <row r="4327" spans="8:28" ht="15" customHeight="1">
      <c r="H4327" s="2"/>
      <c r="I4327" s="2"/>
      <c r="J4327" s="2"/>
      <c r="K4327" s="2"/>
      <c r="L4327" s="2"/>
      <c r="M4327" s="2"/>
      <c r="N4327" s="2"/>
      <c r="P4327" s="2"/>
      <c r="Q4327" s="2"/>
      <c r="R4327" s="2"/>
      <c r="AB4327" s="2"/>
    </row>
    <row r="4328" spans="8:28" ht="15" customHeight="1">
      <c r="H4328" s="2"/>
      <c r="I4328" s="2"/>
      <c r="J4328" s="2"/>
      <c r="K4328" s="2"/>
      <c r="L4328" s="2"/>
      <c r="M4328" s="2"/>
      <c r="N4328" s="2"/>
      <c r="P4328" s="2"/>
      <c r="Q4328" s="2"/>
      <c r="R4328" s="2"/>
      <c r="AB4328" s="2"/>
    </row>
    <row r="4329" spans="8:28" ht="15" customHeight="1">
      <c r="H4329" s="2"/>
      <c r="I4329" s="2"/>
      <c r="J4329" s="2"/>
      <c r="K4329" s="2"/>
      <c r="L4329" s="2"/>
      <c r="M4329" s="2"/>
      <c r="N4329" s="2"/>
      <c r="P4329" s="2"/>
      <c r="Q4329" s="2"/>
      <c r="R4329" s="2"/>
      <c r="AB4329" s="2"/>
    </row>
    <row r="4330" spans="8:28" ht="15" customHeight="1">
      <c r="H4330" s="2"/>
      <c r="I4330" s="2"/>
      <c r="J4330" s="2"/>
      <c r="K4330" s="2"/>
      <c r="L4330" s="2"/>
      <c r="M4330" s="2"/>
      <c r="N4330" s="2"/>
      <c r="P4330" s="2"/>
      <c r="Q4330" s="2"/>
      <c r="R4330" s="2"/>
      <c r="AB4330" s="2"/>
    </row>
    <row r="4331" spans="8:28" ht="15" customHeight="1">
      <c r="H4331" s="2"/>
      <c r="I4331" s="2"/>
      <c r="J4331" s="2"/>
      <c r="K4331" s="2"/>
      <c r="L4331" s="2"/>
      <c r="M4331" s="2"/>
      <c r="N4331" s="2"/>
      <c r="P4331" s="2"/>
      <c r="Q4331" s="2"/>
      <c r="R4331" s="2"/>
      <c r="AB4331" s="2"/>
    </row>
    <row r="4332" spans="8:28" ht="15" customHeight="1">
      <c r="H4332" s="2"/>
      <c r="I4332" s="2"/>
      <c r="J4332" s="2"/>
      <c r="K4332" s="2"/>
      <c r="L4332" s="2"/>
      <c r="M4332" s="2"/>
      <c r="N4332" s="2"/>
      <c r="P4332" s="2"/>
      <c r="Q4332" s="2"/>
      <c r="R4332" s="2"/>
      <c r="AB4332" s="2"/>
    </row>
    <row r="4333" spans="8:28" ht="15" customHeight="1">
      <c r="H4333" s="2"/>
      <c r="I4333" s="2"/>
      <c r="J4333" s="2"/>
      <c r="K4333" s="2"/>
      <c r="L4333" s="2"/>
      <c r="M4333" s="2"/>
      <c r="N4333" s="2"/>
      <c r="P4333" s="2"/>
      <c r="Q4333" s="2"/>
      <c r="R4333" s="2"/>
      <c r="AB4333" s="2"/>
    </row>
    <row r="4334" spans="8:28" ht="15" customHeight="1">
      <c r="H4334" s="2"/>
      <c r="I4334" s="2"/>
      <c r="J4334" s="2"/>
      <c r="K4334" s="2"/>
      <c r="L4334" s="2"/>
      <c r="M4334" s="2"/>
      <c r="N4334" s="2"/>
      <c r="P4334" s="2"/>
      <c r="Q4334" s="2"/>
      <c r="R4334" s="2"/>
      <c r="AB4334" s="2"/>
    </row>
    <row r="4335" spans="8:28" ht="15" customHeight="1">
      <c r="H4335" s="2"/>
      <c r="I4335" s="2"/>
      <c r="J4335" s="2"/>
      <c r="K4335" s="2"/>
      <c r="L4335" s="2"/>
      <c r="M4335" s="2"/>
      <c r="N4335" s="2"/>
      <c r="P4335" s="2"/>
      <c r="Q4335" s="2"/>
      <c r="R4335" s="2"/>
      <c r="AB4335" s="2"/>
    </row>
    <row r="4336" spans="8:28" ht="15" customHeight="1">
      <c r="H4336" s="2"/>
      <c r="I4336" s="2"/>
      <c r="J4336" s="2"/>
      <c r="K4336" s="2"/>
      <c r="L4336" s="2"/>
      <c r="M4336" s="2"/>
      <c r="N4336" s="2"/>
      <c r="P4336" s="2"/>
      <c r="Q4336" s="2"/>
      <c r="R4336" s="2"/>
      <c r="AB4336" s="2"/>
    </row>
    <row r="4337" spans="8:28" ht="15" customHeight="1">
      <c r="H4337" s="2"/>
      <c r="I4337" s="2"/>
      <c r="J4337" s="2"/>
      <c r="K4337" s="2"/>
      <c r="L4337" s="2"/>
      <c r="M4337" s="2"/>
      <c r="N4337" s="2"/>
      <c r="P4337" s="2"/>
      <c r="Q4337" s="2"/>
      <c r="R4337" s="2"/>
      <c r="AB4337" s="2"/>
    </row>
    <row r="4338" spans="8:28" ht="15" customHeight="1">
      <c r="H4338" s="2"/>
      <c r="I4338" s="2"/>
      <c r="J4338" s="2"/>
      <c r="K4338" s="2"/>
      <c r="L4338" s="2"/>
      <c r="M4338" s="2"/>
      <c r="N4338" s="2"/>
      <c r="P4338" s="2"/>
      <c r="Q4338" s="2"/>
      <c r="R4338" s="2"/>
      <c r="AB4338" s="2"/>
    </row>
    <row r="4339" spans="8:28" ht="15" customHeight="1">
      <c r="H4339" s="2"/>
      <c r="I4339" s="2"/>
      <c r="J4339" s="2"/>
      <c r="K4339" s="2"/>
      <c r="L4339" s="2"/>
      <c r="M4339" s="2"/>
      <c r="N4339" s="2"/>
      <c r="P4339" s="2"/>
      <c r="Q4339" s="2"/>
      <c r="R4339" s="2"/>
      <c r="AB4339" s="2"/>
    </row>
    <row r="4340" spans="8:28" ht="15" customHeight="1">
      <c r="H4340" s="2"/>
      <c r="I4340" s="2"/>
      <c r="J4340" s="2"/>
      <c r="K4340" s="2"/>
      <c r="L4340" s="2"/>
      <c r="M4340" s="2"/>
      <c r="N4340" s="2"/>
      <c r="P4340" s="2"/>
      <c r="Q4340" s="2"/>
      <c r="R4340" s="2"/>
      <c r="AB4340" s="2"/>
    </row>
    <row r="4341" spans="8:28" ht="15" customHeight="1">
      <c r="H4341" s="2"/>
      <c r="I4341" s="2"/>
      <c r="J4341" s="2"/>
      <c r="K4341" s="2"/>
      <c r="L4341" s="2"/>
      <c r="M4341" s="2"/>
      <c r="N4341" s="2"/>
      <c r="P4341" s="2"/>
      <c r="Q4341" s="2"/>
      <c r="R4341" s="2"/>
      <c r="AB4341" s="2"/>
    </row>
    <row r="4342" spans="8:28" ht="15" customHeight="1">
      <c r="H4342" s="2"/>
      <c r="I4342" s="2"/>
      <c r="J4342" s="2"/>
      <c r="K4342" s="2"/>
      <c r="L4342" s="2"/>
      <c r="M4342" s="2"/>
      <c r="N4342" s="2"/>
      <c r="P4342" s="2"/>
      <c r="Q4342" s="2"/>
      <c r="R4342" s="2"/>
      <c r="AB4342" s="2"/>
    </row>
    <row r="4343" spans="8:28" ht="15" customHeight="1">
      <c r="H4343" s="2"/>
      <c r="I4343" s="2"/>
      <c r="J4343" s="2"/>
      <c r="K4343" s="2"/>
      <c r="L4343" s="2"/>
      <c r="M4343" s="2"/>
      <c r="N4343" s="2"/>
      <c r="P4343" s="2"/>
      <c r="Q4343" s="2"/>
      <c r="R4343" s="2"/>
      <c r="AB4343" s="2"/>
    </row>
    <row r="4344" spans="8:28" ht="15" customHeight="1">
      <c r="H4344" s="2"/>
      <c r="I4344" s="2"/>
      <c r="J4344" s="2"/>
      <c r="K4344" s="2"/>
      <c r="L4344" s="2"/>
      <c r="M4344" s="2"/>
      <c r="N4344" s="2"/>
      <c r="P4344" s="2"/>
      <c r="Q4344" s="2"/>
      <c r="R4344" s="2"/>
      <c r="AB4344" s="2"/>
    </row>
    <row r="4345" spans="8:28" ht="15" customHeight="1">
      <c r="H4345" s="2"/>
      <c r="I4345" s="2"/>
      <c r="J4345" s="2"/>
      <c r="K4345" s="2"/>
      <c r="L4345" s="2"/>
      <c r="M4345" s="2"/>
      <c r="N4345" s="2"/>
      <c r="P4345" s="2"/>
      <c r="Q4345" s="2"/>
      <c r="R4345" s="2"/>
      <c r="AB4345" s="2"/>
    </row>
    <row r="4346" spans="8:28" ht="15" customHeight="1">
      <c r="H4346" s="2"/>
      <c r="I4346" s="2"/>
      <c r="J4346" s="2"/>
      <c r="K4346" s="2"/>
      <c r="L4346" s="2"/>
      <c r="M4346" s="2"/>
      <c r="N4346" s="2"/>
      <c r="P4346" s="2"/>
      <c r="Q4346" s="2"/>
      <c r="R4346" s="2"/>
      <c r="AB4346" s="2"/>
    </row>
    <row r="4347" spans="8:28" ht="15" customHeight="1">
      <c r="H4347" s="2"/>
      <c r="I4347" s="2"/>
      <c r="J4347" s="2"/>
      <c r="K4347" s="2"/>
      <c r="L4347" s="2"/>
      <c r="M4347" s="2"/>
      <c r="N4347" s="2"/>
      <c r="P4347" s="2"/>
      <c r="Q4347" s="2"/>
      <c r="R4347" s="2"/>
      <c r="AB4347" s="2"/>
    </row>
    <row r="4348" spans="8:28" ht="15" customHeight="1">
      <c r="H4348" s="2"/>
      <c r="I4348" s="2"/>
      <c r="J4348" s="2"/>
      <c r="K4348" s="2"/>
      <c r="L4348" s="2"/>
      <c r="M4348" s="2"/>
      <c r="N4348" s="2"/>
      <c r="P4348" s="2"/>
      <c r="Q4348" s="2"/>
      <c r="R4348" s="2"/>
      <c r="AB4348" s="2"/>
    </row>
    <row r="4349" spans="8:28" ht="15" customHeight="1">
      <c r="H4349" s="2"/>
      <c r="I4349" s="2"/>
      <c r="J4349" s="2"/>
      <c r="K4349" s="2"/>
      <c r="L4349" s="2"/>
      <c r="M4349" s="2"/>
      <c r="N4349" s="2"/>
      <c r="P4349" s="2"/>
      <c r="Q4349" s="2"/>
      <c r="R4349" s="2"/>
      <c r="AB4349" s="2"/>
    </row>
    <row r="4350" spans="8:28" ht="15" customHeight="1">
      <c r="H4350" s="2"/>
      <c r="I4350" s="2"/>
      <c r="J4350" s="2"/>
      <c r="K4350" s="2"/>
      <c r="L4350" s="2"/>
      <c r="M4350" s="2"/>
      <c r="N4350" s="2"/>
      <c r="P4350" s="2"/>
      <c r="Q4350" s="2"/>
      <c r="R4350" s="2"/>
      <c r="AB4350" s="2"/>
    </row>
    <row r="4351" spans="8:28" ht="15" customHeight="1">
      <c r="H4351" s="2"/>
      <c r="I4351" s="2"/>
      <c r="J4351" s="2"/>
      <c r="K4351" s="2"/>
      <c r="L4351" s="2"/>
      <c r="M4351" s="2"/>
      <c r="N4351" s="2"/>
      <c r="P4351" s="2"/>
      <c r="Q4351" s="2"/>
      <c r="R4351" s="2"/>
      <c r="AB4351" s="2"/>
    </row>
    <row r="4352" spans="8:28" ht="15" customHeight="1">
      <c r="H4352" s="2"/>
      <c r="I4352" s="2"/>
      <c r="J4352" s="2"/>
      <c r="K4352" s="2"/>
      <c r="L4352" s="2"/>
      <c r="M4352" s="2"/>
      <c r="N4352" s="2"/>
      <c r="P4352" s="2"/>
      <c r="Q4352" s="2"/>
      <c r="R4352" s="2"/>
      <c r="AB4352" s="2"/>
    </row>
    <row r="4353" spans="8:28" ht="15" customHeight="1">
      <c r="H4353" s="2"/>
      <c r="I4353" s="2"/>
      <c r="J4353" s="2"/>
      <c r="K4353" s="2"/>
      <c r="L4353" s="2"/>
      <c r="M4353" s="2"/>
      <c r="N4353" s="2"/>
      <c r="P4353" s="2"/>
      <c r="Q4353" s="2"/>
      <c r="R4353" s="2"/>
      <c r="AB4353" s="2"/>
    </row>
    <row r="4354" spans="8:28" ht="15" customHeight="1">
      <c r="H4354" s="2"/>
      <c r="I4354" s="2"/>
      <c r="J4354" s="2"/>
      <c r="K4354" s="2"/>
      <c r="L4354" s="2"/>
      <c r="M4354" s="2"/>
      <c r="N4354" s="2"/>
      <c r="P4354" s="2"/>
      <c r="Q4354" s="2"/>
      <c r="R4354" s="2"/>
      <c r="AB4354" s="2"/>
    </row>
    <row r="4355" spans="8:28" ht="15" customHeight="1">
      <c r="H4355" s="2"/>
      <c r="I4355" s="2"/>
      <c r="J4355" s="2"/>
      <c r="K4355" s="2"/>
      <c r="L4355" s="2"/>
      <c r="M4355" s="2"/>
      <c r="N4355" s="2"/>
      <c r="P4355" s="2"/>
      <c r="Q4355" s="2"/>
      <c r="R4355" s="2"/>
      <c r="AB4355" s="2"/>
    </row>
    <row r="4356" spans="8:28" ht="15" customHeight="1">
      <c r="H4356" s="2"/>
      <c r="I4356" s="2"/>
      <c r="J4356" s="2"/>
      <c r="K4356" s="2"/>
      <c r="L4356" s="2"/>
      <c r="M4356" s="2"/>
      <c r="N4356" s="2"/>
      <c r="P4356" s="2"/>
      <c r="Q4356" s="2"/>
      <c r="R4356" s="2"/>
      <c r="AB4356" s="2"/>
    </row>
    <row r="4357" spans="8:28" ht="15" customHeight="1">
      <c r="H4357" s="2"/>
      <c r="I4357" s="2"/>
      <c r="J4357" s="2"/>
      <c r="K4357" s="2"/>
      <c r="L4357" s="2"/>
      <c r="M4357" s="2"/>
      <c r="N4357" s="2"/>
      <c r="P4357" s="2"/>
      <c r="Q4357" s="2"/>
      <c r="R4357" s="2"/>
      <c r="AB4357" s="2"/>
    </row>
    <row r="4358" spans="8:28" ht="15" customHeight="1">
      <c r="H4358" s="2"/>
      <c r="I4358" s="2"/>
      <c r="J4358" s="2"/>
      <c r="K4358" s="2"/>
      <c r="L4358" s="2"/>
      <c r="M4358" s="2"/>
      <c r="N4358" s="2"/>
      <c r="P4358" s="2"/>
      <c r="Q4358" s="2"/>
      <c r="R4358" s="2"/>
      <c r="AB4358" s="2"/>
    </row>
    <row r="4359" spans="8:28" ht="15" customHeight="1">
      <c r="H4359" s="2"/>
      <c r="I4359" s="2"/>
      <c r="J4359" s="2"/>
      <c r="K4359" s="2"/>
      <c r="L4359" s="2"/>
      <c r="M4359" s="2"/>
      <c r="N4359" s="2"/>
      <c r="P4359" s="2"/>
      <c r="Q4359" s="2"/>
      <c r="R4359" s="2"/>
      <c r="AB4359" s="2"/>
    </row>
    <row r="4360" spans="8:28" ht="15" customHeight="1">
      <c r="H4360" s="2"/>
      <c r="I4360" s="2"/>
      <c r="J4360" s="2"/>
      <c r="K4360" s="2"/>
      <c r="L4360" s="2"/>
      <c r="M4360" s="2"/>
      <c r="N4360" s="2"/>
      <c r="P4360" s="2"/>
      <c r="Q4360" s="2"/>
      <c r="R4360" s="2"/>
      <c r="AB4360" s="2"/>
    </row>
    <row r="4361" spans="8:28" ht="15" customHeight="1">
      <c r="H4361" s="2"/>
      <c r="I4361" s="2"/>
      <c r="J4361" s="2"/>
      <c r="K4361" s="2"/>
      <c r="L4361" s="2"/>
      <c r="M4361" s="2"/>
      <c r="N4361" s="2"/>
      <c r="P4361" s="2"/>
      <c r="Q4361" s="2"/>
      <c r="R4361" s="2"/>
      <c r="AB4361" s="2"/>
    </row>
    <row r="4362" spans="8:28" ht="15" customHeight="1">
      <c r="H4362" s="2"/>
      <c r="I4362" s="2"/>
      <c r="J4362" s="2"/>
      <c r="K4362" s="2"/>
      <c r="L4362" s="2"/>
      <c r="M4362" s="2"/>
      <c r="N4362" s="2"/>
      <c r="P4362" s="2"/>
      <c r="Q4362" s="2"/>
      <c r="R4362" s="2"/>
      <c r="AB4362" s="2"/>
    </row>
    <row r="4363" spans="8:28" ht="15" customHeight="1">
      <c r="H4363" s="2"/>
      <c r="I4363" s="2"/>
      <c r="J4363" s="2"/>
      <c r="K4363" s="2"/>
      <c r="L4363" s="2"/>
      <c r="M4363" s="2"/>
      <c r="N4363" s="2"/>
      <c r="P4363" s="2"/>
      <c r="Q4363" s="2"/>
      <c r="R4363" s="2"/>
      <c r="AB4363" s="2"/>
    </row>
    <row r="4364" spans="8:28" ht="15" customHeight="1">
      <c r="H4364" s="2"/>
      <c r="I4364" s="2"/>
      <c r="J4364" s="2"/>
      <c r="K4364" s="2"/>
      <c r="L4364" s="2"/>
      <c r="M4364" s="2"/>
      <c r="N4364" s="2"/>
      <c r="P4364" s="2"/>
      <c r="Q4364" s="2"/>
      <c r="R4364" s="2"/>
      <c r="AB4364" s="2"/>
    </row>
    <row r="4365" spans="8:28" ht="15" customHeight="1">
      <c r="H4365" s="2"/>
      <c r="I4365" s="2"/>
      <c r="J4365" s="2"/>
      <c r="K4365" s="2"/>
      <c r="L4365" s="2"/>
      <c r="M4365" s="2"/>
      <c r="N4365" s="2"/>
      <c r="P4365" s="2"/>
      <c r="Q4365" s="2"/>
      <c r="R4365" s="2"/>
      <c r="AB4365" s="2"/>
    </row>
    <row r="4366" spans="8:28" ht="15" customHeight="1">
      <c r="H4366" s="2"/>
      <c r="I4366" s="2"/>
      <c r="J4366" s="2"/>
      <c r="K4366" s="2"/>
      <c r="L4366" s="2"/>
      <c r="M4366" s="2"/>
      <c r="N4366" s="2"/>
      <c r="P4366" s="2"/>
      <c r="Q4366" s="2"/>
      <c r="R4366" s="2"/>
      <c r="AB4366" s="2"/>
    </row>
    <row r="4367" spans="8:28" ht="15" customHeight="1">
      <c r="H4367" s="2"/>
      <c r="I4367" s="2"/>
      <c r="J4367" s="2"/>
      <c r="K4367" s="2"/>
      <c r="L4367" s="2"/>
      <c r="M4367" s="2"/>
      <c r="N4367" s="2"/>
      <c r="P4367" s="2"/>
      <c r="Q4367" s="2"/>
      <c r="R4367" s="2"/>
      <c r="AB4367" s="2"/>
    </row>
    <row r="4368" spans="8:28" ht="15" customHeight="1">
      <c r="H4368" s="2"/>
      <c r="I4368" s="2"/>
      <c r="J4368" s="2"/>
      <c r="K4368" s="2"/>
      <c r="L4368" s="2"/>
      <c r="M4368" s="2"/>
      <c r="N4368" s="2"/>
      <c r="P4368" s="2"/>
      <c r="Q4368" s="2"/>
      <c r="R4368" s="2"/>
      <c r="AB4368" s="2"/>
    </row>
    <row r="4369" spans="8:28" ht="15" customHeight="1">
      <c r="H4369" s="2"/>
      <c r="I4369" s="2"/>
      <c r="J4369" s="2"/>
      <c r="K4369" s="2"/>
      <c r="L4369" s="2"/>
      <c r="M4369" s="2"/>
      <c r="N4369" s="2"/>
      <c r="P4369" s="2"/>
      <c r="Q4369" s="2"/>
      <c r="R4369" s="2"/>
      <c r="AB4369" s="2"/>
    </row>
    <row r="4370" spans="8:28" ht="15" customHeight="1">
      <c r="H4370" s="2"/>
      <c r="I4370" s="2"/>
      <c r="J4370" s="2"/>
      <c r="K4370" s="2"/>
      <c r="L4370" s="2"/>
      <c r="M4370" s="2"/>
      <c r="N4370" s="2"/>
      <c r="P4370" s="2"/>
      <c r="Q4370" s="2"/>
      <c r="R4370" s="2"/>
      <c r="AB4370" s="2"/>
    </row>
    <row r="4371" spans="8:28" ht="15" customHeight="1">
      <c r="H4371" s="2"/>
      <c r="I4371" s="2"/>
      <c r="J4371" s="2"/>
      <c r="K4371" s="2"/>
      <c r="L4371" s="2"/>
      <c r="M4371" s="2"/>
      <c r="N4371" s="2"/>
      <c r="P4371" s="2"/>
      <c r="Q4371" s="2"/>
      <c r="R4371" s="2"/>
      <c r="AB4371" s="2"/>
    </row>
    <row r="4372" spans="8:28" ht="15" customHeight="1">
      <c r="H4372" s="2"/>
      <c r="I4372" s="2"/>
      <c r="J4372" s="2"/>
      <c r="K4372" s="2"/>
      <c r="L4372" s="2"/>
      <c r="M4372" s="2"/>
      <c r="N4372" s="2"/>
      <c r="P4372" s="2"/>
      <c r="Q4372" s="2"/>
      <c r="R4372" s="2"/>
      <c r="AB4372" s="2"/>
    </row>
    <row r="4373" spans="8:28" ht="15" customHeight="1">
      <c r="H4373" s="2"/>
      <c r="I4373" s="2"/>
      <c r="J4373" s="2"/>
      <c r="K4373" s="2"/>
      <c r="L4373" s="2"/>
      <c r="M4373" s="2"/>
      <c r="N4373" s="2"/>
      <c r="P4373" s="2"/>
      <c r="Q4373" s="2"/>
      <c r="R4373" s="2"/>
      <c r="AB4373" s="2"/>
    </row>
    <row r="4374" spans="8:28" ht="15" customHeight="1">
      <c r="H4374" s="2"/>
      <c r="I4374" s="2"/>
      <c r="J4374" s="2"/>
      <c r="K4374" s="2"/>
      <c r="L4374" s="2"/>
      <c r="M4374" s="2"/>
      <c r="N4374" s="2"/>
      <c r="P4374" s="2"/>
      <c r="Q4374" s="2"/>
      <c r="R4374" s="2"/>
      <c r="AB4374" s="2"/>
    </row>
    <row r="4375" spans="8:28" ht="15" customHeight="1">
      <c r="H4375" s="2"/>
      <c r="I4375" s="2"/>
      <c r="J4375" s="2"/>
      <c r="K4375" s="2"/>
      <c r="L4375" s="2"/>
      <c r="M4375" s="2"/>
      <c r="N4375" s="2"/>
      <c r="P4375" s="2"/>
      <c r="Q4375" s="2"/>
      <c r="R4375" s="2"/>
      <c r="AB4375" s="2"/>
    </row>
    <row r="4376" spans="8:28" ht="15" customHeight="1">
      <c r="H4376" s="2"/>
      <c r="I4376" s="2"/>
      <c r="J4376" s="2"/>
      <c r="K4376" s="2"/>
      <c r="L4376" s="2"/>
      <c r="M4376" s="2"/>
      <c r="N4376" s="2"/>
      <c r="P4376" s="2"/>
      <c r="Q4376" s="2"/>
      <c r="R4376" s="2"/>
      <c r="AB4376" s="2"/>
    </row>
    <row r="4377" spans="8:28" ht="15" customHeight="1">
      <c r="H4377" s="2"/>
      <c r="I4377" s="2"/>
      <c r="J4377" s="2"/>
      <c r="K4377" s="2"/>
      <c r="L4377" s="2"/>
      <c r="M4377" s="2"/>
      <c r="N4377" s="2"/>
      <c r="P4377" s="2"/>
      <c r="Q4377" s="2"/>
      <c r="R4377" s="2"/>
      <c r="AB4377" s="2"/>
    </row>
    <row r="4378" spans="8:28" ht="15" customHeight="1">
      <c r="H4378" s="2"/>
      <c r="I4378" s="2"/>
      <c r="J4378" s="2"/>
      <c r="K4378" s="2"/>
      <c r="L4378" s="2"/>
      <c r="M4378" s="2"/>
      <c r="N4378" s="2"/>
      <c r="P4378" s="2"/>
      <c r="Q4378" s="2"/>
      <c r="R4378" s="2"/>
      <c r="AB4378" s="2"/>
    </row>
    <row r="4379" spans="8:28" ht="15" customHeight="1">
      <c r="H4379" s="2"/>
      <c r="I4379" s="2"/>
      <c r="J4379" s="2"/>
      <c r="K4379" s="2"/>
      <c r="L4379" s="2"/>
      <c r="M4379" s="2"/>
      <c r="N4379" s="2"/>
      <c r="P4379" s="2"/>
      <c r="Q4379" s="2"/>
      <c r="R4379" s="2"/>
      <c r="AB4379" s="2"/>
    </row>
    <row r="4380" spans="8:28" ht="15" customHeight="1">
      <c r="H4380" s="2"/>
      <c r="I4380" s="2"/>
      <c r="J4380" s="2"/>
      <c r="K4380" s="2"/>
      <c r="L4380" s="2"/>
      <c r="M4380" s="2"/>
      <c r="N4380" s="2"/>
      <c r="P4380" s="2"/>
      <c r="Q4380" s="2"/>
      <c r="R4380" s="2"/>
      <c r="AB4380" s="2"/>
    </row>
    <row r="4381" spans="8:28" ht="15" customHeight="1">
      <c r="H4381" s="2"/>
      <c r="I4381" s="2"/>
      <c r="J4381" s="2"/>
      <c r="K4381" s="2"/>
      <c r="L4381" s="2"/>
      <c r="M4381" s="2"/>
      <c r="N4381" s="2"/>
      <c r="P4381" s="2"/>
      <c r="Q4381" s="2"/>
      <c r="R4381" s="2"/>
      <c r="AB4381" s="2"/>
    </row>
    <row r="4382" spans="8:28" ht="15" customHeight="1">
      <c r="H4382" s="2"/>
      <c r="I4382" s="2"/>
      <c r="J4382" s="2"/>
      <c r="K4382" s="2"/>
      <c r="L4382" s="2"/>
      <c r="M4382" s="2"/>
      <c r="N4382" s="2"/>
      <c r="P4382" s="2"/>
      <c r="Q4382" s="2"/>
      <c r="R4382" s="2"/>
      <c r="AB4382" s="2"/>
    </row>
    <row r="4383" spans="8:28" ht="15" customHeight="1">
      <c r="H4383" s="2"/>
      <c r="I4383" s="2"/>
      <c r="J4383" s="2"/>
      <c r="K4383" s="2"/>
      <c r="L4383" s="2"/>
      <c r="M4383" s="2"/>
      <c r="N4383" s="2"/>
      <c r="P4383" s="2"/>
      <c r="Q4383" s="2"/>
      <c r="R4383" s="2"/>
      <c r="AB4383" s="2"/>
    </row>
    <row r="4384" spans="8:28" ht="15" customHeight="1">
      <c r="H4384" s="2"/>
      <c r="I4384" s="2"/>
      <c r="J4384" s="2"/>
      <c r="K4384" s="2"/>
      <c r="L4384" s="2"/>
      <c r="M4384" s="2"/>
      <c r="N4384" s="2"/>
      <c r="P4384" s="2"/>
      <c r="Q4384" s="2"/>
      <c r="R4384" s="2"/>
      <c r="AB4384" s="2"/>
    </row>
    <row r="4385" spans="8:28" ht="15" customHeight="1">
      <c r="H4385" s="2"/>
      <c r="I4385" s="2"/>
      <c r="J4385" s="2"/>
      <c r="K4385" s="2"/>
      <c r="L4385" s="2"/>
      <c r="M4385" s="2"/>
      <c r="N4385" s="2"/>
      <c r="P4385" s="2"/>
      <c r="Q4385" s="2"/>
      <c r="R4385" s="2"/>
      <c r="AB4385" s="2"/>
    </row>
    <row r="4386" spans="8:28" ht="15" customHeight="1">
      <c r="H4386" s="2"/>
      <c r="I4386" s="2"/>
      <c r="J4386" s="2"/>
      <c r="K4386" s="2"/>
      <c r="L4386" s="2"/>
      <c r="M4386" s="2"/>
      <c r="N4386" s="2"/>
      <c r="P4386" s="2"/>
      <c r="Q4386" s="2"/>
      <c r="R4386" s="2"/>
      <c r="AB4386" s="2"/>
    </row>
    <row r="4387" spans="8:28" ht="15" customHeight="1">
      <c r="H4387" s="2"/>
      <c r="I4387" s="2"/>
      <c r="J4387" s="2"/>
      <c r="K4387" s="2"/>
      <c r="L4387" s="2"/>
      <c r="M4387" s="2"/>
      <c r="N4387" s="2"/>
      <c r="P4387" s="2"/>
      <c r="Q4387" s="2"/>
      <c r="R4387" s="2"/>
      <c r="AB4387" s="2"/>
    </row>
    <row r="4388" spans="8:28" ht="15" customHeight="1">
      <c r="H4388" s="2"/>
      <c r="I4388" s="2"/>
      <c r="J4388" s="2"/>
      <c r="K4388" s="2"/>
      <c r="L4388" s="2"/>
      <c r="M4388" s="2"/>
      <c r="N4388" s="2"/>
      <c r="P4388" s="2"/>
      <c r="Q4388" s="2"/>
      <c r="R4388" s="2"/>
      <c r="AB4388" s="2"/>
    </row>
    <row r="4389" spans="8:28" ht="15" customHeight="1">
      <c r="H4389" s="2"/>
      <c r="I4389" s="2"/>
      <c r="J4389" s="2"/>
      <c r="K4389" s="2"/>
      <c r="L4389" s="2"/>
      <c r="M4389" s="2"/>
      <c r="N4389" s="2"/>
      <c r="P4389" s="2"/>
      <c r="Q4389" s="2"/>
      <c r="R4389" s="2"/>
      <c r="AB4389" s="2"/>
    </row>
    <row r="4390" spans="8:28" ht="15" customHeight="1">
      <c r="H4390" s="2"/>
      <c r="I4390" s="2"/>
      <c r="J4390" s="2"/>
      <c r="K4390" s="2"/>
      <c r="L4390" s="2"/>
      <c r="M4390" s="2"/>
      <c r="N4390" s="2"/>
      <c r="P4390" s="2"/>
      <c r="Q4390" s="2"/>
      <c r="R4390" s="2"/>
      <c r="AB4390" s="2"/>
    </row>
    <row r="4391" spans="8:28" ht="15" customHeight="1">
      <c r="H4391" s="2"/>
      <c r="I4391" s="2"/>
      <c r="J4391" s="2"/>
      <c r="K4391" s="2"/>
      <c r="L4391" s="2"/>
      <c r="M4391" s="2"/>
      <c r="N4391" s="2"/>
      <c r="P4391" s="2"/>
      <c r="Q4391" s="2"/>
      <c r="R4391" s="2"/>
      <c r="AB4391" s="2"/>
    </row>
    <row r="4392" spans="8:28" ht="15" customHeight="1">
      <c r="H4392" s="2"/>
      <c r="I4392" s="2"/>
      <c r="J4392" s="2"/>
      <c r="K4392" s="2"/>
      <c r="L4392" s="2"/>
      <c r="M4392" s="2"/>
      <c r="N4392" s="2"/>
      <c r="P4392" s="2"/>
      <c r="Q4392" s="2"/>
      <c r="R4392" s="2"/>
      <c r="AB4392" s="2"/>
    </row>
    <row r="4393" spans="8:28" ht="15" customHeight="1">
      <c r="H4393" s="2"/>
      <c r="I4393" s="2"/>
      <c r="J4393" s="2"/>
      <c r="K4393" s="2"/>
      <c r="L4393" s="2"/>
      <c r="M4393" s="2"/>
      <c r="N4393" s="2"/>
      <c r="P4393" s="2"/>
      <c r="Q4393" s="2"/>
      <c r="R4393" s="2"/>
      <c r="AB4393" s="2"/>
    </row>
    <row r="4394" spans="8:28" ht="15" customHeight="1">
      <c r="H4394" s="2"/>
      <c r="I4394" s="2"/>
      <c r="J4394" s="2"/>
      <c r="K4394" s="2"/>
      <c r="L4394" s="2"/>
      <c r="M4394" s="2"/>
      <c r="N4394" s="2"/>
      <c r="P4394" s="2"/>
      <c r="Q4394" s="2"/>
      <c r="R4394" s="2"/>
      <c r="AB4394" s="2"/>
    </row>
    <row r="4395" spans="8:28" ht="15" customHeight="1">
      <c r="H4395" s="2"/>
      <c r="I4395" s="2"/>
      <c r="J4395" s="2"/>
      <c r="K4395" s="2"/>
      <c r="L4395" s="2"/>
      <c r="M4395" s="2"/>
      <c r="N4395" s="2"/>
      <c r="P4395" s="2"/>
      <c r="Q4395" s="2"/>
      <c r="R4395" s="2"/>
      <c r="AB4395" s="2"/>
    </row>
    <row r="4396" spans="8:28" ht="15" customHeight="1">
      <c r="H4396" s="2"/>
      <c r="I4396" s="2"/>
      <c r="J4396" s="2"/>
      <c r="K4396" s="2"/>
      <c r="L4396" s="2"/>
      <c r="M4396" s="2"/>
      <c r="N4396" s="2"/>
      <c r="P4396" s="2"/>
      <c r="Q4396" s="2"/>
      <c r="R4396" s="2"/>
      <c r="AB4396" s="2"/>
    </row>
    <row r="4397" spans="8:28" ht="15" customHeight="1">
      <c r="H4397" s="2"/>
      <c r="I4397" s="2"/>
      <c r="J4397" s="2"/>
      <c r="K4397" s="2"/>
      <c r="L4397" s="2"/>
      <c r="M4397" s="2"/>
      <c r="N4397" s="2"/>
      <c r="P4397" s="2"/>
      <c r="Q4397" s="2"/>
      <c r="R4397" s="2"/>
      <c r="AB4397" s="2"/>
    </row>
    <row r="4398" spans="8:28" ht="15" customHeight="1">
      <c r="H4398" s="2"/>
      <c r="I4398" s="2"/>
      <c r="J4398" s="2"/>
      <c r="K4398" s="2"/>
      <c r="L4398" s="2"/>
      <c r="M4398" s="2"/>
      <c r="N4398" s="2"/>
      <c r="P4398" s="2"/>
      <c r="Q4398" s="2"/>
      <c r="R4398" s="2"/>
      <c r="AB4398" s="2"/>
    </row>
    <row r="4399" spans="8:28" ht="15" customHeight="1">
      <c r="H4399" s="2"/>
      <c r="I4399" s="2"/>
      <c r="J4399" s="2"/>
      <c r="K4399" s="2"/>
      <c r="L4399" s="2"/>
      <c r="M4399" s="2"/>
      <c r="N4399" s="2"/>
      <c r="P4399" s="2"/>
      <c r="Q4399" s="2"/>
      <c r="R4399" s="2"/>
      <c r="AB4399" s="2"/>
    </row>
    <row r="4400" spans="8:28" ht="15" customHeight="1">
      <c r="H4400" s="2"/>
      <c r="I4400" s="2"/>
      <c r="J4400" s="2"/>
      <c r="K4400" s="2"/>
      <c r="L4400" s="2"/>
      <c r="M4400" s="2"/>
      <c r="N4400" s="2"/>
      <c r="P4400" s="2"/>
      <c r="Q4400" s="2"/>
      <c r="R4400" s="2"/>
      <c r="AB4400" s="2"/>
    </row>
    <row r="4401" spans="8:28" ht="15" customHeight="1">
      <c r="H4401" s="2"/>
      <c r="I4401" s="2"/>
      <c r="J4401" s="2"/>
      <c r="K4401" s="2"/>
      <c r="L4401" s="2"/>
      <c r="M4401" s="2"/>
      <c r="N4401" s="2"/>
      <c r="P4401" s="2"/>
      <c r="Q4401" s="2"/>
      <c r="R4401" s="2"/>
      <c r="AB4401" s="2"/>
    </row>
    <row r="4402" spans="8:28" ht="15" customHeight="1">
      <c r="H4402" s="2"/>
      <c r="I4402" s="2"/>
      <c r="J4402" s="2"/>
      <c r="K4402" s="2"/>
      <c r="L4402" s="2"/>
      <c r="M4402" s="2"/>
      <c r="N4402" s="2"/>
      <c r="P4402" s="2"/>
      <c r="Q4402" s="2"/>
      <c r="R4402" s="2"/>
      <c r="AB4402" s="2"/>
    </row>
    <row r="4403" spans="8:28" ht="15" customHeight="1">
      <c r="H4403" s="2"/>
      <c r="I4403" s="2"/>
      <c r="J4403" s="2"/>
      <c r="K4403" s="2"/>
      <c r="L4403" s="2"/>
      <c r="M4403" s="2"/>
      <c r="N4403" s="2"/>
      <c r="P4403" s="2"/>
      <c r="Q4403" s="2"/>
      <c r="R4403" s="2"/>
      <c r="AB4403" s="2"/>
    </row>
    <row r="4404" spans="8:28" ht="15" customHeight="1">
      <c r="H4404" s="2"/>
      <c r="I4404" s="2"/>
      <c r="J4404" s="2"/>
      <c r="K4404" s="2"/>
      <c r="L4404" s="2"/>
      <c r="M4404" s="2"/>
      <c r="N4404" s="2"/>
      <c r="P4404" s="2"/>
      <c r="Q4404" s="2"/>
      <c r="R4404" s="2"/>
      <c r="AB4404" s="2"/>
    </row>
    <row r="4405" spans="8:28" ht="15" customHeight="1">
      <c r="H4405" s="2"/>
      <c r="I4405" s="2"/>
      <c r="J4405" s="2"/>
      <c r="K4405" s="2"/>
      <c r="L4405" s="2"/>
      <c r="M4405" s="2"/>
      <c r="N4405" s="2"/>
      <c r="P4405" s="2"/>
      <c r="Q4405" s="2"/>
      <c r="R4405" s="2"/>
      <c r="AB4405" s="2"/>
    </row>
    <row r="4406" spans="8:28" ht="15" customHeight="1">
      <c r="H4406" s="2"/>
      <c r="I4406" s="2"/>
      <c r="J4406" s="2"/>
      <c r="K4406" s="2"/>
      <c r="L4406" s="2"/>
      <c r="M4406" s="2"/>
      <c r="N4406" s="2"/>
      <c r="P4406" s="2"/>
      <c r="Q4406" s="2"/>
      <c r="R4406" s="2"/>
      <c r="AB4406" s="2"/>
    </row>
    <row r="4407" spans="8:28" ht="15" customHeight="1">
      <c r="H4407" s="2"/>
      <c r="I4407" s="2"/>
      <c r="J4407" s="2"/>
      <c r="K4407" s="2"/>
      <c r="L4407" s="2"/>
      <c r="M4407" s="2"/>
      <c r="N4407" s="2"/>
      <c r="P4407" s="2"/>
      <c r="Q4407" s="2"/>
      <c r="R4407" s="2"/>
      <c r="AB4407" s="2"/>
    </row>
    <row r="4408" spans="8:28" ht="15" customHeight="1">
      <c r="H4408" s="2"/>
      <c r="I4408" s="2"/>
      <c r="J4408" s="2"/>
      <c r="K4408" s="2"/>
      <c r="L4408" s="2"/>
      <c r="M4408" s="2"/>
      <c r="N4408" s="2"/>
      <c r="P4408" s="2"/>
      <c r="Q4408" s="2"/>
      <c r="R4408" s="2"/>
      <c r="AB4408" s="2"/>
    </row>
    <row r="4409" spans="8:28" ht="15" customHeight="1">
      <c r="H4409" s="2"/>
      <c r="I4409" s="2"/>
      <c r="J4409" s="2"/>
      <c r="K4409" s="2"/>
      <c r="L4409" s="2"/>
      <c r="M4409" s="2"/>
      <c r="N4409" s="2"/>
      <c r="P4409" s="2"/>
      <c r="Q4409" s="2"/>
      <c r="R4409" s="2"/>
      <c r="AB4409" s="2"/>
    </row>
    <row r="4410" spans="8:28" ht="15" customHeight="1">
      <c r="H4410" s="2"/>
      <c r="I4410" s="2"/>
      <c r="J4410" s="2"/>
      <c r="K4410" s="2"/>
      <c r="L4410" s="2"/>
      <c r="M4410" s="2"/>
      <c r="N4410" s="2"/>
      <c r="P4410" s="2"/>
      <c r="Q4410" s="2"/>
      <c r="R4410" s="2"/>
      <c r="AB4410" s="2"/>
    </row>
    <row r="4411" spans="8:28" ht="15" customHeight="1">
      <c r="H4411" s="2"/>
      <c r="I4411" s="2"/>
      <c r="J4411" s="2"/>
      <c r="K4411" s="2"/>
      <c r="L4411" s="2"/>
      <c r="M4411" s="2"/>
      <c r="N4411" s="2"/>
      <c r="P4411" s="2"/>
      <c r="Q4411" s="2"/>
      <c r="R4411" s="2"/>
      <c r="AB4411" s="2"/>
    </row>
    <row r="4412" spans="8:28" ht="15" customHeight="1">
      <c r="H4412" s="2"/>
      <c r="I4412" s="2"/>
      <c r="J4412" s="2"/>
      <c r="K4412" s="2"/>
      <c r="L4412" s="2"/>
      <c r="M4412" s="2"/>
      <c r="N4412" s="2"/>
      <c r="P4412" s="2"/>
      <c r="Q4412" s="2"/>
      <c r="R4412" s="2"/>
      <c r="AB4412" s="2"/>
    </row>
    <row r="4413" spans="8:28" ht="15" customHeight="1">
      <c r="H4413" s="2"/>
      <c r="I4413" s="2"/>
      <c r="J4413" s="2"/>
      <c r="K4413" s="2"/>
      <c r="L4413" s="2"/>
      <c r="M4413" s="2"/>
      <c r="N4413" s="2"/>
      <c r="P4413" s="2"/>
      <c r="Q4413" s="2"/>
      <c r="R4413" s="2"/>
      <c r="AB4413" s="2"/>
    </row>
    <row r="4414" spans="8:28" ht="15" customHeight="1">
      <c r="H4414" s="2"/>
      <c r="I4414" s="2"/>
      <c r="J4414" s="2"/>
      <c r="K4414" s="2"/>
      <c r="L4414" s="2"/>
      <c r="M4414" s="2"/>
      <c r="N4414" s="2"/>
      <c r="P4414" s="2"/>
      <c r="Q4414" s="2"/>
      <c r="R4414" s="2"/>
      <c r="AB4414" s="2"/>
    </row>
    <row r="4415" spans="8:28" ht="15" customHeight="1">
      <c r="H4415" s="2"/>
      <c r="I4415" s="2"/>
      <c r="J4415" s="2"/>
      <c r="K4415" s="2"/>
      <c r="L4415" s="2"/>
      <c r="M4415" s="2"/>
      <c r="N4415" s="2"/>
      <c r="P4415" s="2"/>
      <c r="Q4415" s="2"/>
      <c r="R4415" s="2"/>
      <c r="AB4415" s="2"/>
    </row>
    <row r="4416" spans="8:28" ht="15" customHeight="1">
      <c r="H4416" s="2"/>
      <c r="I4416" s="2"/>
      <c r="J4416" s="2"/>
      <c r="K4416" s="2"/>
      <c r="L4416" s="2"/>
      <c r="M4416" s="2"/>
      <c r="N4416" s="2"/>
      <c r="P4416" s="2"/>
      <c r="Q4416" s="2"/>
      <c r="R4416" s="2"/>
      <c r="AB4416" s="2"/>
    </row>
    <row r="4417" spans="8:28" ht="15" customHeight="1">
      <c r="H4417" s="2"/>
      <c r="I4417" s="2"/>
      <c r="J4417" s="2"/>
      <c r="K4417" s="2"/>
      <c r="L4417" s="2"/>
      <c r="M4417" s="2"/>
      <c r="N4417" s="2"/>
      <c r="P4417" s="2"/>
      <c r="Q4417" s="2"/>
      <c r="R4417" s="2"/>
      <c r="AB4417" s="2"/>
    </row>
    <row r="4418" spans="8:28" ht="15" customHeight="1">
      <c r="H4418" s="2"/>
      <c r="I4418" s="2"/>
      <c r="J4418" s="2"/>
      <c r="K4418" s="2"/>
      <c r="L4418" s="2"/>
      <c r="M4418" s="2"/>
      <c r="N4418" s="2"/>
      <c r="P4418" s="2"/>
      <c r="Q4418" s="2"/>
      <c r="R4418" s="2"/>
      <c r="AB4418" s="2"/>
    </row>
    <row r="4419" spans="8:28" ht="15" customHeight="1">
      <c r="H4419" s="2"/>
      <c r="I4419" s="2"/>
      <c r="J4419" s="2"/>
      <c r="K4419" s="2"/>
      <c r="L4419" s="2"/>
      <c r="M4419" s="2"/>
      <c r="N4419" s="2"/>
      <c r="P4419" s="2"/>
      <c r="Q4419" s="2"/>
      <c r="R4419" s="2"/>
      <c r="AB4419" s="2"/>
    </row>
    <row r="4420" spans="8:28" ht="15" customHeight="1">
      <c r="H4420" s="2"/>
      <c r="I4420" s="2"/>
      <c r="J4420" s="2"/>
      <c r="K4420" s="2"/>
      <c r="L4420" s="2"/>
      <c r="M4420" s="2"/>
      <c r="N4420" s="2"/>
      <c r="P4420" s="2"/>
      <c r="Q4420" s="2"/>
      <c r="R4420" s="2"/>
      <c r="AB4420" s="2"/>
    </row>
    <row r="4421" spans="8:28" ht="15" customHeight="1">
      <c r="H4421" s="2"/>
      <c r="I4421" s="2"/>
      <c r="J4421" s="2"/>
      <c r="K4421" s="2"/>
      <c r="L4421" s="2"/>
      <c r="M4421" s="2"/>
      <c r="N4421" s="2"/>
      <c r="P4421" s="2"/>
      <c r="Q4421" s="2"/>
      <c r="R4421" s="2"/>
      <c r="AB4421" s="2"/>
    </row>
    <row r="4422" spans="8:28" ht="15" customHeight="1">
      <c r="H4422" s="2"/>
      <c r="I4422" s="2"/>
      <c r="J4422" s="2"/>
      <c r="K4422" s="2"/>
      <c r="L4422" s="2"/>
      <c r="M4422" s="2"/>
      <c r="N4422" s="2"/>
      <c r="P4422" s="2"/>
      <c r="Q4422" s="2"/>
      <c r="R4422" s="2"/>
      <c r="AB4422" s="2"/>
    </row>
    <row r="4423" spans="8:28" ht="15" customHeight="1">
      <c r="H4423" s="2"/>
      <c r="I4423" s="2"/>
      <c r="J4423" s="2"/>
      <c r="K4423" s="2"/>
      <c r="L4423" s="2"/>
      <c r="M4423" s="2"/>
      <c r="N4423" s="2"/>
      <c r="P4423" s="2"/>
      <c r="Q4423" s="2"/>
      <c r="R4423" s="2"/>
      <c r="AB4423" s="2"/>
    </row>
    <row r="4424" spans="8:28" ht="15" customHeight="1">
      <c r="H4424" s="2"/>
      <c r="I4424" s="2"/>
      <c r="J4424" s="2"/>
      <c r="K4424" s="2"/>
      <c r="L4424" s="2"/>
      <c r="M4424" s="2"/>
      <c r="N4424" s="2"/>
      <c r="P4424" s="2"/>
      <c r="Q4424" s="2"/>
      <c r="R4424" s="2"/>
      <c r="AB4424" s="2"/>
    </row>
    <row r="4425" spans="8:28" ht="15" customHeight="1">
      <c r="H4425" s="2"/>
      <c r="I4425" s="2"/>
      <c r="J4425" s="2"/>
      <c r="K4425" s="2"/>
      <c r="L4425" s="2"/>
      <c r="M4425" s="2"/>
      <c r="N4425" s="2"/>
      <c r="P4425" s="2"/>
      <c r="Q4425" s="2"/>
      <c r="R4425" s="2"/>
      <c r="AB4425" s="2"/>
    </row>
    <row r="4426" spans="8:28" ht="15" customHeight="1">
      <c r="H4426" s="2"/>
      <c r="I4426" s="2"/>
      <c r="J4426" s="2"/>
      <c r="K4426" s="2"/>
      <c r="L4426" s="2"/>
      <c r="M4426" s="2"/>
      <c r="N4426" s="2"/>
      <c r="P4426" s="2"/>
      <c r="Q4426" s="2"/>
      <c r="R4426" s="2"/>
      <c r="AB4426" s="2"/>
    </row>
    <row r="4427" spans="8:28" ht="15" customHeight="1">
      <c r="H4427" s="2"/>
      <c r="I4427" s="2"/>
      <c r="J4427" s="2"/>
      <c r="K4427" s="2"/>
      <c r="L4427" s="2"/>
      <c r="M4427" s="2"/>
      <c r="N4427" s="2"/>
      <c r="P4427" s="2"/>
      <c r="Q4427" s="2"/>
      <c r="R4427" s="2"/>
      <c r="AB4427" s="2"/>
    </row>
    <row r="4428" spans="8:28" ht="15" customHeight="1">
      <c r="H4428" s="2"/>
      <c r="I4428" s="2"/>
      <c r="J4428" s="2"/>
      <c r="K4428" s="2"/>
      <c r="L4428" s="2"/>
      <c r="M4428" s="2"/>
      <c r="N4428" s="2"/>
      <c r="P4428" s="2"/>
      <c r="Q4428" s="2"/>
      <c r="R4428" s="2"/>
      <c r="AB4428" s="2"/>
    </row>
    <row r="4429" spans="8:28" ht="15" customHeight="1">
      <c r="H4429" s="2"/>
      <c r="I4429" s="2"/>
      <c r="J4429" s="2"/>
      <c r="K4429" s="2"/>
      <c r="L4429" s="2"/>
      <c r="M4429" s="2"/>
      <c r="N4429" s="2"/>
      <c r="P4429" s="2"/>
      <c r="Q4429" s="2"/>
      <c r="R4429" s="2"/>
      <c r="AB4429" s="2"/>
    </row>
    <row r="4430" spans="8:28" ht="15" customHeight="1">
      <c r="H4430" s="2"/>
      <c r="I4430" s="2"/>
      <c r="J4430" s="2"/>
      <c r="K4430" s="2"/>
      <c r="L4430" s="2"/>
      <c r="M4430" s="2"/>
      <c r="N4430" s="2"/>
      <c r="P4430" s="2"/>
      <c r="Q4430" s="2"/>
      <c r="R4430" s="2"/>
      <c r="AB4430" s="2"/>
    </row>
    <row r="4431" spans="8:28" ht="15" customHeight="1">
      <c r="H4431" s="2"/>
      <c r="I4431" s="2"/>
      <c r="J4431" s="2"/>
      <c r="K4431" s="2"/>
      <c r="L4431" s="2"/>
      <c r="M4431" s="2"/>
      <c r="N4431" s="2"/>
      <c r="P4431" s="2"/>
      <c r="Q4431" s="2"/>
      <c r="R4431" s="2"/>
      <c r="AB4431" s="2"/>
    </row>
    <row r="4432" spans="8:28" ht="15" customHeight="1">
      <c r="H4432" s="2"/>
      <c r="I4432" s="2"/>
      <c r="J4432" s="2"/>
      <c r="K4432" s="2"/>
      <c r="L4432" s="2"/>
      <c r="M4432" s="2"/>
      <c r="N4432" s="2"/>
      <c r="P4432" s="2"/>
      <c r="Q4432" s="2"/>
      <c r="R4432" s="2"/>
      <c r="AB4432" s="2"/>
    </row>
    <row r="4433" spans="8:28" ht="15" customHeight="1">
      <c r="H4433" s="2"/>
      <c r="I4433" s="2"/>
      <c r="J4433" s="2"/>
      <c r="K4433" s="2"/>
      <c r="L4433" s="2"/>
      <c r="M4433" s="2"/>
      <c r="N4433" s="2"/>
      <c r="P4433" s="2"/>
      <c r="Q4433" s="2"/>
      <c r="R4433" s="2"/>
      <c r="AB4433" s="2"/>
    </row>
    <row r="4434" spans="8:28" ht="15" customHeight="1">
      <c r="H4434" s="2"/>
      <c r="I4434" s="2"/>
      <c r="J4434" s="2"/>
      <c r="K4434" s="2"/>
      <c r="L4434" s="2"/>
      <c r="M4434" s="2"/>
      <c r="N4434" s="2"/>
      <c r="P4434" s="2"/>
      <c r="Q4434" s="2"/>
      <c r="R4434" s="2"/>
      <c r="AB4434" s="2"/>
    </row>
    <row r="4435" spans="8:28" ht="15" customHeight="1">
      <c r="H4435" s="2"/>
      <c r="I4435" s="2"/>
      <c r="J4435" s="2"/>
      <c r="K4435" s="2"/>
      <c r="L4435" s="2"/>
      <c r="M4435" s="2"/>
      <c r="N4435" s="2"/>
      <c r="P4435" s="2"/>
      <c r="Q4435" s="2"/>
      <c r="R4435" s="2"/>
      <c r="AB4435" s="2"/>
    </row>
    <row r="4436" spans="8:28" ht="15" customHeight="1">
      <c r="H4436" s="2"/>
      <c r="I4436" s="2"/>
      <c r="J4436" s="2"/>
      <c r="K4436" s="2"/>
      <c r="L4436" s="2"/>
      <c r="M4436" s="2"/>
      <c r="N4436" s="2"/>
      <c r="P4436" s="2"/>
      <c r="Q4436" s="2"/>
      <c r="R4436" s="2"/>
      <c r="AB4436" s="2"/>
    </row>
    <row r="4437" spans="8:28" ht="15" customHeight="1">
      <c r="H4437" s="2"/>
      <c r="I4437" s="2"/>
      <c r="J4437" s="2"/>
      <c r="K4437" s="2"/>
      <c r="L4437" s="2"/>
      <c r="M4437" s="2"/>
      <c r="N4437" s="2"/>
      <c r="P4437" s="2"/>
      <c r="Q4437" s="2"/>
      <c r="R4437" s="2"/>
      <c r="AB4437" s="2"/>
    </row>
    <row r="4438" spans="8:28" ht="15" customHeight="1">
      <c r="H4438" s="2"/>
      <c r="I4438" s="2"/>
      <c r="J4438" s="2"/>
      <c r="K4438" s="2"/>
      <c r="L4438" s="2"/>
      <c r="M4438" s="2"/>
      <c r="N4438" s="2"/>
      <c r="P4438" s="2"/>
      <c r="Q4438" s="2"/>
      <c r="R4438" s="2"/>
      <c r="AB4438" s="2"/>
    </row>
    <row r="4439" spans="8:28" ht="15" customHeight="1">
      <c r="H4439" s="2"/>
      <c r="I4439" s="2"/>
      <c r="J4439" s="2"/>
      <c r="K4439" s="2"/>
      <c r="L4439" s="2"/>
      <c r="M4439" s="2"/>
      <c r="N4439" s="2"/>
      <c r="P4439" s="2"/>
      <c r="Q4439" s="2"/>
      <c r="R4439" s="2"/>
      <c r="AB4439" s="2"/>
    </row>
    <row r="4440" spans="8:28" ht="15" customHeight="1">
      <c r="H4440" s="2"/>
      <c r="I4440" s="2"/>
      <c r="J4440" s="2"/>
      <c r="K4440" s="2"/>
      <c r="L4440" s="2"/>
      <c r="M4440" s="2"/>
      <c r="N4440" s="2"/>
      <c r="P4440" s="2"/>
      <c r="Q4440" s="2"/>
      <c r="R4440" s="2"/>
      <c r="AB4440" s="2"/>
    </row>
    <row r="4441" spans="8:28" ht="15" customHeight="1">
      <c r="H4441" s="2"/>
      <c r="I4441" s="2"/>
      <c r="J4441" s="2"/>
      <c r="K4441" s="2"/>
      <c r="L4441" s="2"/>
      <c r="M4441" s="2"/>
      <c r="N4441" s="2"/>
      <c r="P4441" s="2"/>
      <c r="Q4441" s="2"/>
      <c r="R4441" s="2"/>
      <c r="AB4441" s="2"/>
    </row>
    <row r="4442" spans="8:28" ht="15" customHeight="1">
      <c r="H4442" s="2"/>
      <c r="I4442" s="2"/>
      <c r="J4442" s="2"/>
      <c r="K4442" s="2"/>
      <c r="L4442" s="2"/>
      <c r="M4442" s="2"/>
      <c r="N4442" s="2"/>
      <c r="P4442" s="2"/>
      <c r="Q4442" s="2"/>
      <c r="R4442" s="2"/>
      <c r="AB4442" s="2"/>
    </row>
    <row r="4443" spans="8:28" ht="15" customHeight="1">
      <c r="H4443" s="2"/>
      <c r="I4443" s="2"/>
      <c r="J4443" s="2"/>
      <c r="K4443" s="2"/>
      <c r="L4443" s="2"/>
      <c r="M4443" s="2"/>
      <c r="N4443" s="2"/>
      <c r="P4443" s="2"/>
      <c r="Q4443" s="2"/>
      <c r="R4443" s="2"/>
      <c r="AB4443" s="2"/>
    </row>
    <row r="4444" spans="8:28" ht="15" customHeight="1">
      <c r="H4444" s="2"/>
      <c r="I4444" s="2"/>
      <c r="J4444" s="2"/>
      <c r="K4444" s="2"/>
      <c r="L4444" s="2"/>
      <c r="M4444" s="2"/>
      <c r="N4444" s="2"/>
      <c r="P4444" s="2"/>
      <c r="Q4444" s="2"/>
      <c r="R4444" s="2"/>
      <c r="AB4444" s="2"/>
    </row>
    <row r="4445" spans="8:28" ht="15" customHeight="1">
      <c r="H4445" s="2"/>
      <c r="I4445" s="2"/>
      <c r="J4445" s="2"/>
      <c r="K4445" s="2"/>
      <c r="L4445" s="2"/>
      <c r="M4445" s="2"/>
      <c r="N4445" s="2"/>
      <c r="P4445" s="2"/>
      <c r="Q4445" s="2"/>
      <c r="R4445" s="2"/>
      <c r="AB4445" s="2"/>
    </row>
    <row r="4446" spans="8:28" ht="15" customHeight="1">
      <c r="H4446" s="2"/>
      <c r="I4446" s="2"/>
      <c r="J4446" s="2"/>
      <c r="K4446" s="2"/>
      <c r="L4446" s="2"/>
      <c r="M4446" s="2"/>
      <c r="N4446" s="2"/>
      <c r="P4446" s="2"/>
      <c r="Q4446" s="2"/>
      <c r="R4446" s="2"/>
      <c r="AB4446" s="2"/>
    </row>
    <row r="4447" spans="8:28" ht="15" customHeight="1">
      <c r="H4447" s="2"/>
      <c r="I4447" s="2"/>
      <c r="J4447" s="2"/>
      <c r="K4447" s="2"/>
      <c r="L4447" s="2"/>
      <c r="M4447" s="2"/>
      <c r="N4447" s="2"/>
      <c r="P4447" s="2"/>
      <c r="Q4447" s="2"/>
      <c r="R4447" s="2"/>
      <c r="AB4447" s="2"/>
    </row>
    <row r="4448" spans="8:28" ht="15" customHeight="1">
      <c r="H4448" s="2"/>
      <c r="I4448" s="2"/>
      <c r="J4448" s="2"/>
      <c r="K4448" s="2"/>
      <c r="L4448" s="2"/>
      <c r="M4448" s="2"/>
      <c r="N4448" s="2"/>
      <c r="P4448" s="2"/>
      <c r="Q4448" s="2"/>
      <c r="R4448" s="2"/>
      <c r="AB4448" s="2"/>
    </row>
    <row r="4449" spans="8:28" ht="15" customHeight="1">
      <c r="H4449" s="2"/>
      <c r="I4449" s="2"/>
      <c r="J4449" s="2"/>
      <c r="K4449" s="2"/>
      <c r="L4449" s="2"/>
      <c r="M4449" s="2"/>
      <c r="N4449" s="2"/>
      <c r="P4449" s="2"/>
      <c r="Q4449" s="2"/>
      <c r="R4449" s="2"/>
      <c r="AB4449" s="2"/>
    </row>
    <row r="4450" spans="8:28" ht="15" customHeight="1">
      <c r="H4450" s="2"/>
      <c r="I4450" s="2"/>
      <c r="J4450" s="2"/>
      <c r="K4450" s="2"/>
      <c r="L4450" s="2"/>
      <c r="M4450" s="2"/>
      <c r="N4450" s="2"/>
      <c r="P4450" s="2"/>
      <c r="Q4450" s="2"/>
      <c r="R4450" s="2"/>
      <c r="AB4450" s="2"/>
    </row>
    <row r="4451" spans="8:28" ht="15" customHeight="1">
      <c r="H4451" s="2"/>
      <c r="I4451" s="2"/>
      <c r="J4451" s="2"/>
      <c r="K4451" s="2"/>
      <c r="L4451" s="2"/>
      <c r="M4451" s="2"/>
      <c r="N4451" s="2"/>
      <c r="P4451" s="2"/>
      <c r="Q4451" s="2"/>
      <c r="R4451" s="2"/>
      <c r="AB4451" s="2"/>
    </row>
    <row r="4452" spans="8:28" ht="15" customHeight="1">
      <c r="H4452" s="2"/>
      <c r="I4452" s="2"/>
      <c r="J4452" s="2"/>
      <c r="K4452" s="2"/>
      <c r="L4452" s="2"/>
      <c r="M4452" s="2"/>
      <c r="N4452" s="2"/>
      <c r="P4452" s="2"/>
      <c r="Q4452" s="2"/>
      <c r="R4452" s="2"/>
      <c r="AB4452" s="2"/>
    </row>
    <row r="4453" spans="8:28" ht="15" customHeight="1">
      <c r="H4453" s="2"/>
      <c r="I4453" s="2"/>
      <c r="J4453" s="2"/>
      <c r="K4453" s="2"/>
      <c r="L4453" s="2"/>
      <c r="M4453" s="2"/>
      <c r="N4453" s="2"/>
      <c r="P4453" s="2"/>
      <c r="Q4453" s="2"/>
      <c r="R4453" s="2"/>
      <c r="AB4453" s="2"/>
    </row>
    <row r="4454" spans="8:28" ht="15" customHeight="1">
      <c r="H4454" s="2"/>
      <c r="I4454" s="2"/>
      <c r="J4454" s="2"/>
      <c r="K4454" s="2"/>
      <c r="L4454" s="2"/>
      <c r="M4454" s="2"/>
      <c r="N4454" s="2"/>
      <c r="P4454" s="2"/>
      <c r="Q4454" s="2"/>
      <c r="R4454" s="2"/>
      <c r="AB4454" s="2"/>
    </row>
    <row r="4455" spans="8:28" ht="15" customHeight="1">
      <c r="H4455" s="2"/>
      <c r="I4455" s="2"/>
      <c r="J4455" s="2"/>
      <c r="K4455" s="2"/>
      <c r="L4455" s="2"/>
      <c r="M4455" s="2"/>
      <c r="N4455" s="2"/>
      <c r="P4455" s="2"/>
      <c r="Q4455" s="2"/>
      <c r="R4455" s="2"/>
      <c r="AB4455" s="2"/>
    </row>
    <row r="4456" spans="8:28" ht="15" customHeight="1">
      <c r="H4456" s="2"/>
      <c r="I4456" s="2"/>
      <c r="J4456" s="2"/>
      <c r="K4456" s="2"/>
      <c r="L4456" s="2"/>
      <c r="M4456" s="2"/>
      <c r="N4456" s="2"/>
      <c r="P4456" s="2"/>
      <c r="Q4456" s="2"/>
      <c r="R4456" s="2"/>
      <c r="AB4456" s="2"/>
    </row>
    <row r="4457" spans="8:28" ht="15" customHeight="1">
      <c r="H4457" s="2"/>
      <c r="I4457" s="2"/>
      <c r="J4457" s="2"/>
      <c r="K4457" s="2"/>
      <c r="L4457" s="2"/>
      <c r="M4457" s="2"/>
      <c r="N4457" s="2"/>
      <c r="P4457" s="2"/>
      <c r="Q4457" s="2"/>
      <c r="R4457" s="2"/>
      <c r="AB4457" s="2"/>
    </row>
    <row r="4458" spans="8:28" ht="15" customHeight="1">
      <c r="H4458" s="2"/>
      <c r="I4458" s="2"/>
      <c r="J4458" s="2"/>
      <c r="K4458" s="2"/>
      <c r="L4458" s="2"/>
      <c r="M4458" s="2"/>
      <c r="N4458" s="2"/>
      <c r="P4458" s="2"/>
      <c r="Q4458" s="2"/>
      <c r="R4458" s="2"/>
      <c r="AB4458" s="2"/>
    </row>
    <row r="4459" spans="8:28" ht="15" customHeight="1">
      <c r="H4459" s="2"/>
      <c r="I4459" s="2"/>
      <c r="J4459" s="2"/>
      <c r="K4459" s="2"/>
      <c r="L4459" s="2"/>
      <c r="M4459" s="2"/>
      <c r="N4459" s="2"/>
      <c r="P4459" s="2"/>
      <c r="Q4459" s="2"/>
      <c r="R4459" s="2"/>
      <c r="AB4459" s="2"/>
    </row>
    <row r="4460" spans="8:28" ht="15" customHeight="1">
      <c r="H4460" s="2"/>
      <c r="I4460" s="2"/>
      <c r="J4460" s="2"/>
      <c r="K4460" s="2"/>
      <c r="L4460" s="2"/>
      <c r="M4460" s="2"/>
      <c r="N4460" s="2"/>
      <c r="P4460" s="2"/>
      <c r="Q4460" s="2"/>
      <c r="R4460" s="2"/>
      <c r="AB4460" s="2"/>
    </row>
    <row r="4461" spans="8:28" ht="15" customHeight="1">
      <c r="H4461" s="2"/>
      <c r="I4461" s="2"/>
      <c r="J4461" s="2"/>
      <c r="K4461" s="2"/>
      <c r="L4461" s="2"/>
      <c r="M4461" s="2"/>
      <c r="N4461" s="2"/>
      <c r="P4461" s="2"/>
      <c r="Q4461" s="2"/>
      <c r="R4461" s="2"/>
      <c r="AB4461" s="2"/>
    </row>
    <row r="4462" spans="8:28" ht="15" customHeight="1">
      <c r="H4462" s="2"/>
      <c r="I4462" s="2"/>
      <c r="J4462" s="2"/>
      <c r="K4462" s="2"/>
      <c r="L4462" s="2"/>
      <c r="M4462" s="2"/>
      <c r="N4462" s="2"/>
      <c r="P4462" s="2"/>
      <c r="Q4462" s="2"/>
      <c r="R4462" s="2"/>
      <c r="AB4462" s="2"/>
    </row>
    <row r="4463" spans="8:28" ht="15" customHeight="1">
      <c r="H4463" s="2"/>
      <c r="I4463" s="2"/>
      <c r="J4463" s="2"/>
      <c r="K4463" s="2"/>
      <c r="L4463" s="2"/>
      <c r="M4463" s="2"/>
      <c r="N4463" s="2"/>
      <c r="P4463" s="2"/>
      <c r="Q4463" s="2"/>
      <c r="R4463" s="2"/>
      <c r="AB4463" s="2"/>
    </row>
    <row r="4464" spans="8:28" ht="15" customHeight="1">
      <c r="H4464" s="2"/>
      <c r="I4464" s="2"/>
      <c r="J4464" s="2"/>
      <c r="K4464" s="2"/>
      <c r="L4464" s="2"/>
      <c r="M4464" s="2"/>
      <c r="N4464" s="2"/>
      <c r="P4464" s="2"/>
      <c r="Q4464" s="2"/>
      <c r="R4464" s="2"/>
      <c r="AB4464" s="2"/>
    </row>
    <row r="4465" spans="8:28" ht="15" customHeight="1">
      <c r="H4465" s="2"/>
      <c r="I4465" s="2"/>
      <c r="J4465" s="2"/>
      <c r="K4465" s="2"/>
      <c r="L4465" s="2"/>
      <c r="M4465" s="2"/>
      <c r="N4465" s="2"/>
      <c r="P4465" s="2"/>
      <c r="Q4465" s="2"/>
      <c r="R4465" s="2"/>
      <c r="AB4465" s="2"/>
    </row>
    <row r="4466" spans="8:28" ht="15" customHeight="1">
      <c r="H4466" s="2"/>
      <c r="I4466" s="2"/>
      <c r="J4466" s="2"/>
      <c r="K4466" s="2"/>
      <c r="L4466" s="2"/>
      <c r="M4466" s="2"/>
      <c r="N4466" s="2"/>
      <c r="P4466" s="2"/>
      <c r="Q4466" s="2"/>
      <c r="R4466" s="2"/>
      <c r="AB4466" s="2"/>
    </row>
    <row r="4467" spans="8:28" ht="15" customHeight="1">
      <c r="H4467" s="2"/>
      <c r="I4467" s="2"/>
      <c r="J4467" s="2"/>
      <c r="K4467" s="2"/>
      <c r="L4467" s="2"/>
      <c r="M4467" s="2"/>
      <c r="N4467" s="2"/>
      <c r="P4467" s="2"/>
      <c r="Q4467" s="2"/>
      <c r="R4467" s="2"/>
      <c r="AB4467" s="2"/>
    </row>
    <row r="4468" spans="8:28" ht="15" customHeight="1">
      <c r="H4468" s="2"/>
      <c r="I4468" s="2"/>
      <c r="J4468" s="2"/>
      <c r="K4468" s="2"/>
      <c r="L4468" s="2"/>
      <c r="M4468" s="2"/>
      <c r="N4468" s="2"/>
      <c r="P4468" s="2"/>
      <c r="Q4468" s="2"/>
      <c r="R4468" s="2"/>
      <c r="AB4468" s="2"/>
    </row>
    <row r="4469" spans="8:28" ht="15" customHeight="1">
      <c r="H4469" s="2"/>
      <c r="I4469" s="2"/>
      <c r="J4469" s="2"/>
      <c r="K4469" s="2"/>
      <c r="L4469" s="2"/>
      <c r="M4469" s="2"/>
      <c r="N4469" s="2"/>
      <c r="P4469" s="2"/>
      <c r="Q4469" s="2"/>
      <c r="R4469" s="2"/>
      <c r="AB4469" s="2"/>
    </row>
    <row r="4470" spans="8:28" ht="15" customHeight="1">
      <c r="H4470" s="2"/>
      <c r="I4470" s="2"/>
      <c r="J4470" s="2"/>
      <c r="K4470" s="2"/>
      <c r="L4470" s="2"/>
      <c r="M4470" s="2"/>
      <c r="N4470" s="2"/>
      <c r="P4470" s="2"/>
      <c r="Q4470" s="2"/>
      <c r="R4470" s="2"/>
      <c r="AB4470" s="2"/>
    </row>
    <row r="4471" spans="8:28" ht="15" customHeight="1">
      <c r="H4471" s="2"/>
      <c r="I4471" s="2"/>
      <c r="J4471" s="2"/>
      <c r="K4471" s="2"/>
      <c r="L4471" s="2"/>
      <c r="M4471" s="2"/>
      <c r="N4471" s="2"/>
      <c r="P4471" s="2"/>
      <c r="Q4471" s="2"/>
      <c r="R4471" s="2"/>
      <c r="AB4471" s="2"/>
    </row>
    <row r="4472" spans="8:28" ht="15" customHeight="1">
      <c r="H4472" s="2"/>
      <c r="I4472" s="2"/>
      <c r="J4472" s="2"/>
      <c r="K4472" s="2"/>
      <c r="L4472" s="2"/>
      <c r="M4472" s="2"/>
      <c r="N4472" s="2"/>
      <c r="P4472" s="2"/>
      <c r="Q4472" s="2"/>
      <c r="R4472" s="2"/>
      <c r="AB4472" s="2"/>
    </row>
    <row r="4473" spans="8:28" ht="15" customHeight="1">
      <c r="H4473" s="2"/>
      <c r="I4473" s="2"/>
      <c r="J4473" s="2"/>
      <c r="K4473" s="2"/>
      <c r="L4473" s="2"/>
      <c r="M4473" s="2"/>
      <c r="N4473" s="2"/>
      <c r="P4473" s="2"/>
      <c r="Q4473" s="2"/>
      <c r="R4473" s="2"/>
      <c r="AB4473" s="2"/>
    </row>
    <row r="4474" spans="8:28" ht="15" customHeight="1">
      <c r="H4474" s="2"/>
      <c r="I4474" s="2"/>
      <c r="J4474" s="2"/>
      <c r="K4474" s="2"/>
      <c r="L4474" s="2"/>
      <c r="M4474" s="2"/>
      <c r="N4474" s="2"/>
      <c r="P4474" s="2"/>
      <c r="Q4474" s="2"/>
      <c r="R4474" s="2"/>
      <c r="AB4474" s="2"/>
    </row>
    <row r="4475" spans="8:28" ht="15" customHeight="1">
      <c r="H4475" s="2"/>
      <c r="I4475" s="2"/>
      <c r="J4475" s="2"/>
      <c r="K4475" s="2"/>
      <c r="L4475" s="2"/>
      <c r="M4475" s="2"/>
      <c r="N4475" s="2"/>
      <c r="P4475" s="2"/>
      <c r="Q4475" s="2"/>
      <c r="R4475" s="2"/>
      <c r="AB4475" s="2"/>
    </row>
    <row r="4476" spans="8:28" ht="15" customHeight="1">
      <c r="H4476" s="2"/>
      <c r="I4476" s="2"/>
      <c r="J4476" s="2"/>
      <c r="K4476" s="2"/>
      <c r="L4476" s="2"/>
      <c r="M4476" s="2"/>
      <c r="N4476" s="2"/>
      <c r="P4476" s="2"/>
      <c r="Q4476" s="2"/>
      <c r="R4476" s="2"/>
      <c r="AB4476" s="2"/>
    </row>
    <row r="4477" spans="8:28" ht="15" customHeight="1">
      <c r="H4477" s="2"/>
      <c r="I4477" s="2"/>
      <c r="J4477" s="2"/>
      <c r="K4477" s="2"/>
      <c r="L4477" s="2"/>
      <c r="M4477" s="2"/>
      <c r="N4477" s="2"/>
      <c r="P4477" s="2"/>
      <c r="Q4477" s="2"/>
      <c r="R4477" s="2"/>
      <c r="AB4477" s="2"/>
    </row>
    <row r="4478" spans="8:28" ht="15" customHeight="1">
      <c r="H4478" s="2"/>
      <c r="I4478" s="2"/>
      <c r="J4478" s="2"/>
      <c r="K4478" s="2"/>
      <c r="L4478" s="2"/>
      <c r="M4478" s="2"/>
      <c r="N4478" s="2"/>
      <c r="P4478" s="2"/>
      <c r="Q4478" s="2"/>
      <c r="R4478" s="2"/>
      <c r="AB4478" s="2"/>
    </row>
    <row r="4479" spans="8:28" ht="15" customHeight="1">
      <c r="H4479" s="2"/>
      <c r="I4479" s="2"/>
      <c r="J4479" s="2"/>
      <c r="K4479" s="2"/>
      <c r="L4479" s="2"/>
      <c r="M4479" s="2"/>
      <c r="N4479" s="2"/>
      <c r="P4479" s="2"/>
      <c r="Q4479" s="2"/>
      <c r="R4479" s="2"/>
      <c r="AB4479" s="2"/>
    </row>
    <row r="4480" spans="8:28" ht="15" customHeight="1">
      <c r="H4480" s="2"/>
      <c r="I4480" s="2"/>
      <c r="J4480" s="2"/>
      <c r="K4480" s="2"/>
      <c r="L4480" s="2"/>
      <c r="M4480" s="2"/>
      <c r="N4480" s="2"/>
      <c r="P4480" s="2"/>
      <c r="Q4480" s="2"/>
      <c r="R4480" s="2"/>
      <c r="AB4480" s="2"/>
    </row>
    <row r="4481" spans="8:28" ht="15" customHeight="1">
      <c r="H4481" s="2"/>
      <c r="I4481" s="2"/>
      <c r="J4481" s="2"/>
      <c r="K4481" s="2"/>
      <c r="L4481" s="2"/>
      <c r="M4481" s="2"/>
      <c r="N4481" s="2"/>
      <c r="P4481" s="2"/>
      <c r="Q4481" s="2"/>
      <c r="R4481" s="2"/>
      <c r="AB4481" s="2"/>
    </row>
    <row r="4482" spans="8:28" ht="15" customHeight="1">
      <c r="H4482" s="2"/>
      <c r="I4482" s="2"/>
      <c r="J4482" s="2"/>
      <c r="K4482" s="2"/>
      <c r="L4482" s="2"/>
      <c r="M4482" s="2"/>
      <c r="N4482" s="2"/>
      <c r="P4482" s="2"/>
      <c r="Q4482" s="2"/>
      <c r="R4482" s="2"/>
      <c r="AB4482" s="2"/>
    </row>
    <row r="4483" spans="8:28" ht="15" customHeight="1">
      <c r="H4483" s="2"/>
      <c r="I4483" s="2"/>
      <c r="J4483" s="2"/>
      <c r="K4483" s="2"/>
      <c r="L4483" s="2"/>
      <c r="M4483" s="2"/>
      <c r="N4483" s="2"/>
      <c r="P4483" s="2"/>
      <c r="Q4483" s="2"/>
      <c r="R4483" s="2"/>
      <c r="AB4483" s="2"/>
    </row>
    <row r="4484" spans="8:28" ht="15" customHeight="1">
      <c r="H4484" s="2"/>
      <c r="I4484" s="2"/>
      <c r="J4484" s="2"/>
      <c r="K4484" s="2"/>
      <c r="L4484" s="2"/>
      <c r="M4484" s="2"/>
      <c r="N4484" s="2"/>
      <c r="P4484" s="2"/>
      <c r="Q4484" s="2"/>
      <c r="R4484" s="2"/>
      <c r="AB4484" s="2"/>
    </row>
    <row r="4485" spans="8:28" ht="15" customHeight="1">
      <c r="H4485" s="2"/>
      <c r="I4485" s="2"/>
      <c r="J4485" s="2"/>
      <c r="K4485" s="2"/>
      <c r="L4485" s="2"/>
      <c r="M4485" s="2"/>
      <c r="N4485" s="2"/>
      <c r="P4485" s="2"/>
      <c r="Q4485" s="2"/>
      <c r="R4485" s="2"/>
      <c r="AB4485" s="2"/>
    </row>
    <row r="4486" spans="8:28" ht="15" customHeight="1">
      <c r="H4486" s="2"/>
      <c r="I4486" s="2"/>
      <c r="J4486" s="2"/>
      <c r="K4486" s="2"/>
      <c r="L4486" s="2"/>
      <c r="M4486" s="2"/>
      <c r="N4486" s="2"/>
      <c r="P4486" s="2"/>
      <c r="Q4486" s="2"/>
      <c r="R4486" s="2"/>
      <c r="AB4486" s="2"/>
    </row>
    <row r="4487" spans="8:28" ht="15" customHeight="1">
      <c r="H4487" s="2"/>
      <c r="I4487" s="2"/>
      <c r="J4487" s="2"/>
      <c r="K4487" s="2"/>
      <c r="L4487" s="2"/>
      <c r="M4487" s="2"/>
      <c r="N4487" s="2"/>
      <c r="P4487" s="2"/>
      <c r="Q4487" s="2"/>
      <c r="R4487" s="2"/>
      <c r="AB4487" s="2"/>
    </row>
    <row r="4488" spans="8:28" ht="15" customHeight="1">
      <c r="H4488" s="2"/>
      <c r="I4488" s="2"/>
      <c r="J4488" s="2"/>
      <c r="K4488" s="2"/>
      <c r="L4488" s="2"/>
      <c r="M4488" s="2"/>
      <c r="N4488" s="2"/>
      <c r="P4488" s="2"/>
      <c r="Q4488" s="2"/>
      <c r="R4488" s="2"/>
      <c r="AB4488" s="2"/>
    </row>
    <row r="4489" spans="8:28" ht="15" customHeight="1">
      <c r="H4489" s="2"/>
      <c r="I4489" s="2"/>
      <c r="J4489" s="2"/>
      <c r="K4489" s="2"/>
      <c r="L4489" s="2"/>
      <c r="M4489" s="2"/>
      <c r="N4489" s="2"/>
      <c r="P4489" s="2"/>
      <c r="Q4489" s="2"/>
      <c r="R4489" s="2"/>
      <c r="AB4489" s="2"/>
    </row>
    <row r="4490" spans="8:28" ht="15" customHeight="1">
      <c r="H4490" s="2"/>
      <c r="I4490" s="2"/>
      <c r="J4490" s="2"/>
      <c r="K4490" s="2"/>
      <c r="L4490" s="2"/>
      <c r="M4490" s="2"/>
      <c r="N4490" s="2"/>
      <c r="P4490" s="2"/>
      <c r="Q4490" s="2"/>
      <c r="R4490" s="2"/>
      <c r="AB4490" s="2"/>
    </row>
    <row r="4491" spans="8:28" ht="15" customHeight="1">
      <c r="H4491" s="2"/>
      <c r="I4491" s="2"/>
      <c r="J4491" s="2"/>
      <c r="K4491" s="2"/>
      <c r="L4491" s="2"/>
      <c r="M4491" s="2"/>
      <c r="N4491" s="2"/>
      <c r="P4491" s="2"/>
      <c r="Q4491" s="2"/>
      <c r="R4491" s="2"/>
      <c r="AB4491" s="2"/>
    </row>
    <row r="4492" spans="8:28" ht="15" customHeight="1">
      <c r="H4492" s="2"/>
      <c r="I4492" s="2"/>
      <c r="J4492" s="2"/>
      <c r="K4492" s="2"/>
      <c r="L4492" s="2"/>
      <c r="M4492" s="2"/>
      <c r="N4492" s="2"/>
      <c r="P4492" s="2"/>
      <c r="Q4492" s="2"/>
      <c r="R4492" s="2"/>
      <c r="AB4492" s="2"/>
    </row>
    <row r="4493" spans="8:28" ht="15" customHeight="1">
      <c r="H4493" s="2"/>
      <c r="I4493" s="2"/>
      <c r="J4493" s="2"/>
      <c r="K4493" s="2"/>
      <c r="L4493" s="2"/>
      <c r="M4493" s="2"/>
      <c r="N4493" s="2"/>
      <c r="P4493" s="2"/>
      <c r="Q4493" s="2"/>
      <c r="R4493" s="2"/>
      <c r="AB4493" s="2"/>
    </row>
    <row r="4494" spans="8:28" ht="15" customHeight="1">
      <c r="H4494" s="2"/>
      <c r="I4494" s="2"/>
      <c r="J4494" s="2"/>
      <c r="K4494" s="2"/>
      <c r="L4494" s="2"/>
      <c r="M4494" s="2"/>
      <c r="N4494" s="2"/>
      <c r="P4494" s="2"/>
      <c r="Q4494" s="2"/>
      <c r="R4494" s="2"/>
      <c r="AB4494" s="2"/>
    </row>
    <row r="4495" spans="8:28" ht="15" customHeight="1">
      <c r="H4495" s="2"/>
      <c r="I4495" s="2"/>
      <c r="J4495" s="2"/>
      <c r="K4495" s="2"/>
      <c r="L4495" s="2"/>
      <c r="M4495" s="2"/>
      <c r="N4495" s="2"/>
      <c r="P4495" s="2"/>
      <c r="Q4495" s="2"/>
      <c r="R4495" s="2"/>
      <c r="AB4495" s="2"/>
    </row>
    <row r="4496" spans="8:28" ht="15" customHeight="1">
      <c r="H4496" s="2"/>
      <c r="I4496" s="2"/>
      <c r="J4496" s="2"/>
      <c r="K4496" s="2"/>
      <c r="L4496" s="2"/>
      <c r="M4496" s="2"/>
      <c r="N4496" s="2"/>
      <c r="P4496" s="2"/>
      <c r="Q4496" s="2"/>
      <c r="R4496" s="2"/>
      <c r="AB4496" s="2"/>
    </row>
    <row r="4497" spans="8:28" ht="15" customHeight="1">
      <c r="H4497" s="2"/>
      <c r="I4497" s="2"/>
      <c r="J4497" s="2"/>
      <c r="K4497" s="2"/>
      <c r="L4497" s="2"/>
      <c r="M4497" s="2"/>
      <c r="N4497" s="2"/>
      <c r="P4497" s="2"/>
      <c r="Q4497" s="2"/>
      <c r="R4497" s="2"/>
      <c r="AB4497" s="2"/>
    </row>
    <row r="4498" spans="8:28" ht="15" customHeight="1">
      <c r="H4498" s="2"/>
      <c r="I4498" s="2"/>
      <c r="J4498" s="2"/>
      <c r="K4498" s="2"/>
      <c r="L4498" s="2"/>
      <c r="M4498" s="2"/>
      <c r="N4498" s="2"/>
      <c r="P4498" s="2"/>
      <c r="Q4498" s="2"/>
      <c r="R4498" s="2"/>
      <c r="AB4498" s="2"/>
    </row>
    <row r="4499" spans="8:28" ht="15" customHeight="1">
      <c r="H4499" s="2"/>
      <c r="I4499" s="2"/>
      <c r="J4499" s="2"/>
      <c r="K4499" s="2"/>
      <c r="L4499" s="2"/>
      <c r="M4499" s="2"/>
      <c r="N4499" s="2"/>
      <c r="P4499" s="2"/>
      <c r="Q4499" s="2"/>
      <c r="R4499" s="2"/>
      <c r="AB4499" s="2"/>
    </row>
    <row r="4500" spans="8:28" ht="15" customHeight="1">
      <c r="H4500" s="2"/>
      <c r="I4500" s="2"/>
      <c r="J4500" s="2"/>
      <c r="K4500" s="2"/>
      <c r="L4500" s="2"/>
      <c r="M4500" s="2"/>
      <c r="N4500" s="2"/>
      <c r="P4500" s="2"/>
      <c r="Q4500" s="2"/>
      <c r="R4500" s="2"/>
      <c r="AB4500" s="2"/>
    </row>
    <row r="4501" spans="8:28" ht="15" customHeight="1">
      <c r="H4501" s="2"/>
      <c r="I4501" s="2"/>
      <c r="J4501" s="2"/>
      <c r="K4501" s="2"/>
      <c r="L4501" s="2"/>
      <c r="M4501" s="2"/>
      <c r="N4501" s="2"/>
      <c r="P4501" s="2"/>
      <c r="Q4501" s="2"/>
      <c r="R4501" s="2"/>
      <c r="AB4501" s="2"/>
    </row>
    <row r="4502" spans="8:28" ht="15" customHeight="1">
      <c r="H4502" s="2"/>
      <c r="I4502" s="2"/>
      <c r="J4502" s="2"/>
      <c r="K4502" s="2"/>
      <c r="L4502" s="2"/>
      <c r="M4502" s="2"/>
      <c r="N4502" s="2"/>
      <c r="P4502" s="2"/>
      <c r="Q4502" s="2"/>
      <c r="R4502" s="2"/>
      <c r="AB4502" s="2"/>
    </row>
    <row r="4503" spans="8:28" ht="15" customHeight="1">
      <c r="H4503" s="2"/>
      <c r="I4503" s="2"/>
      <c r="J4503" s="2"/>
      <c r="K4503" s="2"/>
      <c r="L4503" s="2"/>
      <c r="M4503" s="2"/>
      <c r="N4503" s="2"/>
      <c r="P4503" s="2"/>
      <c r="Q4503" s="2"/>
      <c r="R4503" s="2"/>
      <c r="AB4503" s="2"/>
    </row>
    <row r="4504" spans="8:28" ht="15" customHeight="1">
      <c r="H4504" s="2"/>
      <c r="I4504" s="2"/>
      <c r="J4504" s="2"/>
      <c r="K4504" s="2"/>
      <c r="L4504" s="2"/>
      <c r="M4504" s="2"/>
      <c r="N4504" s="2"/>
      <c r="P4504" s="2"/>
      <c r="Q4504" s="2"/>
      <c r="R4504" s="2"/>
      <c r="AB4504" s="2"/>
    </row>
    <row r="4505" spans="8:28" ht="15" customHeight="1">
      <c r="H4505" s="2"/>
      <c r="I4505" s="2"/>
      <c r="J4505" s="2"/>
      <c r="K4505" s="2"/>
      <c r="L4505" s="2"/>
      <c r="M4505" s="2"/>
      <c r="N4505" s="2"/>
      <c r="P4505" s="2"/>
      <c r="Q4505" s="2"/>
      <c r="R4505" s="2"/>
      <c r="AB4505" s="2"/>
    </row>
    <row r="4506" spans="8:28" ht="15" customHeight="1">
      <c r="H4506" s="2"/>
      <c r="I4506" s="2"/>
      <c r="J4506" s="2"/>
      <c r="K4506" s="2"/>
      <c r="L4506" s="2"/>
      <c r="M4506" s="2"/>
      <c r="N4506" s="2"/>
      <c r="P4506" s="2"/>
      <c r="Q4506" s="2"/>
      <c r="R4506" s="2"/>
      <c r="AB4506" s="2"/>
    </row>
    <row r="4507" spans="8:28" ht="15" customHeight="1">
      <c r="H4507" s="2"/>
      <c r="I4507" s="2"/>
      <c r="J4507" s="2"/>
      <c r="K4507" s="2"/>
      <c r="L4507" s="2"/>
      <c r="M4507" s="2"/>
      <c r="N4507" s="2"/>
      <c r="P4507" s="2"/>
      <c r="Q4507" s="2"/>
      <c r="R4507" s="2"/>
      <c r="AB4507" s="2"/>
    </row>
    <row r="4508" spans="8:28" ht="15" customHeight="1">
      <c r="H4508" s="2"/>
      <c r="I4508" s="2"/>
      <c r="J4508" s="2"/>
      <c r="K4508" s="2"/>
      <c r="L4508" s="2"/>
      <c r="M4508" s="2"/>
      <c r="N4508" s="2"/>
      <c r="P4508" s="2"/>
      <c r="Q4508" s="2"/>
      <c r="R4508" s="2"/>
      <c r="AB4508" s="2"/>
    </row>
    <row r="4509" spans="8:28" ht="15" customHeight="1">
      <c r="H4509" s="2"/>
      <c r="I4509" s="2"/>
      <c r="J4509" s="2"/>
      <c r="K4509" s="2"/>
      <c r="L4509" s="2"/>
      <c r="M4509" s="2"/>
      <c r="N4509" s="2"/>
      <c r="P4509" s="2"/>
      <c r="Q4509" s="2"/>
      <c r="R4509" s="2"/>
      <c r="AB4509" s="2"/>
    </row>
    <row r="4510" spans="8:28" ht="15" customHeight="1">
      <c r="H4510" s="2"/>
      <c r="I4510" s="2"/>
      <c r="J4510" s="2"/>
      <c r="K4510" s="2"/>
      <c r="L4510" s="2"/>
      <c r="M4510" s="2"/>
      <c r="N4510" s="2"/>
      <c r="P4510" s="2"/>
      <c r="Q4510" s="2"/>
      <c r="R4510" s="2"/>
      <c r="AB4510" s="2"/>
    </row>
    <row r="4511" spans="8:28" ht="15" customHeight="1">
      <c r="H4511" s="2"/>
      <c r="I4511" s="2"/>
      <c r="J4511" s="2"/>
      <c r="K4511" s="2"/>
      <c r="L4511" s="2"/>
      <c r="M4511" s="2"/>
      <c r="N4511" s="2"/>
      <c r="P4511" s="2"/>
      <c r="Q4511" s="2"/>
      <c r="R4511" s="2"/>
      <c r="AB4511" s="2"/>
    </row>
    <row r="4512" spans="8:28" ht="15" customHeight="1">
      <c r="H4512" s="2"/>
      <c r="I4512" s="2"/>
      <c r="J4512" s="2"/>
      <c r="K4512" s="2"/>
      <c r="L4512" s="2"/>
      <c r="M4512" s="2"/>
      <c r="N4512" s="2"/>
      <c r="P4512" s="2"/>
      <c r="Q4512" s="2"/>
      <c r="R4512" s="2"/>
      <c r="AB4512" s="2"/>
    </row>
    <row r="4513" spans="8:28" ht="15" customHeight="1">
      <c r="H4513" s="2"/>
      <c r="I4513" s="2"/>
      <c r="J4513" s="2"/>
      <c r="K4513" s="2"/>
      <c r="L4513" s="2"/>
      <c r="M4513" s="2"/>
      <c r="N4513" s="2"/>
      <c r="P4513" s="2"/>
      <c r="Q4513" s="2"/>
      <c r="R4513" s="2"/>
      <c r="AB4513" s="2"/>
    </row>
    <row r="4514" spans="8:28" ht="15" customHeight="1">
      <c r="H4514" s="2"/>
      <c r="I4514" s="2"/>
      <c r="J4514" s="2"/>
      <c r="K4514" s="2"/>
      <c r="L4514" s="2"/>
      <c r="M4514" s="2"/>
      <c r="N4514" s="2"/>
      <c r="P4514" s="2"/>
      <c r="Q4514" s="2"/>
      <c r="R4514" s="2"/>
      <c r="AB4514" s="2"/>
    </row>
    <row r="4515" spans="8:28" ht="15" customHeight="1">
      <c r="H4515" s="2"/>
      <c r="I4515" s="2"/>
      <c r="J4515" s="2"/>
      <c r="K4515" s="2"/>
      <c r="L4515" s="2"/>
      <c r="M4515" s="2"/>
      <c r="N4515" s="2"/>
      <c r="P4515" s="2"/>
      <c r="Q4515" s="2"/>
      <c r="R4515" s="2"/>
      <c r="AB4515" s="2"/>
    </row>
    <row r="4516" spans="8:28" ht="15" customHeight="1">
      <c r="H4516" s="2"/>
      <c r="I4516" s="2"/>
      <c r="J4516" s="2"/>
      <c r="K4516" s="2"/>
      <c r="L4516" s="2"/>
      <c r="M4516" s="2"/>
      <c r="N4516" s="2"/>
      <c r="P4516" s="2"/>
      <c r="Q4516" s="2"/>
      <c r="R4516" s="2"/>
      <c r="AB4516" s="2"/>
    </row>
    <row r="4517" spans="8:28" ht="15" customHeight="1">
      <c r="H4517" s="2"/>
      <c r="I4517" s="2"/>
      <c r="J4517" s="2"/>
      <c r="K4517" s="2"/>
      <c r="L4517" s="2"/>
      <c r="M4517" s="2"/>
      <c r="N4517" s="2"/>
      <c r="P4517" s="2"/>
      <c r="Q4517" s="2"/>
      <c r="R4517" s="2"/>
      <c r="AB4517" s="2"/>
    </row>
    <row r="4518" spans="8:28" ht="15" customHeight="1">
      <c r="H4518" s="2"/>
      <c r="I4518" s="2"/>
      <c r="J4518" s="2"/>
      <c r="K4518" s="2"/>
      <c r="L4518" s="2"/>
      <c r="M4518" s="2"/>
      <c r="N4518" s="2"/>
      <c r="P4518" s="2"/>
      <c r="Q4518" s="2"/>
      <c r="R4518" s="2"/>
      <c r="AB4518" s="2"/>
    </row>
    <row r="4519" spans="8:28" ht="15" customHeight="1">
      <c r="H4519" s="2"/>
      <c r="I4519" s="2"/>
      <c r="J4519" s="2"/>
      <c r="K4519" s="2"/>
      <c r="L4519" s="2"/>
      <c r="M4519" s="2"/>
      <c r="N4519" s="2"/>
      <c r="P4519" s="2"/>
      <c r="Q4519" s="2"/>
      <c r="R4519" s="2"/>
      <c r="AB4519" s="2"/>
    </row>
    <row r="4520" spans="8:28" ht="15" customHeight="1">
      <c r="H4520" s="2"/>
      <c r="I4520" s="2"/>
      <c r="J4520" s="2"/>
      <c r="K4520" s="2"/>
      <c r="L4520" s="2"/>
      <c r="M4520" s="2"/>
      <c r="N4520" s="2"/>
      <c r="P4520" s="2"/>
      <c r="Q4520" s="2"/>
      <c r="R4520" s="2"/>
      <c r="AB4520" s="2"/>
    </row>
    <row r="4521" spans="8:28" ht="15" customHeight="1">
      <c r="H4521" s="2"/>
      <c r="I4521" s="2"/>
      <c r="J4521" s="2"/>
      <c r="K4521" s="2"/>
      <c r="L4521" s="2"/>
      <c r="M4521" s="2"/>
      <c r="N4521" s="2"/>
      <c r="P4521" s="2"/>
      <c r="Q4521" s="2"/>
      <c r="R4521" s="2"/>
      <c r="AB4521" s="2"/>
    </row>
    <row r="4522" spans="8:28" ht="15" customHeight="1">
      <c r="H4522" s="2"/>
      <c r="I4522" s="2"/>
      <c r="J4522" s="2"/>
      <c r="K4522" s="2"/>
      <c r="L4522" s="2"/>
      <c r="M4522" s="2"/>
      <c r="N4522" s="2"/>
      <c r="P4522" s="2"/>
      <c r="Q4522" s="2"/>
      <c r="R4522" s="2"/>
      <c r="AB4522" s="2"/>
    </row>
    <row r="4523" spans="8:28" ht="15" customHeight="1">
      <c r="H4523" s="2"/>
      <c r="I4523" s="2"/>
      <c r="J4523" s="2"/>
      <c r="K4523" s="2"/>
      <c r="L4523" s="2"/>
      <c r="M4523" s="2"/>
      <c r="N4523" s="2"/>
      <c r="P4523" s="2"/>
      <c r="Q4523" s="2"/>
      <c r="R4523" s="2"/>
      <c r="AB4523" s="2"/>
    </row>
    <row r="4524" spans="8:28" ht="15" customHeight="1">
      <c r="H4524" s="2"/>
      <c r="I4524" s="2"/>
      <c r="J4524" s="2"/>
      <c r="K4524" s="2"/>
      <c r="L4524" s="2"/>
      <c r="M4524" s="2"/>
      <c r="N4524" s="2"/>
      <c r="P4524" s="2"/>
      <c r="Q4524" s="2"/>
      <c r="R4524" s="2"/>
      <c r="AB4524" s="2"/>
    </row>
    <row r="4525" spans="8:28" ht="15" customHeight="1">
      <c r="H4525" s="2"/>
      <c r="I4525" s="2"/>
      <c r="J4525" s="2"/>
      <c r="K4525" s="2"/>
      <c r="L4525" s="2"/>
      <c r="M4525" s="2"/>
      <c r="N4525" s="2"/>
      <c r="P4525" s="2"/>
      <c r="Q4525" s="2"/>
      <c r="R4525" s="2"/>
      <c r="AB4525" s="2"/>
    </row>
    <row r="4526" spans="8:28" ht="15" customHeight="1">
      <c r="H4526" s="2"/>
      <c r="I4526" s="2"/>
      <c r="J4526" s="2"/>
      <c r="K4526" s="2"/>
      <c r="L4526" s="2"/>
      <c r="M4526" s="2"/>
      <c r="N4526" s="2"/>
      <c r="P4526" s="2"/>
      <c r="Q4526" s="2"/>
      <c r="R4526" s="2"/>
      <c r="AB4526" s="2"/>
    </row>
    <row r="4527" spans="8:28" ht="15" customHeight="1">
      <c r="H4527" s="2"/>
      <c r="I4527" s="2"/>
      <c r="J4527" s="2"/>
      <c r="K4527" s="2"/>
      <c r="L4527" s="2"/>
      <c r="M4527" s="2"/>
      <c r="N4527" s="2"/>
      <c r="P4527" s="2"/>
      <c r="Q4527" s="2"/>
      <c r="R4527" s="2"/>
      <c r="AB4527" s="2"/>
    </row>
    <row r="4528" spans="8:28" ht="15" customHeight="1">
      <c r="H4528" s="2"/>
      <c r="I4528" s="2"/>
      <c r="J4528" s="2"/>
      <c r="K4528" s="2"/>
      <c r="L4528" s="2"/>
      <c r="M4528" s="2"/>
      <c r="N4528" s="2"/>
      <c r="P4528" s="2"/>
      <c r="Q4528" s="2"/>
      <c r="R4528" s="2"/>
      <c r="AB4528" s="2"/>
    </row>
    <row r="4529" spans="8:28" ht="15" customHeight="1">
      <c r="H4529" s="2"/>
      <c r="I4529" s="2"/>
      <c r="J4529" s="2"/>
      <c r="K4529" s="2"/>
      <c r="L4529" s="2"/>
      <c r="M4529" s="2"/>
      <c r="N4529" s="2"/>
      <c r="P4529" s="2"/>
      <c r="Q4529" s="2"/>
      <c r="R4529" s="2"/>
      <c r="AB4529" s="2"/>
    </row>
    <row r="4530" spans="8:28" ht="15" customHeight="1">
      <c r="H4530" s="2"/>
      <c r="I4530" s="2"/>
      <c r="J4530" s="2"/>
      <c r="K4530" s="2"/>
      <c r="L4530" s="2"/>
      <c r="M4530" s="2"/>
      <c r="N4530" s="2"/>
      <c r="P4530" s="2"/>
      <c r="Q4530" s="2"/>
      <c r="R4530" s="2"/>
      <c r="AB4530" s="2"/>
    </row>
    <row r="4531" spans="8:28" ht="15" customHeight="1">
      <c r="H4531" s="2"/>
      <c r="I4531" s="2"/>
      <c r="J4531" s="2"/>
      <c r="K4531" s="2"/>
      <c r="L4531" s="2"/>
      <c r="M4531" s="2"/>
      <c r="N4531" s="2"/>
      <c r="P4531" s="2"/>
      <c r="Q4531" s="2"/>
      <c r="R4531" s="2"/>
      <c r="AB4531" s="2"/>
    </row>
    <row r="4532" spans="8:28" ht="15" customHeight="1">
      <c r="H4532" s="2"/>
      <c r="I4532" s="2"/>
      <c r="J4532" s="2"/>
      <c r="K4532" s="2"/>
      <c r="L4532" s="2"/>
      <c r="M4532" s="2"/>
      <c r="N4532" s="2"/>
      <c r="P4532" s="2"/>
      <c r="Q4532" s="2"/>
      <c r="R4532" s="2"/>
      <c r="AB4532" s="2"/>
    </row>
    <row r="4533" spans="8:28" ht="15" customHeight="1">
      <c r="H4533" s="2"/>
      <c r="I4533" s="2"/>
      <c r="J4533" s="2"/>
      <c r="K4533" s="2"/>
      <c r="L4533" s="2"/>
      <c r="M4533" s="2"/>
      <c r="N4533" s="2"/>
      <c r="P4533" s="2"/>
      <c r="Q4533" s="2"/>
      <c r="R4533" s="2"/>
      <c r="AB4533" s="2"/>
    </row>
    <row r="4534" spans="8:28" ht="15" customHeight="1">
      <c r="H4534" s="2"/>
      <c r="I4534" s="2"/>
      <c r="J4534" s="2"/>
      <c r="K4534" s="2"/>
      <c r="L4534" s="2"/>
      <c r="M4534" s="2"/>
      <c r="N4534" s="2"/>
      <c r="P4534" s="2"/>
      <c r="Q4534" s="2"/>
      <c r="R4534" s="2"/>
      <c r="AB4534" s="2"/>
    </row>
    <row r="4535" spans="8:28" ht="15" customHeight="1">
      <c r="H4535" s="2"/>
      <c r="I4535" s="2"/>
      <c r="J4535" s="2"/>
      <c r="K4535" s="2"/>
      <c r="L4535" s="2"/>
      <c r="M4535" s="2"/>
      <c r="N4535" s="2"/>
      <c r="P4535" s="2"/>
      <c r="Q4535" s="2"/>
      <c r="R4535" s="2"/>
      <c r="AB4535" s="2"/>
    </row>
    <row r="4536" spans="8:28" ht="15" customHeight="1">
      <c r="H4536" s="2"/>
      <c r="I4536" s="2"/>
      <c r="J4536" s="2"/>
      <c r="K4536" s="2"/>
      <c r="L4536" s="2"/>
      <c r="M4536" s="2"/>
      <c r="N4536" s="2"/>
      <c r="P4536" s="2"/>
      <c r="Q4536" s="2"/>
      <c r="R4536" s="2"/>
      <c r="AB4536" s="2"/>
    </row>
    <row r="4537" spans="8:28" ht="15" customHeight="1">
      <c r="H4537" s="2"/>
      <c r="I4537" s="2"/>
      <c r="J4537" s="2"/>
      <c r="K4537" s="2"/>
      <c r="L4537" s="2"/>
      <c r="M4537" s="2"/>
      <c r="N4537" s="2"/>
      <c r="P4537" s="2"/>
      <c r="Q4537" s="2"/>
      <c r="R4537" s="2"/>
      <c r="AB4537" s="2"/>
    </row>
    <row r="4538" spans="8:28" ht="15" customHeight="1">
      <c r="H4538" s="2"/>
      <c r="I4538" s="2"/>
      <c r="J4538" s="2"/>
      <c r="K4538" s="2"/>
      <c r="L4538" s="2"/>
      <c r="M4538" s="2"/>
      <c r="N4538" s="2"/>
      <c r="P4538" s="2"/>
      <c r="Q4538" s="2"/>
      <c r="R4538" s="2"/>
      <c r="AB4538" s="2"/>
    </row>
    <row r="4539" spans="8:28" ht="15" customHeight="1">
      <c r="H4539" s="2"/>
      <c r="I4539" s="2"/>
      <c r="J4539" s="2"/>
      <c r="K4539" s="2"/>
      <c r="L4539" s="2"/>
      <c r="M4539" s="2"/>
      <c r="N4539" s="2"/>
      <c r="P4539" s="2"/>
      <c r="Q4539" s="2"/>
      <c r="R4539" s="2"/>
      <c r="AB4539" s="2"/>
    </row>
    <row r="4540" spans="8:28" ht="15" customHeight="1">
      <c r="H4540" s="2"/>
      <c r="I4540" s="2"/>
      <c r="J4540" s="2"/>
      <c r="K4540" s="2"/>
      <c r="L4540" s="2"/>
      <c r="M4540" s="2"/>
      <c r="N4540" s="2"/>
      <c r="P4540" s="2"/>
      <c r="Q4540" s="2"/>
      <c r="R4540" s="2"/>
      <c r="AB4540" s="2"/>
    </row>
    <row r="4541" spans="8:28" ht="15" customHeight="1">
      <c r="H4541" s="2"/>
      <c r="I4541" s="2"/>
      <c r="J4541" s="2"/>
      <c r="K4541" s="2"/>
      <c r="L4541" s="2"/>
      <c r="M4541" s="2"/>
      <c r="N4541" s="2"/>
      <c r="P4541" s="2"/>
      <c r="Q4541" s="2"/>
      <c r="R4541" s="2"/>
      <c r="AB4541" s="2"/>
    </row>
    <row r="4542" spans="8:28" ht="15" customHeight="1">
      <c r="H4542" s="2"/>
      <c r="I4542" s="2"/>
      <c r="J4542" s="2"/>
      <c r="K4542" s="2"/>
      <c r="L4542" s="2"/>
      <c r="M4542" s="2"/>
      <c r="N4542" s="2"/>
      <c r="P4542" s="2"/>
      <c r="Q4542" s="2"/>
      <c r="R4542" s="2"/>
      <c r="AB4542" s="2"/>
    </row>
    <row r="4543" spans="8:28" ht="15" customHeight="1">
      <c r="H4543" s="2"/>
      <c r="I4543" s="2"/>
      <c r="J4543" s="2"/>
      <c r="K4543" s="2"/>
      <c r="L4543" s="2"/>
      <c r="M4543" s="2"/>
      <c r="N4543" s="2"/>
      <c r="P4543" s="2"/>
      <c r="Q4543" s="2"/>
      <c r="R4543" s="2"/>
      <c r="AB4543" s="2"/>
    </row>
    <row r="4544" spans="8:28" ht="15" customHeight="1">
      <c r="H4544" s="2"/>
      <c r="I4544" s="2"/>
      <c r="J4544" s="2"/>
      <c r="K4544" s="2"/>
      <c r="L4544" s="2"/>
      <c r="M4544" s="2"/>
      <c r="N4544" s="2"/>
      <c r="P4544" s="2"/>
      <c r="Q4544" s="2"/>
      <c r="R4544" s="2"/>
      <c r="AB4544" s="2"/>
    </row>
    <row r="4545" spans="8:28" ht="15" customHeight="1">
      <c r="H4545" s="2"/>
      <c r="I4545" s="2"/>
      <c r="J4545" s="2"/>
      <c r="K4545" s="2"/>
      <c r="L4545" s="2"/>
      <c r="M4545" s="2"/>
      <c r="N4545" s="2"/>
      <c r="P4545" s="2"/>
      <c r="Q4545" s="2"/>
      <c r="R4545" s="2"/>
      <c r="AB4545" s="2"/>
    </row>
    <row r="4546" spans="8:28" ht="15" customHeight="1">
      <c r="H4546" s="2"/>
      <c r="I4546" s="2"/>
      <c r="J4546" s="2"/>
      <c r="K4546" s="2"/>
      <c r="L4546" s="2"/>
      <c r="M4546" s="2"/>
      <c r="N4546" s="2"/>
      <c r="P4546" s="2"/>
      <c r="Q4546" s="2"/>
      <c r="R4546" s="2"/>
      <c r="AB4546" s="2"/>
    </row>
    <row r="4547" spans="8:28" ht="15" customHeight="1">
      <c r="H4547" s="2"/>
      <c r="I4547" s="2"/>
      <c r="J4547" s="2"/>
      <c r="K4547" s="2"/>
      <c r="L4547" s="2"/>
      <c r="M4547" s="2"/>
      <c r="N4547" s="2"/>
      <c r="P4547" s="2"/>
      <c r="Q4547" s="2"/>
      <c r="R4547" s="2"/>
      <c r="AB4547" s="2"/>
    </row>
    <row r="4548" spans="8:28" ht="15" customHeight="1">
      <c r="H4548" s="2"/>
      <c r="I4548" s="2"/>
      <c r="J4548" s="2"/>
      <c r="K4548" s="2"/>
      <c r="L4548" s="2"/>
      <c r="M4548" s="2"/>
      <c r="N4548" s="2"/>
      <c r="P4548" s="2"/>
      <c r="Q4548" s="2"/>
      <c r="R4548" s="2"/>
      <c r="AB4548" s="2"/>
    </row>
    <row r="4549" spans="8:28" ht="15" customHeight="1">
      <c r="H4549" s="2"/>
      <c r="I4549" s="2"/>
      <c r="J4549" s="2"/>
      <c r="K4549" s="2"/>
      <c r="L4549" s="2"/>
      <c r="M4549" s="2"/>
      <c r="N4549" s="2"/>
      <c r="P4549" s="2"/>
      <c r="Q4549" s="2"/>
      <c r="R4549" s="2"/>
      <c r="AB4549" s="2"/>
    </row>
    <row r="4550" spans="8:28" ht="15" customHeight="1">
      <c r="H4550" s="2"/>
      <c r="I4550" s="2"/>
      <c r="J4550" s="2"/>
      <c r="K4550" s="2"/>
      <c r="L4550" s="2"/>
      <c r="M4550" s="2"/>
      <c r="N4550" s="2"/>
      <c r="P4550" s="2"/>
      <c r="Q4550" s="2"/>
      <c r="R4550" s="2"/>
      <c r="AB4550" s="2"/>
    </row>
    <row r="4551" spans="8:28" ht="15" customHeight="1">
      <c r="H4551" s="2"/>
      <c r="I4551" s="2"/>
      <c r="J4551" s="2"/>
      <c r="K4551" s="2"/>
      <c r="L4551" s="2"/>
      <c r="M4551" s="2"/>
      <c r="N4551" s="2"/>
      <c r="P4551" s="2"/>
      <c r="Q4551" s="2"/>
      <c r="R4551" s="2"/>
      <c r="AB4551" s="2"/>
    </row>
    <row r="4552" spans="8:28" ht="15" customHeight="1">
      <c r="H4552" s="2"/>
      <c r="I4552" s="2"/>
      <c r="J4552" s="2"/>
      <c r="K4552" s="2"/>
      <c r="L4552" s="2"/>
      <c r="M4552" s="2"/>
      <c r="N4552" s="2"/>
      <c r="P4552" s="2"/>
      <c r="Q4552" s="2"/>
      <c r="R4552" s="2"/>
      <c r="AB4552" s="2"/>
    </row>
    <row r="4553" spans="8:28" ht="15" customHeight="1">
      <c r="H4553" s="2"/>
      <c r="I4553" s="2"/>
      <c r="J4553" s="2"/>
      <c r="K4553" s="2"/>
      <c r="L4553" s="2"/>
      <c r="M4553" s="2"/>
      <c r="N4553" s="2"/>
      <c r="P4553" s="2"/>
      <c r="Q4553" s="2"/>
      <c r="R4553" s="2"/>
      <c r="AB4553" s="2"/>
    </row>
    <row r="4554" spans="8:28" ht="15" customHeight="1">
      <c r="H4554" s="2"/>
      <c r="I4554" s="2"/>
      <c r="J4554" s="2"/>
      <c r="K4554" s="2"/>
      <c r="L4554" s="2"/>
      <c r="M4554" s="2"/>
      <c r="N4554" s="2"/>
      <c r="P4554" s="2"/>
      <c r="Q4554" s="2"/>
      <c r="R4554" s="2"/>
      <c r="AB4554" s="2"/>
    </row>
    <row r="4555" spans="8:28" ht="15" customHeight="1">
      <c r="H4555" s="2"/>
      <c r="I4555" s="2"/>
      <c r="J4555" s="2"/>
      <c r="K4555" s="2"/>
      <c r="L4555" s="2"/>
      <c r="M4555" s="2"/>
      <c r="N4555" s="2"/>
      <c r="P4555" s="2"/>
      <c r="Q4555" s="2"/>
      <c r="R4555" s="2"/>
      <c r="AB4555" s="2"/>
    </row>
    <row r="4556" spans="8:28" ht="15" customHeight="1">
      <c r="H4556" s="2"/>
      <c r="I4556" s="2"/>
      <c r="J4556" s="2"/>
      <c r="K4556" s="2"/>
      <c r="L4556" s="2"/>
      <c r="M4556" s="2"/>
      <c r="N4556" s="2"/>
      <c r="P4556" s="2"/>
      <c r="Q4556" s="2"/>
      <c r="R4556" s="2"/>
      <c r="AB4556" s="2"/>
    </row>
    <row r="4557" spans="8:28" ht="15" customHeight="1">
      <c r="H4557" s="2"/>
      <c r="I4557" s="2"/>
      <c r="J4557" s="2"/>
      <c r="K4557" s="2"/>
      <c r="L4557" s="2"/>
      <c r="M4557" s="2"/>
      <c r="N4557" s="2"/>
      <c r="P4557" s="2"/>
      <c r="Q4557" s="2"/>
      <c r="R4557" s="2"/>
      <c r="AB4557" s="2"/>
    </row>
    <row r="4558" spans="8:28" ht="15" customHeight="1">
      <c r="H4558" s="2"/>
      <c r="I4558" s="2"/>
      <c r="J4558" s="2"/>
      <c r="K4558" s="2"/>
      <c r="L4558" s="2"/>
      <c r="M4558" s="2"/>
      <c r="N4558" s="2"/>
      <c r="P4558" s="2"/>
      <c r="Q4558" s="2"/>
      <c r="R4558" s="2"/>
      <c r="AB4558" s="2"/>
    </row>
    <row r="4559" spans="8:28" ht="15" customHeight="1">
      <c r="H4559" s="2"/>
      <c r="I4559" s="2"/>
      <c r="J4559" s="2"/>
      <c r="K4559" s="2"/>
      <c r="L4559" s="2"/>
      <c r="M4559" s="2"/>
      <c r="N4559" s="2"/>
      <c r="P4559" s="2"/>
      <c r="Q4559" s="2"/>
      <c r="R4559" s="2"/>
      <c r="AB4559" s="2"/>
    </row>
    <row r="4560" spans="8:28" ht="15" customHeight="1">
      <c r="H4560" s="2"/>
      <c r="I4560" s="2"/>
      <c r="J4560" s="2"/>
      <c r="K4560" s="2"/>
      <c r="L4560" s="2"/>
      <c r="M4560" s="2"/>
      <c r="N4560" s="2"/>
      <c r="P4560" s="2"/>
      <c r="Q4560" s="2"/>
      <c r="R4560" s="2"/>
      <c r="AB4560" s="2"/>
    </row>
    <row r="4561" spans="8:28" ht="15" customHeight="1">
      <c r="H4561" s="2"/>
      <c r="I4561" s="2"/>
      <c r="J4561" s="2"/>
      <c r="K4561" s="2"/>
      <c r="L4561" s="2"/>
      <c r="M4561" s="2"/>
      <c r="N4561" s="2"/>
      <c r="P4561" s="2"/>
      <c r="Q4561" s="2"/>
      <c r="R4561" s="2"/>
      <c r="AB4561" s="2"/>
    </row>
    <row r="4562" spans="8:28" ht="15" customHeight="1">
      <c r="H4562" s="2"/>
      <c r="I4562" s="2"/>
      <c r="J4562" s="2"/>
      <c r="K4562" s="2"/>
      <c r="L4562" s="2"/>
      <c r="M4562" s="2"/>
      <c r="N4562" s="2"/>
      <c r="P4562" s="2"/>
      <c r="Q4562" s="2"/>
      <c r="R4562" s="2"/>
      <c r="AB4562" s="2"/>
    </row>
    <row r="4563" spans="8:28" ht="15" customHeight="1">
      <c r="H4563" s="2"/>
      <c r="I4563" s="2"/>
      <c r="J4563" s="2"/>
      <c r="K4563" s="2"/>
      <c r="L4563" s="2"/>
      <c r="M4563" s="2"/>
      <c r="N4563" s="2"/>
      <c r="P4563" s="2"/>
      <c r="Q4563" s="2"/>
      <c r="R4563" s="2"/>
      <c r="AB4563" s="2"/>
    </row>
    <row r="4564" spans="8:28" ht="15" customHeight="1">
      <c r="H4564" s="2"/>
      <c r="I4564" s="2"/>
      <c r="J4564" s="2"/>
      <c r="K4564" s="2"/>
      <c r="L4564" s="2"/>
      <c r="M4564" s="2"/>
      <c r="N4564" s="2"/>
      <c r="P4564" s="2"/>
      <c r="Q4564" s="2"/>
      <c r="R4564" s="2"/>
      <c r="AB4564" s="2"/>
    </row>
    <row r="4565" spans="8:28" ht="15" customHeight="1">
      <c r="H4565" s="2"/>
      <c r="I4565" s="2"/>
      <c r="J4565" s="2"/>
      <c r="K4565" s="2"/>
      <c r="L4565" s="2"/>
      <c r="M4565" s="2"/>
      <c r="N4565" s="2"/>
      <c r="P4565" s="2"/>
      <c r="Q4565" s="2"/>
      <c r="R4565" s="2"/>
      <c r="AB4565" s="2"/>
    </row>
    <row r="4566" spans="8:28" ht="15" customHeight="1">
      <c r="H4566" s="2"/>
      <c r="I4566" s="2"/>
      <c r="J4566" s="2"/>
      <c r="K4566" s="2"/>
      <c r="L4566" s="2"/>
      <c r="M4566" s="2"/>
      <c r="N4566" s="2"/>
      <c r="P4566" s="2"/>
      <c r="Q4566" s="2"/>
      <c r="R4566" s="2"/>
      <c r="AB4566" s="2"/>
    </row>
    <row r="4567" spans="8:28" ht="15" customHeight="1">
      <c r="H4567" s="2"/>
      <c r="I4567" s="2"/>
      <c r="J4567" s="2"/>
      <c r="K4567" s="2"/>
      <c r="L4567" s="2"/>
      <c r="M4567" s="2"/>
      <c r="N4567" s="2"/>
      <c r="P4567" s="2"/>
      <c r="Q4567" s="2"/>
      <c r="R4567" s="2"/>
      <c r="AB4567" s="2"/>
    </row>
    <row r="4568" spans="8:28" ht="15" customHeight="1">
      <c r="H4568" s="2"/>
      <c r="I4568" s="2"/>
      <c r="J4568" s="2"/>
      <c r="K4568" s="2"/>
      <c r="L4568" s="2"/>
      <c r="M4568" s="2"/>
      <c r="N4568" s="2"/>
      <c r="P4568" s="2"/>
      <c r="Q4568" s="2"/>
      <c r="R4568" s="2"/>
      <c r="AB4568" s="2"/>
    </row>
    <row r="4569" spans="8:28" ht="15" customHeight="1">
      <c r="H4569" s="2"/>
      <c r="I4569" s="2"/>
      <c r="J4569" s="2"/>
      <c r="K4569" s="2"/>
      <c r="L4569" s="2"/>
      <c r="M4569" s="2"/>
      <c r="N4569" s="2"/>
      <c r="P4569" s="2"/>
      <c r="Q4569" s="2"/>
      <c r="R4569" s="2"/>
      <c r="AB4569" s="2"/>
    </row>
    <row r="4570" spans="8:28" ht="15" customHeight="1">
      <c r="H4570" s="2"/>
      <c r="I4570" s="2"/>
      <c r="J4570" s="2"/>
      <c r="K4570" s="2"/>
      <c r="L4570" s="2"/>
      <c r="M4570" s="2"/>
      <c r="N4570" s="2"/>
      <c r="P4570" s="2"/>
      <c r="Q4570" s="2"/>
      <c r="R4570" s="2"/>
      <c r="AB4570" s="2"/>
    </row>
    <row r="4571" spans="8:28" ht="15" customHeight="1">
      <c r="H4571" s="2"/>
      <c r="I4571" s="2"/>
      <c r="J4571" s="2"/>
      <c r="K4571" s="2"/>
      <c r="L4571" s="2"/>
      <c r="M4571" s="2"/>
      <c r="N4571" s="2"/>
      <c r="P4571" s="2"/>
      <c r="Q4571" s="2"/>
      <c r="R4571" s="2"/>
      <c r="AB4571" s="2"/>
    </row>
    <row r="4572" spans="8:28" ht="15" customHeight="1">
      <c r="H4572" s="2"/>
      <c r="I4572" s="2"/>
      <c r="J4572" s="2"/>
      <c r="K4572" s="2"/>
      <c r="L4572" s="2"/>
      <c r="M4572" s="2"/>
      <c r="N4572" s="2"/>
      <c r="P4572" s="2"/>
      <c r="Q4572" s="2"/>
      <c r="R4572" s="2"/>
      <c r="AB4572" s="2"/>
    </row>
    <row r="4573" spans="8:28" ht="15" customHeight="1">
      <c r="H4573" s="2"/>
      <c r="I4573" s="2"/>
      <c r="J4573" s="2"/>
      <c r="K4573" s="2"/>
      <c r="L4573" s="2"/>
      <c r="M4573" s="2"/>
      <c r="N4573" s="2"/>
      <c r="P4573" s="2"/>
      <c r="Q4573" s="2"/>
      <c r="R4573" s="2"/>
      <c r="AB4573" s="2"/>
    </row>
    <row r="4574" spans="8:28" ht="15" customHeight="1">
      <c r="H4574" s="2"/>
      <c r="I4574" s="2"/>
      <c r="J4574" s="2"/>
      <c r="K4574" s="2"/>
      <c r="L4574" s="2"/>
      <c r="M4574" s="2"/>
      <c r="N4574" s="2"/>
      <c r="P4574" s="2"/>
      <c r="Q4574" s="2"/>
      <c r="R4574" s="2"/>
      <c r="AB4574" s="2"/>
    </row>
    <row r="4575" spans="8:28" ht="15" customHeight="1">
      <c r="H4575" s="2"/>
      <c r="I4575" s="2"/>
      <c r="J4575" s="2"/>
      <c r="K4575" s="2"/>
      <c r="L4575" s="2"/>
      <c r="M4575" s="2"/>
      <c r="N4575" s="2"/>
      <c r="P4575" s="2"/>
      <c r="Q4575" s="2"/>
      <c r="R4575" s="2"/>
      <c r="AB4575" s="2"/>
    </row>
    <row r="4576" spans="8:28" ht="15" customHeight="1">
      <c r="H4576" s="2"/>
      <c r="I4576" s="2"/>
      <c r="J4576" s="2"/>
      <c r="K4576" s="2"/>
      <c r="L4576" s="2"/>
      <c r="M4576" s="2"/>
      <c r="N4576" s="2"/>
      <c r="P4576" s="2"/>
      <c r="Q4576" s="2"/>
      <c r="R4576" s="2"/>
      <c r="AB4576" s="2"/>
    </row>
    <row r="4577" spans="8:28" ht="15" customHeight="1">
      <c r="H4577" s="2"/>
      <c r="I4577" s="2"/>
      <c r="J4577" s="2"/>
      <c r="K4577" s="2"/>
      <c r="L4577" s="2"/>
      <c r="M4577" s="2"/>
      <c r="N4577" s="2"/>
      <c r="P4577" s="2"/>
      <c r="Q4577" s="2"/>
      <c r="R4577" s="2"/>
      <c r="AB4577" s="2"/>
    </row>
    <row r="4578" spans="8:28" ht="15" customHeight="1">
      <c r="H4578" s="2"/>
      <c r="I4578" s="2"/>
      <c r="J4578" s="2"/>
      <c r="K4578" s="2"/>
      <c r="L4578" s="2"/>
      <c r="M4578" s="2"/>
      <c r="N4578" s="2"/>
      <c r="P4578" s="2"/>
      <c r="Q4578" s="2"/>
      <c r="R4578" s="2"/>
      <c r="AB4578" s="2"/>
    </row>
    <row r="4579" spans="8:28" ht="15" customHeight="1">
      <c r="H4579" s="2"/>
      <c r="I4579" s="2"/>
      <c r="J4579" s="2"/>
      <c r="K4579" s="2"/>
      <c r="L4579" s="2"/>
      <c r="M4579" s="2"/>
      <c r="N4579" s="2"/>
      <c r="P4579" s="2"/>
      <c r="Q4579" s="2"/>
      <c r="R4579" s="2"/>
      <c r="AB4579" s="2"/>
    </row>
    <row r="4580" spans="8:28" ht="15" customHeight="1">
      <c r="H4580" s="2"/>
      <c r="I4580" s="2"/>
      <c r="J4580" s="2"/>
      <c r="K4580" s="2"/>
      <c r="L4580" s="2"/>
      <c r="M4580" s="2"/>
      <c r="N4580" s="2"/>
      <c r="P4580" s="2"/>
      <c r="Q4580" s="2"/>
      <c r="R4580" s="2"/>
      <c r="AB4580" s="2"/>
    </row>
    <row r="4581" spans="8:28" ht="15" customHeight="1">
      <c r="H4581" s="2"/>
      <c r="I4581" s="2"/>
      <c r="J4581" s="2"/>
      <c r="K4581" s="2"/>
      <c r="L4581" s="2"/>
      <c r="M4581" s="2"/>
      <c r="N4581" s="2"/>
      <c r="P4581" s="2"/>
      <c r="Q4581" s="2"/>
      <c r="R4581" s="2"/>
      <c r="AB4581" s="2"/>
    </row>
    <row r="4582" spans="8:28" ht="15" customHeight="1">
      <c r="H4582" s="2"/>
      <c r="I4582" s="2"/>
      <c r="J4582" s="2"/>
      <c r="K4582" s="2"/>
      <c r="L4582" s="2"/>
      <c r="M4582" s="2"/>
      <c r="N4582" s="2"/>
      <c r="P4582" s="2"/>
      <c r="Q4582" s="2"/>
      <c r="R4582" s="2"/>
      <c r="AB4582" s="2"/>
    </row>
    <row r="4583" spans="8:28" ht="15" customHeight="1">
      <c r="H4583" s="2"/>
      <c r="I4583" s="2"/>
      <c r="J4583" s="2"/>
      <c r="K4583" s="2"/>
      <c r="L4583" s="2"/>
      <c r="M4583" s="2"/>
      <c r="N4583" s="2"/>
      <c r="P4583" s="2"/>
      <c r="Q4583" s="2"/>
      <c r="R4583" s="2"/>
      <c r="AB4583" s="2"/>
    </row>
    <row r="4584" spans="8:28" ht="15" customHeight="1">
      <c r="H4584" s="2"/>
      <c r="I4584" s="2"/>
      <c r="J4584" s="2"/>
      <c r="K4584" s="2"/>
      <c r="L4584" s="2"/>
      <c r="M4584" s="2"/>
      <c r="N4584" s="2"/>
      <c r="P4584" s="2"/>
      <c r="Q4584" s="2"/>
      <c r="R4584" s="2"/>
      <c r="AB4584" s="2"/>
    </row>
    <row r="4585" spans="8:28" ht="15" customHeight="1">
      <c r="H4585" s="2"/>
      <c r="I4585" s="2"/>
      <c r="J4585" s="2"/>
      <c r="K4585" s="2"/>
      <c r="L4585" s="2"/>
      <c r="M4585" s="2"/>
      <c r="N4585" s="2"/>
      <c r="P4585" s="2"/>
      <c r="Q4585" s="2"/>
      <c r="R4585" s="2"/>
      <c r="AB4585" s="2"/>
    </row>
    <row r="4586" spans="8:28" ht="15" customHeight="1">
      <c r="H4586" s="2"/>
      <c r="I4586" s="2"/>
      <c r="J4586" s="2"/>
      <c r="K4586" s="2"/>
      <c r="L4586" s="2"/>
      <c r="M4586" s="2"/>
      <c r="N4586" s="2"/>
      <c r="P4586" s="2"/>
      <c r="Q4586" s="2"/>
      <c r="R4586" s="2"/>
      <c r="AB4586" s="2"/>
    </row>
    <row r="4587" spans="8:28" ht="15" customHeight="1">
      <c r="H4587" s="2"/>
      <c r="I4587" s="2"/>
      <c r="J4587" s="2"/>
      <c r="K4587" s="2"/>
      <c r="L4587" s="2"/>
      <c r="M4587" s="2"/>
      <c r="N4587" s="2"/>
      <c r="P4587" s="2"/>
      <c r="Q4587" s="2"/>
      <c r="R4587" s="2"/>
      <c r="AB4587" s="2"/>
    </row>
    <row r="4588" spans="8:28" ht="15" customHeight="1">
      <c r="H4588" s="2"/>
      <c r="I4588" s="2"/>
      <c r="J4588" s="2"/>
      <c r="K4588" s="2"/>
      <c r="L4588" s="2"/>
      <c r="M4588" s="2"/>
      <c r="N4588" s="2"/>
      <c r="P4588" s="2"/>
      <c r="Q4588" s="2"/>
      <c r="R4588" s="2"/>
      <c r="AB4588" s="2"/>
    </row>
    <row r="4589" spans="8:28" ht="15" customHeight="1">
      <c r="H4589" s="2"/>
      <c r="I4589" s="2"/>
      <c r="J4589" s="2"/>
      <c r="K4589" s="2"/>
      <c r="L4589" s="2"/>
      <c r="M4589" s="2"/>
      <c r="N4589" s="2"/>
      <c r="P4589" s="2"/>
      <c r="Q4589" s="2"/>
      <c r="R4589" s="2"/>
      <c r="AB4589" s="2"/>
    </row>
    <row r="4590" spans="8:28" ht="15" customHeight="1">
      <c r="H4590" s="2"/>
      <c r="I4590" s="2"/>
      <c r="J4590" s="2"/>
      <c r="K4590" s="2"/>
      <c r="L4590" s="2"/>
      <c r="M4590" s="2"/>
      <c r="N4590" s="2"/>
      <c r="P4590" s="2"/>
      <c r="Q4590" s="2"/>
      <c r="R4590" s="2"/>
      <c r="AB4590" s="2"/>
    </row>
    <row r="4591" spans="8:28" ht="15" customHeight="1">
      <c r="H4591" s="2"/>
      <c r="I4591" s="2"/>
      <c r="J4591" s="2"/>
      <c r="K4591" s="2"/>
      <c r="L4591" s="2"/>
      <c r="M4591" s="2"/>
      <c r="N4591" s="2"/>
      <c r="P4591" s="2"/>
      <c r="Q4591" s="2"/>
      <c r="R4591" s="2"/>
      <c r="AB4591" s="2"/>
    </row>
    <row r="4592" spans="8:28" ht="15" customHeight="1">
      <c r="H4592" s="2"/>
      <c r="I4592" s="2"/>
      <c r="J4592" s="2"/>
      <c r="K4592" s="2"/>
      <c r="L4592" s="2"/>
      <c r="M4592" s="2"/>
      <c r="N4592" s="2"/>
      <c r="P4592" s="2"/>
      <c r="Q4592" s="2"/>
      <c r="R4592" s="2"/>
      <c r="AB4592" s="2"/>
    </row>
    <row r="4593" spans="8:28" ht="15" customHeight="1">
      <c r="H4593" s="2"/>
      <c r="I4593" s="2"/>
      <c r="J4593" s="2"/>
      <c r="K4593" s="2"/>
      <c r="L4593" s="2"/>
      <c r="M4593" s="2"/>
      <c r="N4593" s="2"/>
      <c r="P4593" s="2"/>
      <c r="Q4593" s="2"/>
      <c r="R4593" s="2"/>
      <c r="AB4593" s="2"/>
    </row>
    <row r="4594" spans="8:28" ht="15" customHeight="1">
      <c r="H4594" s="2"/>
      <c r="I4594" s="2"/>
      <c r="J4594" s="2"/>
      <c r="K4594" s="2"/>
      <c r="L4594" s="2"/>
      <c r="M4594" s="2"/>
      <c r="N4594" s="2"/>
      <c r="P4594" s="2"/>
      <c r="Q4594" s="2"/>
      <c r="R4594" s="2"/>
      <c r="AB4594" s="2"/>
    </row>
    <row r="4595" spans="8:28" ht="15" customHeight="1">
      <c r="H4595" s="2"/>
      <c r="I4595" s="2"/>
      <c r="J4595" s="2"/>
      <c r="K4595" s="2"/>
      <c r="L4595" s="2"/>
      <c r="M4595" s="2"/>
      <c r="N4595" s="2"/>
      <c r="P4595" s="2"/>
      <c r="Q4595" s="2"/>
      <c r="R4595" s="2"/>
      <c r="AB4595" s="2"/>
    </row>
    <row r="4596" spans="8:28" ht="15" customHeight="1">
      <c r="H4596" s="2"/>
      <c r="I4596" s="2"/>
      <c r="J4596" s="2"/>
      <c r="K4596" s="2"/>
      <c r="L4596" s="2"/>
      <c r="M4596" s="2"/>
      <c r="N4596" s="2"/>
      <c r="P4596" s="2"/>
      <c r="Q4596" s="2"/>
      <c r="R4596" s="2"/>
      <c r="AB4596" s="2"/>
    </row>
    <row r="4597" spans="8:28" ht="15" customHeight="1">
      <c r="H4597" s="2"/>
      <c r="I4597" s="2"/>
      <c r="J4597" s="2"/>
      <c r="K4597" s="2"/>
      <c r="L4597" s="2"/>
      <c r="M4597" s="2"/>
      <c r="N4597" s="2"/>
      <c r="P4597" s="2"/>
      <c r="Q4597" s="2"/>
      <c r="R4597" s="2"/>
      <c r="AB4597" s="2"/>
    </row>
    <row r="4598" spans="8:28" ht="15" customHeight="1">
      <c r="H4598" s="2"/>
      <c r="I4598" s="2"/>
      <c r="J4598" s="2"/>
      <c r="K4598" s="2"/>
      <c r="L4598" s="2"/>
      <c r="M4598" s="2"/>
      <c r="N4598" s="2"/>
      <c r="P4598" s="2"/>
      <c r="Q4598" s="2"/>
      <c r="R4598" s="2"/>
      <c r="AB4598" s="2"/>
    </row>
    <row r="4599" spans="8:28" ht="15" customHeight="1">
      <c r="H4599" s="2"/>
      <c r="I4599" s="2"/>
      <c r="J4599" s="2"/>
      <c r="K4599" s="2"/>
      <c r="L4599" s="2"/>
      <c r="M4599" s="2"/>
      <c r="N4599" s="2"/>
      <c r="P4599" s="2"/>
      <c r="Q4599" s="2"/>
      <c r="R4599" s="2"/>
      <c r="AB4599" s="2"/>
    </row>
    <row r="4600" spans="8:28" ht="15" customHeight="1">
      <c r="H4600" s="2"/>
      <c r="I4600" s="2"/>
      <c r="J4600" s="2"/>
      <c r="K4600" s="2"/>
      <c r="L4600" s="2"/>
      <c r="M4600" s="2"/>
      <c r="N4600" s="2"/>
      <c r="P4600" s="2"/>
      <c r="Q4600" s="2"/>
      <c r="R4600" s="2"/>
      <c r="AB4600" s="2"/>
    </row>
    <row r="4601" spans="8:28" ht="15" customHeight="1">
      <c r="H4601" s="2"/>
      <c r="I4601" s="2"/>
      <c r="J4601" s="2"/>
      <c r="K4601" s="2"/>
      <c r="L4601" s="2"/>
      <c r="M4601" s="2"/>
      <c r="N4601" s="2"/>
      <c r="P4601" s="2"/>
      <c r="Q4601" s="2"/>
      <c r="R4601" s="2"/>
      <c r="AB4601" s="2"/>
    </row>
    <row r="4602" spans="8:28" ht="15" customHeight="1">
      <c r="H4602" s="2"/>
      <c r="I4602" s="2"/>
      <c r="J4602" s="2"/>
      <c r="K4602" s="2"/>
      <c r="L4602" s="2"/>
      <c r="M4602" s="2"/>
      <c r="N4602" s="2"/>
      <c r="P4602" s="2"/>
      <c r="Q4602" s="2"/>
      <c r="R4602" s="2"/>
      <c r="AB4602" s="2"/>
    </row>
    <row r="4603" spans="8:28" ht="15" customHeight="1">
      <c r="H4603" s="2"/>
      <c r="I4603" s="2"/>
      <c r="J4603" s="2"/>
      <c r="K4603" s="2"/>
      <c r="L4603" s="2"/>
      <c r="M4603" s="2"/>
      <c r="N4603" s="2"/>
      <c r="P4603" s="2"/>
      <c r="Q4603" s="2"/>
      <c r="R4603" s="2"/>
      <c r="AB4603" s="2"/>
    </row>
    <row r="4604" spans="8:28" ht="15" customHeight="1">
      <c r="H4604" s="2"/>
      <c r="I4604" s="2"/>
      <c r="J4604" s="2"/>
      <c r="K4604" s="2"/>
      <c r="L4604" s="2"/>
      <c r="M4604" s="2"/>
      <c r="N4604" s="2"/>
      <c r="P4604" s="2"/>
      <c r="Q4604" s="2"/>
      <c r="R4604" s="2"/>
      <c r="AB4604" s="2"/>
    </row>
    <row r="4605" spans="8:28" ht="15" customHeight="1">
      <c r="H4605" s="2"/>
      <c r="I4605" s="2"/>
      <c r="J4605" s="2"/>
      <c r="K4605" s="2"/>
      <c r="L4605" s="2"/>
      <c r="M4605" s="2"/>
      <c r="N4605" s="2"/>
      <c r="P4605" s="2"/>
      <c r="Q4605" s="2"/>
      <c r="R4605" s="2"/>
      <c r="AB4605" s="2"/>
    </row>
    <row r="4606" spans="8:28" ht="15" customHeight="1">
      <c r="H4606" s="2"/>
      <c r="I4606" s="2"/>
      <c r="J4606" s="2"/>
      <c r="K4606" s="2"/>
      <c r="L4606" s="2"/>
      <c r="M4606" s="2"/>
      <c r="N4606" s="2"/>
      <c r="P4606" s="2"/>
      <c r="Q4606" s="2"/>
      <c r="R4606" s="2"/>
      <c r="AB4606" s="2"/>
    </row>
    <row r="4607" spans="8:28" ht="15" customHeight="1">
      <c r="H4607" s="2"/>
      <c r="I4607" s="2"/>
      <c r="J4607" s="2"/>
      <c r="K4607" s="2"/>
      <c r="L4607" s="2"/>
      <c r="M4607" s="2"/>
      <c r="N4607" s="2"/>
      <c r="P4607" s="2"/>
      <c r="Q4607" s="2"/>
      <c r="R4607" s="2"/>
      <c r="AB4607" s="2"/>
    </row>
    <row r="4608" spans="8:28" ht="15" customHeight="1">
      <c r="H4608" s="2"/>
      <c r="I4608" s="2"/>
      <c r="J4608" s="2"/>
      <c r="K4608" s="2"/>
      <c r="L4608" s="2"/>
      <c r="M4608" s="2"/>
      <c r="N4608" s="2"/>
      <c r="P4608" s="2"/>
      <c r="Q4608" s="2"/>
      <c r="R4608" s="2"/>
      <c r="AB4608" s="2"/>
    </row>
    <row r="4609" spans="8:28" ht="15" customHeight="1">
      <c r="H4609" s="2"/>
      <c r="I4609" s="2"/>
      <c r="J4609" s="2"/>
      <c r="K4609" s="2"/>
      <c r="L4609" s="2"/>
      <c r="M4609" s="2"/>
      <c r="N4609" s="2"/>
      <c r="P4609" s="2"/>
      <c r="Q4609" s="2"/>
      <c r="R4609" s="2"/>
      <c r="AB4609" s="2"/>
    </row>
    <row r="4610" spans="8:28" ht="15" customHeight="1">
      <c r="H4610" s="2"/>
      <c r="I4610" s="2"/>
      <c r="J4610" s="2"/>
      <c r="K4610" s="2"/>
      <c r="L4610" s="2"/>
      <c r="M4610" s="2"/>
      <c r="N4610" s="2"/>
      <c r="P4610" s="2"/>
      <c r="Q4610" s="2"/>
      <c r="R4610" s="2"/>
      <c r="AB4610" s="2"/>
    </row>
    <row r="4611" spans="8:28" ht="15" customHeight="1">
      <c r="H4611" s="2"/>
      <c r="I4611" s="2"/>
      <c r="J4611" s="2"/>
      <c r="K4611" s="2"/>
      <c r="L4611" s="2"/>
      <c r="M4611" s="2"/>
      <c r="N4611" s="2"/>
      <c r="P4611" s="2"/>
      <c r="Q4611" s="2"/>
      <c r="R4611" s="2"/>
      <c r="AB4611" s="2"/>
    </row>
    <row r="4612" spans="8:28" ht="15" customHeight="1">
      <c r="H4612" s="2"/>
      <c r="I4612" s="2"/>
      <c r="J4612" s="2"/>
      <c r="K4612" s="2"/>
      <c r="L4612" s="2"/>
      <c r="M4612" s="2"/>
      <c r="N4612" s="2"/>
      <c r="P4612" s="2"/>
      <c r="Q4612" s="2"/>
      <c r="R4612" s="2"/>
      <c r="AB4612" s="2"/>
    </row>
    <row r="4613" spans="8:28" ht="15" customHeight="1">
      <c r="H4613" s="2"/>
      <c r="I4613" s="2"/>
      <c r="J4613" s="2"/>
      <c r="K4613" s="2"/>
      <c r="L4613" s="2"/>
      <c r="M4613" s="2"/>
      <c r="N4613" s="2"/>
      <c r="P4613" s="2"/>
      <c r="Q4613" s="2"/>
      <c r="R4613" s="2"/>
      <c r="AB4613" s="2"/>
    </row>
    <row r="4614" spans="8:28" ht="15" customHeight="1">
      <c r="H4614" s="2"/>
      <c r="I4614" s="2"/>
      <c r="J4614" s="2"/>
      <c r="K4614" s="2"/>
      <c r="L4614" s="2"/>
      <c r="M4614" s="2"/>
      <c r="N4614" s="2"/>
      <c r="P4614" s="2"/>
      <c r="Q4614" s="2"/>
      <c r="R4614" s="2"/>
      <c r="AB4614" s="2"/>
    </row>
    <row r="4615" spans="8:28" ht="15" customHeight="1">
      <c r="H4615" s="2"/>
      <c r="I4615" s="2"/>
      <c r="J4615" s="2"/>
      <c r="K4615" s="2"/>
      <c r="L4615" s="2"/>
      <c r="M4615" s="2"/>
      <c r="N4615" s="2"/>
      <c r="P4615" s="2"/>
      <c r="Q4615" s="2"/>
      <c r="R4615" s="2"/>
      <c r="AB4615" s="2"/>
    </row>
    <row r="4616" spans="8:28" ht="15" customHeight="1">
      <c r="H4616" s="2"/>
      <c r="I4616" s="2"/>
      <c r="J4616" s="2"/>
      <c r="K4616" s="2"/>
      <c r="L4616" s="2"/>
      <c r="M4616" s="2"/>
      <c r="N4616" s="2"/>
      <c r="P4616" s="2"/>
      <c r="Q4616" s="2"/>
      <c r="R4616" s="2"/>
      <c r="AB4616" s="2"/>
    </row>
    <row r="4617" spans="8:28" ht="15" customHeight="1">
      <c r="H4617" s="2"/>
      <c r="I4617" s="2"/>
      <c r="J4617" s="2"/>
      <c r="K4617" s="2"/>
      <c r="L4617" s="2"/>
      <c r="M4617" s="2"/>
      <c r="N4617" s="2"/>
      <c r="P4617" s="2"/>
      <c r="Q4617" s="2"/>
      <c r="R4617" s="2"/>
      <c r="AB4617" s="2"/>
    </row>
    <row r="4618" spans="8:28" ht="15" customHeight="1">
      <c r="H4618" s="2"/>
      <c r="I4618" s="2"/>
      <c r="J4618" s="2"/>
      <c r="K4618" s="2"/>
      <c r="L4618" s="2"/>
      <c r="M4618" s="2"/>
      <c r="N4618" s="2"/>
      <c r="P4618" s="2"/>
      <c r="Q4618" s="2"/>
      <c r="R4618" s="2"/>
      <c r="AB4618" s="2"/>
    </row>
    <row r="4619" spans="8:28" ht="15" customHeight="1">
      <c r="H4619" s="2"/>
      <c r="I4619" s="2"/>
      <c r="J4619" s="2"/>
      <c r="K4619" s="2"/>
      <c r="L4619" s="2"/>
      <c r="M4619" s="2"/>
      <c r="N4619" s="2"/>
      <c r="P4619" s="2"/>
      <c r="Q4619" s="2"/>
      <c r="R4619" s="2"/>
      <c r="AB4619" s="2"/>
    </row>
    <row r="4620" spans="8:28" ht="15" customHeight="1">
      <c r="H4620" s="2"/>
      <c r="I4620" s="2"/>
      <c r="J4620" s="2"/>
      <c r="K4620" s="2"/>
      <c r="L4620" s="2"/>
      <c r="M4620" s="2"/>
      <c r="N4620" s="2"/>
      <c r="P4620" s="2"/>
      <c r="Q4620" s="2"/>
      <c r="R4620" s="2"/>
      <c r="AB4620" s="2"/>
    </row>
    <row r="4621" spans="8:28" ht="15" customHeight="1">
      <c r="H4621" s="2"/>
      <c r="I4621" s="2"/>
      <c r="J4621" s="2"/>
      <c r="K4621" s="2"/>
      <c r="L4621" s="2"/>
      <c r="M4621" s="2"/>
      <c r="N4621" s="2"/>
      <c r="P4621" s="2"/>
      <c r="Q4621" s="2"/>
      <c r="R4621" s="2"/>
      <c r="AB4621" s="2"/>
    </row>
    <row r="4622" spans="8:28" ht="15" customHeight="1">
      <c r="H4622" s="2"/>
      <c r="I4622" s="2"/>
      <c r="J4622" s="2"/>
      <c r="K4622" s="2"/>
      <c r="L4622" s="2"/>
      <c r="M4622" s="2"/>
      <c r="N4622" s="2"/>
      <c r="P4622" s="2"/>
      <c r="Q4622" s="2"/>
      <c r="R4622" s="2"/>
      <c r="AB4622" s="2"/>
    </row>
    <row r="4623" spans="8:28" ht="15" customHeight="1">
      <c r="H4623" s="2"/>
      <c r="I4623" s="2"/>
      <c r="J4623" s="2"/>
      <c r="K4623" s="2"/>
      <c r="L4623" s="2"/>
      <c r="M4623" s="2"/>
      <c r="N4623" s="2"/>
      <c r="P4623" s="2"/>
      <c r="Q4623" s="2"/>
      <c r="R4623" s="2"/>
      <c r="AB4623" s="2"/>
    </row>
    <row r="4624" spans="8:28" ht="15" customHeight="1">
      <c r="H4624" s="2"/>
      <c r="I4624" s="2"/>
      <c r="J4624" s="2"/>
      <c r="K4624" s="2"/>
      <c r="L4624" s="2"/>
      <c r="M4624" s="2"/>
      <c r="N4624" s="2"/>
      <c r="P4624" s="2"/>
      <c r="Q4624" s="2"/>
      <c r="R4624" s="2"/>
      <c r="AB4624" s="2"/>
    </row>
    <row r="4625" spans="8:28" ht="15" customHeight="1">
      <c r="H4625" s="2"/>
      <c r="I4625" s="2"/>
      <c r="J4625" s="2"/>
      <c r="K4625" s="2"/>
      <c r="L4625" s="2"/>
      <c r="M4625" s="2"/>
      <c r="N4625" s="2"/>
      <c r="P4625" s="2"/>
      <c r="Q4625" s="2"/>
      <c r="R4625" s="2"/>
      <c r="AB4625" s="2"/>
    </row>
    <row r="4626" spans="8:28" ht="15" customHeight="1">
      <c r="H4626" s="2"/>
      <c r="I4626" s="2"/>
      <c r="J4626" s="2"/>
      <c r="K4626" s="2"/>
      <c r="L4626" s="2"/>
      <c r="M4626" s="2"/>
      <c r="N4626" s="2"/>
      <c r="P4626" s="2"/>
      <c r="Q4626" s="2"/>
      <c r="R4626" s="2"/>
      <c r="AB4626" s="2"/>
    </row>
    <row r="4627" spans="8:28" ht="15" customHeight="1">
      <c r="H4627" s="2"/>
      <c r="I4627" s="2"/>
      <c r="J4627" s="2"/>
      <c r="K4627" s="2"/>
      <c r="L4627" s="2"/>
      <c r="M4627" s="2"/>
      <c r="N4627" s="2"/>
      <c r="P4627" s="2"/>
      <c r="Q4627" s="2"/>
      <c r="R4627" s="2"/>
      <c r="AB4627" s="2"/>
    </row>
    <row r="4628" spans="8:28" ht="15" customHeight="1">
      <c r="H4628" s="2"/>
      <c r="I4628" s="2"/>
      <c r="J4628" s="2"/>
      <c r="K4628" s="2"/>
      <c r="L4628" s="2"/>
      <c r="M4628" s="2"/>
      <c r="N4628" s="2"/>
      <c r="P4628" s="2"/>
      <c r="Q4628" s="2"/>
      <c r="R4628" s="2"/>
      <c r="AB4628" s="2"/>
    </row>
    <row r="4629" spans="8:28" ht="15" customHeight="1">
      <c r="H4629" s="2"/>
      <c r="I4629" s="2"/>
      <c r="J4629" s="2"/>
      <c r="K4629" s="2"/>
      <c r="L4629" s="2"/>
      <c r="M4629" s="2"/>
      <c r="N4629" s="2"/>
      <c r="P4629" s="2"/>
      <c r="Q4629" s="2"/>
      <c r="R4629" s="2"/>
      <c r="AB4629" s="2"/>
    </row>
    <row r="4630" spans="8:28" ht="15" customHeight="1">
      <c r="H4630" s="2"/>
      <c r="I4630" s="2"/>
      <c r="J4630" s="2"/>
      <c r="K4630" s="2"/>
      <c r="L4630" s="2"/>
      <c r="M4630" s="2"/>
      <c r="N4630" s="2"/>
      <c r="P4630" s="2"/>
      <c r="Q4630" s="2"/>
      <c r="R4630" s="2"/>
      <c r="AB4630" s="2"/>
    </row>
    <row r="4631" spans="8:28" ht="15" customHeight="1">
      <c r="H4631" s="2"/>
      <c r="I4631" s="2"/>
      <c r="J4631" s="2"/>
      <c r="K4631" s="2"/>
      <c r="L4631" s="2"/>
      <c r="M4631" s="2"/>
      <c r="N4631" s="2"/>
      <c r="P4631" s="2"/>
      <c r="Q4631" s="2"/>
      <c r="R4631" s="2"/>
      <c r="AB4631" s="2"/>
    </row>
    <row r="4632" spans="8:28" ht="15" customHeight="1">
      <c r="H4632" s="2"/>
      <c r="I4632" s="2"/>
      <c r="J4632" s="2"/>
      <c r="K4632" s="2"/>
      <c r="L4632" s="2"/>
      <c r="M4632" s="2"/>
      <c r="N4632" s="2"/>
      <c r="P4632" s="2"/>
      <c r="Q4632" s="2"/>
      <c r="R4632" s="2"/>
      <c r="AB4632" s="2"/>
    </row>
    <row r="4633" spans="8:28" ht="15" customHeight="1">
      <c r="H4633" s="2"/>
      <c r="I4633" s="2"/>
      <c r="J4633" s="2"/>
      <c r="K4633" s="2"/>
      <c r="L4633" s="2"/>
      <c r="M4633" s="2"/>
      <c r="N4633" s="2"/>
      <c r="P4633" s="2"/>
      <c r="Q4633" s="2"/>
      <c r="R4633" s="2"/>
      <c r="AB4633" s="2"/>
    </row>
    <row r="4634" spans="8:28" ht="15" customHeight="1">
      <c r="H4634" s="2"/>
      <c r="I4634" s="2"/>
      <c r="J4634" s="2"/>
      <c r="K4634" s="2"/>
      <c r="L4634" s="2"/>
      <c r="M4634" s="2"/>
      <c r="N4634" s="2"/>
      <c r="P4634" s="2"/>
      <c r="Q4634" s="2"/>
      <c r="R4634" s="2"/>
      <c r="AB4634" s="2"/>
    </row>
    <row r="4635" spans="8:28" ht="15" customHeight="1">
      <c r="H4635" s="2"/>
      <c r="I4635" s="2"/>
      <c r="J4635" s="2"/>
      <c r="K4635" s="2"/>
      <c r="L4635" s="2"/>
      <c r="M4635" s="2"/>
      <c r="N4635" s="2"/>
      <c r="P4635" s="2"/>
      <c r="Q4635" s="2"/>
      <c r="R4635" s="2"/>
      <c r="AB4635" s="2"/>
    </row>
    <row r="4636" spans="8:28" ht="15" customHeight="1">
      <c r="H4636" s="2"/>
      <c r="I4636" s="2"/>
      <c r="J4636" s="2"/>
      <c r="K4636" s="2"/>
      <c r="L4636" s="2"/>
      <c r="M4636" s="2"/>
      <c r="N4636" s="2"/>
      <c r="P4636" s="2"/>
      <c r="Q4636" s="2"/>
      <c r="R4636" s="2"/>
      <c r="AB4636" s="2"/>
    </row>
    <row r="4637" spans="8:28" ht="15" customHeight="1">
      <c r="H4637" s="2"/>
      <c r="I4637" s="2"/>
      <c r="J4637" s="2"/>
      <c r="K4637" s="2"/>
      <c r="L4637" s="2"/>
      <c r="M4637" s="2"/>
      <c r="N4637" s="2"/>
      <c r="P4637" s="2"/>
      <c r="Q4637" s="2"/>
      <c r="R4637" s="2"/>
      <c r="AB4637" s="2"/>
    </row>
    <row r="4638" spans="8:28" ht="15" customHeight="1">
      <c r="H4638" s="2"/>
      <c r="I4638" s="2"/>
      <c r="J4638" s="2"/>
      <c r="K4638" s="2"/>
      <c r="L4638" s="2"/>
      <c r="M4638" s="2"/>
      <c r="N4638" s="2"/>
      <c r="P4638" s="2"/>
      <c r="Q4638" s="2"/>
      <c r="R4638" s="2"/>
      <c r="AB4638" s="2"/>
    </row>
    <row r="4639" spans="8:28" ht="15" customHeight="1">
      <c r="H4639" s="2"/>
      <c r="I4639" s="2"/>
      <c r="J4639" s="2"/>
      <c r="K4639" s="2"/>
      <c r="L4639" s="2"/>
      <c r="M4639" s="2"/>
      <c r="N4639" s="2"/>
      <c r="P4639" s="2"/>
      <c r="Q4639" s="2"/>
      <c r="R4639" s="2"/>
      <c r="AB4639" s="2"/>
    </row>
    <row r="4640" spans="8:28" ht="15" customHeight="1">
      <c r="H4640" s="2"/>
      <c r="I4640" s="2"/>
      <c r="J4640" s="2"/>
      <c r="K4640" s="2"/>
      <c r="L4640" s="2"/>
      <c r="M4640" s="2"/>
      <c r="N4640" s="2"/>
      <c r="P4640" s="2"/>
      <c r="Q4640" s="2"/>
      <c r="R4640" s="2"/>
      <c r="AB4640" s="2"/>
    </row>
    <row r="4641" spans="8:28" ht="15" customHeight="1">
      <c r="H4641" s="2"/>
      <c r="I4641" s="2"/>
      <c r="J4641" s="2"/>
      <c r="K4641" s="2"/>
      <c r="L4641" s="2"/>
      <c r="M4641" s="2"/>
      <c r="N4641" s="2"/>
      <c r="P4641" s="2"/>
      <c r="Q4641" s="2"/>
      <c r="R4641" s="2"/>
      <c r="AB4641" s="2"/>
    </row>
    <row r="4642" spans="8:28" ht="15" customHeight="1">
      <c r="H4642" s="2"/>
      <c r="I4642" s="2"/>
      <c r="J4642" s="2"/>
      <c r="K4642" s="2"/>
      <c r="L4642" s="2"/>
      <c r="M4642" s="2"/>
      <c r="N4642" s="2"/>
      <c r="P4642" s="2"/>
      <c r="Q4642" s="2"/>
      <c r="R4642" s="2"/>
      <c r="AB4642" s="2"/>
    </row>
    <row r="4643" spans="8:28" ht="15" customHeight="1">
      <c r="H4643" s="2"/>
      <c r="I4643" s="2"/>
      <c r="J4643" s="2"/>
      <c r="K4643" s="2"/>
      <c r="L4643" s="2"/>
      <c r="M4643" s="2"/>
      <c r="N4643" s="2"/>
      <c r="P4643" s="2"/>
      <c r="Q4643" s="2"/>
      <c r="R4643" s="2"/>
      <c r="AB4643" s="2"/>
    </row>
    <row r="4644" spans="8:28" ht="15" customHeight="1">
      <c r="H4644" s="2"/>
      <c r="I4644" s="2"/>
      <c r="J4644" s="2"/>
      <c r="K4644" s="2"/>
      <c r="L4644" s="2"/>
      <c r="M4644" s="2"/>
      <c r="N4644" s="2"/>
      <c r="P4644" s="2"/>
      <c r="Q4644" s="2"/>
      <c r="R4644" s="2"/>
      <c r="AB4644" s="2"/>
    </row>
    <row r="4645" spans="8:28" ht="15" customHeight="1">
      <c r="H4645" s="2"/>
      <c r="I4645" s="2"/>
      <c r="J4645" s="2"/>
      <c r="K4645" s="2"/>
      <c r="L4645" s="2"/>
      <c r="M4645" s="2"/>
      <c r="N4645" s="2"/>
      <c r="P4645" s="2"/>
      <c r="Q4645" s="2"/>
      <c r="R4645" s="2"/>
      <c r="AB4645" s="2"/>
    </row>
    <row r="4646" spans="8:28" ht="15" customHeight="1">
      <c r="H4646" s="2"/>
      <c r="I4646" s="2"/>
      <c r="J4646" s="2"/>
      <c r="K4646" s="2"/>
      <c r="L4646" s="2"/>
      <c r="M4646" s="2"/>
      <c r="N4646" s="2"/>
      <c r="P4646" s="2"/>
      <c r="Q4646" s="2"/>
      <c r="R4646" s="2"/>
      <c r="AB4646" s="2"/>
    </row>
    <row r="4647" spans="8:28" ht="15" customHeight="1">
      <c r="H4647" s="2"/>
      <c r="I4647" s="2"/>
      <c r="J4647" s="2"/>
      <c r="K4647" s="2"/>
      <c r="L4647" s="2"/>
      <c r="M4647" s="2"/>
      <c r="N4647" s="2"/>
      <c r="P4647" s="2"/>
      <c r="Q4647" s="2"/>
      <c r="R4647" s="2"/>
      <c r="AB4647" s="2"/>
    </row>
    <row r="4648" spans="8:28" ht="15" customHeight="1">
      <c r="H4648" s="2"/>
      <c r="I4648" s="2"/>
      <c r="J4648" s="2"/>
      <c r="K4648" s="2"/>
      <c r="L4648" s="2"/>
      <c r="M4648" s="2"/>
      <c r="N4648" s="2"/>
      <c r="P4648" s="2"/>
      <c r="Q4648" s="2"/>
      <c r="R4648" s="2"/>
      <c r="AB4648" s="2"/>
    </row>
    <row r="4649" spans="8:28" ht="15" customHeight="1">
      <c r="H4649" s="2"/>
      <c r="I4649" s="2"/>
      <c r="J4649" s="2"/>
      <c r="K4649" s="2"/>
      <c r="L4649" s="2"/>
      <c r="M4649" s="2"/>
      <c r="N4649" s="2"/>
      <c r="P4649" s="2"/>
      <c r="Q4649" s="2"/>
      <c r="R4649" s="2"/>
      <c r="AB4649" s="2"/>
    </row>
    <row r="4650" spans="8:28" ht="15" customHeight="1">
      <c r="H4650" s="2"/>
      <c r="I4650" s="2"/>
      <c r="J4650" s="2"/>
      <c r="K4650" s="2"/>
      <c r="L4650" s="2"/>
      <c r="M4650" s="2"/>
      <c r="N4650" s="2"/>
      <c r="P4650" s="2"/>
      <c r="Q4650" s="2"/>
      <c r="R4650" s="2"/>
      <c r="AB4650" s="2"/>
    </row>
    <row r="4651" spans="8:28" ht="15" customHeight="1">
      <c r="H4651" s="2"/>
      <c r="I4651" s="2"/>
      <c r="J4651" s="2"/>
      <c r="K4651" s="2"/>
      <c r="L4651" s="2"/>
      <c r="M4651" s="2"/>
      <c r="N4651" s="2"/>
      <c r="P4651" s="2"/>
      <c r="Q4651" s="2"/>
      <c r="R4651" s="2"/>
      <c r="AB4651" s="2"/>
    </row>
    <row r="4652" spans="8:28" ht="15" customHeight="1">
      <c r="H4652" s="2"/>
      <c r="I4652" s="2"/>
      <c r="J4652" s="2"/>
      <c r="K4652" s="2"/>
      <c r="L4652" s="2"/>
      <c r="M4652" s="2"/>
      <c r="N4652" s="2"/>
      <c r="P4652" s="2"/>
      <c r="Q4652" s="2"/>
      <c r="R4652" s="2"/>
      <c r="AB4652" s="2"/>
    </row>
    <row r="4653" spans="8:28" ht="15" customHeight="1">
      <c r="H4653" s="2"/>
      <c r="I4653" s="2"/>
      <c r="J4653" s="2"/>
      <c r="K4653" s="2"/>
      <c r="L4653" s="2"/>
      <c r="M4653" s="2"/>
      <c r="N4653" s="2"/>
      <c r="P4653" s="2"/>
      <c r="Q4653" s="2"/>
      <c r="R4653" s="2"/>
      <c r="AB4653" s="2"/>
    </row>
    <row r="4654" spans="8:28" ht="15" customHeight="1">
      <c r="H4654" s="2"/>
      <c r="I4654" s="2"/>
      <c r="J4654" s="2"/>
      <c r="K4654" s="2"/>
      <c r="L4654" s="2"/>
      <c r="M4654" s="2"/>
      <c r="N4654" s="2"/>
      <c r="P4654" s="2"/>
      <c r="Q4654" s="2"/>
      <c r="R4654" s="2"/>
      <c r="AB4654" s="2"/>
    </row>
    <row r="4655" spans="8:28" ht="15" customHeight="1">
      <c r="H4655" s="2"/>
      <c r="I4655" s="2"/>
      <c r="J4655" s="2"/>
      <c r="K4655" s="2"/>
      <c r="L4655" s="2"/>
      <c r="M4655" s="2"/>
      <c r="N4655" s="2"/>
      <c r="P4655" s="2"/>
      <c r="Q4655" s="2"/>
      <c r="R4655" s="2"/>
      <c r="AB4655" s="2"/>
    </row>
    <row r="4656" spans="8:28" ht="15" customHeight="1">
      <c r="H4656" s="2"/>
      <c r="I4656" s="2"/>
      <c r="J4656" s="2"/>
      <c r="K4656" s="2"/>
      <c r="L4656" s="2"/>
      <c r="M4656" s="2"/>
      <c r="N4656" s="2"/>
      <c r="P4656" s="2"/>
      <c r="Q4656" s="2"/>
      <c r="R4656" s="2"/>
      <c r="AB4656" s="2"/>
    </row>
    <row r="4657" spans="8:28" ht="15" customHeight="1">
      <c r="H4657" s="2"/>
      <c r="I4657" s="2"/>
      <c r="J4657" s="2"/>
      <c r="K4657" s="2"/>
      <c r="L4657" s="2"/>
      <c r="M4657" s="2"/>
      <c r="N4657" s="2"/>
      <c r="P4657" s="2"/>
      <c r="Q4657" s="2"/>
      <c r="R4657" s="2"/>
      <c r="AB4657" s="2"/>
    </row>
    <row r="4658" spans="8:28" ht="15" customHeight="1">
      <c r="H4658" s="2"/>
      <c r="I4658" s="2"/>
      <c r="J4658" s="2"/>
      <c r="K4658" s="2"/>
      <c r="L4658" s="2"/>
      <c r="M4658" s="2"/>
      <c r="N4658" s="2"/>
      <c r="P4658" s="2"/>
      <c r="Q4658" s="2"/>
      <c r="R4658" s="2"/>
      <c r="AB4658" s="2"/>
    </row>
    <row r="4659" spans="8:28" ht="15" customHeight="1">
      <c r="H4659" s="2"/>
      <c r="I4659" s="2"/>
      <c r="J4659" s="2"/>
      <c r="K4659" s="2"/>
      <c r="L4659" s="2"/>
      <c r="M4659" s="2"/>
      <c r="N4659" s="2"/>
      <c r="P4659" s="2"/>
      <c r="Q4659" s="2"/>
      <c r="R4659" s="2"/>
      <c r="AB4659" s="2"/>
    </row>
    <row r="4660" spans="8:28" ht="15" customHeight="1">
      <c r="H4660" s="2"/>
      <c r="I4660" s="2"/>
      <c r="J4660" s="2"/>
      <c r="K4660" s="2"/>
      <c r="L4660" s="2"/>
      <c r="M4660" s="2"/>
      <c r="N4660" s="2"/>
      <c r="P4660" s="2"/>
      <c r="Q4660" s="2"/>
      <c r="R4660" s="2"/>
      <c r="AB4660" s="2"/>
    </row>
    <row r="4661" spans="8:28" ht="15" customHeight="1">
      <c r="H4661" s="2"/>
      <c r="I4661" s="2"/>
      <c r="J4661" s="2"/>
      <c r="K4661" s="2"/>
      <c r="L4661" s="2"/>
      <c r="M4661" s="2"/>
      <c r="N4661" s="2"/>
      <c r="P4661" s="2"/>
      <c r="Q4661" s="2"/>
      <c r="R4661" s="2"/>
      <c r="AB4661" s="2"/>
    </row>
    <row r="4662" spans="8:28" ht="15" customHeight="1">
      <c r="H4662" s="2"/>
      <c r="I4662" s="2"/>
      <c r="J4662" s="2"/>
      <c r="K4662" s="2"/>
      <c r="L4662" s="2"/>
      <c r="M4662" s="2"/>
      <c r="N4662" s="2"/>
      <c r="P4662" s="2"/>
      <c r="Q4662" s="2"/>
      <c r="R4662" s="2"/>
      <c r="AB4662" s="2"/>
    </row>
    <row r="4663" spans="8:28" ht="15" customHeight="1">
      <c r="H4663" s="2"/>
      <c r="I4663" s="2"/>
      <c r="J4663" s="2"/>
      <c r="K4663" s="2"/>
      <c r="L4663" s="2"/>
      <c r="M4663" s="2"/>
      <c r="N4663" s="2"/>
      <c r="P4663" s="2"/>
      <c r="Q4663" s="2"/>
      <c r="R4663" s="2"/>
      <c r="AB4663" s="2"/>
    </row>
    <row r="4664" spans="8:28" ht="15" customHeight="1">
      <c r="H4664" s="2"/>
      <c r="I4664" s="2"/>
      <c r="J4664" s="2"/>
      <c r="K4664" s="2"/>
      <c r="L4664" s="2"/>
      <c r="M4664" s="2"/>
      <c r="N4664" s="2"/>
      <c r="P4664" s="2"/>
      <c r="Q4664" s="2"/>
      <c r="R4664" s="2"/>
      <c r="AB4664" s="2"/>
    </row>
    <row r="4665" spans="8:28" ht="15" customHeight="1">
      <c r="H4665" s="2"/>
      <c r="I4665" s="2"/>
      <c r="J4665" s="2"/>
      <c r="K4665" s="2"/>
      <c r="L4665" s="2"/>
      <c r="M4665" s="2"/>
      <c r="N4665" s="2"/>
      <c r="P4665" s="2"/>
      <c r="Q4665" s="2"/>
      <c r="R4665" s="2"/>
      <c r="AB4665" s="2"/>
    </row>
    <row r="4666" spans="8:28" ht="15" customHeight="1">
      <c r="H4666" s="2"/>
      <c r="I4666" s="2"/>
      <c r="J4666" s="2"/>
      <c r="K4666" s="2"/>
      <c r="L4666" s="2"/>
      <c r="M4666" s="2"/>
      <c r="N4666" s="2"/>
      <c r="P4666" s="2"/>
      <c r="Q4666" s="2"/>
      <c r="R4666" s="2"/>
      <c r="AB4666" s="2"/>
    </row>
    <row r="4667" spans="8:28" ht="15" customHeight="1">
      <c r="H4667" s="2"/>
      <c r="I4667" s="2"/>
      <c r="J4667" s="2"/>
      <c r="K4667" s="2"/>
      <c r="L4667" s="2"/>
      <c r="M4667" s="2"/>
      <c r="N4667" s="2"/>
      <c r="P4667" s="2"/>
      <c r="Q4667" s="2"/>
      <c r="R4667" s="2"/>
      <c r="AB4667" s="2"/>
    </row>
    <row r="4668" spans="8:28" ht="15" customHeight="1">
      <c r="H4668" s="2"/>
      <c r="I4668" s="2"/>
      <c r="J4668" s="2"/>
      <c r="K4668" s="2"/>
      <c r="L4668" s="2"/>
      <c r="M4668" s="2"/>
      <c r="N4668" s="2"/>
      <c r="P4668" s="2"/>
      <c r="Q4668" s="2"/>
      <c r="R4668" s="2"/>
      <c r="AB4668" s="2"/>
    </row>
    <row r="4669" spans="8:28" ht="15" customHeight="1">
      <c r="H4669" s="2"/>
      <c r="I4669" s="2"/>
      <c r="J4669" s="2"/>
      <c r="K4669" s="2"/>
      <c r="L4669" s="2"/>
      <c r="M4669" s="2"/>
      <c r="N4669" s="2"/>
      <c r="P4669" s="2"/>
      <c r="Q4669" s="2"/>
      <c r="R4669" s="2"/>
      <c r="AB4669" s="2"/>
    </row>
    <row r="4670" spans="8:28" ht="15" customHeight="1">
      <c r="H4670" s="2"/>
      <c r="I4670" s="2"/>
      <c r="J4670" s="2"/>
      <c r="K4670" s="2"/>
      <c r="L4670" s="2"/>
      <c r="M4670" s="2"/>
      <c r="N4670" s="2"/>
      <c r="P4670" s="2"/>
      <c r="Q4670" s="2"/>
      <c r="R4670" s="2"/>
      <c r="AB4670" s="2"/>
    </row>
    <row r="4671" spans="8:28" ht="15" customHeight="1">
      <c r="H4671" s="2"/>
      <c r="I4671" s="2"/>
      <c r="J4671" s="2"/>
      <c r="K4671" s="2"/>
      <c r="L4671" s="2"/>
      <c r="M4671" s="2"/>
      <c r="N4671" s="2"/>
      <c r="P4671" s="2"/>
      <c r="Q4671" s="2"/>
      <c r="R4671" s="2"/>
      <c r="AB4671" s="2"/>
    </row>
    <row r="4672" spans="8:28" ht="15" customHeight="1">
      <c r="H4672" s="2"/>
      <c r="I4672" s="2"/>
      <c r="J4672" s="2"/>
      <c r="K4672" s="2"/>
      <c r="L4672" s="2"/>
      <c r="M4672" s="2"/>
      <c r="N4672" s="2"/>
      <c r="P4672" s="2"/>
      <c r="Q4672" s="2"/>
      <c r="R4672" s="2"/>
      <c r="AB4672" s="2"/>
    </row>
    <row r="4673" spans="8:28" ht="15" customHeight="1">
      <c r="H4673" s="2"/>
      <c r="I4673" s="2"/>
      <c r="J4673" s="2"/>
      <c r="K4673" s="2"/>
      <c r="L4673" s="2"/>
      <c r="M4673" s="2"/>
      <c r="N4673" s="2"/>
      <c r="P4673" s="2"/>
      <c r="Q4673" s="2"/>
      <c r="R4673" s="2"/>
      <c r="AB4673" s="2"/>
    </row>
    <row r="4674" spans="8:28" ht="15" customHeight="1">
      <c r="H4674" s="2"/>
      <c r="I4674" s="2"/>
      <c r="J4674" s="2"/>
      <c r="K4674" s="2"/>
      <c r="L4674" s="2"/>
      <c r="M4674" s="2"/>
      <c r="N4674" s="2"/>
      <c r="P4674" s="2"/>
      <c r="Q4674" s="2"/>
      <c r="R4674" s="2"/>
      <c r="AB4674" s="2"/>
    </row>
    <row r="4675" spans="8:28" ht="15" customHeight="1">
      <c r="H4675" s="2"/>
      <c r="I4675" s="2"/>
      <c r="J4675" s="2"/>
      <c r="K4675" s="2"/>
      <c r="L4675" s="2"/>
      <c r="M4675" s="2"/>
      <c r="N4675" s="2"/>
      <c r="P4675" s="2"/>
      <c r="Q4675" s="2"/>
      <c r="R4675" s="2"/>
      <c r="AB4675" s="2"/>
    </row>
    <row r="4676" spans="8:28" ht="15" customHeight="1">
      <c r="H4676" s="2"/>
      <c r="I4676" s="2"/>
      <c r="J4676" s="2"/>
      <c r="K4676" s="2"/>
      <c r="L4676" s="2"/>
      <c r="M4676" s="2"/>
      <c r="N4676" s="2"/>
      <c r="P4676" s="2"/>
      <c r="Q4676" s="2"/>
      <c r="R4676" s="2"/>
      <c r="AB4676" s="2"/>
    </row>
    <row r="4677" spans="8:28" ht="15" customHeight="1">
      <c r="H4677" s="2"/>
      <c r="I4677" s="2"/>
      <c r="J4677" s="2"/>
      <c r="K4677" s="2"/>
      <c r="L4677" s="2"/>
      <c r="M4677" s="2"/>
      <c r="N4677" s="2"/>
      <c r="P4677" s="2"/>
      <c r="Q4677" s="2"/>
      <c r="R4677" s="2"/>
      <c r="AB4677" s="2"/>
    </row>
    <row r="4678" spans="8:28" ht="15" customHeight="1">
      <c r="H4678" s="2"/>
      <c r="I4678" s="2"/>
      <c r="J4678" s="2"/>
      <c r="K4678" s="2"/>
      <c r="L4678" s="2"/>
      <c r="M4678" s="2"/>
      <c r="N4678" s="2"/>
      <c r="P4678" s="2"/>
      <c r="Q4678" s="2"/>
      <c r="R4678" s="2"/>
      <c r="AB4678" s="2"/>
    </row>
    <row r="4679" spans="8:28" ht="15" customHeight="1">
      <c r="H4679" s="2"/>
      <c r="I4679" s="2"/>
      <c r="J4679" s="2"/>
      <c r="K4679" s="2"/>
      <c r="L4679" s="2"/>
      <c r="M4679" s="2"/>
      <c r="N4679" s="2"/>
      <c r="P4679" s="2"/>
      <c r="Q4679" s="2"/>
      <c r="R4679" s="2"/>
      <c r="AB4679" s="2"/>
    </row>
    <row r="4680" spans="8:28" ht="15" customHeight="1">
      <c r="H4680" s="2"/>
      <c r="I4680" s="2"/>
      <c r="J4680" s="2"/>
      <c r="K4680" s="2"/>
      <c r="L4680" s="2"/>
      <c r="M4680" s="2"/>
      <c r="N4680" s="2"/>
      <c r="P4680" s="2"/>
      <c r="Q4680" s="2"/>
      <c r="R4680" s="2"/>
      <c r="AB4680" s="2"/>
    </row>
    <row r="4681" spans="8:28" ht="15" customHeight="1">
      <c r="H4681" s="2"/>
      <c r="I4681" s="2"/>
      <c r="J4681" s="2"/>
      <c r="K4681" s="2"/>
      <c r="L4681" s="2"/>
      <c r="M4681" s="2"/>
      <c r="N4681" s="2"/>
      <c r="P4681" s="2"/>
      <c r="Q4681" s="2"/>
      <c r="R4681" s="2"/>
      <c r="AB4681" s="2"/>
    </row>
    <row r="4682" spans="8:28" ht="15" customHeight="1">
      <c r="H4682" s="2"/>
      <c r="I4682" s="2"/>
      <c r="J4682" s="2"/>
      <c r="K4682" s="2"/>
      <c r="L4682" s="2"/>
      <c r="M4682" s="2"/>
      <c r="N4682" s="2"/>
      <c r="P4682" s="2"/>
      <c r="Q4682" s="2"/>
      <c r="R4682" s="2"/>
      <c r="AB4682" s="2"/>
    </row>
    <row r="4683" spans="8:28" ht="15" customHeight="1">
      <c r="H4683" s="2"/>
      <c r="I4683" s="2"/>
      <c r="J4683" s="2"/>
      <c r="K4683" s="2"/>
      <c r="L4683" s="2"/>
      <c r="M4683" s="2"/>
      <c r="N4683" s="2"/>
      <c r="P4683" s="2"/>
      <c r="Q4683" s="2"/>
      <c r="R4683" s="2"/>
      <c r="AB4683" s="2"/>
    </row>
    <row r="4684" spans="8:28" ht="15" customHeight="1">
      <c r="H4684" s="2"/>
      <c r="I4684" s="2"/>
      <c r="J4684" s="2"/>
      <c r="K4684" s="2"/>
      <c r="L4684" s="2"/>
      <c r="M4684" s="2"/>
      <c r="N4684" s="2"/>
      <c r="P4684" s="2"/>
      <c r="Q4684" s="2"/>
      <c r="R4684" s="2"/>
      <c r="AB4684" s="2"/>
    </row>
    <row r="4685" spans="8:28" ht="15" customHeight="1">
      <c r="H4685" s="2"/>
      <c r="I4685" s="2"/>
      <c r="J4685" s="2"/>
      <c r="K4685" s="2"/>
      <c r="L4685" s="2"/>
      <c r="M4685" s="2"/>
      <c r="N4685" s="2"/>
      <c r="P4685" s="2"/>
      <c r="Q4685" s="2"/>
      <c r="R4685" s="2"/>
      <c r="AB4685" s="2"/>
    </row>
    <row r="4686" spans="8:28" ht="15" customHeight="1">
      <c r="H4686" s="2"/>
      <c r="I4686" s="2"/>
      <c r="J4686" s="2"/>
      <c r="K4686" s="2"/>
      <c r="L4686" s="2"/>
      <c r="M4686" s="2"/>
      <c r="N4686" s="2"/>
      <c r="P4686" s="2"/>
      <c r="Q4686" s="2"/>
      <c r="R4686" s="2"/>
      <c r="AB4686" s="2"/>
    </row>
    <row r="4687" spans="8:28" ht="15" customHeight="1">
      <c r="H4687" s="2"/>
      <c r="I4687" s="2"/>
      <c r="J4687" s="2"/>
      <c r="K4687" s="2"/>
      <c r="L4687" s="2"/>
      <c r="M4687" s="2"/>
      <c r="N4687" s="2"/>
      <c r="P4687" s="2"/>
      <c r="Q4687" s="2"/>
      <c r="R4687" s="2"/>
      <c r="AB4687" s="2"/>
    </row>
    <row r="4688" spans="8:28" ht="15" customHeight="1">
      <c r="H4688" s="2"/>
      <c r="I4688" s="2"/>
      <c r="J4688" s="2"/>
      <c r="K4688" s="2"/>
      <c r="L4688" s="2"/>
      <c r="M4688" s="2"/>
      <c r="N4688" s="2"/>
      <c r="P4688" s="2"/>
      <c r="Q4688" s="2"/>
      <c r="R4688" s="2"/>
      <c r="AB4688" s="2"/>
    </row>
    <row r="4689" spans="8:28" ht="15" customHeight="1">
      <c r="H4689" s="2"/>
      <c r="I4689" s="2"/>
      <c r="J4689" s="2"/>
      <c r="K4689" s="2"/>
      <c r="L4689" s="2"/>
      <c r="M4689" s="2"/>
      <c r="N4689" s="2"/>
      <c r="P4689" s="2"/>
      <c r="Q4689" s="2"/>
      <c r="R4689" s="2"/>
      <c r="AB4689" s="2"/>
    </row>
    <row r="4690" spans="8:28" ht="15" customHeight="1">
      <c r="H4690" s="2"/>
      <c r="I4690" s="2"/>
      <c r="J4690" s="2"/>
      <c r="K4690" s="2"/>
      <c r="L4690" s="2"/>
      <c r="M4690" s="2"/>
      <c r="N4690" s="2"/>
      <c r="P4690" s="2"/>
      <c r="Q4690" s="2"/>
      <c r="R4690" s="2"/>
      <c r="AB4690" s="2"/>
    </row>
    <row r="4691" spans="8:28" ht="15" customHeight="1">
      <c r="H4691" s="2"/>
      <c r="I4691" s="2"/>
      <c r="J4691" s="2"/>
      <c r="K4691" s="2"/>
      <c r="L4691" s="2"/>
      <c r="M4691" s="2"/>
      <c r="N4691" s="2"/>
      <c r="P4691" s="2"/>
      <c r="Q4691" s="2"/>
      <c r="R4691" s="2"/>
      <c r="AB4691" s="2"/>
    </row>
    <row r="4692" spans="8:28" ht="15" customHeight="1">
      <c r="H4692" s="2"/>
      <c r="I4692" s="2"/>
      <c r="J4692" s="2"/>
      <c r="K4692" s="2"/>
      <c r="L4692" s="2"/>
      <c r="M4692" s="2"/>
      <c r="N4692" s="2"/>
      <c r="P4692" s="2"/>
      <c r="Q4692" s="2"/>
      <c r="R4692" s="2"/>
      <c r="AB4692" s="2"/>
    </row>
    <row r="4693" spans="8:28" ht="15" customHeight="1">
      <c r="H4693" s="2"/>
      <c r="I4693" s="2"/>
      <c r="J4693" s="2"/>
      <c r="K4693" s="2"/>
      <c r="L4693" s="2"/>
      <c r="M4693" s="2"/>
      <c r="N4693" s="2"/>
      <c r="P4693" s="2"/>
      <c r="Q4693" s="2"/>
      <c r="R4693" s="2"/>
      <c r="AB4693" s="2"/>
    </row>
    <row r="4694" spans="8:28" ht="15" customHeight="1">
      <c r="H4694" s="2"/>
      <c r="I4694" s="2"/>
      <c r="J4694" s="2"/>
      <c r="K4694" s="2"/>
      <c r="L4694" s="2"/>
      <c r="M4694" s="2"/>
      <c r="N4694" s="2"/>
      <c r="P4694" s="2"/>
      <c r="Q4694" s="2"/>
      <c r="R4694" s="2"/>
      <c r="AB4694" s="2"/>
    </row>
    <row r="4695" spans="8:28" ht="15" customHeight="1">
      <c r="H4695" s="2"/>
      <c r="I4695" s="2"/>
      <c r="J4695" s="2"/>
      <c r="K4695" s="2"/>
      <c r="L4695" s="2"/>
      <c r="M4695" s="2"/>
      <c r="N4695" s="2"/>
      <c r="P4695" s="2"/>
      <c r="Q4695" s="2"/>
      <c r="R4695" s="2"/>
      <c r="AB4695" s="2"/>
    </row>
    <row r="4696" spans="8:28" ht="15" customHeight="1">
      <c r="H4696" s="2"/>
      <c r="I4696" s="2"/>
      <c r="J4696" s="2"/>
      <c r="K4696" s="2"/>
      <c r="L4696" s="2"/>
      <c r="M4696" s="2"/>
      <c r="N4696" s="2"/>
      <c r="P4696" s="2"/>
      <c r="Q4696" s="2"/>
      <c r="R4696" s="2"/>
      <c r="AB4696" s="2"/>
    </row>
    <row r="4697" spans="8:28" ht="15" customHeight="1">
      <c r="H4697" s="2"/>
      <c r="I4697" s="2"/>
      <c r="J4697" s="2"/>
      <c r="K4697" s="2"/>
      <c r="L4697" s="2"/>
      <c r="M4697" s="2"/>
      <c r="N4697" s="2"/>
      <c r="P4697" s="2"/>
      <c r="Q4697" s="2"/>
      <c r="R4697" s="2"/>
      <c r="AB4697" s="2"/>
    </row>
    <row r="4698" spans="8:28" ht="15" customHeight="1">
      <c r="H4698" s="2"/>
      <c r="I4698" s="2"/>
      <c r="J4698" s="2"/>
      <c r="K4698" s="2"/>
      <c r="L4698" s="2"/>
      <c r="M4698" s="2"/>
      <c r="N4698" s="2"/>
      <c r="P4698" s="2"/>
      <c r="Q4698" s="2"/>
      <c r="R4698" s="2"/>
      <c r="AB4698" s="2"/>
    </row>
    <row r="4699" spans="8:28" ht="15" customHeight="1">
      <c r="H4699" s="2"/>
      <c r="I4699" s="2"/>
      <c r="J4699" s="2"/>
      <c r="K4699" s="2"/>
      <c r="L4699" s="2"/>
      <c r="M4699" s="2"/>
      <c r="N4699" s="2"/>
      <c r="P4699" s="2"/>
      <c r="Q4699" s="2"/>
      <c r="R4699" s="2"/>
      <c r="AB4699" s="2"/>
    </row>
    <row r="4700" spans="8:28" ht="15" customHeight="1">
      <c r="H4700" s="2"/>
      <c r="I4700" s="2"/>
      <c r="J4700" s="2"/>
      <c r="K4700" s="2"/>
      <c r="L4700" s="2"/>
      <c r="M4700" s="2"/>
      <c r="N4700" s="2"/>
      <c r="P4700" s="2"/>
      <c r="Q4700" s="2"/>
      <c r="R4700" s="2"/>
      <c r="AB4700" s="2"/>
    </row>
    <row r="4701" spans="8:28" ht="15" customHeight="1">
      <c r="H4701" s="2"/>
      <c r="I4701" s="2"/>
      <c r="J4701" s="2"/>
      <c r="K4701" s="2"/>
      <c r="L4701" s="2"/>
      <c r="M4701" s="2"/>
      <c r="N4701" s="2"/>
      <c r="P4701" s="2"/>
      <c r="Q4701" s="2"/>
      <c r="R4701" s="2"/>
      <c r="AB4701" s="2"/>
    </row>
    <row r="4702" spans="8:28" ht="15" customHeight="1">
      <c r="H4702" s="2"/>
      <c r="I4702" s="2"/>
      <c r="J4702" s="2"/>
      <c r="K4702" s="2"/>
      <c r="L4702" s="2"/>
      <c r="M4702" s="2"/>
      <c r="N4702" s="2"/>
      <c r="P4702" s="2"/>
      <c r="Q4702" s="2"/>
      <c r="R4702" s="2"/>
      <c r="AB4702" s="2"/>
    </row>
    <row r="4703" spans="8:28" ht="15" customHeight="1">
      <c r="H4703" s="2"/>
      <c r="I4703" s="2"/>
      <c r="J4703" s="2"/>
      <c r="K4703" s="2"/>
      <c r="L4703" s="2"/>
      <c r="M4703" s="2"/>
      <c r="N4703" s="2"/>
      <c r="P4703" s="2"/>
      <c r="Q4703" s="2"/>
      <c r="R4703" s="2"/>
      <c r="AB4703" s="2"/>
    </row>
    <row r="4704" spans="8:28" ht="15" customHeight="1">
      <c r="H4704" s="2"/>
      <c r="I4704" s="2"/>
      <c r="J4704" s="2"/>
      <c r="K4704" s="2"/>
      <c r="L4704" s="2"/>
      <c r="M4704" s="2"/>
      <c r="N4704" s="2"/>
      <c r="P4704" s="2"/>
      <c r="Q4704" s="2"/>
      <c r="R4704" s="2"/>
      <c r="AB4704" s="2"/>
    </row>
    <row r="4705" spans="8:28" ht="15" customHeight="1">
      <c r="H4705" s="2"/>
      <c r="I4705" s="2"/>
      <c r="J4705" s="2"/>
      <c r="K4705" s="2"/>
      <c r="L4705" s="2"/>
      <c r="M4705" s="2"/>
      <c r="N4705" s="2"/>
      <c r="P4705" s="2"/>
      <c r="Q4705" s="2"/>
      <c r="R4705" s="2"/>
      <c r="AB4705" s="2"/>
    </row>
    <row r="4706" spans="8:28" ht="15" customHeight="1">
      <c r="H4706" s="2"/>
      <c r="I4706" s="2"/>
      <c r="J4706" s="2"/>
      <c r="K4706" s="2"/>
      <c r="L4706" s="2"/>
      <c r="M4706" s="2"/>
      <c r="N4706" s="2"/>
      <c r="P4706" s="2"/>
      <c r="Q4706" s="2"/>
      <c r="R4706" s="2"/>
      <c r="AB4706" s="2"/>
    </row>
    <row r="4707" spans="8:28" ht="15" customHeight="1">
      <c r="H4707" s="2"/>
      <c r="I4707" s="2"/>
      <c r="J4707" s="2"/>
      <c r="K4707" s="2"/>
      <c r="L4707" s="2"/>
      <c r="M4707" s="2"/>
      <c r="N4707" s="2"/>
      <c r="P4707" s="2"/>
      <c r="Q4707" s="2"/>
      <c r="R4707" s="2"/>
      <c r="AB4707" s="2"/>
    </row>
    <row r="4708" spans="8:28" ht="15" customHeight="1">
      <c r="H4708" s="2"/>
      <c r="I4708" s="2"/>
      <c r="J4708" s="2"/>
      <c r="K4708" s="2"/>
      <c r="L4708" s="2"/>
      <c r="M4708" s="2"/>
      <c r="N4708" s="2"/>
      <c r="P4708" s="2"/>
      <c r="Q4708" s="2"/>
      <c r="R4708" s="2"/>
      <c r="AB4708" s="2"/>
    </row>
    <row r="4709" spans="8:28" ht="15" customHeight="1">
      <c r="H4709" s="2"/>
      <c r="I4709" s="2"/>
      <c r="J4709" s="2"/>
      <c r="K4709" s="2"/>
      <c r="L4709" s="2"/>
      <c r="M4709" s="2"/>
      <c r="N4709" s="2"/>
      <c r="P4709" s="2"/>
      <c r="Q4709" s="2"/>
      <c r="R4709" s="2"/>
      <c r="AB4709" s="2"/>
    </row>
    <row r="4710" spans="8:28" ht="15" customHeight="1">
      <c r="H4710" s="2"/>
      <c r="I4710" s="2"/>
      <c r="J4710" s="2"/>
      <c r="K4710" s="2"/>
      <c r="L4710" s="2"/>
      <c r="M4710" s="2"/>
      <c r="N4710" s="2"/>
      <c r="P4710" s="2"/>
      <c r="Q4710" s="2"/>
      <c r="R4710" s="2"/>
      <c r="AB4710" s="2"/>
    </row>
    <row r="4711" spans="8:28" ht="15" customHeight="1">
      <c r="H4711" s="2"/>
      <c r="I4711" s="2"/>
      <c r="J4711" s="2"/>
      <c r="K4711" s="2"/>
      <c r="L4711" s="2"/>
      <c r="M4711" s="2"/>
      <c r="N4711" s="2"/>
      <c r="P4711" s="2"/>
      <c r="Q4711" s="2"/>
      <c r="R4711" s="2"/>
      <c r="AB4711" s="2"/>
    </row>
    <row r="4712" spans="8:28" ht="15" customHeight="1">
      <c r="H4712" s="2"/>
      <c r="I4712" s="2"/>
      <c r="J4712" s="2"/>
      <c r="K4712" s="2"/>
      <c r="L4712" s="2"/>
      <c r="M4712" s="2"/>
      <c r="N4712" s="2"/>
      <c r="P4712" s="2"/>
      <c r="Q4712" s="2"/>
      <c r="R4712" s="2"/>
      <c r="AB4712" s="2"/>
    </row>
    <row r="4713" spans="8:28" ht="15" customHeight="1">
      <c r="H4713" s="2"/>
      <c r="I4713" s="2"/>
      <c r="J4713" s="2"/>
      <c r="K4713" s="2"/>
      <c r="L4713" s="2"/>
      <c r="M4713" s="2"/>
      <c r="N4713" s="2"/>
      <c r="P4713" s="2"/>
      <c r="Q4713" s="2"/>
      <c r="R4713" s="2"/>
      <c r="AB4713" s="2"/>
    </row>
    <row r="4714" spans="8:28" ht="15" customHeight="1">
      <c r="H4714" s="2"/>
      <c r="I4714" s="2"/>
      <c r="J4714" s="2"/>
      <c r="K4714" s="2"/>
      <c r="L4714" s="2"/>
      <c r="M4714" s="2"/>
      <c r="N4714" s="2"/>
      <c r="P4714" s="2"/>
      <c r="Q4714" s="2"/>
      <c r="R4714" s="2"/>
      <c r="AB4714" s="2"/>
    </row>
    <row r="4715" spans="8:28" ht="15" customHeight="1">
      <c r="H4715" s="2"/>
      <c r="I4715" s="2"/>
      <c r="J4715" s="2"/>
      <c r="K4715" s="2"/>
      <c r="L4715" s="2"/>
      <c r="M4715" s="2"/>
      <c r="N4715" s="2"/>
      <c r="P4715" s="2"/>
      <c r="Q4715" s="2"/>
      <c r="R4715" s="2"/>
      <c r="AB4715" s="2"/>
    </row>
    <row r="4716" spans="8:28" ht="15" customHeight="1">
      <c r="H4716" s="2"/>
      <c r="I4716" s="2"/>
      <c r="J4716" s="2"/>
      <c r="K4716" s="2"/>
      <c r="L4716" s="2"/>
      <c r="M4716" s="2"/>
      <c r="N4716" s="2"/>
      <c r="P4716" s="2"/>
      <c r="Q4716" s="2"/>
      <c r="R4716" s="2"/>
      <c r="AB4716" s="2"/>
    </row>
    <row r="4717" spans="8:28" ht="15" customHeight="1">
      <c r="H4717" s="2"/>
      <c r="I4717" s="2"/>
      <c r="J4717" s="2"/>
      <c r="K4717" s="2"/>
      <c r="L4717" s="2"/>
      <c r="M4717" s="2"/>
      <c r="N4717" s="2"/>
      <c r="P4717" s="2"/>
      <c r="Q4717" s="2"/>
      <c r="R4717" s="2"/>
      <c r="AB4717" s="2"/>
    </row>
    <row r="4718" spans="8:28" ht="15" customHeight="1">
      <c r="H4718" s="2"/>
      <c r="I4718" s="2"/>
      <c r="J4718" s="2"/>
      <c r="K4718" s="2"/>
      <c r="L4718" s="2"/>
      <c r="M4718" s="2"/>
      <c r="N4718" s="2"/>
      <c r="P4718" s="2"/>
      <c r="Q4718" s="2"/>
      <c r="R4718" s="2"/>
      <c r="AB4718" s="2"/>
    </row>
    <row r="4719" spans="8:28" ht="15" customHeight="1">
      <c r="H4719" s="2"/>
      <c r="I4719" s="2"/>
      <c r="J4719" s="2"/>
      <c r="K4719" s="2"/>
      <c r="L4719" s="2"/>
      <c r="M4719" s="2"/>
      <c r="N4719" s="2"/>
      <c r="P4719" s="2"/>
      <c r="Q4719" s="2"/>
      <c r="R4719" s="2"/>
      <c r="AB4719" s="2"/>
    </row>
    <row r="4720" spans="8:28" ht="15" customHeight="1">
      <c r="H4720" s="2"/>
      <c r="I4720" s="2"/>
      <c r="J4720" s="2"/>
      <c r="K4720" s="2"/>
      <c r="L4720" s="2"/>
      <c r="M4720" s="2"/>
      <c r="N4720" s="2"/>
      <c r="P4720" s="2"/>
      <c r="Q4720" s="2"/>
      <c r="R4720" s="2"/>
      <c r="AB4720" s="2"/>
    </row>
    <row r="4721" spans="8:28" ht="15" customHeight="1">
      <c r="H4721" s="2"/>
      <c r="I4721" s="2"/>
      <c r="J4721" s="2"/>
      <c r="K4721" s="2"/>
      <c r="L4721" s="2"/>
      <c r="M4721" s="2"/>
      <c r="N4721" s="2"/>
      <c r="P4721" s="2"/>
      <c r="Q4721" s="2"/>
      <c r="R4721" s="2"/>
      <c r="AB4721" s="2"/>
    </row>
    <row r="4722" spans="8:28" ht="15" customHeight="1">
      <c r="H4722" s="2"/>
      <c r="I4722" s="2"/>
      <c r="J4722" s="2"/>
      <c r="K4722" s="2"/>
      <c r="L4722" s="2"/>
      <c r="M4722" s="2"/>
      <c r="N4722" s="2"/>
      <c r="P4722" s="2"/>
      <c r="Q4722" s="2"/>
      <c r="R4722" s="2"/>
      <c r="AB4722" s="2"/>
    </row>
    <row r="4723" spans="8:28" ht="15" customHeight="1">
      <c r="H4723" s="2"/>
      <c r="I4723" s="2"/>
      <c r="J4723" s="2"/>
      <c r="K4723" s="2"/>
      <c r="L4723" s="2"/>
      <c r="M4723" s="2"/>
      <c r="N4723" s="2"/>
      <c r="P4723" s="2"/>
      <c r="Q4723" s="2"/>
      <c r="R4723" s="2"/>
      <c r="AB4723" s="2"/>
    </row>
    <row r="4724" spans="8:28" ht="15" customHeight="1">
      <c r="H4724" s="2"/>
      <c r="I4724" s="2"/>
      <c r="J4724" s="2"/>
      <c r="K4724" s="2"/>
      <c r="L4724" s="2"/>
      <c r="M4724" s="2"/>
      <c r="N4724" s="2"/>
      <c r="P4724" s="2"/>
      <c r="Q4724" s="2"/>
      <c r="R4724" s="2"/>
      <c r="AB4724" s="2"/>
    </row>
    <row r="4725" spans="8:28" ht="15" customHeight="1">
      <c r="H4725" s="2"/>
      <c r="I4725" s="2"/>
      <c r="J4725" s="2"/>
      <c r="K4725" s="2"/>
      <c r="L4725" s="2"/>
      <c r="M4725" s="2"/>
      <c r="N4725" s="2"/>
      <c r="P4725" s="2"/>
      <c r="Q4725" s="2"/>
      <c r="R4725" s="2"/>
      <c r="AB4725" s="2"/>
    </row>
    <row r="4726" spans="8:28" ht="15" customHeight="1">
      <c r="H4726" s="2"/>
      <c r="I4726" s="2"/>
      <c r="J4726" s="2"/>
      <c r="K4726" s="2"/>
      <c r="L4726" s="2"/>
      <c r="M4726" s="2"/>
      <c r="N4726" s="2"/>
      <c r="P4726" s="2"/>
      <c r="Q4726" s="2"/>
      <c r="R4726" s="2"/>
      <c r="AB4726" s="2"/>
    </row>
    <row r="4727" spans="8:28" ht="15" customHeight="1">
      <c r="H4727" s="2"/>
      <c r="I4727" s="2"/>
      <c r="J4727" s="2"/>
      <c r="K4727" s="2"/>
      <c r="L4727" s="2"/>
      <c r="M4727" s="2"/>
      <c r="N4727" s="2"/>
      <c r="P4727" s="2"/>
      <c r="Q4727" s="2"/>
      <c r="R4727" s="2"/>
      <c r="AB4727" s="2"/>
    </row>
    <row r="4728" spans="8:28" ht="15" customHeight="1">
      <c r="H4728" s="2"/>
      <c r="I4728" s="2"/>
      <c r="J4728" s="2"/>
      <c r="K4728" s="2"/>
      <c r="L4728" s="2"/>
      <c r="M4728" s="2"/>
      <c r="N4728" s="2"/>
      <c r="P4728" s="2"/>
      <c r="Q4728" s="2"/>
      <c r="R4728" s="2"/>
      <c r="AB4728" s="2"/>
    </row>
    <row r="4729" spans="8:28" ht="15" customHeight="1">
      <c r="H4729" s="2"/>
      <c r="I4729" s="2"/>
      <c r="J4729" s="2"/>
      <c r="K4729" s="2"/>
      <c r="L4729" s="2"/>
      <c r="M4729" s="2"/>
      <c r="N4729" s="2"/>
      <c r="P4729" s="2"/>
      <c r="Q4729" s="2"/>
      <c r="R4729" s="2"/>
      <c r="AB4729" s="2"/>
    </row>
    <row r="4730" spans="8:28" ht="15" customHeight="1">
      <c r="H4730" s="2"/>
      <c r="I4730" s="2"/>
      <c r="J4730" s="2"/>
      <c r="K4730" s="2"/>
      <c r="L4730" s="2"/>
      <c r="M4730" s="2"/>
      <c r="N4730" s="2"/>
      <c r="P4730" s="2"/>
      <c r="Q4730" s="2"/>
      <c r="R4730" s="2"/>
      <c r="AB4730" s="2"/>
    </row>
    <row r="4731" spans="8:28" ht="15" customHeight="1">
      <c r="H4731" s="2"/>
      <c r="I4731" s="2"/>
      <c r="J4731" s="2"/>
      <c r="K4731" s="2"/>
      <c r="L4731" s="2"/>
      <c r="M4731" s="2"/>
      <c r="N4731" s="2"/>
      <c r="P4731" s="2"/>
      <c r="Q4731" s="2"/>
      <c r="R4731" s="2"/>
      <c r="AB4731" s="2"/>
    </row>
    <row r="4732" spans="8:28" ht="15" customHeight="1">
      <c r="H4732" s="2"/>
      <c r="I4732" s="2"/>
      <c r="J4732" s="2"/>
      <c r="K4732" s="2"/>
      <c r="L4732" s="2"/>
      <c r="M4732" s="2"/>
      <c r="N4732" s="2"/>
      <c r="P4732" s="2"/>
      <c r="Q4732" s="2"/>
      <c r="R4732" s="2"/>
      <c r="AB4732" s="2"/>
    </row>
    <row r="4733" spans="8:28" ht="15" customHeight="1">
      <c r="H4733" s="2"/>
      <c r="I4733" s="2"/>
      <c r="J4733" s="2"/>
      <c r="K4733" s="2"/>
      <c r="L4733" s="2"/>
      <c r="M4733" s="2"/>
      <c r="N4733" s="2"/>
      <c r="P4733" s="2"/>
      <c r="Q4733" s="2"/>
      <c r="R4733" s="2"/>
      <c r="AB4733" s="2"/>
    </row>
    <row r="4734" spans="8:28" ht="15" customHeight="1">
      <c r="H4734" s="2"/>
      <c r="I4734" s="2"/>
      <c r="J4734" s="2"/>
      <c r="K4734" s="2"/>
      <c r="L4734" s="2"/>
      <c r="M4734" s="2"/>
      <c r="N4734" s="2"/>
      <c r="P4734" s="2"/>
      <c r="Q4734" s="2"/>
      <c r="R4734" s="2"/>
      <c r="AB4734" s="2"/>
    </row>
    <row r="4735" spans="8:28" ht="15" customHeight="1">
      <c r="H4735" s="2"/>
      <c r="I4735" s="2"/>
      <c r="J4735" s="2"/>
      <c r="K4735" s="2"/>
      <c r="L4735" s="2"/>
      <c r="M4735" s="2"/>
      <c r="N4735" s="2"/>
      <c r="P4735" s="2"/>
      <c r="Q4735" s="2"/>
      <c r="R4735" s="2"/>
      <c r="AB4735" s="2"/>
    </row>
    <row r="4736" spans="8:28" ht="15" customHeight="1">
      <c r="H4736" s="2"/>
      <c r="I4736" s="2"/>
      <c r="J4736" s="2"/>
      <c r="K4736" s="2"/>
      <c r="L4736" s="2"/>
      <c r="M4736" s="2"/>
      <c r="N4736" s="2"/>
      <c r="P4736" s="2"/>
      <c r="Q4736" s="2"/>
      <c r="R4736" s="2"/>
      <c r="AB4736" s="2"/>
    </row>
    <row r="4737" spans="8:28" ht="15" customHeight="1">
      <c r="H4737" s="2"/>
      <c r="I4737" s="2"/>
      <c r="J4737" s="2"/>
      <c r="K4737" s="2"/>
      <c r="L4737" s="2"/>
      <c r="M4737" s="2"/>
      <c r="N4737" s="2"/>
      <c r="P4737" s="2"/>
      <c r="Q4737" s="2"/>
      <c r="R4737" s="2"/>
      <c r="AB4737" s="2"/>
    </row>
    <row r="4738" spans="8:28" ht="15" customHeight="1">
      <c r="H4738" s="2"/>
      <c r="I4738" s="2"/>
      <c r="J4738" s="2"/>
      <c r="K4738" s="2"/>
      <c r="L4738" s="2"/>
      <c r="M4738" s="2"/>
      <c r="N4738" s="2"/>
      <c r="P4738" s="2"/>
      <c r="Q4738" s="2"/>
      <c r="R4738" s="2"/>
      <c r="AB4738" s="2"/>
    </row>
    <row r="4739" spans="8:28" ht="15" customHeight="1">
      <c r="H4739" s="2"/>
      <c r="I4739" s="2"/>
      <c r="J4739" s="2"/>
      <c r="K4739" s="2"/>
      <c r="L4739" s="2"/>
      <c r="M4739" s="2"/>
      <c r="N4739" s="2"/>
      <c r="P4739" s="2"/>
      <c r="Q4739" s="2"/>
      <c r="R4739" s="2"/>
      <c r="AB4739" s="2"/>
    </row>
    <row r="4740" spans="8:28" ht="15" customHeight="1">
      <c r="H4740" s="2"/>
      <c r="I4740" s="2"/>
      <c r="J4740" s="2"/>
      <c r="K4740" s="2"/>
      <c r="L4740" s="2"/>
      <c r="M4740" s="2"/>
      <c r="N4740" s="2"/>
      <c r="P4740" s="2"/>
      <c r="Q4740" s="2"/>
      <c r="R4740" s="2"/>
      <c r="AB4740" s="2"/>
    </row>
    <row r="4741" spans="8:28" ht="15" customHeight="1">
      <c r="H4741" s="2"/>
      <c r="I4741" s="2"/>
      <c r="J4741" s="2"/>
      <c r="K4741" s="2"/>
      <c r="L4741" s="2"/>
      <c r="M4741" s="2"/>
      <c r="N4741" s="2"/>
      <c r="P4741" s="2"/>
      <c r="Q4741" s="2"/>
      <c r="R4741" s="2"/>
      <c r="AB4741" s="2"/>
    </row>
    <row r="4742" spans="8:28" ht="15" customHeight="1">
      <c r="H4742" s="2"/>
      <c r="I4742" s="2"/>
      <c r="J4742" s="2"/>
      <c r="K4742" s="2"/>
      <c r="L4742" s="2"/>
      <c r="M4742" s="2"/>
      <c r="N4742" s="2"/>
      <c r="P4742" s="2"/>
      <c r="Q4742" s="2"/>
      <c r="R4742" s="2"/>
      <c r="AB4742" s="2"/>
    </row>
    <row r="4743" spans="8:28" ht="15" customHeight="1">
      <c r="H4743" s="2"/>
      <c r="I4743" s="2"/>
      <c r="J4743" s="2"/>
      <c r="K4743" s="2"/>
      <c r="L4743" s="2"/>
      <c r="M4743" s="2"/>
      <c r="N4743" s="2"/>
      <c r="P4743" s="2"/>
      <c r="Q4743" s="2"/>
      <c r="R4743" s="2"/>
      <c r="AB4743" s="2"/>
    </row>
    <row r="4744" spans="8:28" ht="15" customHeight="1">
      <c r="H4744" s="2"/>
      <c r="I4744" s="2"/>
      <c r="J4744" s="2"/>
      <c r="K4744" s="2"/>
      <c r="L4744" s="2"/>
      <c r="M4744" s="2"/>
      <c r="N4744" s="2"/>
      <c r="P4744" s="2"/>
      <c r="Q4744" s="2"/>
      <c r="R4744" s="2"/>
      <c r="AB4744" s="2"/>
    </row>
    <row r="4745" spans="8:28" ht="15" customHeight="1">
      <c r="H4745" s="2"/>
      <c r="I4745" s="2"/>
      <c r="J4745" s="2"/>
      <c r="K4745" s="2"/>
      <c r="L4745" s="2"/>
      <c r="M4745" s="2"/>
      <c r="N4745" s="2"/>
      <c r="P4745" s="2"/>
      <c r="Q4745" s="2"/>
      <c r="R4745" s="2"/>
      <c r="AB4745" s="2"/>
    </row>
    <row r="4746" spans="8:28" ht="15" customHeight="1">
      <c r="H4746" s="2"/>
      <c r="I4746" s="2"/>
      <c r="J4746" s="2"/>
      <c r="K4746" s="2"/>
      <c r="L4746" s="2"/>
      <c r="M4746" s="2"/>
      <c r="N4746" s="2"/>
      <c r="P4746" s="2"/>
      <c r="Q4746" s="2"/>
      <c r="R4746" s="2"/>
      <c r="AB4746" s="2"/>
    </row>
    <row r="4747" spans="8:28" ht="15" customHeight="1">
      <c r="H4747" s="2"/>
      <c r="I4747" s="2"/>
      <c r="J4747" s="2"/>
      <c r="K4747" s="2"/>
      <c r="L4747" s="2"/>
      <c r="M4747" s="2"/>
      <c r="N4747" s="2"/>
      <c r="P4747" s="2"/>
      <c r="Q4747" s="2"/>
      <c r="R4747" s="2"/>
      <c r="AB4747" s="2"/>
    </row>
    <row r="4748" spans="8:28" ht="15" customHeight="1">
      <c r="H4748" s="2"/>
      <c r="I4748" s="2"/>
      <c r="J4748" s="2"/>
      <c r="K4748" s="2"/>
      <c r="L4748" s="2"/>
      <c r="M4748" s="2"/>
      <c r="N4748" s="2"/>
      <c r="P4748" s="2"/>
      <c r="Q4748" s="2"/>
      <c r="R4748" s="2"/>
      <c r="AB4748" s="2"/>
    </row>
    <row r="4749" spans="8:28" ht="15" customHeight="1">
      <c r="H4749" s="2"/>
      <c r="I4749" s="2"/>
      <c r="J4749" s="2"/>
      <c r="K4749" s="2"/>
      <c r="L4749" s="2"/>
      <c r="M4749" s="2"/>
      <c r="N4749" s="2"/>
      <c r="P4749" s="2"/>
      <c r="Q4749" s="2"/>
      <c r="R4749" s="2"/>
      <c r="AB4749" s="2"/>
    </row>
    <row r="4750" spans="8:28" ht="15" customHeight="1">
      <c r="H4750" s="2"/>
      <c r="I4750" s="2"/>
      <c r="J4750" s="2"/>
      <c r="K4750" s="2"/>
      <c r="L4750" s="2"/>
      <c r="M4750" s="2"/>
      <c r="N4750" s="2"/>
      <c r="P4750" s="2"/>
      <c r="Q4750" s="2"/>
      <c r="R4750" s="2"/>
      <c r="AB4750" s="2"/>
    </row>
    <row r="4751" spans="8:28" ht="15" customHeight="1">
      <c r="H4751" s="2"/>
      <c r="I4751" s="2"/>
      <c r="J4751" s="2"/>
      <c r="K4751" s="2"/>
      <c r="L4751" s="2"/>
      <c r="M4751" s="2"/>
      <c r="N4751" s="2"/>
      <c r="P4751" s="2"/>
      <c r="Q4751" s="2"/>
      <c r="R4751" s="2"/>
      <c r="AB4751" s="2"/>
    </row>
    <row r="4752" spans="8:28" ht="15" customHeight="1">
      <c r="H4752" s="2"/>
      <c r="I4752" s="2"/>
      <c r="J4752" s="2"/>
      <c r="K4752" s="2"/>
      <c r="L4752" s="2"/>
      <c r="M4752" s="2"/>
      <c r="N4752" s="2"/>
      <c r="P4752" s="2"/>
      <c r="Q4752" s="2"/>
      <c r="R4752" s="2"/>
      <c r="AB4752" s="2"/>
    </row>
    <row r="4753" spans="8:28" ht="15" customHeight="1">
      <c r="H4753" s="2"/>
      <c r="I4753" s="2"/>
      <c r="J4753" s="2"/>
      <c r="K4753" s="2"/>
      <c r="L4753" s="2"/>
      <c r="M4753" s="2"/>
      <c r="N4753" s="2"/>
      <c r="P4753" s="2"/>
      <c r="Q4753" s="2"/>
      <c r="R4753" s="2"/>
      <c r="AB4753" s="2"/>
    </row>
    <row r="4754" spans="8:28" ht="15" customHeight="1">
      <c r="H4754" s="2"/>
      <c r="I4754" s="2"/>
      <c r="J4754" s="2"/>
      <c r="K4754" s="2"/>
      <c r="L4754" s="2"/>
      <c r="M4754" s="2"/>
      <c r="N4754" s="2"/>
      <c r="P4754" s="2"/>
      <c r="Q4754" s="2"/>
      <c r="R4754" s="2"/>
      <c r="AB4754" s="2"/>
    </row>
    <row r="4755" spans="8:28" ht="15" customHeight="1">
      <c r="H4755" s="2"/>
      <c r="I4755" s="2"/>
      <c r="J4755" s="2"/>
      <c r="K4755" s="2"/>
      <c r="L4755" s="2"/>
      <c r="M4755" s="2"/>
      <c r="N4755" s="2"/>
      <c r="P4755" s="2"/>
      <c r="Q4755" s="2"/>
      <c r="R4755" s="2"/>
      <c r="AB4755" s="2"/>
    </row>
    <row r="4756" spans="8:28" ht="15" customHeight="1">
      <c r="H4756" s="2"/>
      <c r="I4756" s="2"/>
      <c r="J4756" s="2"/>
      <c r="K4756" s="2"/>
      <c r="L4756" s="2"/>
      <c r="M4756" s="2"/>
      <c r="N4756" s="2"/>
      <c r="P4756" s="2"/>
      <c r="Q4756" s="2"/>
      <c r="R4756" s="2"/>
      <c r="AB4756" s="2"/>
    </row>
    <row r="4757" spans="8:28" ht="15" customHeight="1">
      <c r="H4757" s="2"/>
      <c r="I4757" s="2"/>
      <c r="J4757" s="2"/>
      <c r="K4757" s="2"/>
      <c r="L4757" s="2"/>
      <c r="M4757" s="2"/>
      <c r="N4757" s="2"/>
      <c r="P4757" s="2"/>
      <c r="Q4757" s="2"/>
      <c r="R4757" s="2"/>
      <c r="AB4757" s="2"/>
    </row>
    <row r="4758" spans="8:28" ht="15" customHeight="1">
      <c r="H4758" s="2"/>
      <c r="I4758" s="2"/>
      <c r="J4758" s="2"/>
      <c r="K4758" s="2"/>
      <c r="L4758" s="2"/>
      <c r="M4758" s="2"/>
      <c r="N4758" s="2"/>
      <c r="P4758" s="2"/>
      <c r="Q4758" s="2"/>
      <c r="R4758" s="2"/>
      <c r="AB4758" s="2"/>
    </row>
    <row r="4759" spans="8:28" ht="15" customHeight="1">
      <c r="H4759" s="2"/>
      <c r="I4759" s="2"/>
      <c r="J4759" s="2"/>
      <c r="K4759" s="2"/>
      <c r="L4759" s="2"/>
      <c r="M4759" s="2"/>
      <c r="N4759" s="2"/>
      <c r="P4759" s="2"/>
      <c r="Q4759" s="2"/>
      <c r="R4759" s="2"/>
      <c r="AB4759" s="2"/>
    </row>
    <row r="4760" spans="8:28" ht="15" customHeight="1">
      <c r="H4760" s="2"/>
      <c r="I4760" s="2"/>
      <c r="J4760" s="2"/>
      <c r="K4760" s="2"/>
      <c r="L4760" s="2"/>
      <c r="M4760" s="2"/>
      <c r="N4760" s="2"/>
      <c r="P4760" s="2"/>
      <c r="Q4760" s="2"/>
      <c r="R4760" s="2"/>
      <c r="AB4760" s="2"/>
    </row>
    <row r="4761" spans="8:28" ht="15" customHeight="1">
      <c r="H4761" s="2"/>
      <c r="I4761" s="2"/>
      <c r="J4761" s="2"/>
      <c r="K4761" s="2"/>
      <c r="L4761" s="2"/>
      <c r="M4761" s="2"/>
      <c r="N4761" s="2"/>
      <c r="P4761" s="2"/>
      <c r="Q4761" s="2"/>
      <c r="R4761" s="2"/>
      <c r="AB4761" s="2"/>
    </row>
    <row r="4762" spans="8:28" ht="15" customHeight="1">
      <c r="H4762" s="2"/>
      <c r="I4762" s="2"/>
      <c r="J4762" s="2"/>
      <c r="K4762" s="2"/>
      <c r="L4762" s="2"/>
      <c r="M4762" s="2"/>
      <c r="N4762" s="2"/>
      <c r="P4762" s="2"/>
      <c r="Q4762" s="2"/>
      <c r="R4762" s="2"/>
      <c r="AB4762" s="2"/>
    </row>
    <row r="4763" spans="8:28" ht="15" customHeight="1">
      <c r="H4763" s="2"/>
      <c r="I4763" s="2"/>
      <c r="J4763" s="2"/>
      <c r="K4763" s="2"/>
      <c r="L4763" s="2"/>
      <c r="M4763" s="2"/>
      <c r="N4763" s="2"/>
      <c r="P4763" s="2"/>
      <c r="Q4763" s="2"/>
      <c r="R4763" s="2"/>
      <c r="AB4763" s="2"/>
    </row>
    <row r="4764" spans="8:28" ht="15" customHeight="1">
      <c r="H4764" s="2"/>
      <c r="I4764" s="2"/>
      <c r="J4764" s="2"/>
      <c r="K4764" s="2"/>
      <c r="L4764" s="2"/>
      <c r="M4764" s="2"/>
      <c r="N4764" s="2"/>
      <c r="P4764" s="2"/>
      <c r="Q4764" s="2"/>
      <c r="R4764" s="2"/>
      <c r="AB4764" s="2"/>
    </row>
    <row r="4765" spans="8:28" ht="15" customHeight="1">
      <c r="H4765" s="2"/>
      <c r="I4765" s="2"/>
      <c r="J4765" s="2"/>
      <c r="K4765" s="2"/>
      <c r="L4765" s="2"/>
      <c r="M4765" s="2"/>
      <c r="N4765" s="2"/>
      <c r="P4765" s="2"/>
      <c r="Q4765" s="2"/>
      <c r="R4765" s="2"/>
      <c r="AB4765" s="2"/>
    </row>
    <row r="4766" spans="8:28" ht="15" customHeight="1">
      <c r="H4766" s="2"/>
      <c r="I4766" s="2"/>
      <c r="J4766" s="2"/>
      <c r="K4766" s="2"/>
      <c r="L4766" s="2"/>
      <c r="M4766" s="2"/>
      <c r="N4766" s="2"/>
      <c r="P4766" s="2"/>
      <c r="Q4766" s="2"/>
      <c r="R4766" s="2"/>
      <c r="AB4766" s="2"/>
    </row>
    <row r="4767" spans="8:28" ht="15" customHeight="1">
      <c r="H4767" s="2"/>
      <c r="I4767" s="2"/>
      <c r="J4767" s="2"/>
      <c r="K4767" s="2"/>
      <c r="L4767" s="2"/>
      <c r="M4767" s="2"/>
      <c r="N4767" s="2"/>
      <c r="P4767" s="2"/>
      <c r="Q4767" s="2"/>
      <c r="R4767" s="2"/>
      <c r="AB4767" s="2"/>
    </row>
    <row r="4768" spans="8:28" ht="15" customHeight="1">
      <c r="H4768" s="2"/>
      <c r="I4768" s="2"/>
      <c r="J4768" s="2"/>
      <c r="K4768" s="2"/>
      <c r="L4768" s="2"/>
      <c r="M4768" s="2"/>
      <c r="N4768" s="2"/>
      <c r="P4768" s="2"/>
      <c r="Q4768" s="2"/>
      <c r="R4768" s="2"/>
      <c r="AB4768" s="2"/>
    </row>
    <row r="4769" spans="8:28" ht="15" customHeight="1">
      <c r="H4769" s="2"/>
      <c r="I4769" s="2"/>
      <c r="J4769" s="2"/>
      <c r="K4769" s="2"/>
      <c r="L4769" s="2"/>
      <c r="M4769" s="2"/>
      <c r="N4769" s="2"/>
      <c r="P4769" s="2"/>
      <c r="Q4769" s="2"/>
      <c r="R4769" s="2"/>
      <c r="AB4769" s="2"/>
    </row>
    <row r="4770" spans="8:28" ht="15" customHeight="1">
      <c r="H4770" s="2"/>
      <c r="I4770" s="2"/>
      <c r="J4770" s="2"/>
      <c r="K4770" s="2"/>
      <c r="L4770" s="2"/>
      <c r="M4770" s="2"/>
      <c r="N4770" s="2"/>
      <c r="P4770" s="2"/>
      <c r="Q4770" s="2"/>
      <c r="R4770" s="2"/>
      <c r="AB4770" s="2"/>
    </row>
    <row r="4771" spans="8:28" ht="15" customHeight="1">
      <c r="H4771" s="2"/>
      <c r="I4771" s="2"/>
      <c r="J4771" s="2"/>
      <c r="K4771" s="2"/>
      <c r="L4771" s="2"/>
      <c r="M4771" s="2"/>
      <c r="N4771" s="2"/>
      <c r="P4771" s="2"/>
      <c r="Q4771" s="2"/>
      <c r="R4771" s="2"/>
      <c r="AB4771" s="2"/>
    </row>
    <row r="4772" spans="8:28" ht="15" customHeight="1">
      <c r="H4772" s="2"/>
      <c r="I4772" s="2"/>
      <c r="J4772" s="2"/>
      <c r="K4772" s="2"/>
      <c r="L4772" s="2"/>
      <c r="M4772" s="2"/>
      <c r="N4772" s="2"/>
      <c r="P4772" s="2"/>
      <c r="Q4772" s="2"/>
      <c r="R4772" s="2"/>
      <c r="AB4772" s="2"/>
    </row>
    <row r="4773" spans="8:28" ht="15" customHeight="1">
      <c r="H4773" s="2"/>
      <c r="I4773" s="2"/>
      <c r="J4773" s="2"/>
      <c r="K4773" s="2"/>
      <c r="L4773" s="2"/>
      <c r="M4773" s="2"/>
      <c r="N4773" s="2"/>
      <c r="P4773" s="2"/>
      <c r="Q4773" s="2"/>
      <c r="R4773" s="2"/>
      <c r="AB4773" s="2"/>
    </row>
    <row r="4774" spans="8:28" ht="15" customHeight="1">
      <c r="H4774" s="2"/>
      <c r="I4774" s="2"/>
      <c r="J4774" s="2"/>
      <c r="K4774" s="2"/>
      <c r="L4774" s="2"/>
      <c r="M4774" s="2"/>
      <c r="N4774" s="2"/>
      <c r="P4774" s="2"/>
      <c r="Q4774" s="2"/>
      <c r="R4774" s="2"/>
      <c r="AB4774" s="2"/>
    </row>
    <row r="4775" spans="8:28" ht="15" customHeight="1">
      <c r="H4775" s="2"/>
      <c r="I4775" s="2"/>
      <c r="J4775" s="2"/>
      <c r="K4775" s="2"/>
      <c r="L4775" s="2"/>
      <c r="M4775" s="2"/>
      <c r="N4775" s="2"/>
      <c r="P4775" s="2"/>
      <c r="Q4775" s="2"/>
      <c r="R4775" s="2"/>
      <c r="AB4775" s="2"/>
    </row>
    <row r="4776" spans="8:28" ht="15" customHeight="1">
      <c r="H4776" s="2"/>
      <c r="I4776" s="2"/>
      <c r="J4776" s="2"/>
      <c r="K4776" s="2"/>
      <c r="L4776" s="2"/>
      <c r="M4776" s="2"/>
      <c r="N4776" s="2"/>
      <c r="P4776" s="2"/>
      <c r="Q4776" s="2"/>
      <c r="R4776" s="2"/>
      <c r="AB4776" s="2"/>
    </row>
    <row r="4777" spans="8:28" ht="15" customHeight="1">
      <c r="H4777" s="2"/>
      <c r="I4777" s="2"/>
      <c r="J4777" s="2"/>
      <c r="K4777" s="2"/>
      <c r="L4777" s="2"/>
      <c r="M4777" s="2"/>
      <c r="N4777" s="2"/>
      <c r="P4777" s="2"/>
      <c r="Q4777" s="2"/>
      <c r="R4777" s="2"/>
      <c r="AB4777" s="2"/>
    </row>
    <row r="4778" spans="8:28" ht="15" customHeight="1">
      <c r="H4778" s="2"/>
      <c r="I4778" s="2"/>
      <c r="J4778" s="2"/>
      <c r="K4778" s="2"/>
      <c r="L4778" s="2"/>
      <c r="M4778" s="2"/>
      <c r="N4778" s="2"/>
      <c r="P4778" s="2"/>
      <c r="Q4778" s="2"/>
      <c r="R4778" s="2"/>
      <c r="AB4778" s="2"/>
    </row>
    <row r="4779" spans="8:28" ht="15" customHeight="1">
      <c r="H4779" s="2"/>
      <c r="I4779" s="2"/>
      <c r="J4779" s="2"/>
      <c r="K4779" s="2"/>
      <c r="L4779" s="2"/>
      <c r="M4779" s="2"/>
      <c r="N4779" s="2"/>
      <c r="P4779" s="2"/>
      <c r="Q4779" s="2"/>
      <c r="R4779" s="2"/>
      <c r="AB4779" s="2"/>
    </row>
    <row r="4780" spans="8:28" ht="15" customHeight="1">
      <c r="H4780" s="2"/>
      <c r="I4780" s="2"/>
      <c r="J4780" s="2"/>
      <c r="K4780" s="2"/>
      <c r="L4780" s="2"/>
      <c r="M4780" s="2"/>
      <c r="N4780" s="2"/>
      <c r="P4780" s="2"/>
      <c r="Q4780" s="2"/>
      <c r="R4780" s="2"/>
      <c r="AB4780" s="2"/>
    </row>
    <row r="4781" spans="8:28" ht="15" customHeight="1">
      <c r="H4781" s="2"/>
      <c r="I4781" s="2"/>
      <c r="J4781" s="2"/>
      <c r="K4781" s="2"/>
      <c r="L4781" s="2"/>
      <c r="M4781" s="2"/>
      <c r="N4781" s="2"/>
      <c r="P4781" s="2"/>
      <c r="Q4781" s="2"/>
      <c r="R4781" s="2"/>
      <c r="AB4781" s="2"/>
    </row>
    <row r="4782" spans="8:28" ht="15" customHeight="1">
      <c r="H4782" s="2"/>
      <c r="I4782" s="2"/>
      <c r="J4782" s="2"/>
      <c r="K4782" s="2"/>
      <c r="L4782" s="2"/>
      <c r="M4782" s="2"/>
      <c r="N4782" s="2"/>
      <c r="P4782" s="2"/>
      <c r="Q4782" s="2"/>
      <c r="R4782" s="2"/>
      <c r="AB4782" s="2"/>
    </row>
    <row r="4783" spans="8:28" ht="15" customHeight="1">
      <c r="H4783" s="2"/>
      <c r="I4783" s="2"/>
      <c r="J4783" s="2"/>
      <c r="K4783" s="2"/>
      <c r="L4783" s="2"/>
      <c r="M4783" s="2"/>
      <c r="N4783" s="2"/>
      <c r="P4783" s="2"/>
      <c r="Q4783" s="2"/>
      <c r="R4783" s="2"/>
      <c r="AB4783" s="2"/>
    </row>
    <row r="4784" spans="8:28" ht="15" customHeight="1">
      <c r="H4784" s="2"/>
      <c r="I4784" s="2"/>
      <c r="J4784" s="2"/>
      <c r="K4784" s="2"/>
      <c r="L4784" s="2"/>
      <c r="M4784" s="2"/>
      <c r="N4784" s="2"/>
      <c r="P4784" s="2"/>
      <c r="Q4784" s="2"/>
      <c r="R4784" s="2"/>
      <c r="AB4784" s="2"/>
    </row>
    <row r="4785" spans="8:28" ht="15" customHeight="1">
      <c r="H4785" s="2"/>
      <c r="I4785" s="2"/>
      <c r="J4785" s="2"/>
      <c r="K4785" s="2"/>
      <c r="L4785" s="2"/>
      <c r="M4785" s="2"/>
      <c r="N4785" s="2"/>
      <c r="P4785" s="2"/>
      <c r="Q4785" s="2"/>
      <c r="R4785" s="2"/>
      <c r="AB4785" s="2"/>
    </row>
    <row r="4786" spans="8:28" ht="15" customHeight="1">
      <c r="H4786" s="2"/>
      <c r="I4786" s="2"/>
      <c r="J4786" s="2"/>
      <c r="K4786" s="2"/>
      <c r="L4786" s="2"/>
      <c r="M4786" s="2"/>
      <c r="N4786" s="2"/>
      <c r="P4786" s="2"/>
      <c r="Q4786" s="2"/>
      <c r="R4786" s="2"/>
      <c r="AB4786" s="2"/>
    </row>
    <row r="4787" spans="8:28" ht="15" customHeight="1">
      <c r="H4787" s="2"/>
      <c r="I4787" s="2"/>
      <c r="J4787" s="2"/>
      <c r="K4787" s="2"/>
      <c r="L4787" s="2"/>
      <c r="M4787" s="2"/>
      <c r="N4787" s="2"/>
      <c r="P4787" s="2"/>
      <c r="Q4787" s="2"/>
      <c r="R4787" s="2"/>
      <c r="AB4787" s="2"/>
    </row>
    <row r="4788" spans="8:28" ht="15" customHeight="1">
      <c r="H4788" s="2"/>
      <c r="I4788" s="2"/>
      <c r="J4788" s="2"/>
      <c r="K4788" s="2"/>
      <c r="L4788" s="2"/>
      <c r="M4788" s="2"/>
      <c r="N4788" s="2"/>
      <c r="P4788" s="2"/>
      <c r="Q4788" s="2"/>
      <c r="R4788" s="2"/>
      <c r="AB4788" s="2"/>
    </row>
    <row r="4789" spans="8:28" ht="15" customHeight="1">
      <c r="H4789" s="2"/>
      <c r="I4789" s="2"/>
      <c r="J4789" s="2"/>
      <c r="K4789" s="2"/>
      <c r="L4789" s="2"/>
      <c r="M4789" s="2"/>
      <c r="N4789" s="2"/>
      <c r="P4789" s="2"/>
      <c r="Q4789" s="2"/>
      <c r="R4789" s="2"/>
      <c r="AB4789" s="2"/>
    </row>
    <row r="4790" spans="8:28" ht="15" customHeight="1">
      <c r="H4790" s="2"/>
      <c r="I4790" s="2"/>
      <c r="J4790" s="2"/>
      <c r="K4790" s="2"/>
      <c r="L4790" s="2"/>
      <c r="M4790" s="2"/>
      <c r="N4790" s="2"/>
      <c r="P4790" s="2"/>
      <c r="Q4790" s="2"/>
      <c r="R4790" s="2"/>
      <c r="AB4790" s="2"/>
    </row>
    <row r="4791" spans="8:28" ht="15" customHeight="1">
      <c r="H4791" s="2"/>
      <c r="I4791" s="2"/>
      <c r="J4791" s="2"/>
      <c r="K4791" s="2"/>
      <c r="L4791" s="2"/>
      <c r="M4791" s="2"/>
      <c r="N4791" s="2"/>
      <c r="P4791" s="2"/>
      <c r="Q4791" s="2"/>
      <c r="R4791" s="2"/>
      <c r="AB4791" s="2"/>
    </row>
    <row r="4792" spans="8:28" ht="15" customHeight="1">
      <c r="H4792" s="2"/>
      <c r="I4792" s="2"/>
      <c r="J4792" s="2"/>
      <c r="K4792" s="2"/>
      <c r="L4792" s="2"/>
      <c r="M4792" s="2"/>
      <c r="N4792" s="2"/>
      <c r="P4792" s="2"/>
      <c r="Q4792" s="2"/>
      <c r="R4792" s="2"/>
      <c r="AB4792" s="2"/>
    </row>
    <row r="4793" spans="8:28" ht="15" customHeight="1">
      <c r="H4793" s="2"/>
      <c r="I4793" s="2"/>
      <c r="J4793" s="2"/>
      <c r="K4793" s="2"/>
      <c r="L4793" s="2"/>
      <c r="M4793" s="2"/>
      <c r="N4793" s="2"/>
      <c r="P4793" s="2"/>
      <c r="Q4793" s="2"/>
      <c r="R4793" s="2"/>
      <c r="AB4793" s="2"/>
    </row>
    <row r="4794" spans="8:28" ht="15" customHeight="1">
      <c r="H4794" s="2"/>
      <c r="I4794" s="2"/>
      <c r="J4794" s="2"/>
      <c r="K4794" s="2"/>
      <c r="L4794" s="2"/>
      <c r="M4794" s="2"/>
      <c r="N4794" s="2"/>
      <c r="P4794" s="2"/>
      <c r="Q4794" s="2"/>
      <c r="R4794" s="2"/>
      <c r="AB4794" s="2"/>
    </row>
    <row r="4795" spans="8:28" ht="15" customHeight="1">
      <c r="H4795" s="2"/>
      <c r="I4795" s="2"/>
      <c r="J4795" s="2"/>
      <c r="K4795" s="2"/>
      <c r="L4795" s="2"/>
      <c r="M4795" s="2"/>
      <c r="N4795" s="2"/>
      <c r="P4795" s="2"/>
      <c r="Q4795" s="2"/>
      <c r="R4795" s="2"/>
      <c r="AB4795" s="2"/>
    </row>
    <row r="4796" spans="8:28" ht="15" customHeight="1">
      <c r="H4796" s="2"/>
      <c r="I4796" s="2"/>
      <c r="J4796" s="2"/>
      <c r="K4796" s="2"/>
      <c r="L4796" s="2"/>
      <c r="M4796" s="2"/>
      <c r="N4796" s="2"/>
      <c r="P4796" s="2"/>
      <c r="Q4796" s="2"/>
      <c r="R4796" s="2"/>
      <c r="AB4796" s="2"/>
    </row>
    <row r="4797" spans="8:28" ht="15" customHeight="1">
      <c r="H4797" s="2"/>
      <c r="I4797" s="2"/>
      <c r="J4797" s="2"/>
      <c r="K4797" s="2"/>
      <c r="L4797" s="2"/>
      <c r="M4797" s="2"/>
      <c r="N4797" s="2"/>
      <c r="P4797" s="2"/>
      <c r="Q4797" s="2"/>
      <c r="R4797" s="2"/>
      <c r="AB4797" s="2"/>
    </row>
    <row r="4798" spans="8:28" ht="15" customHeight="1">
      <c r="H4798" s="2"/>
      <c r="I4798" s="2"/>
      <c r="J4798" s="2"/>
      <c r="K4798" s="2"/>
      <c r="L4798" s="2"/>
      <c r="M4798" s="2"/>
      <c r="N4798" s="2"/>
      <c r="P4798" s="2"/>
      <c r="Q4798" s="2"/>
      <c r="R4798" s="2"/>
      <c r="AB4798" s="2"/>
    </row>
    <row r="4799" spans="8:28" ht="15" customHeight="1">
      <c r="H4799" s="2"/>
      <c r="I4799" s="2"/>
      <c r="J4799" s="2"/>
      <c r="K4799" s="2"/>
      <c r="L4799" s="2"/>
      <c r="M4799" s="2"/>
      <c r="N4799" s="2"/>
      <c r="P4799" s="2"/>
      <c r="Q4799" s="2"/>
      <c r="R4799" s="2"/>
      <c r="AB4799" s="2"/>
    </row>
    <row r="4800" spans="8:28" ht="15" customHeight="1">
      <c r="H4800" s="2"/>
      <c r="I4800" s="2"/>
      <c r="J4800" s="2"/>
      <c r="K4800" s="2"/>
      <c r="L4800" s="2"/>
      <c r="M4800" s="2"/>
      <c r="N4800" s="2"/>
      <c r="P4800" s="2"/>
      <c r="Q4800" s="2"/>
      <c r="R4800" s="2"/>
      <c r="AB4800" s="2"/>
    </row>
    <row r="4801" spans="8:28" ht="15" customHeight="1">
      <c r="H4801" s="2"/>
      <c r="I4801" s="2"/>
      <c r="J4801" s="2"/>
      <c r="K4801" s="2"/>
      <c r="L4801" s="2"/>
      <c r="M4801" s="2"/>
      <c r="N4801" s="2"/>
      <c r="P4801" s="2"/>
      <c r="Q4801" s="2"/>
      <c r="R4801" s="2"/>
      <c r="AB4801" s="2"/>
    </row>
    <row r="4802" spans="8:28" ht="15" customHeight="1">
      <c r="H4802" s="2"/>
      <c r="I4802" s="2"/>
      <c r="J4802" s="2"/>
      <c r="K4802" s="2"/>
      <c r="L4802" s="2"/>
      <c r="M4802" s="2"/>
      <c r="N4802" s="2"/>
      <c r="P4802" s="2"/>
      <c r="Q4802" s="2"/>
      <c r="R4802" s="2"/>
      <c r="AB4802" s="2"/>
    </row>
    <row r="4803" spans="8:28" ht="15" customHeight="1">
      <c r="H4803" s="2"/>
      <c r="I4803" s="2"/>
      <c r="J4803" s="2"/>
      <c r="K4803" s="2"/>
      <c r="L4803" s="2"/>
      <c r="M4803" s="2"/>
      <c r="N4803" s="2"/>
      <c r="P4803" s="2"/>
      <c r="Q4803" s="2"/>
      <c r="R4803" s="2"/>
      <c r="AB4803" s="2"/>
    </row>
    <row r="4804" spans="8:28" ht="15" customHeight="1">
      <c r="H4804" s="2"/>
      <c r="I4804" s="2"/>
      <c r="J4804" s="2"/>
      <c r="K4804" s="2"/>
      <c r="L4804" s="2"/>
      <c r="M4804" s="2"/>
      <c r="N4804" s="2"/>
      <c r="P4804" s="2"/>
      <c r="Q4804" s="2"/>
      <c r="R4804" s="2"/>
      <c r="AB4804" s="2"/>
    </row>
    <row r="4805" spans="8:28" ht="15" customHeight="1">
      <c r="H4805" s="2"/>
      <c r="I4805" s="2"/>
      <c r="J4805" s="2"/>
      <c r="K4805" s="2"/>
      <c r="L4805" s="2"/>
      <c r="M4805" s="2"/>
      <c r="N4805" s="2"/>
      <c r="P4805" s="2"/>
      <c r="Q4805" s="2"/>
      <c r="R4805" s="2"/>
      <c r="AB4805" s="2"/>
    </row>
    <row r="4806" spans="8:28" ht="15" customHeight="1">
      <c r="H4806" s="2"/>
      <c r="I4806" s="2"/>
      <c r="J4806" s="2"/>
      <c r="K4806" s="2"/>
      <c r="L4806" s="2"/>
      <c r="M4806" s="2"/>
      <c r="N4806" s="2"/>
      <c r="P4806" s="2"/>
      <c r="Q4806" s="2"/>
      <c r="R4806" s="2"/>
      <c r="AB4806" s="2"/>
    </row>
    <row r="4807" spans="8:28" ht="15" customHeight="1">
      <c r="H4807" s="2"/>
      <c r="I4807" s="2"/>
      <c r="J4807" s="2"/>
      <c r="K4807" s="2"/>
      <c r="L4807" s="2"/>
      <c r="M4807" s="2"/>
      <c r="N4807" s="2"/>
      <c r="P4807" s="2"/>
      <c r="Q4807" s="2"/>
      <c r="R4807" s="2"/>
      <c r="AB4807" s="2"/>
    </row>
    <row r="4808" spans="8:28" ht="15" customHeight="1">
      <c r="H4808" s="2"/>
      <c r="I4808" s="2"/>
      <c r="J4808" s="2"/>
      <c r="K4808" s="2"/>
      <c r="L4808" s="2"/>
      <c r="M4808" s="2"/>
      <c r="N4808" s="2"/>
      <c r="P4808" s="2"/>
      <c r="Q4808" s="2"/>
      <c r="R4808" s="2"/>
      <c r="AB4808" s="2"/>
    </row>
    <row r="4809" spans="8:28" ht="15" customHeight="1">
      <c r="H4809" s="2"/>
      <c r="I4809" s="2"/>
      <c r="J4809" s="2"/>
      <c r="K4809" s="2"/>
      <c r="L4809" s="2"/>
      <c r="M4809" s="2"/>
      <c r="N4809" s="2"/>
      <c r="P4809" s="2"/>
      <c r="Q4809" s="2"/>
      <c r="R4809" s="2"/>
      <c r="AB4809" s="2"/>
    </row>
    <row r="4810" spans="8:28" ht="15" customHeight="1">
      <c r="H4810" s="2"/>
      <c r="I4810" s="2"/>
      <c r="J4810" s="2"/>
      <c r="K4810" s="2"/>
      <c r="L4810" s="2"/>
      <c r="M4810" s="2"/>
      <c r="N4810" s="2"/>
      <c r="P4810" s="2"/>
      <c r="Q4810" s="2"/>
      <c r="R4810" s="2"/>
      <c r="AB4810" s="2"/>
    </row>
    <row r="4811" spans="8:28" ht="15" customHeight="1">
      <c r="H4811" s="2"/>
      <c r="I4811" s="2"/>
      <c r="J4811" s="2"/>
      <c r="K4811" s="2"/>
      <c r="L4811" s="2"/>
      <c r="M4811" s="2"/>
      <c r="N4811" s="2"/>
      <c r="P4811" s="2"/>
      <c r="Q4811" s="2"/>
      <c r="R4811" s="2"/>
      <c r="AB4811" s="2"/>
    </row>
    <row r="4812" spans="8:28" ht="15" customHeight="1">
      <c r="H4812" s="2"/>
      <c r="I4812" s="2"/>
      <c r="J4812" s="2"/>
      <c r="K4812" s="2"/>
      <c r="L4812" s="2"/>
      <c r="M4812" s="2"/>
      <c r="N4812" s="2"/>
      <c r="P4812" s="2"/>
      <c r="Q4812" s="2"/>
      <c r="R4812" s="2"/>
      <c r="AB4812" s="2"/>
    </row>
    <row r="4813" spans="8:28" ht="15" customHeight="1">
      <c r="H4813" s="2"/>
      <c r="I4813" s="2"/>
      <c r="J4813" s="2"/>
      <c r="K4813" s="2"/>
      <c r="L4813" s="2"/>
      <c r="M4813" s="2"/>
      <c r="N4813" s="2"/>
      <c r="P4813" s="2"/>
      <c r="Q4813" s="2"/>
      <c r="R4813" s="2"/>
      <c r="AB4813" s="2"/>
    </row>
    <row r="4814" spans="8:28" ht="15" customHeight="1">
      <c r="H4814" s="2"/>
      <c r="I4814" s="2"/>
      <c r="J4814" s="2"/>
      <c r="K4814" s="2"/>
      <c r="L4814" s="2"/>
      <c r="M4814" s="2"/>
      <c r="N4814" s="2"/>
      <c r="P4814" s="2"/>
      <c r="Q4814" s="2"/>
      <c r="R4814" s="2"/>
      <c r="AB4814" s="2"/>
    </row>
    <row r="4815" spans="8:28" ht="15" customHeight="1">
      <c r="H4815" s="2"/>
      <c r="I4815" s="2"/>
      <c r="J4815" s="2"/>
      <c r="K4815" s="2"/>
      <c r="L4815" s="2"/>
      <c r="M4815" s="2"/>
      <c r="N4815" s="2"/>
      <c r="P4815" s="2"/>
      <c r="Q4815" s="2"/>
      <c r="R4815" s="2"/>
      <c r="AB4815" s="2"/>
    </row>
    <row r="4816" spans="8:28" ht="15" customHeight="1">
      <c r="H4816" s="2"/>
      <c r="I4816" s="2"/>
      <c r="J4816" s="2"/>
      <c r="K4816" s="2"/>
      <c r="L4816" s="2"/>
      <c r="M4816" s="2"/>
      <c r="N4816" s="2"/>
      <c r="P4816" s="2"/>
      <c r="Q4816" s="2"/>
      <c r="R4816" s="2"/>
      <c r="AB4816" s="2"/>
    </row>
    <row r="4817" spans="8:28" ht="15" customHeight="1">
      <c r="H4817" s="2"/>
      <c r="I4817" s="2"/>
      <c r="J4817" s="2"/>
      <c r="K4817" s="2"/>
      <c r="L4817" s="2"/>
      <c r="M4817" s="2"/>
      <c r="N4817" s="2"/>
      <c r="P4817" s="2"/>
      <c r="Q4817" s="2"/>
      <c r="R4817" s="2"/>
      <c r="AB4817" s="2"/>
    </row>
    <row r="4818" spans="8:28" ht="15" customHeight="1">
      <c r="H4818" s="2"/>
      <c r="I4818" s="2"/>
      <c r="J4818" s="2"/>
      <c r="K4818" s="2"/>
      <c r="L4818" s="2"/>
      <c r="M4818" s="2"/>
      <c r="N4818" s="2"/>
      <c r="P4818" s="2"/>
      <c r="Q4818" s="2"/>
      <c r="R4818" s="2"/>
      <c r="AB4818" s="2"/>
    </row>
    <row r="4819" spans="8:28" ht="15" customHeight="1">
      <c r="H4819" s="2"/>
      <c r="I4819" s="2"/>
      <c r="J4819" s="2"/>
      <c r="K4819" s="2"/>
      <c r="L4819" s="2"/>
      <c r="M4819" s="2"/>
      <c r="N4819" s="2"/>
      <c r="P4819" s="2"/>
      <c r="Q4819" s="2"/>
      <c r="R4819" s="2"/>
      <c r="AB4819" s="2"/>
    </row>
    <row r="4820" spans="8:28" ht="15" customHeight="1">
      <c r="H4820" s="2"/>
      <c r="I4820" s="2"/>
      <c r="J4820" s="2"/>
      <c r="K4820" s="2"/>
      <c r="L4820" s="2"/>
      <c r="M4820" s="2"/>
      <c r="N4820" s="2"/>
      <c r="P4820" s="2"/>
      <c r="Q4820" s="2"/>
      <c r="R4820" s="2"/>
      <c r="AB4820" s="2"/>
    </row>
    <row r="4821" spans="8:28" ht="15" customHeight="1">
      <c r="H4821" s="2"/>
      <c r="I4821" s="2"/>
      <c r="J4821" s="2"/>
      <c r="K4821" s="2"/>
      <c r="L4821" s="2"/>
      <c r="M4821" s="2"/>
      <c r="N4821" s="2"/>
      <c r="P4821" s="2"/>
      <c r="Q4821" s="2"/>
      <c r="R4821" s="2"/>
      <c r="AB4821" s="2"/>
    </row>
    <row r="4822" spans="8:28" ht="15" customHeight="1">
      <c r="H4822" s="2"/>
      <c r="I4822" s="2"/>
      <c r="J4822" s="2"/>
      <c r="K4822" s="2"/>
      <c r="L4822" s="2"/>
      <c r="M4822" s="2"/>
      <c r="N4822" s="2"/>
      <c r="P4822" s="2"/>
      <c r="Q4822" s="2"/>
      <c r="R4822" s="2"/>
      <c r="AB4822" s="2"/>
    </row>
    <row r="4823" spans="8:28" ht="15" customHeight="1">
      <c r="H4823" s="2"/>
      <c r="I4823" s="2"/>
      <c r="J4823" s="2"/>
      <c r="K4823" s="2"/>
      <c r="L4823" s="2"/>
      <c r="M4823" s="2"/>
      <c r="N4823" s="2"/>
      <c r="P4823" s="2"/>
      <c r="Q4823" s="2"/>
      <c r="R4823" s="2"/>
      <c r="AB4823" s="2"/>
    </row>
    <row r="4824" spans="8:28" ht="15" customHeight="1">
      <c r="H4824" s="2"/>
      <c r="I4824" s="2"/>
      <c r="J4824" s="2"/>
      <c r="K4824" s="2"/>
      <c r="L4824" s="2"/>
      <c r="M4824" s="2"/>
      <c r="N4824" s="2"/>
      <c r="P4824" s="2"/>
      <c r="Q4824" s="2"/>
      <c r="R4824" s="2"/>
      <c r="AB4824" s="2"/>
    </row>
    <row r="4825" spans="8:28" ht="15" customHeight="1">
      <c r="H4825" s="2"/>
      <c r="I4825" s="2"/>
      <c r="J4825" s="2"/>
      <c r="K4825" s="2"/>
      <c r="L4825" s="2"/>
      <c r="M4825" s="2"/>
      <c r="N4825" s="2"/>
      <c r="P4825" s="2"/>
      <c r="Q4825" s="2"/>
      <c r="R4825" s="2"/>
      <c r="AB4825" s="2"/>
    </row>
    <row r="4826" spans="8:28" ht="15" customHeight="1">
      <c r="H4826" s="2"/>
      <c r="I4826" s="2"/>
      <c r="J4826" s="2"/>
      <c r="K4826" s="2"/>
      <c r="L4826" s="2"/>
      <c r="M4826" s="2"/>
      <c r="N4826" s="2"/>
      <c r="P4826" s="2"/>
      <c r="Q4826" s="2"/>
      <c r="R4826" s="2"/>
      <c r="AB4826" s="2"/>
    </row>
    <row r="4827" spans="8:28" ht="15" customHeight="1">
      <c r="H4827" s="2"/>
      <c r="I4827" s="2"/>
      <c r="J4827" s="2"/>
      <c r="K4827" s="2"/>
      <c r="L4827" s="2"/>
      <c r="M4827" s="2"/>
      <c r="N4827" s="2"/>
      <c r="P4827" s="2"/>
      <c r="Q4827" s="2"/>
      <c r="R4827" s="2"/>
      <c r="AB4827" s="2"/>
    </row>
    <row r="4828" spans="8:28" ht="15" customHeight="1">
      <c r="H4828" s="2"/>
      <c r="I4828" s="2"/>
      <c r="J4828" s="2"/>
      <c r="K4828" s="2"/>
      <c r="L4828" s="2"/>
      <c r="M4828" s="2"/>
      <c r="N4828" s="2"/>
      <c r="P4828" s="2"/>
      <c r="Q4828" s="2"/>
      <c r="R4828" s="2"/>
      <c r="AB4828" s="2"/>
    </row>
    <row r="4829" spans="8:28" ht="15" customHeight="1">
      <c r="H4829" s="2"/>
      <c r="I4829" s="2"/>
      <c r="J4829" s="2"/>
      <c r="K4829" s="2"/>
      <c r="L4829" s="2"/>
      <c r="M4829" s="2"/>
      <c r="N4829" s="2"/>
      <c r="P4829" s="2"/>
      <c r="Q4829" s="2"/>
      <c r="R4829" s="2"/>
      <c r="AB4829" s="2"/>
    </row>
    <row r="4830" spans="8:28" ht="15" customHeight="1">
      <c r="H4830" s="2"/>
      <c r="I4830" s="2"/>
      <c r="J4830" s="2"/>
      <c r="K4830" s="2"/>
      <c r="L4830" s="2"/>
      <c r="M4830" s="2"/>
      <c r="N4830" s="2"/>
      <c r="P4830" s="2"/>
      <c r="Q4830" s="2"/>
      <c r="R4830" s="2"/>
      <c r="AB4830" s="2"/>
    </row>
    <row r="4831" spans="8:28" ht="15" customHeight="1">
      <c r="H4831" s="2"/>
      <c r="I4831" s="2"/>
      <c r="J4831" s="2"/>
      <c r="K4831" s="2"/>
      <c r="L4831" s="2"/>
      <c r="M4831" s="2"/>
      <c r="N4831" s="2"/>
      <c r="P4831" s="2"/>
      <c r="Q4831" s="2"/>
      <c r="R4831" s="2"/>
      <c r="AB4831" s="2"/>
    </row>
    <row r="4832" spans="8:28" ht="15" customHeight="1">
      <c r="H4832" s="2"/>
      <c r="I4832" s="2"/>
      <c r="J4832" s="2"/>
      <c r="K4832" s="2"/>
      <c r="L4832" s="2"/>
      <c r="M4832" s="2"/>
      <c r="N4832" s="2"/>
      <c r="P4832" s="2"/>
      <c r="Q4832" s="2"/>
      <c r="R4832" s="2"/>
      <c r="AB4832" s="2"/>
    </row>
    <row r="4833" spans="8:28" ht="15" customHeight="1">
      <c r="H4833" s="2"/>
      <c r="I4833" s="2"/>
      <c r="J4833" s="2"/>
      <c r="K4833" s="2"/>
      <c r="L4833" s="2"/>
      <c r="M4833" s="2"/>
      <c r="N4833" s="2"/>
      <c r="P4833" s="2"/>
      <c r="Q4833" s="2"/>
      <c r="R4833" s="2"/>
      <c r="AB4833" s="2"/>
    </row>
    <row r="4834" spans="8:28" ht="15" customHeight="1">
      <c r="H4834" s="2"/>
      <c r="I4834" s="2"/>
      <c r="J4834" s="2"/>
      <c r="K4834" s="2"/>
      <c r="L4834" s="2"/>
      <c r="M4834" s="2"/>
      <c r="N4834" s="2"/>
      <c r="P4834" s="2"/>
      <c r="Q4834" s="2"/>
      <c r="R4834" s="2"/>
      <c r="AB4834" s="2"/>
    </row>
    <row r="4835" spans="8:28" ht="15" customHeight="1">
      <c r="H4835" s="2"/>
      <c r="I4835" s="2"/>
      <c r="J4835" s="2"/>
      <c r="K4835" s="2"/>
      <c r="L4835" s="2"/>
      <c r="M4835" s="2"/>
      <c r="N4835" s="2"/>
      <c r="P4835" s="2"/>
      <c r="Q4835" s="2"/>
      <c r="R4835" s="2"/>
      <c r="AB4835" s="2"/>
    </row>
    <row r="4836" spans="8:28" ht="15" customHeight="1">
      <c r="H4836" s="2"/>
      <c r="I4836" s="2"/>
      <c r="J4836" s="2"/>
      <c r="K4836" s="2"/>
      <c r="L4836" s="2"/>
      <c r="M4836" s="2"/>
      <c r="N4836" s="2"/>
      <c r="P4836" s="2"/>
      <c r="Q4836" s="2"/>
      <c r="R4836" s="2"/>
      <c r="AB4836" s="2"/>
    </row>
    <row r="4837" spans="8:28" ht="15" customHeight="1">
      <c r="H4837" s="2"/>
      <c r="I4837" s="2"/>
      <c r="J4837" s="2"/>
      <c r="K4837" s="2"/>
      <c r="L4837" s="2"/>
      <c r="M4837" s="2"/>
      <c r="N4837" s="2"/>
      <c r="P4837" s="2"/>
      <c r="Q4837" s="2"/>
      <c r="R4837" s="2"/>
      <c r="AB4837" s="2"/>
    </row>
    <row r="4838" spans="8:28" ht="15" customHeight="1">
      <c r="H4838" s="2"/>
      <c r="I4838" s="2"/>
      <c r="J4838" s="2"/>
      <c r="K4838" s="2"/>
      <c r="L4838" s="2"/>
      <c r="M4838" s="2"/>
      <c r="N4838" s="2"/>
      <c r="P4838" s="2"/>
      <c r="Q4838" s="2"/>
      <c r="R4838" s="2"/>
      <c r="AB4838" s="2"/>
    </row>
    <row r="4839" spans="8:28" ht="15" customHeight="1">
      <c r="H4839" s="2"/>
      <c r="I4839" s="2"/>
      <c r="J4839" s="2"/>
      <c r="K4839" s="2"/>
      <c r="L4839" s="2"/>
      <c r="M4839" s="2"/>
      <c r="N4839" s="2"/>
      <c r="P4839" s="2"/>
      <c r="Q4839" s="2"/>
      <c r="R4839" s="2"/>
      <c r="AB4839" s="2"/>
    </row>
    <row r="4840" spans="8:28" ht="15" customHeight="1">
      <c r="H4840" s="2"/>
      <c r="I4840" s="2"/>
      <c r="J4840" s="2"/>
      <c r="K4840" s="2"/>
      <c r="L4840" s="2"/>
      <c r="M4840" s="2"/>
      <c r="N4840" s="2"/>
      <c r="P4840" s="2"/>
      <c r="Q4840" s="2"/>
      <c r="R4840" s="2"/>
      <c r="AB4840" s="2"/>
    </row>
    <row r="4841" spans="8:28" ht="15" customHeight="1">
      <c r="H4841" s="2"/>
      <c r="I4841" s="2"/>
      <c r="J4841" s="2"/>
      <c r="K4841" s="2"/>
      <c r="L4841" s="2"/>
      <c r="M4841" s="2"/>
      <c r="N4841" s="2"/>
      <c r="P4841" s="2"/>
      <c r="Q4841" s="2"/>
      <c r="R4841" s="2"/>
      <c r="AB4841" s="2"/>
    </row>
    <row r="4842" spans="8:28" ht="15" customHeight="1">
      <c r="H4842" s="2"/>
      <c r="I4842" s="2"/>
      <c r="J4842" s="2"/>
      <c r="K4842" s="2"/>
      <c r="L4842" s="2"/>
      <c r="M4842" s="2"/>
      <c r="N4842" s="2"/>
      <c r="P4842" s="2"/>
      <c r="Q4842" s="2"/>
      <c r="R4842" s="2"/>
      <c r="AB4842" s="2"/>
    </row>
    <row r="4843" spans="8:28" ht="15" customHeight="1">
      <c r="H4843" s="2"/>
      <c r="I4843" s="2"/>
      <c r="J4843" s="2"/>
      <c r="K4843" s="2"/>
      <c r="L4843" s="2"/>
      <c r="M4843" s="2"/>
      <c r="N4843" s="2"/>
      <c r="P4843" s="2"/>
      <c r="Q4843" s="2"/>
      <c r="R4843" s="2"/>
      <c r="AB4843" s="2"/>
    </row>
    <row r="4844" spans="8:28" ht="15" customHeight="1">
      <c r="H4844" s="2"/>
      <c r="I4844" s="2"/>
      <c r="J4844" s="2"/>
      <c r="K4844" s="2"/>
      <c r="L4844" s="2"/>
      <c r="M4844" s="2"/>
      <c r="N4844" s="2"/>
      <c r="P4844" s="2"/>
      <c r="Q4844" s="2"/>
      <c r="R4844" s="2"/>
      <c r="AB4844" s="2"/>
    </row>
    <row r="4845" spans="8:28" ht="15" customHeight="1">
      <c r="H4845" s="2"/>
      <c r="I4845" s="2"/>
      <c r="J4845" s="2"/>
      <c r="K4845" s="2"/>
      <c r="L4845" s="2"/>
      <c r="M4845" s="2"/>
      <c r="N4845" s="2"/>
      <c r="P4845" s="2"/>
      <c r="Q4845" s="2"/>
      <c r="R4845" s="2"/>
      <c r="AB4845" s="2"/>
    </row>
    <row r="4846" spans="8:28" ht="15" customHeight="1">
      <c r="H4846" s="2"/>
      <c r="I4846" s="2"/>
      <c r="J4846" s="2"/>
      <c r="K4846" s="2"/>
      <c r="L4846" s="2"/>
      <c r="M4846" s="2"/>
      <c r="N4846" s="2"/>
      <c r="P4846" s="2"/>
      <c r="Q4846" s="2"/>
      <c r="R4846" s="2"/>
      <c r="AB4846" s="2"/>
    </row>
    <row r="4847" spans="8:28" ht="15" customHeight="1">
      <c r="H4847" s="2"/>
      <c r="I4847" s="2"/>
      <c r="J4847" s="2"/>
      <c r="K4847" s="2"/>
      <c r="L4847" s="2"/>
      <c r="M4847" s="2"/>
      <c r="N4847" s="2"/>
      <c r="P4847" s="2"/>
      <c r="Q4847" s="2"/>
      <c r="R4847" s="2"/>
      <c r="AB4847" s="2"/>
    </row>
    <row r="4848" spans="8:28" ht="15" customHeight="1">
      <c r="H4848" s="2"/>
      <c r="I4848" s="2"/>
      <c r="J4848" s="2"/>
      <c r="K4848" s="2"/>
      <c r="L4848" s="2"/>
      <c r="M4848" s="2"/>
      <c r="N4848" s="2"/>
      <c r="P4848" s="2"/>
      <c r="Q4848" s="2"/>
      <c r="R4848" s="2"/>
      <c r="AB4848" s="2"/>
    </row>
    <row r="4849" spans="8:28" ht="15" customHeight="1">
      <c r="H4849" s="2"/>
      <c r="I4849" s="2"/>
      <c r="J4849" s="2"/>
      <c r="K4849" s="2"/>
      <c r="L4849" s="2"/>
      <c r="M4849" s="2"/>
      <c r="N4849" s="2"/>
      <c r="P4849" s="2"/>
      <c r="Q4849" s="2"/>
      <c r="R4849" s="2"/>
      <c r="AB4849" s="2"/>
    </row>
    <row r="4850" spans="8:28" ht="15" customHeight="1">
      <c r="H4850" s="2"/>
      <c r="I4850" s="2"/>
      <c r="J4850" s="2"/>
      <c r="K4850" s="2"/>
      <c r="L4850" s="2"/>
      <c r="M4850" s="2"/>
      <c r="N4850" s="2"/>
      <c r="P4850" s="2"/>
      <c r="Q4850" s="2"/>
      <c r="R4850" s="2"/>
      <c r="AB4850" s="2"/>
    </row>
    <row r="4851" spans="8:28" ht="15" customHeight="1">
      <c r="H4851" s="2"/>
      <c r="I4851" s="2"/>
      <c r="J4851" s="2"/>
      <c r="K4851" s="2"/>
      <c r="L4851" s="2"/>
      <c r="M4851" s="2"/>
      <c r="N4851" s="2"/>
      <c r="P4851" s="2"/>
      <c r="Q4851" s="2"/>
      <c r="R4851" s="2"/>
      <c r="AB4851" s="2"/>
    </row>
    <row r="4852" spans="8:28" ht="15" customHeight="1">
      <c r="H4852" s="2"/>
      <c r="I4852" s="2"/>
      <c r="J4852" s="2"/>
      <c r="K4852" s="2"/>
      <c r="L4852" s="2"/>
      <c r="M4852" s="2"/>
      <c r="N4852" s="2"/>
      <c r="P4852" s="2"/>
      <c r="Q4852" s="2"/>
      <c r="R4852" s="2"/>
      <c r="AB4852" s="2"/>
    </row>
    <row r="4853" spans="8:28" ht="15" customHeight="1">
      <c r="H4853" s="2"/>
      <c r="I4853" s="2"/>
      <c r="J4853" s="2"/>
      <c r="K4853" s="2"/>
      <c r="L4853" s="2"/>
      <c r="M4853" s="2"/>
      <c r="N4853" s="2"/>
      <c r="P4853" s="2"/>
      <c r="Q4853" s="2"/>
      <c r="R4853" s="2"/>
      <c r="AB4853" s="2"/>
    </row>
    <row r="4854" spans="8:28" ht="15" customHeight="1">
      <c r="H4854" s="2"/>
      <c r="I4854" s="2"/>
      <c r="J4854" s="2"/>
      <c r="K4854" s="2"/>
      <c r="L4854" s="2"/>
      <c r="M4854" s="2"/>
      <c r="N4854" s="2"/>
      <c r="P4854" s="2"/>
      <c r="Q4854" s="2"/>
      <c r="R4854" s="2"/>
      <c r="AB4854" s="2"/>
    </row>
    <row r="4855" spans="8:28" ht="15" customHeight="1">
      <c r="H4855" s="2"/>
      <c r="I4855" s="2"/>
      <c r="J4855" s="2"/>
      <c r="K4855" s="2"/>
      <c r="L4855" s="2"/>
      <c r="M4855" s="2"/>
      <c r="N4855" s="2"/>
      <c r="P4855" s="2"/>
      <c r="Q4855" s="2"/>
      <c r="R4855" s="2"/>
      <c r="AB4855" s="2"/>
    </row>
    <row r="4856" spans="8:28" ht="15" customHeight="1">
      <c r="H4856" s="2"/>
      <c r="I4856" s="2"/>
      <c r="J4856" s="2"/>
      <c r="K4856" s="2"/>
      <c r="L4856" s="2"/>
      <c r="M4856" s="2"/>
      <c r="N4856" s="2"/>
      <c r="P4856" s="2"/>
      <c r="Q4856" s="2"/>
      <c r="R4856" s="2"/>
      <c r="AB4856" s="2"/>
    </row>
    <row r="4857" spans="8:28" ht="15" customHeight="1">
      <c r="H4857" s="2"/>
      <c r="I4857" s="2"/>
      <c r="J4857" s="2"/>
      <c r="K4857" s="2"/>
      <c r="L4857" s="2"/>
      <c r="M4857" s="2"/>
      <c r="N4857" s="2"/>
      <c r="P4857" s="2"/>
      <c r="Q4857" s="2"/>
      <c r="R4857" s="2"/>
      <c r="AB4857" s="2"/>
    </row>
    <row r="4858" spans="8:28" ht="15" customHeight="1">
      <c r="H4858" s="2"/>
      <c r="I4858" s="2"/>
      <c r="J4858" s="2"/>
      <c r="K4858" s="2"/>
      <c r="L4858" s="2"/>
      <c r="M4858" s="2"/>
      <c r="N4858" s="2"/>
      <c r="P4858" s="2"/>
      <c r="Q4858" s="2"/>
      <c r="R4858" s="2"/>
      <c r="AB4858" s="2"/>
    </row>
    <row r="4859" spans="8:28" ht="15" customHeight="1">
      <c r="H4859" s="2"/>
      <c r="I4859" s="2"/>
      <c r="J4859" s="2"/>
      <c r="K4859" s="2"/>
      <c r="L4859" s="2"/>
      <c r="M4859" s="2"/>
      <c r="N4859" s="2"/>
      <c r="P4859" s="2"/>
      <c r="Q4859" s="2"/>
      <c r="R4859" s="2"/>
      <c r="AB4859" s="2"/>
    </row>
    <row r="4860" spans="8:28" ht="15" customHeight="1">
      <c r="H4860" s="2"/>
      <c r="I4860" s="2"/>
      <c r="J4860" s="2"/>
      <c r="K4860" s="2"/>
      <c r="L4860" s="2"/>
      <c r="M4860" s="2"/>
      <c r="N4860" s="2"/>
      <c r="P4860" s="2"/>
      <c r="Q4860" s="2"/>
      <c r="R4860" s="2"/>
      <c r="AB4860" s="2"/>
    </row>
    <row r="4861" spans="8:28" ht="15" customHeight="1">
      <c r="H4861" s="2"/>
      <c r="I4861" s="2"/>
      <c r="J4861" s="2"/>
      <c r="K4861" s="2"/>
      <c r="L4861" s="2"/>
      <c r="M4861" s="2"/>
      <c r="N4861" s="2"/>
      <c r="P4861" s="2"/>
      <c r="Q4861" s="2"/>
      <c r="R4861" s="2"/>
      <c r="AB4861" s="2"/>
    </row>
    <row r="4862" spans="8:28" ht="15" customHeight="1">
      <c r="H4862" s="2"/>
      <c r="I4862" s="2"/>
      <c r="J4862" s="2"/>
      <c r="K4862" s="2"/>
      <c r="L4862" s="2"/>
      <c r="M4862" s="2"/>
      <c r="N4862" s="2"/>
      <c r="P4862" s="2"/>
      <c r="Q4862" s="2"/>
      <c r="R4862" s="2"/>
      <c r="AB4862" s="2"/>
    </row>
    <row r="4863" spans="8:28" ht="15" customHeight="1">
      <c r="H4863" s="2"/>
      <c r="I4863" s="2"/>
      <c r="J4863" s="2"/>
      <c r="K4863" s="2"/>
      <c r="L4863" s="2"/>
      <c r="M4863" s="2"/>
      <c r="N4863" s="2"/>
      <c r="P4863" s="2"/>
      <c r="Q4863" s="2"/>
      <c r="R4863" s="2"/>
      <c r="AB4863" s="2"/>
    </row>
    <row r="4864" spans="8:28" ht="15" customHeight="1">
      <c r="H4864" s="2"/>
      <c r="I4864" s="2"/>
      <c r="J4864" s="2"/>
      <c r="K4864" s="2"/>
      <c r="L4864" s="2"/>
      <c r="M4864" s="2"/>
      <c r="N4864" s="2"/>
      <c r="P4864" s="2"/>
      <c r="Q4864" s="2"/>
      <c r="R4864" s="2"/>
      <c r="AB4864" s="2"/>
    </row>
    <row r="4865" spans="8:28" ht="15" customHeight="1">
      <c r="H4865" s="2"/>
      <c r="I4865" s="2"/>
      <c r="J4865" s="2"/>
      <c r="K4865" s="2"/>
      <c r="L4865" s="2"/>
      <c r="M4865" s="2"/>
      <c r="N4865" s="2"/>
      <c r="P4865" s="2"/>
      <c r="Q4865" s="2"/>
      <c r="R4865" s="2"/>
      <c r="AB4865" s="2"/>
    </row>
    <row r="4866" spans="8:28" ht="15" customHeight="1">
      <c r="H4866" s="2"/>
      <c r="I4866" s="2"/>
      <c r="J4866" s="2"/>
      <c r="K4866" s="2"/>
      <c r="L4866" s="2"/>
      <c r="M4866" s="2"/>
      <c r="N4866" s="2"/>
      <c r="P4866" s="2"/>
      <c r="Q4866" s="2"/>
      <c r="R4866" s="2"/>
      <c r="AB4866" s="2"/>
    </row>
    <row r="4867" spans="8:28" ht="15" customHeight="1">
      <c r="H4867" s="2"/>
      <c r="I4867" s="2"/>
      <c r="J4867" s="2"/>
      <c r="K4867" s="2"/>
      <c r="L4867" s="2"/>
      <c r="M4867" s="2"/>
      <c r="N4867" s="2"/>
      <c r="P4867" s="2"/>
      <c r="Q4867" s="2"/>
      <c r="R4867" s="2"/>
      <c r="AB4867" s="2"/>
    </row>
    <row r="4868" spans="8:28" ht="15" customHeight="1">
      <c r="H4868" s="2"/>
      <c r="I4868" s="2"/>
      <c r="J4868" s="2"/>
      <c r="K4868" s="2"/>
      <c r="L4868" s="2"/>
      <c r="M4868" s="2"/>
      <c r="N4868" s="2"/>
      <c r="P4868" s="2"/>
      <c r="Q4868" s="2"/>
      <c r="R4868" s="2"/>
      <c r="AB4868" s="2"/>
    </row>
    <row r="4869" spans="8:28" ht="15" customHeight="1">
      <c r="H4869" s="2"/>
      <c r="I4869" s="2"/>
      <c r="J4869" s="2"/>
      <c r="K4869" s="2"/>
      <c r="L4869" s="2"/>
      <c r="M4869" s="2"/>
      <c r="N4869" s="2"/>
      <c r="P4869" s="2"/>
      <c r="Q4869" s="2"/>
      <c r="R4869" s="2"/>
      <c r="AB4869" s="2"/>
    </row>
    <row r="4870" spans="8:28" ht="15" customHeight="1">
      <c r="H4870" s="2"/>
      <c r="I4870" s="2"/>
      <c r="J4870" s="2"/>
      <c r="K4870" s="2"/>
      <c r="L4870" s="2"/>
      <c r="M4870" s="2"/>
      <c r="N4870" s="2"/>
      <c r="P4870" s="2"/>
      <c r="Q4870" s="2"/>
      <c r="R4870" s="2"/>
      <c r="AB4870" s="2"/>
    </row>
    <row r="4871" spans="8:28" ht="15" customHeight="1">
      <c r="H4871" s="2"/>
      <c r="I4871" s="2"/>
      <c r="J4871" s="2"/>
      <c r="K4871" s="2"/>
      <c r="L4871" s="2"/>
      <c r="M4871" s="2"/>
      <c r="N4871" s="2"/>
      <c r="P4871" s="2"/>
      <c r="Q4871" s="2"/>
      <c r="R4871" s="2"/>
      <c r="AB4871" s="2"/>
    </row>
    <row r="4872" spans="8:28" ht="15" customHeight="1">
      <c r="H4872" s="2"/>
      <c r="I4872" s="2"/>
      <c r="J4872" s="2"/>
      <c r="K4872" s="2"/>
      <c r="L4872" s="2"/>
      <c r="M4872" s="2"/>
      <c r="N4872" s="2"/>
      <c r="P4872" s="2"/>
      <c r="Q4872" s="2"/>
      <c r="R4872" s="2"/>
      <c r="AB4872" s="2"/>
    </row>
    <row r="4873" spans="8:28" ht="15" customHeight="1">
      <c r="H4873" s="2"/>
      <c r="I4873" s="2"/>
      <c r="J4873" s="2"/>
      <c r="K4873" s="2"/>
      <c r="L4873" s="2"/>
      <c r="M4873" s="2"/>
      <c r="N4873" s="2"/>
      <c r="P4873" s="2"/>
      <c r="Q4873" s="2"/>
      <c r="R4873" s="2"/>
      <c r="AB4873" s="2"/>
    </row>
    <row r="4874" spans="8:28" ht="15" customHeight="1">
      <c r="H4874" s="2"/>
      <c r="I4874" s="2"/>
      <c r="J4874" s="2"/>
      <c r="K4874" s="2"/>
      <c r="L4874" s="2"/>
      <c r="M4874" s="2"/>
      <c r="N4874" s="2"/>
      <c r="P4874" s="2"/>
      <c r="Q4874" s="2"/>
      <c r="R4874" s="2"/>
      <c r="AB4874" s="2"/>
    </row>
    <row r="4875" spans="8:28" ht="15" customHeight="1">
      <c r="H4875" s="2"/>
      <c r="I4875" s="2"/>
      <c r="J4875" s="2"/>
      <c r="K4875" s="2"/>
      <c r="L4875" s="2"/>
      <c r="M4875" s="2"/>
      <c r="N4875" s="2"/>
      <c r="P4875" s="2"/>
      <c r="Q4875" s="2"/>
      <c r="R4875" s="2"/>
      <c r="AB4875" s="2"/>
    </row>
    <row r="4876" spans="8:28" ht="15" customHeight="1">
      <c r="H4876" s="2"/>
      <c r="I4876" s="2"/>
      <c r="J4876" s="2"/>
      <c r="K4876" s="2"/>
      <c r="L4876" s="2"/>
      <c r="M4876" s="2"/>
      <c r="N4876" s="2"/>
      <c r="P4876" s="2"/>
      <c r="Q4876" s="2"/>
      <c r="R4876" s="2"/>
      <c r="AB4876" s="2"/>
    </row>
    <row r="4877" spans="8:28" ht="15" customHeight="1">
      <c r="H4877" s="2"/>
      <c r="I4877" s="2"/>
      <c r="J4877" s="2"/>
      <c r="K4877" s="2"/>
      <c r="L4877" s="2"/>
      <c r="M4877" s="2"/>
      <c r="N4877" s="2"/>
      <c r="P4877" s="2"/>
      <c r="Q4877" s="2"/>
      <c r="R4877" s="2"/>
      <c r="AB4877" s="2"/>
    </row>
    <row r="4878" spans="8:28" ht="15" customHeight="1">
      <c r="H4878" s="2"/>
      <c r="I4878" s="2"/>
      <c r="J4878" s="2"/>
      <c r="K4878" s="2"/>
      <c r="L4878" s="2"/>
      <c r="M4878" s="2"/>
      <c r="N4878" s="2"/>
      <c r="P4878" s="2"/>
      <c r="Q4878" s="2"/>
      <c r="R4878" s="2"/>
      <c r="AB4878" s="2"/>
    </row>
    <row r="4879" spans="8:28" ht="15" customHeight="1">
      <c r="H4879" s="2"/>
      <c r="I4879" s="2"/>
      <c r="J4879" s="2"/>
      <c r="K4879" s="2"/>
      <c r="L4879" s="2"/>
      <c r="M4879" s="2"/>
      <c r="N4879" s="2"/>
      <c r="P4879" s="2"/>
      <c r="Q4879" s="2"/>
      <c r="R4879" s="2"/>
      <c r="AB4879" s="2"/>
    </row>
    <row r="4880" spans="8:28" ht="15" customHeight="1">
      <c r="H4880" s="2"/>
      <c r="I4880" s="2"/>
      <c r="J4880" s="2"/>
      <c r="K4880" s="2"/>
      <c r="L4880" s="2"/>
      <c r="M4880" s="2"/>
      <c r="N4880" s="2"/>
      <c r="P4880" s="2"/>
      <c r="Q4880" s="2"/>
      <c r="R4880" s="2"/>
      <c r="AB4880" s="2"/>
    </row>
    <row r="4881" spans="8:28" ht="15" customHeight="1">
      <c r="H4881" s="2"/>
      <c r="I4881" s="2"/>
      <c r="J4881" s="2"/>
      <c r="K4881" s="2"/>
      <c r="L4881" s="2"/>
      <c r="M4881" s="2"/>
      <c r="N4881" s="2"/>
      <c r="P4881" s="2"/>
      <c r="Q4881" s="2"/>
      <c r="R4881" s="2"/>
      <c r="AB4881" s="2"/>
    </row>
    <row r="4882" spans="8:28" ht="15" customHeight="1">
      <c r="H4882" s="2"/>
      <c r="I4882" s="2"/>
      <c r="J4882" s="2"/>
      <c r="K4882" s="2"/>
      <c r="L4882" s="2"/>
      <c r="M4882" s="2"/>
      <c r="N4882" s="2"/>
      <c r="P4882" s="2"/>
      <c r="Q4882" s="2"/>
      <c r="R4882" s="2"/>
      <c r="AB4882" s="2"/>
    </row>
    <row r="4883" spans="8:28" ht="15" customHeight="1">
      <c r="H4883" s="2"/>
      <c r="I4883" s="2"/>
      <c r="J4883" s="2"/>
      <c r="K4883" s="2"/>
      <c r="L4883" s="2"/>
      <c r="M4883" s="2"/>
      <c r="N4883" s="2"/>
      <c r="P4883" s="2"/>
      <c r="Q4883" s="2"/>
      <c r="R4883" s="2"/>
      <c r="AB4883" s="2"/>
    </row>
    <row r="4884" spans="8:28" ht="15" customHeight="1">
      <c r="H4884" s="2"/>
      <c r="I4884" s="2"/>
      <c r="J4884" s="2"/>
      <c r="K4884" s="2"/>
      <c r="L4884" s="2"/>
      <c r="M4884" s="2"/>
      <c r="N4884" s="2"/>
      <c r="P4884" s="2"/>
      <c r="Q4884" s="2"/>
      <c r="R4884" s="2"/>
      <c r="AB4884" s="2"/>
    </row>
    <row r="4885" spans="8:28" ht="15" customHeight="1">
      <c r="H4885" s="2"/>
      <c r="I4885" s="2"/>
      <c r="J4885" s="2"/>
      <c r="K4885" s="2"/>
      <c r="L4885" s="2"/>
      <c r="M4885" s="2"/>
      <c r="N4885" s="2"/>
      <c r="P4885" s="2"/>
      <c r="Q4885" s="2"/>
      <c r="R4885" s="2"/>
      <c r="AB4885" s="2"/>
    </row>
    <row r="4886" spans="8:28" ht="15" customHeight="1">
      <c r="H4886" s="2"/>
      <c r="I4886" s="2"/>
      <c r="J4886" s="2"/>
      <c r="K4886" s="2"/>
      <c r="L4886" s="2"/>
      <c r="M4886" s="2"/>
      <c r="N4886" s="2"/>
      <c r="P4886" s="2"/>
      <c r="Q4886" s="2"/>
      <c r="R4886" s="2"/>
      <c r="AB4886" s="2"/>
    </row>
    <row r="4887" spans="8:28" ht="15" customHeight="1">
      <c r="H4887" s="2"/>
      <c r="I4887" s="2"/>
      <c r="J4887" s="2"/>
      <c r="K4887" s="2"/>
      <c r="L4887" s="2"/>
      <c r="M4887" s="2"/>
      <c r="N4887" s="2"/>
      <c r="P4887" s="2"/>
      <c r="Q4887" s="2"/>
      <c r="R4887" s="2"/>
      <c r="AB4887" s="2"/>
    </row>
    <row r="4888" spans="8:28" ht="15" customHeight="1">
      <c r="H4888" s="2"/>
      <c r="I4888" s="2"/>
      <c r="J4888" s="2"/>
      <c r="K4888" s="2"/>
      <c r="L4888" s="2"/>
      <c r="M4888" s="2"/>
      <c r="N4888" s="2"/>
      <c r="P4888" s="2"/>
      <c r="Q4888" s="2"/>
      <c r="R4888" s="2"/>
      <c r="AB4888" s="2"/>
    </row>
    <row r="4889" spans="8:28" ht="15" customHeight="1">
      <c r="H4889" s="2"/>
      <c r="I4889" s="2"/>
      <c r="J4889" s="2"/>
      <c r="K4889" s="2"/>
      <c r="L4889" s="2"/>
      <c r="M4889" s="2"/>
      <c r="N4889" s="2"/>
      <c r="P4889" s="2"/>
      <c r="Q4889" s="2"/>
      <c r="R4889" s="2"/>
      <c r="AB4889" s="2"/>
    </row>
    <row r="4890" spans="8:28" ht="15" customHeight="1">
      <c r="H4890" s="2"/>
      <c r="I4890" s="2"/>
      <c r="J4890" s="2"/>
      <c r="K4890" s="2"/>
      <c r="L4890" s="2"/>
      <c r="M4890" s="2"/>
      <c r="N4890" s="2"/>
      <c r="P4890" s="2"/>
      <c r="Q4890" s="2"/>
      <c r="R4890" s="2"/>
      <c r="AB4890" s="2"/>
    </row>
    <row r="4891" spans="8:28" ht="15" customHeight="1">
      <c r="H4891" s="2"/>
      <c r="I4891" s="2"/>
      <c r="J4891" s="2"/>
      <c r="K4891" s="2"/>
      <c r="L4891" s="2"/>
      <c r="M4891" s="2"/>
      <c r="N4891" s="2"/>
      <c r="P4891" s="2"/>
      <c r="Q4891" s="2"/>
      <c r="R4891" s="2"/>
      <c r="AB4891" s="2"/>
    </row>
    <row r="4892" spans="8:28" ht="15" customHeight="1">
      <c r="H4892" s="2"/>
      <c r="I4892" s="2"/>
      <c r="J4892" s="2"/>
      <c r="K4892" s="2"/>
      <c r="L4892" s="2"/>
      <c r="M4892" s="2"/>
      <c r="N4892" s="2"/>
      <c r="P4892" s="2"/>
      <c r="Q4892" s="2"/>
      <c r="R4892" s="2"/>
      <c r="AB4892" s="2"/>
    </row>
    <row r="4893" spans="8:28" ht="15" customHeight="1">
      <c r="H4893" s="2"/>
      <c r="I4893" s="2"/>
      <c r="J4893" s="2"/>
      <c r="K4893" s="2"/>
      <c r="L4893" s="2"/>
      <c r="M4893" s="2"/>
      <c r="N4893" s="2"/>
      <c r="P4893" s="2"/>
      <c r="Q4893" s="2"/>
      <c r="R4893" s="2"/>
      <c r="AB4893" s="2"/>
    </row>
    <row r="4894" spans="8:28" ht="15" customHeight="1">
      <c r="H4894" s="2"/>
      <c r="I4894" s="2"/>
      <c r="J4894" s="2"/>
      <c r="K4894" s="2"/>
      <c r="L4894" s="2"/>
      <c r="M4894" s="2"/>
      <c r="N4894" s="2"/>
      <c r="P4894" s="2"/>
      <c r="Q4894" s="2"/>
      <c r="R4894" s="2"/>
      <c r="AB4894" s="2"/>
    </row>
    <row r="4895" spans="8:28" ht="15" customHeight="1">
      <c r="H4895" s="2"/>
      <c r="I4895" s="2"/>
      <c r="J4895" s="2"/>
      <c r="K4895" s="2"/>
      <c r="L4895" s="2"/>
      <c r="M4895" s="2"/>
      <c r="N4895" s="2"/>
      <c r="P4895" s="2"/>
      <c r="Q4895" s="2"/>
      <c r="R4895" s="2"/>
      <c r="AB4895" s="2"/>
    </row>
    <row r="4896" spans="8:28" ht="15" customHeight="1">
      <c r="H4896" s="2"/>
      <c r="I4896" s="2"/>
      <c r="J4896" s="2"/>
      <c r="K4896" s="2"/>
      <c r="L4896" s="2"/>
      <c r="M4896" s="2"/>
      <c r="N4896" s="2"/>
      <c r="P4896" s="2"/>
      <c r="Q4896" s="2"/>
      <c r="R4896" s="2"/>
      <c r="AB4896" s="2"/>
    </row>
    <row r="4897" spans="8:28" ht="15" customHeight="1">
      <c r="H4897" s="2"/>
      <c r="I4897" s="2"/>
      <c r="J4897" s="2"/>
      <c r="K4897" s="2"/>
      <c r="L4897" s="2"/>
      <c r="M4897" s="2"/>
      <c r="N4897" s="2"/>
      <c r="P4897" s="2"/>
      <c r="Q4897" s="2"/>
      <c r="R4897" s="2"/>
      <c r="AB4897" s="2"/>
    </row>
    <row r="4898" spans="8:28" ht="15" customHeight="1">
      <c r="H4898" s="2"/>
      <c r="I4898" s="2"/>
      <c r="J4898" s="2"/>
      <c r="K4898" s="2"/>
      <c r="L4898" s="2"/>
      <c r="M4898" s="2"/>
      <c r="N4898" s="2"/>
      <c r="P4898" s="2"/>
      <c r="Q4898" s="2"/>
      <c r="R4898" s="2"/>
      <c r="AB4898" s="2"/>
    </row>
    <row r="4899" spans="8:28" ht="15" customHeight="1">
      <c r="H4899" s="2"/>
      <c r="I4899" s="2"/>
      <c r="J4899" s="2"/>
      <c r="K4899" s="2"/>
      <c r="L4899" s="2"/>
      <c r="M4899" s="2"/>
      <c r="N4899" s="2"/>
      <c r="P4899" s="2"/>
      <c r="Q4899" s="2"/>
      <c r="R4899" s="2"/>
      <c r="AB4899" s="2"/>
    </row>
    <row r="4900" spans="8:28" ht="15" customHeight="1">
      <c r="H4900" s="2"/>
      <c r="I4900" s="2"/>
      <c r="J4900" s="2"/>
      <c r="K4900" s="2"/>
      <c r="L4900" s="2"/>
      <c r="M4900" s="2"/>
      <c r="N4900" s="2"/>
      <c r="P4900" s="2"/>
      <c r="Q4900" s="2"/>
      <c r="R4900" s="2"/>
      <c r="AB4900" s="2"/>
    </row>
    <row r="4901" spans="8:28" ht="15" customHeight="1">
      <c r="H4901" s="2"/>
      <c r="I4901" s="2"/>
      <c r="J4901" s="2"/>
      <c r="K4901" s="2"/>
      <c r="L4901" s="2"/>
      <c r="M4901" s="2"/>
      <c r="N4901" s="2"/>
      <c r="P4901" s="2"/>
      <c r="Q4901" s="2"/>
      <c r="R4901" s="2"/>
      <c r="AB4901" s="2"/>
    </row>
    <row r="4902" spans="8:28" ht="15" customHeight="1">
      <c r="H4902" s="2"/>
      <c r="I4902" s="2"/>
      <c r="J4902" s="2"/>
      <c r="K4902" s="2"/>
      <c r="L4902" s="2"/>
      <c r="M4902" s="2"/>
      <c r="N4902" s="2"/>
      <c r="P4902" s="2"/>
      <c r="Q4902" s="2"/>
      <c r="R4902" s="2"/>
      <c r="AB4902" s="2"/>
    </row>
    <row r="4903" spans="8:28" ht="15" customHeight="1">
      <c r="H4903" s="2"/>
      <c r="I4903" s="2"/>
      <c r="J4903" s="2"/>
      <c r="K4903" s="2"/>
      <c r="L4903" s="2"/>
      <c r="M4903" s="2"/>
      <c r="N4903" s="2"/>
      <c r="P4903" s="2"/>
      <c r="Q4903" s="2"/>
      <c r="R4903" s="2"/>
      <c r="AB4903" s="2"/>
    </row>
    <row r="4904" spans="8:28" ht="15" customHeight="1">
      <c r="H4904" s="2"/>
      <c r="I4904" s="2"/>
      <c r="J4904" s="2"/>
      <c r="K4904" s="2"/>
      <c r="L4904" s="2"/>
      <c r="M4904" s="2"/>
      <c r="N4904" s="2"/>
      <c r="P4904" s="2"/>
      <c r="Q4904" s="2"/>
      <c r="R4904" s="2"/>
      <c r="AB4904" s="2"/>
    </row>
    <row r="4905" spans="8:28" ht="15" customHeight="1">
      <c r="H4905" s="2"/>
      <c r="I4905" s="2"/>
      <c r="J4905" s="2"/>
      <c r="K4905" s="2"/>
      <c r="L4905" s="2"/>
      <c r="M4905" s="2"/>
      <c r="N4905" s="2"/>
      <c r="P4905" s="2"/>
      <c r="Q4905" s="2"/>
      <c r="R4905" s="2"/>
      <c r="AB4905" s="2"/>
    </row>
    <row r="4906" spans="8:28" ht="15" customHeight="1">
      <c r="H4906" s="2"/>
      <c r="I4906" s="2"/>
      <c r="J4906" s="2"/>
      <c r="K4906" s="2"/>
      <c r="L4906" s="2"/>
      <c r="M4906" s="2"/>
      <c r="N4906" s="2"/>
      <c r="P4906" s="2"/>
      <c r="Q4906" s="2"/>
      <c r="R4906" s="2"/>
      <c r="AB4906" s="2"/>
    </row>
    <row r="4907" spans="8:28" ht="15" customHeight="1">
      <c r="H4907" s="2"/>
      <c r="I4907" s="2"/>
      <c r="J4907" s="2"/>
      <c r="K4907" s="2"/>
      <c r="L4907" s="2"/>
      <c r="M4907" s="2"/>
      <c r="N4907" s="2"/>
      <c r="P4907" s="2"/>
      <c r="Q4907" s="2"/>
      <c r="R4907" s="2"/>
      <c r="AB4907" s="2"/>
    </row>
    <row r="4908" spans="8:28" ht="15" customHeight="1">
      <c r="H4908" s="2"/>
      <c r="I4908" s="2"/>
      <c r="J4908" s="2"/>
      <c r="K4908" s="2"/>
      <c r="L4908" s="2"/>
      <c r="M4908" s="2"/>
      <c r="N4908" s="2"/>
      <c r="P4908" s="2"/>
      <c r="Q4908" s="2"/>
      <c r="R4908" s="2"/>
      <c r="AB4908" s="2"/>
    </row>
    <row r="4909" spans="8:28" ht="15" customHeight="1">
      <c r="H4909" s="2"/>
      <c r="I4909" s="2"/>
      <c r="J4909" s="2"/>
      <c r="K4909" s="2"/>
      <c r="L4909" s="2"/>
      <c r="M4909" s="2"/>
      <c r="N4909" s="2"/>
      <c r="P4909" s="2"/>
      <c r="Q4909" s="2"/>
      <c r="R4909" s="2"/>
      <c r="AB4909" s="2"/>
    </row>
    <row r="4910" spans="8:28" ht="15" customHeight="1">
      <c r="H4910" s="2"/>
      <c r="I4910" s="2"/>
      <c r="J4910" s="2"/>
      <c r="K4910" s="2"/>
      <c r="L4910" s="2"/>
      <c r="M4910" s="2"/>
      <c r="N4910" s="2"/>
      <c r="P4910" s="2"/>
      <c r="Q4910" s="2"/>
      <c r="R4910" s="2"/>
      <c r="AB4910" s="2"/>
    </row>
    <row r="4911" spans="8:28" ht="15" customHeight="1">
      <c r="H4911" s="2"/>
      <c r="I4911" s="2"/>
      <c r="J4911" s="2"/>
      <c r="K4911" s="2"/>
      <c r="L4911" s="2"/>
      <c r="M4911" s="2"/>
      <c r="N4911" s="2"/>
      <c r="P4911" s="2"/>
      <c r="Q4911" s="2"/>
      <c r="R4911" s="2"/>
      <c r="AB4911" s="2"/>
    </row>
    <row r="4912" spans="8:28" ht="15" customHeight="1">
      <c r="H4912" s="2"/>
      <c r="I4912" s="2"/>
      <c r="J4912" s="2"/>
      <c r="K4912" s="2"/>
      <c r="L4912" s="2"/>
      <c r="M4912" s="2"/>
      <c r="N4912" s="2"/>
      <c r="P4912" s="2"/>
      <c r="Q4912" s="2"/>
      <c r="R4912" s="2"/>
      <c r="AB4912" s="2"/>
    </row>
    <row r="4913" spans="8:28" ht="15" customHeight="1">
      <c r="H4913" s="2"/>
      <c r="I4913" s="2"/>
      <c r="J4913" s="2"/>
      <c r="K4913" s="2"/>
      <c r="L4913" s="2"/>
      <c r="M4913" s="2"/>
      <c r="N4913" s="2"/>
      <c r="P4913" s="2"/>
      <c r="Q4913" s="2"/>
      <c r="R4913" s="2"/>
      <c r="AB4913" s="2"/>
    </row>
    <row r="4914" spans="8:28" ht="15" customHeight="1">
      <c r="H4914" s="2"/>
      <c r="I4914" s="2"/>
      <c r="J4914" s="2"/>
      <c r="K4914" s="2"/>
      <c r="L4914" s="2"/>
      <c r="M4914" s="2"/>
      <c r="N4914" s="2"/>
      <c r="P4914" s="2"/>
      <c r="Q4914" s="2"/>
      <c r="R4914" s="2"/>
      <c r="AB4914" s="2"/>
    </row>
    <row r="4915" spans="8:28" ht="15" customHeight="1">
      <c r="H4915" s="2"/>
      <c r="I4915" s="2"/>
      <c r="J4915" s="2"/>
      <c r="K4915" s="2"/>
      <c r="L4915" s="2"/>
      <c r="M4915" s="2"/>
      <c r="N4915" s="2"/>
      <c r="P4915" s="2"/>
      <c r="Q4915" s="2"/>
      <c r="R4915" s="2"/>
      <c r="AB4915" s="2"/>
    </row>
    <row r="4916" spans="8:28" ht="15" customHeight="1">
      <c r="H4916" s="2"/>
      <c r="I4916" s="2"/>
      <c r="J4916" s="2"/>
      <c r="K4916" s="2"/>
      <c r="L4916" s="2"/>
      <c r="M4916" s="2"/>
      <c r="N4916" s="2"/>
      <c r="P4916" s="2"/>
      <c r="Q4916" s="2"/>
      <c r="R4916" s="2"/>
      <c r="AB4916" s="2"/>
    </row>
    <row r="4917" spans="8:28" ht="15" customHeight="1">
      <c r="H4917" s="2"/>
      <c r="I4917" s="2"/>
      <c r="J4917" s="2"/>
      <c r="K4917" s="2"/>
      <c r="L4917" s="2"/>
      <c r="M4917" s="2"/>
      <c r="N4917" s="2"/>
      <c r="P4917" s="2"/>
      <c r="Q4917" s="2"/>
      <c r="R4917" s="2"/>
      <c r="AB4917" s="2"/>
    </row>
    <row r="4918" spans="8:28" ht="15" customHeight="1">
      <c r="H4918" s="2"/>
      <c r="I4918" s="2"/>
      <c r="J4918" s="2"/>
      <c r="K4918" s="2"/>
      <c r="L4918" s="2"/>
      <c r="M4918" s="2"/>
      <c r="N4918" s="2"/>
      <c r="P4918" s="2"/>
      <c r="Q4918" s="2"/>
      <c r="R4918" s="2"/>
      <c r="AB4918" s="2"/>
    </row>
    <row r="4919" spans="8:28" ht="15" customHeight="1">
      <c r="H4919" s="2"/>
      <c r="I4919" s="2"/>
      <c r="J4919" s="2"/>
      <c r="K4919" s="2"/>
      <c r="L4919" s="2"/>
      <c r="M4919" s="2"/>
      <c r="N4919" s="2"/>
      <c r="P4919" s="2"/>
      <c r="Q4919" s="2"/>
      <c r="R4919" s="2"/>
      <c r="AB4919" s="2"/>
    </row>
    <row r="4920" spans="8:28" ht="15" customHeight="1">
      <c r="H4920" s="2"/>
      <c r="I4920" s="2"/>
      <c r="J4920" s="2"/>
      <c r="K4920" s="2"/>
      <c r="L4920" s="2"/>
      <c r="M4920" s="2"/>
      <c r="N4920" s="2"/>
      <c r="P4920" s="2"/>
      <c r="Q4920" s="2"/>
      <c r="R4920" s="2"/>
      <c r="AB4920" s="2"/>
    </row>
    <row r="4921" spans="8:28" ht="15" customHeight="1">
      <c r="H4921" s="2"/>
      <c r="I4921" s="2"/>
      <c r="J4921" s="2"/>
      <c r="K4921" s="2"/>
      <c r="L4921" s="2"/>
      <c r="M4921" s="2"/>
      <c r="N4921" s="2"/>
      <c r="P4921" s="2"/>
      <c r="Q4921" s="2"/>
      <c r="R4921" s="2"/>
      <c r="AB4921" s="2"/>
    </row>
    <row r="4922" spans="8:28" ht="15" customHeight="1">
      <c r="H4922" s="2"/>
      <c r="I4922" s="2"/>
      <c r="J4922" s="2"/>
      <c r="K4922" s="2"/>
      <c r="L4922" s="2"/>
      <c r="M4922" s="2"/>
      <c r="N4922" s="2"/>
      <c r="P4922" s="2"/>
      <c r="Q4922" s="2"/>
      <c r="R4922" s="2"/>
      <c r="AB4922" s="2"/>
    </row>
    <row r="4923" spans="8:28" ht="15" customHeight="1">
      <c r="H4923" s="2"/>
      <c r="I4923" s="2"/>
      <c r="J4923" s="2"/>
      <c r="K4923" s="2"/>
      <c r="L4923" s="2"/>
      <c r="M4923" s="2"/>
      <c r="N4923" s="2"/>
      <c r="P4923" s="2"/>
      <c r="Q4923" s="2"/>
      <c r="R4923" s="2"/>
      <c r="AB4923" s="2"/>
    </row>
    <row r="4924" spans="8:28" ht="15" customHeight="1">
      <c r="H4924" s="2"/>
      <c r="I4924" s="2"/>
      <c r="J4924" s="2"/>
      <c r="K4924" s="2"/>
      <c r="L4924" s="2"/>
      <c r="M4924" s="2"/>
      <c r="N4924" s="2"/>
      <c r="P4924" s="2"/>
      <c r="Q4924" s="2"/>
      <c r="R4924" s="2"/>
      <c r="AB4924" s="2"/>
    </row>
    <row r="4925" spans="8:28" ht="15" customHeight="1">
      <c r="H4925" s="2"/>
      <c r="I4925" s="2"/>
      <c r="J4925" s="2"/>
      <c r="K4925" s="2"/>
      <c r="L4925" s="2"/>
      <c r="M4925" s="2"/>
      <c r="N4925" s="2"/>
      <c r="P4925" s="2"/>
      <c r="Q4925" s="2"/>
      <c r="R4925" s="2"/>
      <c r="AB4925" s="2"/>
    </row>
    <row r="4926" spans="8:28" ht="15" customHeight="1">
      <c r="H4926" s="2"/>
      <c r="I4926" s="2"/>
      <c r="J4926" s="2"/>
      <c r="K4926" s="2"/>
      <c r="L4926" s="2"/>
      <c r="M4926" s="2"/>
      <c r="N4926" s="2"/>
      <c r="P4926" s="2"/>
      <c r="Q4926" s="2"/>
      <c r="R4926" s="2"/>
      <c r="AB4926" s="2"/>
    </row>
    <row r="4927" spans="8:28" ht="15" customHeight="1">
      <c r="H4927" s="2"/>
      <c r="I4927" s="2"/>
      <c r="J4927" s="2"/>
      <c r="K4927" s="2"/>
      <c r="L4927" s="2"/>
      <c r="M4927" s="2"/>
      <c r="N4927" s="2"/>
      <c r="P4927" s="2"/>
      <c r="Q4927" s="2"/>
      <c r="R4927" s="2"/>
      <c r="AB4927" s="2"/>
    </row>
    <row r="4928" spans="8:28" ht="15" customHeight="1">
      <c r="H4928" s="2"/>
      <c r="I4928" s="2"/>
      <c r="J4928" s="2"/>
      <c r="K4928" s="2"/>
      <c r="L4928" s="2"/>
      <c r="M4928" s="2"/>
      <c r="N4928" s="2"/>
      <c r="P4928" s="2"/>
      <c r="Q4928" s="2"/>
      <c r="R4928" s="2"/>
      <c r="AB4928" s="2"/>
    </row>
    <row r="4929" spans="8:28" ht="15" customHeight="1">
      <c r="H4929" s="2"/>
      <c r="I4929" s="2"/>
      <c r="J4929" s="2"/>
      <c r="K4929" s="2"/>
      <c r="L4929" s="2"/>
      <c r="M4929" s="2"/>
      <c r="N4929" s="2"/>
      <c r="P4929" s="2"/>
      <c r="Q4929" s="2"/>
      <c r="R4929" s="2"/>
      <c r="AB4929" s="2"/>
    </row>
    <row r="4930" spans="8:28" ht="15" customHeight="1">
      <c r="H4930" s="2"/>
      <c r="I4930" s="2"/>
      <c r="J4930" s="2"/>
      <c r="K4930" s="2"/>
      <c r="L4930" s="2"/>
      <c r="M4930" s="2"/>
      <c r="N4930" s="2"/>
      <c r="P4930" s="2"/>
      <c r="Q4930" s="2"/>
      <c r="R4930" s="2"/>
      <c r="AB4930" s="2"/>
    </row>
    <row r="4931" spans="8:28" ht="15" customHeight="1">
      <c r="H4931" s="2"/>
      <c r="I4931" s="2"/>
      <c r="J4931" s="2"/>
      <c r="K4931" s="2"/>
      <c r="L4931" s="2"/>
      <c r="M4931" s="2"/>
      <c r="N4931" s="2"/>
      <c r="P4931" s="2"/>
      <c r="Q4931" s="2"/>
      <c r="R4931" s="2"/>
      <c r="AB4931" s="2"/>
    </row>
    <row r="4932" spans="8:28" ht="15" customHeight="1">
      <c r="H4932" s="2"/>
      <c r="I4932" s="2"/>
      <c r="J4932" s="2"/>
      <c r="K4932" s="2"/>
      <c r="L4932" s="2"/>
      <c r="M4932" s="2"/>
      <c r="N4932" s="2"/>
      <c r="P4932" s="2"/>
      <c r="Q4932" s="2"/>
      <c r="R4932" s="2"/>
      <c r="AB4932" s="2"/>
    </row>
    <row r="4933" spans="8:28" ht="15" customHeight="1">
      <c r="H4933" s="2"/>
      <c r="I4933" s="2"/>
      <c r="J4933" s="2"/>
      <c r="K4933" s="2"/>
      <c r="L4933" s="2"/>
      <c r="M4933" s="2"/>
      <c r="N4933" s="2"/>
      <c r="P4933" s="2"/>
      <c r="Q4933" s="2"/>
      <c r="R4933" s="2"/>
      <c r="AB4933" s="2"/>
    </row>
    <row r="4934" spans="8:28" ht="15" customHeight="1">
      <c r="H4934" s="2"/>
      <c r="I4934" s="2"/>
      <c r="J4934" s="2"/>
      <c r="K4934" s="2"/>
      <c r="L4934" s="2"/>
      <c r="M4934" s="2"/>
      <c r="N4934" s="2"/>
      <c r="P4934" s="2"/>
      <c r="Q4934" s="2"/>
      <c r="R4934" s="2"/>
      <c r="AB4934" s="2"/>
    </row>
    <row r="4935" spans="8:28" ht="15" customHeight="1">
      <c r="H4935" s="2"/>
      <c r="I4935" s="2"/>
      <c r="J4935" s="2"/>
      <c r="K4935" s="2"/>
      <c r="L4935" s="2"/>
      <c r="M4935" s="2"/>
      <c r="N4935" s="2"/>
      <c r="P4935" s="2"/>
      <c r="Q4935" s="2"/>
      <c r="R4935" s="2"/>
      <c r="AB4935" s="2"/>
    </row>
    <row r="4936" spans="8:28" ht="15" customHeight="1">
      <c r="H4936" s="2"/>
      <c r="I4936" s="2"/>
      <c r="J4936" s="2"/>
      <c r="K4936" s="2"/>
      <c r="L4936" s="2"/>
      <c r="M4936" s="2"/>
      <c r="N4936" s="2"/>
      <c r="P4936" s="2"/>
      <c r="Q4936" s="2"/>
      <c r="R4936" s="2"/>
      <c r="AB4936" s="2"/>
    </row>
    <row r="4937" spans="8:28" ht="15" customHeight="1">
      <c r="H4937" s="2"/>
      <c r="I4937" s="2"/>
      <c r="J4937" s="2"/>
      <c r="K4937" s="2"/>
      <c r="L4937" s="2"/>
      <c r="M4937" s="2"/>
      <c r="N4937" s="2"/>
      <c r="P4937" s="2"/>
      <c r="Q4937" s="2"/>
      <c r="R4937" s="2"/>
      <c r="AB4937" s="2"/>
    </row>
    <row r="4938" spans="8:28" ht="15" customHeight="1">
      <c r="H4938" s="2"/>
      <c r="I4938" s="2"/>
      <c r="J4938" s="2"/>
      <c r="K4938" s="2"/>
      <c r="L4938" s="2"/>
      <c r="M4938" s="2"/>
      <c r="N4938" s="2"/>
      <c r="P4938" s="2"/>
      <c r="Q4938" s="2"/>
      <c r="R4938" s="2"/>
      <c r="AB4938" s="2"/>
    </row>
    <row r="4939" spans="8:28" ht="15" customHeight="1">
      <c r="H4939" s="2"/>
      <c r="I4939" s="2"/>
      <c r="J4939" s="2"/>
      <c r="K4939" s="2"/>
      <c r="L4939" s="2"/>
      <c r="M4939" s="2"/>
      <c r="N4939" s="2"/>
      <c r="P4939" s="2"/>
      <c r="Q4939" s="2"/>
      <c r="R4939" s="2"/>
      <c r="AB4939" s="2"/>
    </row>
    <row r="4940" spans="8:28" ht="15" customHeight="1">
      <c r="H4940" s="2"/>
      <c r="I4940" s="2"/>
      <c r="J4940" s="2"/>
      <c r="K4940" s="2"/>
      <c r="L4940" s="2"/>
      <c r="M4940" s="2"/>
      <c r="N4940" s="2"/>
      <c r="P4940" s="2"/>
      <c r="Q4940" s="2"/>
      <c r="R4940" s="2"/>
      <c r="AB4940" s="2"/>
    </row>
    <row r="4941" spans="8:28" ht="15" customHeight="1">
      <c r="H4941" s="2"/>
      <c r="I4941" s="2"/>
      <c r="J4941" s="2"/>
      <c r="K4941" s="2"/>
      <c r="L4941" s="2"/>
      <c r="M4941" s="2"/>
      <c r="N4941" s="2"/>
      <c r="P4941" s="2"/>
      <c r="Q4941" s="2"/>
      <c r="R4941" s="2"/>
      <c r="AB4941" s="2"/>
    </row>
    <row r="4942" spans="8:28" ht="15" customHeight="1">
      <c r="H4942" s="2"/>
      <c r="I4942" s="2"/>
      <c r="J4942" s="2"/>
      <c r="K4942" s="2"/>
      <c r="L4942" s="2"/>
      <c r="M4942" s="2"/>
      <c r="N4942" s="2"/>
      <c r="P4942" s="2"/>
      <c r="Q4942" s="2"/>
      <c r="R4942" s="2"/>
      <c r="AB4942" s="2"/>
    </row>
    <row r="4943" spans="8:28" ht="15" customHeight="1">
      <c r="H4943" s="2"/>
      <c r="I4943" s="2"/>
      <c r="J4943" s="2"/>
      <c r="K4943" s="2"/>
      <c r="L4943" s="2"/>
      <c r="M4943" s="2"/>
      <c r="N4943" s="2"/>
      <c r="P4943" s="2"/>
      <c r="Q4943" s="2"/>
      <c r="R4943" s="2"/>
      <c r="AB4943" s="2"/>
    </row>
    <row r="4944" spans="8:28" ht="15" customHeight="1">
      <c r="H4944" s="2"/>
      <c r="I4944" s="2"/>
      <c r="J4944" s="2"/>
      <c r="K4944" s="2"/>
      <c r="L4944" s="2"/>
      <c r="M4944" s="2"/>
      <c r="N4944" s="2"/>
      <c r="P4944" s="2"/>
      <c r="Q4944" s="2"/>
      <c r="R4944" s="2"/>
      <c r="AB4944" s="2"/>
    </row>
    <row r="4945" spans="8:28" ht="15" customHeight="1">
      <c r="H4945" s="2"/>
      <c r="I4945" s="2"/>
      <c r="J4945" s="2"/>
      <c r="K4945" s="2"/>
      <c r="L4945" s="2"/>
      <c r="M4945" s="2"/>
      <c r="N4945" s="2"/>
      <c r="P4945" s="2"/>
      <c r="Q4945" s="2"/>
      <c r="R4945" s="2"/>
      <c r="AB4945" s="2"/>
    </row>
    <row r="4946" spans="8:28" ht="15" customHeight="1">
      <c r="H4946" s="2"/>
      <c r="I4946" s="2"/>
      <c r="J4946" s="2"/>
      <c r="K4946" s="2"/>
      <c r="L4946" s="2"/>
      <c r="M4946" s="2"/>
      <c r="N4946" s="2"/>
      <c r="P4946" s="2"/>
      <c r="Q4946" s="2"/>
      <c r="R4946" s="2"/>
      <c r="AB4946" s="2"/>
    </row>
    <row r="4947" spans="8:28" ht="15" customHeight="1">
      <c r="H4947" s="2"/>
      <c r="I4947" s="2"/>
      <c r="J4947" s="2"/>
      <c r="K4947" s="2"/>
      <c r="L4947" s="2"/>
      <c r="M4947" s="2"/>
      <c r="N4947" s="2"/>
      <c r="P4947" s="2"/>
      <c r="Q4947" s="2"/>
      <c r="R4947" s="2"/>
      <c r="AB4947" s="2"/>
    </row>
    <row r="4948" spans="8:28" ht="15" customHeight="1">
      <c r="H4948" s="2"/>
      <c r="I4948" s="2"/>
      <c r="J4948" s="2"/>
      <c r="K4948" s="2"/>
      <c r="L4948" s="2"/>
      <c r="M4948" s="2"/>
      <c r="N4948" s="2"/>
      <c r="P4948" s="2"/>
      <c r="Q4948" s="2"/>
      <c r="R4948" s="2"/>
      <c r="AB4948" s="2"/>
    </row>
    <row r="4949" spans="8:28" ht="15" customHeight="1">
      <c r="H4949" s="2"/>
      <c r="I4949" s="2"/>
      <c r="J4949" s="2"/>
      <c r="K4949" s="2"/>
      <c r="L4949" s="2"/>
      <c r="M4949" s="2"/>
      <c r="N4949" s="2"/>
      <c r="P4949" s="2"/>
      <c r="Q4949" s="2"/>
      <c r="R4949" s="2"/>
      <c r="AB4949" s="2"/>
    </row>
    <row r="4950" spans="8:28" ht="15" customHeight="1">
      <c r="H4950" s="2"/>
      <c r="I4950" s="2"/>
      <c r="J4950" s="2"/>
      <c r="K4950" s="2"/>
      <c r="L4950" s="2"/>
      <c r="M4950" s="2"/>
      <c r="N4950" s="2"/>
      <c r="P4950" s="2"/>
      <c r="Q4950" s="2"/>
      <c r="R4950" s="2"/>
      <c r="AB4950" s="2"/>
    </row>
    <row r="4951" spans="8:28" ht="15" customHeight="1">
      <c r="H4951" s="2"/>
      <c r="I4951" s="2"/>
      <c r="J4951" s="2"/>
      <c r="K4951" s="2"/>
      <c r="L4951" s="2"/>
      <c r="M4951" s="2"/>
      <c r="N4951" s="2"/>
      <c r="P4951" s="2"/>
      <c r="Q4951" s="2"/>
      <c r="R4951" s="2"/>
      <c r="AB4951" s="2"/>
    </row>
    <row r="4952" spans="8:28" ht="15" customHeight="1">
      <c r="H4952" s="2"/>
      <c r="I4952" s="2"/>
      <c r="J4952" s="2"/>
      <c r="K4952" s="2"/>
      <c r="L4952" s="2"/>
      <c r="M4952" s="2"/>
      <c r="N4952" s="2"/>
      <c r="P4952" s="2"/>
      <c r="Q4952" s="2"/>
      <c r="R4952" s="2"/>
      <c r="AB4952" s="2"/>
    </row>
    <row r="4953" spans="8:28" ht="15" customHeight="1">
      <c r="H4953" s="2"/>
      <c r="I4953" s="2"/>
      <c r="J4953" s="2"/>
      <c r="K4953" s="2"/>
      <c r="L4953" s="2"/>
      <c r="M4953" s="2"/>
      <c r="N4953" s="2"/>
      <c r="P4953" s="2"/>
      <c r="Q4953" s="2"/>
      <c r="R4953" s="2"/>
      <c r="AB4953" s="2"/>
    </row>
    <row r="4954" spans="8:28" ht="15" customHeight="1">
      <c r="H4954" s="2"/>
      <c r="I4954" s="2"/>
      <c r="J4954" s="2"/>
      <c r="K4954" s="2"/>
      <c r="L4954" s="2"/>
      <c r="M4954" s="2"/>
      <c r="N4954" s="2"/>
      <c r="P4954" s="2"/>
      <c r="Q4954" s="2"/>
      <c r="R4954" s="2"/>
      <c r="AB4954" s="2"/>
    </row>
    <row r="4955" spans="8:28" ht="15" customHeight="1">
      <c r="H4955" s="2"/>
      <c r="I4955" s="2"/>
      <c r="J4955" s="2"/>
      <c r="K4955" s="2"/>
      <c r="L4955" s="2"/>
      <c r="M4955" s="2"/>
      <c r="N4955" s="2"/>
      <c r="P4955" s="2"/>
      <c r="Q4955" s="2"/>
      <c r="R4955" s="2"/>
      <c r="AB4955" s="2"/>
    </row>
    <row r="4956" spans="8:28" ht="15" customHeight="1">
      <c r="H4956" s="2"/>
      <c r="I4956" s="2"/>
      <c r="J4956" s="2"/>
      <c r="K4956" s="2"/>
      <c r="L4956" s="2"/>
      <c r="M4956" s="2"/>
      <c r="N4956" s="2"/>
      <c r="P4956" s="2"/>
      <c r="Q4956" s="2"/>
      <c r="R4956" s="2"/>
      <c r="AB4956" s="2"/>
    </row>
    <row r="4957" spans="8:28" ht="15" customHeight="1">
      <c r="H4957" s="2"/>
      <c r="I4957" s="2"/>
      <c r="J4957" s="2"/>
      <c r="K4957" s="2"/>
      <c r="L4957" s="2"/>
      <c r="M4957" s="2"/>
      <c r="N4957" s="2"/>
      <c r="P4957" s="2"/>
      <c r="Q4957" s="2"/>
      <c r="R4957" s="2"/>
      <c r="AB4957" s="2"/>
    </row>
    <row r="4958" spans="8:28" ht="15" customHeight="1">
      <c r="H4958" s="2"/>
      <c r="I4958" s="2"/>
      <c r="J4958" s="2"/>
      <c r="K4958" s="2"/>
      <c r="L4958" s="2"/>
      <c r="M4958" s="2"/>
      <c r="N4958" s="2"/>
      <c r="P4958" s="2"/>
      <c r="Q4958" s="2"/>
      <c r="R4958" s="2"/>
      <c r="AB4958" s="2"/>
    </row>
    <row r="4959" spans="8:28" ht="15" customHeight="1">
      <c r="H4959" s="2"/>
      <c r="I4959" s="2"/>
      <c r="J4959" s="2"/>
      <c r="K4959" s="2"/>
      <c r="L4959" s="2"/>
      <c r="M4959" s="2"/>
      <c r="N4959" s="2"/>
      <c r="P4959" s="2"/>
      <c r="Q4959" s="2"/>
      <c r="R4959" s="2"/>
      <c r="AB4959" s="2"/>
    </row>
    <row r="4960" spans="8:28" ht="15" customHeight="1">
      <c r="H4960" s="2"/>
      <c r="I4960" s="2"/>
      <c r="J4960" s="2"/>
      <c r="K4960" s="2"/>
      <c r="L4960" s="2"/>
      <c r="M4960" s="2"/>
      <c r="N4960" s="2"/>
      <c r="P4960" s="2"/>
      <c r="Q4960" s="2"/>
      <c r="R4960" s="2"/>
      <c r="AB4960" s="2"/>
    </row>
    <row r="4961" spans="8:28" ht="15" customHeight="1">
      <c r="H4961" s="2"/>
      <c r="I4961" s="2"/>
      <c r="J4961" s="2"/>
      <c r="K4961" s="2"/>
      <c r="L4961" s="2"/>
      <c r="M4961" s="2"/>
      <c r="N4961" s="2"/>
      <c r="P4961" s="2"/>
      <c r="Q4961" s="2"/>
      <c r="R4961" s="2"/>
      <c r="AB4961" s="2"/>
    </row>
    <row r="4962" spans="8:28" ht="15" customHeight="1">
      <c r="H4962" s="2"/>
      <c r="I4962" s="2"/>
      <c r="J4962" s="2"/>
      <c r="K4962" s="2"/>
      <c r="L4962" s="2"/>
      <c r="M4962" s="2"/>
      <c r="N4962" s="2"/>
      <c r="P4962" s="2"/>
      <c r="Q4962" s="2"/>
      <c r="R4962" s="2"/>
      <c r="AB4962" s="2"/>
    </row>
    <row r="4963" spans="8:28" ht="15" customHeight="1">
      <c r="H4963" s="2"/>
      <c r="I4963" s="2"/>
      <c r="J4963" s="2"/>
      <c r="K4963" s="2"/>
      <c r="L4963" s="2"/>
      <c r="M4963" s="2"/>
      <c r="N4963" s="2"/>
      <c r="P4963" s="2"/>
      <c r="Q4963" s="2"/>
      <c r="R4963" s="2"/>
      <c r="AB4963" s="2"/>
    </row>
    <row r="4964" spans="8:28" ht="15" customHeight="1">
      <c r="H4964" s="2"/>
      <c r="I4964" s="2"/>
      <c r="J4964" s="2"/>
      <c r="K4964" s="2"/>
      <c r="L4964" s="2"/>
      <c r="M4964" s="2"/>
      <c r="N4964" s="2"/>
      <c r="P4964" s="2"/>
      <c r="Q4964" s="2"/>
      <c r="R4964" s="2"/>
      <c r="AB4964" s="2"/>
    </row>
    <row r="4965" spans="8:28" ht="15" customHeight="1">
      <c r="H4965" s="2"/>
      <c r="I4965" s="2"/>
      <c r="J4965" s="2"/>
      <c r="K4965" s="2"/>
      <c r="L4965" s="2"/>
      <c r="M4965" s="2"/>
      <c r="N4965" s="2"/>
      <c r="P4965" s="2"/>
      <c r="Q4965" s="2"/>
      <c r="R4965" s="2"/>
      <c r="AB4965" s="2"/>
    </row>
    <row r="4966" spans="8:28" ht="15" customHeight="1">
      <c r="H4966" s="2"/>
      <c r="I4966" s="2"/>
      <c r="J4966" s="2"/>
      <c r="K4966" s="2"/>
      <c r="L4966" s="2"/>
      <c r="M4966" s="2"/>
      <c r="N4966" s="2"/>
      <c r="P4966" s="2"/>
      <c r="Q4966" s="2"/>
      <c r="R4966" s="2"/>
      <c r="AB4966" s="2"/>
    </row>
    <row r="4967" spans="8:28" ht="15" customHeight="1">
      <c r="H4967" s="2"/>
      <c r="I4967" s="2"/>
      <c r="J4967" s="2"/>
      <c r="K4967" s="2"/>
      <c r="L4967" s="2"/>
      <c r="M4967" s="2"/>
      <c r="N4967" s="2"/>
      <c r="P4967" s="2"/>
      <c r="Q4967" s="2"/>
      <c r="R4967" s="2"/>
      <c r="AB4967" s="2"/>
    </row>
    <row r="4968" spans="8:28" ht="15" customHeight="1">
      <c r="H4968" s="2"/>
      <c r="I4968" s="2"/>
      <c r="J4968" s="2"/>
      <c r="K4968" s="2"/>
      <c r="L4968" s="2"/>
      <c r="M4968" s="2"/>
      <c r="N4968" s="2"/>
      <c r="P4968" s="2"/>
      <c r="Q4968" s="2"/>
      <c r="R4968" s="2"/>
      <c r="AB4968" s="2"/>
    </row>
    <row r="4969" spans="8:28" ht="15" customHeight="1">
      <c r="H4969" s="2"/>
      <c r="I4969" s="2"/>
      <c r="J4969" s="2"/>
      <c r="K4969" s="2"/>
      <c r="L4969" s="2"/>
      <c r="M4969" s="2"/>
      <c r="N4969" s="2"/>
      <c r="P4969" s="2"/>
      <c r="Q4969" s="2"/>
      <c r="R4969" s="2"/>
      <c r="AB4969" s="2"/>
    </row>
    <row r="4970" spans="8:28" ht="15" customHeight="1">
      <c r="H4970" s="2"/>
      <c r="I4970" s="2"/>
      <c r="J4970" s="2"/>
      <c r="K4970" s="2"/>
      <c r="L4970" s="2"/>
      <c r="M4970" s="2"/>
      <c r="N4970" s="2"/>
      <c r="P4970" s="2"/>
      <c r="Q4970" s="2"/>
      <c r="R4970" s="2"/>
      <c r="AB4970" s="2"/>
    </row>
    <row r="4971" spans="8:28" ht="15" customHeight="1">
      <c r="H4971" s="2"/>
      <c r="I4971" s="2"/>
      <c r="J4971" s="2"/>
      <c r="K4971" s="2"/>
      <c r="L4971" s="2"/>
      <c r="M4971" s="2"/>
      <c r="N4971" s="2"/>
      <c r="P4971" s="2"/>
      <c r="Q4971" s="2"/>
      <c r="R4971" s="2"/>
      <c r="AB4971" s="2"/>
    </row>
    <row r="4972" spans="8:28" ht="15" customHeight="1">
      <c r="H4972" s="2"/>
      <c r="I4972" s="2"/>
      <c r="J4972" s="2"/>
      <c r="K4972" s="2"/>
      <c r="L4972" s="2"/>
      <c r="M4972" s="2"/>
      <c r="N4972" s="2"/>
      <c r="P4972" s="2"/>
      <c r="Q4972" s="2"/>
      <c r="R4972" s="2"/>
      <c r="AB4972" s="2"/>
    </row>
    <row r="4973" spans="8:28" ht="15" customHeight="1">
      <c r="H4973" s="2"/>
      <c r="I4973" s="2"/>
      <c r="J4973" s="2"/>
      <c r="K4973" s="2"/>
      <c r="L4973" s="2"/>
      <c r="M4973" s="2"/>
      <c r="N4973" s="2"/>
      <c r="P4973" s="2"/>
      <c r="Q4973" s="2"/>
      <c r="R4973" s="2"/>
      <c r="AB4973" s="2"/>
    </row>
    <row r="4974" spans="8:28" ht="15" customHeight="1">
      <c r="H4974" s="2"/>
      <c r="I4974" s="2"/>
      <c r="J4974" s="2"/>
      <c r="K4974" s="2"/>
      <c r="L4974" s="2"/>
      <c r="M4974" s="2"/>
      <c r="N4974" s="2"/>
      <c r="P4974" s="2"/>
      <c r="Q4974" s="2"/>
      <c r="R4974" s="2"/>
      <c r="AB4974" s="2"/>
    </row>
    <row r="4975" spans="8:28" ht="15" customHeight="1">
      <c r="H4975" s="2"/>
      <c r="I4975" s="2"/>
      <c r="J4975" s="2"/>
      <c r="K4975" s="2"/>
      <c r="L4975" s="2"/>
      <c r="M4975" s="2"/>
      <c r="N4975" s="2"/>
      <c r="P4975" s="2"/>
      <c r="Q4975" s="2"/>
      <c r="R4975" s="2"/>
      <c r="AB4975" s="2"/>
    </row>
    <row r="4976" spans="8:28" ht="15" customHeight="1">
      <c r="H4976" s="2"/>
      <c r="I4976" s="2"/>
      <c r="J4976" s="2"/>
      <c r="K4976" s="2"/>
      <c r="L4976" s="2"/>
      <c r="M4976" s="2"/>
      <c r="N4976" s="2"/>
      <c r="P4976" s="2"/>
      <c r="Q4976" s="2"/>
      <c r="R4976" s="2"/>
      <c r="AB4976" s="2"/>
    </row>
    <row r="4977" spans="8:28" ht="15" customHeight="1">
      <c r="H4977" s="2"/>
      <c r="I4977" s="2"/>
      <c r="J4977" s="2"/>
      <c r="K4977" s="2"/>
      <c r="L4977" s="2"/>
      <c r="M4977" s="2"/>
      <c r="N4977" s="2"/>
      <c r="P4977" s="2"/>
      <c r="Q4977" s="2"/>
      <c r="R4977" s="2"/>
      <c r="AB4977" s="2"/>
    </row>
    <row r="4978" spans="8:28" ht="15" customHeight="1">
      <c r="H4978" s="2"/>
      <c r="I4978" s="2"/>
      <c r="J4978" s="2"/>
      <c r="K4978" s="2"/>
      <c r="L4978" s="2"/>
      <c r="M4978" s="2"/>
      <c r="N4978" s="2"/>
      <c r="P4978" s="2"/>
      <c r="Q4978" s="2"/>
      <c r="R4978" s="2"/>
      <c r="AB4978" s="2"/>
    </row>
    <row r="4979" spans="8:28" ht="15" customHeight="1">
      <c r="H4979" s="2"/>
      <c r="I4979" s="2"/>
      <c r="J4979" s="2"/>
      <c r="K4979" s="2"/>
      <c r="L4979" s="2"/>
      <c r="M4979" s="2"/>
      <c r="N4979" s="2"/>
      <c r="P4979" s="2"/>
      <c r="Q4979" s="2"/>
      <c r="R4979" s="2"/>
      <c r="AB4979" s="2"/>
    </row>
    <row r="4980" spans="8:28" ht="15" customHeight="1">
      <c r="H4980" s="2"/>
      <c r="I4980" s="2"/>
      <c r="J4980" s="2"/>
      <c r="K4980" s="2"/>
      <c r="L4980" s="2"/>
      <c r="M4980" s="2"/>
      <c r="N4980" s="2"/>
      <c r="P4980" s="2"/>
      <c r="Q4980" s="2"/>
      <c r="R4980" s="2"/>
      <c r="AB4980" s="2"/>
    </row>
    <row r="4981" spans="8:28" ht="15" customHeight="1">
      <c r="H4981" s="2"/>
      <c r="I4981" s="2"/>
      <c r="J4981" s="2"/>
      <c r="K4981" s="2"/>
      <c r="L4981" s="2"/>
      <c r="M4981" s="2"/>
      <c r="N4981" s="2"/>
      <c r="P4981" s="2"/>
      <c r="Q4981" s="2"/>
      <c r="R4981" s="2"/>
      <c r="AB4981" s="2"/>
    </row>
    <row r="4982" spans="8:28" ht="15" customHeight="1">
      <c r="H4982" s="2"/>
      <c r="I4982" s="2"/>
      <c r="J4982" s="2"/>
      <c r="K4982" s="2"/>
      <c r="L4982" s="2"/>
      <c r="M4982" s="2"/>
      <c r="N4982" s="2"/>
      <c r="P4982" s="2"/>
      <c r="Q4982" s="2"/>
      <c r="R4982" s="2"/>
      <c r="AB4982" s="2"/>
    </row>
    <row r="4983" spans="8:28" ht="15" customHeight="1">
      <c r="H4983" s="2"/>
      <c r="I4983" s="2"/>
      <c r="J4983" s="2"/>
      <c r="K4983" s="2"/>
      <c r="L4983" s="2"/>
      <c r="M4983" s="2"/>
      <c r="N4983" s="2"/>
      <c r="P4983" s="2"/>
      <c r="Q4983" s="2"/>
      <c r="R4983" s="2"/>
      <c r="AB4983" s="2"/>
    </row>
    <row r="4984" spans="8:28" ht="15" customHeight="1">
      <c r="H4984" s="2"/>
      <c r="I4984" s="2"/>
      <c r="J4984" s="2"/>
      <c r="K4984" s="2"/>
      <c r="L4984" s="2"/>
      <c r="M4984" s="2"/>
      <c r="N4984" s="2"/>
      <c r="P4984" s="2"/>
      <c r="Q4984" s="2"/>
      <c r="R4984" s="2"/>
      <c r="AB4984" s="2"/>
    </row>
    <row r="4985" spans="8:28" ht="15" customHeight="1">
      <c r="H4985" s="2"/>
      <c r="I4985" s="2"/>
      <c r="J4985" s="2"/>
      <c r="K4985" s="2"/>
      <c r="L4985" s="2"/>
      <c r="M4985" s="2"/>
      <c r="N4985" s="2"/>
      <c r="P4985" s="2"/>
      <c r="Q4985" s="2"/>
      <c r="R4985" s="2"/>
      <c r="AB4985" s="2"/>
    </row>
    <row r="4986" spans="8:28" ht="15" customHeight="1">
      <c r="H4986" s="2"/>
      <c r="I4986" s="2"/>
      <c r="J4986" s="2"/>
      <c r="K4986" s="2"/>
      <c r="L4986" s="2"/>
      <c r="M4986" s="2"/>
      <c r="N4986" s="2"/>
      <c r="P4986" s="2"/>
      <c r="Q4986" s="2"/>
      <c r="R4986" s="2"/>
      <c r="AB4986" s="2"/>
    </row>
    <row r="4987" spans="8:28" ht="15" customHeight="1">
      <c r="H4987" s="2"/>
      <c r="I4987" s="2"/>
      <c r="J4987" s="2"/>
      <c r="K4987" s="2"/>
      <c r="L4987" s="2"/>
      <c r="M4987" s="2"/>
      <c r="N4987" s="2"/>
      <c r="P4987" s="2"/>
      <c r="Q4987" s="2"/>
      <c r="R4987" s="2"/>
      <c r="AB4987" s="2"/>
    </row>
    <row r="4988" spans="8:28" ht="15" customHeight="1">
      <c r="H4988" s="2"/>
      <c r="I4988" s="2"/>
      <c r="J4988" s="2"/>
      <c r="K4988" s="2"/>
      <c r="L4988" s="2"/>
      <c r="M4988" s="2"/>
      <c r="N4988" s="2"/>
      <c r="P4988" s="2"/>
      <c r="Q4988" s="2"/>
      <c r="R4988" s="2"/>
      <c r="AB4988" s="2"/>
    </row>
    <row r="4989" spans="8:28" ht="15" customHeight="1">
      <c r="H4989" s="2"/>
      <c r="I4989" s="2"/>
      <c r="J4989" s="2"/>
      <c r="K4989" s="2"/>
      <c r="L4989" s="2"/>
      <c r="M4989" s="2"/>
      <c r="N4989" s="2"/>
      <c r="P4989" s="2"/>
      <c r="Q4989" s="2"/>
      <c r="R4989" s="2"/>
      <c r="AB4989" s="2"/>
    </row>
    <row r="4990" spans="8:28" ht="15" customHeight="1">
      <c r="H4990" s="2"/>
      <c r="I4990" s="2"/>
      <c r="J4990" s="2"/>
      <c r="K4990" s="2"/>
      <c r="L4990" s="2"/>
      <c r="M4990" s="2"/>
      <c r="N4990" s="2"/>
      <c r="P4990" s="2"/>
      <c r="Q4990" s="2"/>
      <c r="R4990" s="2"/>
      <c r="AB4990" s="2"/>
    </row>
    <row r="4991" spans="8:28" ht="15" customHeight="1">
      <c r="H4991" s="2"/>
      <c r="I4991" s="2"/>
      <c r="J4991" s="2"/>
      <c r="K4991" s="2"/>
      <c r="L4991" s="2"/>
      <c r="M4991" s="2"/>
      <c r="N4991" s="2"/>
      <c r="P4991" s="2"/>
      <c r="Q4991" s="2"/>
      <c r="R4991" s="2"/>
      <c r="AB4991" s="2"/>
    </row>
    <row r="4992" spans="8:28" ht="15" customHeight="1">
      <c r="H4992" s="2"/>
      <c r="I4992" s="2"/>
      <c r="J4992" s="2"/>
      <c r="K4992" s="2"/>
      <c r="L4992" s="2"/>
      <c r="M4992" s="2"/>
      <c r="N4992" s="2"/>
      <c r="P4992" s="2"/>
      <c r="Q4992" s="2"/>
      <c r="R4992" s="2"/>
      <c r="AB4992" s="2"/>
    </row>
    <row r="4993" spans="8:28" ht="15" customHeight="1">
      <c r="H4993" s="2"/>
      <c r="I4993" s="2"/>
      <c r="J4993" s="2"/>
      <c r="K4993" s="2"/>
      <c r="L4993" s="2"/>
      <c r="M4993" s="2"/>
      <c r="N4993" s="2"/>
      <c r="P4993" s="2"/>
      <c r="Q4993" s="2"/>
      <c r="R4993" s="2"/>
      <c r="AB4993" s="2"/>
    </row>
    <row r="4994" spans="8:28" ht="15" customHeight="1">
      <c r="H4994" s="2"/>
      <c r="I4994" s="2"/>
      <c r="J4994" s="2"/>
      <c r="K4994" s="2"/>
      <c r="L4994" s="2"/>
      <c r="M4994" s="2"/>
      <c r="N4994" s="2"/>
      <c r="P4994" s="2"/>
      <c r="Q4994" s="2"/>
      <c r="R4994" s="2"/>
      <c r="AB4994" s="2"/>
    </row>
    <row r="4995" spans="8:28" ht="15" customHeight="1">
      <c r="H4995" s="2"/>
      <c r="I4995" s="2"/>
      <c r="J4995" s="2"/>
      <c r="K4995" s="2"/>
      <c r="L4995" s="2"/>
      <c r="M4995" s="2"/>
      <c r="N4995" s="2"/>
      <c r="P4995" s="2"/>
      <c r="Q4995" s="2"/>
      <c r="R4995" s="2"/>
      <c r="AB4995" s="2"/>
    </row>
    <row r="4996" spans="8:28" ht="15" customHeight="1">
      <c r="H4996" s="2"/>
      <c r="I4996" s="2"/>
      <c r="J4996" s="2"/>
      <c r="K4996" s="2"/>
      <c r="L4996" s="2"/>
      <c r="M4996" s="2"/>
      <c r="N4996" s="2"/>
      <c r="P4996" s="2"/>
      <c r="Q4996" s="2"/>
      <c r="R4996" s="2"/>
      <c r="AB4996" s="2"/>
    </row>
    <row r="4997" spans="8:28" ht="15" customHeight="1">
      <c r="H4997" s="2"/>
      <c r="I4997" s="2"/>
      <c r="J4997" s="2"/>
      <c r="K4997" s="2"/>
      <c r="L4997" s="2"/>
      <c r="M4997" s="2"/>
      <c r="N4997" s="2"/>
      <c r="P4997" s="2"/>
      <c r="Q4997" s="2"/>
      <c r="R4997" s="2"/>
      <c r="AB4997" s="2"/>
    </row>
    <row r="4998" spans="8:28" ht="15" customHeight="1">
      <c r="H4998" s="2"/>
      <c r="I4998" s="2"/>
      <c r="J4998" s="2"/>
      <c r="K4998" s="2"/>
      <c r="L4998" s="2"/>
      <c r="M4998" s="2"/>
      <c r="N4998" s="2"/>
      <c r="P4998" s="2"/>
      <c r="Q4998" s="2"/>
      <c r="R4998" s="2"/>
      <c r="AB4998" s="2"/>
    </row>
    <row r="4999" spans="8:28" ht="15" customHeight="1">
      <c r="H4999" s="2"/>
      <c r="I4999" s="2"/>
      <c r="J4999" s="2"/>
      <c r="K4999" s="2"/>
      <c r="L4999" s="2"/>
      <c r="M4999" s="2"/>
      <c r="N4999" s="2"/>
      <c r="P4999" s="2"/>
      <c r="Q4999" s="2"/>
      <c r="R4999" s="2"/>
      <c r="AB4999" s="2"/>
    </row>
    <row r="5000" spans="8:28" ht="15" customHeight="1">
      <c r="H5000" s="2"/>
      <c r="I5000" s="2"/>
      <c r="J5000" s="2"/>
      <c r="K5000" s="2"/>
      <c r="L5000" s="2"/>
      <c r="M5000" s="2"/>
      <c r="N5000" s="2"/>
      <c r="P5000" s="2"/>
      <c r="Q5000" s="2"/>
      <c r="R5000" s="2"/>
      <c r="AB5000" s="2"/>
    </row>
    <row r="5001" spans="8:28" ht="15" customHeight="1">
      <c r="H5001" s="2"/>
      <c r="I5001" s="2"/>
      <c r="J5001" s="2"/>
      <c r="K5001" s="2"/>
      <c r="L5001" s="2"/>
      <c r="M5001" s="2"/>
      <c r="N5001" s="2"/>
      <c r="P5001" s="2"/>
      <c r="Q5001" s="2"/>
      <c r="R5001" s="2"/>
      <c r="AB5001" s="2"/>
    </row>
    <row r="5002" spans="8:28" ht="15" customHeight="1">
      <c r="H5002" s="2"/>
      <c r="I5002" s="2"/>
      <c r="J5002" s="2"/>
      <c r="K5002" s="2"/>
      <c r="L5002" s="2"/>
      <c r="M5002" s="2"/>
      <c r="N5002" s="2"/>
      <c r="P5002" s="2"/>
      <c r="Q5002" s="2"/>
      <c r="R5002" s="2"/>
      <c r="AB5002" s="2"/>
    </row>
    <row r="5003" spans="8:28" ht="15" customHeight="1">
      <c r="H5003" s="2"/>
      <c r="I5003" s="2"/>
      <c r="J5003" s="2"/>
      <c r="K5003" s="2"/>
      <c r="L5003" s="2"/>
      <c r="M5003" s="2"/>
      <c r="N5003" s="2"/>
      <c r="P5003" s="2"/>
      <c r="Q5003" s="2"/>
      <c r="R5003" s="2"/>
      <c r="AB5003" s="2"/>
    </row>
    <row r="5004" spans="8:28" ht="15" customHeight="1">
      <c r="H5004" s="2"/>
      <c r="I5004" s="2"/>
      <c r="J5004" s="2"/>
      <c r="K5004" s="2"/>
      <c r="L5004" s="2"/>
      <c r="M5004" s="2"/>
      <c r="N5004" s="2"/>
      <c r="P5004" s="2"/>
      <c r="Q5004" s="2"/>
      <c r="R5004" s="2"/>
      <c r="AB5004" s="2"/>
    </row>
    <row r="5005" spans="8:28" ht="15" customHeight="1">
      <c r="H5005" s="2"/>
      <c r="I5005" s="2"/>
      <c r="J5005" s="2"/>
      <c r="K5005" s="2"/>
      <c r="L5005" s="2"/>
      <c r="M5005" s="2"/>
      <c r="N5005" s="2"/>
      <c r="P5005" s="2"/>
      <c r="Q5005" s="2"/>
      <c r="R5005" s="2"/>
      <c r="AB5005" s="2"/>
    </row>
    <row r="5006" spans="8:28" ht="15" customHeight="1">
      <c r="H5006" s="2"/>
      <c r="I5006" s="2"/>
      <c r="J5006" s="2"/>
      <c r="K5006" s="2"/>
      <c r="L5006" s="2"/>
      <c r="M5006" s="2"/>
      <c r="N5006" s="2"/>
      <c r="P5006" s="2"/>
      <c r="Q5006" s="2"/>
      <c r="R5006" s="2"/>
      <c r="AB5006" s="2"/>
    </row>
    <row r="5007" spans="8:28" ht="15" customHeight="1">
      <c r="H5007" s="2"/>
      <c r="I5007" s="2"/>
      <c r="J5007" s="2"/>
      <c r="K5007" s="2"/>
      <c r="L5007" s="2"/>
      <c r="M5007" s="2"/>
      <c r="N5007" s="2"/>
      <c r="P5007" s="2"/>
      <c r="Q5007" s="2"/>
      <c r="R5007" s="2"/>
      <c r="AB5007" s="2"/>
    </row>
    <row r="5008" spans="8:28" ht="15" customHeight="1">
      <c r="H5008" s="2"/>
      <c r="I5008" s="2"/>
      <c r="J5008" s="2"/>
      <c r="K5008" s="2"/>
      <c r="L5008" s="2"/>
      <c r="M5008" s="2"/>
      <c r="N5008" s="2"/>
      <c r="P5008" s="2"/>
      <c r="Q5008" s="2"/>
      <c r="R5008" s="2"/>
      <c r="AB5008" s="2"/>
    </row>
    <row r="5009" spans="8:28" ht="15" customHeight="1">
      <c r="H5009" s="2"/>
      <c r="I5009" s="2"/>
      <c r="J5009" s="2"/>
      <c r="K5009" s="2"/>
      <c r="L5009" s="2"/>
      <c r="M5009" s="2"/>
      <c r="N5009" s="2"/>
      <c r="P5009" s="2"/>
      <c r="Q5009" s="2"/>
      <c r="R5009" s="2"/>
      <c r="AB5009" s="2"/>
    </row>
    <row r="5010" spans="8:28" ht="15" customHeight="1">
      <c r="H5010" s="2"/>
      <c r="I5010" s="2"/>
      <c r="J5010" s="2"/>
      <c r="K5010" s="2"/>
      <c r="L5010" s="2"/>
      <c r="M5010" s="2"/>
      <c r="N5010" s="2"/>
      <c r="P5010" s="2"/>
      <c r="Q5010" s="2"/>
      <c r="R5010" s="2"/>
      <c r="AB5010" s="2"/>
    </row>
    <row r="5011" spans="8:28" ht="15" customHeight="1">
      <c r="H5011" s="2"/>
      <c r="I5011" s="2"/>
      <c r="J5011" s="2"/>
      <c r="K5011" s="2"/>
      <c r="L5011" s="2"/>
      <c r="M5011" s="2"/>
      <c r="N5011" s="2"/>
      <c r="P5011" s="2"/>
      <c r="Q5011" s="2"/>
      <c r="R5011" s="2"/>
      <c r="AB5011" s="2"/>
    </row>
    <row r="5012" spans="8:28" ht="15" customHeight="1">
      <c r="H5012" s="2"/>
      <c r="I5012" s="2"/>
      <c r="J5012" s="2"/>
      <c r="K5012" s="2"/>
      <c r="L5012" s="2"/>
      <c r="M5012" s="2"/>
      <c r="N5012" s="2"/>
      <c r="P5012" s="2"/>
      <c r="Q5012" s="2"/>
      <c r="R5012" s="2"/>
      <c r="AB5012" s="2"/>
    </row>
    <row r="5013" spans="8:28" ht="15" customHeight="1">
      <c r="H5013" s="2"/>
      <c r="I5013" s="2"/>
      <c r="J5013" s="2"/>
      <c r="K5013" s="2"/>
      <c r="L5013" s="2"/>
      <c r="M5013" s="2"/>
      <c r="N5013" s="2"/>
      <c r="P5013" s="2"/>
      <c r="Q5013" s="2"/>
      <c r="R5013" s="2"/>
      <c r="AB5013" s="2"/>
    </row>
    <row r="5014" spans="8:28" ht="15" customHeight="1">
      <c r="H5014" s="2"/>
      <c r="I5014" s="2"/>
      <c r="J5014" s="2"/>
      <c r="K5014" s="2"/>
      <c r="L5014" s="2"/>
      <c r="M5014" s="2"/>
      <c r="N5014" s="2"/>
      <c r="P5014" s="2"/>
      <c r="Q5014" s="2"/>
      <c r="R5014" s="2"/>
      <c r="AB5014" s="2"/>
    </row>
    <row r="5015" spans="8:28" ht="15" customHeight="1">
      <c r="H5015" s="2"/>
      <c r="I5015" s="2"/>
      <c r="J5015" s="2"/>
      <c r="K5015" s="2"/>
      <c r="L5015" s="2"/>
      <c r="M5015" s="2"/>
      <c r="N5015" s="2"/>
      <c r="P5015" s="2"/>
      <c r="Q5015" s="2"/>
      <c r="R5015" s="2"/>
      <c r="AB5015" s="2"/>
    </row>
    <row r="5016" spans="8:28" ht="15" customHeight="1">
      <c r="H5016" s="2"/>
      <c r="I5016" s="2"/>
      <c r="J5016" s="2"/>
      <c r="K5016" s="2"/>
      <c r="L5016" s="2"/>
      <c r="M5016" s="2"/>
      <c r="N5016" s="2"/>
      <c r="P5016" s="2"/>
      <c r="Q5016" s="2"/>
      <c r="R5016" s="2"/>
      <c r="AB5016" s="2"/>
    </row>
    <row r="5017" spans="8:28" ht="15" customHeight="1">
      <c r="H5017" s="2"/>
      <c r="I5017" s="2"/>
      <c r="J5017" s="2"/>
      <c r="K5017" s="2"/>
      <c r="L5017" s="2"/>
      <c r="M5017" s="2"/>
      <c r="N5017" s="2"/>
      <c r="P5017" s="2"/>
      <c r="Q5017" s="2"/>
      <c r="R5017" s="2"/>
      <c r="AB5017" s="2"/>
    </row>
    <row r="5018" spans="8:28" ht="15" customHeight="1">
      <c r="H5018" s="2"/>
      <c r="I5018" s="2"/>
      <c r="J5018" s="2"/>
      <c r="K5018" s="2"/>
      <c r="L5018" s="2"/>
      <c r="M5018" s="2"/>
      <c r="N5018" s="2"/>
      <c r="P5018" s="2"/>
      <c r="Q5018" s="2"/>
      <c r="R5018" s="2"/>
      <c r="AB5018" s="2"/>
    </row>
    <row r="5019" spans="8:28" ht="15" customHeight="1">
      <c r="H5019" s="2"/>
      <c r="I5019" s="2"/>
      <c r="J5019" s="2"/>
      <c r="K5019" s="2"/>
      <c r="L5019" s="2"/>
      <c r="M5019" s="2"/>
      <c r="N5019" s="2"/>
      <c r="P5019" s="2"/>
      <c r="Q5019" s="2"/>
      <c r="R5019" s="2"/>
      <c r="AB5019" s="2"/>
    </row>
    <row r="5020" spans="8:28" ht="15" customHeight="1">
      <c r="H5020" s="2"/>
      <c r="I5020" s="2"/>
      <c r="J5020" s="2"/>
      <c r="K5020" s="2"/>
      <c r="L5020" s="2"/>
      <c r="M5020" s="2"/>
      <c r="N5020" s="2"/>
      <c r="P5020" s="2"/>
      <c r="Q5020" s="2"/>
      <c r="R5020" s="2"/>
      <c r="AB5020" s="2"/>
    </row>
    <row r="5021" spans="8:28" ht="15" customHeight="1">
      <c r="H5021" s="2"/>
      <c r="I5021" s="2"/>
      <c r="J5021" s="2"/>
      <c r="K5021" s="2"/>
      <c r="L5021" s="2"/>
      <c r="M5021" s="2"/>
      <c r="N5021" s="2"/>
      <c r="P5021" s="2"/>
      <c r="Q5021" s="2"/>
      <c r="R5021" s="2"/>
      <c r="AB5021" s="2"/>
    </row>
    <row r="5022" spans="8:28" ht="15" customHeight="1">
      <c r="H5022" s="2"/>
      <c r="I5022" s="2"/>
      <c r="J5022" s="2"/>
      <c r="K5022" s="2"/>
      <c r="L5022" s="2"/>
      <c r="M5022" s="2"/>
      <c r="N5022" s="2"/>
      <c r="P5022" s="2"/>
      <c r="Q5022" s="2"/>
      <c r="R5022" s="2"/>
      <c r="AB5022" s="2"/>
    </row>
    <row r="5023" spans="8:28" ht="15" customHeight="1">
      <c r="H5023" s="2"/>
      <c r="I5023" s="2"/>
      <c r="J5023" s="2"/>
      <c r="K5023" s="2"/>
      <c r="L5023" s="2"/>
      <c r="M5023" s="2"/>
      <c r="N5023" s="2"/>
      <c r="P5023" s="2"/>
      <c r="Q5023" s="2"/>
      <c r="R5023" s="2"/>
      <c r="AB5023" s="2"/>
    </row>
    <row r="5024" spans="8:28" ht="15" customHeight="1">
      <c r="H5024" s="2"/>
      <c r="I5024" s="2"/>
      <c r="J5024" s="2"/>
      <c r="K5024" s="2"/>
      <c r="L5024" s="2"/>
      <c r="M5024" s="2"/>
      <c r="N5024" s="2"/>
      <c r="P5024" s="2"/>
      <c r="Q5024" s="2"/>
      <c r="R5024" s="2"/>
      <c r="AB5024" s="2"/>
    </row>
    <row r="5025" spans="8:28" ht="15" customHeight="1">
      <c r="H5025" s="2"/>
      <c r="I5025" s="2"/>
      <c r="J5025" s="2"/>
      <c r="K5025" s="2"/>
      <c r="L5025" s="2"/>
      <c r="M5025" s="2"/>
      <c r="N5025" s="2"/>
      <c r="P5025" s="2"/>
      <c r="Q5025" s="2"/>
      <c r="R5025" s="2"/>
      <c r="AB5025" s="2"/>
    </row>
    <row r="5026" spans="8:28" ht="15" customHeight="1">
      <c r="H5026" s="2"/>
      <c r="I5026" s="2"/>
      <c r="J5026" s="2"/>
      <c r="K5026" s="2"/>
      <c r="L5026" s="2"/>
      <c r="M5026" s="2"/>
      <c r="N5026" s="2"/>
      <c r="P5026" s="2"/>
      <c r="Q5026" s="2"/>
      <c r="R5026" s="2"/>
      <c r="AB5026" s="2"/>
    </row>
    <row r="5027" spans="8:28" ht="15" customHeight="1">
      <c r="H5027" s="2"/>
      <c r="I5027" s="2"/>
      <c r="J5027" s="2"/>
      <c r="K5027" s="2"/>
      <c r="L5027" s="2"/>
      <c r="M5027" s="2"/>
      <c r="N5027" s="2"/>
      <c r="P5027" s="2"/>
      <c r="Q5027" s="2"/>
      <c r="R5027" s="2"/>
      <c r="AB5027" s="2"/>
    </row>
    <row r="5028" spans="8:28" ht="15" customHeight="1">
      <c r="H5028" s="2"/>
      <c r="I5028" s="2"/>
      <c r="J5028" s="2"/>
      <c r="K5028" s="2"/>
      <c r="L5028" s="2"/>
      <c r="M5028" s="2"/>
      <c r="N5028" s="2"/>
      <c r="P5028" s="2"/>
      <c r="Q5028" s="2"/>
      <c r="R5028" s="2"/>
      <c r="AB5028" s="2"/>
    </row>
    <row r="5029" spans="8:28" ht="15" customHeight="1">
      <c r="H5029" s="2"/>
      <c r="I5029" s="2"/>
      <c r="J5029" s="2"/>
      <c r="K5029" s="2"/>
      <c r="L5029" s="2"/>
      <c r="M5029" s="2"/>
      <c r="N5029" s="2"/>
      <c r="P5029" s="2"/>
      <c r="Q5029" s="2"/>
      <c r="R5029" s="2"/>
      <c r="AB5029" s="2"/>
    </row>
    <row r="5030" spans="8:28" ht="15" customHeight="1">
      <c r="H5030" s="2"/>
      <c r="I5030" s="2"/>
      <c r="J5030" s="2"/>
      <c r="K5030" s="2"/>
      <c r="L5030" s="2"/>
      <c r="M5030" s="2"/>
      <c r="N5030" s="2"/>
      <c r="P5030" s="2"/>
      <c r="Q5030" s="2"/>
      <c r="R5030" s="2"/>
      <c r="AB5030" s="2"/>
    </row>
    <row r="5031" spans="8:28" ht="15" customHeight="1">
      <c r="H5031" s="2"/>
      <c r="I5031" s="2"/>
      <c r="J5031" s="2"/>
      <c r="K5031" s="2"/>
      <c r="L5031" s="2"/>
      <c r="M5031" s="2"/>
      <c r="N5031" s="2"/>
      <c r="P5031" s="2"/>
      <c r="Q5031" s="2"/>
      <c r="R5031" s="2"/>
      <c r="AB5031" s="2"/>
    </row>
    <row r="5032" spans="8:28" ht="15" customHeight="1">
      <c r="H5032" s="2"/>
      <c r="I5032" s="2"/>
      <c r="J5032" s="2"/>
      <c r="K5032" s="2"/>
      <c r="L5032" s="2"/>
      <c r="M5032" s="2"/>
      <c r="N5032" s="2"/>
      <c r="P5032" s="2"/>
      <c r="Q5032" s="2"/>
      <c r="R5032" s="2"/>
      <c r="AB5032" s="2"/>
    </row>
    <row r="5033" spans="8:28" ht="15" customHeight="1">
      <c r="H5033" s="2"/>
      <c r="I5033" s="2"/>
      <c r="J5033" s="2"/>
      <c r="K5033" s="2"/>
      <c r="L5033" s="2"/>
      <c r="M5033" s="2"/>
      <c r="N5033" s="2"/>
      <c r="P5033" s="2"/>
      <c r="Q5033" s="2"/>
      <c r="R5033" s="2"/>
      <c r="AB5033" s="2"/>
    </row>
    <row r="5034" spans="8:28" ht="15" customHeight="1">
      <c r="H5034" s="2"/>
      <c r="I5034" s="2"/>
      <c r="J5034" s="2"/>
      <c r="K5034" s="2"/>
      <c r="L5034" s="2"/>
      <c r="M5034" s="2"/>
      <c r="N5034" s="2"/>
      <c r="P5034" s="2"/>
      <c r="Q5034" s="2"/>
      <c r="R5034" s="2"/>
      <c r="AB5034" s="2"/>
    </row>
    <row r="5035" spans="8:28" ht="15" customHeight="1">
      <c r="H5035" s="2"/>
      <c r="I5035" s="2"/>
      <c r="J5035" s="2"/>
      <c r="K5035" s="2"/>
      <c r="L5035" s="2"/>
      <c r="M5035" s="2"/>
      <c r="N5035" s="2"/>
      <c r="P5035" s="2"/>
      <c r="Q5035" s="2"/>
      <c r="R5035" s="2"/>
      <c r="AB5035" s="2"/>
    </row>
    <row r="5036" spans="8:28" ht="15" customHeight="1">
      <c r="H5036" s="2"/>
      <c r="I5036" s="2"/>
      <c r="J5036" s="2"/>
      <c r="K5036" s="2"/>
      <c r="L5036" s="2"/>
      <c r="M5036" s="2"/>
      <c r="N5036" s="2"/>
      <c r="P5036" s="2"/>
      <c r="Q5036" s="2"/>
      <c r="R5036" s="2"/>
      <c r="AB5036" s="2"/>
    </row>
    <row r="5037" spans="8:28" ht="15" customHeight="1">
      <c r="H5037" s="2"/>
      <c r="I5037" s="2"/>
      <c r="J5037" s="2"/>
      <c r="K5037" s="2"/>
      <c r="L5037" s="2"/>
      <c r="M5037" s="2"/>
      <c r="N5037" s="2"/>
      <c r="P5037" s="2"/>
      <c r="Q5037" s="2"/>
      <c r="R5037" s="2"/>
      <c r="AB5037" s="2"/>
    </row>
    <row r="5038" spans="8:28" ht="15" customHeight="1">
      <c r="H5038" s="2"/>
      <c r="I5038" s="2"/>
      <c r="J5038" s="2"/>
      <c r="K5038" s="2"/>
      <c r="L5038" s="2"/>
      <c r="M5038" s="2"/>
      <c r="N5038" s="2"/>
      <c r="P5038" s="2"/>
      <c r="Q5038" s="2"/>
      <c r="R5038" s="2"/>
      <c r="AB5038" s="2"/>
    </row>
    <row r="5039" spans="8:28" ht="15" customHeight="1">
      <c r="H5039" s="2"/>
      <c r="I5039" s="2"/>
      <c r="J5039" s="2"/>
      <c r="K5039" s="2"/>
      <c r="L5039" s="2"/>
      <c r="M5039" s="2"/>
      <c r="N5039" s="2"/>
      <c r="P5039" s="2"/>
      <c r="Q5039" s="2"/>
      <c r="R5039" s="2"/>
      <c r="AB5039" s="2"/>
    </row>
    <row r="5040" spans="8:28" ht="15" customHeight="1">
      <c r="H5040" s="2"/>
      <c r="I5040" s="2"/>
      <c r="J5040" s="2"/>
      <c r="K5040" s="2"/>
      <c r="L5040" s="2"/>
      <c r="M5040" s="2"/>
      <c r="N5040" s="2"/>
      <c r="P5040" s="2"/>
      <c r="Q5040" s="2"/>
      <c r="R5040" s="2"/>
      <c r="AB5040" s="2"/>
    </row>
    <row r="5041" spans="8:28" ht="15" customHeight="1">
      <c r="H5041" s="2"/>
      <c r="I5041" s="2"/>
      <c r="J5041" s="2"/>
      <c r="K5041" s="2"/>
      <c r="L5041" s="2"/>
      <c r="M5041" s="2"/>
      <c r="N5041" s="2"/>
      <c r="P5041" s="2"/>
      <c r="Q5041" s="2"/>
      <c r="R5041" s="2"/>
      <c r="AB5041" s="2"/>
    </row>
    <row r="5042" spans="8:28" ht="15" customHeight="1">
      <c r="H5042" s="2"/>
      <c r="I5042" s="2"/>
      <c r="J5042" s="2"/>
      <c r="K5042" s="2"/>
      <c r="L5042" s="2"/>
      <c r="M5042" s="2"/>
      <c r="N5042" s="2"/>
      <c r="P5042" s="2"/>
      <c r="Q5042" s="2"/>
      <c r="R5042" s="2"/>
      <c r="AB5042" s="2"/>
    </row>
    <row r="5043" spans="8:28" ht="15" customHeight="1">
      <c r="H5043" s="2"/>
      <c r="I5043" s="2"/>
      <c r="J5043" s="2"/>
      <c r="K5043" s="2"/>
      <c r="L5043" s="2"/>
      <c r="M5043" s="2"/>
      <c r="N5043" s="2"/>
      <c r="P5043" s="2"/>
      <c r="Q5043" s="2"/>
      <c r="R5043" s="2"/>
      <c r="AB5043" s="2"/>
    </row>
    <row r="5044" spans="8:28" ht="15" customHeight="1">
      <c r="H5044" s="2"/>
      <c r="I5044" s="2"/>
      <c r="J5044" s="2"/>
      <c r="K5044" s="2"/>
      <c r="L5044" s="2"/>
      <c r="M5044" s="2"/>
      <c r="N5044" s="2"/>
      <c r="P5044" s="2"/>
      <c r="Q5044" s="2"/>
      <c r="R5044" s="2"/>
      <c r="AB5044" s="2"/>
    </row>
    <row r="5045" spans="8:28" ht="15" customHeight="1">
      <c r="H5045" s="2"/>
      <c r="I5045" s="2"/>
      <c r="J5045" s="2"/>
      <c r="K5045" s="2"/>
      <c r="L5045" s="2"/>
      <c r="M5045" s="2"/>
      <c r="N5045" s="2"/>
      <c r="P5045" s="2"/>
      <c r="Q5045" s="2"/>
      <c r="R5045" s="2"/>
      <c r="AB5045" s="2"/>
    </row>
    <row r="5046" spans="8:28" ht="15" customHeight="1">
      <c r="H5046" s="2"/>
      <c r="I5046" s="2"/>
      <c r="J5046" s="2"/>
      <c r="K5046" s="2"/>
      <c r="L5046" s="2"/>
      <c r="M5046" s="2"/>
      <c r="N5046" s="2"/>
      <c r="P5046" s="2"/>
      <c r="Q5046" s="2"/>
      <c r="R5046" s="2"/>
      <c r="AB5046" s="2"/>
    </row>
    <row r="5047" spans="8:28" ht="15" customHeight="1">
      <c r="H5047" s="2"/>
      <c r="I5047" s="2"/>
      <c r="J5047" s="2"/>
      <c r="K5047" s="2"/>
      <c r="L5047" s="2"/>
      <c r="M5047" s="2"/>
      <c r="N5047" s="2"/>
      <c r="P5047" s="2"/>
      <c r="Q5047" s="2"/>
      <c r="R5047" s="2"/>
      <c r="AB5047" s="2"/>
    </row>
    <row r="5048" spans="8:28" ht="15" customHeight="1">
      <c r="H5048" s="2"/>
      <c r="I5048" s="2"/>
      <c r="J5048" s="2"/>
      <c r="K5048" s="2"/>
      <c r="L5048" s="2"/>
      <c r="M5048" s="2"/>
      <c r="N5048" s="2"/>
      <c r="P5048" s="2"/>
      <c r="Q5048" s="2"/>
      <c r="R5048" s="2"/>
      <c r="AB5048" s="2"/>
    </row>
    <row r="5049" spans="8:28" ht="15" customHeight="1">
      <c r="H5049" s="2"/>
      <c r="I5049" s="2"/>
      <c r="J5049" s="2"/>
      <c r="K5049" s="2"/>
      <c r="L5049" s="2"/>
      <c r="M5049" s="2"/>
      <c r="N5049" s="2"/>
      <c r="P5049" s="2"/>
      <c r="Q5049" s="2"/>
      <c r="R5049" s="2"/>
      <c r="AB5049" s="2"/>
    </row>
    <row r="5050" spans="8:28" ht="15" customHeight="1">
      <c r="H5050" s="2"/>
      <c r="I5050" s="2"/>
      <c r="J5050" s="2"/>
      <c r="K5050" s="2"/>
      <c r="L5050" s="2"/>
      <c r="M5050" s="2"/>
      <c r="N5050" s="2"/>
      <c r="P5050" s="2"/>
      <c r="Q5050" s="2"/>
      <c r="R5050" s="2"/>
      <c r="AB5050" s="2"/>
    </row>
    <row r="5051" spans="8:28" ht="15" customHeight="1">
      <c r="H5051" s="2"/>
      <c r="I5051" s="2"/>
      <c r="J5051" s="2"/>
      <c r="K5051" s="2"/>
      <c r="L5051" s="2"/>
      <c r="M5051" s="2"/>
      <c r="N5051" s="2"/>
      <c r="P5051" s="2"/>
      <c r="Q5051" s="2"/>
      <c r="R5051" s="2"/>
      <c r="AB5051" s="2"/>
    </row>
    <row r="5052" spans="8:28" ht="15" customHeight="1">
      <c r="H5052" s="2"/>
      <c r="I5052" s="2"/>
      <c r="J5052" s="2"/>
      <c r="K5052" s="2"/>
      <c r="L5052" s="2"/>
      <c r="M5052" s="2"/>
      <c r="N5052" s="2"/>
      <c r="P5052" s="2"/>
      <c r="Q5052" s="2"/>
      <c r="R5052" s="2"/>
      <c r="AB5052" s="2"/>
    </row>
    <row r="5053" spans="8:28" ht="15" customHeight="1">
      <c r="H5053" s="2"/>
      <c r="I5053" s="2"/>
      <c r="J5053" s="2"/>
      <c r="K5053" s="2"/>
      <c r="L5053" s="2"/>
      <c r="M5053" s="2"/>
      <c r="N5053" s="2"/>
      <c r="P5053" s="2"/>
      <c r="Q5053" s="2"/>
      <c r="R5053" s="2"/>
      <c r="AB5053" s="2"/>
    </row>
    <row r="5054" spans="8:28" ht="15" customHeight="1">
      <c r="H5054" s="2"/>
      <c r="I5054" s="2"/>
      <c r="J5054" s="2"/>
      <c r="K5054" s="2"/>
      <c r="L5054" s="2"/>
      <c r="M5054" s="2"/>
      <c r="N5054" s="2"/>
      <c r="P5054" s="2"/>
      <c r="Q5054" s="2"/>
      <c r="R5054" s="2"/>
      <c r="AB5054" s="2"/>
    </row>
    <row r="5055" spans="8:28" ht="15" customHeight="1">
      <c r="H5055" s="2"/>
      <c r="I5055" s="2"/>
      <c r="J5055" s="2"/>
      <c r="K5055" s="2"/>
      <c r="L5055" s="2"/>
      <c r="M5055" s="2"/>
      <c r="N5055" s="2"/>
      <c r="P5055" s="2"/>
      <c r="Q5055" s="2"/>
      <c r="R5055" s="2"/>
      <c r="AB5055" s="2"/>
    </row>
    <row r="5056" spans="8:28" ht="15" customHeight="1">
      <c r="H5056" s="2"/>
      <c r="I5056" s="2"/>
      <c r="J5056" s="2"/>
      <c r="K5056" s="2"/>
      <c r="L5056" s="2"/>
      <c r="M5056" s="2"/>
      <c r="N5056" s="2"/>
      <c r="P5056" s="2"/>
      <c r="Q5056" s="2"/>
      <c r="R5056" s="2"/>
      <c r="AB5056" s="2"/>
    </row>
    <row r="5057" spans="8:28" ht="15" customHeight="1">
      <c r="H5057" s="2"/>
      <c r="I5057" s="2"/>
      <c r="J5057" s="2"/>
      <c r="K5057" s="2"/>
      <c r="L5057" s="2"/>
      <c r="M5057" s="2"/>
      <c r="N5057" s="2"/>
      <c r="P5057" s="2"/>
      <c r="Q5057" s="2"/>
      <c r="R5057" s="2"/>
      <c r="AB5057" s="2"/>
    </row>
    <row r="5058" spans="8:28" ht="15" customHeight="1">
      <c r="H5058" s="2"/>
      <c r="I5058" s="2"/>
      <c r="J5058" s="2"/>
      <c r="K5058" s="2"/>
      <c r="L5058" s="2"/>
      <c r="M5058" s="2"/>
      <c r="N5058" s="2"/>
      <c r="P5058" s="2"/>
      <c r="Q5058" s="2"/>
      <c r="R5058" s="2"/>
      <c r="AB5058" s="2"/>
    </row>
    <row r="5059" spans="8:28" ht="15" customHeight="1">
      <c r="H5059" s="2"/>
      <c r="I5059" s="2"/>
      <c r="J5059" s="2"/>
      <c r="K5059" s="2"/>
      <c r="L5059" s="2"/>
      <c r="M5059" s="2"/>
      <c r="N5059" s="2"/>
      <c r="P5059" s="2"/>
      <c r="Q5059" s="2"/>
      <c r="R5059" s="2"/>
      <c r="AB5059" s="2"/>
    </row>
    <row r="5060" spans="8:28" ht="15" customHeight="1">
      <c r="H5060" s="2"/>
      <c r="I5060" s="2"/>
      <c r="J5060" s="2"/>
      <c r="K5060" s="2"/>
      <c r="L5060" s="2"/>
      <c r="M5060" s="2"/>
      <c r="N5060" s="2"/>
      <c r="P5060" s="2"/>
      <c r="Q5060" s="2"/>
      <c r="R5060" s="2"/>
      <c r="AB5060" s="2"/>
    </row>
    <row r="5061" spans="8:28" ht="15" customHeight="1">
      <c r="H5061" s="2"/>
      <c r="I5061" s="2"/>
      <c r="J5061" s="2"/>
      <c r="K5061" s="2"/>
      <c r="L5061" s="2"/>
      <c r="M5061" s="2"/>
      <c r="N5061" s="2"/>
      <c r="P5061" s="2"/>
      <c r="Q5061" s="2"/>
      <c r="R5061" s="2"/>
      <c r="AB5061" s="2"/>
    </row>
    <row r="5062" spans="8:28" ht="15" customHeight="1">
      <c r="H5062" s="2"/>
      <c r="I5062" s="2"/>
      <c r="J5062" s="2"/>
      <c r="K5062" s="2"/>
      <c r="L5062" s="2"/>
      <c r="M5062" s="2"/>
      <c r="N5062" s="2"/>
      <c r="P5062" s="2"/>
      <c r="Q5062" s="2"/>
      <c r="R5062" s="2"/>
      <c r="AB5062" s="2"/>
    </row>
    <row r="5063" spans="8:28" ht="15" customHeight="1">
      <c r="H5063" s="2"/>
      <c r="I5063" s="2"/>
      <c r="J5063" s="2"/>
      <c r="K5063" s="2"/>
      <c r="L5063" s="2"/>
      <c r="M5063" s="2"/>
      <c r="N5063" s="2"/>
      <c r="P5063" s="2"/>
      <c r="Q5063" s="2"/>
      <c r="R5063" s="2"/>
      <c r="AB5063" s="2"/>
    </row>
    <row r="5064" spans="8:28" ht="15" customHeight="1">
      <c r="H5064" s="2"/>
      <c r="I5064" s="2"/>
      <c r="J5064" s="2"/>
      <c r="K5064" s="2"/>
      <c r="L5064" s="2"/>
      <c r="M5064" s="2"/>
      <c r="N5064" s="2"/>
      <c r="P5064" s="2"/>
      <c r="Q5064" s="2"/>
      <c r="R5064" s="2"/>
      <c r="AB5064" s="2"/>
    </row>
    <row r="5065" spans="8:28" ht="15" customHeight="1">
      <c r="H5065" s="2"/>
      <c r="I5065" s="2"/>
      <c r="J5065" s="2"/>
      <c r="K5065" s="2"/>
      <c r="L5065" s="2"/>
      <c r="M5065" s="2"/>
      <c r="N5065" s="2"/>
      <c r="P5065" s="2"/>
      <c r="Q5065" s="2"/>
      <c r="R5065" s="2"/>
      <c r="AB5065" s="2"/>
    </row>
    <row r="5066" spans="8:28" ht="15" customHeight="1">
      <c r="H5066" s="2"/>
      <c r="I5066" s="2"/>
      <c r="J5066" s="2"/>
      <c r="K5066" s="2"/>
      <c r="L5066" s="2"/>
      <c r="M5066" s="2"/>
      <c r="N5066" s="2"/>
      <c r="P5066" s="2"/>
      <c r="Q5066" s="2"/>
      <c r="R5066" s="2"/>
      <c r="AB5066" s="2"/>
    </row>
    <row r="5067" spans="8:28" ht="15" customHeight="1">
      <c r="H5067" s="2"/>
      <c r="I5067" s="2"/>
      <c r="J5067" s="2"/>
      <c r="K5067" s="2"/>
      <c r="L5067" s="2"/>
      <c r="M5067" s="2"/>
      <c r="N5067" s="2"/>
      <c r="P5067" s="2"/>
      <c r="Q5067" s="2"/>
      <c r="R5067" s="2"/>
      <c r="AB5067" s="2"/>
    </row>
    <row r="5068" spans="8:28" ht="15" customHeight="1">
      <c r="H5068" s="2"/>
      <c r="I5068" s="2"/>
      <c r="J5068" s="2"/>
      <c r="K5068" s="2"/>
      <c r="L5068" s="2"/>
      <c r="M5068" s="2"/>
      <c r="N5068" s="2"/>
      <c r="P5068" s="2"/>
      <c r="Q5068" s="2"/>
      <c r="R5068" s="2"/>
      <c r="AB5068" s="2"/>
    </row>
    <row r="5069" spans="8:28" ht="15" customHeight="1">
      <c r="H5069" s="2"/>
      <c r="I5069" s="2"/>
      <c r="J5069" s="2"/>
      <c r="K5069" s="2"/>
      <c r="L5069" s="2"/>
      <c r="M5069" s="2"/>
      <c r="N5069" s="2"/>
      <c r="P5069" s="2"/>
      <c r="Q5069" s="2"/>
      <c r="R5069" s="2"/>
      <c r="AB5069" s="2"/>
    </row>
    <row r="5070" spans="8:28" ht="15" customHeight="1">
      <c r="H5070" s="2"/>
      <c r="I5070" s="2"/>
      <c r="J5070" s="2"/>
      <c r="K5070" s="2"/>
      <c r="L5070" s="2"/>
      <c r="M5070" s="2"/>
      <c r="N5070" s="2"/>
      <c r="P5070" s="2"/>
      <c r="Q5070" s="2"/>
      <c r="R5070" s="2"/>
      <c r="AB5070" s="2"/>
    </row>
    <row r="5071" spans="8:28" ht="15" customHeight="1">
      <c r="H5071" s="2"/>
      <c r="I5071" s="2"/>
      <c r="J5071" s="2"/>
      <c r="K5071" s="2"/>
      <c r="L5071" s="2"/>
      <c r="M5071" s="2"/>
      <c r="N5071" s="2"/>
      <c r="P5071" s="2"/>
      <c r="Q5071" s="2"/>
      <c r="R5071" s="2"/>
      <c r="AB5071" s="2"/>
    </row>
    <row r="5072" spans="8:28" ht="15" customHeight="1">
      <c r="H5072" s="2"/>
      <c r="I5072" s="2"/>
      <c r="J5072" s="2"/>
      <c r="K5072" s="2"/>
      <c r="L5072" s="2"/>
      <c r="M5072" s="2"/>
      <c r="N5072" s="2"/>
      <c r="P5072" s="2"/>
      <c r="Q5072" s="2"/>
      <c r="R5072" s="2"/>
      <c r="AB5072" s="2"/>
    </row>
    <row r="5073" spans="8:28" ht="15" customHeight="1">
      <c r="H5073" s="2"/>
      <c r="I5073" s="2"/>
      <c r="J5073" s="2"/>
      <c r="K5073" s="2"/>
      <c r="L5073" s="2"/>
      <c r="M5073" s="2"/>
      <c r="N5073" s="2"/>
      <c r="P5073" s="2"/>
      <c r="Q5073" s="2"/>
      <c r="R5073" s="2"/>
      <c r="AB5073" s="2"/>
    </row>
    <row r="5074" spans="8:28" ht="15" customHeight="1">
      <c r="H5074" s="2"/>
      <c r="I5074" s="2"/>
      <c r="J5074" s="2"/>
      <c r="K5074" s="2"/>
      <c r="L5074" s="2"/>
      <c r="M5074" s="2"/>
      <c r="N5074" s="2"/>
      <c r="P5074" s="2"/>
      <c r="Q5074" s="2"/>
      <c r="R5074" s="2"/>
      <c r="AB5074" s="2"/>
    </row>
    <row r="5075" spans="8:28" ht="15" customHeight="1">
      <c r="H5075" s="2"/>
      <c r="I5075" s="2"/>
      <c r="J5075" s="2"/>
      <c r="K5075" s="2"/>
      <c r="L5075" s="2"/>
      <c r="M5075" s="2"/>
      <c r="N5075" s="2"/>
      <c r="P5075" s="2"/>
      <c r="Q5075" s="2"/>
      <c r="R5075" s="2"/>
      <c r="AB5075" s="2"/>
    </row>
    <row r="5076" spans="8:28" ht="15" customHeight="1">
      <c r="H5076" s="2"/>
      <c r="I5076" s="2"/>
      <c r="J5076" s="2"/>
      <c r="K5076" s="2"/>
      <c r="L5076" s="2"/>
      <c r="M5076" s="2"/>
      <c r="N5076" s="2"/>
      <c r="P5076" s="2"/>
      <c r="Q5076" s="2"/>
      <c r="R5076" s="2"/>
      <c r="AB5076" s="2"/>
    </row>
    <row r="5077" spans="8:28" ht="15" customHeight="1">
      <c r="H5077" s="2"/>
      <c r="I5077" s="2"/>
      <c r="J5077" s="2"/>
      <c r="K5077" s="2"/>
      <c r="L5077" s="2"/>
      <c r="M5077" s="2"/>
      <c r="N5077" s="2"/>
      <c r="P5077" s="2"/>
      <c r="Q5077" s="2"/>
      <c r="R5077" s="2"/>
      <c r="AB5077" s="2"/>
    </row>
    <row r="5078" spans="8:28" ht="15" customHeight="1">
      <c r="H5078" s="2"/>
      <c r="I5078" s="2"/>
      <c r="J5078" s="2"/>
      <c r="K5078" s="2"/>
      <c r="L5078" s="2"/>
      <c r="M5078" s="2"/>
      <c r="N5078" s="2"/>
      <c r="P5078" s="2"/>
      <c r="Q5078" s="2"/>
      <c r="R5078" s="2"/>
      <c r="AB5078" s="2"/>
    </row>
    <row r="5079" spans="8:28" ht="15" customHeight="1">
      <c r="H5079" s="2"/>
      <c r="I5079" s="2"/>
      <c r="J5079" s="2"/>
      <c r="K5079" s="2"/>
      <c r="L5079" s="2"/>
      <c r="M5079" s="2"/>
      <c r="N5079" s="2"/>
      <c r="P5079" s="2"/>
      <c r="Q5079" s="2"/>
      <c r="R5079" s="2"/>
      <c r="AB5079" s="2"/>
    </row>
    <row r="5080" spans="8:28" ht="15" customHeight="1">
      <c r="H5080" s="2"/>
      <c r="I5080" s="2"/>
      <c r="J5080" s="2"/>
      <c r="K5080" s="2"/>
      <c r="L5080" s="2"/>
      <c r="M5080" s="2"/>
      <c r="N5080" s="2"/>
      <c r="P5080" s="2"/>
      <c r="Q5080" s="2"/>
      <c r="R5080" s="2"/>
      <c r="AB5080" s="2"/>
    </row>
    <row r="5081" spans="8:28" ht="15" customHeight="1">
      <c r="H5081" s="2"/>
      <c r="I5081" s="2"/>
      <c r="J5081" s="2"/>
      <c r="K5081" s="2"/>
      <c r="L5081" s="2"/>
      <c r="M5081" s="2"/>
      <c r="N5081" s="2"/>
      <c r="P5081" s="2"/>
      <c r="Q5081" s="2"/>
      <c r="R5081" s="2"/>
      <c r="AB5081" s="2"/>
    </row>
    <row r="5082" spans="8:28" ht="15" customHeight="1">
      <c r="H5082" s="2"/>
      <c r="I5082" s="2"/>
      <c r="J5082" s="2"/>
      <c r="K5082" s="2"/>
      <c r="L5082" s="2"/>
      <c r="M5082" s="2"/>
      <c r="N5082" s="2"/>
      <c r="P5082" s="2"/>
      <c r="Q5082" s="2"/>
      <c r="R5082" s="2"/>
      <c r="AB5082" s="2"/>
    </row>
    <row r="5083" spans="8:28" ht="15" customHeight="1">
      <c r="H5083" s="2"/>
      <c r="I5083" s="2"/>
      <c r="J5083" s="2"/>
      <c r="K5083" s="2"/>
      <c r="L5083" s="2"/>
      <c r="M5083" s="2"/>
      <c r="N5083" s="2"/>
      <c r="P5083" s="2"/>
      <c r="Q5083" s="2"/>
      <c r="R5083" s="2"/>
      <c r="AB5083" s="2"/>
    </row>
    <row r="5084" spans="8:28" ht="15" customHeight="1">
      <c r="H5084" s="2"/>
      <c r="I5084" s="2"/>
      <c r="J5084" s="2"/>
      <c r="K5084" s="2"/>
      <c r="L5084" s="2"/>
      <c r="M5084" s="2"/>
      <c r="N5084" s="2"/>
      <c r="P5084" s="2"/>
      <c r="Q5084" s="2"/>
      <c r="R5084" s="2"/>
      <c r="AB5084" s="2"/>
    </row>
    <row r="5085" spans="8:28" ht="15" customHeight="1">
      <c r="H5085" s="2"/>
      <c r="I5085" s="2"/>
      <c r="J5085" s="2"/>
      <c r="K5085" s="2"/>
      <c r="L5085" s="2"/>
      <c r="M5085" s="2"/>
      <c r="N5085" s="2"/>
      <c r="P5085" s="2"/>
      <c r="Q5085" s="2"/>
      <c r="R5085" s="2"/>
      <c r="AB5085" s="2"/>
    </row>
    <row r="5086" spans="8:28" ht="15" customHeight="1">
      <c r="H5086" s="2"/>
      <c r="I5086" s="2"/>
      <c r="J5086" s="2"/>
      <c r="K5086" s="2"/>
      <c r="L5086" s="2"/>
      <c r="M5086" s="2"/>
      <c r="N5086" s="2"/>
      <c r="P5086" s="2"/>
      <c r="Q5086" s="2"/>
      <c r="R5086" s="2"/>
      <c r="AB5086" s="2"/>
    </row>
    <row r="5087" spans="8:28" ht="15" customHeight="1">
      <c r="H5087" s="2"/>
      <c r="I5087" s="2"/>
      <c r="J5087" s="2"/>
      <c r="K5087" s="2"/>
      <c r="L5087" s="2"/>
      <c r="M5087" s="2"/>
      <c r="N5087" s="2"/>
      <c r="P5087" s="2"/>
      <c r="Q5087" s="2"/>
      <c r="R5087" s="2"/>
      <c r="AB5087" s="2"/>
    </row>
    <row r="5088" spans="8:28" ht="15" customHeight="1">
      <c r="H5088" s="2"/>
      <c r="I5088" s="2"/>
      <c r="J5088" s="2"/>
      <c r="K5088" s="2"/>
      <c r="L5088" s="2"/>
      <c r="M5088" s="2"/>
      <c r="N5088" s="2"/>
      <c r="P5088" s="2"/>
      <c r="Q5088" s="2"/>
      <c r="R5088" s="2"/>
      <c r="AB5088" s="2"/>
    </row>
    <row r="5089" spans="8:28" ht="15" customHeight="1">
      <c r="H5089" s="2"/>
      <c r="I5089" s="2"/>
      <c r="J5089" s="2"/>
      <c r="K5089" s="2"/>
      <c r="L5089" s="2"/>
      <c r="M5089" s="2"/>
      <c r="N5089" s="2"/>
      <c r="P5089" s="2"/>
      <c r="Q5089" s="2"/>
      <c r="R5089" s="2"/>
      <c r="AB5089" s="2"/>
    </row>
    <row r="5090" spans="8:28" ht="15" customHeight="1">
      <c r="H5090" s="2"/>
      <c r="I5090" s="2"/>
      <c r="J5090" s="2"/>
      <c r="K5090" s="2"/>
      <c r="L5090" s="2"/>
      <c r="M5090" s="2"/>
      <c r="N5090" s="2"/>
      <c r="P5090" s="2"/>
      <c r="Q5090" s="2"/>
      <c r="R5090" s="2"/>
      <c r="AB5090" s="2"/>
    </row>
    <row r="5091" spans="8:28" ht="15" customHeight="1">
      <c r="H5091" s="2"/>
      <c r="I5091" s="2"/>
      <c r="J5091" s="2"/>
      <c r="K5091" s="2"/>
      <c r="L5091" s="2"/>
      <c r="M5091" s="2"/>
      <c r="N5091" s="2"/>
      <c r="P5091" s="2"/>
      <c r="Q5091" s="2"/>
      <c r="R5091" s="2"/>
      <c r="AB5091" s="2"/>
    </row>
    <row r="5092" spans="8:28" ht="15" customHeight="1">
      <c r="H5092" s="2"/>
      <c r="I5092" s="2"/>
      <c r="J5092" s="2"/>
      <c r="K5092" s="2"/>
      <c r="L5092" s="2"/>
      <c r="M5092" s="2"/>
      <c r="N5092" s="2"/>
      <c r="P5092" s="2"/>
      <c r="Q5092" s="2"/>
      <c r="R5092" s="2"/>
      <c r="AB5092" s="2"/>
    </row>
    <row r="5093" spans="8:28" ht="15" customHeight="1">
      <c r="H5093" s="2"/>
      <c r="I5093" s="2"/>
      <c r="J5093" s="2"/>
      <c r="K5093" s="2"/>
      <c r="L5093" s="2"/>
      <c r="M5093" s="2"/>
      <c r="N5093" s="2"/>
      <c r="P5093" s="2"/>
      <c r="Q5093" s="2"/>
      <c r="R5093" s="2"/>
      <c r="AB5093" s="2"/>
    </row>
    <row r="5094" spans="8:28" ht="15" customHeight="1">
      <c r="H5094" s="2"/>
      <c r="I5094" s="2"/>
      <c r="J5094" s="2"/>
      <c r="K5094" s="2"/>
      <c r="L5094" s="2"/>
      <c r="M5094" s="2"/>
      <c r="N5094" s="2"/>
      <c r="P5094" s="2"/>
      <c r="Q5094" s="2"/>
      <c r="R5094" s="2"/>
      <c r="AB5094" s="2"/>
    </row>
    <row r="5095" spans="8:28" ht="15" customHeight="1">
      <c r="H5095" s="2"/>
      <c r="I5095" s="2"/>
      <c r="J5095" s="2"/>
      <c r="K5095" s="2"/>
      <c r="L5095" s="2"/>
      <c r="M5095" s="2"/>
      <c r="N5095" s="2"/>
      <c r="P5095" s="2"/>
      <c r="Q5095" s="2"/>
      <c r="R5095" s="2"/>
      <c r="AB5095" s="2"/>
    </row>
    <row r="5096" spans="8:28" ht="15" customHeight="1">
      <c r="H5096" s="2"/>
      <c r="I5096" s="2"/>
      <c r="J5096" s="2"/>
      <c r="K5096" s="2"/>
      <c r="L5096" s="2"/>
      <c r="M5096" s="2"/>
      <c r="N5096" s="2"/>
      <c r="P5096" s="2"/>
      <c r="Q5096" s="2"/>
      <c r="R5096" s="2"/>
      <c r="AB5096" s="2"/>
    </row>
    <row r="5097" spans="8:28" ht="15" customHeight="1">
      <c r="H5097" s="2"/>
      <c r="I5097" s="2"/>
      <c r="J5097" s="2"/>
      <c r="K5097" s="2"/>
      <c r="L5097" s="2"/>
      <c r="M5097" s="2"/>
      <c r="N5097" s="2"/>
      <c r="P5097" s="2"/>
      <c r="Q5097" s="2"/>
      <c r="R5097" s="2"/>
      <c r="AB5097" s="2"/>
    </row>
    <row r="5098" spans="8:28" ht="15" customHeight="1">
      <c r="H5098" s="2"/>
      <c r="I5098" s="2"/>
      <c r="J5098" s="2"/>
      <c r="K5098" s="2"/>
      <c r="L5098" s="2"/>
      <c r="M5098" s="2"/>
      <c r="N5098" s="2"/>
      <c r="P5098" s="2"/>
      <c r="Q5098" s="2"/>
      <c r="R5098" s="2"/>
      <c r="AB5098" s="2"/>
    </row>
    <row r="5099" spans="8:28" ht="15" customHeight="1">
      <c r="H5099" s="2"/>
      <c r="I5099" s="2"/>
      <c r="J5099" s="2"/>
      <c r="K5099" s="2"/>
      <c r="L5099" s="2"/>
      <c r="M5099" s="2"/>
      <c r="N5099" s="2"/>
      <c r="P5099" s="2"/>
      <c r="Q5099" s="2"/>
      <c r="R5099" s="2"/>
      <c r="AB5099" s="2"/>
    </row>
    <row r="5100" spans="8:28" ht="15" customHeight="1">
      <c r="H5100" s="2"/>
      <c r="I5100" s="2"/>
      <c r="J5100" s="2"/>
      <c r="K5100" s="2"/>
      <c r="L5100" s="2"/>
      <c r="M5100" s="2"/>
      <c r="N5100" s="2"/>
      <c r="P5100" s="2"/>
      <c r="Q5100" s="2"/>
      <c r="R5100" s="2"/>
      <c r="AB5100" s="2"/>
    </row>
    <row r="5101" spans="8:28" ht="15" customHeight="1">
      <c r="H5101" s="2"/>
      <c r="I5101" s="2"/>
      <c r="J5101" s="2"/>
      <c r="K5101" s="2"/>
      <c r="L5101" s="2"/>
      <c r="M5101" s="2"/>
      <c r="N5101" s="2"/>
      <c r="P5101" s="2"/>
      <c r="Q5101" s="2"/>
      <c r="R5101" s="2"/>
      <c r="AB5101" s="2"/>
    </row>
    <row r="5102" spans="8:28" ht="15" customHeight="1">
      <c r="H5102" s="2"/>
      <c r="I5102" s="2"/>
      <c r="J5102" s="2"/>
      <c r="K5102" s="2"/>
      <c r="L5102" s="2"/>
      <c r="M5102" s="2"/>
      <c r="N5102" s="2"/>
      <c r="P5102" s="2"/>
      <c r="Q5102" s="2"/>
      <c r="R5102" s="2"/>
      <c r="AB5102" s="2"/>
    </row>
    <row r="5103" spans="8:28" ht="15" customHeight="1">
      <c r="H5103" s="2"/>
      <c r="I5103" s="2"/>
      <c r="J5103" s="2"/>
      <c r="K5103" s="2"/>
      <c r="L5103" s="2"/>
      <c r="M5103" s="2"/>
      <c r="N5103" s="2"/>
      <c r="P5103" s="2"/>
      <c r="Q5103" s="2"/>
      <c r="R5103" s="2"/>
      <c r="AB5103" s="2"/>
    </row>
    <row r="5104" spans="8:28" ht="15" customHeight="1">
      <c r="H5104" s="2"/>
      <c r="I5104" s="2"/>
      <c r="J5104" s="2"/>
      <c r="K5104" s="2"/>
      <c r="L5104" s="2"/>
      <c r="M5104" s="2"/>
      <c r="N5104" s="2"/>
      <c r="P5104" s="2"/>
      <c r="Q5104" s="2"/>
      <c r="R5104" s="2"/>
      <c r="AB5104" s="2"/>
    </row>
    <row r="5105" spans="8:28" ht="15" customHeight="1">
      <c r="H5105" s="2"/>
      <c r="I5105" s="2"/>
      <c r="J5105" s="2"/>
      <c r="K5105" s="2"/>
      <c r="L5105" s="2"/>
      <c r="M5105" s="2"/>
      <c r="N5105" s="2"/>
      <c r="P5105" s="2"/>
      <c r="Q5105" s="2"/>
      <c r="R5105" s="2"/>
      <c r="AB5105" s="2"/>
    </row>
    <row r="5106" spans="8:28" ht="15" customHeight="1">
      <c r="H5106" s="2"/>
      <c r="I5106" s="2"/>
      <c r="J5106" s="2"/>
      <c r="K5106" s="2"/>
      <c r="L5106" s="2"/>
      <c r="M5106" s="2"/>
      <c r="N5106" s="2"/>
      <c r="P5106" s="2"/>
      <c r="Q5106" s="2"/>
      <c r="R5106" s="2"/>
      <c r="AB5106" s="2"/>
    </row>
    <row r="5107" spans="8:28" ht="15" customHeight="1">
      <c r="H5107" s="2"/>
      <c r="I5107" s="2"/>
      <c r="J5107" s="2"/>
      <c r="K5107" s="2"/>
      <c r="L5107" s="2"/>
      <c r="M5107" s="2"/>
      <c r="N5107" s="2"/>
      <c r="P5107" s="2"/>
      <c r="Q5107" s="2"/>
      <c r="R5107" s="2"/>
      <c r="AB5107" s="2"/>
    </row>
    <row r="5108" spans="8:28" ht="15" customHeight="1">
      <c r="H5108" s="2"/>
      <c r="I5108" s="2"/>
      <c r="J5108" s="2"/>
      <c r="K5108" s="2"/>
      <c r="L5108" s="2"/>
      <c r="M5108" s="2"/>
      <c r="N5108" s="2"/>
      <c r="P5108" s="2"/>
      <c r="Q5108" s="2"/>
      <c r="R5108" s="2"/>
      <c r="AB5108" s="2"/>
    </row>
    <row r="5109" spans="8:28" ht="15" customHeight="1">
      <c r="H5109" s="2"/>
      <c r="I5109" s="2"/>
      <c r="J5109" s="2"/>
      <c r="K5109" s="2"/>
      <c r="L5109" s="2"/>
      <c r="M5109" s="2"/>
      <c r="N5109" s="2"/>
      <c r="P5109" s="2"/>
      <c r="Q5109" s="2"/>
      <c r="R5109" s="2"/>
      <c r="AB5109" s="2"/>
    </row>
    <row r="5110" spans="8:28" ht="15" customHeight="1">
      <c r="H5110" s="2"/>
      <c r="I5110" s="2"/>
      <c r="J5110" s="2"/>
      <c r="K5110" s="2"/>
      <c r="L5110" s="2"/>
      <c r="M5110" s="2"/>
      <c r="N5110" s="2"/>
      <c r="P5110" s="2"/>
      <c r="Q5110" s="2"/>
      <c r="R5110" s="2"/>
      <c r="AB5110" s="2"/>
    </row>
    <row r="5111" spans="8:28" ht="15" customHeight="1">
      <c r="H5111" s="2"/>
      <c r="I5111" s="2"/>
      <c r="J5111" s="2"/>
      <c r="K5111" s="2"/>
      <c r="L5111" s="2"/>
      <c r="M5111" s="2"/>
      <c r="N5111" s="2"/>
      <c r="P5111" s="2"/>
      <c r="Q5111" s="2"/>
      <c r="R5111" s="2"/>
      <c r="AB5111" s="2"/>
    </row>
    <row r="5112" spans="8:28" ht="15" customHeight="1">
      <c r="H5112" s="2"/>
      <c r="I5112" s="2"/>
      <c r="J5112" s="2"/>
      <c r="K5112" s="2"/>
      <c r="L5112" s="2"/>
      <c r="M5112" s="2"/>
      <c r="N5112" s="2"/>
      <c r="P5112" s="2"/>
      <c r="Q5112" s="2"/>
      <c r="R5112" s="2"/>
      <c r="AB5112" s="2"/>
    </row>
    <row r="5113" spans="8:28" ht="15" customHeight="1">
      <c r="H5113" s="2"/>
      <c r="I5113" s="2"/>
      <c r="J5113" s="2"/>
      <c r="K5113" s="2"/>
      <c r="L5113" s="2"/>
      <c r="M5113" s="2"/>
      <c r="N5113" s="2"/>
      <c r="P5113" s="2"/>
      <c r="Q5113" s="2"/>
      <c r="R5113" s="2"/>
      <c r="AB5113" s="2"/>
    </row>
    <row r="5114" spans="8:28" ht="15" customHeight="1">
      <c r="H5114" s="2"/>
      <c r="I5114" s="2"/>
      <c r="J5114" s="2"/>
      <c r="K5114" s="2"/>
      <c r="L5114" s="2"/>
      <c r="M5114" s="2"/>
      <c r="N5114" s="2"/>
      <c r="P5114" s="2"/>
      <c r="Q5114" s="2"/>
      <c r="R5114" s="2"/>
      <c r="AB5114" s="2"/>
    </row>
    <row r="5115" spans="8:28" ht="15" customHeight="1">
      <c r="H5115" s="2"/>
      <c r="I5115" s="2"/>
      <c r="J5115" s="2"/>
      <c r="K5115" s="2"/>
      <c r="L5115" s="2"/>
      <c r="M5115" s="2"/>
      <c r="N5115" s="2"/>
      <c r="P5115" s="2"/>
      <c r="Q5115" s="2"/>
      <c r="R5115" s="2"/>
      <c r="AB5115" s="2"/>
    </row>
    <row r="5116" spans="8:28" ht="15" customHeight="1">
      <c r="H5116" s="2"/>
      <c r="I5116" s="2"/>
      <c r="J5116" s="2"/>
      <c r="K5116" s="2"/>
      <c r="L5116" s="2"/>
      <c r="M5116" s="2"/>
      <c r="N5116" s="2"/>
      <c r="P5116" s="2"/>
      <c r="Q5116" s="2"/>
      <c r="R5116" s="2"/>
      <c r="AB5116" s="2"/>
    </row>
    <row r="5117" spans="8:28" ht="15" customHeight="1">
      <c r="H5117" s="2"/>
      <c r="I5117" s="2"/>
      <c r="J5117" s="2"/>
      <c r="K5117" s="2"/>
      <c r="L5117" s="2"/>
      <c r="M5117" s="2"/>
      <c r="N5117" s="2"/>
      <c r="P5117" s="2"/>
      <c r="Q5117" s="2"/>
      <c r="R5117" s="2"/>
      <c r="AB5117" s="2"/>
    </row>
    <row r="5118" spans="8:28" ht="15" customHeight="1">
      <c r="H5118" s="2"/>
      <c r="I5118" s="2"/>
      <c r="J5118" s="2"/>
      <c r="K5118" s="2"/>
      <c r="L5118" s="2"/>
      <c r="M5118" s="2"/>
      <c r="N5118" s="2"/>
      <c r="P5118" s="2"/>
      <c r="Q5118" s="2"/>
      <c r="R5118" s="2"/>
      <c r="AB5118" s="2"/>
    </row>
    <row r="5119" spans="8:28" ht="15" customHeight="1">
      <c r="H5119" s="2"/>
      <c r="I5119" s="2"/>
      <c r="J5119" s="2"/>
      <c r="K5119" s="2"/>
      <c r="L5119" s="2"/>
      <c r="M5119" s="2"/>
      <c r="N5119" s="2"/>
      <c r="P5119" s="2"/>
      <c r="Q5119" s="2"/>
      <c r="R5119" s="2"/>
      <c r="AB5119" s="2"/>
    </row>
    <row r="5120" spans="8:28" ht="15" customHeight="1">
      <c r="H5120" s="2"/>
      <c r="I5120" s="2"/>
      <c r="J5120" s="2"/>
      <c r="K5120" s="2"/>
      <c r="L5120" s="2"/>
      <c r="M5120" s="2"/>
      <c r="N5120" s="2"/>
      <c r="P5120" s="2"/>
      <c r="Q5120" s="2"/>
      <c r="R5120" s="2"/>
      <c r="AB5120" s="2"/>
    </row>
    <row r="5121" spans="8:28" ht="15" customHeight="1">
      <c r="H5121" s="2"/>
      <c r="I5121" s="2"/>
      <c r="J5121" s="2"/>
      <c r="K5121" s="2"/>
      <c r="L5121" s="2"/>
      <c r="M5121" s="2"/>
      <c r="N5121" s="2"/>
      <c r="P5121" s="2"/>
      <c r="Q5121" s="2"/>
      <c r="R5121" s="2"/>
      <c r="AB5121" s="2"/>
    </row>
    <row r="5122" spans="8:28" ht="15" customHeight="1">
      <c r="H5122" s="2"/>
      <c r="I5122" s="2"/>
      <c r="J5122" s="2"/>
      <c r="K5122" s="2"/>
      <c r="L5122" s="2"/>
      <c r="M5122" s="2"/>
      <c r="N5122" s="2"/>
      <c r="P5122" s="2"/>
      <c r="Q5122" s="2"/>
      <c r="R5122" s="2"/>
      <c r="AB5122" s="2"/>
    </row>
    <row r="5123" spans="8:28" ht="15" customHeight="1">
      <c r="H5123" s="2"/>
      <c r="I5123" s="2"/>
      <c r="J5123" s="2"/>
      <c r="K5123" s="2"/>
      <c r="L5123" s="2"/>
      <c r="M5123" s="2"/>
      <c r="N5123" s="2"/>
      <c r="P5123" s="2"/>
      <c r="Q5123" s="2"/>
      <c r="R5123" s="2"/>
      <c r="AB5123" s="2"/>
    </row>
    <row r="5124" spans="8:28" ht="15" customHeight="1">
      <c r="H5124" s="2"/>
      <c r="I5124" s="2"/>
      <c r="J5124" s="2"/>
      <c r="K5124" s="2"/>
      <c r="L5124" s="2"/>
      <c r="M5124" s="2"/>
      <c r="N5124" s="2"/>
      <c r="P5124" s="2"/>
      <c r="Q5124" s="2"/>
      <c r="R5124" s="2"/>
      <c r="AB5124" s="2"/>
    </row>
    <row r="5125" spans="8:28" ht="15" customHeight="1">
      <c r="H5125" s="2"/>
      <c r="I5125" s="2"/>
      <c r="J5125" s="2"/>
      <c r="K5125" s="2"/>
      <c r="L5125" s="2"/>
      <c r="M5125" s="2"/>
      <c r="N5125" s="2"/>
      <c r="P5125" s="2"/>
      <c r="Q5125" s="2"/>
      <c r="R5125" s="2"/>
      <c r="AB5125" s="2"/>
    </row>
    <row r="5126" spans="8:28" ht="15" customHeight="1">
      <c r="H5126" s="2"/>
      <c r="I5126" s="2"/>
      <c r="J5126" s="2"/>
      <c r="K5126" s="2"/>
      <c r="L5126" s="2"/>
      <c r="M5126" s="2"/>
      <c r="N5126" s="2"/>
      <c r="P5126" s="2"/>
      <c r="Q5126" s="2"/>
      <c r="R5126" s="2"/>
      <c r="AB5126" s="2"/>
    </row>
    <row r="5127" spans="8:28" ht="15" customHeight="1">
      <c r="H5127" s="2"/>
      <c r="I5127" s="2"/>
      <c r="J5127" s="2"/>
      <c r="K5127" s="2"/>
      <c r="L5127" s="2"/>
      <c r="M5127" s="2"/>
      <c r="N5127" s="2"/>
      <c r="P5127" s="2"/>
      <c r="Q5127" s="2"/>
      <c r="R5127" s="2"/>
      <c r="AB5127" s="2"/>
    </row>
    <row r="5128" spans="8:28" ht="15" customHeight="1">
      <c r="H5128" s="2"/>
      <c r="I5128" s="2"/>
      <c r="J5128" s="2"/>
      <c r="K5128" s="2"/>
      <c r="L5128" s="2"/>
      <c r="M5128" s="2"/>
      <c r="N5128" s="2"/>
      <c r="P5128" s="2"/>
      <c r="Q5128" s="2"/>
      <c r="R5128" s="2"/>
      <c r="AB5128" s="2"/>
    </row>
    <row r="5129" spans="8:28" ht="15" customHeight="1">
      <c r="H5129" s="2"/>
      <c r="I5129" s="2"/>
      <c r="J5129" s="2"/>
      <c r="K5129" s="2"/>
      <c r="L5129" s="2"/>
      <c r="M5129" s="2"/>
      <c r="N5129" s="2"/>
      <c r="P5129" s="2"/>
      <c r="Q5129" s="2"/>
      <c r="R5129" s="2"/>
      <c r="AB5129" s="2"/>
    </row>
    <row r="5130" spans="8:28" ht="15" customHeight="1">
      <c r="H5130" s="2"/>
      <c r="I5130" s="2"/>
      <c r="J5130" s="2"/>
      <c r="K5130" s="2"/>
      <c r="L5130" s="2"/>
      <c r="M5130" s="2"/>
      <c r="N5130" s="2"/>
      <c r="P5130" s="2"/>
      <c r="Q5130" s="2"/>
      <c r="R5130" s="2"/>
      <c r="AB5130" s="2"/>
    </row>
    <row r="5131" spans="8:28" ht="15" customHeight="1">
      <c r="H5131" s="2"/>
      <c r="I5131" s="2"/>
      <c r="J5131" s="2"/>
      <c r="K5131" s="2"/>
      <c r="L5131" s="2"/>
      <c r="M5131" s="2"/>
      <c r="N5131" s="2"/>
      <c r="P5131" s="2"/>
      <c r="Q5131" s="2"/>
      <c r="R5131" s="2"/>
      <c r="AB5131" s="2"/>
    </row>
    <row r="5132" spans="8:28" ht="15" customHeight="1">
      <c r="H5132" s="2"/>
      <c r="I5132" s="2"/>
      <c r="J5132" s="2"/>
      <c r="K5132" s="2"/>
      <c r="L5132" s="2"/>
      <c r="M5132" s="2"/>
      <c r="N5132" s="2"/>
      <c r="P5132" s="2"/>
      <c r="Q5132" s="2"/>
      <c r="R5132" s="2"/>
      <c r="AB5132" s="2"/>
    </row>
    <row r="5133" spans="8:28" ht="15" customHeight="1">
      <c r="H5133" s="2"/>
      <c r="I5133" s="2"/>
      <c r="J5133" s="2"/>
      <c r="K5133" s="2"/>
      <c r="L5133" s="2"/>
      <c r="M5133" s="2"/>
      <c r="N5133" s="2"/>
      <c r="P5133" s="2"/>
      <c r="Q5133" s="2"/>
      <c r="R5133" s="2"/>
      <c r="AB5133" s="2"/>
    </row>
    <row r="5134" spans="8:28" ht="15" customHeight="1">
      <c r="H5134" s="2"/>
      <c r="I5134" s="2"/>
      <c r="J5134" s="2"/>
      <c r="K5134" s="2"/>
      <c r="L5134" s="2"/>
      <c r="M5134" s="2"/>
      <c r="N5134" s="2"/>
      <c r="P5134" s="2"/>
      <c r="Q5134" s="2"/>
      <c r="R5134" s="2"/>
      <c r="AB5134" s="2"/>
    </row>
    <row r="5135" spans="8:28" ht="15" customHeight="1">
      <c r="H5135" s="2"/>
      <c r="I5135" s="2"/>
      <c r="J5135" s="2"/>
      <c r="K5135" s="2"/>
      <c r="L5135" s="2"/>
      <c r="M5135" s="2"/>
      <c r="N5135" s="2"/>
      <c r="P5135" s="2"/>
      <c r="Q5135" s="2"/>
      <c r="R5135" s="2"/>
      <c r="AB5135" s="2"/>
    </row>
    <row r="5136" spans="8:28" ht="15" customHeight="1">
      <c r="H5136" s="2"/>
      <c r="I5136" s="2"/>
      <c r="J5136" s="2"/>
      <c r="K5136" s="2"/>
      <c r="L5136" s="2"/>
      <c r="M5136" s="2"/>
      <c r="N5136" s="2"/>
      <c r="P5136" s="2"/>
      <c r="Q5136" s="2"/>
      <c r="R5136" s="2"/>
      <c r="AB5136" s="2"/>
    </row>
    <row r="5137" spans="8:28" ht="15" customHeight="1">
      <c r="H5137" s="2"/>
      <c r="I5137" s="2"/>
      <c r="J5137" s="2"/>
      <c r="K5137" s="2"/>
      <c r="L5137" s="2"/>
      <c r="M5137" s="2"/>
      <c r="N5137" s="2"/>
      <c r="P5137" s="2"/>
      <c r="Q5137" s="2"/>
      <c r="R5137" s="2"/>
      <c r="AB5137" s="2"/>
    </row>
    <row r="5138" spans="8:28" ht="15" customHeight="1">
      <c r="H5138" s="2"/>
      <c r="I5138" s="2"/>
      <c r="J5138" s="2"/>
      <c r="K5138" s="2"/>
      <c r="L5138" s="2"/>
      <c r="M5138" s="2"/>
      <c r="N5138" s="2"/>
      <c r="P5138" s="2"/>
      <c r="Q5138" s="2"/>
      <c r="R5138" s="2"/>
      <c r="AB5138" s="2"/>
    </row>
    <row r="5139" spans="8:28" ht="15" customHeight="1">
      <c r="H5139" s="2"/>
      <c r="I5139" s="2"/>
      <c r="J5139" s="2"/>
      <c r="K5139" s="2"/>
      <c r="L5139" s="2"/>
      <c r="M5139" s="2"/>
      <c r="N5139" s="2"/>
      <c r="P5139" s="2"/>
      <c r="Q5139" s="2"/>
      <c r="R5139" s="2"/>
      <c r="AB5139" s="2"/>
    </row>
    <row r="5140" spans="8:28" ht="15" customHeight="1">
      <c r="H5140" s="2"/>
      <c r="I5140" s="2"/>
      <c r="J5140" s="2"/>
      <c r="K5140" s="2"/>
      <c r="L5140" s="2"/>
      <c r="M5140" s="2"/>
      <c r="N5140" s="2"/>
      <c r="P5140" s="2"/>
      <c r="Q5140" s="2"/>
      <c r="R5140" s="2"/>
      <c r="AB5140" s="2"/>
    </row>
    <row r="5141" spans="8:28" ht="15" customHeight="1">
      <c r="H5141" s="2"/>
      <c r="I5141" s="2"/>
      <c r="J5141" s="2"/>
      <c r="K5141" s="2"/>
      <c r="L5141" s="2"/>
      <c r="M5141" s="2"/>
      <c r="N5141" s="2"/>
      <c r="P5141" s="2"/>
      <c r="Q5141" s="2"/>
      <c r="R5141" s="2"/>
      <c r="AB5141" s="2"/>
    </row>
    <row r="5142" spans="8:28" ht="15" customHeight="1">
      <c r="H5142" s="2"/>
      <c r="I5142" s="2"/>
      <c r="J5142" s="2"/>
      <c r="K5142" s="2"/>
      <c r="L5142" s="2"/>
      <c r="M5142" s="2"/>
      <c r="N5142" s="2"/>
      <c r="P5142" s="2"/>
      <c r="Q5142" s="2"/>
      <c r="R5142" s="2"/>
      <c r="AB5142" s="2"/>
    </row>
    <row r="5143" spans="8:28" ht="15" customHeight="1">
      <c r="H5143" s="2"/>
      <c r="I5143" s="2"/>
      <c r="J5143" s="2"/>
      <c r="K5143" s="2"/>
      <c r="L5143" s="2"/>
      <c r="M5143" s="2"/>
      <c r="N5143" s="2"/>
      <c r="P5143" s="2"/>
      <c r="Q5143" s="2"/>
      <c r="R5143" s="2"/>
      <c r="AB5143" s="2"/>
    </row>
    <row r="5144" spans="8:28" ht="15" customHeight="1">
      <c r="H5144" s="2"/>
      <c r="I5144" s="2"/>
      <c r="J5144" s="2"/>
      <c r="K5144" s="2"/>
      <c r="L5144" s="2"/>
      <c r="M5144" s="2"/>
      <c r="N5144" s="2"/>
      <c r="P5144" s="2"/>
      <c r="Q5144" s="2"/>
      <c r="R5144" s="2"/>
      <c r="AB5144" s="2"/>
    </row>
    <row r="5145" spans="8:28" ht="15" customHeight="1">
      <c r="H5145" s="2"/>
      <c r="I5145" s="2"/>
      <c r="J5145" s="2"/>
      <c r="K5145" s="2"/>
      <c r="L5145" s="2"/>
      <c r="M5145" s="2"/>
      <c r="N5145" s="2"/>
      <c r="P5145" s="2"/>
      <c r="Q5145" s="2"/>
      <c r="R5145" s="2"/>
      <c r="AB5145" s="2"/>
    </row>
    <row r="5146" spans="8:28" ht="15" customHeight="1">
      <c r="H5146" s="2"/>
      <c r="I5146" s="2"/>
      <c r="J5146" s="2"/>
      <c r="K5146" s="2"/>
      <c r="L5146" s="2"/>
      <c r="M5146" s="2"/>
      <c r="N5146" s="2"/>
      <c r="P5146" s="2"/>
      <c r="Q5146" s="2"/>
      <c r="R5146" s="2"/>
      <c r="AB5146" s="2"/>
    </row>
    <row r="5147" spans="8:28" ht="15" customHeight="1">
      <c r="H5147" s="2"/>
      <c r="I5147" s="2"/>
      <c r="J5147" s="2"/>
      <c r="K5147" s="2"/>
      <c r="L5147" s="2"/>
      <c r="M5147" s="2"/>
      <c r="N5147" s="2"/>
      <c r="P5147" s="2"/>
      <c r="Q5147" s="2"/>
      <c r="R5147" s="2"/>
      <c r="AB5147" s="2"/>
    </row>
    <row r="5148" spans="8:28" ht="15" customHeight="1">
      <c r="H5148" s="2"/>
      <c r="I5148" s="2"/>
      <c r="J5148" s="2"/>
      <c r="K5148" s="2"/>
      <c r="L5148" s="2"/>
      <c r="M5148" s="2"/>
      <c r="N5148" s="2"/>
      <c r="P5148" s="2"/>
      <c r="Q5148" s="2"/>
      <c r="R5148" s="2"/>
      <c r="AB5148" s="2"/>
    </row>
    <row r="5149" spans="8:28" ht="15" customHeight="1">
      <c r="H5149" s="2"/>
      <c r="I5149" s="2"/>
      <c r="J5149" s="2"/>
      <c r="K5149" s="2"/>
      <c r="L5149" s="2"/>
      <c r="M5149" s="2"/>
      <c r="N5149" s="2"/>
      <c r="P5149" s="2"/>
      <c r="Q5149" s="2"/>
      <c r="R5149" s="2"/>
      <c r="AB5149" s="2"/>
    </row>
    <row r="5150" spans="8:28" ht="15" customHeight="1">
      <c r="H5150" s="2"/>
      <c r="I5150" s="2"/>
      <c r="J5150" s="2"/>
      <c r="K5150" s="2"/>
      <c r="L5150" s="2"/>
      <c r="M5150" s="2"/>
      <c r="N5150" s="2"/>
      <c r="P5150" s="2"/>
      <c r="Q5150" s="2"/>
      <c r="R5150" s="2"/>
      <c r="AB5150" s="2"/>
    </row>
    <row r="5151" spans="8:28" ht="15" customHeight="1">
      <c r="H5151" s="2"/>
      <c r="I5151" s="2"/>
      <c r="J5151" s="2"/>
      <c r="K5151" s="2"/>
      <c r="L5151" s="2"/>
      <c r="M5151" s="2"/>
      <c r="N5151" s="2"/>
      <c r="P5151" s="2"/>
      <c r="Q5151" s="2"/>
      <c r="R5151" s="2"/>
      <c r="AB5151" s="2"/>
    </row>
    <row r="5152" spans="8:28" ht="15" customHeight="1">
      <c r="H5152" s="2"/>
      <c r="I5152" s="2"/>
      <c r="J5152" s="2"/>
      <c r="K5152" s="2"/>
      <c r="L5152" s="2"/>
      <c r="M5152" s="2"/>
      <c r="N5152" s="2"/>
      <c r="P5152" s="2"/>
      <c r="Q5152" s="2"/>
      <c r="R5152" s="2"/>
      <c r="AB5152" s="2"/>
    </row>
    <row r="5153" spans="8:28" ht="15" customHeight="1">
      <c r="H5153" s="2"/>
      <c r="I5153" s="2"/>
      <c r="J5153" s="2"/>
      <c r="K5153" s="2"/>
      <c r="L5153" s="2"/>
      <c r="M5153" s="2"/>
      <c r="N5153" s="2"/>
      <c r="P5153" s="2"/>
      <c r="Q5153" s="2"/>
      <c r="R5153" s="2"/>
      <c r="AB5153" s="2"/>
    </row>
    <row r="5154" spans="8:28" ht="15" customHeight="1">
      <c r="H5154" s="2"/>
      <c r="I5154" s="2"/>
      <c r="J5154" s="2"/>
      <c r="K5154" s="2"/>
      <c r="L5154" s="2"/>
      <c r="M5154" s="2"/>
      <c r="N5154" s="2"/>
      <c r="P5154" s="2"/>
      <c r="Q5154" s="2"/>
      <c r="R5154" s="2"/>
      <c r="AB5154" s="2"/>
    </row>
    <row r="5155" spans="8:28" ht="15" customHeight="1">
      <c r="H5155" s="2"/>
      <c r="I5155" s="2"/>
      <c r="J5155" s="2"/>
      <c r="K5155" s="2"/>
      <c r="L5155" s="2"/>
      <c r="M5155" s="2"/>
      <c r="N5155" s="2"/>
      <c r="P5155" s="2"/>
      <c r="Q5155" s="2"/>
      <c r="R5155" s="2"/>
      <c r="AB5155" s="2"/>
    </row>
    <row r="5156" spans="8:28" ht="15" customHeight="1">
      <c r="H5156" s="2"/>
      <c r="I5156" s="2"/>
      <c r="J5156" s="2"/>
      <c r="K5156" s="2"/>
      <c r="L5156" s="2"/>
      <c r="M5156" s="2"/>
      <c r="N5156" s="2"/>
      <c r="P5156" s="2"/>
      <c r="Q5156" s="2"/>
      <c r="R5156" s="2"/>
      <c r="AB5156" s="2"/>
    </row>
    <row r="5157" spans="8:28" ht="15" customHeight="1">
      <c r="H5157" s="2"/>
      <c r="I5157" s="2"/>
      <c r="J5157" s="2"/>
      <c r="K5157" s="2"/>
      <c r="L5157" s="2"/>
      <c r="M5157" s="2"/>
      <c r="N5157" s="2"/>
      <c r="P5157" s="2"/>
      <c r="Q5157" s="2"/>
      <c r="R5157" s="2"/>
      <c r="AB5157" s="2"/>
    </row>
    <row r="5158" spans="8:28" ht="15" customHeight="1">
      <c r="H5158" s="2"/>
      <c r="I5158" s="2"/>
      <c r="J5158" s="2"/>
      <c r="K5158" s="2"/>
      <c r="L5158" s="2"/>
      <c r="M5158" s="2"/>
      <c r="N5158" s="2"/>
      <c r="P5158" s="2"/>
      <c r="Q5158" s="2"/>
      <c r="R5158" s="2"/>
      <c r="AB5158" s="2"/>
    </row>
    <row r="5159" spans="8:28" ht="15" customHeight="1">
      <c r="H5159" s="2"/>
      <c r="I5159" s="2"/>
      <c r="J5159" s="2"/>
      <c r="K5159" s="2"/>
      <c r="L5159" s="2"/>
      <c r="M5159" s="2"/>
      <c r="N5159" s="2"/>
      <c r="P5159" s="2"/>
      <c r="Q5159" s="2"/>
      <c r="R5159" s="2"/>
      <c r="AB5159" s="2"/>
    </row>
    <row r="5160" spans="8:28" ht="15" customHeight="1">
      <c r="H5160" s="2"/>
      <c r="I5160" s="2"/>
      <c r="J5160" s="2"/>
      <c r="K5160" s="2"/>
      <c r="L5160" s="2"/>
      <c r="M5160" s="2"/>
      <c r="N5160" s="2"/>
      <c r="P5160" s="2"/>
      <c r="Q5160" s="2"/>
      <c r="R5160" s="2"/>
      <c r="AB5160" s="2"/>
    </row>
    <row r="5161" spans="8:28" ht="15" customHeight="1">
      <c r="H5161" s="2"/>
      <c r="I5161" s="2"/>
      <c r="J5161" s="2"/>
      <c r="K5161" s="2"/>
      <c r="L5161" s="2"/>
      <c r="M5161" s="2"/>
      <c r="N5161" s="2"/>
      <c r="P5161" s="2"/>
      <c r="Q5161" s="2"/>
      <c r="R5161" s="2"/>
      <c r="AB5161" s="2"/>
    </row>
    <row r="5162" spans="8:28" ht="15" customHeight="1">
      <c r="H5162" s="2"/>
      <c r="I5162" s="2"/>
      <c r="J5162" s="2"/>
      <c r="K5162" s="2"/>
      <c r="L5162" s="2"/>
      <c r="M5162" s="2"/>
      <c r="N5162" s="2"/>
      <c r="P5162" s="2"/>
      <c r="Q5162" s="2"/>
      <c r="R5162" s="2"/>
      <c r="AB5162" s="2"/>
    </row>
    <row r="5163" spans="8:28" ht="15" customHeight="1">
      <c r="H5163" s="2"/>
      <c r="I5163" s="2"/>
      <c r="J5163" s="2"/>
      <c r="K5163" s="2"/>
      <c r="L5163" s="2"/>
      <c r="M5163" s="2"/>
      <c r="N5163" s="2"/>
      <c r="P5163" s="2"/>
      <c r="Q5163" s="2"/>
      <c r="R5163" s="2"/>
      <c r="AB5163" s="2"/>
    </row>
    <row r="5164" spans="8:28" ht="15" customHeight="1">
      <c r="H5164" s="2"/>
      <c r="I5164" s="2"/>
      <c r="J5164" s="2"/>
      <c r="K5164" s="2"/>
      <c r="L5164" s="2"/>
      <c r="M5164" s="2"/>
      <c r="N5164" s="2"/>
      <c r="P5164" s="2"/>
      <c r="Q5164" s="2"/>
      <c r="R5164" s="2"/>
      <c r="AB5164" s="2"/>
    </row>
    <row r="5165" spans="8:28" ht="15" customHeight="1">
      <c r="H5165" s="2"/>
      <c r="I5165" s="2"/>
      <c r="J5165" s="2"/>
      <c r="K5165" s="2"/>
      <c r="L5165" s="2"/>
      <c r="M5165" s="2"/>
      <c r="N5165" s="2"/>
      <c r="P5165" s="2"/>
      <c r="Q5165" s="2"/>
      <c r="R5165" s="2"/>
      <c r="AB5165" s="2"/>
    </row>
    <row r="5166" spans="8:28" ht="15" customHeight="1">
      <c r="H5166" s="2"/>
      <c r="I5166" s="2"/>
      <c r="J5166" s="2"/>
      <c r="K5166" s="2"/>
      <c r="L5166" s="2"/>
      <c r="M5166" s="2"/>
      <c r="N5166" s="2"/>
      <c r="P5166" s="2"/>
      <c r="Q5166" s="2"/>
      <c r="R5166" s="2"/>
      <c r="AB5166" s="2"/>
    </row>
    <row r="5167" spans="8:28" ht="15" customHeight="1">
      <c r="H5167" s="2"/>
      <c r="I5167" s="2"/>
      <c r="J5167" s="2"/>
      <c r="K5167" s="2"/>
      <c r="L5167" s="2"/>
      <c r="M5167" s="2"/>
      <c r="N5167" s="2"/>
      <c r="P5167" s="2"/>
      <c r="Q5167" s="2"/>
      <c r="R5167" s="2"/>
      <c r="AB5167" s="2"/>
    </row>
    <row r="5168" spans="8:28" ht="15" customHeight="1">
      <c r="H5168" s="2"/>
      <c r="I5168" s="2"/>
      <c r="J5168" s="2"/>
      <c r="K5168" s="2"/>
      <c r="L5168" s="2"/>
      <c r="M5168" s="2"/>
      <c r="N5168" s="2"/>
      <c r="P5168" s="2"/>
      <c r="Q5168" s="2"/>
      <c r="R5168" s="2"/>
      <c r="AB5168" s="2"/>
    </row>
    <row r="5169" spans="8:28" ht="15" customHeight="1">
      <c r="H5169" s="2"/>
      <c r="I5169" s="2"/>
      <c r="J5169" s="2"/>
      <c r="K5169" s="2"/>
      <c r="L5169" s="2"/>
      <c r="M5169" s="2"/>
      <c r="N5169" s="2"/>
      <c r="P5169" s="2"/>
      <c r="Q5169" s="2"/>
      <c r="R5169" s="2"/>
      <c r="AB5169" s="2"/>
    </row>
    <row r="5170" spans="8:28" ht="15" customHeight="1">
      <c r="H5170" s="2"/>
      <c r="I5170" s="2"/>
      <c r="J5170" s="2"/>
      <c r="K5170" s="2"/>
      <c r="L5170" s="2"/>
      <c r="M5170" s="2"/>
      <c r="N5170" s="2"/>
      <c r="P5170" s="2"/>
      <c r="Q5170" s="2"/>
      <c r="R5170" s="2"/>
      <c r="AB5170" s="2"/>
    </row>
    <row r="5171" spans="8:28" ht="15" customHeight="1">
      <c r="H5171" s="2"/>
      <c r="I5171" s="2"/>
      <c r="J5171" s="2"/>
      <c r="K5171" s="2"/>
      <c r="L5171" s="2"/>
      <c r="M5171" s="2"/>
      <c r="N5171" s="2"/>
      <c r="P5171" s="2"/>
      <c r="Q5171" s="2"/>
      <c r="R5171" s="2"/>
      <c r="AB5171" s="2"/>
    </row>
    <row r="5172" spans="8:28" ht="15" customHeight="1">
      <c r="H5172" s="2"/>
      <c r="I5172" s="2"/>
      <c r="J5172" s="2"/>
      <c r="K5172" s="2"/>
      <c r="L5172" s="2"/>
      <c r="M5172" s="2"/>
      <c r="N5172" s="2"/>
      <c r="P5172" s="2"/>
      <c r="Q5172" s="2"/>
      <c r="R5172" s="2"/>
      <c r="AB5172" s="2"/>
    </row>
    <row r="5173" spans="8:28" ht="15" customHeight="1">
      <c r="H5173" s="2"/>
      <c r="I5173" s="2"/>
      <c r="J5173" s="2"/>
      <c r="K5173" s="2"/>
      <c r="L5173" s="2"/>
      <c r="M5173" s="2"/>
      <c r="N5173" s="2"/>
      <c r="P5173" s="2"/>
      <c r="Q5173" s="2"/>
      <c r="R5173" s="2"/>
      <c r="AB5173" s="2"/>
    </row>
    <row r="5174" spans="8:28" ht="15" customHeight="1">
      <c r="H5174" s="2"/>
      <c r="I5174" s="2"/>
      <c r="J5174" s="2"/>
      <c r="K5174" s="2"/>
      <c r="L5174" s="2"/>
      <c r="M5174" s="2"/>
      <c r="N5174" s="2"/>
      <c r="P5174" s="2"/>
      <c r="Q5174" s="2"/>
      <c r="R5174" s="2"/>
      <c r="AB5174" s="2"/>
    </row>
    <row r="5175" spans="8:28" ht="15" customHeight="1">
      <c r="H5175" s="2"/>
      <c r="I5175" s="2"/>
      <c r="J5175" s="2"/>
      <c r="K5175" s="2"/>
      <c r="L5175" s="2"/>
      <c r="M5175" s="2"/>
      <c r="N5175" s="2"/>
      <c r="P5175" s="2"/>
      <c r="Q5175" s="2"/>
      <c r="R5175" s="2"/>
      <c r="AB5175" s="2"/>
    </row>
    <row r="5176" spans="8:28" ht="15" customHeight="1">
      <c r="H5176" s="2"/>
      <c r="I5176" s="2"/>
      <c r="J5176" s="2"/>
      <c r="K5176" s="2"/>
      <c r="L5176" s="2"/>
      <c r="M5176" s="2"/>
      <c r="N5176" s="2"/>
      <c r="P5176" s="2"/>
      <c r="Q5176" s="2"/>
      <c r="R5176" s="2"/>
      <c r="AB5176" s="2"/>
    </row>
    <row r="5177" spans="8:28" ht="15" customHeight="1">
      <c r="H5177" s="2"/>
      <c r="I5177" s="2"/>
      <c r="J5177" s="2"/>
      <c r="K5177" s="2"/>
      <c r="L5177" s="2"/>
      <c r="M5177" s="2"/>
      <c r="N5177" s="2"/>
      <c r="P5177" s="2"/>
      <c r="Q5177" s="2"/>
      <c r="R5177" s="2"/>
      <c r="AB5177" s="2"/>
    </row>
    <row r="5178" spans="8:28" ht="15" customHeight="1">
      <c r="H5178" s="2"/>
      <c r="I5178" s="2"/>
      <c r="J5178" s="2"/>
      <c r="K5178" s="2"/>
      <c r="L5178" s="2"/>
      <c r="M5178" s="2"/>
      <c r="N5178" s="2"/>
      <c r="P5178" s="2"/>
      <c r="Q5178" s="2"/>
      <c r="R5178" s="2"/>
      <c r="AB5178" s="2"/>
    </row>
    <row r="5179" spans="8:28" ht="15" customHeight="1">
      <c r="H5179" s="2"/>
      <c r="I5179" s="2"/>
      <c r="J5179" s="2"/>
      <c r="K5179" s="2"/>
      <c r="L5179" s="2"/>
      <c r="M5179" s="2"/>
      <c r="N5179" s="2"/>
      <c r="P5179" s="2"/>
      <c r="Q5179" s="2"/>
      <c r="R5179" s="2"/>
      <c r="AB5179" s="2"/>
    </row>
    <row r="5180" spans="8:28" ht="15" customHeight="1">
      <c r="H5180" s="2"/>
      <c r="I5180" s="2"/>
      <c r="J5180" s="2"/>
      <c r="K5180" s="2"/>
      <c r="L5180" s="2"/>
      <c r="M5180" s="2"/>
      <c r="N5180" s="2"/>
      <c r="P5180" s="2"/>
      <c r="Q5180" s="2"/>
      <c r="R5180" s="2"/>
      <c r="AB5180" s="2"/>
    </row>
    <row r="5181" spans="8:28" ht="15" customHeight="1">
      <c r="H5181" s="2"/>
      <c r="I5181" s="2"/>
      <c r="J5181" s="2"/>
      <c r="K5181" s="2"/>
      <c r="L5181" s="2"/>
      <c r="M5181" s="2"/>
      <c r="N5181" s="2"/>
      <c r="P5181" s="2"/>
      <c r="Q5181" s="2"/>
      <c r="R5181" s="2"/>
      <c r="AB5181" s="2"/>
    </row>
    <row r="5182" spans="8:28" ht="15" customHeight="1">
      <c r="H5182" s="2"/>
      <c r="I5182" s="2"/>
      <c r="J5182" s="2"/>
      <c r="K5182" s="2"/>
      <c r="L5182" s="2"/>
      <c r="M5182" s="2"/>
      <c r="N5182" s="2"/>
      <c r="P5182" s="2"/>
      <c r="Q5182" s="2"/>
      <c r="R5182" s="2"/>
      <c r="AB5182" s="2"/>
    </row>
    <row r="5183" spans="8:28" ht="15" customHeight="1">
      <c r="H5183" s="2"/>
      <c r="I5183" s="2"/>
      <c r="J5183" s="2"/>
      <c r="K5183" s="2"/>
      <c r="L5183" s="2"/>
      <c r="M5183" s="2"/>
      <c r="N5183" s="2"/>
      <c r="P5183" s="2"/>
      <c r="Q5183" s="2"/>
      <c r="R5183" s="2"/>
      <c r="AB5183" s="2"/>
    </row>
    <row r="5184" spans="8:28" ht="15" customHeight="1">
      <c r="H5184" s="2"/>
      <c r="I5184" s="2"/>
      <c r="J5184" s="2"/>
      <c r="K5184" s="2"/>
      <c r="L5184" s="2"/>
      <c r="M5184" s="2"/>
      <c r="N5184" s="2"/>
      <c r="P5184" s="2"/>
      <c r="Q5184" s="2"/>
      <c r="R5184" s="2"/>
      <c r="AB5184" s="2"/>
    </row>
    <row r="5185" spans="8:28" ht="15" customHeight="1">
      <c r="H5185" s="2"/>
      <c r="I5185" s="2"/>
      <c r="J5185" s="2"/>
      <c r="K5185" s="2"/>
      <c r="L5185" s="2"/>
      <c r="M5185" s="2"/>
      <c r="N5185" s="2"/>
      <c r="P5185" s="2"/>
      <c r="Q5185" s="2"/>
      <c r="R5185" s="2"/>
      <c r="AB5185" s="2"/>
    </row>
    <row r="5186" spans="8:28" ht="15" customHeight="1">
      <c r="H5186" s="2"/>
      <c r="I5186" s="2"/>
      <c r="J5186" s="2"/>
      <c r="K5186" s="2"/>
      <c r="L5186" s="2"/>
      <c r="M5186" s="2"/>
      <c r="N5186" s="2"/>
      <c r="P5186" s="2"/>
      <c r="Q5186" s="2"/>
      <c r="R5186" s="2"/>
      <c r="AB5186" s="2"/>
    </row>
    <row r="5187" spans="8:28" ht="15" customHeight="1">
      <c r="H5187" s="2"/>
      <c r="I5187" s="2"/>
      <c r="J5187" s="2"/>
      <c r="K5187" s="2"/>
      <c r="L5187" s="2"/>
      <c r="M5187" s="2"/>
      <c r="N5187" s="2"/>
      <c r="P5187" s="2"/>
      <c r="Q5187" s="2"/>
      <c r="R5187" s="2"/>
      <c r="AB5187" s="2"/>
    </row>
    <row r="5188" spans="8:28" ht="15" customHeight="1">
      <c r="H5188" s="2"/>
      <c r="I5188" s="2"/>
      <c r="J5188" s="2"/>
      <c r="K5188" s="2"/>
      <c r="L5188" s="2"/>
      <c r="M5188" s="2"/>
      <c r="N5188" s="2"/>
      <c r="P5188" s="2"/>
      <c r="Q5188" s="2"/>
      <c r="R5188" s="2"/>
      <c r="AB5188" s="2"/>
    </row>
    <row r="5189" spans="8:28" ht="15" customHeight="1">
      <c r="H5189" s="2"/>
      <c r="I5189" s="2"/>
      <c r="J5189" s="2"/>
      <c r="K5189" s="2"/>
      <c r="L5189" s="2"/>
      <c r="M5189" s="2"/>
      <c r="N5189" s="2"/>
      <c r="P5189" s="2"/>
      <c r="Q5189" s="2"/>
      <c r="R5189" s="2"/>
      <c r="AB5189" s="2"/>
    </row>
    <row r="5190" spans="8:28" ht="15" customHeight="1">
      <c r="H5190" s="2"/>
      <c r="I5190" s="2"/>
      <c r="J5190" s="2"/>
      <c r="K5190" s="2"/>
      <c r="L5190" s="2"/>
      <c r="M5190" s="2"/>
      <c r="N5190" s="2"/>
      <c r="P5190" s="2"/>
      <c r="Q5190" s="2"/>
      <c r="R5190" s="2"/>
      <c r="AB5190" s="2"/>
    </row>
    <row r="5191" spans="8:28" ht="15" customHeight="1">
      <c r="H5191" s="2"/>
      <c r="I5191" s="2"/>
      <c r="J5191" s="2"/>
      <c r="K5191" s="2"/>
      <c r="L5191" s="2"/>
      <c r="M5191" s="2"/>
      <c r="N5191" s="2"/>
      <c r="P5191" s="2"/>
      <c r="Q5191" s="2"/>
      <c r="R5191" s="2"/>
      <c r="AB5191" s="2"/>
    </row>
    <row r="5192" spans="8:28" ht="15" customHeight="1">
      <c r="H5192" s="2"/>
      <c r="I5192" s="2"/>
      <c r="J5192" s="2"/>
      <c r="K5192" s="2"/>
      <c r="L5192" s="2"/>
      <c r="M5192" s="2"/>
      <c r="N5192" s="2"/>
      <c r="P5192" s="2"/>
      <c r="Q5192" s="2"/>
      <c r="R5192" s="2"/>
      <c r="AB5192" s="2"/>
    </row>
    <row r="5193" spans="8:28" ht="15" customHeight="1">
      <c r="H5193" s="2"/>
      <c r="I5193" s="2"/>
      <c r="J5193" s="2"/>
      <c r="K5193" s="2"/>
      <c r="L5193" s="2"/>
      <c r="M5193" s="2"/>
      <c r="N5193" s="2"/>
      <c r="P5193" s="2"/>
      <c r="Q5193" s="2"/>
      <c r="R5193" s="2"/>
      <c r="AB5193" s="2"/>
    </row>
    <row r="5194" spans="8:28" ht="15" customHeight="1">
      <c r="H5194" s="2"/>
      <c r="I5194" s="2"/>
      <c r="J5194" s="2"/>
      <c r="K5194" s="2"/>
      <c r="L5194" s="2"/>
      <c r="M5194" s="2"/>
      <c r="N5194" s="2"/>
      <c r="P5194" s="2"/>
      <c r="Q5194" s="2"/>
      <c r="R5194" s="2"/>
      <c r="AB5194" s="2"/>
    </row>
    <row r="5195" spans="8:28" ht="15" customHeight="1">
      <c r="H5195" s="2"/>
      <c r="I5195" s="2"/>
      <c r="J5195" s="2"/>
      <c r="K5195" s="2"/>
      <c r="L5195" s="2"/>
      <c r="M5195" s="2"/>
      <c r="N5195" s="2"/>
      <c r="P5195" s="2"/>
      <c r="Q5195" s="2"/>
      <c r="R5195" s="2"/>
      <c r="AB5195" s="2"/>
    </row>
    <row r="5196" spans="8:28" ht="15" customHeight="1">
      <c r="H5196" s="2"/>
      <c r="I5196" s="2"/>
      <c r="J5196" s="2"/>
      <c r="K5196" s="2"/>
      <c r="L5196" s="2"/>
      <c r="M5196" s="2"/>
      <c r="N5196" s="2"/>
      <c r="P5196" s="2"/>
      <c r="Q5196" s="2"/>
      <c r="R5196" s="2"/>
      <c r="AB5196" s="2"/>
    </row>
    <row r="5197" spans="8:28" ht="15" customHeight="1">
      <c r="H5197" s="2"/>
      <c r="I5197" s="2"/>
      <c r="J5197" s="2"/>
      <c r="K5197" s="2"/>
      <c r="L5197" s="2"/>
      <c r="M5197" s="2"/>
      <c r="N5197" s="2"/>
      <c r="P5197" s="2"/>
      <c r="Q5197" s="2"/>
      <c r="R5197" s="2"/>
      <c r="AB5197" s="2"/>
    </row>
    <row r="5198" spans="8:28" ht="15" customHeight="1">
      <c r="H5198" s="2"/>
      <c r="I5198" s="2"/>
      <c r="J5198" s="2"/>
      <c r="K5198" s="2"/>
      <c r="L5198" s="2"/>
      <c r="M5198" s="2"/>
      <c r="N5198" s="2"/>
      <c r="P5198" s="2"/>
      <c r="Q5198" s="2"/>
      <c r="R5198" s="2"/>
      <c r="AB5198" s="2"/>
    </row>
    <row r="5199" spans="8:28" ht="15" customHeight="1">
      <c r="H5199" s="2"/>
      <c r="I5199" s="2"/>
      <c r="J5199" s="2"/>
      <c r="K5199" s="2"/>
      <c r="L5199" s="2"/>
      <c r="M5199" s="2"/>
      <c r="N5199" s="2"/>
      <c r="P5199" s="2"/>
      <c r="Q5199" s="2"/>
      <c r="R5199" s="2"/>
      <c r="AB5199" s="2"/>
    </row>
    <row r="5200" spans="8:28" ht="15" customHeight="1">
      <c r="H5200" s="2"/>
      <c r="I5200" s="2"/>
      <c r="J5200" s="2"/>
      <c r="K5200" s="2"/>
      <c r="L5200" s="2"/>
      <c r="M5200" s="2"/>
      <c r="N5200" s="2"/>
      <c r="P5200" s="2"/>
      <c r="Q5200" s="2"/>
      <c r="R5200" s="2"/>
      <c r="AB5200" s="2"/>
    </row>
    <row r="5201" spans="8:28" ht="15" customHeight="1">
      <c r="H5201" s="2"/>
      <c r="I5201" s="2"/>
      <c r="J5201" s="2"/>
      <c r="K5201" s="2"/>
      <c r="L5201" s="2"/>
      <c r="M5201" s="2"/>
      <c r="N5201" s="2"/>
      <c r="P5201" s="2"/>
      <c r="Q5201" s="2"/>
      <c r="R5201" s="2"/>
      <c r="AB5201" s="2"/>
    </row>
    <row r="5202" spans="8:28" ht="15" customHeight="1">
      <c r="H5202" s="2"/>
      <c r="I5202" s="2"/>
      <c r="J5202" s="2"/>
      <c r="K5202" s="2"/>
      <c r="L5202" s="2"/>
      <c r="M5202" s="2"/>
      <c r="N5202" s="2"/>
      <c r="P5202" s="2"/>
      <c r="Q5202" s="2"/>
      <c r="R5202" s="2"/>
      <c r="AB5202" s="2"/>
    </row>
    <row r="5203" spans="8:28" ht="15" customHeight="1">
      <c r="H5203" s="2"/>
      <c r="I5203" s="2"/>
      <c r="J5203" s="2"/>
      <c r="K5203" s="2"/>
      <c r="L5203" s="2"/>
      <c r="M5203" s="2"/>
      <c r="N5203" s="2"/>
      <c r="P5203" s="2"/>
      <c r="Q5203" s="2"/>
      <c r="R5203" s="2"/>
      <c r="AB5203" s="2"/>
    </row>
    <row r="5204" spans="8:28" ht="15" customHeight="1">
      <c r="H5204" s="2"/>
      <c r="I5204" s="2"/>
      <c r="J5204" s="2"/>
      <c r="K5204" s="2"/>
      <c r="L5204" s="2"/>
      <c r="M5204" s="2"/>
      <c r="N5204" s="2"/>
      <c r="P5204" s="2"/>
      <c r="Q5204" s="2"/>
      <c r="R5204" s="2"/>
      <c r="AB5204" s="2"/>
    </row>
    <row r="5205" spans="8:28" ht="15" customHeight="1">
      <c r="H5205" s="2"/>
      <c r="I5205" s="2"/>
      <c r="J5205" s="2"/>
      <c r="K5205" s="2"/>
      <c r="L5205" s="2"/>
      <c r="M5205" s="2"/>
      <c r="N5205" s="2"/>
      <c r="P5205" s="2"/>
      <c r="Q5205" s="2"/>
      <c r="R5205" s="2"/>
      <c r="AB5205" s="2"/>
    </row>
    <row r="5206" spans="8:28" ht="15" customHeight="1">
      <c r="H5206" s="2"/>
      <c r="I5206" s="2"/>
      <c r="J5206" s="2"/>
      <c r="K5206" s="2"/>
      <c r="L5206" s="2"/>
      <c r="M5206" s="2"/>
      <c r="N5206" s="2"/>
      <c r="P5206" s="2"/>
      <c r="Q5206" s="2"/>
      <c r="R5206" s="2"/>
      <c r="AB5206" s="2"/>
    </row>
    <row r="5207" spans="8:28" ht="15" customHeight="1">
      <c r="H5207" s="2"/>
      <c r="I5207" s="2"/>
      <c r="J5207" s="2"/>
      <c r="K5207" s="2"/>
      <c r="L5207" s="2"/>
      <c r="M5207" s="2"/>
      <c r="N5207" s="2"/>
      <c r="P5207" s="2"/>
      <c r="Q5207" s="2"/>
      <c r="R5207" s="2"/>
      <c r="AB5207" s="2"/>
    </row>
    <row r="5208" spans="8:28" ht="15" customHeight="1">
      <c r="H5208" s="2"/>
      <c r="I5208" s="2"/>
      <c r="J5208" s="2"/>
      <c r="K5208" s="2"/>
      <c r="L5208" s="2"/>
      <c r="M5208" s="2"/>
      <c r="N5208" s="2"/>
      <c r="P5208" s="2"/>
      <c r="Q5208" s="2"/>
      <c r="R5208" s="2"/>
      <c r="AB5208" s="2"/>
    </row>
    <row r="5209" spans="8:28" ht="15" customHeight="1">
      <c r="H5209" s="2"/>
      <c r="I5209" s="2"/>
      <c r="J5209" s="2"/>
      <c r="K5209" s="2"/>
      <c r="L5209" s="2"/>
      <c r="M5209" s="2"/>
      <c r="N5209" s="2"/>
      <c r="P5209" s="2"/>
      <c r="Q5209" s="2"/>
      <c r="R5209" s="2"/>
      <c r="AB5209" s="2"/>
    </row>
    <row r="5210" spans="8:28" ht="15" customHeight="1">
      <c r="H5210" s="2"/>
      <c r="I5210" s="2"/>
      <c r="J5210" s="2"/>
      <c r="K5210" s="2"/>
      <c r="L5210" s="2"/>
      <c r="M5210" s="2"/>
      <c r="N5210" s="2"/>
      <c r="P5210" s="2"/>
      <c r="Q5210" s="2"/>
      <c r="R5210" s="2"/>
      <c r="AB5210" s="2"/>
    </row>
    <row r="5211" spans="8:28" ht="15" customHeight="1">
      <c r="H5211" s="2"/>
      <c r="I5211" s="2"/>
      <c r="J5211" s="2"/>
      <c r="K5211" s="2"/>
      <c r="L5211" s="2"/>
      <c r="M5211" s="2"/>
      <c r="N5211" s="2"/>
      <c r="P5211" s="2"/>
      <c r="Q5211" s="2"/>
      <c r="R5211" s="2"/>
      <c r="AB5211" s="2"/>
    </row>
    <row r="5212" spans="8:28" ht="15" customHeight="1">
      <c r="H5212" s="2"/>
      <c r="I5212" s="2"/>
      <c r="J5212" s="2"/>
      <c r="K5212" s="2"/>
      <c r="L5212" s="2"/>
      <c r="M5212" s="2"/>
      <c r="N5212" s="2"/>
      <c r="P5212" s="2"/>
      <c r="Q5212" s="2"/>
      <c r="R5212" s="2"/>
      <c r="AB5212" s="2"/>
    </row>
    <row r="5213" spans="8:28" ht="15" customHeight="1">
      <c r="H5213" s="2"/>
      <c r="I5213" s="2"/>
      <c r="J5213" s="2"/>
      <c r="K5213" s="2"/>
      <c r="L5213" s="2"/>
      <c r="M5213" s="2"/>
      <c r="N5213" s="2"/>
      <c r="P5213" s="2"/>
      <c r="Q5213" s="2"/>
      <c r="R5213" s="2"/>
      <c r="AB5213" s="2"/>
    </row>
    <row r="5214" spans="8:28" ht="15" customHeight="1">
      <c r="H5214" s="2"/>
      <c r="I5214" s="2"/>
      <c r="J5214" s="2"/>
      <c r="K5214" s="2"/>
      <c r="L5214" s="2"/>
      <c r="M5214" s="2"/>
      <c r="N5214" s="2"/>
      <c r="P5214" s="2"/>
      <c r="Q5214" s="2"/>
      <c r="R5214" s="2"/>
      <c r="AB5214" s="2"/>
    </row>
    <row r="5215" spans="8:28" ht="15" customHeight="1">
      <c r="H5215" s="2"/>
      <c r="I5215" s="2"/>
      <c r="J5215" s="2"/>
      <c r="K5215" s="2"/>
      <c r="L5215" s="2"/>
      <c r="M5215" s="2"/>
      <c r="N5215" s="2"/>
      <c r="P5215" s="2"/>
      <c r="Q5215" s="2"/>
      <c r="R5215" s="2"/>
      <c r="AB5215" s="2"/>
    </row>
    <row r="5216" spans="8:28" ht="15" customHeight="1">
      <c r="H5216" s="2"/>
      <c r="I5216" s="2"/>
      <c r="J5216" s="2"/>
      <c r="K5216" s="2"/>
      <c r="L5216" s="2"/>
      <c r="M5216" s="2"/>
      <c r="N5216" s="2"/>
      <c r="P5216" s="2"/>
      <c r="Q5216" s="2"/>
      <c r="R5216" s="2"/>
      <c r="AB5216" s="2"/>
    </row>
    <row r="5217" spans="8:28" ht="15" customHeight="1">
      <c r="H5217" s="2"/>
      <c r="I5217" s="2"/>
      <c r="J5217" s="2"/>
      <c r="K5217" s="2"/>
      <c r="L5217" s="2"/>
      <c r="M5217" s="2"/>
      <c r="N5217" s="2"/>
      <c r="P5217" s="2"/>
      <c r="Q5217" s="2"/>
      <c r="R5217" s="2"/>
      <c r="AB5217" s="2"/>
    </row>
    <row r="5218" spans="8:28" ht="15" customHeight="1">
      <c r="H5218" s="2"/>
      <c r="I5218" s="2"/>
      <c r="J5218" s="2"/>
      <c r="K5218" s="2"/>
      <c r="L5218" s="2"/>
      <c r="M5218" s="2"/>
      <c r="N5218" s="2"/>
      <c r="P5218" s="2"/>
      <c r="Q5218" s="2"/>
      <c r="R5218" s="2"/>
      <c r="AB5218" s="2"/>
    </row>
    <row r="5219" spans="8:28" ht="15" customHeight="1">
      <c r="H5219" s="2"/>
      <c r="I5219" s="2"/>
      <c r="J5219" s="2"/>
      <c r="K5219" s="2"/>
      <c r="L5219" s="2"/>
      <c r="M5219" s="2"/>
      <c r="N5219" s="2"/>
      <c r="P5219" s="2"/>
      <c r="Q5219" s="2"/>
      <c r="R5219" s="2"/>
      <c r="AB5219" s="2"/>
    </row>
    <row r="5220" spans="8:28" ht="15" customHeight="1">
      <c r="H5220" s="2"/>
      <c r="I5220" s="2"/>
      <c r="J5220" s="2"/>
      <c r="K5220" s="2"/>
      <c r="L5220" s="2"/>
      <c r="M5220" s="2"/>
      <c r="N5220" s="2"/>
      <c r="P5220" s="2"/>
      <c r="Q5220" s="2"/>
      <c r="R5220" s="2"/>
      <c r="AB5220" s="2"/>
    </row>
    <row r="5221" spans="8:28" ht="15" customHeight="1">
      <c r="H5221" s="2"/>
      <c r="I5221" s="2"/>
      <c r="J5221" s="2"/>
      <c r="K5221" s="2"/>
      <c r="L5221" s="2"/>
      <c r="M5221" s="2"/>
      <c r="N5221" s="2"/>
      <c r="P5221" s="2"/>
      <c r="Q5221" s="2"/>
      <c r="R5221" s="2"/>
      <c r="AB5221" s="2"/>
    </row>
    <row r="5222" spans="8:28" ht="15" customHeight="1">
      <c r="H5222" s="2"/>
      <c r="I5222" s="2"/>
      <c r="J5222" s="2"/>
      <c r="K5222" s="2"/>
      <c r="L5222" s="2"/>
      <c r="M5222" s="2"/>
      <c r="N5222" s="2"/>
      <c r="P5222" s="2"/>
      <c r="Q5222" s="2"/>
      <c r="R5222" s="2"/>
      <c r="AB5222" s="2"/>
    </row>
    <row r="5223" spans="8:28" ht="15" customHeight="1">
      <c r="H5223" s="2"/>
      <c r="I5223" s="2"/>
      <c r="J5223" s="2"/>
      <c r="K5223" s="2"/>
      <c r="L5223" s="2"/>
      <c r="M5223" s="2"/>
      <c r="N5223" s="2"/>
      <c r="P5223" s="2"/>
      <c r="Q5223" s="2"/>
      <c r="R5223" s="2"/>
      <c r="AB5223" s="2"/>
    </row>
    <row r="5224" spans="8:28" ht="15" customHeight="1">
      <c r="H5224" s="2"/>
      <c r="I5224" s="2"/>
      <c r="J5224" s="2"/>
      <c r="K5224" s="2"/>
      <c r="L5224" s="2"/>
      <c r="M5224" s="2"/>
      <c r="N5224" s="2"/>
      <c r="P5224" s="2"/>
      <c r="Q5224" s="2"/>
      <c r="R5224" s="2"/>
      <c r="AB5224" s="2"/>
    </row>
    <row r="5225" spans="8:28" ht="15" customHeight="1">
      <c r="H5225" s="2"/>
      <c r="I5225" s="2"/>
      <c r="J5225" s="2"/>
      <c r="K5225" s="2"/>
      <c r="L5225" s="2"/>
      <c r="M5225" s="2"/>
      <c r="N5225" s="2"/>
      <c r="P5225" s="2"/>
      <c r="Q5225" s="2"/>
      <c r="R5225" s="2"/>
      <c r="AB5225" s="2"/>
    </row>
    <row r="5226" spans="8:28" ht="15" customHeight="1">
      <c r="H5226" s="2"/>
      <c r="I5226" s="2"/>
      <c r="J5226" s="2"/>
      <c r="K5226" s="2"/>
      <c r="L5226" s="2"/>
      <c r="M5226" s="2"/>
      <c r="N5226" s="2"/>
      <c r="P5226" s="2"/>
      <c r="Q5226" s="2"/>
      <c r="R5226" s="2"/>
      <c r="AB5226" s="2"/>
    </row>
    <row r="5227" spans="8:28" ht="15" customHeight="1">
      <c r="H5227" s="2"/>
      <c r="I5227" s="2"/>
      <c r="J5227" s="2"/>
      <c r="K5227" s="2"/>
      <c r="L5227" s="2"/>
      <c r="M5227" s="2"/>
      <c r="N5227" s="2"/>
      <c r="P5227" s="2"/>
      <c r="Q5227" s="2"/>
      <c r="R5227" s="2"/>
      <c r="AB5227" s="2"/>
    </row>
    <row r="5228" spans="8:28" ht="15" customHeight="1">
      <c r="H5228" s="2"/>
      <c r="I5228" s="2"/>
      <c r="J5228" s="2"/>
      <c r="K5228" s="2"/>
      <c r="L5228" s="2"/>
      <c r="M5228" s="2"/>
      <c r="N5228" s="2"/>
      <c r="P5228" s="2"/>
      <c r="Q5228" s="2"/>
      <c r="R5228" s="2"/>
      <c r="AB5228" s="2"/>
    </row>
    <row r="5229" spans="8:28" ht="15" customHeight="1">
      <c r="H5229" s="2"/>
      <c r="I5229" s="2"/>
      <c r="J5229" s="2"/>
      <c r="K5229" s="2"/>
      <c r="L5229" s="2"/>
      <c r="M5229" s="2"/>
      <c r="N5229" s="2"/>
      <c r="P5229" s="2"/>
      <c r="Q5229" s="2"/>
      <c r="R5229" s="2"/>
      <c r="AB5229" s="2"/>
    </row>
    <row r="5230" spans="8:28" ht="15" customHeight="1">
      <c r="H5230" s="2"/>
      <c r="I5230" s="2"/>
      <c r="J5230" s="2"/>
      <c r="K5230" s="2"/>
      <c r="L5230" s="2"/>
      <c r="M5230" s="2"/>
      <c r="N5230" s="2"/>
      <c r="P5230" s="2"/>
      <c r="Q5230" s="2"/>
      <c r="R5230" s="2"/>
      <c r="AB5230" s="2"/>
    </row>
    <row r="5231" spans="8:28" ht="15" customHeight="1">
      <c r="H5231" s="2"/>
      <c r="I5231" s="2"/>
      <c r="J5231" s="2"/>
      <c r="K5231" s="2"/>
      <c r="L5231" s="2"/>
      <c r="M5231" s="2"/>
      <c r="N5231" s="2"/>
      <c r="P5231" s="2"/>
      <c r="Q5231" s="2"/>
      <c r="R5231" s="2"/>
      <c r="AB5231" s="2"/>
    </row>
    <row r="5232" spans="8:28" ht="15" customHeight="1">
      <c r="H5232" s="2"/>
      <c r="I5232" s="2"/>
      <c r="J5232" s="2"/>
      <c r="K5232" s="2"/>
      <c r="L5232" s="2"/>
      <c r="M5232" s="2"/>
      <c r="N5232" s="2"/>
      <c r="P5232" s="2"/>
      <c r="Q5232" s="2"/>
      <c r="R5232" s="2"/>
      <c r="AB5232" s="2"/>
    </row>
    <row r="5233" spans="8:28" ht="15" customHeight="1">
      <c r="H5233" s="2"/>
      <c r="I5233" s="2"/>
      <c r="J5233" s="2"/>
      <c r="K5233" s="2"/>
      <c r="L5233" s="2"/>
      <c r="M5233" s="2"/>
      <c r="N5233" s="2"/>
      <c r="P5233" s="2"/>
      <c r="Q5233" s="2"/>
      <c r="R5233" s="2"/>
      <c r="AB5233" s="2"/>
    </row>
    <row r="5234" spans="8:28" ht="15" customHeight="1">
      <c r="H5234" s="2"/>
      <c r="I5234" s="2"/>
      <c r="J5234" s="2"/>
      <c r="K5234" s="2"/>
      <c r="L5234" s="2"/>
      <c r="M5234" s="2"/>
      <c r="N5234" s="2"/>
      <c r="P5234" s="2"/>
      <c r="Q5234" s="2"/>
      <c r="R5234" s="2"/>
      <c r="AB5234" s="2"/>
    </row>
    <row r="5235" spans="8:28" ht="15" customHeight="1">
      <c r="H5235" s="2"/>
      <c r="I5235" s="2"/>
      <c r="J5235" s="2"/>
      <c r="K5235" s="2"/>
      <c r="L5235" s="2"/>
      <c r="M5235" s="2"/>
      <c r="N5235" s="2"/>
      <c r="P5235" s="2"/>
      <c r="Q5235" s="2"/>
      <c r="R5235" s="2"/>
      <c r="AB5235" s="2"/>
    </row>
    <row r="5236" spans="8:28" ht="15" customHeight="1">
      <c r="H5236" s="2"/>
      <c r="I5236" s="2"/>
      <c r="J5236" s="2"/>
      <c r="K5236" s="2"/>
      <c r="L5236" s="2"/>
      <c r="M5236" s="2"/>
      <c r="N5236" s="2"/>
      <c r="P5236" s="2"/>
      <c r="Q5236" s="2"/>
      <c r="R5236" s="2"/>
      <c r="AB5236" s="2"/>
    </row>
    <row r="5237" spans="8:28" ht="15" customHeight="1">
      <c r="H5237" s="2"/>
      <c r="I5237" s="2"/>
      <c r="J5237" s="2"/>
      <c r="K5237" s="2"/>
      <c r="L5237" s="2"/>
      <c r="M5237" s="2"/>
      <c r="N5237" s="2"/>
      <c r="P5237" s="2"/>
      <c r="Q5237" s="2"/>
      <c r="R5237" s="2"/>
      <c r="AB5237" s="2"/>
    </row>
    <row r="5238" spans="8:28" ht="15" customHeight="1">
      <c r="H5238" s="2"/>
      <c r="I5238" s="2"/>
      <c r="J5238" s="2"/>
      <c r="K5238" s="2"/>
      <c r="L5238" s="2"/>
      <c r="M5238" s="2"/>
      <c r="N5238" s="2"/>
      <c r="P5238" s="2"/>
      <c r="Q5238" s="2"/>
      <c r="R5238" s="2"/>
      <c r="AB5238" s="2"/>
    </row>
    <row r="5239" spans="8:28" ht="15" customHeight="1">
      <c r="H5239" s="2"/>
      <c r="I5239" s="2"/>
      <c r="J5239" s="2"/>
      <c r="K5239" s="2"/>
      <c r="L5239" s="2"/>
      <c r="M5239" s="2"/>
      <c r="N5239" s="2"/>
      <c r="P5239" s="2"/>
      <c r="Q5239" s="2"/>
      <c r="R5239" s="2"/>
      <c r="AB5239" s="2"/>
    </row>
    <row r="5240" spans="8:28" ht="15" customHeight="1">
      <c r="H5240" s="2"/>
      <c r="I5240" s="2"/>
      <c r="J5240" s="2"/>
      <c r="K5240" s="2"/>
      <c r="L5240" s="2"/>
      <c r="M5240" s="2"/>
      <c r="N5240" s="2"/>
      <c r="P5240" s="2"/>
      <c r="Q5240" s="2"/>
      <c r="R5240" s="2"/>
      <c r="AB5240" s="2"/>
    </row>
    <row r="5241" spans="8:28" ht="15" customHeight="1">
      <c r="H5241" s="2"/>
      <c r="I5241" s="2"/>
      <c r="J5241" s="2"/>
      <c r="K5241" s="2"/>
      <c r="L5241" s="2"/>
      <c r="M5241" s="2"/>
      <c r="N5241" s="2"/>
      <c r="P5241" s="2"/>
      <c r="Q5241" s="2"/>
      <c r="R5241" s="2"/>
      <c r="AB5241" s="2"/>
    </row>
    <row r="5242" spans="8:28" ht="15" customHeight="1">
      <c r="H5242" s="2"/>
      <c r="I5242" s="2"/>
      <c r="J5242" s="2"/>
      <c r="K5242" s="2"/>
      <c r="L5242" s="2"/>
      <c r="M5242" s="2"/>
      <c r="N5242" s="2"/>
      <c r="P5242" s="2"/>
      <c r="Q5242" s="2"/>
      <c r="R5242" s="2"/>
      <c r="AB5242" s="2"/>
    </row>
    <row r="5243" spans="8:28" ht="15" customHeight="1">
      <c r="H5243" s="2"/>
      <c r="I5243" s="2"/>
      <c r="J5243" s="2"/>
      <c r="K5243" s="2"/>
      <c r="L5243" s="2"/>
      <c r="M5243" s="2"/>
      <c r="N5243" s="2"/>
      <c r="P5243" s="2"/>
      <c r="Q5243" s="2"/>
      <c r="R5243" s="2"/>
      <c r="AB5243" s="2"/>
    </row>
    <row r="5244" spans="8:28" ht="15" customHeight="1">
      <c r="H5244" s="2"/>
      <c r="I5244" s="2"/>
      <c r="J5244" s="2"/>
      <c r="K5244" s="2"/>
      <c r="L5244" s="2"/>
      <c r="M5244" s="2"/>
      <c r="N5244" s="2"/>
      <c r="P5244" s="2"/>
      <c r="Q5244" s="2"/>
      <c r="R5244" s="2"/>
      <c r="AB5244" s="2"/>
    </row>
    <row r="5245" spans="8:28" ht="15" customHeight="1">
      <c r="H5245" s="2"/>
      <c r="I5245" s="2"/>
      <c r="J5245" s="2"/>
      <c r="K5245" s="2"/>
      <c r="L5245" s="2"/>
      <c r="M5245" s="2"/>
      <c r="N5245" s="2"/>
      <c r="P5245" s="2"/>
      <c r="Q5245" s="2"/>
      <c r="R5245" s="2"/>
      <c r="AB5245" s="2"/>
    </row>
    <row r="5246" spans="8:28" ht="15" customHeight="1">
      <c r="H5246" s="2"/>
      <c r="I5246" s="2"/>
      <c r="J5246" s="2"/>
      <c r="K5246" s="2"/>
      <c r="L5246" s="2"/>
      <c r="M5246" s="2"/>
      <c r="N5246" s="2"/>
      <c r="P5246" s="2"/>
      <c r="Q5246" s="2"/>
      <c r="R5246" s="2"/>
      <c r="AB5246" s="2"/>
    </row>
    <row r="5247" spans="8:28" ht="15" customHeight="1">
      <c r="H5247" s="2"/>
      <c r="I5247" s="2"/>
      <c r="J5247" s="2"/>
      <c r="K5247" s="2"/>
      <c r="L5247" s="2"/>
      <c r="M5247" s="2"/>
      <c r="N5247" s="2"/>
      <c r="P5247" s="2"/>
      <c r="Q5247" s="2"/>
      <c r="R5247" s="2"/>
      <c r="AB5247" s="2"/>
    </row>
    <row r="5248" spans="8:28" ht="15" customHeight="1">
      <c r="H5248" s="2"/>
      <c r="I5248" s="2"/>
      <c r="J5248" s="2"/>
      <c r="K5248" s="2"/>
      <c r="L5248" s="2"/>
      <c r="M5248" s="2"/>
      <c r="N5248" s="2"/>
      <c r="P5248" s="2"/>
      <c r="Q5248" s="2"/>
      <c r="R5248" s="2"/>
      <c r="AB5248" s="2"/>
    </row>
    <row r="5249" spans="8:28" ht="15" customHeight="1">
      <c r="H5249" s="2"/>
      <c r="I5249" s="2"/>
      <c r="J5249" s="2"/>
      <c r="K5249" s="2"/>
      <c r="L5249" s="2"/>
      <c r="M5249" s="2"/>
      <c r="N5249" s="2"/>
      <c r="P5249" s="2"/>
      <c r="Q5249" s="2"/>
      <c r="R5249" s="2"/>
      <c r="AB5249" s="2"/>
    </row>
    <row r="5250" spans="8:28" ht="15" customHeight="1">
      <c r="H5250" s="2"/>
      <c r="I5250" s="2"/>
      <c r="J5250" s="2"/>
      <c r="K5250" s="2"/>
      <c r="L5250" s="2"/>
      <c r="M5250" s="2"/>
      <c r="N5250" s="2"/>
      <c r="P5250" s="2"/>
      <c r="Q5250" s="2"/>
      <c r="R5250" s="2"/>
      <c r="AB5250" s="2"/>
    </row>
    <row r="5251" spans="8:28" ht="15" customHeight="1">
      <c r="H5251" s="2"/>
      <c r="I5251" s="2"/>
      <c r="J5251" s="2"/>
      <c r="K5251" s="2"/>
      <c r="L5251" s="2"/>
      <c r="M5251" s="2"/>
      <c r="N5251" s="2"/>
      <c r="P5251" s="2"/>
      <c r="Q5251" s="2"/>
      <c r="R5251" s="2"/>
      <c r="AB5251" s="2"/>
    </row>
    <row r="5252" spans="8:28" ht="15" customHeight="1">
      <c r="H5252" s="2"/>
      <c r="I5252" s="2"/>
      <c r="J5252" s="2"/>
      <c r="K5252" s="2"/>
      <c r="L5252" s="2"/>
      <c r="M5252" s="2"/>
      <c r="N5252" s="2"/>
      <c r="P5252" s="2"/>
      <c r="Q5252" s="2"/>
      <c r="R5252" s="2"/>
      <c r="AB5252" s="2"/>
    </row>
    <row r="5253" spans="8:28" ht="15" customHeight="1">
      <c r="H5253" s="2"/>
      <c r="I5253" s="2"/>
      <c r="J5253" s="2"/>
      <c r="K5253" s="2"/>
      <c r="L5253" s="2"/>
      <c r="M5253" s="2"/>
      <c r="N5253" s="2"/>
      <c r="P5253" s="2"/>
      <c r="Q5253" s="2"/>
      <c r="R5253" s="2"/>
      <c r="AB5253" s="2"/>
    </row>
    <row r="5254" spans="8:28" ht="15" customHeight="1">
      <c r="H5254" s="2"/>
      <c r="I5254" s="2"/>
      <c r="J5254" s="2"/>
      <c r="K5254" s="2"/>
      <c r="L5254" s="2"/>
      <c r="M5254" s="2"/>
      <c r="N5254" s="2"/>
      <c r="P5254" s="2"/>
      <c r="Q5254" s="2"/>
      <c r="R5254" s="2"/>
      <c r="AB5254" s="2"/>
    </row>
    <row r="5255" spans="8:28" ht="15" customHeight="1">
      <c r="H5255" s="2"/>
      <c r="I5255" s="2"/>
      <c r="J5255" s="2"/>
      <c r="K5255" s="2"/>
      <c r="L5255" s="2"/>
      <c r="M5255" s="2"/>
      <c r="N5255" s="2"/>
      <c r="P5255" s="2"/>
      <c r="Q5255" s="2"/>
      <c r="R5255" s="2"/>
      <c r="AB5255" s="2"/>
    </row>
    <row r="5256" spans="8:28" ht="15" customHeight="1">
      <c r="H5256" s="2"/>
      <c r="I5256" s="2"/>
      <c r="J5256" s="2"/>
      <c r="K5256" s="2"/>
      <c r="L5256" s="2"/>
      <c r="M5256" s="2"/>
      <c r="N5256" s="2"/>
      <c r="P5256" s="2"/>
      <c r="Q5256" s="2"/>
      <c r="R5256" s="2"/>
      <c r="AB5256" s="2"/>
    </row>
    <row r="5257" spans="8:28" ht="15" customHeight="1">
      <c r="H5257" s="2"/>
      <c r="I5257" s="2"/>
      <c r="J5257" s="2"/>
      <c r="K5257" s="2"/>
      <c r="L5257" s="2"/>
      <c r="M5257" s="2"/>
      <c r="N5257" s="2"/>
      <c r="P5257" s="2"/>
      <c r="Q5257" s="2"/>
      <c r="R5257" s="2"/>
      <c r="AB5257" s="2"/>
    </row>
    <row r="5258" spans="8:28" ht="15" customHeight="1">
      <c r="H5258" s="2"/>
      <c r="I5258" s="2"/>
      <c r="J5258" s="2"/>
      <c r="K5258" s="2"/>
      <c r="L5258" s="2"/>
      <c r="M5258" s="2"/>
      <c r="N5258" s="2"/>
      <c r="P5258" s="2"/>
      <c r="Q5258" s="2"/>
      <c r="R5258" s="2"/>
      <c r="AB5258" s="2"/>
    </row>
    <row r="5259" spans="8:28" ht="15" customHeight="1">
      <c r="H5259" s="2"/>
      <c r="I5259" s="2"/>
      <c r="J5259" s="2"/>
      <c r="K5259" s="2"/>
      <c r="L5259" s="2"/>
      <c r="M5259" s="2"/>
      <c r="N5259" s="2"/>
      <c r="P5259" s="2"/>
      <c r="Q5259" s="2"/>
      <c r="R5259" s="2"/>
      <c r="AB5259" s="2"/>
    </row>
    <row r="5260" spans="8:28" ht="15" customHeight="1">
      <c r="H5260" s="2"/>
      <c r="I5260" s="2"/>
      <c r="J5260" s="2"/>
      <c r="K5260" s="2"/>
      <c r="L5260" s="2"/>
      <c r="M5260" s="2"/>
      <c r="N5260" s="2"/>
      <c r="P5260" s="2"/>
      <c r="Q5260" s="2"/>
      <c r="R5260" s="2"/>
      <c r="AB5260" s="2"/>
    </row>
    <row r="5261" spans="8:28" ht="15" customHeight="1">
      <c r="H5261" s="2"/>
      <c r="I5261" s="2"/>
      <c r="J5261" s="2"/>
      <c r="K5261" s="2"/>
      <c r="L5261" s="2"/>
      <c r="M5261" s="2"/>
      <c r="N5261" s="2"/>
      <c r="P5261" s="2"/>
      <c r="Q5261" s="2"/>
      <c r="R5261" s="2"/>
      <c r="AB5261" s="2"/>
    </row>
    <row r="5262" spans="8:28" ht="15" customHeight="1">
      <c r="H5262" s="2"/>
      <c r="I5262" s="2"/>
      <c r="J5262" s="2"/>
      <c r="K5262" s="2"/>
      <c r="L5262" s="2"/>
      <c r="M5262" s="2"/>
      <c r="N5262" s="2"/>
      <c r="P5262" s="2"/>
      <c r="Q5262" s="2"/>
      <c r="R5262" s="2"/>
      <c r="AB5262" s="2"/>
    </row>
    <row r="5263" spans="8:28" ht="15" customHeight="1">
      <c r="H5263" s="2"/>
      <c r="I5263" s="2"/>
      <c r="J5263" s="2"/>
      <c r="K5263" s="2"/>
      <c r="L5263" s="2"/>
      <c r="M5263" s="2"/>
      <c r="N5263" s="2"/>
      <c r="P5263" s="2"/>
      <c r="Q5263" s="2"/>
      <c r="R5263" s="2"/>
      <c r="AB5263" s="2"/>
    </row>
    <row r="5264" spans="8:28" ht="15" customHeight="1">
      <c r="H5264" s="2"/>
      <c r="I5264" s="2"/>
      <c r="J5264" s="2"/>
      <c r="K5264" s="2"/>
      <c r="L5264" s="2"/>
      <c r="M5264" s="2"/>
      <c r="N5264" s="2"/>
      <c r="P5264" s="2"/>
      <c r="Q5264" s="2"/>
      <c r="R5264" s="2"/>
      <c r="AB5264" s="2"/>
    </row>
    <row r="5265" spans="8:28" ht="15" customHeight="1">
      <c r="H5265" s="2"/>
      <c r="I5265" s="2"/>
      <c r="J5265" s="2"/>
      <c r="K5265" s="2"/>
      <c r="L5265" s="2"/>
      <c r="M5265" s="2"/>
      <c r="N5265" s="2"/>
      <c r="P5265" s="2"/>
      <c r="Q5265" s="2"/>
      <c r="R5265" s="2"/>
      <c r="AB5265" s="2"/>
    </row>
    <row r="5266" spans="8:28" ht="15" customHeight="1">
      <c r="H5266" s="2"/>
      <c r="I5266" s="2"/>
      <c r="J5266" s="2"/>
      <c r="K5266" s="2"/>
      <c r="L5266" s="2"/>
      <c r="M5266" s="2"/>
      <c r="N5266" s="2"/>
      <c r="P5266" s="2"/>
      <c r="Q5266" s="2"/>
      <c r="R5266" s="2"/>
      <c r="AB5266" s="2"/>
    </row>
    <row r="5267" spans="8:28" ht="15" customHeight="1">
      <c r="H5267" s="2"/>
      <c r="I5267" s="2"/>
      <c r="J5267" s="2"/>
      <c r="K5267" s="2"/>
      <c r="L5267" s="2"/>
      <c r="M5267" s="2"/>
      <c r="N5267" s="2"/>
      <c r="P5267" s="2"/>
      <c r="Q5267" s="2"/>
      <c r="R5267" s="2"/>
      <c r="AB5267" s="2"/>
    </row>
    <row r="5268" spans="8:28" ht="15" customHeight="1">
      <c r="H5268" s="2"/>
      <c r="I5268" s="2"/>
      <c r="J5268" s="2"/>
      <c r="K5268" s="2"/>
      <c r="L5268" s="2"/>
      <c r="M5268" s="2"/>
      <c r="N5268" s="2"/>
      <c r="P5268" s="2"/>
      <c r="Q5268" s="2"/>
      <c r="R5268" s="2"/>
      <c r="AB5268" s="2"/>
    </row>
    <row r="5269" spans="8:28" ht="15" customHeight="1">
      <c r="H5269" s="2"/>
      <c r="I5269" s="2"/>
      <c r="J5269" s="2"/>
      <c r="K5269" s="2"/>
      <c r="L5269" s="2"/>
      <c r="M5269" s="2"/>
      <c r="N5269" s="2"/>
      <c r="P5269" s="2"/>
      <c r="Q5269" s="2"/>
      <c r="R5269" s="2"/>
      <c r="AB5269" s="2"/>
    </row>
    <row r="5270" spans="8:28" ht="15" customHeight="1">
      <c r="H5270" s="2"/>
      <c r="I5270" s="2"/>
      <c r="J5270" s="2"/>
      <c r="K5270" s="2"/>
      <c r="L5270" s="2"/>
      <c r="M5270" s="2"/>
      <c r="N5270" s="2"/>
      <c r="P5270" s="2"/>
      <c r="Q5270" s="2"/>
      <c r="R5270" s="2"/>
      <c r="AB5270" s="2"/>
    </row>
    <row r="5271" spans="8:28" ht="15" customHeight="1">
      <c r="H5271" s="2"/>
      <c r="I5271" s="2"/>
      <c r="J5271" s="2"/>
      <c r="K5271" s="2"/>
      <c r="L5271" s="2"/>
      <c r="M5271" s="2"/>
      <c r="N5271" s="2"/>
      <c r="P5271" s="2"/>
      <c r="Q5271" s="2"/>
      <c r="R5271" s="2"/>
      <c r="AB5271" s="2"/>
    </row>
    <row r="5272" spans="8:28" ht="15" customHeight="1">
      <c r="H5272" s="2"/>
      <c r="I5272" s="2"/>
      <c r="J5272" s="2"/>
      <c r="K5272" s="2"/>
      <c r="L5272" s="2"/>
      <c r="M5272" s="2"/>
      <c r="N5272" s="2"/>
      <c r="P5272" s="2"/>
      <c r="Q5272" s="2"/>
      <c r="R5272" s="2"/>
      <c r="AB5272" s="2"/>
    </row>
    <row r="5273" spans="8:28" ht="15" customHeight="1">
      <c r="H5273" s="2"/>
      <c r="I5273" s="2"/>
      <c r="J5273" s="2"/>
      <c r="K5273" s="2"/>
      <c r="L5273" s="2"/>
      <c r="M5273" s="2"/>
      <c r="N5273" s="2"/>
      <c r="P5273" s="2"/>
      <c r="Q5273" s="2"/>
      <c r="R5273" s="2"/>
      <c r="AB5273" s="2"/>
    </row>
    <row r="5274" spans="8:28" ht="15" customHeight="1">
      <c r="H5274" s="2"/>
      <c r="I5274" s="2"/>
      <c r="J5274" s="2"/>
      <c r="K5274" s="2"/>
      <c r="L5274" s="2"/>
      <c r="M5274" s="2"/>
      <c r="N5274" s="2"/>
      <c r="P5274" s="2"/>
      <c r="Q5274" s="2"/>
      <c r="R5274" s="2"/>
      <c r="AB5274" s="2"/>
    </row>
    <row r="5275" spans="8:28" ht="15" customHeight="1">
      <c r="H5275" s="2"/>
      <c r="I5275" s="2"/>
      <c r="J5275" s="2"/>
      <c r="K5275" s="2"/>
      <c r="L5275" s="2"/>
      <c r="M5275" s="2"/>
      <c r="N5275" s="2"/>
      <c r="P5275" s="2"/>
      <c r="Q5275" s="2"/>
      <c r="R5275" s="2"/>
      <c r="AB5275" s="2"/>
    </row>
    <row r="5276" spans="8:28" ht="15" customHeight="1">
      <c r="H5276" s="2"/>
      <c r="I5276" s="2"/>
      <c r="J5276" s="2"/>
      <c r="K5276" s="2"/>
      <c r="L5276" s="2"/>
      <c r="M5276" s="2"/>
      <c r="N5276" s="2"/>
      <c r="P5276" s="2"/>
      <c r="Q5276" s="2"/>
      <c r="R5276" s="2"/>
      <c r="AB5276" s="2"/>
    </row>
    <row r="5277" spans="8:28" ht="15" customHeight="1">
      <c r="H5277" s="2"/>
      <c r="I5277" s="2"/>
      <c r="J5277" s="2"/>
      <c r="K5277" s="2"/>
      <c r="L5277" s="2"/>
      <c r="M5277" s="2"/>
      <c r="N5277" s="2"/>
      <c r="P5277" s="2"/>
      <c r="Q5277" s="2"/>
      <c r="R5277" s="2"/>
      <c r="AB5277" s="2"/>
    </row>
    <row r="5278" spans="8:28" ht="15" customHeight="1">
      <c r="H5278" s="2"/>
      <c r="I5278" s="2"/>
      <c r="J5278" s="2"/>
      <c r="K5278" s="2"/>
      <c r="L5278" s="2"/>
      <c r="M5278" s="2"/>
      <c r="N5278" s="2"/>
      <c r="P5278" s="2"/>
      <c r="Q5278" s="2"/>
      <c r="R5278" s="2"/>
      <c r="AB5278" s="2"/>
    </row>
    <row r="5279" spans="8:28" ht="15" customHeight="1">
      <c r="H5279" s="2"/>
      <c r="I5279" s="2"/>
      <c r="J5279" s="2"/>
      <c r="K5279" s="2"/>
      <c r="L5279" s="2"/>
      <c r="M5279" s="2"/>
      <c r="N5279" s="2"/>
      <c r="P5279" s="2"/>
      <c r="Q5279" s="2"/>
      <c r="R5279" s="2"/>
      <c r="AB5279" s="2"/>
    </row>
    <row r="5280" spans="8:28" ht="15" customHeight="1">
      <c r="H5280" s="2"/>
      <c r="I5280" s="2"/>
      <c r="J5280" s="2"/>
      <c r="K5280" s="2"/>
      <c r="L5280" s="2"/>
      <c r="M5280" s="2"/>
      <c r="N5280" s="2"/>
      <c r="P5280" s="2"/>
      <c r="Q5280" s="2"/>
      <c r="R5280" s="2"/>
      <c r="AB5280" s="2"/>
    </row>
    <row r="5281" spans="8:28" ht="15" customHeight="1">
      <c r="H5281" s="2"/>
      <c r="I5281" s="2"/>
      <c r="J5281" s="2"/>
      <c r="K5281" s="2"/>
      <c r="L5281" s="2"/>
      <c r="M5281" s="2"/>
      <c r="N5281" s="2"/>
      <c r="P5281" s="2"/>
      <c r="Q5281" s="2"/>
      <c r="R5281" s="2"/>
      <c r="AB5281" s="2"/>
    </row>
    <row r="5282" spans="8:28" ht="15" customHeight="1">
      <c r="H5282" s="2"/>
      <c r="I5282" s="2"/>
      <c r="J5282" s="2"/>
      <c r="K5282" s="2"/>
      <c r="L5282" s="2"/>
      <c r="M5282" s="2"/>
      <c r="N5282" s="2"/>
      <c r="P5282" s="2"/>
      <c r="Q5282" s="2"/>
      <c r="R5282" s="2"/>
      <c r="AB5282" s="2"/>
    </row>
    <row r="5283" spans="8:28" ht="15" customHeight="1">
      <c r="H5283" s="2"/>
      <c r="I5283" s="2"/>
      <c r="J5283" s="2"/>
      <c r="K5283" s="2"/>
      <c r="L5283" s="2"/>
      <c r="M5283" s="2"/>
      <c r="N5283" s="2"/>
      <c r="P5283" s="2"/>
      <c r="Q5283" s="2"/>
      <c r="R5283" s="2"/>
      <c r="AB5283" s="2"/>
    </row>
    <row r="5284" spans="8:28" ht="15" customHeight="1">
      <c r="H5284" s="2"/>
      <c r="I5284" s="2"/>
      <c r="J5284" s="2"/>
      <c r="K5284" s="2"/>
      <c r="L5284" s="2"/>
      <c r="M5284" s="2"/>
      <c r="N5284" s="2"/>
      <c r="P5284" s="2"/>
      <c r="Q5284" s="2"/>
      <c r="R5284" s="2"/>
      <c r="AB5284" s="2"/>
    </row>
    <row r="5285" spans="8:28" ht="15" customHeight="1">
      <c r="H5285" s="2"/>
      <c r="I5285" s="2"/>
      <c r="J5285" s="2"/>
      <c r="K5285" s="2"/>
      <c r="L5285" s="2"/>
      <c r="M5285" s="2"/>
      <c r="N5285" s="2"/>
      <c r="P5285" s="2"/>
      <c r="Q5285" s="2"/>
      <c r="R5285" s="2"/>
      <c r="AB5285" s="2"/>
    </row>
    <row r="5286" spans="8:28" ht="15" customHeight="1">
      <c r="H5286" s="2"/>
      <c r="I5286" s="2"/>
      <c r="J5286" s="2"/>
      <c r="K5286" s="2"/>
      <c r="L5286" s="2"/>
      <c r="M5286" s="2"/>
      <c r="N5286" s="2"/>
      <c r="P5286" s="2"/>
      <c r="Q5286" s="2"/>
      <c r="R5286" s="2"/>
      <c r="AB5286" s="2"/>
    </row>
    <row r="5287" spans="8:28" ht="15" customHeight="1">
      <c r="H5287" s="2"/>
      <c r="I5287" s="2"/>
      <c r="J5287" s="2"/>
      <c r="K5287" s="2"/>
      <c r="L5287" s="2"/>
      <c r="M5287" s="2"/>
      <c r="N5287" s="2"/>
      <c r="P5287" s="2"/>
      <c r="Q5287" s="2"/>
      <c r="R5287" s="2"/>
      <c r="AB5287" s="2"/>
    </row>
    <row r="5288" spans="8:28" ht="15" customHeight="1">
      <c r="H5288" s="2"/>
      <c r="I5288" s="2"/>
      <c r="J5288" s="2"/>
      <c r="K5288" s="2"/>
      <c r="L5288" s="2"/>
      <c r="M5288" s="2"/>
      <c r="N5288" s="2"/>
      <c r="P5288" s="2"/>
      <c r="Q5288" s="2"/>
      <c r="R5288" s="2"/>
      <c r="AB5288" s="2"/>
    </row>
    <row r="5289" spans="8:28" ht="15" customHeight="1">
      <c r="H5289" s="2"/>
      <c r="I5289" s="2"/>
      <c r="J5289" s="2"/>
      <c r="K5289" s="2"/>
      <c r="L5289" s="2"/>
      <c r="M5289" s="2"/>
      <c r="N5289" s="2"/>
      <c r="P5289" s="2"/>
      <c r="Q5289" s="2"/>
      <c r="R5289" s="2"/>
      <c r="AB5289" s="2"/>
    </row>
    <row r="5290" spans="8:28" ht="15" customHeight="1">
      <c r="H5290" s="2"/>
      <c r="I5290" s="2"/>
      <c r="J5290" s="2"/>
      <c r="K5290" s="2"/>
      <c r="L5290" s="2"/>
      <c r="M5290" s="2"/>
      <c r="N5290" s="2"/>
      <c r="P5290" s="2"/>
      <c r="Q5290" s="2"/>
      <c r="R5290" s="2"/>
      <c r="AB5290" s="2"/>
    </row>
    <row r="5291" spans="8:28" ht="15" customHeight="1">
      <c r="H5291" s="2"/>
      <c r="I5291" s="2"/>
      <c r="J5291" s="2"/>
      <c r="K5291" s="2"/>
      <c r="L5291" s="2"/>
      <c r="M5291" s="2"/>
      <c r="N5291" s="2"/>
      <c r="P5291" s="2"/>
      <c r="Q5291" s="2"/>
      <c r="R5291" s="2"/>
      <c r="AB5291" s="2"/>
    </row>
    <row r="5292" spans="8:28" ht="15" customHeight="1">
      <c r="H5292" s="2"/>
      <c r="I5292" s="2"/>
      <c r="J5292" s="2"/>
      <c r="K5292" s="2"/>
      <c r="L5292" s="2"/>
      <c r="M5292" s="2"/>
      <c r="N5292" s="2"/>
      <c r="P5292" s="2"/>
      <c r="Q5292" s="2"/>
      <c r="R5292" s="2"/>
      <c r="AB5292" s="2"/>
    </row>
    <row r="5293" spans="8:28" ht="15" customHeight="1">
      <c r="H5293" s="2"/>
      <c r="I5293" s="2"/>
      <c r="J5293" s="2"/>
      <c r="K5293" s="2"/>
      <c r="L5293" s="2"/>
      <c r="M5293" s="2"/>
      <c r="N5293" s="2"/>
      <c r="P5293" s="2"/>
      <c r="Q5293" s="2"/>
      <c r="R5293" s="2"/>
      <c r="AB5293" s="2"/>
    </row>
    <row r="5294" spans="8:28" ht="15" customHeight="1">
      <c r="H5294" s="2"/>
      <c r="I5294" s="2"/>
      <c r="J5294" s="2"/>
      <c r="K5294" s="2"/>
      <c r="L5294" s="2"/>
      <c r="M5294" s="2"/>
      <c r="N5294" s="2"/>
      <c r="P5294" s="2"/>
      <c r="Q5294" s="2"/>
      <c r="R5294" s="2"/>
      <c r="AB5294" s="2"/>
    </row>
    <row r="5295" spans="8:28" ht="15" customHeight="1">
      <c r="H5295" s="2"/>
      <c r="I5295" s="2"/>
      <c r="J5295" s="2"/>
      <c r="K5295" s="2"/>
      <c r="L5295" s="2"/>
      <c r="M5295" s="2"/>
      <c r="N5295" s="2"/>
      <c r="P5295" s="2"/>
      <c r="Q5295" s="2"/>
      <c r="R5295" s="2"/>
      <c r="AB5295" s="2"/>
    </row>
    <row r="5296" spans="8:28" ht="15" customHeight="1">
      <c r="H5296" s="2"/>
      <c r="I5296" s="2"/>
      <c r="J5296" s="2"/>
      <c r="K5296" s="2"/>
      <c r="L5296" s="2"/>
      <c r="M5296" s="2"/>
      <c r="N5296" s="2"/>
      <c r="P5296" s="2"/>
      <c r="Q5296" s="2"/>
      <c r="R5296" s="2"/>
      <c r="AB5296" s="2"/>
    </row>
    <row r="5297" spans="8:28" ht="15" customHeight="1">
      <c r="H5297" s="2"/>
      <c r="I5297" s="2"/>
      <c r="J5297" s="2"/>
      <c r="K5297" s="2"/>
      <c r="L5297" s="2"/>
      <c r="M5297" s="2"/>
      <c r="N5297" s="2"/>
      <c r="P5297" s="2"/>
      <c r="Q5297" s="2"/>
      <c r="R5297" s="2"/>
      <c r="AB5297" s="2"/>
    </row>
    <row r="5298" spans="8:28" ht="15" customHeight="1">
      <c r="H5298" s="2"/>
      <c r="I5298" s="2"/>
      <c r="J5298" s="2"/>
      <c r="K5298" s="2"/>
      <c r="L5298" s="2"/>
      <c r="M5298" s="2"/>
      <c r="N5298" s="2"/>
      <c r="P5298" s="2"/>
      <c r="Q5298" s="2"/>
      <c r="R5298" s="2"/>
      <c r="AB5298" s="2"/>
    </row>
    <row r="5299" spans="8:28" ht="15" customHeight="1">
      <c r="H5299" s="2"/>
      <c r="I5299" s="2"/>
      <c r="J5299" s="2"/>
      <c r="K5299" s="2"/>
      <c r="L5299" s="2"/>
      <c r="M5299" s="2"/>
      <c r="N5299" s="2"/>
      <c r="P5299" s="2"/>
      <c r="Q5299" s="2"/>
      <c r="R5299" s="2"/>
      <c r="AB5299" s="2"/>
    </row>
    <row r="5300" spans="8:28" ht="15" customHeight="1">
      <c r="H5300" s="2"/>
      <c r="I5300" s="2"/>
      <c r="J5300" s="2"/>
      <c r="K5300" s="2"/>
      <c r="L5300" s="2"/>
      <c r="M5300" s="2"/>
      <c r="N5300" s="2"/>
      <c r="P5300" s="2"/>
      <c r="Q5300" s="2"/>
      <c r="R5300" s="2"/>
      <c r="AB5300" s="2"/>
    </row>
    <row r="5301" spans="8:28" ht="15" customHeight="1">
      <c r="H5301" s="2"/>
      <c r="I5301" s="2"/>
      <c r="J5301" s="2"/>
      <c r="K5301" s="2"/>
      <c r="L5301" s="2"/>
      <c r="M5301" s="2"/>
      <c r="N5301" s="2"/>
      <c r="P5301" s="2"/>
      <c r="Q5301" s="2"/>
      <c r="R5301" s="2"/>
      <c r="AB5301" s="2"/>
    </row>
    <row r="5302" spans="8:28" ht="15" customHeight="1">
      <c r="H5302" s="2"/>
      <c r="I5302" s="2"/>
      <c r="J5302" s="2"/>
      <c r="K5302" s="2"/>
      <c r="L5302" s="2"/>
      <c r="M5302" s="2"/>
      <c r="N5302" s="2"/>
      <c r="P5302" s="2"/>
      <c r="Q5302" s="2"/>
      <c r="R5302" s="2"/>
      <c r="AB5302" s="2"/>
    </row>
    <row r="5303" spans="8:28" ht="15" customHeight="1">
      <c r="H5303" s="2"/>
      <c r="I5303" s="2"/>
      <c r="J5303" s="2"/>
      <c r="K5303" s="2"/>
      <c r="L5303" s="2"/>
      <c r="M5303" s="2"/>
      <c r="N5303" s="2"/>
      <c r="P5303" s="2"/>
      <c r="Q5303" s="2"/>
      <c r="R5303" s="2"/>
      <c r="AB5303" s="2"/>
    </row>
    <row r="5304" spans="8:28" ht="15" customHeight="1">
      <c r="H5304" s="2"/>
      <c r="I5304" s="2"/>
      <c r="J5304" s="2"/>
      <c r="K5304" s="2"/>
      <c r="L5304" s="2"/>
      <c r="M5304" s="2"/>
      <c r="N5304" s="2"/>
      <c r="P5304" s="2"/>
      <c r="Q5304" s="2"/>
      <c r="R5304" s="2"/>
      <c r="AB5304" s="2"/>
    </row>
    <row r="5305" spans="8:28" ht="15" customHeight="1">
      <c r="H5305" s="2"/>
      <c r="I5305" s="2"/>
      <c r="J5305" s="2"/>
      <c r="K5305" s="2"/>
      <c r="L5305" s="2"/>
      <c r="M5305" s="2"/>
      <c r="N5305" s="2"/>
      <c r="P5305" s="2"/>
      <c r="Q5305" s="2"/>
      <c r="R5305" s="2"/>
      <c r="AB5305" s="2"/>
    </row>
    <row r="5306" spans="8:28" ht="15" customHeight="1">
      <c r="H5306" s="2"/>
      <c r="I5306" s="2"/>
      <c r="J5306" s="2"/>
      <c r="K5306" s="2"/>
      <c r="L5306" s="2"/>
      <c r="M5306" s="2"/>
      <c r="N5306" s="2"/>
      <c r="P5306" s="2"/>
      <c r="Q5306" s="2"/>
      <c r="R5306" s="2"/>
      <c r="AB5306" s="2"/>
    </row>
    <row r="5307" spans="8:28" ht="15" customHeight="1">
      <c r="H5307" s="2"/>
      <c r="I5307" s="2"/>
      <c r="J5307" s="2"/>
      <c r="K5307" s="2"/>
      <c r="L5307" s="2"/>
      <c r="M5307" s="2"/>
      <c r="N5307" s="2"/>
      <c r="P5307" s="2"/>
      <c r="Q5307" s="2"/>
      <c r="R5307" s="2"/>
      <c r="AB5307" s="2"/>
    </row>
    <row r="5308" spans="8:28" ht="15" customHeight="1">
      <c r="H5308" s="2"/>
      <c r="I5308" s="2"/>
      <c r="J5308" s="2"/>
      <c r="K5308" s="2"/>
      <c r="L5308" s="2"/>
      <c r="M5308" s="2"/>
      <c r="N5308" s="2"/>
      <c r="P5308" s="2"/>
      <c r="Q5308" s="2"/>
      <c r="R5308" s="2"/>
      <c r="AB5308" s="2"/>
    </row>
    <row r="5309" spans="8:28" ht="15" customHeight="1">
      <c r="H5309" s="2"/>
      <c r="I5309" s="2"/>
      <c r="J5309" s="2"/>
      <c r="K5309" s="2"/>
      <c r="L5309" s="2"/>
      <c r="M5309" s="2"/>
      <c r="N5309" s="2"/>
      <c r="P5309" s="2"/>
      <c r="Q5309" s="2"/>
      <c r="R5309" s="2"/>
      <c r="AB5309" s="2"/>
    </row>
    <row r="5310" spans="8:28" ht="15" customHeight="1">
      <c r="H5310" s="2"/>
      <c r="I5310" s="2"/>
      <c r="J5310" s="2"/>
      <c r="K5310" s="2"/>
      <c r="L5310" s="2"/>
      <c r="M5310" s="2"/>
      <c r="N5310" s="2"/>
      <c r="P5310" s="2"/>
      <c r="Q5310" s="2"/>
      <c r="R5310" s="2"/>
      <c r="AB5310" s="2"/>
    </row>
    <row r="5311" spans="8:28" ht="15" customHeight="1">
      <c r="H5311" s="2"/>
      <c r="I5311" s="2"/>
      <c r="J5311" s="2"/>
      <c r="K5311" s="2"/>
      <c r="L5311" s="2"/>
      <c r="M5311" s="2"/>
      <c r="N5311" s="2"/>
      <c r="P5311" s="2"/>
      <c r="Q5311" s="2"/>
      <c r="R5311" s="2"/>
      <c r="AB5311" s="2"/>
    </row>
    <row r="5312" spans="8:28" ht="15" customHeight="1">
      <c r="H5312" s="2"/>
      <c r="I5312" s="2"/>
      <c r="J5312" s="2"/>
      <c r="K5312" s="2"/>
      <c r="L5312" s="2"/>
      <c r="M5312" s="2"/>
      <c r="N5312" s="2"/>
      <c r="P5312" s="2"/>
      <c r="Q5312" s="2"/>
      <c r="R5312" s="2"/>
      <c r="AB5312" s="2"/>
    </row>
    <row r="5313" spans="8:28" ht="15" customHeight="1">
      <c r="H5313" s="2"/>
      <c r="I5313" s="2"/>
      <c r="J5313" s="2"/>
      <c r="K5313" s="2"/>
      <c r="L5313" s="2"/>
      <c r="M5313" s="2"/>
      <c r="N5313" s="2"/>
      <c r="P5313" s="2"/>
      <c r="Q5313" s="2"/>
      <c r="R5313" s="2"/>
      <c r="AB5313" s="2"/>
    </row>
    <row r="5314" spans="8:28" ht="15" customHeight="1">
      <c r="H5314" s="2"/>
      <c r="I5314" s="2"/>
      <c r="J5314" s="2"/>
      <c r="K5314" s="2"/>
      <c r="L5314" s="2"/>
      <c r="M5314" s="2"/>
      <c r="N5314" s="2"/>
      <c r="P5314" s="2"/>
      <c r="Q5314" s="2"/>
      <c r="R5314" s="2"/>
      <c r="AB5314" s="2"/>
    </row>
    <row r="5315" spans="8:28" ht="15" customHeight="1">
      <c r="H5315" s="2"/>
      <c r="I5315" s="2"/>
      <c r="J5315" s="2"/>
      <c r="K5315" s="2"/>
      <c r="L5315" s="2"/>
      <c r="M5315" s="2"/>
      <c r="N5315" s="2"/>
      <c r="P5315" s="2"/>
      <c r="Q5315" s="2"/>
      <c r="R5315" s="2"/>
      <c r="AB5315" s="2"/>
    </row>
    <row r="5316" spans="8:28" ht="15" customHeight="1">
      <c r="H5316" s="2"/>
      <c r="I5316" s="2"/>
      <c r="J5316" s="2"/>
      <c r="K5316" s="2"/>
      <c r="L5316" s="2"/>
      <c r="M5316" s="2"/>
      <c r="N5316" s="2"/>
      <c r="P5316" s="2"/>
      <c r="Q5316" s="2"/>
      <c r="R5316" s="2"/>
      <c r="AB5316" s="2"/>
    </row>
    <row r="5317" spans="8:28" ht="15" customHeight="1">
      <c r="H5317" s="2"/>
      <c r="I5317" s="2"/>
      <c r="J5317" s="2"/>
      <c r="K5317" s="2"/>
      <c r="L5317" s="2"/>
      <c r="M5317" s="2"/>
      <c r="N5317" s="2"/>
      <c r="P5317" s="2"/>
      <c r="Q5317" s="2"/>
      <c r="R5317" s="2"/>
      <c r="AB5317" s="2"/>
    </row>
    <row r="5318" spans="8:28" ht="15" customHeight="1">
      <c r="H5318" s="2"/>
      <c r="I5318" s="2"/>
      <c r="J5318" s="2"/>
      <c r="K5318" s="2"/>
      <c r="L5318" s="2"/>
      <c r="M5318" s="2"/>
      <c r="N5318" s="2"/>
      <c r="P5318" s="2"/>
      <c r="Q5318" s="2"/>
      <c r="R5318" s="2"/>
      <c r="AB5318" s="2"/>
    </row>
    <row r="5319" spans="8:28" ht="15" customHeight="1">
      <c r="H5319" s="2"/>
      <c r="I5319" s="2"/>
      <c r="J5319" s="2"/>
      <c r="K5319" s="2"/>
      <c r="L5319" s="2"/>
      <c r="M5319" s="2"/>
      <c r="N5319" s="2"/>
      <c r="P5319" s="2"/>
      <c r="Q5319" s="2"/>
      <c r="R5319" s="2"/>
      <c r="AB5319" s="2"/>
    </row>
    <row r="5320" spans="8:28" ht="15" customHeight="1">
      <c r="H5320" s="2"/>
      <c r="I5320" s="2"/>
      <c r="J5320" s="2"/>
      <c r="K5320" s="2"/>
      <c r="L5320" s="2"/>
      <c r="M5320" s="2"/>
      <c r="N5320" s="2"/>
      <c r="P5320" s="2"/>
      <c r="Q5320" s="2"/>
      <c r="R5320" s="2"/>
      <c r="AB5320" s="2"/>
    </row>
    <row r="5321" spans="8:28" ht="15" customHeight="1">
      <c r="H5321" s="2"/>
      <c r="I5321" s="2"/>
      <c r="J5321" s="2"/>
      <c r="K5321" s="2"/>
      <c r="L5321" s="2"/>
      <c r="M5321" s="2"/>
      <c r="N5321" s="2"/>
      <c r="P5321" s="2"/>
      <c r="Q5321" s="2"/>
      <c r="R5321" s="2"/>
      <c r="AB5321" s="2"/>
    </row>
    <row r="5322" spans="8:28" ht="15" customHeight="1">
      <c r="H5322" s="2"/>
      <c r="I5322" s="2"/>
      <c r="J5322" s="2"/>
      <c r="K5322" s="2"/>
      <c r="L5322" s="2"/>
      <c r="M5322" s="2"/>
      <c r="N5322" s="2"/>
      <c r="P5322" s="2"/>
      <c r="Q5322" s="2"/>
      <c r="R5322" s="2"/>
      <c r="AB5322" s="2"/>
    </row>
    <row r="5323" spans="8:28" ht="15" customHeight="1">
      <c r="H5323" s="2"/>
      <c r="I5323" s="2"/>
      <c r="J5323" s="2"/>
      <c r="K5323" s="2"/>
      <c r="L5323" s="2"/>
      <c r="M5323" s="2"/>
      <c r="N5323" s="2"/>
      <c r="P5323" s="2"/>
      <c r="Q5323" s="2"/>
      <c r="R5323" s="2"/>
      <c r="AB5323" s="2"/>
    </row>
    <row r="5324" spans="8:28" ht="15" customHeight="1">
      <c r="H5324" s="2"/>
      <c r="I5324" s="2"/>
      <c r="J5324" s="2"/>
      <c r="K5324" s="2"/>
      <c r="L5324" s="2"/>
      <c r="M5324" s="2"/>
      <c r="N5324" s="2"/>
      <c r="P5324" s="2"/>
      <c r="Q5324" s="2"/>
      <c r="R5324" s="2"/>
      <c r="AB5324" s="2"/>
    </row>
    <row r="5325" spans="8:28" ht="15" customHeight="1">
      <c r="H5325" s="2"/>
      <c r="I5325" s="2"/>
      <c r="J5325" s="2"/>
      <c r="K5325" s="2"/>
      <c r="L5325" s="2"/>
      <c r="M5325" s="2"/>
      <c r="N5325" s="2"/>
      <c r="P5325" s="2"/>
      <c r="Q5325" s="2"/>
      <c r="R5325" s="2"/>
      <c r="AB5325" s="2"/>
    </row>
    <row r="5326" spans="8:28" ht="15" customHeight="1">
      <c r="H5326" s="2"/>
      <c r="I5326" s="2"/>
      <c r="J5326" s="2"/>
      <c r="K5326" s="2"/>
      <c r="L5326" s="2"/>
      <c r="M5326" s="2"/>
      <c r="N5326" s="2"/>
      <c r="P5326" s="2"/>
      <c r="Q5326" s="2"/>
      <c r="R5326" s="2"/>
      <c r="AB5326" s="2"/>
    </row>
    <row r="5327" spans="8:28" ht="15" customHeight="1">
      <c r="H5327" s="2"/>
      <c r="I5327" s="2"/>
      <c r="J5327" s="2"/>
      <c r="K5327" s="2"/>
      <c r="L5327" s="2"/>
      <c r="M5327" s="2"/>
      <c r="N5327" s="2"/>
      <c r="P5327" s="2"/>
      <c r="Q5327" s="2"/>
      <c r="R5327" s="2"/>
      <c r="AB5327" s="2"/>
    </row>
    <row r="5328" spans="8:28" ht="15" customHeight="1">
      <c r="H5328" s="2"/>
      <c r="I5328" s="2"/>
      <c r="J5328" s="2"/>
      <c r="K5328" s="2"/>
      <c r="L5328" s="2"/>
      <c r="M5328" s="2"/>
      <c r="N5328" s="2"/>
      <c r="P5328" s="2"/>
      <c r="Q5328" s="2"/>
      <c r="R5328" s="2"/>
      <c r="AB5328" s="2"/>
    </row>
    <row r="5329" spans="8:28" ht="15" customHeight="1">
      <c r="H5329" s="2"/>
      <c r="I5329" s="2"/>
      <c r="J5329" s="2"/>
      <c r="K5329" s="2"/>
      <c r="L5329" s="2"/>
      <c r="M5329" s="2"/>
      <c r="N5329" s="2"/>
      <c r="P5329" s="2"/>
      <c r="Q5329" s="2"/>
      <c r="R5329" s="2"/>
      <c r="AB5329" s="2"/>
    </row>
    <row r="5330" spans="8:28" ht="15" customHeight="1">
      <c r="H5330" s="2"/>
      <c r="I5330" s="2"/>
      <c r="J5330" s="2"/>
      <c r="K5330" s="2"/>
      <c r="L5330" s="2"/>
      <c r="M5330" s="2"/>
      <c r="N5330" s="2"/>
      <c r="P5330" s="2"/>
      <c r="Q5330" s="2"/>
      <c r="R5330" s="2"/>
      <c r="AB5330" s="2"/>
    </row>
    <row r="5331" spans="8:28" ht="15" customHeight="1">
      <c r="H5331" s="2"/>
      <c r="I5331" s="2"/>
      <c r="J5331" s="2"/>
      <c r="K5331" s="2"/>
      <c r="L5331" s="2"/>
      <c r="M5331" s="2"/>
      <c r="N5331" s="2"/>
      <c r="P5331" s="2"/>
      <c r="Q5331" s="2"/>
      <c r="R5331" s="2"/>
      <c r="AB5331" s="2"/>
    </row>
    <row r="5332" spans="8:28" ht="15" customHeight="1">
      <c r="H5332" s="2"/>
      <c r="I5332" s="2"/>
      <c r="J5332" s="2"/>
      <c r="K5332" s="2"/>
      <c r="L5332" s="2"/>
      <c r="M5332" s="2"/>
      <c r="N5332" s="2"/>
      <c r="P5332" s="2"/>
      <c r="Q5332" s="2"/>
      <c r="R5332" s="2"/>
      <c r="AB5332" s="2"/>
    </row>
    <row r="5333" spans="8:28" ht="15" customHeight="1">
      <c r="H5333" s="2"/>
      <c r="I5333" s="2"/>
      <c r="J5333" s="2"/>
      <c r="K5333" s="2"/>
      <c r="L5333" s="2"/>
      <c r="M5333" s="2"/>
      <c r="N5333" s="2"/>
      <c r="P5333" s="2"/>
      <c r="Q5333" s="2"/>
      <c r="R5333" s="2"/>
      <c r="AB5333" s="2"/>
    </row>
    <row r="5334" spans="8:28" ht="15" customHeight="1">
      <c r="H5334" s="2"/>
      <c r="I5334" s="2"/>
      <c r="J5334" s="2"/>
      <c r="K5334" s="2"/>
      <c r="L5334" s="2"/>
      <c r="M5334" s="2"/>
      <c r="N5334" s="2"/>
      <c r="P5334" s="2"/>
      <c r="Q5334" s="2"/>
      <c r="R5334" s="2"/>
      <c r="AB5334" s="2"/>
    </row>
    <row r="5335" spans="8:28" ht="15" customHeight="1">
      <c r="H5335" s="2"/>
      <c r="I5335" s="2"/>
      <c r="J5335" s="2"/>
      <c r="K5335" s="2"/>
      <c r="L5335" s="2"/>
      <c r="M5335" s="2"/>
      <c r="N5335" s="2"/>
      <c r="P5335" s="2"/>
      <c r="Q5335" s="2"/>
      <c r="R5335" s="2"/>
      <c r="AB5335" s="2"/>
    </row>
    <row r="5336" spans="8:28" ht="15" customHeight="1">
      <c r="H5336" s="2"/>
      <c r="I5336" s="2"/>
      <c r="J5336" s="2"/>
      <c r="K5336" s="2"/>
      <c r="L5336" s="2"/>
      <c r="M5336" s="2"/>
      <c r="N5336" s="2"/>
      <c r="P5336" s="2"/>
      <c r="Q5336" s="2"/>
      <c r="R5336" s="2"/>
      <c r="AB5336" s="2"/>
    </row>
    <row r="5337" spans="8:28" ht="15" customHeight="1">
      <c r="H5337" s="2"/>
      <c r="I5337" s="2"/>
      <c r="J5337" s="2"/>
      <c r="K5337" s="2"/>
      <c r="L5337" s="2"/>
      <c r="M5337" s="2"/>
      <c r="N5337" s="2"/>
      <c r="P5337" s="2"/>
      <c r="Q5337" s="2"/>
      <c r="R5337" s="2"/>
      <c r="AB5337" s="2"/>
    </row>
    <row r="5338" spans="8:28" ht="15" customHeight="1">
      <c r="H5338" s="2"/>
      <c r="I5338" s="2"/>
      <c r="J5338" s="2"/>
      <c r="K5338" s="2"/>
      <c r="L5338" s="2"/>
      <c r="M5338" s="2"/>
      <c r="N5338" s="2"/>
      <c r="P5338" s="2"/>
      <c r="Q5338" s="2"/>
      <c r="R5338" s="2"/>
      <c r="AB5338" s="2"/>
    </row>
    <row r="5339" spans="8:28" ht="15" customHeight="1">
      <c r="H5339" s="2"/>
      <c r="I5339" s="2"/>
      <c r="J5339" s="2"/>
      <c r="K5339" s="2"/>
      <c r="L5339" s="2"/>
      <c r="M5339" s="2"/>
      <c r="N5339" s="2"/>
      <c r="P5339" s="2"/>
      <c r="Q5339" s="2"/>
      <c r="R5339" s="2"/>
      <c r="AB5339" s="2"/>
    </row>
    <row r="5340" spans="8:28" ht="15" customHeight="1">
      <c r="H5340" s="2"/>
      <c r="I5340" s="2"/>
      <c r="J5340" s="2"/>
      <c r="K5340" s="2"/>
      <c r="L5340" s="2"/>
      <c r="M5340" s="2"/>
      <c r="N5340" s="2"/>
      <c r="P5340" s="2"/>
      <c r="Q5340" s="2"/>
      <c r="R5340" s="2"/>
      <c r="AB5340" s="2"/>
    </row>
    <row r="5341" spans="8:28" ht="15" customHeight="1">
      <c r="H5341" s="2"/>
      <c r="I5341" s="2"/>
      <c r="J5341" s="2"/>
      <c r="K5341" s="2"/>
      <c r="L5341" s="2"/>
      <c r="M5341" s="2"/>
      <c r="N5341" s="2"/>
      <c r="P5341" s="2"/>
      <c r="Q5341" s="2"/>
      <c r="R5341" s="2"/>
      <c r="AB5341" s="2"/>
    </row>
    <row r="5342" spans="8:28" ht="15" customHeight="1">
      <c r="H5342" s="2"/>
      <c r="I5342" s="2"/>
      <c r="J5342" s="2"/>
      <c r="K5342" s="2"/>
      <c r="L5342" s="2"/>
      <c r="M5342" s="2"/>
      <c r="N5342" s="2"/>
      <c r="P5342" s="2"/>
      <c r="Q5342" s="2"/>
      <c r="R5342" s="2"/>
      <c r="AB5342" s="2"/>
    </row>
    <row r="5343" spans="8:28" ht="15" customHeight="1">
      <c r="H5343" s="2"/>
      <c r="I5343" s="2"/>
      <c r="J5343" s="2"/>
      <c r="K5343" s="2"/>
      <c r="L5343" s="2"/>
      <c r="M5343" s="2"/>
      <c r="N5343" s="2"/>
      <c r="P5343" s="2"/>
      <c r="Q5343" s="2"/>
      <c r="R5343" s="2"/>
      <c r="AB5343" s="2"/>
    </row>
    <row r="5344" spans="8:28" ht="15" customHeight="1">
      <c r="H5344" s="2"/>
      <c r="I5344" s="2"/>
      <c r="J5344" s="2"/>
      <c r="K5344" s="2"/>
      <c r="L5344" s="2"/>
      <c r="M5344" s="2"/>
      <c r="N5344" s="2"/>
      <c r="P5344" s="2"/>
      <c r="Q5344" s="2"/>
      <c r="R5344" s="2"/>
      <c r="AB5344" s="2"/>
    </row>
    <row r="5345" spans="8:28" ht="15" customHeight="1">
      <c r="H5345" s="2"/>
      <c r="I5345" s="2"/>
      <c r="J5345" s="2"/>
      <c r="K5345" s="2"/>
      <c r="L5345" s="2"/>
      <c r="M5345" s="2"/>
      <c r="N5345" s="2"/>
      <c r="P5345" s="2"/>
      <c r="Q5345" s="2"/>
      <c r="R5345" s="2"/>
      <c r="AB5345" s="2"/>
    </row>
    <row r="5346" spans="8:28" ht="15" customHeight="1">
      <c r="H5346" s="2"/>
      <c r="I5346" s="2"/>
      <c r="J5346" s="2"/>
      <c r="K5346" s="2"/>
      <c r="L5346" s="2"/>
      <c r="M5346" s="2"/>
      <c r="N5346" s="2"/>
      <c r="P5346" s="2"/>
      <c r="Q5346" s="2"/>
      <c r="R5346" s="2"/>
      <c r="AB5346" s="2"/>
    </row>
    <row r="5347" spans="8:28" ht="15" customHeight="1">
      <c r="H5347" s="2"/>
      <c r="I5347" s="2"/>
      <c r="J5347" s="2"/>
      <c r="K5347" s="2"/>
      <c r="L5347" s="2"/>
      <c r="M5347" s="2"/>
      <c r="N5347" s="2"/>
      <c r="P5347" s="2"/>
      <c r="Q5347" s="2"/>
      <c r="R5347" s="2"/>
      <c r="AB5347" s="2"/>
    </row>
    <row r="5348" spans="8:28" ht="15" customHeight="1">
      <c r="H5348" s="2"/>
      <c r="I5348" s="2"/>
      <c r="J5348" s="2"/>
      <c r="K5348" s="2"/>
      <c r="L5348" s="2"/>
      <c r="M5348" s="2"/>
      <c r="N5348" s="2"/>
      <c r="P5348" s="2"/>
      <c r="Q5348" s="2"/>
      <c r="R5348" s="2"/>
      <c r="AB5348" s="2"/>
    </row>
    <row r="5349" spans="8:28" ht="15" customHeight="1">
      <c r="H5349" s="2"/>
      <c r="I5349" s="2"/>
      <c r="J5349" s="2"/>
      <c r="K5349" s="2"/>
      <c r="L5349" s="2"/>
      <c r="M5349" s="2"/>
      <c r="N5349" s="2"/>
      <c r="P5349" s="2"/>
      <c r="Q5349" s="2"/>
      <c r="R5349" s="2"/>
      <c r="AB5349" s="2"/>
    </row>
    <row r="5350" spans="8:28" ht="15" customHeight="1">
      <c r="H5350" s="2"/>
      <c r="I5350" s="2"/>
      <c r="J5350" s="2"/>
      <c r="K5350" s="2"/>
      <c r="L5350" s="2"/>
      <c r="M5350" s="2"/>
      <c r="N5350" s="2"/>
      <c r="P5350" s="2"/>
      <c r="Q5350" s="2"/>
      <c r="R5350" s="2"/>
      <c r="AB5350" s="2"/>
    </row>
    <row r="5351" spans="8:28" ht="15" customHeight="1">
      <c r="H5351" s="2"/>
      <c r="I5351" s="2"/>
      <c r="J5351" s="2"/>
      <c r="K5351" s="2"/>
      <c r="L5351" s="2"/>
      <c r="M5351" s="2"/>
      <c r="N5351" s="2"/>
      <c r="P5351" s="2"/>
      <c r="Q5351" s="2"/>
      <c r="R5351" s="2"/>
      <c r="AB5351" s="2"/>
    </row>
    <row r="5352" spans="8:28" ht="15" customHeight="1">
      <c r="H5352" s="2"/>
      <c r="I5352" s="2"/>
      <c r="J5352" s="2"/>
      <c r="K5352" s="2"/>
      <c r="L5352" s="2"/>
      <c r="M5352" s="2"/>
      <c r="N5352" s="2"/>
      <c r="P5352" s="2"/>
      <c r="Q5352" s="2"/>
      <c r="R5352" s="2"/>
      <c r="AB5352" s="2"/>
    </row>
    <row r="5353" spans="8:28" ht="15" customHeight="1">
      <c r="H5353" s="2"/>
      <c r="I5353" s="2"/>
      <c r="J5353" s="2"/>
      <c r="K5353" s="2"/>
      <c r="L5353" s="2"/>
      <c r="M5353" s="2"/>
      <c r="N5353" s="2"/>
      <c r="P5353" s="2"/>
      <c r="Q5353" s="2"/>
      <c r="R5353" s="2"/>
      <c r="AB5353" s="2"/>
    </row>
    <row r="5354" spans="8:28" ht="15" customHeight="1">
      <c r="H5354" s="2"/>
      <c r="I5354" s="2"/>
      <c r="J5354" s="2"/>
      <c r="K5354" s="2"/>
      <c r="L5354" s="2"/>
      <c r="M5354" s="2"/>
      <c r="N5354" s="2"/>
      <c r="P5354" s="2"/>
      <c r="Q5354" s="2"/>
      <c r="R5354" s="2"/>
      <c r="AB5354" s="2"/>
    </row>
    <row r="5355" spans="8:28" ht="15" customHeight="1">
      <c r="H5355" s="2"/>
      <c r="I5355" s="2"/>
      <c r="J5355" s="2"/>
      <c r="K5355" s="2"/>
      <c r="L5355" s="2"/>
      <c r="M5355" s="2"/>
      <c r="N5355" s="2"/>
      <c r="P5355" s="2"/>
      <c r="Q5355" s="2"/>
      <c r="R5355" s="2"/>
      <c r="AB5355" s="2"/>
    </row>
    <row r="5356" spans="8:28" ht="15" customHeight="1">
      <c r="H5356" s="2"/>
      <c r="I5356" s="2"/>
      <c r="J5356" s="2"/>
      <c r="K5356" s="2"/>
      <c r="L5356" s="2"/>
      <c r="M5356" s="2"/>
      <c r="N5356" s="2"/>
      <c r="P5356" s="2"/>
      <c r="Q5356" s="2"/>
      <c r="R5356" s="2"/>
      <c r="AB5356" s="2"/>
    </row>
    <row r="5357" spans="8:28" ht="15" customHeight="1">
      <c r="H5357" s="2"/>
      <c r="I5357" s="2"/>
      <c r="J5357" s="2"/>
      <c r="K5357" s="2"/>
      <c r="L5357" s="2"/>
      <c r="M5357" s="2"/>
      <c r="N5357" s="2"/>
      <c r="P5357" s="2"/>
      <c r="Q5357" s="2"/>
      <c r="R5357" s="2"/>
      <c r="AB5357" s="2"/>
    </row>
    <row r="5358" spans="8:28" ht="15" customHeight="1">
      <c r="H5358" s="2"/>
      <c r="I5358" s="2"/>
      <c r="J5358" s="2"/>
      <c r="K5358" s="2"/>
      <c r="L5358" s="2"/>
      <c r="M5358" s="2"/>
      <c r="N5358" s="2"/>
      <c r="P5358" s="2"/>
      <c r="Q5358" s="2"/>
      <c r="R5358" s="2"/>
      <c r="AB5358" s="2"/>
    </row>
    <row r="5359" spans="8:28" ht="15" customHeight="1">
      <c r="H5359" s="2"/>
      <c r="I5359" s="2"/>
      <c r="J5359" s="2"/>
      <c r="K5359" s="2"/>
      <c r="L5359" s="2"/>
      <c r="M5359" s="2"/>
      <c r="N5359" s="2"/>
      <c r="P5359" s="2"/>
      <c r="Q5359" s="2"/>
      <c r="R5359" s="2"/>
      <c r="AB5359" s="2"/>
    </row>
    <row r="5360" spans="8:28" ht="15" customHeight="1">
      <c r="H5360" s="2"/>
      <c r="I5360" s="2"/>
      <c r="J5360" s="2"/>
      <c r="K5360" s="2"/>
      <c r="L5360" s="2"/>
      <c r="M5360" s="2"/>
      <c r="N5360" s="2"/>
      <c r="P5360" s="2"/>
      <c r="Q5360" s="2"/>
      <c r="R5360" s="2"/>
      <c r="AB5360" s="2"/>
    </row>
    <row r="5361" spans="8:28" ht="15" customHeight="1">
      <c r="H5361" s="2"/>
      <c r="I5361" s="2"/>
      <c r="J5361" s="2"/>
      <c r="K5361" s="2"/>
      <c r="L5361" s="2"/>
      <c r="M5361" s="2"/>
      <c r="N5361" s="2"/>
      <c r="P5361" s="2"/>
      <c r="Q5361" s="2"/>
      <c r="R5361" s="2"/>
      <c r="AB5361" s="2"/>
    </row>
    <row r="5362" spans="8:28" ht="15" customHeight="1">
      <c r="H5362" s="2"/>
      <c r="I5362" s="2"/>
      <c r="J5362" s="2"/>
      <c r="K5362" s="2"/>
      <c r="L5362" s="2"/>
      <c r="M5362" s="2"/>
      <c r="N5362" s="2"/>
      <c r="P5362" s="2"/>
      <c r="Q5362" s="2"/>
      <c r="R5362" s="2"/>
      <c r="AB5362" s="2"/>
    </row>
    <row r="5363" spans="8:28" ht="15" customHeight="1">
      <c r="H5363" s="2"/>
      <c r="I5363" s="2"/>
      <c r="J5363" s="2"/>
      <c r="K5363" s="2"/>
      <c r="L5363" s="2"/>
      <c r="M5363" s="2"/>
      <c r="N5363" s="2"/>
      <c r="P5363" s="2"/>
      <c r="Q5363" s="2"/>
      <c r="R5363" s="2"/>
      <c r="AB5363" s="2"/>
    </row>
    <row r="5364" spans="8:28" ht="15" customHeight="1">
      <c r="H5364" s="2"/>
      <c r="I5364" s="2"/>
      <c r="J5364" s="2"/>
      <c r="K5364" s="2"/>
      <c r="L5364" s="2"/>
      <c r="M5364" s="2"/>
      <c r="N5364" s="2"/>
      <c r="P5364" s="2"/>
      <c r="Q5364" s="2"/>
      <c r="R5364" s="2"/>
      <c r="AB5364" s="2"/>
    </row>
    <row r="5365" spans="8:28" ht="15" customHeight="1">
      <c r="H5365" s="2"/>
      <c r="I5365" s="2"/>
      <c r="J5365" s="2"/>
      <c r="K5365" s="2"/>
      <c r="L5365" s="2"/>
      <c r="M5365" s="2"/>
      <c r="N5365" s="2"/>
      <c r="P5365" s="2"/>
      <c r="Q5365" s="2"/>
      <c r="R5365" s="2"/>
      <c r="AB5365" s="2"/>
    </row>
    <row r="5366" spans="8:28" ht="15" customHeight="1">
      <c r="H5366" s="2"/>
      <c r="I5366" s="2"/>
      <c r="J5366" s="2"/>
      <c r="K5366" s="2"/>
      <c r="L5366" s="2"/>
      <c r="M5366" s="2"/>
      <c r="N5366" s="2"/>
      <c r="P5366" s="2"/>
      <c r="Q5366" s="2"/>
      <c r="R5366" s="2"/>
      <c r="AB5366" s="2"/>
    </row>
    <row r="5367" spans="8:28" ht="15" customHeight="1">
      <c r="H5367" s="2"/>
      <c r="I5367" s="2"/>
      <c r="J5367" s="2"/>
      <c r="K5367" s="2"/>
      <c r="L5367" s="2"/>
      <c r="M5367" s="2"/>
      <c r="N5367" s="2"/>
      <c r="P5367" s="2"/>
      <c r="Q5367" s="2"/>
      <c r="R5367" s="2"/>
      <c r="AB5367" s="2"/>
    </row>
    <row r="5368" spans="8:28" ht="15" customHeight="1">
      <c r="H5368" s="2"/>
      <c r="I5368" s="2"/>
      <c r="J5368" s="2"/>
      <c r="K5368" s="2"/>
      <c r="L5368" s="2"/>
      <c r="M5368" s="2"/>
      <c r="N5368" s="2"/>
      <c r="P5368" s="2"/>
      <c r="Q5368" s="2"/>
      <c r="R5368" s="2"/>
      <c r="AB5368" s="2"/>
    </row>
    <row r="5369" spans="8:28" ht="15" customHeight="1">
      <c r="H5369" s="2"/>
      <c r="I5369" s="2"/>
      <c r="J5369" s="2"/>
      <c r="K5369" s="2"/>
      <c r="L5369" s="2"/>
      <c r="M5369" s="2"/>
      <c r="N5369" s="2"/>
      <c r="P5369" s="2"/>
      <c r="Q5369" s="2"/>
      <c r="R5369" s="2"/>
      <c r="AB5369" s="2"/>
    </row>
    <row r="5370" spans="8:28" ht="15" customHeight="1">
      <c r="H5370" s="2"/>
      <c r="I5370" s="2"/>
      <c r="J5370" s="2"/>
      <c r="K5370" s="2"/>
      <c r="L5370" s="2"/>
      <c r="M5370" s="2"/>
      <c r="N5370" s="2"/>
      <c r="P5370" s="2"/>
      <c r="Q5370" s="2"/>
      <c r="R5370" s="2"/>
      <c r="AB5370" s="2"/>
    </row>
    <row r="5371" spans="8:28" ht="15" customHeight="1">
      <c r="H5371" s="2"/>
      <c r="I5371" s="2"/>
      <c r="J5371" s="2"/>
      <c r="K5371" s="2"/>
      <c r="L5371" s="2"/>
      <c r="M5371" s="2"/>
      <c r="N5371" s="2"/>
      <c r="P5371" s="2"/>
      <c r="Q5371" s="2"/>
      <c r="R5371" s="2"/>
      <c r="AB5371" s="2"/>
    </row>
    <row r="5372" spans="8:28" ht="15" customHeight="1">
      <c r="H5372" s="2"/>
      <c r="I5372" s="2"/>
      <c r="J5372" s="2"/>
      <c r="K5372" s="2"/>
      <c r="L5372" s="2"/>
      <c r="M5372" s="2"/>
      <c r="N5372" s="2"/>
      <c r="P5372" s="2"/>
      <c r="Q5372" s="2"/>
      <c r="R5372" s="2"/>
      <c r="AB5372" s="2"/>
    </row>
    <row r="5373" spans="8:28" ht="15" customHeight="1">
      <c r="H5373" s="2"/>
      <c r="I5373" s="2"/>
      <c r="J5373" s="2"/>
      <c r="K5373" s="2"/>
      <c r="L5373" s="2"/>
      <c r="M5373" s="2"/>
      <c r="N5373" s="2"/>
      <c r="P5373" s="2"/>
      <c r="Q5373" s="2"/>
      <c r="R5373" s="2"/>
      <c r="AB5373" s="2"/>
    </row>
    <row r="5374" spans="8:28" ht="15" customHeight="1">
      <c r="H5374" s="2"/>
      <c r="I5374" s="2"/>
      <c r="J5374" s="2"/>
      <c r="K5374" s="2"/>
      <c r="L5374" s="2"/>
      <c r="M5374" s="2"/>
      <c r="N5374" s="2"/>
      <c r="P5374" s="2"/>
      <c r="Q5374" s="2"/>
      <c r="R5374" s="2"/>
      <c r="AB5374" s="2"/>
    </row>
    <row r="5375" spans="8:28" ht="15" customHeight="1">
      <c r="H5375" s="2"/>
      <c r="I5375" s="2"/>
      <c r="J5375" s="2"/>
      <c r="K5375" s="2"/>
      <c r="L5375" s="2"/>
      <c r="M5375" s="2"/>
      <c r="N5375" s="2"/>
      <c r="P5375" s="2"/>
      <c r="Q5375" s="2"/>
      <c r="R5375" s="2"/>
      <c r="AB5375" s="2"/>
    </row>
    <row r="5376" spans="8:28" ht="15" customHeight="1">
      <c r="H5376" s="2"/>
      <c r="I5376" s="2"/>
      <c r="J5376" s="2"/>
      <c r="K5376" s="2"/>
      <c r="L5376" s="2"/>
      <c r="M5376" s="2"/>
      <c r="N5376" s="2"/>
      <c r="P5376" s="2"/>
      <c r="Q5376" s="2"/>
      <c r="R5376" s="2"/>
      <c r="AB5376" s="2"/>
    </row>
    <row r="5377" spans="8:28" ht="15" customHeight="1">
      <c r="H5377" s="2"/>
      <c r="I5377" s="2"/>
      <c r="J5377" s="2"/>
      <c r="K5377" s="2"/>
      <c r="L5377" s="2"/>
      <c r="M5377" s="2"/>
      <c r="N5377" s="2"/>
      <c r="P5377" s="2"/>
      <c r="Q5377" s="2"/>
      <c r="R5377" s="2"/>
      <c r="AB5377" s="2"/>
    </row>
    <row r="5378" spans="8:28" ht="15" customHeight="1">
      <c r="H5378" s="2"/>
      <c r="I5378" s="2"/>
      <c r="J5378" s="2"/>
      <c r="K5378" s="2"/>
      <c r="L5378" s="2"/>
      <c r="M5378" s="2"/>
      <c r="N5378" s="2"/>
      <c r="P5378" s="2"/>
      <c r="Q5378" s="2"/>
      <c r="R5378" s="2"/>
      <c r="AB5378" s="2"/>
    </row>
    <row r="5379" spans="8:28" ht="15" customHeight="1">
      <c r="H5379" s="2"/>
      <c r="I5379" s="2"/>
      <c r="J5379" s="2"/>
      <c r="K5379" s="2"/>
      <c r="L5379" s="2"/>
      <c r="M5379" s="2"/>
      <c r="N5379" s="2"/>
      <c r="P5379" s="2"/>
      <c r="Q5379" s="2"/>
      <c r="R5379" s="2"/>
      <c r="AB5379" s="2"/>
    </row>
    <row r="5380" spans="8:28" ht="15" customHeight="1">
      <c r="H5380" s="2"/>
      <c r="I5380" s="2"/>
      <c r="J5380" s="2"/>
      <c r="K5380" s="2"/>
      <c r="L5380" s="2"/>
      <c r="M5380" s="2"/>
      <c r="N5380" s="2"/>
      <c r="P5380" s="2"/>
      <c r="Q5380" s="2"/>
      <c r="R5380" s="2"/>
      <c r="AB5380" s="2"/>
    </row>
    <row r="5381" spans="8:28" ht="15" customHeight="1">
      <c r="H5381" s="2"/>
      <c r="I5381" s="2"/>
      <c r="J5381" s="2"/>
      <c r="K5381" s="2"/>
      <c r="L5381" s="2"/>
      <c r="M5381" s="2"/>
      <c r="N5381" s="2"/>
      <c r="P5381" s="2"/>
      <c r="Q5381" s="2"/>
      <c r="R5381" s="2"/>
      <c r="AB5381" s="2"/>
    </row>
    <row r="5382" spans="8:28" ht="15" customHeight="1">
      <c r="H5382" s="2"/>
      <c r="I5382" s="2"/>
      <c r="J5382" s="2"/>
      <c r="K5382" s="2"/>
      <c r="L5382" s="2"/>
      <c r="M5382" s="2"/>
      <c r="N5382" s="2"/>
      <c r="P5382" s="2"/>
      <c r="Q5382" s="2"/>
      <c r="R5382" s="2"/>
      <c r="AB5382" s="2"/>
    </row>
    <row r="5383" spans="8:28" ht="15" customHeight="1">
      <c r="H5383" s="2"/>
      <c r="I5383" s="2"/>
      <c r="J5383" s="2"/>
      <c r="K5383" s="2"/>
      <c r="L5383" s="2"/>
      <c r="M5383" s="2"/>
      <c r="N5383" s="2"/>
      <c r="P5383" s="2"/>
      <c r="Q5383" s="2"/>
      <c r="R5383" s="2"/>
      <c r="AB5383" s="2"/>
    </row>
    <row r="5384" spans="8:28" ht="15" customHeight="1">
      <c r="H5384" s="2"/>
      <c r="I5384" s="2"/>
      <c r="J5384" s="2"/>
      <c r="K5384" s="2"/>
      <c r="L5384" s="2"/>
      <c r="M5384" s="2"/>
      <c r="N5384" s="2"/>
      <c r="P5384" s="2"/>
      <c r="Q5384" s="2"/>
      <c r="R5384" s="2"/>
      <c r="AB5384" s="2"/>
    </row>
    <row r="5385" spans="8:28" ht="15" customHeight="1">
      <c r="H5385" s="2"/>
      <c r="I5385" s="2"/>
      <c r="J5385" s="2"/>
      <c r="K5385" s="2"/>
      <c r="L5385" s="2"/>
      <c r="M5385" s="2"/>
      <c r="N5385" s="2"/>
      <c r="P5385" s="2"/>
      <c r="Q5385" s="2"/>
      <c r="R5385" s="2"/>
      <c r="AB5385" s="2"/>
    </row>
    <row r="5386" spans="8:28" ht="15" customHeight="1">
      <c r="H5386" s="2"/>
      <c r="I5386" s="2"/>
      <c r="J5386" s="2"/>
      <c r="K5386" s="2"/>
      <c r="L5386" s="2"/>
      <c r="M5386" s="2"/>
      <c r="N5386" s="2"/>
      <c r="P5386" s="2"/>
      <c r="Q5386" s="2"/>
      <c r="R5386" s="2"/>
      <c r="AB5386" s="2"/>
    </row>
    <row r="5387" spans="8:28" ht="15" customHeight="1">
      <c r="H5387" s="2"/>
      <c r="I5387" s="2"/>
      <c r="J5387" s="2"/>
      <c r="K5387" s="2"/>
      <c r="L5387" s="2"/>
      <c r="M5387" s="2"/>
      <c r="N5387" s="2"/>
      <c r="P5387" s="2"/>
      <c r="Q5387" s="2"/>
      <c r="R5387" s="2"/>
      <c r="AB5387" s="2"/>
    </row>
    <row r="5388" spans="8:28" ht="15" customHeight="1">
      <c r="H5388" s="2"/>
      <c r="I5388" s="2"/>
      <c r="J5388" s="2"/>
      <c r="K5388" s="2"/>
      <c r="L5388" s="2"/>
      <c r="M5388" s="2"/>
      <c r="N5388" s="2"/>
      <c r="P5388" s="2"/>
      <c r="Q5388" s="2"/>
      <c r="R5388" s="2"/>
      <c r="AB5388" s="2"/>
    </row>
    <row r="5389" spans="8:28" ht="15" customHeight="1">
      <c r="H5389" s="2"/>
      <c r="I5389" s="2"/>
      <c r="J5389" s="2"/>
      <c r="K5389" s="2"/>
      <c r="L5389" s="2"/>
      <c r="M5389" s="2"/>
      <c r="N5389" s="2"/>
      <c r="P5389" s="2"/>
      <c r="Q5389" s="2"/>
      <c r="R5389" s="2"/>
      <c r="AB5389" s="2"/>
    </row>
    <row r="5390" spans="8:28" ht="15" customHeight="1">
      <c r="H5390" s="2"/>
      <c r="I5390" s="2"/>
      <c r="J5390" s="2"/>
      <c r="K5390" s="2"/>
      <c r="L5390" s="2"/>
      <c r="M5390" s="2"/>
      <c r="N5390" s="2"/>
      <c r="P5390" s="2"/>
      <c r="Q5390" s="2"/>
      <c r="R5390" s="2"/>
      <c r="AB5390" s="2"/>
    </row>
    <row r="5391" spans="8:28" ht="15" customHeight="1">
      <c r="H5391" s="2"/>
      <c r="I5391" s="2"/>
      <c r="J5391" s="2"/>
      <c r="K5391" s="2"/>
      <c r="L5391" s="2"/>
      <c r="M5391" s="2"/>
      <c r="N5391" s="2"/>
      <c r="P5391" s="2"/>
      <c r="Q5391" s="2"/>
      <c r="R5391" s="2"/>
      <c r="AB5391" s="2"/>
    </row>
    <row r="5392" spans="8:28" ht="15" customHeight="1">
      <c r="H5392" s="2"/>
      <c r="I5392" s="2"/>
      <c r="J5392" s="2"/>
      <c r="K5392" s="2"/>
      <c r="L5392" s="2"/>
      <c r="M5392" s="2"/>
      <c r="N5392" s="2"/>
      <c r="P5392" s="2"/>
      <c r="Q5392" s="2"/>
      <c r="R5392" s="2"/>
      <c r="AB5392" s="2"/>
    </row>
    <row r="5393" spans="8:28" ht="15" customHeight="1">
      <c r="H5393" s="2"/>
      <c r="I5393" s="2"/>
      <c r="J5393" s="2"/>
      <c r="K5393" s="2"/>
      <c r="L5393" s="2"/>
      <c r="M5393" s="2"/>
      <c r="N5393" s="2"/>
      <c r="P5393" s="2"/>
      <c r="Q5393" s="2"/>
      <c r="R5393" s="2"/>
      <c r="AB5393" s="2"/>
    </row>
    <row r="5394" spans="8:28" ht="15" customHeight="1">
      <c r="H5394" s="2"/>
      <c r="I5394" s="2"/>
      <c r="J5394" s="2"/>
      <c r="K5394" s="2"/>
      <c r="L5394" s="2"/>
      <c r="M5394" s="2"/>
      <c r="N5394" s="2"/>
      <c r="P5394" s="2"/>
      <c r="Q5394" s="2"/>
      <c r="R5394" s="2"/>
      <c r="AB5394" s="2"/>
    </row>
    <row r="5395" spans="8:28" ht="15" customHeight="1">
      <c r="H5395" s="2"/>
      <c r="I5395" s="2"/>
      <c r="J5395" s="2"/>
      <c r="K5395" s="2"/>
      <c r="L5395" s="2"/>
      <c r="M5395" s="2"/>
      <c r="N5395" s="2"/>
      <c r="P5395" s="2"/>
      <c r="Q5395" s="2"/>
      <c r="R5395" s="2"/>
      <c r="AB5395" s="2"/>
    </row>
    <row r="5396" spans="8:28" ht="15" customHeight="1">
      <c r="H5396" s="2"/>
      <c r="I5396" s="2"/>
      <c r="J5396" s="2"/>
      <c r="K5396" s="2"/>
      <c r="L5396" s="2"/>
      <c r="M5396" s="2"/>
      <c r="N5396" s="2"/>
      <c r="P5396" s="2"/>
      <c r="Q5396" s="2"/>
      <c r="R5396" s="2"/>
      <c r="AB5396" s="2"/>
    </row>
    <row r="5397" spans="8:28" ht="15" customHeight="1">
      <c r="H5397" s="2"/>
      <c r="I5397" s="2"/>
      <c r="J5397" s="2"/>
      <c r="K5397" s="2"/>
      <c r="L5397" s="2"/>
      <c r="M5397" s="2"/>
      <c r="N5397" s="2"/>
      <c r="P5397" s="2"/>
      <c r="Q5397" s="2"/>
      <c r="R5397" s="2"/>
      <c r="AB5397" s="2"/>
    </row>
    <row r="5398" spans="8:28" ht="15" customHeight="1">
      <c r="H5398" s="2"/>
      <c r="I5398" s="2"/>
      <c r="J5398" s="2"/>
      <c r="K5398" s="2"/>
      <c r="L5398" s="2"/>
      <c r="M5398" s="2"/>
      <c r="N5398" s="2"/>
      <c r="P5398" s="2"/>
      <c r="Q5398" s="2"/>
      <c r="R5398" s="2"/>
      <c r="AB5398" s="2"/>
    </row>
    <row r="5399" spans="8:28" ht="15" customHeight="1">
      <c r="H5399" s="2"/>
      <c r="I5399" s="2"/>
      <c r="J5399" s="2"/>
      <c r="K5399" s="2"/>
      <c r="L5399" s="2"/>
      <c r="M5399" s="2"/>
      <c r="N5399" s="2"/>
      <c r="P5399" s="2"/>
      <c r="Q5399" s="2"/>
      <c r="R5399" s="2"/>
      <c r="AB5399" s="2"/>
    </row>
    <row r="5400" spans="8:28" ht="15" customHeight="1">
      <c r="H5400" s="2"/>
      <c r="I5400" s="2"/>
      <c r="J5400" s="2"/>
      <c r="K5400" s="2"/>
      <c r="L5400" s="2"/>
      <c r="M5400" s="2"/>
      <c r="N5400" s="2"/>
      <c r="P5400" s="2"/>
      <c r="Q5400" s="2"/>
      <c r="R5400" s="2"/>
      <c r="AB5400" s="2"/>
    </row>
    <row r="5401" spans="8:28" ht="15" customHeight="1">
      <c r="H5401" s="2"/>
      <c r="I5401" s="2"/>
      <c r="J5401" s="2"/>
      <c r="K5401" s="2"/>
      <c r="L5401" s="2"/>
      <c r="M5401" s="2"/>
      <c r="N5401" s="2"/>
      <c r="P5401" s="2"/>
      <c r="Q5401" s="2"/>
      <c r="R5401" s="2"/>
      <c r="AB5401" s="2"/>
    </row>
    <row r="5402" spans="8:28" ht="15" customHeight="1">
      <c r="H5402" s="2"/>
      <c r="I5402" s="2"/>
      <c r="J5402" s="2"/>
      <c r="K5402" s="2"/>
      <c r="L5402" s="2"/>
      <c r="M5402" s="2"/>
      <c r="N5402" s="2"/>
      <c r="P5402" s="2"/>
      <c r="Q5402" s="2"/>
      <c r="R5402" s="2"/>
      <c r="AB5402" s="2"/>
    </row>
    <row r="5403" spans="8:28" ht="15" customHeight="1">
      <c r="H5403" s="2"/>
      <c r="I5403" s="2"/>
      <c r="J5403" s="2"/>
      <c r="K5403" s="2"/>
      <c r="L5403" s="2"/>
      <c r="M5403" s="2"/>
      <c r="N5403" s="2"/>
      <c r="P5403" s="2"/>
      <c r="Q5403" s="2"/>
      <c r="R5403" s="2"/>
      <c r="AB5403" s="2"/>
    </row>
    <row r="5404" spans="8:28" ht="15" customHeight="1">
      <c r="H5404" s="2"/>
      <c r="I5404" s="2"/>
      <c r="J5404" s="2"/>
      <c r="K5404" s="2"/>
      <c r="L5404" s="2"/>
      <c r="M5404" s="2"/>
      <c r="N5404" s="2"/>
      <c r="P5404" s="2"/>
      <c r="Q5404" s="2"/>
      <c r="R5404" s="2"/>
      <c r="AB5404" s="2"/>
    </row>
    <row r="5405" spans="8:28" ht="15" customHeight="1">
      <c r="H5405" s="2"/>
      <c r="I5405" s="2"/>
      <c r="J5405" s="2"/>
      <c r="K5405" s="2"/>
      <c r="L5405" s="2"/>
      <c r="M5405" s="2"/>
      <c r="N5405" s="2"/>
      <c r="P5405" s="2"/>
      <c r="Q5405" s="2"/>
      <c r="R5405" s="2"/>
      <c r="AB5405" s="2"/>
    </row>
    <row r="5406" spans="8:28" ht="15" customHeight="1">
      <c r="H5406" s="2"/>
      <c r="I5406" s="2"/>
      <c r="J5406" s="2"/>
      <c r="K5406" s="2"/>
      <c r="L5406" s="2"/>
      <c r="M5406" s="2"/>
      <c r="N5406" s="2"/>
      <c r="P5406" s="2"/>
      <c r="Q5406" s="2"/>
      <c r="R5406" s="2"/>
      <c r="AB5406" s="2"/>
    </row>
    <row r="5407" spans="8:28" ht="15" customHeight="1">
      <c r="H5407" s="2"/>
      <c r="I5407" s="2"/>
      <c r="J5407" s="2"/>
      <c r="K5407" s="2"/>
      <c r="L5407" s="2"/>
      <c r="M5407" s="2"/>
      <c r="N5407" s="2"/>
      <c r="P5407" s="2"/>
      <c r="Q5407" s="2"/>
      <c r="R5407" s="2"/>
      <c r="AB5407" s="2"/>
    </row>
    <row r="5408" spans="8:28" ht="15" customHeight="1">
      <c r="H5408" s="2"/>
      <c r="I5408" s="2"/>
      <c r="J5408" s="2"/>
      <c r="K5408" s="2"/>
      <c r="L5408" s="2"/>
      <c r="M5408" s="2"/>
      <c r="N5408" s="2"/>
      <c r="P5408" s="2"/>
      <c r="Q5408" s="2"/>
      <c r="R5408" s="2"/>
      <c r="AB5408" s="2"/>
    </row>
    <row r="5409" spans="8:28" ht="15" customHeight="1">
      <c r="H5409" s="2"/>
      <c r="I5409" s="2"/>
      <c r="J5409" s="2"/>
      <c r="K5409" s="2"/>
      <c r="L5409" s="2"/>
      <c r="M5409" s="2"/>
      <c r="N5409" s="2"/>
      <c r="P5409" s="2"/>
      <c r="Q5409" s="2"/>
      <c r="R5409" s="2"/>
      <c r="AB5409" s="2"/>
    </row>
    <row r="5410" spans="8:28" ht="15" customHeight="1">
      <c r="H5410" s="2"/>
      <c r="I5410" s="2"/>
      <c r="J5410" s="2"/>
      <c r="K5410" s="2"/>
      <c r="L5410" s="2"/>
      <c r="M5410" s="2"/>
      <c r="N5410" s="2"/>
      <c r="P5410" s="2"/>
      <c r="Q5410" s="2"/>
      <c r="R5410" s="2"/>
      <c r="AB5410" s="2"/>
    </row>
    <row r="5411" spans="8:28" ht="15" customHeight="1">
      <c r="H5411" s="2"/>
      <c r="I5411" s="2"/>
      <c r="J5411" s="2"/>
      <c r="K5411" s="2"/>
      <c r="L5411" s="2"/>
      <c r="M5411" s="2"/>
      <c r="N5411" s="2"/>
      <c r="P5411" s="2"/>
      <c r="Q5411" s="2"/>
      <c r="R5411" s="2"/>
      <c r="AB5411" s="2"/>
    </row>
    <row r="5412" spans="8:28" ht="15" customHeight="1">
      <c r="H5412" s="2"/>
      <c r="I5412" s="2"/>
      <c r="J5412" s="2"/>
      <c r="K5412" s="2"/>
      <c r="L5412" s="2"/>
      <c r="M5412" s="2"/>
      <c r="N5412" s="2"/>
      <c r="P5412" s="2"/>
      <c r="Q5412" s="2"/>
      <c r="R5412" s="2"/>
      <c r="AB5412" s="2"/>
    </row>
    <row r="5413" spans="8:28" ht="15" customHeight="1">
      <c r="H5413" s="2"/>
      <c r="I5413" s="2"/>
      <c r="J5413" s="2"/>
      <c r="K5413" s="2"/>
      <c r="L5413" s="2"/>
      <c r="M5413" s="2"/>
      <c r="N5413" s="2"/>
      <c r="P5413" s="2"/>
      <c r="Q5413" s="2"/>
      <c r="R5413" s="2"/>
      <c r="AB5413" s="2"/>
    </row>
    <row r="5414" spans="8:28" ht="15" customHeight="1">
      <c r="H5414" s="2"/>
      <c r="I5414" s="2"/>
      <c r="J5414" s="2"/>
      <c r="K5414" s="2"/>
      <c r="L5414" s="2"/>
      <c r="M5414" s="2"/>
      <c r="N5414" s="2"/>
      <c r="P5414" s="2"/>
      <c r="Q5414" s="2"/>
      <c r="R5414" s="2"/>
      <c r="AB5414" s="2"/>
    </row>
    <row r="5415" spans="8:28" ht="15" customHeight="1">
      <c r="H5415" s="2"/>
      <c r="I5415" s="2"/>
      <c r="J5415" s="2"/>
      <c r="K5415" s="2"/>
      <c r="L5415" s="2"/>
      <c r="M5415" s="2"/>
      <c r="N5415" s="2"/>
      <c r="P5415" s="2"/>
      <c r="Q5415" s="2"/>
      <c r="R5415" s="2"/>
      <c r="AB5415" s="2"/>
    </row>
    <row r="5416" spans="8:28" ht="15" customHeight="1">
      <c r="H5416" s="2"/>
      <c r="I5416" s="2"/>
      <c r="J5416" s="2"/>
      <c r="K5416" s="2"/>
      <c r="L5416" s="2"/>
      <c r="M5416" s="2"/>
      <c r="N5416" s="2"/>
      <c r="P5416" s="2"/>
      <c r="Q5416" s="2"/>
      <c r="R5416" s="2"/>
      <c r="AB5416" s="2"/>
    </row>
    <row r="5417" spans="8:28" ht="15" customHeight="1">
      <c r="H5417" s="2"/>
      <c r="I5417" s="2"/>
      <c r="J5417" s="2"/>
      <c r="K5417" s="2"/>
      <c r="L5417" s="2"/>
      <c r="M5417" s="2"/>
      <c r="N5417" s="2"/>
      <c r="P5417" s="2"/>
      <c r="Q5417" s="2"/>
      <c r="R5417" s="2"/>
      <c r="AB5417" s="2"/>
    </row>
    <row r="5418" spans="8:28" ht="15" customHeight="1">
      <c r="H5418" s="2"/>
      <c r="I5418" s="2"/>
      <c r="J5418" s="2"/>
      <c r="K5418" s="2"/>
      <c r="L5418" s="2"/>
      <c r="M5418" s="2"/>
      <c r="N5418" s="2"/>
      <c r="P5418" s="2"/>
      <c r="Q5418" s="2"/>
      <c r="R5418" s="2"/>
      <c r="AB5418" s="2"/>
    </row>
    <row r="5419" spans="8:28" ht="15" customHeight="1">
      <c r="H5419" s="2"/>
      <c r="I5419" s="2"/>
      <c r="J5419" s="2"/>
      <c r="K5419" s="2"/>
      <c r="L5419" s="2"/>
      <c r="M5419" s="2"/>
      <c r="N5419" s="2"/>
      <c r="P5419" s="2"/>
      <c r="Q5419" s="2"/>
      <c r="R5419" s="2"/>
      <c r="AB5419" s="2"/>
    </row>
    <row r="5420" spans="8:28" ht="15" customHeight="1">
      <c r="H5420" s="2"/>
      <c r="I5420" s="2"/>
      <c r="J5420" s="2"/>
      <c r="K5420" s="2"/>
      <c r="L5420" s="2"/>
      <c r="M5420" s="2"/>
      <c r="N5420" s="2"/>
      <c r="P5420" s="2"/>
      <c r="Q5420" s="2"/>
      <c r="R5420" s="2"/>
      <c r="AB5420" s="2"/>
    </row>
    <row r="5421" spans="8:28" ht="15" customHeight="1">
      <c r="H5421" s="2"/>
      <c r="I5421" s="2"/>
      <c r="J5421" s="2"/>
      <c r="K5421" s="2"/>
      <c r="L5421" s="2"/>
      <c r="M5421" s="2"/>
      <c r="N5421" s="2"/>
      <c r="P5421" s="2"/>
      <c r="Q5421" s="2"/>
      <c r="R5421" s="2"/>
      <c r="AB5421" s="2"/>
    </row>
    <row r="5422" spans="8:28" ht="15" customHeight="1">
      <c r="H5422" s="2"/>
      <c r="I5422" s="2"/>
      <c r="J5422" s="2"/>
      <c r="K5422" s="2"/>
      <c r="L5422" s="2"/>
      <c r="M5422" s="2"/>
      <c r="N5422" s="2"/>
      <c r="P5422" s="2"/>
      <c r="Q5422" s="2"/>
      <c r="R5422" s="2"/>
      <c r="AB5422" s="2"/>
    </row>
    <row r="5423" spans="8:28" ht="15" customHeight="1">
      <c r="H5423" s="2"/>
      <c r="I5423" s="2"/>
      <c r="J5423" s="2"/>
      <c r="K5423" s="2"/>
      <c r="L5423" s="2"/>
      <c r="M5423" s="2"/>
      <c r="N5423" s="2"/>
      <c r="P5423" s="2"/>
      <c r="Q5423" s="2"/>
      <c r="R5423" s="2"/>
      <c r="AB5423" s="2"/>
    </row>
    <row r="5424" spans="8:28" ht="15" customHeight="1">
      <c r="H5424" s="2"/>
      <c r="I5424" s="2"/>
      <c r="J5424" s="2"/>
      <c r="K5424" s="2"/>
      <c r="L5424" s="2"/>
      <c r="M5424" s="2"/>
      <c r="N5424" s="2"/>
      <c r="P5424" s="2"/>
      <c r="Q5424" s="2"/>
      <c r="R5424" s="2"/>
      <c r="AB5424" s="2"/>
    </row>
    <row r="5425" spans="8:28" ht="15" customHeight="1">
      <c r="H5425" s="2"/>
      <c r="I5425" s="2"/>
      <c r="J5425" s="2"/>
      <c r="K5425" s="2"/>
      <c r="L5425" s="2"/>
      <c r="M5425" s="2"/>
      <c r="N5425" s="2"/>
      <c r="P5425" s="2"/>
      <c r="Q5425" s="2"/>
      <c r="R5425" s="2"/>
      <c r="AB5425" s="2"/>
    </row>
    <row r="5426" spans="8:28" ht="15" customHeight="1">
      <c r="H5426" s="2"/>
      <c r="I5426" s="2"/>
      <c r="J5426" s="2"/>
      <c r="K5426" s="2"/>
      <c r="L5426" s="2"/>
      <c r="M5426" s="2"/>
      <c r="N5426" s="2"/>
      <c r="P5426" s="2"/>
      <c r="Q5426" s="2"/>
      <c r="R5426" s="2"/>
      <c r="AB5426" s="2"/>
    </row>
    <row r="5427" spans="8:28" ht="15" customHeight="1">
      <c r="H5427" s="2"/>
      <c r="I5427" s="2"/>
      <c r="J5427" s="2"/>
      <c r="K5427" s="2"/>
      <c r="L5427" s="2"/>
      <c r="M5427" s="2"/>
      <c r="N5427" s="2"/>
      <c r="P5427" s="2"/>
      <c r="Q5427" s="2"/>
      <c r="R5427" s="2"/>
      <c r="AB5427" s="2"/>
    </row>
    <row r="5428" spans="8:28" ht="15" customHeight="1">
      <c r="H5428" s="2"/>
      <c r="I5428" s="2"/>
      <c r="J5428" s="2"/>
      <c r="K5428" s="2"/>
      <c r="L5428" s="2"/>
      <c r="M5428" s="2"/>
      <c r="N5428" s="2"/>
      <c r="P5428" s="2"/>
      <c r="Q5428" s="2"/>
      <c r="R5428" s="2"/>
      <c r="AB5428" s="2"/>
    </row>
    <row r="5429" spans="8:28" ht="15" customHeight="1">
      <c r="H5429" s="2"/>
      <c r="I5429" s="2"/>
      <c r="J5429" s="2"/>
      <c r="K5429" s="2"/>
      <c r="L5429" s="2"/>
      <c r="M5429" s="2"/>
      <c r="N5429" s="2"/>
      <c r="P5429" s="2"/>
      <c r="Q5429" s="2"/>
      <c r="R5429" s="2"/>
      <c r="AB5429" s="2"/>
    </row>
    <row r="5430" spans="8:28" ht="15" customHeight="1">
      <c r="H5430" s="2"/>
      <c r="I5430" s="2"/>
      <c r="J5430" s="2"/>
      <c r="K5430" s="2"/>
      <c r="L5430" s="2"/>
      <c r="M5430" s="2"/>
      <c r="N5430" s="2"/>
      <c r="P5430" s="2"/>
      <c r="Q5430" s="2"/>
      <c r="R5430" s="2"/>
      <c r="AB5430" s="2"/>
    </row>
    <row r="5431" spans="8:28" ht="15" customHeight="1">
      <c r="H5431" s="2"/>
      <c r="I5431" s="2"/>
      <c r="J5431" s="2"/>
      <c r="K5431" s="2"/>
      <c r="L5431" s="2"/>
      <c r="M5431" s="2"/>
      <c r="N5431" s="2"/>
      <c r="P5431" s="2"/>
      <c r="Q5431" s="2"/>
      <c r="R5431" s="2"/>
      <c r="AB5431" s="2"/>
    </row>
    <row r="5432" spans="8:28" ht="15" customHeight="1">
      <c r="H5432" s="2"/>
      <c r="I5432" s="2"/>
      <c r="J5432" s="2"/>
      <c r="K5432" s="2"/>
      <c r="L5432" s="2"/>
      <c r="M5432" s="2"/>
      <c r="N5432" s="2"/>
      <c r="P5432" s="2"/>
      <c r="Q5432" s="2"/>
      <c r="R5432" s="2"/>
      <c r="AB5432" s="2"/>
    </row>
    <row r="5433" spans="8:28" ht="15" customHeight="1">
      <c r="H5433" s="2"/>
      <c r="I5433" s="2"/>
      <c r="J5433" s="2"/>
      <c r="K5433" s="2"/>
      <c r="L5433" s="2"/>
      <c r="M5433" s="2"/>
      <c r="N5433" s="2"/>
      <c r="P5433" s="2"/>
      <c r="Q5433" s="2"/>
      <c r="R5433" s="2"/>
      <c r="AB5433" s="2"/>
    </row>
    <row r="5434" spans="8:28" ht="15" customHeight="1">
      <c r="H5434" s="2"/>
      <c r="I5434" s="2"/>
      <c r="J5434" s="2"/>
      <c r="K5434" s="2"/>
      <c r="L5434" s="2"/>
      <c r="M5434" s="2"/>
      <c r="N5434" s="2"/>
      <c r="P5434" s="2"/>
      <c r="Q5434" s="2"/>
      <c r="R5434" s="2"/>
      <c r="AB5434" s="2"/>
    </row>
    <row r="5435" spans="8:28" ht="15" customHeight="1">
      <c r="H5435" s="2"/>
      <c r="I5435" s="2"/>
      <c r="J5435" s="2"/>
      <c r="K5435" s="2"/>
      <c r="L5435" s="2"/>
      <c r="M5435" s="2"/>
      <c r="N5435" s="2"/>
      <c r="P5435" s="2"/>
      <c r="Q5435" s="2"/>
      <c r="R5435" s="2"/>
      <c r="AB5435" s="2"/>
    </row>
    <row r="5436" spans="8:28" ht="15" customHeight="1">
      <c r="H5436" s="2"/>
      <c r="I5436" s="2"/>
      <c r="J5436" s="2"/>
      <c r="K5436" s="2"/>
      <c r="L5436" s="2"/>
      <c r="M5436" s="2"/>
      <c r="N5436" s="2"/>
      <c r="P5436" s="2"/>
      <c r="Q5436" s="2"/>
      <c r="R5436" s="2"/>
      <c r="AB5436" s="2"/>
    </row>
    <row r="5437" spans="8:28" ht="15" customHeight="1">
      <c r="H5437" s="2"/>
      <c r="I5437" s="2"/>
      <c r="J5437" s="2"/>
      <c r="K5437" s="2"/>
      <c r="L5437" s="2"/>
      <c r="M5437" s="2"/>
      <c r="N5437" s="2"/>
      <c r="P5437" s="2"/>
      <c r="Q5437" s="2"/>
      <c r="R5437" s="2"/>
      <c r="AB5437" s="2"/>
    </row>
    <row r="5438" spans="8:28" ht="15" customHeight="1">
      <c r="H5438" s="2"/>
      <c r="I5438" s="2"/>
      <c r="J5438" s="2"/>
      <c r="K5438" s="2"/>
      <c r="L5438" s="2"/>
      <c r="M5438" s="2"/>
      <c r="N5438" s="2"/>
      <c r="P5438" s="2"/>
      <c r="Q5438" s="2"/>
      <c r="R5438" s="2"/>
      <c r="AB5438" s="2"/>
    </row>
    <row r="5439" spans="8:28" ht="15" customHeight="1">
      <c r="H5439" s="2"/>
      <c r="I5439" s="2"/>
      <c r="J5439" s="2"/>
      <c r="K5439" s="2"/>
      <c r="L5439" s="2"/>
      <c r="M5439" s="2"/>
      <c r="N5439" s="2"/>
      <c r="P5439" s="2"/>
      <c r="Q5439" s="2"/>
      <c r="R5439" s="2"/>
      <c r="AB5439" s="2"/>
    </row>
    <row r="5440" spans="8:28" ht="15" customHeight="1">
      <c r="H5440" s="2"/>
      <c r="I5440" s="2"/>
      <c r="J5440" s="2"/>
      <c r="K5440" s="2"/>
      <c r="L5440" s="2"/>
      <c r="M5440" s="2"/>
      <c r="N5440" s="2"/>
      <c r="P5440" s="2"/>
      <c r="Q5440" s="2"/>
      <c r="R5440" s="2"/>
      <c r="AB5440" s="2"/>
    </row>
    <row r="5441" spans="8:28" ht="15" customHeight="1">
      <c r="H5441" s="2"/>
      <c r="I5441" s="2"/>
      <c r="J5441" s="2"/>
      <c r="K5441" s="2"/>
      <c r="L5441" s="2"/>
      <c r="M5441" s="2"/>
      <c r="N5441" s="2"/>
      <c r="P5441" s="2"/>
      <c r="Q5441" s="2"/>
      <c r="R5441" s="2"/>
      <c r="AB5441" s="2"/>
    </row>
    <row r="5442" spans="8:28" ht="15" customHeight="1">
      <c r="H5442" s="2"/>
      <c r="I5442" s="2"/>
      <c r="J5442" s="2"/>
      <c r="K5442" s="2"/>
      <c r="L5442" s="2"/>
      <c r="M5442" s="2"/>
      <c r="N5442" s="2"/>
      <c r="P5442" s="2"/>
      <c r="Q5442" s="2"/>
      <c r="R5442" s="2"/>
      <c r="AB5442" s="2"/>
    </row>
    <row r="5443" spans="8:28" ht="15" customHeight="1">
      <c r="H5443" s="2"/>
      <c r="I5443" s="2"/>
      <c r="J5443" s="2"/>
      <c r="K5443" s="2"/>
      <c r="L5443" s="2"/>
      <c r="M5443" s="2"/>
      <c r="N5443" s="2"/>
      <c r="P5443" s="2"/>
      <c r="Q5443" s="2"/>
      <c r="R5443" s="2"/>
      <c r="AB5443" s="2"/>
    </row>
    <row r="5444" spans="8:28" ht="15" customHeight="1">
      <c r="H5444" s="2"/>
      <c r="I5444" s="2"/>
      <c r="J5444" s="2"/>
      <c r="K5444" s="2"/>
      <c r="L5444" s="2"/>
      <c r="M5444" s="2"/>
      <c r="N5444" s="2"/>
      <c r="P5444" s="2"/>
      <c r="Q5444" s="2"/>
      <c r="R5444" s="2"/>
      <c r="AB5444" s="2"/>
    </row>
    <row r="5445" spans="8:28" ht="15" customHeight="1">
      <c r="H5445" s="2"/>
      <c r="I5445" s="2"/>
      <c r="J5445" s="2"/>
      <c r="K5445" s="2"/>
      <c r="L5445" s="2"/>
      <c r="M5445" s="2"/>
      <c r="N5445" s="2"/>
      <c r="P5445" s="2"/>
      <c r="Q5445" s="2"/>
      <c r="R5445" s="2"/>
      <c r="AB5445" s="2"/>
    </row>
    <row r="5446" spans="8:28" ht="15" customHeight="1">
      <c r="H5446" s="2"/>
      <c r="I5446" s="2"/>
      <c r="J5446" s="2"/>
      <c r="K5446" s="2"/>
      <c r="L5446" s="2"/>
      <c r="M5446" s="2"/>
      <c r="N5446" s="2"/>
      <c r="P5446" s="2"/>
      <c r="Q5446" s="2"/>
      <c r="R5446" s="2"/>
      <c r="AB5446" s="2"/>
    </row>
    <row r="5447" spans="8:28" ht="15" customHeight="1">
      <c r="H5447" s="2"/>
      <c r="I5447" s="2"/>
      <c r="J5447" s="2"/>
      <c r="K5447" s="2"/>
      <c r="L5447" s="2"/>
      <c r="M5447" s="2"/>
      <c r="N5447" s="2"/>
      <c r="P5447" s="2"/>
      <c r="Q5447" s="2"/>
      <c r="R5447" s="2"/>
      <c r="AB5447" s="2"/>
    </row>
    <row r="5448" spans="8:28" ht="15" customHeight="1">
      <c r="H5448" s="2"/>
      <c r="I5448" s="2"/>
      <c r="J5448" s="2"/>
      <c r="K5448" s="2"/>
      <c r="L5448" s="2"/>
      <c r="M5448" s="2"/>
      <c r="N5448" s="2"/>
      <c r="P5448" s="2"/>
      <c r="Q5448" s="2"/>
      <c r="R5448" s="2"/>
      <c r="AB5448" s="2"/>
    </row>
    <row r="5449" spans="8:28" ht="15" customHeight="1">
      <c r="H5449" s="2"/>
      <c r="I5449" s="2"/>
      <c r="J5449" s="2"/>
      <c r="K5449" s="2"/>
      <c r="L5449" s="2"/>
      <c r="M5449" s="2"/>
      <c r="N5449" s="2"/>
      <c r="P5449" s="2"/>
      <c r="Q5449" s="2"/>
      <c r="R5449" s="2"/>
      <c r="AB5449" s="2"/>
    </row>
    <row r="5450" spans="8:28" ht="15" customHeight="1">
      <c r="H5450" s="2"/>
      <c r="I5450" s="2"/>
      <c r="J5450" s="2"/>
      <c r="K5450" s="2"/>
      <c r="L5450" s="2"/>
      <c r="M5450" s="2"/>
      <c r="N5450" s="2"/>
      <c r="P5450" s="2"/>
      <c r="Q5450" s="2"/>
      <c r="R5450" s="2"/>
      <c r="AB5450" s="2"/>
    </row>
    <row r="5451" spans="8:28" ht="15" customHeight="1">
      <c r="H5451" s="2"/>
      <c r="I5451" s="2"/>
      <c r="J5451" s="2"/>
      <c r="K5451" s="2"/>
      <c r="L5451" s="2"/>
      <c r="M5451" s="2"/>
      <c r="N5451" s="2"/>
      <c r="P5451" s="2"/>
      <c r="Q5451" s="2"/>
      <c r="R5451" s="2"/>
      <c r="AB5451" s="2"/>
    </row>
    <row r="5452" spans="8:28" ht="15" customHeight="1">
      <c r="H5452" s="2"/>
      <c r="I5452" s="2"/>
      <c r="J5452" s="2"/>
      <c r="K5452" s="2"/>
      <c r="L5452" s="2"/>
      <c r="M5452" s="2"/>
      <c r="N5452" s="2"/>
      <c r="P5452" s="2"/>
      <c r="Q5452" s="2"/>
      <c r="R5452" s="2"/>
      <c r="AB5452" s="2"/>
    </row>
    <row r="5453" spans="8:28" ht="15" customHeight="1">
      <c r="H5453" s="2"/>
      <c r="I5453" s="2"/>
      <c r="J5453" s="2"/>
      <c r="K5453" s="2"/>
      <c r="L5453" s="2"/>
      <c r="M5453" s="2"/>
      <c r="N5453" s="2"/>
      <c r="P5453" s="2"/>
      <c r="Q5453" s="2"/>
      <c r="R5453" s="2"/>
      <c r="AB5453" s="2"/>
    </row>
    <row r="5454" spans="8:28" ht="15" customHeight="1">
      <c r="H5454" s="2"/>
      <c r="I5454" s="2"/>
      <c r="J5454" s="2"/>
      <c r="K5454" s="2"/>
      <c r="L5454" s="2"/>
      <c r="M5454" s="2"/>
      <c r="N5454" s="2"/>
      <c r="P5454" s="2"/>
      <c r="Q5454" s="2"/>
      <c r="R5454" s="2"/>
      <c r="AB5454" s="2"/>
    </row>
    <row r="5455" spans="8:28" ht="15" customHeight="1">
      <c r="H5455" s="2"/>
      <c r="I5455" s="2"/>
      <c r="J5455" s="2"/>
      <c r="K5455" s="2"/>
      <c r="L5455" s="2"/>
      <c r="M5455" s="2"/>
      <c r="N5455" s="2"/>
      <c r="P5455" s="2"/>
      <c r="Q5455" s="2"/>
      <c r="R5455" s="2"/>
      <c r="AB5455" s="2"/>
    </row>
    <row r="5456" spans="8:28" ht="15" customHeight="1">
      <c r="H5456" s="2"/>
      <c r="I5456" s="2"/>
      <c r="J5456" s="2"/>
      <c r="K5456" s="2"/>
      <c r="L5456" s="2"/>
      <c r="M5456" s="2"/>
      <c r="N5456" s="2"/>
      <c r="P5456" s="2"/>
      <c r="Q5456" s="2"/>
      <c r="R5456" s="2"/>
      <c r="AB5456" s="2"/>
    </row>
    <row r="5457" spans="8:28" ht="15" customHeight="1">
      <c r="H5457" s="2"/>
      <c r="I5457" s="2"/>
      <c r="J5457" s="2"/>
      <c r="K5457" s="2"/>
      <c r="L5457" s="2"/>
      <c r="M5457" s="2"/>
      <c r="N5457" s="2"/>
      <c r="P5457" s="2"/>
      <c r="Q5457" s="2"/>
      <c r="R5457" s="2"/>
      <c r="AB5457" s="2"/>
    </row>
    <row r="5458" spans="8:28" ht="15" customHeight="1">
      <c r="H5458" s="2"/>
      <c r="I5458" s="2"/>
      <c r="J5458" s="2"/>
      <c r="K5458" s="2"/>
      <c r="L5458" s="2"/>
      <c r="M5458" s="2"/>
      <c r="N5458" s="2"/>
      <c r="P5458" s="2"/>
      <c r="Q5458" s="2"/>
      <c r="R5458" s="2"/>
      <c r="AB5458" s="2"/>
    </row>
    <row r="5459" spans="8:28" ht="15" customHeight="1">
      <c r="H5459" s="2"/>
      <c r="I5459" s="2"/>
      <c r="J5459" s="2"/>
      <c r="K5459" s="2"/>
      <c r="L5459" s="2"/>
      <c r="M5459" s="2"/>
      <c r="N5459" s="2"/>
      <c r="P5459" s="2"/>
      <c r="Q5459" s="2"/>
      <c r="R5459" s="2"/>
      <c r="AB5459" s="2"/>
    </row>
    <row r="5460" spans="8:28" ht="15" customHeight="1">
      <c r="H5460" s="2"/>
      <c r="I5460" s="2"/>
      <c r="J5460" s="2"/>
      <c r="K5460" s="2"/>
      <c r="L5460" s="2"/>
      <c r="M5460" s="2"/>
      <c r="N5460" s="2"/>
      <c r="P5460" s="2"/>
      <c r="Q5460" s="2"/>
      <c r="R5460" s="2"/>
      <c r="AB5460" s="2"/>
    </row>
    <row r="5461" spans="8:28" ht="15" customHeight="1">
      <c r="H5461" s="2"/>
      <c r="I5461" s="2"/>
      <c r="J5461" s="2"/>
      <c r="K5461" s="2"/>
      <c r="L5461" s="2"/>
      <c r="M5461" s="2"/>
      <c r="N5461" s="2"/>
      <c r="P5461" s="2"/>
      <c r="Q5461" s="2"/>
      <c r="R5461" s="2"/>
      <c r="AB5461" s="2"/>
    </row>
    <row r="5462" spans="8:28" ht="15" customHeight="1">
      <c r="H5462" s="2"/>
      <c r="I5462" s="2"/>
      <c r="J5462" s="2"/>
      <c r="K5462" s="2"/>
      <c r="L5462" s="2"/>
      <c r="M5462" s="2"/>
      <c r="N5462" s="2"/>
      <c r="P5462" s="2"/>
      <c r="Q5462" s="2"/>
      <c r="R5462" s="2"/>
      <c r="AB5462" s="2"/>
    </row>
    <row r="5463" spans="8:28" ht="15" customHeight="1">
      <c r="H5463" s="2"/>
      <c r="I5463" s="2"/>
      <c r="J5463" s="2"/>
      <c r="K5463" s="2"/>
      <c r="L5463" s="2"/>
      <c r="M5463" s="2"/>
      <c r="N5463" s="2"/>
      <c r="P5463" s="2"/>
      <c r="Q5463" s="2"/>
      <c r="R5463" s="2"/>
      <c r="AB5463" s="2"/>
    </row>
    <row r="5464" spans="8:28" ht="15" customHeight="1">
      <c r="H5464" s="2"/>
      <c r="I5464" s="2"/>
      <c r="J5464" s="2"/>
      <c r="K5464" s="2"/>
      <c r="L5464" s="2"/>
      <c r="M5464" s="2"/>
      <c r="N5464" s="2"/>
      <c r="P5464" s="2"/>
      <c r="Q5464" s="2"/>
      <c r="R5464" s="2"/>
      <c r="AB5464" s="2"/>
    </row>
    <row r="5465" spans="8:28" ht="15" customHeight="1">
      <c r="H5465" s="2"/>
      <c r="I5465" s="2"/>
      <c r="J5465" s="2"/>
      <c r="K5465" s="2"/>
      <c r="L5465" s="2"/>
      <c r="M5465" s="2"/>
      <c r="N5465" s="2"/>
      <c r="P5465" s="2"/>
      <c r="Q5465" s="2"/>
      <c r="R5465" s="2"/>
      <c r="AB5465" s="2"/>
    </row>
    <row r="5466" spans="8:28" ht="15" customHeight="1">
      <c r="H5466" s="2"/>
      <c r="I5466" s="2"/>
      <c r="J5466" s="2"/>
      <c r="K5466" s="2"/>
      <c r="L5466" s="2"/>
      <c r="M5466" s="2"/>
      <c r="N5466" s="2"/>
      <c r="P5466" s="2"/>
      <c r="Q5466" s="2"/>
      <c r="R5466" s="2"/>
      <c r="AB5466" s="2"/>
    </row>
    <row r="5467" spans="8:28" ht="15" customHeight="1">
      <c r="H5467" s="2"/>
      <c r="I5467" s="2"/>
      <c r="J5467" s="2"/>
      <c r="K5467" s="2"/>
      <c r="L5467" s="2"/>
      <c r="M5467" s="2"/>
      <c r="N5467" s="2"/>
      <c r="P5467" s="2"/>
      <c r="Q5467" s="2"/>
      <c r="R5467" s="2"/>
      <c r="AB5467" s="2"/>
    </row>
    <row r="5468" spans="8:28" ht="15" customHeight="1">
      <c r="H5468" s="2"/>
      <c r="I5468" s="2"/>
      <c r="J5468" s="2"/>
      <c r="K5468" s="2"/>
      <c r="L5468" s="2"/>
      <c r="M5468" s="2"/>
      <c r="N5468" s="2"/>
      <c r="P5468" s="2"/>
      <c r="Q5468" s="2"/>
      <c r="R5468" s="2"/>
      <c r="AB5468" s="2"/>
    </row>
    <row r="5469" spans="8:28" ht="15" customHeight="1">
      <c r="H5469" s="2"/>
      <c r="I5469" s="2"/>
      <c r="J5469" s="2"/>
      <c r="K5469" s="2"/>
      <c r="L5469" s="2"/>
      <c r="M5469" s="2"/>
      <c r="N5469" s="2"/>
      <c r="P5469" s="2"/>
      <c r="Q5469" s="2"/>
      <c r="R5469" s="2"/>
      <c r="AB5469" s="2"/>
    </row>
    <row r="5470" spans="8:28" ht="15" customHeight="1">
      <c r="H5470" s="2"/>
      <c r="I5470" s="2"/>
      <c r="J5470" s="2"/>
      <c r="K5470" s="2"/>
      <c r="L5470" s="2"/>
      <c r="M5470" s="2"/>
      <c r="N5470" s="2"/>
      <c r="P5470" s="2"/>
      <c r="Q5470" s="2"/>
      <c r="R5470" s="2"/>
      <c r="AB5470" s="2"/>
    </row>
    <row r="5471" spans="8:28" ht="15" customHeight="1">
      <c r="H5471" s="2"/>
      <c r="I5471" s="2"/>
      <c r="J5471" s="2"/>
      <c r="K5471" s="2"/>
      <c r="L5471" s="2"/>
      <c r="M5471" s="2"/>
      <c r="N5471" s="2"/>
      <c r="P5471" s="2"/>
      <c r="Q5471" s="2"/>
      <c r="R5471" s="2"/>
      <c r="AB5471" s="2"/>
    </row>
    <row r="5472" spans="8:28" ht="15" customHeight="1">
      <c r="H5472" s="2"/>
      <c r="I5472" s="2"/>
      <c r="J5472" s="2"/>
      <c r="K5472" s="2"/>
      <c r="L5472" s="2"/>
      <c r="M5472" s="2"/>
      <c r="N5472" s="2"/>
      <c r="P5472" s="2"/>
      <c r="Q5472" s="2"/>
      <c r="R5472" s="2"/>
      <c r="AB5472" s="2"/>
    </row>
    <row r="5473" spans="8:28" ht="15" customHeight="1">
      <c r="H5473" s="2"/>
      <c r="I5473" s="2"/>
      <c r="J5473" s="2"/>
      <c r="K5473" s="2"/>
      <c r="L5473" s="2"/>
      <c r="M5473" s="2"/>
      <c r="N5473" s="2"/>
      <c r="P5473" s="2"/>
      <c r="Q5473" s="2"/>
      <c r="R5473" s="2"/>
      <c r="AB5473" s="2"/>
    </row>
    <row r="5474" spans="8:28" ht="15" customHeight="1">
      <c r="H5474" s="2"/>
      <c r="I5474" s="2"/>
      <c r="J5474" s="2"/>
      <c r="K5474" s="2"/>
      <c r="L5474" s="2"/>
      <c r="M5474" s="2"/>
      <c r="N5474" s="2"/>
      <c r="P5474" s="2"/>
      <c r="Q5474" s="2"/>
      <c r="R5474" s="2"/>
      <c r="AB5474" s="2"/>
    </row>
    <row r="5475" spans="8:28" ht="15" customHeight="1">
      <c r="H5475" s="2"/>
      <c r="I5475" s="2"/>
      <c r="J5475" s="2"/>
      <c r="K5475" s="2"/>
      <c r="L5475" s="2"/>
      <c r="M5475" s="2"/>
      <c r="N5475" s="2"/>
      <c r="P5475" s="2"/>
      <c r="Q5475" s="2"/>
      <c r="R5475" s="2"/>
      <c r="AB5475" s="2"/>
    </row>
    <row r="5476" spans="8:28" ht="15" customHeight="1">
      <c r="H5476" s="2"/>
      <c r="I5476" s="2"/>
      <c r="J5476" s="2"/>
      <c r="K5476" s="2"/>
      <c r="L5476" s="2"/>
      <c r="M5476" s="2"/>
      <c r="N5476" s="2"/>
      <c r="P5476" s="2"/>
      <c r="Q5476" s="2"/>
      <c r="R5476" s="2"/>
      <c r="AB5476" s="2"/>
    </row>
    <row r="5477" spans="8:28" ht="15" customHeight="1">
      <c r="H5477" s="2"/>
      <c r="I5477" s="2"/>
      <c r="J5477" s="2"/>
      <c r="K5477" s="2"/>
      <c r="L5477" s="2"/>
      <c r="M5477" s="2"/>
      <c r="N5477" s="2"/>
      <c r="P5477" s="2"/>
      <c r="Q5477" s="2"/>
      <c r="R5477" s="2"/>
      <c r="AB5477" s="2"/>
    </row>
    <row r="5478" spans="8:28" ht="15" customHeight="1">
      <c r="H5478" s="2"/>
      <c r="I5478" s="2"/>
      <c r="J5478" s="2"/>
      <c r="K5478" s="2"/>
      <c r="L5478" s="2"/>
      <c r="M5478" s="2"/>
      <c r="N5478" s="2"/>
      <c r="P5478" s="2"/>
      <c r="Q5478" s="2"/>
      <c r="R5478" s="2"/>
      <c r="AB5478" s="2"/>
    </row>
    <row r="5479" spans="8:28" ht="15" customHeight="1">
      <c r="H5479" s="2"/>
      <c r="I5479" s="2"/>
      <c r="J5479" s="2"/>
      <c r="K5479" s="2"/>
      <c r="L5479" s="2"/>
      <c r="M5479" s="2"/>
      <c r="N5479" s="2"/>
      <c r="P5479" s="2"/>
      <c r="Q5479" s="2"/>
      <c r="R5479" s="2"/>
      <c r="AB5479" s="2"/>
    </row>
    <row r="5480" spans="8:28" ht="15" customHeight="1">
      <c r="H5480" s="2"/>
      <c r="I5480" s="2"/>
      <c r="J5480" s="2"/>
      <c r="K5480" s="2"/>
      <c r="L5480" s="2"/>
      <c r="M5480" s="2"/>
      <c r="N5480" s="2"/>
      <c r="P5480" s="2"/>
      <c r="Q5480" s="2"/>
      <c r="R5480" s="2"/>
      <c r="AB5480" s="2"/>
    </row>
    <row r="5481" spans="8:28" ht="15" customHeight="1">
      <c r="H5481" s="2"/>
      <c r="I5481" s="2"/>
      <c r="J5481" s="2"/>
      <c r="K5481" s="2"/>
      <c r="L5481" s="2"/>
      <c r="M5481" s="2"/>
      <c r="N5481" s="2"/>
      <c r="P5481" s="2"/>
      <c r="Q5481" s="2"/>
      <c r="R5481" s="2"/>
      <c r="AB5481" s="2"/>
    </row>
    <row r="5482" spans="8:28" ht="15" customHeight="1">
      <c r="H5482" s="2"/>
      <c r="I5482" s="2"/>
      <c r="J5482" s="2"/>
      <c r="K5482" s="2"/>
      <c r="L5482" s="2"/>
      <c r="M5482" s="2"/>
      <c r="N5482" s="2"/>
      <c r="P5482" s="2"/>
      <c r="Q5482" s="2"/>
      <c r="R5482" s="2"/>
      <c r="AB5482" s="2"/>
    </row>
    <row r="5483" spans="8:28" ht="15" customHeight="1">
      <c r="H5483" s="2"/>
      <c r="I5483" s="2"/>
      <c r="J5483" s="2"/>
      <c r="K5483" s="2"/>
      <c r="L5483" s="2"/>
      <c r="M5483" s="2"/>
      <c r="N5483" s="2"/>
      <c r="P5483" s="2"/>
      <c r="Q5483" s="2"/>
      <c r="R5483" s="2"/>
      <c r="AB5483" s="2"/>
    </row>
    <row r="5484" spans="8:28" ht="15" customHeight="1">
      <c r="H5484" s="2"/>
      <c r="I5484" s="2"/>
      <c r="J5484" s="2"/>
      <c r="K5484" s="2"/>
      <c r="L5484" s="2"/>
      <c r="M5484" s="2"/>
      <c r="N5484" s="2"/>
      <c r="P5484" s="2"/>
      <c r="Q5484" s="2"/>
      <c r="R5484" s="2"/>
      <c r="AB5484" s="2"/>
    </row>
    <row r="5485" spans="8:28" ht="15" customHeight="1">
      <c r="H5485" s="2"/>
      <c r="I5485" s="2"/>
      <c r="J5485" s="2"/>
      <c r="K5485" s="2"/>
      <c r="L5485" s="2"/>
      <c r="M5485" s="2"/>
      <c r="N5485" s="2"/>
      <c r="P5485" s="2"/>
      <c r="Q5485" s="2"/>
      <c r="R5485" s="2"/>
      <c r="AB5485" s="2"/>
    </row>
    <row r="5486" spans="8:28" ht="15" customHeight="1">
      <c r="H5486" s="2"/>
      <c r="I5486" s="2"/>
      <c r="J5486" s="2"/>
      <c r="K5486" s="2"/>
      <c r="L5486" s="2"/>
      <c r="M5486" s="2"/>
      <c r="N5486" s="2"/>
      <c r="P5486" s="2"/>
      <c r="Q5486" s="2"/>
      <c r="R5486" s="2"/>
      <c r="AB5486" s="2"/>
    </row>
    <row r="5487" spans="8:28" ht="15" customHeight="1">
      <c r="H5487" s="2"/>
      <c r="I5487" s="2"/>
      <c r="J5487" s="2"/>
      <c r="K5487" s="2"/>
      <c r="L5487" s="2"/>
      <c r="M5487" s="2"/>
      <c r="N5487" s="2"/>
      <c r="P5487" s="2"/>
      <c r="Q5487" s="2"/>
      <c r="R5487" s="2"/>
      <c r="AB5487" s="2"/>
    </row>
    <row r="5488" spans="8:28" ht="15" customHeight="1">
      <c r="H5488" s="2"/>
      <c r="J5488" s="2"/>
      <c r="L5488" s="2"/>
      <c r="N5488" s="2"/>
      <c r="P5488" s="2"/>
      <c r="R5488" s="2"/>
    </row>
    <row r="5489" spans="8:18" ht="15" customHeight="1">
      <c r="H5489" s="2"/>
      <c r="J5489" s="2"/>
      <c r="L5489" s="2"/>
      <c r="N5489" s="2"/>
      <c r="P5489" s="2"/>
      <c r="R5489" s="2"/>
    </row>
    <row r="5490" spans="8:18" ht="15" customHeight="1">
      <c r="H5490" s="2"/>
      <c r="J5490" s="2"/>
      <c r="L5490" s="2"/>
      <c r="N5490" s="2"/>
      <c r="P5490" s="2"/>
      <c r="R5490" s="2"/>
    </row>
    <row r="5491" spans="8:18" ht="15" customHeight="1">
      <c r="H5491" s="2"/>
      <c r="J5491" s="2"/>
      <c r="L5491" s="2"/>
      <c r="N5491" s="2"/>
      <c r="P5491" s="2"/>
      <c r="R5491" s="2"/>
    </row>
    <row r="5492" spans="8:18" ht="15" customHeight="1">
      <c r="H5492" s="2"/>
      <c r="J5492" s="2"/>
      <c r="L5492" s="2"/>
      <c r="N5492" s="2"/>
      <c r="P5492" s="2"/>
      <c r="R5492" s="2"/>
    </row>
    <row r="5493" spans="8:18" ht="15" customHeight="1">
      <c r="H5493" s="2"/>
      <c r="J5493" s="2"/>
      <c r="L5493" s="2"/>
      <c r="N5493" s="2"/>
      <c r="P5493" s="2"/>
      <c r="R5493" s="2"/>
    </row>
    <row r="5494" spans="8:18" ht="15" customHeight="1">
      <c r="H5494" s="2"/>
      <c r="J5494" s="2"/>
      <c r="L5494" s="2"/>
      <c r="N5494" s="2"/>
      <c r="P5494" s="2"/>
      <c r="R5494" s="2"/>
    </row>
    <row r="5495" spans="8:18" ht="15" customHeight="1">
      <c r="H5495" s="2"/>
      <c r="J5495" s="2"/>
      <c r="L5495" s="2"/>
      <c r="N5495" s="2"/>
      <c r="P5495" s="2"/>
      <c r="R5495" s="2"/>
    </row>
    <row r="5496" spans="8:18" ht="15" customHeight="1">
      <c r="H5496" s="2"/>
      <c r="J5496" s="2"/>
      <c r="L5496" s="2"/>
      <c r="N5496" s="2"/>
      <c r="P5496" s="2"/>
      <c r="R5496" s="2"/>
    </row>
    <row r="5497" spans="8:18" ht="15" customHeight="1">
      <c r="H5497" s="2"/>
      <c r="J5497" s="2"/>
      <c r="L5497" s="2"/>
      <c r="N5497" s="2"/>
      <c r="P5497" s="2"/>
      <c r="R5497" s="2"/>
    </row>
    <row r="5498" spans="8:18" ht="15" customHeight="1">
      <c r="H5498" s="2"/>
      <c r="J5498" s="2"/>
      <c r="L5498" s="2"/>
      <c r="N5498" s="2"/>
      <c r="P5498" s="2"/>
      <c r="R5498" s="2"/>
    </row>
    <row r="5499" spans="8:18" ht="15" customHeight="1">
      <c r="H5499" s="2"/>
      <c r="J5499" s="2"/>
      <c r="L5499" s="2"/>
      <c r="N5499" s="2"/>
      <c r="P5499" s="2"/>
      <c r="R5499" s="2"/>
    </row>
    <row r="5500" spans="8:18" ht="15" customHeight="1">
      <c r="H5500" s="2"/>
      <c r="J5500" s="2"/>
      <c r="L5500" s="2"/>
      <c r="N5500" s="2"/>
      <c r="P5500" s="2"/>
      <c r="R5500" s="2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cross rate fwd</vt:lpstr>
      <vt:lpstr>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Snow Jung</cp:lastModifiedBy>
  <dcterms:created xsi:type="dcterms:W3CDTF">2020-02-19T06:59:40Z</dcterms:created>
  <dcterms:modified xsi:type="dcterms:W3CDTF">2024-10-31T08:05:46Z</dcterms:modified>
</cp:coreProperties>
</file>