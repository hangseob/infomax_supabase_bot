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 defaultThemeVersion="124226"/>
  <bookViews>
    <workbookView xWindow="360" yWindow="45" windowWidth="24000" windowHeight="11655"/>
  </bookViews>
  <sheets>
    <sheet name="FX_INDEX" sheetId="1" r:id="rId1"/>
  </sheets>
  <calcPr calcId="145621"/>
</workbook>
</file>

<file path=xl/calcChain.xml><?xml version="1.0" encoding="utf-8"?>
<calcChain xmlns="http://schemas.openxmlformats.org/spreadsheetml/2006/main">
  <c r="AO4" i="1" l="1"/>
  <c r="D5" i="1"/>
  <c r="D4" i="1" s="1"/>
  <c r="AK4" i="1" s="1"/>
  <c r="D12" i="1"/>
  <c r="CH6" i="1"/>
  <c r="CI6" i="1"/>
  <c r="D18" i="1"/>
  <c r="J17" i="1"/>
  <c r="CE12" i="1" s="1"/>
  <c r="CG12" i="1" s="1"/>
  <c r="I17" i="1"/>
  <c r="CE10" i="1" s="1"/>
  <c r="CG10" i="1" s="1"/>
  <c r="H17" i="1"/>
  <c r="CE7" i="1" s="1"/>
  <c r="G17" i="1"/>
  <c r="CE11" i="1" s="1"/>
  <c r="F17" i="1"/>
  <c r="F3" i="1" s="1"/>
  <c r="E17" i="1"/>
  <c r="E3" i="1" s="1"/>
  <c r="D17" i="1"/>
  <c r="J16" i="1"/>
  <c r="I16" i="1"/>
  <c r="H16" i="1"/>
  <c r="G16" i="1"/>
  <c r="F16" i="1"/>
  <c r="E16" i="1"/>
  <c r="D16" i="1"/>
  <c r="J15" i="1"/>
  <c r="I15" i="1"/>
  <c r="H15" i="1"/>
  <c r="G15" i="1"/>
  <c r="F15" i="1"/>
  <c r="E15" i="1"/>
  <c r="D15" i="1"/>
  <c r="J14" i="1"/>
  <c r="J13" i="1"/>
  <c r="I13" i="1"/>
  <c r="I14" i="1"/>
  <c r="H14" i="1"/>
  <c r="H13" i="1"/>
  <c r="G14" i="1"/>
  <c r="G13" i="1"/>
  <c r="F14" i="1"/>
  <c r="F13" i="1"/>
  <c r="E14" i="1"/>
  <c r="E13" i="1"/>
  <c r="D14" i="1"/>
  <c r="D13" i="1"/>
  <c r="J12" i="1"/>
  <c r="J11" i="1"/>
  <c r="I12" i="1"/>
  <c r="I11" i="1"/>
  <c r="H12" i="1"/>
  <c r="H11" i="1"/>
  <c r="G12" i="1"/>
  <c r="G11" i="1"/>
  <c r="F12" i="1"/>
  <c r="F11" i="1"/>
  <c r="E12" i="1"/>
  <c r="E11" i="1"/>
  <c r="D11" i="1"/>
  <c r="E10" i="1"/>
  <c r="CF10" i="1"/>
  <c r="G10" i="1"/>
  <c r="I10" i="1"/>
  <c r="CF7" i="1"/>
  <c r="F10" i="1"/>
  <c r="CF11" i="1"/>
  <c r="J10" i="1"/>
  <c r="CF9" i="1"/>
  <c r="CF8" i="1"/>
  <c r="CF12" i="1"/>
  <c r="H10" i="1"/>
  <c r="D10" i="1"/>
  <c r="E2" i="1" l="1"/>
  <c r="I2" i="1"/>
  <c r="J2" i="1"/>
  <c r="F2" i="1"/>
  <c r="H2" i="1"/>
  <c r="G2" i="1"/>
  <c r="I3" i="1"/>
  <c r="H3" i="1"/>
  <c r="G3" i="1"/>
  <c r="J3" i="1"/>
  <c r="AM4" i="1"/>
  <c r="CE9" i="1"/>
  <c r="CG9" i="1" s="1"/>
  <c r="CE8" i="1"/>
  <c r="CG8" i="1" s="1"/>
  <c r="CG11" i="1"/>
  <c r="CG7" i="1"/>
  <c r="AJ6" i="1"/>
  <c r="AX6" i="1"/>
  <c r="BD6" i="1"/>
  <c r="BP6" i="1"/>
  <c r="AR6" i="1"/>
  <c r="BV6" i="1"/>
  <c r="BJ6" i="1"/>
  <c r="E22" i="1" l="1"/>
  <c r="E21" i="1" s="1"/>
  <c r="CE14" i="1" l="1"/>
  <c r="E20" i="1"/>
</calcChain>
</file>

<file path=xl/sharedStrings.xml><?xml version="1.0" encoding="utf-8"?>
<sst xmlns="http://schemas.openxmlformats.org/spreadsheetml/2006/main" count="98" uniqueCount="60">
  <si>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</si>
  <si>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</si>
  <si>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</si>
  <si>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</si>
  <si>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</si>
  <si>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</si>
  <si>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</si>
  <si>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</si>
  <si>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달러인덱스</t>
  </si>
  <si>
    <t>CNY</t>
  </si>
  <si>
    <t>HKD</t>
  </si>
  <si>
    <t>JPY</t>
  </si>
  <si>
    <t>AUD</t>
  </si>
  <si>
    <t>SGD</t>
  </si>
  <si>
    <t>일자</t>
  </si>
  <si>
    <t>결제일</t>
  </si>
  <si>
    <t>시가</t>
  </si>
  <si>
    <t>고가</t>
  </si>
  <si>
    <t>저가</t>
  </si>
  <si>
    <t>종가</t>
  </si>
  <si>
    <t>전일대비</t>
  </si>
  <si>
    <t>거래량</t>
  </si>
  <si>
    <t>한국시가</t>
  </si>
  <si>
    <t>한국고가</t>
  </si>
  <si>
    <t>한국저가</t>
  </si>
  <si>
    <t>한국종가</t>
  </si>
  <si>
    <t>한국전일대비</t>
  </si>
  <si>
    <t>시작일</t>
  </si>
  <si>
    <t>종료일</t>
  </si>
  <si>
    <t>Days</t>
  </si>
  <si>
    <t>통화</t>
  </si>
  <si>
    <t>DOLLAR</t>
  </si>
  <si>
    <t>USDKRW</t>
  </si>
  <si>
    <t>USDCNY</t>
  </si>
  <si>
    <t>USDHKD</t>
  </si>
  <si>
    <t>USDJPY</t>
  </si>
  <si>
    <t>USDSGD</t>
  </si>
  <si>
    <t>현재가</t>
  </si>
  <si>
    <t>종가평균</t>
  </si>
  <si>
    <t>기준일</t>
  </si>
  <si>
    <t>기준가</t>
  </si>
  <si>
    <t>FACTOR</t>
  </si>
  <si>
    <t>SPOT INDEX</t>
  </si>
  <si>
    <t>START INDEX</t>
  </si>
  <si>
    <t>가중치</t>
  </si>
  <si>
    <t>위의 예는… 아시아 통화 INDEX를 만들어 보는 것.</t>
  </si>
  <si>
    <t>통화를 선택하고 각기 통화의 비중을 결정. (총 합을 1)</t>
  </si>
  <si>
    <t>상단 총 일수를 결정하게 되면, 그 선택된 첫날을 지수의 100인식하는 가중치가 결정.</t>
  </si>
  <si>
    <t>시작일을 기준으로 현재의 인덱스 가치가 얼마가 되는가를 확인할 수 있는 화면.</t>
  </si>
  <si>
    <t>가중치 계산</t>
  </si>
  <si>
    <t>KRW</t>
  </si>
  <si>
    <t>EURUSD</t>
    <phoneticPr fontId="4" type="noConversion"/>
  </si>
  <si>
    <t>USDJPY</t>
    <phoneticPr fontId="4" type="noConversion"/>
  </si>
  <si>
    <t>GBPUSD</t>
    <phoneticPr fontId="4" type="noConversion"/>
  </si>
  <si>
    <t>USDCAD</t>
    <phoneticPr fontId="4" type="noConversion"/>
  </si>
  <si>
    <t>USDSEK</t>
    <phoneticPr fontId="4" type="noConversion"/>
  </si>
  <si>
    <t>USDCHF</t>
    <phoneticPr fontId="4" type="noConversion"/>
  </si>
  <si>
    <t>매입</t>
    <phoneticPr fontId="4" type="noConversion"/>
  </si>
  <si>
    <t>AUDUSD</t>
    <phoneticPr fontId="4" type="noConversion"/>
  </si>
  <si>
    <t>USDSP_AMBC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</si>
</sst>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%"/>
    <numFmt numFmtId="177" formatCode="0.000_ "/>
    <numFmt numFmtId="178" formatCode="#,##0.000_ "/>
    <numFmt numFmtId="179" formatCode="0.0000_ "/>
  </numFmts>
  <fonts count="12" x14ac:knownFonts="1">
    <font>
      <sz val="10"/>
      <color theme="1"/>
      <name val="맑은 고딕"/>
      <family val="2"/>
      <charset val="129"/>
      <scheme val="minor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0"/>
      <name val="굴림"/>
      <family val="3"/>
      <charset val="129"/>
    </font>
    <font>
      <sz val="9"/>
      <color theme="1" tint="0.249977111117893"/>
      <name val="굴림"/>
      <family val="3"/>
      <charset val="129"/>
    </font>
    <font>
      <sz val="10"/>
      <color theme="1" tint="0.249977111117893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9"/>
      <color theme="1" tint="0.249977111117893"/>
      <name val="굴림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2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0"/>
      </left>
      <right style="thin">
        <color indexed="2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2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0" fillId="0" borderId="0" xfId="0">
      <alignment vertical="center"/>
    </xf>
    <xf numFmtId="14" fontId="1" fillId="0" borderId="0" xfId="0" applyNumberFormat="1" applyFont="1" applyProtection="1">
      <alignment vertical="center"/>
    </xf>
    <xf numFmtId="0" fontId="1" fillId="0" borderId="0" xfId="0" applyFont="1" applyProtection="1">
      <alignment vertical="center"/>
    </xf>
    <xf numFmtId="0" fontId="1" fillId="0" borderId="0" xfId="0" applyFont="1" applyFill="1" applyProtection="1">
      <alignment vertical="center"/>
    </xf>
    <xf numFmtId="176" fontId="1" fillId="0" borderId="0" xfId="0" applyNumberFormat="1" applyFont="1" applyProtection="1">
      <alignment vertical="center"/>
    </xf>
    <xf numFmtId="0" fontId="2" fillId="2" borderId="1" xfId="0" applyFont="1" applyFill="1" applyBorder="1" applyProtection="1">
      <alignment vertic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Protection="1">
      <alignment vertical="center"/>
    </xf>
    <xf numFmtId="14" fontId="1" fillId="0" borderId="1" xfId="0" applyNumberFormat="1" applyFont="1" applyFill="1" applyBorder="1" applyAlignment="1" applyProtection="1">
      <alignment vertical="center"/>
    </xf>
    <xf numFmtId="178" fontId="1" fillId="0" borderId="1" xfId="0" applyNumberFormat="1" applyFont="1" applyFill="1" applyBorder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2" fillId="5" borderId="1" xfId="0" applyFont="1" applyFill="1" applyBorder="1" applyAlignment="1" applyProtection="1">
      <alignment horizontal="center" vertical="center"/>
    </xf>
    <xf numFmtId="0" fontId="3" fillId="4" borderId="4" xfId="0" applyFont="1" applyFill="1" applyBorder="1" applyProtection="1">
      <alignment vertical="center"/>
    </xf>
    <xf numFmtId="0" fontId="3" fillId="4" borderId="4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2" xfId="0" applyFont="1" applyFill="1" applyBorder="1" applyProtection="1">
      <alignment vertical="center"/>
    </xf>
    <xf numFmtId="0" fontId="5" fillId="2" borderId="5" xfId="0" applyFont="1" applyFill="1" applyBorder="1" applyProtection="1">
      <alignment vertical="center"/>
    </xf>
    <xf numFmtId="0" fontId="5" fillId="2" borderId="6" xfId="0" applyFont="1" applyFill="1" applyBorder="1">
      <alignment vertical="center"/>
    </xf>
    <xf numFmtId="0" fontId="6" fillId="0" borderId="0" xfId="0" applyFont="1">
      <alignment vertical="center"/>
    </xf>
    <xf numFmtId="49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14" fontId="0" fillId="0" borderId="12" xfId="0" applyNumberFormat="1" applyBorder="1">
      <alignment vertical="center"/>
    </xf>
    <xf numFmtId="0" fontId="0" fillId="0" borderId="13" xfId="0" applyBorder="1">
      <alignment vertical="center"/>
    </xf>
    <xf numFmtId="0" fontId="2" fillId="2" borderId="1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0" fontId="1" fillId="0" borderId="0" xfId="0" applyNumberFormat="1" applyFo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179" fontId="6" fillId="0" borderId="0" xfId="0" applyNumberFormat="1" applyFont="1">
      <alignment vertical="center"/>
    </xf>
    <xf numFmtId="177" fontId="1" fillId="7" borderId="1" xfId="0" applyNumberFormat="1" applyFont="1" applyFill="1" applyBorder="1" applyProtection="1">
      <alignment vertical="center"/>
    </xf>
    <xf numFmtId="0" fontId="9" fillId="0" borderId="1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right" vertical="center"/>
    </xf>
    <xf numFmtId="14" fontId="1" fillId="8" borderId="1" xfId="0" applyNumberFormat="1" applyFont="1" applyFill="1" applyBorder="1" applyProtection="1">
      <alignment vertical="center"/>
    </xf>
    <xf numFmtId="0" fontId="1" fillId="8" borderId="1" xfId="0" applyFont="1" applyFill="1" applyBorder="1" applyProtection="1">
      <alignment vertical="center"/>
    </xf>
    <xf numFmtId="177" fontId="1" fillId="8" borderId="1" xfId="0" applyNumberFormat="1" applyFont="1" applyFill="1" applyBorder="1" applyProtection="1">
      <alignment vertical="center"/>
    </xf>
    <xf numFmtId="2" fontId="6" fillId="0" borderId="0" xfId="0" applyNumberFormat="1" applyFont="1">
      <alignment vertical="center"/>
    </xf>
    <xf numFmtId="179" fontId="1" fillId="0" borderId="0" xfId="0" applyNumberFormat="1" applyFont="1" applyProtection="1">
      <alignment vertical="center"/>
    </xf>
    <xf numFmtId="179" fontId="10" fillId="0" borderId="0" xfId="0" applyNumberFormat="1" applyFont="1">
      <alignment vertical="center"/>
    </xf>
    <xf numFmtId="179" fontId="11" fillId="0" borderId="0" xfId="0" applyNumberFormat="1" applyFont="1" applyProtection="1">
      <alignment vertical="center"/>
    </xf>
    <xf numFmtId="0" fontId="1" fillId="3" borderId="1" xfId="0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F99"/>
      <color rgb="FF3366CC"/>
      <color rgb="FFCCCC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x6.NIYD</stp>
        <stp>10</stp>
        <stp>530646</stp>
        <tr r="AJ6" s="1"/>
      </tp>
      <tp>
        <v>0</v>
        <stp/>
        <stp>H</stp>
        <stp>x4.NIYD</stp>
        <stp>4</stp>
        <stp>530646</stp>
        <tr r="AR6" s="1"/>
      </tp>
      <tp>
        <v>0</v>
        <stp/>
        <stp>H</stp>
        <stp>x5.NIYD</stp>
        <stp>5</stp>
        <stp>530646</stp>
        <tr r="BV6" s="1"/>
      </tp>
      <tp>
        <v>0</v>
        <stp/>
        <stp>H</stp>
        <stp>x7.NIYD</stp>
        <stp>7</stp>
        <stp>530646</stp>
        <tr r="BJ6" s="1"/>
      </tp>
      <tp>
        <v>102.078</v>
        <stp/>
        <stp>P</stp>
        <stp>0</stp>
        <stp>FX</stp>
        <stp>DOLLAR</stp>
        <stp>현재가</stp>
        <stp/>
        <stp/>
        <tr r="D10" s="1"/>
      </tp>
      <tp>
        <v>0</v>
        <stp/>
        <stp>H</stp>
        <stp>x1.NIYD</stp>
        <stp>1</stp>
        <stp>530646</stp>
        <tr r="AX6" s="1"/>
      </tp>
      <tp>
        <v>0</v>
        <stp/>
        <stp>H</stp>
        <stp>x2.NIYD</stp>
        <stp>2</stp>
        <stp>530646</stp>
        <tr r="BD6" s="1"/>
      </tp>
      <tp>
        <v>0</v>
        <stp/>
        <stp>H</stp>
        <stp>x3.NIYD</stp>
        <stp>8</stp>
        <stp>530646</stp>
        <tr r="BP6" s="1"/>
      </tp>
      <tp>
        <v>1230.7</v>
        <stp/>
        <stp>P</stp>
        <stp>0</stp>
        <stp>FX</stp>
        <stp>USDSP_AMBC</stp>
        <stp>매입</stp>
        <stp/>
        <stp/>
        <tr r="E10" s="1"/>
      </tp>
      <tp>
        <v>128.56399999999999</v>
        <stp/>
        <stp>P</stp>
        <stp>0</stp>
        <stp>FX</stp>
        <stp>USDJPY</stp>
        <stp>매도</stp>
        <stp/>
        <stp/>
        <tr r="CF8" s="1"/>
      </tp>
      <tp>
        <v>0.91600000000000004</v>
        <stp/>
        <stp>P</stp>
        <stp>0</stp>
        <stp>FX</stp>
        <stp>USDCHF</stp>
        <stp>매도</stp>
        <stp/>
        <stp/>
        <tr r="CF12" s="1"/>
      </tp>
      <tp>
        <v>10.311999999999999</v>
        <stp/>
        <stp>P</stp>
        <stp>0</stp>
        <stp>FX</stp>
        <stp>USDSEK</stp>
        <stp>매도</stp>
        <stp/>
        <stp/>
        <tr r="CF11" s="1"/>
      </tp>
      <tp>
        <v>1.0841000000000001</v>
        <stp/>
        <stp>P</stp>
        <stp>0</stp>
        <stp>FX</stp>
        <stp>EURUSD</stp>
        <stp>매도</stp>
        <stp/>
        <stp/>
        <tr r="CF7" s="1"/>
      </tp>
      <tp>
        <v>1.2394000000000001</v>
        <stp/>
        <stp>P</stp>
        <stp>0</stp>
        <stp>FX</stp>
        <stp>GBPUSD</stp>
        <stp>매도</stp>
        <stp/>
        <stp/>
        <tr r="CF9" s="1"/>
      </tp>
      <tp>
        <v>1.3462000000000001</v>
        <stp/>
        <stp>P</stp>
        <stp>0</stp>
        <stp>FX</stp>
        <stp>USDCAD</stp>
        <stp>매도</stp>
        <stp/>
        <stp/>
        <tr r="CF10" s="1"/>
      </tp>
      <tp>
        <v>128.554</v>
        <stp/>
        <stp>P</stp>
        <stp>0</stp>
        <stp>FX</stp>
        <stp>USDJPY</stp>
        <stp>매입</stp>
        <stp/>
        <stp/>
        <tr r="H10" s="1"/>
      </tp>
      <tp>
        <v>6.7732999999999999</v>
        <stp/>
        <stp>P</stp>
        <stp>0</stp>
        <stp>FX</stp>
        <stp>USDCNY</stp>
        <stp>매입</stp>
        <stp/>
        <stp/>
        <tr r="F10" s="1"/>
      </tp>
      <tp>
        <v>7.8289999999999997</v>
        <stp/>
        <stp>P</stp>
        <stp>0</stp>
        <stp>FX</stp>
        <stp>USDHKD</stp>
        <stp>매입</stp>
        <stp/>
        <stp/>
        <tr r="G10" s="1"/>
      </tp>
      <tp>
        <v>1.3209</v>
        <stp/>
        <stp>P</stp>
        <stp>0</stp>
        <stp>FX</stp>
        <stp>USDSGD</stp>
        <stp>매입</stp>
        <stp/>
        <stp/>
        <tr r="J10" s="1"/>
      </tp>
      <tp>
        <v>0.6915</v>
        <stp/>
        <stp>P</stp>
        <stp>0</stp>
        <stp>FX</stp>
        <stp>AUDUSD</stp>
        <stp>매입</stp>
        <stp/>
        <stp/>
        <tr r="I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CK29"/>
  <sheetViews>
    <sheetView showGridLines="0" tabSelected="1" topLeftCell="B1" workbookViewId="0">
      <selection activeCell="B1" sqref="B1"/>
    </sheetView>
  </sheetViews>
  <sheetFormatPr defaultRowHeight="13.5" x14ac:dyDescent="0.25"/>
  <cols>
    <col min="1" max="1" width="9.140625" hidden="1" customWidth="1"/>
    <col min="2" max="2" width="1.5703125" customWidth="1"/>
    <col min="4" max="4" width="10.28515625" bestFit="1" customWidth="1"/>
    <col min="5" max="5" width="13.42578125" customWidth="1"/>
    <col min="6" max="6" width="13.7109375" customWidth="1"/>
    <col min="7" max="7" width="13.5703125" bestFit="1" customWidth="1"/>
    <col min="8" max="8" width="13.42578125" customWidth="1"/>
    <col min="9" max="9" width="12.85546875" customWidth="1"/>
    <col min="10" max="10" width="13.28515625" customWidth="1"/>
    <col min="14" max="33" width="9.140625" customWidth="1"/>
    <col min="34" max="34" width="9.28515625" customWidth="1"/>
    <col min="35" max="35" width="9.140625" customWidth="1"/>
    <col min="36" max="36" width="15.28515625" hidden="1" customWidth="1"/>
    <col min="37" max="37" width="9.7109375" hidden="1" customWidth="1"/>
    <col min="38" max="43" width="9.28515625" hidden="1" customWidth="1"/>
    <col min="44" max="44" width="11.42578125" hidden="1" customWidth="1"/>
    <col min="45" max="49" width="9.28515625" hidden="1" customWidth="1"/>
    <col min="50" max="50" width="11.42578125" hidden="1" customWidth="1"/>
    <col min="51" max="55" width="9.28515625" hidden="1" customWidth="1"/>
    <col min="56" max="56" width="11.42578125" hidden="1" customWidth="1"/>
    <col min="57" max="61" width="9.28515625" hidden="1" customWidth="1"/>
    <col min="62" max="62" width="11.42578125" hidden="1" customWidth="1"/>
    <col min="63" max="67" width="9.28515625" hidden="1" customWidth="1"/>
    <col min="68" max="68" width="11.42578125" hidden="1" customWidth="1"/>
    <col min="69" max="73" width="9.28515625" hidden="1" customWidth="1"/>
    <col min="74" max="74" width="11.42578125" hidden="1" customWidth="1"/>
    <col min="75" max="79" width="9.28515625" hidden="1" customWidth="1"/>
    <col min="80" max="87" width="9.140625" hidden="1" customWidth="1"/>
    <col min="88" max="91" width="9.140625" customWidth="1"/>
  </cols>
  <sheetData>
    <row r="2" spans="1:89" hidden="1" x14ac:dyDescent="0.25">
      <c r="E2" s="56">
        <f t="shared" ref="E2:J2" si="0">E10^E18</f>
        <v>2.9075207986315883</v>
      </c>
      <c r="F2" s="56">
        <f t="shared" si="0"/>
        <v>1.3323552781824783</v>
      </c>
      <c r="G2" s="56">
        <f t="shared" si="0"/>
        <v>1.2284871816687359</v>
      </c>
      <c r="H2" s="56">
        <f t="shared" si="0"/>
        <v>2.6412962749914288</v>
      </c>
      <c r="I2" s="56">
        <f t="shared" si="0"/>
        <v>0.89523624167131211</v>
      </c>
      <c r="J2" s="56">
        <f t="shared" si="0"/>
        <v>1.0282222418573386</v>
      </c>
    </row>
    <row r="3" spans="1:89" hidden="1" x14ac:dyDescent="0.25">
      <c r="E3" s="57">
        <f t="shared" ref="E3:J3" si="1">E17^E18</f>
        <v>2.9221586288488139</v>
      </c>
      <c r="F3" s="57">
        <f t="shared" si="1"/>
        <v>1.3359829723972261</v>
      </c>
      <c r="G3" s="57">
        <f t="shared" si="1"/>
        <v>1.2280943294355906</v>
      </c>
      <c r="H3" s="57">
        <f t="shared" si="1"/>
        <v>2.6510127341987633</v>
      </c>
      <c r="I3" s="57">
        <f t="shared" si="1"/>
        <v>0.89101850800221982</v>
      </c>
      <c r="J3" s="57">
        <f t="shared" si="1"/>
        <v>1.0297532254173336</v>
      </c>
    </row>
    <row r="4" spans="1:89" x14ac:dyDescent="0.25">
      <c r="C4" s="9" t="s">
        <v>27</v>
      </c>
      <c r="D4" s="51">
        <f ca="1">D5-D6</f>
        <v>44926</v>
      </c>
      <c r="E4" s="5"/>
      <c r="F4" s="6"/>
      <c r="G4" s="6"/>
      <c r="H4" s="6"/>
      <c r="I4" s="6"/>
      <c r="J4" s="6"/>
      <c r="AJ4" s="35" t="s">
        <v>0</v>
      </c>
      <c r="AK4" s="45">
        <f ca="1">D4</f>
        <v>44926</v>
      </c>
      <c r="AL4" s="35" t="s">
        <v>1</v>
      </c>
      <c r="AM4" s="45">
        <f ca="1">D5</f>
        <v>44946</v>
      </c>
      <c r="AN4" s="35" t="s">
        <v>2</v>
      </c>
      <c r="AO4" s="44">
        <f>D6</f>
        <v>20</v>
      </c>
      <c r="AP4" s="35" t="s">
        <v>3</v>
      </c>
      <c r="AQ4" s="44" t="s">
        <v>4</v>
      </c>
      <c r="AR4" s="35" t="s">
        <v>5</v>
      </c>
      <c r="AS4" s="44" t="s">
        <v>6</v>
      </c>
      <c r="AT4" s="35" t="s">
        <v>7</v>
      </c>
      <c r="AU4" s="44">
        <v>0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D4" s="36"/>
      <c r="CE4" s="36"/>
      <c r="CF4" s="36"/>
      <c r="CG4" s="36"/>
      <c r="CH4" s="36"/>
      <c r="CI4" s="36"/>
      <c r="CJ4" s="36"/>
      <c r="CK4" s="36"/>
    </row>
    <row r="5" spans="1:89" ht="16.5" x14ac:dyDescent="0.25">
      <c r="C5" s="9" t="s">
        <v>28</v>
      </c>
      <c r="D5" s="51">
        <f ca="1">TODAY()</f>
        <v>44946</v>
      </c>
      <c r="E5" s="5"/>
      <c r="F5" s="6"/>
      <c r="G5" s="6"/>
      <c r="H5" s="6"/>
      <c r="I5" s="6"/>
      <c r="J5" s="6"/>
      <c r="AJ5" s="43" t="s">
        <v>59</v>
      </c>
      <c r="AK5" s="1"/>
      <c r="AL5" s="1"/>
      <c r="AM5" s="1"/>
      <c r="AN5" s="1"/>
      <c r="AO5" s="1"/>
      <c r="AP5" s="1"/>
      <c r="AQ5" s="1"/>
      <c r="AR5" s="3" t="s">
        <v>8</v>
      </c>
      <c r="AS5" s="1"/>
      <c r="AT5" s="1"/>
      <c r="AU5" s="1"/>
      <c r="AV5" s="1"/>
      <c r="AW5" s="1"/>
      <c r="AX5" s="3" t="s">
        <v>9</v>
      </c>
      <c r="AY5" s="1"/>
      <c r="AZ5" s="1"/>
      <c r="BA5" s="1"/>
      <c r="BB5" s="1"/>
      <c r="BC5" s="1"/>
      <c r="BD5" s="3" t="s">
        <v>10</v>
      </c>
      <c r="BE5" s="1"/>
      <c r="BF5" s="1"/>
      <c r="BG5" s="1"/>
      <c r="BH5" s="1"/>
      <c r="BI5" s="1"/>
      <c r="BJ5" s="3" t="s">
        <v>11</v>
      </c>
      <c r="BK5" s="1"/>
      <c r="BL5" s="1"/>
      <c r="BM5" s="1"/>
      <c r="BN5" s="1"/>
      <c r="BO5" s="1"/>
      <c r="BP5" s="3" t="s">
        <v>12</v>
      </c>
      <c r="BQ5" s="1"/>
      <c r="BR5" s="1"/>
      <c r="BS5" s="1"/>
      <c r="BT5" s="1"/>
      <c r="BU5" s="1"/>
      <c r="BV5" s="3" t="s">
        <v>13</v>
      </c>
      <c r="BW5" s="1"/>
      <c r="BX5" s="1"/>
      <c r="BY5" s="1"/>
      <c r="BZ5" s="1"/>
      <c r="CA5" s="1"/>
      <c r="CD5" s="24" t="s">
        <v>49</v>
      </c>
      <c r="CE5" s="37"/>
      <c r="CF5" s="37"/>
      <c r="CG5" s="37"/>
      <c r="CH5" s="37"/>
      <c r="CI5" s="37"/>
      <c r="CJ5" s="37"/>
      <c r="CK5" s="37"/>
    </row>
    <row r="6" spans="1:89" ht="17.25" thickBot="1" x14ac:dyDescent="0.3">
      <c r="C6" s="9" t="s">
        <v>29</v>
      </c>
      <c r="D6" s="52">
        <v>20</v>
      </c>
      <c r="E6" s="7"/>
      <c r="F6" s="6"/>
      <c r="G6" s="6"/>
      <c r="H6" s="6"/>
      <c r="I6" s="6"/>
      <c r="J6" s="6"/>
      <c r="AJ6" s="42" t="str">
        <f ca="1">_xll.IMDH("FX",AJ5,AJ7:AQ7,$AK$4,$AM$4,$AO$4,"Per="&amp;$AQ$4&amp;",sort="&amp;$AS$4&amp;",real=false,Bizday="&amp;$AU$4&amp;",Pos=20,Orient=V,DtFmt=1,TmFmt=1")</f>
        <v>조회[USDSP_AMBC]</v>
      </c>
      <c r="AK6" s="1"/>
      <c r="AL6" s="1"/>
      <c r="AM6" s="1"/>
      <c r="AN6" s="1"/>
      <c r="AO6" s="1"/>
      <c r="AP6" s="1"/>
      <c r="AQ6" s="1"/>
      <c r="AR6" s="2" t="str">
        <f ca="1">_xll.IMDH("FX",D9,AR7:AW7,$AK$4,$AM$4,$AO$4,"Per="&amp;$AQ$4&amp;",sort="&amp;$AS$4&amp;",real=false,Bizday="&amp;$AU$4&amp;",Pos=20,Orient=V,Title='AB2',DtFmt=1,TmFmt=1")</f>
        <v>'AB2'</v>
      </c>
      <c r="AS6" s="1"/>
      <c r="AT6" s="1"/>
      <c r="AU6" s="1"/>
      <c r="AV6" s="1"/>
      <c r="AW6" s="1"/>
      <c r="AX6" s="2" t="str">
        <f ca="1">_xll.IMDH("FX",F9,AX7:BC7,$AK$4,$AM$4,$AO$4,"Per="&amp;$AQ$4&amp;",sort="&amp;$AS$4&amp;",real=false,Bizday="&amp;$AU$4&amp;",Pos=20,Orient=V,Title='AB2',DtFmt=1,TmFmt=1")</f>
        <v>'AB2'</v>
      </c>
      <c r="AY6" s="1"/>
      <c r="AZ6" s="1"/>
      <c r="BA6" s="1"/>
      <c r="BB6" s="1"/>
      <c r="BC6" s="1"/>
      <c r="BD6" s="2" t="str">
        <f ca="1">_xll.IMDH("FX",G9,BD7:BI7,$AK$4,$AM$4,$AO$4,"Per="&amp;$AQ$4&amp;",sort="&amp;$AS$4&amp;",real=false,Bizday="&amp;$AU$4&amp;",Pos=20,Orient=V,Title=아시아, 오세아니아 HKD,DtFmt=1,TmFmt=1")</f>
        <v>아시아</v>
      </c>
      <c r="BE6" s="1"/>
      <c r="BF6" s="1"/>
      <c r="BG6" s="1"/>
      <c r="BH6" s="1"/>
      <c r="BI6" s="1"/>
      <c r="BJ6" s="2" t="str">
        <f ca="1">_xll.IMDH("FX",H9,BJ7:BO7,$AK$4,$AM$4,$AO$4,"Per="&amp;$AQ$4&amp;",sort="&amp;$AS$4&amp;",real=false,Bizday="&amp;$AU$4&amp;",Pos=20,Orient=V,Title=아시아, 오세아니아 JPY,DtFmt=1,TmFmt=1")</f>
        <v>아시아</v>
      </c>
      <c r="BK6" s="1"/>
      <c r="BL6" s="1"/>
      <c r="BM6" s="1"/>
      <c r="BN6" s="1"/>
      <c r="BO6" s="1"/>
      <c r="BP6" s="2" t="str">
        <f ca="1">_xll.IMDH("FX",I9,BP7:BU7,$AK$4,$AM$4,$AO$4,"Per="&amp;$AQ$4&amp;",sort="&amp;$AS$4&amp;",real=false,Bizday="&amp;$AU$4&amp;",Pos=20,Orient=V,Title=아시아, 오세아니아 SGD,DtFmt=1,TmFmt=1")</f>
        <v>아시아</v>
      </c>
      <c r="BQ6" s="1"/>
      <c r="BR6" s="1"/>
      <c r="BS6" s="1"/>
      <c r="BT6" s="1"/>
      <c r="BU6" s="1"/>
      <c r="BV6" s="2" t="str">
        <f ca="1">_xll.IMDH("FX",J9,BV7:CA7,$AK$4,$AM$4,$AO$4,"Per="&amp;$AQ$4&amp;",sort="&amp;$AS$4&amp;",real=false,Bizday="&amp;$AU$4&amp;",Pos=20,Orient=V,Title=아시아, 오세아니아 SGD,DtFmt=1,TmFmt=1")</f>
        <v>아시아</v>
      </c>
      <c r="BW6" s="1"/>
      <c r="BX6" s="1"/>
      <c r="BY6" s="1"/>
      <c r="BZ6" s="1"/>
      <c r="CA6" s="1"/>
      <c r="CD6" s="37"/>
      <c r="CE6" s="37"/>
      <c r="CF6" s="37"/>
      <c r="CG6" s="37"/>
      <c r="CH6" s="38">
        <f>SUM(CH7:CH12)</f>
        <v>1</v>
      </c>
      <c r="CI6" s="24">
        <f>SUM(CI7:CI12)</f>
        <v>1</v>
      </c>
      <c r="CJ6" s="37"/>
      <c r="CK6" s="37"/>
    </row>
    <row r="7" spans="1:89" ht="16.5" x14ac:dyDescent="0.25">
      <c r="C7" s="6"/>
      <c r="D7" s="55"/>
      <c r="AJ7" s="34" t="s">
        <v>14</v>
      </c>
      <c r="AK7" s="25" t="s">
        <v>15</v>
      </c>
      <c r="AL7" s="25" t="s">
        <v>16</v>
      </c>
      <c r="AM7" s="25" t="s">
        <v>17</v>
      </c>
      <c r="AN7" s="25" t="s">
        <v>18</v>
      </c>
      <c r="AO7" s="25" t="s">
        <v>19</v>
      </c>
      <c r="AP7" s="25" t="s">
        <v>20</v>
      </c>
      <c r="AQ7" s="25" t="s">
        <v>21</v>
      </c>
      <c r="AR7" s="26" t="s">
        <v>14</v>
      </c>
      <c r="AS7" s="25" t="s">
        <v>22</v>
      </c>
      <c r="AT7" s="25" t="s">
        <v>23</v>
      </c>
      <c r="AU7" s="25" t="s">
        <v>24</v>
      </c>
      <c r="AV7" s="25" t="s">
        <v>25</v>
      </c>
      <c r="AW7" s="25" t="s">
        <v>26</v>
      </c>
      <c r="AX7" s="26" t="s">
        <v>14</v>
      </c>
      <c r="AY7" s="25" t="s">
        <v>22</v>
      </c>
      <c r="AZ7" s="25" t="s">
        <v>23</v>
      </c>
      <c r="BA7" s="25" t="s">
        <v>24</v>
      </c>
      <c r="BB7" s="25" t="s">
        <v>25</v>
      </c>
      <c r="BC7" s="25" t="s">
        <v>26</v>
      </c>
      <c r="BD7" s="26" t="s">
        <v>14</v>
      </c>
      <c r="BE7" s="25" t="s">
        <v>22</v>
      </c>
      <c r="BF7" s="25" t="s">
        <v>23</v>
      </c>
      <c r="BG7" s="25" t="s">
        <v>24</v>
      </c>
      <c r="BH7" s="25" t="s">
        <v>25</v>
      </c>
      <c r="BI7" s="25" t="s">
        <v>26</v>
      </c>
      <c r="BJ7" s="26" t="s">
        <v>14</v>
      </c>
      <c r="BK7" s="25" t="s">
        <v>22</v>
      </c>
      <c r="BL7" s="25" t="s">
        <v>23</v>
      </c>
      <c r="BM7" s="25" t="s">
        <v>24</v>
      </c>
      <c r="BN7" s="25" t="s">
        <v>25</v>
      </c>
      <c r="BO7" s="25" t="s">
        <v>26</v>
      </c>
      <c r="BP7" s="26" t="s">
        <v>14</v>
      </c>
      <c r="BQ7" s="25" t="s">
        <v>22</v>
      </c>
      <c r="BR7" s="25" t="s">
        <v>23</v>
      </c>
      <c r="BS7" s="25" t="s">
        <v>24</v>
      </c>
      <c r="BT7" s="25" t="s">
        <v>25</v>
      </c>
      <c r="BU7" s="25" t="s">
        <v>26</v>
      </c>
      <c r="BV7" s="26" t="s">
        <v>14</v>
      </c>
      <c r="BW7" s="25" t="s">
        <v>22</v>
      </c>
      <c r="BX7" s="25" t="s">
        <v>23</v>
      </c>
      <c r="BY7" s="25" t="s">
        <v>24</v>
      </c>
      <c r="BZ7" s="25" t="s">
        <v>25</v>
      </c>
      <c r="CA7" s="27" t="s">
        <v>26</v>
      </c>
      <c r="CC7" s="39" t="s">
        <v>51</v>
      </c>
      <c r="CD7" s="24" t="s">
        <v>11</v>
      </c>
      <c r="CE7" s="24">
        <f>+H17</f>
        <v>130.93600000000001</v>
      </c>
      <c r="CF7" s="40">
        <f>_xll.IMDP("FX",$CC7,"매도")</f>
        <v>1.0841000000000001</v>
      </c>
      <c r="CG7" s="24">
        <f t="shared" ref="CG7:CG12" si="2">+CE7^CI7</f>
        <v>2.6510127341987633</v>
      </c>
      <c r="CH7" s="38">
        <v>0.57599999999999996</v>
      </c>
      <c r="CI7" s="24">
        <v>0.2</v>
      </c>
      <c r="CJ7" s="37"/>
      <c r="CK7" s="54"/>
    </row>
    <row r="8" spans="1:89" ht="16.5" x14ac:dyDescent="0.25">
      <c r="C8" s="6"/>
      <c r="D8" s="6"/>
      <c r="E8" s="6"/>
      <c r="F8" s="6"/>
      <c r="G8" s="6"/>
      <c r="H8" s="6"/>
      <c r="I8" s="6"/>
      <c r="J8" s="6"/>
      <c r="AJ8" s="46">
        <v>44946</v>
      </c>
      <c r="AK8" s="48">
        <v>20230126</v>
      </c>
      <c r="AL8" s="28">
        <v>1236</v>
      </c>
      <c r="AM8" s="28">
        <v>1236</v>
      </c>
      <c r="AN8" s="28">
        <v>1230.2</v>
      </c>
      <c r="AO8" s="28">
        <v>1231.5999999999999</v>
      </c>
      <c r="AP8" s="28">
        <v>-0.5</v>
      </c>
      <c r="AQ8" s="28"/>
      <c r="AR8" s="29">
        <v>44946</v>
      </c>
      <c r="AS8" s="28">
        <v>102.072</v>
      </c>
      <c r="AT8" s="28">
        <v>101.999</v>
      </c>
      <c r="AU8" s="28">
        <v>102.045</v>
      </c>
      <c r="AV8" s="28">
        <v>102.01600000000001</v>
      </c>
      <c r="AW8" s="28">
        <v>0.26100000000000001</v>
      </c>
      <c r="AX8" s="29">
        <v>44946</v>
      </c>
      <c r="AY8" s="28">
        <v>6.7737999999999996</v>
      </c>
      <c r="AZ8" s="28">
        <v>6.7737999999999996</v>
      </c>
      <c r="BA8" s="28">
        <v>6.7737999999999996</v>
      </c>
      <c r="BB8" s="28">
        <v>6.7737999999999996</v>
      </c>
      <c r="BC8" s="28">
        <v>4.0000000000000001E-3</v>
      </c>
      <c r="BD8" s="29">
        <v>44946</v>
      </c>
      <c r="BE8" s="28">
        <v>7.8299000000000003</v>
      </c>
      <c r="BF8" s="28">
        <v>7.8304</v>
      </c>
      <c r="BG8" s="28">
        <v>7.8287000000000004</v>
      </c>
      <c r="BH8" s="28">
        <v>7.8296000000000001</v>
      </c>
      <c r="BI8" s="28">
        <v>3.0000000000000003E-4</v>
      </c>
      <c r="BJ8" s="29">
        <v>44946</v>
      </c>
      <c r="BK8" s="28">
        <v>128.37700000000001</v>
      </c>
      <c r="BL8" s="28">
        <v>128.59</v>
      </c>
      <c r="BM8" s="28">
        <v>128.346</v>
      </c>
      <c r="BN8" s="28">
        <v>128.505</v>
      </c>
      <c r="BO8" s="28">
        <v>1.4E-2</v>
      </c>
      <c r="BP8" s="29">
        <v>44946</v>
      </c>
      <c r="BQ8" s="28">
        <v>0.69110000000000005</v>
      </c>
      <c r="BR8" s="28">
        <v>0.69189999999999996</v>
      </c>
      <c r="BS8" s="28">
        <v>0.69099999999999995</v>
      </c>
      <c r="BT8" s="28">
        <v>0.69159999999999999</v>
      </c>
      <c r="BU8" s="28">
        <v>1E-4</v>
      </c>
      <c r="BV8" s="29">
        <v>44946</v>
      </c>
      <c r="BW8" s="28">
        <v>1.3216000000000001</v>
      </c>
      <c r="BX8" s="28">
        <v>1.3220000000000001</v>
      </c>
      <c r="BY8" s="28">
        <v>1.3210999999999999</v>
      </c>
      <c r="BZ8" s="28">
        <v>1.3210999999999999</v>
      </c>
      <c r="CA8" s="30">
        <v>1E-4</v>
      </c>
      <c r="CC8" t="s">
        <v>52</v>
      </c>
      <c r="CD8" s="24" t="s">
        <v>9</v>
      </c>
      <c r="CE8" s="24">
        <f>+F17</f>
        <v>6.8971999999999998</v>
      </c>
      <c r="CF8" s="40">
        <f>_xll.IMDP("FX",$CC8,"매도")</f>
        <v>128.56399999999999</v>
      </c>
      <c r="CG8" s="24">
        <f t="shared" si="2"/>
        <v>1.3359829723972261</v>
      </c>
      <c r="CH8" s="38">
        <v>0.13600000000000001</v>
      </c>
      <c r="CI8" s="24">
        <v>0.15</v>
      </c>
      <c r="CJ8" s="37"/>
      <c r="CK8" s="54"/>
    </row>
    <row r="9" spans="1:89" ht="16.5" x14ac:dyDescent="0.25">
      <c r="C9" s="10" t="s">
        <v>30</v>
      </c>
      <c r="D9" s="16" t="s">
        <v>31</v>
      </c>
      <c r="E9" s="16" t="s">
        <v>32</v>
      </c>
      <c r="F9" s="16" t="s">
        <v>33</v>
      </c>
      <c r="G9" s="16" t="s">
        <v>34</v>
      </c>
      <c r="H9" s="16" t="s">
        <v>35</v>
      </c>
      <c r="I9" s="16" t="s">
        <v>58</v>
      </c>
      <c r="J9" s="16" t="s">
        <v>36</v>
      </c>
      <c r="AJ9" s="46">
        <v>44945</v>
      </c>
      <c r="AK9" s="48">
        <v>20230125</v>
      </c>
      <c r="AL9" s="28">
        <v>1236.2</v>
      </c>
      <c r="AM9" s="28">
        <v>1241.8</v>
      </c>
      <c r="AN9" s="28">
        <v>1231.5999999999999</v>
      </c>
      <c r="AO9" s="28">
        <v>1232.0999999999999</v>
      </c>
      <c r="AP9" s="28">
        <v>-5.3</v>
      </c>
      <c r="AQ9" s="28">
        <v>13219</v>
      </c>
      <c r="AR9" s="29">
        <v>44945</v>
      </c>
      <c r="AS9" s="28">
        <v>102.339</v>
      </c>
      <c r="AT9" s="28">
        <v>102.48</v>
      </c>
      <c r="AU9" s="28">
        <v>102.23</v>
      </c>
      <c r="AV9" s="28">
        <v>102.26</v>
      </c>
      <c r="AW9" s="28">
        <v>-0.43099999999999999</v>
      </c>
      <c r="AX9" s="29">
        <v>44945</v>
      </c>
      <c r="AY9" s="28">
        <v>6.7450000000000001</v>
      </c>
      <c r="AZ9" s="28">
        <v>6.7839999999999998</v>
      </c>
      <c r="BA9" s="28">
        <v>6.7445000000000004</v>
      </c>
      <c r="BB9" s="28">
        <v>6.7778</v>
      </c>
      <c r="BC9" s="28">
        <v>4.3E-3</v>
      </c>
      <c r="BD9" s="29">
        <v>44945</v>
      </c>
      <c r="BE9" s="28">
        <v>7.8240999999999996</v>
      </c>
      <c r="BF9" s="28">
        <v>7.8287000000000004</v>
      </c>
      <c r="BG9" s="28">
        <v>7.8221999999999996</v>
      </c>
      <c r="BH9" s="28">
        <v>7.8277000000000001</v>
      </c>
      <c r="BI9" s="28">
        <v>2.5999999999999999E-3</v>
      </c>
      <c r="BJ9" s="29">
        <v>44945</v>
      </c>
      <c r="BK9" s="28">
        <v>128.57</v>
      </c>
      <c r="BL9" s="28">
        <v>128.69</v>
      </c>
      <c r="BM9" s="28">
        <v>127.75</v>
      </c>
      <c r="BN9" s="28">
        <v>127.839</v>
      </c>
      <c r="BO9" s="28">
        <v>-3.0179999999999998</v>
      </c>
      <c r="BP9" s="29">
        <v>44945</v>
      </c>
      <c r="BQ9" s="28">
        <v>0.69430000000000003</v>
      </c>
      <c r="BR9" s="28">
        <v>0.69469999999999998</v>
      </c>
      <c r="BS9" s="28">
        <v>0.68930000000000002</v>
      </c>
      <c r="BT9" s="28">
        <v>0.69059999999999999</v>
      </c>
      <c r="BU9" s="28">
        <v>-9.4999999999999998E-3</v>
      </c>
      <c r="BV9" s="29">
        <v>44945</v>
      </c>
      <c r="BW9" s="28">
        <v>1.3201000000000001</v>
      </c>
      <c r="BX9" s="28">
        <v>1.3247</v>
      </c>
      <c r="BY9" s="28">
        <v>1.3190999999999999</v>
      </c>
      <c r="BZ9" s="28">
        <v>1.3219000000000001</v>
      </c>
      <c r="CA9" s="30">
        <v>-5.0000000000000001E-4</v>
      </c>
      <c r="CC9" t="s">
        <v>53</v>
      </c>
      <c r="CD9" s="24" t="s">
        <v>50</v>
      </c>
      <c r="CE9" s="24">
        <f>+E17</f>
        <v>1272.5999999999999</v>
      </c>
      <c r="CF9" s="40">
        <f>_xll.IMDP("FX",$CC9,"매도")</f>
        <v>1.2394000000000001</v>
      </c>
      <c r="CG9" s="24">
        <f t="shared" si="2"/>
        <v>2.9221586288488139</v>
      </c>
      <c r="CH9" s="38">
        <v>0.11899999999999999</v>
      </c>
      <c r="CI9" s="24">
        <v>0.15</v>
      </c>
      <c r="CJ9" s="37"/>
      <c r="CK9" s="54"/>
    </row>
    <row r="10" spans="1:89" ht="16.5" x14ac:dyDescent="0.25">
      <c r="A10" t="s">
        <v>57</v>
      </c>
      <c r="C10" s="11" t="s">
        <v>37</v>
      </c>
      <c r="D10" s="50">
        <f>_xll.IMDP("FX",D$9,$C10)</f>
        <v>102.078</v>
      </c>
      <c r="E10" s="50">
        <f>_xll.IMDP("FX","USDSP_AMBC",$A$10)</f>
        <v>1230.7</v>
      </c>
      <c r="F10" s="50">
        <f>_xll.IMDP("FX",F$9,$A$10)</f>
        <v>6.7732999999999999</v>
      </c>
      <c r="G10" s="50">
        <f>_xll.IMDP("FX",G$9,$A$10)</f>
        <v>7.8289999999999997</v>
      </c>
      <c r="H10" s="50">
        <f>_xll.IMDP("FX",H$9,$A$10)</f>
        <v>128.554</v>
      </c>
      <c r="I10" s="50">
        <f>_xll.IMDP("FX",I$9,$A$10)</f>
        <v>0.6915</v>
      </c>
      <c r="J10" s="50">
        <f>_xll.IMDP("FX",J$9,$A$10)</f>
        <v>1.3209</v>
      </c>
      <c r="AJ10" s="46">
        <v>44944</v>
      </c>
      <c r="AK10" s="48">
        <v>20230120</v>
      </c>
      <c r="AL10" s="28">
        <v>1239</v>
      </c>
      <c r="AM10" s="28">
        <v>1246.5</v>
      </c>
      <c r="AN10" s="28">
        <v>1235.7</v>
      </c>
      <c r="AO10" s="28">
        <v>1237.4000000000001</v>
      </c>
      <c r="AP10" s="28">
        <v>-1.3</v>
      </c>
      <c r="AQ10" s="28">
        <v>9417</v>
      </c>
      <c r="AR10" s="29">
        <v>44944</v>
      </c>
      <c r="AS10" s="28">
        <v>102.404</v>
      </c>
      <c r="AT10" s="28">
        <v>102.898</v>
      </c>
      <c r="AU10" s="28">
        <v>102.333</v>
      </c>
      <c r="AV10" s="28">
        <v>102.682</v>
      </c>
      <c r="AW10" s="28">
        <v>0.35</v>
      </c>
      <c r="AX10" s="29">
        <v>44944</v>
      </c>
      <c r="AY10" s="28">
        <v>6.7807000000000004</v>
      </c>
      <c r="AZ10" s="28">
        <v>6.7862999999999998</v>
      </c>
      <c r="BA10" s="28">
        <v>6.7671999999999999</v>
      </c>
      <c r="BB10" s="28">
        <v>6.7735000000000003</v>
      </c>
      <c r="BC10" s="28">
        <v>6.9000000000000008E-3</v>
      </c>
      <c r="BD10" s="29">
        <v>44944</v>
      </c>
      <c r="BE10" s="28">
        <v>7.8182</v>
      </c>
      <c r="BF10" s="28">
        <v>7.8258000000000001</v>
      </c>
      <c r="BG10" s="28">
        <v>7.8173000000000004</v>
      </c>
      <c r="BH10" s="28">
        <v>7.8249000000000004</v>
      </c>
      <c r="BI10" s="28">
        <v>7.7999999999999996E-3</v>
      </c>
      <c r="BJ10" s="29">
        <v>44944</v>
      </c>
      <c r="BK10" s="28">
        <v>128.28200000000001</v>
      </c>
      <c r="BL10" s="28">
        <v>131.572</v>
      </c>
      <c r="BM10" s="28">
        <v>128.21</v>
      </c>
      <c r="BN10" s="28">
        <v>130.869</v>
      </c>
      <c r="BO10" s="28">
        <v>2.0409999999999999</v>
      </c>
      <c r="BP10" s="29">
        <v>44944</v>
      </c>
      <c r="BQ10" s="28">
        <v>0.69869999999999999</v>
      </c>
      <c r="BR10" s="28">
        <v>0.70040000000000002</v>
      </c>
      <c r="BS10" s="28">
        <v>0.69730000000000003</v>
      </c>
      <c r="BT10" s="28">
        <v>0.69989999999999997</v>
      </c>
      <c r="BU10" s="28">
        <v>2.9000000000000002E-3</v>
      </c>
      <c r="BV10" s="29">
        <v>44944</v>
      </c>
      <c r="BW10" s="28">
        <v>1.3204</v>
      </c>
      <c r="BX10" s="28">
        <v>1.3250999999999999</v>
      </c>
      <c r="BY10" s="28">
        <v>1.3199000000000001</v>
      </c>
      <c r="BZ10" s="28">
        <v>1.3224</v>
      </c>
      <c r="CA10" s="30">
        <v>8.9999999999999998E-4</v>
      </c>
      <c r="CC10" t="s">
        <v>54</v>
      </c>
      <c r="CD10" s="24" t="s">
        <v>12</v>
      </c>
      <c r="CE10" s="24">
        <f>+I17</f>
        <v>0.68069999999999997</v>
      </c>
      <c r="CF10" s="40">
        <f>_xll.IMDP("FX",$CC10,"매도")</f>
        <v>1.3462000000000001</v>
      </c>
      <c r="CG10" s="24">
        <f t="shared" si="2"/>
        <v>0.89101850800221982</v>
      </c>
      <c r="CH10" s="38">
        <v>9.0999999999999998E-2</v>
      </c>
      <c r="CI10" s="24">
        <v>0.3</v>
      </c>
      <c r="CJ10" s="37"/>
      <c r="CK10" s="54"/>
    </row>
    <row r="11" spans="1:89" ht="16.5" x14ac:dyDescent="0.25">
      <c r="C11" s="58" t="s">
        <v>17</v>
      </c>
      <c r="D11" s="12">
        <f>MAX(AT8:AT1122)</f>
        <v>105.309</v>
      </c>
      <c r="E11" s="12">
        <f>MAX(AM8:AM1122)</f>
        <v>1280.9000000000001</v>
      </c>
      <c r="F11" s="12">
        <f>MAX(AZ8:AZ1122)</f>
        <v>6.9226999999999999</v>
      </c>
      <c r="G11" s="12">
        <f>MAX(BF8:BF1122)</f>
        <v>7.8304</v>
      </c>
      <c r="H11" s="12">
        <f>MAX(BL8:BL1122)</f>
        <v>134.364</v>
      </c>
      <c r="I11" s="12">
        <f>MAX(BR8:BR1122)</f>
        <v>0.70179999999999998</v>
      </c>
      <c r="J11" s="12">
        <f>MAX(BX8:BX1122)</f>
        <v>1.3463000000000001</v>
      </c>
      <c r="AJ11" s="46">
        <v>44943</v>
      </c>
      <c r="AK11" s="48">
        <v>20230119</v>
      </c>
      <c r="AL11" s="28">
        <v>1240</v>
      </c>
      <c r="AM11" s="28">
        <v>1242.3</v>
      </c>
      <c r="AN11" s="28">
        <v>1236.0999999999999</v>
      </c>
      <c r="AO11" s="28">
        <v>1238.7</v>
      </c>
      <c r="AP11" s="28">
        <v>3.4</v>
      </c>
      <c r="AQ11" s="28">
        <v>13355</v>
      </c>
      <c r="AR11" s="29">
        <v>44943</v>
      </c>
      <c r="AS11" s="28">
        <v>102.283</v>
      </c>
      <c r="AT11" s="28">
        <v>102.56</v>
      </c>
      <c r="AU11" s="28">
        <v>102.242</v>
      </c>
      <c r="AV11" s="28">
        <v>102.339</v>
      </c>
      <c r="AW11" s="28">
        <v>0.27800000000000002</v>
      </c>
      <c r="AX11" s="29">
        <v>44943</v>
      </c>
      <c r="AY11" s="28">
        <v>6.7321999999999997</v>
      </c>
      <c r="AZ11" s="28">
        <v>6.7686999999999999</v>
      </c>
      <c r="BA11" s="28">
        <v>6.7317</v>
      </c>
      <c r="BB11" s="28">
        <v>6.7666000000000004</v>
      </c>
      <c r="BC11" s="28">
        <v>5.9499999999999997E-2</v>
      </c>
      <c r="BD11" s="29">
        <v>44943</v>
      </c>
      <c r="BE11" s="28">
        <v>7.8102999999999998</v>
      </c>
      <c r="BF11" s="28">
        <v>7.8174000000000001</v>
      </c>
      <c r="BG11" s="28">
        <v>7.8098000000000001</v>
      </c>
      <c r="BH11" s="28">
        <v>7.8174999999999999</v>
      </c>
      <c r="BI11" s="28">
        <v>7.4999999999999997E-3</v>
      </c>
      <c r="BJ11" s="29">
        <v>44943</v>
      </c>
      <c r="BK11" s="28">
        <v>128.34200000000001</v>
      </c>
      <c r="BL11" s="28">
        <v>129.15100000000001</v>
      </c>
      <c r="BM11" s="28">
        <v>128.298</v>
      </c>
      <c r="BN11" s="28">
        <v>128.816</v>
      </c>
      <c r="BO11" s="28">
        <v>0.93799999999999994</v>
      </c>
      <c r="BP11" s="29">
        <v>44943</v>
      </c>
      <c r="BQ11" s="28">
        <v>0.69650000000000001</v>
      </c>
      <c r="BR11" s="28">
        <v>0.69769999999999999</v>
      </c>
      <c r="BS11" s="28">
        <v>0.69489999999999996</v>
      </c>
      <c r="BT11" s="28">
        <v>0.69699999999999995</v>
      </c>
      <c r="BU11" s="28">
        <v>-1E-3</v>
      </c>
      <c r="BV11" s="29">
        <v>44943</v>
      </c>
      <c r="BW11" s="28">
        <v>1.32</v>
      </c>
      <c r="BX11" s="28">
        <v>1.3237000000000001</v>
      </c>
      <c r="BY11" s="28">
        <v>1.3190999999999999</v>
      </c>
      <c r="BZ11" s="28">
        <v>1.3216000000000001</v>
      </c>
      <c r="CA11" s="30">
        <v>3.4000000000000002E-3</v>
      </c>
      <c r="CC11" t="s">
        <v>55</v>
      </c>
      <c r="CD11" s="24" t="s">
        <v>10</v>
      </c>
      <c r="CE11" s="24">
        <f>+G17</f>
        <v>7.8040000000000003</v>
      </c>
      <c r="CF11" s="40">
        <f>_xll.IMDP("FX",$CC11,"매도")</f>
        <v>10.311999999999999</v>
      </c>
      <c r="CG11" s="24">
        <f t="shared" si="2"/>
        <v>1.2280943294355906</v>
      </c>
      <c r="CH11" s="38">
        <v>4.2000000000000003E-2</v>
      </c>
      <c r="CI11" s="24">
        <v>0.1</v>
      </c>
      <c r="CJ11" s="37"/>
      <c r="CK11" s="54"/>
    </row>
    <row r="12" spans="1:89" ht="16.5" x14ac:dyDescent="0.25">
      <c r="C12" s="58"/>
      <c r="D12" s="13">
        <f>INDEX($AR$8:$AR$1118,MATCH(MAX($AT$8:$AT$1118),$AT$8:$AT$1118,0))</f>
        <v>44932</v>
      </c>
      <c r="E12" s="13">
        <f>INDEX($AJ$8:$AJ$1122,MATCH(MAX($AM$8:$AM$1122),$AM$8:$AM$1122,0))</f>
        <v>44930</v>
      </c>
      <c r="F12" s="13">
        <f>INDEX($AX$8:$AX$1118,MATCH(MAX($AZ$8:$AZ$1118),$AZ$8:$AZ$1118,0))</f>
        <v>44929</v>
      </c>
      <c r="G12" s="13">
        <f>INDEX($BD$8:$BD$1118,MATCH(MAX($BF$8:$BF$1118),$BF$8:$BF$1118,0))</f>
        <v>44946</v>
      </c>
      <c r="H12" s="13">
        <f>INDEX($BJ$8:$BJ$1118,MATCH(MAX($BL$8:$BL$1118),$BL$8:$BL$1118,0))</f>
        <v>44932</v>
      </c>
      <c r="I12" s="13">
        <f>INDEX($BJ$8:$BJ$1118,MATCH(MAX($BL$8:$BL$1118),$BL$8:$BL$1118,0))</f>
        <v>44932</v>
      </c>
      <c r="J12" s="13">
        <f>INDEX($BJ$8:$BJ$1118,MATCH(MAX($BL$8:$BL$1118),$BL$8:$BL$1118,0))</f>
        <v>44932</v>
      </c>
      <c r="AJ12" s="46">
        <v>44942</v>
      </c>
      <c r="AK12" s="48">
        <v>20230118</v>
      </c>
      <c r="AL12" s="28">
        <v>1238</v>
      </c>
      <c r="AM12" s="28">
        <v>1239.4000000000001</v>
      </c>
      <c r="AN12" s="28">
        <v>1231.5</v>
      </c>
      <c r="AO12" s="28">
        <v>1235.3</v>
      </c>
      <c r="AP12" s="28">
        <v>-6</v>
      </c>
      <c r="AQ12" s="28">
        <v>11018</v>
      </c>
      <c r="AR12" s="29">
        <v>44942</v>
      </c>
      <c r="AS12" s="28">
        <v>102.261</v>
      </c>
      <c r="AT12" s="28">
        <v>102.26900000000001</v>
      </c>
      <c r="AU12" s="28">
        <v>101.753</v>
      </c>
      <c r="AV12" s="28">
        <v>102.054</v>
      </c>
      <c r="AW12" s="28">
        <v>-0.27900000000000003</v>
      </c>
      <c r="AX12" s="29">
        <v>44942</v>
      </c>
      <c r="AY12" s="28">
        <v>6.7009999999999996</v>
      </c>
      <c r="AZ12" s="28">
        <v>6.7065999999999999</v>
      </c>
      <c r="BA12" s="28">
        <v>6.69</v>
      </c>
      <c r="BB12" s="28">
        <v>6.7070999999999996</v>
      </c>
      <c r="BC12" s="28">
        <v>-2.5100000000000001E-2</v>
      </c>
      <c r="BD12" s="29">
        <v>44942</v>
      </c>
      <c r="BE12" s="28">
        <v>7.8094999999999999</v>
      </c>
      <c r="BF12" s="28">
        <v>7.8109000000000002</v>
      </c>
      <c r="BG12" s="28">
        <v>7.8056000000000001</v>
      </c>
      <c r="BH12" s="28">
        <v>7.8097000000000003</v>
      </c>
      <c r="BI12" s="28">
        <v>-1E-4</v>
      </c>
      <c r="BJ12" s="29">
        <v>44942</v>
      </c>
      <c r="BK12" s="28">
        <v>128.05799999999999</v>
      </c>
      <c r="BL12" s="28">
        <v>128.19499999999999</v>
      </c>
      <c r="BM12" s="28">
        <v>127.22</v>
      </c>
      <c r="BN12" s="28">
        <v>127.872</v>
      </c>
      <c r="BO12" s="28">
        <v>-1.119</v>
      </c>
      <c r="BP12" s="29">
        <v>44942</v>
      </c>
      <c r="BQ12" s="28">
        <v>0.69720000000000004</v>
      </c>
      <c r="BR12" s="28">
        <v>0.70179999999999998</v>
      </c>
      <c r="BS12" s="28">
        <v>0.69689999999999996</v>
      </c>
      <c r="BT12" s="28">
        <v>0.69799999999999995</v>
      </c>
      <c r="BU12" s="28">
        <v>1.8E-3</v>
      </c>
      <c r="BV12" s="29">
        <v>44942</v>
      </c>
      <c r="BW12" s="28">
        <v>1.3202</v>
      </c>
      <c r="BX12" s="28">
        <v>1.3204</v>
      </c>
      <c r="BY12" s="28">
        <v>1.3152999999999999</v>
      </c>
      <c r="BZ12" s="28">
        <v>1.3181</v>
      </c>
      <c r="CA12" s="30">
        <v>-5.0999999999999995E-3</v>
      </c>
      <c r="CC12" t="s">
        <v>56</v>
      </c>
      <c r="CD12" s="24" t="s">
        <v>13</v>
      </c>
      <c r="CE12" s="24">
        <f>+J17</f>
        <v>1.3407</v>
      </c>
      <c r="CF12" s="40">
        <f>_xll.IMDP("FX",$CC12,"매도")</f>
        <v>0.91600000000000004</v>
      </c>
      <c r="CG12" s="24">
        <f t="shared" si="2"/>
        <v>1.0297532254173336</v>
      </c>
      <c r="CH12" s="38">
        <v>3.5999999999999997E-2</v>
      </c>
      <c r="CI12" s="24">
        <v>0.1</v>
      </c>
      <c r="CJ12" s="37"/>
      <c r="CK12" s="54"/>
    </row>
    <row r="13" spans="1:89" x14ac:dyDescent="0.25">
      <c r="C13" s="58" t="s">
        <v>18</v>
      </c>
      <c r="D13" s="12">
        <f>MIN(AU8:AU1122)</f>
        <v>101.753</v>
      </c>
      <c r="E13" s="12">
        <f>MIN(AN8:AN1122)</f>
        <v>1230.2</v>
      </c>
      <c r="F13" s="12">
        <f>MIN(BA8:BA1122)</f>
        <v>6.69</v>
      </c>
      <c r="G13" s="12">
        <f>MIN(BG8:BG1122)</f>
        <v>7.7977999999999996</v>
      </c>
      <c r="H13" s="12">
        <f>MIN(BM8:BM1122)</f>
        <v>127.22</v>
      </c>
      <c r="I13" s="12">
        <f>MIN(BS8:BS1122)</f>
        <v>0.67210000000000003</v>
      </c>
      <c r="J13" s="12">
        <f>MIN(BY8:BY1122)</f>
        <v>1.3152999999999999</v>
      </c>
      <c r="AJ13" s="46">
        <v>44939</v>
      </c>
      <c r="AK13" s="48">
        <v>20230117</v>
      </c>
      <c r="AL13" s="28">
        <v>1238</v>
      </c>
      <c r="AM13" s="28">
        <v>1246</v>
      </c>
      <c r="AN13" s="28">
        <v>1234.5</v>
      </c>
      <c r="AO13" s="28">
        <v>1241.3</v>
      </c>
      <c r="AP13" s="28">
        <v>-4.5</v>
      </c>
      <c r="AQ13" s="28">
        <v>8712</v>
      </c>
      <c r="AR13" s="29">
        <v>44939</v>
      </c>
      <c r="AS13" s="28">
        <v>102.191</v>
      </c>
      <c r="AT13" s="28">
        <v>102.425</v>
      </c>
      <c r="AU13" s="28">
        <v>102.045</v>
      </c>
      <c r="AV13" s="28">
        <v>102.33199999999999</v>
      </c>
      <c r="AW13" s="28">
        <v>-0.81200000000000006</v>
      </c>
      <c r="AX13" s="29">
        <v>44939</v>
      </c>
      <c r="AY13" s="28">
        <v>6.7229999999999999</v>
      </c>
      <c r="AZ13" s="28">
        <v>6.7365000000000004</v>
      </c>
      <c r="BA13" s="28">
        <v>6.7146999999999997</v>
      </c>
      <c r="BB13" s="28">
        <v>6.7321999999999997</v>
      </c>
      <c r="BC13" s="28">
        <v>-2.5499999999999998E-2</v>
      </c>
      <c r="BD13" s="29">
        <v>44939</v>
      </c>
      <c r="BE13" s="28">
        <v>7.8083999999999998</v>
      </c>
      <c r="BF13" s="28">
        <v>7.8109000000000002</v>
      </c>
      <c r="BG13" s="28">
        <v>7.8074000000000003</v>
      </c>
      <c r="BH13" s="28">
        <v>7.81</v>
      </c>
      <c r="BI13" s="28">
        <v>-2.4000000000000002E-3</v>
      </c>
      <c r="BJ13" s="29">
        <v>44939</v>
      </c>
      <c r="BK13" s="28">
        <v>129.17400000000001</v>
      </c>
      <c r="BL13" s="28">
        <v>129.34</v>
      </c>
      <c r="BM13" s="28">
        <v>128.63300000000001</v>
      </c>
      <c r="BN13" s="28">
        <v>128.99199999999999</v>
      </c>
      <c r="BO13" s="28">
        <v>-2.6930000000000001</v>
      </c>
      <c r="BP13" s="29">
        <v>44939</v>
      </c>
      <c r="BQ13" s="28">
        <v>0.69669999999999999</v>
      </c>
      <c r="BR13" s="28">
        <v>0.69810000000000005</v>
      </c>
      <c r="BS13" s="28">
        <v>0.69410000000000005</v>
      </c>
      <c r="BT13" s="28">
        <v>0.69620000000000004</v>
      </c>
      <c r="BU13" s="28">
        <v>5.3E-3</v>
      </c>
      <c r="BV13" s="29">
        <v>44939</v>
      </c>
      <c r="BW13" s="28">
        <v>1.3224</v>
      </c>
      <c r="BX13" s="28">
        <v>1.3243</v>
      </c>
      <c r="BY13" s="28">
        <v>1.3203</v>
      </c>
      <c r="BZ13" s="28">
        <v>1.3231999999999999</v>
      </c>
      <c r="CA13" s="30">
        <v>-7.7999999999999996E-3</v>
      </c>
      <c r="CD13" s="36"/>
      <c r="CE13" s="36"/>
      <c r="CF13" s="36"/>
      <c r="CG13" s="36"/>
      <c r="CH13" s="36"/>
      <c r="CI13" s="36"/>
      <c r="CJ13" s="36"/>
      <c r="CK13" s="36"/>
    </row>
    <row r="14" spans="1:89" x14ac:dyDescent="0.25">
      <c r="C14" s="58"/>
      <c r="D14" s="13">
        <f>INDEX($AR$8:$AR$1122,MATCH(MIN($AU$8:$AU$1122),$AU$8:$AU$1122,0))</f>
        <v>44942</v>
      </c>
      <c r="E14" s="13">
        <f>INDEX($AJ$8:$AJ$1122,MATCH(MIN($AN$8:$AN$1122),$AN$8:$AN$1122,0))</f>
        <v>44946</v>
      </c>
      <c r="F14" s="13">
        <f>INDEX($AX$8:$AX$1122,MATCH(MAX($BA$8:$BA$1122),$BA$8:$BA$1122,0))</f>
        <v>44928</v>
      </c>
      <c r="G14" s="13">
        <f>INDEX($BD$8:$BD$1122,MATCH(MAX($BG$8:$BG$1122),$BG$8:$BG$1122,0))</f>
        <v>44946</v>
      </c>
      <c r="H14" s="13">
        <f>INDEX($BJ$8:$BJ$1122,MATCH(MAX($BM$8:$BM$1122),$BM$8:$BM$1122,0))</f>
        <v>44932</v>
      </c>
      <c r="I14" s="13">
        <f>INDEX($BP$8:$BP$1122,MATCH(MAX($BS$8:$BS$1122),$BS$8:$BS$1122,0))</f>
        <v>44944</v>
      </c>
      <c r="J14" s="13">
        <f>INDEX($BV$8:$BV$1122,MATCH(MAX($BY$8:$BY$1122),$BY$8:$BY$1122,0))</f>
        <v>44932</v>
      </c>
      <c r="AJ14" s="46">
        <v>44938</v>
      </c>
      <c r="AK14" s="48">
        <v>20230117</v>
      </c>
      <c r="AL14" s="28">
        <v>1242</v>
      </c>
      <c r="AM14" s="28">
        <v>1246.8</v>
      </c>
      <c r="AN14" s="28">
        <v>1239.8</v>
      </c>
      <c r="AO14" s="28">
        <v>1245.8</v>
      </c>
      <c r="AP14" s="28">
        <v>-0.4</v>
      </c>
      <c r="AQ14" s="28">
        <v>10846</v>
      </c>
      <c r="AR14" s="29">
        <v>44938</v>
      </c>
      <c r="AS14" s="28">
        <v>103.129</v>
      </c>
      <c r="AT14" s="28">
        <v>103.172</v>
      </c>
      <c r="AU14" s="28">
        <v>102.983</v>
      </c>
      <c r="AV14" s="28">
        <v>103.143</v>
      </c>
      <c r="AW14" s="28">
        <v>-4.0000000000000001E-3</v>
      </c>
      <c r="AX14" s="29">
        <v>44938</v>
      </c>
      <c r="AY14" s="28">
        <v>6.7530999999999999</v>
      </c>
      <c r="AZ14" s="28">
        <v>6.7602000000000002</v>
      </c>
      <c r="BA14" s="28">
        <v>6.7526000000000002</v>
      </c>
      <c r="BB14" s="28">
        <v>6.7576999999999998</v>
      </c>
      <c r="BC14" s="28">
        <v>-1.11E-2</v>
      </c>
      <c r="BD14" s="29">
        <v>44938</v>
      </c>
      <c r="BE14" s="28">
        <v>7.8112000000000004</v>
      </c>
      <c r="BF14" s="28">
        <v>7.8128000000000002</v>
      </c>
      <c r="BG14" s="28">
        <v>7.8087999999999997</v>
      </c>
      <c r="BH14" s="28">
        <v>7.8121999999999998</v>
      </c>
      <c r="BI14" s="28">
        <v>5.0000000000000001E-4</v>
      </c>
      <c r="BJ14" s="29">
        <v>44938</v>
      </c>
      <c r="BK14" s="28">
        <v>131.90299999999999</v>
      </c>
      <c r="BL14" s="28">
        <v>132.029</v>
      </c>
      <c r="BM14" s="28">
        <v>131.34</v>
      </c>
      <c r="BN14" s="28">
        <v>131.68899999999999</v>
      </c>
      <c r="BO14" s="28">
        <v>-0.64700000000000002</v>
      </c>
      <c r="BP14" s="29">
        <v>44938</v>
      </c>
      <c r="BQ14" s="28">
        <v>0.69079999999999997</v>
      </c>
      <c r="BR14" s="28">
        <v>0.69240000000000002</v>
      </c>
      <c r="BS14" s="28">
        <v>0.69030000000000002</v>
      </c>
      <c r="BT14" s="28">
        <v>0.69089999999999996</v>
      </c>
      <c r="BU14" s="28">
        <v>-8.0000000000000004E-4</v>
      </c>
      <c r="BV14" s="29">
        <v>44938</v>
      </c>
      <c r="BW14" s="28">
        <v>1.3301000000000001</v>
      </c>
      <c r="BX14" s="28">
        <v>1.3313999999999999</v>
      </c>
      <c r="BY14" s="28">
        <v>1.3291999999999999</v>
      </c>
      <c r="BZ14" s="28">
        <v>1.331</v>
      </c>
      <c r="CA14" s="30">
        <v>1.5E-3</v>
      </c>
      <c r="CD14" s="36"/>
      <c r="CE14" s="36">
        <f>+E22*CE7^CI7*CE8^CI8*CE9^CI9*CE10^CI10*CE11^CI11*CE12^CI12</f>
        <v>100.00000000000001</v>
      </c>
      <c r="CF14" s="36"/>
      <c r="CG14" s="36"/>
      <c r="CH14" s="36"/>
      <c r="CI14" s="36"/>
      <c r="CJ14" s="36"/>
      <c r="CK14" s="36"/>
    </row>
    <row r="15" spans="1:89" x14ac:dyDescent="0.25">
      <c r="C15" s="11" t="s">
        <v>38</v>
      </c>
      <c r="D15" s="14">
        <f>AVERAGE(AV8:AV1122)</f>
        <v>103.18773333333336</v>
      </c>
      <c r="E15" s="14">
        <f>AVERAGE(AO8:AO1122)</f>
        <v>1249.9933333333333</v>
      </c>
      <c r="F15" s="14">
        <f>AVERAGE(BB8:BB1122)</f>
        <v>6.7999866666666673</v>
      </c>
      <c r="G15" s="14">
        <f>AVERAGE(BH8:BH1122)</f>
        <v>7.8143466666666672</v>
      </c>
      <c r="H15" s="14">
        <f>AVERAGE(BN8:BN1122)</f>
        <v>130.58253333333332</v>
      </c>
      <c r="I15" s="14">
        <f>AVERAGE(BT8:BT1122)</f>
        <v>0.68932666666666664</v>
      </c>
      <c r="J15" s="14">
        <f>AVERAGE(BZ8:BZ1122)</f>
        <v>1.3305000000000002</v>
      </c>
      <c r="AJ15" s="46">
        <v>44937</v>
      </c>
      <c r="AK15" s="48">
        <v>20230113</v>
      </c>
      <c r="AL15" s="28">
        <v>1241.5</v>
      </c>
      <c r="AM15" s="28">
        <v>1250</v>
      </c>
      <c r="AN15" s="28">
        <v>1239.5999999999999</v>
      </c>
      <c r="AO15" s="28">
        <v>1246.2</v>
      </c>
      <c r="AP15" s="28">
        <v>1.5</v>
      </c>
      <c r="AQ15" s="28">
        <v>12948</v>
      </c>
      <c r="AR15" s="29">
        <v>44937</v>
      </c>
      <c r="AS15" s="28">
        <v>103.254</v>
      </c>
      <c r="AT15" s="28">
        <v>103.38800000000001</v>
      </c>
      <c r="AU15" s="28">
        <v>103.09</v>
      </c>
      <c r="AV15" s="28">
        <v>103.158</v>
      </c>
      <c r="AW15" s="28">
        <v>-4.1000000000000002E-2</v>
      </c>
      <c r="AX15" s="29">
        <v>44937</v>
      </c>
      <c r="AY15" s="28">
        <v>6.7835999999999999</v>
      </c>
      <c r="AZ15" s="28">
        <v>6.7869000000000002</v>
      </c>
      <c r="BA15" s="28">
        <v>6.7617000000000003</v>
      </c>
      <c r="BB15" s="28">
        <v>6.7687999999999997</v>
      </c>
      <c r="BC15" s="28">
        <v>-1.7000000000000001E-3</v>
      </c>
      <c r="BD15" s="29">
        <v>44937</v>
      </c>
      <c r="BE15" s="28">
        <v>7.8082000000000003</v>
      </c>
      <c r="BF15" s="28">
        <v>7.8136999999999999</v>
      </c>
      <c r="BG15" s="28">
        <v>7.8076999999999996</v>
      </c>
      <c r="BH15" s="28">
        <v>7.8120000000000003</v>
      </c>
      <c r="BI15" s="28">
        <v>4.2000000000000006E-3</v>
      </c>
      <c r="BJ15" s="29">
        <v>44937</v>
      </c>
      <c r="BK15" s="28">
        <v>132.10400000000001</v>
      </c>
      <c r="BL15" s="28">
        <v>132.58000000000001</v>
      </c>
      <c r="BM15" s="28">
        <v>132.06</v>
      </c>
      <c r="BN15" s="28">
        <v>132.33600000000001</v>
      </c>
      <c r="BO15" s="28">
        <v>0.37</v>
      </c>
      <c r="BP15" s="29">
        <v>44937</v>
      </c>
      <c r="BQ15" s="28">
        <v>0.68920000000000003</v>
      </c>
      <c r="BR15" s="28">
        <v>0.6925</v>
      </c>
      <c r="BS15" s="28">
        <v>0.68820000000000003</v>
      </c>
      <c r="BT15" s="28">
        <v>0.69169999999999998</v>
      </c>
      <c r="BU15" s="28">
        <v>8.9999999999999998E-4</v>
      </c>
      <c r="BV15" s="29">
        <v>44937</v>
      </c>
      <c r="BW15" s="28">
        <v>1.3317000000000001</v>
      </c>
      <c r="BX15" s="28">
        <v>1.3329</v>
      </c>
      <c r="BY15" s="28">
        <v>1.3288</v>
      </c>
      <c r="BZ15" s="28">
        <v>1.3294999999999999</v>
      </c>
      <c r="CA15" s="30">
        <v>-2E-3</v>
      </c>
    </row>
    <row r="16" spans="1:89" x14ac:dyDescent="0.25">
      <c r="C16" s="11" t="s">
        <v>39</v>
      </c>
      <c r="D16" s="13">
        <f>INDEX($AR$8:$AR$1122,MATCH(MIN($AR$8:$AR$1122),$AR$8:$AR$1122,0))</f>
        <v>44928</v>
      </c>
      <c r="E16" s="13">
        <f>INDEX($AJ$8:$AJ$1122,MATCH(MIN($AJ$8:$AJ$1122),$AJ$8:$AJ$1122,0))</f>
        <v>44928</v>
      </c>
      <c r="F16" s="13">
        <f>INDEX($AX$8:$AX$1122,MATCH(MIN($AX$8:$AX$1122),$AX$8:$AX$1122,0))</f>
        <v>44928</v>
      </c>
      <c r="G16" s="13">
        <f>INDEX($AR$8:$AR$1122,MATCH(MIN($AR$8:$AR$1122),$AR$8:$AR$1122,0))</f>
        <v>44928</v>
      </c>
      <c r="H16" s="13">
        <f>INDEX($AR$8:$AR$1122,MATCH(MIN($AR$8:$AR$1122),$AR$8:$AR$1122,0))</f>
        <v>44928</v>
      </c>
      <c r="I16" s="13">
        <f>INDEX($AR$8:$AR$1122,MATCH(MIN($AR$8:$AR$1122),$AR$8:$AR$1122,0))</f>
        <v>44928</v>
      </c>
      <c r="J16" s="13">
        <f>INDEX($AR$8:$AR$1122,MATCH(MIN($AR$8:$AR$1122),$AR$8:$AR$1122,0))</f>
        <v>44928</v>
      </c>
      <c r="AJ16" s="46">
        <v>44936</v>
      </c>
      <c r="AK16" s="48">
        <v>20230112</v>
      </c>
      <c r="AL16" s="28">
        <v>1239</v>
      </c>
      <c r="AM16" s="28">
        <v>1244.8</v>
      </c>
      <c r="AN16" s="28">
        <v>1236.4000000000001</v>
      </c>
      <c r="AO16" s="28">
        <v>1244.7</v>
      </c>
      <c r="AP16" s="28">
        <v>1.2</v>
      </c>
      <c r="AQ16" s="28">
        <v>12453</v>
      </c>
      <c r="AR16" s="29">
        <v>44936</v>
      </c>
      <c r="AS16" s="28">
        <v>103.173</v>
      </c>
      <c r="AT16" s="28">
        <v>103.318</v>
      </c>
      <c r="AU16" s="28">
        <v>103.062</v>
      </c>
      <c r="AV16" s="28">
        <v>103.19199999999999</v>
      </c>
      <c r="AW16" s="28">
        <v>-0.38500000000000001</v>
      </c>
      <c r="AX16" s="29">
        <v>44936</v>
      </c>
      <c r="AY16" s="28">
        <v>6.77</v>
      </c>
      <c r="AZ16" s="28">
        <v>6.7732000000000001</v>
      </c>
      <c r="BA16" s="28">
        <v>6.7519999999999998</v>
      </c>
      <c r="BB16" s="28">
        <v>6.7705000000000002</v>
      </c>
      <c r="BC16" s="28">
        <v>-7.1999999999999998E-3</v>
      </c>
      <c r="BD16" s="29">
        <v>44936</v>
      </c>
      <c r="BE16" s="28">
        <v>7.8053999999999997</v>
      </c>
      <c r="BF16" s="28">
        <v>7.8095999999999997</v>
      </c>
      <c r="BG16" s="28">
        <v>7.8047000000000004</v>
      </c>
      <c r="BH16" s="28">
        <v>7.8075000000000001</v>
      </c>
      <c r="BI16" s="28">
        <v>1.4E-3</v>
      </c>
      <c r="BJ16" s="29">
        <v>44936</v>
      </c>
      <c r="BK16" s="28">
        <v>131.733</v>
      </c>
      <c r="BL16" s="28">
        <v>132.22</v>
      </c>
      <c r="BM16" s="28">
        <v>131.37</v>
      </c>
      <c r="BN16" s="28">
        <v>131.97999999999999</v>
      </c>
      <c r="BO16" s="28">
        <v>0.11899999999999999</v>
      </c>
      <c r="BP16" s="29">
        <v>44936</v>
      </c>
      <c r="BQ16" s="28">
        <v>0.69089999999999996</v>
      </c>
      <c r="BR16" s="28">
        <v>0.69269999999999998</v>
      </c>
      <c r="BS16" s="28">
        <v>0.68910000000000005</v>
      </c>
      <c r="BT16" s="28">
        <v>0.69079999999999997</v>
      </c>
      <c r="BU16" s="28">
        <v>-2.4000000000000002E-3</v>
      </c>
      <c r="BV16" s="29">
        <v>44936</v>
      </c>
      <c r="BW16" s="28">
        <v>1.3304</v>
      </c>
      <c r="BX16" s="28">
        <v>1.3322000000000001</v>
      </c>
      <c r="BY16" s="28">
        <v>1.3289</v>
      </c>
      <c r="BZ16" s="28">
        <v>1.3314999999999999</v>
      </c>
      <c r="CA16" s="30">
        <v>2.0000000000000001E-4</v>
      </c>
    </row>
    <row r="17" spans="3:79" x14ac:dyDescent="0.25">
      <c r="C17" s="11" t="s">
        <v>40</v>
      </c>
      <c r="D17" s="15">
        <f>INDEX($AV$8:$AV$1122,MATCH(MIN($AR$8:$AR$1122),$AR$8:$AR$1122,0))</f>
        <v>103.554</v>
      </c>
      <c r="E17" s="15">
        <f>INDEX($AO$8:$AO$1122,MATCH(MIN($AJ$8:$AJ$1122),$AJ$8:$AJ$1122,0))</f>
        <v>1272.5999999999999</v>
      </c>
      <c r="F17" s="15">
        <f>INDEX($BB$8:$BB$1122,MATCH(MIN($AX$8:$AX$1122),$AX$8:$AX$1122,0))</f>
        <v>6.8971999999999998</v>
      </c>
      <c r="G17" s="15">
        <f>INDEX($BH$8:$BH$1122,MATCH(MIN($BD$8:$BD$1122),$BD$8:$BD$1122,0))</f>
        <v>7.8040000000000003</v>
      </c>
      <c r="H17" s="15">
        <f>INDEX($BN$8:$BN$1122,MATCH(MIN($BJ$8:$BJ$1122),$BJ$8:$BJ$1122,0))</f>
        <v>130.93600000000001</v>
      </c>
      <c r="I17" s="15">
        <f>INDEX($BT$8:$BT$1122,MATCH(MIN($BP$8:$BP$1122),$BP$8:$BP$1122,0))</f>
        <v>0.68069999999999997</v>
      </c>
      <c r="J17" s="15">
        <f>INDEX($BZ$8:$BZ$1122,MATCH(MIN($BV$8:$BV$1122),$BV$8:$BV$1122,0))</f>
        <v>1.3407</v>
      </c>
      <c r="AJ17" s="46">
        <v>44935</v>
      </c>
      <c r="AK17" s="48">
        <v>20230111</v>
      </c>
      <c r="AL17" s="28">
        <v>1255</v>
      </c>
      <c r="AM17" s="28">
        <v>1255</v>
      </c>
      <c r="AN17" s="28">
        <v>1242.8</v>
      </c>
      <c r="AO17" s="28">
        <v>1243.5</v>
      </c>
      <c r="AP17" s="28">
        <v>-25.1</v>
      </c>
      <c r="AQ17" s="28">
        <v>12438</v>
      </c>
      <c r="AR17" s="29">
        <v>44935</v>
      </c>
      <c r="AS17" s="28">
        <v>103.73399999999999</v>
      </c>
      <c r="AT17" s="28">
        <v>103.866</v>
      </c>
      <c r="AU17" s="28">
        <v>103.486</v>
      </c>
      <c r="AV17" s="28">
        <v>103.583</v>
      </c>
      <c r="AW17" s="28">
        <v>-1.6439999999999999</v>
      </c>
      <c r="AX17" s="29">
        <v>44935</v>
      </c>
      <c r="AY17" s="28">
        <v>6.8369999999999997</v>
      </c>
      <c r="AZ17" s="28">
        <v>6.8365</v>
      </c>
      <c r="BA17" s="28">
        <v>6.7750000000000004</v>
      </c>
      <c r="BB17" s="28">
        <v>6.7777000000000003</v>
      </c>
      <c r="BC17" s="28">
        <v>-7.6300000000000007E-2</v>
      </c>
      <c r="BD17" s="29">
        <v>44935</v>
      </c>
      <c r="BE17" s="28">
        <v>7.8064999999999998</v>
      </c>
      <c r="BF17" s="28">
        <v>7.8082000000000003</v>
      </c>
      <c r="BG17" s="28">
        <v>7.8052000000000001</v>
      </c>
      <c r="BH17" s="28">
        <v>7.8064</v>
      </c>
      <c r="BI17" s="28">
        <v>-1.9E-3</v>
      </c>
      <c r="BJ17" s="29">
        <v>44935</v>
      </c>
      <c r="BK17" s="28">
        <v>131.80799999999999</v>
      </c>
      <c r="BL17" s="28">
        <v>132.11000000000001</v>
      </c>
      <c r="BM17" s="28">
        <v>131.28</v>
      </c>
      <c r="BN17" s="28">
        <v>131.84800000000001</v>
      </c>
      <c r="BO17" s="28">
        <v>-2.2770000000000001</v>
      </c>
      <c r="BP17" s="29">
        <v>44935</v>
      </c>
      <c r="BQ17" s="28">
        <v>0.68759999999999999</v>
      </c>
      <c r="BR17" s="28">
        <v>0.69379999999999997</v>
      </c>
      <c r="BS17" s="28">
        <v>0.6875</v>
      </c>
      <c r="BT17" s="28">
        <v>0.69330000000000003</v>
      </c>
      <c r="BU17" s="28">
        <v>1.6500000000000001E-2</v>
      </c>
      <c r="BV17" s="29">
        <v>44935</v>
      </c>
      <c r="BW17" s="28">
        <v>1.3349</v>
      </c>
      <c r="BX17" s="28">
        <v>1.3359000000000001</v>
      </c>
      <c r="BY17" s="28">
        <v>1.3297000000000001</v>
      </c>
      <c r="BZ17" s="28">
        <v>1.3312999999999999</v>
      </c>
      <c r="CA17" s="30">
        <v>-1.4200000000000001E-2</v>
      </c>
    </row>
    <row r="18" spans="3:79" x14ac:dyDescent="0.25">
      <c r="C18" s="11" t="s">
        <v>41</v>
      </c>
      <c r="D18" s="41">
        <f>SUM(E18:J18)</f>
        <v>1.0000000000000002</v>
      </c>
      <c r="E18" s="53">
        <v>0.15</v>
      </c>
      <c r="F18" s="53">
        <v>0.15</v>
      </c>
      <c r="G18" s="53">
        <v>0.1</v>
      </c>
      <c r="H18" s="53">
        <v>0.2</v>
      </c>
      <c r="I18" s="53">
        <v>0.3</v>
      </c>
      <c r="J18" s="53">
        <v>0.1</v>
      </c>
      <c r="AJ18" s="46">
        <v>44932</v>
      </c>
      <c r="AK18" s="48">
        <v>20230110</v>
      </c>
      <c r="AL18" s="28">
        <v>1274.3</v>
      </c>
      <c r="AM18" s="28">
        <v>1274.8</v>
      </c>
      <c r="AN18" s="28">
        <v>1260.2</v>
      </c>
      <c r="AO18" s="28">
        <v>1268.5999999999999</v>
      </c>
      <c r="AP18" s="28">
        <v>-0.8</v>
      </c>
      <c r="AQ18" s="28">
        <v>12923</v>
      </c>
      <c r="AR18" s="29">
        <v>44932</v>
      </c>
      <c r="AS18" s="28">
        <v>105.126</v>
      </c>
      <c r="AT18" s="28">
        <v>105.309</v>
      </c>
      <c r="AU18" s="28">
        <v>105</v>
      </c>
      <c r="AV18" s="28">
        <v>105.217</v>
      </c>
      <c r="AW18" s="28">
        <v>1.01</v>
      </c>
      <c r="AX18" s="29">
        <v>44932</v>
      </c>
      <c r="AY18" s="28">
        <v>6.8775000000000004</v>
      </c>
      <c r="AZ18" s="28">
        <v>6.8780000000000001</v>
      </c>
      <c r="BA18" s="28">
        <v>6.8502000000000001</v>
      </c>
      <c r="BB18" s="28">
        <v>6.8540000000000001</v>
      </c>
      <c r="BC18" s="28">
        <v>-1.6299999999999999E-2</v>
      </c>
      <c r="BD18" s="29">
        <v>44932</v>
      </c>
      <c r="BE18" s="28">
        <v>7.8136999999999999</v>
      </c>
      <c r="BF18" s="28">
        <v>7.8151999999999999</v>
      </c>
      <c r="BG18" s="28">
        <v>7.8045</v>
      </c>
      <c r="BH18" s="28">
        <v>7.8083</v>
      </c>
      <c r="BI18" s="28">
        <v>-7.3999999999999995E-3</v>
      </c>
      <c r="BJ18" s="29">
        <v>44932</v>
      </c>
      <c r="BK18" s="28">
        <v>133.32400000000001</v>
      </c>
      <c r="BL18" s="28">
        <v>134.364</v>
      </c>
      <c r="BM18" s="28">
        <v>133.29</v>
      </c>
      <c r="BN18" s="28">
        <v>134.124</v>
      </c>
      <c r="BO18" s="28">
        <v>1.76</v>
      </c>
      <c r="BP18" s="29">
        <v>44932</v>
      </c>
      <c r="BQ18" s="28">
        <v>0.67520000000000002</v>
      </c>
      <c r="BR18" s="28">
        <v>0.67869999999999997</v>
      </c>
      <c r="BS18" s="28">
        <v>0.67479999999999996</v>
      </c>
      <c r="BT18" s="28">
        <v>0.67669999999999997</v>
      </c>
      <c r="BU18" s="28">
        <v>-6.0999999999999995E-3</v>
      </c>
      <c r="BV18" s="29">
        <v>44932</v>
      </c>
      <c r="BW18" s="28">
        <v>1.3455999999999999</v>
      </c>
      <c r="BX18" s="28">
        <v>1.3463000000000001</v>
      </c>
      <c r="BY18" s="28">
        <v>1.3427</v>
      </c>
      <c r="BZ18" s="28">
        <v>1.3454999999999999</v>
      </c>
      <c r="CA18" s="30">
        <v>4.8000000000000004E-3</v>
      </c>
    </row>
    <row r="19" spans="3:79" x14ac:dyDescent="0.25">
      <c r="C19" s="4"/>
      <c r="D19" s="4"/>
      <c r="E19" s="4"/>
      <c r="F19" s="6"/>
      <c r="G19" s="6"/>
      <c r="H19" s="6"/>
      <c r="I19" s="6"/>
      <c r="J19" s="6"/>
      <c r="AJ19" s="46">
        <v>44931</v>
      </c>
      <c r="AK19" s="48">
        <v>20230109</v>
      </c>
      <c r="AL19" s="28">
        <v>1271</v>
      </c>
      <c r="AM19" s="28">
        <v>1274.5</v>
      </c>
      <c r="AN19" s="28">
        <v>1267.3</v>
      </c>
      <c r="AO19" s="28">
        <v>1269.4000000000001</v>
      </c>
      <c r="AP19" s="28">
        <v>-2.2999999999999998</v>
      </c>
      <c r="AQ19" s="28">
        <v>9409</v>
      </c>
      <c r="AR19" s="29">
        <v>44931</v>
      </c>
      <c r="AS19" s="28">
        <v>104.212</v>
      </c>
      <c r="AT19" s="28">
        <v>104.324</v>
      </c>
      <c r="AU19" s="28">
        <v>103.962</v>
      </c>
      <c r="AV19" s="28">
        <v>104.206</v>
      </c>
      <c r="AW19" s="28">
        <v>-0.252</v>
      </c>
      <c r="AX19" s="29">
        <v>44931</v>
      </c>
      <c r="AY19" s="28">
        <v>6.8841000000000001</v>
      </c>
      <c r="AZ19" s="28">
        <v>6.8884999999999996</v>
      </c>
      <c r="BA19" s="28">
        <v>6.8676000000000004</v>
      </c>
      <c r="BB19" s="28">
        <v>6.8703000000000003</v>
      </c>
      <c r="BC19" s="28">
        <v>-1.9E-2</v>
      </c>
      <c r="BD19" s="29">
        <v>44931</v>
      </c>
      <c r="BE19" s="28">
        <v>7.8156999999999996</v>
      </c>
      <c r="BF19" s="28">
        <v>7.8209999999999997</v>
      </c>
      <c r="BG19" s="28">
        <v>7.8147000000000002</v>
      </c>
      <c r="BH19" s="28">
        <v>7.8154000000000003</v>
      </c>
      <c r="BI19" s="28">
        <v>-4.2000000000000006E-3</v>
      </c>
      <c r="BJ19" s="29">
        <v>44931</v>
      </c>
      <c r="BK19" s="28">
        <v>132.255</v>
      </c>
      <c r="BL19" s="28">
        <v>132.625</v>
      </c>
      <c r="BM19" s="28">
        <v>131.68</v>
      </c>
      <c r="BN19" s="28">
        <v>132.364</v>
      </c>
      <c r="BO19" s="28">
        <v>1.583</v>
      </c>
      <c r="BP19" s="29">
        <v>44931</v>
      </c>
      <c r="BQ19" s="28">
        <v>0.68279999999999996</v>
      </c>
      <c r="BR19" s="28">
        <v>0.68440000000000001</v>
      </c>
      <c r="BS19" s="28">
        <v>0.67969999999999997</v>
      </c>
      <c r="BT19" s="28">
        <v>0.68279999999999996</v>
      </c>
      <c r="BU19" s="28">
        <v>2.9000000000000002E-3</v>
      </c>
      <c r="BV19" s="29">
        <v>44931</v>
      </c>
      <c r="BW19" s="28">
        <v>1.3414999999999999</v>
      </c>
      <c r="BX19" s="28">
        <v>1.3427</v>
      </c>
      <c r="BY19" s="28">
        <v>1.3391</v>
      </c>
      <c r="BZ19" s="28">
        <v>1.3407</v>
      </c>
      <c r="CA19" s="30">
        <v>-4.0000000000000002E-4</v>
      </c>
    </row>
    <row r="20" spans="3:79" x14ac:dyDescent="0.25">
      <c r="C20" s="19" t="s">
        <v>42</v>
      </c>
      <c r="D20" s="20"/>
      <c r="E20" s="17">
        <f>$E$22*PRODUCT($E$2:$J$2)</f>
        <v>99.217239031008461</v>
      </c>
      <c r="F20" s="8"/>
      <c r="G20" s="6"/>
      <c r="H20" s="6"/>
      <c r="I20" s="6"/>
      <c r="J20" s="6"/>
      <c r="AJ20" s="46">
        <v>44930</v>
      </c>
      <c r="AK20" s="48">
        <v>20230106</v>
      </c>
      <c r="AL20" s="28">
        <v>1280.5</v>
      </c>
      <c r="AM20" s="28">
        <v>1280.9000000000001</v>
      </c>
      <c r="AN20" s="28">
        <v>1270.0999999999999</v>
      </c>
      <c r="AO20" s="28">
        <v>1271.7</v>
      </c>
      <c r="AP20" s="28">
        <v>0.7</v>
      </c>
      <c r="AQ20" s="28">
        <v>9398</v>
      </c>
      <c r="AR20" s="29">
        <v>44930</v>
      </c>
      <c r="AS20" s="28">
        <v>104.73099999999999</v>
      </c>
      <c r="AT20" s="28">
        <v>104.726</v>
      </c>
      <c r="AU20" s="28">
        <v>104.379</v>
      </c>
      <c r="AV20" s="28">
        <v>104.45699999999999</v>
      </c>
      <c r="AW20" s="28">
        <v>0.83599999999999997</v>
      </c>
      <c r="AX20" s="29">
        <v>44930</v>
      </c>
      <c r="AY20" s="28">
        <v>6.9135</v>
      </c>
      <c r="AZ20" s="28">
        <v>6.9130000000000003</v>
      </c>
      <c r="BA20" s="28">
        <v>6.883</v>
      </c>
      <c r="BB20" s="28">
        <v>6.8893000000000004</v>
      </c>
      <c r="BC20" s="28">
        <v>6.0000000000000001E-3</v>
      </c>
      <c r="BD20" s="29">
        <v>44930</v>
      </c>
      <c r="BE20" s="28">
        <v>7.8135000000000003</v>
      </c>
      <c r="BF20" s="28">
        <v>7.8202999999999996</v>
      </c>
      <c r="BG20" s="28">
        <v>7.8108000000000004</v>
      </c>
      <c r="BH20" s="28">
        <v>7.8194999999999997</v>
      </c>
      <c r="BI20" s="28">
        <v>9.2999999999999992E-3</v>
      </c>
      <c r="BJ20" s="29">
        <v>44930</v>
      </c>
      <c r="BK20" s="28">
        <v>131.291</v>
      </c>
      <c r="BL20" s="28">
        <v>131.297</v>
      </c>
      <c r="BM20" s="28">
        <v>130.56</v>
      </c>
      <c r="BN20" s="28">
        <v>130.77799999999999</v>
      </c>
      <c r="BO20" s="28">
        <v>0.98699999999999999</v>
      </c>
      <c r="BP20" s="29">
        <v>44930</v>
      </c>
      <c r="BQ20" s="28">
        <v>0.67249999999999999</v>
      </c>
      <c r="BR20" s="28">
        <v>0.68159999999999998</v>
      </c>
      <c r="BS20" s="28">
        <v>0.67210000000000003</v>
      </c>
      <c r="BT20" s="28">
        <v>0.67989999999999995</v>
      </c>
      <c r="BU20" s="28">
        <v>1E-4</v>
      </c>
      <c r="BV20" s="29">
        <v>44930</v>
      </c>
      <c r="BW20" s="28">
        <v>1.3453999999999999</v>
      </c>
      <c r="BX20" s="28">
        <v>1.3453999999999999</v>
      </c>
      <c r="BY20" s="28">
        <v>1.3409</v>
      </c>
      <c r="BZ20" s="28">
        <v>1.3411</v>
      </c>
      <c r="CA20" s="30">
        <v>3.2000000000000002E-3</v>
      </c>
    </row>
    <row r="21" spans="3:79" x14ac:dyDescent="0.25">
      <c r="C21" s="21" t="s">
        <v>43</v>
      </c>
      <c r="D21" s="20"/>
      <c r="E21" s="17">
        <f>$E$22*PRODUCT($E$3:$J$3)</f>
        <v>100</v>
      </c>
      <c r="F21" s="8"/>
      <c r="G21" s="6"/>
      <c r="H21" s="6"/>
      <c r="I21" s="6"/>
      <c r="J21" s="6"/>
      <c r="AJ21" s="46">
        <v>44929</v>
      </c>
      <c r="AK21" s="48">
        <v>20230105</v>
      </c>
      <c r="AL21" s="28">
        <v>1270</v>
      </c>
      <c r="AM21" s="28">
        <v>1278.4000000000001</v>
      </c>
      <c r="AN21" s="28">
        <v>1264.9000000000001</v>
      </c>
      <c r="AO21" s="28">
        <v>1271</v>
      </c>
      <c r="AP21" s="28">
        <v>-1.6</v>
      </c>
      <c r="AQ21" s="28">
        <v>9554</v>
      </c>
      <c r="AR21" s="29">
        <v>44929</v>
      </c>
      <c r="AS21" s="28">
        <v>103.661</v>
      </c>
      <c r="AT21" s="28">
        <v>103.818</v>
      </c>
      <c r="AU21" s="28">
        <v>103.44799999999999</v>
      </c>
      <c r="AV21" s="28">
        <v>103.623</v>
      </c>
      <c r="AW21" s="28">
        <v>8.3000000000000004E-2</v>
      </c>
      <c r="AX21" s="29">
        <v>44929</v>
      </c>
      <c r="AY21" s="28">
        <v>6.9135</v>
      </c>
      <c r="AZ21" s="28">
        <v>6.9226999999999999</v>
      </c>
      <c r="BA21" s="28">
        <v>6.875</v>
      </c>
      <c r="BB21" s="28">
        <v>6.8833000000000002</v>
      </c>
      <c r="BC21" s="28">
        <v>-1.3899999999999999E-2</v>
      </c>
      <c r="BD21" s="29">
        <v>44929</v>
      </c>
      <c r="BE21" s="28">
        <v>7.8051000000000004</v>
      </c>
      <c r="BF21" s="28">
        <v>7.8140999999999998</v>
      </c>
      <c r="BG21" s="28">
        <v>7.8029999999999999</v>
      </c>
      <c r="BH21" s="28">
        <v>7.8105000000000002</v>
      </c>
      <c r="BI21" s="28">
        <v>6.8000000000000005E-3</v>
      </c>
      <c r="BJ21" s="29">
        <v>44929</v>
      </c>
      <c r="BK21" s="28">
        <v>130.79599999999999</v>
      </c>
      <c r="BL21" s="28">
        <v>130.9</v>
      </c>
      <c r="BM21" s="28">
        <v>129.48699999999999</v>
      </c>
      <c r="BN21" s="28">
        <v>129.79</v>
      </c>
      <c r="BO21" s="28">
        <v>-1.1180000000000001</v>
      </c>
      <c r="BP21" s="29">
        <v>44929</v>
      </c>
      <c r="BQ21" s="28">
        <v>0.68069999999999997</v>
      </c>
      <c r="BR21" s="28">
        <v>0.68340000000000001</v>
      </c>
      <c r="BS21" s="28">
        <v>0.67679999999999996</v>
      </c>
      <c r="BT21" s="28">
        <v>0.67979999999999996</v>
      </c>
      <c r="BU21" s="28">
        <v>-5.0000000000000001E-4</v>
      </c>
      <c r="BV21" s="29">
        <v>44929</v>
      </c>
      <c r="BW21" s="28">
        <v>1.3407</v>
      </c>
      <c r="BX21" s="28">
        <v>1.3420000000000001</v>
      </c>
      <c r="BY21" s="28">
        <v>1.3363</v>
      </c>
      <c r="BZ21" s="28">
        <v>1.3379000000000001</v>
      </c>
      <c r="CA21" s="30">
        <v>-2.5999999999999999E-3</v>
      </c>
    </row>
    <row r="22" spans="3:79" x14ac:dyDescent="0.25">
      <c r="C22" s="22" t="s">
        <v>44</v>
      </c>
      <c r="D22" s="23"/>
      <c r="E22" s="18">
        <f>100/PRODUCT($E$3:$J$3)</f>
        <v>8.574955267547324</v>
      </c>
      <c r="F22" s="4"/>
      <c r="G22" s="4"/>
      <c r="H22" s="4"/>
      <c r="I22" s="4"/>
      <c r="J22" s="4"/>
      <c r="AJ22" s="46">
        <v>44928</v>
      </c>
      <c r="AK22" s="48">
        <v>20230104</v>
      </c>
      <c r="AL22" s="28">
        <v>1261</v>
      </c>
      <c r="AM22" s="28">
        <v>1273</v>
      </c>
      <c r="AN22" s="28">
        <v>1260.8</v>
      </c>
      <c r="AO22" s="28">
        <v>1272.5999999999999</v>
      </c>
      <c r="AP22" s="28">
        <v>6.7</v>
      </c>
      <c r="AQ22" s="28">
        <v>5687</v>
      </c>
      <c r="AR22" s="29">
        <v>44928</v>
      </c>
      <c r="AS22" s="28">
        <v>103.453</v>
      </c>
      <c r="AT22" s="28">
        <v>103.563</v>
      </c>
      <c r="AU22" s="28">
        <v>103.402</v>
      </c>
      <c r="AV22" s="28">
        <v>103.554</v>
      </c>
      <c r="AW22" s="28">
        <v>-0.50900000000000001</v>
      </c>
      <c r="AX22" s="29">
        <v>44928</v>
      </c>
      <c r="AY22" s="28">
        <v>6.8971999999999998</v>
      </c>
      <c r="AZ22" s="28">
        <v>6.8967000000000001</v>
      </c>
      <c r="BA22" s="28">
        <v>6.8967000000000001</v>
      </c>
      <c r="BB22" s="28">
        <v>6.8971999999999998</v>
      </c>
      <c r="BC22" s="28">
        <v>-5.6800000000000003E-2</v>
      </c>
      <c r="BD22" s="29">
        <v>44928</v>
      </c>
      <c r="BE22" s="28">
        <v>7.8095999999999997</v>
      </c>
      <c r="BF22" s="28">
        <v>7.8094999999999999</v>
      </c>
      <c r="BG22" s="28">
        <v>7.7977999999999996</v>
      </c>
      <c r="BH22" s="28">
        <v>7.8040000000000003</v>
      </c>
      <c r="BI22" s="28">
        <v>6.9000000000000008E-3</v>
      </c>
      <c r="BJ22" s="29">
        <v>44928</v>
      </c>
      <c r="BK22" s="28">
        <v>131.13</v>
      </c>
      <c r="BL22" s="28">
        <v>131.10499999999999</v>
      </c>
      <c r="BM22" s="28">
        <v>130.82900000000001</v>
      </c>
      <c r="BN22" s="28">
        <v>130.93600000000001</v>
      </c>
      <c r="BO22" s="28">
        <v>-1.64</v>
      </c>
      <c r="BP22" s="29">
        <v>44928</v>
      </c>
      <c r="BQ22" s="28">
        <v>0.68140000000000001</v>
      </c>
      <c r="BR22" s="28">
        <v>0.68159999999999998</v>
      </c>
      <c r="BS22" s="28">
        <v>0.68010000000000004</v>
      </c>
      <c r="BT22" s="28">
        <v>0.68069999999999997</v>
      </c>
      <c r="BU22" s="28">
        <v>3.0999999999999999E-3</v>
      </c>
      <c r="BV22" s="29">
        <v>44928</v>
      </c>
      <c r="BW22" s="28">
        <v>1.34</v>
      </c>
      <c r="BX22" s="28">
        <v>1.3409</v>
      </c>
      <c r="BY22" s="28">
        <v>1.3380000000000001</v>
      </c>
      <c r="BZ22" s="28">
        <v>1.3407</v>
      </c>
      <c r="CA22" s="30">
        <v>-2.7000000000000001E-3</v>
      </c>
    </row>
    <row r="23" spans="3:79" x14ac:dyDescent="0.25">
      <c r="C23" s="4"/>
      <c r="D23" s="4"/>
      <c r="AJ23" s="46"/>
      <c r="AK23" s="48"/>
      <c r="AL23" s="28"/>
      <c r="AM23" s="28"/>
      <c r="AN23" s="28"/>
      <c r="AO23" s="28"/>
      <c r="AP23" s="28"/>
      <c r="AQ23" s="28"/>
      <c r="AR23" s="29"/>
      <c r="AS23" s="28"/>
      <c r="AT23" s="28"/>
      <c r="AU23" s="28"/>
      <c r="AV23" s="28"/>
      <c r="AW23" s="28"/>
      <c r="AX23" s="29"/>
      <c r="AY23" s="28"/>
      <c r="AZ23" s="28"/>
      <c r="BA23" s="28"/>
      <c r="BB23" s="28"/>
      <c r="BC23" s="28"/>
      <c r="BD23" s="29"/>
      <c r="BE23" s="28"/>
      <c r="BF23" s="28"/>
      <c r="BG23" s="28"/>
      <c r="BH23" s="28"/>
      <c r="BI23" s="28"/>
      <c r="BJ23" s="29"/>
      <c r="BK23" s="28"/>
      <c r="BL23" s="28"/>
      <c r="BM23" s="28"/>
      <c r="BN23" s="28"/>
      <c r="BO23" s="28"/>
      <c r="BP23" s="29"/>
      <c r="BQ23" s="28"/>
      <c r="BR23" s="28"/>
      <c r="BS23" s="28"/>
      <c r="BT23" s="28"/>
      <c r="BU23" s="28"/>
      <c r="BV23" s="29"/>
      <c r="BW23" s="28"/>
      <c r="BX23" s="28"/>
      <c r="BY23" s="28"/>
      <c r="BZ23" s="28"/>
      <c r="CA23" s="30"/>
    </row>
    <row r="24" spans="3:79" x14ac:dyDescent="0.25">
      <c r="C24" s="4"/>
      <c r="D24" s="4"/>
      <c r="E24" s="4"/>
      <c r="F24" s="4"/>
      <c r="G24" s="4"/>
      <c r="H24" s="4"/>
      <c r="I24" s="4"/>
      <c r="J24" s="4"/>
      <c r="AJ24" s="46"/>
      <c r="AK24" s="48"/>
      <c r="AL24" s="28"/>
      <c r="AM24" s="28"/>
      <c r="AN24" s="28"/>
      <c r="AO24" s="28"/>
      <c r="AP24" s="28"/>
      <c r="AQ24" s="28"/>
      <c r="AR24" s="29"/>
      <c r="AS24" s="28"/>
      <c r="AT24" s="28"/>
      <c r="AU24" s="28"/>
      <c r="AV24" s="28"/>
      <c r="AW24" s="28"/>
      <c r="AX24" s="29"/>
      <c r="AY24" s="28"/>
      <c r="AZ24" s="28"/>
      <c r="BA24" s="28"/>
      <c r="BB24" s="28"/>
      <c r="BC24" s="28"/>
      <c r="BD24" s="29"/>
      <c r="BE24" s="28"/>
      <c r="BF24" s="28"/>
      <c r="BG24" s="28"/>
      <c r="BH24" s="28"/>
      <c r="BI24" s="28"/>
      <c r="BJ24" s="29"/>
      <c r="BK24" s="28"/>
      <c r="BL24" s="28"/>
      <c r="BM24" s="28"/>
      <c r="BN24" s="28"/>
      <c r="BO24" s="28"/>
      <c r="BP24" s="29"/>
      <c r="BQ24" s="28"/>
      <c r="BR24" s="28"/>
      <c r="BS24" s="28"/>
      <c r="BT24" s="28"/>
      <c r="BU24" s="28"/>
      <c r="BV24" s="29"/>
      <c r="BW24" s="28"/>
      <c r="BX24" s="28"/>
      <c r="BY24" s="28"/>
      <c r="BZ24" s="28"/>
      <c r="CA24" s="30"/>
    </row>
    <row r="25" spans="3:79" x14ac:dyDescent="0.25">
      <c r="C25" s="24" t="s">
        <v>45</v>
      </c>
      <c r="D25" s="4"/>
      <c r="E25" s="4"/>
      <c r="F25" s="4"/>
      <c r="G25" s="4"/>
      <c r="H25" s="4"/>
      <c r="I25" s="4"/>
      <c r="J25" s="4"/>
      <c r="AJ25" s="46"/>
      <c r="AK25" s="48"/>
      <c r="AL25" s="28"/>
      <c r="AM25" s="28"/>
      <c r="AN25" s="28"/>
      <c r="AO25" s="28"/>
      <c r="AP25" s="28"/>
      <c r="AQ25" s="28"/>
      <c r="AR25" s="29"/>
      <c r="AS25" s="28"/>
      <c r="AT25" s="28"/>
      <c r="AU25" s="28"/>
      <c r="AV25" s="28"/>
      <c r="AW25" s="28"/>
      <c r="AX25" s="29"/>
      <c r="AY25" s="28"/>
      <c r="AZ25" s="28"/>
      <c r="BA25" s="28"/>
      <c r="BB25" s="28"/>
      <c r="BC25" s="28"/>
      <c r="BD25" s="29"/>
      <c r="BE25" s="28"/>
      <c r="BF25" s="28"/>
      <c r="BG25" s="28"/>
      <c r="BH25" s="28"/>
      <c r="BI25" s="28"/>
      <c r="BJ25" s="29"/>
      <c r="BK25" s="28"/>
      <c r="BL25" s="28"/>
      <c r="BM25" s="28"/>
      <c r="BN25" s="28"/>
      <c r="BO25" s="28"/>
      <c r="BP25" s="29"/>
      <c r="BQ25" s="28"/>
      <c r="BR25" s="28"/>
      <c r="BS25" s="28"/>
      <c r="BT25" s="28"/>
      <c r="BU25" s="28"/>
      <c r="BV25" s="29"/>
      <c r="BW25" s="28"/>
      <c r="BX25" s="28"/>
      <c r="BY25" s="28"/>
      <c r="BZ25" s="28"/>
      <c r="CA25" s="30"/>
    </row>
    <row r="26" spans="3:79" x14ac:dyDescent="0.25">
      <c r="C26" s="24"/>
      <c r="D26" s="4"/>
      <c r="E26" s="4"/>
      <c r="F26" s="4"/>
      <c r="G26" s="4"/>
      <c r="H26" s="4"/>
      <c r="I26" s="4"/>
      <c r="J26" s="4"/>
      <c r="AJ26" s="46"/>
      <c r="AK26" s="48"/>
      <c r="AL26" s="28"/>
      <c r="AM26" s="28"/>
      <c r="AN26" s="28"/>
      <c r="AO26" s="28"/>
      <c r="AP26" s="28"/>
      <c r="AQ26" s="28"/>
      <c r="AR26" s="29"/>
      <c r="AS26" s="28"/>
      <c r="AT26" s="28"/>
      <c r="AU26" s="28"/>
      <c r="AV26" s="28"/>
      <c r="AW26" s="28"/>
      <c r="AX26" s="29"/>
      <c r="AY26" s="28"/>
      <c r="AZ26" s="28"/>
      <c r="BA26" s="28"/>
      <c r="BB26" s="28"/>
      <c r="BC26" s="28"/>
      <c r="BD26" s="29"/>
      <c r="BE26" s="28"/>
      <c r="BF26" s="28"/>
      <c r="BG26" s="28"/>
      <c r="BH26" s="28"/>
      <c r="BI26" s="28"/>
      <c r="BJ26" s="29"/>
      <c r="BK26" s="28"/>
      <c r="BL26" s="28"/>
      <c r="BM26" s="28"/>
      <c r="BN26" s="28"/>
      <c r="BO26" s="28"/>
      <c r="BP26" s="29"/>
      <c r="BQ26" s="28"/>
      <c r="BR26" s="28"/>
      <c r="BS26" s="28"/>
      <c r="BT26" s="28"/>
      <c r="BU26" s="28"/>
      <c r="BV26" s="29"/>
      <c r="BW26" s="28"/>
      <c r="BX26" s="28"/>
      <c r="BY26" s="28"/>
      <c r="BZ26" s="28"/>
      <c r="CA26" s="30"/>
    </row>
    <row r="27" spans="3:79" ht="14.25" thickBot="1" x14ac:dyDescent="0.3">
      <c r="C27" s="24" t="s">
        <v>46</v>
      </c>
      <c r="D27" s="4"/>
      <c r="E27" s="4"/>
      <c r="F27" s="4"/>
      <c r="G27" s="4"/>
      <c r="H27" s="4"/>
      <c r="I27" s="4"/>
      <c r="J27" s="4"/>
      <c r="AJ27" s="47"/>
      <c r="AK27" s="49"/>
      <c r="AL27" s="31"/>
      <c r="AM27" s="31"/>
      <c r="AN27" s="31"/>
      <c r="AO27" s="31"/>
      <c r="AP27" s="31"/>
      <c r="AQ27" s="31"/>
      <c r="AR27" s="32"/>
      <c r="AS27" s="31"/>
      <c r="AT27" s="31"/>
      <c r="AU27" s="31"/>
      <c r="AV27" s="31"/>
      <c r="AW27" s="31"/>
      <c r="AX27" s="32"/>
      <c r="AY27" s="31"/>
      <c r="AZ27" s="31"/>
      <c r="BA27" s="31"/>
      <c r="BB27" s="31"/>
      <c r="BC27" s="31"/>
      <c r="BD27" s="32"/>
      <c r="BE27" s="31"/>
      <c r="BF27" s="31"/>
      <c r="BG27" s="31"/>
      <c r="BH27" s="31"/>
      <c r="BI27" s="31"/>
      <c r="BJ27" s="32"/>
      <c r="BK27" s="31"/>
      <c r="BL27" s="31"/>
      <c r="BM27" s="31"/>
      <c r="BN27" s="31"/>
      <c r="BO27" s="31"/>
      <c r="BP27" s="32"/>
      <c r="BQ27" s="31"/>
      <c r="BR27" s="31"/>
      <c r="BS27" s="31"/>
      <c r="BT27" s="31"/>
      <c r="BU27" s="31"/>
      <c r="BV27" s="32"/>
      <c r="BW27" s="31"/>
      <c r="BX27" s="31"/>
      <c r="BY27" s="31"/>
      <c r="BZ27" s="31"/>
      <c r="CA27" s="33"/>
    </row>
    <row r="28" spans="3:79" x14ac:dyDescent="0.25">
      <c r="C28" s="24" t="s">
        <v>47</v>
      </c>
      <c r="D28" s="4"/>
      <c r="E28" s="4"/>
      <c r="F28" s="4"/>
      <c r="G28" s="4"/>
      <c r="H28" s="4"/>
      <c r="I28" s="4"/>
      <c r="J28" s="4"/>
    </row>
    <row r="29" spans="3:79" x14ac:dyDescent="0.25">
      <c r="C29" s="24" t="s">
        <v>48</v>
      </c>
      <c r="D29" s="4"/>
      <c r="E29" s="4"/>
      <c r="F29" s="4"/>
      <c r="G29" s="4"/>
      <c r="H29" s="4"/>
      <c r="I29" s="4"/>
      <c r="J29" s="4"/>
    </row>
  </sheetData>
  <mergeCells count="2">
    <mergeCell ref="C11:C12"/>
    <mergeCell ref="C13:C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FX_INDEX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2015-09-16T01:26:53Z</dcterms:created>
  <dcterms:modified xsi:type="dcterms:W3CDTF">2023-01-20T00:19:46Z</dcterms:modified>
</cp:coreProperties>
</file>