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480" yWindow="120" windowWidth="24000" windowHeight="11430"/>
  </bookViews>
  <sheets>
    <sheet name="주요통화 시세" sheetId="3" r:id="rId1"/>
  </sheets>
  <calcPr calcId="145621"/>
</workbook>
</file>

<file path=xl/calcChain.xml><?xml version="1.0" encoding="utf-8"?>
<calcChain xmlns="http://schemas.openxmlformats.org/spreadsheetml/2006/main">
  <c r="X4" i="3" l="1"/>
  <c r="BV11" i="3"/>
  <c r="BV10" i="3"/>
  <c r="BU20" i="3"/>
  <c r="BV21" i="3"/>
  <c r="BU19" i="3"/>
  <c r="BU21" i="3"/>
  <c r="BV19" i="3"/>
  <c r="BW21" i="3" l="1"/>
  <c r="CA7" i="3"/>
  <c r="BV13" i="3"/>
  <c r="BV12" i="3"/>
  <c r="BV9" i="3"/>
  <c r="BW13" i="3"/>
  <c r="BW12" i="3"/>
  <c r="BW11" i="3"/>
  <c r="BW10" i="3"/>
  <c r="BW9" i="3"/>
  <c r="Y6" i="3"/>
  <c r="CV7" i="3" s="1"/>
  <c r="U6" i="3"/>
  <c r="CR7" i="3" s="1"/>
  <c r="V6" i="3"/>
  <c r="W6" i="3"/>
  <c r="CT7" i="3" s="1"/>
  <c r="X6" i="3"/>
  <c r="CU7" i="3" s="1"/>
  <c r="C9" i="3"/>
  <c r="CA9" i="3" s="1"/>
  <c r="C10" i="3"/>
  <c r="C11" i="3"/>
  <c r="CA11" i="3" s="1"/>
  <c r="C12" i="3"/>
  <c r="CA12" i="3" s="1"/>
  <c r="C13" i="3"/>
  <c r="CA13" i="3" s="1"/>
  <c r="C14" i="3"/>
  <c r="C15" i="3"/>
  <c r="CA15" i="3" s="1"/>
  <c r="C16" i="3"/>
  <c r="CA16" i="3" s="1"/>
  <c r="C17" i="3"/>
  <c r="CA17" i="3" s="1"/>
  <c r="C18" i="3"/>
  <c r="C19" i="3"/>
  <c r="CA19" i="3" s="1"/>
  <c r="C20" i="3"/>
  <c r="CA20" i="3" s="1"/>
  <c r="C21" i="3"/>
  <c r="CA21" i="3" s="1"/>
  <c r="C22" i="3"/>
  <c r="C23" i="3"/>
  <c r="C24" i="3"/>
  <c r="CA24" i="3" s="1"/>
  <c r="C25" i="3"/>
  <c r="CA25" i="3" s="1"/>
  <c r="C26" i="3"/>
  <c r="C27" i="3"/>
  <c r="CA27" i="3" s="1"/>
  <c r="C28" i="3"/>
  <c r="CA28" i="3" s="1"/>
  <c r="C8" i="3"/>
  <c r="F6" i="3"/>
  <c r="G6" i="3"/>
  <c r="CD7" i="3" s="1"/>
  <c r="H6" i="3"/>
  <c r="CE7" i="3" s="1"/>
  <c r="I6" i="3"/>
  <c r="CF7" i="3" s="1"/>
  <c r="J6" i="3"/>
  <c r="K6" i="3"/>
  <c r="CH7" i="3" s="1"/>
  <c r="L6" i="3"/>
  <c r="CI7" i="3" s="1"/>
  <c r="M6" i="3"/>
  <c r="CJ7" i="3" s="1"/>
  <c r="N6" i="3"/>
  <c r="O6" i="3"/>
  <c r="CL7" i="3" s="1"/>
  <c r="P6" i="3"/>
  <c r="CM7" i="3" s="1"/>
  <c r="Q6" i="3"/>
  <c r="CN7" i="3" s="1"/>
  <c r="R6" i="3"/>
  <c r="S6" i="3"/>
  <c r="CP7" i="3" s="1"/>
  <c r="T6" i="3"/>
  <c r="CQ7" i="3" s="1"/>
  <c r="E6" i="3"/>
  <c r="H13" i="3"/>
  <c r="Q20" i="3"/>
  <c r="E13" i="3"/>
  <c r="O28" i="3"/>
  <c r="P17" i="3"/>
  <c r="H23" i="3"/>
  <c r="L24" i="3"/>
  <c r="S17" i="3"/>
  <c r="O25" i="3"/>
  <c r="S19" i="3"/>
  <c r="H11" i="3"/>
  <c r="W28" i="3"/>
  <c r="E20" i="3"/>
  <c r="M19" i="3"/>
  <c r="I17" i="3"/>
  <c r="K9" i="3"/>
  <c r="P19" i="3"/>
  <c r="E21" i="3"/>
  <c r="K27" i="3"/>
  <c r="G24" i="3"/>
  <c r="O17" i="3"/>
  <c r="Y21" i="3"/>
  <c r="L20" i="3"/>
  <c r="M27" i="3"/>
  <c r="Y13" i="3"/>
  <c r="U19" i="3"/>
  <c r="W17" i="3"/>
  <c r="G12" i="3"/>
  <c r="T17" i="3"/>
  <c r="U25" i="3"/>
  <c r="X12" i="3"/>
  <c r="T21" i="3"/>
  <c r="S12" i="3"/>
  <c r="X13" i="3"/>
  <c r="U17" i="3"/>
  <c r="S11" i="3"/>
  <c r="O8" i="3"/>
  <c r="H25" i="3"/>
  <c r="X8" i="3"/>
  <c r="M20" i="3"/>
  <c r="T23" i="3"/>
  <c r="T11" i="3"/>
  <c r="I15" i="3"/>
  <c r="BU16" i="3"/>
  <c r="S8" i="3"/>
  <c r="H17" i="3"/>
  <c r="W23" i="3"/>
  <c r="L25" i="3"/>
  <c r="W13" i="3"/>
  <c r="S23" i="3"/>
  <c r="W20" i="3"/>
  <c r="G19" i="3"/>
  <c r="Q9" i="3"/>
  <c r="M12" i="3"/>
  <c r="K11" i="3"/>
  <c r="H12" i="3"/>
  <c r="L23" i="3"/>
  <c r="H20" i="3"/>
  <c r="Y8" i="3"/>
  <c r="S27" i="3"/>
  <c r="O9" i="3"/>
  <c r="K19" i="3"/>
  <c r="E23" i="3"/>
  <c r="Y24" i="3"/>
  <c r="I27" i="3"/>
  <c r="M25" i="3"/>
  <c r="W27" i="3"/>
  <c r="Y11" i="3"/>
  <c r="X27" i="3"/>
  <c r="H24" i="3"/>
  <c r="S28" i="3"/>
  <c r="Q8" i="3"/>
  <c r="G8" i="3"/>
  <c r="P9" i="3"/>
  <c r="E11" i="3"/>
  <c r="S25" i="3"/>
  <c r="I9" i="3"/>
  <c r="Y20" i="3"/>
  <c r="U24" i="3"/>
  <c r="M28" i="3"/>
  <c r="G16" i="3"/>
  <c r="W25" i="3"/>
  <c r="O12" i="3"/>
  <c r="O16" i="3"/>
  <c r="W24" i="3"/>
  <c r="X15" i="3"/>
  <c r="T24" i="3"/>
  <c r="M11" i="3"/>
  <c r="X16" i="3"/>
  <c r="S15" i="3"/>
  <c r="L27" i="3"/>
  <c r="L9" i="3"/>
  <c r="Y27" i="3"/>
  <c r="I13" i="3"/>
  <c r="P15" i="3"/>
  <c r="P13" i="3"/>
  <c r="P20" i="3"/>
  <c r="K23" i="3"/>
  <c r="E17" i="3"/>
  <c r="K8" i="3"/>
  <c r="W8" i="3"/>
  <c r="W11" i="3"/>
  <c r="P16" i="3"/>
  <c r="T8" i="3"/>
  <c r="G9" i="3"/>
  <c r="X21" i="3"/>
  <c r="H9" i="3"/>
  <c r="W16" i="3"/>
  <c r="I23" i="3"/>
  <c r="M16" i="3"/>
  <c r="E16" i="3"/>
  <c r="W9" i="3"/>
  <c r="H21" i="3"/>
  <c r="X28" i="3"/>
  <c r="L11" i="3"/>
  <c r="Q24" i="3"/>
  <c r="G21" i="3"/>
  <c r="X19" i="3"/>
  <c r="K17" i="3"/>
  <c r="O19" i="3"/>
  <c r="U13" i="3"/>
  <c r="U12" i="3"/>
  <c r="Q15" i="3"/>
  <c r="H15" i="3"/>
  <c r="Q12" i="3"/>
  <c r="Q16" i="3"/>
  <c r="P25" i="3"/>
  <c r="G11" i="3"/>
  <c r="O27" i="3"/>
  <c r="E8" i="3"/>
  <c r="L8" i="3"/>
  <c r="Y23" i="3"/>
  <c r="P27" i="3"/>
  <c r="K25" i="3"/>
  <c r="U20" i="3"/>
  <c r="H8" i="3"/>
  <c r="U8" i="3"/>
  <c r="G20" i="3"/>
  <c r="T25" i="3"/>
  <c r="Y12" i="3"/>
  <c r="L12" i="3"/>
  <c r="G15" i="3"/>
  <c r="W19" i="3"/>
  <c r="M9" i="3"/>
  <c r="G13" i="3"/>
  <c r="O20" i="3"/>
  <c r="S16" i="3"/>
  <c r="W21" i="3"/>
  <c r="K13" i="3"/>
  <c r="K15" i="3"/>
  <c r="O15" i="3"/>
  <c r="K20" i="3"/>
  <c r="L28" i="3"/>
  <c r="M15" i="3"/>
  <c r="H19" i="3"/>
  <c r="I24" i="3"/>
  <c r="M24" i="3"/>
  <c r="U28" i="3"/>
  <c r="M21" i="3"/>
  <c r="BU17" i="3"/>
  <c r="P21" i="3"/>
  <c r="G28" i="3"/>
  <c r="Y28" i="3"/>
  <c r="I21" i="3"/>
  <c r="P12" i="3"/>
  <c r="T15" i="3"/>
  <c r="P23" i="3"/>
  <c r="Y17" i="3"/>
  <c r="W12" i="3"/>
  <c r="T12" i="3"/>
  <c r="E19" i="3"/>
  <c r="I11" i="3"/>
  <c r="E12" i="3"/>
  <c r="U18" i="3"/>
  <c r="U16" i="3"/>
  <c r="G22" i="3"/>
  <c r="L15" i="3"/>
  <c r="K12" i="3"/>
  <c r="X20" i="3"/>
  <c r="P24" i="3"/>
  <c r="Q19" i="3"/>
  <c r="F28" i="3"/>
  <c r="Q27" i="3"/>
  <c r="T9" i="3"/>
  <c r="Q13" i="3"/>
  <c r="X9" i="3"/>
  <c r="P28" i="3"/>
  <c r="E15" i="3"/>
  <c r="T28" i="3"/>
  <c r="G23" i="3"/>
  <c r="S9" i="3"/>
  <c r="M17" i="3"/>
  <c r="L16" i="3"/>
  <c r="U21" i="3"/>
  <c r="K16" i="3"/>
  <c r="M8" i="3"/>
  <c r="K10" i="3"/>
  <c r="I20" i="3"/>
  <c r="Q17" i="3"/>
  <c r="W14" i="3"/>
  <c r="K24" i="3"/>
  <c r="G25" i="3"/>
  <c r="H27" i="3"/>
  <c r="M13" i="3"/>
  <c r="V11" i="3"/>
  <c r="Y25" i="3"/>
  <c r="L17" i="3"/>
  <c r="E28" i="3"/>
  <c r="F27" i="3"/>
  <c r="P11" i="3"/>
  <c r="S24" i="3"/>
  <c r="G26" i="3"/>
  <c r="BV20" i="3"/>
  <c r="J28" i="3"/>
  <c r="I14" i="3"/>
  <c r="N11" i="3"/>
  <c r="Y26" i="3"/>
  <c r="L26" i="3"/>
  <c r="J23" i="3"/>
  <c r="H16" i="3"/>
  <c r="Q21" i="3"/>
  <c r="X25" i="3"/>
  <c r="Q23" i="3"/>
  <c r="T27" i="3"/>
  <c r="I19" i="3"/>
  <c r="I28" i="3"/>
  <c r="T19" i="3"/>
  <c r="Y16" i="3"/>
  <c r="V12" i="3"/>
  <c r="S13" i="3"/>
  <c r="X23" i="3"/>
  <c r="E25" i="3"/>
  <c r="O11" i="3"/>
  <c r="I12" i="3"/>
  <c r="I18" i="3"/>
  <c r="H28" i="3"/>
  <c r="P22" i="3"/>
  <c r="T13" i="3"/>
  <c r="W10" i="3"/>
  <c r="N20" i="3"/>
  <c r="N13" i="3"/>
  <c r="N12" i="3"/>
  <c r="E27" i="3"/>
  <c r="T16" i="3"/>
  <c r="S21" i="3"/>
  <c r="W15" i="3"/>
  <c r="O24" i="3"/>
  <c r="BV16" i="3"/>
  <c r="Q10" i="3"/>
  <c r="O10" i="3"/>
  <c r="X24" i="3"/>
  <c r="X11" i="3"/>
  <c r="Q28" i="3"/>
  <c r="J22" i="3"/>
  <c r="L21" i="3"/>
  <c r="U15" i="3"/>
  <c r="K28" i="3"/>
  <c r="E24" i="3"/>
  <c r="Q11" i="3"/>
  <c r="L13" i="3"/>
  <c r="O13" i="3"/>
  <c r="S20" i="3"/>
  <c r="G27" i="3"/>
  <c r="I16" i="3"/>
  <c r="U9" i="3"/>
  <c r="L19" i="3"/>
  <c r="Y9" i="3"/>
  <c r="I8" i="3"/>
  <c r="P8" i="3"/>
  <c r="O23" i="3"/>
  <c r="T14" i="3"/>
  <c r="T20" i="3"/>
  <c r="O21" i="3"/>
  <c r="E9" i="3"/>
  <c r="I22" i="3"/>
  <c r="G17" i="3"/>
  <c r="N16" i="3"/>
  <c r="U23" i="3"/>
  <c r="I25" i="3"/>
  <c r="X17" i="3"/>
  <c r="U11" i="3"/>
  <c r="H22" i="3"/>
  <c r="V26" i="3"/>
  <c r="Y15" i="3"/>
  <c r="M23" i="3"/>
  <c r="T18" i="3"/>
  <c r="U27" i="3"/>
  <c r="K21" i="3"/>
  <c r="Q25" i="3"/>
  <c r="Y19" i="3"/>
  <c r="N14" i="3"/>
  <c r="P10" i="3"/>
  <c r="R14" i="3"/>
  <c r="H18" i="3"/>
  <c r="I26" i="3"/>
  <c r="J9" i="3"/>
  <c r="R23" i="3"/>
  <c r="F25" i="3"/>
  <c r="N22" i="3"/>
  <c r="U22" i="3"/>
  <c r="CO7" i="3" l="1"/>
  <c r="CK7" i="3"/>
  <c r="CG7" i="3"/>
  <c r="CC7" i="3"/>
  <c r="CA26" i="3"/>
  <c r="CA22" i="3"/>
  <c r="CA18" i="3"/>
  <c r="CA14" i="3"/>
  <c r="CA10" i="3"/>
  <c r="CS7" i="3"/>
  <c r="CA8" i="3"/>
  <c r="CB7" i="3"/>
  <c r="CA23" i="3"/>
  <c r="BW20" i="3"/>
  <c r="BW19" i="3"/>
  <c r="BW16" i="3"/>
  <c r="BT17" i="3"/>
  <c r="F9" i="3"/>
  <c r="F26" i="3"/>
  <c r="Q22" i="3"/>
  <c r="H26" i="3"/>
  <c r="N9" i="3"/>
  <c r="R13" i="3"/>
  <c r="R28" i="3"/>
  <c r="R20" i="3"/>
  <c r="R16" i="3"/>
  <c r="N19" i="3"/>
  <c r="N25" i="3"/>
  <c r="J20" i="3"/>
  <c r="J13" i="3"/>
  <c r="J16" i="3"/>
  <c r="F11" i="3"/>
  <c r="F12" i="3"/>
  <c r="F15" i="3"/>
  <c r="M26" i="3"/>
  <c r="X26" i="3"/>
  <c r="J26" i="3"/>
  <c r="R22" i="3"/>
  <c r="K22" i="3"/>
  <c r="X22" i="3"/>
  <c r="Y18" i="3"/>
  <c r="X18" i="3"/>
  <c r="E18" i="3"/>
  <c r="S18" i="3"/>
  <c r="X14" i="3"/>
  <c r="E14" i="3"/>
  <c r="J14" i="3"/>
  <c r="S14" i="3"/>
  <c r="E10" i="3"/>
  <c r="M10" i="3"/>
  <c r="N10" i="3"/>
  <c r="V17" i="3"/>
  <c r="V15" i="3"/>
  <c r="V16" i="3"/>
  <c r="CD21" i="3"/>
  <c r="CR18" i="3"/>
  <c r="CD24" i="3"/>
  <c r="CE8" i="3"/>
  <c r="CU27" i="3"/>
  <c r="CN12" i="3"/>
  <c r="CM28" i="3"/>
  <c r="CP17" i="3"/>
  <c r="CH17" i="3"/>
  <c r="CB24" i="3"/>
  <c r="CF25" i="3"/>
  <c r="CI23" i="3"/>
  <c r="CL19" i="3"/>
  <c r="CG28" i="3"/>
  <c r="CM25" i="3"/>
  <c r="CR22" i="3"/>
  <c r="CB13" i="3"/>
  <c r="CB16" i="3"/>
  <c r="CR11" i="3"/>
  <c r="CM9" i="3"/>
  <c r="CR15" i="3"/>
  <c r="CB23" i="3"/>
  <c r="CF9" i="3"/>
  <c r="CU28" i="3"/>
  <c r="CB20" i="3"/>
  <c r="CE21" i="3"/>
  <c r="CE20" i="3"/>
  <c r="CQ25" i="3"/>
  <c r="CD15" i="3"/>
  <c r="CR24" i="3"/>
  <c r="CD20" i="3"/>
  <c r="CT17" i="3"/>
  <c r="CR21" i="3"/>
  <c r="CN10" i="3"/>
  <c r="CL15" i="3"/>
  <c r="CJ23" i="3"/>
  <c r="CU13" i="3"/>
  <c r="CT21" i="3"/>
  <c r="CU16" i="3"/>
  <c r="CU20" i="3"/>
  <c r="CF12" i="3"/>
  <c r="CR28" i="3"/>
  <c r="CM21" i="3"/>
  <c r="CJ24" i="3"/>
  <c r="CH23" i="3"/>
  <c r="N15" i="3"/>
  <c r="I10" i="3"/>
  <c r="U10" i="3"/>
  <c r="N21" i="3"/>
  <c r="N23" i="3"/>
  <c r="R21" i="3"/>
  <c r="R9" i="3"/>
  <c r="R24" i="3"/>
  <c r="R19" i="3"/>
  <c r="N8" i="3"/>
  <c r="N24" i="3"/>
  <c r="J11" i="3"/>
  <c r="J17" i="3"/>
  <c r="F23" i="3"/>
  <c r="F17" i="3"/>
  <c r="F19" i="3"/>
  <c r="R26" i="3"/>
  <c r="K26" i="3"/>
  <c r="N26" i="3"/>
  <c r="F22" i="3"/>
  <c r="Y22" i="3"/>
  <c r="O22" i="3"/>
  <c r="W22" i="3"/>
  <c r="R18" i="3"/>
  <c r="J18" i="3"/>
  <c r="Q18" i="3"/>
  <c r="K18" i="3"/>
  <c r="P14" i="3"/>
  <c r="L14" i="3"/>
  <c r="Q14" i="3"/>
  <c r="J10" i="3"/>
  <c r="G10" i="3"/>
  <c r="S10" i="3"/>
  <c r="V28" i="3"/>
  <c r="V19" i="3"/>
  <c r="V13" i="3"/>
  <c r="V24" i="3"/>
  <c r="CL17" i="3"/>
  <c r="CL25" i="3"/>
  <c r="CN23" i="3"/>
  <c r="CE11" i="3"/>
  <c r="CN24" i="3"/>
  <c r="CV23" i="3"/>
  <c r="CM17" i="3"/>
  <c r="CT27" i="3"/>
  <c r="CR20" i="3"/>
  <c r="CD22" i="3"/>
  <c r="CB12" i="3"/>
  <c r="CE15" i="3"/>
  <c r="CD23" i="3"/>
  <c r="CN20" i="3"/>
  <c r="CE22" i="3"/>
  <c r="CH9" i="3"/>
  <c r="CU17" i="3"/>
  <c r="CU9" i="3"/>
  <c r="CD8" i="3"/>
  <c r="CE12" i="3"/>
  <c r="CO23" i="3"/>
  <c r="CG9" i="3"/>
  <c r="CF28" i="3"/>
  <c r="CL28" i="3"/>
  <c r="CT9" i="3"/>
  <c r="CN13" i="3"/>
  <c r="CR8" i="3"/>
  <c r="CV13" i="3"/>
  <c r="CT19" i="3"/>
  <c r="CQ19" i="3"/>
  <c r="CE18" i="3"/>
  <c r="CI12" i="3"/>
  <c r="CV15" i="3"/>
  <c r="CQ17" i="3"/>
  <c r="CI13" i="3"/>
  <c r="CU12" i="3"/>
  <c r="CU15" i="3"/>
  <c r="CH13" i="3"/>
  <c r="CH16" i="3"/>
  <c r="CH12" i="3"/>
  <c r="CR25" i="3"/>
  <c r="CH20" i="3"/>
  <c r="CP15" i="3"/>
  <c r="CM16" i="3"/>
  <c r="CT8" i="3"/>
  <c r="CJ15" i="3"/>
  <c r="CI28" i="3"/>
  <c r="O18" i="3"/>
  <c r="N17" i="3"/>
  <c r="J8" i="3"/>
  <c r="G14" i="3"/>
  <c r="O14" i="3"/>
  <c r="R25" i="3"/>
  <c r="R15" i="3"/>
  <c r="R8" i="3"/>
  <c r="R27" i="3"/>
  <c r="N28" i="3"/>
  <c r="J19" i="3"/>
  <c r="J21" i="3"/>
  <c r="F8" i="3"/>
  <c r="F13" i="3"/>
  <c r="F16" i="3"/>
  <c r="E26" i="3"/>
  <c r="T26" i="3"/>
  <c r="U26" i="3"/>
  <c r="V22" i="3"/>
  <c r="L22" i="3"/>
  <c r="E22" i="3"/>
  <c r="F18" i="3"/>
  <c r="M18" i="3"/>
  <c r="N18" i="3"/>
  <c r="M14" i="3"/>
  <c r="V14" i="3"/>
  <c r="U14" i="3"/>
  <c r="L10" i="3"/>
  <c r="V10" i="3"/>
  <c r="H10" i="3"/>
  <c r="R10" i="3"/>
  <c r="V9" i="3"/>
  <c r="V23" i="3"/>
  <c r="V20" i="3"/>
  <c r="V21" i="3"/>
  <c r="CH25" i="3"/>
  <c r="CN8" i="3"/>
  <c r="CP19" i="3"/>
  <c r="CR13" i="3"/>
  <c r="CH27" i="3"/>
  <c r="CQ28" i="3"/>
  <c r="CI21" i="3"/>
  <c r="CR16" i="3"/>
  <c r="CF27" i="3"/>
  <c r="CP9" i="3"/>
  <c r="CQ27" i="3"/>
  <c r="CB15" i="3"/>
  <c r="CN11" i="3"/>
  <c r="CM19" i="3"/>
  <c r="CI11" i="3"/>
  <c r="CN21" i="3"/>
  <c r="CJ19" i="3"/>
  <c r="CM27" i="3"/>
  <c r="CR12" i="3"/>
  <c r="CE24" i="3"/>
  <c r="CE16" i="3"/>
  <c r="CF19" i="3"/>
  <c r="CJ17" i="3"/>
  <c r="CV12" i="3"/>
  <c r="CD16" i="3"/>
  <c r="CD12" i="3"/>
  <c r="CT25" i="3"/>
  <c r="CR19" i="3"/>
  <c r="CD13" i="3"/>
  <c r="CL16" i="3"/>
  <c r="CM10" i="3"/>
  <c r="CP16" i="3"/>
  <c r="CJ11" i="3"/>
  <c r="CP20" i="3"/>
  <c r="W18" i="3"/>
  <c r="J27" i="3"/>
  <c r="J24" i="3"/>
  <c r="P26" i="3"/>
  <c r="R17" i="3"/>
  <c r="R12" i="3"/>
  <c r="R11" i="3"/>
  <c r="N27" i="3"/>
  <c r="J25" i="3"/>
  <c r="J15" i="3"/>
  <c r="J12" i="3"/>
  <c r="F21" i="3"/>
  <c r="F20" i="3"/>
  <c r="F24" i="3"/>
  <c r="S26" i="3"/>
  <c r="O26" i="3"/>
  <c r="W26" i="3"/>
  <c r="Q26" i="3"/>
  <c r="T22" i="3"/>
  <c r="S22" i="3"/>
  <c r="M22" i="3"/>
  <c r="G18" i="3"/>
  <c r="P18" i="3"/>
  <c r="L18" i="3"/>
  <c r="V18" i="3"/>
  <c r="F14" i="3"/>
  <c r="H14" i="3"/>
  <c r="K14" i="3"/>
  <c r="Y14" i="3"/>
  <c r="Y10" i="3"/>
  <c r="T10" i="3"/>
  <c r="F10" i="3"/>
  <c r="X10" i="3"/>
  <c r="V27" i="3"/>
  <c r="V8" i="3"/>
  <c r="V25" i="3"/>
  <c r="CU25" i="3"/>
  <c r="CB8" i="3"/>
  <c r="CP25" i="3"/>
  <c r="CV21" i="3"/>
  <c r="CB11" i="3"/>
  <c r="CD11" i="3"/>
  <c r="CI8" i="3"/>
  <c r="CB21" i="3"/>
  <c r="CQ9" i="3"/>
  <c r="CI24" i="3"/>
  <c r="CF26" i="3"/>
  <c r="CF17" i="3"/>
  <c r="CL9" i="3"/>
  <c r="CH28" i="3"/>
  <c r="CP27" i="3"/>
  <c r="CP28" i="3"/>
  <c r="CN15" i="3"/>
  <c r="CH19" i="3"/>
  <c r="CO14" i="3"/>
  <c r="CV24" i="3"/>
  <c r="CV8" i="3"/>
  <c r="CT28" i="3"/>
  <c r="CE13" i="3"/>
  <c r="CE23" i="3"/>
  <c r="CV11" i="3"/>
  <c r="CS26" i="3"/>
  <c r="CU19" i="3"/>
  <c r="CN16" i="3"/>
  <c r="CL27" i="3"/>
  <c r="CJ25" i="3"/>
  <c r="CR23" i="3"/>
  <c r="CV20" i="3"/>
  <c r="CJ27" i="3"/>
  <c r="CI20" i="3"/>
  <c r="CV16" i="3"/>
  <c r="CL20" i="3"/>
  <c r="CI15" i="3"/>
  <c r="CI16" i="3"/>
  <c r="CJ28" i="3"/>
  <c r="CJ9" i="3"/>
  <c r="CP13" i="3"/>
  <c r="CS12" i="3"/>
  <c r="CQ21" i="3"/>
  <c r="CQ24" i="3"/>
  <c r="CL13" i="3"/>
  <c r="CT24" i="3"/>
  <c r="CJ8" i="3"/>
  <c r="CU8" i="3"/>
  <c r="CB25" i="3"/>
  <c r="CL10" i="3"/>
  <c r="CU23" i="3"/>
  <c r="CM15" i="3"/>
  <c r="CF15" i="3"/>
  <c r="CC25" i="3"/>
  <c r="CQ11" i="3"/>
  <c r="CQ23" i="3"/>
  <c r="CL11" i="3"/>
  <c r="CD28" i="3"/>
  <c r="CP8" i="3"/>
  <c r="CF18" i="3"/>
  <c r="CF24" i="3"/>
  <c r="CJ20" i="3"/>
  <c r="CH24" i="3"/>
  <c r="CV26" i="3"/>
  <c r="CQ15" i="3"/>
  <c r="CM8" i="3"/>
  <c r="CT13" i="3"/>
  <c r="CT16" i="3"/>
  <c r="CH21" i="3"/>
  <c r="CI19" i="3"/>
  <c r="CB19" i="3"/>
  <c r="CM22" i="3"/>
  <c r="CQ14" i="3"/>
  <c r="CP21" i="3"/>
  <c r="CV25" i="3"/>
  <c r="CD17" i="3"/>
  <c r="CK14" i="3"/>
  <c r="CN28" i="3"/>
  <c r="CP12" i="3"/>
  <c r="CL12" i="3"/>
  <c r="CV27" i="3"/>
  <c r="CF16" i="3"/>
  <c r="CF13" i="3"/>
  <c r="CD9" i="3"/>
  <c r="CT23" i="3"/>
  <c r="CI27" i="3"/>
  <c r="CD27" i="3"/>
  <c r="CK22" i="3"/>
  <c r="CM13" i="3"/>
  <c r="CM20" i="3"/>
  <c r="CR27" i="3"/>
  <c r="CQ18" i="3"/>
  <c r="CI25" i="3"/>
  <c r="CF8" i="3"/>
  <c r="CQ13" i="3"/>
  <c r="CT20" i="3"/>
  <c r="CF11" i="3"/>
  <c r="CT10" i="3"/>
  <c r="CQ12" i="3"/>
  <c r="CJ16" i="3"/>
  <c r="CU24" i="3"/>
  <c r="CD19" i="3"/>
  <c r="CM23" i="3"/>
  <c r="CL24" i="3"/>
  <c r="CT15" i="3"/>
  <c r="CQ20" i="3"/>
  <c r="CB9" i="3"/>
  <c r="CM11" i="3"/>
  <c r="CG22" i="3"/>
  <c r="CL21" i="3"/>
  <c r="CH15" i="3"/>
  <c r="CR17" i="3"/>
  <c r="CK11" i="3"/>
  <c r="CP11" i="3"/>
  <c r="CH8" i="3"/>
  <c r="CI9" i="3"/>
  <c r="CF20" i="3"/>
  <c r="CE19" i="3"/>
  <c r="CQ8" i="3"/>
  <c r="CM12" i="3"/>
  <c r="CB17" i="3"/>
  <c r="CE17" i="3"/>
  <c r="CF14" i="3"/>
  <c r="CF21" i="3"/>
  <c r="CU11" i="3"/>
  <c r="CT14" i="3"/>
  <c r="CU21" i="3"/>
  <c r="CD25" i="3"/>
  <c r="CT12" i="3"/>
  <c r="CV17" i="3"/>
  <c r="CL23" i="3"/>
  <c r="CE28" i="3"/>
  <c r="CP23" i="3"/>
  <c r="CF23" i="3"/>
  <c r="CN19" i="3"/>
  <c r="CK20" i="3"/>
  <c r="CG23" i="3"/>
  <c r="CK16" i="3"/>
  <c r="CP24" i="3"/>
  <c r="CM24" i="3"/>
  <c r="CL8" i="3"/>
  <c r="CH10" i="3"/>
  <c r="CT11" i="3"/>
  <c r="CJ21" i="3"/>
  <c r="CE25" i="3"/>
  <c r="CV28" i="3"/>
  <c r="CR9" i="3"/>
  <c r="CN17" i="3"/>
  <c r="CJ12" i="3"/>
  <c r="CN25" i="3"/>
  <c r="CE27" i="3"/>
  <c r="CV9" i="3"/>
  <c r="CH11" i="3"/>
  <c r="CE9" i="3"/>
  <c r="CS11" i="3"/>
  <c r="CN9" i="3"/>
  <c r="CJ13" i="3"/>
  <c r="CC28" i="3"/>
  <c r="CB28" i="3"/>
  <c r="CF22" i="3"/>
  <c r="CI26" i="3"/>
  <c r="CN27" i="3"/>
  <c r="CQ16" i="3"/>
  <c r="CC27" i="3"/>
  <c r="CK12" i="3"/>
  <c r="CK13" i="3"/>
  <c r="CD26" i="3"/>
  <c r="CV19" i="3"/>
  <c r="CI17" i="3"/>
  <c r="CB27" i="3"/>
  <c r="CS25" i="3"/>
  <c r="CC10" i="3"/>
  <c r="CH14" i="3"/>
  <c r="CI18" i="3"/>
  <c r="CP22" i="3"/>
  <c r="CL26" i="3"/>
  <c r="CC21" i="3"/>
  <c r="CK27" i="3"/>
  <c r="CM26" i="3"/>
  <c r="CS21" i="3"/>
  <c r="CO10" i="3"/>
  <c r="CR14" i="3"/>
  <c r="CJ18" i="3"/>
  <c r="CS22" i="3"/>
  <c r="CC16" i="3"/>
  <c r="CG19" i="3"/>
  <c r="CG8" i="3"/>
  <c r="CD10" i="3"/>
  <c r="CO18" i="3"/>
  <c r="CC19" i="3"/>
  <c r="CO24" i="3"/>
  <c r="CJ10" i="3"/>
  <c r="CU18" i="3"/>
  <c r="CC15" i="3"/>
  <c r="CO16" i="3"/>
  <c r="CC9" i="3"/>
  <c r="CR26" i="3"/>
  <c r="CK17" i="3"/>
  <c r="CH18" i="3"/>
  <c r="CK26" i="3"/>
  <c r="CO9" i="3"/>
  <c r="CS15" i="3"/>
  <c r="CV18" i="3"/>
  <c r="CC12" i="3"/>
  <c r="CE26" i="3"/>
  <c r="CH26" i="3"/>
  <c r="CO21" i="3"/>
  <c r="CP18" i="3"/>
  <c r="CK25" i="3"/>
  <c r="CS8" i="3"/>
  <c r="CQ10" i="3"/>
  <c r="CE14" i="3"/>
  <c r="CM18" i="3"/>
  <c r="CQ22" i="3"/>
  <c r="CP26" i="3"/>
  <c r="CG12" i="3"/>
  <c r="CO11" i="3"/>
  <c r="CG24" i="3"/>
  <c r="CS20" i="3"/>
  <c r="CE10" i="3"/>
  <c r="CC18" i="3"/>
  <c r="CK28" i="3"/>
  <c r="CS19" i="3"/>
  <c r="CT22" i="3"/>
  <c r="CR10" i="3"/>
  <c r="CU14" i="3"/>
  <c r="CO20" i="3"/>
  <c r="CL22" i="3"/>
  <c r="CF10" i="3"/>
  <c r="CU22" i="3"/>
  <c r="CO28" i="3"/>
  <c r="CS27" i="3"/>
  <c r="CV10" i="3"/>
  <c r="CC14" i="3"/>
  <c r="CD18" i="3"/>
  <c r="CN26" i="3"/>
  <c r="CC24" i="3"/>
  <c r="CG15" i="3"/>
  <c r="CO12" i="3"/>
  <c r="CG27" i="3"/>
  <c r="CS23" i="3"/>
  <c r="CS10" i="3"/>
  <c r="CJ14" i="3"/>
  <c r="CB22" i="3"/>
  <c r="CQ26" i="3"/>
  <c r="CC8" i="3"/>
  <c r="CO27" i="3"/>
  <c r="CL14" i="3"/>
  <c r="CL18" i="3"/>
  <c r="CS28" i="3"/>
  <c r="CN14" i="3"/>
  <c r="CC23" i="3"/>
  <c r="CP14" i="3"/>
  <c r="CC11" i="3"/>
  <c r="CU10" i="3"/>
  <c r="CV14" i="3"/>
  <c r="CS18" i="3"/>
  <c r="CJ22" i="3"/>
  <c r="CT26" i="3"/>
  <c r="CC20" i="3"/>
  <c r="CG25" i="3"/>
  <c r="CO17" i="3"/>
  <c r="CT18" i="3"/>
  <c r="CS9" i="3"/>
  <c r="CI10" i="3"/>
  <c r="CK18" i="3"/>
  <c r="CI22" i="3"/>
  <c r="CB26" i="3"/>
  <c r="CG21" i="3"/>
  <c r="CO8" i="3"/>
  <c r="CD14" i="3"/>
  <c r="CS24" i="3"/>
  <c r="CP10" i="3"/>
  <c r="CI14" i="3"/>
  <c r="CG18" i="3"/>
  <c r="CV22" i="3"/>
  <c r="CO26" i="3"/>
  <c r="CG17" i="3"/>
  <c r="CO19" i="3"/>
  <c r="CK23" i="3"/>
  <c r="CK15" i="3"/>
  <c r="CK10" i="3"/>
  <c r="CG14" i="3"/>
  <c r="CB18" i="3"/>
  <c r="CH22" i="3"/>
  <c r="CJ26" i="3"/>
  <c r="CG16" i="3"/>
  <c r="CK19" i="3"/>
  <c r="CO13" i="3"/>
  <c r="CC26" i="3"/>
  <c r="CO15" i="3"/>
  <c r="CS13" i="3"/>
  <c r="CM14" i="3"/>
  <c r="CC22" i="3"/>
  <c r="CG11" i="3"/>
  <c r="CK21" i="3"/>
  <c r="CS16" i="3"/>
  <c r="CB14" i="3"/>
  <c r="CO22" i="3"/>
  <c r="CG13" i="3"/>
  <c r="CK9" i="3"/>
  <c r="CS14" i="3"/>
  <c r="CC13" i="3"/>
  <c r="CO25" i="3"/>
  <c r="CG10" i="3"/>
  <c r="CC17" i="3"/>
  <c r="CK24" i="3"/>
  <c r="CB10" i="3"/>
  <c r="CG26" i="3"/>
  <c r="CG20" i="3"/>
  <c r="CN18" i="3"/>
  <c r="CK8" i="3"/>
  <c r="CS17" i="3"/>
  <c r="CU26" i="3"/>
  <c r="CN22" i="3"/>
</calcChain>
</file>

<file path=xl/sharedStrings.xml><?xml version="1.0" encoding="utf-8"?>
<sst xmlns="http://schemas.openxmlformats.org/spreadsheetml/2006/main" count="74" uniqueCount="74">
  <si>
    <t>AUD</t>
  </si>
  <si>
    <t>EUR</t>
  </si>
  <si>
    <t>GBP</t>
  </si>
  <si>
    <t>NZD</t>
  </si>
  <si>
    <t>AED</t>
  </si>
  <si>
    <t>ARS</t>
  </si>
  <si>
    <t>BHD</t>
  </si>
  <si>
    <t>BRL</t>
  </si>
  <si>
    <t>CAD</t>
  </si>
  <si>
    <t>CHF</t>
  </si>
  <si>
    <t>CLP</t>
  </si>
  <si>
    <t>CNY</t>
  </si>
  <si>
    <t>COP</t>
  </si>
  <si>
    <t>CZK</t>
  </si>
  <si>
    <t>DEM</t>
  </si>
  <si>
    <t>DKK</t>
  </si>
  <si>
    <t>DZD</t>
  </si>
  <si>
    <t>ECS</t>
  </si>
  <si>
    <t>EGP</t>
  </si>
  <si>
    <t>FRF</t>
  </si>
  <si>
    <t>HKD</t>
  </si>
  <si>
    <t>HUF</t>
  </si>
  <si>
    <t>IDR</t>
  </si>
  <si>
    <t>ILS</t>
  </si>
  <si>
    <t>INR</t>
  </si>
  <si>
    <t>IRR</t>
  </si>
  <si>
    <t>ISK</t>
  </si>
  <si>
    <t>JOD</t>
  </si>
  <si>
    <t>JPY</t>
  </si>
  <si>
    <t>KES</t>
  </si>
  <si>
    <t>KWD</t>
  </si>
  <si>
    <t>KZT</t>
  </si>
  <si>
    <t>LBP</t>
  </si>
  <si>
    <t>LKR</t>
  </si>
  <si>
    <t>MAD</t>
  </si>
  <si>
    <t>MXN</t>
  </si>
  <si>
    <t>MYR</t>
  </si>
  <si>
    <t>NGN</t>
  </si>
  <si>
    <t>NLG</t>
  </si>
  <si>
    <t>NOK</t>
  </si>
  <si>
    <t>OMR</t>
  </si>
  <si>
    <t>PEN</t>
  </si>
  <si>
    <t>PHP</t>
  </si>
  <si>
    <t>PLN</t>
  </si>
  <si>
    <t>QAR</t>
  </si>
  <si>
    <t>RUB</t>
  </si>
  <si>
    <t>SAR</t>
  </si>
  <si>
    <t>SEK</t>
  </si>
  <si>
    <t>SGD</t>
  </si>
  <si>
    <t>SIT</t>
  </si>
  <si>
    <t>SKK</t>
  </si>
  <si>
    <t>THB</t>
  </si>
  <si>
    <t>TND</t>
  </si>
  <si>
    <t>TRY</t>
  </si>
  <si>
    <t>TWD</t>
  </si>
  <si>
    <t>VEB</t>
  </si>
  <si>
    <t>VND</t>
  </si>
  <si>
    <t>ZAR</t>
  </si>
  <si>
    <t>currency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</si>
  <si>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</si>
  <si>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 xml:space="preserve"> 변동 없음</t>
    <phoneticPr fontId="1" type="noConversion"/>
  </si>
  <si>
    <t xml:space="preserve"> 하락</t>
    <phoneticPr fontId="1" type="noConversion"/>
  </si>
  <si>
    <t xml:space="preserve"> 상승</t>
    <phoneticPr fontId="1" type="noConversion"/>
  </si>
  <si>
    <t>직전대비</t>
    <phoneticPr fontId="1" type="noConversion"/>
  </si>
  <si>
    <t>IMDP("FX",$AI9&amp;AK$8,"BID직전가")</t>
    <phoneticPr fontId="1" type="noConversion"/>
  </si>
  <si>
    <t>USD</t>
    <phoneticPr fontId="1" type="noConversion"/>
  </si>
  <si>
    <t>1 Day</t>
    <phoneticPr fontId="1" type="noConversion"/>
  </si>
  <si>
    <t>5 Day</t>
    <phoneticPr fontId="1" type="noConversion"/>
  </si>
  <si>
    <t>Week</t>
    <phoneticPr fontId="1" type="noConversion"/>
  </si>
  <si>
    <t>Month</t>
    <phoneticPr fontId="1" type="noConversion"/>
  </si>
  <si>
    <t>Year</t>
    <phoneticPr fontId="1" type="noConversion"/>
  </si>
  <si>
    <t>CNH</t>
    <phoneticPr fontId="1" type="noConversion"/>
  </si>
  <si>
    <t>KRW</t>
    <phoneticPr fontId="1" type="noConversion"/>
  </si>
  <si>
    <t>해외통화 시세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</si>
</sst>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_ "/>
    <numFmt numFmtId="177" formatCode="0.00000000_ "/>
  </numFmts>
  <fonts count="11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theme="0" tint="-0.249977111117893"/>
      <name val="맑은 고딕"/>
      <family val="2"/>
      <charset val="129"/>
      <scheme val="minor"/>
    </font>
    <font>
      <b/>
      <sz val="9"/>
      <color theme="1" tint="0.249977111117893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theme="1" tint="0.249977111117893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180">
        <stop position="0">
          <color theme="0"/>
        </stop>
        <stop position="1">
          <color theme="3" tint="-0.49803155613879818"/>
        </stop>
      </gradient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theme="0" tint="-0.24994659260841701"/>
      </bottom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ck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ck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ck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ck">
        <color theme="0" tint="-0.24994659260841701"/>
      </top>
      <bottom style="thick">
        <color theme="0" tint="-0.24994659260841701"/>
      </bottom>
      <diagonal/>
    </border>
    <border>
      <left/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ck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 style="thick">
        <color theme="0" tint="-0.24994659260841701"/>
      </right>
      <top/>
      <bottom style="thick">
        <color theme="0" tint="-0.24994659260841701"/>
      </bottom>
      <diagonal/>
    </border>
    <border>
      <left style="medium">
        <color theme="0" tint="-0.1498764000366222"/>
      </left>
      <right style="thin">
        <color theme="0" tint="-0.14996795556505021"/>
      </right>
      <top style="medium">
        <color theme="0" tint="-0.14987640003662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8764000366222"/>
      </top>
      <bottom style="medium">
        <color theme="0" tint="-0.14993743705557422"/>
      </bottom>
      <diagonal/>
    </border>
    <border>
      <left style="thin">
        <color theme="0" tint="-0.14996795556505021"/>
      </left>
      <right style="medium">
        <color theme="0" tint="-0.1498764000366222"/>
      </right>
      <top style="medium">
        <color theme="0" tint="-0.1498764000366222"/>
      </top>
      <bottom style="medium">
        <color theme="0" tint="-0.14993743705557422"/>
      </bottom>
      <diagonal/>
    </border>
    <border>
      <left style="medium">
        <color theme="0" tint="-0.1498764000366222"/>
      </left>
      <right style="medium">
        <color theme="0" tint="-0.149906918546098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8764000366222"/>
      </right>
      <top/>
      <bottom style="thin">
        <color theme="0" tint="-0.14996795556505021"/>
      </bottom>
      <diagonal/>
    </border>
    <border>
      <left style="medium">
        <color theme="0" tint="-0.1498764000366222"/>
      </left>
      <right style="medium">
        <color theme="0" tint="-0.14990691854609822"/>
      </right>
      <top style="thin">
        <color theme="0" tint="-0.14996795556505021"/>
      </top>
      <bottom style="medium">
        <color theme="0" tint="-0.14987640003662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theme="0" tint="-0.1498764000366222"/>
      </bottom>
      <diagonal/>
    </border>
    <border>
      <left style="thin">
        <color theme="0" tint="-0.14996795556505021"/>
      </left>
      <right style="medium">
        <color theme="0" tint="-0.1498764000366222"/>
      </right>
      <top/>
      <bottom style="medium">
        <color theme="0" tint="-0.1498764000366222"/>
      </bottom>
      <diagonal/>
    </border>
    <border>
      <left/>
      <right/>
      <top/>
      <bottom style="hair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6" borderId="1" xfId="0" applyFill="1" applyBorder="1">
      <alignment vertical="center"/>
    </xf>
    <xf numFmtId="0" fontId="0" fillId="6" borderId="4" xfId="0" applyFill="1" applyBorder="1">
      <alignment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6" borderId="14" xfId="0" applyFill="1" applyBorder="1">
      <alignment vertical="center"/>
    </xf>
    <xf numFmtId="0" fontId="0" fillId="0" borderId="15" xfId="0" applyFill="1" applyBorder="1">
      <alignment vertical="center"/>
    </xf>
    <xf numFmtId="0" fontId="0" fillId="0" borderId="16" xfId="0" applyFill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7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8" borderId="1" xfId="0" applyFill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0" xfId="0" applyNumberFormat="1" applyFont="1">
      <alignment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0" borderId="0" xfId="0" applyFont="1" applyFill="1" applyBorder="1">
      <alignment vertical="center"/>
    </xf>
    <xf numFmtId="0" fontId="3" fillId="0" borderId="7" xfId="0" applyFont="1" applyBorder="1">
      <alignment vertical="center"/>
    </xf>
    <xf numFmtId="0" fontId="3" fillId="0" borderId="7" xfId="0" applyFont="1" applyFill="1" applyBorder="1">
      <alignment vertical="center"/>
    </xf>
    <xf numFmtId="0" fontId="8" fillId="0" borderId="7" xfId="0" applyFont="1" applyBorder="1">
      <alignment vertical="center"/>
    </xf>
    <xf numFmtId="0" fontId="8" fillId="0" borderId="7" xfId="0" applyFont="1" applyFill="1" applyBorder="1">
      <alignment vertical="center"/>
    </xf>
    <xf numFmtId="14" fontId="8" fillId="0" borderId="7" xfId="0" applyNumberFormat="1" applyFont="1" applyBorder="1">
      <alignment vertical="center"/>
    </xf>
    <xf numFmtId="176" fontId="0" fillId="10" borderId="5" xfId="0" applyNumberFormat="1" applyFill="1" applyBorder="1">
      <alignment vertical="center"/>
    </xf>
    <xf numFmtId="177" fontId="3" fillId="0" borderId="0" xfId="0" applyNumberFormat="1" applyFont="1">
      <alignment vertical="center"/>
    </xf>
    <xf numFmtId="0" fontId="2" fillId="5" borderId="19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76" fontId="0" fillId="0" borderId="23" xfId="0" applyNumberFormat="1" applyFill="1" applyBorder="1">
      <alignment vertical="center"/>
    </xf>
    <xf numFmtId="0" fontId="0" fillId="4" borderId="24" xfId="0" applyFill="1" applyBorder="1" applyAlignment="1">
      <alignment horizontal="center" vertical="center"/>
    </xf>
    <xf numFmtId="176" fontId="0" fillId="0" borderId="25" xfId="0" applyNumberFormat="1" applyFill="1" applyBorder="1">
      <alignment vertical="center"/>
    </xf>
    <xf numFmtId="176" fontId="0" fillId="10" borderId="26" xfId="0" applyNumberFormat="1" applyFill="1" applyBorder="1">
      <alignment vertical="center"/>
    </xf>
    <xf numFmtId="0" fontId="5" fillId="9" borderId="0" xfId="0" applyFont="1" applyFill="1" applyAlignment="1">
      <alignment horizontal="left" vertical="center"/>
    </xf>
    <xf numFmtId="22" fontId="10" fillId="0" borderId="27" xfId="0" applyNumberFormat="1" applyFont="1" applyFill="1" applyBorder="1" applyAlignment="1">
      <alignment horizontal="center" vertical="center"/>
    </xf>
    <xf numFmtId="22" fontId="9" fillId="0" borderId="27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4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9.4867000000000008</v>
        <stp/>
        <stp>P</stp>
        <stp>0</stp>
        <stp>FX</stp>
        <stp>CHFSEK</stp>
        <stp>BID직전가</stp>
        <stp/>
        <stp/>
        <tr r="CK14" s="3"/>
        <tr r="CK14" s="3"/>
      </tp>
      <tp>
        <v>0.88270999999999999</v>
        <stp/>
        <stp>P</stp>
        <stp>0</stp>
        <stp>FX</stp>
        <stp>HKDCNH</stp>
        <stp>BID직전가</stp>
        <stp/>
        <stp/>
        <tr r="CG22" s="3"/>
        <tr r="CG22" s="3"/>
      </tp>
      <tp>
        <v>1.0468</v>
        <stp/>
        <stp>P</stp>
        <stp>0</stp>
        <stp>FX</stp>
        <stp>SGDAUD</stp>
        <stp>BID직전가</stp>
        <stp/>
        <stp/>
        <tr r="CI26" s="3"/>
        <tr r="CI26" s="3"/>
      </tp>
      <tp>
        <v>0.15175</v>
        <stp/>
        <stp>P</stp>
        <stp>0</stp>
        <stp>FX</stp>
        <stp>SEKAUD</stp>
        <stp>BID직전가</stp>
        <stp/>
        <stp/>
        <tr r="CI17" s="3"/>
        <tr r="CI17" s="3"/>
      </tp>
      <tp>
        <v>3671</v>
        <stp/>
        <stp>P</stp>
        <stp>0</stp>
        <stp>FX</stp>
        <stp>BRLIDR</stp>
        <stp>BID직전가</stp>
        <stp/>
        <stp/>
        <tr r="CQ20" s="3"/>
        <tr r="CQ20" s="3"/>
      </tp>
      <tp>
        <v>37.450000000000003</v>
        <stp/>
        <stp>P</stp>
        <stp>0</stp>
        <stp>FX</stp>
        <stp>TWDKRW</stp>
        <stp>BID직전가</stp>
        <stp/>
        <stp/>
        <tr r="CB28" s="3"/>
        <tr r="CB28" s="3"/>
      </tp>
      <tp t="s">
        <v/>
        <stp/>
        <stp>P</stp>
        <stp>0</stp>
        <stp>FX</stp>
        <stp>CNHSEK</stp>
        <stp>BID직전가</stp>
        <stp/>
        <stp/>
        <tr r="CK13" s="3"/>
      </tp>
      <tp t="s">
        <v/>
        <stp/>
        <stp>P</stp>
        <stp>0</stp>
        <stp>FX</stp>
        <stp>CNYSEK</stp>
        <stp>BID직전가</stp>
        <stp/>
        <stp/>
        <tr r="CK12" s="3"/>
      </tp>
      <tp t="s">
        <v/>
        <stp/>
        <stp>P</stp>
        <stp>0</stp>
        <stp>FX</stp>
        <stp>THBBRL</stp>
        <stp>BID직전가</stp>
        <stp/>
        <stp/>
        <tr r="CN27" s="3"/>
      </tp>
      <tp>
        <v>7.0213999999999999</v>
        <stp/>
        <stp>P</stp>
        <stp>0</stp>
        <stp>FX</stp>
        <stp>CADSEK</stp>
        <stp>BID직전가</stp>
        <stp/>
        <stp/>
        <tr r="CK16" s="3"/>
        <tr r="CK16" s="3"/>
      </tp>
      <tp>
        <v>0.3367</v>
        <stp/>
        <stp>P</stp>
        <stp>0</stp>
        <stp>FX</stp>
        <stp>MXNDKK</stp>
        <stp>BID직전가</stp>
        <stp/>
        <stp/>
        <tr r="CL21" s="3"/>
        <tr r="CL21" s="3"/>
      </tp>
      <tp>
        <v>0.88039999999999996</v>
        <stp/>
        <stp>P</stp>
        <stp>0</stp>
        <stp>FX</stp>
        <stp>HKDCNY</stp>
        <stp>BID직전가</stp>
        <stp/>
        <stp/>
        <tr r="CF22" s="3"/>
        <tr r="CF22" s="3"/>
      </tp>
      <tp t="s">
        <v/>
        <stp/>
        <stp>P</stp>
        <stp>0</stp>
        <stp>FX</stp>
        <stp>MYRDKK</stp>
        <stp>BID직전가</stp>
        <stp/>
        <stp/>
        <tr r="CL24" s="3"/>
      </tp>
      <tp>
        <v>0.9536</v>
        <stp/>
        <stp>P</stp>
        <stp>0</stp>
        <stp>FX</stp>
        <stp>AUDSGD</stp>
        <stp>BID직전가</stp>
        <stp/>
        <stp/>
        <tr r="CT15" s="3"/>
        <tr r="CT15" s="3"/>
      </tp>
      <tp>
        <v>9.3649999999999997E-2</v>
        <stp/>
        <stp>P</stp>
        <stp>0</stp>
        <stp>FX</stp>
        <stp>SEKEUR</stp>
        <stp>BID직전가</stp>
        <stp/>
        <stp/>
        <tr r="CD17" s="3"/>
        <tr r="CD17" s="3"/>
      </tp>
      <tp t="s">
        <v/>
        <stp/>
        <stp>P</stp>
        <stp>0</stp>
        <stp>FX</stp>
        <stp>USDUSD</stp>
        <stp>BID직전가</stp>
        <stp/>
        <stp/>
        <tr r="CC9" s="3"/>
      </tp>
      <tp>
        <v>0.6492</v>
        <stp/>
        <stp>P</stp>
        <stp>0</stp>
        <stp>FX</stp>
        <stp>SGDEUR</stp>
        <stp>BID직전가</stp>
        <stp/>
        <stp/>
        <tr r="CD26" s="3"/>
        <tr r="CD26" s="3"/>
      </tp>
      <tp>
        <v>1.23926</v>
        <stp/>
        <stp>P</stp>
        <stp>0</stp>
        <stp>FX</stp>
        <stp>TWDBRL</stp>
        <stp>BID직전가</stp>
        <stp/>
        <stp/>
        <tr r="CN28" s="3"/>
        <tr r="CN28" s="3"/>
      </tp>
      <tp>
        <v>37.619999999999997</v>
        <stp/>
        <stp>P</stp>
        <stp>0</stp>
        <stp>FX</stp>
        <stp>THBKRW</stp>
        <stp>BID직전가</stp>
        <stp/>
        <stp/>
        <tr r="CB27" s="3"/>
        <tr r="CB27" s="3"/>
      </tp>
      <tp>
        <v>3.5189999999999999E-2</v>
        <stp/>
        <stp>P</stp>
        <stp>0</stp>
        <stp>FX</stp>
        <stp>JPYPLN</stp>
        <stp>BID직전가</stp>
        <stp/>
        <stp/>
        <tr r="CM11" s="3"/>
        <tr r="CM11" s="3"/>
      </tp>
      <tp>
        <v>1.8766</v>
        <stp/>
        <stp>P</stp>
        <stp>0</stp>
        <stp>FX</stp>
        <stp>MYRHKD</stp>
        <stp>BID직전가</stp>
        <stp/>
        <stp/>
        <tr r="CP24" s="3"/>
        <tr r="CP24" s="3"/>
      </tp>
      <tp>
        <v>0.3977</v>
        <stp/>
        <stp>P</stp>
        <stp>0</stp>
        <stp>FX</stp>
        <stp>MXNHKD</stp>
        <stp>BID직전가</stp>
        <stp/>
        <stp/>
        <tr r="CP21" s="3"/>
        <tr r="CP21" s="3"/>
      </tp>
      <tp>
        <v>1181.5</v>
        <stp/>
        <stp>P</stp>
        <stp>0</stp>
        <stp>FX</stp>
        <stp>USDKRW</stp>
        <stp>BID직전가</stp>
        <stp/>
        <stp/>
        <tr r="CB9" s="3"/>
        <tr r="CB9" s="3"/>
      </tp>
      <tp t="s">
        <v/>
        <stp/>
        <stp>P</stp>
        <stp>0</stp>
        <stp>FX</stp>
        <stp>PLNTWD</stp>
        <stp>BID직전가</stp>
        <stp/>
        <stp/>
        <tr r="CV19" s="3"/>
      </tp>
      <tp>
        <v>3.1800000000000002E-2</v>
        <stp/>
        <stp>P</stp>
        <stp>0</stp>
        <stp>FX</stp>
        <stp>THBUSD</stp>
        <stp>BID직전가</stp>
        <stp/>
        <stp/>
        <tr r="CC27" s="3"/>
        <tr r="CC27" s="3"/>
      </tp>
      <tp t="s">
        <v/>
        <stp/>
        <stp>P</stp>
        <stp>0</stp>
        <stp>FX</stp>
        <stp>IDRCNH</stp>
        <stp>BID직전가</stp>
        <stp/>
        <stp/>
        <tr r="CG23" s="3"/>
      </tp>
      <tp>
        <v>0.60619999999999996</v>
        <stp/>
        <stp>P</stp>
        <stp>0</stp>
        <stp>FX</stp>
        <stp>PHPTWD</stp>
        <stp>BID직전가</stp>
        <stp/>
        <stp/>
        <tr r="CV25" s="3"/>
        <tr r="CV25" s="3"/>
      </tp>
      <tp>
        <v>3.1789999999999999E-2</v>
        <stp/>
        <stp>P</stp>
        <stp>0</stp>
        <stp>FX</stp>
        <stp>TWDUSD</stp>
        <stp>BID직전가</stp>
        <stp/>
        <stp/>
        <tr r="CC28" s="3"/>
        <tr r="CC28" s="3"/>
      </tp>
      <tp>
        <v>10614</v>
        <stp/>
        <stp>P</stp>
        <stp>0</stp>
        <stp>FX</stp>
        <stp>CADIDR</stp>
        <stp>BID직전가</stp>
        <stp/>
        <stp/>
        <tr r="CQ16" s="3"/>
        <tr r="CQ16" s="3"/>
      </tp>
      <tp>
        <v>14369.3</v>
        <stp/>
        <stp>P</stp>
        <stp>0</stp>
        <stp>FX</stp>
        <stp>CHFIDR</stp>
        <stp>BID직전가</stp>
        <stp/>
        <stp/>
        <tr r="CQ14" s="3"/>
        <tr r="CQ14" s="3"/>
      </tp>
      <tp>
        <v>2.4196</v>
        <stp/>
        <stp>P</stp>
        <stp>0</stp>
        <stp>FX</stp>
        <stp>BRLSEK</stp>
        <stp>BID직전가</stp>
        <stp/>
        <stp/>
        <tr r="CK20" s="3"/>
        <tr r="CK20" s="3"/>
      </tp>
      <tp>
        <v>3.8849</v>
        <stp/>
        <stp>P</stp>
        <stp>0</stp>
        <stp>FX</stp>
        <stp>USDBRL</stp>
        <stp>BID직전가</stp>
        <stp/>
        <stp/>
        <tr r="CN9" s="3"/>
        <tr r="CN9" s="3"/>
      </tp>
      <tp>
        <v>4.8340000000000001E-2</v>
        <stp/>
        <stp>P</stp>
        <stp>0</stp>
        <stp>FX</stp>
        <stp>IDRCNY</stp>
        <stp>BID직전가</stp>
        <stp/>
        <stp/>
        <tr r="CF23" s="3"/>
        <tr r="CF23" s="3"/>
      </tp>
      <tp>
        <v>2061.9</v>
        <stp/>
        <stp>P</stp>
        <stp>0</stp>
        <stp>FX</stp>
        <stp>CNHIDR</stp>
        <stp>BID직전가</stp>
        <stp/>
        <stp/>
        <tr r="CQ13" s="3"/>
        <tr r="CQ13" s="3"/>
      </tp>
      <tp>
        <v>2065.9</v>
        <stp/>
        <stp>P</stp>
        <stp>0</stp>
        <stp>FX</stp>
        <stp>CNYIDR</stp>
        <stp>BID직전가</stp>
        <stp/>
        <stp/>
        <tr r="CQ12" s="3"/>
        <tr r="CQ12" s="3"/>
      </tp>
      <tp t="s">
        <v/>
        <stp/>
        <stp>P</stp>
        <stp>0</stp>
        <stp>FX</stp>
        <stp>KRWPLN</stp>
        <stp>BID직전가</stp>
        <stp/>
        <stp/>
        <tr r="CM8" s="3"/>
      </tp>
      <tp>
        <v>22.972999999999999</v>
        <stp/>
        <stp>P</stp>
        <stp>0</stp>
        <stp>FX</stp>
        <stp>SGDTWD</stp>
        <stp>BID직전가</stp>
        <stp/>
        <stp/>
        <tr r="CV26" s="3"/>
        <tr r="CV26" s="3"/>
      </tp>
      <tp t="s">
        <v/>
        <stp/>
        <stp>P</stp>
        <stp>0</stp>
        <stp>FX</stp>
        <stp>SEKTWD</stp>
        <stp>BID직전가</stp>
        <stp/>
        <stp/>
        <tr r="CV17" s="3"/>
      </tp>
      <tp>
        <v>1.0182</v>
        <stp/>
        <stp>P</stp>
        <stp>0</stp>
        <stp>FX</stp>
        <stp>CADSGD</stp>
        <stp>BID직전가</stp>
        <stp/>
        <stp/>
        <tr r="CT16" s="3"/>
        <tr r="CT16" s="3"/>
      </tp>
      <tp>
        <v>0.48509000000000002</v>
        <stp/>
        <stp>P</stp>
        <stp>0</stp>
        <stp>FX</stp>
        <stp>HKDPLN</stp>
        <stp>BID직전가</stp>
        <stp/>
        <stp/>
        <tr r="CM22" s="3"/>
        <tr r="CM22" s="3"/>
      </tp>
      <tp>
        <v>0.19733000000000001</v>
        <stp/>
        <stp>P</stp>
        <stp>0</stp>
        <stp>FX</stp>
        <stp>CNHSGD</stp>
        <stp>BID직전가</stp>
        <stp/>
        <stp/>
        <tr r="CT13" s="3"/>
        <tr r="CT13" s="3"/>
      </tp>
      <tp>
        <v>0.1976</v>
        <stp/>
        <stp>P</stp>
        <stp>0</stp>
        <stp>FX</stp>
        <stp>CNYSGD</stp>
        <stp>BID직전가</stp>
        <stp/>
        <stp/>
        <tr r="CT12" s="3"/>
        <tr r="CT12" s="3"/>
      </tp>
      <tp>
        <v>6.3899999999999998E-2</v>
        <stp/>
        <stp>P</stp>
        <stp>0</stp>
        <stp>FX</stp>
        <stp>JPYCNY</stp>
        <stp>BID직전가</stp>
        <stp/>
        <stp/>
        <tr r="CF11" s="3"/>
        <tr r="CF11" s="3"/>
      </tp>
      <tp>
        <v>3.4317000000000002</v>
        <stp/>
        <stp>P</stp>
        <stp>0</stp>
        <stp>FX</stp>
        <stp>TWDJPY</stp>
        <stp>BID직전가</stp>
        <stp/>
        <stp/>
        <tr r="CE28" s="3"/>
        <tr r="CE28" s="3"/>
      </tp>
      <tp>
        <v>1.3782000000000001</v>
        <stp/>
        <stp>P</stp>
        <stp>0</stp>
        <stp>FX</stp>
        <stp>CHFSGD</stp>
        <stp>BID직전가</stp>
        <stp/>
        <stp/>
        <tr r="CT14" s="3"/>
        <tr r="CT14" s="3"/>
      </tp>
      <tp>
        <v>3.4407999999999999</v>
        <stp/>
        <stp>P</stp>
        <stp>0</stp>
        <stp>FX</stp>
        <stp>THBJPY</stp>
        <stp>BID직전가</stp>
        <stp/>
        <stp/>
        <tr r="CE27" s="3"/>
        <tr r="CE27" s="3"/>
      </tp>
      <tp>
        <v>1.5118499999999999</v>
        <stp/>
        <stp>P</stp>
        <stp>0</stp>
        <stp>FX</stp>
        <stp>EURCAD</stp>
        <stp>BID직전가</stp>
        <stp/>
        <stp/>
        <tr r="CJ10" s="3"/>
        <tr r="CJ10" s="3"/>
      </tp>
      <tp>
        <v>6.4060000000000006E-2</v>
        <stp/>
        <stp>P</stp>
        <stp>0</stp>
        <stp>FX</stp>
        <stp>JPYCNH</stp>
        <stp>BID직전가</stp>
        <stp/>
        <stp/>
        <tr r="CG11" s="3"/>
        <tr r="CG11" s="3"/>
      </tp>
      <tp>
        <v>6.5793999999999997</v>
        <stp/>
        <stp>P</stp>
        <stp>0</stp>
        <stp>FX</stp>
        <stp>AUDSEK</stp>
        <stp>BID직전가</stp>
        <stp/>
        <stp/>
        <tr r="CK15" s="3"/>
        <tr r="CK15" s="3"/>
      </tp>
      <tp>
        <v>9959.4</v>
        <stp/>
        <stp>P</stp>
        <stp>0</stp>
        <stp>FX</stp>
        <stp>AUDIDR</stp>
        <stp>BID직전가</stp>
        <stp/>
        <stp/>
        <tr r="CQ15" s="3"/>
        <tr r="CQ15" s="3"/>
      </tp>
      <tp t="s">
        <v/>
        <stp/>
        <stp>P</stp>
        <stp>0</stp>
        <stp>FX</stp>
        <stp>KRWCNY</stp>
        <stp>BID직전가</stp>
        <stp/>
        <stp/>
        <tr r="CF8" s="3"/>
      </tp>
      <tp>
        <v>107.95</v>
        <stp/>
        <stp>P</stp>
        <stp>0</stp>
        <stp>FX</stp>
        <stp>USDJPY</stp>
        <stp>BID직전가</stp>
        <stp/>
        <stp/>
        <tr r="CE9" s="3"/>
        <tr r="CE9" s="3"/>
      </tp>
      <tp t="s">
        <v/>
        <stp/>
        <stp>P</stp>
        <stp>0</stp>
        <stp>FX</stp>
        <stp>IDRPLN</stp>
        <stp>BID직전가</stp>
        <stp/>
        <stp/>
        <tr r="CM23" s="3"/>
      </tp>
      <tp>
        <v>12.401999999999999</v>
        <stp/>
        <stp>P</stp>
        <stp>0</stp>
        <stp>FX</stp>
        <stp>MYRPHP</stp>
        <stp>BID직전가</stp>
        <stp/>
        <stp/>
        <tr r="CS24" s="3"/>
        <tr r="CS24" s="3"/>
      </tp>
      <tp t="s">
        <v/>
        <stp/>
        <stp>P</stp>
        <stp>0</stp>
        <stp>FX</stp>
        <stp>MXNPHP</stp>
        <stp>BID직전가</stp>
        <stp/>
        <stp/>
        <tr r="CS21" s="3"/>
      </tp>
      <tp>
        <v>0.37648999999999999</v>
        <stp/>
        <stp>P</stp>
        <stp>0</stp>
        <stp>FX</stp>
        <stp>PLNAUD</stp>
        <stp>BID직전가</stp>
        <stp/>
        <stp/>
        <tr r="CI19" s="3"/>
        <tr r="CI19" s="3"/>
      </tp>
      <tp>
        <v>0.2024</v>
        <stp/>
        <stp>P</stp>
        <stp>0</stp>
        <stp>FX</stp>
        <stp>DKKCAD</stp>
        <stp>BID직전가</stp>
        <stp/>
        <stp/>
        <tr r="CJ18" s="3"/>
        <tr r="CJ18" s="3"/>
      </tp>
      <tp>
        <v>2.76E-2</v>
        <stp/>
        <stp>P</stp>
        <stp>0</stp>
        <stp>FX</stp>
        <stp>PHPAUD</stp>
        <stp>BID직전가</stp>
        <stp/>
        <stp/>
        <tr r="CI25" s="3"/>
        <tr r="CI25" s="3"/>
      </tp>
      <tp>
        <v>0.34981000000000001</v>
        <stp/>
        <stp>P</stp>
        <stp>0</stp>
        <stp>FX</stp>
        <stp>BRLSGD</stp>
        <stp>BID직전가</stp>
        <stp/>
        <stp/>
        <tr r="CT20" s="3"/>
        <tr r="CT20" s="3"/>
      </tp>
      <tp>
        <v>7.5039999999999996</v>
        <stp/>
        <stp>P</stp>
        <stp>0</stp>
        <stp>FX</stp>
        <stp>MYRTHB</stp>
        <stp>BID직전가</stp>
        <stp/>
        <stp/>
        <tr r="CU24" s="3"/>
        <tr r="CU24" s="3"/>
      </tp>
      <tp t="s">
        <v/>
        <stp/>
        <stp>P</stp>
        <stp>0</stp>
        <stp>FX</stp>
        <stp>MXNTHB</stp>
        <stp>BID직전가</stp>
        <stp/>
        <stp/>
        <tr r="CU21" s="3"/>
      </tp>
      <tp t="s">
        <v/>
        <stp/>
        <stp>P</stp>
        <stp>0</stp>
        <stp>FX</stp>
        <stp>KRWCNH</stp>
        <stp>BID직전가</stp>
        <stp/>
        <stp/>
        <tr r="CG8" s="3"/>
      </tp>
      <tp>
        <v>1.7100000000000001E-2</v>
        <stp/>
        <stp>P</stp>
        <stp>0</stp>
        <stp>FX</stp>
        <stp>PHPEUR</stp>
        <stp>BID직전가</stp>
        <stp/>
        <stp/>
        <tr r="CD25" s="3"/>
        <tr r="CD25" s="3"/>
      </tp>
      <tp>
        <v>0.23730000000000001</v>
        <stp/>
        <stp>P</stp>
        <stp>0</stp>
        <stp>FX</stp>
        <stp>MYRCHF</stp>
        <stp>BID직전가</stp>
        <stp/>
        <stp/>
        <tr r="CH24" s="3"/>
        <tr r="CH24" s="3"/>
      </tp>
      <tp>
        <v>0.23332</v>
        <stp/>
        <stp>P</stp>
        <stp>0</stp>
        <stp>FX</stp>
        <stp>PLNEUR</stp>
        <stp>BID직전가</stp>
        <stp/>
        <stp/>
        <tr r="CD19" s="3"/>
        <tr r="CD19" s="3"/>
      </tp>
      <tp>
        <v>5.0279999999999998E-2</v>
        <stp/>
        <stp>P</stp>
        <stp>0</stp>
        <stp>FX</stp>
        <stp>MXNCHF</stp>
        <stp>BID직전가</stp>
        <stp/>
        <stp/>
        <tr r="CH21" s="3"/>
        <tr r="CH21" s="3"/>
      </tp>
      <tp t="s">
        <v/>
        <stp/>
        <stp>P</stp>
        <stp>0</stp>
        <stp>FX</stp>
        <stp>PLNBRL</stp>
        <stp>BID직전가</stp>
        <stp/>
        <stp/>
        <tr r="CN19" s="3"/>
      </tp>
      <tp>
        <v>0.47739999999999999</v>
        <stp/>
        <stp>P</stp>
        <stp>0</stp>
        <stp>FX</stp>
        <stp>JPYPHP</stp>
        <stp>BID직전가</stp>
        <stp/>
        <stp/>
        <tr r="CS11" s="3"/>
        <tr r="CS11" s="3"/>
      </tp>
      <tp>
        <v>5.4879999999999998E-2</v>
        <stp/>
        <stp>P</stp>
        <stp>0</stp>
        <stp>FX</stp>
        <stp>IDRHKD</stp>
        <stp>BID직전가</stp>
        <stp/>
        <stp/>
        <tr r="CP23" s="3"/>
        <tr r="CP23" s="3"/>
      </tp>
      <tp t="s">
        <v/>
        <stp/>
        <stp>P</stp>
        <stp>0</stp>
        <stp>FX</stp>
        <stp>CADCAD</stp>
        <stp>BID직전가</stp>
        <stp/>
        <stp/>
        <tr r="CJ16" s="3"/>
      </tp>
      <tp t="s">
        <v/>
        <stp/>
        <stp>P</stp>
        <stp>0</stp>
        <stp>FX</stp>
        <stp>PHPBRL</stp>
        <stp>BID직전가</stp>
        <stp/>
        <stp/>
        <tr r="CN25" s="3"/>
      </tp>
      <tp t="s">
        <v/>
        <stp/>
        <stp>P</stp>
        <stp>0</stp>
        <stp>FX</stp>
        <stp>CNHCAD</stp>
        <stp>BID직전가</stp>
        <stp/>
        <stp/>
        <tr r="CJ13" s="3"/>
      </tp>
      <tp>
        <v>0.19409999999999999</v>
        <stp/>
        <stp>P</stp>
        <stp>0</stp>
        <stp>FX</stp>
        <stp>CNYCAD</stp>
        <stp>BID직전가</stp>
        <stp/>
        <stp/>
        <tr r="CJ12" s="3"/>
        <tr r="CJ12" s="3"/>
      </tp>
      <tp t="s">
        <v/>
        <stp/>
        <stp>P</stp>
        <stp>0</stp>
        <stp>FX</stp>
        <stp>IDRDKK</stp>
        <stp>BID직전가</stp>
        <stp/>
        <stp/>
        <tr r="CL23" s="3"/>
      </tp>
      <tp>
        <v>1.3524</v>
        <stp/>
        <stp>P</stp>
        <stp>0</stp>
        <stp>FX</stp>
        <stp>CHFCAD</stp>
        <stp>BID직전가</stp>
        <stp/>
        <stp/>
        <tr r="CJ14" s="3"/>
        <tr r="CJ14" s="3"/>
      </tp>
      <tp>
        <v>0.28789999999999999</v>
        <stp/>
        <stp>P</stp>
        <stp>0</stp>
        <stp>FX</stp>
        <stp>JPYTHB</stp>
        <stp>BID직전가</stp>
        <stp/>
        <stp/>
        <tr r="CU11" s="3"/>
        <tr r="CU11" s="3"/>
      </tp>
      <tp>
        <v>1.5395000000000001</v>
        <stp/>
        <stp>P</stp>
        <stp>0</stp>
        <stp>FX</stp>
        <stp>EURSGD</stp>
        <stp>BID직전가</stp>
        <stp/>
        <stp/>
        <tr r="CT10" s="3"/>
        <tr r="CT10" s="3"/>
      </tp>
      <tp>
        <v>31.45</v>
        <stp/>
        <stp>P</stp>
        <stp>0</stp>
        <stp>FX</stp>
        <stp>USDTWD</stp>
        <stp>BID직전가</stp>
        <stp/>
        <stp/>
        <tr r="CV9" s="3"/>
        <tr r="CV9" s="3"/>
      </tp>
      <tp>
        <v>0.92</v>
        <stp/>
        <stp>P</stp>
        <stp>0</stp>
        <stp>FX</stp>
        <stp>JPYCHF</stp>
        <stp>BID직전가</stp>
        <stp/>
        <stp/>
        <tr r="CH11" s="3"/>
        <tr r="CH11" s="3"/>
      </tp>
      <tp>
        <v>310.33</v>
        <stp/>
        <stp>P</stp>
        <stp>0</stp>
        <stp>FX</stp>
        <stp>PLNKRW</stp>
        <stp>BID직전가</stp>
        <stp/>
        <stp/>
        <tr r="CB19" s="3"/>
        <tr r="CB19" s="3"/>
      </tp>
      <tp>
        <v>22.78</v>
        <stp/>
        <stp>P</stp>
        <stp>0</stp>
        <stp>FX</stp>
        <stp>PHPKRW</stp>
        <stp>BID직전가</stp>
        <stp/>
        <stp/>
        <tr r="CB25" s="3"/>
        <tr r="CB25" s="3"/>
      </tp>
      <tp t="s">
        <v/>
        <stp/>
        <stp>P</stp>
        <stp>0</stp>
        <stp>FX</stp>
        <stp>KRWPHP</stp>
        <stp>BID직전가</stp>
        <stp/>
        <stp/>
        <tr r="CS8" s="3"/>
      </tp>
      <tp t="s">
        <v/>
        <stp/>
        <stp>P</stp>
        <stp>0</stp>
        <stp>FX</stp>
        <stp>MXNCNY</stp>
        <stp>BID직전가</stp>
        <stp/>
        <stp/>
        <tr r="CF21" s="3"/>
      </tp>
      <tp>
        <v>0.84640000000000004</v>
        <stp/>
        <stp>P</stp>
        <stp>0</stp>
        <stp>FX</stp>
        <stp>HKDDKK</stp>
        <stp>BID직전가</stp>
        <stp/>
        <stp/>
        <tr r="CL22" s="3"/>
        <tr r="CL22" s="3"/>
      </tp>
      <tp>
        <v>1.653</v>
        <stp/>
        <stp>P</stp>
        <stp>0</stp>
        <stp>FX</stp>
        <stp>MYRCNY</stp>
        <stp>BID직전가</stp>
        <stp/>
        <stp/>
        <tr r="CF24" s="3"/>
        <tr r="CF24" s="3"/>
      </tp>
      <tp>
        <v>0.26234000000000002</v>
        <stp/>
        <stp>P</stp>
        <stp>0</stp>
        <stp>FX</stp>
        <stp>PLNUSD</stp>
        <stp>BID직전가</stp>
        <stp/>
        <stp/>
        <tr r="CC19" s="3"/>
        <tr r="CC19" s="3"/>
      </tp>
      <tp>
        <v>0.2059</v>
        <stp/>
        <stp>P</stp>
        <stp>0</stp>
        <stp>FX</stp>
        <stp>DKKSGD</stp>
        <stp>BID직전가</stp>
        <stp/>
        <stp/>
        <tr r="CT18" s="3"/>
        <tr r="CT18" s="3"/>
      </tp>
      <tp t="s">
        <v/>
        <stp/>
        <stp>P</stp>
        <stp>0</stp>
        <stp>FX</stp>
        <stp>HKDHKD</stp>
        <stp>BID직전가</stp>
        <stp/>
        <stp/>
        <tr r="CP22" s="3"/>
      </tp>
      <tp>
        <v>1.0022</v>
        <stp/>
        <stp>P</stp>
        <stp>0</stp>
        <stp>FX</stp>
        <stp>THBTWD</stp>
        <stp>BID직전가</stp>
        <stp/>
        <stp/>
        <tr r="CV27" s="3"/>
        <tr r="CV27" s="3"/>
      </tp>
      <tp>
        <v>1.925E-2</v>
        <stp/>
        <stp>P</stp>
        <stp>0</stp>
        <stp>FX</stp>
        <stp>PHPUSD</stp>
        <stp>BID직전가</stp>
        <stp/>
        <stp/>
        <tr r="CC25" s="3"/>
        <tr r="CC25" s="3"/>
      </tp>
      <tp t="s">
        <v/>
        <stp/>
        <stp>P</stp>
        <stp>0</stp>
        <stp>FX</stp>
        <stp>TWDTWD</stp>
        <stp>BID직전가</stp>
        <stp/>
        <stp/>
        <tr r="CV28" s="3"/>
      </tp>
      <tp>
        <v>1.6516</v>
        <stp/>
        <stp>P</stp>
        <stp>0</stp>
        <stp>FX</stp>
        <stp>MYRCNH</stp>
        <stp>BID직전가</stp>
        <stp/>
        <stp/>
        <tr r="CG24" s="3"/>
        <tr r="CG24" s="3"/>
      </tp>
      <tp t="s">
        <v/>
        <stp/>
        <stp>P</stp>
        <stp>0</stp>
        <stp>FX</stp>
        <stp>MXNCNH</stp>
        <stp>BID직전가</stp>
        <stp/>
        <stp/>
        <tr r="CG21" s="3"/>
      </tp>
      <tp t="s">
        <v/>
        <stp/>
        <stp>P</stp>
        <stp>0</stp>
        <stp>FX</stp>
        <stp>KRWTHB</stp>
        <stp>BID직전가</stp>
        <stp/>
        <stp/>
        <tr r="CU8" s="3"/>
      </tp>
      <tp t="s">
        <v/>
        <stp/>
        <stp>P</stp>
        <stp>0</stp>
        <stp>FX</stp>
        <stp>BRLCAD</stp>
        <stp>BID직전가</stp>
        <stp/>
        <stp/>
        <tr r="CJ20" s="3"/>
      </tp>
      <tp t="s">
        <v/>
        <stp/>
        <stp>P</stp>
        <stp>0</stp>
        <stp>FX</stp>
        <stp>KRWCHF</stp>
        <stp>BID직전가</stp>
        <stp/>
        <stp/>
        <tr r="CH8" s="3"/>
      </tp>
      <tp>
        <v>78.849999999999994</v>
        <stp/>
        <stp>P</stp>
        <stp>0</stp>
        <stp>FX</stp>
        <stp>SGDJPY</stp>
        <stp>BID직전가</stp>
        <stp/>
        <stp/>
        <tr r="CE26" s="3"/>
        <tr r="CE26" s="3"/>
      </tp>
      <tp>
        <v>11.427</v>
        <stp/>
        <stp>P</stp>
        <stp>0</stp>
        <stp>FX</stp>
        <stp>SEKJPY</stp>
        <stp>BID직전가</stp>
        <stp/>
        <stp/>
        <tr r="CE17" s="3"/>
        <tr r="CE17" s="3"/>
      </tp>
      <tp>
        <v>0.73050000000000004</v>
        <stp/>
        <stp>P</stp>
        <stp>0</stp>
        <stp>FX</stp>
        <stp>SGDUSD</stp>
        <stp>BID직전가</stp>
        <stp/>
        <stp/>
        <tr r="CC26" s="3"/>
        <tr r="CC26" s="3"/>
      </tp>
      <tp>
        <v>0.10539999999999999</v>
        <stp/>
        <stp>P</stp>
        <stp>0</stp>
        <stp>FX</stp>
        <stp>SEKUSD</stp>
        <stp>BID직전가</stp>
        <stp/>
        <stp/>
        <tr r="CC17" s="3"/>
        <tr r="CC17" s="3"/>
      </tp>
      <tp>
        <v>0.88880000000000003</v>
        <stp/>
        <stp>P</stp>
        <stp>0</stp>
        <stp>FX</stp>
        <stp>USDEUR</stp>
        <stp>BID직전가</stp>
        <stp/>
        <stp/>
        <tr r="CD9" s="3"/>
        <tr r="CD9" s="3"/>
      </tp>
      <tp>
        <v>3.9986999999999999</v>
        <stp/>
        <stp>P</stp>
        <stp>0</stp>
        <stp>FX</stp>
        <stp>HKDTHB</stp>
        <stp>BID직전가</stp>
        <stp/>
        <stp/>
        <tr r="CU22" s="3"/>
        <tr r="CU22" s="3"/>
      </tp>
      <tp>
        <v>12.667</v>
        <stp/>
        <stp>P</stp>
        <stp>0</stp>
        <stp>FX</stp>
        <stp>HKDCHF</stp>
        <stp>BID직전가</stp>
        <stp/>
        <stp/>
        <tr r="CH22" s="3"/>
        <tr r="CH22" s="3"/>
      </tp>
      <tp>
        <v>0.93669999999999998</v>
        <stp/>
        <stp>P</stp>
        <stp>0</stp>
        <stp>FX</stp>
        <stp>AUDCAD</stp>
        <stp>BID직전가</stp>
        <stp/>
        <stp/>
        <tr r="CJ15" s="3"/>
        <tr r="CJ15" s="3"/>
      </tp>
      <tp>
        <v>2.0813999999999999</v>
        <stp/>
        <stp>P</stp>
        <stp>0</stp>
        <stp>FX</stp>
        <stp>PHPJPY</stp>
        <stp>BID직전가</stp>
        <stp/>
        <stp/>
        <tr r="CE25" s="3"/>
        <tr r="CE25" s="3"/>
      </tp>
      <tp>
        <v>1.4348000000000001</v>
        <stp/>
        <stp>P</stp>
        <stp>0</stp>
        <stp>FX</stp>
        <stp>USDAUD</stp>
        <stp>BID직전가</stp>
        <stp/>
        <stp/>
        <tr r="CI9" s="3"/>
        <tr r="CI9" s="3"/>
      </tp>
      <tp t="s">
        <v/>
        <stp/>
        <stp>P</stp>
        <stp>0</stp>
        <stp>FX</stp>
        <stp>KRWHKD</stp>
        <stp>BID직전가</stp>
        <stp/>
        <stp/>
        <tr r="CP8" s="3"/>
      </tp>
      <tp>
        <v>28.352</v>
        <stp/>
        <stp>P</stp>
        <stp>0</stp>
        <stp>FX</stp>
        <stp>PLNJPY</stp>
        <stp>BID직전가</stp>
        <stp/>
        <stp/>
        <tr r="CE19" s="3"/>
        <tr r="CE19" s="3"/>
      </tp>
      <tp>
        <v>6.6090999999999998</v>
        <stp/>
        <stp>P</stp>
        <stp>0</stp>
        <stp>FX</stp>
        <stp>HKDPHP</stp>
        <stp>BID직전가</stp>
        <stp/>
        <stp/>
        <tr r="CS22" s="3"/>
        <tr r="CS22" s="3"/>
      </tp>
      <tp>
        <v>2147.6999999999998</v>
        <stp/>
        <stp>P</stp>
        <stp>0</stp>
        <stp>FX</stp>
        <stp>DKKIDR</stp>
        <stp>BID직전가</stp>
        <stp/>
        <stp/>
        <tr r="CQ18" s="3"/>
        <tr r="CQ18" s="3"/>
      </tp>
      <tp t="s">
        <v/>
        <stp/>
        <stp>P</stp>
        <stp>0</stp>
        <stp>FX</stp>
        <stp>KRWDKK</stp>
        <stp>BID직전가</stp>
        <stp/>
        <stp/>
        <tr r="CL8" s="3"/>
      </tp>
      <tp>
        <v>10.6204</v>
        <stp/>
        <stp>P</stp>
        <stp>0</stp>
        <stp>FX</stp>
        <stp>EURSEK</stp>
        <stp>BID직전가</stp>
        <stp/>
        <stp/>
        <tr r="CK10" s="3"/>
        <tr r="CK10" s="3"/>
      </tp>
      <tp>
        <v>6.9099999999999995E-3</v>
        <stp/>
        <stp>P</stp>
        <stp>0</stp>
        <stp>FX</stp>
        <stp>IDRCHF</stp>
        <stp>BID직전가</stp>
        <stp/>
        <stp/>
        <tr r="CH23" s="3"/>
        <tr r="CH23" s="3"/>
      </tp>
      <tp>
        <v>1.4221999999999999</v>
        <stp/>
        <stp>P</stp>
        <stp>0</stp>
        <stp>FX</stp>
        <stp>DKKSEK</stp>
        <stp>BID직전가</stp>
        <stp/>
        <stp/>
        <tr r="CK18" s="3"/>
        <tr r="CK18" s="3"/>
      </tp>
      <tp>
        <v>16044</v>
        <stp/>
        <stp>P</stp>
        <stp>0</stp>
        <stp>FX</stp>
        <stp>EURIDR</stp>
        <stp>BID직전가</stp>
        <stp/>
        <stp/>
        <tr r="CQ10" s="3"/>
        <tr r="CQ10" s="3"/>
      </tp>
      <tp>
        <v>2.197E-2</v>
        <stp/>
        <stp>P</stp>
        <stp>0</stp>
        <stp>FX</stp>
        <stp>IDRTHB</stp>
        <stp>BID직전가</stp>
        <stp/>
        <stp/>
        <tr r="CU23" s="3"/>
        <tr r="CU23" s="3"/>
      </tp>
      <tp>
        <v>2.826E-2</v>
        <stp/>
        <stp>P</stp>
        <stp>0</stp>
        <stp>FX</stp>
        <stp>TWDEUR</stp>
        <stp>BID직전가</stp>
        <stp/>
        <stp/>
        <tr r="CD28" s="3"/>
        <tr r="CD28" s="3"/>
      </tp>
      <tp>
        <v>2.8473999999999999</v>
        <stp/>
        <stp>P</stp>
        <stp>0</stp>
        <stp>FX</stp>
        <stp>SGDBRL</stp>
        <stp>BID직전가</stp>
        <stp/>
        <stp/>
        <tr r="CN26" s="3"/>
        <tr r="CN26" s="3"/>
      </tp>
      <tp>
        <v>0.41154000000000002</v>
        <stp/>
        <stp>P</stp>
        <stp>0</stp>
        <stp>FX</stp>
        <stp>SEKBRL</stp>
        <stp>BID직전가</stp>
        <stp/>
        <stp/>
        <tr r="CN17" s="3"/>
        <tr r="CN17" s="3"/>
      </tp>
      <tp>
        <v>4.4600000000000001E-2</v>
        <stp/>
        <stp>P</stp>
        <stp>0</stp>
        <stp>FX</stp>
        <stp>THBAUD</stp>
        <stp>BID직전가</stp>
        <stp/>
        <stp/>
        <tr r="CI27" s="3"/>
        <tr r="CI27" s="3"/>
      </tp>
      <tp>
        <v>4.5519999999999998E-2</v>
        <stp/>
        <stp>P</stp>
        <stp>0</stp>
        <stp>FX</stp>
        <stp>TWDAUD</stp>
        <stp>BID직전가</stp>
        <stp/>
        <stp/>
        <tr r="CI28" s="3"/>
        <tr r="CI28" s="3"/>
      </tp>
      <tp>
        <v>125.08</v>
        <stp/>
        <stp>P</stp>
        <stp>0</stp>
        <stp>FX</stp>
        <stp>SEKKRW</stp>
        <stp>BID직전가</stp>
        <stp/>
        <stp/>
        <tr r="CB17" s="3"/>
        <tr r="CB17" s="3"/>
      </tp>
      <tp>
        <v>863.01</v>
        <stp/>
        <stp>P</stp>
        <stp>0</stp>
        <stp>FX</stp>
        <stp>SGDKRW</stp>
        <stp>BID직전가</stp>
        <stp/>
        <stp/>
        <tr r="CB26" s="3"/>
        <tr r="CB26" s="3"/>
      </tp>
      <tp t="s">
        <v/>
        <stp/>
        <stp>P</stp>
        <stp>0</stp>
        <stp>FX</stp>
        <stp>MYRPLN</stp>
        <stp>BID직전가</stp>
        <stp/>
        <stp/>
        <tr r="CM24" s="3"/>
      </tp>
      <tp t="s">
        <v/>
        <stp/>
        <stp>P</stp>
        <stp>0</stp>
        <stp>FX</stp>
        <stp>MXNPLN</stp>
        <stp>BID직전가</stp>
        <stp/>
        <stp/>
        <tr r="CM21" s="3"/>
      </tp>
      <tp>
        <v>7.2349999999999998E-2</v>
        <stp/>
        <stp>P</stp>
        <stp>0</stp>
        <stp>FX</stp>
        <stp>JPYHKD</stp>
        <stp>BID직전가</stp>
        <stp/>
        <stp/>
        <tr r="CP11" s="3"/>
        <tr r="CP11" s="3"/>
      </tp>
      <tp>
        <v>3.6260000000000001E-2</v>
        <stp/>
        <stp>P</stp>
        <stp>0</stp>
        <stp>FX</stp>
        <stp>IDRPHP</stp>
        <stp>BID직전가</stp>
        <stp/>
        <stp/>
        <tr r="CS23" s="3"/>
        <tr r="CS23" s="3"/>
      </tp>
      <tp>
        <v>6.1486999999999998</v>
        <stp/>
        <stp>P</stp>
        <stp>0</stp>
        <stp>FX</stp>
        <stp>JPYDKK</stp>
        <stp>BID직전가</stp>
        <stp/>
        <stp/>
        <tr r="CL11" s="3"/>
        <tr r="CL11" s="3"/>
      </tp>
      <tp>
        <v>2.8199999999999999E-2</v>
        <stp/>
        <stp>P</stp>
        <stp>0</stp>
        <stp>FX</stp>
        <stp>THBEUR</stp>
        <stp>BID직전가</stp>
        <stp/>
        <stp/>
        <tr r="CD27" s="3"/>
        <tr r="CD27" s="3"/>
      </tp>
      <tp>
        <v>132.1</v>
        <stp/>
        <stp>P</stp>
        <stp>0</stp>
        <stp>FX</stp>
        <stp>JPYIDR</stp>
        <stp>BID직전가</stp>
        <stp/>
        <stp/>
        <tr r="CQ11" s="3"/>
        <tr r="CQ11" s="3"/>
      </tp>
      <tp>
        <v>9.58E-3</v>
        <stp/>
        <stp>P</stp>
        <stp>0</stp>
        <stp>FX</stp>
        <stp>IDRSGD</stp>
        <stp>BID직전가</stp>
        <stp/>
        <stp/>
        <tr r="CT23" s="3"/>
        <tr r="CT23" s="3"/>
      </tp>
      <tp>
        <v>8.8178999999999998</v>
        <stp/>
        <stp>P</stp>
        <stp>0</stp>
        <stp>FX</stp>
        <stp>EURHKD</stp>
        <stp>BID직전가</stp>
        <stp/>
        <stp/>
        <tr r="CP10" s="3"/>
        <tr r="CP10" s="3"/>
      </tp>
      <tp t="s">
        <v/>
        <stp/>
        <stp>P</stp>
        <stp>0</stp>
        <stp>FX</stp>
        <stp>KRWSEK</stp>
        <stp>BID직전가</stp>
        <stp/>
        <stp/>
        <tr r="CK8" s="3"/>
      </tp>
      <tp>
        <v>7.4668999999999999</v>
        <stp/>
        <stp>P</stp>
        <stp>0</stp>
        <stp>FX</stp>
        <stp>EURDKK</stp>
        <stp>BID직전가</stp>
        <stp/>
        <stp/>
        <tr r="CL10" s="3"/>
        <tr r="CL10" s="3"/>
      </tp>
      <tp t="s">
        <v/>
        <stp/>
        <stp>P</stp>
        <stp>0</stp>
        <stp>FX</stp>
        <stp>BRLPLN</stp>
        <stp>BID직전가</stp>
        <stp/>
        <stp/>
        <tr r="CM20" s="3"/>
      </tp>
      <tp t="s">
        <v/>
        <stp/>
        <stp>P</stp>
        <stp>0</stp>
        <stp>FX</stp>
        <stp>DKKDKK</stp>
        <stp>BID직전가</stp>
        <stp/>
        <stp/>
        <tr r="CL18" s="3"/>
      </tp>
      <tp t="s">
        <v/>
        <stp/>
        <stp>P</stp>
        <stp>0</stp>
        <stp>FX</stp>
        <stp>CNHPLN</stp>
        <stp>BID직전가</stp>
        <stp/>
        <stp/>
        <tr r="CM13" s="3"/>
      </tp>
      <tp>
        <v>0.55042999999999997</v>
        <stp/>
        <stp>P</stp>
        <stp>0</stp>
        <stp>FX</stp>
        <stp>CNYPLN</stp>
        <stp>BID직전가</stp>
        <stp/>
        <stp/>
        <tr r="CM12" s="3"/>
        <tr r="CM12" s="3"/>
      </tp>
      <tp t="s">
        <v/>
        <stp/>
        <stp>P</stp>
        <stp>0</stp>
        <stp>FX</stp>
        <stp>KRWIDR</stp>
        <stp>BID직전가</stp>
        <stp/>
        <stp/>
        <tr r="CQ8" s="3"/>
      </tp>
      <tp>
        <v>3.8300999999999998</v>
        <stp/>
        <stp>P</stp>
        <stp>0</stp>
        <stp>FX</stp>
        <stp>CHFPLN</stp>
        <stp>BID직전가</stp>
        <stp/>
        <stp/>
        <tr r="CM14" s="3"/>
        <tr r="CM14" s="3"/>
      </tp>
      <tp>
        <v>1.1788000000000001</v>
        <stp/>
        <stp>P</stp>
        <stp>0</stp>
        <stp>FX</stp>
        <stp>DKKHKD</stp>
        <stp>BID직전가</stp>
        <stp/>
        <stp/>
        <tr r="CP18" s="3"/>
        <tr r="CP18" s="3"/>
      </tp>
      <tp>
        <v>0.1744</v>
        <stp/>
        <stp>P</stp>
        <stp>0</stp>
        <stp>FX</stp>
        <stp>HKDSGD</stp>
        <stp>BID직전가</stp>
        <stp/>
        <stp/>
        <tr r="CT22" s="3"/>
        <tr r="CT22" s="3"/>
      </tp>
      <tp>
        <v>2.8294000000000001</v>
        <stp/>
        <stp>P</stp>
        <stp>0</stp>
        <stp>FX</stp>
        <stp>CADPLN</stp>
        <stp>BID직전가</stp>
        <stp/>
        <stp/>
        <tr r="CM16" s="3"/>
        <tr r="CM16" s="3"/>
      </tp>
      <tp>
        <v>4.8186999999999998</v>
        <stp/>
        <stp>P</stp>
        <stp>0</stp>
        <stp>FX</stp>
        <stp>AUDCNY</stp>
        <stp>BID직전가</stp>
        <stp/>
        <stp/>
        <tr r="CF15" s="3"/>
        <tr r="CF15" s="3"/>
      </tp>
      <tp>
        <v>8.7480000000000002E-2</v>
        <stp/>
        <stp>P</stp>
        <stp>0</stp>
        <stp>FX</stp>
        <stp>JPYSEK</stp>
        <stp>BID직전가</stp>
        <stp/>
        <stp/>
        <tr r="CK11" s="3"/>
        <tr r="CK11" s="3"/>
      </tp>
      <tp>
        <v>4.8212999999999999</v>
        <stp/>
        <stp>P</stp>
        <stp>0</stp>
        <stp>FX</stp>
        <stp>AUDCNH</stp>
        <stp>BID직전가</stp>
        <stp/>
        <stp/>
        <tr r="CG15" s="3"/>
        <tr r="CG15" s="3"/>
      </tp>
      <tp>
        <v>4.1745999999999999</v>
        <stp/>
        <stp>P</stp>
        <stp>0</stp>
        <stp>FX</stp>
        <stp>USDMYR</stp>
        <stp>BID직전가</stp>
        <stp/>
        <stp/>
        <tr r="CR9" s="3"/>
        <tr r="CR9" s="3"/>
      </tp>
      <tp t="s">
        <v/>
        <stp/>
        <stp>P</stp>
        <stp>0</stp>
        <stp>FX</stp>
        <stp>THBMXN</stp>
        <stp>BID직전가</stp>
        <stp/>
        <stp/>
        <tr r="CO27" s="3"/>
      </tp>
      <tp>
        <v>1.7749999999999999</v>
        <stp/>
        <stp>P</stp>
        <stp>0</stp>
        <stp>FX</stp>
        <stp>BRLCNY</stp>
        <stp>BID직전가</stp>
        <stp/>
        <stp/>
        <tr r="CF20" s="3"/>
        <tr r="CF20" s="3"/>
      </tp>
      <tp>
        <v>4.68</v>
        <stp/>
        <stp>P</stp>
        <stp>0</stp>
        <stp>FX</stp>
        <stp>DKKTHB</stp>
        <stp>BID직전가</stp>
        <stp/>
        <stp/>
        <tr r="CU18" s="3"/>
        <tr r="CU18" s="3"/>
      </tp>
      <tp t="s">
        <v/>
        <stp/>
        <stp>P</stp>
        <stp>0</stp>
        <stp>FX</stp>
        <stp>IDRSEK</stp>
        <stp>BID직전가</stp>
        <stp/>
        <stp/>
        <tr r="CK23" s="3"/>
      </tp>
      <tp>
        <v>14.958</v>
        <stp/>
        <stp>P</stp>
        <stp>0</stp>
        <stp>FX</stp>
        <stp>DKKCHF</stp>
        <stp>BID직전가</stp>
        <stp/>
        <stp/>
        <tr r="CH18" s="3"/>
        <tr r="CH18" s="3"/>
      </tp>
      <tp t="s">
        <v/>
        <stp/>
        <stp>P</stp>
        <stp>0</stp>
        <stp>FX</stp>
        <stp>KRWSGD</stp>
        <stp>BID직전가</stp>
        <stp/>
        <stp/>
        <tr r="CT8" s="3"/>
      </tp>
      <tp t="s">
        <v/>
        <stp/>
        <stp>P</stp>
        <stp>0</stp>
        <stp>FX</stp>
        <stp>DKKPHP</stp>
        <stp>BID직전가</stp>
        <stp/>
        <stp/>
        <tr r="CS18" s="3"/>
      </tp>
      <tp t="s">
        <v/>
        <stp/>
        <stp>P</stp>
        <stp>0</stp>
        <stp>FX</stp>
        <stp>BRLCNH</stp>
        <stp>BID직전가</stp>
        <stp/>
        <stp/>
        <tr r="CG20" s="3"/>
      </tp>
      <tp t="s">
        <v/>
        <stp/>
        <stp>P</stp>
        <stp>0</stp>
        <stp>FX</stp>
        <stp>TWDMXN</stp>
        <stp>BID직전가</stp>
        <stp/>
        <stp/>
        <tr r="CO28" s="3"/>
      </tp>
      <tp>
        <v>1817.8</v>
        <stp/>
        <stp>P</stp>
        <stp>0</stp>
        <stp>FX</stp>
        <stp>HKDIDR</stp>
        <stp>BID직전가</stp>
        <stp/>
        <stp/>
        <tr r="CQ22" s="3"/>
        <tr r="CQ22" s="3"/>
      </tp>
      <tp>
        <v>0.32119999999999999</v>
        <stp/>
        <stp>P</stp>
        <stp>0</stp>
        <stp>FX</stp>
        <stp>MYRCAD</stp>
        <stp>BID직전가</stp>
        <stp/>
        <stp/>
        <tr r="CJ24" s="3"/>
        <tr r="CJ24" s="3"/>
      </tp>
      <tp>
        <v>6.7720000000000002E-2</v>
        <stp/>
        <stp>P</stp>
        <stp>0</stp>
        <stp>FX</stp>
        <stp>MXNCAD</stp>
        <stp>BID직전가</stp>
        <stp/>
        <stp/>
        <tr r="CJ21" s="3"/>
        <tr r="CJ21" s="3"/>
      </tp>
      <tp>
        <v>6.9683000000000002</v>
        <stp/>
        <stp>P</stp>
        <stp>0</stp>
        <stp>FX</stp>
        <stp>CHFCNH</stp>
        <stp>BID직전가</stp>
        <stp/>
        <stp/>
        <tr r="CG14" s="3"/>
        <tr r="CG14" s="3"/>
      </tp>
      <tp>
        <v>1.2031000000000001</v>
        <stp/>
        <stp>P</stp>
        <stp>0</stp>
        <stp>FX</stp>
        <stp>HKDSEK</stp>
        <stp>BID직전가</stp>
        <stp/>
        <stp/>
        <tr r="CK22" s="3"/>
        <tr r="CK22" s="3"/>
      </tp>
      <tp t="s">
        <v/>
        <stp/>
        <stp>P</stp>
        <stp>0</stp>
        <stp>FX</stp>
        <stp>CNHCNH</stp>
        <stp>BID직전가</stp>
        <stp/>
        <stp/>
        <tr r="CG13" s="3"/>
      </tp>
      <tp>
        <v>1.0021</v>
        <stp/>
        <stp>P</stp>
        <stp>0</stp>
        <stp>FX</stp>
        <stp>CNYCNH</stp>
        <stp>BID직전가</stp>
        <stp/>
        <stp/>
        <tr r="CG12" s="3"/>
        <tr r="CG12" s="3"/>
      </tp>
      <tp>
        <v>0.1323</v>
        <stp/>
        <stp>P</stp>
        <stp>0</stp>
        <stp>FX</stp>
        <stp>TWDMYR</stp>
        <stp>BID직전가</stp>
        <stp/>
        <stp/>
        <tr r="CR28" s="3"/>
        <tr r="CR28" s="3"/>
      </tp>
      <tp>
        <v>58.292000000000002</v>
        <stp/>
        <stp>P</stp>
        <stp>0</stp>
        <stp>FX</stp>
        <stp>EURPHP</stp>
        <stp>BID직전가</stp>
        <stp/>
        <stp/>
        <tr r="CS10" s="3"/>
        <tr r="CS10" s="3"/>
      </tp>
      <tp>
        <v>5.1447000000000003</v>
        <stp/>
        <stp>P</stp>
        <stp>0</stp>
        <stp>FX</stp>
        <stp>CADCNH</stp>
        <stp>BID직전가</stp>
        <stp/>
        <stp/>
        <tr r="CG16" s="3"/>
        <tr r="CG16" s="3"/>
      </tp>
      <tp>
        <v>1.1170500000000001</v>
        <stp/>
        <stp>P</stp>
        <stp>0</stp>
        <stp>FX</stp>
        <stp>EURCHF</stp>
        <stp>BID직전가</stp>
        <stp/>
        <stp/>
        <tr r="CH10" s="3"/>
        <tr r="CH10" s="3"/>
      </tp>
      <tp>
        <v>6.9530000000000003</v>
        <stp/>
        <stp>P</stp>
        <stp>0</stp>
        <stp>FX</stp>
        <stp>CHFCNY</stp>
        <stp>BID직전가</stp>
        <stp/>
        <stp/>
        <tr r="CF14" s="3"/>
        <tr r="CF14" s="3"/>
      </tp>
      <tp>
        <v>0.99680000000000002</v>
        <stp/>
        <stp>P</stp>
        <stp>0</stp>
        <stp>FX</stp>
        <stp>CNHCNY</stp>
        <stp>BID직전가</stp>
        <stp/>
        <stp/>
        <tr r="CF13" s="3"/>
        <tr r="CF13" s="3"/>
      </tp>
      <tp t="s">
        <v/>
        <stp/>
        <stp>P</stp>
        <stp>0</stp>
        <stp>FX</stp>
        <stp>CNYCNY</stp>
        <stp>BID직전가</stp>
        <stp/>
        <stp/>
        <tr r="CF12" s="3"/>
      </tp>
      <tp>
        <v>35.235999999999997</v>
        <stp/>
        <stp>P</stp>
        <stp>0</stp>
        <stp>FX</stp>
        <stp>EURTHB</stp>
        <stp>BID직전가</stp>
        <stp/>
        <stp/>
        <tr r="CU10" s="3"/>
        <tr r="CU10" s="3"/>
      </tp>
      <tp t="s">
        <v/>
        <stp/>
        <stp>P</stp>
        <stp>0</stp>
        <stp>FX</stp>
        <stp>IDRIDR</stp>
        <stp>BID직전가</stp>
        <stp/>
        <stp/>
        <tr r="CQ23" s="3"/>
      </tp>
      <tp>
        <v>1.2619999999999999E-2</v>
        <stp/>
        <stp>P</stp>
        <stp>0</stp>
        <stp>FX</stp>
        <stp>JPYSGD</stp>
        <stp>BID직전가</stp>
        <stp/>
        <stp/>
        <tr r="CT11" s="3"/>
        <tr r="CT11" s="3"/>
      </tp>
      <tp>
        <v>2.6511</v>
        <stp/>
        <stp>P</stp>
        <stp>0</stp>
        <stp>FX</stp>
        <stp>AUDPLN</stp>
        <stp>BID직전가</stp>
        <stp/>
        <stp/>
        <tr r="CM15" s="3"/>
        <tr r="CM15" s="3"/>
      </tp>
      <tp>
        <v>0.1331</v>
        <stp/>
        <stp>P</stp>
        <stp>0</stp>
        <stp>FX</stp>
        <stp>THBMYR</stp>
        <stp>BID직전가</stp>
        <stp/>
        <stp/>
        <tr r="CR27" s="3"/>
        <tr r="CR27" s="3"/>
      </tp>
      <tp>
        <v>5.1383000000000001</v>
        <stp/>
        <stp>P</stp>
        <stp>0</stp>
        <stp>FX</stp>
        <stp>CADCNY</stp>
        <stp>BID직전가</stp>
        <stp/>
        <stp/>
        <tr r="CF16" s="3"/>
        <tr r="CF16" s="3"/>
      </tp>
      <tp>
        <v>19.718299999999999</v>
        <stp/>
        <stp>P</stp>
        <stp>0</stp>
        <stp>FX</stp>
        <stp>USDMXN</stp>
        <stp>BID직전가</stp>
        <stp/>
        <stp/>
        <tr r="CO9" s="3"/>
        <tr r="CO9" s="3"/>
      </tp>
      <tp t="s">
        <v/>
        <stp/>
        <stp>P</stp>
        <stp>0</stp>
        <stp>FX</stp>
        <stp>DKKCNH</stp>
        <stp>BID직전가</stp>
        <stp/>
        <stp/>
        <tr r="CG18" s="3"/>
      </tp>
      <tp t="s">
        <v/>
        <stp/>
        <stp>P</stp>
        <stp>0</stp>
        <stp>FX</stp>
        <stp>BRLPHP</stp>
        <stp>BID직전가</stp>
        <stp/>
        <stp/>
        <tr r="CS20" s="3"/>
      </tp>
      <tp t="s">
        <v/>
        <stp/>
        <stp>P</stp>
        <stp>0</stp>
        <stp>FX</stp>
        <stp>DKKCNY</stp>
        <stp>BID직전가</stp>
        <stp/>
        <stp/>
        <tr r="CF18" s="3"/>
      </tp>
      <tp>
        <v>5.4630000000000001</v>
        <stp/>
        <stp>P</stp>
        <stp>0</stp>
        <stp>FX</stp>
        <stp>AUDHKD</stp>
        <stp>BID직전가</stp>
        <stp/>
        <stp/>
        <tr r="CP15" s="3"/>
        <tr r="CP15" s="3"/>
      </tp>
      <tp t="s">
        <v/>
        <stp/>
        <stp>P</stp>
        <stp>0</stp>
        <stp>FX</stp>
        <stp>BRLTHB</stp>
        <stp>BID직전가</stp>
        <stp/>
        <stp/>
        <tr r="CU20" s="3"/>
      </tp>
      <tp t="s">
        <v/>
        <stp/>
        <stp>P</stp>
        <stp>0</stp>
        <stp>FX</stp>
        <stp>SEKMYR</stp>
        <stp>BID직전가</stp>
        <stp/>
        <stp/>
        <tr r="CR17" s="3"/>
      </tp>
      <tp t="s">
        <v/>
        <stp/>
        <stp>P</stp>
        <stp>0</stp>
        <stp>FX</stp>
        <stp>KRWCAD</stp>
        <stp>BID직전가</stp>
        <stp/>
        <stp/>
        <tr r="CJ8" s="3"/>
      </tp>
      <tp>
        <v>3.0514000000000001</v>
        <stp/>
        <stp>P</stp>
        <stp>0</stp>
        <stp>FX</stp>
        <stp>SGDMYR</stp>
        <stp>BID직전가</stp>
        <stp/>
        <stp/>
        <tr r="CR26" s="3"/>
        <tr r="CR26" s="3"/>
      </tp>
      <tp>
        <v>0.25533</v>
        <stp/>
        <stp>P</stp>
        <stp>0</stp>
        <stp>FX</stp>
        <stp>BRLCHF</stp>
        <stp>BID직전가</stp>
        <stp/>
        <stp/>
        <tr r="CH20" s="3"/>
        <tr r="CH20" s="3"/>
      </tp>
      <tp>
        <v>4.6254999999999997</v>
        <stp/>
        <stp>P</stp>
        <stp>0</stp>
        <stp>FX</stp>
        <stp>AUDDKK</stp>
        <stp>BID직전가</stp>
        <stp/>
        <stp/>
        <tr r="CL15" s="3"/>
        <tr r="CL15" s="3"/>
      </tp>
      <tp>
        <v>0.32719999999999999</v>
        <stp/>
        <stp>P</stp>
        <stp>0</stp>
        <stp>FX</stp>
        <stp>MYRSGD</stp>
        <stp>BID직전가</stp>
        <stp/>
        <stp/>
        <tr r="CT24" s="3"/>
        <tr r="CT24" s="3"/>
      </tp>
      <tp>
        <v>6.9199999999999998E-2</v>
        <stp/>
        <stp>P</stp>
        <stp>0</stp>
        <stp>FX</stp>
        <stp>MXNSGD</stp>
        <stp>BID직전가</stp>
        <stp/>
        <stp/>
        <tr r="CT21" s="3"/>
        <tr r="CT21" s="3"/>
      </tp>
      <tp>
        <v>23.332000000000001</v>
        <stp/>
        <stp>P</stp>
        <stp>0</stp>
        <stp>FX</stp>
        <stp>CADTHB</stp>
        <stp>BID직전가</stp>
        <stp/>
        <stp/>
        <tr r="CU16" s="3"/>
        <tr r="CU16" s="3"/>
      </tp>
      <tp>
        <v>0.73880000000000001</v>
        <stp/>
        <stp>P</stp>
        <stp>0</stp>
        <stp>FX</stp>
        <stp>CADCHF</stp>
        <stp>BID직전가</stp>
        <stp/>
        <stp/>
        <tr r="CH16" s="3"/>
        <tr r="CH16" s="3"/>
      </tp>
      <tp t="s">
        <v/>
        <stp/>
        <stp>P</stp>
        <stp>0</stp>
        <stp>FX</stp>
        <stp>SEKMXN</stp>
        <stp>BID직전가</stp>
        <stp/>
        <stp/>
        <tr r="CO17" s="3"/>
      </tp>
      <tp>
        <v>31.568000000000001</v>
        <stp/>
        <stp>P</stp>
        <stp>0</stp>
        <stp>FX</stp>
        <stp>CHFTHB</stp>
        <stp>BID직전가</stp>
        <stp/>
        <stp/>
        <tr r="CU14" s="3"/>
        <tr r="CU14" s="3"/>
      </tp>
      <tp>
        <v>14.4161</v>
        <stp/>
        <stp>P</stp>
        <stp>0</stp>
        <stp>FX</stp>
        <stp>SGDMXN</stp>
        <stp>BID직전가</stp>
        <stp/>
        <stp/>
        <tr r="CO26" s="3"/>
        <tr r="CO26" s="3"/>
      </tp>
      <tp t="s">
        <v/>
        <stp/>
        <stp>P</stp>
        <stp>0</stp>
        <stp>FX</stp>
        <stp>CNHCHF</stp>
        <stp>BID직전가</stp>
        <stp/>
        <stp/>
        <tr r="CH13" s="3"/>
      </tp>
      <tp>
        <v>0.14330000000000001</v>
        <stp/>
        <stp>P</stp>
        <stp>0</stp>
        <stp>FX</stp>
        <stp>CNYCHF</stp>
        <stp>BID직전가</stp>
        <stp/>
        <stp/>
        <tr r="CH12" s="3"/>
        <tr r="CH12" s="3"/>
      </tp>
      <tp t="s">
        <v/>
        <stp/>
        <stp>P</stp>
        <stp>0</stp>
        <stp>FX</stp>
        <stp>CHFCHF</stp>
        <stp>BID직전가</stp>
        <stp/>
        <stp/>
        <tr r="CH14" s="3"/>
      </tp>
      <tp>
        <v>4.5243000000000002</v>
        <stp/>
        <stp>P</stp>
        <stp>0</stp>
        <stp>FX</stp>
        <stp>CNHTHB</stp>
        <stp>BID직전가</stp>
        <stp/>
        <stp/>
        <tr r="CU13" s="3"/>
        <tr r="CU13" s="3"/>
      </tp>
      <tp>
        <v>4.5407000000000002</v>
        <stp/>
        <stp>P</stp>
        <stp>0</stp>
        <stp>FX</stp>
        <stp>CNYTHB</stp>
        <stp>BID직전가</stp>
        <stp/>
        <stp/>
        <tr r="CU12" s="3"/>
        <tr r="CU12" s="3"/>
      </tp>
      <tp>
        <v>7.7679</v>
        <stp/>
        <stp>P</stp>
        <stp>0</stp>
        <stp>FX</stp>
        <stp>EURCNY</stp>
        <stp>BID직전가</stp>
        <stp/>
        <stp/>
        <tr r="CF10" s="3"/>
        <tr r="CF10" s="3"/>
      </tp>
      <tp>
        <v>38.509</v>
        <stp/>
        <stp>P</stp>
        <stp>0</stp>
        <stp>FX</stp>
        <stp>CADPHP</stp>
        <stp>BID직전가</stp>
        <stp/>
        <stp/>
        <tr r="CS16" s="3"/>
        <tr r="CS16" s="3"/>
      </tp>
      <tp>
        <v>1.2444</v>
        <stp/>
        <stp>P</stp>
        <stp>0</stp>
        <stp>FX</stp>
        <stp>JPYCAD</stp>
        <stp>BID직전가</stp>
        <stp/>
        <stp/>
        <tr r="CJ11" s="3"/>
        <tr r="CJ11" s="3"/>
      </tp>
      <tp>
        <v>52.168999999999997</v>
        <stp/>
        <stp>P</stp>
        <stp>0</stp>
        <stp>FX</stp>
        <stp>CHFPHP</stp>
        <stp>BID직전가</stp>
        <stp/>
        <stp/>
        <tr r="CS14" s="3"/>
        <tr r="CS14" s="3"/>
      </tp>
      <tp>
        <v>7.4709000000000003</v>
        <stp/>
        <stp>P</stp>
        <stp>0</stp>
        <stp>FX</stp>
        <stp>CNHPHP</stp>
        <stp>BID직전가</stp>
        <stp/>
        <stp/>
        <tr r="CS13" s="3"/>
        <tr r="CS13" s="3"/>
      </tp>
      <tp>
        <v>7.5030000000000001</v>
        <stp/>
        <stp>P</stp>
        <stp>0</stp>
        <stp>FX</stp>
        <stp>CNYPHP</stp>
        <stp>BID직전가</stp>
        <stp/>
        <stp/>
        <tr r="CS12" s="3"/>
        <tr r="CS12" s="3"/>
      </tp>
      <tp>
        <v>7.7887000000000004</v>
        <stp/>
        <stp>P</stp>
        <stp>0</stp>
        <stp>FX</stp>
        <stp>EURCNH</stp>
        <stp>BID직전가</stp>
        <stp/>
        <stp/>
        <tr r="CG10" s="3"/>
        <tr r="CG10" s="3"/>
      </tp>
      <tp>
        <v>6.6839000000000004</v>
        <stp/>
        <stp>P</stp>
        <stp>0</stp>
        <stp>FX</stp>
        <stp>CHFDKK</stp>
        <stp>BID직전가</stp>
        <stp/>
        <stp/>
        <tr r="CL14" s="3"/>
        <tr r="CL14" s="3"/>
      </tp>
      <tp t="s">
        <v/>
        <stp/>
        <stp>P</stp>
        <stp>0</stp>
        <stp>FX</stp>
        <stp>PLNMXN</stp>
        <stp>BID직전가</stp>
        <stp/>
        <stp/>
        <tr r="CO19" s="3"/>
      </tp>
      <tp>
        <v>9.3700000000000006E-2</v>
        <stp/>
        <stp>P</stp>
        <stp>0</stp>
        <stp>FX</stp>
        <stp>IDRCAD</stp>
        <stp>BID직전가</stp>
        <stp/>
        <stp/>
        <tr r="CJ23" s="3"/>
        <tr r="CJ23" s="3"/>
      </tp>
      <tp t="s">
        <v/>
        <stp/>
        <stp>P</stp>
        <stp>0</stp>
        <stp>FX</stp>
        <stp>PHPMXN</stp>
        <stp>BID직전가</stp>
        <stp/>
        <stp/>
        <tr r="CO25" s="3"/>
      </tp>
      <tp>
        <v>0.57279999999999998</v>
        <stp/>
        <stp>P</stp>
        <stp>0</stp>
        <stp>FX</stp>
        <stp>DKKPLN</stp>
        <stp>BID직전가</stp>
        <stp/>
        <stp/>
        <tr r="CM18" s="3"/>
        <tr r="CM18" s="3"/>
      </tp>
      <tp t="s">
        <v/>
        <stp/>
        <stp>P</stp>
        <stp>0</stp>
        <stp>FX</stp>
        <stp>CNHDKK</stp>
        <stp>BID직전가</stp>
        <stp/>
        <stp/>
        <tr r="CL13" s="3"/>
      </tp>
      <tp>
        <v>5.8322000000000003</v>
        <stp/>
        <stp>P</stp>
        <stp>0</stp>
        <stp>FX</stp>
        <stp>CADHKD</stp>
        <stp>BID직전가</stp>
        <stp/>
        <stp/>
        <tr r="CP16" s="3"/>
        <tr r="CP16" s="3"/>
      </tp>
      <tp t="s">
        <v/>
        <stp/>
        <stp>P</stp>
        <stp>0</stp>
        <stp>FX</stp>
        <stp>CNYDKK</stp>
        <stp>BID직전가</stp>
        <stp/>
        <stp/>
        <tr r="CL12" s="3"/>
      </tp>
      <tp>
        <v>1.1316999999999999</v>
        <stp/>
        <stp>P</stp>
        <stp>0</stp>
        <stp>FX</stp>
        <stp>CNHHKD</stp>
        <stp>BID직전가</stp>
        <stp/>
        <stp/>
        <tr r="CP13" s="3"/>
        <tr r="CP13" s="3"/>
      </tp>
      <tp>
        <v>4.9386999999999999</v>
        <stp/>
        <stp>P</stp>
        <stp>0</stp>
        <stp>FX</stp>
        <stp>CADDKK</stp>
        <stp>BID직전가</stp>
        <stp/>
        <stp/>
        <tr r="CL16" s="3"/>
        <tr r="CL16" s="3"/>
      </tp>
      <tp>
        <v>1.1347</v>
        <stp/>
        <stp>P</stp>
        <stp>0</stp>
        <stp>FX</stp>
        <stp>CNYHKD</stp>
        <stp>BID직전가</stp>
        <stp/>
        <stp/>
        <tr r="CP12" s="3"/>
        <tr r="CP12" s="3"/>
      </tp>
      <tp>
        <v>7.8929</v>
        <stp/>
        <stp>P</stp>
        <stp>0</stp>
        <stp>FX</stp>
        <stp>CHFHKD</stp>
        <stp>BID직전가</stp>
        <stp/>
        <stp/>
        <tr r="CP14" s="3"/>
        <tr r="CP14" s="3"/>
      </tp>
      <tp t="s">
        <v/>
        <stp/>
        <stp>P</stp>
        <stp>0</stp>
        <stp>FX</stp>
        <stp>MXNSEK</stp>
        <stp>BID직전가</stp>
        <stp/>
        <stp/>
        <tr r="CK21" s="3"/>
      </tp>
      <tp>
        <v>2.2543000000000002</v>
        <stp/>
        <stp>P</stp>
        <stp>0</stp>
        <stp>FX</stp>
        <stp>MYRSEK</stp>
        <stp>BID직전가</stp>
        <stp/>
        <stp/>
        <tr r="CK24" s="3"/>
        <tr r="CK24" s="3"/>
      </tp>
      <tp>
        <v>1.3434999999999999</v>
        <stp/>
        <stp>P</stp>
        <stp>0</stp>
        <stp>FX</stp>
        <stp>USDCAD</stp>
        <stp>뉴욕매입종가</stp>
        <stp>43619</stp>
        <stp/>
        <tr r="BV20" s="3"/>
      </tp>
      <tp>
        <v>36.158999999999999</v>
        <stp/>
        <stp>P</stp>
        <stp>0</stp>
        <stp>FX</stp>
        <stp>AUDPHP</stp>
        <stp>BID직전가</stp>
        <stp/>
        <stp/>
        <tr r="CS15" s="3"/>
        <tr r="CS15" s="3"/>
      </tp>
      <tp>
        <v>3416.4</v>
        <stp/>
        <stp>P</stp>
        <stp>0</stp>
        <stp>FX</stp>
        <stp>MYRIDR</stp>
        <stp>BID직전가</stp>
        <stp/>
        <stp/>
        <tr r="CQ24" s="3"/>
        <tr r="CQ24" s="3"/>
      </tp>
      <tp t="s">
        <v/>
        <stp/>
        <stp>P</stp>
        <stp>0</stp>
        <stp>FX</stp>
        <stp>MXNIDR</stp>
        <stp>BID직전가</stp>
        <stp/>
        <stp/>
        <tr r="CQ21" s="3"/>
      </tp>
      <tp>
        <v>0.17138999999999999</v>
        <stp/>
        <stp>P</stp>
        <stp>0</stp>
        <stp>FX</stp>
        <stp>HKDCAD</stp>
        <stp>BID직전가</stp>
        <stp/>
        <stp/>
        <tr r="CJ22" s="3"/>
        <tr r="CJ22" s="3"/>
      </tp>
      <tp>
        <v>0.69199999999999995</v>
        <stp/>
        <stp>P</stp>
        <stp>0</stp>
        <stp>FX</stp>
        <stp>AUDCHF</stp>
        <stp>BID직전가</stp>
        <stp/>
        <stp/>
        <tr r="CH15" s="3"/>
        <tr r="CH15" s="3"/>
      </tp>
      <tp>
        <v>21.876999999999999</v>
        <stp/>
        <stp>P</stp>
        <stp>0</stp>
        <stp>FX</stp>
        <stp>AUDTHB</stp>
        <stp>BID직전가</stp>
        <stp/>
        <stp/>
        <tr r="CU15" s="3"/>
        <tr r="CU15" s="3"/>
      </tp>
      <tp>
        <v>2.0152999999999999</v>
        <stp/>
        <stp>P</stp>
        <stp>0</stp>
        <stp>FX</stp>
        <stp>BRLHKD</stp>
        <stp>BID직전가</stp>
        <stp/>
        <stp/>
        <tr r="CP20" s="3"/>
        <tr r="CP20" s="3"/>
      </tp>
      <tp>
        <v>4.28</v>
        <stp/>
        <stp>P</stp>
        <stp>0</stp>
        <stp>FX</stp>
        <stp>EURPLN</stp>
        <stp>BID직전가</stp>
        <stp/>
        <stp/>
        <tr r="CM10" s="3"/>
        <tr r="CM10" s="3"/>
      </tp>
      <tp>
        <v>8.0100000000000005E-2</v>
        <stp/>
        <stp>P</stp>
        <stp>0</stp>
        <stp>FX</stp>
        <stp>PHPMYR</stp>
        <stp>BID직전가</stp>
        <stp/>
        <stp/>
        <tr r="CR25" s="3"/>
        <tr r="CR25" s="3"/>
      </tp>
      <tp>
        <v>1.6997</v>
        <stp/>
        <stp>P</stp>
        <stp>0</stp>
        <stp>FX</stp>
        <stp>BRLDKK</stp>
        <stp>BID직전가</stp>
        <stp/>
        <stp/>
        <tr r="CL20" s="3"/>
        <tr r="CL20" s="3"/>
      </tp>
      <tp t="s">
        <v/>
        <stp/>
        <stp>P</stp>
        <stp>0</stp>
        <stp>FX</stp>
        <stp>PLNMYR</stp>
        <stp>BID직전가</stp>
        <stp/>
        <stp/>
        <tr r="CR19" s="3"/>
      </tp>
      <tp>
        <v>0.58552000000000004</v>
        <stp/>
        <stp>P</stp>
        <stp>0</stp>
        <stp>FX</stp>
        <stp>DKKBRL</stp>
        <stp>BID직전가</stp>
        <stp/>
        <stp/>
        <tr r="CN18" s="3"/>
        <tr r="CN18" s="3"/>
      </tp>
      <tp>
        <v>1.0662</v>
        <stp/>
        <stp>P</stp>
        <stp>0</stp>
        <stp>FX</stp>
        <stp>CADAUD</stp>
        <stp>BID직전가</stp>
        <stp/>
        <stp/>
        <tr r="CI16" s="3"/>
        <tr r="CI16" s="3"/>
      </tp>
      <tp t="s">
        <v/>
        <stp/>
        <stp>P</stp>
        <stp>0</stp>
        <stp>FX</stp>
        <stp>CNHAUD</stp>
        <stp>BID직전가</stp>
        <stp/>
        <stp/>
        <tr r="CI13" s="3"/>
      </tp>
      <tp>
        <v>0.20200000000000001</v>
        <stp/>
        <stp>P</stp>
        <stp>0</stp>
        <stp>FX</stp>
        <stp>CNYAUD</stp>
        <stp>BID직전가</stp>
        <stp/>
        <stp/>
        <tr r="CI12" s="3"/>
        <tr r="CI12" s="3"/>
      </tp>
      <tp t="s">
        <v/>
        <stp/>
        <stp>P</stp>
        <stp>0</stp>
        <stp>FX</stp>
        <stp>SEKSEK</stp>
        <stp>BID직전가</stp>
        <stp/>
        <stp/>
        <tr r="CK17" s="3"/>
      </tp>
      <tp>
        <v>1.444</v>
        <stp/>
        <stp>P</stp>
        <stp>0</stp>
        <stp>FX</stp>
        <stp>CHFAUD</stp>
        <stp>BID직전가</stp>
        <stp/>
        <stp/>
        <tr r="CI14" s="3"/>
        <tr r="CI14" s="3"/>
      </tp>
      <tp>
        <v>6.8916000000000004</v>
        <stp/>
        <stp>P</stp>
        <stp>0</stp>
        <stp>FX</stp>
        <stp>SGDSEK</stp>
        <stp>BID직전가</stp>
        <stp/>
        <stp/>
        <tr r="CK26" s="3"/>
        <tr r="CK26" s="3"/>
      </tp>
      <tp>
        <v>0.66110000000000002</v>
        <stp/>
        <stp>P</stp>
        <stp>0</stp>
        <stp>FX</stp>
        <stp>CADEUR</stp>
        <stp>BID직전가</stp>
        <stp/>
        <stp/>
        <tr r="CD16" s="3"/>
        <tr r="CD16" s="3"/>
      </tp>
      <tp>
        <v>21.895</v>
        <stp/>
        <stp>P</stp>
        <stp>0</stp>
        <stp>FX</stp>
        <stp>AUDTWD</stp>
        <stp>BID직전가</stp>
        <stp/>
        <stp/>
        <tr r="CV15" s="3"/>
        <tr r="CV15" s="3"/>
      </tp>
      <tp>
        <v>1.12462</v>
        <stp/>
        <stp>P</stp>
        <stp>0</stp>
        <stp>FX</stp>
        <stp>EURUSD</stp>
        <stp>BID직전가</stp>
        <stp/>
        <stp/>
        <tr r="CC10" s="3"/>
        <tr r="CC10" s="3"/>
      </tp>
      <tp>
        <v>0.89449999999999996</v>
        <stp/>
        <stp>P</stp>
        <stp>0</stp>
        <stp>FX</stp>
        <stp>CHFEUR</stp>
        <stp>BID직전가</stp>
        <stp/>
        <stp/>
        <tr r="CD14" s="3"/>
        <tr r="CD14" s="3"/>
      </tp>
      <tp>
        <v>177.93</v>
        <stp/>
        <stp>P</stp>
        <stp>0</stp>
        <stp>FX</stp>
        <stp>DKKKRW</stp>
        <stp>BID직전가</stp>
        <stp/>
        <stp/>
        <tr r="CB18" s="3"/>
        <tr r="CB18" s="3"/>
      </tp>
      <tp t="s">
        <v/>
        <stp/>
        <stp>P</stp>
        <stp>0</stp>
        <stp>FX</stp>
        <stp>CNHEUR</stp>
        <stp>BID직전가</stp>
        <stp/>
        <stp/>
        <tr r="CD13" s="3"/>
      </tp>
      <tp>
        <v>0.12864</v>
        <stp/>
        <stp>P</stp>
        <stp>0</stp>
        <stp>FX</stp>
        <stp>CNYEUR</stp>
        <stp>BID직전가</stp>
        <stp/>
        <stp/>
        <tr r="CD12" s="3"/>
        <tr r="CD12" s="3"/>
      </tp>
      <tp>
        <v>1328.74</v>
        <stp/>
        <stp>P</stp>
        <stp>0</stp>
        <stp>FX</stp>
        <stp>EURKRW</stp>
        <stp>BID직전가</stp>
        <stp/>
        <stp/>
        <tr r="CB10" s="3"/>
        <tr r="CB10" s="3"/>
      </tp>
      <tp>
        <v>0.22842999999999999</v>
        <stp/>
        <stp>P</stp>
        <stp>0</stp>
        <stp>FX</stp>
        <stp>BRLEUR</stp>
        <stp>BID직전가</stp>
        <stp/>
        <stp/>
        <tr r="CD20" s="3"/>
        <tr r="CD20" s="3"/>
      </tp>
      <tp t="s">
        <v/>
        <stp/>
        <stp>P</stp>
        <stp>0</stp>
        <stp>FX</stp>
        <stp>PLNSGD</stp>
        <stp>BID직전가</stp>
        <stp/>
        <stp/>
        <tr r="CT19" s="3"/>
      </tp>
      <tp>
        <v>0.15060000000000001</v>
        <stp/>
        <stp>P</stp>
        <stp>0</stp>
        <stp>FX</stp>
        <stp>DKKUSD</stp>
        <stp>BID직전가</stp>
        <stp/>
        <stp/>
        <tr r="CC18" s="3"/>
        <tr r="CC18" s="3"/>
      </tp>
      <tp>
        <v>2.5899999999999999E-2</v>
        <stp/>
        <stp>P</stp>
        <stp>0</stp>
        <stp>FX</stp>
        <stp>PHPSGD</stp>
        <stp>BID직전가</stp>
        <stp/>
        <stp/>
        <tr r="CT25" s="3"/>
        <tr r="CT25" s="3"/>
      </tp>
      <tp>
        <v>1509.3</v>
        <stp/>
        <stp>P</stp>
        <stp>0</stp>
        <stp>FX</stp>
        <stp>SEKIDR</stp>
        <stp>BID직전가</stp>
        <stp/>
        <stp/>
        <tr r="CQ17" s="3"/>
        <tr r="CQ17" s="3"/>
      </tp>
      <tp>
        <v>0.36870999999999998</v>
        <stp/>
        <stp>P</stp>
        <stp>0</stp>
        <stp>FX</stp>
        <stp>BRLAUD</stp>
        <stp>BID직전가</stp>
        <stp/>
        <stp/>
        <tr r="CI20" s="3"/>
        <tr r="CI20" s="3"/>
      </tp>
      <tp>
        <v>10428.200000000001</v>
        <stp/>
        <stp>P</stp>
        <stp>0</stp>
        <stp>FX</stp>
        <stp>SGDIDR</stp>
        <stp>BID직전가</stp>
        <stp/>
        <stp/>
        <tr r="CQ26" s="3"/>
        <tr r="CQ26" s="3"/>
      </tp>
      <tp>
        <v>4.3716999999999997</v>
        <stp/>
        <stp>P</stp>
        <stp>0</stp>
        <stp>FX</stp>
        <stp>EURBRL</stp>
        <stp>BID직전가</stp>
        <stp/>
        <stp/>
        <tr r="CN10" s="3"/>
        <tr r="CN10" s="3"/>
      </tp>
      <tp t="s">
        <v/>
        <stp/>
        <stp>P</stp>
        <stp>0</stp>
        <stp>FX</stp>
        <stp>SGDSGD</stp>
        <stp>BID직전가</stp>
        <stp/>
        <stp/>
        <tr r="CT26" s="3"/>
      </tp>
      <tp>
        <v>0.14446000000000001</v>
        <stp/>
        <stp>P</stp>
        <stp>0</stp>
        <stp>FX</stp>
        <stp>SEKSGD</stp>
        <stp>BID직전가</stp>
        <stp/>
        <stp/>
        <tr r="CT17" s="3"/>
        <tr r="CT17" s="3"/>
      </tp>
      <tp>
        <v>0.61950000000000005</v>
        <stp/>
        <stp>P</stp>
        <stp>0</stp>
        <stp>FX</stp>
        <stp>AUDEUR</stp>
        <stp>BID직전가</stp>
        <stp/>
        <stp/>
        <tr r="CD15" s="3"/>
        <tr r="CD15" s="3"/>
      </tp>
      <tp>
        <v>23.393000000000001</v>
        <stp/>
        <stp>P</stp>
        <stp>0</stp>
        <stp>FX</stp>
        <stp>CADTWD</stp>
        <stp>BID직전가</stp>
        <stp/>
        <stp/>
        <tr r="CV16" s="3"/>
        <tr r="CV16" s="3"/>
      </tp>
      <tp t="s">
        <v/>
        <stp/>
        <stp>P</stp>
        <stp>0</stp>
        <stp>FX</stp>
        <stp>MYRMYR</stp>
        <stp>BID직전가</stp>
        <stp/>
        <stp/>
        <tr r="CR24" s="3"/>
      </tp>
      <tp t="s">
        <v/>
        <stp/>
        <stp>P</stp>
        <stp>0</stp>
        <stp>FX</stp>
        <stp>MXNMYR</stp>
        <stp>BID직전가</stp>
        <stp/>
        <stp/>
        <tr r="CR21" s="3"/>
      </tp>
      <tp>
        <v>4.5347999999999997</v>
        <stp/>
        <stp>P</stp>
        <stp>0</stp>
        <stp>FX</stp>
        <stp>CNHTWD</stp>
        <stp>BID직전가</stp>
        <stp/>
        <stp/>
        <tr r="CV13" s="3"/>
        <tr r="CV13" s="3"/>
      </tp>
      <tp>
        <v>4.5528000000000004</v>
        <stp/>
        <stp>P</stp>
        <stp>0</stp>
        <stp>FX</stp>
        <stp>CNYTWD</stp>
        <stp>BID직전가</stp>
        <stp/>
        <stp/>
        <tr r="CV12" s="3"/>
        <tr r="CV12" s="3"/>
      </tp>
      <tp>
        <v>31.652000000000001</v>
        <stp/>
        <stp>P</stp>
        <stp>0</stp>
        <stp>FX</stp>
        <stp>CHFTWD</stp>
        <stp>BID직전가</stp>
        <stp/>
        <stp/>
        <tr r="CV14" s="3"/>
        <tr r="CV14" s="3"/>
      </tp>
      <tp>
        <v>16.256</v>
        <stp/>
        <stp>P</stp>
        <stp>0</stp>
        <stp>FX</stp>
        <stp>DKKJPY</stp>
        <stp>BID직전가</stp>
        <stp/>
        <stp/>
        <tr r="CE18" s="3"/>
        <tr r="CE18" s="3"/>
      </tp>
      <tp t="s">
        <v/>
        <stp/>
        <stp>P</stp>
        <stp>0</stp>
        <stp>FX</stp>
        <stp>AUDAUD</stp>
        <stp>BID직전가</stp>
        <stp/>
        <stp/>
        <tr r="CI15" s="3"/>
      </tp>
      <tp>
        <v>1.3444</v>
        <stp/>
        <stp>P</stp>
        <stp>0</stp>
        <stp>FX</stp>
        <stp>USDCAD</stp>
        <stp>BID직전가</stp>
        <stp/>
        <stp/>
        <tr r="CJ9" s="3"/>
        <tr r="CJ9" s="3"/>
      </tp>
      <tp>
        <v>274.89999999999998</v>
        <stp/>
        <stp>P</stp>
        <stp>0</stp>
        <stp>FX</stp>
        <stp>PHPIDR</stp>
        <stp>BID직전가</stp>
        <stp/>
        <stp/>
        <tr r="CQ25" s="3"/>
        <tr r="CQ25" s="3"/>
      </tp>
      <tp t="s">
        <v/>
        <stp/>
        <stp>P</stp>
        <stp>0</stp>
        <stp>FX</stp>
        <stp>PLNIDR</stp>
        <stp>BID직전가</stp>
        <stp/>
        <stp/>
        <tr r="CQ19" s="3"/>
      </tp>
      <tp t="s">
        <v/>
        <stp/>
        <stp>P</stp>
        <stp>0</stp>
        <stp>FX</stp>
        <stp>PHPSEK</stp>
        <stp>BID직전가</stp>
        <stp/>
        <stp/>
        <tr r="CK25" s="3"/>
      </tp>
      <tp>
        <v>2.4777</v>
        <stp/>
        <stp>P</stp>
        <stp>0</stp>
        <stp>FX</stp>
        <stp>PLNSEK</stp>
        <stp>BID직전가</stp>
        <stp/>
        <stp/>
        <tr r="CK19" s="3"/>
        <tr r="CK19" s="3"/>
      </tp>
      <tp>
        <v>4.2799999999999998E-2</v>
        <stp/>
        <stp>P</stp>
        <stp>0</stp>
        <stp>FX</stp>
        <stp>THBCAD</stp>
        <stp>BID직전가</stp>
        <stp/>
        <stp/>
        <tr r="CJ27" s="3"/>
        <tr r="CJ27" s="3"/>
      </tp>
      <tp>
        <v>121.4</v>
        <stp/>
        <stp>P</stp>
        <stp>0</stp>
        <stp>FX</stp>
        <stp>EURJPY</stp>
        <stp>BID직전가</stp>
        <stp/>
        <stp/>
        <tr r="CE10" s="3"/>
        <tr r="CE10" s="3"/>
      </tp>
      <tp>
        <v>4.2689999999999999E-2</v>
        <stp/>
        <stp>P</stp>
        <stp>0</stp>
        <stp>FX</stp>
        <stp>TWDCAD</stp>
        <stp>BID직전가</stp>
        <stp/>
        <stp/>
        <tr r="CJ28" s="3"/>
        <tr r="CJ28" s="3"/>
      </tp>
      <tp t="s">
        <v/>
        <stp/>
        <stp>P</stp>
        <stp>0</stp>
        <stp>FX</stp>
        <stp>MYRMXN</stp>
        <stp>BID직전가</stp>
        <stp/>
        <stp/>
        <tr r="CO24" s="3"/>
      </tp>
      <tp t="s">
        <v/>
        <stp/>
        <stp>P</stp>
        <stp>0</stp>
        <stp>FX</stp>
        <stp>MXNMXN</stp>
        <stp>BID직전가</stp>
        <stp/>
        <stp/>
        <tr r="CO21" s="3"/>
      </tp>
      <tp>
        <v>8.032</v>
        <stp/>
        <stp>P</stp>
        <stp>0</stp>
        <stp>FX</stp>
        <stp>BRLTWD</stp>
        <stp>BID직전가</stp>
        <stp/>
        <stp/>
        <tr r="CV20" s="3"/>
        <tr r="CV20" s="3"/>
      </tp>
      <tp t="s">
        <v/>
        <stp/>
        <stp>P</stp>
        <stp>0</stp>
        <stp>FX</stp>
        <stp>SGDCAD</stp>
        <stp>BID직전가</stp>
        <stp/>
        <stp/>
        <tr r="CJ26" s="3"/>
      </tp>
      <tp>
        <v>0.1414</v>
        <stp/>
        <stp>P</stp>
        <stp>0</stp>
        <stp>FX</stp>
        <stp>SEKCAD</stp>
        <stp>BID직전가</stp>
        <stp/>
        <stp/>
        <tr r="CJ17" s="3"/>
        <tr r="CJ17" s="3"/>
      </tp>
      <tp t="s">
        <v/>
        <stp/>
        <stp>P</stp>
        <stp>0</stp>
        <stp>FX</stp>
        <stp>KRWMYR</stp>
        <stp>BID직전가</stp>
        <stp/>
        <stp/>
        <tr r="CR8" s="3"/>
      </tp>
      <tp>
        <v>27.773</v>
        <stp/>
        <stp>P</stp>
        <stp>0</stp>
        <stp>FX</stp>
        <stp>BRLJPY</stp>
        <stp>BID직전가</stp>
        <stp/>
        <stp/>
        <tr r="CE20" s="3"/>
        <tr r="CE20" s="3"/>
      </tp>
      <tp>
        <v>0.6966</v>
        <stp/>
        <stp>P</stp>
        <stp>0</stp>
        <stp>FX</stp>
        <stp>AUDUSD</stp>
        <stp>BID직전가</stp>
        <stp/>
        <stp/>
        <tr r="CC15" s="3"/>
        <tr r="CC15" s="3"/>
      </tp>
      <tp>
        <v>35.368000000000002</v>
        <stp/>
        <stp>P</stp>
        <stp>0</stp>
        <stp>FX</stp>
        <stp>EURTWD</stp>
        <stp>BID직전가</stp>
        <stp/>
        <stp/>
        <tr r="CV10" s="3"/>
        <tr r="CV10" s="3"/>
      </tp>
      <tp>
        <v>1.3689</v>
        <stp/>
        <stp>P</stp>
        <stp>0</stp>
        <stp>FX</stp>
        <stp>USDSGD</stp>
        <stp>BID직전가</stp>
        <stp/>
        <stp/>
        <tr r="CT9" s="3"/>
        <tr r="CT9" s="3"/>
      </tp>
      <tp>
        <v>0.18237999999999999</v>
        <stp/>
        <stp>P</stp>
        <stp>0</stp>
        <stp>FX</stp>
        <stp>JPYMXN</stp>
        <stp>BID직전가</stp>
        <stp/>
        <stp/>
        <tr r="CO11" s="3"/>
        <tr r="CO11" s="3"/>
      </tp>
      <tp>
        <v>823.21</v>
        <stp/>
        <stp>P</stp>
        <stp>0</stp>
        <stp>FX</stp>
        <stp>AUDKRW</stp>
        <stp>BID직전가</stp>
        <stp/>
        <stp/>
        <tr r="CB15" s="3"/>
        <tr r="CB15" s="3"/>
      </tp>
      <tp>
        <v>3.8620000000000002E-2</v>
        <stp/>
        <stp>P</stp>
        <stp>0</stp>
        <stp>FX</stp>
        <stp>JPYMYR</stp>
        <stp>BID직전가</stp>
        <stp/>
        <stp/>
        <tr r="CR11" s="3"/>
        <tr r="CR11" s="3"/>
      </tp>
      <tp t="s">
        <v/>
        <stp/>
        <stp>P</stp>
        <stp>0</stp>
        <stp>FX</stp>
        <stp>DKKTWD</stp>
        <stp>BID직전가</stp>
        <stp/>
        <stp/>
        <tr r="CV18" s="3"/>
      </tp>
      <tp>
        <v>4.3389999999999998E-2</v>
        <stp/>
        <stp>P</stp>
        <stp>0</stp>
        <stp>FX</stp>
        <stp>THBSGD</stp>
        <stp>BID직전가</stp>
        <stp/>
        <stp/>
        <tr r="CT27" s="3"/>
        <tr r="CT27" s="3"/>
      </tp>
      <tp>
        <v>4.3499999999999997E-2</v>
        <stp/>
        <stp>P</stp>
        <stp>0</stp>
        <stp>FX</stp>
        <stp>TWDSGD</stp>
        <stp>BID직전가</stp>
        <stp/>
        <stp/>
        <tr r="CT28" s="3"/>
        <tr r="CT28" s="3"/>
      </tp>
      <tp>
        <v>108.68</v>
        <stp/>
        <stp>P</stp>
        <stp>0</stp>
        <stp>FX</stp>
        <stp>CHFJPY</stp>
        <stp>BID직전가</stp>
        <stp/>
        <stp/>
        <tr r="CE14" s="3"/>
        <tr r="CE14" s="3"/>
      </tp>
      <tp>
        <v>15.586</v>
        <stp/>
        <stp>P</stp>
        <stp>0</stp>
        <stp>FX</stp>
        <stp>CNHJPY</stp>
        <stp>BID직전가</stp>
        <stp/>
        <stp/>
        <tr r="CE13" s="3"/>
        <tr r="CE13" s="3"/>
      </tp>
      <tp>
        <v>15.612</v>
        <stp/>
        <stp>P</stp>
        <stp>0</stp>
        <stp>FX</stp>
        <stp>CNYJPY</stp>
        <stp>BID직전가</stp>
        <stp/>
        <stp/>
        <tr r="CE12" s="3"/>
        <tr r="CE12" s="3"/>
      </tp>
      <tp>
        <v>2.7075</v>
        <stp/>
        <stp>P</stp>
        <stp>0</stp>
        <stp>FX</stp>
        <stp>AUDBRL</stp>
        <stp>BID직전가</stp>
        <stp/>
        <stp/>
        <tr r="CN15" s="3"/>
        <tr r="CN15" s="3"/>
      </tp>
      <tp>
        <v>80.302000000000007</v>
        <stp/>
        <stp>P</stp>
        <stp>0</stp>
        <stp>FX</stp>
        <stp>CADJPY</stp>
        <stp>BID직전가</stp>
        <stp/>
        <stp/>
        <tr r="CE16" s="3"/>
        <tr r="CE16" s="3"/>
      </tp>
      <tp t="s">
        <v/>
        <stp/>
        <stp>P</stp>
        <stp>0</stp>
        <stp>FX</stp>
        <stp>KRWMXN</stp>
        <stp>BID직전가</stp>
        <stp/>
        <stp/>
        <tr r="CO8" s="3"/>
      </tp>
      <tp t="s">
        <v/>
        <stp/>
        <stp>P</stp>
        <stp>0</stp>
        <stp>FX</stp>
        <stp>EUREUR</stp>
        <stp>BID직전가</stp>
        <stp/>
        <stp/>
        <tr r="CD10" s="3"/>
      </tp>
      <tp>
        <v>303.25</v>
        <stp/>
        <stp>P</stp>
        <stp>0</stp>
        <stp>FX</stp>
        <stp>BRLKRW</stp>
        <stp>BID직전가</stp>
        <stp/>
        <stp/>
        <tr r="CB20" s="3"/>
        <tr r="CB20" s="3"/>
      </tp>
      <tp>
        <v>0.74370000000000003</v>
        <stp/>
        <stp>P</stp>
        <stp>0</stp>
        <stp>FX</stp>
        <stp>CADUSD</stp>
        <stp>BID직전가</stp>
        <stp/>
        <stp/>
        <tr r="CC16" s="3"/>
        <tr r="CC16" s="3"/>
      </tp>
      <tp>
        <v>2.5078</v>
        <stp/>
        <stp>P</stp>
        <stp>0</stp>
        <stp>FX</stp>
        <stp>HKDMXN</stp>
        <stp>BID직전가</stp>
        <stp/>
        <stp/>
        <tr r="CO22" s="3"/>
        <tr r="CO22" s="3"/>
      </tp>
      <tp>
        <v>453.8</v>
        <stp/>
        <stp>P</stp>
        <stp>0</stp>
        <stp>FX</stp>
        <stp>TWDIDR</stp>
        <stp>BID직전가</stp>
        <stp/>
        <stp/>
        <tr r="CQ28" s="3"/>
        <tr r="CQ28" s="3"/>
      </tp>
      <tp>
        <v>0.14398</v>
        <stp/>
        <stp>P</stp>
        <stp>0</stp>
        <stp>FX</stp>
        <stp>CNHUSD</stp>
        <stp>BID직전가</stp>
        <stp/>
        <stp/>
        <tr r="CC13" s="3"/>
        <tr r="CC13" s="3"/>
      </tp>
      <tp>
        <v>0.1447</v>
        <stp/>
        <stp>P</stp>
        <stp>0</stp>
        <stp>FX</stp>
        <stp>CNYUSD</stp>
        <stp>BID직전가</stp>
        <stp/>
        <stp/>
        <tr r="CC12" s="3"/>
        <tr r="CC12" s="3"/>
      </tp>
      <tp>
        <v>1.0065999999999999</v>
        <stp/>
        <stp>P</stp>
        <stp>0</stp>
        <stp>FX</stp>
        <stp>CHFUSD</stp>
        <stp>BID직전가</stp>
        <stp/>
        <stp/>
        <tr r="CC14" s="3"/>
        <tr r="CC14" s="3"/>
      </tp>
      <tp>
        <v>1.6141000000000001</v>
        <stp/>
        <stp>P</stp>
        <stp>0</stp>
        <stp>FX</stp>
        <stp>EURAUD</stp>
        <stp>BID직전가</stp>
        <stp/>
        <stp/>
        <tr r="CI10" s="3"/>
        <tr r="CI10" s="3"/>
      </tp>
      <tp>
        <v>2.9260000000000001E-2</v>
        <stp/>
        <stp>P</stp>
        <stp>0</stp>
        <stp>FX</stp>
        <stp>IDRMYR</stp>
        <stp>BID직전가</stp>
        <stp/>
        <stp/>
        <tr r="CR23" s="3"/>
        <tr r="CR23" s="3"/>
      </tp>
      <tp>
        <v>455</v>
        <stp/>
        <stp>P</stp>
        <stp>0</stp>
        <stp>FX</stp>
        <stp>THBIDR</stp>
        <stp>BID직전가</stp>
        <stp/>
        <stp/>
        <tr r="CQ27" s="3"/>
        <tr r="CQ27" s="3"/>
      </tp>
      <tp>
        <v>9.4429999999999996</v>
        <stp/>
        <stp>P</stp>
        <stp>0</stp>
        <stp>FX</stp>
        <stp>USDSEK</stp>
        <stp>BID직전가</stp>
        <stp/>
        <stp/>
        <tr r="CK9" s="3"/>
        <tr r="CK9" s="3"/>
      </tp>
      <tp t="s">
        <v/>
        <stp/>
        <stp>P</stp>
        <stp>0</stp>
        <stp>FX</stp>
        <stp>BRLBRL</stp>
        <stp>BID직전가</stp>
        <stp/>
        <stp/>
        <tr r="CN20" s="3"/>
      </tp>
      <tp>
        <v>0.30070000000000002</v>
        <stp/>
        <stp>P</stp>
        <stp>0</stp>
        <stp>FX</stp>
        <stp>THBSEK</stp>
        <stp>BID직전가</stp>
        <stp/>
        <stp/>
        <tr r="CK27" s="3"/>
        <tr r="CK27" s="3"/>
      </tp>
      <tp t="s">
        <v/>
        <stp/>
        <stp>P</stp>
        <stp>0</stp>
        <stp>FX</stp>
        <stp>CNHBRL</stp>
        <stp>BID직전가</stp>
        <stp/>
        <stp/>
        <tr r="CN13" s="3"/>
      </tp>
      <tp>
        <v>0.56240999999999997</v>
        <stp/>
        <stp>P</stp>
        <stp>0</stp>
        <stp>FX</stp>
        <stp>CNYBRL</stp>
        <stp>BID직전가</stp>
        <stp/>
        <stp/>
        <tr r="CN12" s="3"/>
        <tr r="CN12" s="3"/>
      </tp>
      <tp>
        <v>14270</v>
        <stp/>
        <stp>P</stp>
        <stp>0</stp>
        <stp>FX</stp>
        <stp>USDIDR</stp>
        <stp>BID직전가</stp>
        <stp/>
        <stp/>
        <tr r="CQ9" s="3"/>
        <tr r="CQ9" s="3"/>
      </tp>
      <tp>
        <v>3.9114</v>
        <stp/>
        <stp>P</stp>
        <stp>0</stp>
        <stp>FX</stp>
        <stp>CHFBRL</stp>
        <stp>BID직전가</stp>
        <stp/>
        <stp/>
        <tr r="CN14" s="3"/>
        <tr r="CN14" s="3"/>
      </tp>
      <tp t="s">
        <v/>
        <stp/>
        <stp>P</stp>
        <stp>0</stp>
        <stp>FX</stp>
        <stp>IDRMXN</stp>
        <stp>BID직전가</stp>
        <stp/>
        <stp/>
        <tr r="CO23" s="3"/>
      </tp>
      <tp t="s">
        <v/>
        <stp/>
        <stp>P</stp>
        <stp>0</stp>
        <stp>FX</stp>
        <stp>PLNCAD</stp>
        <stp>BID직전가</stp>
        <stp/>
        <stp/>
        <tr r="CJ19" s="3"/>
      </tp>
      <tp>
        <v>0.21584999999999999</v>
        <stp/>
        <stp>P</stp>
        <stp>0</stp>
        <stp>FX</stp>
        <stp>DKKAUD</stp>
        <stp>BID직전가</stp>
        <stp/>
        <stp/>
        <tr r="CI18" s="3"/>
        <tr r="CI18" s="3"/>
      </tp>
      <tp>
        <v>2.8908</v>
        <stp/>
        <stp>P</stp>
        <stp>0</stp>
        <stp>FX</stp>
        <stp>CADBRL</stp>
        <stp>BID직전가</stp>
        <stp/>
        <stp/>
        <tr r="CN16" s="3"/>
        <tr r="CN16" s="3"/>
      </tp>
      <tp>
        <v>75.22</v>
        <stp/>
        <stp>P</stp>
        <stp>0</stp>
        <stp>FX</stp>
        <stp>AUDJPY</stp>
        <stp>BID직전가</stp>
        <stp/>
        <stp/>
        <tr r="CE15" s="3"/>
        <tr r="CE15" s="3"/>
      </tp>
      <tp>
        <v>2.588E-2</v>
        <stp/>
        <stp>P</stp>
        <stp>0</stp>
        <stp>FX</stp>
        <stp>PHPCAD</stp>
        <stp>BID직전가</stp>
        <stp/>
        <stp/>
        <tr r="CJ25" s="3"/>
        <tr r="CJ25" s="3"/>
      </tp>
      <tp>
        <v>0.25669999999999998</v>
        <stp/>
        <stp>P</stp>
        <stp>0</stp>
        <stp>FX</stp>
        <stp>BRLUSD</stp>
        <stp>BID직전가</stp>
        <stp/>
        <stp/>
        <tr r="CC20" s="3"/>
        <tr r="CC20" s="3"/>
      </tp>
      <tp>
        <v>878.78</v>
        <stp/>
        <stp>P</stp>
        <stp>0</stp>
        <stp>FX</stp>
        <stp>CADKRW</stp>
        <stp>BID직전가</stp>
        <stp/>
        <stp/>
        <tr r="CB16" s="3"/>
        <tr r="CB16" s="3"/>
      </tp>
      <tp>
        <v>0.13378999999999999</v>
        <stp/>
        <stp>P</stp>
        <stp>0</stp>
        <stp>FX</stp>
        <stp>DKKEUR</stp>
        <stp>BID직전가</stp>
        <stp/>
        <stp/>
        <tr r="CD18" s="3"/>
        <tr r="CD18" s="3"/>
      </tp>
      <tp>
        <v>170.53</v>
        <stp/>
        <stp>P</stp>
        <stp>0</stp>
        <stp>FX</stp>
        <stp>CNHKRW</stp>
        <stp>BID직전가</stp>
        <stp/>
        <stp/>
        <tr r="CB13" s="3"/>
        <tr r="CB13" s="3"/>
      </tp>
      <tp>
        <v>0.53269</v>
        <stp/>
        <stp>P</stp>
        <stp>0</stp>
        <stp>FX</stp>
        <stp>HKDMYR</stp>
        <stp>BID직전가</stp>
        <stp/>
        <stp/>
        <tr r="CR22" s="3"/>
        <tr r="CR22" s="3"/>
      </tp>
      <tp>
        <v>171.03</v>
        <stp/>
        <stp>P</stp>
        <stp>0</stp>
        <stp>FX</stp>
        <stp>CNYKRW</stp>
        <stp>BID직전가</stp>
        <stp/>
        <stp/>
        <tr r="CB12" s="3"/>
        <tr r="CB12" s="3"/>
      </tp>
      <tp>
        <v>1189.45</v>
        <stp/>
        <stp>P</stp>
        <stp>0</stp>
        <stp>FX</stp>
        <stp>CHFKRW</stp>
        <stp>BID직전가</stp>
        <stp/>
        <stp/>
        <tr r="CB14" s="3"/>
        <tr r="CB14" s="3"/>
      </tp>
      <tp>
        <v>0.29931000000000002</v>
        <stp/>
        <stp>P</stp>
        <stp>0</stp>
        <stp>FX</stp>
        <stp>TWDSEK</stp>
        <stp>BID직전가</stp>
        <stp/>
        <stp/>
        <tr r="CK28" s="3"/>
        <tr r="CK28" s="3"/>
      </tp>
      <tp t="s">
        <v/>
        <stp/>
        <stp>P</stp>
        <stp>0</stp>
        <stp>FX</stp>
        <stp>KRWEUR</stp>
        <stp>BID직전가</stp>
        <stp/>
        <stp/>
        <tr r="CD8" s="3"/>
      </tp>
      <tp>
        <v>2.198E-2</v>
        <stp/>
        <stp>P</stp>
        <stp>0</stp>
        <stp>FX</stp>
        <stp>IDRTWD</stp>
        <stp>BID직전가</stp>
        <stp/>
        <stp/>
        <tr r="CV23" s="3"/>
        <tr r="CV23" s="3"/>
      </tp>
      <tp t="s">
        <v/>
        <stp/>
        <stp>P</stp>
        <stp>0</stp>
        <stp>FX</stp>
        <stp>PHPCNH</stp>
        <stp>BID직전가</stp>
        <stp/>
        <stp/>
        <tr r="CG25" s="3"/>
      </tp>
      <tp t="s">
        <v/>
        <stp/>
        <stp>P</stp>
        <stp>0</stp>
        <stp>FX</stp>
        <stp>PLNCNH</stp>
        <stp>BID직전가</stp>
        <stp/>
        <stp/>
        <tr r="CG19" s="3"/>
      </tp>
      <tp>
        <v>0.1328</v>
        <stp/>
        <stp>P</stp>
        <stp>0</stp>
        <stp>FX</stp>
        <stp>PHPCNY</stp>
        <stp>BID직전가</stp>
        <stp/>
        <stp/>
        <tr r="CF25" s="3"/>
        <tr r="CF25" s="3"/>
      </tp>
      <tp>
        <v>7.8403</v>
        <stp/>
        <stp>P</stp>
        <stp>0</stp>
        <stp>FX</stp>
        <stp>USDHKD</stp>
        <stp>BID직전가</stp>
        <stp/>
        <stp/>
        <tr r="CP9" s="3"/>
        <tr r="CP9" s="3"/>
      </tp>
      <tp t="s">
        <v/>
        <stp/>
        <stp>P</stp>
        <stp>0</stp>
        <stp>FX</stp>
        <stp>KRWAUD</stp>
        <stp>BID직전가</stp>
        <stp/>
        <stp/>
        <tr r="CI8" s="3"/>
      </tp>
      <tp>
        <v>1.8101</v>
        <stp/>
        <stp>P</stp>
        <stp>0</stp>
        <stp>FX</stp>
        <stp>PLNCNY</stp>
        <stp>BID직전가</stp>
        <stp/>
        <stp/>
        <tr r="CF19" s="3"/>
        <tr r="CF19" s="3"/>
      </tp>
      <tp>
        <v>6.6395</v>
        <stp/>
        <stp>P</stp>
        <stp>0</stp>
        <stp>FX</stp>
        <stp>USDDKK</stp>
        <stp>BID직전가</stp>
        <stp/>
        <stp/>
        <tr r="CL9" s="3"/>
        <tr r="CL9" s="3"/>
      </tp>
      <tp>
        <v>0.2389</v>
        <stp/>
        <stp>P</stp>
        <stp>0</stp>
        <stp>FX</stp>
        <stp>MYRUSD</stp>
        <stp>BID직전가</stp>
        <stp/>
        <stp/>
        <tr r="CC24" s="3"/>
        <tr r="CC24" s="3"/>
      </tp>
      <tp>
        <v>5.0720000000000001E-2</v>
        <stp/>
        <stp>P</stp>
        <stp>0</stp>
        <stp>FX</stp>
        <stp>MXNUSD</stp>
        <stp>BID직전가</stp>
        <stp/>
        <stp/>
        <tr r="CC21" s="3"/>
        <tr r="CC21" s="3"/>
      </tp>
      <tp>
        <v>0.88919999999999999</v>
        <stp/>
        <stp>P</stp>
        <stp>0</stp>
        <stp>FX</stp>
        <stp>USDEUR</stp>
        <stp>뉴욕매입종가</stp>
        <stp>43619</stp>
        <stp/>
        <tr r="BV16" s="3"/>
      </tp>
      <tp>
        <v>0.21107999999999999</v>
        <stp/>
        <stp>P</stp>
        <stp>0</stp>
        <stp>FX</stp>
        <stp>THBDKK</stp>
        <stp>BID직전가</stp>
        <stp/>
        <stp/>
        <tr r="CL27" s="3"/>
        <tr r="CL27" s="3"/>
      </tp>
      <tp>
        <v>0.82316</v>
        <stp/>
        <stp>P</stp>
        <stp>0</stp>
        <stp>FX</stp>
        <stp>JPYEUR</stp>
        <stp>BID직전가</stp>
        <stp/>
        <stp/>
        <tr r="CD11" s="3"/>
        <tr r="CD11" s="3"/>
      </tp>
      <tp>
        <v>0.4027</v>
        <stp/>
        <stp>P</stp>
        <stp>0</stp>
        <stp>FX</stp>
        <stp>SEKPLN</stp>
        <stp>BID직전가</stp>
        <stp/>
        <stp/>
        <tr r="CM17" s="3"/>
        <tr r="CM17" s="3"/>
      </tp>
      <tp>
        <v>2.7755999999999998</v>
        <stp/>
        <stp>P</stp>
        <stp>0</stp>
        <stp>FX</stp>
        <stp>SGDPLN</stp>
        <stp>BID직전가</stp>
        <stp/>
        <stp/>
        <tr r="CM26" s="3"/>
        <tr r="CM26" s="3"/>
      </tp>
      <tp>
        <v>59.9</v>
        <stp/>
        <stp>P</stp>
        <stp>0</stp>
        <stp>FX</stp>
        <stp>MXNKRW</stp>
        <stp>BID직전가</stp>
        <stp/>
        <stp/>
        <tr r="CB21" s="3"/>
        <tr r="CB21" s="3"/>
      </tp>
      <tp>
        <v>4.0103999999999997</v>
        <stp/>
        <stp>P</stp>
        <stp>0</stp>
        <stp>FX</stp>
        <stp>HKDTWD</stp>
        <stp>BID직전가</stp>
        <stp/>
        <stp/>
        <tr r="CV22" s="3"/>
        <tr r="CV22" s="3"/>
      </tp>
      <tp>
        <v>282.73</v>
        <stp/>
        <stp>P</stp>
        <stp>0</stp>
        <stp>FX</stp>
        <stp>MYRKRW</stp>
        <stp>BID직전가</stp>
        <stp/>
        <stp/>
        <tr r="CB24" s="3"/>
        <tr r="CB24" s="3"/>
      </tp>
      <tp>
        <v>0.2485</v>
        <stp/>
        <stp>P</stp>
        <stp>0</stp>
        <stp>FX</stp>
        <stp>THBHKD</stp>
        <stp>BID직전가</stp>
        <stp/>
        <stp/>
        <tr r="CP27" s="3"/>
        <tr r="CP27" s="3"/>
      </tp>
      <tp>
        <v>0.24879999999999999</v>
        <stp/>
        <stp>P</stp>
        <stp>0</stp>
        <stp>FX</stp>
        <stp>TWDHKD</stp>
        <stp>BID직전가</stp>
        <stp/>
        <stp/>
        <tr r="CP28" s="3"/>
        <tr r="CP28" s="3"/>
      </tp>
      <tp>
        <v>0.93293999999999999</v>
        <stp/>
        <stp>P</stp>
        <stp>0</stp>
        <stp>FX</stp>
        <stp>MYRBRL</stp>
        <stp>BID직전가</stp>
        <stp/>
        <stp/>
        <tr r="CN24" s="3"/>
        <tr r="CN24" s="3"/>
      </tp>
      <tp>
        <v>0.19664999999999999</v>
        <stp/>
        <stp>P</stp>
        <stp>0</stp>
        <stp>FX</stp>
        <stp>MXNBRL</stp>
        <stp>BID직전가</stp>
        <stp/>
        <stp/>
        <tr r="CN21" s="3"/>
        <tr r="CN21" s="3"/>
      </tp>
      <tp>
        <v>1.3270000000000001E-2</v>
        <stp/>
        <stp>P</stp>
        <stp>0</stp>
        <stp>FX</stp>
        <stp>JPYAUD</stp>
        <stp>BID직전가</stp>
        <stp/>
        <stp/>
        <tr r="CI11" s="3"/>
        <tr r="CI11" s="3"/>
      </tp>
      <tp t="s">
        <v/>
        <stp/>
        <stp>P</stp>
        <stp>0</stp>
        <stp>FX</stp>
        <stp>TWDDKK</stp>
        <stp>BID직전가</stp>
        <stp/>
        <stp/>
        <tr r="CL28" s="3"/>
      </tp>
      <tp t="s">
        <v/>
        <stp/>
        <stp>P</stp>
        <stp>0</stp>
        <stp>FX</stp>
        <stp>PLNPLN</stp>
        <stp>BID직전가</stp>
        <stp/>
        <stp/>
        <tr r="CM19" s="3"/>
      </tp>
      <tp>
        <v>9.9900000000000006E-3</v>
        <stp/>
        <stp>P</stp>
        <stp>0</stp>
        <stp>FX</stp>
        <stp>IDRAUD</stp>
        <stp>BID직전가</stp>
        <stp/>
        <stp/>
        <tr r="CI23" s="3"/>
        <tr r="CI23" s="3"/>
      </tp>
      <tp>
        <v>1.6474</v>
        <stp/>
        <stp>P</stp>
        <stp>0</stp>
        <stp>FX</stp>
        <stp>TWDPHP</stp>
        <stp>BID직전가</stp>
        <stp/>
        <stp/>
        <tr r="CS28" s="3"/>
        <tr r="CS28" s="3"/>
      </tp>
      <tp>
        <v>4.6980000000000004</v>
        <stp/>
        <stp>P</stp>
        <stp>0</stp>
        <stp>FX</stp>
        <stp>EURMYR</stp>
        <stp>BID직전가</stp>
        <stp/>
        <stp/>
        <tr r="CR10" s="3"/>
        <tr r="CR10" s="3"/>
      </tp>
      <tp t="s">
        <v/>
        <stp/>
        <stp>P</stp>
        <stp>0</stp>
        <stp>FX</stp>
        <stp>PHPPLN</stp>
        <stp>BID직전가</stp>
        <stp/>
        <stp/>
        <tr r="CM25" s="3"/>
      </tp>
      <tp t="s">
        <v/>
        <stp/>
        <stp>P</stp>
        <stp>0</stp>
        <stp>FX</stp>
        <stp>DKKMXN</stp>
        <stp>BID직전가</stp>
        <stp/>
        <stp/>
        <tr r="CO18" s="3"/>
      </tp>
      <tp t="s">
        <v/>
        <stp/>
        <stp>P</stp>
        <stp>0</stp>
        <stp>FX</stp>
        <stp>THBTHB</stp>
        <stp>BID직전가</stp>
        <stp/>
        <stp/>
        <tr r="CU27" s="3"/>
      </tp>
      <tp>
        <v>3.04E-2</v>
        <stp/>
        <stp>P</stp>
        <stp>0</stp>
        <stp>FX</stp>
        <stp>THBCHF</stp>
        <stp>BID직전가</stp>
        <stp/>
        <stp/>
        <tr r="CH27" s="3"/>
        <tr r="CH27" s="3"/>
      </tp>
      <tp>
        <v>3.1530000000000002E-2</v>
        <stp/>
        <stp>P</stp>
        <stp>0</stp>
        <stp>FX</stp>
        <stp>TWDCHF</stp>
        <stp>BID직전가</stp>
        <stp/>
        <stp/>
        <tr r="CH28" s="3"/>
        <tr r="CH28" s="3"/>
      </tp>
      <tp t="s">
        <v/>
        <stp/>
        <stp>P</stp>
        <stp>0</stp>
        <stp>FX</stp>
        <stp>KRWTWD</stp>
        <stp>BID직전가</stp>
        <stp/>
        <stp/>
        <tr r="CV8" s="3"/>
      </tp>
      <tp>
        <v>6.2230000000000001E-2</v>
        <stp/>
        <stp>P</stp>
        <stp>0</stp>
        <stp>FX</stp>
        <stp>IDREUR</stp>
        <stp>BID직전가</stp>
        <stp/>
        <stp/>
        <tr r="CD23" s="3"/>
        <tr r="CD23" s="3"/>
      </tp>
      <tp>
        <v>0.99680000000000002</v>
        <stp/>
        <stp>P</stp>
        <stp>0</stp>
        <stp>FX</stp>
        <stp>TWDTHB</stp>
        <stp>BID직전가</stp>
        <stp/>
        <stp/>
        <tr r="CU28" s="3"/>
        <tr r="CU28" s="3"/>
      </tp>
      <tp>
        <v>1.6517999999999999</v>
        <stp/>
        <stp>P</stp>
        <stp>0</stp>
        <stp>FX</stp>
        <stp>THBPHP</stp>
        <stp>BID직전가</stp>
        <stp/>
        <stp/>
        <tr r="CS27" s="3"/>
        <tr r="CS27" s="3"/>
      </tp>
      <tp>
        <v>51.78</v>
        <stp/>
        <stp>P</stp>
        <stp>0</stp>
        <stp>FX</stp>
        <stp>USDPHP</stp>
        <stp>BID직전가</stp>
        <stp/>
        <stp/>
        <tr r="CS9" s="3"/>
        <tr r="CS9" s="3"/>
      </tp>
      <tp>
        <v>5.4729999999999999</v>
        <stp/>
        <stp>P</stp>
        <stp>0</stp>
        <stp>FX</stp>
        <stp>MXNJPY</stp>
        <stp>BID직전가</stp>
        <stp/>
        <stp/>
        <tr r="CE21" s="3"/>
        <tr r="CE21" s="3"/>
      </tp>
      <tp>
        <v>25.841000000000001</v>
        <stp/>
        <stp>P</stp>
        <stp>0</stp>
        <stp>FX</stp>
        <stp>MYRJPY</stp>
        <stp>BID직전가</stp>
        <stp/>
        <stp/>
        <tr r="CE24" s="3"/>
        <tr r="CE24" s="3"/>
      </tp>
      <tp>
        <v>5.0540000000000003</v>
        <stp/>
        <stp>P</stp>
        <stp>0</stp>
        <stp>FX</stp>
        <stp>SGDCNH</stp>
        <stp>BID직전가</stp>
        <stp/>
        <stp/>
        <tr r="CG26" s="3"/>
        <tr r="CG26" s="3"/>
      </tp>
      <tp>
        <v>0.18279999999999999</v>
        <stp/>
        <stp>P</stp>
        <stp>0</stp>
        <stp>FX</stp>
        <stp>HKDAUD</stp>
        <stp>BID직전가</stp>
        <stp/>
        <stp/>
        <tr r="CI22" s="3"/>
        <tr r="CI22" s="3"/>
      </tp>
      <tp>
        <v>0.73060000000000003</v>
        <stp/>
        <stp>P</stp>
        <stp>0</stp>
        <stp>FX</stp>
        <stp>SEKCNH</stp>
        <stp>BID직전가</stp>
        <stp/>
        <stp/>
        <tr r="CG17" s="3"/>
        <tr r="CG17" s="3"/>
      </tp>
      <tp>
        <v>31.35</v>
        <stp/>
        <stp>P</stp>
        <stp>0</stp>
        <stp>FX</stp>
        <stp>USDTHB</stp>
        <stp>BID직전가</stp>
        <stp/>
        <stp/>
        <tr r="CU9" s="3"/>
        <tr r="CU9" s="3"/>
      </tp>
      <tp>
        <v>0.99319999999999997</v>
        <stp/>
        <stp>P</stp>
        <stp>0</stp>
        <stp>FX</stp>
        <stp>USDCHF</stp>
        <stp>BID직전가</stp>
        <stp/>
        <stp/>
        <tr r="CH9" s="3"/>
        <tr r="CH9" s="3"/>
      </tp>
      <tp>
        <v>0.28870000000000001</v>
        <stp/>
        <stp>P</stp>
        <stp>0</stp>
        <stp>FX</stp>
        <stp>JPYTWD</stp>
        <stp>BID직전가</stp>
        <stp/>
        <stp/>
        <tr r="CV11" s="3"/>
        <tr r="CV11" s="3"/>
      </tp>
      <tp>
        <v>22.169</v>
        <stp/>
        <stp>P</stp>
        <stp>0</stp>
        <stp>FX</stp>
        <stp>EURMXN</stp>
        <stp>BID직전가</stp>
        <stp/>
        <stp/>
        <tr r="CO10" s="3"/>
        <tr r="CO10" s="3"/>
      </tp>
      <tp t="s">
        <v/>
        <stp/>
        <stp>P</stp>
        <stp>0</stp>
        <stp>FX</stp>
        <stp>DKKMYR</stp>
        <stp>BID직전가</stp>
        <stp/>
        <stp/>
        <tr r="CR18" s="3"/>
      </tp>
      <tp>
        <v>0.11330999999999999</v>
        <stp/>
        <stp>P</stp>
        <stp>0</stp>
        <stp>FX</stp>
        <stp>HKDEUR</stp>
        <stp>BID직전가</stp>
        <stp/>
        <stp/>
        <tr r="CD22" s="3"/>
        <tr r="CD22" s="3"/>
      </tp>
      <tp>
        <v>5.0460000000000003</v>
        <stp/>
        <stp>P</stp>
        <stp>0</stp>
        <stp>FX</stp>
        <stp>SGDCNY</stp>
        <stp>BID직전가</stp>
        <stp/>
        <stp/>
        <tr r="CF26" s="3"/>
        <tr r="CF26" s="3"/>
      </tp>
      <tp>
        <v>0.72640000000000005</v>
        <stp/>
        <stp>P</stp>
        <stp>0</stp>
        <stp>FX</stp>
        <stp>SEKCNY</stp>
        <stp>BID직전가</stp>
        <stp/>
        <stp/>
        <tr r="CF17" s="3"/>
        <tr r="CF17" s="3"/>
      </tp>
      <tp t="s">
        <v/>
        <stp/>
        <stp>P</stp>
        <stp>0</stp>
        <stp>FX</stp>
        <stp>THBCNH</stp>
        <stp>BID직전가</stp>
        <stp/>
        <stp/>
        <tr r="CG27" s="3"/>
      </tp>
      <tp>
        <v>6.9800000000000001E-3</v>
        <stp/>
        <stp>P</stp>
        <stp>0</stp>
        <stp>FX</stp>
        <stp>IDRUSD</stp>
        <stp>BID직전가</stp>
        <stp/>
        <stp/>
        <tr r="CC23" s="3"/>
        <tr r="CC23" s="3"/>
      </tp>
      <tp>
        <v>0.49535000000000001</v>
        <stp/>
        <stp>P</stp>
        <stp>0</stp>
        <stp>FX</stp>
        <stp>HKDBRL</stp>
        <stp>BID직전가</stp>
        <stp/>
        <stp/>
        <tr r="CN22" s="3"/>
        <tr r="CN22" s="3"/>
      </tp>
      <tp t="s">
        <v/>
        <stp/>
        <stp>P</stp>
        <stp>0</stp>
        <stp>FX</stp>
        <stp>JPYJPY</stp>
        <stp>BID직전가</stp>
        <stp/>
        <stp/>
        <tr r="CE11" s="3"/>
      </tp>
      <tp>
        <v>0.21909999999999999</v>
        <stp/>
        <stp>P</stp>
        <stp>0</stp>
        <stp>FX</stp>
        <stp>TWDCNY</stp>
        <stp>BID직전가</stp>
        <stp/>
        <stp/>
        <tr r="CF28" s="3"/>
        <tr r="CF28" s="3"/>
      </tp>
      <tp>
        <v>3.1027</v>
        <stp/>
        <stp>P</stp>
        <stp>0</stp>
        <stp>FX</stp>
        <stp>CADMYR</stp>
        <stp>BID직전가</stp>
        <stp/>
        <stp/>
        <tr r="CR16" s="3"/>
        <tr r="CR16" s="3"/>
      </tp>
      <tp>
        <v>0.21970000000000001</v>
        <stp/>
        <stp>P</stp>
        <stp>0</stp>
        <stp>FX</stp>
        <stp>THBCNY</stp>
        <stp>BID직전가</stp>
        <stp/>
        <stp/>
        <tr r="CF27" s="3"/>
        <tr r="CF27" s="3"/>
      </tp>
      <tp>
        <v>4.2045000000000003</v>
        <stp/>
        <stp>P</stp>
        <stp>0</stp>
        <stp>FX</stp>
        <stp>CHFMYR</stp>
        <stp>BID직전가</stp>
        <stp/>
        <stp/>
        <tr r="CR14" s="3"/>
        <tr r="CR14" s="3"/>
      </tp>
      <tp>
        <v>0.2177</v>
        <stp/>
        <stp>P</stp>
        <stp>0</stp>
        <stp>FX</stp>
        <stp>TWDCNH</stp>
        <stp>BID직전가</stp>
        <stp/>
        <stp/>
        <tr r="CG28" s="3"/>
        <tr r="CG28" s="3"/>
      </tp>
      <tp>
        <v>7.5285000000000002</v>
        <stp/>
        <stp>P</stp>
        <stp>0</stp>
        <stp>FX</stp>
        <stp>MYRTWD</stp>
        <stp>BID직전가</stp>
        <stp/>
        <stp/>
        <tr r="CV24" s="3"/>
        <tr r="CV24" s="3"/>
      </tp>
      <tp t="s">
        <v/>
        <stp/>
        <stp>P</stp>
        <stp>0</stp>
        <stp>FX</stp>
        <stp>MXNTWD</stp>
        <stp>BID직전가</stp>
        <stp/>
        <stp/>
        <tr r="CV21" s="3"/>
      </tp>
      <tp>
        <v>5.0724999999999998</v>
        <stp/>
        <stp>P</stp>
        <stp>0</stp>
        <stp>FX</stp>
        <stp>BRLMXN</stp>
        <stp>BID직전가</stp>
        <stp/>
        <stp/>
        <tr r="CO20" s="3"/>
        <tr r="CO20" s="3"/>
      </tp>
      <tp t="s">
        <v/>
        <stp/>
        <stp>P</stp>
        <stp>0</stp>
        <stp>FX</stp>
        <stp>CNHMYR</stp>
        <stp>BID직전가</stp>
        <stp/>
        <stp/>
        <tr r="CR13" s="3"/>
      </tp>
      <tp>
        <v>150.69</v>
        <stp/>
        <stp>P</stp>
        <stp>0</stp>
        <stp>FX</stp>
        <stp>HKDKRW</stp>
        <stp>BID직전가</stp>
        <stp/>
        <stp/>
        <tr r="CB22" s="3"/>
        <tr r="CB22" s="3"/>
      </tp>
      <tp>
        <v>0.60470000000000002</v>
        <stp/>
        <stp>P</stp>
        <stp>0</stp>
        <stp>FX</stp>
        <stp>CNYMYR</stp>
        <stp>BID직전가</stp>
        <stp/>
        <stp/>
        <tr r="CR12" s="3"/>
        <tr r="CR12" s="3"/>
      </tp>
      <tp>
        <v>10.51</v>
        <stp/>
        <stp>P</stp>
        <stp>0</stp>
        <stp>FX</stp>
        <stp>SEKCHF</stp>
        <stp>BID직전가</stp>
        <stp/>
        <stp/>
        <tr r="CH17" s="3"/>
        <tr r="CH17" s="3"/>
      </tp>
      <tp t="s">
        <v/>
        <stp/>
        <stp>P</stp>
        <stp>0</stp>
        <stp>FX</stp>
        <stp>PHPDKK</stp>
        <stp>BID직전가</stp>
        <stp/>
        <stp/>
        <tr r="CL25" s="3"/>
      </tp>
      <tp>
        <v>0.72540000000000004</v>
        <stp/>
        <stp>P</stp>
        <stp>0</stp>
        <stp>FX</stp>
        <stp>SGDCHF</stp>
        <stp>BID직전가</stp>
        <stp/>
        <stp/>
        <tr r="CH26" s="3"/>
        <tr r="CH26" s="3"/>
      </tp>
      <tp>
        <v>1.07</v>
        <stp/>
        <stp>P</stp>
        <stp>0</stp>
        <stp>FX</stp>
        <stp>BRLMYR</stp>
        <stp>BID직전가</stp>
        <stp/>
        <stp/>
        <tr r="CR20" s="3"/>
        <tr r="CR20" s="3"/>
      </tp>
      <tp t="s">
        <v/>
        <stp/>
        <stp>P</stp>
        <stp>0</stp>
        <stp>FX</stp>
        <stp>CNHMXN</stp>
        <stp>BID직전가</stp>
        <stp/>
        <stp/>
        <tr r="CO13" s="3"/>
      </tp>
      <tp t="s">
        <v/>
        <stp/>
        <stp>P</stp>
        <stp>0</stp>
        <stp>FX</stp>
        <stp>CNYMXN</stp>
        <stp>BID직전가</stp>
        <stp/>
        <stp/>
        <tr r="CO12" s="3"/>
      </tp>
      <tp>
        <v>1.7436</v>
        <stp/>
        <stp>P</stp>
        <stp>0</stp>
        <stp>FX</stp>
        <stp>PLNDKK</stp>
        <stp>BID직전가</stp>
        <stp/>
        <stp/>
        <tr r="CL19" s="3"/>
        <tr r="CL19" s="3"/>
      </tp>
      <tp t="s">
        <v/>
        <stp/>
        <stp>P</stp>
        <stp>0</stp>
        <stp>FX</stp>
        <stp>SEKTHB</stp>
        <stp>BID직전가</stp>
        <stp/>
        <stp/>
        <tr r="CU17" s="3"/>
      </tp>
      <tp>
        <v>19.8415</v>
        <stp/>
        <stp>P</stp>
        <stp>0</stp>
        <stp>FX</stp>
        <stp>CHFMXN</stp>
        <stp>BID직전가</stp>
        <stp/>
        <stp/>
        <tr r="CO14" s="3"/>
        <tr r="CO14" s="3"/>
      </tp>
      <tp>
        <v>22.9145</v>
        <stp/>
        <stp>P</stp>
        <stp>0</stp>
        <stp>FX</stp>
        <stp>SGDTHB</stp>
        <stp>BID직전가</stp>
        <stp/>
        <stp/>
        <tr r="CU26" s="3"/>
        <tr r="CU26" s="3"/>
      </tp>
      <tp>
        <v>9.14</v>
        <stp/>
        <stp>P</stp>
        <stp>0</stp>
        <stp>FX</stp>
        <stp>KRWJPY</stp>
        <stp>BID직전가</stp>
        <stp/>
        <stp/>
        <tr r="CE8" s="3"/>
        <tr r="CE8" s="3"/>
      </tp>
      <tp>
        <v>6.9063999999999997</v>
        <stp/>
        <stp>P</stp>
        <stp>0</stp>
        <stp>FX</stp>
        <stp>USDCNY</stp>
        <stp>BID직전가</stp>
        <stp/>
        <stp/>
        <tr r="CF9" s="3"/>
        <tr r="CF9" s="3"/>
      </tp>
      <tp t="s">
        <v/>
        <stp/>
        <stp>P</stp>
        <stp>0</stp>
        <stp>FX</stp>
        <stp>PLNHKD</stp>
        <stp>BID직전가</stp>
        <stp/>
        <stp/>
        <tr r="CP19" s="3"/>
      </tp>
      <tp>
        <v>2.6970000000000001E-2</v>
        <stp/>
        <stp>P</stp>
        <stp>0</stp>
        <stp>FX</stp>
        <stp>IDRBRL</stp>
        <stp>BID직전가</stp>
        <stp/>
        <stp/>
        <tr r="CN23" s="3"/>
        <tr r="CN23" s="3"/>
      </tp>
      <tp>
        <v>0.12748999999999999</v>
        <stp/>
        <stp>P</stp>
        <stp>0</stp>
        <stp>FX</stp>
        <stp>HKDUSD</stp>
        <stp>BID직전가</stp>
        <stp/>
        <stp/>
        <tr r="CC22" s="3"/>
        <tr r="CC22" s="3"/>
      </tp>
      <tp>
        <v>14.661199999999999</v>
        <stp/>
        <stp>P</stp>
        <stp>0</stp>
        <stp>FX</stp>
        <stp>CADMXN</stp>
        <stp>BID직전가</stp>
        <stp/>
        <stp/>
        <tr r="CO16" s="3"/>
        <tr r="CO16" s="3"/>
      </tp>
      <tp>
        <v>0.151</v>
        <stp/>
        <stp>P</stp>
        <stp>0</stp>
        <stp>FX</stp>
        <stp>PHPHKD</stp>
        <stp>BID직전가</stp>
        <stp/>
        <stp/>
        <tr r="CP25" s="3"/>
        <tr r="CP25" s="3"/>
      </tp>
      <tp>
        <v>8.27</v>
        <stp/>
        <stp>P</stp>
        <stp>0</stp>
        <stp>FX</stp>
        <stp>IDRKRW</stp>
        <stp>BID직전가</stp>
        <stp/>
        <stp/>
        <tr r="CB23" s="3"/>
        <tr r="CB23" s="3"/>
      </tp>
      <tp>
        <v>37.860999999999997</v>
        <stp/>
        <stp>P</stp>
        <stp>0</stp>
        <stp>FX</stp>
        <stp>SGDPHP</stp>
        <stp>BID직전가</stp>
        <stp/>
        <stp/>
        <tr r="CS26" s="3"/>
        <tr r="CS26" s="3"/>
      </tp>
      <tp t="s">
        <v/>
        <stp/>
        <stp>P</stp>
        <stp>0</stp>
        <stp>FX</stp>
        <stp>SEKPHP</stp>
        <stp>BID직전가</stp>
        <stp/>
        <stp/>
        <tr r="CS17" s="3"/>
      </tp>
      <tp>
        <v>6.9259000000000004</v>
        <stp/>
        <stp>P</stp>
        <stp>0</stp>
        <stp>FX</stp>
        <stp>USDCNH</stp>
        <stp>BID직전가</stp>
        <stp/>
        <stp/>
        <tr r="CG9" s="3"/>
        <tr r="CG9" s="3"/>
      </tp>
      <tp>
        <v>5.7260999999999997</v>
        <stp/>
        <stp>P</stp>
        <stp>0</stp>
        <stp>FX</stp>
        <stp>SGDHKD</stp>
        <stp>BID직전가</stp>
        <stp/>
        <stp/>
        <tr r="CP26" s="3"/>
        <tr r="CP26" s="3"/>
      </tp>
      <tp>
        <v>0.82809999999999995</v>
        <stp/>
        <stp>P</stp>
        <stp>0</stp>
        <stp>FX</stp>
        <stp>SEKHKD</stp>
        <stp>BID직전가</stp>
        <stp/>
        <stp/>
        <tr r="CP17" s="3"/>
        <tr r="CP17" s="3"/>
      </tp>
      <tp>
        <v>2.9142999999999999</v>
        <stp/>
        <stp>P</stp>
        <stp>0</stp>
        <stp>FX</stp>
        <stp>AUDMYR</stp>
        <stp>BID직전가</stp>
        <stp/>
        <stp/>
        <tr r="CR15" s="3"/>
        <tr r="CR15" s="3"/>
      </tp>
      <tp>
        <v>1094.08</v>
        <stp/>
        <stp>P</stp>
        <stp>0</stp>
        <stp>FX</stp>
        <stp>JPYKRW</stp>
        <stp>BID직전가</stp>
        <stp/>
        <stp/>
        <tr r="CB11" s="3"/>
        <tr r="CB11" s="3"/>
      </tp>
      <tp t="s">
        <v/>
        <stp/>
        <stp>P</stp>
        <stp>0</stp>
        <stp>FX</stp>
        <stp>THBPLN</stp>
        <stp>BID직전가</stp>
        <stp/>
        <stp/>
        <tr r="CM27" s="3"/>
      </tp>
      <tp>
        <v>0.21279999999999999</v>
        <stp/>
        <stp>P</stp>
        <stp>0</stp>
        <stp>FX</stp>
        <stp>MYREUR</stp>
        <stp>BID직전가</stp>
        <stp/>
        <stp/>
        <tr r="CD24" s="3"/>
        <tr r="CD24" s="3"/>
      </tp>
      <tp>
        <v>4.4609999999999997E-2</v>
        <stp/>
        <stp>P</stp>
        <stp>0</stp>
        <stp>FX</stp>
        <stp>MXNEUR</stp>
        <stp>BID직전가</stp>
        <stp/>
        <stp/>
        <tr r="CD21" s="3"/>
        <tr r="CD21" s="3"/>
      </tp>
      <tp>
        <v>0.26090000000000002</v>
        <stp/>
        <stp>P</stp>
        <stp>0</stp>
        <stp>FX</stp>
        <stp>PLNCHF</stp>
        <stp>BID직전가</stp>
        <stp/>
        <stp/>
        <tr r="CH19" s="3"/>
        <tr r="CH19" s="3"/>
      </tp>
      <tp>
        <v>0.60470000000000002</v>
        <stp/>
        <stp>P</stp>
        <stp>0</stp>
        <stp>FX</stp>
        <stp>PHPTHB</stp>
        <stp>BID직전가</stp>
        <stp/>
        <stp/>
        <tr r="CU25" s="3"/>
        <tr r="CU25" s="3"/>
      </tp>
      <tp>
        <v>8.2387999999999995</v>
        <stp/>
        <stp>P</stp>
        <stp>0</stp>
        <stp>FX</stp>
        <stp>PLNTHB</stp>
        <stp>BID직전가</stp>
        <stp/>
        <stp/>
        <tr r="CU19" s="3"/>
        <tr r="CU19" s="3"/>
      </tp>
      <tp>
        <v>0.70279999999999998</v>
        <stp/>
        <stp>P</stp>
        <stp>0</stp>
        <stp>FX</stp>
        <stp>SEKDKK</stp>
        <stp>BID직전가</stp>
        <stp/>
        <stp/>
        <tr r="CL17" s="3"/>
        <tr r="CL17" s="3"/>
      </tp>
      <tp>
        <v>1.9099999999999999E-2</v>
        <stp/>
        <stp>P</stp>
        <stp>0</stp>
        <stp>FX</stp>
        <stp>PHPCHF</stp>
        <stp>BID직전가</stp>
        <stp/>
        <stp/>
        <tr r="CH25" s="3"/>
        <tr r="CH25" s="3"/>
      </tp>
      <tp>
        <v>4.8472999999999997</v>
        <stp/>
        <stp>P</stp>
        <stp>0</stp>
        <stp>FX</stp>
        <stp>SGDDKK</stp>
        <stp>BID직전가</stp>
        <stp/>
        <stp/>
        <tr r="CL26" s="3"/>
        <tr r="CL26" s="3"/>
      </tp>
      <tp>
        <v>13.7685</v>
        <stp/>
        <stp>P</stp>
        <stp>0</stp>
        <stp>FX</stp>
        <stp>HKDJPY</stp>
        <stp>BID직전가</stp>
        <stp/>
        <stp/>
        <tr r="CE22" s="3"/>
        <tr r="CE22" s="3"/>
      </tp>
      <tp t="s">
        <v/>
        <stp/>
        <stp>P</stp>
        <stp>0</stp>
        <stp>FX</stp>
        <stp>KRWUSD</stp>
        <stp>BID직전가</stp>
        <stp/>
        <stp/>
        <tr r="CC8" s="3"/>
      </tp>
      <tp t="s">
        <v/>
        <stp/>
        <stp>P</stp>
        <stp>0</stp>
        <stp>FX</stp>
        <stp>TWDPLN</stp>
        <stp>BID직전가</stp>
        <stp/>
        <stp/>
        <tr r="CM28" s="3"/>
      </tp>
      <tp t="s">
        <v/>
        <stp/>
        <stp>P</stp>
        <stp>0</stp>
        <stp>FX</stp>
        <stp>PHPPHP</stp>
        <stp>BID직전가</stp>
        <stp/>
        <stp/>
        <tr r="CS25" s="3"/>
      </tp>
      <tp>
        <v>0.34260000000000002</v>
        <stp/>
        <stp>P</stp>
        <stp>0</stp>
        <stp>FX</stp>
        <stp>MYRAUD</stp>
        <stp>BID직전가</stp>
        <stp/>
        <stp/>
        <tr r="CI24" s="3"/>
        <tr r="CI24" s="3"/>
      </tp>
      <tp t="s">
        <v/>
        <stp/>
        <stp>P</stp>
        <stp>0</stp>
        <stp>FX</stp>
        <stp>PLNPHP</stp>
        <stp>BID직전가</stp>
        <stp/>
        <stp/>
        <tr r="CS19" s="3"/>
      </tp>
      <tp>
        <v>7.2480000000000003E-2</v>
        <stp/>
        <stp>P</stp>
        <stp>0</stp>
        <stp>FX</stp>
        <stp>MXNAUD</stp>
        <stp>BID직전가</stp>
        <stp/>
        <stp/>
        <tr r="CI21" s="3"/>
        <tr r="CI21" s="3"/>
      </tp>
      <tp>
        <v>3.5900000000000001E-2</v>
        <stp/>
        <stp>P</stp>
        <stp>0</stp>
        <stp>FX</stp>
        <stp>JPYBRL</stp>
        <stp>BID직전가</stp>
        <stp/>
        <stp/>
        <tr r="CN11" s="3"/>
        <tr r="CN11" s="3"/>
      </tp>
      <tp t="s">
        <v/>
        <stp/>
        <stp>P</stp>
        <stp>0</stp>
        <stp>FX</stp>
        <stp>KRWKRW</stp>
        <stp>BID직전가</stp>
        <stp/>
        <stp/>
        <tr r="CB8" s="3"/>
      </tp>
      <tp>
        <v>9.2499999999999995E-3</v>
        <stp/>
        <stp>P</stp>
        <stp>0</stp>
        <stp>FX</stp>
        <stp>JPYUSD</stp>
        <stp>BID직전가</stp>
        <stp/>
        <stp/>
        <tr r="CC11" s="3"/>
        <tr r="CC11" s="3"/>
      </tp>
      <tp>
        <v>13.7357</v>
        <stp/>
        <stp>P</stp>
        <stp>0</stp>
        <stp>FX</stp>
        <stp>AUDMXN</stp>
        <stp>BID직전가</stp>
        <stp/>
        <stp/>
        <tr r="CO15" s="3"/>
        <tr r="CO15" s="3"/>
      </tp>
      <tp t="s">
        <v/>
        <stp/>
        <stp>P</stp>
        <stp>0</stp>
        <stp>FX</stp>
        <stp>KRWBRL</stp>
        <stp>BID직전가</stp>
        <stp/>
        <stp/>
        <tr r="CN8" s="3"/>
      </tp>
      <tp>
        <v>3.8058999999999998</v>
        <stp/>
        <stp>P</stp>
        <stp>0</stp>
        <stp>FX</stp>
        <stp>USDPLN</stp>
        <stp>BID직전가</stp>
        <stp/>
        <stp/>
        <tr r="CM9" s="3"/>
        <tr r="CM9" s="3"/>
      </tp>
      <tp>
        <v>7.5399999999999998E-3</v>
        <stp/>
        <stp>P</stp>
        <stp>0</stp>
        <stp>FX</stp>
        <stp>IDRJPY</stp>
        <stp>BID직전가</stp>
        <stp/>
        <stp/>
        <tr r="CE23" s="3"/>
        <tr r="CE23" s="3"/>
      </tp>
      <tp>
        <v>3.0000000000000003E-4</v>
        <stp/>
        <stp>P</stp>
        <stp>0</stp>
        <stp>FX</stp>
        <stp>USDEUR</stp>
        <stp>뉴욕종가대비</stp>
        <stp/>
        <stp/>
        <tr r="BU17" s="3"/>
      </tp>
      <tp t="s">
        <v/>
        <stp/>
        <stp>P</stp>
        <stp>0</stp>
        <stp>FX</stp>
        <stp>BRLPHP</stp>
        <stp>매입</stp>
        <stp/>
        <stp/>
        <tr r="V20" s="3"/>
      </tp>
      <tp t="s">
        <v/>
        <stp/>
        <stp>P</stp>
        <stp>0</stp>
        <stp>FX</stp>
        <stp>DKKCNH</stp>
        <stp>매입</stp>
        <stp/>
        <stp/>
        <tr r="J18" s="3"/>
      </tp>
      <tp>
        <v>4.6273999999999997</v>
        <stp/>
        <stp>P</stp>
        <stp>0</stp>
        <stp>FX</stp>
        <stp>AUDDKK</stp>
        <stp>매입</stp>
        <stp/>
        <stp/>
        <tr r="O15" s="3"/>
      </tp>
      <tp>
        <v>6.9199999999999998E-2</v>
        <stp/>
        <stp>P</stp>
        <stp>0</stp>
        <stp>FX</stp>
        <stp>MXNSGD</stp>
        <stp>매입</stp>
        <stp/>
        <stp/>
        <tr r="W21" s="3"/>
      </tp>
      <tp>
        <v>0.32719999999999999</v>
        <stp/>
        <stp>P</stp>
        <stp>0</stp>
        <stp>FX</stp>
        <stp>MYRSGD</stp>
        <stp>매입</stp>
        <stp/>
        <stp/>
        <tr r="W24" s="3"/>
      </tp>
      <tp t="s">
        <v/>
        <stp/>
        <stp>P</stp>
        <stp>0</stp>
        <stp>FX</stp>
        <stp>KRWCAD</stp>
        <stp>매입</stp>
        <stp/>
        <stp/>
        <tr r="M8" s="3"/>
      </tp>
      <tp t="s">
        <v/>
        <stp/>
        <stp>P</stp>
        <stp>0</stp>
        <stp>FX</stp>
        <stp>SEKMYR</stp>
        <stp>매입</stp>
        <stp/>
        <stp/>
        <tr r="U17" s="3"/>
      </tp>
      <tp>
        <v>0.25530000000000003</v>
        <stp/>
        <stp>P</stp>
        <stp>0</stp>
        <stp>FX</stp>
        <stp>BRLCHF</stp>
        <stp>매입</stp>
        <stp/>
        <stp/>
        <tr r="K20" s="3"/>
      </tp>
      <tp>
        <v>3.0514000000000001</v>
        <stp/>
        <stp>P</stp>
        <stp>0</stp>
        <stp>FX</stp>
        <stp>SGDMYR</stp>
        <stp>매입</stp>
        <stp/>
        <stp/>
        <tr r="U26" s="3"/>
      </tp>
      <tp t="s">
        <v/>
        <stp/>
        <stp>P</stp>
        <stp>0</stp>
        <stp>FX</stp>
        <stp>DKKCNY</stp>
        <stp>매입</stp>
        <stp/>
        <stp/>
        <tr r="I18" s="3"/>
      </tp>
      <tp t="s">
        <v/>
        <stp/>
        <stp>P</stp>
        <stp>0</stp>
        <stp>FX</stp>
        <stp>BRLTHB</stp>
        <stp>매입</stp>
        <stp/>
        <stp/>
        <tr r="X20" s="3"/>
      </tp>
      <tp>
        <v>5.4626000000000001</v>
        <stp/>
        <stp>P</stp>
        <stp>0</stp>
        <stp>FX</stp>
        <stp>AUDHKD</stp>
        <stp>매입</stp>
        <stp/>
        <stp/>
        <tr r="S15" s="3"/>
      </tp>
      <tp t="s">
        <v/>
        <stp/>
        <stp>P</stp>
        <stp>0</stp>
        <stp>FX</stp>
        <stp>CHFCHF</stp>
        <stp>매입</stp>
        <stp/>
        <stp/>
        <tr r="K14" s="3"/>
      </tp>
      <tp>
        <v>4.5392000000000001</v>
        <stp/>
        <stp>P</stp>
        <stp>0</stp>
        <stp>FX</stp>
        <stp>CNYTHB</stp>
        <stp>매입</stp>
        <stp/>
        <stp/>
        <tr r="X12" s="3"/>
      </tp>
      <tp>
        <v>7.7672999999999996</v>
        <stp/>
        <stp>P</stp>
        <stp>0</stp>
        <stp>FX</stp>
        <stp>EURCNY</stp>
        <stp>매입</stp>
        <stp/>
        <stp/>
        <tr r="I10" s="3"/>
      </tp>
      <tp>
        <v>4.5248999999999997</v>
        <stp/>
        <stp>P</stp>
        <stp>0</stp>
        <stp>FX</stp>
        <stp>CNHTHB</stp>
        <stp>매입</stp>
        <stp/>
        <stp/>
        <tr r="X13" s="3"/>
      </tp>
      <tp>
        <v>31.555</v>
        <stp/>
        <stp>P</stp>
        <stp>0</stp>
        <stp>FX</stp>
        <stp>CHFTHB</stp>
        <stp>매입</stp>
        <stp/>
        <stp/>
        <tr r="X14" s="3"/>
      </tp>
      <tp t="s">
        <v/>
        <stp/>
        <stp>P</stp>
        <stp>0</stp>
        <stp>FX</stp>
        <stp>SEKMXN</stp>
        <stp>매입</stp>
        <stp/>
        <stp/>
        <tr r="R17" s="3"/>
      </tp>
      <tp>
        <v>0.14330000000000001</v>
        <stp/>
        <stp>P</stp>
        <stp>0</stp>
        <stp>FX</stp>
        <stp>CNYCHF</stp>
        <stp>매입</stp>
        <stp/>
        <stp/>
        <tr r="K12" s="3"/>
      </tp>
      <tp t="s">
        <v/>
        <stp/>
        <stp>P</stp>
        <stp>0</stp>
        <stp>FX</stp>
        <stp>CNHCHF</stp>
        <stp>매입</stp>
        <stp/>
        <stp/>
        <tr r="K13" s="3"/>
      </tp>
      <tp>
        <v>14.4236</v>
        <stp/>
        <stp>P</stp>
        <stp>0</stp>
        <stp>FX</stp>
        <stp>SGDMXN</stp>
        <stp>매입</stp>
        <stp/>
        <stp/>
        <tr r="R26" s="3"/>
      </tp>
      <tp>
        <v>0.73870000000000002</v>
        <stp/>
        <stp>P</stp>
        <stp>0</stp>
        <stp>FX</stp>
        <stp>CADCHF</stp>
        <stp>매입</stp>
        <stp/>
        <stp/>
        <tr r="K16" s="3"/>
      </tp>
      <tp>
        <v>23.334</v>
        <stp/>
        <stp>P</stp>
        <stp>0</stp>
        <stp>FX</stp>
        <stp>CADTHB</stp>
        <stp>매입</stp>
        <stp/>
        <stp/>
        <tr r="X16" s="3"/>
      </tp>
      <tp>
        <v>7.5029000000000003</v>
        <stp/>
        <stp>P</stp>
        <stp>0</stp>
        <stp>FX</stp>
        <stp>CNYPHP</stp>
        <stp>매입</stp>
        <stp/>
        <stp/>
        <tr r="V12" s="3"/>
      </tp>
      <tp>
        <v>7.4768999999999997</v>
        <stp/>
        <stp>P</stp>
        <stp>0</stp>
        <stp>FX</stp>
        <stp>CNHPHP</stp>
        <stp>매입</stp>
        <stp/>
        <stp/>
        <tr r="V13" s="3"/>
      </tp>
      <tp>
        <v>7.7874999999999996</v>
        <stp/>
        <stp>P</stp>
        <stp>0</stp>
        <stp>FX</stp>
        <stp>EURCNH</stp>
        <stp>매입</stp>
        <stp/>
        <stp/>
        <tr r="J10" s="3"/>
      </tp>
      <tp>
        <v>52.164000000000001</v>
        <stp/>
        <stp>P</stp>
        <stp>0</stp>
        <stp>FX</stp>
        <stp>CHFPHP</stp>
        <stp>매입</stp>
        <stp/>
        <stp/>
        <tr r="V14" s="3"/>
      </tp>
      <tp>
        <v>1.2446999999999999</v>
        <stp/>
        <stp>P</stp>
        <stp>0</stp>
        <stp>FX</stp>
        <stp>JPYCAD</stp>
        <stp>매입</stp>
        <stp/>
        <stp/>
        <tr r="M11" s="3"/>
      </tp>
      <tp>
        <v>38.506</v>
        <stp/>
        <stp>P</stp>
        <stp>0</stp>
        <stp>FX</stp>
        <stp>CADPHP</stp>
        <stp>매입</stp>
        <stp/>
        <stp/>
        <tr r="V16" s="3"/>
      </tp>
      <tp>
        <v>7.8928000000000003</v>
        <stp/>
        <stp>P</stp>
        <stp>0</stp>
        <stp>FX</stp>
        <stp>CHFHKD</stp>
        <stp>매입</stp>
        <stp/>
        <stp/>
        <tr r="S14" s="3"/>
      </tp>
      <tp>
        <v>1.1346000000000001</v>
        <stp/>
        <stp>P</stp>
        <stp>0</stp>
        <stp>FX</stp>
        <stp>CNYHKD</stp>
        <stp>매입</stp>
        <stp/>
        <stp/>
        <tr r="S12" s="3"/>
      </tp>
      <tp>
        <v>1.1315999999999999</v>
        <stp/>
        <stp>P</stp>
        <stp>0</stp>
        <stp>FX</stp>
        <stp>CNHHKD</stp>
        <stp>매입</stp>
        <stp/>
        <stp/>
        <tr r="S13" s="3"/>
      </tp>
      <tp>
        <v>4.9379999999999997</v>
        <stp/>
        <stp>P</stp>
        <stp>0</stp>
        <stp>FX</stp>
        <stp>CADDKK</stp>
        <stp>매입</stp>
        <stp/>
        <stp/>
        <tr r="O16" s="3"/>
      </tp>
      <tp t="s">
        <v/>
        <stp/>
        <stp>P</stp>
        <stp>0</stp>
        <stp>FX</stp>
        <stp>PHPMXN</stp>
        <stp>매입</stp>
        <stp/>
        <stp/>
        <tr r="R25" s="3"/>
      </tp>
      <tp t="s">
        <v/>
        <stp/>
        <stp>P</stp>
        <stp>0</stp>
        <stp>FX</stp>
        <stp>CNYDKK</stp>
        <stp>매입</stp>
        <stp/>
        <stp/>
        <tr r="O12" s="3"/>
      </tp>
      <tp>
        <v>0.57272000000000001</v>
        <stp/>
        <stp>P</stp>
        <stp>0</stp>
        <stp>FX</stp>
        <stp>DKKPLN</stp>
        <stp>매입</stp>
        <stp/>
        <stp/>
        <tr r="P18" s="3"/>
      </tp>
      <tp t="s">
        <v/>
        <stp/>
        <stp>P</stp>
        <stp>0</stp>
        <stp>FX</stp>
        <stp>CNHDKK</stp>
        <stp>매입</stp>
        <stp/>
        <stp/>
        <tr r="O13" s="3"/>
      </tp>
      <tp>
        <v>5.8318000000000003</v>
        <stp/>
        <stp>P</stp>
        <stp>0</stp>
        <stp>FX</stp>
        <stp>CADHKD</stp>
        <stp>매입</stp>
        <stp/>
        <stp/>
        <tr r="S16" s="3"/>
      </tp>
      <tp t="s">
        <v/>
        <stp/>
        <stp>P</stp>
        <stp>0</stp>
        <stp>FX</stp>
        <stp>PLNMXN</stp>
        <stp>매입</stp>
        <stp/>
        <stp/>
        <tr r="R19" s="3"/>
      </tp>
      <tp>
        <v>6.6840000000000002</v>
        <stp/>
        <stp>P</stp>
        <stp>0</stp>
        <stp>FX</stp>
        <stp>CHFDKK</stp>
        <stp>매입</stp>
        <stp/>
        <stp/>
        <tr r="O14" s="3"/>
      </tp>
      <tp>
        <v>9.3700000000000006E-2</v>
        <stp/>
        <stp>P</stp>
        <stp>0</stp>
        <stp>FX</stp>
        <stp>IDRCAD</stp>
        <stp>매입</stp>
        <stp/>
        <stp/>
        <tr r="M23" s="3"/>
      </tp>
      <tp>
        <v>2.2545000000000002</v>
        <stp/>
        <stp>P</stp>
        <stp>0</stp>
        <stp>FX</stp>
        <stp>MYRSEK</stp>
        <stp>매입</stp>
        <stp/>
        <stp/>
        <tr r="N24" s="3"/>
      </tp>
      <tp t="s">
        <v/>
        <stp/>
        <stp>P</stp>
        <stp>0</stp>
        <stp>FX</stp>
        <stp>MXNSEK</stp>
        <stp>매입</stp>
        <stp/>
        <stp/>
        <tr r="N21" s="3"/>
      </tp>
      <tp>
        <v>0.1714</v>
        <stp/>
        <stp>P</stp>
        <stp>0</stp>
        <stp>FX</stp>
        <stp>HKDCAD</stp>
        <stp>매입</stp>
        <stp/>
        <stp/>
        <tr r="M22" s="3"/>
      </tp>
      <tp t="s">
        <v/>
        <stp/>
        <stp>P</stp>
        <stp>0</stp>
        <stp>FX</stp>
        <stp>MXNIDR</stp>
        <stp>매입</stp>
        <stp/>
        <stp/>
        <tr r="T21" s="3"/>
      </tp>
      <tp>
        <v>3416.4</v>
        <stp/>
        <stp>P</stp>
        <stp>0</stp>
        <stp>FX</stp>
        <stp>MYRIDR</stp>
        <stp>매입</stp>
        <stp/>
        <stp/>
        <tr r="T24" s="3"/>
      </tp>
      <tp>
        <v>36.143000000000001</v>
        <stp/>
        <stp>P</stp>
        <stp>0</stp>
        <stp>FX</stp>
        <stp>AUDPHP</stp>
        <stp>매입</stp>
        <stp/>
        <stp/>
        <tr r="V15" s="3"/>
      </tp>
      <tp t="s">
        <v/>
        <stp/>
        <stp>P</stp>
        <stp>0</stp>
        <stp>FX</stp>
        <stp>PLNMYR</stp>
        <stp>매입</stp>
        <stp/>
        <stp/>
        <tr r="U19" s="3"/>
      </tp>
      <tp>
        <v>8.0100000000000005E-2</v>
        <stp/>
        <stp>P</stp>
        <stp>0</stp>
        <stp>FX</stp>
        <stp>PHPMYR</stp>
        <stp>매입</stp>
        <stp/>
        <stp/>
        <tr r="U25" s="3"/>
      </tp>
      <tp>
        <v>4.28</v>
        <stp/>
        <stp>P</stp>
        <stp>0</stp>
        <stp>FX</stp>
        <stp>EURPLN</stp>
        <stp>매입</stp>
        <stp/>
        <stp/>
        <tr r="P10" s="3"/>
      </tp>
      <tp>
        <v>1.7053</v>
        <stp/>
        <stp>P</stp>
        <stp>0</stp>
        <stp>FX</stp>
        <stp>BRLDKK</stp>
        <stp>매입</stp>
        <stp/>
        <stp/>
        <tr r="O20" s="3"/>
      </tp>
      <tp>
        <v>2.0152000000000001</v>
        <stp/>
        <stp>P</stp>
        <stp>0</stp>
        <stp>FX</stp>
        <stp>BRLHKD</stp>
        <stp>매입</stp>
        <stp/>
        <stp/>
        <tr r="S20" s="3"/>
      </tp>
      <tp>
        <v>21.86</v>
        <stp/>
        <stp>P</stp>
        <stp>0</stp>
        <stp>FX</stp>
        <stp>AUDTHB</stp>
        <stp>매입</stp>
        <stp/>
        <stp/>
        <tr r="X15" s="3"/>
      </tp>
      <tp>
        <v>0.69189999999999996</v>
        <stp/>
        <stp>P</stp>
        <stp>0</stp>
        <stp>FX</stp>
        <stp>AUDCHF</stp>
        <stp>매입</stp>
        <stp/>
        <stp/>
        <tr r="K15" s="3"/>
      </tp>
      <tp>
        <v>0.8982</v>
        <stp/>
        <stp>P</stp>
        <stp>0</stp>
        <stp>FX</stp>
        <stp>USDEUR</stp>
        <stp>뉴욕매입종가</stp>
        <stp>43615</stp>
        <stp>FILL=TRUE</stp>
        <tr r="BV19" s="3"/>
      </tp>
      <tp>
        <v>1.3498000000000001</v>
        <stp/>
        <stp>P</stp>
        <stp>0</stp>
        <stp>FX</stp>
        <stp>USDCAD</stp>
        <stp>뉴욕매입종가</stp>
        <stp>43615</stp>
        <stp>FILL=TRUE</stp>
        <tr r="BV21" s="3"/>
      </tp>
      <tp>
        <v>132.12</v>
        <stp/>
        <stp>P</stp>
        <stp>0</stp>
        <stp>FX</stp>
        <stp>JPYIDR</stp>
        <stp>매입</stp>
        <stp/>
        <stp/>
        <tr r="T11" s="3"/>
      </tp>
      <tp>
        <v>9.58E-3</v>
        <stp/>
        <stp>P</stp>
        <stp>0</stp>
        <stp>FX</stp>
        <stp>IDRSGD</stp>
        <stp>매입</stp>
        <stp/>
        <stp/>
        <tr r="W23" s="3"/>
      </tp>
      <tp>
        <v>7.4679000000000002</v>
        <stp/>
        <stp>P</stp>
        <stp>0</stp>
        <stp>FX</stp>
        <stp>EURDKK</stp>
        <stp>매입</stp>
        <stp/>
        <stp/>
        <tr r="O10" s="3"/>
      </tp>
      <tp t="s">
        <v/>
        <stp/>
        <stp>P</stp>
        <stp>0</stp>
        <stp>FX</stp>
        <stp>BRLPLN</stp>
        <stp>매입</stp>
        <stp/>
        <stp/>
        <tr r="P20" s="3"/>
      </tp>
      <tp t="s">
        <v/>
        <stp/>
        <stp>P</stp>
        <stp>0</stp>
        <stp>FX</stp>
        <stp>KRWSEK</stp>
        <stp>매입</stp>
        <stp/>
        <stp/>
        <tr r="N8" s="3"/>
      </tp>
      <tp>
        <v>8.8176000000000005</v>
        <stp/>
        <stp>P</stp>
        <stp>0</stp>
        <stp>FX</stp>
        <stp>EURHKD</stp>
        <stp>매입</stp>
        <stp/>
        <stp/>
        <tr r="S10" s="3"/>
      </tp>
      <tp>
        <v>1.1787000000000001</v>
        <stp/>
        <stp>P</stp>
        <stp>0</stp>
        <stp>FX</stp>
        <stp>DKKHKD</stp>
        <stp>매입</stp>
        <stp/>
        <stp/>
        <tr r="S18" s="3"/>
      </tp>
      <tp>
        <v>0.1744</v>
        <stp/>
        <stp>P</stp>
        <stp>0</stp>
        <stp>FX</stp>
        <stp>HKDSGD</stp>
        <stp>매입</stp>
        <stp/>
        <stp/>
        <tr r="W22" s="3"/>
      </tp>
      <tp>
        <v>2.8298999999999999</v>
        <stp/>
        <stp>P</stp>
        <stp>0</stp>
        <stp>FX</stp>
        <stp>CADPLN</stp>
        <stp>매입</stp>
        <stp/>
        <stp/>
        <tr r="P16" s="3"/>
      </tp>
      <tp>
        <v>4.8166000000000002</v>
        <stp/>
        <stp>P</stp>
        <stp>0</stp>
        <stp>FX</stp>
        <stp>AUDCNY</stp>
        <stp>매입</stp>
        <stp/>
        <stp/>
        <tr r="I15" s="3"/>
      </tp>
      <tp>
        <v>3.8306</v>
        <stp/>
        <stp>P</stp>
        <stp>0</stp>
        <stp>FX</stp>
        <stp>CHFPLN</stp>
        <stp>매입</stp>
        <stp/>
        <stp/>
        <tr r="P14" s="3"/>
      </tp>
      <tp>
        <v>0.55044999999999999</v>
        <stp/>
        <stp>P</stp>
        <stp>0</stp>
        <stp>FX</stp>
        <stp>CNYPLN</stp>
        <stp>매입</stp>
        <stp/>
        <stp/>
        <tr r="P12" s="3"/>
      </tp>
      <tp t="s">
        <v/>
        <stp/>
        <stp>P</stp>
        <stp>0</stp>
        <stp>FX</stp>
        <stp>KRWIDR</stp>
        <stp>매입</stp>
        <stp/>
        <stp/>
        <tr r="T8" s="3"/>
      </tp>
      <tp t="s">
        <v/>
        <stp/>
        <stp>P</stp>
        <stp>0</stp>
        <stp>FX</stp>
        <stp>DKKDKK</stp>
        <stp>매입</stp>
        <stp/>
        <stp/>
        <tr r="O18" s="3"/>
      </tp>
      <tp t="s">
        <v/>
        <stp/>
        <stp>P</stp>
        <stp>0</stp>
        <stp>FX</stp>
        <stp>CNHPLN</stp>
        <stp>매입</stp>
        <stp/>
        <stp/>
        <tr r="P13" s="3"/>
      </tp>
      <tp>
        <v>4.8235000000000001</v>
        <stp/>
        <stp>P</stp>
        <stp>0</stp>
        <stp>FX</stp>
        <stp>AUDCNH</stp>
        <stp>매입</stp>
        <stp/>
        <stp/>
        <tr r="J15" s="3"/>
      </tp>
      <tp>
        <v>8.7419999999999998E-2</v>
        <stp/>
        <stp>P</stp>
        <stp>0</stp>
        <stp>FX</stp>
        <stp>JPYSEK</stp>
        <stp>매입</stp>
        <stp/>
        <stp/>
        <tr r="N11" s="3"/>
      </tp>
      <tp t="s">
        <v/>
        <stp/>
        <stp>P</stp>
        <stp>0</stp>
        <stp>FX</stp>
        <stp>IDRSEK</stp>
        <stp>매입</stp>
        <stp/>
        <stp/>
        <tr r="N23" s="3"/>
      </tp>
      <tp>
        <v>14.907999999999999</v>
        <stp/>
        <stp>P</stp>
        <stp>0</stp>
        <stp>FX</stp>
        <stp>DKKCHF</stp>
        <stp>매입</stp>
        <stp/>
        <stp/>
        <tr r="K18" s="3"/>
      </tp>
      <tp>
        <v>1.7750999999999999</v>
        <stp/>
        <stp>P</stp>
        <stp>0</stp>
        <stp>FX</stp>
        <stp>BRLCNY</stp>
        <stp>매입</stp>
        <stp/>
        <stp/>
        <tr r="I20" s="3"/>
      </tp>
      <tp>
        <v>4.67</v>
        <stp/>
        <stp>P</stp>
        <stp>0</stp>
        <stp>FX</stp>
        <stp>DKKTHB</stp>
        <stp>매입</stp>
        <stp/>
        <stp/>
        <tr r="X18" s="3"/>
      </tp>
      <tp t="s">
        <v/>
        <stp/>
        <stp>P</stp>
        <stp>0</stp>
        <stp>FX</stp>
        <stp>THBMXN</stp>
        <stp>매입</stp>
        <stp/>
        <stp/>
        <tr r="R27" s="3"/>
      </tp>
      <tp>
        <v>4.1760000000000002</v>
        <stp/>
        <stp>P</stp>
        <stp>0</stp>
        <stp>FX</stp>
        <stp>USDMYR</stp>
        <stp>매입</stp>
        <stp/>
        <stp/>
        <tr r="U9" s="3"/>
      </tp>
      <tp>
        <v>6.7699999999999996E-2</v>
        <stp/>
        <stp>P</stp>
        <stp>0</stp>
        <stp>FX</stp>
        <stp>MXNCAD</stp>
        <stp>매입</stp>
        <stp/>
        <stp/>
        <tr r="M21" s="3"/>
      </tp>
      <tp>
        <v>0.32119999999999999</v>
        <stp/>
        <stp>P</stp>
        <stp>0</stp>
        <stp>FX</stp>
        <stp>MYRCAD</stp>
        <stp>매입</stp>
        <stp/>
        <stp/>
        <tr r="M24" s="3"/>
      </tp>
      <tp t="s">
        <v/>
        <stp/>
        <stp>P</stp>
        <stp>0</stp>
        <stp>FX</stp>
        <stp>BRLCNH</stp>
        <stp>매입</stp>
        <stp/>
        <stp/>
        <tr r="J20" s="3"/>
      </tp>
      <tp t="s">
        <v/>
        <stp/>
        <stp>P</stp>
        <stp>0</stp>
        <stp>FX</stp>
        <stp>DKKPHP</stp>
        <stp>매입</stp>
        <stp/>
        <stp/>
        <tr r="V18" s="3"/>
      </tp>
      <tp t="s">
        <v/>
        <stp/>
        <stp>P</stp>
        <stp>0</stp>
        <stp>FX</stp>
        <stp>TWDMXN</stp>
        <stp>매입</stp>
        <stp/>
        <stp/>
        <tr r="R28" s="3"/>
      </tp>
      <tp>
        <v>1817.8</v>
        <stp/>
        <stp>P</stp>
        <stp>0</stp>
        <stp>FX</stp>
        <stp>HKDIDR</stp>
        <stp>매입</stp>
        <stp/>
        <stp/>
        <tr r="T22" s="3"/>
      </tp>
      <tp t="s">
        <v/>
        <stp/>
        <stp>P</stp>
        <stp>0</stp>
        <stp>FX</stp>
        <stp>KRWSGD</stp>
        <stp>매입</stp>
        <stp/>
        <stp/>
        <tr r="W8" s="3"/>
      </tp>
      <tp>
        <v>5.1475</v>
        <stp/>
        <stp>P</stp>
        <stp>0</stp>
        <stp>FX</stp>
        <stp>CADCNH</stp>
        <stp>매입</stp>
        <stp/>
        <stp/>
        <tr r="J16" s="3"/>
      </tp>
      <tp>
        <v>1.0021</v>
        <stp/>
        <stp>P</stp>
        <stp>0</stp>
        <stp>FX</stp>
        <stp>CNYCNH</stp>
        <stp>매입</stp>
        <stp/>
        <stp/>
        <tr r="J12" s="3"/>
      </tp>
      <tp t="s">
        <v/>
        <stp/>
        <stp>P</stp>
        <stp>0</stp>
        <stp>FX</stp>
        <stp>CNHCNH</stp>
        <stp>매입</stp>
        <stp/>
        <stp/>
        <tr r="J13" s="3"/>
      </tp>
      <tp>
        <v>58.286000000000001</v>
        <stp/>
        <stp>P</stp>
        <stp>0</stp>
        <stp>FX</stp>
        <stp>EURPHP</stp>
        <stp>매입</stp>
        <stp/>
        <stp/>
        <tr r="V10" s="3"/>
      </tp>
      <tp>
        <v>0.1323</v>
        <stp/>
        <stp>P</stp>
        <stp>0</stp>
        <stp>FX</stp>
        <stp>TWDMYR</stp>
        <stp>매입</stp>
        <stp/>
        <stp/>
        <tr r="U28" s="3"/>
      </tp>
      <tp>
        <v>6.9664999999999999</v>
        <stp/>
        <stp>P</stp>
        <stp>0</stp>
        <stp>FX</stp>
        <stp>CHFCNH</stp>
        <stp>매입</stp>
        <stp/>
        <stp/>
        <tr r="J14" s="3"/>
      </tp>
      <tp>
        <v>1.2032</v>
        <stp/>
        <stp>P</stp>
        <stp>0</stp>
        <stp>FX</stp>
        <stp>HKDSEK</stp>
        <stp>매입</stp>
        <stp/>
        <stp/>
        <tr r="N22" s="3"/>
      </tp>
      <tp>
        <v>19.720700000000001</v>
        <stp/>
        <stp>P</stp>
        <stp>0</stp>
        <stp>FX</stp>
        <stp>USDMXN</stp>
        <stp>매입</stp>
        <stp/>
        <stp/>
        <tr r="R9" s="3"/>
      </tp>
      <tp>
        <v>0.1331</v>
        <stp/>
        <stp>P</stp>
        <stp>0</stp>
        <stp>FX</stp>
        <stp>THBMYR</stp>
        <stp>매입</stp>
        <stp/>
        <stp/>
        <tr r="U27" s="3"/>
      </tp>
      <tp>
        <v>2.6514000000000002</v>
        <stp/>
        <stp>P</stp>
        <stp>0</stp>
        <stp>FX</stp>
        <stp>AUDPLN</stp>
        <stp>매입</stp>
        <stp/>
        <stp/>
        <tr r="P15" s="3"/>
      </tp>
      <tp>
        <v>5.1379999999999999</v>
        <stp/>
        <stp>P</stp>
        <stp>0</stp>
        <stp>FX</stp>
        <stp>CADCNY</stp>
        <stp>매입</stp>
        <stp/>
        <stp/>
        <tr r="I16" s="3"/>
      </tp>
      <tp t="s">
        <v/>
        <stp/>
        <stp>P</stp>
        <stp>0</stp>
        <stp>FX</stp>
        <stp>IDRIDR</stp>
        <stp>매입</stp>
        <stp/>
        <stp/>
        <tr r="T23" s="3"/>
      </tp>
      <tp t="s">
        <v/>
        <stp/>
        <stp>P</stp>
        <stp>0</stp>
        <stp>FX</stp>
        <stp>CNYCNY</stp>
        <stp>매입</stp>
        <stp/>
        <stp/>
        <tr r="I12" s="3"/>
      </tp>
      <tp>
        <v>35.222000000000001</v>
        <stp/>
        <stp>P</stp>
        <stp>0</stp>
        <stp>FX</stp>
        <stp>EURTHB</stp>
        <stp>매입</stp>
        <stp/>
        <stp/>
        <tr r="X10" s="3"/>
      </tp>
      <tp>
        <v>0.99680000000000002</v>
        <stp/>
        <stp>P</stp>
        <stp>0</stp>
        <stp>FX</stp>
        <stp>CNHCNY</stp>
        <stp>매입</stp>
        <stp/>
        <stp/>
        <tr r="I13" s="3"/>
      </tp>
      <tp>
        <v>1.2619999999999999E-2</v>
        <stp/>
        <stp>P</stp>
        <stp>0</stp>
        <stp>FX</stp>
        <stp>JPYSGD</stp>
        <stp>매입</stp>
        <stp/>
        <stp/>
        <tr r="W11" s="3"/>
      </tp>
      <tp>
        <v>1.1170800000000001</v>
        <stp/>
        <stp>P</stp>
        <stp>0</stp>
        <stp>FX</stp>
        <stp>EURCHF</stp>
        <stp>매입</stp>
        <stp/>
        <stp/>
        <tr r="K10" s="3"/>
      </tp>
      <tp>
        <v>6.9524999999999997</v>
        <stp/>
        <stp>P</stp>
        <stp>0</stp>
        <stp>FX</stp>
        <stp>CHFCNY</stp>
        <stp>매입</stp>
        <stp/>
        <stp/>
        <tr r="I14" s="3"/>
      </tp>
      <tp t="s">
        <v/>
        <stp/>
        <stp>P</stp>
        <stp>0</stp>
        <stp>FX</stp>
        <stp>IDRDKK</stp>
        <stp>매입</stp>
        <stp/>
        <stp/>
        <tr r="O23" s="3"/>
      </tp>
      <tp>
        <v>1.3524</v>
        <stp/>
        <stp>P</stp>
        <stp>0</stp>
        <stp>FX</stp>
        <stp>CHFCAD</stp>
        <stp>매입</stp>
        <stp/>
        <stp/>
        <tr r="M14" s="3"/>
      </tp>
      <tp>
        <v>0.19409999999999999</v>
        <stp/>
        <stp>P</stp>
        <stp>0</stp>
        <stp>FX</stp>
        <stp>CNYCAD</stp>
        <stp>매입</stp>
        <stp/>
        <stp/>
        <tr r="M12" s="3"/>
      </tp>
      <tp t="s">
        <v/>
        <stp/>
        <stp>P</stp>
        <stp>0</stp>
        <stp>FX</stp>
        <stp>CNHCAD</stp>
        <stp>매입</stp>
        <stp/>
        <stp/>
        <tr r="M13" s="3"/>
      </tp>
      <tp t="s">
        <v/>
        <stp/>
        <stp>P</stp>
        <stp>0</stp>
        <stp>FX</stp>
        <stp>PHPBRL</stp>
        <stp>매입</stp>
        <stp/>
        <stp/>
        <tr r="Q25" s="3"/>
      </tp>
      <tp t="s">
        <v/>
        <stp/>
        <stp>P</stp>
        <stp>0</stp>
        <stp>FX</stp>
        <stp>CADCAD</stp>
        <stp>매입</stp>
        <stp/>
        <stp/>
        <tr r="M16" s="3"/>
      </tp>
      <tp>
        <v>0.47739999999999999</v>
        <stp/>
        <stp>P</stp>
        <stp>0</stp>
        <stp>FX</stp>
        <stp>JPYPHP</stp>
        <stp>매입</stp>
        <stp/>
        <stp/>
        <tr r="V11" s="3"/>
      </tp>
      <tp>
        <v>5.4879999999999998E-2</v>
        <stp/>
        <stp>P</stp>
        <stp>0</stp>
        <stp>FX</stp>
        <stp>IDRHKD</stp>
        <stp>매입</stp>
        <stp/>
        <stp/>
        <tr r="S23" s="3"/>
      </tp>
      <tp t="s">
        <v/>
        <stp/>
        <stp>P</stp>
        <stp>0</stp>
        <stp>FX</stp>
        <stp>PLNBRL</stp>
        <stp>매입</stp>
        <stp/>
        <stp/>
        <tr r="Q19" s="3"/>
      </tp>
      <tp>
        <v>22.78</v>
        <stp/>
        <stp>P</stp>
        <stp>0</stp>
        <stp>FX</stp>
        <stp>PHPKRW</stp>
        <stp>매입</stp>
        <stp/>
        <stp/>
        <tr r="E25" s="3"/>
      </tp>
      <tp>
        <v>310.32</v>
        <stp/>
        <stp>P</stp>
        <stp>0</stp>
        <stp>FX</stp>
        <stp>PLNKRW</stp>
        <stp>매입</stp>
        <stp/>
        <stp/>
        <tr r="E19" s="3"/>
      </tp>
      <tp>
        <v>0.91959999999999997</v>
        <stp/>
        <stp>P</stp>
        <stp>0</stp>
        <stp>FX</stp>
        <stp>JPYCHF</stp>
        <stp>매입</stp>
        <stp/>
        <stp/>
        <tr r="K11" s="3"/>
      </tp>
      <tp>
        <v>31.43</v>
        <stp/>
        <stp>P</stp>
        <stp>0</stp>
        <stp>FX</stp>
        <stp>USDTWD</stp>
        <stp>매입</stp>
        <stp/>
        <stp/>
        <tr r="Y9" s="3"/>
      </tp>
      <tp>
        <v>0.28789999999999999</v>
        <stp/>
        <stp>P</stp>
        <stp>0</stp>
        <stp>FX</stp>
        <stp>JPYTHB</stp>
        <stp>매입</stp>
        <stp/>
        <stp/>
        <tr r="X11" s="3"/>
      </tp>
      <tp>
        <v>1.5396000000000001</v>
        <stp/>
        <stp>P</stp>
        <stp>0</stp>
        <stp>FX</stp>
        <stp>EURSGD</stp>
        <stp>매입</stp>
        <stp/>
        <stp/>
        <tr r="W10" s="3"/>
      </tp>
      <tp>
        <v>0.20610000000000001</v>
        <stp/>
        <stp>P</stp>
        <stp>0</stp>
        <stp>FX</stp>
        <stp>DKKSGD</stp>
        <stp>매입</stp>
        <stp/>
        <stp/>
        <tr r="W18" s="3"/>
      </tp>
      <tp t="s">
        <v/>
        <stp/>
        <stp>P</stp>
        <stp>0</stp>
        <stp>FX</stp>
        <stp>HKDHKD</stp>
        <stp>매입</stp>
        <stp/>
        <stp/>
        <tr r="S22" s="3"/>
      </tp>
      <tp>
        <v>1.925E-2</v>
        <stp/>
        <stp>P</stp>
        <stp>0</stp>
        <stp>FX</stp>
        <stp>PHPUSD</stp>
        <stp>매입</stp>
        <stp/>
        <stp/>
        <tr r="F25" s="3"/>
      </tp>
      <tp>
        <v>1.0024999999999999</v>
        <stp/>
        <stp>P</stp>
        <stp>0</stp>
        <stp>FX</stp>
        <stp>THBTWD</stp>
        <stp>매입</stp>
        <stp/>
        <stp/>
        <tr r="Y27" s="3"/>
      </tp>
      <tp>
        <v>0.26235000000000003</v>
        <stp/>
        <stp>P</stp>
        <stp>0</stp>
        <stp>FX</stp>
        <stp>PLNUSD</stp>
        <stp>매입</stp>
        <stp/>
        <stp/>
        <tr r="F19" s="3"/>
      </tp>
      <tp t="s">
        <v/>
        <stp/>
        <stp>P</stp>
        <stp>0</stp>
        <stp>FX</stp>
        <stp>KRWPHP</stp>
        <stp>매입</stp>
        <stp/>
        <stp/>
        <tr r="V8" s="3"/>
      </tp>
      <tp>
        <v>1.6531</v>
        <stp/>
        <stp>P</stp>
        <stp>0</stp>
        <stp>FX</stp>
        <stp>MYRCNY</stp>
        <stp>매입</stp>
        <stp/>
        <stp/>
        <tr r="I24" s="3"/>
      </tp>
      <tp>
        <v>0.84640000000000004</v>
        <stp/>
        <stp>P</stp>
        <stp>0</stp>
        <stp>FX</stp>
        <stp>HKDDKK</stp>
        <stp>매입</stp>
        <stp/>
        <stp/>
        <tr r="O22" s="3"/>
      </tp>
      <tp t="s">
        <v/>
        <stp/>
        <stp>P</stp>
        <stp>0</stp>
        <stp>FX</stp>
        <stp>MXNCNY</stp>
        <stp>매입</stp>
        <stp/>
        <stp/>
        <tr r="I21" s="3"/>
      </tp>
      <tp>
        <v>78.84</v>
        <stp/>
        <stp>P</stp>
        <stp>0</stp>
        <stp>FX</stp>
        <stp>SGDJPY</stp>
        <stp>매입</stp>
        <stp/>
        <stp/>
        <tr r="H26" s="3"/>
      </tp>
      <tp>
        <v>11.426</v>
        <stp/>
        <stp>P</stp>
        <stp>0</stp>
        <stp>FX</stp>
        <stp>SEKJPY</stp>
        <stp>매입</stp>
        <stp/>
        <stp/>
        <tr r="H17" s="3"/>
      </tp>
      <tp t="s">
        <v/>
        <stp/>
        <stp>P</stp>
        <stp>0</stp>
        <stp>FX</stp>
        <stp>BRLCAD</stp>
        <stp>매입</stp>
        <stp/>
        <stp/>
        <tr r="M20" s="3"/>
      </tp>
      <tp t="s">
        <v/>
        <stp/>
        <stp>P</stp>
        <stp>0</stp>
        <stp>FX</stp>
        <stp>KRWCHF</stp>
        <stp>매입</stp>
        <stp/>
        <stp/>
        <tr r="K8" s="3"/>
      </tp>
      <tp t="s">
        <v/>
        <stp/>
        <stp>P</stp>
        <stp>0</stp>
        <stp>FX</stp>
        <stp>TWDTWD</stp>
        <stp>매입</stp>
        <stp/>
        <stp/>
        <tr r="Y28" s="3"/>
      </tp>
      <tp t="s">
        <v/>
        <stp/>
        <stp>P</stp>
        <stp>0</stp>
        <stp>FX</stp>
        <stp>KRWTHB</stp>
        <stp>매입</stp>
        <stp/>
        <stp/>
        <tr r="X8" s="3"/>
      </tp>
      <tp t="s">
        <v/>
        <stp/>
        <stp>P</stp>
        <stp>0</stp>
        <stp>FX</stp>
        <stp>MXNCNH</stp>
        <stp>매입</stp>
        <stp/>
        <stp/>
        <tr r="J21" s="3"/>
      </tp>
      <tp>
        <v>1.6514</v>
        <stp/>
        <stp>P</stp>
        <stp>0</stp>
        <stp>FX</stp>
        <stp>MYRCNH</stp>
        <stp>매입</stp>
        <stp/>
        <stp/>
        <tr r="J24" s="3"/>
      </tp>
      <tp>
        <v>12.667</v>
        <stp/>
        <stp>P</stp>
        <stp>0</stp>
        <stp>FX</stp>
        <stp>HKDCHF</stp>
        <stp>매입</stp>
        <stp/>
        <stp/>
        <tr r="K22" s="3"/>
      </tp>
      <tp>
        <v>3.9975000000000001</v>
        <stp/>
        <stp>P</stp>
        <stp>0</stp>
        <stp>FX</stp>
        <stp>HKDTHB</stp>
        <stp>매입</stp>
        <stp/>
        <stp/>
        <tr r="X22" s="3"/>
      </tp>
      <tp>
        <v>0.73040000000000005</v>
        <stp/>
        <stp>P</stp>
        <stp>0</stp>
        <stp>FX</stp>
        <stp>SGDUSD</stp>
        <stp>매입</stp>
        <stp/>
        <stp/>
        <tr r="F26" s="3"/>
      </tp>
      <tp>
        <v>0.10539999999999999</v>
        <stp/>
        <stp>P</stp>
        <stp>0</stp>
        <stp>FX</stp>
        <stp>SEKUSD</stp>
        <stp>매입</stp>
        <stp/>
        <stp/>
        <tr r="F17" s="3"/>
      </tp>
      <tp>
        <v>0.88890000000000002</v>
        <stp/>
        <stp>P</stp>
        <stp>0</stp>
        <stp>FX</stp>
        <stp>USDEUR</stp>
        <stp>매입</stp>
        <stp/>
        <stp/>
        <tr r="G9" s="3"/>
        <tr r="BU16" s="3"/>
        <tr r="BU19" s="3"/>
      </tp>
      <tp>
        <v>10.620699999999999</v>
        <stp/>
        <stp>P</stp>
        <stp>0</stp>
        <stp>FX</stp>
        <stp>EURSEK</stp>
        <stp>매입</stp>
        <stp/>
        <stp/>
        <tr r="N10" s="3"/>
      </tp>
      <tp>
        <v>6.6092000000000004</v>
        <stp/>
        <stp>P</stp>
        <stp>0</stp>
        <stp>FX</stp>
        <stp>HKDPHP</stp>
        <stp>매입</stp>
        <stp/>
        <stp/>
        <tr r="V22" s="3"/>
      </tp>
      <tp t="s">
        <v/>
        <stp/>
        <stp>P</stp>
        <stp>0</stp>
        <stp>FX</stp>
        <stp>KRWDKK</stp>
        <stp>매입</stp>
        <stp/>
        <stp/>
        <tr r="O8" s="3"/>
      </tp>
      <tp>
        <v>2147.5</v>
        <stp/>
        <stp>P</stp>
        <stp>0</stp>
        <stp>FX</stp>
        <stp>DKKIDR</stp>
        <stp>매입</stp>
        <stp/>
        <stp/>
        <tr r="T18" s="3"/>
      </tp>
      <tp t="s">
        <v/>
        <stp/>
        <stp>P</stp>
        <stp>0</stp>
        <stp>FX</stp>
        <stp>KRWHKD</stp>
        <stp>매입</stp>
        <stp/>
        <stp/>
        <tr r="S8" s="3"/>
      </tp>
      <tp>
        <v>1.4345000000000001</v>
        <stp/>
        <stp>P</stp>
        <stp>0</stp>
        <stp>FX</stp>
        <stp>USDAUD</stp>
        <stp>매입</stp>
        <stp/>
        <stp/>
        <tr r="L9" s="3"/>
      </tp>
      <tp>
        <v>28.347999999999999</v>
        <stp/>
        <stp>P</stp>
        <stp>0</stp>
        <stp>FX</stp>
        <stp>PLNJPY</stp>
        <stp>매입</stp>
        <stp/>
        <stp/>
        <tr r="H19" s="3"/>
      </tp>
      <tp>
        <v>2.0811000000000002</v>
        <stp/>
        <stp>P</stp>
        <stp>0</stp>
        <stp>FX</stp>
        <stp>PHPJPY</stp>
        <stp>매입</stp>
        <stp/>
        <stp/>
        <tr r="H25" s="3"/>
      </tp>
      <tp>
        <v>0.93659999999999999</v>
        <stp/>
        <stp>P</stp>
        <stp>0</stp>
        <stp>FX</stp>
        <stp>AUDCAD</stp>
        <stp>매입</stp>
        <stp/>
        <stp/>
        <tr r="M15" s="3"/>
      </tp>
      <tp>
        <v>4.4600000000000001E-2</v>
        <stp/>
        <stp>P</stp>
        <stp>0</stp>
        <stp>FX</stp>
        <stp>THBAUD</stp>
        <stp>매입</stp>
        <stp/>
        <stp/>
        <tr r="L27" s="3"/>
      </tp>
      <tp>
        <v>2.8485</v>
        <stp/>
        <stp>P</stp>
        <stp>0</stp>
        <stp>FX</stp>
        <stp>SGDBRL</stp>
        <stp>매입</stp>
        <stp/>
        <stp/>
        <tr r="Q26" s="3"/>
      </tp>
      <tp>
        <v>0.41155000000000003</v>
        <stp/>
        <stp>P</stp>
        <stp>0</stp>
        <stp>FX</stp>
        <stp>SEKBRL</stp>
        <stp>매입</stp>
        <stp/>
        <stp/>
        <tr r="Q17" s="3"/>
      </tp>
      <tp>
        <v>2.196E-2</v>
        <stp/>
        <stp>P</stp>
        <stp>0</stp>
        <stp>FX</stp>
        <stp>IDRTHB</stp>
        <stp>매입</stp>
        <stp/>
        <stp/>
        <tr r="X23" s="3"/>
      </tp>
      <tp>
        <v>16043</v>
        <stp/>
        <stp>P</stp>
        <stp>0</stp>
        <stp>FX</stp>
        <stp>EURIDR</stp>
        <stp>매입</stp>
        <stp/>
        <stp/>
        <tr r="T10" s="3"/>
      </tp>
      <tp>
        <v>2.826E-2</v>
        <stp/>
        <stp>P</stp>
        <stp>0</stp>
        <stp>FX</stp>
        <stp>TWDEUR</stp>
        <stp>매입</stp>
        <stp/>
        <stp/>
        <tr r="G28" s="3"/>
      </tp>
      <tp>
        <v>6.9099999999999995E-3</v>
        <stp/>
        <stp>P</stp>
        <stp>0</stp>
        <stp>FX</stp>
        <stp>IDRCHF</stp>
        <stp>매입</stp>
        <stp/>
        <stp/>
        <tr r="K23" s="3"/>
      </tp>
      <tp>
        <v>1.4221999999999999</v>
        <stp/>
        <stp>P</stp>
        <stp>0</stp>
        <stp>FX</stp>
        <stp>DKKSEK</stp>
        <stp>매입</stp>
        <stp/>
        <stp/>
        <tr r="N18" s="3"/>
      </tp>
      <tp>
        <v>2.8199999999999999E-2</v>
        <stp/>
        <stp>P</stp>
        <stp>0</stp>
        <stp>FX</stp>
        <stp>THBEUR</stp>
        <stp>매입</stp>
        <stp/>
        <stp/>
        <tr r="G27" s="3"/>
      </tp>
      <tp>
        <v>6.1494</v>
        <stp/>
        <stp>P</stp>
        <stp>0</stp>
        <stp>FX</stp>
        <stp>JPYDKK</stp>
        <stp>매입</stp>
        <stp/>
        <stp/>
        <tr r="O11" s="3"/>
      </tp>
      <tp t="s">
        <v/>
        <stp/>
        <stp>P</stp>
        <stp>0</stp>
        <stp>FX</stp>
        <stp>MXNPLN</stp>
        <stp>매입</stp>
        <stp/>
        <stp/>
        <tr r="P21" s="3"/>
      </tp>
      <tp t="s">
        <v/>
        <stp/>
        <stp>P</stp>
        <stp>0</stp>
        <stp>FX</stp>
        <stp>MYRPLN</stp>
        <stp>매입</stp>
        <stp/>
        <stp/>
        <tr r="P24" s="3"/>
      </tp>
      <tp>
        <v>7.2349999999999998E-2</v>
        <stp/>
        <stp>P</stp>
        <stp>0</stp>
        <stp>FX</stp>
        <stp>JPYHKD</stp>
        <stp>매입</stp>
        <stp/>
        <stp/>
        <tr r="S11" s="3"/>
      </tp>
      <tp>
        <v>3.6260000000000001E-2</v>
        <stp/>
        <stp>P</stp>
        <stp>0</stp>
        <stp>FX</stp>
        <stp>IDRPHP</stp>
        <stp>매입</stp>
        <stp/>
        <stp/>
        <tr r="V23" s="3"/>
      </tp>
      <tp>
        <v>125.09</v>
        <stp/>
        <stp>P</stp>
        <stp>0</stp>
        <stp>FX</stp>
        <stp>SEKKRW</stp>
        <stp>매입</stp>
        <stp/>
        <stp/>
        <tr r="E17" s="3"/>
      </tp>
      <tp>
        <v>4.5539999999999997E-2</v>
        <stp/>
        <stp>P</stp>
        <stp>0</stp>
        <stp>FX</stp>
        <stp>TWDAUD</stp>
        <stp>매입</stp>
        <stp/>
        <stp/>
        <tr r="L28" s="3"/>
      </tp>
      <tp>
        <v>862.96</v>
        <stp/>
        <stp>P</stp>
        <stp>0</stp>
        <stp>FX</stp>
        <stp>SGDKRW</stp>
        <stp>매입</stp>
        <stp/>
        <stp/>
        <tr r="E26" s="3"/>
      </tp>
      <tp>
        <v>7.0183999999999997</v>
        <stp/>
        <stp>P</stp>
        <stp>0</stp>
        <stp>FX</stp>
        <stp>CADSEK</stp>
        <stp>매입</stp>
        <stp/>
        <stp/>
        <tr r="N16" s="3"/>
      </tp>
      <tp t="s">
        <v/>
        <stp/>
        <stp>P</stp>
        <stp>0</stp>
        <stp>FX</stp>
        <stp>THBBRL</stp>
        <stp>매입</stp>
        <stp/>
        <stp/>
        <tr r="Q27" s="3"/>
      </tp>
      <tp t="s">
        <v/>
        <stp/>
        <stp>P</stp>
        <stp>0</stp>
        <stp>FX</stp>
        <stp>CNYSEK</stp>
        <stp>매입</stp>
        <stp/>
        <stp/>
        <tr r="N12" s="3"/>
      </tp>
      <tp t="s">
        <v/>
        <stp/>
        <stp>P</stp>
        <stp>0</stp>
        <stp>FX</stp>
        <stp>CNHSEK</stp>
        <stp>매입</stp>
        <stp/>
        <stp/>
        <tr r="N13" s="3"/>
      </tp>
      <tp>
        <v>9.5032999999999994</v>
        <stp/>
        <stp>P</stp>
        <stp>0</stp>
        <stp>FX</stp>
        <stp>CHFSEK</stp>
        <stp>매입</stp>
        <stp/>
        <stp/>
        <tr r="N14" s="3"/>
      </tp>
      <tp>
        <v>0.88283999999999996</v>
        <stp/>
        <stp>P</stp>
        <stp>0</stp>
        <stp>FX</stp>
        <stp>HKDCNH</stp>
        <stp>매입</stp>
        <stp/>
        <stp/>
        <tr r="J22" s="3"/>
      </tp>
      <tp>
        <v>1.0472600000000001</v>
        <stp/>
        <stp>P</stp>
        <stp>0</stp>
        <stp>FX</stp>
        <stp>SGDAUD</stp>
        <stp>매입</stp>
        <stp/>
        <stp/>
        <tr r="L26" s="3"/>
      </tp>
      <tp>
        <v>3671</v>
        <stp/>
        <stp>P</stp>
        <stp>0</stp>
        <stp>FX</stp>
        <stp>BRLIDR</stp>
        <stp>매입</stp>
        <stp/>
        <stp/>
        <tr r="T20" s="3"/>
      </tp>
      <tp>
        <v>37.47</v>
        <stp/>
        <stp>P</stp>
        <stp>0</stp>
        <stp>FX</stp>
        <stp>TWDKRW</stp>
        <stp>매입</stp>
        <stp/>
        <stp/>
        <tr r="E28" s="3"/>
      </tp>
      <tp>
        <v>0.15179000000000001</v>
        <stp/>
        <stp>P</stp>
        <stp>0</stp>
        <stp>FX</stp>
        <stp>SEKAUD</stp>
        <stp>매입</stp>
        <stp/>
        <stp/>
        <tr r="L17" s="3"/>
      </tp>
      <tp>
        <v>3.5189999999999999E-2</v>
        <stp/>
        <stp>P</stp>
        <stp>0</stp>
        <stp>FX</stp>
        <stp>JPYPLN</stp>
        <stp>매입</stp>
        <stp/>
        <stp/>
        <tr r="P11" s="3"/>
      </tp>
      <tp>
        <v>37.630000000000003</v>
        <stp/>
        <stp>P</stp>
        <stp>0</stp>
        <stp>FX</stp>
        <stp>THBKRW</stp>
        <stp>매입</stp>
        <stp/>
        <stp/>
        <tr r="E27" s="3"/>
      </tp>
      <tp>
        <v>0.39761000000000002</v>
        <stp/>
        <stp>P</stp>
        <stp>0</stp>
        <stp>FX</stp>
        <stp>MXNHKD</stp>
        <stp>매입</stp>
        <stp/>
        <stp/>
        <tr r="S21" s="3"/>
      </tp>
      <tp>
        <v>1.8766</v>
        <stp/>
        <stp>P</stp>
        <stp>0</stp>
        <stp>FX</stp>
        <stp>MYRHKD</stp>
        <stp>매입</stp>
        <stp/>
        <stp/>
        <tr r="S24" s="3"/>
      </tp>
      <tp>
        <v>1.2384500000000001</v>
        <stp/>
        <stp>P</stp>
        <stp>0</stp>
        <stp>FX</stp>
        <stp>TWDBRL</stp>
        <stp>매입</stp>
        <stp/>
        <stp/>
        <tr r="Q28" s="3"/>
      </tp>
      <tp>
        <v>9.3659999999999993E-2</v>
        <stp/>
        <stp>P</stp>
        <stp>0</stp>
        <stp>FX</stp>
        <stp>SEKEUR</stp>
        <stp>매입</stp>
        <stp/>
        <stp/>
        <tr r="G17" s="3"/>
      </tp>
      <tp t="s">
        <v/>
        <stp/>
        <stp>P</stp>
        <stp>0</stp>
        <stp>FX</stp>
        <stp>USDUSD</stp>
        <stp>매입</stp>
        <stp/>
        <stp/>
        <tr r="F9" s="3"/>
      </tp>
      <tp>
        <v>0.64927000000000001</v>
        <stp/>
        <stp>P</stp>
        <stp>0</stp>
        <stp>FX</stp>
        <stp>SGDEUR</stp>
        <stp>매입</stp>
        <stp/>
        <stp/>
        <tr r="G26" s="3"/>
      </tp>
      <tp t="s">
        <v/>
        <stp/>
        <stp>P</stp>
        <stp>0</stp>
        <stp>FX</stp>
        <stp>MYRDKK</stp>
        <stp>매입</stp>
        <stp/>
        <stp/>
        <tr r="O24" s="3"/>
      </tp>
      <tp>
        <v>0.88049999999999995</v>
        <stp/>
        <stp>P</stp>
        <stp>0</stp>
        <stp>FX</stp>
        <stp>HKDCNY</stp>
        <stp>매입</stp>
        <stp/>
        <stp/>
        <tr r="I22" s="3"/>
      </tp>
      <tp>
        <v>0.33650000000000002</v>
        <stp/>
        <stp>P</stp>
        <stp>0</stp>
        <stp>FX</stp>
        <stp>MXNDKK</stp>
        <stp>매입</stp>
        <stp/>
        <stp/>
        <tr r="O21" s="3"/>
      </tp>
      <tp>
        <v>0.95379999999999998</v>
        <stp/>
        <stp>P</stp>
        <stp>0</stp>
        <stp>FX</stp>
        <stp>AUDSGD</stp>
        <stp>매입</stp>
        <stp/>
        <stp/>
        <tr r="W15" s="3"/>
      </tp>
      <tp t="s">
        <v/>
        <stp/>
        <stp>P</stp>
        <stp>0</stp>
        <stp>FX</stp>
        <stp>IDRCNH</stp>
        <stp>매입</stp>
        <stp/>
        <stp/>
        <tr r="J23" s="3"/>
      </tp>
      <tp>
        <v>0.60619999999999996</v>
        <stp/>
        <stp>P</stp>
        <stp>0</stp>
        <stp>FX</stp>
        <stp>PHPTWD</stp>
        <stp>매입</stp>
        <stp/>
        <stp/>
        <tr r="Y25" s="3"/>
      </tp>
      <tp>
        <v>3.1800000000000002E-2</v>
        <stp/>
        <stp>P</stp>
        <stp>0</stp>
        <stp>FX</stp>
        <stp>THBUSD</stp>
        <stp>매입</stp>
        <stp/>
        <stp/>
        <tr r="F27" s="3"/>
      </tp>
      <tp t="s">
        <v/>
        <stp/>
        <stp>P</stp>
        <stp>0</stp>
        <stp>FX</stp>
        <stp>PLNTWD</stp>
        <stp>매입</stp>
        <stp/>
        <stp/>
        <tr r="Y19" s="3"/>
      </tp>
      <tp>
        <v>1181.5</v>
        <stp/>
        <stp>P</stp>
        <stp>0</stp>
        <stp>FX</stp>
        <stp>USDKRW</stp>
        <stp>매입</stp>
        <stp/>
        <stp/>
        <tr r="E9" s="3"/>
      </tp>
      <tp>
        <v>3.8849</v>
        <stp/>
        <stp>P</stp>
        <stp>0</stp>
        <stp>FX</stp>
        <stp>USDBRL</stp>
        <stp>매입</stp>
        <stp/>
        <stp/>
        <tr r="Q9" s="3"/>
      </tp>
      <tp>
        <v>2065.9</v>
        <stp/>
        <stp>P</stp>
        <stp>0</stp>
        <stp>FX</stp>
        <stp>CNYIDR</stp>
        <stp>매입</stp>
        <stp/>
        <stp/>
        <tr r="T12" s="3"/>
      </tp>
      <tp t="s">
        <v/>
        <stp/>
        <stp>P</stp>
        <stp>0</stp>
        <stp>FX</stp>
        <stp>KRWPLN</stp>
        <stp>매입</stp>
        <stp/>
        <stp/>
        <tr r="P8" s="3"/>
      </tp>
      <tp>
        <v>2062</v>
        <stp/>
        <stp>P</stp>
        <stp>0</stp>
        <stp>FX</stp>
        <stp>CNHIDR</stp>
        <stp>매입</stp>
        <stp/>
        <stp/>
        <tr r="T13" s="3"/>
      </tp>
      <tp>
        <v>4.8340000000000001E-2</v>
        <stp/>
        <stp>P</stp>
        <stp>0</stp>
        <stp>FX</stp>
        <stp>IDRCNY</stp>
        <stp>매입</stp>
        <stp/>
        <stp/>
        <tr r="I23" s="3"/>
      </tp>
      <tp>
        <v>14368.1</v>
        <stp/>
        <stp>P</stp>
        <stp>0</stp>
        <stp>FX</stp>
        <stp>CHFIDR</stp>
        <stp>매입</stp>
        <stp/>
        <stp/>
        <tr r="T14" s="3"/>
      </tp>
      <tp>
        <v>2.4182999999999999</v>
        <stp/>
        <stp>P</stp>
        <stp>0</stp>
        <stp>FX</stp>
        <stp>BRLSEK</stp>
        <stp>매입</stp>
        <stp/>
        <stp/>
        <tr r="N20" s="3"/>
      </tp>
      <tp>
        <v>3.1789999999999999E-2</v>
        <stp/>
        <stp>P</stp>
        <stp>0</stp>
        <stp>FX</stp>
        <stp>TWDUSD</stp>
        <stp>매입</stp>
        <stp/>
        <stp/>
        <tr r="F28" s="3"/>
      </tp>
      <tp>
        <v>10613.2</v>
        <stp/>
        <stp>P</stp>
        <stp>0</stp>
        <stp>FX</stp>
        <stp>CADIDR</stp>
        <stp>매입</stp>
        <stp/>
        <stp/>
        <tr r="T16" s="3"/>
      </tp>
      <tp>
        <v>3.4312</v>
        <stp/>
        <stp>P</stp>
        <stp>0</stp>
        <stp>FX</stp>
        <stp>TWDJPY</stp>
        <stp>매입</stp>
        <stp/>
        <stp/>
        <tr r="H28" s="3"/>
      </tp>
      <tp>
        <v>1.3782000000000001</v>
        <stp/>
        <stp>P</stp>
        <stp>0</stp>
        <stp>FX</stp>
        <stp>CHFSGD</stp>
        <stp>매입</stp>
        <stp/>
        <stp/>
        <tr r="W14" s="3"/>
      </tp>
      <tp>
        <v>0.1976</v>
        <stp/>
        <stp>P</stp>
        <stp>0</stp>
        <stp>FX</stp>
        <stp>CNYSGD</stp>
        <stp>매입</stp>
        <stp/>
        <stp/>
        <tr r="W12" s="3"/>
      </tp>
      <tp>
        <v>0.19736000000000001</v>
        <stp/>
        <stp>P</stp>
        <stp>0</stp>
        <stp>FX</stp>
        <stp>CNHSGD</stp>
        <stp>매입</stp>
        <stp/>
        <stp/>
        <tr r="W13" s="3"/>
      </tp>
      <tp>
        <v>6.3899999999999998E-2</v>
        <stp/>
        <stp>P</stp>
        <stp>0</stp>
        <stp>FX</stp>
        <stp>JPYCNY</stp>
        <stp>매입</stp>
        <stp/>
        <stp/>
        <tr r="I11" s="3"/>
      </tp>
      <tp>
        <v>1.0182</v>
        <stp/>
        <stp>P</stp>
        <stp>0</stp>
        <stp>FX</stp>
        <stp>CADSGD</stp>
        <stp>매입</stp>
        <stp/>
        <stp/>
        <tr r="W16" s="3"/>
      </tp>
      <tp>
        <v>0.48507</v>
        <stp/>
        <stp>P</stp>
        <stp>0</stp>
        <stp>FX</stp>
        <stp>HKDPLN</stp>
        <stp>매입</stp>
        <stp/>
        <stp/>
        <tr r="P22" s="3"/>
      </tp>
      <tp>
        <v>22.972999999999999</v>
        <stp/>
        <stp>P</stp>
        <stp>0</stp>
        <stp>FX</stp>
        <stp>SGDTWD</stp>
        <stp>매입</stp>
        <stp/>
        <stp/>
        <tr r="Y26" s="3"/>
      </tp>
      <tp t="s">
        <v/>
        <stp/>
        <stp>P</stp>
        <stp>0</stp>
        <stp>FX</stp>
        <stp>SEKTWD</stp>
        <stp>매입</stp>
        <stp/>
        <stp/>
        <tr r="Y17" s="3"/>
      </tp>
      <tp>
        <v>6.5736999999999997</v>
        <stp/>
        <stp>P</stp>
        <stp>0</stp>
        <stp>FX</stp>
        <stp>AUDSEK</stp>
        <stp>매입</stp>
        <stp/>
        <stp/>
        <tr r="N15" s="3"/>
      </tp>
      <tp>
        <v>6.4049999999999996E-2</v>
        <stp/>
        <stp>P</stp>
        <stp>0</stp>
        <stp>FX</stp>
        <stp>JPYCNH</stp>
        <stp>매입</stp>
        <stp/>
        <stp/>
        <tr r="J11" s="3"/>
      </tp>
      <tp>
        <v>1.5119899999999999</v>
        <stp/>
        <stp>P</stp>
        <stp>0</stp>
        <stp>FX</stp>
        <stp>EURCAD</stp>
        <stp>매입</stp>
        <stp/>
        <stp/>
        <tr r="M10" s="3"/>
      </tp>
      <tp>
        <v>3.4413999999999998</v>
        <stp/>
        <stp>P</stp>
        <stp>0</stp>
        <stp>FX</stp>
        <stp>THBJPY</stp>
        <stp>매입</stp>
        <stp/>
        <stp/>
        <tr r="H27" s="3"/>
      </tp>
      <tp>
        <v>0.2024</v>
        <stp/>
        <stp>P</stp>
        <stp>0</stp>
        <stp>FX</stp>
        <stp>DKKCAD</stp>
        <stp>매입</stp>
        <stp/>
        <stp/>
        <tr r="M18" s="3"/>
      </tp>
      <tp>
        <v>2.7609999999999999E-2</v>
        <stp/>
        <stp>P</stp>
        <stp>0</stp>
        <stp>FX</stp>
        <stp>PHPAUD</stp>
        <stp>매입</stp>
        <stp/>
        <stp/>
        <tr r="L25" s="3"/>
      </tp>
      <tp t="s">
        <v/>
        <stp/>
        <stp>P</stp>
        <stp>0</stp>
        <stp>FX</stp>
        <stp>IDRPLN</stp>
        <stp>매입</stp>
        <stp/>
        <stp/>
        <tr r="P23" s="3"/>
      </tp>
      <tp>
        <v>107.95699999999999</v>
        <stp/>
        <stp>P</stp>
        <stp>0</stp>
        <stp>FX</stp>
        <stp>USDJPY</stp>
        <stp>매입</stp>
        <stp/>
        <stp/>
        <tr r="H9" s="3"/>
      </tp>
      <tp t="s">
        <v/>
        <stp/>
        <stp>P</stp>
        <stp>0</stp>
        <stp>FX</stp>
        <stp>KRWCNY</stp>
        <stp>매입</stp>
        <stp/>
        <stp/>
        <tr r="I8" s="3"/>
      </tp>
      <tp t="s">
        <v/>
        <stp/>
        <stp>P</stp>
        <stp>0</stp>
        <stp>FX</stp>
        <stp>MXNPHP</stp>
        <stp>매입</stp>
        <stp/>
        <stp/>
        <tr r="V21" s="3"/>
      </tp>
      <tp>
        <v>0.37642999999999999</v>
        <stp/>
        <stp>P</stp>
        <stp>0</stp>
        <stp>FX</stp>
        <stp>PLNAUD</stp>
        <stp>매입</stp>
        <stp/>
        <stp/>
        <tr r="L19" s="3"/>
      </tp>
      <tp>
        <v>12.401999999999999</v>
        <stp/>
        <stp>P</stp>
        <stp>0</stp>
        <stp>FX</stp>
        <stp>MYRPHP</stp>
        <stp>매입</stp>
        <stp/>
        <stp/>
        <tr r="V24" s="3"/>
      </tp>
      <tp>
        <v>9954.9</v>
        <stp/>
        <stp>P</stp>
        <stp>0</stp>
        <stp>FX</stp>
        <stp>AUDIDR</stp>
        <stp>매입</stp>
        <stp/>
        <stp/>
        <tr r="T15" s="3"/>
      </tp>
      <tp>
        <v>0.23336000000000001</v>
        <stp/>
        <stp>P</stp>
        <stp>0</stp>
        <stp>FX</stp>
        <stp>PLNEUR</stp>
        <stp>매입</stp>
        <stp/>
        <stp/>
        <tr r="G19" s="3"/>
      </tp>
      <tp>
        <v>5.0279999999999998E-2</v>
        <stp/>
        <stp>P</stp>
        <stp>0</stp>
        <stp>FX</stp>
        <stp>MXNCHF</stp>
        <stp>매입</stp>
        <stp/>
        <stp/>
        <tr r="K21" s="3"/>
      </tp>
      <tp>
        <v>0.23730000000000001</v>
        <stp/>
        <stp>P</stp>
        <stp>0</stp>
        <stp>FX</stp>
        <stp>MYRCHF</stp>
        <stp>매입</stp>
        <stp/>
        <stp/>
        <tr r="K24" s="3"/>
      </tp>
      <tp>
        <v>1.7100000000000001E-2</v>
        <stp/>
        <stp>P</stp>
        <stp>0</stp>
        <stp>FX</stp>
        <stp>PHPEUR</stp>
        <stp>매입</stp>
        <stp/>
        <stp/>
        <tr r="G25" s="3"/>
      </tp>
      <tp t="s">
        <v/>
        <stp/>
        <stp>P</stp>
        <stp>0</stp>
        <stp>FX</stp>
        <stp>KRWCNH</stp>
        <stp>매입</stp>
        <stp/>
        <stp/>
        <tr r="J8" s="3"/>
      </tp>
      <tp t="s">
        <v/>
        <stp/>
        <stp>P</stp>
        <stp>0</stp>
        <stp>FX</stp>
        <stp>MXNTHB</stp>
        <stp>매입</stp>
        <stp/>
        <stp/>
        <tr r="X21" s="3"/>
      </tp>
      <tp>
        <v>7.5019999999999998</v>
        <stp/>
        <stp>P</stp>
        <stp>0</stp>
        <stp>FX</stp>
        <stp>MYRTHB</stp>
        <stp>매입</stp>
        <stp/>
        <stp/>
        <tr r="X24" s="3"/>
      </tp>
      <tp>
        <v>0.35045999999999999</v>
        <stp/>
        <stp>P</stp>
        <stp>0</stp>
        <stp>FX</stp>
        <stp>BRLSGD</stp>
        <stp>매입</stp>
        <stp/>
        <stp/>
        <tr r="W20" s="3"/>
      </tp>
      <tp>
        <v>0.21909999999999999</v>
        <stp/>
        <stp>P</stp>
        <stp>0</stp>
        <stp>FX</stp>
        <stp>TWDCNY</stp>
        <stp>매입</stp>
        <stp/>
        <stp/>
        <tr r="I28" s="3"/>
      </tp>
      <tp t="s">
        <v/>
        <stp/>
        <stp>P</stp>
        <stp>0</stp>
        <stp>FX</stp>
        <stp>JPYJPY</stp>
        <stp>매입</stp>
        <stp/>
        <stp/>
        <tr r="H11" s="3"/>
      </tp>
      <tp>
        <v>0.49536000000000002</v>
        <stp/>
        <stp>P</stp>
        <stp>0</stp>
        <stp>FX</stp>
        <stp>HKDBRL</stp>
        <stp>매입</stp>
        <stp/>
        <stp/>
        <tr r="Q22" s="3"/>
      </tp>
      <tp>
        <v>6.9800000000000001E-3</v>
        <stp/>
        <stp>P</stp>
        <stp>0</stp>
        <stp>FX</stp>
        <stp>IDRUSD</stp>
        <stp>매입</stp>
        <stp/>
        <stp/>
        <tr r="F23" s="3"/>
      </tp>
      <tp t="s">
        <v/>
        <stp/>
        <stp>P</stp>
        <stp>0</stp>
        <stp>FX</stp>
        <stp>THBCNH</stp>
        <stp>매입</stp>
        <stp/>
        <stp/>
        <tr r="J27" s="3"/>
      </tp>
      <tp>
        <v>0.21729999999999999</v>
        <stp/>
        <stp>P</stp>
        <stp>0</stp>
        <stp>FX</stp>
        <stp>TWDCNH</stp>
        <stp>매입</stp>
        <stp/>
        <stp/>
        <tr r="J28" s="3"/>
      </tp>
      <tp>
        <v>0.60470000000000002</v>
        <stp/>
        <stp>P</stp>
        <stp>0</stp>
        <stp>FX</stp>
        <stp>CNYMYR</stp>
        <stp>매입</stp>
        <stp/>
        <stp/>
        <tr r="U12" s="3"/>
      </tp>
      <tp t="s">
        <v/>
        <stp/>
        <stp>P</stp>
        <stp>0</stp>
        <stp>FX</stp>
        <stp>CNHMYR</stp>
        <stp>매입</stp>
        <stp/>
        <stp/>
        <tr r="U13" s="3"/>
      </tp>
      <tp t="s">
        <v/>
        <stp/>
        <stp>P</stp>
        <stp>0</stp>
        <stp>FX</stp>
        <stp>MXNTWD</stp>
        <stp>매입</stp>
        <stp/>
        <stp/>
        <tr r="Y21" s="3"/>
      </tp>
      <tp>
        <v>5.0726000000000004</v>
        <stp/>
        <stp>P</stp>
        <stp>0</stp>
        <stp>FX</stp>
        <stp>BRLMXN</stp>
        <stp>매입</stp>
        <stp/>
        <stp/>
        <tr r="R20" s="3"/>
      </tp>
      <tp>
        <v>150.69</v>
        <stp/>
        <stp>P</stp>
        <stp>0</stp>
        <stp>FX</stp>
        <stp>HKDKRW</stp>
        <stp>매입</stp>
        <stp/>
        <stp/>
        <tr r="E22" s="3"/>
      </tp>
      <tp>
        <v>7.5285000000000002</v>
        <stp/>
        <stp>P</stp>
        <stp>0</stp>
        <stp>FX</stp>
        <stp>MYRTWD</stp>
        <stp>매입</stp>
        <stp/>
        <stp/>
        <tr r="Y24" s="3"/>
      </tp>
      <tp>
        <v>4.2041000000000004</v>
        <stp/>
        <stp>P</stp>
        <stp>0</stp>
        <stp>FX</stp>
        <stp>CHFMYR</stp>
        <stp>매입</stp>
        <stp/>
        <stp/>
        <tr r="U14" s="3"/>
      </tp>
      <tp>
        <v>3.1025</v>
        <stp/>
        <stp>P</stp>
        <stp>0</stp>
        <stp>FX</stp>
        <stp>CADMYR</stp>
        <stp>매입</stp>
        <stp/>
        <stp/>
        <tr r="U16" s="3"/>
      </tp>
      <tp>
        <v>0.2198</v>
        <stp/>
        <stp>P</stp>
        <stp>0</stp>
        <stp>FX</stp>
        <stp>THBCNY</stp>
        <stp>매입</stp>
        <stp/>
        <stp/>
        <tr r="I27" s="3"/>
      </tp>
      <tp>
        <v>0.12748999999999999</v>
        <stp/>
        <stp>P</stp>
        <stp>0</stp>
        <stp>FX</stp>
        <stp>HKDUSD</stp>
        <stp>매입</stp>
        <stp/>
        <stp/>
        <tr r="F22" s="3"/>
      </tp>
      <tp>
        <v>14.661199999999999</v>
        <stp/>
        <stp>P</stp>
        <stp>0</stp>
        <stp>FX</stp>
        <stp>CADMXN</stp>
        <stp>매입</stp>
        <stp/>
        <stp/>
        <tr r="R16" s="3"/>
      </tp>
      <tp>
        <v>0.151</v>
        <stp/>
        <stp>P</stp>
        <stp>0</stp>
        <stp>FX</stp>
        <stp>PHPHKD</stp>
        <stp>매입</stp>
        <stp/>
        <stp/>
        <tr r="S25" s="3"/>
      </tp>
      <tp>
        <v>6.9066999999999998</v>
        <stp/>
        <stp>P</stp>
        <stp>0</stp>
        <stp>FX</stp>
        <stp>USDCNY</stp>
        <stp>매입</stp>
        <stp/>
        <stp/>
        <tr r="I9" s="3"/>
      </tp>
      <tp>
        <v>9.14</v>
        <stp/>
        <stp>P</stp>
        <stp>0</stp>
        <stp>FX</stp>
        <stp>KRWJPY</stp>
        <stp>매입</stp>
        <stp/>
        <stp/>
        <tr r="H8" s="3"/>
      </tp>
      <tp>
        <v>2.6970000000000001E-2</v>
        <stp/>
        <stp>P</stp>
        <stp>0</stp>
        <stp>FX</stp>
        <stp>IDRBRL</stp>
        <stp>매입</stp>
        <stp/>
        <stp/>
        <tr r="Q23" s="3"/>
      </tp>
      <tp t="s">
        <v/>
        <stp/>
        <stp>P</stp>
        <stp>0</stp>
        <stp>FX</stp>
        <stp>PLNHKD</stp>
        <stp>매입</stp>
        <stp/>
        <stp/>
        <tr r="S19" s="3"/>
      </tp>
      <tp>
        <v>19.8413</v>
        <stp/>
        <stp>P</stp>
        <stp>0</stp>
        <stp>FX</stp>
        <stp>CHFMXN</stp>
        <stp>매입</stp>
        <stp/>
        <stp/>
        <tr r="R14" s="3"/>
      </tp>
      <tp t="s">
        <v/>
        <stp/>
        <stp>P</stp>
        <stp>0</stp>
        <stp>FX</stp>
        <stp>SEKTHB</stp>
        <stp>매입</stp>
        <stp/>
        <stp/>
        <tr r="X17" s="3"/>
      </tp>
      <tp>
        <v>1.7443</v>
        <stp/>
        <stp>P</stp>
        <stp>0</stp>
        <stp>FX</stp>
        <stp>PLNDKK</stp>
        <stp>매입</stp>
        <stp/>
        <stp/>
        <tr r="O19" s="3"/>
      </tp>
      <tp>
        <v>22.9072</v>
        <stp/>
        <stp>P</stp>
        <stp>0</stp>
        <stp>FX</stp>
        <stp>SGDTHB</stp>
        <stp>매입</stp>
        <stp/>
        <stp/>
        <tr r="X26" s="3"/>
      </tp>
      <tp t="s">
        <v/>
        <stp/>
        <stp>P</stp>
        <stp>0</stp>
        <stp>FX</stp>
        <stp>PHPDKK</stp>
        <stp>매입</stp>
        <stp/>
        <stp/>
        <tr r="O25" s="3"/>
      </tp>
      <tp>
        <v>10.51</v>
        <stp/>
        <stp>P</stp>
        <stp>0</stp>
        <stp>FX</stp>
        <stp>SEKCHF</stp>
        <stp>매입</stp>
        <stp/>
        <stp/>
        <tr r="K17" s="3"/>
      </tp>
      <tp t="s">
        <v/>
        <stp/>
        <stp>P</stp>
        <stp>0</stp>
        <stp>FX</stp>
        <stp>CNYMXN</stp>
        <stp>매입</stp>
        <stp/>
        <stp/>
        <tr r="R12" s="3"/>
      </tp>
      <tp t="s">
        <v/>
        <stp/>
        <stp>P</stp>
        <stp>0</stp>
        <stp>FX</stp>
        <stp>CNHMXN</stp>
        <stp>매입</stp>
        <stp/>
        <stp/>
        <tr r="R13" s="3"/>
      </tp>
      <tp>
        <v>1.0690999999999999</v>
        <stp/>
        <stp>P</stp>
        <stp>0</stp>
        <stp>FX</stp>
        <stp>BRLMYR</stp>
        <stp>매입</stp>
        <stp/>
        <stp/>
        <tr r="U20" s="3"/>
      </tp>
      <tp>
        <v>0.72540000000000004</v>
        <stp/>
        <stp>P</stp>
        <stp>0</stp>
        <stp>FX</stp>
        <stp>SGDCHF</stp>
        <stp>매입</stp>
        <stp/>
        <stp/>
        <tr r="K26" s="3"/>
      </tp>
      <tp>
        <v>6.9260999999999999</v>
        <stp/>
        <stp>P</stp>
        <stp>0</stp>
        <stp>FX</stp>
        <stp>USDCNH</stp>
        <stp>매입</stp>
        <stp/>
        <stp/>
        <tr r="J9" s="3"/>
      </tp>
      <tp>
        <v>37.860999999999997</v>
        <stp/>
        <stp>P</stp>
        <stp>0</stp>
        <stp>FX</stp>
        <stp>SGDPHP</stp>
        <stp>매입</stp>
        <stp/>
        <stp/>
        <tr r="V26" s="3"/>
      </tp>
      <tp t="s">
        <v/>
        <stp/>
        <stp>P</stp>
        <stp>0</stp>
        <stp>FX</stp>
        <stp>SEKPHP</stp>
        <stp>매입</stp>
        <stp/>
        <stp/>
        <tr r="V17" s="3"/>
      </tp>
      <tp>
        <v>8.27</v>
        <stp/>
        <stp>P</stp>
        <stp>0</stp>
        <stp>FX</stp>
        <stp>IDRKRW</stp>
        <stp>매입</stp>
        <stp/>
        <stp/>
        <tr r="E23" s="3"/>
      </tp>
      <tp>
        <v>1.9120000000000002E-2</v>
        <stp/>
        <stp>P</stp>
        <stp>0</stp>
        <stp>FX</stp>
        <stp>PHPCHF</stp>
        <stp>매입</stp>
        <stp/>
        <stp/>
        <tr r="K25" s="3"/>
      </tp>
      <tp>
        <v>0.70299999999999996</v>
        <stp/>
        <stp>P</stp>
        <stp>0</stp>
        <stp>FX</stp>
        <stp>SEKDKK</stp>
        <stp>매입</stp>
        <stp/>
        <stp/>
        <tr r="O17" s="3"/>
      </tp>
      <tp>
        <v>8.2421000000000006</v>
        <stp/>
        <stp>P</stp>
        <stp>0</stp>
        <stp>FX</stp>
        <stp>PLNTHB</stp>
        <stp>매입</stp>
        <stp/>
        <stp/>
        <tr r="X19" s="3"/>
      </tp>
      <tp>
        <v>4.8478000000000003</v>
        <stp/>
        <stp>P</stp>
        <stp>0</stp>
        <stp>FX</stp>
        <stp>SGDDKK</stp>
        <stp>매입</stp>
        <stp/>
        <stp/>
        <tr r="O26" s="3"/>
      </tp>
      <tp>
        <v>0.60450000000000004</v>
        <stp/>
        <stp>P</stp>
        <stp>0</stp>
        <stp>FX</stp>
        <stp>PHPTHB</stp>
        <stp>매입</stp>
        <stp/>
        <stp/>
        <tr r="X25" s="3"/>
      </tp>
      <tp>
        <v>4.4609999999999997E-2</v>
        <stp/>
        <stp>P</stp>
        <stp>0</stp>
        <stp>FX</stp>
        <stp>MXNEUR</stp>
        <stp>매입</stp>
        <stp/>
        <stp/>
        <tr r="G21" s="3"/>
      </tp>
      <tp>
        <v>0.26090000000000002</v>
        <stp/>
        <stp>P</stp>
        <stp>0</stp>
        <stp>FX</stp>
        <stp>PLNCHF</stp>
        <stp>매입</stp>
        <stp/>
        <stp/>
        <tr r="K19" s="3"/>
      </tp>
      <tp>
        <v>0.21279999999999999</v>
        <stp/>
        <stp>P</stp>
        <stp>0</stp>
        <stp>FX</stp>
        <stp>MYREUR</stp>
        <stp>매입</stp>
        <stp/>
        <stp/>
        <tr r="G24" s="3"/>
      </tp>
      <tp t="s">
        <v/>
        <stp/>
        <stp>P</stp>
        <stp>0</stp>
        <stp>FX</stp>
        <stp>THBPLN</stp>
        <stp>매입</stp>
        <stp/>
        <stp/>
        <tr r="P27" s="3"/>
      </tp>
      <tp>
        <v>1094.3800000000001</v>
        <stp/>
        <stp>P</stp>
        <stp>0</stp>
        <stp>FX</stp>
        <stp>JPYKRW</stp>
        <stp>매입</stp>
        <stp/>
        <stp/>
        <tr r="E11" s="3"/>
      </tp>
      <tp>
        <v>2.9129</v>
        <stp/>
        <stp>P</stp>
        <stp>0</stp>
        <stp>FX</stp>
        <stp>AUDMYR</stp>
        <stp>매입</stp>
        <stp/>
        <stp/>
        <tr r="U15" s="3"/>
      </tp>
      <tp>
        <v>5.726</v>
        <stp/>
        <stp>P</stp>
        <stp>0</stp>
        <stp>FX</stp>
        <stp>SGDHKD</stp>
        <stp>매입</stp>
        <stp/>
        <stp/>
        <tr r="S26" s="3"/>
      </tp>
      <tp>
        <v>0.82799999999999996</v>
        <stp/>
        <stp>P</stp>
        <stp>0</stp>
        <stp>FX</stp>
        <stp>SEKHKD</stp>
        <stp>매입</stp>
        <stp/>
        <stp/>
        <tr r="S17" s="3"/>
      </tp>
      <tp>
        <v>3.5900000000000001E-2</v>
        <stp/>
        <stp>P</stp>
        <stp>0</stp>
        <stp>FX</stp>
        <stp>JPYBRL</stp>
        <stp>매입</stp>
        <stp/>
        <stp/>
        <tr r="Q11" s="3"/>
      </tp>
      <tp t="s">
        <v/>
        <stp/>
        <stp>P</stp>
        <stp>0</stp>
        <stp>FX</stp>
        <stp>PLNPHP</stp>
        <stp>매입</stp>
        <stp/>
        <stp/>
        <tr r="V19" s="3"/>
      </tp>
      <tp>
        <v>7.2489999999999999E-2</v>
        <stp/>
        <stp>P</stp>
        <stp>0</stp>
        <stp>FX</stp>
        <stp>MXNAUD</stp>
        <stp>매입</stp>
        <stp/>
        <stp/>
        <tr r="L21" s="3"/>
      </tp>
      <tp>
        <v>0.3427</v>
        <stp/>
        <stp>P</stp>
        <stp>0</stp>
        <stp>FX</stp>
        <stp>MYRAUD</stp>
        <stp>매입</stp>
        <stp/>
        <stp/>
        <tr r="L24" s="3"/>
      </tp>
      <tp t="s">
        <v/>
        <stp/>
        <stp>P</stp>
        <stp>0</stp>
        <stp>FX</stp>
        <stp>PHPPHP</stp>
        <stp>매입</stp>
        <stp/>
        <stp/>
        <tr r="V25" s="3"/>
      </tp>
      <tp t="s">
        <v/>
        <stp/>
        <stp>P</stp>
        <stp>0</stp>
        <stp>FX</stp>
        <stp>TWDPLN</stp>
        <stp>매입</stp>
        <stp/>
        <stp/>
        <tr r="P28" s="3"/>
      </tp>
      <tp t="s">
        <v/>
        <stp/>
        <stp>P</stp>
        <stp>0</stp>
        <stp>FX</stp>
        <stp>KRWUSD</stp>
        <stp>매입</stp>
        <stp/>
        <stp/>
        <tr r="F8" s="3"/>
      </tp>
      <tp>
        <v>13.7683</v>
        <stp/>
        <stp>P</stp>
        <stp>0</stp>
        <stp>FX</stp>
        <stp>HKDJPY</stp>
        <stp>매입</stp>
        <stp/>
        <stp/>
        <tr r="H22" s="3"/>
      </tp>
      <tp t="s">
        <v/>
        <stp/>
        <stp>P</stp>
        <stp>0</stp>
        <stp>FX</stp>
        <stp>KRWKRW</stp>
        <stp>매입</stp>
        <stp/>
        <stp/>
        <tr r="E8" s="3"/>
      </tp>
      <tp t="s">
        <v/>
        <stp/>
        <stp>P</stp>
        <stp>0</stp>
        <stp>FX</stp>
        <stp>KRWBRL</stp>
        <stp>매입</stp>
        <stp/>
        <stp/>
        <tr r="Q8" s="3"/>
      </tp>
      <tp>
        <v>7.5399999999999998E-3</v>
        <stp/>
        <stp>P</stp>
        <stp>0</stp>
        <stp>FX</stp>
        <stp>IDRJPY</stp>
        <stp>매입</stp>
        <stp/>
        <stp/>
        <tr r="H23" s="3"/>
      </tp>
      <tp>
        <v>3.8056000000000001</v>
        <stp/>
        <stp>P</stp>
        <stp>0</stp>
        <stp>FX</stp>
        <stp>USDPLN</stp>
        <stp>매입</stp>
        <stp/>
        <stp/>
        <tr r="P9" s="3"/>
      </tp>
      <tp>
        <v>13.734299999999999</v>
        <stp/>
        <stp>P</stp>
        <stp>0</stp>
        <stp>FX</stp>
        <stp>AUDMXN</stp>
        <stp>매입</stp>
        <stp/>
        <stp/>
        <tr r="R15" s="3"/>
      </tp>
      <tp>
        <v>9.2499999999999995E-3</v>
        <stp/>
        <stp>P</stp>
        <stp>0</stp>
        <stp>FX</stp>
        <stp>JPYUSD</stp>
        <stp>매입</stp>
        <stp/>
        <stp/>
        <tr r="F11" s="3"/>
      </tp>
      <tp t="s">
        <v/>
        <stp/>
        <stp>P</stp>
        <stp>0</stp>
        <stp>FX</stp>
        <stp>PLNCNH</stp>
        <stp>매입</stp>
        <stp/>
        <stp/>
        <tr r="J19" s="3"/>
      </tp>
      <tp>
        <v>2.198E-2</v>
        <stp/>
        <stp>P</stp>
        <stp>0</stp>
        <stp>FX</stp>
        <stp>IDRTWD</stp>
        <stp>매입</stp>
        <stp/>
        <stp/>
        <tr r="Y23" s="3"/>
      </tp>
      <tp t="s">
        <v/>
        <stp/>
        <stp>P</stp>
        <stp>0</stp>
        <stp>FX</stp>
        <stp>PHPCNH</stp>
        <stp>매입</stp>
        <stp/>
        <stp/>
        <tr r="J25" s="3"/>
      </tp>
      <tp t="s">
        <v/>
        <stp/>
        <stp>P</stp>
        <stp>0</stp>
        <stp>FX</stp>
        <stp>KRWEUR</stp>
        <stp>매입</stp>
        <stp/>
        <stp/>
        <tr r="G8" s="3"/>
      </tp>
      <tp>
        <v>5.0700000000000002E-2</v>
        <stp/>
        <stp>P</stp>
        <stp>0</stp>
        <stp>FX</stp>
        <stp>MXNUSD</stp>
        <stp>매입</stp>
        <stp/>
        <stp/>
        <tr r="F21" s="3"/>
      </tp>
      <tp>
        <v>0.2389</v>
        <stp/>
        <stp>P</stp>
        <stp>0</stp>
        <stp>FX</stp>
        <stp>MYRUSD</stp>
        <stp>매입</stp>
        <stp/>
        <stp/>
        <tr r="F24" s="3"/>
      </tp>
      <tp>
        <v>6.6397000000000004</v>
        <stp/>
        <stp>P</stp>
        <stp>0</stp>
        <stp>FX</stp>
        <stp>USDDKK</stp>
        <stp>매입</stp>
        <stp/>
        <stp/>
        <tr r="O9" s="3"/>
      </tp>
      <tp t="s">
        <v/>
        <stp/>
        <stp>P</stp>
        <stp>0</stp>
        <stp>FX</stp>
        <stp>KRWAUD</stp>
        <stp>매입</stp>
        <stp/>
        <stp/>
        <tr r="L8" s="3"/>
      </tp>
      <tp>
        <v>7.8407999999999998</v>
        <stp/>
        <stp>P</stp>
        <stp>0</stp>
        <stp>FX</stp>
        <stp>USDHKD</stp>
        <stp>매입</stp>
        <stp/>
        <stp/>
        <tr r="S9" s="3"/>
      </tp>
      <tp>
        <v>1.81</v>
        <stp/>
        <stp>P</stp>
        <stp>0</stp>
        <stp>FX</stp>
        <stp>PLNCNY</stp>
        <stp>매입</stp>
        <stp/>
        <stp/>
        <tr r="I19" s="3"/>
      </tp>
      <tp>
        <v>0.1328</v>
        <stp/>
        <stp>P</stp>
        <stp>0</stp>
        <stp>FX</stp>
        <stp>PHPCNY</stp>
        <stp>매입</stp>
        <stp/>
        <stp/>
        <tr r="I25" s="3"/>
      </tp>
      <tp>
        <v>282.52999999999997</v>
        <stp/>
        <stp>P</stp>
        <stp>0</stp>
        <stp>FX</stp>
        <stp>MYRKRW</stp>
        <stp>매입</stp>
        <stp/>
        <stp/>
        <tr r="E24" s="3"/>
      </tp>
      <tp>
        <v>59.91</v>
        <stp/>
        <stp>P</stp>
        <stp>0</stp>
        <stp>FX</stp>
        <stp>MXNKRW</stp>
        <stp>매입</stp>
        <stp/>
        <stp/>
        <tr r="E21" s="3"/>
      </tp>
      <tp>
        <v>4.0103999999999997</v>
        <stp/>
        <stp>P</stp>
        <stp>0</stp>
        <stp>FX</stp>
        <stp>HKDTWD</stp>
        <stp>매입</stp>
        <stp/>
        <stp/>
        <tr r="Y22" s="3"/>
      </tp>
      <tp>
        <v>0.24859999999999999</v>
        <stp/>
        <stp>P</stp>
        <stp>0</stp>
        <stp>FX</stp>
        <stp>THBHKD</stp>
        <stp>매입</stp>
        <stp/>
        <stp/>
        <tr r="S27" s="3"/>
      </tp>
      <tp>
        <v>0.4027</v>
        <stp/>
        <stp>P</stp>
        <stp>0</stp>
        <stp>FX</stp>
        <stp>SEKPLN</stp>
        <stp>매입</stp>
        <stp/>
        <stp/>
        <tr r="P17" s="3"/>
      </tp>
      <tp>
        <v>2.7766000000000002</v>
        <stp/>
        <stp>P</stp>
        <stp>0</stp>
        <stp>FX</stp>
        <stp>SGDPLN</stp>
        <stp>매입</stp>
        <stp/>
        <stp/>
        <tr r="P26" s="3"/>
      </tp>
      <tp>
        <v>0.82340000000000002</v>
        <stp/>
        <stp>P</stp>
        <stp>0</stp>
        <stp>FX</stp>
        <stp>JPYEUR</stp>
        <stp>매입</stp>
        <stp/>
        <stp/>
        <tr r="G11" s="3"/>
      </tp>
      <tp>
        <v>0.21115</v>
        <stp/>
        <stp>P</stp>
        <stp>0</stp>
        <stp>FX</stp>
        <stp>THBDKK</stp>
        <stp>매입</stp>
        <stp/>
        <stp/>
        <tr r="O27" s="3"/>
      </tp>
      <tp t="s">
        <v/>
        <stp/>
        <stp>P</stp>
        <stp>0</stp>
        <stp>FX</stp>
        <stp>TWDDKK</stp>
        <stp>매입</stp>
        <stp/>
        <stp/>
        <tr r="O28" s="3"/>
      </tp>
      <tp>
        <v>1.328E-2</v>
        <stp/>
        <stp>P</stp>
        <stp>0</stp>
        <stp>FX</stp>
        <stp>JPYAUD</stp>
        <stp>매입</stp>
        <stp/>
        <stp/>
        <tr r="L11" s="3"/>
      </tp>
      <tp>
        <v>0.19678999999999999</v>
        <stp/>
        <stp>P</stp>
        <stp>0</stp>
        <stp>FX</stp>
        <stp>MXNBRL</stp>
        <stp>매입</stp>
        <stp/>
        <stp/>
        <tr r="Q21" s="3"/>
      </tp>
      <tp>
        <v>0.9335</v>
        <stp/>
        <stp>P</stp>
        <stp>0</stp>
        <stp>FX</stp>
        <stp>MYRBRL</stp>
        <stp>매입</stp>
        <stp/>
        <stp/>
        <tr r="Q24" s="3"/>
      </tp>
      <tp>
        <v>0.24879999999999999</v>
        <stp/>
        <stp>P</stp>
        <stp>0</stp>
        <stp>FX</stp>
        <stp>TWDHKD</stp>
        <stp>매입</stp>
        <stp/>
        <stp/>
        <tr r="S28" s="3"/>
      </tp>
      <tp>
        <v>3.04E-2</v>
        <stp/>
        <stp>P</stp>
        <stp>0</stp>
        <stp>FX</stp>
        <stp>THBCHF</stp>
        <stp>매입</stp>
        <stp/>
        <stp/>
        <tr r="K27" s="3"/>
      </tp>
      <tp t="s">
        <v/>
        <stp/>
        <stp>P</stp>
        <stp>0</stp>
        <stp>FX</stp>
        <stp>THBTHB</stp>
        <stp>매입</stp>
        <stp/>
        <stp/>
        <tr r="X27" s="3"/>
      </tp>
      <tp t="s">
        <v/>
        <stp/>
        <stp>P</stp>
        <stp>0</stp>
        <stp>FX</stp>
        <stp>PHPPLN</stp>
        <stp>매입</stp>
        <stp/>
        <stp/>
        <tr r="P25" s="3"/>
      </tp>
      <tp>
        <v>4.6974999999999998</v>
        <stp/>
        <stp>P</stp>
        <stp>0</stp>
        <stp>FX</stp>
        <stp>EURMYR</stp>
        <stp>매입</stp>
        <stp/>
        <stp/>
        <tr r="U10" s="3"/>
      </tp>
      <tp>
        <v>1.6474</v>
        <stp/>
        <stp>P</stp>
        <stp>0</stp>
        <stp>FX</stp>
        <stp>TWDPHP</stp>
        <stp>매입</stp>
        <stp/>
        <stp/>
        <tr r="V28" s="3"/>
      </tp>
      <tp t="s">
        <v/>
        <stp/>
        <stp>P</stp>
        <stp>0</stp>
        <stp>FX</stp>
        <stp>DKKMXN</stp>
        <stp>매입</stp>
        <stp/>
        <stp/>
        <tr r="R18" s="3"/>
      </tp>
      <tp t="s">
        <v/>
        <stp/>
        <stp>P</stp>
        <stp>0</stp>
        <stp>FX</stp>
        <stp>PLNPLN</stp>
        <stp>매입</stp>
        <stp/>
        <stp/>
        <tr r="P19" s="3"/>
      </tp>
      <tp>
        <v>0.01</v>
        <stp/>
        <stp>P</stp>
        <stp>0</stp>
        <stp>FX</stp>
        <stp>IDRAUD</stp>
        <stp>매입</stp>
        <stp/>
        <stp/>
        <tr r="L23" s="3"/>
      </tp>
      <tp>
        <v>1.6523000000000001</v>
        <stp/>
        <stp>P</stp>
        <stp>0</stp>
        <stp>FX</stp>
        <stp>THBPHP</stp>
        <stp>매입</stp>
        <stp/>
        <stp/>
        <tr r="V27" s="3"/>
      </tp>
      <tp>
        <v>6.2230000000000001E-2</v>
        <stp/>
        <stp>P</stp>
        <stp>0</stp>
        <stp>FX</stp>
        <stp>IDREUR</stp>
        <stp>매입</stp>
        <stp/>
        <stp/>
        <tr r="G23" s="3"/>
      </tp>
      <tp t="s">
        <v/>
        <stp/>
        <stp>P</stp>
        <stp>0</stp>
        <stp>FX</stp>
        <stp>KRWTWD</stp>
        <stp>매입</stp>
        <stp/>
        <stp/>
        <tr r="Y8" s="3"/>
      </tp>
      <tp>
        <v>0.99650000000000005</v>
        <stp/>
        <stp>P</stp>
        <stp>0</stp>
        <stp>FX</stp>
        <stp>TWDTHB</stp>
        <stp>매입</stp>
        <stp/>
        <stp/>
        <tr r="X28" s="3"/>
      </tp>
      <tp>
        <v>3.1530000000000002E-2</v>
        <stp/>
        <stp>P</stp>
        <stp>0</stp>
        <stp>FX</stp>
        <stp>TWDCHF</stp>
        <stp>매입</stp>
        <stp/>
        <stp/>
        <tr r="K28" s="3"/>
      </tp>
      <tp>
        <v>5.0552999999999999</v>
        <stp/>
        <stp>P</stp>
        <stp>0</stp>
        <stp>FX</stp>
        <stp>SGDCNH</stp>
        <stp>매입</stp>
        <stp/>
        <stp/>
        <tr r="J26" s="3"/>
      </tp>
      <tp>
        <v>0.18290000000000001</v>
        <stp/>
        <stp>P</stp>
        <stp>0</stp>
        <stp>FX</stp>
        <stp>HKDAUD</stp>
        <stp>매입</stp>
        <stp/>
        <stp/>
        <tr r="L22" s="3"/>
      </tp>
      <tp>
        <v>0.73050000000000004</v>
        <stp/>
        <stp>P</stp>
        <stp>0</stp>
        <stp>FX</stp>
        <stp>SEKCNH</stp>
        <stp>매입</stp>
        <stp/>
        <stp/>
        <tr r="J17" s="3"/>
      </tp>
      <tp>
        <v>51.8</v>
        <stp/>
        <stp>P</stp>
        <stp>0</stp>
        <stp>FX</stp>
        <stp>USDPHP</stp>
        <stp>매입</stp>
        <stp/>
        <stp/>
        <tr r="V9" s="3"/>
      </tp>
      <tp>
        <v>25.837</v>
        <stp/>
        <stp>P</stp>
        <stp>0</stp>
        <stp>FX</stp>
        <stp>MYRJPY</stp>
        <stp>매입</stp>
        <stp/>
        <stp/>
        <tr r="H24" s="3"/>
      </tp>
      <tp>
        <v>5.4729999999999999</v>
        <stp/>
        <stp>P</stp>
        <stp>0</stp>
        <stp>FX</stp>
        <stp>MXNJPY</stp>
        <stp>매입</stp>
        <stp/>
        <stp/>
        <tr r="H21" s="3"/>
      </tp>
      <tp>
        <v>5.0461</v>
        <stp/>
        <stp>P</stp>
        <stp>0</stp>
        <stp>FX</stp>
        <stp>SGDCNY</stp>
        <stp>매입</stp>
        <stp/>
        <stp/>
        <tr r="I26" s="3"/>
      </tp>
      <tp>
        <v>0.72660000000000002</v>
        <stp/>
        <stp>P</stp>
        <stp>0</stp>
        <stp>FX</stp>
        <stp>SEKCNY</stp>
        <stp>매입</stp>
        <stp/>
        <stp/>
        <tr r="I17" s="3"/>
      </tp>
      <tp>
        <v>22.169699999999999</v>
        <stp/>
        <stp>P</stp>
        <stp>0</stp>
        <stp>FX</stp>
        <stp>EURMXN</stp>
        <stp>매입</stp>
        <stp/>
        <stp/>
        <tr r="R10" s="3"/>
      </tp>
      <tp t="s">
        <v/>
        <stp/>
        <stp>P</stp>
        <stp>0</stp>
        <stp>FX</stp>
        <stp>DKKMYR</stp>
        <stp>매입</stp>
        <stp/>
        <stp/>
        <tr r="U18" s="3"/>
      </tp>
      <tp>
        <v>0.11333</v>
        <stp/>
        <stp>P</stp>
        <stp>0</stp>
        <stp>FX</stp>
        <stp>HKDEUR</stp>
        <stp>매입</stp>
        <stp/>
        <stp/>
        <tr r="G22" s="3"/>
      </tp>
      <tp>
        <v>0.28870000000000001</v>
        <stp/>
        <stp>P</stp>
        <stp>0</stp>
        <stp>FX</stp>
        <stp>JPYTWD</stp>
        <stp>매입</stp>
        <stp/>
        <stp/>
        <tr r="Y11" s="3"/>
      </tp>
      <tp>
        <v>0.99319999999999997</v>
        <stp/>
        <stp>P</stp>
        <stp>0</stp>
        <stp>FX</stp>
        <stp>USDCHF</stp>
        <stp>매입</stp>
        <stp/>
        <stp/>
        <tr r="K9" s="3"/>
      </tp>
      <tp>
        <v>31.35</v>
        <stp/>
        <stp>P</stp>
        <stp>0</stp>
        <stp>FX</stp>
        <stp>USDTHB</stp>
        <stp>매입</stp>
        <stp/>
        <stp/>
        <tr r="X9" s="3"/>
      </tp>
      <tp>
        <v>27.768000000000001</v>
        <stp/>
        <stp>P</stp>
        <stp>0</stp>
        <stp>FX</stp>
        <stp>BRLJPY</stp>
        <stp>매입</stp>
        <stp/>
        <stp/>
        <tr r="H20" s="3"/>
      </tp>
      <tp t="s">
        <v/>
        <stp/>
        <stp>P</stp>
        <stp>0</stp>
        <stp>FX</stp>
        <stp>SGDCAD</stp>
        <stp>매입</stp>
        <stp/>
        <stp/>
        <tr r="M26" s="3"/>
      </tp>
      <tp t="s">
        <v/>
        <stp/>
        <stp>P</stp>
        <stp>0</stp>
        <stp>FX</stp>
        <stp>KRWMYR</stp>
        <stp>매입</stp>
        <stp/>
        <stp/>
        <tr r="U8" s="3"/>
      </tp>
      <tp>
        <v>0.1414</v>
        <stp/>
        <stp>P</stp>
        <stp>0</stp>
        <stp>FX</stp>
        <stp>SEKCAD</stp>
        <stp>매입</stp>
        <stp/>
        <stp/>
        <tr r="M17" s="3"/>
      </tp>
      <tp>
        <v>0.18245</v>
        <stp/>
        <stp>P</stp>
        <stp>0</stp>
        <stp>FX</stp>
        <stp>JPYMXN</stp>
        <stp>매입</stp>
        <stp/>
        <stp/>
        <tr r="R11" s="3"/>
      </tp>
      <tp>
        <v>1.3688</v>
        <stp/>
        <stp>P</stp>
        <stp>0</stp>
        <stp>FX</stp>
        <stp>USDSGD</stp>
        <stp>매입</stp>
        <stp/>
        <stp/>
        <tr r="W9" s="3"/>
      </tp>
      <tp>
        <v>35.363999999999997</v>
        <stp/>
        <stp>P</stp>
        <stp>0</stp>
        <stp>FX</stp>
        <stp>EURTWD</stp>
        <stp>매입</stp>
        <stp/>
        <stp/>
        <tr r="Y10" s="3"/>
      </tp>
      <tp>
        <v>0.69669999999999999</v>
        <stp/>
        <stp>P</stp>
        <stp>0</stp>
        <stp>FX</stp>
        <stp>AUDUSD</stp>
        <stp>매입</stp>
        <stp/>
        <stp/>
        <tr r="F15" s="3"/>
      </tp>
      <tp t="s">
        <v/>
        <stp/>
        <stp>P</stp>
        <stp>0</stp>
        <stp>FX</stp>
        <stp>DKKTWD</stp>
        <stp>매입</stp>
        <stp/>
        <stp/>
        <tr r="Y18" s="3"/>
      </tp>
      <tp>
        <v>4.3400000000000001E-2</v>
        <stp/>
        <stp>P</stp>
        <stp>0</stp>
        <stp>FX</stp>
        <stp>THBSGD</stp>
        <stp>매입</stp>
        <stp/>
        <stp/>
        <tr r="W27" s="3"/>
      </tp>
      <tp>
        <v>3.8620000000000002E-2</v>
        <stp/>
        <stp>P</stp>
        <stp>0</stp>
        <stp>FX</stp>
        <stp>JPYMYR</stp>
        <stp>매입</stp>
        <stp/>
        <stp/>
        <tr r="U11" s="3"/>
      </tp>
      <tp>
        <v>823.15</v>
        <stp/>
        <stp>P</stp>
        <stp>0</stp>
        <stp>FX</stp>
        <stp>AUDKRW</stp>
        <stp>매입</stp>
        <stp/>
        <stp/>
        <tr r="E15" s="3"/>
      </tp>
      <tp t="s">
        <v/>
        <stp/>
        <stp>P</stp>
        <stp>0</stp>
        <stp>FX</stp>
        <stp>KRWMXN</stp>
        <stp>매입</stp>
        <stp/>
        <stp/>
        <tr r="R8" s="3"/>
      </tp>
      <tp>
        <v>80.290000000000006</v>
        <stp/>
        <stp>P</stp>
        <stp>0</stp>
        <stp>FX</stp>
        <stp>CADJPY</stp>
        <stp>매입</stp>
        <stp/>
        <stp/>
        <tr r="H16" s="3"/>
      </tp>
      <tp>
        <v>2.7078000000000002</v>
        <stp/>
        <stp>P</stp>
        <stp>0</stp>
        <stp>FX</stp>
        <stp>AUDBRL</stp>
        <stp>매입</stp>
        <stp/>
        <stp/>
        <tr r="Q15" s="3"/>
      </tp>
      <tp>
        <v>15.609</v>
        <stp/>
        <stp>P</stp>
        <stp>0</stp>
        <stp>FX</stp>
        <stp>CNYJPY</stp>
        <stp>매입</stp>
        <stp/>
        <stp/>
        <tr r="H12" s="3"/>
      </tp>
      <tp>
        <v>15.585000000000001</v>
        <stp/>
        <stp>P</stp>
        <stp>0</stp>
        <stp>FX</stp>
        <stp>CNHJPY</stp>
        <stp>매입</stp>
        <stp/>
        <stp/>
        <tr r="H13" s="3"/>
      </tp>
      <tp>
        <v>4.3499999999999997E-2</v>
        <stp/>
        <stp>P</stp>
        <stp>0</stp>
        <stp>FX</stp>
        <stp>TWDSGD</stp>
        <stp>매입</stp>
        <stp/>
        <stp/>
        <tr r="W28" s="3"/>
      </tp>
      <tp>
        <v>108.68</v>
        <stp/>
        <stp>P</stp>
        <stp>0</stp>
        <stp>FX</stp>
        <stp>CHFJPY</stp>
        <stp>매입</stp>
        <stp/>
        <stp/>
        <tr r="H14" s="3"/>
      </tp>
      <tp>
        <v>1.0062</v>
        <stp/>
        <stp>P</stp>
        <stp>0</stp>
        <stp>FX</stp>
        <stp>CHFUSD</stp>
        <stp>매입</stp>
        <stp/>
        <stp/>
        <tr r="F14" s="3"/>
      </tp>
      <tp>
        <v>0.1447</v>
        <stp/>
        <stp>P</stp>
        <stp>0</stp>
        <stp>FX</stp>
        <stp>CNYUSD</stp>
        <stp>매입</stp>
        <stp/>
        <stp/>
        <tr r="F12" s="3"/>
      </tp>
      <tp>
        <v>0.14391000000000001</v>
        <stp/>
        <stp>P</stp>
        <stp>0</stp>
        <stp>FX</stp>
        <stp>CNHUSD</stp>
        <stp>매입</stp>
        <stp/>
        <stp/>
        <tr r="F13" s="3"/>
      </tp>
      <tp t="s">
        <v/>
        <stp/>
        <stp>P</stp>
        <stp>0</stp>
        <stp>FX</stp>
        <stp>EUREUR</stp>
        <stp>매입</stp>
        <stp/>
        <stp/>
        <tr r="G10" s="3"/>
      </tp>
      <tp>
        <v>303.66000000000003</v>
        <stp/>
        <stp>P</stp>
        <stp>0</stp>
        <stp>FX</stp>
        <stp>BRLKRW</stp>
        <stp>매입</stp>
        <stp/>
        <stp/>
        <tr r="E20" s="3"/>
      </tp>
      <tp>
        <v>0.74329999999999996</v>
        <stp/>
        <stp>P</stp>
        <stp>0</stp>
        <stp>FX</stp>
        <stp>CADUSD</stp>
        <stp>매입</stp>
        <stp/>
        <stp/>
        <tr r="F16" s="3"/>
      </tp>
      <tp>
        <v>2.5085000000000002</v>
        <stp/>
        <stp>P</stp>
        <stp>0</stp>
        <stp>FX</stp>
        <stp>HKDMXN</stp>
        <stp>매입</stp>
        <stp/>
        <stp/>
        <tr r="R22" s="3"/>
      </tp>
      <tp>
        <v>453.8</v>
        <stp/>
        <stp>P</stp>
        <stp>0</stp>
        <stp>FX</stp>
        <stp>TWDIDR</stp>
        <stp>매입</stp>
        <stp/>
        <stp/>
        <tr r="T28" s="3"/>
      </tp>
      <tp t="s">
        <v/>
        <stp/>
        <stp>P</stp>
        <stp>0</stp>
        <stp>FX</stp>
        <stp>BRLBRL</stp>
        <stp>매입</stp>
        <stp/>
        <stp/>
        <tr r="Q20" s="3"/>
      </tp>
      <tp>
        <v>455.1</v>
        <stp/>
        <stp>P</stp>
        <stp>0</stp>
        <stp>FX</stp>
        <stp>THBIDR</stp>
        <stp>매입</stp>
        <stp/>
        <stp/>
        <tr r="T27" s="3"/>
      </tp>
      <tp>
        <v>9.4426000000000005</v>
        <stp/>
        <stp>P</stp>
        <stp>0</stp>
        <stp>FX</stp>
        <stp>USDSEK</stp>
        <stp>매입</stp>
        <stp/>
        <stp/>
        <tr r="N9" s="3"/>
      </tp>
      <tp>
        <v>2.9260000000000001E-2</v>
        <stp/>
        <stp>P</stp>
        <stp>0</stp>
        <stp>FX</stp>
        <stp>IDRMYR</stp>
        <stp>매입</stp>
        <stp/>
        <stp/>
        <tr r="U23" s="3"/>
      </tp>
      <tp>
        <v>1.6141000000000001</v>
        <stp/>
        <stp>P</stp>
        <stp>0</stp>
        <stp>FX</stp>
        <stp>EURAUD</stp>
        <stp>매입</stp>
        <stp/>
        <stp/>
        <tr r="L10" s="3"/>
      </tp>
      <tp>
        <v>0.21592</v>
        <stp/>
        <stp>P</stp>
        <stp>0</stp>
        <stp>FX</stp>
        <stp>DKKAUD</stp>
        <stp>매입</stp>
        <stp/>
        <stp/>
        <tr r="L18" s="3"/>
      </tp>
      <tp>
        <v>2.589E-2</v>
        <stp/>
        <stp>P</stp>
        <stp>0</stp>
        <stp>FX</stp>
        <stp>PHPCAD</stp>
        <stp>매입</stp>
        <stp/>
        <stp/>
        <tr r="M25" s="3"/>
      </tp>
      <tp>
        <v>75.209999999999994</v>
        <stp/>
        <stp>P</stp>
        <stp>0</stp>
        <stp>FX</stp>
        <stp>AUDJPY</stp>
        <stp>매입</stp>
        <stp/>
        <stp/>
        <tr r="H15" s="3"/>
      </tp>
      <tp>
        <v>2.8906000000000001</v>
        <stp/>
        <stp>P</stp>
        <stp>0</stp>
        <stp>FX</stp>
        <stp>CADBRL</stp>
        <stp>매입</stp>
        <stp/>
        <stp/>
        <tr r="Q16" s="3"/>
      </tp>
      <tp t="s">
        <v/>
        <stp/>
        <stp>P</stp>
        <stp>0</stp>
        <stp>FX</stp>
        <stp>IDRMXN</stp>
        <stp>매입</stp>
        <stp/>
        <stp/>
        <tr r="R23" s="3"/>
      </tp>
      <tp t="s">
        <v/>
        <stp/>
        <stp>P</stp>
        <stp>0</stp>
        <stp>FX</stp>
        <stp>PLNCAD</stp>
        <stp>매입</stp>
        <stp/>
        <stp/>
        <tr r="M19" s="3"/>
      </tp>
      <tp>
        <v>3.9116</v>
        <stp/>
        <stp>P</stp>
        <stp>0</stp>
        <stp>FX</stp>
        <stp>CHFBRL</stp>
        <stp>매입</stp>
        <stp/>
        <stp/>
        <tr r="Q14" s="3"/>
      </tp>
      <tp>
        <v>0.56233</v>
        <stp/>
        <stp>P</stp>
        <stp>0</stp>
        <stp>FX</stp>
        <stp>CNYBRL</stp>
        <stp>매입</stp>
        <stp/>
        <stp/>
        <tr r="Q12" s="3"/>
      </tp>
      <tp t="s">
        <v/>
        <stp/>
        <stp>P</stp>
        <stp>0</stp>
        <stp>FX</stp>
        <stp>CNHBRL</stp>
        <stp>매입</stp>
        <stp/>
        <stp/>
        <tr r="Q13" s="3"/>
      </tp>
      <tp>
        <v>0.30080000000000001</v>
        <stp/>
        <stp>P</stp>
        <stp>0</stp>
        <stp>FX</stp>
        <stp>THBSEK</stp>
        <stp>매입</stp>
        <stp/>
        <stp/>
        <tr r="N27" s="3"/>
      </tp>
      <tp>
        <v>14270</v>
        <stp/>
        <stp>P</stp>
        <stp>0</stp>
        <stp>FX</stp>
        <stp>USDIDR</stp>
        <stp>매입</stp>
        <stp/>
        <stp/>
        <tr r="T9" s="3"/>
      </tp>
      <tp>
        <v>1189.47</v>
        <stp/>
        <stp>P</stp>
        <stp>0</stp>
        <stp>FX</stp>
        <stp>CHFKRW</stp>
        <stp>매입</stp>
        <stp/>
        <stp/>
        <tr r="E14" s="3"/>
      </tp>
      <tp>
        <v>0.29987000000000003</v>
        <stp/>
        <stp>P</stp>
        <stp>0</stp>
        <stp>FX</stp>
        <stp>TWDSEK</stp>
        <stp>매입</stp>
        <stp/>
        <stp/>
        <tr r="N28" s="3"/>
      </tp>
      <tp>
        <v>171.04</v>
        <stp/>
        <stp>P</stp>
        <stp>0</stp>
        <stp>FX</stp>
        <stp>CNYKRW</stp>
        <stp>매입</stp>
        <stp/>
        <stp/>
        <tr r="E12" s="3"/>
      </tp>
      <tp>
        <v>0.13378999999999999</v>
        <stp/>
        <stp>P</stp>
        <stp>0</stp>
        <stp>FX</stp>
        <stp>DKKEUR</stp>
        <stp>매입</stp>
        <stp/>
        <stp/>
        <tr r="G18" s="3"/>
      </tp>
      <tp>
        <v>170.58</v>
        <stp/>
        <stp>P</stp>
        <stp>0</stp>
        <stp>FX</stp>
        <stp>CNHKRW</stp>
        <stp>매입</stp>
        <stp/>
        <stp/>
        <tr r="E13" s="3"/>
      </tp>
      <tp>
        <v>0.53269</v>
        <stp/>
        <stp>P</stp>
        <stp>0</stp>
        <stp>FX</stp>
        <stp>HKDMYR</stp>
        <stp>매입</stp>
        <stp/>
        <stp/>
        <tr r="U22" s="3"/>
      </tp>
      <tp>
        <v>0.25669999999999998</v>
        <stp/>
        <stp>P</stp>
        <stp>0</stp>
        <stp>FX</stp>
        <stp>BRLUSD</stp>
        <stp>매입</stp>
        <stp/>
        <stp/>
        <tr r="F20" s="3"/>
      </tp>
      <tp>
        <v>878.75</v>
        <stp/>
        <stp>P</stp>
        <stp>0</stp>
        <stp>FX</stp>
        <stp>CADKRW</stp>
        <stp>매입</stp>
        <stp/>
        <stp/>
        <tr r="E16" s="3"/>
      </tp>
      <tp t="s">
        <v/>
        <stp/>
        <stp>P</stp>
        <stp>0</stp>
        <stp>FX</stp>
        <stp>SEKSEK</stp>
        <stp>매입</stp>
        <stp/>
        <stp/>
        <tr r="N17" s="3"/>
      </tp>
      <tp>
        <v>1.4441999999999999</v>
        <stp/>
        <stp>P</stp>
        <stp>0</stp>
        <stp>FX</stp>
        <stp>CHFAUD</stp>
        <stp>매입</stp>
        <stp/>
        <stp/>
        <tr r="L14" s="3"/>
      </tp>
      <tp>
        <v>6.8921000000000001</v>
        <stp/>
        <stp>P</stp>
        <stp>0</stp>
        <stp>FX</stp>
        <stp>SGDSEK</stp>
        <stp>매입</stp>
        <stp/>
        <stp/>
        <tr r="N26" s="3"/>
      </tp>
      <tp>
        <v>0.20300000000000001</v>
        <stp/>
        <stp>P</stp>
        <stp>0</stp>
        <stp>FX</stp>
        <stp>CNYAUD</stp>
        <stp>매입</stp>
        <stp/>
        <stp/>
        <tr r="L12" s="3"/>
      </tp>
      <tp t="s">
        <v/>
        <stp/>
        <stp>P</stp>
        <stp>0</stp>
        <stp>FX</stp>
        <stp>CNHAUD</stp>
        <stp>매입</stp>
        <stp/>
        <stp/>
        <tr r="L13" s="3"/>
      </tp>
      <tp>
        <v>0.58550999999999997</v>
        <stp/>
        <stp>P</stp>
        <stp>0</stp>
        <stp>FX</stp>
        <stp>DKKBRL</stp>
        <stp>매입</stp>
        <stp/>
        <stp/>
        <tr r="Q18" s="3"/>
      </tp>
      <tp>
        <v>1.0669</v>
        <stp/>
        <stp>P</stp>
        <stp>0</stp>
        <stp>FX</stp>
        <stp>CADAUD</stp>
        <stp>매입</stp>
        <stp/>
        <stp/>
        <tr r="L16" s="3"/>
      </tp>
      <tp>
        <v>0.12866</v>
        <stp/>
        <stp>P</stp>
        <stp>0</stp>
        <stp>FX</stp>
        <stp>CNYEUR</stp>
        <stp>매입</stp>
        <stp/>
        <stp/>
        <tr r="G12" s="3"/>
      </tp>
      <tp>
        <v>177.93</v>
        <stp/>
        <stp>P</stp>
        <stp>0</stp>
        <stp>FX</stp>
        <stp>DKKKRW</stp>
        <stp>매입</stp>
        <stp/>
        <stp/>
        <tr r="E18" s="3"/>
      </tp>
      <tp t="s">
        <v/>
        <stp/>
        <stp>P</stp>
        <stp>0</stp>
        <stp>FX</stp>
        <stp>CNHEUR</stp>
        <stp>매입</stp>
        <stp/>
        <stp/>
        <tr r="G13" s="3"/>
      </tp>
      <tp>
        <v>0.89470000000000005</v>
        <stp/>
        <stp>P</stp>
        <stp>0</stp>
        <stp>FX</stp>
        <stp>CHFEUR</stp>
        <stp>매입</stp>
        <stp/>
        <stp/>
        <tr r="G14" s="3"/>
      </tp>
      <tp>
        <v>0.66110000000000002</v>
        <stp/>
        <stp>P</stp>
        <stp>0</stp>
        <stp>FX</stp>
        <stp>CADEUR</stp>
        <stp>매입</stp>
        <stp/>
        <stp/>
        <tr r="G16" s="3"/>
      </tp>
      <tp>
        <v>1.1245000000000001</v>
        <stp/>
        <stp>P</stp>
        <stp>0</stp>
        <stp>FX</stp>
        <stp>EURUSD</stp>
        <stp>매입</stp>
        <stp/>
        <stp/>
        <tr r="F10" s="3"/>
      </tp>
      <tp>
        <v>21.885999999999999</v>
        <stp/>
        <stp>P</stp>
        <stp>0</stp>
        <stp>FX</stp>
        <stp>AUDTWD</stp>
        <stp>매입</stp>
        <stp/>
        <stp/>
        <tr r="Y15" s="3"/>
      </tp>
      <tp>
        <v>0.15010000000000001</v>
        <stp/>
        <stp>P</stp>
        <stp>0</stp>
        <stp>FX</stp>
        <stp>DKKUSD</stp>
        <stp>매입</stp>
        <stp/>
        <stp/>
        <tr r="F18" s="3"/>
      </tp>
      <tp>
        <v>2.5899999999999999E-2</v>
        <stp/>
        <stp>P</stp>
        <stp>0</stp>
        <stp>FX</stp>
        <stp>PHPSGD</stp>
        <stp>매입</stp>
        <stp/>
        <stp/>
        <tr r="W25" s="3"/>
      </tp>
      <tp t="s">
        <v/>
        <stp/>
        <stp>P</stp>
        <stp>0</stp>
        <stp>FX</stp>
        <stp>PLNSGD</stp>
        <stp>매입</stp>
        <stp/>
        <stp/>
        <tr r="W19" s="3"/>
      </tp>
      <tp>
        <v>1328.6</v>
        <stp/>
        <stp>P</stp>
        <stp>0</stp>
        <stp>FX</stp>
        <stp>EURKRW</stp>
        <stp>매입</stp>
        <stp/>
        <stp/>
        <tr r="E10" s="3"/>
      </tp>
      <tp>
        <v>0.22842999999999999</v>
        <stp/>
        <stp>P</stp>
        <stp>0</stp>
        <stp>FX</stp>
        <stp>BRLEUR</stp>
        <stp>매입</stp>
        <stp/>
        <stp/>
        <tr r="G20" s="3"/>
      </tp>
      <tp>
        <v>4.3716999999999997</v>
        <stp/>
        <stp>P</stp>
        <stp>0</stp>
        <stp>FX</stp>
        <stp>EURBRL</stp>
        <stp>매입</stp>
        <stp/>
        <stp/>
        <tr r="Q10" s="3"/>
      </tp>
      <tp>
        <v>0.36869000000000002</v>
        <stp/>
        <stp>P</stp>
        <stp>0</stp>
        <stp>FX</stp>
        <stp>BRLAUD</stp>
        <stp>매입</stp>
        <stp/>
        <stp/>
        <tr r="L20" s="3"/>
      </tp>
      <tp>
        <v>1509.2</v>
        <stp/>
        <stp>P</stp>
        <stp>0</stp>
        <stp>FX</stp>
        <stp>SEKIDR</stp>
        <stp>매입</stp>
        <stp/>
        <stp/>
        <tr r="T17" s="3"/>
      </tp>
      <tp>
        <v>10428.200000000001</v>
        <stp/>
        <stp>P</stp>
        <stp>0</stp>
        <stp>FX</stp>
        <stp>SGDIDR</stp>
        <stp>매입</stp>
        <stp/>
        <stp/>
        <tr r="T26" s="3"/>
      </tp>
      <tp>
        <v>31.649000000000001</v>
        <stp/>
        <stp>P</stp>
        <stp>0</stp>
        <stp>FX</stp>
        <stp>CHFTWD</stp>
        <stp>매입</stp>
        <stp/>
        <stp/>
        <tr r="Y14" s="3"/>
      </tp>
      <tp>
        <v>4.5526999999999997</v>
        <stp/>
        <stp>P</stp>
        <stp>0</stp>
        <stp>FX</stp>
        <stp>CNYTWD</stp>
        <stp>매입</stp>
        <stp/>
        <stp/>
        <tr r="Y12" s="3"/>
      </tp>
      <tp>
        <v>4.5411000000000001</v>
        <stp/>
        <stp>P</stp>
        <stp>0</stp>
        <stp>FX</stp>
        <stp>CNHTWD</stp>
        <stp>매입</stp>
        <stp/>
        <stp/>
        <tr r="Y13" s="3"/>
      </tp>
      <tp t="s">
        <v/>
        <stp/>
        <stp>P</stp>
        <stp>0</stp>
        <stp>FX</stp>
        <stp>MXNMYR</stp>
        <stp>매입</stp>
        <stp/>
        <stp/>
        <tr r="U21" s="3"/>
      </tp>
      <tp t="s">
        <v/>
        <stp/>
        <stp>P</stp>
        <stp>0</stp>
        <stp>FX</stp>
        <stp>MYRMYR</stp>
        <stp>매입</stp>
        <stp/>
        <stp/>
        <tr r="U24" s="3"/>
      </tp>
      <tp>
        <v>0.61950000000000005</v>
        <stp/>
        <stp>P</stp>
        <stp>0</stp>
        <stp>FX</stp>
        <stp>AUDEUR</stp>
        <stp>매입</stp>
        <stp/>
        <stp/>
        <tr r="G15" s="3"/>
      </tp>
      <tp>
        <v>23.391999999999999</v>
        <stp/>
        <stp>P</stp>
        <stp>0</stp>
        <stp>FX</stp>
        <stp>CADTWD</stp>
        <stp>매입</stp>
        <stp/>
        <stp/>
        <tr r="Y16" s="3"/>
      </tp>
      <tp t="s">
        <v/>
        <stp/>
        <stp>P</stp>
        <stp>0</stp>
        <stp>FX</stp>
        <stp>SGDSGD</stp>
        <stp>매입</stp>
        <stp/>
        <stp/>
        <tr r="W26" s="3"/>
      </tp>
      <tp>
        <v>0.14446000000000001</v>
        <stp/>
        <stp>P</stp>
        <stp>0</stp>
        <stp>FX</stp>
        <stp>SEKSGD</stp>
        <stp>매입</stp>
        <stp/>
        <stp/>
        <tr r="W17" s="3"/>
      </tp>
      <tp t="s">
        <v/>
        <stp/>
        <stp>P</stp>
        <stp>0</stp>
        <stp>FX</stp>
        <stp>PLNIDR</stp>
        <stp>매입</stp>
        <stp/>
        <stp/>
        <tr r="T19" s="3"/>
      </tp>
      <tp>
        <v>274.89999999999998</v>
        <stp/>
        <stp>P</stp>
        <stp>0</stp>
        <stp>FX</stp>
        <stp>PHPIDR</stp>
        <stp>매입</stp>
        <stp/>
        <stp/>
        <tr r="T25" s="3"/>
      </tp>
      <tp>
        <v>1.3444</v>
        <stp/>
        <stp>P</stp>
        <stp>0</stp>
        <stp>FX</stp>
        <stp>USDCAD</stp>
        <stp>매입</stp>
        <stp/>
        <stp/>
        <tr r="M9" s="3"/>
        <tr r="BU21" s="3"/>
        <tr r="BU20" s="3"/>
      </tp>
      <tp>
        <v>16.253</v>
        <stp/>
        <stp>P</stp>
        <stp>0</stp>
        <stp>FX</stp>
        <stp>DKKJPY</stp>
        <stp>매입</stp>
        <stp/>
        <stp/>
        <tr r="H18" s="3"/>
      </tp>
      <tp t="s">
        <v/>
        <stp/>
        <stp>P</stp>
        <stp>0</stp>
        <stp>FX</stp>
        <stp>AUDAUD</stp>
        <stp>매입</stp>
        <stp/>
        <stp/>
        <tr r="L15" s="3"/>
      </tp>
      <tp>
        <v>121.41</v>
        <stp/>
        <stp>P</stp>
        <stp>0</stp>
        <stp>FX</stp>
        <stp>EURJPY</stp>
        <stp>매입</stp>
        <stp/>
        <stp/>
        <tr r="H10" s="3"/>
      </tp>
      <tp>
        <v>4.2819999999999997E-2</v>
        <stp/>
        <stp>P</stp>
        <stp>0</stp>
        <stp>FX</stp>
        <stp>THBCAD</stp>
        <stp>매입</stp>
        <stp/>
        <stp/>
        <tr r="M27" s="3"/>
      </tp>
      <tp>
        <v>2.4794</v>
        <stp/>
        <stp>P</stp>
        <stp>0</stp>
        <stp>FX</stp>
        <stp>PLNSEK</stp>
        <stp>매입</stp>
        <stp/>
        <stp/>
        <tr r="N19" s="3"/>
      </tp>
      <tp t="s">
        <v/>
        <stp/>
        <stp>P</stp>
        <stp>0</stp>
        <stp>FX</stp>
        <stp>PHPSEK</stp>
        <stp>매입</stp>
        <stp/>
        <stp/>
        <tr r="N25" s="3"/>
      </tp>
      <tp t="s">
        <v/>
        <stp/>
        <stp>P</stp>
        <stp>0</stp>
        <stp>FX</stp>
        <stp>MXNMXN</stp>
        <stp>매입</stp>
        <stp/>
        <stp/>
        <tr r="R21" s="3"/>
      </tp>
      <tp>
        <v>8.0419999999999998</v>
        <stp/>
        <stp>P</stp>
        <stp>0</stp>
        <stp>FX</stp>
        <stp>BRLTWD</stp>
        <stp>매입</stp>
        <stp/>
        <stp/>
        <tr r="Y20" s="3"/>
      </tp>
      <tp t="s">
        <v/>
        <stp/>
        <stp>P</stp>
        <stp>0</stp>
        <stp>FX</stp>
        <stp>MYRMXN</stp>
        <stp>매입</stp>
        <stp/>
        <stp/>
        <tr r="R24" s="3"/>
      </tp>
      <tp>
        <v>4.2689999999999999E-2</v>
        <stp/>
        <stp>P</stp>
        <stp>0</stp>
        <stp>FX</stp>
        <stp>TWDCAD</stp>
        <stp>매입</stp>
        <stp/>
        <stp/>
        <tr r="M28" s="3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15" dropStyle="combo" dx="16" fmlaLink="$E$5" fmlaRange="$BY$8:$BY$68" sel="2"/>
</file>

<file path=xl/ctrlProps/ctrlProp2.xml><?xml version="1.0" encoding="utf-8"?>
<formControlPr xmlns="http://schemas.microsoft.com/office/spreadsheetml/2009/9/main" objectType="Drop" dropLines="15" dropStyle="combo" dx="16" fmlaLink="$F$5" fmlaRange="$BY$8:$BY$68" val="0"/>
</file>

<file path=xl/ctrlProps/ctrlProp3.xml><?xml version="1.0" encoding="utf-8"?>
<formControlPr xmlns="http://schemas.microsoft.com/office/spreadsheetml/2009/9/main" objectType="Drop" dropLines="15" dropStyle="combo" dx="16" fmlaLink="$G$5" fmlaRange="$BY$8:$BY$68" sel="4" val="0"/>
</file>

<file path=xl/ctrlProps/ctrlProp4.xml><?xml version="1.0" encoding="utf-8"?>
<formControlPr xmlns="http://schemas.microsoft.com/office/spreadsheetml/2009/9/main" objectType="Drop" dropLines="15" dropStyle="combo" dx="16" fmlaLink="$H$5" fmlaRange="$BY$8:$BY$68" sel="32" val="20"/>
</file>

<file path=xl/ctrlProps/ctrlProp5.xml><?xml version="1.0" encoding="utf-8"?>
<formControlPr xmlns="http://schemas.microsoft.com/office/spreadsheetml/2009/9/main" objectType="Drop" dropLines="15" dropStyle="combo" dx="16" fmlaLink="$I$5" fmlaRange="$BY$8:$BY$68" sel="14"/>
</file>

<file path=xl/ctrlProps/ctrlProp6.xml><?xml version="1.0" encoding="utf-8"?>
<formControlPr xmlns="http://schemas.microsoft.com/office/spreadsheetml/2009/9/main" objectType="Drop" dropLines="15" dropStyle="combo" dx="16" fmlaLink="$J$5" fmlaRange="$BY$8:$BY$68" sel="15" val="14"/>
</file>

<file path=xl/ctrlProps/ctrlProp7.xml><?xml version="1.0" encoding="utf-8"?>
<formControlPr xmlns="http://schemas.microsoft.com/office/spreadsheetml/2009/9/main" objectType="Drop" dropLines="15" dropStyle="combo" dx="16" fmlaLink="$K$5" fmlaRange="$BY$8:$BY$68" sel="12" val="10"/>
</file>

<file path=xl/ctrlProps/ctrlProp8.xml><?xml version="1.0" encoding="utf-8"?>
<formControlPr xmlns="http://schemas.microsoft.com/office/spreadsheetml/2009/9/main" objectType="Drop" dropLines="15" dropStyle="combo" dx="16" fmlaLink="$L$5" fmlaRange="$BY$8:$BY$68" sel="3" val="0"/>
</file>

<file path=xl/ctrlProps/ctrlProp9.xml><?xml version="1.0" encoding="utf-8"?>
<formControlPr xmlns="http://schemas.microsoft.com/office/spreadsheetml/2009/9/main" objectType="Drop" dropLines="15" dropStyle="combo" dx="16" fmlaLink="$M$5" fmlaRange="$BY$8:$BY$68" sel="11" val="7"/>
</file>

<file path=xl/ctrlProps/ctrlProp10.xml><?xml version="1.0" encoding="utf-8"?>
<formControlPr xmlns="http://schemas.microsoft.com/office/spreadsheetml/2009/9/main" objectType="Drop" dropLines="15" dropStyle="combo" dx="16" fmlaLink="$N$5" fmlaRange="$BY$8:$BY$68" sel="51" val="40"/>
</file>

<file path=xl/ctrlProps/ctrlProp11.xml><?xml version="1.0" encoding="utf-8"?>
<formControlPr xmlns="http://schemas.microsoft.com/office/spreadsheetml/2009/9/main" objectType="Drop" dropLines="15" dropStyle="combo" dx="16" fmlaLink="$O$5" fmlaRange="$BY$8:$BY$68" sel="19" val="17"/>
</file>

<file path=xl/ctrlProps/ctrlProp12.xml><?xml version="1.0" encoding="utf-8"?>
<formControlPr xmlns="http://schemas.microsoft.com/office/spreadsheetml/2009/9/main" objectType="Drop" dropLines="15" dropStyle="combo" dx="16" fmlaLink="$P$5" fmlaRange="$BY$8:$BY$68" sel="47" val="44"/>
</file>

<file path=xl/ctrlProps/ctrlProp13.xml><?xml version="1.0" encoding="utf-8"?>
<formControlPr xmlns="http://schemas.microsoft.com/office/spreadsheetml/2009/9/main" objectType="Drop" dropLines="15" dropStyle="combo" dx="16" fmlaLink="$Q$5" fmlaRange="$BY$8:$BY$68" sel="10" val="0"/>
</file>

<file path=xl/ctrlProps/ctrlProp14.xml><?xml version="1.0" encoding="utf-8"?>
<formControlPr xmlns="http://schemas.microsoft.com/office/spreadsheetml/2009/9/main" objectType="Drop" dropLines="15" dropStyle="combo" dx="16" fmlaLink="$R$5" fmlaRange="$BY$8:$BY$68" sel="39" val="31"/>
</file>

<file path=xl/ctrlProps/ctrlProp15.xml><?xml version="1.0" encoding="utf-8"?>
<formControlPr xmlns="http://schemas.microsoft.com/office/spreadsheetml/2009/9/main" objectType="Drop" dropLines="15" dropStyle="combo" dx="16" fmlaLink="$S$5" fmlaRange="$BY$8:$BY$68" sel="24" val="16"/>
</file>

<file path=xl/ctrlProps/ctrlProp16.xml><?xml version="1.0" encoding="utf-8"?>
<formControlPr xmlns="http://schemas.microsoft.com/office/spreadsheetml/2009/9/main" objectType="Drop" dropLines="15" dropStyle="combo" dx="16" fmlaLink="$T$5" fmlaRange="$BY$8:$BY$68" sel="26" val="23"/>
</file>

<file path=xl/ctrlProps/ctrlProp17.xml><?xml version="1.0" encoding="utf-8"?>
<formControlPr xmlns="http://schemas.microsoft.com/office/spreadsheetml/2009/9/main" objectType="Drop" dropLines="15" dropStyle="combo" dx="16" fmlaLink="$B$8" fmlaRange="$BY$8:$BY$68" sel="2" val="0"/>
</file>

<file path=xl/ctrlProps/ctrlProp18.xml><?xml version="1.0" encoding="utf-8"?>
<formControlPr xmlns="http://schemas.microsoft.com/office/spreadsheetml/2009/9/main" objectType="Drop" dropLines="15" dropStyle="combo" dx="16" fmlaLink="$B$9" fmlaRange="$BY$8:$BY$68" val="0"/>
</file>

<file path=xl/ctrlProps/ctrlProp19.xml><?xml version="1.0" encoding="utf-8"?>
<formControlPr xmlns="http://schemas.microsoft.com/office/spreadsheetml/2009/9/main" objectType="Drop" dropLines="15" dropStyle="combo" dx="16" fmlaLink="$B$10" fmlaRange="$BY$8:$BY$68" sel="4" val="0"/>
</file>

<file path=xl/ctrlProps/ctrlProp20.xml><?xml version="1.0" encoding="utf-8"?>
<formControlPr xmlns="http://schemas.microsoft.com/office/spreadsheetml/2009/9/main" objectType="Drop" dropLines="15" dropStyle="combo" dx="16" fmlaLink="$B$11" fmlaRange="$BY$8:$BY$68" sel="32" val="22"/>
</file>

<file path=xl/ctrlProps/ctrlProp21.xml><?xml version="1.0" encoding="utf-8"?>
<formControlPr xmlns="http://schemas.microsoft.com/office/spreadsheetml/2009/9/main" objectType="Drop" dropLines="15" dropStyle="combo" dx="16" fmlaLink="$B$12" fmlaRange="$BY$8:$BY$68" sel="14" val="13"/>
</file>

<file path=xl/ctrlProps/ctrlProp22.xml><?xml version="1.0" encoding="utf-8"?>
<formControlPr xmlns="http://schemas.microsoft.com/office/spreadsheetml/2009/9/main" objectType="Drop" dropLines="15" dropStyle="combo" dx="16" fmlaLink="$B$13" fmlaRange="$BY$8:$BY$68" sel="15" val="25"/>
</file>

<file path=xl/ctrlProps/ctrlProp23.xml><?xml version="1.0" encoding="utf-8"?>
<formControlPr xmlns="http://schemas.microsoft.com/office/spreadsheetml/2009/9/main" objectType="Drop" dropLines="15" dropStyle="combo" dx="16" fmlaLink="$B$14" fmlaRange="$BY$8:$BY$68" sel="12" val="10"/>
</file>

<file path=xl/ctrlProps/ctrlProp24.xml><?xml version="1.0" encoding="utf-8"?>
<formControlPr xmlns="http://schemas.microsoft.com/office/spreadsheetml/2009/9/main" objectType="Drop" dropLines="15" dropStyle="combo" dx="16" fmlaLink="$B$15" fmlaRange="$BY$8:$BY$68" sel="3" val="0"/>
</file>

<file path=xl/ctrlProps/ctrlProp25.xml><?xml version="1.0" encoding="utf-8"?>
<formControlPr xmlns="http://schemas.microsoft.com/office/spreadsheetml/2009/9/main" objectType="Drop" dropLines="15" dropStyle="combo" dx="16" fmlaLink="$B$16" fmlaRange="$BY$8:$BY$68" sel="11" val="4"/>
</file>

<file path=xl/ctrlProps/ctrlProp26.xml><?xml version="1.0" encoding="utf-8"?>
<formControlPr xmlns="http://schemas.microsoft.com/office/spreadsheetml/2009/9/main" objectType="Drop" dropLines="15" dropStyle="combo" dx="16" fmlaLink="$B$17" fmlaRange="$BY$8:$BY$68" sel="51" val="39"/>
</file>

<file path=xl/ctrlProps/ctrlProp27.xml><?xml version="1.0" encoding="utf-8"?>
<formControlPr xmlns="http://schemas.microsoft.com/office/spreadsheetml/2009/9/main" objectType="Drop" dropLines="15" dropStyle="combo" dx="16" fmlaLink="$B$18" fmlaRange="$BY$8:$BY$68" sel="19" val="17"/>
</file>

<file path=xl/ctrlProps/ctrlProp28.xml><?xml version="1.0" encoding="utf-8"?>
<formControlPr xmlns="http://schemas.microsoft.com/office/spreadsheetml/2009/9/main" objectType="Drop" dropLines="15" dropStyle="combo" dx="16" fmlaLink="$B$19" fmlaRange="$BY$8:$BY$68" sel="47" val="34"/>
</file>

<file path=xl/ctrlProps/ctrlProp29.xml><?xml version="1.0" encoding="utf-8"?>
<formControlPr xmlns="http://schemas.microsoft.com/office/spreadsheetml/2009/9/main" objectType="Drop" dropLines="15" dropStyle="combo" dx="16" fmlaLink="$B$20" fmlaRange="$BY$8:$BY$68" sel="10" val="5"/>
</file>

<file path=xl/ctrlProps/ctrlProp30.xml><?xml version="1.0" encoding="utf-8"?>
<formControlPr xmlns="http://schemas.microsoft.com/office/spreadsheetml/2009/9/main" objectType="Drop" dropLines="15" dropStyle="combo" dx="16" fmlaLink="$B$21" fmlaRange="$BY$8:$BY$68" sel="39" val="32"/>
</file>

<file path=xl/ctrlProps/ctrlProp31.xml><?xml version="1.0" encoding="utf-8"?>
<formControlPr xmlns="http://schemas.microsoft.com/office/spreadsheetml/2009/9/main" objectType="Drop" dropLines="15" dropStyle="combo" dx="16" fmlaLink="$B$22" fmlaRange="$BY$8:$BY$68" sel="24" val="21"/>
</file>

<file path=xl/ctrlProps/ctrlProp32.xml><?xml version="1.0" encoding="utf-8"?>
<formControlPr xmlns="http://schemas.microsoft.com/office/spreadsheetml/2009/9/main" objectType="Drop" dropLines="15" dropStyle="combo" dx="16" fmlaLink="$B$23" fmlaRange="$BY$8:$BY$68" sel="26" val="25"/>
</file>

<file path=xl/ctrlProps/ctrlProp33.xml><?xml version="1.0" encoding="utf-8"?>
<formControlPr xmlns="http://schemas.microsoft.com/office/spreadsheetml/2009/9/main" objectType="Drop" dropLines="15" dropStyle="combo" dx="16" fmlaLink="$B$24" fmlaRange="$BY$8:$BY$68" sel="40" val="32"/>
</file>

<file path=xl/ctrlProps/ctrlProp34.xml><?xml version="1.0" encoding="utf-8"?>
<formControlPr xmlns="http://schemas.microsoft.com/office/spreadsheetml/2009/9/main" objectType="Drop" dropLines="15" dropStyle="combo" dx="16" fmlaLink="$B$25" fmlaRange="$BY$8:$BY$68" sel="46" val="43"/>
</file>

<file path=xl/ctrlProps/ctrlProp35.xml><?xml version="1.0" encoding="utf-8"?>
<formControlPr xmlns="http://schemas.microsoft.com/office/spreadsheetml/2009/9/main" objectType="Drop" dropLines="15" dropStyle="combo" dx="16" fmlaLink="$B$26" fmlaRange="$BY$8:$BY$68" sel="52" val="42"/>
</file>

<file path=xl/ctrlProps/ctrlProp36.xml><?xml version="1.0" encoding="utf-8"?>
<formControlPr xmlns="http://schemas.microsoft.com/office/spreadsheetml/2009/9/main" objectType="Drop" dropLines="15" dropStyle="combo" dx="16" fmlaLink="$B$27" fmlaRange="$BY$8:$BY$68" sel="55" val="46"/>
</file>

<file path=xl/ctrlProps/ctrlProp37.xml><?xml version="1.0" encoding="utf-8"?>
<formControlPr xmlns="http://schemas.microsoft.com/office/spreadsheetml/2009/9/main" objectType="Drop" dropLines="15" dropStyle="combo" dx="16" fmlaLink="$B$28" fmlaRange="$BY$8:$BY$68" sel="58" val="46"/>
</file>

<file path=xl/ctrlProps/ctrlProp38.xml><?xml version="1.0" encoding="utf-8"?>
<formControlPr xmlns="http://schemas.microsoft.com/office/spreadsheetml/2009/9/main" objectType="Drop" dropLines="15" dropStyle="combo" dx="16" fmlaLink="$U$5" fmlaRange="$BY$8:$BY$68" sel="40" val="38"/>
</file>

<file path=xl/ctrlProps/ctrlProp39.xml><?xml version="1.0" encoding="utf-8"?>
<formControlPr xmlns="http://schemas.microsoft.com/office/spreadsheetml/2009/9/main" objectType="Drop" dropLines="15" dropStyle="combo" dx="16" fmlaLink="$V$5" fmlaRange="$BY$8:$BY$68" sel="46" val="37"/>
</file>

<file path=xl/ctrlProps/ctrlProp40.xml><?xml version="1.0" encoding="utf-8"?>
<formControlPr xmlns="http://schemas.microsoft.com/office/spreadsheetml/2009/9/main" objectType="Drop" dropLines="15" dropStyle="combo" dx="16" fmlaLink="$W$5" fmlaRange="$BY$8:$BY$68" sel="52" val="46"/>
</file>

<file path=xl/ctrlProps/ctrlProp41.xml><?xml version="1.0" encoding="utf-8"?>
<formControlPr xmlns="http://schemas.microsoft.com/office/spreadsheetml/2009/9/main" objectType="Drop" dropLines="15" dropStyle="combo" dx="16" fmlaLink="$X$5" fmlaRange="$BY$8:$BY$68" sel="55" val="46"/>
</file>

<file path=xl/ctrlProps/ctrlProp42.xml><?xml version="1.0" encoding="utf-8"?>
<formControlPr xmlns="http://schemas.microsoft.com/office/spreadsheetml/2009/9/main" objectType="Drop" dropLines="15" dropStyle="combo" dx="16" fmlaLink="$Y$5" fmlaRange="$BY$8:$BY$68" sel="58" val="46"/>
</file>

<file path=xl/ctrlProps/ctrlProp43.xml><?xml version="1.0" encoding="utf-8"?>
<formControlPr xmlns="http://schemas.microsoft.com/office/spreadsheetml/2009/9/main" objectType="Drop" dropStyle="combo" dx="16" fmlaLink="$BU$7" fmlaRange="$BU$8:$BU$13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209551</xdr:colOff>
      <xdr:row>29</xdr:row>
      <xdr:rowOff>1</xdr:rowOff>
    </xdr:from>
    <xdr:to>
      <xdr:col>25</xdr:col>
      <xdr:colOff>38101</xdr:colOff>
      <xdr:row>29</xdr:row>
      <xdr:rowOff>187305</xdr:rowOff>
    </xdr:to>
    <xdr:pic>
      <xdr:nvPicPr>
        <xdr:cNvPr id="7" name="그림 6" descr="yonhapinfomax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16732" b="77449"/>
        <a:stretch>
          <a:fillRect/>
        </a:stretch>
      </xdr:blipFill>
      <xdr:spPr>
        <a:xfrm>
          <a:off x="11001376" y="5543551"/>
          <a:ext cx="895350" cy="18730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</xdr:row>
          <xdr:rowOff>9525</xdr:rowOff>
        </xdr:from>
        <xdr:to>
          <xdr:col>4</xdr:col>
          <xdr:colOff>514350</xdr:colOff>
          <xdr:row>6</xdr:row>
          <xdr:rowOff>200025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6</xdr:row>
          <xdr:rowOff>9525</xdr:rowOff>
        </xdr:from>
        <xdr:to>
          <xdr:col>6</xdr:col>
          <xdr:colOff>9525</xdr:colOff>
          <xdr:row>6</xdr:row>
          <xdr:rowOff>200025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</xdr:row>
          <xdr:rowOff>9525</xdr:rowOff>
        </xdr:from>
        <xdr:to>
          <xdr:col>7</xdr:col>
          <xdr:colOff>9525</xdr:colOff>
          <xdr:row>6</xdr:row>
          <xdr:rowOff>200025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6</xdr:row>
          <xdr:rowOff>9525</xdr:rowOff>
        </xdr:from>
        <xdr:to>
          <xdr:col>8</xdr:col>
          <xdr:colOff>9525</xdr:colOff>
          <xdr:row>6</xdr:row>
          <xdr:rowOff>200025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6</xdr:row>
          <xdr:rowOff>9525</xdr:rowOff>
        </xdr:from>
        <xdr:to>
          <xdr:col>9</xdr:col>
          <xdr:colOff>9525</xdr:colOff>
          <xdr:row>6</xdr:row>
          <xdr:rowOff>200025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6</xdr:row>
          <xdr:rowOff>9525</xdr:rowOff>
        </xdr:from>
        <xdr:to>
          <xdr:col>10</xdr:col>
          <xdr:colOff>9525</xdr:colOff>
          <xdr:row>6</xdr:row>
          <xdr:rowOff>200025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6</xdr:row>
          <xdr:rowOff>9525</xdr:rowOff>
        </xdr:from>
        <xdr:to>
          <xdr:col>11</xdr:col>
          <xdr:colOff>9525</xdr:colOff>
          <xdr:row>6</xdr:row>
          <xdr:rowOff>200025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6</xdr:row>
          <xdr:rowOff>9525</xdr:rowOff>
        </xdr:from>
        <xdr:to>
          <xdr:col>12</xdr:col>
          <xdr:colOff>9525</xdr:colOff>
          <xdr:row>6</xdr:row>
          <xdr:rowOff>200025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6</xdr:row>
          <xdr:rowOff>9525</xdr:rowOff>
        </xdr:from>
        <xdr:to>
          <xdr:col>13</xdr:col>
          <xdr:colOff>9525</xdr:colOff>
          <xdr:row>6</xdr:row>
          <xdr:rowOff>200025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6</xdr:row>
          <xdr:rowOff>9525</xdr:rowOff>
        </xdr:from>
        <xdr:to>
          <xdr:col>14</xdr:col>
          <xdr:colOff>9525</xdr:colOff>
          <xdr:row>6</xdr:row>
          <xdr:rowOff>200025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9525</xdr:colOff>
          <xdr:row>6</xdr:row>
          <xdr:rowOff>9525</xdr:rowOff>
        </xdr:from>
        <xdr:to>
          <xdr:col>15</xdr:col>
          <xdr:colOff>9525</xdr:colOff>
          <xdr:row>6</xdr:row>
          <xdr:rowOff>200025</xdr:rowOff>
        </xdr:to>
        <xdr:sp macro="" textlink="">
          <xdr:nvSpPr>
            <xdr:cNvPr id="1035" name="Drop Down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6</xdr:row>
          <xdr:rowOff>9525</xdr:rowOff>
        </xdr:from>
        <xdr:to>
          <xdr:col>16</xdr:col>
          <xdr:colOff>9525</xdr:colOff>
          <xdr:row>6</xdr:row>
          <xdr:rowOff>200025</xdr:rowOff>
        </xdr:to>
        <xdr:sp macro="" textlink="">
          <xdr:nvSpPr>
            <xdr:cNvPr id="1036" name="Drop Down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6</xdr:row>
          <xdr:rowOff>9525</xdr:rowOff>
        </xdr:from>
        <xdr:to>
          <xdr:col>17</xdr:col>
          <xdr:colOff>9525</xdr:colOff>
          <xdr:row>6</xdr:row>
          <xdr:rowOff>200025</xdr:rowOff>
        </xdr:to>
        <xdr:sp macro="" textlink="">
          <xdr:nvSpPr>
            <xdr:cNvPr id="1037" name="Drop Down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6</xdr:row>
          <xdr:rowOff>9525</xdr:rowOff>
        </xdr:from>
        <xdr:to>
          <xdr:col>18</xdr:col>
          <xdr:colOff>9525</xdr:colOff>
          <xdr:row>6</xdr:row>
          <xdr:rowOff>200025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6</xdr:row>
          <xdr:rowOff>9525</xdr:rowOff>
        </xdr:from>
        <xdr:to>
          <xdr:col>19</xdr:col>
          <xdr:colOff>9525</xdr:colOff>
          <xdr:row>6</xdr:row>
          <xdr:rowOff>200025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6</xdr:row>
          <xdr:rowOff>9525</xdr:rowOff>
        </xdr:from>
        <xdr:to>
          <xdr:col>20</xdr:col>
          <xdr:colOff>9525</xdr:colOff>
          <xdr:row>6</xdr:row>
          <xdr:rowOff>200025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</xdr:row>
          <xdr:rowOff>9525</xdr:rowOff>
        </xdr:from>
        <xdr:to>
          <xdr:col>3</xdr:col>
          <xdr:colOff>514350</xdr:colOff>
          <xdr:row>7</xdr:row>
          <xdr:rowOff>200025</xdr:rowOff>
        </xdr:to>
        <xdr:sp macro="" textlink="">
          <xdr:nvSpPr>
            <xdr:cNvPr id="1041" name="Drop Down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</xdr:row>
          <xdr:rowOff>9525</xdr:rowOff>
        </xdr:from>
        <xdr:to>
          <xdr:col>3</xdr:col>
          <xdr:colOff>514350</xdr:colOff>
          <xdr:row>8</xdr:row>
          <xdr:rowOff>200025</xdr:rowOff>
        </xdr:to>
        <xdr:sp macro="" textlink="">
          <xdr:nvSpPr>
            <xdr:cNvPr id="1043" name="Drop Down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</xdr:row>
          <xdr:rowOff>9525</xdr:rowOff>
        </xdr:from>
        <xdr:to>
          <xdr:col>3</xdr:col>
          <xdr:colOff>514350</xdr:colOff>
          <xdr:row>9</xdr:row>
          <xdr:rowOff>200025</xdr:rowOff>
        </xdr:to>
        <xdr:sp macro="" textlink="">
          <xdr:nvSpPr>
            <xdr:cNvPr id="1044" name="Drop Down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</xdr:row>
          <xdr:rowOff>9525</xdr:rowOff>
        </xdr:from>
        <xdr:to>
          <xdr:col>3</xdr:col>
          <xdr:colOff>514350</xdr:colOff>
          <xdr:row>10</xdr:row>
          <xdr:rowOff>200025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</xdr:row>
          <xdr:rowOff>9525</xdr:rowOff>
        </xdr:from>
        <xdr:to>
          <xdr:col>3</xdr:col>
          <xdr:colOff>514350</xdr:colOff>
          <xdr:row>11</xdr:row>
          <xdr:rowOff>200025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</xdr:row>
          <xdr:rowOff>9525</xdr:rowOff>
        </xdr:from>
        <xdr:to>
          <xdr:col>3</xdr:col>
          <xdr:colOff>514350</xdr:colOff>
          <xdr:row>12</xdr:row>
          <xdr:rowOff>200025</xdr:rowOff>
        </xdr:to>
        <xdr:sp macro="" textlink="">
          <xdr:nvSpPr>
            <xdr:cNvPr id="1047" name="Drop Down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</xdr:row>
          <xdr:rowOff>9525</xdr:rowOff>
        </xdr:from>
        <xdr:to>
          <xdr:col>3</xdr:col>
          <xdr:colOff>514350</xdr:colOff>
          <xdr:row>13</xdr:row>
          <xdr:rowOff>200025</xdr:rowOff>
        </xdr:to>
        <xdr:sp macro="" textlink="">
          <xdr:nvSpPr>
            <xdr:cNvPr id="1048" name="Drop Down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</xdr:row>
          <xdr:rowOff>9525</xdr:rowOff>
        </xdr:from>
        <xdr:to>
          <xdr:col>3</xdr:col>
          <xdr:colOff>514350</xdr:colOff>
          <xdr:row>14</xdr:row>
          <xdr:rowOff>200025</xdr:rowOff>
        </xdr:to>
        <xdr:sp macro="" textlink="">
          <xdr:nvSpPr>
            <xdr:cNvPr id="1049" name="Drop Down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</xdr:row>
          <xdr:rowOff>9525</xdr:rowOff>
        </xdr:from>
        <xdr:to>
          <xdr:col>3</xdr:col>
          <xdr:colOff>514350</xdr:colOff>
          <xdr:row>15</xdr:row>
          <xdr:rowOff>200025</xdr:rowOff>
        </xdr:to>
        <xdr:sp macro="" textlink="">
          <xdr:nvSpPr>
            <xdr:cNvPr id="1050" name="Drop Down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</xdr:row>
          <xdr:rowOff>9525</xdr:rowOff>
        </xdr:from>
        <xdr:to>
          <xdr:col>3</xdr:col>
          <xdr:colOff>514350</xdr:colOff>
          <xdr:row>16</xdr:row>
          <xdr:rowOff>200025</xdr:rowOff>
        </xdr:to>
        <xdr:sp macro="" textlink="">
          <xdr:nvSpPr>
            <xdr:cNvPr id="1051" name="Drop Down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</xdr:row>
          <xdr:rowOff>9525</xdr:rowOff>
        </xdr:from>
        <xdr:to>
          <xdr:col>3</xdr:col>
          <xdr:colOff>514350</xdr:colOff>
          <xdr:row>17</xdr:row>
          <xdr:rowOff>200025</xdr:rowOff>
        </xdr:to>
        <xdr:sp macro="" textlink="">
          <xdr:nvSpPr>
            <xdr:cNvPr id="1052" name="Drop Down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</xdr:row>
          <xdr:rowOff>9525</xdr:rowOff>
        </xdr:from>
        <xdr:to>
          <xdr:col>3</xdr:col>
          <xdr:colOff>514350</xdr:colOff>
          <xdr:row>18</xdr:row>
          <xdr:rowOff>200025</xdr:rowOff>
        </xdr:to>
        <xdr:sp macro="" textlink="">
          <xdr:nvSpPr>
            <xdr:cNvPr id="1053" name="Drop Down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</xdr:row>
          <xdr:rowOff>9525</xdr:rowOff>
        </xdr:from>
        <xdr:to>
          <xdr:col>3</xdr:col>
          <xdr:colOff>514350</xdr:colOff>
          <xdr:row>19</xdr:row>
          <xdr:rowOff>200025</xdr:rowOff>
        </xdr:to>
        <xdr:sp macro="" textlink="">
          <xdr:nvSpPr>
            <xdr:cNvPr id="1054" name="Drop Down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</xdr:row>
          <xdr:rowOff>9525</xdr:rowOff>
        </xdr:from>
        <xdr:to>
          <xdr:col>3</xdr:col>
          <xdr:colOff>514350</xdr:colOff>
          <xdr:row>20</xdr:row>
          <xdr:rowOff>200025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</xdr:row>
          <xdr:rowOff>9525</xdr:rowOff>
        </xdr:from>
        <xdr:to>
          <xdr:col>3</xdr:col>
          <xdr:colOff>514350</xdr:colOff>
          <xdr:row>21</xdr:row>
          <xdr:rowOff>200025</xdr:rowOff>
        </xdr:to>
        <xdr:sp macro="" textlink="">
          <xdr:nvSpPr>
            <xdr:cNvPr id="1056" name="Drop Down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</xdr:row>
          <xdr:rowOff>9525</xdr:rowOff>
        </xdr:from>
        <xdr:to>
          <xdr:col>3</xdr:col>
          <xdr:colOff>514350</xdr:colOff>
          <xdr:row>22</xdr:row>
          <xdr:rowOff>200025</xdr:rowOff>
        </xdr:to>
        <xdr:sp macro="" textlink="">
          <xdr:nvSpPr>
            <xdr:cNvPr id="1057" name="Drop Down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</xdr:row>
          <xdr:rowOff>9525</xdr:rowOff>
        </xdr:from>
        <xdr:to>
          <xdr:col>3</xdr:col>
          <xdr:colOff>514350</xdr:colOff>
          <xdr:row>23</xdr:row>
          <xdr:rowOff>200025</xdr:rowOff>
        </xdr:to>
        <xdr:sp macro="" textlink="">
          <xdr:nvSpPr>
            <xdr:cNvPr id="1058" name="Drop Down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24</xdr:row>
          <xdr:rowOff>9525</xdr:rowOff>
        </xdr:from>
        <xdr:to>
          <xdr:col>3</xdr:col>
          <xdr:colOff>514350</xdr:colOff>
          <xdr:row>24</xdr:row>
          <xdr:rowOff>200025</xdr:rowOff>
        </xdr:to>
        <xdr:sp macro="" textlink="">
          <xdr:nvSpPr>
            <xdr:cNvPr id="1059" name="Drop Down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25</xdr:row>
          <xdr:rowOff>9525</xdr:rowOff>
        </xdr:from>
        <xdr:to>
          <xdr:col>3</xdr:col>
          <xdr:colOff>514350</xdr:colOff>
          <xdr:row>25</xdr:row>
          <xdr:rowOff>200025</xdr:rowOff>
        </xdr:to>
        <xdr:sp macro="" textlink="">
          <xdr:nvSpPr>
            <xdr:cNvPr id="1060" name="Drop Down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26</xdr:row>
          <xdr:rowOff>9525</xdr:rowOff>
        </xdr:from>
        <xdr:to>
          <xdr:col>3</xdr:col>
          <xdr:colOff>514350</xdr:colOff>
          <xdr:row>26</xdr:row>
          <xdr:rowOff>200025</xdr:rowOff>
        </xdr:to>
        <xdr:sp macro="" textlink="">
          <xdr:nvSpPr>
            <xdr:cNvPr id="1061" name="Drop Down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</xdr:row>
          <xdr:rowOff>9525</xdr:rowOff>
        </xdr:from>
        <xdr:to>
          <xdr:col>3</xdr:col>
          <xdr:colOff>514350</xdr:colOff>
          <xdr:row>27</xdr:row>
          <xdr:rowOff>200025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6</xdr:row>
          <xdr:rowOff>9525</xdr:rowOff>
        </xdr:from>
        <xdr:to>
          <xdr:col>21</xdr:col>
          <xdr:colOff>9525</xdr:colOff>
          <xdr:row>6</xdr:row>
          <xdr:rowOff>200025</xdr:rowOff>
        </xdr:to>
        <xdr:sp macro="" textlink="">
          <xdr:nvSpPr>
            <xdr:cNvPr id="1063" name="Drop Down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9525</xdr:colOff>
          <xdr:row>6</xdr:row>
          <xdr:rowOff>9525</xdr:rowOff>
        </xdr:from>
        <xdr:to>
          <xdr:col>22</xdr:col>
          <xdr:colOff>9525</xdr:colOff>
          <xdr:row>6</xdr:row>
          <xdr:rowOff>200025</xdr:rowOff>
        </xdr:to>
        <xdr:sp macro="" textlink="">
          <xdr:nvSpPr>
            <xdr:cNvPr id="1064" name="Drop Down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</xdr:colOff>
          <xdr:row>6</xdr:row>
          <xdr:rowOff>9525</xdr:rowOff>
        </xdr:from>
        <xdr:to>
          <xdr:col>23</xdr:col>
          <xdr:colOff>9525</xdr:colOff>
          <xdr:row>6</xdr:row>
          <xdr:rowOff>200025</xdr:rowOff>
        </xdr:to>
        <xdr:sp macro="" textlink="">
          <xdr:nvSpPr>
            <xdr:cNvPr id="1065" name="Drop Down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9525</xdr:colOff>
          <xdr:row>6</xdr:row>
          <xdr:rowOff>9525</xdr:rowOff>
        </xdr:from>
        <xdr:to>
          <xdr:col>24</xdr:col>
          <xdr:colOff>9525</xdr:colOff>
          <xdr:row>6</xdr:row>
          <xdr:rowOff>200025</xdr:rowOff>
        </xdr:to>
        <xdr:sp macro="" textlink="">
          <xdr:nvSpPr>
            <xdr:cNvPr id="1066" name="Drop Down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</xdr:colOff>
          <xdr:row>6</xdr:row>
          <xdr:rowOff>9525</xdr:rowOff>
        </xdr:from>
        <xdr:to>
          <xdr:col>24</xdr:col>
          <xdr:colOff>523875</xdr:colOff>
          <xdr:row>6</xdr:row>
          <xdr:rowOff>200025</xdr:rowOff>
        </xdr:to>
        <xdr:sp macro="" textlink="">
          <xdr:nvSpPr>
            <xdr:cNvPr id="1067" name="Drop Down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6</xdr:row>
          <xdr:rowOff>0</xdr:rowOff>
        </xdr:from>
        <xdr:to>
          <xdr:col>4</xdr:col>
          <xdr:colOff>9525</xdr:colOff>
          <xdr:row>6</xdr:row>
          <xdr:rowOff>190500</xdr:rowOff>
        </xdr:to>
        <xdr:sp macro="" textlink="">
          <xdr:nvSpPr>
            <xdr:cNvPr id="1068" name="Drop Down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theme="3"/>
  </sheetPr>
  <dimension ref="B1:CV68"/>
  <sheetViews>
    <sheetView showGridLines="0" tabSelected="1" workbookViewId="0"/>
  </sheetViews>
  <sheetFormatPr defaultRowHeight="13.5" x14ac:dyDescent="0.25"/>
  <cols>
    <col min="1" max="1" width="1.85546875" customWidth="1"/>
    <col min="2" max="2" width="3.7109375" style="2" hidden="1" customWidth="1"/>
    <col min="3" max="3" width="5.28515625" style="2" hidden="1" customWidth="1"/>
    <col min="4" max="71" width="8" customWidth="1"/>
    <col min="72" max="72" width="2.7109375" style="35" hidden="1" customWidth="1"/>
    <col min="73" max="73" width="9.140625" style="35" hidden="1" customWidth="1"/>
    <col min="74" max="74" width="11.28515625" style="35" hidden="1" customWidth="1"/>
    <col min="75" max="75" width="13.28515625" style="35" hidden="1" customWidth="1"/>
    <col min="76" max="76" width="3.7109375" style="36" hidden="1" customWidth="1"/>
    <col min="77" max="77" width="6" style="36" hidden="1" customWidth="1"/>
    <col min="78" max="78" width="9.140625" hidden="1" customWidth="1"/>
    <col min="79" max="79" width="9.5703125" hidden="1" customWidth="1"/>
    <col min="80" max="80" width="9.140625" hidden="1" customWidth="1"/>
    <col min="81" max="81" width="10.85546875" hidden="1" customWidth="1"/>
    <col min="82" max="93" width="9.140625" hidden="1" customWidth="1"/>
    <col min="94" max="94" width="11.42578125" hidden="1" customWidth="1"/>
    <col min="95" max="100" width="9.140625" hidden="1" customWidth="1"/>
  </cols>
  <sheetData>
    <row r="1" spans="2:100" ht="8.25" customHeight="1" x14ac:dyDescent="0.25"/>
    <row r="2" spans="2:100" ht="11.25" customHeight="1" x14ac:dyDescent="0.25">
      <c r="D2" s="58" t="s">
        <v>73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spans="2:100" ht="11.25" customHeight="1" x14ac:dyDescent="0.25"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spans="2:100" s="33" customFormat="1" ht="19.5" customHeight="1" thickBot="1" x14ac:dyDescent="0.3">
      <c r="B4" s="2"/>
      <c r="C4" s="2"/>
      <c r="D4" s="60"/>
      <c r="E4" s="60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59">
        <f ca="1">NOW()</f>
        <v>43620.582096527774</v>
      </c>
      <c r="Y4" s="59"/>
      <c r="BT4" s="37"/>
      <c r="BU4" s="37"/>
      <c r="BV4" s="37"/>
      <c r="BW4" s="37"/>
      <c r="BX4" s="38"/>
      <c r="BY4" s="38"/>
    </row>
    <row r="5" spans="2:100" s="1" customFormat="1" hidden="1" x14ac:dyDescent="0.25">
      <c r="B5" s="2"/>
      <c r="C5" s="2"/>
      <c r="D5" s="12"/>
      <c r="E5" s="12">
        <v>2</v>
      </c>
      <c r="F5" s="12">
        <v>1</v>
      </c>
      <c r="G5" s="12">
        <v>4</v>
      </c>
      <c r="H5" s="12">
        <v>32</v>
      </c>
      <c r="I5" s="12">
        <v>14</v>
      </c>
      <c r="J5" s="12">
        <v>15</v>
      </c>
      <c r="K5" s="12">
        <v>12</v>
      </c>
      <c r="L5" s="12">
        <v>3</v>
      </c>
      <c r="M5" s="12">
        <v>11</v>
      </c>
      <c r="N5" s="12">
        <v>51</v>
      </c>
      <c r="O5" s="12">
        <v>19</v>
      </c>
      <c r="P5" s="12">
        <v>47</v>
      </c>
      <c r="Q5" s="12">
        <v>10</v>
      </c>
      <c r="R5" s="12">
        <v>39</v>
      </c>
      <c r="S5" s="12">
        <v>24</v>
      </c>
      <c r="T5" s="12">
        <v>26</v>
      </c>
      <c r="U5" s="12">
        <v>40</v>
      </c>
      <c r="V5" s="12">
        <v>46</v>
      </c>
      <c r="W5" s="12">
        <v>52</v>
      </c>
      <c r="X5" s="12">
        <v>55</v>
      </c>
      <c r="Y5" s="12">
        <v>58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36"/>
      <c r="BV5" s="36"/>
      <c r="BW5" s="36"/>
      <c r="BX5" s="36"/>
      <c r="BY5" s="36"/>
      <c r="CA5" s="34"/>
    </row>
    <row r="6" spans="2:100" s="1" customFormat="1" ht="14.25" hidden="1" thickBot="1" x14ac:dyDescent="0.3">
      <c r="B6" s="2"/>
      <c r="C6" s="2"/>
      <c r="D6" s="13"/>
      <c r="E6" s="13" t="str">
        <f t="shared" ref="E6:Y6" si="0">VLOOKUP(E$5,$BX:$BY,2,0)</f>
        <v>KRW</v>
      </c>
      <c r="F6" s="13" t="str">
        <f t="shared" si="0"/>
        <v>USD</v>
      </c>
      <c r="G6" s="13" t="str">
        <f t="shared" si="0"/>
        <v>EUR</v>
      </c>
      <c r="H6" s="13" t="str">
        <f t="shared" si="0"/>
        <v>JPY</v>
      </c>
      <c r="I6" s="13" t="str">
        <f t="shared" si="0"/>
        <v>CNY</v>
      </c>
      <c r="J6" s="13" t="str">
        <f t="shared" si="0"/>
        <v>CNH</v>
      </c>
      <c r="K6" s="13" t="str">
        <f t="shared" si="0"/>
        <v>CHF</v>
      </c>
      <c r="L6" s="13" t="str">
        <f t="shared" si="0"/>
        <v>AUD</v>
      </c>
      <c r="M6" s="13" t="str">
        <f t="shared" si="0"/>
        <v>CAD</v>
      </c>
      <c r="N6" s="13" t="str">
        <f t="shared" si="0"/>
        <v>SEK</v>
      </c>
      <c r="O6" s="13" t="str">
        <f t="shared" si="0"/>
        <v>DKK</v>
      </c>
      <c r="P6" s="13" t="str">
        <f t="shared" si="0"/>
        <v>PLN</v>
      </c>
      <c r="Q6" s="13" t="str">
        <f t="shared" si="0"/>
        <v>BRL</v>
      </c>
      <c r="R6" s="13" t="str">
        <f t="shared" si="0"/>
        <v>MXN</v>
      </c>
      <c r="S6" s="13" t="str">
        <f t="shared" si="0"/>
        <v>HKD</v>
      </c>
      <c r="T6" s="13" t="str">
        <f t="shared" si="0"/>
        <v>IDR</v>
      </c>
      <c r="U6" s="13" t="str">
        <f t="shared" si="0"/>
        <v>MYR</v>
      </c>
      <c r="V6" s="13" t="str">
        <f t="shared" si="0"/>
        <v>PHP</v>
      </c>
      <c r="W6" s="13" t="str">
        <f t="shared" si="0"/>
        <v>SGD</v>
      </c>
      <c r="X6" s="13" t="str">
        <f t="shared" si="0"/>
        <v>THB</v>
      </c>
      <c r="Y6" s="13" t="str">
        <f t="shared" si="0"/>
        <v>TWD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36"/>
      <c r="BV6" s="36"/>
      <c r="BW6" s="36"/>
      <c r="BX6" s="36"/>
      <c r="BY6" s="36"/>
    </row>
    <row r="7" spans="2:100" ht="17.25" customHeight="1" thickTop="1" thickBot="1" x14ac:dyDescent="0.3">
      <c r="D7" s="24" t="s">
        <v>58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3"/>
      <c r="BU7" s="43">
        <v>1</v>
      </c>
      <c r="BV7" s="43"/>
      <c r="CA7" s="50" t="str">
        <f>VLOOKUP(BU7,BT8:BU13,2,0)</f>
        <v>직전대비</v>
      </c>
      <c r="CB7" s="51" t="str">
        <f>'주요통화 시세'!E6</f>
        <v>KRW</v>
      </c>
      <c r="CC7" s="51" t="str">
        <f>'주요통화 시세'!F6</f>
        <v>USD</v>
      </c>
      <c r="CD7" s="51" t="str">
        <f>'주요통화 시세'!G6</f>
        <v>EUR</v>
      </c>
      <c r="CE7" s="51" t="str">
        <f>'주요통화 시세'!H6</f>
        <v>JPY</v>
      </c>
      <c r="CF7" s="51" t="str">
        <f>'주요통화 시세'!I6</f>
        <v>CNY</v>
      </c>
      <c r="CG7" s="51" t="str">
        <f>'주요통화 시세'!J6</f>
        <v>CNH</v>
      </c>
      <c r="CH7" s="51" t="str">
        <f>'주요통화 시세'!K6</f>
        <v>CHF</v>
      </c>
      <c r="CI7" s="51" t="str">
        <f>'주요통화 시세'!L6</f>
        <v>AUD</v>
      </c>
      <c r="CJ7" s="51" t="str">
        <f>'주요통화 시세'!M6</f>
        <v>CAD</v>
      </c>
      <c r="CK7" s="51" t="str">
        <f>'주요통화 시세'!N6</f>
        <v>SEK</v>
      </c>
      <c r="CL7" s="51" t="str">
        <f>'주요통화 시세'!O6</f>
        <v>DKK</v>
      </c>
      <c r="CM7" s="51" t="str">
        <f>'주요통화 시세'!P6</f>
        <v>PLN</v>
      </c>
      <c r="CN7" s="51" t="str">
        <f>'주요통화 시세'!Q6</f>
        <v>BRL</v>
      </c>
      <c r="CO7" s="51" t="str">
        <f>'주요통화 시세'!R6</f>
        <v>MXN</v>
      </c>
      <c r="CP7" s="51" t="str">
        <f>'주요통화 시세'!S6</f>
        <v>HKD</v>
      </c>
      <c r="CQ7" s="51" t="str">
        <f>'주요통화 시세'!T6</f>
        <v>IDR</v>
      </c>
      <c r="CR7" s="51" t="str">
        <f>'주요통화 시세'!U6</f>
        <v>MYR</v>
      </c>
      <c r="CS7" s="51" t="str">
        <f>'주요통화 시세'!V6</f>
        <v>PHP</v>
      </c>
      <c r="CT7" s="51" t="str">
        <f>'주요통화 시세'!W6</f>
        <v>SGD</v>
      </c>
      <c r="CU7" s="51" t="str">
        <f>'주요통화 시세'!X6</f>
        <v>THB</v>
      </c>
      <c r="CV7" s="52" t="str">
        <f>'주요통화 시세'!Y6</f>
        <v>TWD</v>
      </c>
    </row>
    <row r="8" spans="2:100" ht="17.25" customHeight="1" thickTop="1" x14ac:dyDescent="0.25">
      <c r="B8" s="14">
        <v>2</v>
      </c>
      <c r="C8" s="11" t="str">
        <f t="shared" ref="C8:C28" si="1">VLOOKUP($B8,$BX:$BY,2,0)</f>
        <v>KRW</v>
      </c>
      <c r="D8" s="25"/>
      <c r="E8" s="21" t="str">
        <f>_xll.IMDP("FX",$C8&amp;E$6,"매입")</f>
        <v/>
      </c>
      <c r="F8" s="17" t="str">
        <f>_xll.IMDP("FX",$C8&amp;F$6,"매입")</f>
        <v/>
      </c>
      <c r="G8" s="17" t="str">
        <f>_xll.IMDP("FX",$C8&amp;G$6,"매입")</f>
        <v/>
      </c>
      <c r="H8" s="17">
        <f>_xll.IMDP("FX",$C8&amp;H$6,"매입")</f>
        <v>9.14</v>
      </c>
      <c r="I8" s="17" t="str">
        <f>_xll.IMDP("FX",$C8&amp;I$6,"매입")</f>
        <v/>
      </c>
      <c r="J8" s="17" t="str">
        <f>_xll.IMDP("FX",$C8&amp;J$6,"매입")</f>
        <v/>
      </c>
      <c r="K8" s="17" t="str">
        <f>_xll.IMDP("FX",$C8&amp;K$6,"매입")</f>
        <v/>
      </c>
      <c r="L8" s="17" t="str">
        <f>_xll.IMDP("FX",$C8&amp;L$6,"매입")</f>
        <v/>
      </c>
      <c r="M8" s="17" t="str">
        <f>_xll.IMDP("FX",$C8&amp;M$6,"매입")</f>
        <v/>
      </c>
      <c r="N8" s="17" t="str">
        <f>_xll.IMDP("FX",$C8&amp;N$6,"매입")</f>
        <v/>
      </c>
      <c r="O8" s="17" t="str">
        <f>_xll.IMDP("FX",$C8&amp;O$6,"매입")</f>
        <v/>
      </c>
      <c r="P8" s="17" t="str">
        <f>_xll.IMDP("FX",$C8&amp;P$6,"매입")</f>
        <v/>
      </c>
      <c r="Q8" s="17" t="str">
        <f>_xll.IMDP("FX",$C8&amp;Q$6,"매입")</f>
        <v/>
      </c>
      <c r="R8" s="17" t="str">
        <f>_xll.IMDP("FX",$C8&amp;R$6,"매입")</f>
        <v/>
      </c>
      <c r="S8" s="17" t="str">
        <f>_xll.IMDP("FX",$C8&amp;S$6,"매입")</f>
        <v/>
      </c>
      <c r="T8" s="17" t="str">
        <f>_xll.IMDP("FX",$C8&amp;T$6,"매입")</f>
        <v/>
      </c>
      <c r="U8" s="17" t="str">
        <f>_xll.IMDP("FX",$C8&amp;U$6,"매입")</f>
        <v/>
      </c>
      <c r="V8" s="17" t="str">
        <f>_xll.IMDP("FX",$C8&amp;V$6,"매입")</f>
        <v/>
      </c>
      <c r="W8" s="17" t="str">
        <f>_xll.IMDP("FX",$C8&amp;W$6,"매입")</f>
        <v/>
      </c>
      <c r="X8" s="17" t="str">
        <f>_xll.IMDP("FX",$C8&amp;X$6,"매입")</f>
        <v/>
      </c>
      <c r="Y8" s="18" t="str">
        <f>_xll.IMDP("FX",$C8&amp;Y$6,"매입")</f>
        <v/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44">
        <v>1</v>
      </c>
      <c r="BU8" s="43" t="s">
        <v>63</v>
      </c>
      <c r="BV8" s="45"/>
      <c r="BW8" s="35" t="s">
        <v>64</v>
      </c>
      <c r="BX8" s="39">
        <v>1</v>
      </c>
      <c r="BY8" s="39" t="s">
        <v>65</v>
      </c>
      <c r="CA8" s="53" t="str">
        <f>C8</f>
        <v>KRW</v>
      </c>
      <c r="CB8" s="48" t="str">
        <f>IF(ISERROR(E8-IF($BU$7=1,_xll.IMDP("FX",$CA8&amp;CB$7,"BID직전가"),_xll.IMDP("FX",$CA8&amp;CB$7,"뉴욕매입종가",VLOOKUP($BU$7,$BT$8:$BV$13,3,0),"FILL=TRUE"))),"",E8-IF($BU$7=1,_xll.IMDP("FX",$CA8&amp;CB$7,"BID직전가"),_xll.IMDP("FX",$CA8&amp;CB$7,"뉴욕매입종가",VLOOKUP($BU$7,$BT$8:$BV$13,3,0),"FILL=TRUE")))</f>
        <v/>
      </c>
      <c r="CC8" s="5" t="str">
        <f>IF(ISERROR(F8-IF($BU$7=1,_xll.IMDP("FX",$CA8&amp;CC$7,"BID직전가"),_xll.IMDP("FX",$CA8&amp;CC$7,"뉴욕매입종가",VLOOKUP($BU$7,$BT$8:$BV$13,3,0),"FILL=TRUE"))),"",F8-IF($BU$7=1,_xll.IMDP("FX",$CA8&amp;CC$7,"BID직전가"),_xll.IMDP("FX",$CA8&amp;CC$7,"뉴욕매입종가",VLOOKUP($BU$7,$BT$8:$BV$13,3,0),"FILL=TRUE")))</f>
        <v/>
      </c>
      <c r="CD8" s="5" t="str">
        <f>IF(ISERROR(G8-IF($BU$7=1,_xll.IMDP("FX",$CA8&amp;CD$7,"BID직전가"),_xll.IMDP("FX",$CA8&amp;CD$7,"뉴욕매입종가",VLOOKUP($BU$7,$BT$8:$BV$13,3,0),"FILL=TRUE"))),"",G8-IF($BU$7=1,_xll.IMDP("FX",$CA8&amp;CD$7,"BID직전가"),_xll.IMDP("FX",$CA8&amp;CD$7,"뉴욕매입종가",VLOOKUP($BU$7,$BT$8:$BV$13,3,0),"FILL=TRUE")))</f>
        <v/>
      </c>
      <c r="CE8" s="5">
        <f>IF(ISERROR(H8-IF($BU$7=1,_xll.IMDP("FX",$CA8&amp;CE$7,"BID직전가"),_xll.IMDP("FX",$CA8&amp;CE$7,"뉴욕매입종가",VLOOKUP($BU$7,$BT$8:$BV$13,3,0),"FILL=TRUE"))),"",H8-IF($BU$7=1,_xll.IMDP("FX",$CA8&amp;CE$7,"BID직전가"),_xll.IMDP("FX",$CA8&amp;CE$7,"뉴욕매입종가",VLOOKUP($BU$7,$BT$8:$BV$13,3,0),"FILL=TRUE")))</f>
        <v>0</v>
      </c>
      <c r="CF8" s="5" t="str">
        <f>IF(ISERROR(I8-IF($BU$7=1,_xll.IMDP("FX",$CA8&amp;CF$7,"BID직전가"),_xll.IMDP("FX",$CA8&amp;CF$7,"뉴욕매입종가",VLOOKUP($BU$7,$BT$8:$BV$13,3,0),"FILL=TRUE"))),"",I8-IF($BU$7=1,_xll.IMDP("FX",$CA8&amp;CF$7,"BID직전가"),_xll.IMDP("FX",$CA8&amp;CF$7,"뉴욕매입종가",VLOOKUP($BU$7,$BT$8:$BV$13,3,0),"FILL=TRUE")))</f>
        <v/>
      </c>
      <c r="CG8" s="5" t="str">
        <f>IF(ISERROR(J8-IF($BU$7=1,_xll.IMDP("FX",$CA8&amp;CG$7,"BID직전가"),_xll.IMDP("FX",$CA8&amp;CG$7,"뉴욕매입종가",VLOOKUP($BU$7,$BT$8:$BV$13,3,0),"FILL=TRUE"))),"",J8-IF($BU$7=1,_xll.IMDP("FX",$CA8&amp;CG$7,"BID직전가"),_xll.IMDP("FX",$CA8&amp;CG$7,"뉴욕매입종가",VLOOKUP($BU$7,$BT$8:$BV$13,3,0),"FILL=TRUE")))</f>
        <v/>
      </c>
      <c r="CH8" s="5" t="str">
        <f>IF(ISERROR(K8-IF($BU$7=1,_xll.IMDP("FX",$CA8&amp;CH$7,"BID직전가"),_xll.IMDP("FX",$CA8&amp;CH$7,"뉴욕매입종가",VLOOKUP($BU$7,$BT$8:$BV$13,3,0),"FILL=TRUE"))),"",K8-IF($BU$7=1,_xll.IMDP("FX",$CA8&amp;CH$7,"BID직전가"),_xll.IMDP("FX",$CA8&amp;CH$7,"뉴욕매입종가",VLOOKUP($BU$7,$BT$8:$BV$13,3,0),"FILL=TRUE")))</f>
        <v/>
      </c>
      <c r="CI8" s="5" t="str">
        <f>IF(ISERROR(L8-IF($BU$7=1,_xll.IMDP("FX",$CA8&amp;CI$7,"BID직전가"),_xll.IMDP("FX",$CA8&amp;CI$7,"뉴욕매입종가",VLOOKUP($BU$7,$BT$8:$BV$13,3,0),"FILL=TRUE"))),"",L8-IF($BU$7=1,_xll.IMDP("FX",$CA8&amp;CI$7,"BID직전가"),_xll.IMDP("FX",$CA8&amp;CI$7,"뉴욕매입종가",VLOOKUP($BU$7,$BT$8:$BV$13,3,0),"FILL=TRUE")))</f>
        <v/>
      </c>
      <c r="CJ8" s="5" t="str">
        <f>IF(ISERROR(M8-IF($BU$7=1,_xll.IMDP("FX",$CA8&amp;CJ$7,"BID직전가"),_xll.IMDP("FX",$CA8&amp;CJ$7,"뉴욕매입종가",VLOOKUP($BU$7,$BT$8:$BV$13,3,0),"FILL=TRUE"))),"",M8-IF($BU$7=1,_xll.IMDP("FX",$CA8&amp;CJ$7,"BID직전가"),_xll.IMDP("FX",$CA8&amp;CJ$7,"뉴욕매입종가",VLOOKUP($BU$7,$BT$8:$BV$13,3,0),"FILL=TRUE")))</f>
        <v/>
      </c>
      <c r="CK8" s="5" t="str">
        <f>IF(ISERROR(N8-IF($BU$7=1,_xll.IMDP("FX",$CA8&amp;CK$7,"BID직전가"),_xll.IMDP("FX",$CA8&amp;CK$7,"뉴욕매입종가",VLOOKUP($BU$7,$BT$8:$BV$13,3,0),"FILL=TRUE"))),"",N8-IF($BU$7=1,_xll.IMDP("FX",$CA8&amp;CK$7,"BID직전가"),_xll.IMDP("FX",$CA8&amp;CK$7,"뉴욕매입종가",VLOOKUP($BU$7,$BT$8:$BV$13,3,0),"FILL=TRUE")))</f>
        <v/>
      </c>
      <c r="CL8" s="5" t="str">
        <f>IF(ISERROR(O8-IF($BU$7=1,_xll.IMDP("FX",$CA8&amp;CL$7,"BID직전가"),_xll.IMDP("FX",$CA8&amp;CL$7,"뉴욕매입종가",VLOOKUP($BU$7,$BT$8:$BV$13,3,0),"FILL=TRUE"))),"",O8-IF($BU$7=1,_xll.IMDP("FX",$CA8&amp;CL$7,"BID직전가"),_xll.IMDP("FX",$CA8&amp;CL$7,"뉴욕매입종가",VLOOKUP($BU$7,$BT$8:$BV$13,3,0),"FILL=TRUE")))</f>
        <v/>
      </c>
      <c r="CM8" s="5" t="str">
        <f>IF(ISERROR(P8-IF($BU$7=1,_xll.IMDP("FX",$CA8&amp;CM$7,"BID직전가"),_xll.IMDP("FX",$CA8&amp;CM$7,"뉴욕매입종가",VLOOKUP($BU$7,$BT$8:$BV$13,3,0),"FILL=TRUE"))),"",P8-IF($BU$7=1,_xll.IMDP("FX",$CA8&amp;CM$7,"BID직전가"),_xll.IMDP("FX",$CA8&amp;CM$7,"뉴욕매입종가",VLOOKUP($BU$7,$BT$8:$BV$13,3,0),"FILL=TRUE")))</f>
        <v/>
      </c>
      <c r="CN8" s="5" t="str">
        <f>IF(ISERROR(Q8-IF($BU$7=1,_xll.IMDP("FX",$CA8&amp;CN$7,"BID직전가"),_xll.IMDP("FX",$CA8&amp;CN$7,"뉴욕매입종가",VLOOKUP($BU$7,$BT$8:$BV$13,3,0),"FILL=TRUE"))),"",Q8-IF($BU$7=1,_xll.IMDP("FX",$CA8&amp;CN$7,"BID직전가"),_xll.IMDP("FX",$CA8&amp;CN$7,"뉴욕매입종가",VLOOKUP($BU$7,$BT$8:$BV$13,3,0),"FILL=TRUE")))</f>
        <v/>
      </c>
      <c r="CO8" s="5" t="str">
        <f>IF(ISERROR(R8-IF($BU$7=1,_xll.IMDP("FX",$CA8&amp;CO$7,"BID직전가"),_xll.IMDP("FX",$CA8&amp;CO$7,"뉴욕매입종가",VLOOKUP($BU$7,$BT$8:$BV$13,3,0),"FILL=TRUE"))),"",R8-IF($BU$7=1,_xll.IMDP("FX",$CA8&amp;CO$7,"BID직전가"),_xll.IMDP("FX",$CA8&amp;CO$7,"뉴욕매입종가",VLOOKUP($BU$7,$BT$8:$BV$13,3,0),"FILL=TRUE")))</f>
        <v/>
      </c>
      <c r="CP8" s="5" t="str">
        <f>IF(ISERROR(S8-IF($BU$7=1,_xll.IMDP("FX",$CA8&amp;CP$7,"BID직전가"),_xll.IMDP("FX",$CA8&amp;CP$7,"뉴욕매입종가",VLOOKUP($BU$7,$BT$8:$BV$13,3,0),"FILL=TRUE"))),"",S8-IF($BU$7=1,_xll.IMDP("FX",$CA8&amp;CP$7,"BID직전가"),_xll.IMDP("FX",$CA8&amp;CP$7,"뉴욕매입종가",VLOOKUP($BU$7,$BT$8:$BV$13,3,0),"FILL=TRUE")))</f>
        <v/>
      </c>
      <c r="CQ8" s="5" t="str">
        <f>IF(ISERROR(T8-IF($BU$7=1,_xll.IMDP("FX",$CA8&amp;CQ$7,"BID직전가"),_xll.IMDP("FX",$CA8&amp;CQ$7,"뉴욕매입종가",VLOOKUP($BU$7,$BT$8:$BV$13,3,0),"FILL=TRUE"))),"",T8-IF($BU$7=1,_xll.IMDP("FX",$CA8&amp;CQ$7,"BID직전가"),_xll.IMDP("FX",$CA8&amp;CQ$7,"뉴욕매입종가",VLOOKUP($BU$7,$BT$8:$BV$13,3,0),"FILL=TRUE")))</f>
        <v/>
      </c>
      <c r="CR8" s="5" t="str">
        <f>IF(ISERROR(U8-IF($BU$7=1,_xll.IMDP("FX",$CA8&amp;CR$7,"BID직전가"),_xll.IMDP("FX",$CA8&amp;CR$7,"뉴욕매입종가",VLOOKUP($BU$7,$BT$8:$BV$13,3,0),"FILL=TRUE"))),"",U8-IF($BU$7=1,_xll.IMDP("FX",$CA8&amp;CR$7,"BID직전가"),_xll.IMDP("FX",$CA8&amp;CR$7,"뉴욕매입종가",VLOOKUP($BU$7,$BT$8:$BV$13,3,0),"FILL=TRUE")))</f>
        <v/>
      </c>
      <c r="CS8" s="5" t="str">
        <f>IF(ISERROR(V8-IF($BU$7=1,_xll.IMDP("FX",$CA8&amp;CS$7,"BID직전가"),_xll.IMDP("FX",$CA8&amp;CS$7,"뉴욕매입종가",VLOOKUP($BU$7,$BT$8:$BV$13,3,0),"FILL=TRUE"))),"",V8-IF($BU$7=1,_xll.IMDP("FX",$CA8&amp;CS$7,"BID직전가"),_xll.IMDP("FX",$CA8&amp;CS$7,"뉴욕매입종가",VLOOKUP($BU$7,$BT$8:$BV$13,3,0),"FILL=TRUE")))</f>
        <v/>
      </c>
      <c r="CT8" s="5" t="str">
        <f>IF(ISERROR(W8-IF($BU$7=1,_xll.IMDP("FX",$CA8&amp;CT$7,"BID직전가"),_xll.IMDP("FX",$CA8&amp;CT$7,"뉴욕매입종가",VLOOKUP($BU$7,$BT$8:$BV$13,3,0),"FILL=TRUE"))),"",W8-IF($BU$7=1,_xll.IMDP("FX",$CA8&amp;CT$7,"BID직전가"),_xll.IMDP("FX",$CA8&amp;CT$7,"뉴욕매입종가",VLOOKUP($BU$7,$BT$8:$BV$13,3,0),"FILL=TRUE")))</f>
        <v/>
      </c>
      <c r="CU8" s="5" t="str">
        <f>IF(ISERROR(X8-IF($BU$7=1,_xll.IMDP("FX",$CA8&amp;CU$7,"BID직전가"),_xll.IMDP("FX",$CA8&amp;CU$7,"뉴욕매입종가",VLOOKUP($BU$7,$BT$8:$BV$13,3,0),"FILL=TRUE"))),"",X8-IF($BU$7=1,_xll.IMDP("FX",$CA8&amp;CU$7,"BID직전가"),_xll.IMDP("FX",$CA8&amp;CU$7,"뉴욕매입종가",VLOOKUP($BU$7,$BT$8:$BV$13,3,0),"FILL=TRUE")))</f>
        <v/>
      </c>
      <c r="CV8" s="54" t="str">
        <f>IF(ISERROR(Y8-IF($BU$7=1,_xll.IMDP("FX",$CA8&amp;CV$7,"BID직전가"),_xll.IMDP("FX",$CA8&amp;CV$7,"뉴욕매입종가",VLOOKUP($BU$7,$BT$8:$BV$13,3,0),"FILL=TRUE"))),"",Y8-IF($BU$7=1,_xll.IMDP("FX",$CA8&amp;CV$7,"BID직전가"),_xll.IMDP("FX",$CA8&amp;CV$7,"뉴욕매입종가",VLOOKUP($BU$7,$BT$8:$BV$13,3,0),"FILL=TRUE")))</f>
        <v/>
      </c>
    </row>
    <row r="9" spans="2:100" ht="17.25" customHeight="1" x14ac:dyDescent="0.25">
      <c r="B9" s="14">
        <v>1</v>
      </c>
      <c r="C9" s="11" t="str">
        <f t="shared" si="1"/>
        <v>USD</v>
      </c>
      <c r="D9" s="25"/>
      <c r="E9" s="22">
        <f>_xll.IMDP("FX",$C9&amp;E$6,"매입")</f>
        <v>1181.5</v>
      </c>
      <c r="F9" s="9" t="str">
        <f>_xll.IMDP("FX",$C9&amp;F$6,"매입")</f>
        <v/>
      </c>
      <c r="G9" s="6">
        <f>_xll.IMDP("FX",$C9&amp;G$6,"매입")</f>
        <v>0.88890000000000002</v>
      </c>
      <c r="H9" s="6">
        <f>_xll.IMDP("FX",$C9&amp;H$6,"매입")</f>
        <v>107.95699999999999</v>
      </c>
      <c r="I9" s="6">
        <f>_xll.IMDP("FX",$C9&amp;I$6,"매입")</f>
        <v>6.9066999999999998</v>
      </c>
      <c r="J9" s="6">
        <f>_xll.IMDP("FX",$C9&amp;J$6,"매입")</f>
        <v>6.9260999999999999</v>
      </c>
      <c r="K9" s="6">
        <f>_xll.IMDP("FX",$C9&amp;K$6,"매입")</f>
        <v>0.99319999999999997</v>
      </c>
      <c r="L9" s="6">
        <f>_xll.IMDP("FX",$C9&amp;L$6,"매입")</f>
        <v>1.4345000000000001</v>
      </c>
      <c r="M9" s="6">
        <f>_xll.IMDP("FX",$C9&amp;M$6,"매입")</f>
        <v>1.3444</v>
      </c>
      <c r="N9" s="6">
        <f>_xll.IMDP("FX",$C9&amp;N$6,"매입")</f>
        <v>9.4426000000000005</v>
      </c>
      <c r="O9" s="6">
        <f>_xll.IMDP("FX",$C9&amp;O$6,"매입")</f>
        <v>6.6397000000000004</v>
      </c>
      <c r="P9" s="6">
        <f>_xll.IMDP("FX",$C9&amp;P$6,"매입")</f>
        <v>3.8056000000000001</v>
      </c>
      <c r="Q9" s="6">
        <f>_xll.IMDP("FX",$C9&amp;Q$6,"매입")</f>
        <v>3.8849</v>
      </c>
      <c r="R9" s="6">
        <f>_xll.IMDP("FX",$C9&amp;R$6,"매입")</f>
        <v>19.720700000000001</v>
      </c>
      <c r="S9" s="6">
        <f>_xll.IMDP("FX",$C9&amp;S$6,"매입")</f>
        <v>7.8407999999999998</v>
      </c>
      <c r="T9" s="6">
        <f>_xll.IMDP("FX",$C9&amp;T$6,"매입")</f>
        <v>14270</v>
      </c>
      <c r="U9" s="6">
        <f>_xll.IMDP("FX",$C9&amp;U$6,"매입")</f>
        <v>4.1760000000000002</v>
      </c>
      <c r="V9" s="6">
        <f>_xll.IMDP("FX",$C9&amp;V$6,"매입")</f>
        <v>51.8</v>
      </c>
      <c r="W9" s="6">
        <f>_xll.IMDP("FX",$C9&amp;W$6,"매입")</f>
        <v>1.3688</v>
      </c>
      <c r="X9" s="6">
        <f>_xll.IMDP("FX",$C9&amp;X$6,"매입")</f>
        <v>31.35</v>
      </c>
      <c r="Y9" s="7">
        <f>_xll.IMDP("FX",$C9&amp;Y$6,"매입")</f>
        <v>31.43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46">
        <v>2</v>
      </c>
      <c r="BU9" s="45" t="s">
        <v>66</v>
      </c>
      <c r="BV9" s="47">
        <f ca="1">WORKDAY(TODAY(),-1)</f>
        <v>43619</v>
      </c>
      <c r="BW9" s="40">
        <f ca="1">WORKDAY(TODAY(),-1)</f>
        <v>43619</v>
      </c>
      <c r="BX9" s="39">
        <v>2</v>
      </c>
      <c r="BY9" s="39" t="s">
        <v>72</v>
      </c>
      <c r="CA9" s="53" t="str">
        <f t="shared" ref="CA9:CA28" si="2">C9</f>
        <v>USD</v>
      </c>
      <c r="CB9" s="5">
        <f>IF(ISERROR(E9-IF($BU$7=1,_xll.IMDP("FX",$CA9&amp;CB$7,"BID직전가"),_xll.IMDP("FX",$CA9&amp;CB$7,"뉴욕매입종가",VLOOKUP($BU$7,$BT$8:$BV$13,3,0),"FILL=TRUE"))),"",E9-IF($BU$7=1,_xll.IMDP("FX",$CA9&amp;CB$7,"BID직전가"),_xll.IMDP("FX",$CA9&amp;CB$7,"뉴욕매입종가",VLOOKUP($BU$7,$BT$8:$BV$13,3,0),"FILL=TRUE")))</f>
        <v>0</v>
      </c>
      <c r="CC9" s="48" t="str">
        <f>IF(ISERROR(F9-IF($BU$7=1,_xll.IMDP("FX",$CA9&amp;CC$7,"BID직전가"),_xll.IMDP("FX",$CA9&amp;CC$7,"뉴욕매입종가",VLOOKUP($BU$7,$BT$8:$BV$13,3,0),"FILL=TRUE"))),"",F9-IF($BU$7=1,_xll.IMDP("FX",$CA9&amp;CC$7,"BID직전가"),_xll.IMDP("FX",$CA9&amp;CC$7,"뉴욕매입종가",VLOOKUP($BU$7,$BT$8:$BV$13,3,0),"FILL=TRUE")))</f>
        <v/>
      </c>
      <c r="CD9" s="5">
        <f>IF(ISERROR(G9-IF($BU$7=1,_xll.IMDP("FX",$CA9&amp;CD$7,"BID직전가"),_xll.IMDP("FX",$CA9&amp;CD$7,"뉴욕매입종가",VLOOKUP($BU$7,$BT$8:$BV$13,3,0),"FILL=TRUE"))),"",G9-IF($BU$7=1,_xll.IMDP("FX",$CA9&amp;CD$7,"BID직전가"),_xll.IMDP("FX",$CA9&amp;CD$7,"뉴욕매입종가",VLOOKUP($BU$7,$BT$8:$BV$13,3,0),"FILL=TRUE")))</f>
        <v>9.9999999999988987E-5</v>
      </c>
      <c r="CE9" s="5">
        <f>IF(ISERROR(H9-IF($BU$7=1,_xll.IMDP("FX",$CA9&amp;CE$7,"BID직전가"),_xll.IMDP("FX",$CA9&amp;CE$7,"뉴욕매입종가",VLOOKUP($BU$7,$BT$8:$BV$13,3,0),"FILL=TRUE"))),"",H9-IF($BU$7=1,_xll.IMDP("FX",$CA9&amp;CE$7,"BID직전가"),_xll.IMDP("FX",$CA9&amp;CE$7,"뉴욕매입종가",VLOOKUP($BU$7,$BT$8:$BV$13,3,0),"FILL=TRUE")))</f>
        <v>6.9999999999907914E-3</v>
      </c>
      <c r="CF9" s="5">
        <f>IF(ISERROR(I9-IF($BU$7=1,_xll.IMDP("FX",$CA9&amp;CF$7,"BID직전가"),_xll.IMDP("FX",$CA9&amp;CF$7,"뉴욕매입종가",VLOOKUP($BU$7,$BT$8:$BV$13,3,0),"FILL=TRUE"))),"",I9-IF($BU$7=1,_xll.IMDP("FX",$CA9&amp;CF$7,"BID직전가"),_xll.IMDP("FX",$CA9&amp;CF$7,"뉴욕매입종가",VLOOKUP($BU$7,$BT$8:$BV$13,3,0),"FILL=TRUE")))</f>
        <v>3.00000000000189E-4</v>
      </c>
      <c r="CG9" s="5">
        <f>IF(ISERROR(J9-IF($BU$7=1,_xll.IMDP("FX",$CA9&amp;CG$7,"BID직전가"),_xll.IMDP("FX",$CA9&amp;CG$7,"뉴욕매입종가",VLOOKUP($BU$7,$BT$8:$BV$13,3,0),"FILL=TRUE"))),"",J9-IF($BU$7=1,_xll.IMDP("FX",$CA9&amp;CG$7,"BID직전가"),_xll.IMDP("FX",$CA9&amp;CG$7,"뉴욕매입종가",VLOOKUP($BU$7,$BT$8:$BV$13,3,0),"FILL=TRUE")))</f>
        <v>1.9999999999953388E-4</v>
      </c>
      <c r="CH9" s="5">
        <f>IF(ISERROR(K9-IF($BU$7=1,_xll.IMDP("FX",$CA9&amp;CH$7,"BID직전가"),_xll.IMDP("FX",$CA9&amp;CH$7,"뉴욕매입종가",VLOOKUP($BU$7,$BT$8:$BV$13,3,0),"FILL=TRUE"))),"",K9-IF($BU$7=1,_xll.IMDP("FX",$CA9&amp;CH$7,"BID직전가"),_xll.IMDP("FX",$CA9&amp;CH$7,"뉴욕매입종가",VLOOKUP($BU$7,$BT$8:$BV$13,3,0),"FILL=TRUE")))</f>
        <v>0</v>
      </c>
      <c r="CI9" s="5">
        <f>IF(ISERROR(L9-IF($BU$7=1,_xll.IMDP("FX",$CA9&amp;CI$7,"BID직전가"),_xll.IMDP("FX",$CA9&amp;CI$7,"뉴욕매입종가",VLOOKUP($BU$7,$BT$8:$BV$13,3,0),"FILL=TRUE"))),"",L9-IF($BU$7=1,_xll.IMDP("FX",$CA9&amp;CI$7,"BID직전가"),_xll.IMDP("FX",$CA9&amp;CI$7,"뉴욕매입종가",VLOOKUP($BU$7,$BT$8:$BV$13,3,0),"FILL=TRUE")))</f>
        <v>-2.9999999999996696E-4</v>
      </c>
      <c r="CJ9" s="5">
        <f>IF(ISERROR(M9-IF($BU$7=1,_xll.IMDP("FX",$CA9&amp;CJ$7,"BID직전가"),_xll.IMDP("FX",$CA9&amp;CJ$7,"뉴욕매입종가",VLOOKUP($BU$7,$BT$8:$BV$13,3,0),"FILL=TRUE"))),"",M9-IF($BU$7=1,_xll.IMDP("FX",$CA9&amp;CJ$7,"BID직전가"),_xll.IMDP("FX",$CA9&amp;CJ$7,"뉴욕매입종가",VLOOKUP($BU$7,$BT$8:$BV$13,3,0),"FILL=TRUE")))</f>
        <v>0</v>
      </c>
      <c r="CK9" s="5">
        <f>IF(ISERROR(N9-IF($BU$7=1,_xll.IMDP("FX",$CA9&amp;CK$7,"BID직전가"),_xll.IMDP("FX",$CA9&amp;CK$7,"뉴욕매입종가",VLOOKUP($BU$7,$BT$8:$BV$13,3,0),"FILL=TRUE"))),"",N9-IF($BU$7=1,_xll.IMDP("FX",$CA9&amp;CK$7,"BID직전가"),_xll.IMDP("FX",$CA9&amp;CK$7,"뉴욕매입종가",VLOOKUP($BU$7,$BT$8:$BV$13,3,0),"FILL=TRUE")))</f>
        <v>-3.9999999999906777E-4</v>
      </c>
      <c r="CL9" s="5">
        <f>IF(ISERROR(O9-IF($BU$7=1,_xll.IMDP("FX",$CA9&amp;CL$7,"BID직전가"),_xll.IMDP("FX",$CA9&amp;CL$7,"뉴욕매입종가",VLOOKUP($BU$7,$BT$8:$BV$13,3,0),"FILL=TRUE"))),"",O9-IF($BU$7=1,_xll.IMDP("FX",$CA9&amp;CL$7,"BID직전가"),_xll.IMDP("FX",$CA9&amp;CL$7,"뉴욕매입종가",VLOOKUP($BU$7,$BT$8:$BV$13,3,0),"FILL=TRUE")))</f>
        <v>2.0000000000042206E-4</v>
      </c>
      <c r="CM9" s="5">
        <f>IF(ISERROR(P9-IF($BU$7=1,_xll.IMDP("FX",$CA9&amp;CM$7,"BID직전가"),_xll.IMDP("FX",$CA9&amp;CM$7,"뉴욕매입종가",VLOOKUP($BU$7,$BT$8:$BV$13,3,0),"FILL=TRUE"))),"",P9-IF($BU$7=1,_xll.IMDP("FX",$CA9&amp;CM$7,"BID직전가"),_xll.IMDP("FX",$CA9&amp;CM$7,"뉴욕매입종가",VLOOKUP($BU$7,$BT$8:$BV$13,3,0),"FILL=TRUE")))</f>
        <v>-2.9999999999974492E-4</v>
      </c>
      <c r="CN9" s="5">
        <f>IF(ISERROR(Q9-IF($BU$7=1,_xll.IMDP("FX",$CA9&amp;CN$7,"BID직전가"),_xll.IMDP("FX",$CA9&amp;CN$7,"뉴욕매입종가",VLOOKUP($BU$7,$BT$8:$BV$13,3,0),"FILL=TRUE"))),"",Q9-IF($BU$7=1,_xll.IMDP("FX",$CA9&amp;CN$7,"BID직전가"),_xll.IMDP("FX",$CA9&amp;CN$7,"뉴욕매입종가",VLOOKUP($BU$7,$BT$8:$BV$13,3,0),"FILL=TRUE")))</f>
        <v>0</v>
      </c>
      <c r="CO9" s="5">
        <f>IF(ISERROR(R9-IF($BU$7=1,_xll.IMDP("FX",$CA9&amp;CO$7,"BID직전가"),_xll.IMDP("FX",$CA9&amp;CO$7,"뉴욕매입종가",VLOOKUP($BU$7,$BT$8:$BV$13,3,0),"FILL=TRUE"))),"",R9-IF($BU$7=1,_xll.IMDP("FX",$CA9&amp;CO$7,"BID직전가"),_xll.IMDP("FX",$CA9&amp;CO$7,"뉴욕매입종가",VLOOKUP($BU$7,$BT$8:$BV$13,3,0),"FILL=TRUE")))</f>
        <v>2.400000000001512E-3</v>
      </c>
      <c r="CP9" s="5">
        <f>IF(ISERROR(S9-IF($BU$7=1,_xll.IMDP("FX",$CA9&amp;CP$7,"BID직전가"),_xll.IMDP("FX",$CA9&amp;CP$7,"뉴욕매입종가",VLOOKUP($BU$7,$BT$8:$BV$13,3,0),"FILL=TRUE"))),"",S9-IF($BU$7=1,_xll.IMDP("FX",$CA9&amp;CP$7,"BID직전가"),_xll.IMDP("FX",$CA9&amp;CP$7,"뉴욕매입종가",VLOOKUP($BU$7,$BT$8:$BV$13,3,0),"FILL=TRUE")))</f>
        <v>4.9999999999972289E-4</v>
      </c>
      <c r="CQ9" s="5">
        <f>IF(ISERROR(T9-IF($BU$7=1,_xll.IMDP("FX",$CA9&amp;CQ$7,"BID직전가"),_xll.IMDP("FX",$CA9&amp;CQ$7,"뉴욕매입종가",VLOOKUP($BU$7,$BT$8:$BV$13,3,0),"FILL=TRUE"))),"",T9-IF($BU$7=1,_xll.IMDP("FX",$CA9&amp;CQ$7,"BID직전가"),_xll.IMDP("FX",$CA9&amp;CQ$7,"뉴욕매입종가",VLOOKUP($BU$7,$BT$8:$BV$13,3,0),"FILL=TRUE")))</f>
        <v>0</v>
      </c>
      <c r="CR9" s="5">
        <f>IF(ISERROR(U9-IF($BU$7=1,_xll.IMDP("FX",$CA9&amp;CR$7,"BID직전가"),_xll.IMDP("FX",$CA9&amp;CR$7,"뉴욕매입종가",VLOOKUP($BU$7,$BT$8:$BV$13,3,0),"FILL=TRUE"))),"",U9-IF($BU$7=1,_xll.IMDP("FX",$CA9&amp;CR$7,"BID직전가"),_xll.IMDP("FX",$CA9&amp;CR$7,"뉴욕매입종가",VLOOKUP($BU$7,$BT$8:$BV$13,3,0),"FILL=TRUE")))</f>
        <v>1.4000000000002899E-3</v>
      </c>
      <c r="CS9" s="5">
        <f>IF(ISERROR(V9-IF($BU$7=1,_xll.IMDP("FX",$CA9&amp;CS$7,"BID직전가"),_xll.IMDP("FX",$CA9&amp;CS$7,"뉴욕매입종가",VLOOKUP($BU$7,$BT$8:$BV$13,3,0),"FILL=TRUE"))),"",V9-IF($BU$7=1,_xll.IMDP("FX",$CA9&amp;CS$7,"BID직전가"),_xll.IMDP("FX",$CA9&amp;CS$7,"뉴욕매입종가",VLOOKUP($BU$7,$BT$8:$BV$13,3,0),"FILL=TRUE")))</f>
        <v>1.9999999999996021E-2</v>
      </c>
      <c r="CT9" s="5">
        <f>IF(ISERROR(W9-IF($BU$7=1,_xll.IMDP("FX",$CA9&amp;CT$7,"BID직전가"),_xll.IMDP("FX",$CA9&amp;CT$7,"뉴욕매입종가",VLOOKUP($BU$7,$BT$8:$BV$13,3,0),"FILL=TRUE"))),"",W9-IF($BU$7=1,_xll.IMDP("FX",$CA9&amp;CT$7,"BID직전가"),_xll.IMDP("FX",$CA9&amp;CT$7,"뉴욕매입종가",VLOOKUP($BU$7,$BT$8:$BV$13,3,0),"FILL=TRUE")))</f>
        <v>-9.9999999999988987E-5</v>
      </c>
      <c r="CU9" s="5">
        <f>IF(ISERROR(X9-IF($BU$7=1,_xll.IMDP("FX",$CA9&amp;CU$7,"BID직전가"),_xll.IMDP("FX",$CA9&amp;CU$7,"뉴욕매입종가",VLOOKUP($BU$7,$BT$8:$BV$13,3,0),"FILL=TRUE"))),"",X9-IF($BU$7=1,_xll.IMDP("FX",$CA9&amp;CU$7,"BID직전가"),_xll.IMDP("FX",$CA9&amp;CU$7,"뉴욕매입종가",VLOOKUP($BU$7,$BT$8:$BV$13,3,0),"FILL=TRUE")))</f>
        <v>0</v>
      </c>
      <c r="CV9" s="54">
        <f>IF(ISERROR(Y9-IF($BU$7=1,_xll.IMDP("FX",$CA9&amp;CV$7,"BID직전가"),_xll.IMDP("FX",$CA9&amp;CV$7,"뉴욕매입종가",VLOOKUP($BU$7,$BT$8:$BV$13,3,0),"FILL=TRUE"))),"",Y9-IF($BU$7=1,_xll.IMDP("FX",$CA9&amp;CV$7,"BID직전가"),_xll.IMDP("FX",$CA9&amp;CV$7,"뉴욕매입종가",VLOOKUP($BU$7,$BT$8:$BV$13,3,0),"FILL=TRUE")))</f>
        <v>-1.9999999999999574E-2</v>
      </c>
    </row>
    <row r="10" spans="2:100" ht="17.25" customHeight="1" x14ac:dyDescent="0.25">
      <c r="B10" s="14">
        <v>4</v>
      </c>
      <c r="C10" s="11" t="str">
        <f t="shared" si="1"/>
        <v>EUR</v>
      </c>
      <c r="D10" s="25"/>
      <c r="E10" s="22">
        <f>_xll.IMDP("FX",$C10&amp;E$6,"매입")</f>
        <v>1328.6</v>
      </c>
      <c r="F10" s="6">
        <f>_xll.IMDP("FX",$C10&amp;F$6,"매입")</f>
        <v>1.1245000000000001</v>
      </c>
      <c r="G10" s="9" t="str">
        <f>_xll.IMDP("FX",$C10&amp;G$6,"매입")</f>
        <v/>
      </c>
      <c r="H10" s="6">
        <f>_xll.IMDP("FX",$C10&amp;H$6,"매입")</f>
        <v>121.41</v>
      </c>
      <c r="I10" s="6">
        <f>_xll.IMDP("FX",$C10&amp;I$6,"매입")</f>
        <v>7.7672999999999996</v>
      </c>
      <c r="J10" s="6">
        <f>_xll.IMDP("FX",$C10&amp;J$6,"매입")</f>
        <v>7.7874999999999996</v>
      </c>
      <c r="K10" s="6">
        <f>_xll.IMDP("FX",$C10&amp;K$6,"매입")</f>
        <v>1.1170800000000001</v>
      </c>
      <c r="L10" s="6">
        <f>_xll.IMDP("FX",$C10&amp;L$6,"매입")</f>
        <v>1.6141000000000001</v>
      </c>
      <c r="M10" s="6">
        <f>_xll.IMDP("FX",$C10&amp;M$6,"매입")</f>
        <v>1.5119899999999999</v>
      </c>
      <c r="N10" s="6">
        <f>_xll.IMDP("FX",$C10&amp;N$6,"매입")</f>
        <v>10.620699999999999</v>
      </c>
      <c r="O10" s="6">
        <f>_xll.IMDP("FX",$C10&amp;O$6,"매입")</f>
        <v>7.4679000000000002</v>
      </c>
      <c r="P10" s="6">
        <f>_xll.IMDP("FX",$C10&amp;P$6,"매입")</f>
        <v>4.28</v>
      </c>
      <c r="Q10" s="6">
        <f>_xll.IMDP("FX",$C10&amp;Q$6,"매입")</f>
        <v>4.3716999999999997</v>
      </c>
      <c r="R10" s="6">
        <f>_xll.IMDP("FX",$C10&amp;R$6,"매입")</f>
        <v>22.169699999999999</v>
      </c>
      <c r="S10" s="6">
        <f>_xll.IMDP("FX",$C10&amp;S$6,"매입")</f>
        <v>8.8176000000000005</v>
      </c>
      <c r="T10" s="6">
        <f>_xll.IMDP("FX",$C10&amp;T$6,"매입")</f>
        <v>16043</v>
      </c>
      <c r="U10" s="6">
        <f>_xll.IMDP("FX",$C10&amp;U$6,"매입")</f>
        <v>4.6974999999999998</v>
      </c>
      <c r="V10" s="6">
        <f>_xll.IMDP("FX",$C10&amp;V$6,"매입")</f>
        <v>58.286000000000001</v>
      </c>
      <c r="W10" s="6">
        <f>_xll.IMDP("FX",$C10&amp;W$6,"매입")</f>
        <v>1.5396000000000001</v>
      </c>
      <c r="X10" s="6">
        <f>_xll.IMDP("FX",$C10&amp;X$6,"매입")</f>
        <v>35.222000000000001</v>
      </c>
      <c r="Y10" s="7">
        <f>_xll.IMDP("FX",$C10&amp;Y$6,"매입")</f>
        <v>35.363999999999997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46">
        <v>3</v>
      </c>
      <c r="BU10" s="45" t="s">
        <v>67</v>
      </c>
      <c r="BV10" s="47">
        <f ca="1">TODAY()-5</f>
        <v>43615</v>
      </c>
      <c r="BW10" s="40">
        <f ca="1">WORKDAY(TODAY(),-5)</f>
        <v>43613</v>
      </c>
      <c r="BX10" s="39">
        <v>3</v>
      </c>
      <c r="BY10" s="41" t="s">
        <v>0</v>
      </c>
      <c r="CA10" s="53" t="str">
        <f t="shared" si="2"/>
        <v>EUR</v>
      </c>
      <c r="CB10" s="5">
        <f>IF(ISERROR(E10-IF($BU$7=1,_xll.IMDP("FX",$CA10&amp;CB$7,"BID직전가"),_xll.IMDP("FX",$CA10&amp;CB$7,"뉴욕매입종가",VLOOKUP($BU$7,$BT$8:$BV$13,3,0),"FILL=TRUE"))),"",E10-IF($BU$7=1,_xll.IMDP("FX",$CA10&amp;CB$7,"BID직전가"),_xll.IMDP("FX",$CA10&amp;CB$7,"뉴욕매입종가",VLOOKUP($BU$7,$BT$8:$BV$13,3,0),"FILL=TRUE")))</f>
        <v>-0.14000000000010004</v>
      </c>
      <c r="CC10" s="5">
        <f>IF(ISERROR(F10-IF($BU$7=1,_xll.IMDP("FX",$CA10&amp;CC$7,"BID직전가"),_xll.IMDP("FX",$CA10&amp;CC$7,"뉴욕매입종가",VLOOKUP($BU$7,$BT$8:$BV$13,3,0),"FILL=TRUE"))),"",F10-IF($BU$7=1,_xll.IMDP("FX",$CA10&amp;CC$7,"BID직전가"),_xll.IMDP("FX",$CA10&amp;CC$7,"뉴욕매입종가",VLOOKUP($BU$7,$BT$8:$BV$13,3,0),"FILL=TRUE")))</f>
        <v>-1.1999999999989797E-4</v>
      </c>
      <c r="CD10" s="48" t="str">
        <f>IF(ISERROR(G10-IF($BU$7=1,_xll.IMDP("FX",$CA10&amp;CD$7,"BID직전가"),_xll.IMDP("FX",$CA10&amp;CD$7,"뉴욕매입종가",VLOOKUP($BU$7,$BT$8:$BV$13,3,0),"FILL=TRUE"))),"",G10-IF($BU$7=1,_xll.IMDP("FX",$CA10&amp;CD$7,"BID직전가"),_xll.IMDP("FX",$CA10&amp;CD$7,"뉴욕매입종가",VLOOKUP($BU$7,$BT$8:$BV$13,3,0),"FILL=TRUE")))</f>
        <v/>
      </c>
      <c r="CE10" s="5">
        <f>IF(ISERROR(H10-IF($BU$7=1,_xll.IMDP("FX",$CA10&amp;CE$7,"BID직전가"),_xll.IMDP("FX",$CA10&amp;CE$7,"뉴욕매입종가",VLOOKUP($BU$7,$BT$8:$BV$13,3,0),"FILL=TRUE"))),"",H10-IF($BU$7=1,_xll.IMDP("FX",$CA10&amp;CE$7,"BID직전가"),_xll.IMDP("FX",$CA10&amp;CE$7,"뉴욕매입종가",VLOOKUP($BU$7,$BT$8:$BV$13,3,0),"FILL=TRUE")))</f>
        <v>9.9999999999909051E-3</v>
      </c>
      <c r="CF10" s="5">
        <f>IF(ISERROR(I10-IF($BU$7=1,_xll.IMDP("FX",$CA10&amp;CF$7,"BID직전가"),_xll.IMDP("FX",$CA10&amp;CF$7,"뉴욕매입종가",VLOOKUP($BU$7,$BT$8:$BV$13,3,0),"FILL=TRUE"))),"",I10-IF($BU$7=1,_xll.IMDP("FX",$CA10&amp;CF$7,"BID직전가"),_xll.IMDP("FX",$CA10&amp;CF$7,"뉴욕매입종가",VLOOKUP($BU$7,$BT$8:$BV$13,3,0),"FILL=TRUE")))</f>
        <v>-6.0000000000037801E-4</v>
      </c>
      <c r="CG10" s="5">
        <f>IF(ISERROR(J10-IF($BU$7=1,_xll.IMDP("FX",$CA10&amp;CG$7,"BID직전가"),_xll.IMDP("FX",$CA10&amp;CG$7,"뉴욕매입종가",VLOOKUP($BU$7,$BT$8:$BV$13,3,0),"FILL=TRUE"))),"",J10-IF($BU$7=1,_xll.IMDP("FX",$CA10&amp;CG$7,"BID직전가"),_xll.IMDP("FX",$CA10&amp;CG$7,"뉴욕매입종가",VLOOKUP($BU$7,$BT$8:$BV$13,3,0),"FILL=TRUE")))</f>
        <v>-1.200000000000756E-3</v>
      </c>
      <c r="CH10" s="5">
        <f>IF(ISERROR(K10-IF($BU$7=1,_xll.IMDP("FX",$CA10&amp;CH$7,"BID직전가"),_xll.IMDP("FX",$CA10&amp;CH$7,"뉴욕매입종가",VLOOKUP($BU$7,$BT$8:$BV$13,3,0),"FILL=TRUE"))),"",K10-IF($BU$7=1,_xll.IMDP("FX",$CA10&amp;CH$7,"BID직전가"),_xll.IMDP("FX",$CA10&amp;CH$7,"뉴욕매입종가",VLOOKUP($BU$7,$BT$8:$BV$13,3,0),"FILL=TRUE")))</f>
        <v>2.9999999999974492E-5</v>
      </c>
      <c r="CI10" s="5">
        <f>IF(ISERROR(L10-IF($BU$7=1,_xll.IMDP("FX",$CA10&amp;CI$7,"BID직전가"),_xll.IMDP("FX",$CA10&amp;CI$7,"뉴욕매입종가",VLOOKUP($BU$7,$BT$8:$BV$13,3,0),"FILL=TRUE"))),"",L10-IF($BU$7=1,_xll.IMDP("FX",$CA10&amp;CI$7,"BID직전가"),_xll.IMDP("FX",$CA10&amp;CI$7,"뉴욕매입종가",VLOOKUP($BU$7,$BT$8:$BV$13,3,0),"FILL=TRUE")))</f>
        <v>0</v>
      </c>
      <c r="CJ10" s="5">
        <f>IF(ISERROR(M10-IF($BU$7=1,_xll.IMDP("FX",$CA10&amp;CJ$7,"BID직전가"),_xll.IMDP("FX",$CA10&amp;CJ$7,"뉴욕매입종가",VLOOKUP($BU$7,$BT$8:$BV$13,3,0),"FILL=TRUE"))),"",M10-IF($BU$7=1,_xll.IMDP("FX",$CA10&amp;CJ$7,"BID직전가"),_xll.IMDP("FX",$CA10&amp;CJ$7,"뉴욕매입종가",VLOOKUP($BU$7,$BT$8:$BV$13,3,0),"FILL=TRUE")))</f>
        <v>1.4000000000002899E-4</v>
      </c>
      <c r="CK10" s="5">
        <f>IF(ISERROR(N10-IF($BU$7=1,_xll.IMDP("FX",$CA10&amp;CK$7,"BID직전가"),_xll.IMDP("FX",$CA10&amp;CK$7,"뉴욕매입종가",VLOOKUP($BU$7,$BT$8:$BV$13,3,0),"FILL=TRUE"))),"",N10-IF($BU$7=1,_xll.IMDP("FX",$CA10&amp;CK$7,"BID직전가"),_xll.IMDP("FX",$CA10&amp;CK$7,"뉴욕매입종가",VLOOKUP($BU$7,$BT$8:$BV$13,3,0),"FILL=TRUE")))</f>
        <v>2.9999999999930083E-4</v>
      </c>
      <c r="CL10" s="5">
        <f>IF(ISERROR(O10-IF($BU$7=1,_xll.IMDP("FX",$CA10&amp;CL$7,"BID직전가"),_xll.IMDP("FX",$CA10&amp;CL$7,"뉴욕매입종가",VLOOKUP($BU$7,$BT$8:$BV$13,3,0),"FILL=TRUE"))),"",O10-IF($BU$7=1,_xll.IMDP("FX",$CA10&amp;CL$7,"BID직전가"),_xll.IMDP("FX",$CA10&amp;CL$7,"뉴욕매입종가",VLOOKUP($BU$7,$BT$8:$BV$13,3,0),"FILL=TRUE")))</f>
        <v>1.000000000000334E-3</v>
      </c>
      <c r="CM10" s="5">
        <f>IF(ISERROR(P10-IF($BU$7=1,_xll.IMDP("FX",$CA10&amp;CM$7,"BID직전가"),_xll.IMDP("FX",$CA10&amp;CM$7,"뉴욕매입종가",VLOOKUP($BU$7,$BT$8:$BV$13,3,0),"FILL=TRUE"))),"",P10-IF($BU$7=1,_xll.IMDP("FX",$CA10&amp;CM$7,"BID직전가"),_xll.IMDP("FX",$CA10&amp;CM$7,"뉴욕매입종가",VLOOKUP($BU$7,$BT$8:$BV$13,3,0),"FILL=TRUE")))</f>
        <v>0</v>
      </c>
      <c r="CN10" s="5">
        <f>IF(ISERROR(Q10-IF($BU$7=1,_xll.IMDP("FX",$CA10&amp;CN$7,"BID직전가"),_xll.IMDP("FX",$CA10&amp;CN$7,"뉴욕매입종가",VLOOKUP($BU$7,$BT$8:$BV$13,3,0),"FILL=TRUE"))),"",Q10-IF($BU$7=1,_xll.IMDP("FX",$CA10&amp;CN$7,"BID직전가"),_xll.IMDP("FX",$CA10&amp;CN$7,"뉴욕매입종가",VLOOKUP($BU$7,$BT$8:$BV$13,3,0),"FILL=TRUE")))</f>
        <v>0</v>
      </c>
      <c r="CO10" s="5">
        <f>IF(ISERROR(R10-IF($BU$7=1,_xll.IMDP("FX",$CA10&amp;CO$7,"BID직전가"),_xll.IMDP("FX",$CA10&amp;CO$7,"뉴욕매입종가",VLOOKUP($BU$7,$BT$8:$BV$13,3,0),"FILL=TRUE"))),"",R10-IF($BU$7=1,_xll.IMDP("FX",$CA10&amp;CO$7,"BID직전가"),_xll.IMDP("FX",$CA10&amp;CO$7,"뉴욕매입종가",VLOOKUP($BU$7,$BT$8:$BV$13,3,0),"FILL=TRUE")))</f>
        <v>6.9999999999836859E-4</v>
      </c>
      <c r="CP10" s="5">
        <f>IF(ISERROR(S10-IF($BU$7=1,_xll.IMDP("FX",$CA10&amp;CP$7,"BID직전가"),_xll.IMDP("FX",$CA10&amp;CP$7,"뉴욕매입종가",VLOOKUP($BU$7,$BT$8:$BV$13,3,0),"FILL=TRUE"))),"",S10-IF($BU$7=1,_xll.IMDP("FX",$CA10&amp;CP$7,"BID직전가"),_xll.IMDP("FX",$CA10&amp;CP$7,"뉴욕매입종가",VLOOKUP($BU$7,$BT$8:$BV$13,3,0),"FILL=TRUE")))</f>
        <v>-2.9999999999930083E-4</v>
      </c>
      <c r="CQ10" s="5">
        <f>IF(ISERROR(T10-IF($BU$7=1,_xll.IMDP("FX",$CA10&amp;CQ$7,"BID직전가"),_xll.IMDP("FX",$CA10&amp;CQ$7,"뉴욕매입종가",VLOOKUP($BU$7,$BT$8:$BV$13,3,0),"FILL=TRUE"))),"",T10-IF($BU$7=1,_xll.IMDP("FX",$CA10&amp;CQ$7,"BID직전가"),_xll.IMDP("FX",$CA10&amp;CQ$7,"뉴욕매입종가",VLOOKUP($BU$7,$BT$8:$BV$13,3,0),"FILL=TRUE")))</f>
        <v>-1</v>
      </c>
      <c r="CR10" s="5">
        <f>IF(ISERROR(U10-IF($BU$7=1,_xll.IMDP("FX",$CA10&amp;CR$7,"BID직전가"),_xll.IMDP("FX",$CA10&amp;CR$7,"뉴욕매입종가",VLOOKUP($BU$7,$BT$8:$BV$13,3,0),"FILL=TRUE"))),"",U10-IF($BU$7=1,_xll.IMDP("FX",$CA10&amp;CR$7,"BID직전가"),_xll.IMDP("FX",$CA10&amp;CR$7,"뉴욕매입종가",VLOOKUP($BU$7,$BT$8:$BV$13,3,0),"FILL=TRUE")))</f>
        <v>-5.0000000000061107E-4</v>
      </c>
      <c r="CS10" s="5">
        <f>IF(ISERROR(V10-IF($BU$7=1,_xll.IMDP("FX",$CA10&amp;CS$7,"BID직전가"),_xll.IMDP("FX",$CA10&amp;CS$7,"뉴욕매입종가",VLOOKUP($BU$7,$BT$8:$BV$13,3,0),"FILL=TRUE"))),"",V10-IF($BU$7=1,_xll.IMDP("FX",$CA10&amp;CS$7,"BID직전가"),_xll.IMDP("FX",$CA10&amp;CS$7,"뉴욕매입종가",VLOOKUP($BU$7,$BT$8:$BV$13,3,0),"FILL=TRUE")))</f>
        <v>-6.0000000000002274E-3</v>
      </c>
      <c r="CT10" s="5">
        <f>IF(ISERROR(W10-IF($BU$7=1,_xll.IMDP("FX",$CA10&amp;CT$7,"BID직전가"),_xll.IMDP("FX",$CA10&amp;CT$7,"뉴욕매입종가",VLOOKUP($BU$7,$BT$8:$BV$13,3,0),"FILL=TRUE"))),"",W10-IF($BU$7=1,_xll.IMDP("FX",$CA10&amp;CT$7,"BID직전가"),_xll.IMDP("FX",$CA10&amp;CT$7,"뉴욕매입종가",VLOOKUP($BU$7,$BT$8:$BV$13,3,0),"FILL=TRUE")))</f>
        <v>9.9999999999988987E-5</v>
      </c>
      <c r="CU10" s="5">
        <f>IF(ISERROR(X10-IF($BU$7=1,_xll.IMDP("FX",$CA10&amp;CU$7,"BID직전가"),_xll.IMDP("FX",$CA10&amp;CU$7,"뉴욕매입종가",VLOOKUP($BU$7,$BT$8:$BV$13,3,0),"FILL=TRUE"))),"",X10-IF($BU$7=1,_xll.IMDP("FX",$CA10&amp;CU$7,"BID직전가"),_xll.IMDP("FX",$CA10&amp;CU$7,"뉴욕매입종가",VLOOKUP($BU$7,$BT$8:$BV$13,3,0),"FILL=TRUE")))</f>
        <v>-1.3999999999995794E-2</v>
      </c>
      <c r="CV10" s="54">
        <f>IF(ISERROR(Y10-IF($BU$7=1,_xll.IMDP("FX",$CA10&amp;CV$7,"BID직전가"),_xll.IMDP("FX",$CA10&amp;CV$7,"뉴욕매입종가",VLOOKUP($BU$7,$BT$8:$BV$13,3,0),"FILL=TRUE"))),"",Y10-IF($BU$7=1,_xll.IMDP("FX",$CA10&amp;CV$7,"BID직전가"),_xll.IMDP("FX",$CA10&amp;CV$7,"뉴욕매입종가",VLOOKUP($BU$7,$BT$8:$BV$13,3,0),"FILL=TRUE")))</f>
        <v>-4.0000000000048885E-3</v>
      </c>
    </row>
    <row r="11" spans="2:100" ht="17.25" customHeight="1" x14ac:dyDescent="0.25">
      <c r="B11" s="14">
        <v>32</v>
      </c>
      <c r="C11" s="11" t="str">
        <f t="shared" si="1"/>
        <v>JPY</v>
      </c>
      <c r="D11" s="25"/>
      <c r="E11" s="22">
        <f>_xll.IMDP("FX",$C11&amp;E$6,"매입")</f>
        <v>1094.3800000000001</v>
      </c>
      <c r="F11" s="6">
        <f>_xll.IMDP("FX",$C11&amp;F$6,"매입")</f>
        <v>9.2499999999999995E-3</v>
      </c>
      <c r="G11" s="6">
        <f>_xll.IMDP("FX",$C11&amp;G$6,"매입")</f>
        <v>0.82340000000000002</v>
      </c>
      <c r="H11" s="9" t="str">
        <f>_xll.IMDP("FX",$C11&amp;H$6,"매입")</f>
        <v/>
      </c>
      <c r="I11" s="6">
        <f>_xll.IMDP("FX",$C11&amp;I$6,"매입")</f>
        <v>6.3899999999999998E-2</v>
      </c>
      <c r="J11" s="6">
        <f>_xll.IMDP("FX",$C11&amp;J$6,"매입")</f>
        <v>6.4049999999999996E-2</v>
      </c>
      <c r="K11" s="6">
        <f>_xll.IMDP("FX",$C11&amp;K$6,"매입")</f>
        <v>0.91959999999999997</v>
      </c>
      <c r="L11" s="6">
        <f>_xll.IMDP("FX",$C11&amp;L$6,"매입")</f>
        <v>1.328E-2</v>
      </c>
      <c r="M11" s="6">
        <f>_xll.IMDP("FX",$C11&amp;M$6,"매입")</f>
        <v>1.2446999999999999</v>
      </c>
      <c r="N11" s="6">
        <f>_xll.IMDP("FX",$C11&amp;N$6,"매입")</f>
        <v>8.7419999999999998E-2</v>
      </c>
      <c r="O11" s="6">
        <f>_xll.IMDP("FX",$C11&amp;O$6,"매입")</f>
        <v>6.1494</v>
      </c>
      <c r="P11" s="6">
        <f>_xll.IMDP("FX",$C11&amp;P$6,"매입")</f>
        <v>3.5189999999999999E-2</v>
      </c>
      <c r="Q11" s="6">
        <f>_xll.IMDP("FX",$C11&amp;Q$6,"매입")</f>
        <v>3.5900000000000001E-2</v>
      </c>
      <c r="R11" s="6">
        <f>_xll.IMDP("FX",$C11&amp;R$6,"매입")</f>
        <v>0.18245</v>
      </c>
      <c r="S11" s="6">
        <f>_xll.IMDP("FX",$C11&amp;S$6,"매입")</f>
        <v>7.2349999999999998E-2</v>
      </c>
      <c r="T11" s="6">
        <f>_xll.IMDP("FX",$C11&amp;T$6,"매입")</f>
        <v>132.12</v>
      </c>
      <c r="U11" s="6">
        <f>_xll.IMDP("FX",$C11&amp;U$6,"매입")</f>
        <v>3.8620000000000002E-2</v>
      </c>
      <c r="V11" s="6">
        <f>_xll.IMDP("FX",$C11&amp;V$6,"매입")</f>
        <v>0.47739999999999999</v>
      </c>
      <c r="W11" s="6">
        <f>_xll.IMDP("FX",$C11&amp;W$6,"매입")</f>
        <v>1.2619999999999999E-2</v>
      </c>
      <c r="X11" s="6">
        <f>_xll.IMDP("FX",$C11&amp;X$6,"매입")</f>
        <v>0.28789999999999999</v>
      </c>
      <c r="Y11" s="7">
        <f>_xll.IMDP("FX",$C11&amp;Y$6,"매입")</f>
        <v>0.28870000000000001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46">
        <v>4</v>
      </c>
      <c r="BU11" s="45" t="s">
        <v>68</v>
      </c>
      <c r="BV11" s="47">
        <f ca="1">TODAY()-7</f>
        <v>43613</v>
      </c>
      <c r="BW11" s="40">
        <f ca="1">WORKDAY(TODAY(),-7)</f>
        <v>43609</v>
      </c>
      <c r="BX11" s="39">
        <v>4</v>
      </c>
      <c r="BY11" s="41" t="s">
        <v>1</v>
      </c>
      <c r="CA11" s="53" t="str">
        <f t="shared" si="2"/>
        <v>JPY</v>
      </c>
      <c r="CB11" s="5">
        <f>IF(ISERROR(E11-IF($BU$7=1,_xll.IMDP("FX",$CA11&amp;CB$7,"BID직전가"),_xll.IMDP("FX",$CA11&amp;CB$7,"뉴욕매입종가",VLOOKUP($BU$7,$BT$8:$BV$13,3,0),"FILL=TRUE"))),"",E11-IF($BU$7=1,_xll.IMDP("FX",$CA11&amp;CB$7,"BID직전가"),_xll.IMDP("FX",$CA11&amp;CB$7,"뉴욕매입종가",VLOOKUP($BU$7,$BT$8:$BV$13,3,0),"FILL=TRUE")))</f>
        <v>0.3000000000001819</v>
      </c>
      <c r="CC11" s="5">
        <f>IF(ISERROR(F11-IF($BU$7=1,_xll.IMDP("FX",$CA11&amp;CC$7,"BID직전가"),_xll.IMDP("FX",$CA11&amp;CC$7,"뉴욕매입종가",VLOOKUP($BU$7,$BT$8:$BV$13,3,0),"FILL=TRUE"))),"",F11-IF($BU$7=1,_xll.IMDP("FX",$CA11&amp;CC$7,"BID직전가"),_xll.IMDP("FX",$CA11&amp;CC$7,"뉴욕매입종가",VLOOKUP($BU$7,$BT$8:$BV$13,3,0),"FILL=TRUE")))</f>
        <v>0</v>
      </c>
      <c r="CD11" s="5">
        <f>IF(ISERROR(G11-IF($BU$7=1,_xll.IMDP("FX",$CA11&amp;CD$7,"BID직전가"),_xll.IMDP("FX",$CA11&amp;CD$7,"뉴욕매입종가",VLOOKUP($BU$7,$BT$8:$BV$13,3,0),"FILL=TRUE"))),"",G11-IF($BU$7=1,_xll.IMDP("FX",$CA11&amp;CD$7,"BID직전가"),_xll.IMDP("FX",$CA11&amp;CD$7,"뉴욕매입종가",VLOOKUP($BU$7,$BT$8:$BV$13,3,0),"FILL=TRUE")))</f>
        <v>2.4000000000001798E-4</v>
      </c>
      <c r="CE11" s="48" t="str">
        <f>IF(ISERROR(H11-IF($BU$7=1,_xll.IMDP("FX",$CA11&amp;CE$7,"BID직전가"),_xll.IMDP("FX",$CA11&amp;CE$7,"뉴욕매입종가",VLOOKUP($BU$7,$BT$8:$BV$13,3,0),"FILL=TRUE"))),"",H11-IF($BU$7=1,_xll.IMDP("FX",$CA11&amp;CE$7,"BID직전가"),_xll.IMDP("FX",$CA11&amp;CE$7,"뉴욕매입종가",VLOOKUP($BU$7,$BT$8:$BV$13,3,0),"FILL=TRUE")))</f>
        <v/>
      </c>
      <c r="CF11" s="5">
        <f>IF(ISERROR(I11-IF($BU$7=1,_xll.IMDP("FX",$CA11&amp;CF$7,"BID직전가"),_xll.IMDP("FX",$CA11&amp;CF$7,"뉴욕매입종가",VLOOKUP($BU$7,$BT$8:$BV$13,3,0),"FILL=TRUE"))),"",I11-IF($BU$7=1,_xll.IMDP("FX",$CA11&amp;CF$7,"BID직전가"),_xll.IMDP("FX",$CA11&amp;CF$7,"뉴욕매입종가",VLOOKUP($BU$7,$BT$8:$BV$13,3,0),"FILL=TRUE")))</f>
        <v>0</v>
      </c>
      <c r="CG11" s="5">
        <f>IF(ISERROR(J11-IF($BU$7=1,_xll.IMDP("FX",$CA11&amp;CG$7,"BID직전가"),_xll.IMDP("FX",$CA11&amp;CG$7,"뉴욕매입종가",VLOOKUP($BU$7,$BT$8:$BV$13,3,0),"FILL=TRUE"))),"",J11-IF($BU$7=1,_xll.IMDP("FX",$CA11&amp;CG$7,"BID직전가"),_xll.IMDP("FX",$CA11&amp;CG$7,"뉴욕매입종가",VLOOKUP($BU$7,$BT$8:$BV$13,3,0),"FILL=TRUE")))</f>
        <v>-1.0000000000010001E-5</v>
      </c>
      <c r="CH11" s="5">
        <f>IF(ISERROR(K11-IF($BU$7=1,_xll.IMDP("FX",$CA11&amp;CH$7,"BID직전가"),_xll.IMDP("FX",$CA11&amp;CH$7,"뉴욕매입종가",VLOOKUP($BU$7,$BT$8:$BV$13,3,0),"FILL=TRUE"))),"",K11-IF($BU$7=1,_xll.IMDP("FX",$CA11&amp;CH$7,"BID직전가"),_xll.IMDP("FX",$CA11&amp;CH$7,"뉴욕매입종가",VLOOKUP($BU$7,$BT$8:$BV$13,3,0),"FILL=TRUE")))</f>
        <v>-4.0000000000006697E-4</v>
      </c>
      <c r="CI11" s="5">
        <f>IF(ISERROR(L11-IF($BU$7=1,_xll.IMDP("FX",$CA11&amp;CI$7,"BID직전가"),_xll.IMDP("FX",$CA11&amp;CI$7,"뉴욕매입종가",VLOOKUP($BU$7,$BT$8:$BV$13,3,0),"FILL=TRUE"))),"",L11-IF($BU$7=1,_xll.IMDP("FX",$CA11&amp;CI$7,"BID직전가"),_xll.IMDP("FX",$CA11&amp;CI$7,"뉴욕매입종가",VLOOKUP($BU$7,$BT$8:$BV$13,3,0),"FILL=TRUE")))</f>
        <v>9.9999999999995925E-6</v>
      </c>
      <c r="CJ11" s="5">
        <f>IF(ISERROR(M11-IF($BU$7=1,_xll.IMDP("FX",$CA11&amp;CJ$7,"BID직전가"),_xll.IMDP("FX",$CA11&amp;CJ$7,"뉴욕매입종가",VLOOKUP($BU$7,$BT$8:$BV$13,3,0),"FILL=TRUE"))),"",M11-IF($BU$7=1,_xll.IMDP("FX",$CA11&amp;CJ$7,"BID직전가"),_xll.IMDP("FX",$CA11&amp;CJ$7,"뉴욕매입종가",VLOOKUP($BU$7,$BT$8:$BV$13,3,0),"FILL=TRUE")))</f>
        <v>2.9999999999996696E-4</v>
      </c>
      <c r="CK11" s="5">
        <f>IF(ISERROR(N11-IF($BU$7=1,_xll.IMDP("FX",$CA11&amp;CK$7,"BID직전가"),_xll.IMDP("FX",$CA11&amp;CK$7,"뉴욕매입종가",VLOOKUP($BU$7,$BT$8:$BV$13,3,0),"FILL=TRUE"))),"",N11-IF($BU$7=1,_xll.IMDP("FX",$CA11&amp;CK$7,"BID직전가"),_xll.IMDP("FX",$CA11&amp;CK$7,"뉴욕매입종가",VLOOKUP($BU$7,$BT$8:$BV$13,3,0),"FILL=TRUE")))</f>
        <v>-6.0000000000004494E-5</v>
      </c>
      <c r="CL11" s="5">
        <f>IF(ISERROR(O11-IF($BU$7=1,_xll.IMDP("FX",$CA11&amp;CL$7,"BID직전가"),_xll.IMDP("FX",$CA11&amp;CL$7,"뉴욕매입종가",VLOOKUP($BU$7,$BT$8:$BV$13,3,0),"FILL=TRUE"))),"",O11-IF($BU$7=1,_xll.IMDP("FX",$CA11&amp;CL$7,"BID직전가"),_xll.IMDP("FX",$CA11&amp;CL$7,"뉴욕매입종가",VLOOKUP($BU$7,$BT$8:$BV$13,3,0),"FILL=TRUE")))</f>
        <v>7.0000000000014495E-4</v>
      </c>
      <c r="CM11" s="5">
        <f>IF(ISERROR(P11-IF($BU$7=1,_xll.IMDP("FX",$CA11&amp;CM$7,"BID직전가"),_xll.IMDP("FX",$CA11&amp;CM$7,"뉴욕매입종가",VLOOKUP($BU$7,$BT$8:$BV$13,3,0),"FILL=TRUE"))),"",P11-IF($BU$7=1,_xll.IMDP("FX",$CA11&amp;CM$7,"BID직전가"),_xll.IMDP("FX",$CA11&amp;CM$7,"뉴욕매입종가",VLOOKUP($BU$7,$BT$8:$BV$13,3,0),"FILL=TRUE")))</f>
        <v>0</v>
      </c>
      <c r="CN11" s="5">
        <f>IF(ISERROR(Q11-IF($BU$7=1,_xll.IMDP("FX",$CA11&amp;CN$7,"BID직전가"),_xll.IMDP("FX",$CA11&amp;CN$7,"뉴욕매입종가",VLOOKUP($BU$7,$BT$8:$BV$13,3,0),"FILL=TRUE"))),"",Q11-IF($BU$7=1,_xll.IMDP("FX",$CA11&amp;CN$7,"BID직전가"),_xll.IMDP("FX",$CA11&amp;CN$7,"뉴욕매입종가",VLOOKUP($BU$7,$BT$8:$BV$13,3,0),"FILL=TRUE")))</f>
        <v>0</v>
      </c>
      <c r="CO11" s="5">
        <f>IF(ISERROR(R11-IF($BU$7=1,_xll.IMDP("FX",$CA11&amp;CO$7,"BID직전가"),_xll.IMDP("FX",$CA11&amp;CO$7,"뉴욕매입종가",VLOOKUP($BU$7,$BT$8:$BV$13,3,0),"FILL=TRUE"))),"",R11-IF($BU$7=1,_xll.IMDP("FX",$CA11&amp;CO$7,"BID직전가"),_xll.IMDP("FX",$CA11&amp;CO$7,"뉴욕매입종가",VLOOKUP($BU$7,$BT$8:$BV$13,3,0),"FILL=TRUE")))</f>
        <v>7.0000000000014495E-5</v>
      </c>
      <c r="CP11" s="5">
        <f>IF(ISERROR(S11-IF($BU$7=1,_xll.IMDP("FX",$CA11&amp;CP$7,"BID직전가"),_xll.IMDP("FX",$CA11&amp;CP$7,"뉴욕매입종가",VLOOKUP($BU$7,$BT$8:$BV$13,3,0),"FILL=TRUE"))),"",S11-IF($BU$7=1,_xll.IMDP("FX",$CA11&amp;CP$7,"BID직전가"),_xll.IMDP("FX",$CA11&amp;CP$7,"뉴욕매입종가",VLOOKUP($BU$7,$BT$8:$BV$13,3,0),"FILL=TRUE")))</f>
        <v>0</v>
      </c>
      <c r="CQ11" s="5">
        <f>IF(ISERROR(T11-IF($BU$7=1,_xll.IMDP("FX",$CA11&amp;CQ$7,"BID직전가"),_xll.IMDP("FX",$CA11&amp;CQ$7,"뉴욕매입종가",VLOOKUP($BU$7,$BT$8:$BV$13,3,0),"FILL=TRUE"))),"",T11-IF($BU$7=1,_xll.IMDP("FX",$CA11&amp;CQ$7,"BID직전가"),_xll.IMDP("FX",$CA11&amp;CQ$7,"뉴욕매입종가",VLOOKUP($BU$7,$BT$8:$BV$13,3,0),"FILL=TRUE")))</f>
        <v>2.0000000000010232E-2</v>
      </c>
      <c r="CR11" s="5">
        <f>IF(ISERROR(U11-IF($BU$7=1,_xll.IMDP("FX",$CA11&amp;CR$7,"BID직전가"),_xll.IMDP("FX",$CA11&amp;CR$7,"뉴욕매입종가",VLOOKUP($BU$7,$BT$8:$BV$13,3,0),"FILL=TRUE"))),"",U11-IF($BU$7=1,_xll.IMDP("FX",$CA11&amp;CR$7,"BID직전가"),_xll.IMDP("FX",$CA11&amp;CR$7,"뉴욕매입종가",VLOOKUP($BU$7,$BT$8:$BV$13,3,0),"FILL=TRUE")))</f>
        <v>0</v>
      </c>
      <c r="CS11" s="5">
        <f>IF(ISERROR(V11-IF($BU$7=1,_xll.IMDP("FX",$CA11&amp;CS$7,"BID직전가"),_xll.IMDP("FX",$CA11&amp;CS$7,"뉴욕매입종가",VLOOKUP($BU$7,$BT$8:$BV$13,3,0),"FILL=TRUE"))),"",V11-IF($BU$7=1,_xll.IMDP("FX",$CA11&amp;CS$7,"BID직전가"),_xll.IMDP("FX",$CA11&amp;CS$7,"뉴욕매입종가",VLOOKUP($BU$7,$BT$8:$BV$13,3,0),"FILL=TRUE")))</f>
        <v>0</v>
      </c>
      <c r="CT11" s="5">
        <f>IF(ISERROR(W11-IF($BU$7=1,_xll.IMDP("FX",$CA11&amp;CT$7,"BID직전가"),_xll.IMDP("FX",$CA11&amp;CT$7,"뉴욕매입종가",VLOOKUP($BU$7,$BT$8:$BV$13,3,0),"FILL=TRUE"))),"",W11-IF($BU$7=1,_xll.IMDP("FX",$CA11&amp;CT$7,"BID직전가"),_xll.IMDP("FX",$CA11&amp;CT$7,"뉴욕매입종가",VLOOKUP($BU$7,$BT$8:$BV$13,3,0),"FILL=TRUE")))</f>
        <v>0</v>
      </c>
      <c r="CU11" s="5">
        <f>IF(ISERROR(X11-IF($BU$7=1,_xll.IMDP("FX",$CA11&amp;CU$7,"BID직전가"),_xll.IMDP("FX",$CA11&amp;CU$7,"뉴욕매입종가",VLOOKUP($BU$7,$BT$8:$BV$13,3,0),"FILL=TRUE"))),"",X11-IF($BU$7=1,_xll.IMDP("FX",$CA11&amp;CU$7,"BID직전가"),_xll.IMDP("FX",$CA11&amp;CU$7,"뉴욕매입종가",VLOOKUP($BU$7,$BT$8:$BV$13,3,0),"FILL=TRUE")))</f>
        <v>0</v>
      </c>
      <c r="CV11" s="54">
        <f>IF(ISERROR(Y11-IF($BU$7=1,_xll.IMDP("FX",$CA11&amp;CV$7,"BID직전가"),_xll.IMDP("FX",$CA11&amp;CV$7,"뉴욕매입종가",VLOOKUP($BU$7,$BT$8:$BV$13,3,0),"FILL=TRUE"))),"",Y11-IF($BU$7=1,_xll.IMDP("FX",$CA11&amp;CV$7,"BID직전가"),_xll.IMDP("FX",$CA11&amp;CV$7,"뉴욕매입종가",VLOOKUP($BU$7,$BT$8:$BV$13,3,0),"FILL=TRUE")))</f>
        <v>0</v>
      </c>
    </row>
    <row r="12" spans="2:100" ht="17.25" customHeight="1" x14ac:dyDescent="0.25">
      <c r="B12" s="14">
        <v>14</v>
      </c>
      <c r="C12" s="11" t="str">
        <f t="shared" si="1"/>
        <v>CNY</v>
      </c>
      <c r="D12" s="25"/>
      <c r="E12" s="22">
        <f>_xll.IMDP("FX",$C12&amp;E$6,"매입")</f>
        <v>171.04</v>
      </c>
      <c r="F12" s="6">
        <f>_xll.IMDP("FX",$C12&amp;F$6,"매입")</f>
        <v>0.1447</v>
      </c>
      <c r="G12" s="6">
        <f>_xll.IMDP("FX",$C12&amp;G$6,"매입")</f>
        <v>0.12866</v>
      </c>
      <c r="H12" s="6">
        <f>_xll.IMDP("FX",$C12&amp;H$6,"매입")</f>
        <v>15.609</v>
      </c>
      <c r="I12" s="9" t="str">
        <f>_xll.IMDP("FX",$C12&amp;I$6,"매입")</f>
        <v/>
      </c>
      <c r="J12" s="6">
        <f>_xll.IMDP("FX",$C12&amp;J$6,"매입")</f>
        <v>1.0021</v>
      </c>
      <c r="K12" s="6">
        <f>_xll.IMDP("FX",$C12&amp;K$6,"매입")</f>
        <v>0.14330000000000001</v>
      </c>
      <c r="L12" s="6">
        <f>_xll.IMDP("FX",$C12&amp;L$6,"매입")</f>
        <v>0.20300000000000001</v>
      </c>
      <c r="M12" s="6">
        <f>_xll.IMDP("FX",$C12&amp;M$6,"매입")</f>
        <v>0.19409999999999999</v>
      </c>
      <c r="N12" s="6" t="str">
        <f>_xll.IMDP("FX",$C12&amp;N$6,"매입")</f>
        <v/>
      </c>
      <c r="O12" s="6" t="str">
        <f>_xll.IMDP("FX",$C12&amp;O$6,"매입")</f>
        <v/>
      </c>
      <c r="P12" s="6">
        <f>_xll.IMDP("FX",$C12&amp;P$6,"매입")</f>
        <v>0.55044999999999999</v>
      </c>
      <c r="Q12" s="6">
        <f>_xll.IMDP("FX",$C12&amp;Q$6,"매입")</f>
        <v>0.56233</v>
      </c>
      <c r="R12" s="6" t="str">
        <f>_xll.IMDP("FX",$C12&amp;R$6,"매입")</f>
        <v/>
      </c>
      <c r="S12" s="6">
        <f>_xll.IMDP("FX",$C12&amp;S$6,"매입")</f>
        <v>1.1346000000000001</v>
      </c>
      <c r="T12" s="6">
        <f>_xll.IMDP("FX",$C12&amp;T$6,"매입")</f>
        <v>2065.9</v>
      </c>
      <c r="U12" s="6">
        <f>_xll.IMDP("FX",$C12&amp;U$6,"매입")</f>
        <v>0.60470000000000002</v>
      </c>
      <c r="V12" s="6">
        <f>_xll.IMDP("FX",$C12&amp;V$6,"매입")</f>
        <v>7.5029000000000003</v>
      </c>
      <c r="W12" s="6">
        <f>_xll.IMDP("FX",$C12&amp;W$6,"매입")</f>
        <v>0.1976</v>
      </c>
      <c r="X12" s="6">
        <f>_xll.IMDP("FX",$C12&amp;X$6,"매입")</f>
        <v>4.5392000000000001</v>
      </c>
      <c r="Y12" s="7">
        <f>_xll.IMDP("FX",$C12&amp;Y$6,"매입")</f>
        <v>4.5526999999999997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46">
        <v>5</v>
      </c>
      <c r="BU12" s="45" t="s">
        <v>69</v>
      </c>
      <c r="BV12" s="47">
        <f ca="1">EDATE(TODAY(),-1)</f>
        <v>43589</v>
      </c>
      <c r="BW12" s="40">
        <f ca="1">EDATE(TODAY(),-1)</f>
        <v>43589</v>
      </c>
      <c r="BX12" s="39">
        <v>5</v>
      </c>
      <c r="BY12" s="41" t="s">
        <v>2</v>
      </c>
      <c r="CA12" s="53" t="str">
        <f t="shared" si="2"/>
        <v>CNY</v>
      </c>
      <c r="CB12" s="5">
        <f>IF(ISERROR(E12-IF($BU$7=1,_xll.IMDP("FX",$CA12&amp;CB$7,"BID직전가"),_xll.IMDP("FX",$CA12&amp;CB$7,"뉴욕매입종가",VLOOKUP($BU$7,$BT$8:$BV$13,3,0),"FILL=TRUE"))),"",E12-IF($BU$7=1,_xll.IMDP("FX",$CA12&amp;CB$7,"BID직전가"),_xll.IMDP("FX",$CA12&amp;CB$7,"뉴욕매입종가",VLOOKUP($BU$7,$BT$8:$BV$13,3,0),"FILL=TRUE")))</f>
        <v>9.9999999999909051E-3</v>
      </c>
      <c r="CC12" s="5">
        <f>IF(ISERROR(F12-IF($BU$7=1,_xll.IMDP("FX",$CA12&amp;CC$7,"BID직전가"),_xll.IMDP("FX",$CA12&amp;CC$7,"뉴욕매입종가",VLOOKUP($BU$7,$BT$8:$BV$13,3,0),"FILL=TRUE"))),"",F12-IF($BU$7=1,_xll.IMDP("FX",$CA12&amp;CC$7,"BID직전가"),_xll.IMDP("FX",$CA12&amp;CC$7,"뉴욕매입종가",VLOOKUP($BU$7,$BT$8:$BV$13,3,0),"FILL=TRUE")))</f>
        <v>0</v>
      </c>
      <c r="CD12" s="5">
        <f>IF(ISERROR(G12-IF($BU$7=1,_xll.IMDP("FX",$CA12&amp;CD$7,"BID직전가"),_xll.IMDP("FX",$CA12&amp;CD$7,"뉴욕매입종가",VLOOKUP($BU$7,$BT$8:$BV$13,3,0),"FILL=TRUE"))),"",G12-IF($BU$7=1,_xll.IMDP("FX",$CA12&amp;CD$7,"BID직전가"),_xll.IMDP("FX",$CA12&amp;CD$7,"뉴욕매입종가",VLOOKUP($BU$7,$BT$8:$BV$13,3,0),"FILL=TRUE")))</f>
        <v>1.9999999999992246E-5</v>
      </c>
      <c r="CE12" s="5">
        <f>IF(ISERROR(H12-IF($BU$7=1,_xll.IMDP("FX",$CA12&amp;CE$7,"BID직전가"),_xll.IMDP("FX",$CA12&amp;CE$7,"뉴욕매입종가",VLOOKUP($BU$7,$BT$8:$BV$13,3,0),"FILL=TRUE"))),"",H12-IF($BU$7=1,_xll.IMDP("FX",$CA12&amp;CE$7,"BID직전가"),_xll.IMDP("FX",$CA12&amp;CE$7,"뉴욕매입종가",VLOOKUP($BU$7,$BT$8:$BV$13,3,0),"FILL=TRUE")))</f>
        <v>-3.0000000000001137E-3</v>
      </c>
      <c r="CF12" s="48" t="str">
        <f>IF(ISERROR(I12-IF($BU$7=1,_xll.IMDP("FX",$CA12&amp;CF$7,"BID직전가"),_xll.IMDP("FX",$CA12&amp;CF$7,"뉴욕매입종가",VLOOKUP($BU$7,$BT$8:$BV$13,3,0),"FILL=TRUE"))),"",I12-IF($BU$7=1,_xll.IMDP("FX",$CA12&amp;CF$7,"BID직전가"),_xll.IMDP("FX",$CA12&amp;CF$7,"뉴욕매입종가",VLOOKUP($BU$7,$BT$8:$BV$13,3,0),"FILL=TRUE")))</f>
        <v/>
      </c>
      <c r="CG12" s="5">
        <f>IF(ISERROR(J12-IF($BU$7=1,_xll.IMDP("FX",$CA12&amp;CG$7,"BID직전가"),_xll.IMDP("FX",$CA12&amp;CG$7,"뉴욕매입종가",VLOOKUP($BU$7,$BT$8:$BV$13,3,0),"FILL=TRUE"))),"",J12-IF($BU$7=1,_xll.IMDP("FX",$CA12&amp;CG$7,"BID직전가"),_xll.IMDP("FX",$CA12&amp;CG$7,"뉴욕매입종가",VLOOKUP($BU$7,$BT$8:$BV$13,3,0),"FILL=TRUE")))</f>
        <v>0</v>
      </c>
      <c r="CH12" s="5">
        <f>IF(ISERROR(K12-IF($BU$7=1,_xll.IMDP("FX",$CA12&amp;CH$7,"BID직전가"),_xll.IMDP("FX",$CA12&amp;CH$7,"뉴욕매입종가",VLOOKUP($BU$7,$BT$8:$BV$13,3,0),"FILL=TRUE"))),"",K12-IF($BU$7=1,_xll.IMDP("FX",$CA12&amp;CH$7,"BID직전가"),_xll.IMDP("FX",$CA12&amp;CH$7,"뉴욕매입종가",VLOOKUP($BU$7,$BT$8:$BV$13,3,0),"FILL=TRUE")))</f>
        <v>0</v>
      </c>
      <c r="CI12" s="5">
        <f>IF(ISERROR(L12-IF($BU$7=1,_xll.IMDP("FX",$CA12&amp;CI$7,"BID직전가"),_xll.IMDP("FX",$CA12&amp;CI$7,"뉴욕매입종가",VLOOKUP($BU$7,$BT$8:$BV$13,3,0),"FILL=TRUE"))),"",L12-IF($BU$7=1,_xll.IMDP("FX",$CA12&amp;CI$7,"BID직전가"),_xll.IMDP("FX",$CA12&amp;CI$7,"뉴욕매입종가",VLOOKUP($BU$7,$BT$8:$BV$13,3,0),"FILL=TRUE")))</f>
        <v>1.0000000000000009E-3</v>
      </c>
      <c r="CJ12" s="5">
        <f>IF(ISERROR(M12-IF($BU$7=1,_xll.IMDP("FX",$CA12&amp;CJ$7,"BID직전가"),_xll.IMDP("FX",$CA12&amp;CJ$7,"뉴욕매입종가",VLOOKUP($BU$7,$BT$8:$BV$13,3,0),"FILL=TRUE"))),"",M12-IF($BU$7=1,_xll.IMDP("FX",$CA12&amp;CJ$7,"BID직전가"),_xll.IMDP("FX",$CA12&amp;CJ$7,"뉴욕매입종가",VLOOKUP($BU$7,$BT$8:$BV$13,3,0),"FILL=TRUE")))</f>
        <v>0</v>
      </c>
      <c r="CK12" s="5" t="str">
        <f>IF(ISERROR(N12-IF($BU$7=1,_xll.IMDP("FX",$CA12&amp;CK$7,"BID직전가"),_xll.IMDP("FX",$CA12&amp;CK$7,"뉴욕매입종가",VLOOKUP($BU$7,$BT$8:$BV$13,3,0),"FILL=TRUE"))),"",N12-IF($BU$7=1,_xll.IMDP("FX",$CA12&amp;CK$7,"BID직전가"),_xll.IMDP("FX",$CA12&amp;CK$7,"뉴욕매입종가",VLOOKUP($BU$7,$BT$8:$BV$13,3,0),"FILL=TRUE")))</f>
        <v/>
      </c>
      <c r="CL12" s="5" t="str">
        <f>IF(ISERROR(O12-IF($BU$7=1,_xll.IMDP("FX",$CA12&amp;CL$7,"BID직전가"),_xll.IMDP("FX",$CA12&amp;CL$7,"뉴욕매입종가",VLOOKUP($BU$7,$BT$8:$BV$13,3,0),"FILL=TRUE"))),"",O12-IF($BU$7=1,_xll.IMDP("FX",$CA12&amp;CL$7,"BID직전가"),_xll.IMDP("FX",$CA12&amp;CL$7,"뉴욕매입종가",VLOOKUP($BU$7,$BT$8:$BV$13,3,0),"FILL=TRUE")))</f>
        <v/>
      </c>
      <c r="CM12" s="5">
        <f>IF(ISERROR(P12-IF($BU$7=1,_xll.IMDP("FX",$CA12&amp;CM$7,"BID직전가"),_xll.IMDP("FX",$CA12&amp;CM$7,"뉴욕매입종가",VLOOKUP($BU$7,$BT$8:$BV$13,3,0),"FILL=TRUE"))),"",P12-IF($BU$7=1,_xll.IMDP("FX",$CA12&amp;CM$7,"BID직전가"),_xll.IMDP("FX",$CA12&amp;CM$7,"뉴욕매입종가",VLOOKUP($BU$7,$BT$8:$BV$13,3,0),"FILL=TRUE")))</f>
        <v>2.0000000000020002E-5</v>
      </c>
      <c r="CN12" s="5">
        <f>IF(ISERROR(Q12-IF($BU$7=1,_xll.IMDP("FX",$CA12&amp;CN$7,"BID직전가"),_xll.IMDP("FX",$CA12&amp;CN$7,"뉴욕매입종가",VLOOKUP($BU$7,$BT$8:$BV$13,3,0),"FILL=TRUE"))),"",Q12-IF($BU$7=1,_xll.IMDP("FX",$CA12&amp;CN$7,"BID직전가"),_xll.IMDP("FX",$CA12&amp;CN$7,"뉴욕매입종가",VLOOKUP($BU$7,$BT$8:$BV$13,3,0),"FILL=TRUE")))</f>
        <v>-7.9999999999968985E-5</v>
      </c>
      <c r="CO12" s="5" t="str">
        <f>IF(ISERROR(R12-IF($BU$7=1,_xll.IMDP("FX",$CA12&amp;CO$7,"BID직전가"),_xll.IMDP("FX",$CA12&amp;CO$7,"뉴욕매입종가",VLOOKUP($BU$7,$BT$8:$BV$13,3,0),"FILL=TRUE"))),"",R12-IF($BU$7=1,_xll.IMDP("FX",$CA12&amp;CO$7,"BID직전가"),_xll.IMDP("FX",$CA12&amp;CO$7,"뉴욕매입종가",VLOOKUP($BU$7,$BT$8:$BV$13,3,0),"FILL=TRUE")))</f>
        <v/>
      </c>
      <c r="CP12" s="5">
        <f>IF(ISERROR(S12-IF($BU$7=1,_xll.IMDP("FX",$CA12&amp;CP$7,"BID직전가"),_xll.IMDP("FX",$CA12&amp;CP$7,"뉴욕매입종가",VLOOKUP($BU$7,$BT$8:$BV$13,3,0),"FILL=TRUE"))),"",S12-IF($BU$7=1,_xll.IMDP("FX",$CA12&amp;CP$7,"BID직전가"),_xll.IMDP("FX",$CA12&amp;CP$7,"뉴욕매입종가",VLOOKUP($BU$7,$BT$8:$BV$13,3,0),"FILL=TRUE")))</f>
        <v>-9.9999999999988987E-5</v>
      </c>
      <c r="CQ12" s="5">
        <f>IF(ISERROR(T12-IF($BU$7=1,_xll.IMDP("FX",$CA12&amp;CQ$7,"BID직전가"),_xll.IMDP("FX",$CA12&amp;CQ$7,"뉴욕매입종가",VLOOKUP($BU$7,$BT$8:$BV$13,3,0),"FILL=TRUE"))),"",T12-IF($BU$7=1,_xll.IMDP("FX",$CA12&amp;CQ$7,"BID직전가"),_xll.IMDP("FX",$CA12&amp;CQ$7,"뉴욕매입종가",VLOOKUP($BU$7,$BT$8:$BV$13,3,0),"FILL=TRUE")))</f>
        <v>0</v>
      </c>
      <c r="CR12" s="5">
        <f>IF(ISERROR(U12-IF($BU$7=1,_xll.IMDP("FX",$CA12&amp;CR$7,"BID직전가"),_xll.IMDP("FX",$CA12&amp;CR$7,"뉴욕매입종가",VLOOKUP($BU$7,$BT$8:$BV$13,3,0),"FILL=TRUE"))),"",U12-IF($BU$7=1,_xll.IMDP("FX",$CA12&amp;CR$7,"BID직전가"),_xll.IMDP("FX",$CA12&amp;CR$7,"뉴욕매입종가",VLOOKUP($BU$7,$BT$8:$BV$13,3,0),"FILL=TRUE")))</f>
        <v>0</v>
      </c>
      <c r="CS12" s="5">
        <f>IF(ISERROR(V12-IF($BU$7=1,_xll.IMDP("FX",$CA12&amp;CS$7,"BID직전가"),_xll.IMDP("FX",$CA12&amp;CS$7,"뉴욕매입종가",VLOOKUP($BU$7,$BT$8:$BV$13,3,0),"FILL=TRUE"))),"",V12-IF($BU$7=1,_xll.IMDP("FX",$CA12&amp;CS$7,"BID직전가"),_xll.IMDP("FX",$CA12&amp;CS$7,"뉴욕매입종가",VLOOKUP($BU$7,$BT$8:$BV$13,3,0),"FILL=TRUE")))</f>
        <v>-9.9999999999766942E-5</v>
      </c>
      <c r="CT12" s="5">
        <f>IF(ISERROR(W12-IF($BU$7=1,_xll.IMDP("FX",$CA12&amp;CT$7,"BID직전가"),_xll.IMDP("FX",$CA12&amp;CT$7,"뉴욕매입종가",VLOOKUP($BU$7,$BT$8:$BV$13,3,0),"FILL=TRUE"))),"",W12-IF($BU$7=1,_xll.IMDP("FX",$CA12&amp;CT$7,"BID직전가"),_xll.IMDP("FX",$CA12&amp;CT$7,"뉴욕매입종가",VLOOKUP($BU$7,$BT$8:$BV$13,3,0),"FILL=TRUE")))</f>
        <v>0</v>
      </c>
      <c r="CU12" s="5">
        <f>IF(ISERROR(X12-IF($BU$7=1,_xll.IMDP("FX",$CA12&amp;CU$7,"BID직전가"),_xll.IMDP("FX",$CA12&amp;CU$7,"뉴욕매입종가",VLOOKUP($BU$7,$BT$8:$BV$13,3,0),"FILL=TRUE"))),"",X12-IF($BU$7=1,_xll.IMDP("FX",$CA12&amp;CU$7,"BID직전가"),_xll.IMDP("FX",$CA12&amp;CU$7,"뉴욕매입종가",VLOOKUP($BU$7,$BT$8:$BV$13,3,0),"FILL=TRUE")))</f>
        <v>-1.5000000000000568E-3</v>
      </c>
      <c r="CV12" s="54">
        <f>IF(ISERROR(Y12-IF($BU$7=1,_xll.IMDP("FX",$CA12&amp;CV$7,"BID직전가"),_xll.IMDP("FX",$CA12&amp;CV$7,"뉴욕매입종가",VLOOKUP($BU$7,$BT$8:$BV$13,3,0),"FILL=TRUE"))),"",Y12-IF($BU$7=1,_xll.IMDP("FX",$CA12&amp;CV$7,"BID직전가"),_xll.IMDP("FX",$CA12&amp;CV$7,"뉴욕매입종가",VLOOKUP($BU$7,$BT$8:$BV$13,3,0),"FILL=TRUE")))</f>
        <v>-1.0000000000065512E-4</v>
      </c>
    </row>
    <row r="13" spans="2:100" ht="17.25" customHeight="1" x14ac:dyDescent="0.25">
      <c r="B13" s="14">
        <v>15</v>
      </c>
      <c r="C13" s="11" t="str">
        <f t="shared" si="1"/>
        <v>CNH</v>
      </c>
      <c r="D13" s="25"/>
      <c r="E13" s="22">
        <f>_xll.IMDP("FX",$C13&amp;E$6,"매입")</f>
        <v>170.58</v>
      </c>
      <c r="F13" s="6">
        <f>_xll.IMDP("FX",$C13&amp;F$6,"매입")</f>
        <v>0.14391000000000001</v>
      </c>
      <c r="G13" s="6" t="str">
        <f>_xll.IMDP("FX",$C13&amp;G$6,"매입")</f>
        <v/>
      </c>
      <c r="H13" s="6">
        <f>_xll.IMDP("FX",$C13&amp;H$6,"매입")</f>
        <v>15.585000000000001</v>
      </c>
      <c r="I13" s="6">
        <f>_xll.IMDP("FX",$C13&amp;I$6,"매입")</f>
        <v>0.99680000000000002</v>
      </c>
      <c r="J13" s="9" t="str">
        <f>_xll.IMDP("FX",$C13&amp;J$6,"매입")</f>
        <v/>
      </c>
      <c r="K13" s="6" t="str">
        <f>_xll.IMDP("FX",$C13&amp;K$6,"매입")</f>
        <v/>
      </c>
      <c r="L13" s="6" t="str">
        <f>_xll.IMDP("FX",$C13&amp;L$6,"매입")</f>
        <v/>
      </c>
      <c r="M13" s="6" t="str">
        <f>_xll.IMDP("FX",$C13&amp;M$6,"매입")</f>
        <v/>
      </c>
      <c r="N13" s="6" t="str">
        <f>_xll.IMDP("FX",$C13&amp;N$6,"매입")</f>
        <v/>
      </c>
      <c r="O13" s="6" t="str">
        <f>_xll.IMDP("FX",$C13&amp;O$6,"매입")</f>
        <v/>
      </c>
      <c r="P13" s="6" t="str">
        <f>_xll.IMDP("FX",$C13&amp;P$6,"매입")</f>
        <v/>
      </c>
      <c r="Q13" s="6" t="str">
        <f>_xll.IMDP("FX",$C13&amp;Q$6,"매입")</f>
        <v/>
      </c>
      <c r="R13" s="6" t="str">
        <f>_xll.IMDP("FX",$C13&amp;R$6,"매입")</f>
        <v/>
      </c>
      <c r="S13" s="6">
        <f>_xll.IMDP("FX",$C13&amp;S$6,"매입")</f>
        <v>1.1315999999999999</v>
      </c>
      <c r="T13" s="6">
        <f>_xll.IMDP("FX",$C13&amp;T$6,"매입")</f>
        <v>2062</v>
      </c>
      <c r="U13" s="6" t="str">
        <f>_xll.IMDP("FX",$C13&amp;U$6,"매입")</f>
        <v/>
      </c>
      <c r="V13" s="6">
        <f>_xll.IMDP("FX",$C13&amp;V$6,"매입")</f>
        <v>7.4768999999999997</v>
      </c>
      <c r="W13" s="6">
        <f>_xll.IMDP("FX",$C13&amp;W$6,"매입")</f>
        <v>0.19736000000000001</v>
      </c>
      <c r="X13" s="6">
        <f>_xll.IMDP("FX",$C13&amp;X$6,"매입")</f>
        <v>4.5248999999999997</v>
      </c>
      <c r="Y13" s="7">
        <f>_xll.IMDP("FX",$C13&amp;Y$6,"매입")</f>
        <v>4.5411000000000001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46">
        <v>6</v>
      </c>
      <c r="BU13" s="45" t="s">
        <v>70</v>
      </c>
      <c r="BV13" s="47">
        <f ca="1">EDATE(TODAY(),-12)</f>
        <v>43255</v>
      </c>
      <c r="BW13" s="40">
        <f ca="1">EDATE(TODAY(),-12)</f>
        <v>43255</v>
      </c>
      <c r="BX13" s="39">
        <v>6</v>
      </c>
      <c r="BY13" s="41" t="s">
        <v>3</v>
      </c>
      <c r="CA13" s="53" t="str">
        <f t="shared" si="2"/>
        <v>CNH</v>
      </c>
      <c r="CB13" s="5">
        <f>IF(ISERROR(E13-IF($BU$7=1,_xll.IMDP("FX",$CA13&amp;CB$7,"BID직전가"),_xll.IMDP("FX",$CA13&amp;CB$7,"뉴욕매입종가",VLOOKUP($BU$7,$BT$8:$BV$13,3,0),"FILL=TRUE"))),"",E13-IF($BU$7=1,_xll.IMDP("FX",$CA13&amp;CB$7,"BID직전가"),_xll.IMDP("FX",$CA13&amp;CB$7,"뉴욕매입종가",VLOOKUP($BU$7,$BT$8:$BV$13,3,0),"FILL=TRUE")))</f>
        <v>5.0000000000011369E-2</v>
      </c>
      <c r="CC13" s="5">
        <f>IF(ISERROR(F13-IF($BU$7=1,_xll.IMDP("FX",$CA13&amp;CC$7,"BID직전가"),_xll.IMDP("FX",$CA13&amp;CC$7,"뉴욕매입종가",VLOOKUP($BU$7,$BT$8:$BV$13,3,0),"FILL=TRUE"))),"",F13-IF($BU$7=1,_xll.IMDP("FX",$CA13&amp;CC$7,"BID직전가"),_xll.IMDP("FX",$CA13&amp;CC$7,"뉴욕매입종가",VLOOKUP($BU$7,$BT$8:$BV$13,3,0),"FILL=TRUE")))</f>
        <v>-6.9999999999986739E-5</v>
      </c>
      <c r="CD13" s="5" t="str">
        <f>IF(ISERROR(G13-IF($BU$7=1,_xll.IMDP("FX",$CA13&amp;CD$7,"BID직전가"),_xll.IMDP("FX",$CA13&amp;CD$7,"뉴욕매입종가",VLOOKUP($BU$7,$BT$8:$BV$13,3,0),"FILL=TRUE"))),"",G13-IF($BU$7=1,_xll.IMDP("FX",$CA13&amp;CD$7,"BID직전가"),_xll.IMDP("FX",$CA13&amp;CD$7,"뉴욕매입종가",VLOOKUP($BU$7,$BT$8:$BV$13,3,0),"FILL=TRUE")))</f>
        <v/>
      </c>
      <c r="CE13" s="5">
        <f>IF(ISERROR(H13-IF($BU$7=1,_xll.IMDP("FX",$CA13&amp;CE$7,"BID직전가"),_xll.IMDP("FX",$CA13&amp;CE$7,"뉴욕매입종가",VLOOKUP($BU$7,$BT$8:$BV$13,3,0),"FILL=TRUE"))),"",H13-IF($BU$7=1,_xll.IMDP("FX",$CA13&amp;CE$7,"BID직전가"),_xll.IMDP("FX",$CA13&amp;CE$7,"뉴욕매입종가",VLOOKUP($BU$7,$BT$8:$BV$13,3,0),"FILL=TRUE")))</f>
        <v>-9.9999999999944578E-4</v>
      </c>
      <c r="CF13" s="5">
        <f>IF(ISERROR(I13-IF($BU$7=1,_xll.IMDP("FX",$CA13&amp;CF$7,"BID직전가"),_xll.IMDP("FX",$CA13&amp;CF$7,"뉴욕매입종가",VLOOKUP($BU$7,$BT$8:$BV$13,3,0),"FILL=TRUE"))),"",I13-IF($BU$7=1,_xll.IMDP("FX",$CA13&amp;CF$7,"BID직전가"),_xll.IMDP("FX",$CA13&amp;CF$7,"뉴욕매입종가",VLOOKUP($BU$7,$BT$8:$BV$13,3,0),"FILL=TRUE")))</f>
        <v>0</v>
      </c>
      <c r="CG13" s="48" t="str">
        <f>IF(ISERROR(J13-IF($BU$7=1,_xll.IMDP("FX",$CA13&amp;CG$7,"BID직전가"),_xll.IMDP("FX",$CA13&amp;CG$7,"뉴욕매입종가",VLOOKUP($BU$7,$BT$8:$BV$13,3,0),"FILL=TRUE"))),"",J13-IF($BU$7=1,_xll.IMDP("FX",$CA13&amp;CG$7,"BID직전가"),_xll.IMDP("FX",$CA13&amp;CG$7,"뉴욕매입종가",VLOOKUP($BU$7,$BT$8:$BV$13,3,0),"FILL=TRUE")))</f>
        <v/>
      </c>
      <c r="CH13" s="5" t="str">
        <f>IF(ISERROR(K13-IF($BU$7=1,_xll.IMDP("FX",$CA13&amp;CH$7,"BID직전가"),_xll.IMDP("FX",$CA13&amp;CH$7,"뉴욕매입종가",VLOOKUP($BU$7,$BT$8:$BV$13,3,0),"FILL=TRUE"))),"",K13-IF($BU$7=1,_xll.IMDP("FX",$CA13&amp;CH$7,"BID직전가"),_xll.IMDP("FX",$CA13&amp;CH$7,"뉴욕매입종가",VLOOKUP($BU$7,$BT$8:$BV$13,3,0),"FILL=TRUE")))</f>
        <v/>
      </c>
      <c r="CI13" s="5" t="str">
        <f>IF(ISERROR(L13-IF($BU$7=1,_xll.IMDP("FX",$CA13&amp;CI$7,"BID직전가"),_xll.IMDP("FX",$CA13&amp;CI$7,"뉴욕매입종가",VLOOKUP($BU$7,$BT$8:$BV$13,3,0),"FILL=TRUE"))),"",L13-IF($BU$7=1,_xll.IMDP("FX",$CA13&amp;CI$7,"BID직전가"),_xll.IMDP("FX",$CA13&amp;CI$7,"뉴욕매입종가",VLOOKUP($BU$7,$BT$8:$BV$13,3,0),"FILL=TRUE")))</f>
        <v/>
      </c>
      <c r="CJ13" s="5" t="str">
        <f>IF(ISERROR(M13-IF($BU$7=1,_xll.IMDP("FX",$CA13&amp;CJ$7,"BID직전가"),_xll.IMDP("FX",$CA13&amp;CJ$7,"뉴욕매입종가",VLOOKUP($BU$7,$BT$8:$BV$13,3,0),"FILL=TRUE"))),"",M13-IF($BU$7=1,_xll.IMDP("FX",$CA13&amp;CJ$7,"BID직전가"),_xll.IMDP("FX",$CA13&amp;CJ$7,"뉴욕매입종가",VLOOKUP($BU$7,$BT$8:$BV$13,3,0),"FILL=TRUE")))</f>
        <v/>
      </c>
      <c r="CK13" s="5" t="str">
        <f>IF(ISERROR(N13-IF($BU$7=1,_xll.IMDP("FX",$CA13&amp;CK$7,"BID직전가"),_xll.IMDP("FX",$CA13&amp;CK$7,"뉴욕매입종가",VLOOKUP($BU$7,$BT$8:$BV$13,3,0),"FILL=TRUE"))),"",N13-IF($BU$7=1,_xll.IMDP("FX",$CA13&amp;CK$7,"BID직전가"),_xll.IMDP("FX",$CA13&amp;CK$7,"뉴욕매입종가",VLOOKUP($BU$7,$BT$8:$BV$13,3,0),"FILL=TRUE")))</f>
        <v/>
      </c>
      <c r="CL13" s="5" t="str">
        <f>IF(ISERROR(O13-IF($BU$7=1,_xll.IMDP("FX",$CA13&amp;CL$7,"BID직전가"),_xll.IMDP("FX",$CA13&amp;CL$7,"뉴욕매입종가",VLOOKUP($BU$7,$BT$8:$BV$13,3,0),"FILL=TRUE"))),"",O13-IF($BU$7=1,_xll.IMDP("FX",$CA13&amp;CL$7,"BID직전가"),_xll.IMDP("FX",$CA13&amp;CL$7,"뉴욕매입종가",VLOOKUP($BU$7,$BT$8:$BV$13,3,0),"FILL=TRUE")))</f>
        <v/>
      </c>
      <c r="CM13" s="5" t="str">
        <f>IF(ISERROR(P13-IF($BU$7=1,_xll.IMDP("FX",$CA13&amp;CM$7,"BID직전가"),_xll.IMDP("FX",$CA13&amp;CM$7,"뉴욕매입종가",VLOOKUP($BU$7,$BT$8:$BV$13,3,0),"FILL=TRUE"))),"",P13-IF($BU$7=1,_xll.IMDP("FX",$CA13&amp;CM$7,"BID직전가"),_xll.IMDP("FX",$CA13&amp;CM$7,"뉴욕매입종가",VLOOKUP($BU$7,$BT$8:$BV$13,3,0),"FILL=TRUE")))</f>
        <v/>
      </c>
      <c r="CN13" s="5" t="str">
        <f>IF(ISERROR(Q13-IF($BU$7=1,_xll.IMDP("FX",$CA13&amp;CN$7,"BID직전가"),_xll.IMDP("FX",$CA13&amp;CN$7,"뉴욕매입종가",VLOOKUP($BU$7,$BT$8:$BV$13,3,0),"FILL=TRUE"))),"",Q13-IF($BU$7=1,_xll.IMDP("FX",$CA13&amp;CN$7,"BID직전가"),_xll.IMDP("FX",$CA13&amp;CN$7,"뉴욕매입종가",VLOOKUP($BU$7,$BT$8:$BV$13,3,0),"FILL=TRUE")))</f>
        <v/>
      </c>
      <c r="CO13" s="5" t="str">
        <f>IF(ISERROR(R13-IF($BU$7=1,_xll.IMDP("FX",$CA13&amp;CO$7,"BID직전가"),_xll.IMDP("FX",$CA13&amp;CO$7,"뉴욕매입종가",VLOOKUP($BU$7,$BT$8:$BV$13,3,0),"FILL=TRUE"))),"",R13-IF($BU$7=1,_xll.IMDP("FX",$CA13&amp;CO$7,"BID직전가"),_xll.IMDP("FX",$CA13&amp;CO$7,"뉴욕매입종가",VLOOKUP($BU$7,$BT$8:$BV$13,3,0),"FILL=TRUE")))</f>
        <v/>
      </c>
      <c r="CP13" s="5">
        <f>IF(ISERROR(S13-IF($BU$7=1,_xll.IMDP("FX",$CA13&amp;CP$7,"BID직전가"),_xll.IMDP("FX",$CA13&amp;CP$7,"뉴욕매입종가",VLOOKUP($BU$7,$BT$8:$BV$13,3,0),"FILL=TRUE"))),"",S13-IF($BU$7=1,_xll.IMDP("FX",$CA13&amp;CP$7,"BID직전가"),_xll.IMDP("FX",$CA13&amp;CP$7,"뉴욕매입종가",VLOOKUP($BU$7,$BT$8:$BV$13,3,0),"FILL=TRUE")))</f>
        <v>-9.9999999999988987E-5</v>
      </c>
      <c r="CQ13" s="5">
        <f>IF(ISERROR(T13-IF($BU$7=1,_xll.IMDP("FX",$CA13&amp;CQ$7,"BID직전가"),_xll.IMDP("FX",$CA13&amp;CQ$7,"뉴욕매입종가",VLOOKUP($BU$7,$BT$8:$BV$13,3,0),"FILL=TRUE"))),"",T13-IF($BU$7=1,_xll.IMDP("FX",$CA13&amp;CQ$7,"BID직전가"),_xll.IMDP("FX",$CA13&amp;CQ$7,"뉴욕매입종가",VLOOKUP($BU$7,$BT$8:$BV$13,3,0),"FILL=TRUE")))</f>
        <v>9.9999999999909051E-2</v>
      </c>
      <c r="CR13" s="5" t="str">
        <f>IF(ISERROR(U13-IF($BU$7=1,_xll.IMDP("FX",$CA13&amp;CR$7,"BID직전가"),_xll.IMDP("FX",$CA13&amp;CR$7,"뉴욕매입종가",VLOOKUP($BU$7,$BT$8:$BV$13,3,0),"FILL=TRUE"))),"",U13-IF($BU$7=1,_xll.IMDP("FX",$CA13&amp;CR$7,"BID직전가"),_xll.IMDP("FX",$CA13&amp;CR$7,"뉴욕매입종가",VLOOKUP($BU$7,$BT$8:$BV$13,3,0),"FILL=TRUE")))</f>
        <v/>
      </c>
      <c r="CS13" s="5">
        <f>IF(ISERROR(V13-IF($BU$7=1,_xll.IMDP("FX",$CA13&amp;CS$7,"BID직전가"),_xll.IMDP("FX",$CA13&amp;CS$7,"뉴욕매입종가",VLOOKUP($BU$7,$BT$8:$BV$13,3,0),"FILL=TRUE"))),"",V13-IF($BU$7=1,_xll.IMDP("FX",$CA13&amp;CS$7,"BID직전가"),_xll.IMDP("FX",$CA13&amp;CS$7,"뉴욕매입종가",VLOOKUP($BU$7,$BT$8:$BV$13,3,0),"FILL=TRUE")))</f>
        <v>5.9999999999993392E-3</v>
      </c>
      <c r="CT13" s="5">
        <f>IF(ISERROR(W13-IF($BU$7=1,_xll.IMDP("FX",$CA13&amp;CT$7,"BID직전가"),_xll.IMDP("FX",$CA13&amp;CT$7,"뉴욕매입종가",VLOOKUP($BU$7,$BT$8:$BV$13,3,0),"FILL=TRUE"))),"",W13-IF($BU$7=1,_xll.IMDP("FX",$CA13&amp;CT$7,"BID직전가"),_xll.IMDP("FX",$CA13&amp;CT$7,"뉴욕매입종가",VLOOKUP($BU$7,$BT$8:$BV$13,3,0),"FILL=TRUE")))</f>
        <v>3.0000000000002247E-5</v>
      </c>
      <c r="CU13" s="5">
        <f>IF(ISERROR(X13-IF($BU$7=1,_xll.IMDP("FX",$CA13&amp;CU$7,"BID직전가"),_xll.IMDP("FX",$CA13&amp;CU$7,"뉴욕매입종가",VLOOKUP($BU$7,$BT$8:$BV$13,3,0),"FILL=TRUE"))),"",X13-IF($BU$7=1,_xll.IMDP("FX",$CA13&amp;CU$7,"BID직전가"),_xll.IMDP("FX",$CA13&amp;CU$7,"뉴욕매입종가",VLOOKUP($BU$7,$BT$8:$BV$13,3,0),"FILL=TRUE")))</f>
        <v>5.9999999999948983E-4</v>
      </c>
      <c r="CV13" s="54">
        <f>IF(ISERROR(Y13-IF($BU$7=1,_xll.IMDP("FX",$CA13&amp;CV$7,"BID직전가"),_xll.IMDP("FX",$CA13&amp;CV$7,"뉴욕매입종가",VLOOKUP($BU$7,$BT$8:$BV$13,3,0),"FILL=TRUE"))),"",Y13-IF($BU$7=1,_xll.IMDP("FX",$CA13&amp;CV$7,"BID직전가"),_xll.IMDP("FX",$CA13&amp;CV$7,"뉴욕매입종가",VLOOKUP($BU$7,$BT$8:$BV$13,3,0),"FILL=TRUE")))</f>
        <v>6.3000000000004164E-3</v>
      </c>
    </row>
    <row r="14" spans="2:100" ht="17.25" customHeight="1" x14ac:dyDescent="0.25">
      <c r="B14" s="14">
        <v>12</v>
      </c>
      <c r="C14" s="11" t="str">
        <f t="shared" si="1"/>
        <v>CHF</v>
      </c>
      <c r="D14" s="25"/>
      <c r="E14" s="22">
        <f>_xll.IMDP("FX",$C14&amp;E$6,"매입")</f>
        <v>1189.47</v>
      </c>
      <c r="F14" s="6">
        <f>_xll.IMDP("FX",$C14&amp;F$6,"매입")</f>
        <v>1.0062</v>
      </c>
      <c r="G14" s="6">
        <f>_xll.IMDP("FX",$C14&amp;G$6,"매입")</f>
        <v>0.89470000000000005</v>
      </c>
      <c r="H14" s="6">
        <f>_xll.IMDP("FX",$C14&amp;H$6,"매입")</f>
        <v>108.68</v>
      </c>
      <c r="I14" s="6">
        <f>_xll.IMDP("FX",$C14&amp;I$6,"매입")</f>
        <v>6.9524999999999997</v>
      </c>
      <c r="J14" s="6">
        <f>_xll.IMDP("FX",$C14&amp;J$6,"매입")</f>
        <v>6.9664999999999999</v>
      </c>
      <c r="K14" s="9" t="str">
        <f>_xll.IMDP("FX",$C14&amp;K$6,"매입")</f>
        <v/>
      </c>
      <c r="L14" s="6">
        <f>_xll.IMDP("FX",$C14&amp;L$6,"매입")</f>
        <v>1.4441999999999999</v>
      </c>
      <c r="M14" s="6">
        <f>_xll.IMDP("FX",$C14&amp;M$6,"매입")</f>
        <v>1.3524</v>
      </c>
      <c r="N14" s="6">
        <f>_xll.IMDP("FX",$C14&amp;N$6,"매입")</f>
        <v>9.5032999999999994</v>
      </c>
      <c r="O14" s="6">
        <f>_xll.IMDP("FX",$C14&amp;O$6,"매입")</f>
        <v>6.6840000000000002</v>
      </c>
      <c r="P14" s="6">
        <f>_xll.IMDP("FX",$C14&amp;P$6,"매입")</f>
        <v>3.8306</v>
      </c>
      <c r="Q14" s="6">
        <f>_xll.IMDP("FX",$C14&amp;Q$6,"매입")</f>
        <v>3.9116</v>
      </c>
      <c r="R14" s="6">
        <f>_xll.IMDP("FX",$C14&amp;R$6,"매입")</f>
        <v>19.8413</v>
      </c>
      <c r="S14" s="6">
        <f>_xll.IMDP("FX",$C14&amp;S$6,"매입")</f>
        <v>7.8928000000000003</v>
      </c>
      <c r="T14" s="6">
        <f>_xll.IMDP("FX",$C14&amp;T$6,"매입")</f>
        <v>14368.1</v>
      </c>
      <c r="U14" s="6">
        <f>_xll.IMDP("FX",$C14&amp;U$6,"매입")</f>
        <v>4.2041000000000004</v>
      </c>
      <c r="V14" s="6">
        <f>_xll.IMDP("FX",$C14&amp;V$6,"매입")</f>
        <v>52.164000000000001</v>
      </c>
      <c r="W14" s="6">
        <f>_xll.IMDP("FX",$C14&amp;W$6,"매입")</f>
        <v>1.3782000000000001</v>
      </c>
      <c r="X14" s="6">
        <f>_xll.IMDP("FX",$C14&amp;X$6,"매입")</f>
        <v>31.555</v>
      </c>
      <c r="Y14" s="7">
        <f>_xll.IMDP("FX",$C14&amp;Y$6,"매입")</f>
        <v>31.649000000000001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42"/>
      <c r="BX14" s="39">
        <v>7</v>
      </c>
      <c r="BY14" s="39" t="s">
        <v>4</v>
      </c>
      <c r="CA14" s="53" t="str">
        <f t="shared" si="2"/>
        <v>CHF</v>
      </c>
      <c r="CB14" s="5">
        <f>IF(ISERROR(E14-IF($BU$7=1,_xll.IMDP("FX",$CA14&amp;CB$7,"BID직전가"),_xll.IMDP("FX",$CA14&amp;CB$7,"뉴욕매입종가",VLOOKUP($BU$7,$BT$8:$BV$13,3,0),"FILL=TRUE"))),"",E14-IF($BU$7=1,_xll.IMDP("FX",$CA14&amp;CB$7,"BID직전가"),_xll.IMDP("FX",$CA14&amp;CB$7,"뉴욕매입종가",VLOOKUP($BU$7,$BT$8:$BV$13,3,0),"FILL=TRUE")))</f>
        <v>1.999999999998181E-2</v>
      </c>
      <c r="CC14" s="5">
        <f>IF(ISERROR(F14-IF($BU$7=1,_xll.IMDP("FX",$CA14&amp;CC$7,"BID직전가"),_xll.IMDP("FX",$CA14&amp;CC$7,"뉴욕매입종가",VLOOKUP($BU$7,$BT$8:$BV$13,3,0),"FILL=TRUE"))),"",F14-IF($BU$7=1,_xll.IMDP("FX",$CA14&amp;CC$7,"BID직전가"),_xll.IMDP("FX",$CA14&amp;CC$7,"뉴욕매입종가",VLOOKUP($BU$7,$BT$8:$BV$13,3,0),"FILL=TRUE")))</f>
        <v>-3.9999999999995595E-4</v>
      </c>
      <c r="CD14" s="5">
        <f>IF(ISERROR(G14-IF($BU$7=1,_xll.IMDP("FX",$CA14&amp;CD$7,"BID직전가"),_xll.IMDP("FX",$CA14&amp;CD$7,"뉴욕매입종가",VLOOKUP($BU$7,$BT$8:$BV$13,3,0),"FILL=TRUE"))),"",G14-IF($BU$7=1,_xll.IMDP("FX",$CA14&amp;CD$7,"BID직전가"),_xll.IMDP("FX",$CA14&amp;CD$7,"뉴욕매입종가",VLOOKUP($BU$7,$BT$8:$BV$13,3,0),"FILL=TRUE")))</f>
        <v>2.00000000000089E-4</v>
      </c>
      <c r="CE14" s="5">
        <f>IF(ISERROR(H14-IF($BU$7=1,_xll.IMDP("FX",$CA14&amp;CE$7,"BID직전가"),_xll.IMDP("FX",$CA14&amp;CE$7,"뉴욕매입종가",VLOOKUP($BU$7,$BT$8:$BV$13,3,0),"FILL=TRUE"))),"",H14-IF($BU$7=1,_xll.IMDP("FX",$CA14&amp;CE$7,"BID직전가"),_xll.IMDP("FX",$CA14&amp;CE$7,"뉴욕매입종가",VLOOKUP($BU$7,$BT$8:$BV$13,3,0),"FILL=TRUE")))</f>
        <v>0</v>
      </c>
      <c r="CF14" s="5">
        <f>IF(ISERROR(I14-IF($BU$7=1,_xll.IMDP("FX",$CA14&amp;CF$7,"BID직전가"),_xll.IMDP("FX",$CA14&amp;CF$7,"뉴욕매입종가",VLOOKUP($BU$7,$BT$8:$BV$13,3,0),"FILL=TRUE"))),"",I14-IF($BU$7=1,_xll.IMDP("FX",$CA14&amp;CF$7,"BID직전가"),_xll.IMDP("FX",$CA14&amp;CF$7,"뉴욕매입종가",VLOOKUP($BU$7,$BT$8:$BV$13,3,0),"FILL=TRUE")))</f>
        <v>-5.0000000000061107E-4</v>
      </c>
      <c r="CG14" s="5">
        <f>IF(ISERROR(J14-IF($BU$7=1,_xll.IMDP("FX",$CA14&amp;CG$7,"BID직전가"),_xll.IMDP("FX",$CA14&amp;CG$7,"뉴욕매입종가",VLOOKUP($BU$7,$BT$8:$BV$13,3,0),"FILL=TRUE"))),"",J14-IF($BU$7=1,_xll.IMDP("FX",$CA14&amp;CG$7,"BID직전가"),_xll.IMDP("FX",$CA14&amp;CG$7,"뉴욕매입종가",VLOOKUP($BU$7,$BT$8:$BV$13,3,0),"FILL=TRUE")))</f>
        <v>-1.8000000000002458E-3</v>
      </c>
      <c r="CH14" s="48" t="str">
        <f>IF(ISERROR(K14-IF($BU$7=1,_xll.IMDP("FX",$CA14&amp;CH$7,"BID직전가"),_xll.IMDP("FX",$CA14&amp;CH$7,"뉴욕매입종가",VLOOKUP($BU$7,$BT$8:$BV$13,3,0),"FILL=TRUE"))),"",K14-IF($BU$7=1,_xll.IMDP("FX",$CA14&amp;CH$7,"BID직전가"),_xll.IMDP("FX",$CA14&amp;CH$7,"뉴욕매입종가",VLOOKUP($BU$7,$BT$8:$BV$13,3,0),"FILL=TRUE")))</f>
        <v/>
      </c>
      <c r="CI14" s="5">
        <f>IF(ISERROR(L14-IF($BU$7=1,_xll.IMDP("FX",$CA14&amp;CI$7,"BID직전가"),_xll.IMDP("FX",$CA14&amp;CI$7,"뉴욕매입종가",VLOOKUP($BU$7,$BT$8:$BV$13,3,0),"FILL=TRUE"))),"",L14-IF($BU$7=1,_xll.IMDP("FX",$CA14&amp;CI$7,"BID직전가"),_xll.IMDP("FX",$CA14&amp;CI$7,"뉴욕매입종가",VLOOKUP($BU$7,$BT$8:$BV$13,3,0),"FILL=TRUE")))</f>
        <v>1.9999999999997797E-4</v>
      </c>
      <c r="CJ14" s="5">
        <f>IF(ISERROR(M14-IF($BU$7=1,_xll.IMDP("FX",$CA14&amp;CJ$7,"BID직전가"),_xll.IMDP("FX",$CA14&amp;CJ$7,"뉴욕매입종가",VLOOKUP($BU$7,$BT$8:$BV$13,3,0),"FILL=TRUE"))),"",M14-IF($BU$7=1,_xll.IMDP("FX",$CA14&amp;CJ$7,"BID직전가"),_xll.IMDP("FX",$CA14&amp;CJ$7,"뉴욕매입종가",VLOOKUP($BU$7,$BT$8:$BV$13,3,0),"FILL=TRUE")))</f>
        <v>0</v>
      </c>
      <c r="CK14" s="5">
        <f>IF(ISERROR(N14-IF($BU$7=1,_xll.IMDP("FX",$CA14&amp;CK$7,"BID직전가"),_xll.IMDP("FX",$CA14&amp;CK$7,"뉴욕매입종가",VLOOKUP($BU$7,$BT$8:$BV$13,3,0),"FILL=TRUE"))),"",N14-IF($BU$7=1,_xll.IMDP("FX",$CA14&amp;CK$7,"BID직전가"),_xll.IMDP("FX",$CA14&amp;CK$7,"뉴욕매입종가",VLOOKUP($BU$7,$BT$8:$BV$13,3,0),"FILL=TRUE")))</f>
        <v>1.6599999999998616E-2</v>
      </c>
      <c r="CL14" s="5">
        <f>IF(ISERROR(O14-IF($BU$7=1,_xll.IMDP("FX",$CA14&amp;CL$7,"BID직전가"),_xll.IMDP("FX",$CA14&amp;CL$7,"뉴욕매입종가",VLOOKUP($BU$7,$BT$8:$BV$13,3,0),"FILL=TRUE"))),"",O14-IF($BU$7=1,_xll.IMDP("FX",$CA14&amp;CL$7,"BID직전가"),_xll.IMDP("FX",$CA14&amp;CL$7,"뉴욕매입종가",VLOOKUP($BU$7,$BT$8:$BV$13,3,0),"FILL=TRUE")))</f>
        <v>9.9999999999766942E-5</v>
      </c>
      <c r="CM14" s="5">
        <f>IF(ISERROR(P14-IF($BU$7=1,_xll.IMDP("FX",$CA14&amp;CM$7,"BID직전가"),_xll.IMDP("FX",$CA14&amp;CM$7,"뉴욕매입종가",VLOOKUP($BU$7,$BT$8:$BV$13,3,0),"FILL=TRUE"))),"",P14-IF($BU$7=1,_xll.IMDP("FX",$CA14&amp;CM$7,"BID직전가"),_xll.IMDP("FX",$CA14&amp;CM$7,"뉴욕매입종가",VLOOKUP($BU$7,$BT$8:$BV$13,3,0),"FILL=TRUE")))</f>
        <v>5.0000000000016698E-4</v>
      </c>
      <c r="CN14" s="5">
        <f>IF(ISERROR(Q14-IF($BU$7=1,_xll.IMDP("FX",$CA14&amp;CN$7,"BID직전가"),_xll.IMDP("FX",$CA14&amp;CN$7,"뉴욕매입종가",VLOOKUP($BU$7,$BT$8:$BV$13,3,0),"FILL=TRUE"))),"",Q14-IF($BU$7=1,_xll.IMDP("FX",$CA14&amp;CN$7,"BID직전가"),_xll.IMDP("FX",$CA14&amp;CN$7,"뉴욕매입종가",VLOOKUP($BU$7,$BT$8:$BV$13,3,0),"FILL=TRUE")))</f>
        <v>1.9999999999997797E-4</v>
      </c>
      <c r="CO14" s="5">
        <f>IF(ISERROR(R14-IF($BU$7=1,_xll.IMDP("FX",$CA14&amp;CO$7,"BID직전가"),_xll.IMDP("FX",$CA14&amp;CO$7,"뉴욕매입종가",VLOOKUP($BU$7,$BT$8:$BV$13,3,0),"FILL=TRUE"))),"",R14-IF($BU$7=1,_xll.IMDP("FX",$CA14&amp;CO$7,"BID직전가"),_xll.IMDP("FX",$CA14&amp;CO$7,"뉴욕매입종가",VLOOKUP($BU$7,$BT$8:$BV$13,3,0),"FILL=TRUE")))</f>
        <v>-1.9999999999953388E-4</v>
      </c>
      <c r="CP14" s="5">
        <f>IF(ISERROR(S14-IF($BU$7=1,_xll.IMDP("FX",$CA14&amp;CP$7,"BID직전가"),_xll.IMDP("FX",$CA14&amp;CP$7,"뉴욕매입종가",VLOOKUP($BU$7,$BT$8:$BV$13,3,0),"FILL=TRUE"))),"",S14-IF($BU$7=1,_xll.IMDP("FX",$CA14&amp;CP$7,"BID직전가"),_xll.IMDP("FX",$CA14&amp;CP$7,"뉴욕매입종가",VLOOKUP($BU$7,$BT$8:$BV$13,3,0),"FILL=TRUE")))</f>
        <v>-9.9999999999766942E-5</v>
      </c>
      <c r="CQ14" s="5">
        <f>IF(ISERROR(T14-IF($BU$7=1,_xll.IMDP("FX",$CA14&amp;CQ$7,"BID직전가"),_xll.IMDP("FX",$CA14&amp;CQ$7,"뉴욕매입종가",VLOOKUP($BU$7,$BT$8:$BV$13,3,0),"FILL=TRUE"))),"",T14-IF($BU$7=1,_xll.IMDP("FX",$CA14&amp;CQ$7,"BID직전가"),_xll.IMDP("FX",$CA14&amp;CQ$7,"뉴욕매입종가",VLOOKUP($BU$7,$BT$8:$BV$13,3,0),"FILL=TRUE")))</f>
        <v>-1.1999999999989086</v>
      </c>
      <c r="CR14" s="5">
        <f>IF(ISERROR(U14-IF($BU$7=1,_xll.IMDP("FX",$CA14&amp;CR$7,"BID직전가"),_xll.IMDP("FX",$CA14&amp;CR$7,"뉴욕매입종가",VLOOKUP($BU$7,$BT$8:$BV$13,3,0),"FILL=TRUE"))),"",U14-IF($BU$7=1,_xll.IMDP("FX",$CA14&amp;CR$7,"BID직전가"),_xll.IMDP("FX",$CA14&amp;CR$7,"뉴욕매입종가",VLOOKUP($BU$7,$BT$8:$BV$13,3,0),"FILL=TRUE")))</f>
        <v>-3.9999999999995595E-4</v>
      </c>
      <c r="CS14" s="5">
        <f>IF(ISERROR(V14-IF($BU$7=1,_xll.IMDP("FX",$CA14&amp;CS$7,"BID직전가"),_xll.IMDP("FX",$CA14&amp;CS$7,"뉴욕매입종가",VLOOKUP($BU$7,$BT$8:$BV$13,3,0),"FILL=TRUE"))),"",V14-IF($BU$7=1,_xll.IMDP("FX",$CA14&amp;CS$7,"BID직전가"),_xll.IMDP("FX",$CA14&amp;CS$7,"뉴욕매입종가",VLOOKUP($BU$7,$BT$8:$BV$13,3,0),"FILL=TRUE")))</f>
        <v>-4.9999999999954525E-3</v>
      </c>
      <c r="CT14" s="5">
        <f>IF(ISERROR(W14-IF($BU$7=1,_xll.IMDP("FX",$CA14&amp;CT$7,"BID직전가"),_xll.IMDP("FX",$CA14&amp;CT$7,"뉴욕매입종가",VLOOKUP($BU$7,$BT$8:$BV$13,3,0),"FILL=TRUE"))),"",W14-IF($BU$7=1,_xll.IMDP("FX",$CA14&amp;CT$7,"BID직전가"),_xll.IMDP("FX",$CA14&amp;CT$7,"뉴욕매입종가",VLOOKUP($BU$7,$BT$8:$BV$13,3,0),"FILL=TRUE")))</f>
        <v>0</v>
      </c>
      <c r="CU14" s="5">
        <f>IF(ISERROR(X14-IF($BU$7=1,_xll.IMDP("FX",$CA14&amp;CU$7,"BID직전가"),_xll.IMDP("FX",$CA14&amp;CU$7,"뉴욕매입종가",VLOOKUP($BU$7,$BT$8:$BV$13,3,0),"FILL=TRUE"))),"",X14-IF($BU$7=1,_xll.IMDP("FX",$CA14&amp;CU$7,"BID직전가"),_xll.IMDP("FX",$CA14&amp;CU$7,"뉴욕매입종가",VLOOKUP($BU$7,$BT$8:$BV$13,3,0),"FILL=TRUE")))</f>
        <v>-1.3000000000001677E-2</v>
      </c>
      <c r="CV14" s="54">
        <f>IF(ISERROR(Y14-IF($BU$7=1,_xll.IMDP("FX",$CA14&amp;CV$7,"BID직전가"),_xll.IMDP("FX",$CA14&amp;CV$7,"뉴욕매입종가",VLOOKUP($BU$7,$BT$8:$BV$13,3,0),"FILL=TRUE"))),"",Y14-IF($BU$7=1,_xll.IMDP("FX",$CA14&amp;CV$7,"BID직전가"),_xll.IMDP("FX",$CA14&amp;CV$7,"뉴욕매입종가",VLOOKUP($BU$7,$BT$8:$BV$13,3,0),"FILL=TRUE")))</f>
        <v>-3.0000000000001137E-3</v>
      </c>
    </row>
    <row r="15" spans="2:100" ht="17.25" customHeight="1" x14ac:dyDescent="0.25">
      <c r="B15" s="14">
        <v>3</v>
      </c>
      <c r="C15" s="11" t="str">
        <f t="shared" si="1"/>
        <v>AUD</v>
      </c>
      <c r="D15" s="25"/>
      <c r="E15" s="22">
        <f>_xll.IMDP("FX",$C15&amp;E$6,"매입")</f>
        <v>823.15</v>
      </c>
      <c r="F15" s="6">
        <f>_xll.IMDP("FX",$C15&amp;F$6,"매입")</f>
        <v>0.69669999999999999</v>
      </c>
      <c r="G15" s="6">
        <f>_xll.IMDP("FX",$C15&amp;G$6,"매입")</f>
        <v>0.61950000000000005</v>
      </c>
      <c r="H15" s="6">
        <f>_xll.IMDP("FX",$C15&amp;H$6,"매입")</f>
        <v>75.209999999999994</v>
      </c>
      <c r="I15" s="6">
        <f>_xll.IMDP("FX",$C15&amp;I$6,"매입")</f>
        <v>4.8166000000000002</v>
      </c>
      <c r="J15" s="6">
        <f>_xll.IMDP("FX",$C15&amp;J$6,"매입")</f>
        <v>4.8235000000000001</v>
      </c>
      <c r="K15" s="6">
        <f>_xll.IMDP("FX",$C15&amp;K$6,"매입")</f>
        <v>0.69189999999999996</v>
      </c>
      <c r="L15" s="9" t="str">
        <f>_xll.IMDP("FX",$C15&amp;L$6,"매입")</f>
        <v/>
      </c>
      <c r="M15" s="6">
        <f>_xll.IMDP("FX",$C15&amp;M$6,"매입")</f>
        <v>0.93659999999999999</v>
      </c>
      <c r="N15" s="6">
        <f>_xll.IMDP("FX",$C15&amp;N$6,"매입")</f>
        <v>6.5736999999999997</v>
      </c>
      <c r="O15" s="6">
        <f>_xll.IMDP("FX",$C15&amp;O$6,"매입")</f>
        <v>4.6273999999999997</v>
      </c>
      <c r="P15" s="6">
        <f>_xll.IMDP("FX",$C15&amp;P$6,"매입")</f>
        <v>2.6514000000000002</v>
      </c>
      <c r="Q15" s="6">
        <f>_xll.IMDP("FX",$C15&amp;Q$6,"매입")</f>
        <v>2.7078000000000002</v>
      </c>
      <c r="R15" s="6">
        <f>_xll.IMDP("FX",$C15&amp;R$6,"매입")</f>
        <v>13.734299999999999</v>
      </c>
      <c r="S15" s="6">
        <f>_xll.IMDP("FX",$C15&amp;S$6,"매입")</f>
        <v>5.4626000000000001</v>
      </c>
      <c r="T15" s="6">
        <f>_xll.IMDP("FX",$C15&amp;T$6,"매입")</f>
        <v>9954.9</v>
      </c>
      <c r="U15" s="6">
        <f>_xll.IMDP("FX",$C15&amp;U$6,"매입")</f>
        <v>2.9129</v>
      </c>
      <c r="V15" s="6">
        <f>_xll.IMDP("FX",$C15&amp;V$6,"매입")</f>
        <v>36.143000000000001</v>
      </c>
      <c r="W15" s="6">
        <f>_xll.IMDP("FX",$C15&amp;W$6,"매입")</f>
        <v>0.95379999999999998</v>
      </c>
      <c r="X15" s="6">
        <f>_xll.IMDP("FX",$C15&amp;X$6,"매입")</f>
        <v>21.86</v>
      </c>
      <c r="Y15" s="7">
        <f>_xll.IMDP("FX",$C15&amp;Y$6,"매입")</f>
        <v>21.885999999999999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42"/>
      <c r="BX15" s="39">
        <v>8</v>
      </c>
      <c r="BY15" s="39" t="s">
        <v>5</v>
      </c>
      <c r="CA15" s="53" t="str">
        <f t="shared" si="2"/>
        <v>AUD</v>
      </c>
      <c r="CB15" s="5">
        <f>IF(ISERROR(E15-IF($BU$7=1,_xll.IMDP("FX",$CA15&amp;CB$7,"BID직전가"),_xll.IMDP("FX",$CA15&amp;CB$7,"뉴욕매입종가",VLOOKUP($BU$7,$BT$8:$BV$13,3,0),"FILL=TRUE"))),"",E15-IF($BU$7=1,_xll.IMDP("FX",$CA15&amp;CB$7,"BID직전가"),_xll.IMDP("FX",$CA15&amp;CB$7,"뉴욕매입종가",VLOOKUP($BU$7,$BT$8:$BV$13,3,0),"FILL=TRUE")))</f>
        <v>-6.0000000000059117E-2</v>
      </c>
      <c r="CC15" s="5">
        <f>IF(ISERROR(F15-IF($BU$7=1,_xll.IMDP("FX",$CA15&amp;CC$7,"BID직전가"),_xll.IMDP("FX",$CA15&amp;CC$7,"뉴욕매입종가",VLOOKUP($BU$7,$BT$8:$BV$13,3,0),"FILL=TRUE"))),"",F15-IF($BU$7=1,_xll.IMDP("FX",$CA15&amp;CC$7,"BID직전가"),_xll.IMDP("FX",$CA15&amp;CC$7,"뉴욕매입종가",VLOOKUP($BU$7,$BT$8:$BV$13,3,0),"FILL=TRUE")))</f>
        <v>9.9999999999988987E-5</v>
      </c>
      <c r="CD15" s="5">
        <f>IF(ISERROR(G15-IF($BU$7=1,_xll.IMDP("FX",$CA15&amp;CD$7,"BID직전가"),_xll.IMDP("FX",$CA15&amp;CD$7,"뉴욕매입종가",VLOOKUP($BU$7,$BT$8:$BV$13,3,0),"FILL=TRUE"))),"",G15-IF($BU$7=1,_xll.IMDP("FX",$CA15&amp;CD$7,"BID직전가"),_xll.IMDP("FX",$CA15&amp;CD$7,"뉴욕매입종가",VLOOKUP($BU$7,$BT$8:$BV$13,3,0),"FILL=TRUE")))</f>
        <v>0</v>
      </c>
      <c r="CE15" s="5">
        <f>IF(ISERROR(H15-IF($BU$7=1,_xll.IMDP("FX",$CA15&amp;CE$7,"BID직전가"),_xll.IMDP("FX",$CA15&amp;CE$7,"뉴욕매입종가",VLOOKUP($BU$7,$BT$8:$BV$13,3,0),"FILL=TRUE"))),"",H15-IF($BU$7=1,_xll.IMDP("FX",$CA15&amp;CE$7,"BID직전가"),_xll.IMDP("FX",$CA15&amp;CE$7,"뉴욕매입종가",VLOOKUP($BU$7,$BT$8:$BV$13,3,0),"FILL=TRUE")))</f>
        <v>-1.0000000000005116E-2</v>
      </c>
      <c r="CF15" s="5">
        <f>IF(ISERROR(I15-IF($BU$7=1,_xll.IMDP("FX",$CA15&amp;CF$7,"BID직전가"),_xll.IMDP("FX",$CA15&amp;CF$7,"뉴욕매입종가",VLOOKUP($BU$7,$BT$8:$BV$13,3,0),"FILL=TRUE"))),"",I15-IF($BU$7=1,_xll.IMDP("FX",$CA15&amp;CF$7,"BID직전가"),_xll.IMDP("FX",$CA15&amp;CF$7,"뉴욕매입종가",VLOOKUP($BU$7,$BT$8:$BV$13,3,0),"FILL=TRUE")))</f>
        <v>-2.0999999999995467E-3</v>
      </c>
      <c r="CG15" s="5">
        <f>IF(ISERROR(J15-IF($BU$7=1,_xll.IMDP("FX",$CA15&amp;CG$7,"BID직전가"),_xll.IMDP("FX",$CA15&amp;CG$7,"뉴욕매입종가",VLOOKUP($BU$7,$BT$8:$BV$13,3,0),"FILL=TRUE"))),"",J15-IF($BU$7=1,_xll.IMDP("FX",$CA15&amp;CG$7,"BID직전가"),_xll.IMDP("FX",$CA15&amp;CG$7,"뉴욕매입종가",VLOOKUP($BU$7,$BT$8:$BV$13,3,0),"FILL=TRUE")))</f>
        <v>2.2000000000002018E-3</v>
      </c>
      <c r="CH15" s="5">
        <f>IF(ISERROR(K15-IF($BU$7=1,_xll.IMDP("FX",$CA15&amp;CH$7,"BID직전가"),_xll.IMDP("FX",$CA15&amp;CH$7,"뉴욕매입종가",VLOOKUP($BU$7,$BT$8:$BV$13,3,0),"FILL=TRUE"))),"",K15-IF($BU$7=1,_xll.IMDP("FX",$CA15&amp;CH$7,"BID직전가"),_xll.IMDP("FX",$CA15&amp;CH$7,"뉴욕매입종가",VLOOKUP($BU$7,$BT$8:$BV$13,3,0),"FILL=TRUE")))</f>
        <v>-9.9999999999988987E-5</v>
      </c>
      <c r="CI15" s="48" t="str">
        <f>IF(ISERROR(L15-IF($BU$7=1,_xll.IMDP("FX",$CA15&amp;CI$7,"BID직전가"),_xll.IMDP("FX",$CA15&amp;CI$7,"뉴욕매입종가",VLOOKUP($BU$7,$BT$8:$BV$13,3,0),"FILL=TRUE"))),"",L15-IF($BU$7=1,_xll.IMDP("FX",$CA15&amp;CI$7,"BID직전가"),_xll.IMDP("FX",$CA15&amp;CI$7,"뉴욕매입종가",VLOOKUP($BU$7,$BT$8:$BV$13,3,0),"FILL=TRUE")))</f>
        <v/>
      </c>
      <c r="CJ15" s="5">
        <f>IF(ISERROR(M15-IF($BU$7=1,_xll.IMDP("FX",$CA15&amp;CJ$7,"BID직전가"),_xll.IMDP("FX",$CA15&amp;CJ$7,"뉴욕매입종가",VLOOKUP($BU$7,$BT$8:$BV$13,3,0),"FILL=TRUE"))),"",M15-IF($BU$7=1,_xll.IMDP("FX",$CA15&amp;CJ$7,"BID직전가"),_xll.IMDP("FX",$CA15&amp;CJ$7,"뉴욕매입종가",VLOOKUP($BU$7,$BT$8:$BV$13,3,0),"FILL=TRUE")))</f>
        <v>-9.9999999999988987E-5</v>
      </c>
      <c r="CK15" s="5">
        <f>IF(ISERROR(N15-IF($BU$7=1,_xll.IMDP("FX",$CA15&amp;CK$7,"BID직전가"),_xll.IMDP("FX",$CA15&amp;CK$7,"뉴욕매입종가",VLOOKUP($BU$7,$BT$8:$BV$13,3,0),"FILL=TRUE"))),"",N15-IF($BU$7=1,_xll.IMDP("FX",$CA15&amp;CK$7,"BID직전가"),_xll.IMDP("FX",$CA15&amp;CK$7,"뉴욕매입종가",VLOOKUP($BU$7,$BT$8:$BV$13,3,0),"FILL=TRUE")))</f>
        <v>-5.7000000000000384E-3</v>
      </c>
      <c r="CL15" s="5">
        <f>IF(ISERROR(O15-IF($BU$7=1,_xll.IMDP("FX",$CA15&amp;CL$7,"BID직전가"),_xll.IMDP("FX",$CA15&amp;CL$7,"뉴욕매입종가",VLOOKUP($BU$7,$BT$8:$BV$13,3,0),"FILL=TRUE"))),"",O15-IF($BU$7=1,_xll.IMDP("FX",$CA15&amp;CL$7,"BID직전가"),_xll.IMDP("FX",$CA15&amp;CL$7,"뉴욕매입종가",VLOOKUP($BU$7,$BT$8:$BV$13,3,0),"FILL=TRUE")))</f>
        <v>1.9000000000000128E-3</v>
      </c>
      <c r="CM15" s="5">
        <f>IF(ISERROR(P15-IF($BU$7=1,_xll.IMDP("FX",$CA15&amp;CM$7,"BID직전가"),_xll.IMDP("FX",$CA15&amp;CM$7,"뉴욕매입종가",VLOOKUP($BU$7,$BT$8:$BV$13,3,0),"FILL=TRUE"))),"",P15-IF($BU$7=1,_xll.IMDP("FX",$CA15&amp;CM$7,"BID직전가"),_xll.IMDP("FX",$CA15&amp;CM$7,"뉴욕매입종가",VLOOKUP($BU$7,$BT$8:$BV$13,3,0),"FILL=TRUE")))</f>
        <v>3.00000000000189E-4</v>
      </c>
      <c r="CN15" s="5">
        <f>IF(ISERROR(Q15-IF($BU$7=1,_xll.IMDP("FX",$CA15&amp;CN$7,"BID직전가"),_xll.IMDP("FX",$CA15&amp;CN$7,"뉴욕매입종가",VLOOKUP($BU$7,$BT$8:$BV$13,3,0),"FILL=TRUE"))),"",Q15-IF($BU$7=1,_xll.IMDP("FX",$CA15&amp;CN$7,"BID직전가"),_xll.IMDP("FX",$CA15&amp;CN$7,"뉴욕매입종가",VLOOKUP($BU$7,$BT$8:$BV$13,3,0),"FILL=TRUE")))</f>
        <v>3.00000000000189E-4</v>
      </c>
      <c r="CO15" s="5">
        <f>IF(ISERROR(R15-IF($BU$7=1,_xll.IMDP("FX",$CA15&amp;CO$7,"BID직전가"),_xll.IMDP("FX",$CA15&amp;CO$7,"뉴욕매입종가",VLOOKUP($BU$7,$BT$8:$BV$13,3,0),"FILL=TRUE"))),"",R15-IF($BU$7=1,_xll.IMDP("FX",$CA15&amp;CO$7,"BID직전가"),_xll.IMDP("FX",$CA15&amp;CO$7,"뉴욕매입종가",VLOOKUP($BU$7,$BT$8:$BV$13,3,0),"FILL=TRUE")))</f>
        <v>-1.4000000000002899E-3</v>
      </c>
      <c r="CP15" s="5">
        <f>IF(ISERROR(S15-IF($BU$7=1,_xll.IMDP("FX",$CA15&amp;CP$7,"BID직전가"),_xll.IMDP("FX",$CA15&amp;CP$7,"뉴욕매입종가",VLOOKUP($BU$7,$BT$8:$BV$13,3,0),"FILL=TRUE"))),"",S15-IF($BU$7=1,_xll.IMDP("FX",$CA15&amp;CP$7,"BID직전가"),_xll.IMDP("FX",$CA15&amp;CP$7,"뉴욕매입종가",VLOOKUP($BU$7,$BT$8:$BV$13,3,0),"FILL=TRUE")))</f>
        <v>-3.9999999999995595E-4</v>
      </c>
      <c r="CQ15" s="5">
        <f>IF(ISERROR(T15-IF($BU$7=1,_xll.IMDP("FX",$CA15&amp;CQ$7,"BID직전가"),_xll.IMDP("FX",$CA15&amp;CQ$7,"뉴욕매입종가",VLOOKUP($BU$7,$BT$8:$BV$13,3,0),"FILL=TRUE"))),"",T15-IF($BU$7=1,_xll.IMDP("FX",$CA15&amp;CQ$7,"BID직전가"),_xll.IMDP("FX",$CA15&amp;CQ$7,"뉴욕매입종가",VLOOKUP($BU$7,$BT$8:$BV$13,3,0),"FILL=TRUE")))</f>
        <v>-4.5</v>
      </c>
      <c r="CR15" s="5">
        <f>IF(ISERROR(U15-IF($BU$7=1,_xll.IMDP("FX",$CA15&amp;CR$7,"BID직전가"),_xll.IMDP("FX",$CA15&amp;CR$7,"뉴욕매입종가",VLOOKUP($BU$7,$BT$8:$BV$13,3,0),"FILL=TRUE"))),"",U15-IF($BU$7=1,_xll.IMDP("FX",$CA15&amp;CR$7,"BID직전가"),_xll.IMDP("FX",$CA15&amp;CR$7,"뉴욕매입종가",VLOOKUP($BU$7,$BT$8:$BV$13,3,0),"FILL=TRUE")))</f>
        <v>-1.3999999999998458E-3</v>
      </c>
      <c r="CS15" s="5">
        <f>IF(ISERROR(V15-IF($BU$7=1,_xll.IMDP("FX",$CA15&amp;CS$7,"BID직전가"),_xll.IMDP("FX",$CA15&amp;CS$7,"뉴욕매입종가",VLOOKUP($BU$7,$BT$8:$BV$13,3,0),"FILL=TRUE"))),"",V15-IF($BU$7=1,_xll.IMDP("FX",$CA15&amp;CS$7,"BID직전가"),_xll.IMDP("FX",$CA15&amp;CS$7,"뉴욕매입종가",VLOOKUP($BU$7,$BT$8:$BV$13,3,0),"FILL=TRUE")))</f>
        <v>-1.5999999999998238E-2</v>
      </c>
      <c r="CT15" s="5">
        <f>IF(ISERROR(W15-IF($BU$7=1,_xll.IMDP("FX",$CA15&amp;CT$7,"BID직전가"),_xll.IMDP("FX",$CA15&amp;CT$7,"뉴욕매입종가",VLOOKUP($BU$7,$BT$8:$BV$13,3,0),"FILL=TRUE"))),"",W15-IF($BU$7=1,_xll.IMDP("FX",$CA15&amp;CT$7,"BID직전가"),_xll.IMDP("FX",$CA15&amp;CT$7,"뉴욕매입종가",VLOOKUP($BU$7,$BT$8:$BV$13,3,0),"FILL=TRUE")))</f>
        <v>1.9999999999997797E-4</v>
      </c>
      <c r="CU15" s="5">
        <f>IF(ISERROR(X15-IF($BU$7=1,_xll.IMDP("FX",$CA15&amp;CU$7,"BID직전가"),_xll.IMDP("FX",$CA15&amp;CU$7,"뉴욕매입종가",VLOOKUP($BU$7,$BT$8:$BV$13,3,0),"FILL=TRUE"))),"",X15-IF($BU$7=1,_xll.IMDP("FX",$CA15&amp;CU$7,"BID직전가"),_xll.IMDP("FX",$CA15&amp;CU$7,"뉴욕매입종가",VLOOKUP($BU$7,$BT$8:$BV$13,3,0),"FILL=TRUE")))</f>
        <v>-1.699999999999946E-2</v>
      </c>
      <c r="CV15" s="54">
        <f>IF(ISERROR(Y15-IF($BU$7=1,_xll.IMDP("FX",$CA15&amp;CV$7,"BID직전가"),_xll.IMDP("FX",$CA15&amp;CV$7,"뉴욕매입종가",VLOOKUP($BU$7,$BT$8:$BV$13,3,0),"FILL=TRUE"))),"",Y15-IF($BU$7=1,_xll.IMDP("FX",$CA15&amp;CV$7,"BID직전가"),_xll.IMDP("FX",$CA15&amp;CV$7,"뉴욕매입종가",VLOOKUP($BU$7,$BT$8:$BV$13,3,0),"FILL=TRUE")))</f>
        <v>-9.0000000000003411E-3</v>
      </c>
    </row>
    <row r="16" spans="2:100" ht="17.25" customHeight="1" x14ac:dyDescent="0.25">
      <c r="B16" s="14">
        <v>11</v>
      </c>
      <c r="C16" s="11" t="str">
        <f t="shared" si="1"/>
        <v>CAD</v>
      </c>
      <c r="D16" s="25"/>
      <c r="E16" s="22">
        <f>_xll.IMDP("FX",$C16&amp;E$6,"매입")</f>
        <v>878.75</v>
      </c>
      <c r="F16" s="6">
        <f>_xll.IMDP("FX",$C16&amp;F$6,"매입")</f>
        <v>0.74329999999999996</v>
      </c>
      <c r="G16" s="6">
        <f>_xll.IMDP("FX",$C16&amp;G$6,"매입")</f>
        <v>0.66110000000000002</v>
      </c>
      <c r="H16" s="6">
        <f>_xll.IMDP("FX",$C16&amp;H$6,"매입")</f>
        <v>80.290000000000006</v>
      </c>
      <c r="I16" s="6">
        <f>_xll.IMDP("FX",$C16&amp;I$6,"매입")</f>
        <v>5.1379999999999999</v>
      </c>
      <c r="J16" s="6">
        <f>_xll.IMDP("FX",$C16&amp;J$6,"매입")</f>
        <v>5.1475</v>
      </c>
      <c r="K16" s="6">
        <f>_xll.IMDP("FX",$C16&amp;K$6,"매입")</f>
        <v>0.73870000000000002</v>
      </c>
      <c r="L16" s="6">
        <f>_xll.IMDP("FX",$C16&amp;L$6,"매입")</f>
        <v>1.0669</v>
      </c>
      <c r="M16" s="9" t="str">
        <f>_xll.IMDP("FX",$C16&amp;M$6,"매입")</f>
        <v/>
      </c>
      <c r="N16" s="6">
        <f>_xll.IMDP("FX",$C16&amp;N$6,"매입")</f>
        <v>7.0183999999999997</v>
      </c>
      <c r="O16" s="6">
        <f>_xll.IMDP("FX",$C16&amp;O$6,"매입")</f>
        <v>4.9379999999999997</v>
      </c>
      <c r="P16" s="6">
        <f>_xll.IMDP("FX",$C16&amp;P$6,"매입")</f>
        <v>2.8298999999999999</v>
      </c>
      <c r="Q16" s="6">
        <f>_xll.IMDP("FX",$C16&amp;Q$6,"매입")</f>
        <v>2.8906000000000001</v>
      </c>
      <c r="R16" s="6">
        <f>_xll.IMDP("FX",$C16&amp;R$6,"매입")</f>
        <v>14.661199999999999</v>
      </c>
      <c r="S16" s="6">
        <f>_xll.IMDP("FX",$C16&amp;S$6,"매입")</f>
        <v>5.8318000000000003</v>
      </c>
      <c r="T16" s="6">
        <f>_xll.IMDP("FX",$C16&amp;T$6,"매입")</f>
        <v>10613.2</v>
      </c>
      <c r="U16" s="6">
        <f>_xll.IMDP("FX",$C16&amp;U$6,"매입")</f>
        <v>3.1025</v>
      </c>
      <c r="V16" s="6">
        <f>_xll.IMDP("FX",$C16&amp;V$6,"매입")</f>
        <v>38.506</v>
      </c>
      <c r="W16" s="6">
        <f>_xll.IMDP("FX",$C16&amp;W$6,"매입")</f>
        <v>1.0182</v>
      </c>
      <c r="X16" s="6">
        <f>_xll.IMDP("FX",$C16&amp;X$6,"매입")</f>
        <v>23.334</v>
      </c>
      <c r="Y16" s="7">
        <f>_xll.IMDP("FX",$C16&amp;Y$6,"매입")</f>
        <v>23.391999999999999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U16" s="35">
        <f>_xll.IMDP("FX","USDEUR","매입")</f>
        <v>0.88890000000000002</v>
      </c>
      <c r="BV16" s="35">
        <f ca="1">_xll.IMDP("FX","USDEUR","뉴욕매입종가",BV9)</f>
        <v>0.88919999999999999</v>
      </c>
      <c r="BW16" s="49">
        <f ca="1">BU16-BV16</f>
        <v>-2.9999999999996696E-4</v>
      </c>
      <c r="BX16" s="39">
        <v>9</v>
      </c>
      <c r="BY16" s="39" t="s">
        <v>6</v>
      </c>
      <c r="CA16" s="53" t="str">
        <f t="shared" si="2"/>
        <v>CAD</v>
      </c>
      <c r="CB16" s="5">
        <f>IF(ISERROR(E16-IF($BU$7=1,_xll.IMDP("FX",$CA16&amp;CB$7,"BID직전가"),_xll.IMDP("FX",$CA16&amp;CB$7,"뉴욕매입종가",VLOOKUP($BU$7,$BT$8:$BV$13,3,0),"FILL=TRUE"))),"",E16-IF($BU$7=1,_xll.IMDP("FX",$CA16&amp;CB$7,"BID직전가"),_xll.IMDP("FX",$CA16&amp;CB$7,"뉴욕매입종가",VLOOKUP($BU$7,$BT$8:$BV$13,3,0),"FILL=TRUE")))</f>
        <v>-2.9999999999972715E-2</v>
      </c>
      <c r="CC16" s="5">
        <f>IF(ISERROR(F16-IF($BU$7=1,_xll.IMDP("FX",$CA16&amp;CC$7,"BID직전가"),_xll.IMDP("FX",$CA16&amp;CC$7,"뉴욕매입종가",VLOOKUP($BU$7,$BT$8:$BV$13,3,0),"FILL=TRUE"))),"",F16-IF($BU$7=1,_xll.IMDP("FX",$CA16&amp;CC$7,"BID직전가"),_xll.IMDP("FX",$CA16&amp;CC$7,"뉴욕매입종가",VLOOKUP($BU$7,$BT$8:$BV$13,3,0),"FILL=TRUE")))</f>
        <v>-4.0000000000006697E-4</v>
      </c>
      <c r="CD16" s="5">
        <f>IF(ISERROR(G16-IF($BU$7=1,_xll.IMDP("FX",$CA16&amp;CD$7,"BID직전가"),_xll.IMDP("FX",$CA16&amp;CD$7,"뉴욕매입종가",VLOOKUP($BU$7,$BT$8:$BV$13,3,0),"FILL=TRUE"))),"",G16-IF($BU$7=1,_xll.IMDP("FX",$CA16&amp;CD$7,"BID직전가"),_xll.IMDP("FX",$CA16&amp;CD$7,"뉴욕매입종가",VLOOKUP($BU$7,$BT$8:$BV$13,3,0),"FILL=TRUE")))</f>
        <v>0</v>
      </c>
      <c r="CE16" s="5">
        <f>IF(ISERROR(H16-IF($BU$7=1,_xll.IMDP("FX",$CA16&amp;CE$7,"BID직전가"),_xll.IMDP("FX",$CA16&amp;CE$7,"뉴욕매입종가",VLOOKUP($BU$7,$BT$8:$BV$13,3,0),"FILL=TRUE"))),"",H16-IF($BU$7=1,_xll.IMDP("FX",$CA16&amp;CE$7,"BID직전가"),_xll.IMDP("FX",$CA16&amp;CE$7,"뉴욕매입종가",VLOOKUP($BU$7,$BT$8:$BV$13,3,0),"FILL=TRUE")))</f>
        <v>-1.2000000000000455E-2</v>
      </c>
      <c r="CF16" s="5">
        <f>IF(ISERROR(I16-IF($BU$7=1,_xll.IMDP("FX",$CA16&amp;CF$7,"BID직전가"),_xll.IMDP("FX",$CA16&amp;CF$7,"뉴욕매입종가",VLOOKUP($BU$7,$BT$8:$BV$13,3,0),"FILL=TRUE"))),"",I16-IF($BU$7=1,_xll.IMDP("FX",$CA16&amp;CF$7,"BID직전가"),_xll.IMDP("FX",$CA16&amp;CF$7,"뉴욕매입종가",VLOOKUP($BU$7,$BT$8:$BV$13,3,0),"FILL=TRUE")))</f>
        <v>-3.00000000000189E-4</v>
      </c>
      <c r="CG16" s="5">
        <f>IF(ISERROR(J16-IF($BU$7=1,_xll.IMDP("FX",$CA16&amp;CG$7,"BID직전가"),_xll.IMDP("FX",$CA16&amp;CG$7,"뉴욕매입종가",VLOOKUP($BU$7,$BT$8:$BV$13,3,0),"FILL=TRUE"))),"",J16-IF($BU$7=1,_xll.IMDP("FX",$CA16&amp;CG$7,"BID직전가"),_xll.IMDP("FX",$CA16&amp;CG$7,"뉴욕매입종가",VLOOKUP($BU$7,$BT$8:$BV$13,3,0),"FILL=TRUE")))</f>
        <v>2.7999999999996916E-3</v>
      </c>
      <c r="CH16" s="5">
        <f>IF(ISERROR(K16-IF($BU$7=1,_xll.IMDP("FX",$CA16&amp;CH$7,"BID직전가"),_xll.IMDP("FX",$CA16&amp;CH$7,"뉴욕매입종가",VLOOKUP($BU$7,$BT$8:$BV$13,3,0),"FILL=TRUE"))),"",K16-IF($BU$7=1,_xll.IMDP("FX",$CA16&amp;CH$7,"BID직전가"),_xll.IMDP("FX",$CA16&amp;CH$7,"뉴욕매입종가",VLOOKUP($BU$7,$BT$8:$BV$13,3,0),"FILL=TRUE")))</f>
        <v>-9.9999999999988987E-5</v>
      </c>
      <c r="CI16" s="5">
        <f>IF(ISERROR(L16-IF($BU$7=1,_xll.IMDP("FX",$CA16&amp;CI$7,"BID직전가"),_xll.IMDP("FX",$CA16&amp;CI$7,"뉴욕매입종가",VLOOKUP($BU$7,$BT$8:$BV$13,3,0),"FILL=TRUE"))),"",L16-IF($BU$7=1,_xll.IMDP("FX",$CA16&amp;CI$7,"BID직전가"),_xll.IMDP("FX",$CA16&amp;CI$7,"뉴욕매입종가",VLOOKUP($BU$7,$BT$8:$BV$13,3,0),"FILL=TRUE")))</f>
        <v>6.9999999999992291E-4</v>
      </c>
      <c r="CJ16" s="48" t="str">
        <f>IF(ISERROR(M16-IF($BU$7=1,_xll.IMDP("FX",$CA16&amp;CJ$7,"BID직전가"),_xll.IMDP("FX",$CA16&amp;CJ$7,"뉴욕매입종가",VLOOKUP($BU$7,$BT$8:$BV$13,3,0),"FILL=TRUE"))),"",M16-IF($BU$7=1,_xll.IMDP("FX",$CA16&amp;CJ$7,"BID직전가"),_xll.IMDP("FX",$CA16&amp;CJ$7,"뉴욕매입종가",VLOOKUP($BU$7,$BT$8:$BV$13,3,0),"FILL=TRUE")))</f>
        <v/>
      </c>
      <c r="CK16" s="5">
        <f>IF(ISERROR(N16-IF($BU$7=1,_xll.IMDP("FX",$CA16&amp;CK$7,"BID직전가"),_xll.IMDP("FX",$CA16&amp;CK$7,"뉴욕매입종가",VLOOKUP($BU$7,$BT$8:$BV$13,3,0),"FILL=TRUE"))),"",N16-IF($BU$7=1,_xll.IMDP("FX",$CA16&amp;CK$7,"BID직전가"),_xll.IMDP("FX",$CA16&amp;CK$7,"뉴욕매입종가",VLOOKUP($BU$7,$BT$8:$BV$13,3,0),"FILL=TRUE")))</f>
        <v>-3.0000000000001137E-3</v>
      </c>
      <c r="CL16" s="5">
        <f>IF(ISERROR(O16-IF($BU$7=1,_xll.IMDP("FX",$CA16&amp;CL$7,"BID직전가"),_xll.IMDP("FX",$CA16&amp;CL$7,"뉴욕매입종가",VLOOKUP($BU$7,$BT$8:$BV$13,3,0),"FILL=TRUE"))),"",O16-IF($BU$7=1,_xll.IMDP("FX",$CA16&amp;CL$7,"BID직전가"),_xll.IMDP("FX",$CA16&amp;CL$7,"뉴욕매입종가",VLOOKUP($BU$7,$BT$8:$BV$13,3,0),"FILL=TRUE")))</f>
        <v>-7.0000000000014495E-4</v>
      </c>
      <c r="CM16" s="5">
        <f>IF(ISERROR(P16-IF($BU$7=1,_xll.IMDP("FX",$CA16&amp;CM$7,"BID직전가"),_xll.IMDP("FX",$CA16&amp;CM$7,"뉴욕매입종가",VLOOKUP($BU$7,$BT$8:$BV$13,3,0),"FILL=TRUE"))),"",P16-IF($BU$7=1,_xll.IMDP("FX",$CA16&amp;CM$7,"BID직전가"),_xll.IMDP("FX",$CA16&amp;CM$7,"뉴욕매입종가",VLOOKUP($BU$7,$BT$8:$BV$13,3,0),"FILL=TRUE")))</f>
        <v>4.9999999999972289E-4</v>
      </c>
      <c r="CN16" s="5">
        <f>IF(ISERROR(Q16-IF($BU$7=1,_xll.IMDP("FX",$CA16&amp;CN$7,"BID직전가"),_xll.IMDP("FX",$CA16&amp;CN$7,"뉴욕매입종가",VLOOKUP($BU$7,$BT$8:$BV$13,3,0),"FILL=TRUE"))),"",Q16-IF($BU$7=1,_xll.IMDP("FX",$CA16&amp;CN$7,"BID직전가"),_xll.IMDP("FX",$CA16&amp;CN$7,"뉴욕매입종가",VLOOKUP($BU$7,$BT$8:$BV$13,3,0),"FILL=TRUE")))</f>
        <v>-1.9999999999997797E-4</v>
      </c>
      <c r="CO16" s="5">
        <f>IF(ISERROR(R16-IF($BU$7=1,_xll.IMDP("FX",$CA16&amp;CO$7,"BID직전가"),_xll.IMDP("FX",$CA16&amp;CO$7,"뉴욕매입종가",VLOOKUP($BU$7,$BT$8:$BV$13,3,0),"FILL=TRUE"))),"",R16-IF($BU$7=1,_xll.IMDP("FX",$CA16&amp;CO$7,"BID직전가"),_xll.IMDP("FX",$CA16&amp;CO$7,"뉴욕매입종가",VLOOKUP($BU$7,$BT$8:$BV$13,3,0),"FILL=TRUE")))</f>
        <v>0</v>
      </c>
      <c r="CP16" s="5">
        <f>IF(ISERROR(S16-IF($BU$7=1,_xll.IMDP("FX",$CA16&amp;CP$7,"BID직전가"),_xll.IMDP("FX",$CA16&amp;CP$7,"뉴욕매입종가",VLOOKUP($BU$7,$BT$8:$BV$13,3,0),"FILL=TRUE"))),"",S16-IF($BU$7=1,_xll.IMDP("FX",$CA16&amp;CP$7,"BID직전가"),_xll.IMDP("FX",$CA16&amp;CP$7,"뉴욕매입종가",VLOOKUP($BU$7,$BT$8:$BV$13,3,0),"FILL=TRUE")))</f>
        <v>-3.9999999999995595E-4</v>
      </c>
      <c r="CQ16" s="5">
        <f>IF(ISERROR(T16-IF($BU$7=1,_xll.IMDP("FX",$CA16&amp;CQ$7,"BID직전가"),_xll.IMDP("FX",$CA16&amp;CQ$7,"뉴욕매입종가",VLOOKUP($BU$7,$BT$8:$BV$13,3,0),"FILL=TRUE"))),"",T16-IF($BU$7=1,_xll.IMDP("FX",$CA16&amp;CQ$7,"BID직전가"),_xll.IMDP("FX",$CA16&amp;CQ$7,"뉴욕매입종가",VLOOKUP($BU$7,$BT$8:$BV$13,3,0),"FILL=TRUE")))</f>
        <v>-0.7999999999992724</v>
      </c>
      <c r="CR16" s="5">
        <f>IF(ISERROR(U16-IF($BU$7=1,_xll.IMDP("FX",$CA16&amp;CR$7,"BID직전가"),_xll.IMDP("FX",$CA16&amp;CR$7,"뉴욕매입종가",VLOOKUP($BU$7,$BT$8:$BV$13,3,0),"FILL=TRUE"))),"",U16-IF($BU$7=1,_xll.IMDP("FX",$CA16&amp;CR$7,"BID직전가"),_xll.IMDP("FX",$CA16&amp;CR$7,"뉴욕매입종가",VLOOKUP($BU$7,$BT$8:$BV$13,3,0),"FILL=TRUE")))</f>
        <v>-1.9999999999997797E-4</v>
      </c>
      <c r="CS16" s="5">
        <f>IF(ISERROR(V16-IF($BU$7=1,_xll.IMDP("FX",$CA16&amp;CS$7,"BID직전가"),_xll.IMDP("FX",$CA16&amp;CS$7,"뉴욕매입종가",VLOOKUP($BU$7,$BT$8:$BV$13,3,0),"FILL=TRUE"))),"",V16-IF($BU$7=1,_xll.IMDP("FX",$CA16&amp;CS$7,"BID직전가"),_xll.IMDP("FX",$CA16&amp;CS$7,"뉴욕매입종가",VLOOKUP($BU$7,$BT$8:$BV$13,3,0),"FILL=TRUE")))</f>
        <v>-3.0000000000001137E-3</v>
      </c>
      <c r="CT16" s="5">
        <f>IF(ISERROR(W16-IF($BU$7=1,_xll.IMDP("FX",$CA16&amp;CT$7,"BID직전가"),_xll.IMDP("FX",$CA16&amp;CT$7,"뉴욕매입종가",VLOOKUP($BU$7,$BT$8:$BV$13,3,0),"FILL=TRUE"))),"",W16-IF($BU$7=1,_xll.IMDP("FX",$CA16&amp;CT$7,"BID직전가"),_xll.IMDP("FX",$CA16&amp;CT$7,"뉴욕매입종가",VLOOKUP($BU$7,$BT$8:$BV$13,3,0),"FILL=TRUE")))</f>
        <v>0</v>
      </c>
      <c r="CU16" s="5">
        <f>IF(ISERROR(X16-IF($BU$7=1,_xll.IMDP("FX",$CA16&amp;CU$7,"BID직전가"),_xll.IMDP("FX",$CA16&amp;CU$7,"뉴욕매입종가",VLOOKUP($BU$7,$BT$8:$BV$13,3,0),"FILL=TRUE"))),"",X16-IF($BU$7=1,_xll.IMDP("FX",$CA16&amp;CU$7,"BID직전가"),_xll.IMDP("FX",$CA16&amp;CU$7,"뉴욕매입종가",VLOOKUP($BU$7,$BT$8:$BV$13,3,0),"FILL=TRUE")))</f>
        <v>1.9999999999988916E-3</v>
      </c>
      <c r="CV16" s="54">
        <f>IF(ISERROR(Y16-IF($BU$7=1,_xll.IMDP("FX",$CA16&amp;CV$7,"BID직전가"),_xll.IMDP("FX",$CA16&amp;CV$7,"뉴욕매입종가",VLOOKUP($BU$7,$BT$8:$BV$13,3,0),"FILL=TRUE"))),"",Y16-IF($BU$7=1,_xll.IMDP("FX",$CA16&amp;CV$7,"BID직전가"),_xll.IMDP("FX",$CA16&amp;CV$7,"뉴욕매입종가",VLOOKUP($BU$7,$BT$8:$BV$13,3,0),"FILL=TRUE")))</f>
        <v>-1.0000000000012221E-3</v>
      </c>
    </row>
    <row r="17" spans="2:100" ht="17.25" customHeight="1" x14ac:dyDescent="0.25">
      <c r="B17" s="14">
        <v>51</v>
      </c>
      <c r="C17" s="11" t="str">
        <f t="shared" si="1"/>
        <v>SEK</v>
      </c>
      <c r="D17" s="25"/>
      <c r="E17" s="22">
        <f>_xll.IMDP("FX",$C17&amp;E$6,"매입")</f>
        <v>125.09</v>
      </c>
      <c r="F17" s="6">
        <f>_xll.IMDP("FX",$C17&amp;F$6,"매입")</f>
        <v>0.10539999999999999</v>
      </c>
      <c r="G17" s="6">
        <f>_xll.IMDP("FX",$C17&amp;G$6,"매입")</f>
        <v>9.3659999999999993E-2</v>
      </c>
      <c r="H17" s="6">
        <f>_xll.IMDP("FX",$C17&amp;H$6,"매입")</f>
        <v>11.426</v>
      </c>
      <c r="I17" s="6">
        <f>_xll.IMDP("FX",$C17&amp;I$6,"매입")</f>
        <v>0.72660000000000002</v>
      </c>
      <c r="J17" s="6">
        <f>_xll.IMDP("FX",$C17&amp;J$6,"매입")</f>
        <v>0.73050000000000004</v>
      </c>
      <c r="K17" s="6">
        <f>_xll.IMDP("FX",$C17&amp;K$6,"매입")</f>
        <v>10.51</v>
      </c>
      <c r="L17" s="6">
        <f>_xll.IMDP("FX",$C17&amp;L$6,"매입")</f>
        <v>0.15179000000000001</v>
      </c>
      <c r="M17" s="6">
        <f>_xll.IMDP("FX",$C17&amp;M$6,"매입")</f>
        <v>0.1414</v>
      </c>
      <c r="N17" s="9" t="str">
        <f>_xll.IMDP("FX",$C17&amp;N$6,"매입")</f>
        <v/>
      </c>
      <c r="O17" s="6">
        <f>_xll.IMDP("FX",$C17&amp;O$6,"매입")</f>
        <v>0.70299999999999996</v>
      </c>
      <c r="P17" s="6">
        <f>_xll.IMDP("FX",$C17&amp;P$6,"매입")</f>
        <v>0.4027</v>
      </c>
      <c r="Q17" s="6">
        <f>_xll.IMDP("FX",$C17&amp;Q$6,"매입")</f>
        <v>0.41155000000000003</v>
      </c>
      <c r="R17" s="6" t="str">
        <f>_xll.IMDP("FX",$C17&amp;R$6,"매입")</f>
        <v/>
      </c>
      <c r="S17" s="6">
        <f>_xll.IMDP("FX",$C17&amp;S$6,"매입")</f>
        <v>0.82799999999999996</v>
      </c>
      <c r="T17" s="6">
        <f>_xll.IMDP("FX",$C17&amp;T$6,"매입")</f>
        <v>1509.2</v>
      </c>
      <c r="U17" s="6" t="str">
        <f>_xll.IMDP("FX",$C17&amp;U$6,"매입")</f>
        <v/>
      </c>
      <c r="V17" s="6" t="str">
        <f>_xll.IMDP("FX",$C17&amp;V$6,"매입")</f>
        <v/>
      </c>
      <c r="W17" s="6">
        <f>_xll.IMDP("FX",$C17&amp;W$6,"매입")</f>
        <v>0.14446000000000001</v>
      </c>
      <c r="X17" s="6" t="str">
        <f>_xll.IMDP("FX",$C17&amp;X$6,"매입")</f>
        <v/>
      </c>
      <c r="Y17" s="7" t="str">
        <f>_xll.IMDP("FX",$C17&amp;Y$6,"매입")</f>
        <v/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37">
        <f>IF($BU$7=1,$BV$8,_xll.IMDP("FX",CA8&amp;CC7,"뉴욕매입종가",VLOOKUP($BU$7,$BT$8:$BV$13,3,0)))</f>
        <v>0</v>
      </c>
      <c r="BU17" s="37">
        <f>_xll.IMDP("FX","USDEUR","뉴욕종가대비")</f>
        <v>3.0000000000000003E-4</v>
      </c>
      <c r="BV17" s="37"/>
      <c r="BW17" s="37"/>
      <c r="BX17" s="39">
        <v>10</v>
      </c>
      <c r="BY17" s="39" t="s">
        <v>7</v>
      </c>
      <c r="CA17" s="53" t="str">
        <f t="shared" si="2"/>
        <v>SEK</v>
      </c>
      <c r="CB17" s="5">
        <f>IF(ISERROR(E17-IF($BU$7=1,_xll.IMDP("FX",$CA17&amp;CB$7,"BID직전가"),_xll.IMDP("FX",$CA17&amp;CB$7,"뉴욕매입종가",VLOOKUP($BU$7,$BT$8:$BV$13,3,0),"FILL=TRUE"))),"",E17-IF($BU$7=1,_xll.IMDP("FX",$CA17&amp;CB$7,"BID직전가"),_xll.IMDP("FX",$CA17&amp;CB$7,"뉴욕매입종가",VLOOKUP($BU$7,$BT$8:$BV$13,3,0),"FILL=TRUE")))</f>
        <v>1.0000000000005116E-2</v>
      </c>
      <c r="CC17" s="5">
        <f>IF(ISERROR(F17-IF($BU$7=1,_xll.IMDP("FX",$CA17&amp;CC$7,"BID직전가"),_xll.IMDP("FX",$CA17&amp;CC$7,"뉴욕매입종가",VLOOKUP($BU$7,$BT$8:$BV$13,3,0),"FILL=TRUE"))),"",F17-IF($BU$7=1,_xll.IMDP("FX",$CA17&amp;CC$7,"BID직전가"),_xll.IMDP("FX",$CA17&amp;CC$7,"뉴욕매입종가",VLOOKUP($BU$7,$BT$8:$BV$13,3,0),"FILL=TRUE")))</f>
        <v>0</v>
      </c>
      <c r="CD17" s="5">
        <f>IF(ISERROR(G17-IF($BU$7=1,_xll.IMDP("FX",$CA17&amp;CD$7,"BID직전가"),_xll.IMDP("FX",$CA17&amp;CD$7,"뉴욕매입종가",VLOOKUP($BU$7,$BT$8:$BV$13,3,0),"FILL=TRUE"))),"",G17-IF($BU$7=1,_xll.IMDP("FX",$CA17&amp;CD$7,"BID직전가"),_xll.IMDP("FX",$CA17&amp;CD$7,"뉴욕매입종가",VLOOKUP($BU$7,$BT$8:$BV$13,3,0),"FILL=TRUE")))</f>
        <v>9.9999999999961231E-6</v>
      </c>
      <c r="CE17" s="5">
        <f>IF(ISERROR(H17-IF($BU$7=1,_xll.IMDP("FX",$CA17&amp;CE$7,"BID직전가"),_xll.IMDP("FX",$CA17&amp;CE$7,"뉴욕매입종가",VLOOKUP($BU$7,$BT$8:$BV$13,3,0),"FILL=TRUE"))),"",H17-IF($BU$7=1,_xll.IMDP("FX",$CA17&amp;CE$7,"BID직전가"),_xll.IMDP("FX",$CA17&amp;CE$7,"뉴욕매입종가",VLOOKUP($BU$7,$BT$8:$BV$13,3,0),"FILL=TRUE")))</f>
        <v>-9.9999999999944578E-4</v>
      </c>
      <c r="CF17" s="5">
        <f>IF(ISERROR(I17-IF($BU$7=1,_xll.IMDP("FX",$CA17&amp;CF$7,"BID직전가"),_xll.IMDP("FX",$CA17&amp;CF$7,"뉴욕매입종가",VLOOKUP($BU$7,$BT$8:$BV$13,3,0),"FILL=TRUE"))),"",I17-IF($BU$7=1,_xll.IMDP("FX",$CA17&amp;CF$7,"BID직전가"),_xll.IMDP("FX",$CA17&amp;CF$7,"뉴욕매입종가",VLOOKUP($BU$7,$BT$8:$BV$13,3,0),"FILL=TRUE")))</f>
        <v>1.9999999999997797E-4</v>
      </c>
      <c r="CG17" s="5">
        <f>IF(ISERROR(J17-IF($BU$7=1,_xll.IMDP("FX",$CA17&amp;CG$7,"BID직전가"),_xll.IMDP("FX",$CA17&amp;CG$7,"뉴욕매입종가",VLOOKUP($BU$7,$BT$8:$BV$13,3,0),"FILL=TRUE"))),"",J17-IF($BU$7=1,_xll.IMDP("FX",$CA17&amp;CG$7,"BID직전가"),_xll.IMDP("FX",$CA17&amp;CG$7,"뉴욕매입종가",VLOOKUP($BU$7,$BT$8:$BV$13,3,0),"FILL=TRUE")))</f>
        <v>-9.9999999999988987E-5</v>
      </c>
      <c r="CH17" s="5">
        <f>IF(ISERROR(K17-IF($BU$7=1,_xll.IMDP("FX",$CA17&amp;CH$7,"BID직전가"),_xll.IMDP("FX",$CA17&amp;CH$7,"뉴욕매입종가",VLOOKUP($BU$7,$BT$8:$BV$13,3,0),"FILL=TRUE"))),"",K17-IF($BU$7=1,_xll.IMDP("FX",$CA17&amp;CH$7,"BID직전가"),_xll.IMDP("FX",$CA17&amp;CH$7,"뉴욕매입종가",VLOOKUP($BU$7,$BT$8:$BV$13,3,0),"FILL=TRUE")))</f>
        <v>0</v>
      </c>
      <c r="CI17" s="5">
        <f>IF(ISERROR(L17-IF($BU$7=1,_xll.IMDP("FX",$CA17&amp;CI$7,"BID직전가"),_xll.IMDP("FX",$CA17&amp;CI$7,"뉴욕매입종가",VLOOKUP($BU$7,$BT$8:$BV$13,3,0),"FILL=TRUE"))),"",L17-IF($BU$7=1,_xll.IMDP("FX",$CA17&amp;CI$7,"BID직전가"),_xll.IMDP("FX",$CA17&amp;CI$7,"뉴욕매입종가",VLOOKUP($BU$7,$BT$8:$BV$13,3,0),"FILL=TRUE")))</f>
        <v>4.0000000000012248E-5</v>
      </c>
      <c r="CJ17" s="5">
        <f>IF(ISERROR(M17-IF($BU$7=1,_xll.IMDP("FX",$CA17&amp;CJ$7,"BID직전가"),_xll.IMDP("FX",$CA17&amp;CJ$7,"뉴욕매입종가",VLOOKUP($BU$7,$BT$8:$BV$13,3,0),"FILL=TRUE"))),"",M17-IF($BU$7=1,_xll.IMDP("FX",$CA17&amp;CJ$7,"BID직전가"),_xll.IMDP("FX",$CA17&amp;CJ$7,"뉴욕매입종가",VLOOKUP($BU$7,$BT$8:$BV$13,3,0),"FILL=TRUE")))</f>
        <v>0</v>
      </c>
      <c r="CK17" s="48" t="str">
        <f>IF(ISERROR(N17-IF($BU$7=1,_xll.IMDP("FX",$CA17&amp;CK$7,"BID직전가"),_xll.IMDP("FX",$CA17&amp;CK$7,"뉴욕매입종가",VLOOKUP($BU$7,$BT$8:$BV$13,3,0),"FILL=TRUE"))),"",N17-IF($BU$7=1,_xll.IMDP("FX",$CA17&amp;CK$7,"BID직전가"),_xll.IMDP("FX",$CA17&amp;CK$7,"뉴욕매입종가",VLOOKUP($BU$7,$BT$8:$BV$13,3,0),"FILL=TRUE")))</f>
        <v/>
      </c>
      <c r="CL17" s="5">
        <f>IF(ISERROR(O17-IF($BU$7=1,_xll.IMDP("FX",$CA17&amp;CL$7,"BID직전가"),_xll.IMDP("FX",$CA17&amp;CL$7,"뉴욕매입종가",VLOOKUP($BU$7,$BT$8:$BV$13,3,0),"FILL=TRUE"))),"",O17-IF($BU$7=1,_xll.IMDP("FX",$CA17&amp;CL$7,"BID직전가"),_xll.IMDP("FX",$CA17&amp;CL$7,"뉴욕매입종가",VLOOKUP($BU$7,$BT$8:$BV$13,3,0),"FILL=TRUE")))</f>
        <v>1.9999999999997797E-4</v>
      </c>
      <c r="CM17" s="5">
        <f>IF(ISERROR(P17-IF($BU$7=1,_xll.IMDP("FX",$CA17&amp;CM$7,"BID직전가"),_xll.IMDP("FX",$CA17&amp;CM$7,"뉴욕매입종가",VLOOKUP($BU$7,$BT$8:$BV$13,3,0),"FILL=TRUE"))),"",P17-IF($BU$7=1,_xll.IMDP("FX",$CA17&amp;CM$7,"BID직전가"),_xll.IMDP("FX",$CA17&amp;CM$7,"뉴욕매입종가",VLOOKUP($BU$7,$BT$8:$BV$13,3,0),"FILL=TRUE")))</f>
        <v>0</v>
      </c>
      <c r="CN17" s="5">
        <f>IF(ISERROR(Q17-IF($BU$7=1,_xll.IMDP("FX",$CA17&amp;CN$7,"BID직전가"),_xll.IMDP("FX",$CA17&amp;CN$7,"뉴욕매입종가",VLOOKUP($BU$7,$BT$8:$BV$13,3,0),"FILL=TRUE"))),"",Q17-IF($BU$7=1,_xll.IMDP("FX",$CA17&amp;CN$7,"BID직전가"),_xll.IMDP("FX",$CA17&amp;CN$7,"뉴욕매입종가",VLOOKUP($BU$7,$BT$8:$BV$13,3,0),"FILL=TRUE")))</f>
        <v>1.0000000000010001E-5</v>
      </c>
      <c r="CO17" s="5" t="str">
        <f>IF(ISERROR(R17-IF($BU$7=1,_xll.IMDP("FX",$CA17&amp;CO$7,"BID직전가"),_xll.IMDP("FX",$CA17&amp;CO$7,"뉴욕매입종가",VLOOKUP($BU$7,$BT$8:$BV$13,3,0),"FILL=TRUE"))),"",R17-IF($BU$7=1,_xll.IMDP("FX",$CA17&amp;CO$7,"BID직전가"),_xll.IMDP("FX",$CA17&amp;CO$7,"뉴욕매입종가",VLOOKUP($BU$7,$BT$8:$BV$13,3,0),"FILL=TRUE")))</f>
        <v/>
      </c>
      <c r="CP17" s="5">
        <f>IF(ISERROR(S17-IF($BU$7=1,_xll.IMDP("FX",$CA17&amp;CP$7,"BID직전가"),_xll.IMDP("FX",$CA17&amp;CP$7,"뉴욕매입종가",VLOOKUP($BU$7,$BT$8:$BV$13,3,0),"FILL=TRUE"))),"",S17-IF($BU$7=1,_xll.IMDP("FX",$CA17&amp;CP$7,"BID직전가"),_xll.IMDP("FX",$CA17&amp;CP$7,"뉴욕매입종가",VLOOKUP($BU$7,$BT$8:$BV$13,3,0),"FILL=TRUE")))</f>
        <v>-9.9999999999988987E-5</v>
      </c>
      <c r="CQ17" s="5">
        <f>IF(ISERROR(T17-IF($BU$7=1,_xll.IMDP("FX",$CA17&amp;CQ$7,"BID직전가"),_xll.IMDP("FX",$CA17&amp;CQ$7,"뉴욕매입종가",VLOOKUP($BU$7,$BT$8:$BV$13,3,0),"FILL=TRUE"))),"",T17-IF($BU$7=1,_xll.IMDP("FX",$CA17&amp;CQ$7,"BID직전가"),_xll.IMDP("FX",$CA17&amp;CQ$7,"뉴욕매입종가",VLOOKUP($BU$7,$BT$8:$BV$13,3,0),"FILL=TRUE")))</f>
        <v>-9.9999999999909051E-2</v>
      </c>
      <c r="CR17" s="5" t="str">
        <f>IF(ISERROR(U17-IF($BU$7=1,_xll.IMDP("FX",$CA17&amp;CR$7,"BID직전가"),_xll.IMDP("FX",$CA17&amp;CR$7,"뉴욕매입종가",VLOOKUP($BU$7,$BT$8:$BV$13,3,0),"FILL=TRUE"))),"",U17-IF($BU$7=1,_xll.IMDP("FX",$CA17&amp;CR$7,"BID직전가"),_xll.IMDP("FX",$CA17&amp;CR$7,"뉴욕매입종가",VLOOKUP($BU$7,$BT$8:$BV$13,3,0),"FILL=TRUE")))</f>
        <v/>
      </c>
      <c r="CS17" s="5" t="str">
        <f>IF(ISERROR(V17-IF($BU$7=1,_xll.IMDP("FX",$CA17&amp;CS$7,"BID직전가"),_xll.IMDP("FX",$CA17&amp;CS$7,"뉴욕매입종가",VLOOKUP($BU$7,$BT$8:$BV$13,3,0),"FILL=TRUE"))),"",V17-IF($BU$7=1,_xll.IMDP("FX",$CA17&amp;CS$7,"BID직전가"),_xll.IMDP("FX",$CA17&amp;CS$7,"뉴욕매입종가",VLOOKUP($BU$7,$BT$8:$BV$13,3,0),"FILL=TRUE")))</f>
        <v/>
      </c>
      <c r="CT17" s="5">
        <f>IF(ISERROR(W17-IF($BU$7=1,_xll.IMDP("FX",$CA17&amp;CT$7,"BID직전가"),_xll.IMDP("FX",$CA17&amp;CT$7,"뉴욕매입종가",VLOOKUP($BU$7,$BT$8:$BV$13,3,0),"FILL=TRUE"))),"",W17-IF($BU$7=1,_xll.IMDP("FX",$CA17&amp;CT$7,"BID직전가"),_xll.IMDP("FX",$CA17&amp;CT$7,"뉴욕매입종가",VLOOKUP($BU$7,$BT$8:$BV$13,3,0),"FILL=TRUE")))</f>
        <v>0</v>
      </c>
      <c r="CU17" s="5" t="str">
        <f>IF(ISERROR(X17-IF($BU$7=1,_xll.IMDP("FX",$CA17&amp;CU$7,"BID직전가"),_xll.IMDP("FX",$CA17&amp;CU$7,"뉴욕매입종가",VLOOKUP($BU$7,$BT$8:$BV$13,3,0),"FILL=TRUE"))),"",X17-IF($BU$7=1,_xll.IMDP("FX",$CA17&amp;CU$7,"BID직전가"),_xll.IMDP("FX",$CA17&amp;CU$7,"뉴욕매입종가",VLOOKUP($BU$7,$BT$8:$BV$13,3,0),"FILL=TRUE")))</f>
        <v/>
      </c>
      <c r="CV17" s="54" t="str">
        <f>IF(ISERROR(Y17-IF($BU$7=1,_xll.IMDP("FX",$CA17&amp;CV$7,"BID직전가"),_xll.IMDP("FX",$CA17&amp;CV$7,"뉴욕매입종가",VLOOKUP($BU$7,$BT$8:$BV$13,3,0),"FILL=TRUE"))),"",Y17-IF($BU$7=1,_xll.IMDP("FX",$CA17&amp;CV$7,"BID직전가"),_xll.IMDP("FX",$CA17&amp;CV$7,"뉴욕매입종가",VLOOKUP($BU$7,$BT$8:$BV$13,3,0),"FILL=TRUE")))</f>
        <v/>
      </c>
    </row>
    <row r="18" spans="2:100" ht="17.25" customHeight="1" x14ac:dyDescent="0.25">
      <c r="B18" s="14">
        <v>19</v>
      </c>
      <c r="C18" s="11" t="str">
        <f t="shared" si="1"/>
        <v>DKK</v>
      </c>
      <c r="D18" s="25"/>
      <c r="E18" s="22">
        <f>_xll.IMDP("FX",$C18&amp;E$6,"매입")</f>
        <v>177.93</v>
      </c>
      <c r="F18" s="6">
        <f>_xll.IMDP("FX",$C18&amp;F$6,"매입")</f>
        <v>0.15010000000000001</v>
      </c>
      <c r="G18" s="6">
        <f>_xll.IMDP("FX",$C18&amp;G$6,"매입")</f>
        <v>0.13378999999999999</v>
      </c>
      <c r="H18" s="6">
        <f>_xll.IMDP("FX",$C18&amp;H$6,"매입")</f>
        <v>16.253</v>
      </c>
      <c r="I18" s="6" t="str">
        <f>_xll.IMDP("FX",$C18&amp;I$6,"매입")</f>
        <v/>
      </c>
      <c r="J18" s="6" t="str">
        <f>_xll.IMDP("FX",$C18&amp;J$6,"매입")</f>
        <v/>
      </c>
      <c r="K18" s="6">
        <f>_xll.IMDP("FX",$C18&amp;K$6,"매입")</f>
        <v>14.907999999999999</v>
      </c>
      <c r="L18" s="6">
        <f>_xll.IMDP("FX",$C18&amp;L$6,"매입")</f>
        <v>0.21592</v>
      </c>
      <c r="M18" s="6">
        <f>_xll.IMDP("FX",$C18&amp;M$6,"매입")</f>
        <v>0.2024</v>
      </c>
      <c r="N18" s="6">
        <f>_xll.IMDP("FX",$C18&amp;N$6,"매입")</f>
        <v>1.4221999999999999</v>
      </c>
      <c r="O18" s="9" t="str">
        <f>_xll.IMDP("FX",$C18&amp;O$6,"매입")</f>
        <v/>
      </c>
      <c r="P18" s="6">
        <f>_xll.IMDP("FX",$C18&amp;P$6,"매입")</f>
        <v>0.57272000000000001</v>
      </c>
      <c r="Q18" s="6">
        <f>_xll.IMDP("FX",$C18&amp;Q$6,"매입")</f>
        <v>0.58550999999999997</v>
      </c>
      <c r="R18" s="6" t="str">
        <f>_xll.IMDP("FX",$C18&amp;R$6,"매입")</f>
        <v/>
      </c>
      <c r="S18" s="6">
        <f>_xll.IMDP("FX",$C18&amp;S$6,"매입")</f>
        <v>1.1787000000000001</v>
      </c>
      <c r="T18" s="6">
        <f>_xll.IMDP("FX",$C18&amp;T$6,"매입")</f>
        <v>2147.5</v>
      </c>
      <c r="U18" s="6" t="str">
        <f>_xll.IMDP("FX",$C18&amp;U$6,"매입")</f>
        <v/>
      </c>
      <c r="V18" s="6" t="str">
        <f>_xll.IMDP("FX",$C18&amp;V$6,"매입")</f>
        <v/>
      </c>
      <c r="W18" s="6">
        <f>_xll.IMDP("FX",$C18&amp;W$6,"매입")</f>
        <v>0.20610000000000001</v>
      </c>
      <c r="X18" s="6">
        <f>_xll.IMDP("FX",$C18&amp;X$6,"매입")</f>
        <v>4.67</v>
      </c>
      <c r="Y18" s="7" t="str">
        <f>_xll.IMDP("FX",$C18&amp;Y$6,"매입")</f>
        <v/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42"/>
      <c r="BX18" s="39">
        <v>11</v>
      </c>
      <c r="BY18" s="39" t="s">
        <v>8</v>
      </c>
      <c r="CA18" s="53" t="str">
        <f t="shared" si="2"/>
        <v>DKK</v>
      </c>
      <c r="CB18" s="5">
        <f>IF(ISERROR(E18-IF($BU$7=1,_xll.IMDP("FX",$CA18&amp;CB$7,"BID직전가"),_xll.IMDP("FX",$CA18&amp;CB$7,"뉴욕매입종가",VLOOKUP($BU$7,$BT$8:$BV$13,3,0),"FILL=TRUE"))),"",E18-IF($BU$7=1,_xll.IMDP("FX",$CA18&amp;CB$7,"BID직전가"),_xll.IMDP("FX",$CA18&amp;CB$7,"뉴욕매입종가",VLOOKUP($BU$7,$BT$8:$BV$13,3,0),"FILL=TRUE")))</f>
        <v>0</v>
      </c>
      <c r="CC18" s="5">
        <f>IF(ISERROR(F18-IF($BU$7=1,_xll.IMDP("FX",$CA18&amp;CC$7,"BID직전가"),_xll.IMDP("FX",$CA18&amp;CC$7,"뉴욕매입종가",VLOOKUP($BU$7,$BT$8:$BV$13,3,0),"FILL=TRUE"))),"",F18-IF($BU$7=1,_xll.IMDP("FX",$CA18&amp;CC$7,"BID직전가"),_xll.IMDP("FX",$CA18&amp;CC$7,"뉴욕매입종가",VLOOKUP($BU$7,$BT$8:$BV$13,3,0),"FILL=TRUE")))</f>
        <v>-5.0000000000000044E-4</v>
      </c>
      <c r="CD18" s="5">
        <f>IF(ISERROR(G18-IF($BU$7=1,_xll.IMDP("FX",$CA18&amp;CD$7,"BID직전가"),_xll.IMDP("FX",$CA18&amp;CD$7,"뉴욕매입종가",VLOOKUP($BU$7,$BT$8:$BV$13,3,0),"FILL=TRUE"))),"",G18-IF($BU$7=1,_xll.IMDP("FX",$CA18&amp;CD$7,"BID직전가"),_xll.IMDP("FX",$CA18&amp;CD$7,"뉴욕매입종가",VLOOKUP($BU$7,$BT$8:$BV$13,3,0),"FILL=TRUE")))</f>
        <v>0</v>
      </c>
      <c r="CE18" s="5">
        <f>IF(ISERROR(H18-IF($BU$7=1,_xll.IMDP("FX",$CA18&amp;CE$7,"BID직전가"),_xll.IMDP("FX",$CA18&amp;CE$7,"뉴욕매입종가",VLOOKUP($BU$7,$BT$8:$BV$13,3,0),"FILL=TRUE"))),"",H18-IF($BU$7=1,_xll.IMDP("FX",$CA18&amp;CE$7,"BID직전가"),_xll.IMDP("FX",$CA18&amp;CE$7,"뉴욕매입종가",VLOOKUP($BU$7,$BT$8:$BV$13,3,0),"FILL=TRUE")))</f>
        <v>-3.0000000000001137E-3</v>
      </c>
      <c r="CF18" s="5" t="str">
        <f>IF(ISERROR(I18-IF($BU$7=1,_xll.IMDP("FX",$CA18&amp;CF$7,"BID직전가"),_xll.IMDP("FX",$CA18&amp;CF$7,"뉴욕매입종가",VLOOKUP($BU$7,$BT$8:$BV$13,3,0),"FILL=TRUE"))),"",I18-IF($BU$7=1,_xll.IMDP("FX",$CA18&amp;CF$7,"BID직전가"),_xll.IMDP("FX",$CA18&amp;CF$7,"뉴욕매입종가",VLOOKUP($BU$7,$BT$8:$BV$13,3,0),"FILL=TRUE")))</f>
        <v/>
      </c>
      <c r="CG18" s="5" t="str">
        <f>IF(ISERROR(J18-IF($BU$7=1,_xll.IMDP("FX",$CA18&amp;CG$7,"BID직전가"),_xll.IMDP("FX",$CA18&amp;CG$7,"뉴욕매입종가",VLOOKUP($BU$7,$BT$8:$BV$13,3,0),"FILL=TRUE"))),"",J18-IF($BU$7=1,_xll.IMDP("FX",$CA18&amp;CG$7,"BID직전가"),_xll.IMDP("FX",$CA18&amp;CG$7,"뉴욕매입종가",VLOOKUP($BU$7,$BT$8:$BV$13,3,0),"FILL=TRUE")))</f>
        <v/>
      </c>
      <c r="CH18" s="5">
        <f>IF(ISERROR(K18-IF($BU$7=1,_xll.IMDP("FX",$CA18&amp;CH$7,"BID직전가"),_xll.IMDP("FX",$CA18&amp;CH$7,"뉴욕매입종가",VLOOKUP($BU$7,$BT$8:$BV$13,3,0),"FILL=TRUE"))),"",K18-IF($BU$7=1,_xll.IMDP("FX",$CA18&amp;CH$7,"BID직전가"),_xll.IMDP("FX",$CA18&amp;CH$7,"뉴욕매입종가",VLOOKUP($BU$7,$BT$8:$BV$13,3,0),"FILL=TRUE")))</f>
        <v>-5.0000000000000711E-2</v>
      </c>
      <c r="CI18" s="5">
        <f>IF(ISERROR(L18-IF($BU$7=1,_xll.IMDP("FX",$CA18&amp;CI$7,"BID직전가"),_xll.IMDP("FX",$CA18&amp;CI$7,"뉴욕매입종가",VLOOKUP($BU$7,$BT$8:$BV$13,3,0),"FILL=TRUE"))),"",L18-IF($BU$7=1,_xll.IMDP("FX",$CA18&amp;CI$7,"BID직전가"),_xll.IMDP("FX",$CA18&amp;CI$7,"뉴욕매입종가",VLOOKUP($BU$7,$BT$8:$BV$13,3,0),"FILL=TRUE")))</f>
        <v>7.0000000000014495E-5</v>
      </c>
      <c r="CJ18" s="5">
        <f>IF(ISERROR(M18-IF($BU$7=1,_xll.IMDP("FX",$CA18&amp;CJ$7,"BID직전가"),_xll.IMDP("FX",$CA18&amp;CJ$7,"뉴욕매입종가",VLOOKUP($BU$7,$BT$8:$BV$13,3,0),"FILL=TRUE"))),"",M18-IF($BU$7=1,_xll.IMDP("FX",$CA18&amp;CJ$7,"BID직전가"),_xll.IMDP("FX",$CA18&amp;CJ$7,"뉴욕매입종가",VLOOKUP($BU$7,$BT$8:$BV$13,3,0),"FILL=TRUE")))</f>
        <v>0</v>
      </c>
      <c r="CK18" s="5">
        <f>IF(ISERROR(N18-IF($BU$7=1,_xll.IMDP("FX",$CA18&amp;CK$7,"BID직전가"),_xll.IMDP("FX",$CA18&amp;CK$7,"뉴욕매입종가",VLOOKUP($BU$7,$BT$8:$BV$13,3,0),"FILL=TRUE"))),"",N18-IF($BU$7=1,_xll.IMDP("FX",$CA18&amp;CK$7,"BID직전가"),_xll.IMDP("FX",$CA18&amp;CK$7,"뉴욕매입종가",VLOOKUP($BU$7,$BT$8:$BV$13,3,0),"FILL=TRUE")))</f>
        <v>0</v>
      </c>
      <c r="CL18" s="48" t="str">
        <f>IF(ISERROR(O18-IF($BU$7=1,_xll.IMDP("FX",$CA18&amp;CL$7,"BID직전가"),_xll.IMDP("FX",$CA18&amp;CL$7,"뉴욕매입종가",VLOOKUP($BU$7,$BT$8:$BV$13,3,0),"FILL=TRUE"))),"",O18-IF($BU$7=1,_xll.IMDP("FX",$CA18&amp;CL$7,"BID직전가"),_xll.IMDP("FX",$CA18&amp;CL$7,"뉴욕매입종가",VLOOKUP($BU$7,$BT$8:$BV$13,3,0),"FILL=TRUE")))</f>
        <v/>
      </c>
      <c r="CM18" s="5">
        <f>IF(ISERROR(P18-IF($BU$7=1,_xll.IMDP("FX",$CA18&amp;CM$7,"BID직전가"),_xll.IMDP("FX",$CA18&amp;CM$7,"뉴욕매입종가",VLOOKUP($BU$7,$BT$8:$BV$13,3,0),"FILL=TRUE"))),"",P18-IF($BU$7=1,_xll.IMDP("FX",$CA18&amp;CM$7,"BID직전가"),_xll.IMDP("FX",$CA18&amp;CM$7,"뉴욕매입종가",VLOOKUP($BU$7,$BT$8:$BV$13,3,0),"FILL=TRUE")))</f>
        <v>-7.9999999999968985E-5</v>
      </c>
      <c r="CN18" s="5">
        <f>IF(ISERROR(Q18-IF($BU$7=1,_xll.IMDP("FX",$CA18&amp;CN$7,"BID직전가"),_xll.IMDP("FX",$CA18&amp;CN$7,"뉴욕매입종가",VLOOKUP($BU$7,$BT$8:$BV$13,3,0),"FILL=TRUE"))),"",Q18-IF($BU$7=1,_xll.IMDP("FX",$CA18&amp;CN$7,"BID직전가"),_xll.IMDP("FX",$CA18&amp;CN$7,"뉴욕매입종가",VLOOKUP($BU$7,$BT$8:$BV$13,3,0),"FILL=TRUE")))</f>
        <v>-1.0000000000065512E-5</v>
      </c>
      <c r="CO18" s="5" t="str">
        <f>IF(ISERROR(R18-IF($BU$7=1,_xll.IMDP("FX",$CA18&amp;CO$7,"BID직전가"),_xll.IMDP("FX",$CA18&amp;CO$7,"뉴욕매입종가",VLOOKUP($BU$7,$BT$8:$BV$13,3,0),"FILL=TRUE"))),"",R18-IF($BU$7=1,_xll.IMDP("FX",$CA18&amp;CO$7,"BID직전가"),_xll.IMDP("FX",$CA18&amp;CO$7,"뉴욕매입종가",VLOOKUP($BU$7,$BT$8:$BV$13,3,0),"FILL=TRUE")))</f>
        <v/>
      </c>
      <c r="CP18" s="5">
        <f>IF(ISERROR(S18-IF($BU$7=1,_xll.IMDP("FX",$CA18&amp;CP$7,"BID직전가"),_xll.IMDP("FX",$CA18&amp;CP$7,"뉴욕매입종가",VLOOKUP($BU$7,$BT$8:$BV$13,3,0),"FILL=TRUE"))),"",S18-IF($BU$7=1,_xll.IMDP("FX",$CA18&amp;CP$7,"BID직전가"),_xll.IMDP("FX",$CA18&amp;CP$7,"뉴욕매입종가",VLOOKUP($BU$7,$BT$8:$BV$13,3,0),"FILL=TRUE")))</f>
        <v>-9.9999999999988987E-5</v>
      </c>
      <c r="CQ18" s="5">
        <f>IF(ISERROR(T18-IF($BU$7=1,_xll.IMDP("FX",$CA18&amp;CQ$7,"BID직전가"),_xll.IMDP("FX",$CA18&amp;CQ$7,"뉴욕매입종가",VLOOKUP($BU$7,$BT$8:$BV$13,3,0),"FILL=TRUE"))),"",T18-IF($BU$7=1,_xll.IMDP("FX",$CA18&amp;CQ$7,"BID직전가"),_xll.IMDP("FX",$CA18&amp;CQ$7,"뉴욕매입종가",VLOOKUP($BU$7,$BT$8:$BV$13,3,0),"FILL=TRUE")))</f>
        <v>-0.1999999999998181</v>
      </c>
      <c r="CR18" s="5" t="str">
        <f>IF(ISERROR(U18-IF($BU$7=1,_xll.IMDP("FX",$CA18&amp;CR$7,"BID직전가"),_xll.IMDP("FX",$CA18&amp;CR$7,"뉴욕매입종가",VLOOKUP($BU$7,$BT$8:$BV$13,3,0),"FILL=TRUE"))),"",U18-IF($BU$7=1,_xll.IMDP("FX",$CA18&amp;CR$7,"BID직전가"),_xll.IMDP("FX",$CA18&amp;CR$7,"뉴욕매입종가",VLOOKUP($BU$7,$BT$8:$BV$13,3,0),"FILL=TRUE")))</f>
        <v/>
      </c>
      <c r="CS18" s="5" t="str">
        <f>IF(ISERROR(V18-IF($BU$7=1,_xll.IMDP("FX",$CA18&amp;CS$7,"BID직전가"),_xll.IMDP("FX",$CA18&amp;CS$7,"뉴욕매입종가",VLOOKUP($BU$7,$BT$8:$BV$13,3,0),"FILL=TRUE"))),"",V18-IF($BU$7=1,_xll.IMDP("FX",$CA18&amp;CS$7,"BID직전가"),_xll.IMDP("FX",$CA18&amp;CS$7,"뉴욕매입종가",VLOOKUP($BU$7,$BT$8:$BV$13,3,0),"FILL=TRUE")))</f>
        <v/>
      </c>
      <c r="CT18" s="5">
        <f>IF(ISERROR(W18-IF($BU$7=1,_xll.IMDP("FX",$CA18&amp;CT$7,"BID직전가"),_xll.IMDP("FX",$CA18&amp;CT$7,"뉴욕매입종가",VLOOKUP($BU$7,$BT$8:$BV$13,3,0),"FILL=TRUE"))),"",W18-IF($BU$7=1,_xll.IMDP("FX",$CA18&amp;CT$7,"BID직전가"),_xll.IMDP("FX",$CA18&amp;CT$7,"뉴욕매입종가",VLOOKUP($BU$7,$BT$8:$BV$13,3,0),"FILL=TRUE")))</f>
        <v>2.0000000000000573E-4</v>
      </c>
      <c r="CU18" s="5">
        <f>IF(ISERROR(X18-IF($BU$7=1,_xll.IMDP("FX",$CA18&amp;CU$7,"BID직전가"),_xll.IMDP("FX",$CA18&amp;CU$7,"뉴욕매입종가",VLOOKUP($BU$7,$BT$8:$BV$13,3,0),"FILL=TRUE"))),"",X18-IF($BU$7=1,_xll.IMDP("FX",$CA18&amp;CU$7,"BID직전가"),_xll.IMDP("FX",$CA18&amp;CU$7,"뉴욕매입종가",VLOOKUP($BU$7,$BT$8:$BV$13,3,0),"FILL=TRUE")))</f>
        <v>-9.9999999999997868E-3</v>
      </c>
      <c r="CV18" s="54" t="str">
        <f>IF(ISERROR(Y18-IF($BU$7=1,_xll.IMDP("FX",$CA18&amp;CV$7,"BID직전가"),_xll.IMDP("FX",$CA18&amp;CV$7,"뉴욕매입종가",VLOOKUP($BU$7,$BT$8:$BV$13,3,0),"FILL=TRUE"))),"",Y18-IF($BU$7=1,_xll.IMDP("FX",$CA18&amp;CV$7,"BID직전가"),_xll.IMDP("FX",$CA18&amp;CV$7,"뉴욕매입종가",VLOOKUP($BU$7,$BT$8:$BV$13,3,0),"FILL=TRUE")))</f>
        <v/>
      </c>
    </row>
    <row r="19" spans="2:100" ht="17.25" customHeight="1" x14ac:dyDescent="0.25">
      <c r="B19" s="14">
        <v>47</v>
      </c>
      <c r="C19" s="11" t="str">
        <f t="shared" si="1"/>
        <v>PLN</v>
      </c>
      <c r="D19" s="25"/>
      <c r="E19" s="22">
        <f>_xll.IMDP("FX",$C19&amp;E$6,"매입")</f>
        <v>310.32</v>
      </c>
      <c r="F19" s="6">
        <f>_xll.IMDP("FX",$C19&amp;F$6,"매입")</f>
        <v>0.26235000000000003</v>
      </c>
      <c r="G19" s="6">
        <f>_xll.IMDP("FX",$C19&amp;G$6,"매입")</f>
        <v>0.23336000000000001</v>
      </c>
      <c r="H19" s="6">
        <f>_xll.IMDP("FX",$C19&amp;H$6,"매입")</f>
        <v>28.347999999999999</v>
      </c>
      <c r="I19" s="6">
        <f>_xll.IMDP("FX",$C19&amp;I$6,"매입")</f>
        <v>1.81</v>
      </c>
      <c r="J19" s="6" t="str">
        <f>_xll.IMDP("FX",$C19&amp;J$6,"매입")</f>
        <v/>
      </c>
      <c r="K19" s="6">
        <f>_xll.IMDP("FX",$C19&amp;K$6,"매입")</f>
        <v>0.26090000000000002</v>
      </c>
      <c r="L19" s="6">
        <f>_xll.IMDP("FX",$C19&amp;L$6,"매입")</f>
        <v>0.37642999999999999</v>
      </c>
      <c r="M19" s="6" t="str">
        <f>_xll.IMDP("FX",$C19&amp;M$6,"매입")</f>
        <v/>
      </c>
      <c r="N19" s="6">
        <f>_xll.IMDP("FX",$C19&amp;N$6,"매입")</f>
        <v>2.4794</v>
      </c>
      <c r="O19" s="6">
        <f>_xll.IMDP("FX",$C19&amp;O$6,"매입")</f>
        <v>1.7443</v>
      </c>
      <c r="P19" s="9" t="str">
        <f>_xll.IMDP("FX",$C19&amp;P$6,"매입")</f>
        <v/>
      </c>
      <c r="Q19" s="6" t="str">
        <f>_xll.IMDP("FX",$C19&amp;Q$6,"매입")</f>
        <v/>
      </c>
      <c r="R19" s="6" t="str">
        <f>_xll.IMDP("FX",$C19&amp;R$6,"매입")</f>
        <v/>
      </c>
      <c r="S19" s="6" t="str">
        <f>_xll.IMDP("FX",$C19&amp;S$6,"매입")</f>
        <v/>
      </c>
      <c r="T19" s="6" t="str">
        <f>_xll.IMDP("FX",$C19&amp;T$6,"매입")</f>
        <v/>
      </c>
      <c r="U19" s="6" t="str">
        <f>_xll.IMDP("FX",$C19&amp;U$6,"매입")</f>
        <v/>
      </c>
      <c r="V19" s="6" t="str">
        <f>_xll.IMDP("FX",$C19&amp;V$6,"매입")</f>
        <v/>
      </c>
      <c r="W19" s="6" t="str">
        <f>_xll.IMDP("FX",$C19&amp;W$6,"매입")</f>
        <v/>
      </c>
      <c r="X19" s="6">
        <f>_xll.IMDP("FX",$C19&amp;X$6,"매입")</f>
        <v>8.2421000000000006</v>
      </c>
      <c r="Y19" s="7" t="str">
        <f>_xll.IMDP("FX",$C19&amp;Y$6,"매입")</f>
        <v/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42"/>
      <c r="BU19" s="35">
        <f>_xll.IMDP("FX","USDEUR","매입")</f>
        <v>0.88890000000000002</v>
      </c>
      <c r="BV19" s="35">
        <f ca="1">_xll.IMDP("FX","USDEUR","뉴욕매입종가",BV10,"FILL=TRUE")</f>
        <v>0.8982</v>
      </c>
      <c r="BW19" s="49">
        <f ca="1">BU19-BV19</f>
        <v>-9.299999999999975E-3</v>
      </c>
      <c r="BX19" s="39">
        <v>12</v>
      </c>
      <c r="BY19" s="39" t="s">
        <v>9</v>
      </c>
      <c r="CA19" s="53" t="str">
        <f t="shared" si="2"/>
        <v>PLN</v>
      </c>
      <c r="CB19" s="5">
        <f>IF(ISERROR(E19-IF($BU$7=1,_xll.IMDP("FX",$CA19&amp;CB$7,"BID직전가"),_xll.IMDP("FX",$CA19&amp;CB$7,"뉴욕매입종가",VLOOKUP($BU$7,$BT$8:$BV$13,3,0),"FILL=TRUE"))),"",E19-IF($BU$7=1,_xll.IMDP("FX",$CA19&amp;CB$7,"BID직전가"),_xll.IMDP("FX",$CA19&amp;CB$7,"뉴욕매입종가",VLOOKUP($BU$7,$BT$8:$BV$13,3,0),"FILL=TRUE")))</f>
        <v>-9.9999999999909051E-3</v>
      </c>
      <c r="CC19" s="5">
        <f>IF(ISERROR(F19-IF($BU$7=1,_xll.IMDP("FX",$CA19&amp;CC$7,"BID직전가"),_xll.IMDP("FX",$CA19&amp;CC$7,"뉴욕매입종가",VLOOKUP($BU$7,$BT$8:$BV$13,3,0),"FILL=TRUE"))),"",F19-IF($BU$7=1,_xll.IMDP("FX",$CA19&amp;CC$7,"BID직전가"),_xll.IMDP("FX",$CA19&amp;CC$7,"뉴욕매입종가",VLOOKUP($BU$7,$BT$8:$BV$13,3,0),"FILL=TRUE")))</f>
        <v>1.0000000000010001E-5</v>
      </c>
      <c r="CD19" s="5">
        <f>IF(ISERROR(G19-IF($BU$7=1,_xll.IMDP("FX",$CA19&amp;CD$7,"BID직전가"),_xll.IMDP("FX",$CA19&amp;CD$7,"뉴욕매입종가",VLOOKUP($BU$7,$BT$8:$BV$13,3,0),"FILL=TRUE"))),"",G19-IF($BU$7=1,_xll.IMDP("FX",$CA19&amp;CD$7,"BID직전가"),_xll.IMDP("FX",$CA19&amp;CD$7,"뉴욕매입종가",VLOOKUP($BU$7,$BT$8:$BV$13,3,0),"FILL=TRUE")))</f>
        <v>4.0000000000012248E-5</v>
      </c>
      <c r="CE19" s="5">
        <f>IF(ISERROR(H19-IF($BU$7=1,_xll.IMDP("FX",$CA19&amp;CE$7,"BID직전가"),_xll.IMDP("FX",$CA19&amp;CE$7,"뉴욕매입종가",VLOOKUP($BU$7,$BT$8:$BV$13,3,0),"FILL=TRUE"))),"",H19-IF($BU$7=1,_xll.IMDP("FX",$CA19&amp;CE$7,"BID직전가"),_xll.IMDP("FX",$CA19&amp;CE$7,"뉴욕매입종가",VLOOKUP($BU$7,$BT$8:$BV$13,3,0),"FILL=TRUE")))</f>
        <v>-4.0000000000013358E-3</v>
      </c>
      <c r="CF19" s="5">
        <f>IF(ISERROR(I19-IF($BU$7=1,_xll.IMDP("FX",$CA19&amp;CF$7,"BID직전가"),_xll.IMDP("FX",$CA19&amp;CF$7,"뉴욕매입종가",VLOOKUP($BU$7,$BT$8:$BV$13,3,0),"FILL=TRUE"))),"",I19-IF($BU$7=1,_xll.IMDP("FX",$CA19&amp;CF$7,"BID직전가"),_xll.IMDP("FX",$CA19&amp;CF$7,"뉴욕매입종가",VLOOKUP($BU$7,$BT$8:$BV$13,3,0),"FILL=TRUE")))</f>
        <v>-9.9999999999988987E-5</v>
      </c>
      <c r="CG19" s="5" t="str">
        <f>IF(ISERROR(J19-IF($BU$7=1,_xll.IMDP("FX",$CA19&amp;CG$7,"BID직전가"),_xll.IMDP("FX",$CA19&amp;CG$7,"뉴욕매입종가",VLOOKUP($BU$7,$BT$8:$BV$13,3,0),"FILL=TRUE"))),"",J19-IF($BU$7=1,_xll.IMDP("FX",$CA19&amp;CG$7,"BID직전가"),_xll.IMDP("FX",$CA19&amp;CG$7,"뉴욕매입종가",VLOOKUP($BU$7,$BT$8:$BV$13,3,0),"FILL=TRUE")))</f>
        <v/>
      </c>
      <c r="CH19" s="5">
        <f>IF(ISERROR(K19-IF($BU$7=1,_xll.IMDP("FX",$CA19&amp;CH$7,"BID직전가"),_xll.IMDP("FX",$CA19&amp;CH$7,"뉴욕매입종가",VLOOKUP($BU$7,$BT$8:$BV$13,3,0),"FILL=TRUE"))),"",K19-IF($BU$7=1,_xll.IMDP("FX",$CA19&amp;CH$7,"BID직전가"),_xll.IMDP("FX",$CA19&amp;CH$7,"뉴욕매입종가",VLOOKUP($BU$7,$BT$8:$BV$13,3,0),"FILL=TRUE")))</f>
        <v>0</v>
      </c>
      <c r="CI19" s="5">
        <f>IF(ISERROR(L19-IF($BU$7=1,_xll.IMDP("FX",$CA19&amp;CI$7,"BID직전가"),_xll.IMDP("FX",$CA19&amp;CI$7,"뉴욕매입종가",VLOOKUP($BU$7,$BT$8:$BV$13,3,0),"FILL=TRUE"))),"",L19-IF($BU$7=1,_xll.IMDP("FX",$CA19&amp;CI$7,"BID직전가"),_xll.IMDP("FX",$CA19&amp;CI$7,"뉴욕매입종가",VLOOKUP($BU$7,$BT$8:$BV$13,3,0),"FILL=TRUE")))</f>
        <v>-6.0000000000004494E-5</v>
      </c>
      <c r="CJ19" s="5" t="str">
        <f>IF(ISERROR(M19-IF($BU$7=1,_xll.IMDP("FX",$CA19&amp;CJ$7,"BID직전가"),_xll.IMDP("FX",$CA19&amp;CJ$7,"뉴욕매입종가",VLOOKUP($BU$7,$BT$8:$BV$13,3,0),"FILL=TRUE"))),"",M19-IF($BU$7=1,_xll.IMDP("FX",$CA19&amp;CJ$7,"BID직전가"),_xll.IMDP("FX",$CA19&amp;CJ$7,"뉴욕매입종가",VLOOKUP($BU$7,$BT$8:$BV$13,3,0),"FILL=TRUE")))</f>
        <v/>
      </c>
      <c r="CK19" s="5">
        <f>IF(ISERROR(N19-IF($BU$7=1,_xll.IMDP("FX",$CA19&amp;CK$7,"BID직전가"),_xll.IMDP("FX",$CA19&amp;CK$7,"뉴욕매입종가",VLOOKUP($BU$7,$BT$8:$BV$13,3,0),"FILL=TRUE"))),"",N19-IF($BU$7=1,_xll.IMDP("FX",$CA19&amp;CK$7,"BID직전가"),_xll.IMDP("FX",$CA19&amp;CK$7,"뉴욕매입종가",VLOOKUP($BU$7,$BT$8:$BV$13,3,0),"FILL=TRUE")))</f>
        <v>1.7000000000000348E-3</v>
      </c>
      <c r="CL19" s="5">
        <f>IF(ISERROR(O19-IF($BU$7=1,_xll.IMDP("FX",$CA19&amp;CL$7,"BID직전가"),_xll.IMDP("FX",$CA19&amp;CL$7,"뉴욕매입종가",VLOOKUP($BU$7,$BT$8:$BV$13,3,0),"FILL=TRUE"))),"",O19-IF($BU$7=1,_xll.IMDP("FX",$CA19&amp;CL$7,"BID직전가"),_xll.IMDP("FX",$CA19&amp;CL$7,"뉴욕매입종가",VLOOKUP($BU$7,$BT$8:$BV$13,3,0),"FILL=TRUE")))</f>
        <v>6.9999999999992291E-4</v>
      </c>
      <c r="CM19" s="48" t="str">
        <f>IF(ISERROR(P19-IF($BU$7=1,_xll.IMDP("FX",$CA19&amp;CM$7,"BID직전가"),_xll.IMDP("FX",$CA19&amp;CM$7,"뉴욕매입종가",VLOOKUP($BU$7,$BT$8:$BV$13,3,0),"FILL=TRUE"))),"",P19-IF($BU$7=1,_xll.IMDP("FX",$CA19&amp;CM$7,"BID직전가"),_xll.IMDP("FX",$CA19&amp;CM$7,"뉴욕매입종가",VLOOKUP($BU$7,$BT$8:$BV$13,3,0),"FILL=TRUE")))</f>
        <v/>
      </c>
      <c r="CN19" s="5" t="str">
        <f>IF(ISERROR(Q19-IF($BU$7=1,_xll.IMDP("FX",$CA19&amp;CN$7,"BID직전가"),_xll.IMDP("FX",$CA19&amp;CN$7,"뉴욕매입종가",VLOOKUP($BU$7,$BT$8:$BV$13,3,0),"FILL=TRUE"))),"",Q19-IF($BU$7=1,_xll.IMDP("FX",$CA19&amp;CN$7,"BID직전가"),_xll.IMDP("FX",$CA19&amp;CN$7,"뉴욕매입종가",VLOOKUP($BU$7,$BT$8:$BV$13,3,0),"FILL=TRUE")))</f>
        <v/>
      </c>
      <c r="CO19" s="5" t="str">
        <f>IF(ISERROR(R19-IF($BU$7=1,_xll.IMDP("FX",$CA19&amp;CO$7,"BID직전가"),_xll.IMDP("FX",$CA19&amp;CO$7,"뉴욕매입종가",VLOOKUP($BU$7,$BT$8:$BV$13,3,0),"FILL=TRUE"))),"",R19-IF($BU$7=1,_xll.IMDP("FX",$CA19&amp;CO$7,"BID직전가"),_xll.IMDP("FX",$CA19&amp;CO$7,"뉴욕매입종가",VLOOKUP($BU$7,$BT$8:$BV$13,3,0),"FILL=TRUE")))</f>
        <v/>
      </c>
      <c r="CP19" s="5" t="str">
        <f>IF(ISERROR(S19-IF($BU$7=1,_xll.IMDP("FX",$CA19&amp;CP$7,"BID직전가"),_xll.IMDP("FX",$CA19&amp;CP$7,"뉴욕매입종가",VLOOKUP($BU$7,$BT$8:$BV$13,3,0),"FILL=TRUE"))),"",S19-IF($BU$7=1,_xll.IMDP("FX",$CA19&amp;CP$7,"BID직전가"),_xll.IMDP("FX",$CA19&amp;CP$7,"뉴욕매입종가",VLOOKUP($BU$7,$BT$8:$BV$13,3,0),"FILL=TRUE")))</f>
        <v/>
      </c>
      <c r="CQ19" s="5" t="str">
        <f>IF(ISERROR(T19-IF($BU$7=1,_xll.IMDP("FX",$CA19&amp;CQ$7,"BID직전가"),_xll.IMDP("FX",$CA19&amp;CQ$7,"뉴욕매입종가",VLOOKUP($BU$7,$BT$8:$BV$13,3,0),"FILL=TRUE"))),"",T19-IF($BU$7=1,_xll.IMDP("FX",$CA19&amp;CQ$7,"BID직전가"),_xll.IMDP("FX",$CA19&amp;CQ$7,"뉴욕매입종가",VLOOKUP($BU$7,$BT$8:$BV$13,3,0),"FILL=TRUE")))</f>
        <v/>
      </c>
      <c r="CR19" s="5" t="str">
        <f>IF(ISERROR(U19-IF($BU$7=1,_xll.IMDP("FX",$CA19&amp;CR$7,"BID직전가"),_xll.IMDP("FX",$CA19&amp;CR$7,"뉴욕매입종가",VLOOKUP($BU$7,$BT$8:$BV$13,3,0),"FILL=TRUE"))),"",U19-IF($BU$7=1,_xll.IMDP("FX",$CA19&amp;CR$7,"BID직전가"),_xll.IMDP("FX",$CA19&amp;CR$7,"뉴욕매입종가",VLOOKUP($BU$7,$BT$8:$BV$13,3,0),"FILL=TRUE")))</f>
        <v/>
      </c>
      <c r="CS19" s="5" t="str">
        <f>IF(ISERROR(V19-IF($BU$7=1,_xll.IMDP("FX",$CA19&amp;CS$7,"BID직전가"),_xll.IMDP("FX",$CA19&amp;CS$7,"뉴욕매입종가",VLOOKUP($BU$7,$BT$8:$BV$13,3,0),"FILL=TRUE"))),"",V19-IF($BU$7=1,_xll.IMDP("FX",$CA19&amp;CS$7,"BID직전가"),_xll.IMDP("FX",$CA19&amp;CS$7,"뉴욕매입종가",VLOOKUP($BU$7,$BT$8:$BV$13,3,0),"FILL=TRUE")))</f>
        <v/>
      </c>
      <c r="CT19" s="5" t="str">
        <f>IF(ISERROR(W19-IF($BU$7=1,_xll.IMDP("FX",$CA19&amp;CT$7,"BID직전가"),_xll.IMDP("FX",$CA19&amp;CT$7,"뉴욕매입종가",VLOOKUP($BU$7,$BT$8:$BV$13,3,0),"FILL=TRUE"))),"",W19-IF($BU$7=1,_xll.IMDP("FX",$CA19&amp;CT$7,"BID직전가"),_xll.IMDP("FX",$CA19&amp;CT$7,"뉴욕매입종가",VLOOKUP($BU$7,$BT$8:$BV$13,3,0),"FILL=TRUE")))</f>
        <v/>
      </c>
      <c r="CU19" s="5">
        <f>IF(ISERROR(X19-IF($BU$7=1,_xll.IMDP("FX",$CA19&amp;CU$7,"BID직전가"),_xll.IMDP("FX",$CA19&amp;CU$7,"뉴욕매입종가",VLOOKUP($BU$7,$BT$8:$BV$13,3,0),"FILL=TRUE"))),"",X19-IF($BU$7=1,_xll.IMDP("FX",$CA19&amp;CU$7,"BID직전가"),_xll.IMDP("FX",$CA19&amp;CU$7,"뉴욕매입종가",VLOOKUP($BU$7,$BT$8:$BV$13,3,0),"FILL=TRUE")))</f>
        <v>3.3000000000011909E-3</v>
      </c>
      <c r="CV19" s="54" t="str">
        <f>IF(ISERROR(Y19-IF($BU$7=1,_xll.IMDP("FX",$CA19&amp;CV$7,"BID직전가"),_xll.IMDP("FX",$CA19&amp;CV$7,"뉴욕매입종가",VLOOKUP($BU$7,$BT$8:$BV$13,3,0),"FILL=TRUE"))),"",Y19-IF($BU$7=1,_xll.IMDP("FX",$CA19&amp;CV$7,"BID직전가"),_xll.IMDP("FX",$CA19&amp;CV$7,"뉴욕매입종가",VLOOKUP($BU$7,$BT$8:$BV$13,3,0),"FILL=TRUE")))</f>
        <v/>
      </c>
    </row>
    <row r="20" spans="2:100" ht="17.25" customHeight="1" x14ac:dyDescent="0.25">
      <c r="B20" s="14">
        <v>10</v>
      </c>
      <c r="C20" s="11" t="str">
        <f t="shared" si="1"/>
        <v>BRL</v>
      </c>
      <c r="D20" s="25"/>
      <c r="E20" s="22">
        <f>_xll.IMDP("FX",$C20&amp;E$6,"매입")</f>
        <v>303.66000000000003</v>
      </c>
      <c r="F20" s="6">
        <f>_xll.IMDP("FX",$C20&amp;F$6,"매입")</f>
        <v>0.25669999999999998</v>
      </c>
      <c r="G20" s="6">
        <f>_xll.IMDP("FX",$C20&amp;G$6,"매입")</f>
        <v>0.22842999999999999</v>
      </c>
      <c r="H20" s="6">
        <f>_xll.IMDP("FX",$C20&amp;H$6,"매입")</f>
        <v>27.768000000000001</v>
      </c>
      <c r="I20" s="6">
        <f>_xll.IMDP("FX",$C20&amp;I$6,"매입")</f>
        <v>1.7750999999999999</v>
      </c>
      <c r="J20" s="6" t="str">
        <f>_xll.IMDP("FX",$C20&amp;J$6,"매입")</f>
        <v/>
      </c>
      <c r="K20" s="6">
        <f>_xll.IMDP("FX",$C20&amp;K$6,"매입")</f>
        <v>0.25530000000000003</v>
      </c>
      <c r="L20" s="6">
        <f>_xll.IMDP("FX",$C20&amp;L$6,"매입")</f>
        <v>0.36869000000000002</v>
      </c>
      <c r="M20" s="6" t="str">
        <f>_xll.IMDP("FX",$C20&amp;M$6,"매입")</f>
        <v/>
      </c>
      <c r="N20" s="6">
        <f>_xll.IMDP("FX",$C20&amp;N$6,"매입")</f>
        <v>2.4182999999999999</v>
      </c>
      <c r="O20" s="6">
        <f>_xll.IMDP("FX",$C20&amp;O$6,"매입")</f>
        <v>1.7053</v>
      </c>
      <c r="P20" s="6" t="str">
        <f>_xll.IMDP("FX",$C20&amp;P$6,"매입")</f>
        <v/>
      </c>
      <c r="Q20" s="9" t="str">
        <f>_xll.IMDP("FX",$C20&amp;Q$6,"매입")</f>
        <v/>
      </c>
      <c r="R20" s="6">
        <f>_xll.IMDP("FX",$C20&amp;R$6,"매입")</f>
        <v>5.0726000000000004</v>
      </c>
      <c r="S20" s="6">
        <f>_xll.IMDP("FX",$C20&amp;S$6,"매입")</f>
        <v>2.0152000000000001</v>
      </c>
      <c r="T20" s="6">
        <f>_xll.IMDP("FX",$C20&amp;T$6,"매입")</f>
        <v>3671</v>
      </c>
      <c r="U20" s="6">
        <f>_xll.IMDP("FX",$C20&amp;U$6,"매입")</f>
        <v>1.0690999999999999</v>
      </c>
      <c r="V20" s="6" t="str">
        <f>_xll.IMDP("FX",$C20&amp;V$6,"매입")</f>
        <v/>
      </c>
      <c r="W20" s="6">
        <f>_xll.IMDP("FX",$C20&amp;W$6,"매입")</f>
        <v>0.35045999999999999</v>
      </c>
      <c r="X20" s="6" t="str">
        <f>_xll.IMDP("FX",$C20&amp;X$6,"매입")</f>
        <v/>
      </c>
      <c r="Y20" s="7">
        <f>_xll.IMDP("FX",$C20&amp;Y$6,"매입")</f>
        <v>8.0419999999999998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42"/>
      <c r="BU20" s="35">
        <f>_xll.IMDP("FX","USDCAD","매입")</f>
        <v>1.3444</v>
      </c>
      <c r="BV20" s="35">
        <f ca="1">_xll.IMDP("FX","USDCAD","뉴욕매입종가",BV9)</f>
        <v>1.3434999999999999</v>
      </c>
      <c r="BW20" s="49">
        <f ca="1">BU20-BV20</f>
        <v>9.0000000000012292E-4</v>
      </c>
      <c r="BX20" s="39">
        <v>13</v>
      </c>
      <c r="BY20" s="39" t="s">
        <v>10</v>
      </c>
      <c r="CA20" s="53" t="str">
        <f t="shared" si="2"/>
        <v>BRL</v>
      </c>
      <c r="CB20" s="5">
        <f>IF(ISERROR(E20-IF($BU$7=1,_xll.IMDP("FX",$CA20&amp;CB$7,"BID직전가"),_xll.IMDP("FX",$CA20&amp;CB$7,"뉴욕매입종가",VLOOKUP($BU$7,$BT$8:$BV$13,3,0),"FILL=TRUE"))),"",E20-IF($BU$7=1,_xll.IMDP("FX",$CA20&amp;CB$7,"BID직전가"),_xll.IMDP("FX",$CA20&amp;CB$7,"뉴욕매입종가",VLOOKUP($BU$7,$BT$8:$BV$13,3,0),"FILL=TRUE")))</f>
        <v>0.41000000000002501</v>
      </c>
      <c r="CC20" s="5">
        <f>IF(ISERROR(F20-IF($BU$7=1,_xll.IMDP("FX",$CA20&amp;CC$7,"BID직전가"),_xll.IMDP("FX",$CA20&amp;CC$7,"뉴욕매입종가",VLOOKUP($BU$7,$BT$8:$BV$13,3,0),"FILL=TRUE"))),"",F20-IF($BU$7=1,_xll.IMDP("FX",$CA20&amp;CC$7,"BID직전가"),_xll.IMDP("FX",$CA20&amp;CC$7,"뉴욕매입종가",VLOOKUP($BU$7,$BT$8:$BV$13,3,0),"FILL=TRUE")))</f>
        <v>0</v>
      </c>
      <c r="CD20" s="5">
        <f>IF(ISERROR(G20-IF($BU$7=1,_xll.IMDP("FX",$CA20&amp;CD$7,"BID직전가"),_xll.IMDP("FX",$CA20&amp;CD$7,"뉴욕매입종가",VLOOKUP($BU$7,$BT$8:$BV$13,3,0),"FILL=TRUE"))),"",G20-IF($BU$7=1,_xll.IMDP("FX",$CA20&amp;CD$7,"BID직전가"),_xll.IMDP("FX",$CA20&amp;CD$7,"뉴욕매입종가",VLOOKUP($BU$7,$BT$8:$BV$13,3,0),"FILL=TRUE")))</f>
        <v>0</v>
      </c>
      <c r="CE20" s="5">
        <f>IF(ISERROR(H20-IF($BU$7=1,_xll.IMDP("FX",$CA20&amp;CE$7,"BID직전가"),_xll.IMDP("FX",$CA20&amp;CE$7,"뉴욕매입종가",VLOOKUP($BU$7,$BT$8:$BV$13,3,0),"FILL=TRUE"))),"",H20-IF($BU$7=1,_xll.IMDP("FX",$CA20&amp;CE$7,"BID직전가"),_xll.IMDP("FX",$CA20&amp;CE$7,"뉴욕매입종가",VLOOKUP($BU$7,$BT$8:$BV$13,3,0),"FILL=TRUE")))</f>
        <v>-4.9999999999990052E-3</v>
      </c>
      <c r="CF20" s="5">
        <f>IF(ISERROR(I20-IF($BU$7=1,_xll.IMDP("FX",$CA20&amp;CF$7,"BID직전가"),_xll.IMDP("FX",$CA20&amp;CF$7,"뉴욕매입종가",VLOOKUP($BU$7,$BT$8:$BV$13,3,0),"FILL=TRUE"))),"",I20-IF($BU$7=1,_xll.IMDP("FX",$CA20&amp;CF$7,"BID직전가"),_xll.IMDP("FX",$CA20&amp;CF$7,"뉴욕매입종가",VLOOKUP($BU$7,$BT$8:$BV$13,3,0),"FILL=TRUE")))</f>
        <v>9.9999999999988987E-5</v>
      </c>
      <c r="CG20" s="5" t="str">
        <f>IF(ISERROR(J20-IF($BU$7=1,_xll.IMDP("FX",$CA20&amp;CG$7,"BID직전가"),_xll.IMDP("FX",$CA20&amp;CG$7,"뉴욕매입종가",VLOOKUP($BU$7,$BT$8:$BV$13,3,0),"FILL=TRUE"))),"",J20-IF($BU$7=1,_xll.IMDP("FX",$CA20&amp;CG$7,"BID직전가"),_xll.IMDP("FX",$CA20&amp;CG$7,"뉴욕매입종가",VLOOKUP($BU$7,$BT$8:$BV$13,3,0),"FILL=TRUE")))</f>
        <v/>
      </c>
      <c r="CH20" s="5">
        <f>IF(ISERROR(K20-IF($BU$7=1,_xll.IMDP("FX",$CA20&amp;CH$7,"BID직전가"),_xll.IMDP("FX",$CA20&amp;CH$7,"뉴욕매입종가",VLOOKUP($BU$7,$BT$8:$BV$13,3,0),"FILL=TRUE"))),"",K20-IF($BU$7=1,_xll.IMDP("FX",$CA20&amp;CH$7,"BID직전가"),_xll.IMDP("FX",$CA20&amp;CH$7,"뉴욕매입종가",VLOOKUP($BU$7,$BT$8:$BV$13,3,0),"FILL=TRUE")))</f>
        <v>-2.9999999999974492E-5</v>
      </c>
      <c r="CI20" s="5">
        <f>IF(ISERROR(L20-IF($BU$7=1,_xll.IMDP("FX",$CA20&amp;CI$7,"BID직전가"),_xll.IMDP("FX",$CA20&amp;CI$7,"뉴욕매입종가",VLOOKUP($BU$7,$BT$8:$BV$13,3,0),"FILL=TRUE"))),"",L20-IF($BU$7=1,_xll.IMDP("FX",$CA20&amp;CI$7,"BID직전가"),_xll.IMDP("FX",$CA20&amp;CI$7,"뉴욕매입종가",VLOOKUP($BU$7,$BT$8:$BV$13,3,0),"FILL=TRUE")))</f>
        <v>-1.9999999999964491E-5</v>
      </c>
      <c r="CJ20" s="5" t="str">
        <f>IF(ISERROR(M20-IF($BU$7=1,_xll.IMDP("FX",$CA20&amp;CJ$7,"BID직전가"),_xll.IMDP("FX",$CA20&amp;CJ$7,"뉴욕매입종가",VLOOKUP($BU$7,$BT$8:$BV$13,3,0),"FILL=TRUE"))),"",M20-IF($BU$7=1,_xll.IMDP("FX",$CA20&amp;CJ$7,"BID직전가"),_xll.IMDP("FX",$CA20&amp;CJ$7,"뉴욕매입종가",VLOOKUP($BU$7,$BT$8:$BV$13,3,0),"FILL=TRUE")))</f>
        <v/>
      </c>
      <c r="CK20" s="5">
        <f>IF(ISERROR(N20-IF($BU$7=1,_xll.IMDP("FX",$CA20&amp;CK$7,"BID직전가"),_xll.IMDP("FX",$CA20&amp;CK$7,"뉴욕매입종가",VLOOKUP($BU$7,$BT$8:$BV$13,3,0),"FILL=TRUE"))),"",N20-IF($BU$7=1,_xll.IMDP("FX",$CA20&amp;CK$7,"BID직전가"),_xll.IMDP("FX",$CA20&amp;CK$7,"뉴욕매입종가",VLOOKUP($BU$7,$BT$8:$BV$13,3,0),"FILL=TRUE")))</f>
        <v>-1.3000000000000789E-3</v>
      </c>
      <c r="CL20" s="5">
        <f>IF(ISERROR(O20-IF($BU$7=1,_xll.IMDP("FX",$CA20&amp;CL$7,"BID직전가"),_xll.IMDP("FX",$CA20&amp;CL$7,"뉴욕매입종가",VLOOKUP($BU$7,$BT$8:$BV$13,3,0),"FILL=TRUE"))),"",O20-IF($BU$7=1,_xll.IMDP("FX",$CA20&amp;CL$7,"BID직전가"),_xll.IMDP("FX",$CA20&amp;CL$7,"뉴욕매입종가",VLOOKUP($BU$7,$BT$8:$BV$13,3,0),"FILL=TRUE")))</f>
        <v>5.6000000000000494E-3</v>
      </c>
      <c r="CM20" s="5" t="str">
        <f>IF(ISERROR(P20-IF($BU$7=1,_xll.IMDP("FX",$CA20&amp;CM$7,"BID직전가"),_xll.IMDP("FX",$CA20&amp;CM$7,"뉴욕매입종가",VLOOKUP($BU$7,$BT$8:$BV$13,3,0),"FILL=TRUE"))),"",P20-IF($BU$7=1,_xll.IMDP("FX",$CA20&amp;CM$7,"BID직전가"),_xll.IMDP("FX",$CA20&amp;CM$7,"뉴욕매입종가",VLOOKUP($BU$7,$BT$8:$BV$13,3,0),"FILL=TRUE")))</f>
        <v/>
      </c>
      <c r="CN20" s="48" t="str">
        <f>IF(ISERROR(Q20-IF($BU$7=1,_xll.IMDP("FX",$CA20&amp;CN$7,"BID직전가"),_xll.IMDP("FX",$CA20&amp;CN$7,"뉴욕매입종가",VLOOKUP($BU$7,$BT$8:$BV$13,3,0),"FILL=TRUE"))),"",Q20-IF($BU$7=1,_xll.IMDP("FX",$CA20&amp;CN$7,"BID직전가"),_xll.IMDP("FX",$CA20&amp;CN$7,"뉴욕매입종가",VLOOKUP($BU$7,$BT$8:$BV$13,3,0),"FILL=TRUE")))</f>
        <v/>
      </c>
      <c r="CO20" s="5">
        <f>IF(ISERROR(R20-IF($BU$7=1,_xll.IMDP("FX",$CA20&amp;CO$7,"BID직전가"),_xll.IMDP("FX",$CA20&amp;CO$7,"뉴욕매입종가",VLOOKUP($BU$7,$BT$8:$BV$13,3,0),"FILL=TRUE"))),"",R20-IF($BU$7=1,_xll.IMDP("FX",$CA20&amp;CO$7,"BID직전가"),_xll.IMDP("FX",$CA20&amp;CO$7,"뉴욕매입종가",VLOOKUP($BU$7,$BT$8:$BV$13,3,0),"FILL=TRUE")))</f>
        <v>1.0000000000065512E-4</v>
      </c>
      <c r="CP20" s="5">
        <f>IF(ISERROR(S20-IF($BU$7=1,_xll.IMDP("FX",$CA20&amp;CP$7,"BID직전가"),_xll.IMDP("FX",$CA20&amp;CP$7,"뉴욕매입종가",VLOOKUP($BU$7,$BT$8:$BV$13,3,0),"FILL=TRUE"))),"",S20-IF($BU$7=1,_xll.IMDP("FX",$CA20&amp;CP$7,"BID직전가"),_xll.IMDP("FX",$CA20&amp;CP$7,"뉴욕매입종가",VLOOKUP($BU$7,$BT$8:$BV$13,3,0),"FILL=TRUE")))</f>
        <v>-9.9999999999766942E-5</v>
      </c>
      <c r="CQ20" s="5">
        <f>IF(ISERROR(T20-IF($BU$7=1,_xll.IMDP("FX",$CA20&amp;CQ$7,"BID직전가"),_xll.IMDP("FX",$CA20&amp;CQ$7,"뉴욕매입종가",VLOOKUP($BU$7,$BT$8:$BV$13,3,0),"FILL=TRUE"))),"",T20-IF($BU$7=1,_xll.IMDP("FX",$CA20&amp;CQ$7,"BID직전가"),_xll.IMDP("FX",$CA20&amp;CQ$7,"뉴욕매입종가",VLOOKUP($BU$7,$BT$8:$BV$13,3,0),"FILL=TRUE")))</f>
        <v>0</v>
      </c>
      <c r="CR20" s="5">
        <f>IF(ISERROR(U20-IF($BU$7=1,_xll.IMDP("FX",$CA20&amp;CR$7,"BID직전가"),_xll.IMDP("FX",$CA20&amp;CR$7,"뉴욕매입종가",VLOOKUP($BU$7,$BT$8:$BV$13,3,0),"FILL=TRUE"))),"",U20-IF($BU$7=1,_xll.IMDP("FX",$CA20&amp;CR$7,"BID직전가"),_xll.IMDP("FX",$CA20&amp;CR$7,"뉴욕매입종가",VLOOKUP($BU$7,$BT$8:$BV$13,3,0),"FILL=TRUE")))</f>
        <v>-9.0000000000012292E-4</v>
      </c>
      <c r="CS20" s="5" t="str">
        <f>IF(ISERROR(V20-IF($BU$7=1,_xll.IMDP("FX",$CA20&amp;CS$7,"BID직전가"),_xll.IMDP("FX",$CA20&amp;CS$7,"뉴욕매입종가",VLOOKUP($BU$7,$BT$8:$BV$13,3,0),"FILL=TRUE"))),"",V20-IF($BU$7=1,_xll.IMDP("FX",$CA20&amp;CS$7,"BID직전가"),_xll.IMDP("FX",$CA20&amp;CS$7,"뉴욕매입종가",VLOOKUP($BU$7,$BT$8:$BV$13,3,0),"FILL=TRUE")))</f>
        <v/>
      </c>
      <c r="CT20" s="5">
        <f>IF(ISERROR(W20-IF($BU$7=1,_xll.IMDP("FX",$CA20&amp;CT$7,"BID직전가"),_xll.IMDP("FX",$CA20&amp;CT$7,"뉴욕매입종가",VLOOKUP($BU$7,$BT$8:$BV$13,3,0),"FILL=TRUE"))),"",W20-IF($BU$7=1,_xll.IMDP("FX",$CA20&amp;CT$7,"BID직전가"),_xll.IMDP("FX",$CA20&amp;CT$7,"뉴욕매입종가",VLOOKUP($BU$7,$BT$8:$BV$13,3,0),"FILL=TRUE")))</f>
        <v>6.4999999999998392E-4</v>
      </c>
      <c r="CU20" s="5" t="str">
        <f>IF(ISERROR(X20-IF($BU$7=1,_xll.IMDP("FX",$CA20&amp;CU$7,"BID직전가"),_xll.IMDP("FX",$CA20&amp;CU$7,"뉴욕매입종가",VLOOKUP($BU$7,$BT$8:$BV$13,3,0),"FILL=TRUE"))),"",X20-IF($BU$7=1,_xll.IMDP("FX",$CA20&amp;CU$7,"BID직전가"),_xll.IMDP("FX",$CA20&amp;CU$7,"뉴욕매입종가",VLOOKUP($BU$7,$BT$8:$BV$13,3,0),"FILL=TRUE")))</f>
        <v/>
      </c>
      <c r="CV20" s="54">
        <f>IF(ISERROR(Y20-IF($BU$7=1,_xll.IMDP("FX",$CA20&amp;CV$7,"BID직전가"),_xll.IMDP("FX",$CA20&amp;CV$7,"뉴욕매입종가",VLOOKUP($BU$7,$BT$8:$BV$13,3,0),"FILL=TRUE"))),"",Y20-IF($BU$7=1,_xll.IMDP("FX",$CA20&amp;CV$7,"BID직전가"),_xll.IMDP("FX",$CA20&amp;CV$7,"뉴욕매입종가",VLOOKUP($BU$7,$BT$8:$BV$13,3,0),"FILL=TRUE")))</f>
        <v>9.9999999999997868E-3</v>
      </c>
    </row>
    <row r="21" spans="2:100" ht="17.25" customHeight="1" x14ac:dyDescent="0.25">
      <c r="B21" s="14">
        <v>39</v>
      </c>
      <c r="C21" s="11" t="str">
        <f t="shared" si="1"/>
        <v>MXN</v>
      </c>
      <c r="D21" s="25"/>
      <c r="E21" s="6">
        <f>_xll.IMDP("FX",$C21&amp;E$6,"매입")</f>
        <v>59.91</v>
      </c>
      <c r="F21" s="6">
        <f>_xll.IMDP("FX",$C21&amp;F$6,"매입")</f>
        <v>5.0700000000000002E-2</v>
      </c>
      <c r="G21" s="6">
        <f>_xll.IMDP("FX",$C21&amp;G$6,"매입")</f>
        <v>4.4609999999999997E-2</v>
      </c>
      <c r="H21" s="6">
        <f>_xll.IMDP("FX",$C21&amp;H$6,"매입")</f>
        <v>5.4729999999999999</v>
      </c>
      <c r="I21" s="6" t="str">
        <f>_xll.IMDP("FX",$C21&amp;I$6,"매입")</f>
        <v/>
      </c>
      <c r="J21" s="6" t="str">
        <f>_xll.IMDP("FX",$C21&amp;J$6,"매입")</f>
        <v/>
      </c>
      <c r="K21" s="6">
        <f>_xll.IMDP("FX",$C21&amp;K$6,"매입")</f>
        <v>5.0279999999999998E-2</v>
      </c>
      <c r="L21" s="6">
        <f>_xll.IMDP("FX",$C21&amp;L$6,"매입")</f>
        <v>7.2489999999999999E-2</v>
      </c>
      <c r="M21" s="6">
        <f>_xll.IMDP("FX",$C21&amp;M$6,"매입")</f>
        <v>6.7699999999999996E-2</v>
      </c>
      <c r="N21" s="6" t="str">
        <f>_xll.IMDP("FX",$C21&amp;N$6,"매입")</f>
        <v/>
      </c>
      <c r="O21" s="6">
        <f>_xll.IMDP("FX",$C21&amp;O$6,"매입")</f>
        <v>0.33650000000000002</v>
      </c>
      <c r="P21" s="6" t="str">
        <f>_xll.IMDP("FX",$C21&amp;P$6,"매입")</f>
        <v/>
      </c>
      <c r="Q21" s="6">
        <f>_xll.IMDP("FX",$C21&amp;Q$6,"매입")</f>
        <v>0.19678999999999999</v>
      </c>
      <c r="R21" s="9" t="str">
        <f>_xll.IMDP("FX",$C21&amp;R$6,"매입")</f>
        <v/>
      </c>
      <c r="S21" s="6">
        <f>_xll.IMDP("FX",$C21&amp;S$6,"매입")</f>
        <v>0.39761000000000002</v>
      </c>
      <c r="T21" s="6" t="str">
        <f>_xll.IMDP("FX",$C21&amp;T$6,"매입")</f>
        <v/>
      </c>
      <c r="U21" s="6" t="str">
        <f>_xll.IMDP("FX",$C21&amp;U$6,"매입")</f>
        <v/>
      </c>
      <c r="V21" s="6" t="str">
        <f>_xll.IMDP("FX",$C21&amp;V$6,"매입")</f>
        <v/>
      </c>
      <c r="W21" s="6">
        <f>_xll.IMDP("FX",$C21&amp;W$6,"매입")</f>
        <v>6.9199999999999998E-2</v>
      </c>
      <c r="X21" s="6" t="str">
        <f>_xll.IMDP("FX",$C21&amp;X$6,"매입")</f>
        <v/>
      </c>
      <c r="Y21" s="7" t="str">
        <f>_xll.IMDP("FX",$C21&amp;Y$6,"매입")</f>
        <v/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42"/>
      <c r="BU21" s="35">
        <f>_xll.IMDP("FX","USDCAD","매입")</f>
        <v>1.3444</v>
      </c>
      <c r="BV21" s="35">
        <f ca="1">_xll.IMDP("FX","USDCAD","뉴욕매입종가",BV10,"FILL=TRUE")</f>
        <v>1.3498000000000001</v>
      </c>
      <c r="BW21" s="49">
        <f ca="1">BU21-BV21</f>
        <v>-5.4000000000000714E-3</v>
      </c>
      <c r="BX21" s="39">
        <v>14</v>
      </c>
      <c r="BY21" s="39" t="s">
        <v>11</v>
      </c>
      <c r="CA21" s="53" t="str">
        <f t="shared" si="2"/>
        <v>MXN</v>
      </c>
      <c r="CB21" s="5">
        <f>IF(ISERROR(E21-IF($BU$7=1,_xll.IMDP("FX",$CA21&amp;CB$7,"BID직전가"),_xll.IMDP("FX",$CA21&amp;CB$7,"뉴욕매입종가",VLOOKUP($BU$7,$BT$8:$BV$13,3,0),"FILL=TRUE"))),"",E21-IF($BU$7=1,_xll.IMDP("FX",$CA21&amp;CB$7,"BID직전가"),_xll.IMDP("FX",$CA21&amp;CB$7,"뉴욕매입종가",VLOOKUP($BU$7,$BT$8:$BV$13,3,0),"FILL=TRUE")))</f>
        <v>9.9999999999980105E-3</v>
      </c>
      <c r="CC21" s="5">
        <f>IF(ISERROR(F21-IF($BU$7=1,_xll.IMDP("FX",$CA21&amp;CC$7,"BID직전가"),_xll.IMDP("FX",$CA21&amp;CC$7,"뉴욕매입종가",VLOOKUP($BU$7,$BT$8:$BV$13,3,0),"FILL=TRUE"))),"",F21-IF($BU$7=1,_xll.IMDP("FX",$CA21&amp;CC$7,"BID직전가"),_xll.IMDP("FX",$CA21&amp;CC$7,"뉴욕매입종가",VLOOKUP($BU$7,$BT$8:$BV$13,3,0),"FILL=TRUE")))</f>
        <v>-1.9999999999999185E-5</v>
      </c>
      <c r="CD21" s="5">
        <f>IF(ISERROR(G21-IF($BU$7=1,_xll.IMDP("FX",$CA21&amp;CD$7,"BID직전가"),_xll.IMDP("FX",$CA21&amp;CD$7,"뉴욕매입종가",VLOOKUP($BU$7,$BT$8:$BV$13,3,0),"FILL=TRUE"))),"",G21-IF($BU$7=1,_xll.IMDP("FX",$CA21&amp;CD$7,"BID직전가"),_xll.IMDP("FX",$CA21&amp;CD$7,"뉴욕매입종가",VLOOKUP($BU$7,$BT$8:$BV$13,3,0),"FILL=TRUE")))</f>
        <v>0</v>
      </c>
      <c r="CE21" s="5">
        <f>IF(ISERROR(H21-IF($BU$7=1,_xll.IMDP("FX",$CA21&amp;CE$7,"BID직전가"),_xll.IMDP("FX",$CA21&amp;CE$7,"뉴욕매입종가",VLOOKUP($BU$7,$BT$8:$BV$13,3,0),"FILL=TRUE"))),"",H21-IF($BU$7=1,_xll.IMDP("FX",$CA21&amp;CE$7,"BID직전가"),_xll.IMDP("FX",$CA21&amp;CE$7,"뉴욕매입종가",VLOOKUP($BU$7,$BT$8:$BV$13,3,0),"FILL=TRUE")))</f>
        <v>0</v>
      </c>
      <c r="CF21" s="5" t="str">
        <f>IF(ISERROR(I21-IF($BU$7=1,_xll.IMDP("FX",$CA21&amp;CF$7,"BID직전가"),_xll.IMDP("FX",$CA21&amp;CF$7,"뉴욕매입종가",VLOOKUP($BU$7,$BT$8:$BV$13,3,0),"FILL=TRUE"))),"",I21-IF($BU$7=1,_xll.IMDP("FX",$CA21&amp;CF$7,"BID직전가"),_xll.IMDP("FX",$CA21&amp;CF$7,"뉴욕매입종가",VLOOKUP($BU$7,$BT$8:$BV$13,3,0),"FILL=TRUE")))</f>
        <v/>
      </c>
      <c r="CG21" s="5" t="str">
        <f>IF(ISERROR(J21-IF($BU$7=1,_xll.IMDP("FX",$CA21&amp;CG$7,"BID직전가"),_xll.IMDP("FX",$CA21&amp;CG$7,"뉴욕매입종가",VLOOKUP($BU$7,$BT$8:$BV$13,3,0),"FILL=TRUE"))),"",J21-IF($BU$7=1,_xll.IMDP("FX",$CA21&amp;CG$7,"BID직전가"),_xll.IMDP("FX",$CA21&amp;CG$7,"뉴욕매입종가",VLOOKUP($BU$7,$BT$8:$BV$13,3,0),"FILL=TRUE")))</f>
        <v/>
      </c>
      <c r="CH21" s="5">
        <f>IF(ISERROR(K21-IF($BU$7=1,_xll.IMDP("FX",$CA21&amp;CH$7,"BID직전가"),_xll.IMDP("FX",$CA21&amp;CH$7,"뉴욕매입종가",VLOOKUP($BU$7,$BT$8:$BV$13,3,0),"FILL=TRUE"))),"",K21-IF($BU$7=1,_xll.IMDP("FX",$CA21&amp;CH$7,"BID직전가"),_xll.IMDP("FX",$CA21&amp;CH$7,"뉴욕매입종가",VLOOKUP($BU$7,$BT$8:$BV$13,3,0),"FILL=TRUE")))</f>
        <v>0</v>
      </c>
      <c r="CI21" s="5">
        <f>IF(ISERROR(L21-IF($BU$7=1,_xll.IMDP("FX",$CA21&amp;CI$7,"BID직전가"),_xll.IMDP("FX",$CA21&amp;CI$7,"뉴욕매입종가",VLOOKUP($BU$7,$BT$8:$BV$13,3,0),"FILL=TRUE"))),"",L21-IF($BU$7=1,_xll.IMDP("FX",$CA21&amp;CI$7,"BID직전가"),_xll.IMDP("FX",$CA21&amp;CI$7,"뉴욕매입종가",VLOOKUP($BU$7,$BT$8:$BV$13,3,0),"FILL=TRUE")))</f>
        <v>9.9999999999961231E-6</v>
      </c>
      <c r="CJ21" s="5">
        <f>IF(ISERROR(M21-IF($BU$7=1,_xll.IMDP("FX",$CA21&amp;CJ$7,"BID직전가"),_xll.IMDP("FX",$CA21&amp;CJ$7,"뉴욕매입종가",VLOOKUP($BU$7,$BT$8:$BV$13,3,0),"FILL=TRUE"))),"",M21-IF($BU$7=1,_xll.IMDP("FX",$CA21&amp;CJ$7,"BID직전가"),_xll.IMDP("FX",$CA21&amp;CJ$7,"뉴욕매입종가",VLOOKUP($BU$7,$BT$8:$BV$13,3,0),"FILL=TRUE")))</f>
        <v>-2.0000000000006124E-5</v>
      </c>
      <c r="CK21" s="5" t="str">
        <f>IF(ISERROR(N21-IF($BU$7=1,_xll.IMDP("FX",$CA21&amp;CK$7,"BID직전가"),_xll.IMDP("FX",$CA21&amp;CK$7,"뉴욕매입종가",VLOOKUP($BU$7,$BT$8:$BV$13,3,0),"FILL=TRUE"))),"",N21-IF($BU$7=1,_xll.IMDP("FX",$CA21&amp;CK$7,"BID직전가"),_xll.IMDP("FX",$CA21&amp;CK$7,"뉴욕매입종가",VLOOKUP($BU$7,$BT$8:$BV$13,3,0),"FILL=TRUE")))</f>
        <v/>
      </c>
      <c r="CL21" s="5">
        <f>IF(ISERROR(O21-IF($BU$7=1,_xll.IMDP("FX",$CA21&amp;CL$7,"BID직전가"),_xll.IMDP("FX",$CA21&amp;CL$7,"뉴욕매입종가",VLOOKUP($BU$7,$BT$8:$BV$13,3,0),"FILL=TRUE"))),"",O21-IF($BU$7=1,_xll.IMDP("FX",$CA21&amp;CL$7,"BID직전가"),_xll.IMDP("FX",$CA21&amp;CL$7,"뉴욕매입종가",VLOOKUP($BU$7,$BT$8:$BV$13,3,0),"FILL=TRUE")))</f>
        <v>-1.9999999999997797E-4</v>
      </c>
      <c r="CM21" s="5" t="str">
        <f>IF(ISERROR(P21-IF($BU$7=1,_xll.IMDP("FX",$CA21&amp;CM$7,"BID직전가"),_xll.IMDP("FX",$CA21&amp;CM$7,"뉴욕매입종가",VLOOKUP($BU$7,$BT$8:$BV$13,3,0),"FILL=TRUE"))),"",P21-IF($BU$7=1,_xll.IMDP("FX",$CA21&amp;CM$7,"BID직전가"),_xll.IMDP("FX",$CA21&amp;CM$7,"뉴욕매입종가",VLOOKUP($BU$7,$BT$8:$BV$13,3,0),"FILL=TRUE")))</f>
        <v/>
      </c>
      <c r="CN21" s="5">
        <f>IF(ISERROR(Q21-IF($BU$7=1,_xll.IMDP("FX",$CA21&amp;CN$7,"BID직전가"),_xll.IMDP("FX",$CA21&amp;CN$7,"뉴욕매입종가",VLOOKUP($BU$7,$BT$8:$BV$13,3,0),"FILL=TRUE"))),"",Q21-IF($BU$7=1,_xll.IMDP("FX",$CA21&amp;CN$7,"BID직전가"),_xll.IMDP("FX",$CA21&amp;CN$7,"뉴욕매입종가",VLOOKUP($BU$7,$BT$8:$BV$13,3,0),"FILL=TRUE")))</f>
        <v>1.4000000000000123E-4</v>
      </c>
      <c r="CO21" s="48" t="str">
        <f>IF(ISERROR(R21-IF($BU$7=1,_xll.IMDP("FX",$CA21&amp;CO$7,"BID직전가"),_xll.IMDP("FX",$CA21&amp;CO$7,"뉴욕매입종가",VLOOKUP($BU$7,$BT$8:$BV$13,3,0),"FILL=TRUE"))),"",R21-IF($BU$7=1,_xll.IMDP("FX",$CA21&amp;CO$7,"BID직전가"),_xll.IMDP("FX",$CA21&amp;CO$7,"뉴욕매입종가",VLOOKUP($BU$7,$BT$8:$BV$13,3,0),"FILL=TRUE")))</f>
        <v/>
      </c>
      <c r="CP21" s="5">
        <f>IF(ISERROR(S21-IF($BU$7=1,_xll.IMDP("FX",$CA21&amp;CP$7,"BID직전가"),_xll.IMDP("FX",$CA21&amp;CP$7,"뉴욕매입종가",VLOOKUP($BU$7,$BT$8:$BV$13,3,0),"FILL=TRUE"))),"",S21-IF($BU$7=1,_xll.IMDP("FX",$CA21&amp;CP$7,"BID직전가"),_xll.IMDP("FX",$CA21&amp;CP$7,"뉴욕매입종가",VLOOKUP($BU$7,$BT$8:$BV$13,3,0),"FILL=TRUE")))</f>
        <v>-8.9999999999978986E-5</v>
      </c>
      <c r="CQ21" s="5" t="str">
        <f>IF(ISERROR(T21-IF($BU$7=1,_xll.IMDP("FX",$CA21&amp;CQ$7,"BID직전가"),_xll.IMDP("FX",$CA21&amp;CQ$7,"뉴욕매입종가",VLOOKUP($BU$7,$BT$8:$BV$13,3,0),"FILL=TRUE"))),"",T21-IF($BU$7=1,_xll.IMDP("FX",$CA21&amp;CQ$7,"BID직전가"),_xll.IMDP("FX",$CA21&amp;CQ$7,"뉴욕매입종가",VLOOKUP($BU$7,$BT$8:$BV$13,3,0),"FILL=TRUE")))</f>
        <v/>
      </c>
      <c r="CR21" s="5" t="str">
        <f>IF(ISERROR(U21-IF($BU$7=1,_xll.IMDP("FX",$CA21&amp;CR$7,"BID직전가"),_xll.IMDP("FX",$CA21&amp;CR$7,"뉴욕매입종가",VLOOKUP($BU$7,$BT$8:$BV$13,3,0),"FILL=TRUE"))),"",U21-IF($BU$7=1,_xll.IMDP("FX",$CA21&amp;CR$7,"BID직전가"),_xll.IMDP("FX",$CA21&amp;CR$7,"뉴욕매입종가",VLOOKUP($BU$7,$BT$8:$BV$13,3,0),"FILL=TRUE")))</f>
        <v/>
      </c>
      <c r="CS21" s="5" t="str">
        <f>IF(ISERROR(V21-IF($BU$7=1,_xll.IMDP("FX",$CA21&amp;CS$7,"BID직전가"),_xll.IMDP("FX",$CA21&amp;CS$7,"뉴욕매입종가",VLOOKUP($BU$7,$BT$8:$BV$13,3,0),"FILL=TRUE"))),"",V21-IF($BU$7=1,_xll.IMDP("FX",$CA21&amp;CS$7,"BID직전가"),_xll.IMDP("FX",$CA21&amp;CS$7,"뉴욕매입종가",VLOOKUP($BU$7,$BT$8:$BV$13,3,0),"FILL=TRUE")))</f>
        <v/>
      </c>
      <c r="CT21" s="5">
        <f>IF(ISERROR(W21-IF($BU$7=1,_xll.IMDP("FX",$CA21&amp;CT$7,"BID직전가"),_xll.IMDP("FX",$CA21&amp;CT$7,"뉴욕매입종가",VLOOKUP($BU$7,$BT$8:$BV$13,3,0),"FILL=TRUE"))),"",W21-IF($BU$7=1,_xll.IMDP("FX",$CA21&amp;CT$7,"BID직전가"),_xll.IMDP("FX",$CA21&amp;CT$7,"뉴욕매입종가",VLOOKUP($BU$7,$BT$8:$BV$13,3,0),"FILL=TRUE")))</f>
        <v>0</v>
      </c>
      <c r="CU21" s="5" t="str">
        <f>IF(ISERROR(X21-IF($BU$7=1,_xll.IMDP("FX",$CA21&amp;CU$7,"BID직전가"),_xll.IMDP("FX",$CA21&amp;CU$7,"뉴욕매입종가",VLOOKUP($BU$7,$BT$8:$BV$13,3,0),"FILL=TRUE"))),"",X21-IF($BU$7=1,_xll.IMDP("FX",$CA21&amp;CU$7,"BID직전가"),_xll.IMDP("FX",$CA21&amp;CU$7,"뉴욕매입종가",VLOOKUP($BU$7,$BT$8:$BV$13,3,0),"FILL=TRUE")))</f>
        <v/>
      </c>
      <c r="CV21" s="54" t="str">
        <f>IF(ISERROR(Y21-IF($BU$7=1,_xll.IMDP("FX",$CA21&amp;CV$7,"BID직전가"),_xll.IMDP("FX",$CA21&amp;CV$7,"뉴욕매입종가",VLOOKUP($BU$7,$BT$8:$BV$13,3,0),"FILL=TRUE"))),"",Y21-IF($BU$7=1,_xll.IMDP("FX",$CA21&amp;CV$7,"BID직전가"),_xll.IMDP("FX",$CA21&amp;CV$7,"뉴욕매입종가",VLOOKUP($BU$7,$BT$8:$BV$13,3,0),"FILL=TRUE")))</f>
        <v/>
      </c>
    </row>
    <row r="22" spans="2:100" ht="17.25" customHeight="1" x14ac:dyDescent="0.25">
      <c r="B22" s="14">
        <v>24</v>
      </c>
      <c r="C22" s="11" t="str">
        <f t="shared" si="1"/>
        <v>HKD</v>
      </c>
      <c r="D22" s="25"/>
      <c r="E22" s="6">
        <f>_xll.IMDP("FX",$C22&amp;E$6,"매입")</f>
        <v>150.69</v>
      </c>
      <c r="F22" s="6">
        <f>_xll.IMDP("FX",$C22&amp;F$6,"매입")</f>
        <v>0.12748999999999999</v>
      </c>
      <c r="G22" s="6">
        <f>_xll.IMDP("FX",$C22&amp;G$6,"매입")</f>
        <v>0.11333</v>
      </c>
      <c r="H22" s="6">
        <f>_xll.IMDP("FX",$C22&amp;H$6,"매입")</f>
        <v>13.7683</v>
      </c>
      <c r="I22" s="6">
        <f>_xll.IMDP("FX",$C22&amp;I$6,"매입")</f>
        <v>0.88049999999999995</v>
      </c>
      <c r="J22" s="6">
        <f>_xll.IMDP("FX",$C22&amp;J$6,"매입")</f>
        <v>0.88283999999999996</v>
      </c>
      <c r="K22" s="6">
        <f>_xll.IMDP("FX",$C22&amp;K$6,"매입")</f>
        <v>12.667</v>
      </c>
      <c r="L22" s="6">
        <f>_xll.IMDP("FX",$C22&amp;L$6,"매입")</f>
        <v>0.18290000000000001</v>
      </c>
      <c r="M22" s="6">
        <f>_xll.IMDP("FX",$C22&amp;M$6,"매입")</f>
        <v>0.1714</v>
      </c>
      <c r="N22" s="6">
        <f>_xll.IMDP("FX",$C22&amp;N$6,"매입")</f>
        <v>1.2032</v>
      </c>
      <c r="O22" s="6">
        <f>_xll.IMDP("FX",$C22&amp;O$6,"매입")</f>
        <v>0.84640000000000004</v>
      </c>
      <c r="P22" s="6">
        <f>_xll.IMDP("FX",$C22&amp;P$6,"매입")</f>
        <v>0.48507</v>
      </c>
      <c r="Q22" s="6">
        <f>_xll.IMDP("FX",$C22&amp;Q$6,"매입")</f>
        <v>0.49536000000000002</v>
      </c>
      <c r="R22" s="6">
        <f>_xll.IMDP("FX",$C22&amp;R$6,"매입")</f>
        <v>2.5085000000000002</v>
      </c>
      <c r="S22" s="9" t="str">
        <f>_xll.IMDP("FX",$C22&amp;S$6,"매입")</f>
        <v/>
      </c>
      <c r="T22" s="6">
        <f>_xll.IMDP("FX",$C22&amp;T$6,"매입")</f>
        <v>1817.8</v>
      </c>
      <c r="U22" s="6">
        <f>_xll.IMDP("FX",$C22&amp;U$6,"매입")</f>
        <v>0.53269</v>
      </c>
      <c r="V22" s="6">
        <f>_xll.IMDP("FX",$C22&amp;V$6,"매입")</f>
        <v>6.6092000000000004</v>
      </c>
      <c r="W22" s="6">
        <f>_xll.IMDP("FX",$C22&amp;W$6,"매입")</f>
        <v>0.1744</v>
      </c>
      <c r="X22" s="6">
        <f>_xll.IMDP("FX",$C22&amp;X$6,"매입")</f>
        <v>3.9975000000000001</v>
      </c>
      <c r="Y22" s="7">
        <f>_xll.IMDP("FX",$C22&amp;Y$6,"매입")</f>
        <v>4.0103999999999997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42"/>
      <c r="BX22" s="39">
        <v>15</v>
      </c>
      <c r="BY22" s="39" t="s">
        <v>71</v>
      </c>
      <c r="CA22" s="53" t="str">
        <f t="shared" si="2"/>
        <v>HKD</v>
      </c>
      <c r="CB22" s="5">
        <f>IF(ISERROR(E22-IF($BU$7=1,_xll.IMDP("FX",$CA22&amp;CB$7,"BID직전가"),_xll.IMDP("FX",$CA22&amp;CB$7,"뉴욕매입종가",VLOOKUP($BU$7,$BT$8:$BV$13,3,0),"FILL=TRUE"))),"",E22-IF($BU$7=1,_xll.IMDP("FX",$CA22&amp;CB$7,"BID직전가"),_xll.IMDP("FX",$CA22&amp;CB$7,"뉴욕매입종가",VLOOKUP($BU$7,$BT$8:$BV$13,3,0),"FILL=TRUE")))</f>
        <v>0</v>
      </c>
      <c r="CC22" s="5">
        <f>IF(ISERROR(F22-IF($BU$7=1,_xll.IMDP("FX",$CA22&amp;CC$7,"BID직전가"),_xll.IMDP("FX",$CA22&amp;CC$7,"뉴욕매입종가",VLOOKUP($BU$7,$BT$8:$BV$13,3,0),"FILL=TRUE"))),"",F22-IF($BU$7=1,_xll.IMDP("FX",$CA22&amp;CC$7,"BID직전가"),_xll.IMDP("FX",$CA22&amp;CC$7,"뉴욕매입종가",VLOOKUP($BU$7,$BT$8:$BV$13,3,0),"FILL=TRUE")))</f>
        <v>0</v>
      </c>
      <c r="CD22" s="5">
        <f>IF(ISERROR(G22-IF($BU$7=1,_xll.IMDP("FX",$CA22&amp;CD$7,"BID직전가"),_xll.IMDP("FX",$CA22&amp;CD$7,"뉴욕매입종가",VLOOKUP($BU$7,$BT$8:$BV$13,3,0),"FILL=TRUE"))),"",G22-IF($BU$7=1,_xll.IMDP("FX",$CA22&amp;CD$7,"BID직전가"),_xll.IMDP("FX",$CA22&amp;CD$7,"뉴욕매입종가",VLOOKUP($BU$7,$BT$8:$BV$13,3,0),"FILL=TRUE")))</f>
        <v>2.0000000000006124E-5</v>
      </c>
      <c r="CE22" s="5">
        <f>IF(ISERROR(H22-IF($BU$7=1,_xll.IMDP("FX",$CA22&amp;CE$7,"BID직전가"),_xll.IMDP("FX",$CA22&amp;CE$7,"뉴욕매입종가",VLOOKUP($BU$7,$BT$8:$BV$13,3,0),"FILL=TRUE"))),"",H22-IF($BU$7=1,_xll.IMDP("FX",$CA22&amp;CE$7,"BID직전가"),_xll.IMDP("FX",$CA22&amp;CE$7,"뉴욕매입종가",VLOOKUP($BU$7,$BT$8:$BV$13,3,0),"FILL=TRUE")))</f>
        <v>-1.9999999999953388E-4</v>
      </c>
      <c r="CF22" s="5">
        <f>IF(ISERROR(I22-IF($BU$7=1,_xll.IMDP("FX",$CA22&amp;CF$7,"BID직전가"),_xll.IMDP("FX",$CA22&amp;CF$7,"뉴욕매입종가",VLOOKUP($BU$7,$BT$8:$BV$13,3,0),"FILL=TRUE"))),"",I22-IF($BU$7=1,_xll.IMDP("FX",$CA22&amp;CF$7,"BID직전가"),_xll.IMDP("FX",$CA22&amp;CF$7,"뉴욕매입종가",VLOOKUP($BU$7,$BT$8:$BV$13,3,0),"FILL=TRUE")))</f>
        <v>9.9999999999988987E-5</v>
      </c>
      <c r="CG22" s="5">
        <f>IF(ISERROR(J22-IF($BU$7=1,_xll.IMDP("FX",$CA22&amp;CG$7,"BID직전가"),_xll.IMDP("FX",$CA22&amp;CG$7,"뉴욕매입종가",VLOOKUP($BU$7,$BT$8:$BV$13,3,0),"FILL=TRUE"))),"",J22-IF($BU$7=1,_xll.IMDP("FX",$CA22&amp;CG$7,"BID직전가"),_xll.IMDP("FX",$CA22&amp;CG$7,"뉴욕매입종가",VLOOKUP($BU$7,$BT$8:$BV$13,3,0),"FILL=TRUE")))</f>
        <v>1.2999999999996348E-4</v>
      </c>
      <c r="CH22" s="5">
        <f>IF(ISERROR(K22-IF($BU$7=1,_xll.IMDP("FX",$CA22&amp;CH$7,"BID직전가"),_xll.IMDP("FX",$CA22&amp;CH$7,"뉴욕매입종가",VLOOKUP($BU$7,$BT$8:$BV$13,3,0),"FILL=TRUE"))),"",K22-IF($BU$7=1,_xll.IMDP("FX",$CA22&amp;CH$7,"BID직전가"),_xll.IMDP("FX",$CA22&amp;CH$7,"뉴욕매입종가",VLOOKUP($BU$7,$BT$8:$BV$13,3,0),"FILL=TRUE")))</f>
        <v>0</v>
      </c>
      <c r="CI22" s="5">
        <f>IF(ISERROR(L22-IF($BU$7=1,_xll.IMDP("FX",$CA22&amp;CI$7,"BID직전가"),_xll.IMDP("FX",$CA22&amp;CI$7,"뉴욕매입종가",VLOOKUP($BU$7,$BT$8:$BV$13,3,0),"FILL=TRUE"))),"",L22-IF($BU$7=1,_xll.IMDP("FX",$CA22&amp;CI$7,"BID직전가"),_xll.IMDP("FX",$CA22&amp;CI$7,"뉴욕매입종가",VLOOKUP($BU$7,$BT$8:$BV$13,3,0),"FILL=TRUE")))</f>
        <v>1.0000000000001674E-4</v>
      </c>
      <c r="CJ22" s="5">
        <f>IF(ISERROR(M22-IF($BU$7=1,_xll.IMDP("FX",$CA22&amp;CJ$7,"BID직전가"),_xll.IMDP("FX",$CA22&amp;CJ$7,"뉴욕매입종가",VLOOKUP($BU$7,$BT$8:$BV$13,3,0),"FILL=TRUE"))),"",M22-IF($BU$7=1,_xll.IMDP("FX",$CA22&amp;CJ$7,"BID직전가"),_xll.IMDP("FX",$CA22&amp;CJ$7,"뉴욕매입종가",VLOOKUP($BU$7,$BT$8:$BV$13,3,0),"FILL=TRUE")))</f>
        <v>1.0000000000010001E-5</v>
      </c>
      <c r="CK22" s="5">
        <f>IF(ISERROR(N22-IF($BU$7=1,_xll.IMDP("FX",$CA22&amp;CK$7,"BID직전가"),_xll.IMDP("FX",$CA22&amp;CK$7,"뉴욕매입종가",VLOOKUP($BU$7,$BT$8:$BV$13,3,0),"FILL=TRUE"))),"",N22-IF($BU$7=1,_xll.IMDP("FX",$CA22&amp;CK$7,"BID직전가"),_xll.IMDP("FX",$CA22&amp;CK$7,"뉴욕매입종가",VLOOKUP($BU$7,$BT$8:$BV$13,3,0),"FILL=TRUE")))</f>
        <v>9.9999999999988987E-5</v>
      </c>
      <c r="CL22" s="5">
        <f>IF(ISERROR(O22-IF($BU$7=1,_xll.IMDP("FX",$CA22&amp;CL$7,"BID직전가"),_xll.IMDP("FX",$CA22&amp;CL$7,"뉴욕매입종가",VLOOKUP($BU$7,$BT$8:$BV$13,3,0),"FILL=TRUE"))),"",O22-IF($BU$7=1,_xll.IMDP("FX",$CA22&amp;CL$7,"BID직전가"),_xll.IMDP("FX",$CA22&amp;CL$7,"뉴욕매입종가",VLOOKUP($BU$7,$BT$8:$BV$13,3,0),"FILL=TRUE")))</f>
        <v>0</v>
      </c>
      <c r="CM22" s="5">
        <f>IF(ISERROR(P22-IF($BU$7=1,_xll.IMDP("FX",$CA22&amp;CM$7,"BID직전가"),_xll.IMDP("FX",$CA22&amp;CM$7,"뉴욕매입종가",VLOOKUP($BU$7,$BT$8:$BV$13,3,0),"FILL=TRUE"))),"",P22-IF($BU$7=1,_xll.IMDP("FX",$CA22&amp;CM$7,"BID직전가"),_xll.IMDP("FX",$CA22&amp;CM$7,"뉴욕매입종가",VLOOKUP($BU$7,$BT$8:$BV$13,3,0),"FILL=TRUE")))</f>
        <v>-2.0000000000020002E-5</v>
      </c>
      <c r="CN22" s="5">
        <f>IF(ISERROR(Q22-IF($BU$7=1,_xll.IMDP("FX",$CA22&amp;CN$7,"BID직전가"),_xll.IMDP("FX",$CA22&amp;CN$7,"뉴욕매입종가",VLOOKUP($BU$7,$BT$8:$BV$13,3,0),"FILL=TRUE"))),"",Q22-IF($BU$7=1,_xll.IMDP("FX",$CA22&amp;CN$7,"BID직전가"),_xll.IMDP("FX",$CA22&amp;CN$7,"뉴욕매입종가",VLOOKUP($BU$7,$BT$8:$BV$13,3,0),"FILL=TRUE")))</f>
        <v>1.0000000000010001E-5</v>
      </c>
      <c r="CO22" s="5">
        <f>IF(ISERROR(R22-IF($BU$7=1,_xll.IMDP("FX",$CA22&amp;CO$7,"BID직전가"),_xll.IMDP("FX",$CA22&amp;CO$7,"뉴욕매입종가",VLOOKUP($BU$7,$BT$8:$BV$13,3,0),"FILL=TRUE"))),"",R22-IF($BU$7=1,_xll.IMDP("FX",$CA22&amp;CO$7,"BID직전가"),_xll.IMDP("FX",$CA22&amp;CO$7,"뉴욕매입종가",VLOOKUP($BU$7,$BT$8:$BV$13,3,0),"FILL=TRUE")))</f>
        <v>7.0000000000014495E-4</v>
      </c>
      <c r="CP22" s="48" t="str">
        <f>IF(ISERROR(S22-IF($BU$7=1,_xll.IMDP("FX",$CA22&amp;CP$7,"BID직전가"),_xll.IMDP("FX",$CA22&amp;CP$7,"뉴욕매입종가",VLOOKUP($BU$7,$BT$8:$BV$13,3,0),"FILL=TRUE"))),"",S22-IF($BU$7=1,_xll.IMDP("FX",$CA22&amp;CP$7,"BID직전가"),_xll.IMDP("FX",$CA22&amp;CP$7,"뉴욕매입종가",VLOOKUP($BU$7,$BT$8:$BV$13,3,0),"FILL=TRUE")))</f>
        <v/>
      </c>
      <c r="CQ22" s="5">
        <f>IF(ISERROR(T22-IF($BU$7=1,_xll.IMDP("FX",$CA22&amp;CQ$7,"BID직전가"),_xll.IMDP("FX",$CA22&amp;CQ$7,"뉴욕매입종가",VLOOKUP($BU$7,$BT$8:$BV$13,3,0),"FILL=TRUE"))),"",T22-IF($BU$7=1,_xll.IMDP("FX",$CA22&amp;CQ$7,"BID직전가"),_xll.IMDP("FX",$CA22&amp;CQ$7,"뉴욕매입종가",VLOOKUP($BU$7,$BT$8:$BV$13,3,0),"FILL=TRUE")))</f>
        <v>0</v>
      </c>
      <c r="CR22" s="5">
        <f>IF(ISERROR(U22-IF($BU$7=1,_xll.IMDP("FX",$CA22&amp;CR$7,"BID직전가"),_xll.IMDP("FX",$CA22&amp;CR$7,"뉴욕매입종가",VLOOKUP($BU$7,$BT$8:$BV$13,3,0),"FILL=TRUE"))),"",U22-IF($BU$7=1,_xll.IMDP("FX",$CA22&amp;CR$7,"BID직전가"),_xll.IMDP("FX",$CA22&amp;CR$7,"뉴욕매입종가",VLOOKUP($BU$7,$BT$8:$BV$13,3,0),"FILL=TRUE")))</f>
        <v>0</v>
      </c>
      <c r="CS22" s="5">
        <f>IF(ISERROR(V22-IF($BU$7=1,_xll.IMDP("FX",$CA22&amp;CS$7,"BID직전가"),_xll.IMDP("FX",$CA22&amp;CS$7,"뉴욕매입종가",VLOOKUP($BU$7,$BT$8:$BV$13,3,0),"FILL=TRUE"))),"",V22-IF($BU$7=1,_xll.IMDP("FX",$CA22&amp;CS$7,"BID직전가"),_xll.IMDP("FX",$CA22&amp;CS$7,"뉴욕매입종가",VLOOKUP($BU$7,$BT$8:$BV$13,3,0),"FILL=TRUE")))</f>
        <v>1.0000000000065512E-4</v>
      </c>
      <c r="CT22" s="5">
        <f>IF(ISERROR(W22-IF($BU$7=1,_xll.IMDP("FX",$CA22&amp;CT$7,"BID직전가"),_xll.IMDP("FX",$CA22&amp;CT$7,"뉴욕매입종가",VLOOKUP($BU$7,$BT$8:$BV$13,3,0),"FILL=TRUE"))),"",W22-IF($BU$7=1,_xll.IMDP("FX",$CA22&amp;CT$7,"BID직전가"),_xll.IMDP("FX",$CA22&amp;CT$7,"뉴욕매입종가",VLOOKUP($BU$7,$BT$8:$BV$13,3,0),"FILL=TRUE")))</f>
        <v>0</v>
      </c>
      <c r="CU22" s="5">
        <f>IF(ISERROR(X22-IF($BU$7=1,_xll.IMDP("FX",$CA22&amp;CU$7,"BID직전가"),_xll.IMDP("FX",$CA22&amp;CU$7,"뉴욕매입종가",VLOOKUP($BU$7,$BT$8:$BV$13,3,0),"FILL=TRUE"))),"",X22-IF($BU$7=1,_xll.IMDP("FX",$CA22&amp;CU$7,"BID직전가"),_xll.IMDP("FX",$CA22&amp;CU$7,"뉴욕매입종가",VLOOKUP($BU$7,$BT$8:$BV$13,3,0),"FILL=TRUE")))</f>
        <v>-1.1999999999998678E-3</v>
      </c>
      <c r="CV22" s="54">
        <f>IF(ISERROR(Y22-IF($BU$7=1,_xll.IMDP("FX",$CA22&amp;CV$7,"BID직전가"),_xll.IMDP("FX",$CA22&amp;CV$7,"뉴욕매입종가",VLOOKUP($BU$7,$BT$8:$BV$13,3,0),"FILL=TRUE"))),"",Y22-IF($BU$7=1,_xll.IMDP("FX",$CA22&amp;CV$7,"BID직전가"),_xll.IMDP("FX",$CA22&amp;CV$7,"뉴욕매입종가",VLOOKUP($BU$7,$BT$8:$BV$13,3,0),"FILL=TRUE")))</f>
        <v>0</v>
      </c>
    </row>
    <row r="23" spans="2:100" ht="17.25" customHeight="1" x14ac:dyDescent="0.25">
      <c r="B23" s="14">
        <v>26</v>
      </c>
      <c r="C23" s="11" t="str">
        <f t="shared" si="1"/>
        <v>IDR</v>
      </c>
      <c r="D23" s="25"/>
      <c r="E23" s="6">
        <f>_xll.IMDP("FX",$C23&amp;E$6,"매입")</f>
        <v>8.27</v>
      </c>
      <c r="F23" s="6">
        <f>_xll.IMDP("FX",$C23&amp;F$6,"매입")</f>
        <v>6.9800000000000001E-3</v>
      </c>
      <c r="G23" s="6">
        <f>_xll.IMDP("FX",$C23&amp;G$6,"매입")</f>
        <v>6.2230000000000001E-2</v>
      </c>
      <c r="H23" s="6">
        <f>_xll.IMDP("FX",$C23&amp;H$6,"매입")</f>
        <v>7.5399999999999998E-3</v>
      </c>
      <c r="I23" s="6">
        <f>_xll.IMDP("FX",$C23&amp;I$6,"매입")</f>
        <v>4.8340000000000001E-2</v>
      </c>
      <c r="J23" s="6" t="str">
        <f>_xll.IMDP("FX",$C23&amp;J$6,"매입")</f>
        <v/>
      </c>
      <c r="K23" s="6">
        <f>_xll.IMDP("FX",$C23&amp;K$6,"매입")</f>
        <v>6.9099999999999995E-3</v>
      </c>
      <c r="L23" s="6">
        <f>_xll.IMDP("FX",$C23&amp;L$6,"매입")</f>
        <v>0.01</v>
      </c>
      <c r="M23" s="6">
        <f>_xll.IMDP("FX",$C23&amp;M$6,"매입")</f>
        <v>9.3700000000000006E-2</v>
      </c>
      <c r="N23" s="6" t="str">
        <f>_xll.IMDP("FX",$C23&amp;N$6,"매입")</f>
        <v/>
      </c>
      <c r="O23" s="6" t="str">
        <f>_xll.IMDP("FX",$C23&amp;O$6,"매입")</f>
        <v/>
      </c>
      <c r="P23" s="6" t="str">
        <f>_xll.IMDP("FX",$C23&amp;P$6,"매입")</f>
        <v/>
      </c>
      <c r="Q23" s="6">
        <f>_xll.IMDP("FX",$C23&amp;Q$6,"매입")</f>
        <v>2.6970000000000001E-2</v>
      </c>
      <c r="R23" s="6" t="str">
        <f>_xll.IMDP("FX",$C23&amp;R$6,"매입")</f>
        <v/>
      </c>
      <c r="S23" s="6">
        <f>_xll.IMDP("FX",$C23&amp;S$6,"매입")</f>
        <v>5.4879999999999998E-2</v>
      </c>
      <c r="T23" s="9" t="str">
        <f>_xll.IMDP("FX",$C23&amp;T$6,"매입")</f>
        <v/>
      </c>
      <c r="U23" s="6">
        <f>_xll.IMDP("FX",$C23&amp;U$6,"매입")</f>
        <v>2.9260000000000001E-2</v>
      </c>
      <c r="V23" s="6">
        <f>_xll.IMDP("FX",$C23&amp;V$6,"매입")</f>
        <v>3.6260000000000001E-2</v>
      </c>
      <c r="W23" s="6">
        <f>_xll.IMDP("FX",$C23&amp;W$6,"매입")</f>
        <v>9.58E-3</v>
      </c>
      <c r="X23" s="6">
        <f>_xll.IMDP("FX",$C23&amp;X$6,"매입")</f>
        <v>2.196E-2</v>
      </c>
      <c r="Y23" s="7">
        <f>_xll.IMDP("FX",$C23&amp;Y$6,"매입")</f>
        <v>2.198E-2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42"/>
      <c r="BX23" s="39">
        <v>16</v>
      </c>
      <c r="BY23" s="39" t="s">
        <v>12</v>
      </c>
      <c r="CA23" s="53" t="str">
        <f t="shared" si="2"/>
        <v>IDR</v>
      </c>
      <c r="CB23" s="5">
        <f>IF(ISERROR(E23-IF($BU$7=1,_xll.IMDP("FX",$CA23&amp;CB$7,"BID직전가"),_xll.IMDP("FX",$CA23&amp;CB$7,"뉴욕매입종가",VLOOKUP($BU$7,$BT$8:$BV$13,3,0),"FILL=TRUE"))),"",E23-IF($BU$7=1,_xll.IMDP("FX",$CA23&amp;CB$7,"BID직전가"),_xll.IMDP("FX",$CA23&amp;CB$7,"뉴욕매입종가",VLOOKUP($BU$7,$BT$8:$BV$13,3,0),"FILL=TRUE")))</f>
        <v>0</v>
      </c>
      <c r="CC23" s="5">
        <f>IF(ISERROR(F23-IF($BU$7=1,_xll.IMDP("FX",$CA23&amp;CC$7,"BID직전가"),_xll.IMDP("FX",$CA23&amp;CC$7,"뉴욕매입종가",VLOOKUP($BU$7,$BT$8:$BV$13,3,0),"FILL=TRUE"))),"",F23-IF($BU$7=1,_xll.IMDP("FX",$CA23&amp;CC$7,"BID직전가"),_xll.IMDP("FX",$CA23&amp;CC$7,"뉴욕매입종가",VLOOKUP($BU$7,$BT$8:$BV$13,3,0),"FILL=TRUE")))</f>
        <v>0</v>
      </c>
      <c r="CD23" s="5">
        <f>IF(ISERROR(G23-IF($BU$7=1,_xll.IMDP("FX",$CA23&amp;CD$7,"BID직전가"),_xll.IMDP("FX",$CA23&amp;CD$7,"뉴욕매입종가",VLOOKUP($BU$7,$BT$8:$BV$13,3,0),"FILL=TRUE"))),"",G23-IF($BU$7=1,_xll.IMDP("FX",$CA23&amp;CD$7,"BID직전가"),_xll.IMDP("FX",$CA23&amp;CD$7,"뉴욕매입종가",VLOOKUP($BU$7,$BT$8:$BV$13,3,0),"FILL=TRUE")))</f>
        <v>0</v>
      </c>
      <c r="CE23" s="5">
        <f>IF(ISERROR(H23-IF($BU$7=1,_xll.IMDP("FX",$CA23&amp;CE$7,"BID직전가"),_xll.IMDP("FX",$CA23&amp;CE$7,"뉴욕매입종가",VLOOKUP($BU$7,$BT$8:$BV$13,3,0),"FILL=TRUE"))),"",H23-IF($BU$7=1,_xll.IMDP("FX",$CA23&amp;CE$7,"BID직전가"),_xll.IMDP("FX",$CA23&amp;CE$7,"뉴욕매입종가",VLOOKUP($BU$7,$BT$8:$BV$13,3,0),"FILL=TRUE")))</f>
        <v>0</v>
      </c>
      <c r="CF23" s="5">
        <f>IF(ISERROR(I23-IF($BU$7=1,_xll.IMDP("FX",$CA23&amp;CF$7,"BID직전가"),_xll.IMDP("FX",$CA23&amp;CF$7,"뉴욕매입종가",VLOOKUP($BU$7,$BT$8:$BV$13,3,0),"FILL=TRUE"))),"",I23-IF($BU$7=1,_xll.IMDP("FX",$CA23&amp;CF$7,"BID직전가"),_xll.IMDP("FX",$CA23&amp;CF$7,"뉴욕매입종가",VLOOKUP($BU$7,$BT$8:$BV$13,3,0),"FILL=TRUE")))</f>
        <v>0</v>
      </c>
      <c r="CG23" s="5" t="str">
        <f>IF(ISERROR(J23-IF($BU$7=1,_xll.IMDP("FX",$CA23&amp;CG$7,"BID직전가"),_xll.IMDP("FX",$CA23&amp;CG$7,"뉴욕매입종가",VLOOKUP($BU$7,$BT$8:$BV$13,3,0),"FILL=TRUE"))),"",J23-IF($BU$7=1,_xll.IMDP("FX",$CA23&amp;CG$7,"BID직전가"),_xll.IMDP("FX",$CA23&amp;CG$7,"뉴욕매입종가",VLOOKUP($BU$7,$BT$8:$BV$13,3,0),"FILL=TRUE")))</f>
        <v/>
      </c>
      <c r="CH23" s="5">
        <f>IF(ISERROR(K23-IF($BU$7=1,_xll.IMDP("FX",$CA23&amp;CH$7,"BID직전가"),_xll.IMDP("FX",$CA23&amp;CH$7,"뉴욕매입종가",VLOOKUP($BU$7,$BT$8:$BV$13,3,0),"FILL=TRUE"))),"",K23-IF($BU$7=1,_xll.IMDP("FX",$CA23&amp;CH$7,"BID직전가"),_xll.IMDP("FX",$CA23&amp;CH$7,"뉴욕매입종가",VLOOKUP($BU$7,$BT$8:$BV$13,3,0),"FILL=TRUE")))</f>
        <v>0</v>
      </c>
      <c r="CI23" s="5">
        <f>IF(ISERROR(L23-IF($BU$7=1,_xll.IMDP("FX",$CA23&amp;CI$7,"BID직전가"),_xll.IMDP("FX",$CA23&amp;CI$7,"뉴욕매입종가",VLOOKUP($BU$7,$BT$8:$BV$13,3,0),"FILL=TRUE"))),"",L23-IF($BU$7=1,_xll.IMDP("FX",$CA23&amp;CI$7,"BID직전가"),_xll.IMDP("FX",$CA23&amp;CI$7,"뉴욕매입종가",VLOOKUP($BU$7,$BT$8:$BV$13,3,0),"FILL=TRUE")))</f>
        <v>9.9999999999995925E-6</v>
      </c>
      <c r="CJ23" s="5">
        <f>IF(ISERROR(M23-IF($BU$7=1,_xll.IMDP("FX",$CA23&amp;CJ$7,"BID직전가"),_xll.IMDP("FX",$CA23&amp;CJ$7,"뉴욕매입종가",VLOOKUP($BU$7,$BT$8:$BV$13,3,0),"FILL=TRUE"))),"",M23-IF($BU$7=1,_xll.IMDP("FX",$CA23&amp;CJ$7,"BID직전가"),_xll.IMDP("FX",$CA23&amp;CJ$7,"뉴욕매입종가",VLOOKUP($BU$7,$BT$8:$BV$13,3,0),"FILL=TRUE")))</f>
        <v>0</v>
      </c>
      <c r="CK23" s="5" t="str">
        <f>IF(ISERROR(N23-IF($BU$7=1,_xll.IMDP("FX",$CA23&amp;CK$7,"BID직전가"),_xll.IMDP("FX",$CA23&amp;CK$7,"뉴욕매입종가",VLOOKUP($BU$7,$BT$8:$BV$13,3,0),"FILL=TRUE"))),"",N23-IF($BU$7=1,_xll.IMDP("FX",$CA23&amp;CK$7,"BID직전가"),_xll.IMDP("FX",$CA23&amp;CK$7,"뉴욕매입종가",VLOOKUP($BU$7,$BT$8:$BV$13,3,0),"FILL=TRUE")))</f>
        <v/>
      </c>
      <c r="CL23" s="5" t="str">
        <f>IF(ISERROR(O23-IF($BU$7=1,_xll.IMDP("FX",$CA23&amp;CL$7,"BID직전가"),_xll.IMDP("FX",$CA23&amp;CL$7,"뉴욕매입종가",VLOOKUP($BU$7,$BT$8:$BV$13,3,0),"FILL=TRUE"))),"",O23-IF($BU$7=1,_xll.IMDP("FX",$CA23&amp;CL$7,"BID직전가"),_xll.IMDP("FX",$CA23&amp;CL$7,"뉴욕매입종가",VLOOKUP($BU$7,$BT$8:$BV$13,3,0),"FILL=TRUE")))</f>
        <v/>
      </c>
      <c r="CM23" s="5" t="str">
        <f>IF(ISERROR(P23-IF($BU$7=1,_xll.IMDP("FX",$CA23&amp;CM$7,"BID직전가"),_xll.IMDP("FX",$CA23&amp;CM$7,"뉴욕매입종가",VLOOKUP($BU$7,$BT$8:$BV$13,3,0),"FILL=TRUE"))),"",P23-IF($BU$7=1,_xll.IMDP("FX",$CA23&amp;CM$7,"BID직전가"),_xll.IMDP("FX",$CA23&amp;CM$7,"뉴욕매입종가",VLOOKUP($BU$7,$BT$8:$BV$13,3,0),"FILL=TRUE")))</f>
        <v/>
      </c>
      <c r="CN23" s="5">
        <f>IF(ISERROR(Q23-IF($BU$7=1,_xll.IMDP("FX",$CA23&amp;CN$7,"BID직전가"),_xll.IMDP("FX",$CA23&amp;CN$7,"뉴욕매입종가",VLOOKUP($BU$7,$BT$8:$BV$13,3,0),"FILL=TRUE"))),"",Q23-IF($BU$7=1,_xll.IMDP("FX",$CA23&amp;CN$7,"BID직전가"),_xll.IMDP("FX",$CA23&amp;CN$7,"뉴욕매입종가",VLOOKUP($BU$7,$BT$8:$BV$13,3,0),"FILL=TRUE")))</f>
        <v>0</v>
      </c>
      <c r="CO23" s="5" t="str">
        <f>IF(ISERROR(R23-IF($BU$7=1,_xll.IMDP("FX",$CA23&amp;CO$7,"BID직전가"),_xll.IMDP("FX",$CA23&amp;CO$7,"뉴욕매입종가",VLOOKUP($BU$7,$BT$8:$BV$13,3,0),"FILL=TRUE"))),"",R23-IF($BU$7=1,_xll.IMDP("FX",$CA23&amp;CO$7,"BID직전가"),_xll.IMDP("FX",$CA23&amp;CO$7,"뉴욕매입종가",VLOOKUP($BU$7,$BT$8:$BV$13,3,0),"FILL=TRUE")))</f>
        <v/>
      </c>
      <c r="CP23" s="5">
        <f>IF(ISERROR(S23-IF($BU$7=1,_xll.IMDP("FX",$CA23&amp;CP$7,"BID직전가"),_xll.IMDP("FX",$CA23&amp;CP$7,"뉴욕매입종가",VLOOKUP($BU$7,$BT$8:$BV$13,3,0),"FILL=TRUE"))),"",S23-IF($BU$7=1,_xll.IMDP("FX",$CA23&amp;CP$7,"BID직전가"),_xll.IMDP("FX",$CA23&amp;CP$7,"뉴욕매입종가",VLOOKUP($BU$7,$BT$8:$BV$13,3,0),"FILL=TRUE")))</f>
        <v>0</v>
      </c>
      <c r="CQ23" s="48" t="str">
        <f>IF(ISERROR(T23-IF($BU$7=1,_xll.IMDP("FX",$CA23&amp;CQ$7,"BID직전가"),_xll.IMDP("FX",$CA23&amp;CQ$7,"뉴욕매입종가",VLOOKUP($BU$7,$BT$8:$BV$13,3,0),"FILL=TRUE"))),"",T23-IF($BU$7=1,_xll.IMDP("FX",$CA23&amp;CQ$7,"BID직전가"),_xll.IMDP("FX",$CA23&amp;CQ$7,"뉴욕매입종가",VLOOKUP($BU$7,$BT$8:$BV$13,3,0),"FILL=TRUE")))</f>
        <v/>
      </c>
      <c r="CR23" s="5">
        <f>IF(ISERROR(U23-IF($BU$7=1,_xll.IMDP("FX",$CA23&amp;CR$7,"BID직전가"),_xll.IMDP("FX",$CA23&amp;CR$7,"뉴욕매입종가",VLOOKUP($BU$7,$BT$8:$BV$13,3,0),"FILL=TRUE"))),"",U23-IF($BU$7=1,_xll.IMDP("FX",$CA23&amp;CR$7,"BID직전가"),_xll.IMDP("FX",$CA23&amp;CR$7,"뉴욕매입종가",VLOOKUP($BU$7,$BT$8:$BV$13,3,0),"FILL=TRUE")))</f>
        <v>0</v>
      </c>
      <c r="CS23" s="5">
        <f>IF(ISERROR(V23-IF($BU$7=1,_xll.IMDP("FX",$CA23&amp;CS$7,"BID직전가"),_xll.IMDP("FX",$CA23&amp;CS$7,"뉴욕매입종가",VLOOKUP($BU$7,$BT$8:$BV$13,3,0),"FILL=TRUE"))),"",V23-IF($BU$7=1,_xll.IMDP("FX",$CA23&amp;CS$7,"BID직전가"),_xll.IMDP("FX",$CA23&amp;CS$7,"뉴욕매입종가",VLOOKUP($BU$7,$BT$8:$BV$13,3,0),"FILL=TRUE")))</f>
        <v>0</v>
      </c>
      <c r="CT23" s="5">
        <f>IF(ISERROR(W23-IF($BU$7=1,_xll.IMDP("FX",$CA23&amp;CT$7,"BID직전가"),_xll.IMDP("FX",$CA23&amp;CT$7,"뉴욕매입종가",VLOOKUP($BU$7,$BT$8:$BV$13,3,0),"FILL=TRUE"))),"",W23-IF($BU$7=1,_xll.IMDP("FX",$CA23&amp;CT$7,"BID직전가"),_xll.IMDP("FX",$CA23&amp;CT$7,"뉴욕매입종가",VLOOKUP($BU$7,$BT$8:$BV$13,3,0),"FILL=TRUE")))</f>
        <v>0</v>
      </c>
      <c r="CU23" s="5">
        <f>IF(ISERROR(X23-IF($BU$7=1,_xll.IMDP("FX",$CA23&amp;CU$7,"BID직전가"),_xll.IMDP("FX",$CA23&amp;CU$7,"뉴욕매입종가",VLOOKUP($BU$7,$BT$8:$BV$13,3,0),"FILL=TRUE"))),"",X23-IF($BU$7=1,_xll.IMDP("FX",$CA23&amp;CU$7,"BID직전가"),_xll.IMDP("FX",$CA23&amp;CU$7,"뉴욕매입종가",VLOOKUP($BU$7,$BT$8:$BV$13,3,0),"FILL=TRUE")))</f>
        <v>-9.9999999999995925E-6</v>
      </c>
      <c r="CV23" s="54">
        <f>IF(ISERROR(Y23-IF($BU$7=1,_xll.IMDP("FX",$CA23&amp;CV$7,"BID직전가"),_xll.IMDP("FX",$CA23&amp;CV$7,"뉴욕매입종가",VLOOKUP($BU$7,$BT$8:$BV$13,3,0),"FILL=TRUE"))),"",Y23-IF($BU$7=1,_xll.IMDP("FX",$CA23&amp;CV$7,"BID직전가"),_xll.IMDP("FX",$CA23&amp;CV$7,"뉴욕매입종가",VLOOKUP($BU$7,$BT$8:$BV$13,3,0),"FILL=TRUE")))</f>
        <v>0</v>
      </c>
    </row>
    <row r="24" spans="2:100" ht="17.25" customHeight="1" x14ac:dyDescent="0.25">
      <c r="B24" s="14">
        <v>40</v>
      </c>
      <c r="C24" s="11" t="str">
        <f t="shared" si="1"/>
        <v>MYR</v>
      </c>
      <c r="D24" s="25"/>
      <c r="E24" s="6">
        <f>_xll.IMDP("FX",$C24&amp;E$6,"매입")</f>
        <v>282.52999999999997</v>
      </c>
      <c r="F24" s="6">
        <f>_xll.IMDP("FX",$C24&amp;F$6,"매입")</f>
        <v>0.2389</v>
      </c>
      <c r="G24" s="6">
        <f>_xll.IMDP("FX",$C24&amp;G$6,"매입")</f>
        <v>0.21279999999999999</v>
      </c>
      <c r="H24" s="6">
        <f>_xll.IMDP("FX",$C24&amp;H$6,"매입")</f>
        <v>25.837</v>
      </c>
      <c r="I24" s="6">
        <f>_xll.IMDP("FX",$C24&amp;I$6,"매입")</f>
        <v>1.6531</v>
      </c>
      <c r="J24" s="6">
        <f>_xll.IMDP("FX",$C24&amp;J$6,"매입")</f>
        <v>1.6514</v>
      </c>
      <c r="K24" s="6">
        <f>_xll.IMDP("FX",$C24&amp;K$6,"매입")</f>
        <v>0.23730000000000001</v>
      </c>
      <c r="L24" s="6">
        <f>_xll.IMDP("FX",$C24&amp;L$6,"매입")</f>
        <v>0.3427</v>
      </c>
      <c r="M24" s="6">
        <f>_xll.IMDP("FX",$C24&amp;M$6,"매입")</f>
        <v>0.32119999999999999</v>
      </c>
      <c r="N24" s="6">
        <f>_xll.IMDP("FX",$C24&amp;N$6,"매입")</f>
        <v>2.2545000000000002</v>
      </c>
      <c r="O24" s="6" t="str">
        <f>_xll.IMDP("FX",$C24&amp;O$6,"매입")</f>
        <v/>
      </c>
      <c r="P24" s="6" t="str">
        <f>_xll.IMDP("FX",$C24&amp;P$6,"매입")</f>
        <v/>
      </c>
      <c r="Q24" s="6">
        <f>_xll.IMDP("FX",$C24&amp;Q$6,"매입")</f>
        <v>0.9335</v>
      </c>
      <c r="R24" s="6" t="str">
        <f>_xll.IMDP("FX",$C24&amp;R$6,"매입")</f>
        <v/>
      </c>
      <c r="S24" s="6">
        <f>_xll.IMDP("FX",$C24&amp;S$6,"매입")</f>
        <v>1.8766</v>
      </c>
      <c r="T24" s="6">
        <f>_xll.IMDP("FX",$C24&amp;T$6,"매입")</f>
        <v>3416.4</v>
      </c>
      <c r="U24" s="9" t="str">
        <f>_xll.IMDP("FX",$C24&amp;U$6,"매입")</f>
        <v/>
      </c>
      <c r="V24" s="6">
        <f>_xll.IMDP("FX",$C24&amp;V$6,"매입")</f>
        <v>12.401999999999999</v>
      </c>
      <c r="W24" s="6">
        <f>_xll.IMDP("FX",$C24&amp;W$6,"매입")</f>
        <v>0.32719999999999999</v>
      </c>
      <c r="X24" s="6">
        <f>_xll.IMDP("FX",$C24&amp;X$6,"매입")</f>
        <v>7.5019999999999998</v>
      </c>
      <c r="Y24" s="7">
        <f>_xll.IMDP("FX",$C24&amp;Y$6,"매입")</f>
        <v>7.5285000000000002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42"/>
      <c r="BX24" s="39">
        <v>17</v>
      </c>
      <c r="BY24" s="39" t="s">
        <v>13</v>
      </c>
      <c r="CA24" s="53" t="str">
        <f t="shared" si="2"/>
        <v>MYR</v>
      </c>
      <c r="CB24" s="5">
        <f>IF(ISERROR(E24-IF($BU$7=1,_xll.IMDP("FX",$CA24&amp;CB$7,"BID직전가"),_xll.IMDP("FX",$CA24&amp;CB$7,"뉴욕매입종가",VLOOKUP($BU$7,$BT$8:$BV$13,3,0),"FILL=TRUE"))),"",E24-IF($BU$7=1,_xll.IMDP("FX",$CA24&amp;CB$7,"BID직전가"),_xll.IMDP("FX",$CA24&amp;CB$7,"뉴욕매입종가",VLOOKUP($BU$7,$BT$8:$BV$13,3,0),"FILL=TRUE")))</f>
        <v>-0.20000000000004547</v>
      </c>
      <c r="CC24" s="5">
        <f>IF(ISERROR(F24-IF($BU$7=1,_xll.IMDP("FX",$CA24&amp;CC$7,"BID직전가"),_xll.IMDP("FX",$CA24&amp;CC$7,"뉴욕매입종가",VLOOKUP($BU$7,$BT$8:$BV$13,3,0),"FILL=TRUE"))),"",F24-IF($BU$7=1,_xll.IMDP("FX",$CA24&amp;CC$7,"BID직전가"),_xll.IMDP("FX",$CA24&amp;CC$7,"뉴욕매입종가",VLOOKUP($BU$7,$BT$8:$BV$13,3,0),"FILL=TRUE")))</f>
        <v>0</v>
      </c>
      <c r="CD24" s="5">
        <f>IF(ISERROR(G24-IF($BU$7=1,_xll.IMDP("FX",$CA24&amp;CD$7,"BID직전가"),_xll.IMDP("FX",$CA24&amp;CD$7,"뉴욕매입종가",VLOOKUP($BU$7,$BT$8:$BV$13,3,0),"FILL=TRUE"))),"",G24-IF($BU$7=1,_xll.IMDP("FX",$CA24&amp;CD$7,"BID직전가"),_xll.IMDP("FX",$CA24&amp;CD$7,"뉴욕매입종가",VLOOKUP($BU$7,$BT$8:$BV$13,3,0),"FILL=TRUE")))</f>
        <v>0</v>
      </c>
      <c r="CE24" s="5">
        <f>IF(ISERROR(H24-IF($BU$7=1,_xll.IMDP("FX",$CA24&amp;CE$7,"BID직전가"),_xll.IMDP("FX",$CA24&amp;CE$7,"뉴욕매입종가",VLOOKUP($BU$7,$BT$8:$BV$13,3,0),"FILL=TRUE"))),"",H24-IF($BU$7=1,_xll.IMDP("FX",$CA24&amp;CE$7,"BID직전가"),_xll.IMDP("FX",$CA24&amp;CE$7,"뉴욕매입종가",VLOOKUP($BU$7,$BT$8:$BV$13,3,0),"FILL=TRUE")))</f>
        <v>-4.0000000000013358E-3</v>
      </c>
      <c r="CF24" s="5">
        <f>IF(ISERROR(I24-IF($BU$7=1,_xll.IMDP("FX",$CA24&amp;CF$7,"BID직전가"),_xll.IMDP("FX",$CA24&amp;CF$7,"뉴욕매입종가",VLOOKUP($BU$7,$BT$8:$BV$13,3,0),"FILL=TRUE"))),"",I24-IF($BU$7=1,_xll.IMDP("FX",$CA24&amp;CF$7,"BID직전가"),_xll.IMDP("FX",$CA24&amp;CF$7,"뉴욕매입종가",VLOOKUP($BU$7,$BT$8:$BV$13,3,0),"FILL=TRUE")))</f>
        <v>9.9999999999988987E-5</v>
      </c>
      <c r="CG24" s="5">
        <f>IF(ISERROR(J24-IF($BU$7=1,_xll.IMDP("FX",$CA24&amp;CG$7,"BID직전가"),_xll.IMDP("FX",$CA24&amp;CG$7,"뉴욕매입종가",VLOOKUP($BU$7,$BT$8:$BV$13,3,0),"FILL=TRUE"))),"",J24-IF($BU$7=1,_xll.IMDP("FX",$CA24&amp;CG$7,"BID직전가"),_xll.IMDP("FX",$CA24&amp;CG$7,"뉴욕매입종가",VLOOKUP($BU$7,$BT$8:$BV$13,3,0),"FILL=TRUE")))</f>
        <v>-1.9999999999997797E-4</v>
      </c>
      <c r="CH24" s="5">
        <f>IF(ISERROR(K24-IF($BU$7=1,_xll.IMDP("FX",$CA24&amp;CH$7,"BID직전가"),_xll.IMDP("FX",$CA24&amp;CH$7,"뉴욕매입종가",VLOOKUP($BU$7,$BT$8:$BV$13,3,0),"FILL=TRUE"))),"",K24-IF($BU$7=1,_xll.IMDP("FX",$CA24&amp;CH$7,"BID직전가"),_xll.IMDP("FX",$CA24&amp;CH$7,"뉴욕매입종가",VLOOKUP($BU$7,$BT$8:$BV$13,3,0),"FILL=TRUE")))</f>
        <v>0</v>
      </c>
      <c r="CI24" s="5">
        <f>IF(ISERROR(L24-IF($BU$7=1,_xll.IMDP("FX",$CA24&amp;CI$7,"BID직전가"),_xll.IMDP("FX",$CA24&amp;CI$7,"뉴욕매입종가",VLOOKUP($BU$7,$BT$8:$BV$13,3,0),"FILL=TRUE"))),"",L24-IF($BU$7=1,_xll.IMDP("FX",$CA24&amp;CI$7,"BID직전가"),_xll.IMDP("FX",$CA24&amp;CI$7,"뉴욕매입종가",VLOOKUP($BU$7,$BT$8:$BV$13,3,0),"FILL=TRUE")))</f>
        <v>9.9999999999988987E-5</v>
      </c>
      <c r="CJ24" s="5">
        <f>IF(ISERROR(M24-IF($BU$7=1,_xll.IMDP("FX",$CA24&amp;CJ$7,"BID직전가"),_xll.IMDP("FX",$CA24&amp;CJ$7,"뉴욕매입종가",VLOOKUP($BU$7,$BT$8:$BV$13,3,0),"FILL=TRUE"))),"",M24-IF($BU$7=1,_xll.IMDP("FX",$CA24&amp;CJ$7,"BID직전가"),_xll.IMDP("FX",$CA24&amp;CJ$7,"뉴욕매입종가",VLOOKUP($BU$7,$BT$8:$BV$13,3,0),"FILL=TRUE")))</f>
        <v>0</v>
      </c>
      <c r="CK24" s="5">
        <f>IF(ISERROR(N24-IF($BU$7=1,_xll.IMDP("FX",$CA24&amp;CK$7,"BID직전가"),_xll.IMDP("FX",$CA24&amp;CK$7,"뉴욕매입종가",VLOOKUP($BU$7,$BT$8:$BV$13,3,0),"FILL=TRUE"))),"",N24-IF($BU$7=1,_xll.IMDP("FX",$CA24&amp;CK$7,"BID직전가"),_xll.IMDP("FX",$CA24&amp;CK$7,"뉴욕매입종가",VLOOKUP($BU$7,$BT$8:$BV$13,3,0),"FILL=TRUE")))</f>
        <v>1.9999999999997797E-4</v>
      </c>
      <c r="CL24" s="5" t="str">
        <f>IF(ISERROR(O24-IF($BU$7=1,_xll.IMDP("FX",$CA24&amp;CL$7,"BID직전가"),_xll.IMDP("FX",$CA24&amp;CL$7,"뉴욕매입종가",VLOOKUP($BU$7,$BT$8:$BV$13,3,0),"FILL=TRUE"))),"",O24-IF($BU$7=1,_xll.IMDP("FX",$CA24&amp;CL$7,"BID직전가"),_xll.IMDP("FX",$CA24&amp;CL$7,"뉴욕매입종가",VLOOKUP($BU$7,$BT$8:$BV$13,3,0),"FILL=TRUE")))</f>
        <v/>
      </c>
      <c r="CM24" s="5" t="str">
        <f>IF(ISERROR(P24-IF($BU$7=1,_xll.IMDP("FX",$CA24&amp;CM$7,"BID직전가"),_xll.IMDP("FX",$CA24&amp;CM$7,"뉴욕매입종가",VLOOKUP($BU$7,$BT$8:$BV$13,3,0),"FILL=TRUE"))),"",P24-IF($BU$7=1,_xll.IMDP("FX",$CA24&amp;CM$7,"BID직전가"),_xll.IMDP("FX",$CA24&amp;CM$7,"뉴욕매입종가",VLOOKUP($BU$7,$BT$8:$BV$13,3,0),"FILL=TRUE")))</f>
        <v/>
      </c>
      <c r="CN24" s="5">
        <f>IF(ISERROR(Q24-IF($BU$7=1,_xll.IMDP("FX",$CA24&amp;CN$7,"BID직전가"),_xll.IMDP("FX",$CA24&amp;CN$7,"뉴욕매입종가",VLOOKUP($BU$7,$BT$8:$BV$13,3,0),"FILL=TRUE"))),"",Q24-IF($BU$7=1,_xll.IMDP("FX",$CA24&amp;CN$7,"BID직전가"),_xll.IMDP("FX",$CA24&amp;CN$7,"뉴욕매입종가",VLOOKUP($BU$7,$BT$8:$BV$13,3,0),"FILL=TRUE")))</f>
        <v>5.6000000000000494E-4</v>
      </c>
      <c r="CO24" s="5" t="str">
        <f>IF(ISERROR(R24-IF($BU$7=1,_xll.IMDP("FX",$CA24&amp;CO$7,"BID직전가"),_xll.IMDP("FX",$CA24&amp;CO$7,"뉴욕매입종가",VLOOKUP($BU$7,$BT$8:$BV$13,3,0),"FILL=TRUE"))),"",R24-IF($BU$7=1,_xll.IMDP("FX",$CA24&amp;CO$7,"BID직전가"),_xll.IMDP("FX",$CA24&amp;CO$7,"뉴욕매입종가",VLOOKUP($BU$7,$BT$8:$BV$13,3,0),"FILL=TRUE")))</f>
        <v/>
      </c>
      <c r="CP24" s="5">
        <f>IF(ISERROR(S24-IF($BU$7=1,_xll.IMDP("FX",$CA24&amp;CP$7,"BID직전가"),_xll.IMDP("FX",$CA24&amp;CP$7,"뉴욕매입종가",VLOOKUP($BU$7,$BT$8:$BV$13,3,0),"FILL=TRUE"))),"",S24-IF($BU$7=1,_xll.IMDP("FX",$CA24&amp;CP$7,"BID직전가"),_xll.IMDP("FX",$CA24&amp;CP$7,"뉴욕매입종가",VLOOKUP($BU$7,$BT$8:$BV$13,3,0),"FILL=TRUE")))</f>
        <v>0</v>
      </c>
      <c r="CQ24" s="5">
        <f>IF(ISERROR(T24-IF($BU$7=1,_xll.IMDP("FX",$CA24&amp;CQ$7,"BID직전가"),_xll.IMDP("FX",$CA24&amp;CQ$7,"뉴욕매입종가",VLOOKUP($BU$7,$BT$8:$BV$13,3,0),"FILL=TRUE"))),"",T24-IF($BU$7=1,_xll.IMDP("FX",$CA24&amp;CQ$7,"BID직전가"),_xll.IMDP("FX",$CA24&amp;CQ$7,"뉴욕매입종가",VLOOKUP($BU$7,$BT$8:$BV$13,3,0),"FILL=TRUE")))</f>
        <v>0</v>
      </c>
      <c r="CR24" s="48" t="str">
        <f>IF(ISERROR(U24-IF($BU$7=1,_xll.IMDP("FX",$CA24&amp;CR$7,"BID직전가"),_xll.IMDP("FX",$CA24&amp;CR$7,"뉴욕매입종가",VLOOKUP($BU$7,$BT$8:$BV$13,3,0),"FILL=TRUE"))),"",U24-IF($BU$7=1,_xll.IMDP("FX",$CA24&amp;CR$7,"BID직전가"),_xll.IMDP("FX",$CA24&amp;CR$7,"뉴욕매입종가",VLOOKUP($BU$7,$BT$8:$BV$13,3,0),"FILL=TRUE")))</f>
        <v/>
      </c>
      <c r="CS24" s="5">
        <f>IF(ISERROR(V24-IF($BU$7=1,_xll.IMDP("FX",$CA24&amp;CS$7,"BID직전가"),_xll.IMDP("FX",$CA24&amp;CS$7,"뉴욕매입종가",VLOOKUP($BU$7,$BT$8:$BV$13,3,0),"FILL=TRUE"))),"",V24-IF($BU$7=1,_xll.IMDP("FX",$CA24&amp;CS$7,"BID직전가"),_xll.IMDP("FX",$CA24&amp;CS$7,"뉴욕매입종가",VLOOKUP($BU$7,$BT$8:$BV$13,3,0),"FILL=TRUE")))</f>
        <v>0</v>
      </c>
      <c r="CT24" s="5">
        <f>IF(ISERROR(W24-IF($BU$7=1,_xll.IMDP("FX",$CA24&amp;CT$7,"BID직전가"),_xll.IMDP("FX",$CA24&amp;CT$7,"뉴욕매입종가",VLOOKUP($BU$7,$BT$8:$BV$13,3,0),"FILL=TRUE"))),"",W24-IF($BU$7=1,_xll.IMDP("FX",$CA24&amp;CT$7,"BID직전가"),_xll.IMDP("FX",$CA24&amp;CT$7,"뉴욕매입종가",VLOOKUP($BU$7,$BT$8:$BV$13,3,0),"FILL=TRUE")))</f>
        <v>0</v>
      </c>
      <c r="CU24" s="5">
        <f>IF(ISERROR(X24-IF($BU$7=1,_xll.IMDP("FX",$CA24&amp;CU$7,"BID직전가"),_xll.IMDP("FX",$CA24&amp;CU$7,"뉴욕매입종가",VLOOKUP($BU$7,$BT$8:$BV$13,3,0),"FILL=TRUE"))),"",X24-IF($BU$7=1,_xll.IMDP("FX",$CA24&amp;CU$7,"BID직전가"),_xll.IMDP("FX",$CA24&amp;CU$7,"뉴욕매입종가",VLOOKUP($BU$7,$BT$8:$BV$13,3,0),"FILL=TRUE")))</f>
        <v>-1.9999999999997797E-3</v>
      </c>
      <c r="CV24" s="54">
        <f>IF(ISERROR(Y24-IF($BU$7=1,_xll.IMDP("FX",$CA24&amp;CV$7,"BID직전가"),_xll.IMDP("FX",$CA24&amp;CV$7,"뉴욕매입종가",VLOOKUP($BU$7,$BT$8:$BV$13,3,0),"FILL=TRUE"))),"",Y24-IF($BU$7=1,_xll.IMDP("FX",$CA24&amp;CV$7,"BID직전가"),_xll.IMDP("FX",$CA24&amp;CV$7,"뉴욕매입종가",VLOOKUP($BU$7,$BT$8:$BV$13,3,0),"FILL=TRUE")))</f>
        <v>0</v>
      </c>
    </row>
    <row r="25" spans="2:100" ht="17.25" customHeight="1" x14ac:dyDescent="0.25">
      <c r="B25" s="14">
        <v>46</v>
      </c>
      <c r="C25" s="11" t="str">
        <f t="shared" si="1"/>
        <v>PHP</v>
      </c>
      <c r="D25" s="25"/>
      <c r="E25" s="6">
        <f>_xll.IMDP("FX",$C25&amp;E$6,"매입")</f>
        <v>22.78</v>
      </c>
      <c r="F25" s="6">
        <f>_xll.IMDP("FX",$C25&amp;F$6,"매입")</f>
        <v>1.925E-2</v>
      </c>
      <c r="G25" s="6">
        <f>_xll.IMDP("FX",$C25&amp;G$6,"매입")</f>
        <v>1.7100000000000001E-2</v>
      </c>
      <c r="H25" s="6">
        <f>_xll.IMDP("FX",$C25&amp;H$6,"매입")</f>
        <v>2.0811000000000002</v>
      </c>
      <c r="I25" s="6">
        <f>_xll.IMDP("FX",$C25&amp;I$6,"매입")</f>
        <v>0.1328</v>
      </c>
      <c r="J25" s="6" t="str">
        <f>_xll.IMDP("FX",$C25&amp;J$6,"매입")</f>
        <v/>
      </c>
      <c r="K25" s="6">
        <f>_xll.IMDP("FX",$C25&amp;K$6,"매입")</f>
        <v>1.9120000000000002E-2</v>
      </c>
      <c r="L25" s="6">
        <f>_xll.IMDP("FX",$C25&amp;L$6,"매입")</f>
        <v>2.7609999999999999E-2</v>
      </c>
      <c r="M25" s="6">
        <f>_xll.IMDP("FX",$C25&amp;M$6,"매입")</f>
        <v>2.589E-2</v>
      </c>
      <c r="N25" s="6" t="str">
        <f>_xll.IMDP("FX",$C25&amp;N$6,"매입")</f>
        <v/>
      </c>
      <c r="O25" s="6" t="str">
        <f>_xll.IMDP("FX",$C25&amp;O$6,"매입")</f>
        <v/>
      </c>
      <c r="P25" s="6" t="str">
        <f>_xll.IMDP("FX",$C25&amp;P$6,"매입")</f>
        <v/>
      </c>
      <c r="Q25" s="6" t="str">
        <f>_xll.IMDP("FX",$C25&amp;Q$6,"매입")</f>
        <v/>
      </c>
      <c r="R25" s="6" t="str">
        <f>_xll.IMDP("FX",$C25&amp;R$6,"매입")</f>
        <v/>
      </c>
      <c r="S25" s="6">
        <f>_xll.IMDP("FX",$C25&amp;S$6,"매입")</f>
        <v>0.151</v>
      </c>
      <c r="T25" s="6">
        <f>_xll.IMDP("FX",$C25&amp;T$6,"매입")</f>
        <v>274.89999999999998</v>
      </c>
      <c r="U25" s="6">
        <f>_xll.IMDP("FX",$C25&amp;U$6,"매입")</f>
        <v>8.0100000000000005E-2</v>
      </c>
      <c r="V25" s="9" t="str">
        <f>_xll.IMDP("FX",$C25&amp;V$6,"매입")</f>
        <v/>
      </c>
      <c r="W25" s="6">
        <f>_xll.IMDP("FX",$C25&amp;W$6,"매입")</f>
        <v>2.5899999999999999E-2</v>
      </c>
      <c r="X25" s="6">
        <f>_xll.IMDP("FX",$C25&amp;X$6,"매입")</f>
        <v>0.60450000000000004</v>
      </c>
      <c r="Y25" s="7">
        <f>_xll.IMDP("FX",$C25&amp;Y$6,"매입")</f>
        <v>0.60619999999999996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42"/>
      <c r="BX25" s="39">
        <v>18</v>
      </c>
      <c r="BY25" s="39" t="s">
        <v>14</v>
      </c>
      <c r="CA25" s="53" t="str">
        <f t="shared" si="2"/>
        <v>PHP</v>
      </c>
      <c r="CB25" s="5">
        <f>IF(ISERROR(E25-IF($BU$7=1,_xll.IMDP("FX",$CA25&amp;CB$7,"BID직전가"),_xll.IMDP("FX",$CA25&amp;CB$7,"뉴욕매입종가",VLOOKUP($BU$7,$BT$8:$BV$13,3,0),"FILL=TRUE"))),"",E25-IF($BU$7=1,_xll.IMDP("FX",$CA25&amp;CB$7,"BID직전가"),_xll.IMDP("FX",$CA25&amp;CB$7,"뉴욕매입종가",VLOOKUP($BU$7,$BT$8:$BV$13,3,0),"FILL=TRUE")))</f>
        <v>0</v>
      </c>
      <c r="CC25" s="5">
        <f>IF(ISERROR(F25-IF($BU$7=1,_xll.IMDP("FX",$CA25&amp;CC$7,"BID직전가"),_xll.IMDP("FX",$CA25&amp;CC$7,"뉴욕매입종가",VLOOKUP($BU$7,$BT$8:$BV$13,3,0),"FILL=TRUE"))),"",F25-IF($BU$7=1,_xll.IMDP("FX",$CA25&amp;CC$7,"BID직전가"),_xll.IMDP("FX",$CA25&amp;CC$7,"뉴욕매입종가",VLOOKUP($BU$7,$BT$8:$BV$13,3,0),"FILL=TRUE")))</f>
        <v>0</v>
      </c>
      <c r="CD25" s="5">
        <f>IF(ISERROR(G25-IF($BU$7=1,_xll.IMDP("FX",$CA25&amp;CD$7,"BID직전가"),_xll.IMDP("FX",$CA25&amp;CD$7,"뉴욕매입종가",VLOOKUP($BU$7,$BT$8:$BV$13,3,0),"FILL=TRUE"))),"",G25-IF($BU$7=1,_xll.IMDP("FX",$CA25&amp;CD$7,"BID직전가"),_xll.IMDP("FX",$CA25&amp;CD$7,"뉴욕매입종가",VLOOKUP($BU$7,$BT$8:$BV$13,3,0),"FILL=TRUE")))</f>
        <v>0</v>
      </c>
      <c r="CE25" s="5">
        <f>IF(ISERROR(H25-IF($BU$7=1,_xll.IMDP("FX",$CA25&amp;CE$7,"BID직전가"),_xll.IMDP("FX",$CA25&amp;CE$7,"뉴욕매입종가",VLOOKUP($BU$7,$BT$8:$BV$13,3,0),"FILL=TRUE"))),"",H25-IF($BU$7=1,_xll.IMDP("FX",$CA25&amp;CE$7,"BID직전가"),_xll.IMDP("FX",$CA25&amp;CE$7,"뉴욕매입종가",VLOOKUP($BU$7,$BT$8:$BV$13,3,0),"FILL=TRUE")))</f>
        <v>-2.9999999999974492E-4</v>
      </c>
      <c r="CF25" s="5">
        <f>IF(ISERROR(I25-IF($BU$7=1,_xll.IMDP("FX",$CA25&amp;CF$7,"BID직전가"),_xll.IMDP("FX",$CA25&amp;CF$7,"뉴욕매입종가",VLOOKUP($BU$7,$BT$8:$BV$13,3,0),"FILL=TRUE"))),"",I25-IF($BU$7=1,_xll.IMDP("FX",$CA25&amp;CF$7,"BID직전가"),_xll.IMDP("FX",$CA25&amp;CF$7,"뉴욕매입종가",VLOOKUP($BU$7,$BT$8:$BV$13,3,0),"FILL=TRUE")))</f>
        <v>0</v>
      </c>
      <c r="CG25" s="5" t="str">
        <f>IF(ISERROR(J25-IF($BU$7=1,_xll.IMDP("FX",$CA25&amp;CG$7,"BID직전가"),_xll.IMDP("FX",$CA25&amp;CG$7,"뉴욕매입종가",VLOOKUP($BU$7,$BT$8:$BV$13,3,0),"FILL=TRUE"))),"",J25-IF($BU$7=1,_xll.IMDP("FX",$CA25&amp;CG$7,"BID직전가"),_xll.IMDP("FX",$CA25&amp;CG$7,"뉴욕매입종가",VLOOKUP($BU$7,$BT$8:$BV$13,3,0),"FILL=TRUE")))</f>
        <v/>
      </c>
      <c r="CH25" s="5">
        <f>IF(ISERROR(K25-IF($BU$7=1,_xll.IMDP("FX",$CA25&amp;CH$7,"BID직전가"),_xll.IMDP("FX",$CA25&amp;CH$7,"뉴욕매입종가",VLOOKUP($BU$7,$BT$8:$BV$13,3,0),"FILL=TRUE"))),"",K25-IF($BU$7=1,_xll.IMDP("FX",$CA25&amp;CH$7,"BID직전가"),_xll.IMDP("FX",$CA25&amp;CH$7,"뉴욕매입종가",VLOOKUP($BU$7,$BT$8:$BV$13,3,0),"FILL=TRUE")))</f>
        <v>2.0000000000002655E-5</v>
      </c>
      <c r="CI25" s="5">
        <f>IF(ISERROR(L25-IF($BU$7=1,_xll.IMDP("FX",$CA25&amp;CI$7,"BID직전가"),_xll.IMDP("FX",$CA25&amp;CI$7,"뉴욕매입종가",VLOOKUP($BU$7,$BT$8:$BV$13,3,0),"FILL=TRUE"))),"",L25-IF($BU$7=1,_xll.IMDP("FX",$CA25&amp;CI$7,"BID직전가"),_xll.IMDP("FX",$CA25&amp;CI$7,"뉴욕매입종가",VLOOKUP($BU$7,$BT$8:$BV$13,3,0),"FILL=TRUE")))</f>
        <v>9.9999999999995925E-6</v>
      </c>
      <c r="CJ25" s="5">
        <f>IF(ISERROR(M25-IF($BU$7=1,_xll.IMDP("FX",$CA25&amp;CJ$7,"BID직전가"),_xll.IMDP("FX",$CA25&amp;CJ$7,"뉴욕매입종가",VLOOKUP($BU$7,$BT$8:$BV$13,3,0),"FILL=TRUE"))),"",M25-IF($BU$7=1,_xll.IMDP("FX",$CA25&amp;CJ$7,"BID직전가"),_xll.IMDP("FX",$CA25&amp;CJ$7,"뉴욕매입종가",VLOOKUP($BU$7,$BT$8:$BV$13,3,0),"FILL=TRUE")))</f>
        <v>9.9999999999995925E-6</v>
      </c>
      <c r="CK25" s="5" t="str">
        <f>IF(ISERROR(N25-IF($BU$7=1,_xll.IMDP("FX",$CA25&amp;CK$7,"BID직전가"),_xll.IMDP("FX",$CA25&amp;CK$7,"뉴욕매입종가",VLOOKUP($BU$7,$BT$8:$BV$13,3,0),"FILL=TRUE"))),"",N25-IF($BU$7=1,_xll.IMDP("FX",$CA25&amp;CK$7,"BID직전가"),_xll.IMDP("FX",$CA25&amp;CK$7,"뉴욕매입종가",VLOOKUP($BU$7,$BT$8:$BV$13,3,0),"FILL=TRUE")))</f>
        <v/>
      </c>
      <c r="CL25" s="5" t="str">
        <f>IF(ISERROR(O25-IF($BU$7=1,_xll.IMDP("FX",$CA25&amp;CL$7,"BID직전가"),_xll.IMDP("FX",$CA25&amp;CL$7,"뉴욕매입종가",VLOOKUP($BU$7,$BT$8:$BV$13,3,0),"FILL=TRUE"))),"",O25-IF($BU$7=1,_xll.IMDP("FX",$CA25&amp;CL$7,"BID직전가"),_xll.IMDP("FX",$CA25&amp;CL$7,"뉴욕매입종가",VLOOKUP($BU$7,$BT$8:$BV$13,3,0),"FILL=TRUE")))</f>
        <v/>
      </c>
      <c r="CM25" s="5" t="str">
        <f>IF(ISERROR(P25-IF($BU$7=1,_xll.IMDP("FX",$CA25&amp;CM$7,"BID직전가"),_xll.IMDP("FX",$CA25&amp;CM$7,"뉴욕매입종가",VLOOKUP($BU$7,$BT$8:$BV$13,3,0),"FILL=TRUE"))),"",P25-IF($BU$7=1,_xll.IMDP("FX",$CA25&amp;CM$7,"BID직전가"),_xll.IMDP("FX",$CA25&amp;CM$7,"뉴욕매입종가",VLOOKUP($BU$7,$BT$8:$BV$13,3,0),"FILL=TRUE")))</f>
        <v/>
      </c>
      <c r="CN25" s="5" t="str">
        <f>IF(ISERROR(Q25-IF($BU$7=1,_xll.IMDP("FX",$CA25&amp;CN$7,"BID직전가"),_xll.IMDP("FX",$CA25&amp;CN$7,"뉴욕매입종가",VLOOKUP($BU$7,$BT$8:$BV$13,3,0),"FILL=TRUE"))),"",Q25-IF($BU$7=1,_xll.IMDP("FX",$CA25&amp;CN$7,"BID직전가"),_xll.IMDP("FX",$CA25&amp;CN$7,"뉴욕매입종가",VLOOKUP($BU$7,$BT$8:$BV$13,3,0),"FILL=TRUE")))</f>
        <v/>
      </c>
      <c r="CO25" s="5" t="str">
        <f>IF(ISERROR(R25-IF($BU$7=1,_xll.IMDP("FX",$CA25&amp;CO$7,"BID직전가"),_xll.IMDP("FX",$CA25&amp;CO$7,"뉴욕매입종가",VLOOKUP($BU$7,$BT$8:$BV$13,3,0),"FILL=TRUE"))),"",R25-IF($BU$7=1,_xll.IMDP("FX",$CA25&amp;CO$7,"BID직전가"),_xll.IMDP("FX",$CA25&amp;CO$7,"뉴욕매입종가",VLOOKUP($BU$7,$BT$8:$BV$13,3,0),"FILL=TRUE")))</f>
        <v/>
      </c>
      <c r="CP25" s="5">
        <f>IF(ISERROR(S25-IF($BU$7=1,_xll.IMDP("FX",$CA25&amp;CP$7,"BID직전가"),_xll.IMDP("FX",$CA25&amp;CP$7,"뉴욕매입종가",VLOOKUP($BU$7,$BT$8:$BV$13,3,0),"FILL=TRUE"))),"",S25-IF($BU$7=1,_xll.IMDP("FX",$CA25&amp;CP$7,"BID직전가"),_xll.IMDP("FX",$CA25&amp;CP$7,"뉴욕매입종가",VLOOKUP($BU$7,$BT$8:$BV$13,3,0),"FILL=TRUE")))</f>
        <v>0</v>
      </c>
      <c r="CQ25" s="5">
        <f>IF(ISERROR(T25-IF($BU$7=1,_xll.IMDP("FX",$CA25&amp;CQ$7,"BID직전가"),_xll.IMDP("FX",$CA25&amp;CQ$7,"뉴욕매입종가",VLOOKUP($BU$7,$BT$8:$BV$13,3,0),"FILL=TRUE"))),"",T25-IF($BU$7=1,_xll.IMDP("FX",$CA25&amp;CQ$7,"BID직전가"),_xll.IMDP("FX",$CA25&amp;CQ$7,"뉴욕매입종가",VLOOKUP($BU$7,$BT$8:$BV$13,3,0),"FILL=TRUE")))</f>
        <v>0</v>
      </c>
      <c r="CR25" s="5">
        <f>IF(ISERROR(U25-IF($BU$7=1,_xll.IMDP("FX",$CA25&amp;CR$7,"BID직전가"),_xll.IMDP("FX",$CA25&amp;CR$7,"뉴욕매입종가",VLOOKUP($BU$7,$BT$8:$BV$13,3,0),"FILL=TRUE"))),"",U25-IF($BU$7=1,_xll.IMDP("FX",$CA25&amp;CR$7,"BID직전가"),_xll.IMDP("FX",$CA25&amp;CR$7,"뉴욕매입종가",VLOOKUP($BU$7,$BT$8:$BV$13,3,0),"FILL=TRUE")))</f>
        <v>0</v>
      </c>
      <c r="CS25" s="48" t="str">
        <f>IF(ISERROR(V25-IF($BU$7=1,_xll.IMDP("FX",$CA25&amp;CS$7,"BID직전가"),_xll.IMDP("FX",$CA25&amp;CS$7,"뉴욕매입종가",VLOOKUP($BU$7,$BT$8:$BV$13,3,0),"FILL=TRUE"))),"",V25-IF($BU$7=1,_xll.IMDP("FX",$CA25&amp;CS$7,"BID직전가"),_xll.IMDP("FX",$CA25&amp;CS$7,"뉴욕매입종가",VLOOKUP($BU$7,$BT$8:$BV$13,3,0),"FILL=TRUE")))</f>
        <v/>
      </c>
      <c r="CT25" s="5">
        <f>IF(ISERROR(W25-IF($BU$7=1,_xll.IMDP("FX",$CA25&amp;CT$7,"BID직전가"),_xll.IMDP("FX",$CA25&amp;CT$7,"뉴욕매입종가",VLOOKUP($BU$7,$BT$8:$BV$13,3,0),"FILL=TRUE"))),"",W25-IF($BU$7=1,_xll.IMDP("FX",$CA25&amp;CT$7,"BID직전가"),_xll.IMDP("FX",$CA25&amp;CT$7,"뉴욕매입종가",VLOOKUP($BU$7,$BT$8:$BV$13,3,0),"FILL=TRUE")))</f>
        <v>0</v>
      </c>
      <c r="CU25" s="5">
        <f>IF(ISERROR(X25-IF($BU$7=1,_xll.IMDP("FX",$CA25&amp;CU$7,"BID직전가"),_xll.IMDP("FX",$CA25&amp;CU$7,"뉴욕매입종가",VLOOKUP($BU$7,$BT$8:$BV$13,3,0),"FILL=TRUE"))),"",X25-IF($BU$7=1,_xll.IMDP("FX",$CA25&amp;CU$7,"BID직전가"),_xll.IMDP("FX",$CA25&amp;CU$7,"뉴욕매입종가",VLOOKUP($BU$7,$BT$8:$BV$13,3,0),"FILL=TRUE")))</f>
        <v>-1.9999999999997797E-4</v>
      </c>
      <c r="CV25" s="54">
        <f>IF(ISERROR(Y25-IF($BU$7=1,_xll.IMDP("FX",$CA25&amp;CV$7,"BID직전가"),_xll.IMDP("FX",$CA25&amp;CV$7,"뉴욕매입종가",VLOOKUP($BU$7,$BT$8:$BV$13,3,0),"FILL=TRUE"))),"",Y25-IF($BU$7=1,_xll.IMDP("FX",$CA25&amp;CV$7,"BID직전가"),_xll.IMDP("FX",$CA25&amp;CV$7,"뉴욕매입종가",VLOOKUP($BU$7,$BT$8:$BV$13,3,0),"FILL=TRUE")))</f>
        <v>0</v>
      </c>
    </row>
    <row r="26" spans="2:100" ht="17.25" customHeight="1" x14ac:dyDescent="0.25">
      <c r="B26" s="14">
        <v>52</v>
      </c>
      <c r="C26" s="11" t="str">
        <f t="shared" si="1"/>
        <v>SGD</v>
      </c>
      <c r="D26" s="25"/>
      <c r="E26" s="22">
        <f>_xll.IMDP("FX",$C26&amp;E$6,"매입")</f>
        <v>862.96</v>
      </c>
      <c r="F26" s="6">
        <f>_xll.IMDP("FX",$C26&amp;F$6,"매입")</f>
        <v>0.73040000000000005</v>
      </c>
      <c r="G26" s="6">
        <f>_xll.IMDP("FX",$C26&amp;G$6,"매입")</f>
        <v>0.64927000000000001</v>
      </c>
      <c r="H26" s="6">
        <f>_xll.IMDP("FX",$C26&amp;H$6,"매입")</f>
        <v>78.84</v>
      </c>
      <c r="I26" s="6">
        <f>_xll.IMDP("FX",$C26&amp;I$6,"매입")</f>
        <v>5.0461</v>
      </c>
      <c r="J26" s="6">
        <f>_xll.IMDP("FX",$C26&amp;J$6,"매입")</f>
        <v>5.0552999999999999</v>
      </c>
      <c r="K26" s="6">
        <f>_xll.IMDP("FX",$C26&amp;K$6,"매입")</f>
        <v>0.72540000000000004</v>
      </c>
      <c r="L26" s="6">
        <f>_xll.IMDP("FX",$C26&amp;L$6,"매입")</f>
        <v>1.0472600000000001</v>
      </c>
      <c r="M26" s="6" t="str">
        <f>_xll.IMDP("FX",$C26&amp;M$6,"매입")</f>
        <v/>
      </c>
      <c r="N26" s="6">
        <f>_xll.IMDP("FX",$C26&amp;N$6,"매입")</f>
        <v>6.8921000000000001</v>
      </c>
      <c r="O26" s="6">
        <f>_xll.IMDP("FX",$C26&amp;O$6,"매입")</f>
        <v>4.8478000000000003</v>
      </c>
      <c r="P26" s="6">
        <f>_xll.IMDP("FX",$C26&amp;P$6,"매입")</f>
        <v>2.7766000000000002</v>
      </c>
      <c r="Q26" s="6">
        <f>_xll.IMDP("FX",$C26&amp;Q$6,"매입")</f>
        <v>2.8485</v>
      </c>
      <c r="R26" s="6">
        <f>_xll.IMDP("FX",$C26&amp;R$6,"매입")</f>
        <v>14.4236</v>
      </c>
      <c r="S26" s="6">
        <f>_xll.IMDP("FX",$C26&amp;S$6,"매입")</f>
        <v>5.726</v>
      </c>
      <c r="T26" s="6">
        <f>_xll.IMDP("FX",$C26&amp;T$6,"매입")</f>
        <v>10428.200000000001</v>
      </c>
      <c r="U26" s="6">
        <f>_xll.IMDP("FX",$C26&amp;U$6,"매입")</f>
        <v>3.0514000000000001</v>
      </c>
      <c r="V26" s="6">
        <f>_xll.IMDP("FX",$C26&amp;V$6,"매입")</f>
        <v>37.860999999999997</v>
      </c>
      <c r="W26" s="9" t="str">
        <f>_xll.IMDP("FX",$C26&amp;W$6,"매입")</f>
        <v/>
      </c>
      <c r="X26" s="6">
        <f>_xll.IMDP("FX",$C26&amp;X$6,"매입")</f>
        <v>22.9072</v>
      </c>
      <c r="Y26" s="7">
        <f>_xll.IMDP("FX",$C26&amp;Y$6,"매입")</f>
        <v>22.972999999999999</v>
      </c>
      <c r="Z26" s="16"/>
      <c r="AA26" s="16"/>
      <c r="AB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42"/>
      <c r="BX26" s="39">
        <v>19</v>
      </c>
      <c r="BY26" s="39" t="s">
        <v>15</v>
      </c>
      <c r="CA26" s="53" t="str">
        <f t="shared" si="2"/>
        <v>SGD</v>
      </c>
      <c r="CB26" s="5">
        <f>IF(ISERROR(E26-IF($BU$7=1,_xll.IMDP("FX",$CA26&amp;CB$7,"BID직전가"),_xll.IMDP("FX",$CA26&amp;CB$7,"뉴욕매입종가",VLOOKUP($BU$7,$BT$8:$BV$13,3,0),"FILL=TRUE"))),"",E26-IF($BU$7=1,_xll.IMDP("FX",$CA26&amp;CB$7,"BID직전가"),_xll.IMDP("FX",$CA26&amp;CB$7,"뉴욕매입종가",VLOOKUP($BU$7,$BT$8:$BV$13,3,0),"FILL=TRUE")))</f>
        <v>-4.9999999999954525E-2</v>
      </c>
      <c r="CC26" s="5">
        <f>IF(ISERROR(F26-IF($BU$7=1,_xll.IMDP("FX",$CA26&amp;CC$7,"BID직전가"),_xll.IMDP("FX",$CA26&amp;CC$7,"뉴욕매입종가",VLOOKUP($BU$7,$BT$8:$BV$13,3,0),"FILL=TRUE"))),"",F26-IF($BU$7=1,_xll.IMDP("FX",$CA26&amp;CC$7,"BID직전가"),_xll.IMDP("FX",$CA26&amp;CC$7,"뉴욕매입종가",VLOOKUP($BU$7,$BT$8:$BV$13,3,0),"FILL=TRUE")))</f>
        <v>-9.9999999999988987E-5</v>
      </c>
      <c r="CD26" s="5">
        <f>IF(ISERROR(G26-IF($BU$7=1,_xll.IMDP("FX",$CA26&amp;CD$7,"BID직전가"),_xll.IMDP("FX",$CA26&amp;CD$7,"뉴욕매입종가",VLOOKUP($BU$7,$BT$8:$BV$13,3,0),"FILL=TRUE"))),"",G26-IF($BU$7=1,_xll.IMDP("FX",$CA26&amp;CD$7,"BID직전가"),_xll.IMDP("FX",$CA26&amp;CD$7,"뉴욕매입종가",VLOOKUP($BU$7,$BT$8:$BV$13,3,0),"FILL=TRUE")))</f>
        <v>7.0000000000014495E-5</v>
      </c>
      <c r="CE26" s="5">
        <f>IF(ISERROR(H26-IF($BU$7=1,_xll.IMDP("FX",$CA26&amp;CE$7,"BID직전가"),_xll.IMDP("FX",$CA26&amp;CE$7,"뉴욕매입종가",VLOOKUP($BU$7,$BT$8:$BV$13,3,0),"FILL=TRUE"))),"",H26-IF($BU$7=1,_xll.IMDP("FX",$CA26&amp;CE$7,"BID직전가"),_xll.IMDP("FX",$CA26&amp;CE$7,"뉴욕매입종가",VLOOKUP($BU$7,$BT$8:$BV$13,3,0),"FILL=TRUE")))</f>
        <v>-9.9999999999909051E-3</v>
      </c>
      <c r="CF26" s="5">
        <f>IF(ISERROR(I26-IF($BU$7=1,_xll.IMDP("FX",$CA26&amp;CF$7,"BID직전가"),_xll.IMDP("FX",$CA26&amp;CF$7,"뉴욕매입종가",VLOOKUP($BU$7,$BT$8:$BV$13,3,0),"FILL=TRUE"))),"",I26-IF($BU$7=1,_xll.IMDP("FX",$CA26&amp;CF$7,"BID직전가"),_xll.IMDP("FX",$CA26&amp;CF$7,"뉴욕매입종가",VLOOKUP($BU$7,$BT$8:$BV$13,3,0),"FILL=TRUE")))</f>
        <v>9.9999999999766942E-5</v>
      </c>
      <c r="CG26" s="5">
        <f>IF(ISERROR(J26-IF($BU$7=1,_xll.IMDP("FX",$CA26&amp;CG$7,"BID직전가"),_xll.IMDP("FX",$CA26&amp;CG$7,"뉴욕매입종가",VLOOKUP($BU$7,$BT$8:$BV$13,3,0),"FILL=TRUE"))),"",J26-IF($BU$7=1,_xll.IMDP("FX",$CA26&amp;CG$7,"BID직전가"),_xll.IMDP("FX",$CA26&amp;CG$7,"뉴욕매입종가",VLOOKUP($BU$7,$BT$8:$BV$13,3,0),"FILL=TRUE")))</f>
        <v>1.2999999999996348E-3</v>
      </c>
      <c r="CH26" s="5">
        <f>IF(ISERROR(K26-IF($BU$7=1,_xll.IMDP("FX",$CA26&amp;CH$7,"BID직전가"),_xll.IMDP("FX",$CA26&amp;CH$7,"뉴욕매입종가",VLOOKUP($BU$7,$BT$8:$BV$13,3,0),"FILL=TRUE"))),"",K26-IF($BU$7=1,_xll.IMDP("FX",$CA26&amp;CH$7,"BID직전가"),_xll.IMDP("FX",$CA26&amp;CH$7,"뉴욕매입종가",VLOOKUP($BU$7,$BT$8:$BV$13,3,0),"FILL=TRUE")))</f>
        <v>0</v>
      </c>
      <c r="CI26" s="5">
        <f>IF(ISERROR(L26-IF($BU$7=1,_xll.IMDP("FX",$CA26&amp;CI$7,"BID직전가"),_xll.IMDP("FX",$CA26&amp;CI$7,"뉴욕매입종가",VLOOKUP($BU$7,$BT$8:$BV$13,3,0),"FILL=TRUE"))),"",L26-IF($BU$7=1,_xll.IMDP("FX",$CA26&amp;CI$7,"BID직전가"),_xll.IMDP("FX",$CA26&amp;CI$7,"뉴욕매입종가",VLOOKUP($BU$7,$BT$8:$BV$13,3,0),"FILL=TRUE")))</f>
        <v>4.6000000000012697E-4</v>
      </c>
      <c r="CJ26" s="5" t="str">
        <f>IF(ISERROR(M26-IF($BU$7=1,_xll.IMDP("FX",$CA26&amp;CJ$7,"BID직전가"),_xll.IMDP("FX",$CA26&amp;CJ$7,"뉴욕매입종가",VLOOKUP($BU$7,$BT$8:$BV$13,3,0),"FILL=TRUE"))),"",M26-IF($BU$7=1,_xll.IMDP("FX",$CA26&amp;CJ$7,"BID직전가"),_xll.IMDP("FX",$CA26&amp;CJ$7,"뉴욕매입종가",VLOOKUP($BU$7,$BT$8:$BV$13,3,0),"FILL=TRUE")))</f>
        <v/>
      </c>
      <c r="CK26" s="5">
        <f>IF(ISERROR(N26-IF($BU$7=1,_xll.IMDP("FX",$CA26&amp;CK$7,"BID직전가"),_xll.IMDP("FX",$CA26&amp;CK$7,"뉴욕매입종가",VLOOKUP($BU$7,$BT$8:$BV$13,3,0),"FILL=TRUE"))),"",N26-IF($BU$7=1,_xll.IMDP("FX",$CA26&amp;CK$7,"BID직전가"),_xll.IMDP("FX",$CA26&amp;CK$7,"뉴욕매입종가",VLOOKUP($BU$7,$BT$8:$BV$13,3,0),"FILL=TRUE")))</f>
        <v>4.9999999999972289E-4</v>
      </c>
      <c r="CL26" s="5">
        <f>IF(ISERROR(O26-IF($BU$7=1,_xll.IMDP("FX",$CA26&amp;CL$7,"BID직전가"),_xll.IMDP("FX",$CA26&amp;CL$7,"뉴욕매입종가",VLOOKUP($BU$7,$BT$8:$BV$13,3,0),"FILL=TRUE"))),"",O26-IF($BU$7=1,_xll.IMDP("FX",$CA26&amp;CL$7,"BID직전가"),_xll.IMDP("FX",$CA26&amp;CL$7,"뉴욕매입종가",VLOOKUP($BU$7,$BT$8:$BV$13,3,0),"FILL=TRUE")))</f>
        <v>5.0000000000061107E-4</v>
      </c>
      <c r="CM26" s="5">
        <f>IF(ISERROR(P26-IF($BU$7=1,_xll.IMDP("FX",$CA26&amp;CM$7,"BID직전가"),_xll.IMDP("FX",$CA26&amp;CM$7,"뉴욕매입종가",VLOOKUP($BU$7,$BT$8:$BV$13,3,0),"FILL=TRUE"))),"",P26-IF($BU$7=1,_xll.IMDP("FX",$CA26&amp;CM$7,"BID직전가"),_xll.IMDP("FX",$CA26&amp;CM$7,"뉴욕매입종가",VLOOKUP($BU$7,$BT$8:$BV$13,3,0),"FILL=TRUE")))</f>
        <v>1.000000000000334E-3</v>
      </c>
      <c r="CN26" s="5">
        <f>IF(ISERROR(Q26-IF($BU$7=1,_xll.IMDP("FX",$CA26&amp;CN$7,"BID직전가"),_xll.IMDP("FX",$CA26&amp;CN$7,"뉴욕매입종가",VLOOKUP($BU$7,$BT$8:$BV$13,3,0),"FILL=TRUE"))),"",Q26-IF($BU$7=1,_xll.IMDP("FX",$CA26&amp;CN$7,"BID직전가"),_xll.IMDP("FX",$CA26&amp;CN$7,"뉴욕매입종가",VLOOKUP($BU$7,$BT$8:$BV$13,3,0),"FILL=TRUE")))</f>
        <v>1.1000000000001009E-3</v>
      </c>
      <c r="CO26" s="5">
        <f>IF(ISERROR(R26-IF($BU$7=1,_xll.IMDP("FX",$CA26&amp;CO$7,"BID직전가"),_xll.IMDP("FX",$CA26&amp;CO$7,"뉴욕매입종가",VLOOKUP($BU$7,$BT$8:$BV$13,3,0),"FILL=TRUE"))),"",R26-IF($BU$7=1,_xll.IMDP("FX",$CA26&amp;CO$7,"BID직전가"),_xll.IMDP("FX",$CA26&amp;CO$7,"뉴욕매입종가",VLOOKUP($BU$7,$BT$8:$BV$13,3,0),"FILL=TRUE")))</f>
        <v>7.5000000000002842E-3</v>
      </c>
      <c r="CP26" s="5">
        <f>IF(ISERROR(S26-IF($BU$7=1,_xll.IMDP("FX",$CA26&amp;CP$7,"BID직전가"),_xll.IMDP("FX",$CA26&amp;CP$7,"뉴욕매입종가",VLOOKUP($BU$7,$BT$8:$BV$13,3,0),"FILL=TRUE"))),"",S26-IF($BU$7=1,_xll.IMDP("FX",$CA26&amp;CP$7,"BID직전가"),_xll.IMDP("FX",$CA26&amp;CP$7,"뉴욕매입종가",VLOOKUP($BU$7,$BT$8:$BV$13,3,0),"FILL=TRUE")))</f>
        <v>-9.9999999999766942E-5</v>
      </c>
      <c r="CQ26" s="5">
        <f>IF(ISERROR(T26-IF($BU$7=1,_xll.IMDP("FX",$CA26&amp;CQ$7,"BID직전가"),_xll.IMDP("FX",$CA26&amp;CQ$7,"뉴욕매입종가",VLOOKUP($BU$7,$BT$8:$BV$13,3,0),"FILL=TRUE"))),"",T26-IF($BU$7=1,_xll.IMDP("FX",$CA26&amp;CQ$7,"BID직전가"),_xll.IMDP("FX",$CA26&amp;CQ$7,"뉴욕매입종가",VLOOKUP($BU$7,$BT$8:$BV$13,3,0),"FILL=TRUE")))</f>
        <v>0</v>
      </c>
      <c r="CR26" s="5">
        <f>IF(ISERROR(U26-IF($BU$7=1,_xll.IMDP("FX",$CA26&amp;CR$7,"BID직전가"),_xll.IMDP("FX",$CA26&amp;CR$7,"뉴욕매입종가",VLOOKUP($BU$7,$BT$8:$BV$13,3,0),"FILL=TRUE"))),"",U26-IF($BU$7=1,_xll.IMDP("FX",$CA26&amp;CR$7,"BID직전가"),_xll.IMDP("FX",$CA26&amp;CR$7,"뉴욕매입종가",VLOOKUP($BU$7,$BT$8:$BV$13,3,0),"FILL=TRUE")))</f>
        <v>0</v>
      </c>
      <c r="CS26" s="5">
        <f>IF(ISERROR(V26-IF($BU$7=1,_xll.IMDP("FX",$CA26&amp;CS$7,"BID직전가"),_xll.IMDP("FX",$CA26&amp;CS$7,"뉴욕매입종가",VLOOKUP($BU$7,$BT$8:$BV$13,3,0),"FILL=TRUE"))),"",V26-IF($BU$7=1,_xll.IMDP("FX",$CA26&amp;CS$7,"BID직전가"),_xll.IMDP("FX",$CA26&amp;CS$7,"뉴욕매입종가",VLOOKUP($BU$7,$BT$8:$BV$13,3,0),"FILL=TRUE")))</f>
        <v>0</v>
      </c>
      <c r="CT26" s="48" t="str">
        <f>IF(ISERROR(W26-IF($BU$7=1,_xll.IMDP("FX",$CA26&amp;CT$7,"BID직전가"),_xll.IMDP("FX",$CA26&amp;CT$7,"뉴욕매입종가",VLOOKUP($BU$7,$BT$8:$BV$13,3,0),"FILL=TRUE"))),"",W26-IF($BU$7=1,_xll.IMDP("FX",$CA26&amp;CT$7,"BID직전가"),_xll.IMDP("FX",$CA26&amp;CT$7,"뉴욕매입종가",VLOOKUP($BU$7,$BT$8:$BV$13,3,0),"FILL=TRUE")))</f>
        <v/>
      </c>
      <c r="CU26" s="5">
        <f>IF(ISERROR(X26-IF($BU$7=1,_xll.IMDP("FX",$CA26&amp;CU$7,"BID직전가"),_xll.IMDP("FX",$CA26&amp;CU$7,"뉴욕매입종가",VLOOKUP($BU$7,$BT$8:$BV$13,3,0),"FILL=TRUE"))),"",X26-IF($BU$7=1,_xll.IMDP("FX",$CA26&amp;CU$7,"BID직전가"),_xll.IMDP("FX",$CA26&amp;CU$7,"뉴욕매입종가",VLOOKUP($BU$7,$BT$8:$BV$13,3,0),"FILL=TRUE")))</f>
        <v>-7.3000000000007503E-3</v>
      </c>
      <c r="CV26" s="54">
        <f>IF(ISERROR(Y26-IF($BU$7=1,_xll.IMDP("FX",$CA26&amp;CV$7,"BID직전가"),_xll.IMDP("FX",$CA26&amp;CV$7,"뉴욕매입종가",VLOOKUP($BU$7,$BT$8:$BV$13,3,0),"FILL=TRUE"))),"",Y26-IF($BU$7=1,_xll.IMDP("FX",$CA26&amp;CV$7,"BID직전가"),_xll.IMDP("FX",$CA26&amp;CV$7,"뉴욕매입종가",VLOOKUP($BU$7,$BT$8:$BV$13,3,0),"FILL=TRUE")))</f>
        <v>0</v>
      </c>
    </row>
    <row r="27" spans="2:100" ht="17.25" customHeight="1" x14ac:dyDescent="0.25">
      <c r="B27" s="14">
        <v>55</v>
      </c>
      <c r="C27" s="11" t="str">
        <f t="shared" si="1"/>
        <v>THB</v>
      </c>
      <c r="D27" s="25"/>
      <c r="E27" s="22">
        <f>_xll.IMDP("FX",$C27&amp;E$6,"매입")</f>
        <v>37.630000000000003</v>
      </c>
      <c r="F27" s="6">
        <f>_xll.IMDP("FX",$C27&amp;F$6,"매입")</f>
        <v>3.1800000000000002E-2</v>
      </c>
      <c r="G27" s="6">
        <f>_xll.IMDP("FX",$C27&amp;G$6,"매입")</f>
        <v>2.8199999999999999E-2</v>
      </c>
      <c r="H27" s="6">
        <f>_xll.IMDP("FX",$C27&amp;H$6,"매입")</f>
        <v>3.4413999999999998</v>
      </c>
      <c r="I27" s="6">
        <f>_xll.IMDP("FX",$C27&amp;I$6,"매입")</f>
        <v>0.2198</v>
      </c>
      <c r="J27" s="6" t="str">
        <f>_xll.IMDP("FX",$C27&amp;J$6,"매입")</f>
        <v/>
      </c>
      <c r="K27" s="6">
        <f>_xll.IMDP("FX",$C27&amp;K$6,"매입")</f>
        <v>3.04E-2</v>
      </c>
      <c r="L27" s="6">
        <f>_xll.IMDP("FX",$C27&amp;L$6,"매입")</f>
        <v>4.4600000000000001E-2</v>
      </c>
      <c r="M27" s="6">
        <f>_xll.IMDP("FX",$C27&amp;M$6,"매입")</f>
        <v>4.2819999999999997E-2</v>
      </c>
      <c r="N27" s="6">
        <f>_xll.IMDP("FX",$C27&amp;N$6,"매입")</f>
        <v>0.30080000000000001</v>
      </c>
      <c r="O27" s="6">
        <f>_xll.IMDP("FX",$C27&amp;O$6,"매입")</f>
        <v>0.21115</v>
      </c>
      <c r="P27" s="6" t="str">
        <f>_xll.IMDP("FX",$C27&amp;P$6,"매입")</f>
        <v/>
      </c>
      <c r="Q27" s="6" t="str">
        <f>_xll.IMDP("FX",$C27&amp;Q$6,"매입")</f>
        <v/>
      </c>
      <c r="R27" s="6" t="str">
        <f>_xll.IMDP("FX",$C27&amp;R$6,"매입")</f>
        <v/>
      </c>
      <c r="S27" s="6">
        <f>_xll.IMDP("FX",$C27&amp;S$6,"매입")</f>
        <v>0.24859999999999999</v>
      </c>
      <c r="T27" s="6">
        <f>_xll.IMDP("FX",$C27&amp;T$6,"매입")</f>
        <v>455.1</v>
      </c>
      <c r="U27" s="6">
        <f>_xll.IMDP("FX",$C27&amp;U$6,"매입")</f>
        <v>0.1331</v>
      </c>
      <c r="V27" s="6">
        <f>_xll.IMDP("FX",$C27&amp;V$6,"매입")</f>
        <v>1.6523000000000001</v>
      </c>
      <c r="W27" s="6">
        <f>_xll.IMDP("FX",$C27&amp;W$6,"매입")</f>
        <v>4.3400000000000001E-2</v>
      </c>
      <c r="X27" s="9" t="str">
        <f>_xll.IMDP("FX",$C27&amp;X$6,"매입")</f>
        <v/>
      </c>
      <c r="Y27" s="7">
        <f>_xll.IMDP("FX",$C27&amp;Y$6,"매입")</f>
        <v>1.0024999999999999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42"/>
      <c r="BX27" s="39">
        <v>20</v>
      </c>
      <c r="BY27" s="39" t="s">
        <v>16</v>
      </c>
      <c r="CA27" s="53" t="str">
        <f t="shared" si="2"/>
        <v>THB</v>
      </c>
      <c r="CB27" s="5">
        <f>IF(ISERROR(E27-IF($BU$7=1,_xll.IMDP("FX",$CA27&amp;CB$7,"BID직전가"),_xll.IMDP("FX",$CA27&amp;CB$7,"뉴욕매입종가",VLOOKUP($BU$7,$BT$8:$BV$13,3,0),"FILL=TRUE"))),"",E27-IF($BU$7=1,_xll.IMDP("FX",$CA27&amp;CB$7,"BID직전가"),_xll.IMDP("FX",$CA27&amp;CB$7,"뉴욕매입종가",VLOOKUP($BU$7,$BT$8:$BV$13,3,0),"FILL=TRUE")))</f>
        <v>1.0000000000005116E-2</v>
      </c>
      <c r="CC27" s="5">
        <f>IF(ISERROR(F27-IF($BU$7=1,_xll.IMDP("FX",$CA27&amp;CC$7,"BID직전가"),_xll.IMDP("FX",$CA27&amp;CC$7,"뉴욕매입종가",VLOOKUP($BU$7,$BT$8:$BV$13,3,0),"FILL=TRUE"))),"",F27-IF($BU$7=1,_xll.IMDP("FX",$CA27&amp;CC$7,"BID직전가"),_xll.IMDP("FX",$CA27&amp;CC$7,"뉴욕매입종가",VLOOKUP($BU$7,$BT$8:$BV$13,3,0),"FILL=TRUE")))</f>
        <v>0</v>
      </c>
      <c r="CD27" s="5">
        <f>IF(ISERROR(G27-IF($BU$7=1,_xll.IMDP("FX",$CA27&amp;CD$7,"BID직전가"),_xll.IMDP("FX",$CA27&amp;CD$7,"뉴욕매입종가",VLOOKUP($BU$7,$BT$8:$BV$13,3,0),"FILL=TRUE"))),"",G27-IF($BU$7=1,_xll.IMDP("FX",$CA27&amp;CD$7,"BID직전가"),_xll.IMDP("FX",$CA27&amp;CD$7,"뉴욕매입종가",VLOOKUP($BU$7,$BT$8:$BV$13,3,0),"FILL=TRUE")))</f>
        <v>0</v>
      </c>
      <c r="CE27" s="5">
        <f>IF(ISERROR(H27-IF($BU$7=1,_xll.IMDP("FX",$CA27&amp;CE$7,"BID직전가"),_xll.IMDP("FX",$CA27&amp;CE$7,"뉴욕매입종가",VLOOKUP($BU$7,$BT$8:$BV$13,3,0),"FILL=TRUE"))),"",H27-IF($BU$7=1,_xll.IMDP("FX",$CA27&amp;CE$7,"BID직전가"),_xll.IMDP("FX",$CA27&amp;CE$7,"뉴욕매입종가",VLOOKUP($BU$7,$BT$8:$BV$13,3,0),"FILL=TRUE")))</f>
        <v>5.9999999999993392E-4</v>
      </c>
      <c r="CF27" s="5">
        <f>IF(ISERROR(I27-IF($BU$7=1,_xll.IMDP("FX",$CA27&amp;CF$7,"BID직전가"),_xll.IMDP("FX",$CA27&amp;CF$7,"뉴욕매입종가",VLOOKUP($BU$7,$BT$8:$BV$13,3,0),"FILL=TRUE"))),"",I27-IF($BU$7=1,_xll.IMDP("FX",$CA27&amp;CF$7,"BID직전가"),_xll.IMDP("FX",$CA27&amp;CF$7,"뉴욕매입종가",VLOOKUP($BU$7,$BT$8:$BV$13,3,0),"FILL=TRUE")))</f>
        <v>9.9999999999988987E-5</v>
      </c>
      <c r="CG27" s="5" t="str">
        <f>IF(ISERROR(J27-IF($BU$7=1,_xll.IMDP("FX",$CA27&amp;CG$7,"BID직전가"),_xll.IMDP("FX",$CA27&amp;CG$7,"뉴욕매입종가",VLOOKUP($BU$7,$BT$8:$BV$13,3,0),"FILL=TRUE"))),"",J27-IF($BU$7=1,_xll.IMDP("FX",$CA27&amp;CG$7,"BID직전가"),_xll.IMDP("FX",$CA27&amp;CG$7,"뉴욕매입종가",VLOOKUP($BU$7,$BT$8:$BV$13,3,0),"FILL=TRUE")))</f>
        <v/>
      </c>
      <c r="CH27" s="5">
        <f>IF(ISERROR(K27-IF($BU$7=1,_xll.IMDP("FX",$CA27&amp;CH$7,"BID직전가"),_xll.IMDP("FX",$CA27&amp;CH$7,"뉴욕매입종가",VLOOKUP($BU$7,$BT$8:$BV$13,3,0),"FILL=TRUE"))),"",K27-IF($BU$7=1,_xll.IMDP("FX",$CA27&amp;CH$7,"BID직전가"),_xll.IMDP("FX",$CA27&amp;CH$7,"뉴욕매입종가",VLOOKUP($BU$7,$BT$8:$BV$13,3,0),"FILL=TRUE")))</f>
        <v>0</v>
      </c>
      <c r="CI27" s="5">
        <f>IF(ISERROR(L27-IF($BU$7=1,_xll.IMDP("FX",$CA27&amp;CI$7,"BID직전가"),_xll.IMDP("FX",$CA27&amp;CI$7,"뉴욕매입종가",VLOOKUP($BU$7,$BT$8:$BV$13,3,0),"FILL=TRUE"))),"",L27-IF($BU$7=1,_xll.IMDP("FX",$CA27&amp;CI$7,"BID직전가"),_xll.IMDP("FX",$CA27&amp;CI$7,"뉴욕매입종가",VLOOKUP($BU$7,$BT$8:$BV$13,3,0),"FILL=TRUE")))</f>
        <v>0</v>
      </c>
      <c r="CJ27" s="5">
        <f>IF(ISERROR(M27-IF($BU$7=1,_xll.IMDP("FX",$CA27&amp;CJ$7,"BID직전가"),_xll.IMDP("FX",$CA27&amp;CJ$7,"뉴욕매입종가",VLOOKUP($BU$7,$BT$8:$BV$13,3,0),"FILL=TRUE"))),"",M27-IF($BU$7=1,_xll.IMDP("FX",$CA27&amp;CJ$7,"BID직전가"),_xll.IMDP("FX",$CA27&amp;CJ$7,"뉴욕매입종가",VLOOKUP($BU$7,$BT$8:$BV$13,3,0),"FILL=TRUE")))</f>
        <v>1.9999999999999185E-5</v>
      </c>
      <c r="CK27" s="5">
        <f>IF(ISERROR(N27-IF($BU$7=1,_xll.IMDP("FX",$CA27&amp;CK$7,"BID직전가"),_xll.IMDP("FX",$CA27&amp;CK$7,"뉴욕매입종가",VLOOKUP($BU$7,$BT$8:$BV$13,3,0),"FILL=TRUE"))),"",N27-IF($BU$7=1,_xll.IMDP("FX",$CA27&amp;CK$7,"BID직전가"),_xll.IMDP("FX",$CA27&amp;CK$7,"뉴욕매입종가",VLOOKUP($BU$7,$BT$8:$BV$13,3,0),"FILL=TRUE")))</f>
        <v>9.9999999999988987E-5</v>
      </c>
      <c r="CL27" s="5">
        <f>IF(ISERROR(O27-IF($BU$7=1,_xll.IMDP("FX",$CA27&amp;CL$7,"BID직전가"),_xll.IMDP("FX",$CA27&amp;CL$7,"뉴욕매입종가",VLOOKUP($BU$7,$BT$8:$BV$13,3,0),"FILL=TRUE"))),"",O27-IF($BU$7=1,_xll.IMDP("FX",$CA27&amp;CL$7,"BID직전가"),_xll.IMDP("FX",$CA27&amp;CL$7,"뉴욕매입종가",VLOOKUP($BU$7,$BT$8:$BV$13,3,0),"FILL=TRUE")))</f>
        <v>7.0000000000014495E-5</v>
      </c>
      <c r="CM27" s="5" t="str">
        <f>IF(ISERROR(P27-IF($BU$7=1,_xll.IMDP("FX",$CA27&amp;CM$7,"BID직전가"),_xll.IMDP("FX",$CA27&amp;CM$7,"뉴욕매입종가",VLOOKUP($BU$7,$BT$8:$BV$13,3,0),"FILL=TRUE"))),"",P27-IF($BU$7=1,_xll.IMDP("FX",$CA27&amp;CM$7,"BID직전가"),_xll.IMDP("FX",$CA27&amp;CM$7,"뉴욕매입종가",VLOOKUP($BU$7,$BT$8:$BV$13,3,0),"FILL=TRUE")))</f>
        <v/>
      </c>
      <c r="CN27" s="5" t="str">
        <f>IF(ISERROR(Q27-IF($BU$7=1,_xll.IMDP("FX",$CA27&amp;CN$7,"BID직전가"),_xll.IMDP("FX",$CA27&amp;CN$7,"뉴욕매입종가",VLOOKUP($BU$7,$BT$8:$BV$13,3,0),"FILL=TRUE"))),"",Q27-IF($BU$7=1,_xll.IMDP("FX",$CA27&amp;CN$7,"BID직전가"),_xll.IMDP("FX",$CA27&amp;CN$7,"뉴욕매입종가",VLOOKUP($BU$7,$BT$8:$BV$13,3,0),"FILL=TRUE")))</f>
        <v/>
      </c>
      <c r="CO27" s="5" t="str">
        <f>IF(ISERROR(R27-IF($BU$7=1,_xll.IMDP("FX",$CA27&amp;CO$7,"BID직전가"),_xll.IMDP("FX",$CA27&amp;CO$7,"뉴욕매입종가",VLOOKUP($BU$7,$BT$8:$BV$13,3,0),"FILL=TRUE"))),"",R27-IF($BU$7=1,_xll.IMDP("FX",$CA27&amp;CO$7,"BID직전가"),_xll.IMDP("FX",$CA27&amp;CO$7,"뉴욕매입종가",VLOOKUP($BU$7,$BT$8:$BV$13,3,0),"FILL=TRUE")))</f>
        <v/>
      </c>
      <c r="CP27" s="5">
        <f>IF(ISERROR(S27-IF($BU$7=1,_xll.IMDP("FX",$CA27&amp;CP$7,"BID직전가"),_xll.IMDP("FX",$CA27&amp;CP$7,"뉴욕매입종가",VLOOKUP($BU$7,$BT$8:$BV$13,3,0),"FILL=TRUE"))),"",S27-IF($BU$7=1,_xll.IMDP("FX",$CA27&amp;CP$7,"BID직전가"),_xll.IMDP("FX",$CA27&amp;CP$7,"뉴욕매입종가",VLOOKUP($BU$7,$BT$8:$BV$13,3,0),"FILL=TRUE")))</f>
        <v>9.9999999999988987E-5</v>
      </c>
      <c r="CQ27" s="5">
        <f>IF(ISERROR(T27-IF($BU$7=1,_xll.IMDP("FX",$CA27&amp;CQ$7,"BID직전가"),_xll.IMDP("FX",$CA27&amp;CQ$7,"뉴욕매입종가",VLOOKUP($BU$7,$BT$8:$BV$13,3,0),"FILL=TRUE"))),"",T27-IF($BU$7=1,_xll.IMDP("FX",$CA27&amp;CQ$7,"BID직전가"),_xll.IMDP("FX",$CA27&amp;CQ$7,"뉴욕매입종가",VLOOKUP($BU$7,$BT$8:$BV$13,3,0),"FILL=TRUE")))</f>
        <v>0.10000000000002274</v>
      </c>
      <c r="CR27" s="5">
        <f>IF(ISERROR(U27-IF($BU$7=1,_xll.IMDP("FX",$CA27&amp;CR$7,"BID직전가"),_xll.IMDP("FX",$CA27&amp;CR$7,"뉴욕매입종가",VLOOKUP($BU$7,$BT$8:$BV$13,3,0),"FILL=TRUE"))),"",U27-IF($BU$7=1,_xll.IMDP("FX",$CA27&amp;CR$7,"BID직전가"),_xll.IMDP("FX",$CA27&amp;CR$7,"뉴욕매입종가",VLOOKUP($BU$7,$BT$8:$BV$13,3,0),"FILL=TRUE")))</f>
        <v>0</v>
      </c>
      <c r="CS27" s="5">
        <f>IF(ISERROR(V27-IF($BU$7=1,_xll.IMDP("FX",$CA27&amp;CS$7,"BID직전가"),_xll.IMDP("FX",$CA27&amp;CS$7,"뉴욕매입종가",VLOOKUP($BU$7,$BT$8:$BV$13,3,0),"FILL=TRUE"))),"",V27-IF($BU$7=1,_xll.IMDP("FX",$CA27&amp;CS$7,"BID직전가"),_xll.IMDP("FX",$CA27&amp;CS$7,"뉴욕매입종가",VLOOKUP($BU$7,$BT$8:$BV$13,3,0),"FILL=TRUE")))</f>
        <v>5.0000000000016698E-4</v>
      </c>
      <c r="CT27" s="5">
        <f>IF(ISERROR(W27-IF($BU$7=1,_xll.IMDP("FX",$CA27&amp;CT$7,"BID직전가"),_xll.IMDP("FX",$CA27&amp;CT$7,"뉴욕매입종가",VLOOKUP($BU$7,$BT$8:$BV$13,3,0),"FILL=TRUE"))),"",W27-IF($BU$7=1,_xll.IMDP("FX",$CA27&amp;CT$7,"BID직전가"),_xll.IMDP("FX",$CA27&amp;CT$7,"뉴욕매입종가",VLOOKUP($BU$7,$BT$8:$BV$13,3,0),"FILL=TRUE")))</f>
        <v>1.0000000000003062E-5</v>
      </c>
      <c r="CU27" s="48" t="str">
        <f>IF(ISERROR(X27-IF($BU$7=1,_xll.IMDP("FX",$CA27&amp;CU$7,"BID직전가"),_xll.IMDP("FX",$CA27&amp;CU$7,"뉴욕매입종가",VLOOKUP($BU$7,$BT$8:$BV$13,3,0),"FILL=TRUE"))),"",X27-IF($BU$7=1,_xll.IMDP("FX",$CA27&amp;CU$7,"BID직전가"),_xll.IMDP("FX",$CA27&amp;CU$7,"뉴욕매입종가",VLOOKUP($BU$7,$BT$8:$BV$13,3,0),"FILL=TRUE")))</f>
        <v/>
      </c>
      <c r="CV27" s="54">
        <f>IF(ISERROR(Y27-IF($BU$7=1,_xll.IMDP("FX",$CA27&amp;CV$7,"BID직전가"),_xll.IMDP("FX",$CA27&amp;CV$7,"뉴욕매입종가",VLOOKUP($BU$7,$BT$8:$BV$13,3,0),"FILL=TRUE"))),"",Y27-IF($BU$7=1,_xll.IMDP("FX",$CA27&amp;CV$7,"BID직전가"),_xll.IMDP("FX",$CA27&amp;CV$7,"뉴욕매입종가",VLOOKUP($BU$7,$BT$8:$BV$13,3,0),"FILL=TRUE")))</f>
        <v>2.9999999999996696E-4</v>
      </c>
    </row>
    <row r="28" spans="2:100" ht="17.25" customHeight="1" thickBot="1" x14ac:dyDescent="0.3">
      <c r="B28" s="14">
        <v>58</v>
      </c>
      <c r="C28" s="11" t="str">
        <f t="shared" si="1"/>
        <v>TWD</v>
      </c>
      <c r="D28" s="26"/>
      <c r="E28" s="23">
        <f>_xll.IMDP("FX",$C28&amp;E$6,"매입")</f>
        <v>37.47</v>
      </c>
      <c r="F28" s="8">
        <f>_xll.IMDP("FX",$C28&amp;F$6,"매입")</f>
        <v>3.1789999999999999E-2</v>
      </c>
      <c r="G28" s="8">
        <f>_xll.IMDP("FX",$C28&amp;G$6,"매입")</f>
        <v>2.826E-2</v>
      </c>
      <c r="H28" s="8">
        <f>_xll.IMDP("FX",$C28&amp;H$6,"매입")</f>
        <v>3.4312</v>
      </c>
      <c r="I28" s="8">
        <f>_xll.IMDP("FX",$C28&amp;I$6,"매입")</f>
        <v>0.21909999999999999</v>
      </c>
      <c r="J28" s="8">
        <f>_xll.IMDP("FX",$C28&amp;J$6,"매입")</f>
        <v>0.21729999999999999</v>
      </c>
      <c r="K28" s="8">
        <f>_xll.IMDP("FX",$C28&amp;K$6,"매입")</f>
        <v>3.1530000000000002E-2</v>
      </c>
      <c r="L28" s="8">
        <f>_xll.IMDP("FX",$C28&amp;L$6,"매입")</f>
        <v>4.5539999999999997E-2</v>
      </c>
      <c r="M28" s="8">
        <f>_xll.IMDP("FX",$C28&amp;M$6,"매입")</f>
        <v>4.2689999999999999E-2</v>
      </c>
      <c r="N28" s="8">
        <f>_xll.IMDP("FX",$C28&amp;N$6,"매입")</f>
        <v>0.29987000000000003</v>
      </c>
      <c r="O28" s="8" t="str">
        <f>_xll.IMDP("FX",$C28&amp;O$6,"매입")</f>
        <v/>
      </c>
      <c r="P28" s="8" t="str">
        <f>_xll.IMDP("FX",$C28&amp;P$6,"매입")</f>
        <v/>
      </c>
      <c r="Q28" s="8">
        <f>_xll.IMDP("FX",$C28&amp;Q$6,"매입")</f>
        <v>1.2384500000000001</v>
      </c>
      <c r="R28" s="8" t="str">
        <f>_xll.IMDP("FX",$C28&amp;R$6,"매입")</f>
        <v/>
      </c>
      <c r="S28" s="8">
        <f>_xll.IMDP("FX",$C28&amp;S$6,"매입")</f>
        <v>0.24879999999999999</v>
      </c>
      <c r="T28" s="8">
        <f>_xll.IMDP("FX",$C28&amp;T$6,"매입")</f>
        <v>453.8</v>
      </c>
      <c r="U28" s="8">
        <f>_xll.IMDP("FX",$C28&amp;U$6,"매입")</f>
        <v>0.1323</v>
      </c>
      <c r="V28" s="8">
        <f>_xll.IMDP("FX",$C28&amp;V$6,"매입")</f>
        <v>1.6474</v>
      </c>
      <c r="W28" s="8">
        <f>_xll.IMDP("FX",$C28&amp;W$6,"매입")</f>
        <v>4.3499999999999997E-2</v>
      </c>
      <c r="X28" s="8">
        <f>_xll.IMDP("FX",$C28&amp;X$6,"매입")</f>
        <v>0.99650000000000005</v>
      </c>
      <c r="Y28" s="10" t="str">
        <f>_xll.IMDP("FX",$C28&amp;Y$6,"매입")</f>
        <v/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42"/>
      <c r="BX28" s="39">
        <v>21</v>
      </c>
      <c r="BY28" s="39" t="s">
        <v>17</v>
      </c>
      <c r="CA28" s="55" t="str">
        <f t="shared" si="2"/>
        <v>TWD</v>
      </c>
      <c r="CB28" s="56">
        <f>IF(ISERROR(E28-IF($BU$7=1,_xll.IMDP("FX",$CA28&amp;CB$7,"BID직전가"),_xll.IMDP("FX",$CA28&amp;CB$7,"뉴욕매입종가",VLOOKUP($BU$7,$BT$8:$BV$13,3,0),"FILL=TRUE"))),"",E28-IF($BU$7=1,_xll.IMDP("FX",$CA28&amp;CB$7,"BID직전가"),_xll.IMDP("FX",$CA28&amp;CB$7,"뉴욕매입종가",VLOOKUP($BU$7,$BT$8:$BV$13,3,0),"FILL=TRUE")))</f>
        <v>1.9999999999996021E-2</v>
      </c>
      <c r="CC28" s="56">
        <f>IF(ISERROR(F28-IF($BU$7=1,_xll.IMDP("FX",$CA28&amp;CC$7,"BID직전가"),_xll.IMDP("FX",$CA28&amp;CC$7,"뉴욕매입종가",VLOOKUP($BU$7,$BT$8:$BV$13,3,0),"FILL=TRUE"))),"",F28-IF($BU$7=1,_xll.IMDP("FX",$CA28&amp;CC$7,"BID직전가"),_xll.IMDP("FX",$CA28&amp;CC$7,"뉴욕매입종가",VLOOKUP($BU$7,$BT$8:$BV$13,3,0),"FILL=TRUE")))</f>
        <v>0</v>
      </c>
      <c r="CD28" s="56">
        <f>IF(ISERROR(G28-IF($BU$7=1,_xll.IMDP("FX",$CA28&amp;CD$7,"BID직전가"),_xll.IMDP("FX",$CA28&amp;CD$7,"뉴욕매입종가",VLOOKUP($BU$7,$BT$8:$BV$13,3,0),"FILL=TRUE"))),"",G28-IF($BU$7=1,_xll.IMDP("FX",$CA28&amp;CD$7,"BID직전가"),_xll.IMDP("FX",$CA28&amp;CD$7,"뉴욕매입종가",VLOOKUP($BU$7,$BT$8:$BV$13,3,0),"FILL=TRUE")))</f>
        <v>0</v>
      </c>
      <c r="CE28" s="56">
        <f>IF(ISERROR(H28-IF($BU$7=1,_xll.IMDP("FX",$CA28&amp;CE$7,"BID직전가"),_xll.IMDP("FX",$CA28&amp;CE$7,"뉴욕매입종가",VLOOKUP($BU$7,$BT$8:$BV$13,3,0),"FILL=TRUE"))),"",H28-IF($BU$7=1,_xll.IMDP("FX",$CA28&amp;CE$7,"BID직전가"),_xll.IMDP("FX",$CA28&amp;CE$7,"뉴욕매입종가",VLOOKUP($BU$7,$BT$8:$BV$13,3,0),"FILL=TRUE")))</f>
        <v>-5.0000000000016698E-4</v>
      </c>
      <c r="CF28" s="56">
        <f>IF(ISERROR(I28-IF($BU$7=1,_xll.IMDP("FX",$CA28&amp;CF$7,"BID직전가"),_xll.IMDP("FX",$CA28&amp;CF$7,"뉴욕매입종가",VLOOKUP($BU$7,$BT$8:$BV$13,3,0),"FILL=TRUE"))),"",I28-IF($BU$7=1,_xll.IMDP("FX",$CA28&amp;CF$7,"BID직전가"),_xll.IMDP("FX",$CA28&amp;CF$7,"뉴욕매입종가",VLOOKUP($BU$7,$BT$8:$BV$13,3,0),"FILL=TRUE")))</f>
        <v>0</v>
      </c>
      <c r="CG28" s="56">
        <f>IF(ISERROR(J28-IF($BU$7=1,_xll.IMDP("FX",$CA28&amp;CG$7,"BID직전가"),_xll.IMDP("FX",$CA28&amp;CG$7,"뉴욕매입종가",VLOOKUP($BU$7,$BT$8:$BV$13,3,0),"FILL=TRUE"))),"",J28-IF($BU$7=1,_xll.IMDP("FX",$CA28&amp;CG$7,"BID직전가"),_xll.IMDP("FX",$CA28&amp;CG$7,"뉴욕매입종가",VLOOKUP($BU$7,$BT$8:$BV$13,3,0),"FILL=TRUE")))</f>
        <v>-4.0000000000001146E-4</v>
      </c>
      <c r="CH28" s="56">
        <f>IF(ISERROR(K28-IF($BU$7=1,_xll.IMDP("FX",$CA28&amp;CH$7,"BID직전가"),_xll.IMDP("FX",$CA28&amp;CH$7,"뉴욕매입종가",VLOOKUP($BU$7,$BT$8:$BV$13,3,0),"FILL=TRUE"))),"",K28-IF($BU$7=1,_xll.IMDP("FX",$CA28&amp;CH$7,"BID직전가"),_xll.IMDP("FX",$CA28&amp;CH$7,"뉴욕매입종가",VLOOKUP($BU$7,$BT$8:$BV$13,3,0),"FILL=TRUE")))</f>
        <v>0</v>
      </c>
      <c r="CI28" s="56">
        <f>IF(ISERROR(L28-IF($BU$7=1,_xll.IMDP("FX",$CA28&amp;CI$7,"BID직전가"),_xll.IMDP("FX",$CA28&amp;CI$7,"뉴욕매입종가",VLOOKUP($BU$7,$BT$8:$BV$13,3,0),"FILL=TRUE"))),"",L28-IF($BU$7=1,_xll.IMDP("FX",$CA28&amp;CI$7,"BID직전가"),_xll.IMDP("FX",$CA28&amp;CI$7,"뉴욕매입종가",VLOOKUP($BU$7,$BT$8:$BV$13,3,0),"FILL=TRUE")))</f>
        <v>1.9999999999999185E-5</v>
      </c>
      <c r="CJ28" s="56">
        <f>IF(ISERROR(M28-IF($BU$7=1,_xll.IMDP("FX",$CA28&amp;CJ$7,"BID직전가"),_xll.IMDP("FX",$CA28&amp;CJ$7,"뉴욕매입종가",VLOOKUP($BU$7,$BT$8:$BV$13,3,0),"FILL=TRUE"))),"",M28-IF($BU$7=1,_xll.IMDP("FX",$CA28&amp;CJ$7,"BID직전가"),_xll.IMDP("FX",$CA28&amp;CJ$7,"뉴욕매입종가",VLOOKUP($BU$7,$BT$8:$BV$13,3,0),"FILL=TRUE")))</f>
        <v>0</v>
      </c>
      <c r="CK28" s="56">
        <f>IF(ISERROR(N28-IF($BU$7=1,_xll.IMDP("FX",$CA28&amp;CK$7,"BID직전가"),_xll.IMDP("FX",$CA28&amp;CK$7,"뉴욕매입종가",VLOOKUP($BU$7,$BT$8:$BV$13,3,0),"FILL=TRUE"))),"",N28-IF($BU$7=1,_xll.IMDP("FX",$CA28&amp;CK$7,"BID직전가"),_xll.IMDP("FX",$CA28&amp;CK$7,"뉴욕매입종가",VLOOKUP($BU$7,$BT$8:$BV$13,3,0),"FILL=TRUE")))</f>
        <v>5.6000000000000494E-4</v>
      </c>
      <c r="CL28" s="56" t="str">
        <f>IF(ISERROR(O28-IF($BU$7=1,_xll.IMDP("FX",$CA28&amp;CL$7,"BID직전가"),_xll.IMDP("FX",$CA28&amp;CL$7,"뉴욕매입종가",VLOOKUP($BU$7,$BT$8:$BV$13,3,0),"FILL=TRUE"))),"",O28-IF($BU$7=1,_xll.IMDP("FX",$CA28&amp;CL$7,"BID직전가"),_xll.IMDP("FX",$CA28&amp;CL$7,"뉴욕매입종가",VLOOKUP($BU$7,$BT$8:$BV$13,3,0),"FILL=TRUE")))</f>
        <v/>
      </c>
      <c r="CM28" s="56" t="str">
        <f>IF(ISERROR(P28-IF($BU$7=1,_xll.IMDP("FX",$CA28&amp;CM$7,"BID직전가"),_xll.IMDP("FX",$CA28&amp;CM$7,"뉴욕매입종가",VLOOKUP($BU$7,$BT$8:$BV$13,3,0),"FILL=TRUE"))),"",P28-IF($BU$7=1,_xll.IMDP("FX",$CA28&amp;CM$7,"BID직전가"),_xll.IMDP("FX",$CA28&amp;CM$7,"뉴욕매입종가",VLOOKUP($BU$7,$BT$8:$BV$13,3,0),"FILL=TRUE")))</f>
        <v/>
      </c>
      <c r="CN28" s="56">
        <f>IF(ISERROR(Q28-IF($BU$7=1,_xll.IMDP("FX",$CA28&amp;CN$7,"BID직전가"),_xll.IMDP("FX",$CA28&amp;CN$7,"뉴욕매입종가",VLOOKUP($BU$7,$BT$8:$BV$13,3,0),"FILL=TRUE"))),"",Q28-IF($BU$7=1,_xll.IMDP("FX",$CA28&amp;CN$7,"BID직전가"),_xll.IMDP("FX",$CA28&amp;CN$7,"뉴욕매입종가",VLOOKUP($BU$7,$BT$8:$BV$13,3,0),"FILL=TRUE")))</f>
        <v>-8.099999999999774E-4</v>
      </c>
      <c r="CO28" s="56" t="str">
        <f>IF(ISERROR(R28-IF($BU$7=1,_xll.IMDP("FX",$CA28&amp;CO$7,"BID직전가"),_xll.IMDP("FX",$CA28&amp;CO$7,"뉴욕매입종가",VLOOKUP($BU$7,$BT$8:$BV$13,3,0),"FILL=TRUE"))),"",R28-IF($BU$7=1,_xll.IMDP("FX",$CA28&amp;CO$7,"BID직전가"),_xll.IMDP("FX",$CA28&amp;CO$7,"뉴욕매입종가",VLOOKUP($BU$7,$BT$8:$BV$13,3,0),"FILL=TRUE")))</f>
        <v/>
      </c>
      <c r="CP28" s="56">
        <f>IF(ISERROR(S28-IF($BU$7=1,_xll.IMDP("FX",$CA28&amp;CP$7,"BID직전가"),_xll.IMDP("FX",$CA28&amp;CP$7,"뉴욕매입종가",VLOOKUP($BU$7,$BT$8:$BV$13,3,0),"FILL=TRUE"))),"",S28-IF($BU$7=1,_xll.IMDP("FX",$CA28&amp;CP$7,"BID직전가"),_xll.IMDP("FX",$CA28&amp;CP$7,"뉴욕매입종가",VLOOKUP($BU$7,$BT$8:$BV$13,3,0),"FILL=TRUE")))</f>
        <v>0</v>
      </c>
      <c r="CQ28" s="56">
        <f>IF(ISERROR(T28-IF($BU$7=1,_xll.IMDP("FX",$CA28&amp;CQ$7,"BID직전가"),_xll.IMDP("FX",$CA28&amp;CQ$7,"뉴욕매입종가",VLOOKUP($BU$7,$BT$8:$BV$13,3,0),"FILL=TRUE"))),"",T28-IF($BU$7=1,_xll.IMDP("FX",$CA28&amp;CQ$7,"BID직전가"),_xll.IMDP("FX",$CA28&amp;CQ$7,"뉴욕매입종가",VLOOKUP($BU$7,$BT$8:$BV$13,3,0),"FILL=TRUE")))</f>
        <v>0</v>
      </c>
      <c r="CR28" s="56">
        <f>IF(ISERROR(U28-IF($BU$7=1,_xll.IMDP("FX",$CA28&amp;CR$7,"BID직전가"),_xll.IMDP("FX",$CA28&amp;CR$7,"뉴욕매입종가",VLOOKUP($BU$7,$BT$8:$BV$13,3,0),"FILL=TRUE"))),"",U28-IF($BU$7=1,_xll.IMDP("FX",$CA28&amp;CR$7,"BID직전가"),_xll.IMDP("FX",$CA28&amp;CR$7,"뉴욕매입종가",VLOOKUP($BU$7,$BT$8:$BV$13,3,0),"FILL=TRUE")))</f>
        <v>0</v>
      </c>
      <c r="CS28" s="56">
        <f>IF(ISERROR(V28-IF($BU$7=1,_xll.IMDP("FX",$CA28&amp;CS$7,"BID직전가"),_xll.IMDP("FX",$CA28&amp;CS$7,"뉴욕매입종가",VLOOKUP($BU$7,$BT$8:$BV$13,3,0),"FILL=TRUE"))),"",V28-IF($BU$7=1,_xll.IMDP("FX",$CA28&amp;CS$7,"BID직전가"),_xll.IMDP("FX",$CA28&amp;CS$7,"뉴욕매입종가",VLOOKUP($BU$7,$BT$8:$BV$13,3,0),"FILL=TRUE")))</f>
        <v>0</v>
      </c>
      <c r="CT28" s="56">
        <f>IF(ISERROR(W28-IF($BU$7=1,_xll.IMDP("FX",$CA28&amp;CT$7,"BID직전가"),_xll.IMDP("FX",$CA28&amp;CT$7,"뉴욕매입종가",VLOOKUP($BU$7,$BT$8:$BV$13,3,0),"FILL=TRUE"))),"",W28-IF($BU$7=1,_xll.IMDP("FX",$CA28&amp;CT$7,"BID직전가"),_xll.IMDP("FX",$CA28&amp;CT$7,"뉴욕매입종가",VLOOKUP($BU$7,$BT$8:$BV$13,3,0),"FILL=TRUE")))</f>
        <v>0</v>
      </c>
      <c r="CU28" s="56">
        <f>IF(ISERROR(X28-IF($BU$7=1,_xll.IMDP("FX",$CA28&amp;CU$7,"BID직전가"),_xll.IMDP("FX",$CA28&amp;CU$7,"뉴욕매입종가",VLOOKUP($BU$7,$BT$8:$BV$13,3,0),"FILL=TRUE"))),"",X28-IF($BU$7=1,_xll.IMDP("FX",$CA28&amp;CU$7,"BID직전가"),_xll.IMDP("FX",$CA28&amp;CU$7,"뉴욕매입종가",VLOOKUP($BU$7,$BT$8:$BV$13,3,0),"FILL=TRUE")))</f>
        <v>-2.9999999999996696E-4</v>
      </c>
      <c r="CV28" s="57" t="str">
        <f>IF(ISERROR(Y28-IF($BU$7=1,_xll.IMDP("FX",$CA28&amp;CV$7,"BID직전가"),_xll.IMDP("FX",$CA28&amp;CV$7,"뉴욕매입종가",VLOOKUP($BU$7,$BT$8:$BV$13,3,0),"FILL=TRUE"))),"",Y28-IF($BU$7=1,_xll.IMDP("FX",$CA28&amp;CV$7,"BID직전가"),_xll.IMDP("FX",$CA28&amp;CV$7,"뉴욕매입종가",VLOOKUP($BU$7,$BT$8:$BV$13,3,0),"FILL=TRUE")))</f>
        <v/>
      </c>
    </row>
    <row r="29" spans="2:100" ht="6.75" customHeight="1" thickTop="1" x14ac:dyDescent="0.25">
      <c r="B29" s="3"/>
      <c r="C29" s="3"/>
      <c r="E29" t="s">
        <v>59</v>
      </c>
      <c r="BX29" s="39">
        <v>22</v>
      </c>
      <c r="BY29" s="39" t="s">
        <v>18</v>
      </c>
    </row>
    <row r="30" spans="2:100" ht="15" customHeight="1" x14ac:dyDescent="0.25">
      <c r="B30" s="3"/>
      <c r="C30" s="3"/>
      <c r="D30" s="27"/>
      <c r="E30" s="31" t="s">
        <v>62</v>
      </c>
      <c r="F30" s="28"/>
      <c r="G30" s="31" t="s">
        <v>61</v>
      </c>
      <c r="H30" s="29"/>
      <c r="I30" s="31" t="s">
        <v>60</v>
      </c>
      <c r="BX30" s="39">
        <v>23</v>
      </c>
      <c r="BY30" s="39" t="s">
        <v>19</v>
      </c>
    </row>
    <row r="31" spans="2:100" ht="17.25" customHeight="1" x14ac:dyDescent="0.25">
      <c r="B31" s="3"/>
      <c r="C31" s="3"/>
      <c r="E31" s="30"/>
      <c r="BX31" s="39">
        <v>24</v>
      </c>
      <c r="BY31" s="39" t="s">
        <v>20</v>
      </c>
    </row>
    <row r="32" spans="2:100" ht="17.25" customHeight="1" x14ac:dyDescent="0.25">
      <c r="B32" s="3"/>
      <c r="C32" s="3"/>
      <c r="E32" s="30"/>
      <c r="BX32" s="39">
        <v>25</v>
      </c>
      <c r="BY32" s="39" t="s">
        <v>21</v>
      </c>
    </row>
    <row r="33" spans="2:77" ht="17.25" customHeight="1" x14ac:dyDescent="0.25">
      <c r="B33" s="3"/>
      <c r="C33" s="3"/>
      <c r="E33" s="30"/>
      <c r="BX33" s="39">
        <v>26</v>
      </c>
      <c r="BY33" s="39" t="s">
        <v>22</v>
      </c>
    </row>
    <row r="34" spans="2:77" ht="17.25" customHeight="1" x14ac:dyDescent="0.25">
      <c r="B34" s="3"/>
      <c r="C34" s="3"/>
      <c r="E34" s="30"/>
      <c r="BX34" s="39">
        <v>27</v>
      </c>
      <c r="BY34" s="39" t="s">
        <v>23</v>
      </c>
    </row>
    <row r="35" spans="2:77" ht="17.25" customHeight="1" x14ac:dyDescent="0.25">
      <c r="B35" s="3"/>
      <c r="C35" s="3"/>
      <c r="E35" s="30"/>
      <c r="BX35" s="39">
        <v>28</v>
      </c>
      <c r="BY35" s="39" t="s">
        <v>24</v>
      </c>
    </row>
    <row r="36" spans="2:77" ht="17.25" customHeight="1" x14ac:dyDescent="0.25">
      <c r="B36" s="3"/>
      <c r="C36" s="3"/>
      <c r="BX36" s="39">
        <v>29</v>
      </c>
      <c r="BY36" s="39" t="s">
        <v>25</v>
      </c>
    </row>
    <row r="37" spans="2:77" ht="17.25" customHeight="1" x14ac:dyDescent="0.25">
      <c r="B37" s="3"/>
      <c r="C37" s="3"/>
      <c r="BX37" s="39">
        <v>30</v>
      </c>
      <c r="BY37" s="39" t="s">
        <v>26</v>
      </c>
    </row>
    <row r="38" spans="2:77" ht="17.25" customHeight="1" x14ac:dyDescent="0.25">
      <c r="B38" s="3"/>
      <c r="C38" s="3"/>
      <c r="BX38" s="39">
        <v>31</v>
      </c>
      <c r="BY38" s="39" t="s">
        <v>27</v>
      </c>
    </row>
    <row r="39" spans="2:77" ht="17.25" customHeight="1" x14ac:dyDescent="0.25">
      <c r="B39" s="3"/>
      <c r="C39" s="3"/>
      <c r="BX39" s="39">
        <v>32</v>
      </c>
      <c r="BY39" s="39" t="s">
        <v>28</v>
      </c>
    </row>
    <row r="40" spans="2:77" ht="17.25" customHeight="1" x14ac:dyDescent="0.25">
      <c r="B40" s="3"/>
      <c r="C40" s="3"/>
      <c r="BX40" s="39">
        <v>33</v>
      </c>
      <c r="BY40" s="39" t="s">
        <v>29</v>
      </c>
    </row>
    <row r="41" spans="2:77" ht="17.25" customHeight="1" x14ac:dyDescent="0.25">
      <c r="B41" s="3"/>
      <c r="C41" s="3"/>
      <c r="BX41" s="39">
        <v>34</v>
      </c>
      <c r="BY41" s="39" t="s">
        <v>30</v>
      </c>
    </row>
    <row r="42" spans="2:77" ht="17.25" customHeight="1" x14ac:dyDescent="0.25">
      <c r="B42" s="3"/>
      <c r="C42" s="3"/>
      <c r="BX42" s="39">
        <v>35</v>
      </c>
      <c r="BY42" s="39" t="s">
        <v>31</v>
      </c>
    </row>
    <row r="43" spans="2:77" ht="17.25" customHeight="1" x14ac:dyDescent="0.25">
      <c r="B43" s="3"/>
      <c r="C43" s="3"/>
      <c r="BX43" s="39">
        <v>36</v>
      </c>
      <c r="BY43" s="39" t="s">
        <v>32</v>
      </c>
    </row>
    <row r="44" spans="2:77" ht="17.25" customHeight="1" x14ac:dyDescent="0.25">
      <c r="B44" s="3"/>
      <c r="C44" s="3"/>
      <c r="BX44" s="39">
        <v>37</v>
      </c>
      <c r="BY44" s="39" t="s">
        <v>33</v>
      </c>
    </row>
    <row r="45" spans="2:77" ht="17.25" customHeight="1" x14ac:dyDescent="0.25">
      <c r="B45" s="3"/>
      <c r="C45" s="3"/>
      <c r="BX45" s="39">
        <v>38</v>
      </c>
      <c r="BY45" s="39" t="s">
        <v>34</v>
      </c>
    </row>
    <row r="46" spans="2:77" x14ac:dyDescent="0.25">
      <c r="B46" s="3"/>
      <c r="C46" s="3"/>
      <c r="BX46" s="39">
        <v>39</v>
      </c>
      <c r="BY46" s="39" t="s">
        <v>35</v>
      </c>
    </row>
    <row r="47" spans="2:77" x14ac:dyDescent="0.25">
      <c r="B47" s="3"/>
      <c r="C47" s="3"/>
      <c r="BX47" s="39">
        <v>40</v>
      </c>
      <c r="BY47" s="39" t="s">
        <v>36</v>
      </c>
    </row>
    <row r="48" spans="2:77" x14ac:dyDescent="0.25">
      <c r="B48" s="3"/>
      <c r="C48" s="3"/>
      <c r="BX48" s="39">
        <v>41</v>
      </c>
      <c r="BY48" s="39" t="s">
        <v>37</v>
      </c>
    </row>
    <row r="49" spans="2:77" x14ac:dyDescent="0.25">
      <c r="B49" s="3"/>
      <c r="C49" s="3"/>
      <c r="BX49" s="39">
        <v>42</v>
      </c>
      <c r="BY49" s="39" t="s">
        <v>38</v>
      </c>
    </row>
    <row r="50" spans="2:77" x14ac:dyDescent="0.25">
      <c r="B50" s="3"/>
      <c r="C50" s="3"/>
      <c r="BX50" s="39">
        <v>43</v>
      </c>
      <c r="BY50" s="39" t="s">
        <v>39</v>
      </c>
    </row>
    <row r="51" spans="2:77" x14ac:dyDescent="0.25">
      <c r="B51" s="3"/>
      <c r="C51" s="3"/>
      <c r="BX51" s="39">
        <v>44</v>
      </c>
      <c r="BY51" s="39" t="s">
        <v>40</v>
      </c>
    </row>
    <row r="52" spans="2:77" x14ac:dyDescent="0.25">
      <c r="B52" s="3"/>
      <c r="C52" s="3"/>
      <c r="BX52" s="39">
        <v>45</v>
      </c>
      <c r="BY52" s="39" t="s">
        <v>41</v>
      </c>
    </row>
    <row r="53" spans="2:77" x14ac:dyDescent="0.25">
      <c r="B53" s="3"/>
      <c r="C53" s="3"/>
      <c r="BX53" s="39">
        <v>46</v>
      </c>
      <c r="BY53" s="39" t="s">
        <v>42</v>
      </c>
    </row>
    <row r="54" spans="2:77" x14ac:dyDescent="0.25">
      <c r="B54" s="3"/>
      <c r="C54" s="3"/>
      <c r="BX54" s="39">
        <v>47</v>
      </c>
      <c r="BY54" s="39" t="s">
        <v>43</v>
      </c>
    </row>
    <row r="55" spans="2:77" x14ac:dyDescent="0.25">
      <c r="B55" s="3"/>
      <c r="C55" s="3"/>
      <c r="BX55" s="39">
        <v>48</v>
      </c>
      <c r="BY55" s="39" t="s">
        <v>44</v>
      </c>
    </row>
    <row r="56" spans="2:77" x14ac:dyDescent="0.25">
      <c r="B56" s="3"/>
      <c r="C56" s="3"/>
      <c r="BX56" s="39">
        <v>49</v>
      </c>
      <c r="BY56" s="39" t="s">
        <v>45</v>
      </c>
    </row>
    <row r="57" spans="2:77" x14ac:dyDescent="0.25">
      <c r="B57" s="3"/>
      <c r="C57" s="3"/>
      <c r="BX57" s="39">
        <v>50</v>
      </c>
      <c r="BY57" s="39" t="s">
        <v>46</v>
      </c>
    </row>
    <row r="58" spans="2:77" x14ac:dyDescent="0.25">
      <c r="B58" s="3"/>
      <c r="C58" s="3"/>
      <c r="BX58" s="39">
        <v>51</v>
      </c>
      <c r="BY58" s="39" t="s">
        <v>47</v>
      </c>
    </row>
    <row r="59" spans="2:77" x14ac:dyDescent="0.25">
      <c r="B59" s="3"/>
      <c r="C59" s="3"/>
      <c r="BX59" s="39">
        <v>52</v>
      </c>
      <c r="BY59" s="39" t="s">
        <v>48</v>
      </c>
    </row>
    <row r="60" spans="2:77" x14ac:dyDescent="0.25">
      <c r="B60" s="3"/>
      <c r="C60" s="3"/>
      <c r="BX60" s="39">
        <v>53</v>
      </c>
      <c r="BY60" s="39" t="s">
        <v>49</v>
      </c>
    </row>
    <row r="61" spans="2:77" x14ac:dyDescent="0.25">
      <c r="B61" s="3"/>
      <c r="C61" s="3"/>
      <c r="BX61" s="39">
        <v>54</v>
      </c>
      <c r="BY61" s="39" t="s">
        <v>50</v>
      </c>
    </row>
    <row r="62" spans="2:77" x14ac:dyDescent="0.25">
      <c r="B62" s="3"/>
      <c r="C62" s="3"/>
      <c r="BX62" s="39">
        <v>55</v>
      </c>
      <c r="BY62" s="39" t="s">
        <v>51</v>
      </c>
    </row>
    <row r="63" spans="2:77" x14ac:dyDescent="0.25">
      <c r="B63" s="3"/>
      <c r="C63" s="3"/>
      <c r="BX63" s="39">
        <v>56</v>
      </c>
      <c r="BY63" s="39" t="s">
        <v>52</v>
      </c>
    </row>
    <row r="64" spans="2:77" x14ac:dyDescent="0.25">
      <c r="B64" s="3"/>
      <c r="C64" s="3"/>
      <c r="BX64" s="39">
        <v>57</v>
      </c>
      <c r="BY64" s="39" t="s">
        <v>53</v>
      </c>
    </row>
    <row r="65" spans="2:77" x14ac:dyDescent="0.25">
      <c r="B65" s="3"/>
      <c r="C65" s="3"/>
      <c r="BX65" s="39">
        <v>58</v>
      </c>
      <c r="BY65" s="39" t="s">
        <v>54</v>
      </c>
    </row>
    <row r="66" spans="2:77" x14ac:dyDescent="0.25">
      <c r="BX66" s="39">
        <v>59</v>
      </c>
      <c r="BY66" s="39" t="s">
        <v>55</v>
      </c>
    </row>
    <row r="67" spans="2:77" x14ac:dyDescent="0.25">
      <c r="BX67" s="39">
        <v>60</v>
      </c>
      <c r="BY67" s="39" t="s">
        <v>56</v>
      </c>
    </row>
    <row r="68" spans="2:77" x14ac:dyDescent="0.25">
      <c r="BX68" s="39">
        <v>61</v>
      </c>
      <c r="BY68" s="39" t="s">
        <v>57</v>
      </c>
    </row>
  </sheetData>
  <mergeCells count="3">
    <mergeCell ref="D2:Y3"/>
    <mergeCell ref="X4:Y4"/>
    <mergeCell ref="D4:E4"/>
  </mergeCells>
  <phoneticPr fontId="1" type="noConversion"/>
  <conditionalFormatting sqref="X28 K13:R13 X8:X26 W27:W28 W8:W25 V26:V28 V8:V24 U25:U28 U8:U23 T24:T28 T8:T22 S23:S28 S8:S21 R22:R28 R8:R20 Q21:Q28 P20:P28 P8:P18 O19:O28 O8:O17 N18:N28 N8:N16 M17:M28 M8:M15 L16:L28 L8:L14 K15:K28 K8:K13 J14:J28 F10:F28 I13:I28 H12:H28 H8:H10 G11:G28 G8:G9 F8 I8:J11 Q8:Q19 J12:S12 T12:X21 S13:U19 E21:N25 Y8:AB27 AD8:BR27 AC8:AC25 AC27">
    <cfRule type="expression" dxfId="43" priority="25">
      <formula>CB8=""</formula>
    </cfRule>
    <cfRule type="expression" dxfId="42" priority="38">
      <formula>CB8&lt;0</formula>
    </cfRule>
    <cfRule type="expression" dxfId="41" priority="39">
      <formula>CB8&gt;0</formula>
    </cfRule>
    <cfRule type="cellIs" dxfId="40" priority="40" operator="greaterThan">
      <formula>"0&lt;AE6"</formula>
    </cfRule>
  </conditionalFormatting>
  <conditionalFormatting sqref="X28 X9:X26 W27:W28 W9:W25 V26:V28 V9:V24 U25:U28 U9:U23 T24:T28 T9:T22 S23:S28 S9:S21 R22:R28 R9:R20 Q21:Q28 P20:P28 P9:P18 O19:O28 O9:O17 N18:N28 N9:N16 M17:M28 M9:M15 L16:L28 L9:L14 K15:K28 K9:K13 J14:J28 I13:I28 H12:H28 H9:H10 G11:G28 G8:G9 F10:F28 I9:J11 G8:BR8 K13:R13 Q9:Q19 J12:S12 T12:X21 S13:U19 E21:N25 Y9:AB27 AD9:BR27 AC9:AC25 AC27">
    <cfRule type="expression" dxfId="39" priority="35">
      <formula>CB8&lt;0</formula>
    </cfRule>
    <cfRule type="expression" dxfId="38" priority="36">
      <formula>CB8&gt;0</formula>
    </cfRule>
    <cfRule type="cellIs" dxfId="37" priority="37" operator="greaterThan">
      <formula>"0&lt;AE6"</formula>
    </cfRule>
  </conditionalFormatting>
  <conditionalFormatting sqref="BT8:BT15 BT18:BT27">
    <cfRule type="expression" dxfId="36" priority="32">
      <formula>ES8&lt;0</formula>
    </cfRule>
    <cfRule type="expression" dxfId="35" priority="33">
      <formula>ES8&gt;0</formula>
    </cfRule>
    <cfRule type="cellIs" dxfId="34" priority="34" operator="greaterThan">
      <formula>"0&lt;AE6"</formula>
    </cfRule>
  </conditionalFormatting>
  <conditionalFormatting sqref="E9:E28">
    <cfRule type="expression" dxfId="33" priority="29">
      <formula>CB9&lt;0</formula>
    </cfRule>
    <cfRule type="expression" dxfId="32" priority="30">
      <formula>CB9&gt;0</formula>
    </cfRule>
    <cfRule type="cellIs" dxfId="31" priority="31" operator="greaterThan">
      <formula>"0&lt;AE6"</formula>
    </cfRule>
  </conditionalFormatting>
  <conditionalFormatting sqref="Q18">
    <cfRule type="expression" dxfId="30" priority="21">
      <formula>CN18=""</formula>
    </cfRule>
    <cfRule type="expression" dxfId="29" priority="22">
      <formula>CN18&lt;0</formula>
    </cfRule>
    <cfRule type="expression" dxfId="28" priority="23">
      <formula>CN18&gt;0</formula>
    </cfRule>
    <cfRule type="cellIs" dxfId="27" priority="24" operator="greaterThan">
      <formula>"0&lt;AE6"</formula>
    </cfRule>
  </conditionalFormatting>
  <conditionalFormatting sqref="Q18">
    <cfRule type="expression" dxfId="26" priority="17">
      <formula>CN18=""</formula>
    </cfRule>
    <cfRule type="expression" dxfId="25" priority="18">
      <formula>CN18&lt;0</formula>
    </cfRule>
    <cfRule type="expression" dxfId="24" priority="19">
      <formula>CN18&gt;0</formula>
    </cfRule>
    <cfRule type="cellIs" dxfId="23" priority="20" operator="greaterThan">
      <formula>"0&lt;AE6"</formula>
    </cfRule>
  </conditionalFormatting>
  <conditionalFormatting sqref="Q18">
    <cfRule type="expression" dxfId="22" priority="13">
      <formula>CN18=""</formula>
    </cfRule>
    <cfRule type="expression" dxfId="21" priority="14">
      <formula>CN18&lt;0</formula>
    </cfRule>
    <cfRule type="expression" dxfId="20" priority="15">
      <formula>CN18&gt;0</formula>
    </cfRule>
    <cfRule type="cellIs" dxfId="19" priority="16" operator="greaterThan">
      <formula>"0&lt;AE6"</formula>
    </cfRule>
  </conditionalFormatting>
  <conditionalFormatting sqref="P18">
    <cfRule type="expression" dxfId="18" priority="5">
      <formula>CM18=""</formula>
    </cfRule>
    <cfRule type="expression" dxfId="17" priority="6">
      <formula>CM18&lt;0</formula>
    </cfRule>
    <cfRule type="expression" dxfId="16" priority="7">
      <formula>CM18&gt;0</formula>
    </cfRule>
    <cfRule type="cellIs" dxfId="15" priority="8" operator="greaterThan">
      <formula>"0&lt;AE6"</formula>
    </cfRule>
  </conditionalFormatting>
  <conditionalFormatting sqref="E9:E28">
    <cfRule type="expression" dxfId="14" priority="1">
      <formula>CB9=""</formula>
    </cfRule>
    <cfRule type="expression" dxfId="13" priority="2">
      <formula>CB9&lt;0</formula>
    </cfRule>
    <cfRule type="expression" dxfId="12" priority="3">
      <formula>CB9&gt;0</formula>
    </cfRule>
    <cfRule type="cellIs" dxfId="11" priority="4" operator="greaterThan">
      <formula>"0&lt;AE6"</formula>
    </cfRule>
  </conditionalFormatting>
  <conditionalFormatting sqref="BT8:BT15 BT18:BT27">
    <cfRule type="expression" dxfId="10" priority="45">
      <formula>ES8=""</formula>
    </cfRule>
    <cfRule type="expression" dxfId="9" priority="46">
      <formula>ES8&lt;0</formula>
    </cfRule>
    <cfRule type="expression" dxfId="8" priority="47">
      <formula>ES8&gt;0</formula>
    </cfRule>
    <cfRule type="cellIs" dxfId="7" priority="48" operator="greaterThan">
      <formula>"0&lt;AE6"</formula>
    </cfRule>
  </conditionalFormatting>
  <conditionalFormatting sqref="BS8:BS27">
    <cfRule type="expression" dxfId="6" priority="53">
      <formula>CY8=""</formula>
    </cfRule>
    <cfRule type="expression" dxfId="5" priority="54">
      <formula>CY8&lt;0</formula>
    </cfRule>
    <cfRule type="expression" dxfId="4" priority="55">
      <formula>CY8&gt;0</formula>
    </cfRule>
    <cfRule type="cellIs" dxfId="3" priority="56" operator="greaterThan">
      <formula>"0&lt;AE6"</formula>
    </cfRule>
  </conditionalFormatting>
  <conditionalFormatting sqref="BS8:BS27">
    <cfRule type="expression" dxfId="2" priority="306">
      <formula>CY8&lt;0</formula>
    </cfRule>
    <cfRule type="expression" dxfId="1" priority="307">
      <formula>CY8&gt;0</formula>
    </cfRule>
    <cfRule type="cellIs" dxfId="0" priority="308" operator="greaterThan">
      <formula>"0&lt;AE6"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4</xdr:col>
                    <xdr:colOff>19050</xdr:colOff>
                    <xdr:row>6</xdr:row>
                    <xdr:rowOff>9525</xdr:rowOff>
                  </from>
                  <to>
                    <xdr:col>4</xdr:col>
                    <xdr:colOff>514350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5</xdr:col>
                    <xdr:colOff>9525</xdr:colOff>
                    <xdr:row>6</xdr:row>
                    <xdr:rowOff>9525</xdr:rowOff>
                  </from>
                  <to>
                    <xdr:col>6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Drop Down 3">
              <controlPr defaultSize="0" autoLine="0" autoPict="0">
                <anchor moveWithCells="1">
                  <from>
                    <xdr:col>6</xdr:col>
                    <xdr:colOff>9525</xdr:colOff>
                    <xdr:row>6</xdr:row>
                    <xdr:rowOff>9525</xdr:rowOff>
                  </from>
                  <to>
                    <xdr:col>7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Drop Down 4">
              <controlPr defaultSize="0" autoLine="0" autoPict="0">
                <anchor moveWithCells="1">
                  <from>
                    <xdr:col>7</xdr:col>
                    <xdr:colOff>9525</xdr:colOff>
                    <xdr:row>6</xdr:row>
                    <xdr:rowOff>9525</xdr:rowOff>
                  </from>
                  <to>
                    <xdr:col>8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Drop Down 5">
              <controlPr defaultSize="0" autoLine="0" autoPict="0">
                <anchor moveWithCells="1">
                  <from>
                    <xdr:col>8</xdr:col>
                    <xdr:colOff>9525</xdr:colOff>
                    <xdr:row>6</xdr:row>
                    <xdr:rowOff>9525</xdr:rowOff>
                  </from>
                  <to>
                    <xdr:col>9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Drop Down 6">
              <controlPr defaultSize="0" autoLine="0" autoPict="0">
                <anchor moveWithCells="1">
                  <from>
                    <xdr:col>9</xdr:col>
                    <xdr:colOff>9525</xdr:colOff>
                    <xdr:row>6</xdr:row>
                    <xdr:rowOff>9525</xdr:rowOff>
                  </from>
                  <to>
                    <xdr:col>10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Drop Down 7">
              <controlPr defaultSize="0" autoLine="0" autoPict="0">
                <anchor moveWithCells="1">
                  <from>
                    <xdr:col>10</xdr:col>
                    <xdr:colOff>9525</xdr:colOff>
                    <xdr:row>6</xdr:row>
                    <xdr:rowOff>9525</xdr:rowOff>
                  </from>
                  <to>
                    <xdr:col>11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Drop Down 8">
              <controlPr defaultSize="0" autoLine="0" autoPict="0">
                <anchor moveWithCells="1">
                  <from>
                    <xdr:col>11</xdr:col>
                    <xdr:colOff>9525</xdr:colOff>
                    <xdr:row>6</xdr:row>
                    <xdr:rowOff>9525</xdr:rowOff>
                  </from>
                  <to>
                    <xdr:col>12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Drop Down 9">
              <controlPr defaultSize="0" autoLine="0" autoPict="0">
                <anchor moveWithCells="1">
                  <from>
                    <xdr:col>12</xdr:col>
                    <xdr:colOff>9525</xdr:colOff>
                    <xdr:row>6</xdr:row>
                    <xdr:rowOff>9525</xdr:rowOff>
                  </from>
                  <to>
                    <xdr:col>13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Drop Down 10">
              <controlPr defaultSize="0" autoLine="0" autoPict="0">
                <anchor moveWithCells="1">
                  <from>
                    <xdr:col>13</xdr:col>
                    <xdr:colOff>9525</xdr:colOff>
                    <xdr:row>6</xdr:row>
                    <xdr:rowOff>9525</xdr:rowOff>
                  </from>
                  <to>
                    <xdr:col>14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Drop Down 11">
              <controlPr defaultSize="0" autoLine="0" autoPict="0">
                <anchor moveWithCells="1">
                  <from>
                    <xdr:col>14</xdr:col>
                    <xdr:colOff>9525</xdr:colOff>
                    <xdr:row>6</xdr:row>
                    <xdr:rowOff>9525</xdr:rowOff>
                  </from>
                  <to>
                    <xdr:col>15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Drop Down 12">
              <controlPr defaultSize="0" autoLine="0" autoPict="0">
                <anchor moveWithCells="1">
                  <from>
                    <xdr:col>15</xdr:col>
                    <xdr:colOff>9525</xdr:colOff>
                    <xdr:row>6</xdr:row>
                    <xdr:rowOff>9525</xdr:rowOff>
                  </from>
                  <to>
                    <xdr:col>16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Drop Down 13">
              <controlPr defaultSize="0" autoLine="0" autoPict="0">
                <anchor moveWithCells="1">
                  <from>
                    <xdr:col>16</xdr:col>
                    <xdr:colOff>9525</xdr:colOff>
                    <xdr:row>6</xdr:row>
                    <xdr:rowOff>9525</xdr:rowOff>
                  </from>
                  <to>
                    <xdr:col>17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Drop Down 14">
              <controlPr defaultSize="0" autoLine="0" autoPict="0">
                <anchor moveWithCells="1">
                  <from>
                    <xdr:col>17</xdr:col>
                    <xdr:colOff>9525</xdr:colOff>
                    <xdr:row>6</xdr:row>
                    <xdr:rowOff>9525</xdr:rowOff>
                  </from>
                  <to>
                    <xdr:col>18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Drop Down 15">
              <controlPr defaultSize="0" autoLine="0" autoPict="0">
                <anchor moveWithCells="1">
                  <from>
                    <xdr:col>18</xdr:col>
                    <xdr:colOff>9525</xdr:colOff>
                    <xdr:row>6</xdr:row>
                    <xdr:rowOff>9525</xdr:rowOff>
                  </from>
                  <to>
                    <xdr:col>19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Drop Down 16">
              <controlPr defaultSize="0" autoLine="0" autoPict="0">
                <anchor moveWithCells="1">
                  <from>
                    <xdr:col>19</xdr:col>
                    <xdr:colOff>9525</xdr:colOff>
                    <xdr:row>6</xdr:row>
                    <xdr:rowOff>9525</xdr:rowOff>
                  </from>
                  <to>
                    <xdr:col>20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Drop Down 17">
              <controlPr defaultSize="0" autoLine="0" autoPict="0">
                <anchor moveWithCells="1">
                  <from>
                    <xdr:col>3</xdr:col>
                    <xdr:colOff>19050</xdr:colOff>
                    <xdr:row>7</xdr:row>
                    <xdr:rowOff>9525</xdr:rowOff>
                  </from>
                  <to>
                    <xdr:col>3</xdr:col>
                    <xdr:colOff>514350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Drop Down 19">
              <controlPr defaultSize="0" autoLine="0" autoPict="0">
                <anchor moveWithCells="1">
                  <from>
                    <xdr:col>3</xdr:col>
                    <xdr:colOff>19050</xdr:colOff>
                    <xdr:row>8</xdr:row>
                    <xdr:rowOff>9525</xdr:rowOff>
                  </from>
                  <to>
                    <xdr:col>3</xdr:col>
                    <xdr:colOff>514350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Drop Down 20">
              <controlPr defaultSize="0" autoLine="0" autoPict="0">
                <anchor moveWithCells="1">
                  <from>
                    <xdr:col>3</xdr:col>
                    <xdr:colOff>19050</xdr:colOff>
                    <xdr:row>9</xdr:row>
                    <xdr:rowOff>9525</xdr:rowOff>
                  </from>
                  <to>
                    <xdr:col>3</xdr:col>
                    <xdr:colOff>514350</xdr:colOff>
                    <xdr:row>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Drop Down 21">
              <controlPr defaultSize="0" autoLine="0" autoPict="0">
                <anchor moveWithCells="1">
                  <from>
                    <xdr:col>3</xdr:col>
                    <xdr:colOff>19050</xdr:colOff>
                    <xdr:row>10</xdr:row>
                    <xdr:rowOff>9525</xdr:rowOff>
                  </from>
                  <to>
                    <xdr:col>3</xdr:col>
                    <xdr:colOff>514350</xdr:colOff>
                    <xdr:row>10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Drop Down 22">
              <controlPr defaultSize="0" autoLine="0" autoPict="0">
                <anchor moveWithCells="1">
                  <from>
                    <xdr:col>3</xdr:col>
                    <xdr:colOff>19050</xdr:colOff>
                    <xdr:row>11</xdr:row>
                    <xdr:rowOff>9525</xdr:rowOff>
                  </from>
                  <to>
                    <xdr:col>3</xdr:col>
                    <xdr:colOff>514350</xdr:colOff>
                    <xdr:row>11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Drop Down 23">
              <controlPr defaultSize="0" autoLine="0" autoPict="0">
                <anchor moveWithCells="1">
                  <from>
                    <xdr:col>3</xdr:col>
                    <xdr:colOff>19050</xdr:colOff>
                    <xdr:row>12</xdr:row>
                    <xdr:rowOff>9525</xdr:rowOff>
                  </from>
                  <to>
                    <xdr:col>3</xdr:col>
                    <xdr:colOff>514350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Drop Down 24">
              <controlPr defaultSize="0" autoLine="0" autoPict="0">
                <anchor moveWithCells="1">
                  <from>
                    <xdr:col>3</xdr:col>
                    <xdr:colOff>19050</xdr:colOff>
                    <xdr:row>13</xdr:row>
                    <xdr:rowOff>9525</xdr:rowOff>
                  </from>
                  <to>
                    <xdr:col>3</xdr:col>
                    <xdr:colOff>514350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Drop Down 25">
              <controlPr defaultSize="0" autoLine="0" autoPict="0">
                <anchor moveWithCells="1">
                  <from>
                    <xdr:col>3</xdr:col>
                    <xdr:colOff>19050</xdr:colOff>
                    <xdr:row>14</xdr:row>
                    <xdr:rowOff>9525</xdr:rowOff>
                  </from>
                  <to>
                    <xdr:col>3</xdr:col>
                    <xdr:colOff>514350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Drop Down 26">
              <controlPr defaultSize="0" autoLine="0" autoPict="0">
                <anchor moveWithCells="1">
                  <from>
                    <xdr:col>3</xdr:col>
                    <xdr:colOff>19050</xdr:colOff>
                    <xdr:row>15</xdr:row>
                    <xdr:rowOff>9525</xdr:rowOff>
                  </from>
                  <to>
                    <xdr:col>3</xdr:col>
                    <xdr:colOff>514350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Drop Down 27">
              <controlPr defaultSize="0" autoLine="0" autoPict="0">
                <anchor moveWithCells="1">
                  <from>
                    <xdr:col>3</xdr:col>
                    <xdr:colOff>19050</xdr:colOff>
                    <xdr:row>16</xdr:row>
                    <xdr:rowOff>9525</xdr:rowOff>
                  </from>
                  <to>
                    <xdr:col>3</xdr:col>
                    <xdr:colOff>514350</xdr:colOff>
                    <xdr:row>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Drop Down 28">
              <controlPr defaultSize="0" autoLine="0" autoPict="0">
                <anchor moveWithCells="1">
                  <from>
                    <xdr:col>3</xdr:col>
                    <xdr:colOff>19050</xdr:colOff>
                    <xdr:row>17</xdr:row>
                    <xdr:rowOff>9525</xdr:rowOff>
                  </from>
                  <to>
                    <xdr:col>3</xdr:col>
                    <xdr:colOff>514350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Drop Down 29">
              <controlPr defaultSize="0" autoLine="0" autoPict="0">
                <anchor moveWithCells="1">
                  <from>
                    <xdr:col>3</xdr:col>
                    <xdr:colOff>19050</xdr:colOff>
                    <xdr:row>18</xdr:row>
                    <xdr:rowOff>9525</xdr:rowOff>
                  </from>
                  <to>
                    <xdr:col>3</xdr:col>
                    <xdr:colOff>514350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Drop Down 30">
              <controlPr defaultSize="0" autoLine="0" autoPict="0">
                <anchor moveWithCells="1">
                  <from>
                    <xdr:col>3</xdr:col>
                    <xdr:colOff>19050</xdr:colOff>
                    <xdr:row>19</xdr:row>
                    <xdr:rowOff>9525</xdr:rowOff>
                  </from>
                  <to>
                    <xdr:col>3</xdr:col>
                    <xdr:colOff>514350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Drop Down 31">
              <controlPr defaultSize="0" autoLine="0" autoPict="0">
                <anchor moveWithCells="1">
                  <from>
                    <xdr:col>3</xdr:col>
                    <xdr:colOff>19050</xdr:colOff>
                    <xdr:row>20</xdr:row>
                    <xdr:rowOff>9525</xdr:rowOff>
                  </from>
                  <to>
                    <xdr:col>3</xdr:col>
                    <xdr:colOff>514350</xdr:colOff>
                    <xdr:row>20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Drop Down 32">
              <controlPr defaultSize="0" autoLine="0" autoPict="0">
                <anchor moveWithCells="1">
                  <from>
                    <xdr:col>3</xdr:col>
                    <xdr:colOff>19050</xdr:colOff>
                    <xdr:row>21</xdr:row>
                    <xdr:rowOff>9525</xdr:rowOff>
                  </from>
                  <to>
                    <xdr:col>3</xdr:col>
                    <xdr:colOff>514350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Drop Down 33">
              <controlPr defaultSize="0" autoLine="0" autoPict="0">
                <anchor moveWithCells="1">
                  <from>
                    <xdr:col>3</xdr:col>
                    <xdr:colOff>19050</xdr:colOff>
                    <xdr:row>22</xdr:row>
                    <xdr:rowOff>9525</xdr:rowOff>
                  </from>
                  <to>
                    <xdr:col>3</xdr:col>
                    <xdr:colOff>514350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Drop Down 34">
              <controlPr defaultSize="0" autoLine="0" autoPict="0">
                <anchor moveWithCells="1">
                  <from>
                    <xdr:col>3</xdr:col>
                    <xdr:colOff>19050</xdr:colOff>
                    <xdr:row>23</xdr:row>
                    <xdr:rowOff>9525</xdr:rowOff>
                  </from>
                  <to>
                    <xdr:col>3</xdr:col>
                    <xdr:colOff>514350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Drop Down 35">
              <controlPr defaultSize="0" autoLine="0" autoPict="0">
                <anchor moveWithCells="1">
                  <from>
                    <xdr:col>3</xdr:col>
                    <xdr:colOff>19050</xdr:colOff>
                    <xdr:row>24</xdr:row>
                    <xdr:rowOff>9525</xdr:rowOff>
                  </from>
                  <to>
                    <xdr:col>3</xdr:col>
                    <xdr:colOff>514350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Drop Down 36">
              <controlPr defaultSize="0" autoLine="0" autoPict="0">
                <anchor moveWithCells="1">
                  <from>
                    <xdr:col>3</xdr:col>
                    <xdr:colOff>19050</xdr:colOff>
                    <xdr:row>25</xdr:row>
                    <xdr:rowOff>9525</xdr:rowOff>
                  </from>
                  <to>
                    <xdr:col>3</xdr:col>
                    <xdr:colOff>514350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Drop Down 37">
              <controlPr defaultSize="0" autoLine="0" autoPict="0">
                <anchor moveWithCells="1">
                  <from>
                    <xdr:col>3</xdr:col>
                    <xdr:colOff>19050</xdr:colOff>
                    <xdr:row>26</xdr:row>
                    <xdr:rowOff>9525</xdr:rowOff>
                  </from>
                  <to>
                    <xdr:col>3</xdr:col>
                    <xdr:colOff>514350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Drop Down 38">
              <controlPr defaultSize="0" autoLine="0" autoPict="0">
                <anchor moveWithCells="1">
                  <from>
                    <xdr:col>3</xdr:col>
                    <xdr:colOff>19050</xdr:colOff>
                    <xdr:row>27</xdr:row>
                    <xdr:rowOff>9525</xdr:rowOff>
                  </from>
                  <to>
                    <xdr:col>3</xdr:col>
                    <xdr:colOff>514350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Drop Down 39">
              <controlPr defaultSize="0" autoLine="0" autoPict="0">
                <anchor moveWithCells="1">
                  <from>
                    <xdr:col>20</xdr:col>
                    <xdr:colOff>9525</xdr:colOff>
                    <xdr:row>6</xdr:row>
                    <xdr:rowOff>9525</xdr:rowOff>
                  </from>
                  <to>
                    <xdr:col>21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Drop Down 40">
              <controlPr defaultSize="0" autoLine="0" autoPict="0">
                <anchor moveWithCells="1">
                  <from>
                    <xdr:col>21</xdr:col>
                    <xdr:colOff>9525</xdr:colOff>
                    <xdr:row>6</xdr:row>
                    <xdr:rowOff>9525</xdr:rowOff>
                  </from>
                  <to>
                    <xdr:col>22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Drop Down 41">
              <controlPr defaultSize="0" autoLine="0" autoPict="0">
                <anchor moveWithCells="1">
                  <from>
                    <xdr:col>22</xdr:col>
                    <xdr:colOff>9525</xdr:colOff>
                    <xdr:row>6</xdr:row>
                    <xdr:rowOff>9525</xdr:rowOff>
                  </from>
                  <to>
                    <xdr:col>23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Drop Down 42">
              <controlPr defaultSize="0" autoLine="0" autoPict="0">
                <anchor moveWithCells="1">
                  <from>
                    <xdr:col>23</xdr:col>
                    <xdr:colOff>9525</xdr:colOff>
                    <xdr:row>6</xdr:row>
                    <xdr:rowOff>9525</xdr:rowOff>
                  </from>
                  <to>
                    <xdr:col>24</xdr:col>
                    <xdr:colOff>9525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Drop Down 43">
              <controlPr defaultSize="0" autoLine="0" autoPict="0">
                <anchor moveWithCells="1">
                  <from>
                    <xdr:col>24</xdr:col>
                    <xdr:colOff>19050</xdr:colOff>
                    <xdr:row>6</xdr:row>
                    <xdr:rowOff>9525</xdr:rowOff>
                  </from>
                  <to>
                    <xdr:col>24</xdr:col>
                    <xdr:colOff>523875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Drop Down 44">
              <controlPr defaultSize="0" autoLine="0" autoPict="0">
                <anchor moveWithCells="1">
                  <from>
                    <xdr:col>3</xdr:col>
                    <xdr:colOff>9525</xdr:colOff>
                    <xdr:row>6</xdr:row>
                    <xdr:rowOff>0</xdr:rowOff>
                  </from>
                  <to>
                    <xdr:col>4</xdr:col>
                    <xdr:colOff>9525</xdr:colOff>
                    <xdr:row>6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주요통화 시세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2016-02-24T04:30:36Z</dcterms:created>
  <dcterms:modified xsi:type="dcterms:W3CDTF">2019-06-04T04:58:15Z</dcterms:modified>
</cp:coreProperties>
</file>