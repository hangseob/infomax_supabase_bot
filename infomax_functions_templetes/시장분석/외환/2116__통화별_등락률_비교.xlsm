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90" yWindow="3690" windowWidth="23040" windowHeight="12165"/>
  </bookViews>
  <sheets>
    <sheet name="curr" sheetId="1" r:id="rId1"/>
    <sheet name="raw" sheetId="4" state="hidden" r:id="rId2"/>
  </sheets>
  <calcPr calcId="145621"/>
</workbook>
</file>

<file path=xl/calcChain.xml><?xml version="1.0" encoding="utf-8"?>
<calcChain xmlns="http://schemas.openxmlformats.org/spreadsheetml/2006/main">
  <c r="R1" i="4" l="1"/>
  <c r="R2" i="4" s="1" a="1"/>
  <c r="I2" i="4" a="1"/>
  <c r="I2" i="4" s="1"/>
  <c r="J2" i="4" s="1" a="1"/>
  <c r="J2" i="4" s="1"/>
  <c r="G2" i="4"/>
  <c r="U1" i="4" l="1" a="1"/>
  <c r="U1" i="4" s="1"/>
  <c r="R5" i="4"/>
  <c r="R20" i="4"/>
  <c r="R16" i="4"/>
  <c r="S16" i="4" s="1"/>
  <c r="R12" i="4"/>
  <c r="S12" i="4" s="1"/>
  <c r="R8" i="4"/>
  <c r="S8" i="4" s="1"/>
  <c r="R4" i="4"/>
  <c r="S4" i="4" s="1"/>
  <c r="R19" i="4"/>
  <c r="S19" i="4" s="1"/>
  <c r="R15" i="4"/>
  <c r="S15" i="4" s="1"/>
  <c r="R11" i="4"/>
  <c r="S11" i="4" s="1"/>
  <c r="R7" i="4"/>
  <c r="S7" i="4" s="1"/>
  <c r="R3" i="4"/>
  <c r="S3" i="4" s="1"/>
  <c r="R18" i="4"/>
  <c r="S18" i="4" s="1"/>
  <c r="R14" i="4"/>
  <c r="S14" i="4" s="1"/>
  <c r="R10" i="4"/>
  <c r="S10" i="4" s="1"/>
  <c r="R6" i="4"/>
  <c r="S6" i="4" s="1"/>
  <c r="R2" i="4"/>
  <c r="S2" i="4" s="1"/>
  <c r="R21" i="4"/>
  <c r="S21" i="4" s="1"/>
  <c r="R17" i="4"/>
  <c r="S17" i="4" s="1"/>
  <c r="R13" i="4"/>
  <c r="S13" i="4" s="1"/>
  <c r="R9" i="4"/>
  <c r="S9" i="4" s="1"/>
  <c r="S5" i="4"/>
  <c r="S20" i="4"/>
  <c r="I21" i="4"/>
  <c r="J21" i="4" s="1" a="1"/>
  <c r="J21" i="4" s="1"/>
  <c r="I17" i="4"/>
  <c r="J17" i="4" s="1" a="1"/>
  <c r="J17" i="4" s="1"/>
  <c r="I13" i="4"/>
  <c r="J13" i="4" s="1" a="1"/>
  <c r="J13" i="4" s="1"/>
  <c r="I9" i="4"/>
  <c r="J9" i="4" s="1" a="1"/>
  <c r="J9" i="4" s="1"/>
  <c r="I5" i="4"/>
  <c r="J5" i="4" s="1" a="1"/>
  <c r="J5" i="4" s="1"/>
  <c r="I20" i="4"/>
  <c r="J20" i="4" s="1" a="1"/>
  <c r="J20" i="4" s="1"/>
  <c r="I16" i="4"/>
  <c r="J16" i="4" s="1" a="1"/>
  <c r="J16" i="4" s="1"/>
  <c r="I12" i="4"/>
  <c r="J12" i="4" s="1" a="1"/>
  <c r="J12" i="4" s="1"/>
  <c r="I8" i="4"/>
  <c r="J8" i="4" s="1" a="1"/>
  <c r="J8" i="4" s="1"/>
  <c r="I4" i="4"/>
  <c r="J4" i="4" s="1" a="1"/>
  <c r="J4" i="4" s="1"/>
  <c r="I19" i="4"/>
  <c r="J19" i="4" s="1" a="1"/>
  <c r="J19" i="4" s="1"/>
  <c r="I15" i="4"/>
  <c r="J15" i="4" s="1" a="1"/>
  <c r="J15" i="4" s="1"/>
  <c r="I11" i="4"/>
  <c r="J11" i="4" s="1" a="1"/>
  <c r="J11" i="4" s="1"/>
  <c r="I7" i="4"/>
  <c r="J7" i="4" s="1" a="1"/>
  <c r="J7" i="4" s="1"/>
  <c r="I3" i="4"/>
  <c r="J3" i="4" s="1" a="1"/>
  <c r="J3" i="4" s="1"/>
  <c r="I18" i="4"/>
  <c r="J18" i="4" s="1" a="1"/>
  <c r="J18" i="4" s="1"/>
  <c r="I14" i="4"/>
  <c r="J14" i="4" s="1" a="1"/>
  <c r="J14" i="4" s="1"/>
  <c r="I10" i="4"/>
  <c r="J10" i="4" s="1" a="1"/>
  <c r="J10" i="4" s="1"/>
  <c r="I6" i="4"/>
  <c r="J6" i="4" s="1" a="1"/>
  <c r="J6" i="4" s="1"/>
  <c r="I5" i="1" l="1"/>
  <c r="J5" i="1"/>
  <c r="T8" i="4"/>
  <c r="K6" i="4"/>
  <c r="T16" i="4"/>
  <c r="L7" i="4"/>
  <c r="T17" i="4"/>
  <c r="T14" i="4"/>
  <c r="T5" i="4"/>
  <c r="O1" i="4"/>
  <c r="T20" i="4"/>
  <c r="T19" i="4"/>
  <c r="L5" i="4"/>
  <c r="T7" i="4"/>
  <c r="T6" i="4"/>
  <c r="L3" i="4"/>
  <c r="T4" i="4"/>
  <c r="K3" i="4"/>
  <c r="T11" i="4"/>
  <c r="T9" i="4"/>
  <c r="T21" i="4"/>
  <c r="T10" i="4"/>
  <c r="L6" i="4"/>
  <c r="P1" i="4"/>
  <c r="K4" i="4"/>
  <c r="T15" i="4"/>
  <c r="T2" i="4"/>
  <c r="T3" i="4"/>
  <c r="K2" i="4"/>
  <c r="K5" i="4"/>
  <c r="L2" i="4"/>
  <c r="K7" i="4"/>
  <c r="T18" i="4"/>
  <c r="T13" i="4"/>
  <c r="L4" i="4"/>
  <c r="T12" i="4"/>
  <c r="O5" i="4" l="1"/>
  <c r="O4" i="4"/>
  <c r="O7" i="4"/>
  <c r="O3" i="4"/>
  <c r="O6" i="4"/>
  <c r="P5" i="4"/>
  <c r="P4" i="4"/>
  <c r="P7" i="4"/>
  <c r="P3" i="4"/>
  <c r="P6" i="4"/>
  <c r="P2" i="4"/>
  <c r="O2" i="4"/>
  <c r="V3" i="4" a="1"/>
  <c r="U7" i="4" a="1"/>
  <c r="V21" i="4" a="1"/>
  <c r="V8" i="4" a="1"/>
  <c r="L12" i="4"/>
  <c r="U5" i="4" a="1"/>
  <c r="L13" i="4"/>
  <c r="U2" i="4" a="1"/>
  <c r="U21" i="4" a="1"/>
  <c r="U15" i="4" a="1"/>
  <c r="U6" i="4" a="1"/>
  <c r="L11" i="4"/>
  <c r="U18" i="4" a="1"/>
  <c r="U4" i="4" a="1"/>
  <c r="U19" i="4" a="1"/>
  <c r="V17" i="4" a="1"/>
  <c r="K13" i="4"/>
  <c r="V15" i="4" a="1"/>
  <c r="U16" i="4" a="1"/>
  <c r="V6" i="4" a="1"/>
  <c r="V9" i="4" a="1"/>
  <c r="U17" i="4" a="1"/>
  <c r="L9" i="4"/>
  <c r="V19" i="4" a="1"/>
  <c r="L10" i="4"/>
  <c r="K9" i="4"/>
  <c r="V4" i="4" a="1"/>
  <c r="V13" i="4" a="1"/>
  <c r="U3" i="4" a="1"/>
  <c r="U10" i="4" a="1"/>
  <c r="U9" i="4" a="1"/>
  <c r="U20" i="4" a="1"/>
  <c r="V10" i="4" a="1"/>
  <c r="V20" i="4" a="1"/>
  <c r="U13" i="4" a="1"/>
  <c r="U14" i="4" a="1"/>
  <c r="V16" i="4" a="1"/>
  <c r="V14" i="4" a="1"/>
  <c r="V2" i="4" a="1"/>
  <c r="K12" i="4"/>
  <c r="V7" i="4" a="1"/>
  <c r="K11" i="4"/>
  <c r="U8" i="4" a="1"/>
  <c r="V18" i="4" a="1"/>
  <c r="V5" i="4" a="1"/>
  <c r="K10" i="4"/>
  <c r="V5" i="4" l="1"/>
  <c r="J11" i="1" s="1"/>
  <c r="V14" i="4"/>
  <c r="V6" i="4"/>
  <c r="V9" i="4"/>
  <c r="V15" i="4"/>
  <c r="V21" i="4"/>
  <c r="V17" i="4"/>
  <c r="V20" i="4"/>
  <c r="V4" i="4"/>
  <c r="J10" i="1" s="1"/>
  <c r="V7" i="4"/>
  <c r="J13" i="1" s="1"/>
  <c r="V18" i="4"/>
  <c r="V8" i="4"/>
  <c r="V10" i="4"/>
  <c r="V13" i="4"/>
  <c r="V16" i="4"/>
  <c r="V19" i="4"/>
  <c r="V3" i="4"/>
  <c r="J9" i="1" s="1"/>
  <c r="V2" i="4"/>
  <c r="J8" i="1" s="1"/>
  <c r="J12" i="1"/>
  <c r="U9" i="4"/>
  <c r="U10" i="4"/>
  <c r="U6" i="4"/>
  <c r="I12" i="1" s="1"/>
  <c r="U4" i="4"/>
  <c r="I10" i="1" s="1"/>
  <c r="U5" i="4"/>
  <c r="I11" i="1" s="1"/>
  <c r="U3" i="4"/>
  <c r="I9" i="1" s="1"/>
  <c r="U7" i="4"/>
  <c r="I13" i="1" s="1"/>
  <c r="U8" i="4"/>
  <c r="U2" i="4"/>
  <c r="I8" i="1" s="1"/>
  <c r="U17" i="4"/>
  <c r="U18" i="4"/>
  <c r="U13" i="4"/>
  <c r="U19" i="4"/>
  <c r="U14" i="4"/>
  <c r="U20" i="4"/>
  <c r="U15" i="4"/>
  <c r="U21" i="4"/>
  <c r="U16" i="4"/>
  <c r="O13" i="4"/>
  <c r="P10" i="4"/>
  <c r="O10" i="4"/>
  <c r="O12" i="4"/>
  <c r="P9" i="4"/>
  <c r="O9" i="4"/>
  <c r="P11" i="4"/>
  <c r="O11" i="4"/>
  <c r="P12" i="4"/>
  <c r="P13" i="4"/>
  <c r="V12" i="4" a="1"/>
  <c r="V11" i="4" a="1"/>
  <c r="K16" i="4"/>
  <c r="L8" i="4"/>
  <c r="K18" i="4"/>
  <c r="U11" i="4" a="1"/>
  <c r="L19" i="4"/>
  <c r="K8" i="4"/>
  <c r="K19" i="4"/>
  <c r="L18" i="4"/>
  <c r="U12" i="4" a="1"/>
  <c r="K17" i="4"/>
  <c r="L17" i="4"/>
  <c r="L16" i="4"/>
  <c r="K15" i="4"/>
  <c r="L15" i="4"/>
  <c r="V11" i="4" l="1"/>
  <c r="J17" i="1" s="1"/>
  <c r="V12" i="4"/>
  <c r="J16" i="1"/>
  <c r="U12" i="4"/>
  <c r="I18" i="1" s="1"/>
  <c r="U11" i="4"/>
  <c r="I17" i="1" s="1"/>
  <c r="J18" i="1"/>
  <c r="J15" i="1"/>
  <c r="J19" i="1"/>
  <c r="I15" i="1"/>
  <c r="I19" i="1"/>
  <c r="I16" i="1"/>
  <c r="K10" i="1"/>
  <c r="K13" i="1"/>
  <c r="K12" i="1"/>
  <c r="K9" i="1"/>
  <c r="K11" i="1"/>
  <c r="C9" i="1"/>
  <c r="E9" i="1" s="1"/>
  <c r="C12" i="1"/>
  <c r="E12" i="1" s="1"/>
  <c r="C10" i="1"/>
  <c r="E10" i="1" s="1"/>
  <c r="C11" i="1"/>
  <c r="E11" i="1" s="1"/>
  <c r="C13" i="1"/>
  <c r="E13" i="1" s="1"/>
  <c r="O17" i="4"/>
  <c r="I23" i="1" s="1"/>
  <c r="O18" i="4"/>
  <c r="I24" i="1" s="1"/>
  <c r="O8" i="4"/>
  <c r="I14" i="1" s="1"/>
  <c r="O16" i="4"/>
  <c r="I22" i="1" s="1"/>
  <c r="O15" i="4"/>
  <c r="I21" i="1" s="1"/>
  <c r="O19" i="4"/>
  <c r="I25" i="1" s="1"/>
  <c r="P17" i="4"/>
  <c r="J23" i="1" s="1"/>
  <c r="P18" i="4"/>
  <c r="J24" i="1" s="1"/>
  <c r="P8" i="4"/>
  <c r="J14" i="1" s="1"/>
  <c r="P16" i="4"/>
  <c r="J22" i="1" s="1"/>
  <c r="P15" i="4"/>
  <c r="J21" i="1" s="1"/>
  <c r="P19" i="4"/>
  <c r="J25" i="1" s="1"/>
  <c r="K8" i="1"/>
  <c r="C8" i="1"/>
  <c r="E8" i="1" s="1"/>
  <c r="L21" i="4"/>
  <c r="K14" i="4"/>
  <c r="L14" i="4"/>
  <c r="K21" i="4"/>
  <c r="K19" i="1" l="1"/>
  <c r="K16" i="1"/>
  <c r="C15" i="1"/>
  <c r="E15" i="1" s="1"/>
  <c r="K18" i="1"/>
  <c r="K17" i="1"/>
  <c r="C16" i="1"/>
  <c r="E16" i="1" s="1"/>
  <c r="C19" i="1"/>
  <c r="E19" i="1" s="1"/>
  <c r="C21" i="1"/>
  <c r="E21" i="1" s="1"/>
  <c r="K25" i="1"/>
  <c r="K14" i="1"/>
  <c r="C17" i="1"/>
  <c r="E17" i="1" s="1"/>
  <c r="C18" i="1"/>
  <c r="E18" i="1" s="1"/>
  <c r="K23" i="1"/>
  <c r="K22" i="1"/>
  <c r="K15" i="1"/>
  <c r="C24" i="1"/>
  <c r="E24" i="1" s="1"/>
  <c r="O14" i="4"/>
  <c r="I20" i="1" s="1"/>
  <c r="O21" i="4"/>
  <c r="I27" i="1" s="1"/>
  <c r="P14" i="4"/>
  <c r="J20" i="1" s="1"/>
  <c r="P21" i="4"/>
  <c r="J27" i="1" s="1"/>
  <c r="K20" i="4"/>
  <c r="L20" i="4"/>
  <c r="C14" i="1" l="1"/>
  <c r="E14" i="1" s="1"/>
  <c r="K21" i="1"/>
  <c r="K20" i="1"/>
  <c r="C23" i="1"/>
  <c r="E23" i="1" s="1"/>
  <c r="C25" i="1"/>
  <c r="E25" i="1" s="1"/>
  <c r="C22" i="1"/>
  <c r="E22" i="1" s="1"/>
  <c r="C27" i="1"/>
  <c r="E27" i="1" s="1"/>
  <c r="K24" i="1"/>
  <c r="O20" i="4"/>
  <c r="I26" i="1" s="1"/>
  <c r="P20" i="4"/>
  <c r="J26" i="1" s="1"/>
  <c r="C20" i="1" l="1"/>
  <c r="E20" i="1" s="1"/>
  <c r="C26" i="1"/>
  <c r="E26" i="1" s="1"/>
  <c r="K27" i="1"/>
  <c r="K26" i="1" l="1"/>
</calcChain>
</file>

<file path=xl/sharedStrings.xml><?xml version="1.0" encoding="utf-8"?>
<sst xmlns="http://schemas.openxmlformats.org/spreadsheetml/2006/main" count="93" uniqueCount="78">
  <si>
    <t>상대통화</t>
    <phoneticPr fontId="1" type="noConversion"/>
  </si>
  <si>
    <t>USD</t>
  </si>
  <si>
    <t>USD</t>
    <phoneticPr fontId="1" type="noConversion"/>
  </si>
  <si>
    <t>USD</t>
    <phoneticPr fontId="1" type="noConversion"/>
  </si>
  <si>
    <t>EUR</t>
  </si>
  <si>
    <t>EUR</t>
    <phoneticPr fontId="1" type="noConversion"/>
  </si>
  <si>
    <t>JPY</t>
  </si>
  <si>
    <t>JPY</t>
    <phoneticPr fontId="1" type="noConversion"/>
  </si>
  <si>
    <t>KRW</t>
  </si>
  <si>
    <t>KRW</t>
    <phoneticPr fontId="1" type="noConversion"/>
  </si>
  <si>
    <t>달러인덱스</t>
    <phoneticPr fontId="1" type="noConversion"/>
  </si>
  <si>
    <t>KRW</t>
    <phoneticPr fontId="1" type="noConversion"/>
  </si>
  <si>
    <t>GBP</t>
  </si>
  <si>
    <t>GBP</t>
    <phoneticPr fontId="1" type="noConversion"/>
  </si>
  <si>
    <t>CHF</t>
  </si>
  <si>
    <t>CHF</t>
    <phoneticPr fontId="1" type="noConversion"/>
  </si>
  <si>
    <t>AUD</t>
  </si>
  <si>
    <t>AUD</t>
    <phoneticPr fontId="1" type="noConversion"/>
  </si>
  <si>
    <t>CAD</t>
  </si>
  <si>
    <t>CAD</t>
    <phoneticPr fontId="1" type="noConversion"/>
  </si>
  <si>
    <t>CNH</t>
  </si>
  <si>
    <t>CNH</t>
    <phoneticPr fontId="1" type="noConversion"/>
  </si>
  <si>
    <t>SEK</t>
    <phoneticPr fontId="1" type="noConversion"/>
  </si>
  <si>
    <t>DKK</t>
    <phoneticPr fontId="1" type="noConversion"/>
  </si>
  <si>
    <t>PLN</t>
    <phoneticPr fontId="1" type="noConversion"/>
  </si>
  <si>
    <t>CNY</t>
    <phoneticPr fontId="1" type="noConversion"/>
  </si>
  <si>
    <t>HKD</t>
    <phoneticPr fontId="1" type="noConversion"/>
  </si>
  <si>
    <t>IDR</t>
    <phoneticPr fontId="1" type="noConversion"/>
  </si>
  <si>
    <t>KWD</t>
    <phoneticPr fontId="1" type="noConversion"/>
  </si>
  <si>
    <t>MYR</t>
    <phoneticPr fontId="1" type="noConversion"/>
  </si>
  <si>
    <t>PHP</t>
    <phoneticPr fontId="1" type="noConversion"/>
  </si>
  <si>
    <t>SGD</t>
    <phoneticPr fontId="1" type="noConversion"/>
  </si>
  <si>
    <t>THB</t>
    <phoneticPr fontId="1" type="noConversion"/>
  </si>
  <si>
    <t>TWD</t>
    <phoneticPr fontId="1" type="noConversion"/>
  </si>
  <si>
    <t>NZD</t>
    <phoneticPr fontId="1" type="noConversion"/>
  </si>
  <si>
    <t>NOK</t>
    <phoneticPr fontId="1" type="noConversion"/>
  </si>
  <si>
    <t>VND</t>
    <phoneticPr fontId="1" type="noConversion"/>
  </si>
  <si>
    <t>INR</t>
    <phoneticPr fontId="1" type="noConversion"/>
  </si>
  <si>
    <t>RUB</t>
    <phoneticPr fontId="1" type="noConversion"/>
  </si>
  <si>
    <t>BRL</t>
    <phoneticPr fontId="1" type="noConversion"/>
  </si>
  <si>
    <t>HUF</t>
    <phoneticPr fontId="1" type="noConversion"/>
  </si>
  <si>
    <t>MXN</t>
    <phoneticPr fontId="1" type="noConversion"/>
  </si>
  <si>
    <t>ZAR</t>
    <phoneticPr fontId="1" type="noConversion"/>
  </si>
  <si>
    <t>COP</t>
    <phoneticPr fontId="1" type="noConversion"/>
  </si>
  <si>
    <t>CLP</t>
    <phoneticPr fontId="1" type="noConversion"/>
  </si>
  <si>
    <t>TRY</t>
    <phoneticPr fontId="1" type="noConversion"/>
  </si>
  <si>
    <t>PEN</t>
    <phoneticPr fontId="1" type="noConversion"/>
  </si>
  <si>
    <t>RON</t>
    <phoneticPr fontId="1" type="noConversion"/>
  </si>
  <si>
    <t>기준통화</t>
    <phoneticPr fontId="1" type="noConversion"/>
  </si>
  <si>
    <t>DOLLAR</t>
    <phoneticPr fontId="1" type="noConversion"/>
  </si>
  <si>
    <t>비교일</t>
    <phoneticPr fontId="1" type="noConversion"/>
  </si>
  <si>
    <t>기준일</t>
    <phoneticPr fontId="1" type="noConversion"/>
  </si>
  <si>
    <t>XAG</t>
    <phoneticPr fontId="1" type="noConversion"/>
  </si>
  <si>
    <t>XAU</t>
    <phoneticPr fontId="1" type="noConversion"/>
  </si>
  <si>
    <t>등락률</t>
    <phoneticPr fontId="1" type="noConversion"/>
  </si>
  <si>
    <t>대비</t>
    <phoneticPr fontId="1" type="noConversion"/>
  </si>
  <si>
    <t>통화별 등락률 비교</t>
    <phoneticPr fontId="1" type="noConversion"/>
  </si>
  <si>
    <t>USDSP_AMBC</t>
    <phoneticPr fontId="1" type="noConversion"/>
  </si>
  <si>
    <t>XAG</t>
  </si>
  <si>
    <t>XAU</t>
  </si>
  <si>
    <t>뉴욕종가</t>
    <phoneticPr fontId="1" type="noConversion"/>
  </si>
  <si>
    <t>한국종가</t>
    <phoneticPr fontId="1" type="noConversion"/>
  </si>
  <si>
    <t>NY_BID_Close</t>
    <phoneticPr fontId="1" type="noConversion"/>
  </si>
  <si>
    <t>KR_BID_Close</t>
    <phoneticPr fontId="1" type="noConversion"/>
  </si>
  <si>
    <t>현재가</t>
    <phoneticPr fontId="1" type="noConversion"/>
  </si>
  <si>
    <t>USD</t>
    <phoneticPr fontId="1" type="noConversion"/>
  </si>
  <si>
    <t>조회</t>
    <phoneticPr fontId="1" type="noConversion"/>
  </si>
  <si>
    <t>XAG</t>
    <phoneticPr fontId="1" type="noConversion"/>
  </si>
  <si>
    <t>XAU</t>
    <phoneticPr fontId="1" type="noConversion"/>
  </si>
  <si>
    <t>DOLLAR</t>
    <phoneticPr fontId="1" type="noConversion"/>
  </si>
  <si>
    <t>EURUSD</t>
    <phoneticPr fontId="1" type="noConversion"/>
  </si>
  <si>
    <t>GBPUSD</t>
    <phoneticPr fontId="1" type="noConversion"/>
  </si>
  <si>
    <t>AUDUSD</t>
    <phoneticPr fontId="1" type="noConversion"/>
  </si>
  <si>
    <t>NZDUSD</t>
    <phoneticPr fontId="1" type="noConversion"/>
  </si>
  <si>
    <t>XAGUSD</t>
    <phoneticPr fontId="1" type="noConversion"/>
  </si>
  <si>
    <t>XAUUSD</t>
    <phoneticPr fontId="1" type="noConversion"/>
  </si>
  <si>
    <t>IDC</t>
    <phoneticPr fontId="1" type="noConversion"/>
  </si>
  <si>
    <t>기준가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</si>
</sst>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000"/>
    <numFmt numFmtId="177" formatCode="#,##0.00_ "/>
    <numFmt numFmtId="178" formatCode="0.0000000000"/>
    <numFmt numFmtId="179" formatCode="0.00000"/>
    <numFmt numFmtId="180" formatCode="#,##0.000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C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medium">
        <color indexed="64"/>
      </bottom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8" fontId="0" fillId="0" borderId="0" xfId="0" applyNumberFormat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176" fontId="0" fillId="0" borderId="1" xfId="0" applyNumberFormat="1" applyBorder="1">
      <alignment vertical="center"/>
    </xf>
    <xf numFmtId="176" fontId="0" fillId="0" borderId="2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5" xfId="0" applyNumberFormat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9" fontId="0" fillId="0" borderId="0" xfId="0" applyNumberFormat="1">
      <alignment vertical="center"/>
    </xf>
    <xf numFmtId="0" fontId="0" fillId="0" borderId="6" xfId="0" applyBorder="1">
      <alignment vertical="center"/>
    </xf>
    <xf numFmtId="14" fontId="0" fillId="2" borderId="3" xfId="0" applyNumberFormat="1" applyFill="1" applyBorder="1" applyAlignment="1">
      <alignment horizontal="center" vertical="center"/>
    </xf>
    <xf numFmtId="176" fontId="0" fillId="0" borderId="13" xfId="0" applyNumberFormat="1" applyBorder="1">
      <alignment vertical="center"/>
    </xf>
    <xf numFmtId="177" fontId="0" fillId="0" borderId="14" xfId="0" applyNumberFormat="1" applyBorder="1">
      <alignment vertical="center"/>
    </xf>
    <xf numFmtId="176" fontId="0" fillId="0" borderId="15" xfId="0" applyNumberFormat="1" applyBorder="1">
      <alignment vertical="center"/>
    </xf>
    <xf numFmtId="180" fontId="0" fillId="0" borderId="16" xfId="0" applyNumberFormat="1" applyBorder="1">
      <alignment vertical="center"/>
    </xf>
    <xf numFmtId="176" fontId="0" fillId="0" borderId="17" xfId="0" applyNumberFormat="1" applyBorder="1">
      <alignment vertical="center"/>
    </xf>
    <xf numFmtId="180" fontId="0" fillId="0" borderId="18" xfId="0" applyNumberFormat="1" applyBorder="1">
      <alignment vertical="center"/>
    </xf>
    <xf numFmtId="2" fontId="0" fillId="0" borderId="19" xfId="0" applyNumberFormat="1" applyBorder="1">
      <alignment vertical="center"/>
    </xf>
    <xf numFmtId="2" fontId="0" fillId="0" borderId="20" xfId="0" applyNumberFormat="1" applyBorder="1">
      <alignment vertical="center"/>
    </xf>
    <xf numFmtId="2" fontId="0" fillId="0" borderId="21" xfId="0" applyNumberFormat="1" applyBorder="1">
      <alignment vertical="center"/>
    </xf>
    <xf numFmtId="176" fontId="0" fillId="0" borderId="22" xfId="0" applyNumberFormat="1" applyBorder="1">
      <alignment vertical="center"/>
    </xf>
    <xf numFmtId="176" fontId="0" fillId="0" borderId="23" xfId="0" applyNumberFormat="1" applyBorder="1">
      <alignment vertical="center"/>
    </xf>
    <xf numFmtId="176" fontId="0" fillId="0" borderId="24" xfId="0" applyNumberFormat="1" applyBorder="1">
      <alignment vertical="center"/>
    </xf>
    <xf numFmtId="0" fontId="0" fillId="0" borderId="26" xfId="0" applyBorder="1">
      <alignment vertical="center"/>
    </xf>
    <xf numFmtId="0" fontId="0" fillId="0" borderId="20" xfId="0" applyBorder="1">
      <alignment vertical="center"/>
    </xf>
    <xf numFmtId="0" fontId="0" fillId="0" borderId="28" xfId="0" applyBorder="1">
      <alignment vertical="center"/>
    </xf>
    <xf numFmtId="0" fontId="0" fillId="0" borderId="21" xfId="0" applyBorder="1">
      <alignment vertical="center"/>
    </xf>
    <xf numFmtId="0" fontId="0" fillId="0" borderId="30" xfId="0" applyBorder="1">
      <alignment vertical="center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14" fontId="0" fillId="2" borderId="12" xfId="0" applyNumberForma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2" fontId="0" fillId="0" borderId="27" xfId="0" applyNumberFormat="1" applyBorder="1" applyAlignment="1">
      <alignment horizontal="left" vertical="center" indent="2"/>
    </xf>
    <xf numFmtId="2" fontId="0" fillId="0" borderId="29" xfId="0" applyNumberFormat="1" applyBorder="1" applyAlignment="1">
      <alignment horizontal="left" vertical="center" indent="2"/>
    </xf>
    <xf numFmtId="0" fontId="3" fillId="4" borderId="7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2" fontId="0" fillId="0" borderId="25" xfId="0" applyNumberFormat="1" applyBorder="1" applyAlignment="1">
      <alignment horizontal="left" vertical="center" indent="2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102.041</v>
        <stp/>
        <stp>P</stp>
        <stp>0</stp>
        <stp>FX</stp>
        <stp>DOLLAR</stp>
        <stp>NY_BID_Close</stp>
        <stp>44946</stp>
        <stp>Fill=true</stp>
        <tr r="P1" s="4"/>
      </tp>
      <tp>
        <v>0</v>
        <stp/>
        <stp>P</stp>
        <stp>0</stp>
        <stp>FX</stp>
        <stp>USDUSD</stp>
        <stp>NY_BID_Close</stp>
        <stp>44945</stp>
        <stp>Fill=true</stp>
        <tr r="K2" s="4"/>
      </tp>
      <tp>
        <v>128.44999999999999</v>
        <stp/>
        <stp>P</stp>
        <stp>0</stp>
        <stp>FX</stp>
        <stp>USDJPY</stp>
        <stp>NY_BID_Close</stp>
        <stp>44946</stp>
        <stp>Fill=true</stp>
        <tr r="L4" s="4"/>
      </tp>
      <tp>
        <v>102.078</v>
        <stp/>
        <stp>P</stp>
        <stp>0</stp>
        <stp>FX</stp>
        <stp>DOLLAR</stp>
        <stp>NY_BID_Close</stp>
        <stp>44945</stp>
        <stp>Fill=true</stp>
        <tr r="O1" s="4"/>
      </tp>
      <tp t="s">
        <v/>
        <stp/>
        <stp>P</stp>
        <stp>0</stp>
        <stp>FX</stp>
        <stp>USDUSD</stp>
        <stp>NY_BID_Close</stp>
        <stp>44946</stp>
        <stp>Fill=true</stp>
        <tr r="L2" s="4"/>
      </tp>
      <tp>
        <v>128.43</v>
        <stp/>
        <stp>P</stp>
        <stp>0</stp>
        <stp>FX</stp>
        <stp>USDJPY</stp>
        <stp>NY_BID_Close</stp>
        <stp>44945</stp>
        <stp>Fill=true</stp>
        <tr r="K4" s="4"/>
      </tp>
      <tp>
        <v>23.855</v>
        <stp/>
        <stp>P</stp>
        <stp>0</stp>
        <stp>FX</stp>
        <stp>XAGUSD</stp>
        <stp>NY_BID_Close</stp>
        <stp>44945</stp>
        <stp>Fill=true</stp>
        <tr r="K12" s="4"/>
      </tp>
      <tp>
        <v>1933.44</v>
        <stp/>
        <stp>P</stp>
        <stp>0</stp>
        <stp>FX</stp>
        <stp>XAUUSD</stp>
        <stp>NY_BID_Close</stp>
        <stp>44945</stp>
        <stp>Fill=true</stp>
        <tr r="K11" s="4"/>
      </tp>
      <tp>
        <v>23.85</v>
        <stp/>
        <stp>P</stp>
        <stp>0</stp>
        <stp>FX</stp>
        <stp>XAGUSD</stp>
        <stp>NY_BID_Close</stp>
        <stp>44946</stp>
        <stp>Fill=true</stp>
        <tr r="L12" s="4"/>
      </tp>
      <tp>
        <v>1931.3</v>
        <stp/>
        <stp>P</stp>
        <stp>0</stp>
        <stp>FX</stp>
        <stp>XAUUSD</stp>
        <stp>NY_BID_Close</stp>
        <stp>44946</stp>
        <stp>Fill=true</stp>
        <tr r="L11" s="4"/>
      </tp>
      <tp>
        <v>0.69120000000000004</v>
        <stp/>
        <stp>P</stp>
        <stp>0</stp>
        <stp>FX</stp>
        <stp>AUDUSD</stp>
        <stp>NY_BID_Close</stp>
        <stp>44945</stp>
        <stp>Fill=true</stp>
        <tr r="K8" s="4"/>
      </tp>
      <tp>
        <v>0.69140000000000001</v>
        <stp/>
        <stp>P</stp>
        <stp>0</stp>
        <stp>FX</stp>
        <stp>AUDUSD</stp>
        <stp>NY_BID_Close</stp>
        <stp>44946</stp>
        <stp>Fill=true</stp>
        <tr r="L8" s="4"/>
      </tp>
      <tp>
        <v>1.08297</v>
        <stp/>
        <stp>P</stp>
        <stp>0</stp>
        <stp>FX</stp>
        <stp>EURUSD</stp>
        <stp>NY_BID_Close</stp>
        <stp>44945</stp>
        <stp>Fill=true</stp>
        <tr r="K3" s="4"/>
      </tp>
      <tp>
        <v>1.3461000000000001</v>
        <stp/>
        <stp>P</stp>
        <stp>0</stp>
        <stp>FX</stp>
        <stp>USDCAD</stp>
        <stp>NY_BID_Close</stp>
        <stp>44946</stp>
        <stp>Fill=true</stp>
        <tr r="L20" s="4"/>
        <tr r="L14" s="4"/>
        <tr r="L21" s="4"/>
        <tr r="L15" s="4"/>
        <tr r="L16" s="4"/>
        <tr r="L17" s="4"/>
        <tr r="L18" s="4"/>
        <tr r="L19" s="4"/>
        <tr r="L9" s="4"/>
        <tr r="L13" s="4"/>
      </tp>
      <tp>
        <v>1.2391099999999999</v>
        <stp/>
        <stp>P</stp>
        <stp>0</stp>
        <stp>FX</stp>
        <stp>GBPUSD</stp>
        <stp>NY_BID_Close</stp>
        <stp>44946</stp>
        <stp>Fill=true</stp>
        <tr r="L6" s="4"/>
      </tp>
      <tp>
        <v>1.3465</v>
        <stp/>
        <stp>P</stp>
        <stp>0</stp>
        <stp>FX</stp>
        <stp>USDCAD</stp>
        <stp>NY_BID_Close</stp>
        <stp>44945</stp>
        <stp>Fill=true</stp>
        <tr r="K20" s="4"/>
        <tr r="K21" s="4"/>
        <tr r="K14" s="4"/>
        <tr r="K15" s="4"/>
        <tr r="K17" s="4"/>
        <tr r="K19" s="4"/>
        <tr r="K18" s="4"/>
        <tr r="K16" s="4"/>
        <tr r="K9" s="4"/>
        <tr r="K13" s="4"/>
      </tp>
      <tp>
        <v>1.23865</v>
        <stp/>
        <stp>P</stp>
        <stp>0</stp>
        <stp>FX</stp>
        <stp>GBPUSD</stp>
        <stp>NY_BID_Close</stp>
        <stp>44945</stp>
        <stp>Fill=true</stp>
        <tr r="K6" s="4"/>
      </tp>
      <tp>
        <v>1.0833900000000001</v>
        <stp/>
        <stp>P</stp>
        <stp>0</stp>
        <stp>FX</stp>
        <stp>EURUSD</stp>
        <stp>NY_BID_Close</stp>
        <stp>44946</stp>
        <stp>Fill=true</stp>
        <tr r="L3" s="4"/>
      </tp>
      <tp>
        <v>6.7748699999999999</v>
        <stp/>
        <stp>P</stp>
        <stp>0</stp>
        <stp>FX</stp>
        <stp>USDCNH</stp>
        <stp>NY_BID_Close</stp>
        <stp>44945</stp>
        <stp>Fill=true</stp>
        <tr r="K10" s="4"/>
      </tp>
      <tp>
        <v>6.7685000000000004</v>
        <stp/>
        <stp>P</stp>
        <stp>0</stp>
        <stp>FX</stp>
        <stp>USDCNH</stp>
        <stp>NY_BID_Close</stp>
        <stp>44946</stp>
        <stp>Fill=true</stp>
        <tr r="L10" s="4"/>
      </tp>
      <tp>
        <v>0.91549999999999998</v>
        <stp/>
        <stp>P</stp>
        <stp>0</stp>
        <stp>FX</stp>
        <stp>USDCHF</stp>
        <stp>NY_BID_Close</stp>
        <stp>44946</stp>
        <stp>Fill=true</stp>
        <tr r="L7" s="4"/>
      </tp>
      <tp>
        <v>0.91559999999999997</v>
        <stp/>
        <stp>P</stp>
        <stp>0</stp>
        <stp>FX</stp>
        <stp>USDCHF</stp>
        <stp>NY_BID_Close</stp>
        <stp>44945</stp>
        <stp>Fill=true</stp>
        <tr r="K7" s="4"/>
      </tp>
      <tp>
        <v>7.7799999999999996E-3</v>
        <stp/>
        <stp>P</stp>
        <stp>0</stp>
        <stp>FX</stp>
        <stp>JPYUSDIDC</stp>
        <stp>NY_BID_Close</stp>
        <stp>44946</stp>
        <stp>Fill=true</stp>
        <tr r="V4" s="4"/>
        <tr r="T4" s="4"/>
      </tp>
      <tp t="s">
        <v/>
        <stp/>
        <stp>P</stp>
        <stp>0</stp>
        <stp>FX</stp>
        <stp>KRWUSDIDC</stp>
        <stp>NY_BID_Close</stp>
        <stp>44946</stp>
        <stp>Fill=true</stp>
        <tr r="T5" s="4"/>
      </tp>
      <tp>
        <v>0.69140000000000001</v>
        <stp/>
        <stp>P</stp>
        <stp>0</stp>
        <stp>FX</stp>
        <stp>AUDUSDIDC</stp>
        <stp>NY_BID_Close</stp>
        <stp>44946</stp>
        <stp>Fill=true</stp>
        <tr r="V8" s="4"/>
        <tr r="T8" s="4"/>
      </tp>
      <tp>
        <v>0.74270000000000003</v>
        <stp/>
        <stp>P</stp>
        <stp>0</stp>
        <stp>FX</stp>
        <stp>CADUSDIDC</stp>
        <stp>NY_BID_Close</stp>
        <stp>44946</stp>
        <stp>Fill=true</stp>
        <tr r="V18" s="4"/>
        <tr r="V14" s="4"/>
        <tr r="V16" s="4"/>
        <tr r="V20" s="4"/>
        <tr r="V13" s="4"/>
        <tr r="V19" s="4"/>
        <tr r="V9" s="4"/>
        <tr r="V15" s="4"/>
        <tr r="V17" s="4"/>
        <tr r="V21" s="4"/>
        <tr r="T13" s="4"/>
        <tr r="T18" s="4"/>
        <tr r="T15" s="4"/>
        <tr r="T21" s="4"/>
        <tr r="T9" s="4"/>
        <tr r="T19" s="4"/>
        <tr r="T20" s="4"/>
        <tr r="T14" s="4"/>
        <tr r="T17" s="4"/>
        <tr r="T16" s="4"/>
      </tp>
      <tp>
        <v>0.14724000000000001</v>
        <stp/>
        <stp>P</stp>
        <stp>0</stp>
        <stp>FX</stp>
        <stp>CNHUSDIDC</stp>
        <stp>NY_BID_Close</stp>
        <stp>44946</stp>
        <stp>Fill=true</stp>
        <tr r="V10" s="4"/>
        <tr r="T10" s="4"/>
      </tp>
      <tp>
        <v>1.0916999999999999</v>
        <stp/>
        <stp>P</stp>
        <stp>0</stp>
        <stp>FX</stp>
        <stp>CHFUSDIDC</stp>
        <stp>NY_BID_Close</stp>
        <stp>44946</stp>
        <stp>Fill=true</stp>
        <tr r="V7" s="4"/>
        <tr r="T7" s="4"/>
      </tp>
      <tp>
        <v>1.0833900000000001</v>
        <stp/>
        <stp>P</stp>
        <stp>0</stp>
        <stp>FX</stp>
        <stp>EURUSDIDC</stp>
        <stp>NY_BID_Close</stp>
        <stp>44946</stp>
        <stp>Fill=true</stp>
        <tr r="V3" s="4"/>
        <tr r="T3" s="4"/>
      </tp>
      <tp>
        <v>1.2391099999999999</v>
        <stp/>
        <stp>P</stp>
        <stp>0</stp>
        <stp>FX</stp>
        <stp>GBPUSDIDC</stp>
        <stp>NY_BID_Close</stp>
        <stp>44946</stp>
        <stp>Fill=true</stp>
        <tr r="V6" s="4"/>
        <tr r="T6" s="4"/>
      </tp>
      <tp>
        <v>23.85</v>
        <stp/>
        <stp>P</stp>
        <stp>0</stp>
        <stp>FX</stp>
        <stp>XAGUSDIDC</stp>
        <stp>NY_BID_Close</stp>
        <stp>44946</stp>
        <stp>Fill=true</stp>
        <tr r="V12" s="4"/>
        <tr r="T12" s="4"/>
      </tp>
      <tp>
        <v>1931.3</v>
        <stp/>
        <stp>P</stp>
        <stp>0</stp>
        <stp>FX</stp>
        <stp>XAUUSDIDC</stp>
        <stp>NY_BID_Close</stp>
        <stp>44946</stp>
        <stp>Fill=true</stp>
        <tr r="V11" s="4"/>
        <tr r="T11" s="4"/>
      </tp>
      <tp>
        <v>1</v>
        <stp/>
        <stp>P</stp>
        <stp>0</stp>
        <stp>FX</stp>
        <stp>USDUSDIDC</stp>
        <stp>NY_BID_Close</stp>
        <stp>44946</stp>
        <stp>Fill=true</stp>
        <tr r="V2" s="4"/>
        <tr r="T2" s="4"/>
      </tp>
      <tp>
        <v>7.7799999999999996E-3</v>
        <stp/>
        <stp>P</stp>
        <stp>0</stp>
        <stp>FX</stp>
        <stp>JPYUSDIDC</stp>
        <stp>NY_BID_Close</stp>
        <stp>44945</stp>
        <stp>Fill=true</stp>
        <tr r="U4" s="4"/>
      </tp>
      <tp>
        <v>0.69120000000000004</v>
        <stp/>
        <stp>P</stp>
        <stp>0</stp>
        <stp>FX</stp>
        <stp>AUDUSDIDC</stp>
        <stp>NY_BID_Close</stp>
        <stp>44945</stp>
        <stp>Fill=true</stp>
        <tr r="U8" s="4"/>
      </tp>
      <tp>
        <v>0.74250000000000005</v>
        <stp/>
        <stp>P</stp>
        <stp>0</stp>
        <stp>FX</stp>
        <stp>CADUSDIDC</stp>
        <stp>NY_BID_Close</stp>
        <stp>44945</stp>
        <stp>Fill=true</stp>
        <tr r="U14" s="4"/>
        <tr r="U13" s="4"/>
        <tr r="U20" s="4"/>
        <tr r="U9" s="4"/>
        <tr r="U17" s="4"/>
        <tr r="U16" s="4"/>
        <tr r="U19" s="4"/>
        <tr r="U18" s="4"/>
        <tr r="U15" s="4"/>
        <tr r="U21" s="4"/>
      </tp>
      <tp>
        <v>0.14710000000000001</v>
        <stp/>
        <stp>P</stp>
        <stp>0</stp>
        <stp>FX</stp>
        <stp>CNHUSDIDC</stp>
        <stp>NY_BID_Close</stp>
        <stp>44945</stp>
        <stp>Fill=true</stp>
        <tr r="U10" s="4"/>
      </tp>
      <tp>
        <v>1.0918000000000001</v>
        <stp/>
        <stp>P</stp>
        <stp>0</stp>
        <stp>FX</stp>
        <stp>CHFUSDIDC</stp>
        <stp>NY_BID_Close</stp>
        <stp>44945</stp>
        <stp>Fill=true</stp>
        <tr r="U7" s="4"/>
      </tp>
      <tp>
        <v>1.08297</v>
        <stp/>
        <stp>P</stp>
        <stp>0</stp>
        <stp>FX</stp>
        <stp>EURUSDIDC</stp>
        <stp>NY_BID_Close</stp>
        <stp>44945</stp>
        <stp>Fill=true</stp>
        <tr r="U3" s="4"/>
      </tp>
      <tp>
        <v>1.23865</v>
        <stp/>
        <stp>P</stp>
        <stp>0</stp>
        <stp>FX</stp>
        <stp>GBPUSDIDC</stp>
        <stp>NY_BID_Close</stp>
        <stp>44945</stp>
        <stp>Fill=true</stp>
        <tr r="U6" s="4"/>
      </tp>
      <tp>
        <v>17.760999999999999</v>
        <stp/>
        <stp>P</stp>
        <stp>0</stp>
        <stp>FX</stp>
        <stp>XAGUSDIDC</stp>
        <stp>NY_BID_Close</stp>
        <stp>44945</stp>
        <stp>Fill=true</stp>
        <tr r="U12" s="4"/>
      </tp>
      <tp>
        <v>1499.3</v>
        <stp/>
        <stp>P</stp>
        <stp>0</stp>
        <stp>FX</stp>
        <stp>XAUUSDIDC</stp>
        <stp>NY_BID_Close</stp>
        <stp>44945</stp>
        <stp>Fill=true</stp>
        <tr r="U11" s="4"/>
      </tp>
      <tp>
        <v>1</v>
        <stp/>
        <stp>P</stp>
        <stp>0</stp>
        <stp>FX</stp>
        <stp>USDUSDIDC</stp>
        <stp>NY_BID_Close</stp>
        <stp>44945</stp>
        <stp>Fill=true</stp>
        <tr r="U2" s="4"/>
      </tp>
      <tp>
        <v>1424.8</v>
        <stp/>
        <stp>P</stp>
        <stp>0</stp>
        <stp>FX</stp>
        <stp>USDKRWIDC</stp>
        <stp>NY_BID_Close</stp>
        <stp>44945</stp>
        <stp>Fill=true</stp>
        <tr r="U5" s="4"/>
      </tp>
      <tp t="s">
        <v/>
        <stp/>
        <stp>P</stp>
        <stp>0</stp>
        <stp>FX</stp>
        <stp>USDKRWIDC</stp>
        <stp>NY_BID_Close</stp>
        <stp>44946</stp>
        <stp>Fill=true</stp>
        <tr r="V5" s="4"/>
      </tp>
      <tp>
        <v>1230.5999999999999</v>
        <stp/>
        <stp>P</stp>
        <stp>0</stp>
        <stp>FX</stp>
        <stp>USDSP_AMBC</stp>
        <stp>현재가</stp>
        <stp>44946</stp>
        <stp>Fill=true</stp>
        <tr r="L5" s="4"/>
      </tp>
      <tp>
        <v>1232.0999999999999</v>
        <stp/>
        <stp>P</stp>
        <stp>0</stp>
        <stp>FX</stp>
        <stp>USDSP_AMBC</stp>
        <stp>현재가</stp>
        <stp>44945</stp>
        <stp>Fill=true</stp>
        <tr r="K5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6" fmlaLink="$C$5" fmlaRange="raw!$A$2:$A$6" noThreeD="1" val="0"/>
</file>

<file path=xl/ctrlProps/ctrlProp2.xml><?xml version="1.0" encoding="utf-8"?>
<formControlPr xmlns="http://schemas.microsoft.com/office/spreadsheetml/2009/9/main" objectType="Drop" dropStyle="combo" dx="26" fmlaLink="$I$7" fmlaRange="raw!$D$2:$D$3" noThreeD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57150</xdr:colOff>
          <xdr:row>4</xdr:row>
          <xdr:rowOff>200025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9525</xdr:rowOff>
        </xdr:from>
        <xdr:to>
          <xdr:col>9</xdr:col>
          <xdr:colOff>9525</xdr:colOff>
          <xdr:row>6</xdr:row>
          <xdr:rowOff>200025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K27"/>
  <sheetViews>
    <sheetView showGridLines="0" showRowColHeaders="0" tabSelected="1" workbookViewId="0">
      <selection activeCell="M5" sqref="M5"/>
    </sheetView>
  </sheetViews>
  <sheetFormatPr defaultRowHeight="16.5" x14ac:dyDescent="0.3"/>
  <cols>
    <col min="1" max="1" width="2.875" customWidth="1"/>
    <col min="4" max="4" width="1" customWidth="1"/>
    <col min="5" max="7" width="10.625" customWidth="1"/>
    <col min="8" max="8" width="1" customWidth="1"/>
    <col min="9" max="10" width="12.125" bestFit="1" customWidth="1"/>
    <col min="11" max="11" width="12.875" bestFit="1" customWidth="1"/>
  </cols>
  <sheetData>
    <row r="2" spans="2:11" ht="26.25" x14ac:dyDescent="0.3">
      <c r="B2" s="53" t="s">
        <v>56</v>
      </c>
      <c r="C2" s="53"/>
      <c r="D2" s="53"/>
      <c r="E2" s="53"/>
      <c r="F2" s="53"/>
      <c r="G2" s="53"/>
      <c r="H2" s="53"/>
      <c r="I2" s="53"/>
      <c r="J2" s="53"/>
      <c r="K2" s="53"/>
    </row>
    <row r="3" spans="2:11" ht="18" thickBot="1" x14ac:dyDescent="0.45"/>
    <row r="4" spans="2:11" ht="17.25" thickBot="1" x14ac:dyDescent="0.35">
      <c r="I4" s="45" t="s">
        <v>50</v>
      </c>
      <c r="J4" s="46" t="s">
        <v>51</v>
      </c>
    </row>
    <row r="5" spans="2:11" ht="17.25" thickBot="1" x14ac:dyDescent="0.35">
      <c r="B5" s="47" t="s">
        <v>0</v>
      </c>
      <c r="C5" s="17">
        <v>1</v>
      </c>
      <c r="D5" s="18"/>
      <c r="I5" s="23">
        <f ca="1">TODAY()-1</f>
        <v>44945</v>
      </c>
      <c r="J5" s="44">
        <f ca="1">TODAY()</f>
        <v>44946</v>
      </c>
    </row>
    <row r="6" spans="2:11" ht="18" thickBot="1" x14ac:dyDescent="0.45"/>
    <row r="7" spans="2:11" ht="17.25" thickBot="1" x14ac:dyDescent="0.35">
      <c r="B7" s="47" t="s">
        <v>48</v>
      </c>
      <c r="C7" s="47" t="s">
        <v>54</v>
      </c>
      <c r="D7" s="48"/>
      <c r="E7" s="52"/>
      <c r="F7" s="52"/>
      <c r="G7" s="52"/>
      <c r="H7" s="48"/>
      <c r="I7" s="47">
        <v>1</v>
      </c>
      <c r="J7" s="47" t="s">
        <v>77</v>
      </c>
      <c r="K7" s="49" t="s">
        <v>55</v>
      </c>
    </row>
    <row r="8" spans="2:11" ht="20.25" customHeight="1" x14ac:dyDescent="0.4">
      <c r="B8" s="41" t="s">
        <v>1</v>
      </c>
      <c r="C8" s="30" t="str">
        <f t="shared" ref="C8:C27" ca="1" si="0">IFERROR(LN($J8/$I8)*100,"")</f>
        <v/>
      </c>
      <c r="D8" s="30"/>
      <c r="E8" s="54" t="str">
        <f t="shared" ref="E8:E27" ca="1" si="1">C8</f>
        <v/>
      </c>
      <c r="F8" s="54"/>
      <c r="G8" s="54"/>
      <c r="H8" s="36"/>
      <c r="I8" s="33">
        <f ca="1">IFERROR(IF(raw!$R$1=raw!$N$1,raw!O2,IF(raw!$R$1=raw!$I$1,raw!K2,raw!U2)),"")</f>
        <v>0</v>
      </c>
      <c r="J8" s="24" t="str">
        <f ca="1">IFERROR(IF(raw!$R$1=raw!$N$1,raw!P2,IF(raw!$R$1=raw!$I$1,raw!L2,raw!V2)),"")</f>
        <v/>
      </c>
      <c r="K8" s="25" t="str">
        <f t="shared" ref="K8:K27" ca="1" si="2">IFERROR($J8-$I8,"")</f>
        <v/>
      </c>
    </row>
    <row r="9" spans="2:11" ht="20.25" customHeight="1" x14ac:dyDescent="0.4">
      <c r="B9" s="42" t="s">
        <v>4</v>
      </c>
      <c r="C9" s="31">
        <f t="shared" ca="1" si="0"/>
        <v>3.8774719369103212E-2</v>
      </c>
      <c r="D9" s="37"/>
      <c r="E9" s="50">
        <f t="shared" ca="1" si="1"/>
        <v>3.8774719369103212E-2</v>
      </c>
      <c r="F9" s="50"/>
      <c r="G9" s="50"/>
      <c r="H9" s="38"/>
      <c r="I9" s="34">
        <f ca="1">IFERROR(IF(raw!$R$1=raw!$N$1,raw!O3,IF(raw!$R$1=raw!$I$1,raw!K3,raw!U3)),"")</f>
        <v>1.08297</v>
      </c>
      <c r="J9" s="26">
        <f ca="1">IFERROR(IF(raw!$R$1=raw!$N$1,raw!P3,IF(raw!$R$1=raw!$I$1,raw!L3,raw!V3)),"")</f>
        <v>1.0833900000000001</v>
      </c>
      <c r="K9" s="27">
        <f t="shared" ca="1" si="2"/>
        <v>4.2000000000008697E-4</v>
      </c>
    </row>
    <row r="10" spans="2:11" ht="20.25" customHeight="1" x14ac:dyDescent="0.4">
      <c r="B10" s="42" t="s">
        <v>6</v>
      </c>
      <c r="C10" s="31">
        <f t="shared" ca="1" si="0"/>
        <v>-1.5571473092802702E-2</v>
      </c>
      <c r="D10" s="37"/>
      <c r="E10" s="50">
        <f t="shared" ca="1" si="1"/>
        <v>-1.5571473092802702E-2</v>
      </c>
      <c r="F10" s="50"/>
      <c r="G10" s="50"/>
      <c r="H10" s="38"/>
      <c r="I10" s="34">
        <f ca="1">IFERROR(IF(raw!$R$1=raw!$N$1,raw!O4,IF(raw!$R$1=raw!$I$1,raw!K4,raw!U4)),"")</f>
        <v>7.7863427548080667E-3</v>
      </c>
      <c r="J10" s="26">
        <f ca="1">IFERROR(IF(raw!$R$1=raw!$N$1,raw!P4,IF(raw!$R$1=raw!$I$1,raw!L4,raw!V4)),"")</f>
        <v>7.7851304009342167E-3</v>
      </c>
      <c r="K10" s="27">
        <f t="shared" ca="1" si="2"/>
        <v>-1.2123538738499293E-6</v>
      </c>
    </row>
    <row r="11" spans="2:11" ht="20.25" customHeight="1" x14ac:dyDescent="0.4">
      <c r="B11" s="42" t="s">
        <v>8</v>
      </c>
      <c r="C11" s="31">
        <f t="shared" ca="1" si="0"/>
        <v>0.12181753242328204</v>
      </c>
      <c r="D11" s="37"/>
      <c r="E11" s="50">
        <f t="shared" ca="1" si="1"/>
        <v>0.12181753242328204</v>
      </c>
      <c r="F11" s="50"/>
      <c r="G11" s="50"/>
      <c r="H11" s="38"/>
      <c r="I11" s="34">
        <f ca="1">IFERROR(IF(raw!$R$1=raw!$N$1,raw!O5,IF(raw!$R$1=raw!$I$1,raw!K5,raw!U5)),"")</f>
        <v>8.1162243324405491E-4</v>
      </c>
      <c r="J11" s="26">
        <f ca="1">IFERROR(IF(raw!$R$1=raw!$N$1,raw!P5,IF(raw!$R$1=raw!$I$1,raw!L5,raw!V5)),"")</f>
        <v>8.1261173411344069E-4</v>
      </c>
      <c r="K11" s="27">
        <f t="shared" ca="1" si="2"/>
        <v>9.8930086938578844E-7</v>
      </c>
    </row>
    <row r="12" spans="2:11" ht="20.25" customHeight="1" x14ac:dyDescent="0.4">
      <c r="B12" s="42" t="s">
        <v>12</v>
      </c>
      <c r="C12" s="31">
        <f t="shared" ca="1" si="0"/>
        <v>3.7130311675446039E-2</v>
      </c>
      <c r="D12" s="37"/>
      <c r="E12" s="50">
        <f t="shared" ca="1" si="1"/>
        <v>3.7130311675446039E-2</v>
      </c>
      <c r="F12" s="50"/>
      <c r="G12" s="50"/>
      <c r="H12" s="38"/>
      <c r="I12" s="34">
        <f ca="1">IFERROR(IF(raw!$R$1=raw!$N$1,raw!O6,IF(raw!$R$1=raw!$I$1,raw!K6,raw!U6)),"")</f>
        <v>1.23865</v>
      </c>
      <c r="J12" s="26">
        <f ca="1">IFERROR(IF(raw!$R$1=raw!$N$1,raw!P6,IF(raw!$R$1=raw!$I$1,raw!L6,raw!V6)),"")</f>
        <v>1.2391099999999999</v>
      </c>
      <c r="K12" s="27">
        <f t="shared" ca="1" si="2"/>
        <v>4.5999999999990493E-4</v>
      </c>
    </row>
    <row r="13" spans="2:11" ht="20.25" customHeight="1" x14ac:dyDescent="0.4">
      <c r="B13" s="42" t="s">
        <v>14</v>
      </c>
      <c r="C13" s="31">
        <f t="shared" ca="1" si="0"/>
        <v>1.0922396384632622E-2</v>
      </c>
      <c r="D13" s="37"/>
      <c r="E13" s="50">
        <f t="shared" ca="1" si="1"/>
        <v>1.0922396384632622E-2</v>
      </c>
      <c r="F13" s="50"/>
      <c r="G13" s="50"/>
      <c r="H13" s="38"/>
      <c r="I13" s="34">
        <f ca="1">IFERROR(IF(raw!$R$1=raw!$N$1,raw!O7,IF(raw!$R$1=raw!$I$1,raw!K7,raw!U7)),"")</f>
        <v>1.09217999126256</v>
      </c>
      <c r="J13" s="26">
        <f ca="1">IFERROR(IF(raw!$R$1=raw!$N$1,raw!P7,IF(raw!$R$1=raw!$I$1,raw!L7,raw!V7)),"")</f>
        <v>1.0922992900054616</v>
      </c>
      <c r="K13" s="27">
        <f t="shared" ca="1" si="2"/>
        <v>1.1929874290150799E-4</v>
      </c>
    </row>
    <row r="14" spans="2:11" ht="20.25" customHeight="1" x14ac:dyDescent="0.4">
      <c r="B14" s="42" t="s">
        <v>16</v>
      </c>
      <c r="C14" s="31">
        <f t="shared" ca="1" si="0"/>
        <v>2.8930999767830215E-2</v>
      </c>
      <c r="D14" s="37"/>
      <c r="E14" s="50">
        <f t="shared" ca="1" si="1"/>
        <v>2.8930999767830215E-2</v>
      </c>
      <c r="F14" s="50"/>
      <c r="G14" s="50"/>
      <c r="H14" s="38"/>
      <c r="I14" s="34">
        <f ca="1">IFERROR(IF(raw!$R$1=raw!$N$1,raw!O8,IF(raw!$R$1=raw!$I$1,raw!K8,raw!U8)),"")</f>
        <v>0.69120000000000004</v>
      </c>
      <c r="J14" s="26">
        <f ca="1">IFERROR(IF(raw!$R$1=raw!$N$1,raw!P8,IF(raw!$R$1=raw!$I$1,raw!L8,raw!V8)),"")</f>
        <v>0.69140000000000001</v>
      </c>
      <c r="K14" s="27">
        <f t="shared" ca="1" si="2"/>
        <v>1.9999999999997797E-4</v>
      </c>
    </row>
    <row r="15" spans="2:11" ht="20.25" customHeight="1" x14ac:dyDescent="0.4">
      <c r="B15" s="42" t="s">
        <v>18</v>
      </c>
      <c r="C15" s="31">
        <f t="shared" ca="1" si="0"/>
        <v>2.9711060160601842E-2</v>
      </c>
      <c r="D15" s="37"/>
      <c r="E15" s="50">
        <f t="shared" ca="1" si="1"/>
        <v>2.9711060160601842E-2</v>
      </c>
      <c r="F15" s="50"/>
      <c r="G15" s="50"/>
      <c r="H15" s="38"/>
      <c r="I15" s="34">
        <f ca="1">IFERROR(IF(raw!$R$1=raw!$N$1,raw!O9,IF(raw!$R$1=raw!$I$1,raw!K9,raw!U9)),"")</f>
        <v>0.74266617155588566</v>
      </c>
      <c r="J15" s="26">
        <f ca="1">IFERROR(IF(raw!$R$1=raw!$N$1,raw!P9,IF(raw!$R$1=raw!$I$1,raw!L9,raw!V9)),"")</f>
        <v>0.74288685833147605</v>
      </c>
      <c r="K15" s="27">
        <f t="shared" ca="1" si="2"/>
        <v>2.2068677559039518E-4</v>
      </c>
    </row>
    <row r="16" spans="2:11" ht="20.25" customHeight="1" x14ac:dyDescent="0.4">
      <c r="B16" s="42" t="s">
        <v>20</v>
      </c>
      <c r="C16" s="31">
        <f t="shared" ca="1" si="0"/>
        <v>9.4068174608299707E-2</v>
      </c>
      <c r="D16" s="37"/>
      <c r="E16" s="50">
        <f t="shared" ca="1" si="1"/>
        <v>9.4068174608299707E-2</v>
      </c>
      <c r="F16" s="50"/>
      <c r="G16" s="50"/>
      <c r="H16" s="38"/>
      <c r="I16" s="34">
        <f ca="1">IFERROR(IF(raw!$R$1=raw!$N$1,raw!O10,IF(raw!$R$1=raw!$I$1,raw!K10,raw!U10)),"")</f>
        <v>0.14760430827454993</v>
      </c>
      <c r="J16" s="26">
        <f ca="1">IFERROR(IF(raw!$R$1=raw!$N$1,raw!P10,IF(raw!$R$1=raw!$I$1,raw!L10,raw!V10)),"")</f>
        <v>0.1477432222796779</v>
      </c>
      <c r="K16" s="27">
        <f t="shared" ca="1" si="2"/>
        <v>1.3891400512797136E-4</v>
      </c>
    </row>
    <row r="17" spans="2:11" ht="20.25" customHeight="1" x14ac:dyDescent="0.4">
      <c r="B17" s="42" t="s">
        <v>59</v>
      </c>
      <c r="C17" s="31">
        <f t="shared" ca="1" si="0"/>
        <v>-0.11074484796988462</v>
      </c>
      <c r="D17" s="37"/>
      <c r="E17" s="50">
        <f t="shared" ca="1" si="1"/>
        <v>-0.11074484796988462</v>
      </c>
      <c r="F17" s="50"/>
      <c r="G17" s="50"/>
      <c r="H17" s="38"/>
      <c r="I17" s="34">
        <f ca="1">IFERROR(IF(raw!$R$1=raw!$N$1,raw!O11,IF(raw!$R$1=raw!$I$1,raw!K11,raw!U11)),"")</f>
        <v>1933.44</v>
      </c>
      <c r="J17" s="26">
        <f ca="1">IFERROR(IF(raw!$R$1=raw!$N$1,raw!P11,IF(raw!$R$1=raw!$I$1,raw!L11,raw!V11)),"")</f>
        <v>1931.3</v>
      </c>
      <c r="K17" s="27">
        <f t="shared" ca="1" si="2"/>
        <v>-2.1400000000001</v>
      </c>
    </row>
    <row r="18" spans="2:11" ht="20.25" customHeight="1" x14ac:dyDescent="0.4">
      <c r="B18" s="42" t="s">
        <v>58</v>
      </c>
      <c r="C18" s="31">
        <f t="shared" ca="1" si="0"/>
        <v>-2.096216337200842E-2</v>
      </c>
      <c r="D18" s="37"/>
      <c r="E18" s="50">
        <f t="shared" ca="1" si="1"/>
        <v>-2.096216337200842E-2</v>
      </c>
      <c r="F18" s="50"/>
      <c r="G18" s="50"/>
      <c r="H18" s="38"/>
      <c r="I18" s="34">
        <f ca="1">IFERROR(IF(raw!$R$1=raw!$N$1,raw!O12,IF(raw!$R$1=raw!$I$1,raw!K12,raw!U12)),"")</f>
        <v>23.855</v>
      </c>
      <c r="J18" s="26">
        <f ca="1">IFERROR(IF(raw!$R$1=raw!$N$1,raw!P12,IF(raw!$R$1=raw!$I$1,raw!L12,raw!V12)),"")</f>
        <v>23.85</v>
      </c>
      <c r="K18" s="27">
        <f t="shared" ca="1" si="2"/>
        <v>-4.9999999999990052E-3</v>
      </c>
    </row>
    <row r="19" spans="2:11" ht="20.25" customHeight="1" x14ac:dyDescent="0.4">
      <c r="B19" s="42" t="s">
        <v>18</v>
      </c>
      <c r="C19" s="31">
        <f t="shared" ca="1" si="0"/>
        <v>2.9711060160601842E-2</v>
      </c>
      <c r="D19" s="37"/>
      <c r="E19" s="50">
        <f t="shared" ca="1" si="1"/>
        <v>2.9711060160601842E-2</v>
      </c>
      <c r="F19" s="50"/>
      <c r="G19" s="50"/>
      <c r="H19" s="38"/>
      <c r="I19" s="34">
        <f ca="1">IFERROR(IF(raw!$R$1=raw!$N$1,raw!O13,IF(raw!$R$1=raw!$I$1,raw!K13,raw!U13)),"")</f>
        <v>0.74266617155588566</v>
      </c>
      <c r="J19" s="26">
        <f ca="1">IFERROR(IF(raw!$R$1=raw!$N$1,raw!P13,IF(raw!$R$1=raw!$I$1,raw!L13,raw!V13)),"")</f>
        <v>0.74288685833147605</v>
      </c>
      <c r="K19" s="27">
        <f t="shared" ca="1" si="2"/>
        <v>2.2068677559039518E-4</v>
      </c>
    </row>
    <row r="20" spans="2:11" ht="20.25" customHeight="1" x14ac:dyDescent="0.4">
      <c r="B20" s="42" t="s">
        <v>18</v>
      </c>
      <c r="C20" s="31">
        <f t="shared" ca="1" si="0"/>
        <v>2.9711060160601842E-2</v>
      </c>
      <c r="D20" s="37"/>
      <c r="E20" s="50">
        <f t="shared" ca="1" si="1"/>
        <v>2.9711060160601842E-2</v>
      </c>
      <c r="F20" s="50"/>
      <c r="G20" s="50"/>
      <c r="H20" s="38"/>
      <c r="I20" s="34">
        <f ca="1">IFERROR(IF(raw!$R$1=raw!$N$1,raw!O14,IF(raw!$R$1=raw!$I$1,raw!K14,raw!U14)),"")</f>
        <v>0.74266617155588566</v>
      </c>
      <c r="J20" s="26">
        <f ca="1">IFERROR(IF(raw!$R$1=raw!$N$1,raw!P14,IF(raw!$R$1=raw!$I$1,raw!L14,raw!V14)),"")</f>
        <v>0.74288685833147605</v>
      </c>
      <c r="K20" s="27">
        <f t="shared" ca="1" si="2"/>
        <v>2.2068677559039518E-4</v>
      </c>
    </row>
    <row r="21" spans="2:11" ht="20.25" customHeight="1" x14ac:dyDescent="0.3">
      <c r="B21" s="42" t="s">
        <v>18</v>
      </c>
      <c r="C21" s="31">
        <f t="shared" ca="1" si="0"/>
        <v>2.9711060160601842E-2</v>
      </c>
      <c r="D21" s="37"/>
      <c r="E21" s="50">
        <f t="shared" ca="1" si="1"/>
        <v>2.9711060160601842E-2</v>
      </c>
      <c r="F21" s="50"/>
      <c r="G21" s="50"/>
      <c r="H21" s="38"/>
      <c r="I21" s="34">
        <f ca="1">IFERROR(IF(raw!$R$1=raw!$N$1,raw!O15,IF(raw!$R$1=raw!$I$1,raw!K15,raw!U15)),"")</f>
        <v>0.74266617155588566</v>
      </c>
      <c r="J21" s="26">
        <f ca="1">IFERROR(IF(raw!$R$1=raw!$N$1,raw!P15,IF(raw!$R$1=raw!$I$1,raw!L15,raw!V15)),"")</f>
        <v>0.74288685833147605</v>
      </c>
      <c r="K21" s="27">
        <f t="shared" ca="1" si="2"/>
        <v>2.2068677559039518E-4</v>
      </c>
    </row>
    <row r="22" spans="2:11" ht="20.25" customHeight="1" x14ac:dyDescent="0.3">
      <c r="B22" s="42" t="s">
        <v>18</v>
      </c>
      <c r="C22" s="31">
        <f t="shared" ca="1" si="0"/>
        <v>2.9711060160601842E-2</v>
      </c>
      <c r="D22" s="37"/>
      <c r="E22" s="50">
        <f t="shared" ca="1" si="1"/>
        <v>2.9711060160601842E-2</v>
      </c>
      <c r="F22" s="50"/>
      <c r="G22" s="50"/>
      <c r="H22" s="38"/>
      <c r="I22" s="34">
        <f ca="1">IFERROR(IF(raw!$R$1=raw!$N$1,raw!O16,IF(raw!$R$1=raw!$I$1,raw!K16,raw!U16)),"")</f>
        <v>0.74266617155588566</v>
      </c>
      <c r="J22" s="26">
        <f ca="1">IFERROR(IF(raw!$R$1=raw!$N$1,raw!P16,IF(raw!$R$1=raw!$I$1,raw!L16,raw!V16)),"")</f>
        <v>0.74288685833147605</v>
      </c>
      <c r="K22" s="27">
        <f t="shared" ca="1" si="2"/>
        <v>2.2068677559039518E-4</v>
      </c>
    </row>
    <row r="23" spans="2:11" ht="20.25" customHeight="1" x14ac:dyDescent="0.3">
      <c r="B23" s="42" t="s">
        <v>18</v>
      </c>
      <c r="C23" s="31">
        <f t="shared" ca="1" si="0"/>
        <v>2.9711060160601842E-2</v>
      </c>
      <c r="D23" s="37"/>
      <c r="E23" s="50">
        <f t="shared" ca="1" si="1"/>
        <v>2.9711060160601842E-2</v>
      </c>
      <c r="F23" s="50"/>
      <c r="G23" s="50"/>
      <c r="H23" s="38"/>
      <c r="I23" s="34">
        <f ca="1">IFERROR(IF(raw!$R$1=raw!$N$1,raw!O17,IF(raw!$R$1=raw!$I$1,raw!K17,raw!U17)),"")</f>
        <v>0.74266617155588566</v>
      </c>
      <c r="J23" s="26">
        <f ca="1">IFERROR(IF(raw!$R$1=raw!$N$1,raw!P17,IF(raw!$R$1=raw!$I$1,raw!L17,raw!V17)),"")</f>
        <v>0.74288685833147605</v>
      </c>
      <c r="K23" s="27">
        <f t="shared" ca="1" si="2"/>
        <v>2.2068677559039518E-4</v>
      </c>
    </row>
    <row r="24" spans="2:11" ht="20.25" customHeight="1" x14ac:dyDescent="0.3">
      <c r="B24" s="42" t="s">
        <v>18</v>
      </c>
      <c r="C24" s="31">
        <f t="shared" ca="1" si="0"/>
        <v>2.9711060160601842E-2</v>
      </c>
      <c r="D24" s="37"/>
      <c r="E24" s="50">
        <f t="shared" ca="1" si="1"/>
        <v>2.9711060160601842E-2</v>
      </c>
      <c r="F24" s="50"/>
      <c r="G24" s="50"/>
      <c r="H24" s="38"/>
      <c r="I24" s="34">
        <f ca="1">IFERROR(IF(raw!$R$1=raw!$N$1,raw!O18,IF(raw!$R$1=raw!$I$1,raw!K18,raw!U18)),"")</f>
        <v>0.74266617155588566</v>
      </c>
      <c r="J24" s="26">
        <f ca="1">IFERROR(IF(raw!$R$1=raw!$N$1,raw!P18,IF(raw!$R$1=raw!$I$1,raw!L18,raw!V18)),"")</f>
        <v>0.74288685833147605</v>
      </c>
      <c r="K24" s="27">
        <f t="shared" ca="1" si="2"/>
        <v>2.2068677559039518E-4</v>
      </c>
    </row>
    <row r="25" spans="2:11" ht="20.25" customHeight="1" x14ac:dyDescent="0.3">
      <c r="B25" s="42" t="s">
        <v>18</v>
      </c>
      <c r="C25" s="31">
        <f t="shared" ca="1" si="0"/>
        <v>2.9711060160601842E-2</v>
      </c>
      <c r="D25" s="37"/>
      <c r="E25" s="50">
        <f t="shared" ca="1" si="1"/>
        <v>2.9711060160601842E-2</v>
      </c>
      <c r="F25" s="50"/>
      <c r="G25" s="50"/>
      <c r="H25" s="38"/>
      <c r="I25" s="34">
        <f ca="1">IFERROR(IF(raw!$R$1=raw!$N$1,raw!O19,IF(raw!$R$1=raw!$I$1,raw!K19,raw!U19)),"")</f>
        <v>0.74266617155588566</v>
      </c>
      <c r="J25" s="26">
        <f ca="1">IFERROR(IF(raw!$R$1=raw!$N$1,raw!P19,IF(raw!$R$1=raw!$I$1,raw!L19,raw!V19)),"")</f>
        <v>0.74288685833147605</v>
      </c>
      <c r="K25" s="27">
        <f t="shared" ca="1" si="2"/>
        <v>2.2068677559039518E-4</v>
      </c>
    </row>
    <row r="26" spans="2:11" ht="20.25" customHeight="1" x14ac:dyDescent="0.3">
      <c r="B26" s="42" t="s">
        <v>18</v>
      </c>
      <c r="C26" s="31">
        <f t="shared" ca="1" si="0"/>
        <v>2.9711060160601842E-2</v>
      </c>
      <c r="D26" s="37"/>
      <c r="E26" s="50">
        <f t="shared" ca="1" si="1"/>
        <v>2.9711060160601842E-2</v>
      </c>
      <c r="F26" s="50"/>
      <c r="G26" s="50"/>
      <c r="H26" s="38"/>
      <c r="I26" s="34">
        <f ca="1">IFERROR(IF(raw!$R$1=raw!$N$1,raw!O20,IF(raw!$R$1=raw!$I$1,raw!K20,raw!U20)),"")</f>
        <v>0.74266617155588566</v>
      </c>
      <c r="J26" s="26">
        <f ca="1">IFERROR(IF(raw!$R$1=raw!$N$1,raw!P20,IF(raw!$R$1=raw!$I$1,raw!L20,raw!V20)),"")</f>
        <v>0.74288685833147605</v>
      </c>
      <c r="K26" s="27">
        <f t="shared" ca="1" si="2"/>
        <v>2.2068677559039518E-4</v>
      </c>
    </row>
    <row r="27" spans="2:11" ht="20.25" customHeight="1" thickBot="1" x14ac:dyDescent="0.35">
      <c r="B27" s="43" t="s">
        <v>18</v>
      </c>
      <c r="C27" s="32">
        <f t="shared" ca="1" si="0"/>
        <v>2.9711060160601842E-2</v>
      </c>
      <c r="D27" s="39"/>
      <c r="E27" s="51">
        <f t="shared" ca="1" si="1"/>
        <v>2.9711060160601842E-2</v>
      </c>
      <c r="F27" s="51"/>
      <c r="G27" s="51"/>
      <c r="H27" s="40"/>
      <c r="I27" s="35">
        <f ca="1">IFERROR(IF(raw!$R$1=raw!$N$1,raw!O21,IF(raw!$R$1=raw!$I$1,raw!K21,raw!U21)),"")</f>
        <v>0.74266617155588566</v>
      </c>
      <c r="J27" s="28">
        <f ca="1">IFERROR(IF(raw!$R$1=raw!$N$1,raw!P21,IF(raw!$R$1=raw!$I$1,raw!L21,raw!V21)),"")</f>
        <v>0.74288685833147605</v>
      </c>
      <c r="K27" s="29">
        <f t="shared" ca="1" si="2"/>
        <v>2.2068677559039518E-4</v>
      </c>
    </row>
  </sheetData>
  <mergeCells count="22">
    <mergeCell ref="B2:K2"/>
    <mergeCell ref="E9:G9"/>
    <mergeCell ref="E10:G10"/>
    <mergeCell ref="E11:G11"/>
    <mergeCell ref="E12:G12"/>
    <mergeCell ref="E8:G8"/>
    <mergeCell ref="E13:G13"/>
    <mergeCell ref="E26:G26"/>
    <mergeCell ref="E27:G27"/>
    <mergeCell ref="E7:G7"/>
    <mergeCell ref="E20:G20"/>
    <mergeCell ref="E21:G21"/>
    <mergeCell ref="E22:G22"/>
    <mergeCell ref="E23:G23"/>
    <mergeCell ref="E24:G24"/>
    <mergeCell ref="E25:G25"/>
    <mergeCell ref="E14:G14"/>
    <mergeCell ref="E15:G15"/>
    <mergeCell ref="E16:G16"/>
    <mergeCell ref="E17:G17"/>
    <mergeCell ref="E18:G18"/>
    <mergeCell ref="E19:G19"/>
  </mergeCells>
  <phoneticPr fontId="1" type="noConversion"/>
  <conditionalFormatting sqref="E8:G27">
    <cfRule type="dataBar" priority="1">
      <dataBar showValue="0">
        <cfvo type="min"/>
        <cfvo type="max"/>
        <color rgb="FFFF0000"/>
      </dataBar>
      <extLst>
        <ext xmlns:x14="http://schemas.microsoft.com/office/spreadsheetml/2009/9/main" uri="{B025F937-C7B1-47D3-B67F-A62EFF666E3E}">
          <x14:id>{DF314A13-38AE-452A-A187-D68F9096379F}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 macro="[0]!digit_n">
                <anchor moveWithCells="1">
                  <from>
                    <xdr:col>2</xdr:col>
                    <xdr:colOff>19050</xdr:colOff>
                    <xdr:row>4</xdr:row>
                    <xdr:rowOff>9525</xdr:rowOff>
                  </from>
                  <to>
                    <xdr:col>3</xdr:col>
                    <xdr:colOff>57150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Drop Down 4">
              <controlPr defaultSize="0" autoLine="0" autoPict="0">
                <anchor moveWithCells="1">
                  <from>
                    <xdr:col>8</xdr:col>
                    <xdr:colOff>0</xdr:colOff>
                    <xdr:row>6</xdr:row>
                    <xdr:rowOff>9525</xdr:rowOff>
                  </from>
                  <to>
                    <xdr:col>9</xdr:col>
                    <xdr:colOff>9525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314A13-38AE-452A-A187-D68F9096379F}">
            <x14:dataBar minLength="0" maxLength="100" gradient="0" axisPosition="middle">
              <x14:cfvo type="autoMin"/>
              <x14:cfvo type="autoMax"/>
              <x14:negativeFillColor rgb="FF0070C0"/>
              <x14:axisColor rgb="FF000000"/>
            </x14:dataBar>
          </x14:cfRule>
          <xm:sqref>E8:G27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raw!$C$2:$C$38</xm:f>
          </x14:formula1>
          <xm:sqref>B8:B27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38"/>
  <sheetViews>
    <sheetView topLeftCell="W1" workbookViewId="0">
      <selection activeCell="V1" sqref="A1:V1048576"/>
    </sheetView>
  </sheetViews>
  <sheetFormatPr defaultRowHeight="16.5" x14ac:dyDescent="0.3"/>
  <cols>
    <col min="1" max="4" width="8.75" hidden="1" customWidth="1"/>
    <col min="5" max="5" width="2" hidden="1" customWidth="1"/>
    <col min="6" max="7" width="8.75" hidden="1" customWidth="1"/>
    <col min="8" max="8" width="1.5" hidden="1" customWidth="1"/>
    <col min="9" max="9" width="8.75" hidden="1" customWidth="1"/>
    <col min="10" max="10" width="10" hidden="1" customWidth="1"/>
    <col min="11" max="11" width="10.25" hidden="1" customWidth="1"/>
    <col min="12" max="12" width="8.75" hidden="1" customWidth="1"/>
    <col min="13" max="13" width="2.625" hidden="1" customWidth="1"/>
    <col min="14" max="14" width="11" hidden="1" customWidth="1"/>
    <col min="15" max="15" width="10" hidden="1" customWidth="1"/>
    <col min="16" max="16" width="8.75" hidden="1" customWidth="1"/>
    <col min="17" max="17" width="2.625" hidden="1" customWidth="1"/>
    <col min="18" max="19" width="11.5" hidden="1" customWidth="1"/>
    <col min="20" max="21" width="8.625" hidden="1" customWidth="1"/>
    <col min="22" max="22" width="13.5" hidden="1" customWidth="1"/>
    <col min="25" max="25" width="14.25" bestFit="1" customWidth="1"/>
    <col min="26" max="26" width="13.125" bestFit="1" customWidth="1"/>
  </cols>
  <sheetData>
    <row r="1" spans="1:25" ht="17.25" thickBot="1" x14ac:dyDescent="0.35">
      <c r="I1" s="3" t="s">
        <v>65</v>
      </c>
      <c r="J1" s="4" t="s">
        <v>66</v>
      </c>
      <c r="K1" s="17"/>
      <c r="L1" s="18"/>
      <c r="N1" s="3" t="s">
        <v>69</v>
      </c>
      <c r="O1" s="17">
        <f ca="1">_xll.IMDP("FX",$N$1,$G$2,curr!I$5,"Fill=true")</f>
        <v>102.078</v>
      </c>
      <c r="P1" s="18">
        <f ca="1">_xll.IMDP("FX",$N$1,$G$2,curr!J$5,"Fill=true")</f>
        <v>102.041</v>
      </c>
      <c r="R1" s="22" t="str">
        <f>INDEX($B$2:$B$6,curr!$C$5)</f>
        <v>USD</v>
      </c>
      <c r="S1" s="17" t="s">
        <v>76</v>
      </c>
      <c r="T1" s="17"/>
      <c r="U1" s="17" t="b">
        <f t="array" ref="U1">OR($R$1=$A$4:$A$5)</f>
        <v>0</v>
      </c>
      <c r="V1" s="18"/>
    </row>
    <row r="2" spans="1:25" x14ac:dyDescent="0.3">
      <c r="A2" t="s">
        <v>3</v>
      </c>
      <c r="B2" t="s">
        <v>2</v>
      </c>
      <c r="C2" t="s">
        <v>2</v>
      </c>
      <c r="D2" t="s">
        <v>60</v>
      </c>
      <c r="F2" s="6" t="s">
        <v>64</v>
      </c>
      <c r="G2" s="7" t="str">
        <f>INDEX($D$4:$D$5,curr!$I$7)</f>
        <v>NY_BID_Close</v>
      </c>
      <c r="I2" s="8" t="str">
        <f t="array" ref="I2:I21">curr!$B$8:$B$27&amp;raw!$I$1</f>
        <v>USDUSD</v>
      </c>
      <c r="J2" s="19" t="str">
        <f t="array" ref="J2">IF(OR($I2=raw!$G$3:$G$8),raw!$I2,IF($I2&lt;&gt;"KRWUSD",raw!$I$1&amp;curr!$B8,$F$3))</f>
        <v>USDUSD</v>
      </c>
      <c r="K2">
        <f ca="1">POWER(_xll.IMDP("FX",$J2,IF($J2&lt;&gt;$F$3,$G$2,$F$2),curr!I$5,"Fill=true"),IF($I2=$J2,1,-1))</f>
        <v>0</v>
      </c>
      <c r="L2" s="9" t="e">
        <f ca="1">POWER(_xll.IMDP("FX",$J2,IF($J2&lt;&gt;$F$3,$G$2,$F$2),curr!J$5,"Fill=true"),IF($I2=$J2,1,-1))</f>
        <v>#VALUE!</v>
      </c>
      <c r="N2" s="12"/>
      <c r="O2" s="1">
        <f ca="1">IF(I2="USDUSD",1/$O$1,K2/$O$1)</f>
        <v>9.7964301808421E-3</v>
      </c>
      <c r="P2" s="13">
        <f ca="1">IF(J2="USDUSD",1/$O$1,L2/$O$1)</f>
        <v>9.7964301808421E-3</v>
      </c>
      <c r="Q2" s="1"/>
      <c r="R2" s="12" t="str">
        <f t="array" ref="R2:R21">curr!$B$8:$B$27&amp;raw!$R$1&amp;$S$1</f>
        <v>USDUSDIDC</v>
      </c>
      <c r="S2" s="1" t="str">
        <f>IF($R2="USDKRWIDC",$F$3,$R2)</f>
        <v>USDUSDIDC</v>
      </c>
      <c r="T2">
        <f ca="1">_xll.IMDP("FX",$S2,IF($S2&lt;&gt;$F$3,$G$2,$F$2),curr!J$5,"Fill=true")</f>
        <v>1</v>
      </c>
      <c r="U2">
        <f t="array" aca="1" ref="U2" ca="1">IF($T2="",
IF( OR(curr!$B8=raw!$F$7:$F$8), VLOOKUP(curr!$B8&amp;raw!$I$1,raw!$I$2:$L$21,3,0)/VLOOKUP(raw!$R$1&amp;raw!$I$1,raw!$I$2:$L$21,3,0),
1/_xll.IMDP("FX",$R$1&amp;curr!$B8&amp;$S$1,$G$2,curr!I$5,"Fill=true")),
_xll.IMDP("FX",$S2,IF($S2&lt;&gt;$F$3,$G$2,$F$2),curr!I$5,"Fill=true")
)</f>
        <v>1</v>
      </c>
      <c r="V2" s="9">
        <f t="array" aca="1" ref="V2" ca="1">IF($T2="",
IF( OR(curr!$B8=raw!$F$7:$F$8), VLOOKUP(curr!$B8&amp;raw!$I$1,raw!$I$2:$L$21,4,0)/VLOOKUP(raw!$R$1&amp;raw!$I$1,raw!$I$2:$L$21,4,0),
1/_xll.IMDP("FX",$R$1&amp;curr!$B8&amp;$S$1,$G$2,curr!J$5,"Fill=true")),
_xll.IMDP("FX",$S2,IF($S2&lt;&gt;$F$3,$G$2,$F$2),curr!J$5,"Fill=true")
)</f>
        <v>1</v>
      </c>
      <c r="X2" s="21"/>
    </row>
    <row r="3" spans="1:25" x14ac:dyDescent="0.3">
      <c r="A3" t="s">
        <v>5</v>
      </c>
      <c r="B3" t="s">
        <v>5</v>
      </c>
      <c r="C3" t="s">
        <v>5</v>
      </c>
      <c r="D3" t="s">
        <v>61</v>
      </c>
      <c r="F3" s="8" t="s">
        <v>57</v>
      </c>
      <c r="G3" s="9" t="s">
        <v>70</v>
      </c>
      <c r="I3" s="8" t="str">
        <v>EURUSD</v>
      </c>
      <c r="J3" s="19" t="str">
        <f t="array" ref="J3">IF(OR($I3=raw!$G$3:$G$8),raw!$I3,IF($I3&lt;&gt;"KRWUSD",raw!$I$1&amp;curr!$B9,$F$3))</f>
        <v>EURUSD</v>
      </c>
      <c r="K3">
        <f ca="1">POWER(_xll.IMDP("FX",$J3,IF($J3&lt;&gt;$F$3,$G$2,$F$2),curr!I$5,"Fill=true"),IF($I3=$J3,1,-1))</f>
        <v>1.08297</v>
      </c>
      <c r="L3" s="9">
        <f ca="1">POWER(_xll.IMDP("FX",$J3,IF($J3&lt;&gt;$F$3,$G$2,$F$2),curr!J$5,"Fill=true"),IF($I3=$J3,1,-1))</f>
        <v>1.0833900000000001</v>
      </c>
      <c r="N3" s="12"/>
      <c r="O3" s="1">
        <f t="shared" ref="O3:O21" ca="1" si="0">IF(I3="USDUSD",1/$O$1,K3/$O$1)</f>
        <v>1.060923999294657E-2</v>
      </c>
      <c r="P3" s="13">
        <f t="shared" ref="P3:P21" ca="1" si="1">IF(J3="USDUSD",1/$O$1,L3/$O$1)</f>
        <v>1.0613354493622525E-2</v>
      </c>
      <c r="Q3" s="1"/>
      <c r="R3" s="12" t="str">
        <v>EURUSDIDC</v>
      </c>
      <c r="S3" s="1" t="str">
        <f t="shared" ref="S3:S21" si="2">IF($R3="USDKRWIDC",$F$3,$R3)</f>
        <v>EURUSDIDC</v>
      </c>
      <c r="T3">
        <f ca="1">_xll.IMDP("FX",$S3,IF($S3&lt;&gt;$F$3,$G$2,$F$2),curr!J$5,"Fill=true")</f>
        <v>1.0833900000000001</v>
      </c>
      <c r="U3">
        <f t="array" aca="1" ref="U3" ca="1">IF($T3="",
IF( OR(curr!$B9=raw!$F$7:$F$8), VLOOKUP(curr!$B9&amp;raw!$I$1,raw!$I$2:$L$21,3,0)/VLOOKUP(raw!$R$1&amp;raw!$I$1,raw!$I$2:$L$21,3,0),
1/_xll.IMDP("FX",$R$1&amp;curr!$B9&amp;$S$1,$G$2,curr!I$5,"Fill=true")),
_xll.IMDP("FX",$S3,IF($S3&lt;&gt;$F$3,$G$2,$F$2),curr!I$5,"Fill=true")
)</f>
        <v>1.08297</v>
      </c>
      <c r="V3" s="9">
        <f t="array" aca="1" ref="V3" ca="1">IF($T3="",
IF( OR(curr!$B9=raw!$F$7:$F$8), VLOOKUP(curr!$B9&amp;raw!$I$1,raw!$I$2:$L$21,4,0)/VLOOKUP(raw!$R$1&amp;raw!$I$1,raw!$I$2:$L$21,4,0),
1/_xll.IMDP("FX",$R$1&amp;curr!$B9&amp;$S$1,$G$2,curr!J$5,"Fill=true")),
_xll.IMDP("FX",$S3,IF($S3&lt;&gt;$F$3,$G$2,$F$2),curr!J$5,"Fill=true")
)</f>
        <v>1.0833900000000001</v>
      </c>
    </row>
    <row r="4" spans="1:25" ht="17.45" x14ac:dyDescent="0.4">
      <c r="A4" t="s">
        <v>7</v>
      </c>
      <c r="B4" t="s">
        <v>7</v>
      </c>
      <c r="C4" t="s">
        <v>7</v>
      </c>
      <c r="D4" t="s">
        <v>62</v>
      </c>
      <c r="F4" s="8"/>
      <c r="G4" s="9" t="s">
        <v>71</v>
      </c>
      <c r="I4" s="8" t="str">
        <v>JPYUSD</v>
      </c>
      <c r="J4" s="19" t="str">
        <f t="array" ref="J4">IF(OR($I4=raw!$G$3:$G$8),raw!$I4,IF($I4&lt;&gt;"KRWUSD",raw!$I$1&amp;curr!$B10,$F$3))</f>
        <v>USDJPY</v>
      </c>
      <c r="K4">
        <f ca="1">POWER(_xll.IMDP("FX",$J4,IF($J4&lt;&gt;$F$3,$G$2,$F$2),curr!I$5,"Fill=true"),IF($I4=$J4,1,-1))</f>
        <v>7.7863427548080667E-3</v>
      </c>
      <c r="L4" s="9">
        <f ca="1">POWER(_xll.IMDP("FX",$J4,IF($J4&lt;&gt;$F$3,$G$2,$F$2),curr!J$5,"Fill=true"),IF($I4=$J4,1,-1))</f>
        <v>7.7851304009342167E-3</v>
      </c>
      <c r="N4" s="12"/>
      <c r="O4" s="1">
        <f t="shared" ca="1" si="0"/>
        <v>7.6278363161582977E-5</v>
      </c>
      <c r="P4" s="13">
        <f t="shared" ca="1" si="1"/>
        <v>7.6266486421503328E-5</v>
      </c>
      <c r="Q4" s="1"/>
      <c r="R4" s="12" t="str">
        <v>JPYUSDIDC</v>
      </c>
      <c r="S4" s="1" t="str">
        <f t="shared" si="2"/>
        <v>JPYUSDIDC</v>
      </c>
      <c r="T4">
        <f ca="1">_xll.IMDP("FX",$S4,IF($S4&lt;&gt;$F$3,$G$2,$F$2),curr!J$5,"Fill=true")</f>
        <v>7.7799999999999996E-3</v>
      </c>
      <c r="U4">
        <f t="array" aca="1" ref="U4" ca="1">IF($T4="",
IF( OR(curr!$B10=raw!$F$7:$F$8), VLOOKUP(curr!$B10&amp;raw!$I$1,raw!$I$2:$L$21,3,0)/VLOOKUP(raw!$R$1&amp;raw!$I$1,raw!$I$2:$L$21,3,0),
1/_xll.IMDP("FX",$R$1&amp;curr!$B10&amp;$S$1,$G$2,curr!I$5,"Fill=true")),
_xll.IMDP("FX",$S4,IF($S4&lt;&gt;$F$3,$G$2,$F$2),curr!I$5,"Fill=true")
)</f>
        <v>7.7799999999999996E-3</v>
      </c>
      <c r="V4" s="9">
        <f t="array" aca="1" ref="V4" ca="1">IF($T4="",
IF( OR(curr!$B10=raw!$F$7:$F$8), VLOOKUP(curr!$B10&amp;raw!$I$1,raw!$I$2:$L$21,4,0)/VLOOKUP(raw!$R$1&amp;raw!$I$1,raw!$I$2:$L$21,4,0),
1/_xll.IMDP("FX",$R$1&amp;curr!$B10&amp;$S$1,$G$2,curr!J$5,"Fill=true")),
_xll.IMDP("FX",$S4,IF($S4&lt;&gt;$F$3,$G$2,$F$2),curr!J$5,"Fill=true")
)</f>
        <v>7.7799999999999996E-3</v>
      </c>
      <c r="Y4" s="5"/>
    </row>
    <row r="5" spans="1:25" ht="17.45" x14ac:dyDescent="0.4">
      <c r="A5" t="s">
        <v>9</v>
      </c>
      <c r="B5" t="s">
        <v>11</v>
      </c>
      <c r="C5" t="s">
        <v>11</v>
      </c>
      <c r="D5" t="s">
        <v>63</v>
      </c>
      <c r="F5" s="8"/>
      <c r="G5" s="9" t="s">
        <v>72</v>
      </c>
      <c r="I5" s="8" t="str">
        <v>KRWUSD</v>
      </c>
      <c r="J5" s="19" t="str">
        <f t="array" ref="J5">IF(OR($I5=raw!$G$3:$G$8),raw!$I5,IF($I5&lt;&gt;"KRWUSD",raw!$I$1&amp;curr!$B11,$F$3))</f>
        <v>USDSP_AMBC</v>
      </c>
      <c r="K5">
        <f ca="1">POWER(_xll.IMDP("FX",$J5,IF($J5&lt;&gt;$F$3,$G$2,$F$2),curr!I$5,"Fill=true"),IF($I5=$J5,1,-1))</f>
        <v>8.1162243324405491E-4</v>
      </c>
      <c r="L5" s="9">
        <f ca="1">POWER(_xll.IMDP("FX",$J5,IF($J5&lt;&gt;$F$3,$G$2,$F$2),curr!J$5,"Fill=true"),IF($I5=$J5,1,-1))</f>
        <v>8.1261173411344069E-4</v>
      </c>
      <c r="N5" s="12"/>
      <c r="O5" s="1">
        <f t="shared" ca="1" si="0"/>
        <v>7.9510025004805632E-6</v>
      </c>
      <c r="P5" s="13">
        <f t="shared" ca="1" si="1"/>
        <v>7.9606941173753461E-6</v>
      </c>
      <c r="Q5" s="1"/>
      <c r="R5" s="12" t="str">
        <v>KRWUSDIDC</v>
      </c>
      <c r="S5" s="1" t="str">
        <f t="shared" si="2"/>
        <v>KRWUSDIDC</v>
      </c>
      <c r="T5" t="str">
        <f ca="1">_xll.IMDP("FX",$S5,IF($S5&lt;&gt;$F$3,$G$2,$F$2),curr!J$5,"Fill=true")</f>
        <v/>
      </c>
      <c r="U5">
        <f t="array" aca="1" ref="U5" ca="1">IF($T5="",
IF( OR(curr!$B11=raw!$F$7:$F$8), VLOOKUP(curr!$B11&amp;raw!$I$1,raw!$I$2:$L$21,3,0)/VLOOKUP(raw!$R$1&amp;raw!$I$1,raw!$I$2:$L$21,3,0),
1/_xll.IMDP("FX",$R$1&amp;curr!$B11&amp;$S$1,$G$2,curr!I$5,"Fill=true")),
_xll.IMDP("FX",$S5,IF($S5&lt;&gt;$F$3,$G$2,$F$2),curr!I$5,"Fill=true")
)</f>
        <v>7.018528916339135E-4</v>
      </c>
      <c r="V5" s="9" t="e">
        <f t="array" aca="1" ref="V5" ca="1">IF($T5="",
IF( OR(curr!$B11=raw!$F$7:$F$8), VLOOKUP(curr!$B11&amp;raw!$I$1,raw!$I$2:$L$21,4,0)/VLOOKUP(raw!$R$1&amp;raw!$I$1,raw!$I$2:$L$21,4,0),
1/_xll.IMDP("FX",$R$1&amp;curr!$B11&amp;$S$1,$G$2,curr!J$5,"Fill=true")),
_xll.IMDP("FX",$S5,IF($S5&lt;&gt;$F$3,$G$2,$F$2),curr!J$5,"Fill=true")
)</f>
        <v>#VALUE!</v>
      </c>
    </row>
    <row r="6" spans="1:25" x14ac:dyDescent="0.3">
      <c r="A6" t="s">
        <v>10</v>
      </c>
      <c r="B6" t="s">
        <v>49</v>
      </c>
      <c r="C6" t="s">
        <v>13</v>
      </c>
      <c r="F6" s="8"/>
      <c r="G6" s="9" t="s">
        <v>73</v>
      </c>
      <c r="I6" s="8" t="str">
        <v>GBPUSD</v>
      </c>
      <c r="J6" s="19" t="str">
        <f t="array" ref="J6">IF(OR($I6=raw!$G$3:$G$8),raw!$I6,IF($I6&lt;&gt;"KRWUSD",raw!$I$1&amp;curr!$B12,$F$3))</f>
        <v>GBPUSD</v>
      </c>
      <c r="K6">
        <f ca="1">POWER(_xll.IMDP("FX",$J6,IF($J6&lt;&gt;$F$3,$G$2,$F$2),curr!I$5,"Fill=true"),IF($I6=$J6,1,-1))</f>
        <v>1.23865</v>
      </c>
      <c r="L6" s="9">
        <f ca="1">POWER(_xll.IMDP("FX",$J6,IF($J6&lt;&gt;$F$3,$G$2,$F$2),curr!J$5,"Fill=true"),IF($I6=$J6,1,-1))</f>
        <v>1.2391099999999999</v>
      </c>
      <c r="N6" s="12"/>
      <c r="O6" s="1">
        <f t="shared" ca="1" si="0"/>
        <v>1.2134348243500069E-2</v>
      </c>
      <c r="P6" s="13">
        <f t="shared" ca="1" si="1"/>
        <v>1.2138854601383255E-2</v>
      </c>
      <c r="Q6" s="1"/>
      <c r="R6" s="12" t="str">
        <v>GBPUSDIDC</v>
      </c>
      <c r="S6" s="1" t="str">
        <f t="shared" si="2"/>
        <v>GBPUSDIDC</v>
      </c>
      <c r="T6">
        <f ca="1">_xll.IMDP("FX",$S6,IF($S6&lt;&gt;$F$3,$G$2,$F$2),curr!J$5,"Fill=true")</f>
        <v>1.2391099999999999</v>
      </c>
      <c r="U6">
        <f t="array" aca="1" ref="U6" ca="1">IF($T6="",
IF( OR(curr!$B12=raw!$F$7:$F$8), VLOOKUP(curr!$B12&amp;raw!$I$1,raw!$I$2:$L$21,3,0)/VLOOKUP(raw!$R$1&amp;raw!$I$1,raw!$I$2:$L$21,3,0),
1/_xll.IMDP("FX",$R$1&amp;curr!$B12&amp;$S$1,$G$2,curr!I$5,"Fill=true")),
_xll.IMDP("FX",$S6,IF($S6&lt;&gt;$F$3,$G$2,$F$2),curr!I$5,"Fill=true")
)</f>
        <v>1.23865</v>
      </c>
      <c r="V6" s="9">
        <f t="array" aca="1" ref="V6" ca="1">IF($T6="",
IF( OR(curr!$B12=raw!$F$7:$F$8), VLOOKUP(curr!$B12&amp;raw!$I$1,raw!$I$2:$L$21,4,0)/VLOOKUP(raw!$R$1&amp;raw!$I$1,raw!$I$2:$L$21,4,0),
1/_xll.IMDP("FX",$R$1&amp;curr!$B12&amp;$S$1,$G$2,curr!J$5,"Fill=true")),
_xll.IMDP("FX",$S6,IF($S6&lt;&gt;$F$3,$G$2,$F$2),curr!J$5,"Fill=true")
)</f>
        <v>1.2391099999999999</v>
      </c>
    </row>
    <row r="7" spans="1:25" ht="17.45" x14ac:dyDescent="0.4">
      <c r="C7" t="s">
        <v>15</v>
      </c>
      <c r="F7" s="8" t="s">
        <v>67</v>
      </c>
      <c r="G7" s="9" t="s">
        <v>74</v>
      </c>
      <c r="I7" s="8" t="str">
        <v>CHFUSD</v>
      </c>
      <c r="J7" s="19" t="str">
        <f t="array" ref="J7">IF(OR($I7=raw!$G$3:$G$8),raw!$I7,IF($I7&lt;&gt;"KRWUSD",raw!$I$1&amp;curr!$B13,$F$3))</f>
        <v>USDCHF</v>
      </c>
      <c r="K7">
        <f ca="1">POWER(_xll.IMDP("FX",$J7,IF($J7&lt;&gt;$F$3,$G$2,$F$2),curr!I$5,"Fill=true"),IF($I7=$J7,1,-1))</f>
        <v>1.09217999126256</v>
      </c>
      <c r="L7" s="9">
        <f ca="1">POWER(_xll.IMDP("FX",$J7,IF($J7&lt;&gt;$F$3,$G$2,$F$2),curr!J$5,"Fill=true"),IF($I7=$J7,1,-1))</f>
        <v>1.0922992900054616</v>
      </c>
      <c r="N7" s="12"/>
      <c r="O7" s="1">
        <f t="shared" ca="1" si="0"/>
        <v>1.0699465029316405E-2</v>
      </c>
      <c r="P7" s="13">
        <f t="shared" ca="1" si="1"/>
        <v>1.0700633731121902E-2</v>
      </c>
      <c r="Q7" s="1"/>
      <c r="R7" s="12" t="str">
        <v>CHFUSDIDC</v>
      </c>
      <c r="S7" s="1" t="str">
        <f t="shared" si="2"/>
        <v>CHFUSDIDC</v>
      </c>
      <c r="T7">
        <f ca="1">_xll.IMDP("FX",$S7,IF($S7&lt;&gt;$F$3,$G$2,$F$2),curr!J$5,"Fill=true")</f>
        <v>1.0916999999999999</v>
      </c>
      <c r="U7">
        <f t="array" aca="1" ref="U7" ca="1">IF($T7="",
IF( OR(curr!$B13=raw!$F$7:$F$8), VLOOKUP(curr!$B13&amp;raw!$I$1,raw!$I$2:$L$21,3,0)/VLOOKUP(raw!$R$1&amp;raw!$I$1,raw!$I$2:$L$21,3,0),
1/_xll.IMDP("FX",$R$1&amp;curr!$B13&amp;$S$1,$G$2,curr!I$5,"Fill=true")),
_xll.IMDP("FX",$S7,IF($S7&lt;&gt;$F$3,$G$2,$F$2),curr!I$5,"Fill=true")
)</f>
        <v>1.0918000000000001</v>
      </c>
      <c r="V7" s="9">
        <f t="array" aca="1" ref="V7" ca="1">IF($T7="",
IF( OR(curr!$B13=raw!$F$7:$F$8), VLOOKUP(curr!$B13&amp;raw!$I$1,raw!$I$2:$L$21,4,0)/VLOOKUP(raw!$R$1&amp;raw!$I$1,raw!$I$2:$L$21,4,0),
1/_xll.IMDP("FX",$R$1&amp;curr!$B13&amp;$S$1,$G$2,curr!J$5,"Fill=true")),
_xll.IMDP("FX",$S7,IF($S7&lt;&gt;$F$3,$G$2,$F$2),curr!J$5,"Fill=true")
)</f>
        <v>1.0916999999999999</v>
      </c>
    </row>
    <row r="8" spans="1:25" ht="18" thickBot="1" x14ac:dyDescent="0.45">
      <c r="C8" t="s">
        <v>17</v>
      </c>
      <c r="F8" s="10" t="s">
        <v>68</v>
      </c>
      <c r="G8" s="11" t="s">
        <v>75</v>
      </c>
      <c r="I8" s="8" t="str">
        <v>AUDUSD</v>
      </c>
      <c r="J8" s="19" t="str">
        <f t="array" ref="J8">IF(OR($I8=raw!$G$3:$G$8),raw!$I8,IF($I8&lt;&gt;"KRWUSD",raw!$I$1&amp;curr!$B14,$F$3))</f>
        <v>AUDUSD</v>
      </c>
      <c r="K8">
        <f ca="1">POWER(_xll.IMDP("FX",$J8,IF($J8&lt;&gt;$F$3,$G$2,$F$2),curr!I$5,"Fill=true"),IF($I8=$J8,1,-1))</f>
        <v>0.69120000000000004</v>
      </c>
      <c r="L8" s="9">
        <f ca="1">POWER(_xll.IMDP("FX",$J8,IF($J8&lt;&gt;$F$3,$G$2,$F$2),curr!J$5,"Fill=true"),IF($I8=$J8,1,-1))</f>
        <v>0.69140000000000001</v>
      </c>
      <c r="N8" s="12"/>
      <c r="O8" s="1">
        <f t="shared" ca="1" si="0"/>
        <v>6.7712925409980605E-3</v>
      </c>
      <c r="P8" s="13">
        <f t="shared" ca="1" si="1"/>
        <v>6.7732518270342285E-3</v>
      </c>
      <c r="Q8" s="1"/>
      <c r="R8" s="12" t="str">
        <v>AUDUSDIDC</v>
      </c>
      <c r="S8" s="1" t="str">
        <f t="shared" si="2"/>
        <v>AUDUSDIDC</v>
      </c>
      <c r="T8">
        <f ca="1">_xll.IMDP("FX",$S8,IF($S8&lt;&gt;$F$3,$G$2,$F$2),curr!J$5,"Fill=true")</f>
        <v>0.69140000000000001</v>
      </c>
      <c r="U8">
        <f t="array" aca="1" ref="U8" ca="1">IF($T8="",
IF( OR(curr!$B14=raw!$F$7:$F$8), VLOOKUP(curr!$B14&amp;raw!$I$1,raw!$I$2:$L$21,3,0)/VLOOKUP(raw!$R$1&amp;raw!$I$1,raw!$I$2:$L$21,3,0),
1/_xll.IMDP("FX",$R$1&amp;curr!$B14&amp;$S$1,$G$2,curr!I$5,"Fill=true")),
_xll.IMDP("FX",$S8,IF($S8&lt;&gt;$F$3,$G$2,$F$2),curr!I$5,"Fill=true")
)</f>
        <v>0.69120000000000004</v>
      </c>
      <c r="V8" s="9">
        <f t="array" aca="1" ref="V8" ca="1">IF($T8="",
IF( OR(curr!$B14=raw!$F$7:$F$8), VLOOKUP(curr!$B14&amp;raw!$I$1,raw!$I$2:$L$21,4,0)/VLOOKUP(raw!$R$1&amp;raw!$I$1,raw!$I$2:$L$21,4,0),
1/_xll.IMDP("FX",$R$1&amp;curr!$B14&amp;$S$1,$G$2,curr!J$5,"Fill=true")),
_xll.IMDP("FX",$S8,IF($S8&lt;&gt;$F$3,$G$2,$F$2),curr!J$5,"Fill=true")
)</f>
        <v>0.69140000000000001</v>
      </c>
    </row>
    <row r="9" spans="1:25" ht="17.45" x14ac:dyDescent="0.4">
      <c r="C9" t="s">
        <v>19</v>
      </c>
      <c r="I9" s="8" t="str">
        <v>CADUSD</v>
      </c>
      <c r="J9" s="19" t="str">
        <f t="array" ref="J9">IF(OR($I9=raw!$G$3:$G$8),raw!$I9,IF($I9&lt;&gt;"KRWUSD",raw!$I$1&amp;curr!$B15,$F$3))</f>
        <v>USDCAD</v>
      </c>
      <c r="K9">
        <f ca="1">POWER(_xll.IMDP("FX",$J9,IF($J9&lt;&gt;$F$3,$G$2,$F$2),curr!I$5,"Fill=true"),IF($I9=$J9,1,-1))</f>
        <v>0.74266617155588566</v>
      </c>
      <c r="L9" s="9">
        <f ca="1">POWER(_xll.IMDP("FX",$J9,IF($J9&lt;&gt;$F$3,$G$2,$F$2),curr!J$5,"Fill=true"),IF($I9=$J9,1,-1))</f>
        <v>0.74288685833147605</v>
      </c>
      <c r="N9" s="12"/>
      <c r="O9" s="1">
        <f t="shared" ca="1" si="0"/>
        <v>7.2754772973205352E-3</v>
      </c>
      <c r="P9" s="13">
        <f t="shared" ca="1" si="1"/>
        <v>7.2776392399094419E-3</v>
      </c>
      <c r="Q9" s="1"/>
      <c r="R9" s="12" t="str">
        <v>CADUSDIDC</v>
      </c>
      <c r="S9" s="1" t="str">
        <f t="shared" si="2"/>
        <v>CADUSDIDC</v>
      </c>
      <c r="T9">
        <f ca="1">_xll.IMDP("FX",$S9,IF($S9&lt;&gt;$F$3,$G$2,$F$2),curr!J$5,"Fill=true")</f>
        <v>0.74270000000000003</v>
      </c>
      <c r="U9">
        <f t="array" aca="1" ref="U9" ca="1">IF($T9="",
IF( OR(curr!$B15=raw!$F$7:$F$8), VLOOKUP(curr!$B15&amp;raw!$I$1,raw!$I$2:$L$21,3,0)/VLOOKUP(raw!$R$1&amp;raw!$I$1,raw!$I$2:$L$21,3,0),
1/_xll.IMDP("FX",$R$1&amp;curr!$B15&amp;$S$1,$G$2,curr!I$5,"Fill=true")),
_xll.IMDP("FX",$S9,IF($S9&lt;&gt;$F$3,$G$2,$F$2),curr!I$5,"Fill=true")
)</f>
        <v>0.74250000000000005</v>
      </c>
      <c r="V9" s="9">
        <f t="array" aca="1" ref="V9" ca="1">IF($T9="",
IF( OR(curr!$B15=raw!$F$7:$F$8), VLOOKUP(curr!$B15&amp;raw!$I$1,raw!$I$2:$L$21,4,0)/VLOOKUP(raw!$R$1&amp;raw!$I$1,raw!$I$2:$L$21,4,0),
1/_xll.IMDP("FX",$R$1&amp;curr!$B15&amp;$S$1,$G$2,curr!J$5,"Fill=true")),
_xll.IMDP("FX",$S9,IF($S9&lt;&gt;$F$3,$G$2,$F$2),curr!J$5,"Fill=true")
)</f>
        <v>0.74270000000000003</v>
      </c>
    </row>
    <row r="10" spans="1:25" ht="17.45" x14ac:dyDescent="0.4">
      <c r="C10" t="s">
        <v>21</v>
      </c>
      <c r="I10" s="8" t="str">
        <v>CNHUSD</v>
      </c>
      <c r="J10" s="19" t="str">
        <f t="array" ref="J10">IF(OR($I10=raw!$G$3:$G$8),raw!$I10,IF($I10&lt;&gt;"KRWUSD",raw!$I$1&amp;curr!$B16,$F$3))</f>
        <v>USDCNH</v>
      </c>
      <c r="K10">
        <f ca="1">POWER(_xll.IMDP("FX",$J10,IF($J10&lt;&gt;$F$3,$G$2,$F$2),curr!I$5,"Fill=true"),IF($I10=$J10,1,-1))</f>
        <v>0.14760430827454993</v>
      </c>
      <c r="L10" s="9">
        <f ca="1">POWER(_xll.IMDP("FX",$J10,IF($J10&lt;&gt;$F$3,$G$2,$F$2),curr!J$5,"Fill=true"),IF($I10=$J10,1,-1))</f>
        <v>0.1477432222796779</v>
      </c>
      <c r="N10" s="12"/>
      <c r="O10" s="1">
        <f t="shared" ca="1" si="0"/>
        <v>1.4459953004031223E-3</v>
      </c>
      <c r="P10" s="13">
        <f t="shared" ca="1" si="1"/>
        <v>1.4473561617554997E-3</v>
      </c>
      <c r="Q10" s="1"/>
      <c r="R10" s="12" t="str">
        <v>CNHUSDIDC</v>
      </c>
      <c r="S10" s="1" t="str">
        <f t="shared" si="2"/>
        <v>CNHUSDIDC</v>
      </c>
      <c r="T10">
        <f ca="1">_xll.IMDP("FX",$S10,IF($S10&lt;&gt;$F$3,$G$2,$F$2),curr!J$5,"Fill=true")</f>
        <v>0.14724000000000001</v>
      </c>
      <c r="U10">
        <f t="array" aca="1" ref="U10" ca="1">IF($T10="",
IF( OR(curr!$B16=raw!$F$7:$F$8), VLOOKUP(curr!$B16&amp;raw!$I$1,raw!$I$2:$L$21,3,0)/VLOOKUP(raw!$R$1&amp;raw!$I$1,raw!$I$2:$L$21,3,0),
1/_xll.IMDP("FX",$R$1&amp;curr!$B16&amp;$S$1,$G$2,curr!I$5,"Fill=true")),
_xll.IMDP("FX",$S10,IF($S10&lt;&gt;$F$3,$G$2,$F$2),curr!I$5,"Fill=true")
)</f>
        <v>0.14710000000000001</v>
      </c>
      <c r="V10" s="9">
        <f t="array" aca="1" ref="V10" ca="1">IF($T10="",
IF( OR(curr!$B16=raw!$F$7:$F$8), VLOOKUP(curr!$B16&amp;raw!$I$1,raw!$I$2:$L$21,4,0)/VLOOKUP(raw!$R$1&amp;raw!$I$1,raw!$I$2:$L$21,4,0),
1/_xll.IMDP("FX",$R$1&amp;curr!$B16&amp;$S$1,$G$2,curr!J$5,"Fill=true")),
_xll.IMDP("FX",$S10,IF($S10&lt;&gt;$F$3,$G$2,$F$2),curr!J$5,"Fill=true")
)</f>
        <v>0.14724000000000001</v>
      </c>
    </row>
    <row r="11" spans="1:25" ht="17.45" x14ac:dyDescent="0.4">
      <c r="C11" t="s">
        <v>22</v>
      </c>
      <c r="I11" s="8" t="str">
        <v>XAUUSD</v>
      </c>
      <c r="J11" s="19" t="str">
        <f t="array" ref="J11">IF(OR($I11=raw!$G$3:$G$8),raw!$I11,IF($I11&lt;&gt;"KRWUSD",raw!$I$1&amp;curr!$B17,$F$3))</f>
        <v>XAUUSD</v>
      </c>
      <c r="K11">
        <f ca="1">POWER(_xll.IMDP("FX",$J11,IF($J11&lt;&gt;$F$3,$G$2,$F$2),curr!I$5,"Fill=true"),IF($I11=$J11,1,-1))</f>
        <v>1933.44</v>
      </c>
      <c r="L11" s="9">
        <f ca="1">POWER(_xll.IMDP("FX",$J11,IF($J11&lt;&gt;$F$3,$G$2,$F$2),curr!J$5,"Fill=true"),IF($I11=$J11,1,-1))</f>
        <v>1931.3</v>
      </c>
      <c r="N11" s="12"/>
      <c r="O11" s="1">
        <f t="shared" ca="1" si="0"/>
        <v>18.940809968847351</v>
      </c>
      <c r="P11" s="13">
        <f t="shared" ca="1" si="1"/>
        <v>18.919845608260349</v>
      </c>
      <c r="Q11" s="1"/>
      <c r="R11" s="12" t="str">
        <v>XAUUSDIDC</v>
      </c>
      <c r="S11" s="1" t="str">
        <f t="shared" si="2"/>
        <v>XAUUSDIDC</v>
      </c>
      <c r="T11">
        <f ca="1">_xll.IMDP("FX",$S11,IF($S11&lt;&gt;$F$3,$G$2,$F$2),curr!J$5,"Fill=true")</f>
        <v>1931.3</v>
      </c>
      <c r="U11">
        <f t="array" aca="1" ref="U11" ca="1">IF($T11="",
IF( OR(curr!$B17=raw!$F$7:$F$8), VLOOKUP(curr!$B17&amp;raw!$I$1,raw!$I$2:$L$21,3,0)/VLOOKUP(raw!$R$1&amp;raw!$I$1,raw!$I$2:$L$21,3,0),
1/_xll.IMDP("FX",$R$1&amp;curr!$B17&amp;$S$1,$G$2,curr!I$5,"Fill=true")),
_xll.IMDP("FX",$S11,IF($S11&lt;&gt;$F$3,$G$2,$F$2),curr!I$5,"Fill=true")
)</f>
        <v>1499.3</v>
      </c>
      <c r="V11" s="9">
        <f t="array" aca="1" ref="V11" ca="1">IF($T11="",
IF( OR(curr!$B17=raw!$F$7:$F$8), VLOOKUP(curr!$B17&amp;raw!$I$1,raw!$I$2:$L$21,4,0)/VLOOKUP(raw!$R$1&amp;raw!$I$1,raw!$I$2:$L$21,4,0),
1/_xll.IMDP("FX",$R$1&amp;curr!$B17&amp;$S$1,$G$2,curr!J$5,"Fill=true")),
_xll.IMDP("FX",$S11,IF($S11&lt;&gt;$F$3,$G$2,$F$2),curr!J$5,"Fill=true")
)</f>
        <v>1931.3</v>
      </c>
    </row>
    <row r="12" spans="1:25" ht="17.45" x14ac:dyDescent="0.4">
      <c r="C12" t="s">
        <v>23</v>
      </c>
      <c r="I12" s="8" t="str">
        <v>XAGUSD</v>
      </c>
      <c r="J12" s="19" t="str">
        <f t="array" ref="J12">IF(OR($I12=raw!$G$3:$G$8),raw!$I12,IF($I12&lt;&gt;"KRWUSD",raw!$I$1&amp;curr!$B18,$F$3))</f>
        <v>XAGUSD</v>
      </c>
      <c r="K12">
        <f ca="1">POWER(_xll.IMDP("FX",$J12,IF($J12&lt;&gt;$F$3,$G$2,$F$2),curr!I$5,"Fill=true"),IF($I12=$J12,1,-1))</f>
        <v>23.855</v>
      </c>
      <c r="L12" s="9">
        <f ca="1">POWER(_xll.IMDP("FX",$J12,IF($J12&lt;&gt;$F$3,$G$2,$F$2),curr!J$5,"Fill=true"),IF($I12=$J12,1,-1))</f>
        <v>23.85</v>
      </c>
      <c r="N12" s="12"/>
      <c r="O12" s="1">
        <f t="shared" ca="1" si="0"/>
        <v>0.23369384196398832</v>
      </c>
      <c r="P12" s="13">
        <f t="shared" ca="1" si="1"/>
        <v>0.23364485981308411</v>
      </c>
      <c r="Q12" s="1"/>
      <c r="R12" s="12" t="str">
        <v>XAGUSDIDC</v>
      </c>
      <c r="S12" s="1" t="str">
        <f t="shared" si="2"/>
        <v>XAGUSDIDC</v>
      </c>
      <c r="T12">
        <f ca="1">_xll.IMDP("FX",$S12,IF($S12&lt;&gt;$F$3,$G$2,$F$2),curr!J$5,"Fill=true")</f>
        <v>23.85</v>
      </c>
      <c r="U12">
        <f t="array" aca="1" ref="U12" ca="1">IF($T12="",
IF( OR(curr!$B18=raw!$F$7:$F$8), VLOOKUP(curr!$B18&amp;raw!$I$1,raw!$I$2:$L$21,3,0)/VLOOKUP(raw!$R$1&amp;raw!$I$1,raw!$I$2:$L$21,3,0),
1/_xll.IMDP("FX",$R$1&amp;curr!$B18&amp;$S$1,$G$2,curr!I$5,"Fill=true")),
_xll.IMDP("FX",$S12,IF($S12&lt;&gt;$F$3,$G$2,$F$2),curr!I$5,"Fill=true")
)</f>
        <v>17.760999999999999</v>
      </c>
      <c r="V12" s="9">
        <f t="array" aca="1" ref="V12" ca="1">IF($T12="",
IF( OR(curr!$B18=raw!$F$7:$F$8), VLOOKUP(curr!$B18&amp;raw!$I$1,raw!$I$2:$L$21,4,0)/VLOOKUP(raw!$R$1&amp;raw!$I$1,raw!$I$2:$L$21,4,0),
1/_xll.IMDP("FX",$R$1&amp;curr!$B18&amp;$S$1,$G$2,curr!J$5,"Fill=true")),
_xll.IMDP("FX",$S12,IF($S12&lt;&gt;$F$3,$G$2,$F$2),curr!J$5,"Fill=true")
)</f>
        <v>23.85</v>
      </c>
    </row>
    <row r="13" spans="1:25" ht="17.45" x14ac:dyDescent="0.4">
      <c r="C13" t="s">
        <v>24</v>
      </c>
      <c r="I13" s="8" t="str">
        <v>CADUSD</v>
      </c>
      <c r="J13" s="19" t="str">
        <f t="array" ref="J13">IF(OR($I13=raw!$G$3:$G$8),raw!$I13,IF($I13&lt;&gt;"KRWUSD",raw!$I$1&amp;curr!$B19,$F$3))</f>
        <v>USDCAD</v>
      </c>
      <c r="K13">
        <f ca="1">POWER(_xll.IMDP("FX",$J13,IF($J13&lt;&gt;$F$3,$G$2,$F$2),curr!I$5,"Fill=true"),IF($I13=$J13,1,-1))</f>
        <v>0.74266617155588566</v>
      </c>
      <c r="L13" s="9">
        <f ca="1">POWER(_xll.IMDP("FX",$J13,IF($J13&lt;&gt;$F$3,$G$2,$F$2),curr!J$5,"Fill=true"),IF($I13=$J13,1,-1))</f>
        <v>0.74288685833147605</v>
      </c>
      <c r="N13" s="12"/>
      <c r="O13" s="1">
        <f t="shared" ca="1" si="0"/>
        <v>7.2754772973205352E-3</v>
      </c>
      <c r="P13" s="13">
        <f t="shared" ca="1" si="1"/>
        <v>7.2776392399094419E-3</v>
      </c>
      <c r="Q13" s="1"/>
      <c r="R13" s="12" t="str">
        <v>CADUSDIDC</v>
      </c>
      <c r="S13" s="1" t="str">
        <f t="shared" si="2"/>
        <v>CADUSDIDC</v>
      </c>
      <c r="T13">
        <f ca="1">_xll.IMDP("FX",$S13,IF($S13&lt;&gt;$F$3,$G$2,$F$2),curr!J$5,"Fill=true")</f>
        <v>0.74270000000000003</v>
      </c>
      <c r="U13">
        <f t="array" aca="1" ref="U13" ca="1">IF($T13="",
IF( OR(curr!$B19=raw!$F$7:$F$8), VLOOKUP(curr!$B19&amp;raw!$I$1,raw!$I$2:$L$21,3,0)/VLOOKUP(raw!$R$1&amp;raw!$I$1,raw!$I$2:$L$21,3,0),
1/_xll.IMDP("FX",$R$1&amp;curr!$B19&amp;$S$1,$G$2,curr!I$5,"Fill=true")),
_xll.IMDP("FX",$S13,IF($S13&lt;&gt;$F$3,$G$2,$F$2),curr!I$5,"Fill=true")
)</f>
        <v>0.74250000000000005</v>
      </c>
      <c r="V13" s="9">
        <f t="array" aca="1" ref="V13" ca="1">IF($T13="",
IF( OR(curr!$B19=raw!$F$7:$F$8), VLOOKUP(curr!$B19&amp;raw!$I$1,raw!$I$2:$L$21,4,0)/VLOOKUP(raw!$R$1&amp;raw!$I$1,raw!$I$2:$L$21,4,0),
1/_xll.IMDP("FX",$R$1&amp;curr!$B19&amp;$S$1,$G$2,curr!J$5,"Fill=true")),
_xll.IMDP("FX",$S13,IF($S13&lt;&gt;$F$3,$G$2,$F$2),curr!J$5,"Fill=true")
)</f>
        <v>0.74270000000000003</v>
      </c>
    </row>
    <row r="14" spans="1:25" ht="17.45" x14ac:dyDescent="0.4">
      <c r="C14" t="s">
        <v>25</v>
      </c>
      <c r="I14" s="8" t="str">
        <v>CADUSD</v>
      </c>
      <c r="J14" s="19" t="str">
        <f t="array" ref="J14">IF(OR($I14=raw!$G$3:$G$8),raw!$I14,IF($I14&lt;&gt;"KRWUSD",raw!$I$1&amp;curr!$B20,$F$3))</f>
        <v>USDCAD</v>
      </c>
      <c r="K14">
        <f ca="1">POWER(_xll.IMDP("FX",$J14,IF($J14&lt;&gt;$F$3,$G$2,$F$2),curr!I$5,"Fill=true"),IF($I14=$J14,1,-1))</f>
        <v>0.74266617155588566</v>
      </c>
      <c r="L14" s="9">
        <f ca="1">POWER(_xll.IMDP("FX",$J14,IF($J14&lt;&gt;$F$3,$G$2,$F$2),curr!J$5,"Fill=true"),IF($I14=$J14,1,-1))</f>
        <v>0.74288685833147605</v>
      </c>
      <c r="N14" s="12"/>
      <c r="O14" s="1">
        <f t="shared" ca="1" si="0"/>
        <v>7.2754772973205352E-3</v>
      </c>
      <c r="P14" s="13">
        <f t="shared" ca="1" si="1"/>
        <v>7.2776392399094419E-3</v>
      </c>
      <c r="Q14" s="1"/>
      <c r="R14" s="12" t="str">
        <v>CADUSDIDC</v>
      </c>
      <c r="S14" s="1" t="str">
        <f t="shared" si="2"/>
        <v>CADUSDIDC</v>
      </c>
      <c r="T14">
        <f ca="1">_xll.IMDP("FX",$S14,IF($S14&lt;&gt;$F$3,$G$2,$F$2),curr!J$5,"Fill=true")</f>
        <v>0.74270000000000003</v>
      </c>
      <c r="U14">
        <f t="array" aca="1" ref="U14" ca="1">IF($T14="",
IF( OR(curr!$B20=raw!$F$7:$F$8), VLOOKUP(curr!$B20&amp;raw!$I$1,raw!$I$2:$L$21,3,0)/VLOOKUP(raw!$R$1&amp;raw!$I$1,raw!$I$2:$L$21,3,0),
1/_xll.IMDP("FX",$R$1&amp;curr!$B20&amp;$S$1,$G$2,curr!I$5,"Fill=true")),
_xll.IMDP("FX",$S14,IF($S14&lt;&gt;$F$3,$G$2,$F$2),curr!I$5,"Fill=true")
)</f>
        <v>0.74250000000000005</v>
      </c>
      <c r="V14" s="9">
        <f t="array" aca="1" ref="V14" ca="1">IF($T14="",
IF( OR(curr!$B20=raw!$F$7:$F$8), VLOOKUP(curr!$B20&amp;raw!$I$1,raw!$I$2:$L$21,4,0)/VLOOKUP(raw!$R$1&amp;raw!$I$1,raw!$I$2:$L$21,4,0),
1/_xll.IMDP("FX",$R$1&amp;curr!$B20&amp;$S$1,$G$2,curr!J$5,"Fill=true")),
_xll.IMDP("FX",$S14,IF($S14&lt;&gt;$F$3,$G$2,$F$2),curr!J$5,"Fill=true")
)</f>
        <v>0.74270000000000003</v>
      </c>
    </row>
    <row r="15" spans="1:25" ht="17.45" x14ac:dyDescent="0.4">
      <c r="C15" t="s">
        <v>26</v>
      </c>
      <c r="I15" s="8" t="str">
        <v>CADUSD</v>
      </c>
      <c r="J15" s="19" t="str">
        <f t="array" ref="J15">IF(OR($I15=raw!$G$3:$G$8),raw!$I15,IF($I15&lt;&gt;"KRWUSD",raw!$I$1&amp;curr!$B21,$F$3))</f>
        <v>USDCAD</v>
      </c>
      <c r="K15">
        <f ca="1">POWER(_xll.IMDP("FX",$J15,IF($J15&lt;&gt;$F$3,$G$2,$F$2),curr!I$5,"Fill=true"),IF($I15=$J15,1,-1))</f>
        <v>0.74266617155588566</v>
      </c>
      <c r="L15" s="9">
        <f ca="1">POWER(_xll.IMDP("FX",$J15,IF($J15&lt;&gt;$F$3,$G$2,$F$2),curr!J$5,"Fill=true"),IF($I15=$J15,1,-1))</f>
        <v>0.74288685833147605</v>
      </c>
      <c r="N15" s="12"/>
      <c r="O15" s="1">
        <f t="shared" ca="1" si="0"/>
        <v>7.2754772973205352E-3</v>
      </c>
      <c r="P15" s="13">
        <f t="shared" ca="1" si="1"/>
        <v>7.2776392399094419E-3</v>
      </c>
      <c r="Q15" s="1"/>
      <c r="R15" s="12" t="str">
        <v>CADUSDIDC</v>
      </c>
      <c r="S15" s="1" t="str">
        <f t="shared" si="2"/>
        <v>CADUSDIDC</v>
      </c>
      <c r="T15">
        <f ca="1">_xll.IMDP("FX",$S15,IF($S15&lt;&gt;$F$3,$G$2,$F$2),curr!J$5,"Fill=true")</f>
        <v>0.74270000000000003</v>
      </c>
      <c r="U15">
        <f t="array" aca="1" ref="U15" ca="1">IF($T15="",
IF( OR(curr!$B21=raw!$F$7:$F$8), VLOOKUP(curr!$B21&amp;raw!$I$1,raw!$I$2:$L$21,3,0)/VLOOKUP(raw!$R$1&amp;raw!$I$1,raw!$I$2:$L$21,3,0),
1/_xll.IMDP("FX",$R$1&amp;curr!$B21&amp;$S$1,$G$2,curr!I$5,"Fill=true")),
_xll.IMDP("FX",$S15,IF($S15&lt;&gt;$F$3,$G$2,$F$2),curr!I$5,"Fill=true")
)</f>
        <v>0.74250000000000005</v>
      </c>
      <c r="V15" s="9">
        <f t="array" aca="1" ref="V15" ca="1">IF($T15="",
IF( OR(curr!$B21=raw!$F$7:$F$8), VLOOKUP(curr!$B21&amp;raw!$I$1,raw!$I$2:$L$21,4,0)/VLOOKUP(raw!$R$1&amp;raw!$I$1,raw!$I$2:$L$21,4,0),
1/_xll.IMDP("FX",$R$1&amp;curr!$B21&amp;$S$1,$G$2,curr!J$5,"Fill=true")),
_xll.IMDP("FX",$S15,IF($S15&lt;&gt;$F$3,$G$2,$F$2),curr!J$5,"Fill=true")
)</f>
        <v>0.74270000000000003</v>
      </c>
    </row>
    <row r="16" spans="1:25" ht="17.45" x14ac:dyDescent="0.4">
      <c r="C16" t="s">
        <v>27</v>
      </c>
      <c r="I16" s="8" t="str">
        <v>CADUSD</v>
      </c>
      <c r="J16" s="19" t="str">
        <f t="array" ref="J16">IF(OR($I16=raw!$G$3:$G$8),raw!$I16,IF($I16&lt;&gt;"KRWUSD",raw!$I$1&amp;curr!$B22,$F$3))</f>
        <v>USDCAD</v>
      </c>
      <c r="K16">
        <f ca="1">POWER(_xll.IMDP("FX",$J16,IF($J16&lt;&gt;$F$3,$G$2,$F$2),curr!I$5,"Fill=true"),IF($I16=$J16,1,-1))</f>
        <v>0.74266617155588566</v>
      </c>
      <c r="L16" s="9">
        <f ca="1">POWER(_xll.IMDP("FX",$J16,IF($J16&lt;&gt;$F$3,$G$2,$F$2),curr!J$5,"Fill=true"),IF($I16=$J16,1,-1))</f>
        <v>0.74288685833147605</v>
      </c>
      <c r="N16" s="12"/>
      <c r="O16" s="1">
        <f t="shared" ca="1" si="0"/>
        <v>7.2754772973205352E-3</v>
      </c>
      <c r="P16" s="13">
        <f t="shared" ca="1" si="1"/>
        <v>7.2776392399094419E-3</v>
      </c>
      <c r="Q16" s="1"/>
      <c r="R16" s="12" t="str">
        <v>CADUSDIDC</v>
      </c>
      <c r="S16" s="1" t="str">
        <f t="shared" si="2"/>
        <v>CADUSDIDC</v>
      </c>
      <c r="T16">
        <f ca="1">_xll.IMDP("FX",$S16,IF($S16&lt;&gt;$F$3,$G$2,$F$2),curr!J$5,"Fill=true")</f>
        <v>0.74270000000000003</v>
      </c>
      <c r="U16">
        <f t="array" aca="1" ref="U16" ca="1">IF($T16="",
IF( OR(curr!$B22=raw!$F$7:$F$8), VLOOKUP(curr!$B22&amp;raw!$I$1,raw!$I$2:$L$21,3,0)/VLOOKUP(raw!$R$1&amp;raw!$I$1,raw!$I$2:$L$21,3,0),
1/_xll.IMDP("FX",$R$1&amp;curr!$B22&amp;$S$1,$G$2,curr!I$5,"Fill=true")),
_xll.IMDP("FX",$S16,IF($S16&lt;&gt;$F$3,$G$2,$F$2),curr!I$5,"Fill=true")
)</f>
        <v>0.74250000000000005</v>
      </c>
      <c r="V16" s="9">
        <f t="array" aca="1" ref="V16" ca="1">IF($T16="",
IF( OR(curr!$B22=raw!$F$7:$F$8), VLOOKUP(curr!$B22&amp;raw!$I$1,raw!$I$2:$L$21,4,0)/VLOOKUP(raw!$R$1&amp;raw!$I$1,raw!$I$2:$L$21,4,0),
1/_xll.IMDP("FX",$R$1&amp;curr!$B22&amp;$S$1,$G$2,curr!J$5,"Fill=true")),
_xll.IMDP("FX",$S16,IF($S16&lt;&gt;$F$3,$G$2,$F$2),curr!J$5,"Fill=true")
)</f>
        <v>0.74270000000000003</v>
      </c>
    </row>
    <row r="17" spans="3:22" ht="17.45" x14ac:dyDescent="0.4">
      <c r="C17" t="s">
        <v>28</v>
      </c>
      <c r="I17" s="8" t="str">
        <v>CADUSD</v>
      </c>
      <c r="J17" s="19" t="str">
        <f t="array" ref="J17">IF(OR($I17=raw!$G$3:$G$8),raw!$I17,IF($I17&lt;&gt;"KRWUSD",raw!$I$1&amp;curr!$B23,$F$3))</f>
        <v>USDCAD</v>
      </c>
      <c r="K17">
        <f ca="1">POWER(_xll.IMDP("FX",$J17,IF($J17&lt;&gt;$F$3,$G$2,$F$2),curr!I$5,"Fill=true"),IF($I17=$J17,1,-1))</f>
        <v>0.74266617155588566</v>
      </c>
      <c r="L17" s="9">
        <f ca="1">POWER(_xll.IMDP("FX",$J17,IF($J17&lt;&gt;$F$3,$G$2,$F$2),curr!J$5,"Fill=true"),IF($I17=$J17,1,-1))</f>
        <v>0.74288685833147605</v>
      </c>
      <c r="N17" s="12"/>
      <c r="O17" s="1">
        <f t="shared" ca="1" si="0"/>
        <v>7.2754772973205352E-3</v>
      </c>
      <c r="P17" s="13">
        <f t="shared" ca="1" si="1"/>
        <v>7.2776392399094419E-3</v>
      </c>
      <c r="Q17" s="1"/>
      <c r="R17" s="12" t="str">
        <v>CADUSDIDC</v>
      </c>
      <c r="S17" s="1" t="str">
        <f t="shared" si="2"/>
        <v>CADUSDIDC</v>
      </c>
      <c r="T17">
        <f ca="1">_xll.IMDP("FX",$S17,IF($S17&lt;&gt;$F$3,$G$2,$F$2),curr!J$5,"Fill=true")</f>
        <v>0.74270000000000003</v>
      </c>
      <c r="U17">
        <f t="array" aca="1" ref="U17" ca="1">IF($T17="",
IF( OR(curr!$B23=raw!$F$7:$F$8), VLOOKUP(curr!$B23&amp;raw!$I$1,raw!$I$2:$L$21,3,0)/VLOOKUP(raw!$R$1&amp;raw!$I$1,raw!$I$2:$L$21,3,0),
1/_xll.IMDP("FX",$R$1&amp;curr!$B23&amp;$S$1,$G$2,curr!I$5,"Fill=true")),
_xll.IMDP("FX",$S17,IF($S17&lt;&gt;$F$3,$G$2,$F$2),curr!I$5,"Fill=true")
)</f>
        <v>0.74250000000000005</v>
      </c>
      <c r="V17" s="9">
        <f t="array" aca="1" ref="V17" ca="1">IF($T17="",
IF( OR(curr!$B23=raw!$F$7:$F$8), VLOOKUP(curr!$B23&amp;raw!$I$1,raw!$I$2:$L$21,4,0)/VLOOKUP(raw!$R$1&amp;raw!$I$1,raw!$I$2:$L$21,4,0),
1/_xll.IMDP("FX",$R$1&amp;curr!$B23&amp;$S$1,$G$2,curr!J$5,"Fill=true")),
_xll.IMDP("FX",$S17,IF($S17&lt;&gt;$F$3,$G$2,$F$2),curr!J$5,"Fill=true")
)</f>
        <v>0.74270000000000003</v>
      </c>
    </row>
    <row r="18" spans="3:22" ht="17.45" x14ac:dyDescent="0.4">
      <c r="C18" t="s">
        <v>29</v>
      </c>
      <c r="I18" s="8" t="str">
        <v>CADUSD</v>
      </c>
      <c r="J18" s="19" t="str">
        <f t="array" ref="J18">IF(OR($I18=raw!$G$3:$G$8),raw!$I18,IF($I18&lt;&gt;"KRWUSD",raw!$I$1&amp;curr!$B24,$F$3))</f>
        <v>USDCAD</v>
      </c>
      <c r="K18">
        <f ca="1">POWER(_xll.IMDP("FX",$J18,IF($J18&lt;&gt;$F$3,$G$2,$F$2),curr!I$5,"Fill=true"),IF($I18=$J18,1,-1))</f>
        <v>0.74266617155588566</v>
      </c>
      <c r="L18" s="9">
        <f ca="1">POWER(_xll.IMDP("FX",$J18,IF($J18&lt;&gt;$F$3,$G$2,$F$2),curr!J$5,"Fill=true"),IF($I18=$J18,1,-1))</f>
        <v>0.74288685833147605</v>
      </c>
      <c r="N18" s="12"/>
      <c r="O18" s="1">
        <f t="shared" ca="1" si="0"/>
        <v>7.2754772973205352E-3</v>
      </c>
      <c r="P18" s="13">
        <f t="shared" ca="1" si="1"/>
        <v>7.2776392399094419E-3</v>
      </c>
      <c r="Q18" s="1"/>
      <c r="R18" s="12" t="str">
        <v>CADUSDIDC</v>
      </c>
      <c r="S18" s="1" t="str">
        <f t="shared" si="2"/>
        <v>CADUSDIDC</v>
      </c>
      <c r="T18">
        <f ca="1">_xll.IMDP("FX",$S18,IF($S18&lt;&gt;$F$3,$G$2,$F$2),curr!J$5,"Fill=true")</f>
        <v>0.74270000000000003</v>
      </c>
      <c r="U18">
        <f t="array" aca="1" ref="U18" ca="1">IF($T18="",
IF( OR(curr!$B24=raw!$F$7:$F$8), VLOOKUP(curr!$B24&amp;raw!$I$1,raw!$I$2:$L$21,3,0)/VLOOKUP(raw!$R$1&amp;raw!$I$1,raw!$I$2:$L$21,3,0),
1/_xll.IMDP("FX",$R$1&amp;curr!$B24&amp;$S$1,$G$2,curr!I$5,"Fill=true")),
_xll.IMDP("FX",$S18,IF($S18&lt;&gt;$F$3,$G$2,$F$2),curr!I$5,"Fill=true")
)</f>
        <v>0.74250000000000005</v>
      </c>
      <c r="V18" s="9">
        <f t="array" aca="1" ref="V18" ca="1">IF($T18="",
IF( OR(curr!$B24=raw!$F$7:$F$8), VLOOKUP(curr!$B24&amp;raw!$I$1,raw!$I$2:$L$21,4,0)/VLOOKUP(raw!$R$1&amp;raw!$I$1,raw!$I$2:$L$21,4,0),
1/_xll.IMDP("FX",$R$1&amp;curr!$B24&amp;$S$1,$G$2,curr!J$5,"Fill=true")),
_xll.IMDP("FX",$S18,IF($S18&lt;&gt;$F$3,$G$2,$F$2),curr!J$5,"Fill=true")
)</f>
        <v>0.74270000000000003</v>
      </c>
    </row>
    <row r="19" spans="3:22" ht="17.45" x14ac:dyDescent="0.4">
      <c r="C19" t="s">
        <v>30</v>
      </c>
      <c r="I19" s="8" t="str">
        <v>CADUSD</v>
      </c>
      <c r="J19" s="19" t="str">
        <f t="array" ref="J19">IF(OR($I19=raw!$G$3:$G$8),raw!$I19,IF($I19&lt;&gt;"KRWUSD",raw!$I$1&amp;curr!$B25,$F$3))</f>
        <v>USDCAD</v>
      </c>
      <c r="K19">
        <f ca="1">POWER(_xll.IMDP("FX",$J19,IF($J19&lt;&gt;$F$3,$G$2,$F$2),curr!I$5,"Fill=true"),IF($I19=$J19,1,-1))</f>
        <v>0.74266617155588566</v>
      </c>
      <c r="L19" s="9">
        <f ca="1">POWER(_xll.IMDP("FX",$J19,IF($J19&lt;&gt;$F$3,$G$2,$F$2),curr!J$5,"Fill=true"),IF($I19=$J19,1,-1))</f>
        <v>0.74288685833147605</v>
      </c>
      <c r="N19" s="12"/>
      <c r="O19" s="1">
        <f t="shared" ca="1" si="0"/>
        <v>7.2754772973205352E-3</v>
      </c>
      <c r="P19" s="13">
        <f t="shared" ca="1" si="1"/>
        <v>7.2776392399094419E-3</v>
      </c>
      <c r="Q19" s="1"/>
      <c r="R19" s="12" t="str">
        <v>CADUSDIDC</v>
      </c>
      <c r="S19" s="1" t="str">
        <f t="shared" si="2"/>
        <v>CADUSDIDC</v>
      </c>
      <c r="T19">
        <f ca="1">_xll.IMDP("FX",$S19,IF($S19&lt;&gt;$F$3,$G$2,$F$2),curr!J$5,"Fill=true")</f>
        <v>0.74270000000000003</v>
      </c>
      <c r="U19">
        <f t="array" aca="1" ref="U19" ca="1">IF($T19="",
IF( OR(curr!$B25=raw!$F$7:$F$8), VLOOKUP(curr!$B25&amp;raw!$I$1,raw!$I$2:$L$21,3,0)/VLOOKUP(raw!$R$1&amp;raw!$I$1,raw!$I$2:$L$21,3,0),
1/_xll.IMDP("FX",$R$1&amp;curr!$B25&amp;$S$1,$G$2,curr!I$5,"Fill=true")),
_xll.IMDP("FX",$S19,IF($S19&lt;&gt;$F$3,$G$2,$F$2),curr!I$5,"Fill=true")
)</f>
        <v>0.74250000000000005</v>
      </c>
      <c r="V19" s="9">
        <f t="array" aca="1" ref="V19" ca="1">IF($T19="",
IF( OR(curr!$B25=raw!$F$7:$F$8), VLOOKUP(curr!$B25&amp;raw!$I$1,raw!$I$2:$L$21,4,0)/VLOOKUP(raw!$R$1&amp;raw!$I$1,raw!$I$2:$L$21,4,0),
1/_xll.IMDP("FX",$R$1&amp;curr!$B25&amp;$S$1,$G$2,curr!J$5,"Fill=true")),
_xll.IMDP("FX",$S19,IF($S19&lt;&gt;$F$3,$G$2,$F$2),curr!J$5,"Fill=true")
)</f>
        <v>0.74270000000000003</v>
      </c>
    </row>
    <row r="20" spans="3:22" ht="17.45" x14ac:dyDescent="0.4">
      <c r="C20" t="s">
        <v>31</v>
      </c>
      <c r="I20" s="8" t="str">
        <v>CADUSD</v>
      </c>
      <c r="J20" s="19" t="str">
        <f t="array" ref="J20">IF(OR($I20=raw!$G$3:$G$8),raw!$I20,IF($I20&lt;&gt;"KRWUSD",raw!$I$1&amp;curr!$B26,$F$3))</f>
        <v>USDCAD</v>
      </c>
      <c r="K20">
        <f ca="1">POWER(_xll.IMDP("FX",$J20,IF($J20&lt;&gt;$F$3,$G$2,$F$2),curr!I$5,"Fill=true"),IF($I20=$J20,1,-1))</f>
        <v>0.74266617155588566</v>
      </c>
      <c r="L20" s="9">
        <f ca="1">POWER(_xll.IMDP("FX",$J20,IF($J20&lt;&gt;$F$3,$G$2,$F$2),curr!J$5,"Fill=true"),IF($I20=$J20,1,-1))</f>
        <v>0.74288685833147605</v>
      </c>
      <c r="N20" s="12"/>
      <c r="O20" s="1">
        <f t="shared" ca="1" si="0"/>
        <v>7.2754772973205352E-3</v>
      </c>
      <c r="P20" s="13">
        <f t="shared" ca="1" si="1"/>
        <v>7.2776392399094419E-3</v>
      </c>
      <c r="Q20" s="1"/>
      <c r="R20" s="12" t="str">
        <v>CADUSDIDC</v>
      </c>
      <c r="S20" s="1" t="str">
        <f t="shared" si="2"/>
        <v>CADUSDIDC</v>
      </c>
      <c r="T20">
        <f ca="1">_xll.IMDP("FX",$S20,IF($S20&lt;&gt;$F$3,$G$2,$F$2),curr!J$5,"Fill=true")</f>
        <v>0.74270000000000003</v>
      </c>
      <c r="U20">
        <f t="array" aca="1" ref="U20" ca="1">IF($T20="",
IF( OR(curr!$B26=raw!$F$7:$F$8), VLOOKUP(curr!$B26&amp;raw!$I$1,raw!$I$2:$L$21,3,0)/VLOOKUP(raw!$R$1&amp;raw!$I$1,raw!$I$2:$L$21,3,0),
1/_xll.IMDP("FX",$R$1&amp;curr!$B26&amp;$S$1,$G$2,curr!I$5,"Fill=true")),
_xll.IMDP("FX",$S20,IF($S20&lt;&gt;$F$3,$G$2,$F$2),curr!I$5,"Fill=true")
)</f>
        <v>0.74250000000000005</v>
      </c>
      <c r="V20" s="9">
        <f t="array" aca="1" ref="V20" ca="1">IF($T20="",
IF( OR(curr!$B26=raw!$F$7:$F$8), VLOOKUP(curr!$B26&amp;raw!$I$1,raw!$I$2:$L$21,4,0)/VLOOKUP(raw!$R$1&amp;raw!$I$1,raw!$I$2:$L$21,4,0),
1/_xll.IMDP("FX",$R$1&amp;curr!$B26&amp;$S$1,$G$2,curr!J$5,"Fill=true")),
_xll.IMDP("FX",$S20,IF($S20&lt;&gt;$F$3,$G$2,$F$2),curr!J$5,"Fill=true")
)</f>
        <v>0.74270000000000003</v>
      </c>
    </row>
    <row r="21" spans="3:22" ht="18" thickBot="1" x14ac:dyDescent="0.45">
      <c r="C21" t="s">
        <v>32</v>
      </c>
      <c r="I21" s="10" t="str">
        <v>CADUSD</v>
      </c>
      <c r="J21" s="20" t="str">
        <f t="array" ref="J21">IF(OR($I21=raw!$G$3:$G$8),raw!$I21,IF($I21&lt;&gt;"KRWUSD",raw!$I$1&amp;curr!$B27,$F$3))</f>
        <v>USDCAD</v>
      </c>
      <c r="K21" s="2">
        <f ca="1">POWER(_xll.IMDP("FX",$J21,IF($J21&lt;&gt;$F$3,$G$2,$F$2),curr!I$5,"Fill=true"),IF($I21=$J21,1,-1))</f>
        <v>0.74266617155588566</v>
      </c>
      <c r="L21" s="11">
        <f ca="1">POWER(_xll.IMDP("FX",$J21,IF($J21&lt;&gt;$F$3,$G$2,$F$2),curr!J$5,"Fill=true"),IF($I21=$J21,1,-1))</f>
        <v>0.74288685833147605</v>
      </c>
      <c r="N21" s="14"/>
      <c r="O21" s="15">
        <f t="shared" ca="1" si="0"/>
        <v>7.2754772973205352E-3</v>
      </c>
      <c r="P21" s="16">
        <f t="shared" ca="1" si="1"/>
        <v>7.2776392399094419E-3</v>
      </c>
      <c r="Q21" s="1"/>
      <c r="R21" s="14" t="str">
        <v>CADUSDIDC</v>
      </c>
      <c r="S21" s="15" t="str">
        <f t="shared" si="2"/>
        <v>CADUSDIDC</v>
      </c>
      <c r="T21" s="2">
        <f ca="1">_xll.IMDP("FX",$S21,IF($S21&lt;&gt;$F$3,$G$2,$F$2),curr!J$5,"Fill=true")</f>
        <v>0.74270000000000003</v>
      </c>
      <c r="U21" s="2">
        <f t="array" aca="1" ref="U21" ca="1">IF($T21="",
IF( OR(curr!$B27=raw!$F$7:$F$8), VLOOKUP(curr!$B27&amp;raw!$I$1,raw!$I$2:$L$21,3,0)/VLOOKUP(raw!$R$1&amp;raw!$I$1,raw!$I$2:$L$21,3,0),
1/_xll.IMDP("FX",$R$1&amp;curr!$B27&amp;$S$1,$G$2,curr!I$5,"Fill=true")),
_xll.IMDP("FX",$S21,IF($S21&lt;&gt;$F$3,$G$2,$F$2),curr!I$5,"Fill=true")
)</f>
        <v>0.74250000000000005</v>
      </c>
      <c r="V21" s="11">
        <f t="array" aca="1" ref="V21" ca="1">IF($T21="",
IF( OR(curr!$B27=raw!$F$7:$F$8), VLOOKUP(curr!$B27&amp;raw!$I$1,raw!$I$2:$L$21,4,0)/VLOOKUP(raw!$R$1&amp;raw!$I$1,raw!$I$2:$L$21,4,0),
1/_xll.IMDP("FX",$R$1&amp;curr!$B27&amp;$S$1,$G$2,curr!J$5,"Fill=true")),
_xll.IMDP("FX",$S21,IF($S21&lt;&gt;$F$3,$G$2,$F$2),curr!J$5,"Fill=true")
)</f>
        <v>0.74270000000000003</v>
      </c>
    </row>
    <row r="22" spans="3:22" ht="17.45" x14ac:dyDescent="0.4">
      <c r="C22" t="s">
        <v>33</v>
      </c>
      <c r="N22" s="1"/>
    </row>
    <row r="23" spans="3:22" x14ac:dyDescent="0.3">
      <c r="C23" t="s">
        <v>34</v>
      </c>
      <c r="N23" s="1"/>
    </row>
    <row r="24" spans="3:22" x14ac:dyDescent="0.3">
      <c r="C24" t="s">
        <v>35</v>
      </c>
      <c r="N24" s="1"/>
    </row>
    <row r="25" spans="3:22" x14ac:dyDescent="0.3">
      <c r="C25" t="s">
        <v>36</v>
      </c>
      <c r="N25" s="1"/>
    </row>
    <row r="26" spans="3:22" x14ac:dyDescent="0.3">
      <c r="C26" t="s">
        <v>37</v>
      </c>
      <c r="N26" s="1"/>
    </row>
    <row r="27" spans="3:22" x14ac:dyDescent="0.3">
      <c r="C27" t="s">
        <v>38</v>
      </c>
      <c r="N27" s="1"/>
    </row>
    <row r="28" spans="3:22" x14ac:dyDescent="0.3">
      <c r="C28" t="s">
        <v>39</v>
      </c>
      <c r="N28" s="1"/>
    </row>
    <row r="29" spans="3:22" x14ac:dyDescent="0.3">
      <c r="C29" t="s">
        <v>40</v>
      </c>
      <c r="N29" s="1"/>
    </row>
    <row r="30" spans="3:22" x14ac:dyDescent="0.3">
      <c r="C30" t="s">
        <v>41</v>
      </c>
      <c r="N30" s="1"/>
    </row>
    <row r="31" spans="3:22" x14ac:dyDescent="0.3">
      <c r="C31" t="s">
        <v>42</v>
      </c>
      <c r="N31" s="1"/>
    </row>
    <row r="32" spans="3:22" x14ac:dyDescent="0.3">
      <c r="C32" t="s">
        <v>43</v>
      </c>
      <c r="N32" s="1"/>
    </row>
    <row r="33" spans="3:14" x14ac:dyDescent="0.3">
      <c r="C33" t="s">
        <v>44</v>
      </c>
      <c r="N33" s="1"/>
    </row>
    <row r="34" spans="3:14" x14ac:dyDescent="0.3">
      <c r="C34" t="s">
        <v>45</v>
      </c>
      <c r="N34" s="1"/>
    </row>
    <row r="35" spans="3:14" x14ac:dyDescent="0.3">
      <c r="C35" t="s">
        <v>46</v>
      </c>
      <c r="N35" s="1"/>
    </row>
    <row r="36" spans="3:14" x14ac:dyDescent="0.3">
      <c r="C36" t="s">
        <v>47</v>
      </c>
      <c r="N36" s="1"/>
    </row>
    <row r="37" spans="3:14" x14ac:dyDescent="0.3">
      <c r="C37" t="s">
        <v>53</v>
      </c>
      <c r="N37" s="1"/>
    </row>
    <row r="38" spans="3:14" x14ac:dyDescent="0.3">
      <c r="C38" t="s">
        <v>52</v>
      </c>
      <c r="N38" s="1"/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curr</vt:lpstr>
      <vt:lpstr>raw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infomax</cp:lastModifiedBy>
  <dcterms:created xsi:type="dcterms:W3CDTF">2020-02-05T04:51:50Z</dcterms:created>
  <dcterms:modified xsi:type="dcterms:W3CDTF">2023-01-20T00:08:43Z</dcterms:modified>
</cp:coreProperties>
</file>