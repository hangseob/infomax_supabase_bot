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4435" windowHeight="11670"/>
  </bookViews>
  <sheets>
    <sheet name="NDF종합" sheetId="1" r:id="rId1"/>
  </sheets>
  <calcPr calcId="145621"/>
</workbook>
</file>

<file path=xl/calcChain.xml><?xml version="1.0" encoding="utf-8"?>
<calcChain xmlns="http://schemas.openxmlformats.org/spreadsheetml/2006/main">
  <c r="BA37" i="1" l="1"/>
  <c r="BA38" i="1"/>
  <c r="BA39" i="1"/>
  <c r="BA40" i="1"/>
  <c r="BA41" i="1"/>
  <c r="BA42" i="1"/>
  <c r="BA43" i="1"/>
  <c r="BA44" i="1"/>
  <c r="BA45" i="1"/>
  <c r="BA46" i="1"/>
  <c r="BA47" i="1"/>
  <c r="BA36" i="1"/>
  <c r="BA22" i="1"/>
  <c r="BA23" i="1"/>
  <c r="BA24" i="1"/>
  <c r="BA25" i="1"/>
  <c r="BA26" i="1"/>
  <c r="BA27" i="1"/>
  <c r="BA28" i="1"/>
  <c r="BA29" i="1"/>
  <c r="BA30" i="1"/>
  <c r="BA31" i="1"/>
  <c r="BA32" i="1"/>
  <c r="BA21" i="1"/>
  <c r="BA7" i="1"/>
  <c r="BA8" i="1"/>
  <c r="BA9" i="1"/>
  <c r="BA10" i="1"/>
  <c r="BA11" i="1"/>
  <c r="BA12" i="1"/>
  <c r="BA13" i="1"/>
  <c r="BA14" i="1"/>
  <c r="BA15" i="1"/>
  <c r="BA16" i="1"/>
  <c r="BA17" i="1"/>
  <c r="BA6" i="1"/>
  <c r="AD37" i="1"/>
  <c r="AD38" i="1"/>
  <c r="AD39" i="1"/>
  <c r="AD40" i="1"/>
  <c r="AD41" i="1"/>
  <c r="AD42" i="1"/>
  <c r="AD43" i="1"/>
  <c r="AD44" i="1"/>
  <c r="AD45" i="1"/>
  <c r="AD46" i="1"/>
  <c r="AD47" i="1"/>
  <c r="AD36" i="1"/>
  <c r="AD21" i="1"/>
  <c r="G37" i="1"/>
  <c r="G38" i="1"/>
  <c r="G39" i="1"/>
  <c r="G40" i="1"/>
  <c r="G41" i="1"/>
  <c r="G42" i="1"/>
  <c r="G43" i="1"/>
  <c r="G44" i="1"/>
  <c r="G45" i="1"/>
  <c r="G46" i="1"/>
  <c r="G47" i="1"/>
  <c r="AD6" i="1"/>
  <c r="G36" i="1"/>
  <c r="G22" i="1"/>
  <c r="G23" i="1"/>
  <c r="G24" i="1"/>
  <c r="G25" i="1"/>
  <c r="G26" i="1"/>
  <c r="G27" i="1"/>
  <c r="G28" i="1"/>
  <c r="G29" i="1"/>
  <c r="G30" i="1"/>
  <c r="G31" i="1"/>
  <c r="G32" i="1"/>
  <c r="G21" i="1"/>
  <c r="AD22" i="1"/>
  <c r="AD23" i="1"/>
  <c r="AD24" i="1"/>
  <c r="AD25" i="1"/>
  <c r="AD26" i="1"/>
  <c r="AD27" i="1"/>
  <c r="AD28" i="1"/>
  <c r="AD29" i="1"/>
  <c r="AD30" i="1"/>
  <c r="AD31" i="1"/>
  <c r="AD32" i="1"/>
  <c r="BC42" i="1"/>
  <c r="BC45" i="1"/>
  <c r="BD38" i="1"/>
  <c r="BD46" i="1"/>
  <c r="BD39" i="1"/>
  <c r="BE46" i="1"/>
  <c r="BE42" i="1"/>
  <c r="BE38" i="1"/>
  <c r="BC36" i="1"/>
  <c r="BE29" i="1"/>
  <c r="BE25" i="1"/>
  <c r="BE21" i="1"/>
  <c r="BD24" i="1"/>
  <c r="BD30" i="1"/>
  <c r="BD23" i="1"/>
  <c r="BC30" i="1"/>
  <c r="BC26" i="1"/>
  <c r="BE16" i="1"/>
  <c r="BE11" i="1"/>
  <c r="BE9" i="1"/>
  <c r="BC9" i="1"/>
  <c r="BD14" i="1"/>
  <c r="BC13" i="1"/>
  <c r="BD9" i="1"/>
  <c r="BD17" i="1"/>
  <c r="BC14" i="1"/>
  <c r="AH47" i="1"/>
  <c r="AG42" i="1"/>
  <c r="AF37" i="1"/>
  <c r="AF47" i="1"/>
  <c r="AH41" i="1"/>
  <c r="AH44" i="1"/>
  <c r="AF44" i="1"/>
  <c r="AH38" i="1"/>
  <c r="AF38" i="1"/>
  <c r="K44" i="1"/>
  <c r="K40" i="1"/>
  <c r="K36" i="1"/>
  <c r="J43" i="1"/>
  <c r="J39" i="1"/>
  <c r="I46" i="1"/>
  <c r="I41" i="1"/>
  <c r="I37" i="1"/>
  <c r="I42" i="1"/>
  <c r="AG27" i="1"/>
  <c r="AF24" i="1"/>
  <c r="AF32" i="1"/>
  <c r="AG28" i="1"/>
  <c r="AF27" i="1"/>
  <c r="AH28" i="1"/>
  <c r="AH30" i="1"/>
  <c r="AH31" i="1"/>
  <c r="AH24" i="1"/>
  <c r="J29" i="1"/>
  <c r="I26" i="1"/>
  <c r="J22" i="1"/>
  <c r="J30" i="1"/>
  <c r="I27" i="1"/>
  <c r="K28" i="1"/>
  <c r="K31" i="1"/>
  <c r="K30" i="1"/>
  <c r="I21" i="1"/>
  <c r="I47" i="1"/>
  <c r="AG26" i="1"/>
  <c r="AH25" i="1"/>
  <c r="I24" i="1"/>
  <c r="I25" i="1"/>
  <c r="K22" i="1"/>
  <c r="BC41" i="1"/>
  <c r="BC44" i="1"/>
  <c r="BD37" i="1"/>
  <c r="BD40" i="1"/>
  <c r="BC37" i="1"/>
  <c r="BD43" i="1"/>
  <c r="BE45" i="1"/>
  <c r="BE41" i="1"/>
  <c r="BE37" i="1"/>
  <c r="BE32" i="1"/>
  <c r="BE28" i="1"/>
  <c r="BE24" i="1"/>
  <c r="BD31" i="1"/>
  <c r="BD22" i="1"/>
  <c r="BD29" i="1"/>
  <c r="BD21" i="1"/>
  <c r="BC29" i="1"/>
  <c r="BC25" i="1"/>
  <c r="BE10" i="1"/>
  <c r="BE15" i="1"/>
  <c r="BE13" i="1"/>
  <c r="BD8" i="1"/>
  <c r="BD16" i="1"/>
  <c r="BC15" i="1"/>
  <c r="BD11" i="1"/>
  <c r="BC8" i="1"/>
  <c r="BC16" i="1"/>
  <c r="AG46" i="1"/>
  <c r="AF41" i="1"/>
  <c r="AG47" i="1"/>
  <c r="AH45" i="1"/>
  <c r="AG40" i="1"/>
  <c r="AG39" i="1"/>
  <c r="AH42" i="1"/>
  <c r="AG37" i="1"/>
  <c r="K47" i="1"/>
  <c r="K43" i="1"/>
  <c r="K39" i="1"/>
  <c r="J46" i="1"/>
  <c r="J42" i="1"/>
  <c r="J38" i="1"/>
  <c r="I45" i="1"/>
  <c r="I40" i="1"/>
  <c r="I36" i="1"/>
  <c r="AF25" i="1"/>
  <c r="AG29" i="1"/>
  <c r="AF26" i="1"/>
  <c r="AG22" i="1"/>
  <c r="AG30" i="1"/>
  <c r="AF29" i="1"/>
  <c r="AH29" i="1"/>
  <c r="AH26" i="1"/>
  <c r="AH27" i="1"/>
  <c r="J23" i="1"/>
  <c r="J31" i="1"/>
  <c r="I28" i="1"/>
  <c r="J24" i="1"/>
  <c r="J32" i="1"/>
  <c r="I29" i="1"/>
  <c r="K32" i="1"/>
  <c r="K25" i="1"/>
  <c r="K27" i="1"/>
  <c r="BD26" i="1"/>
  <c r="BE6" i="1"/>
  <c r="BC11" i="1"/>
  <c r="BD15" i="1"/>
  <c r="BC6" i="1"/>
  <c r="AG38" i="1"/>
  <c r="AG43" i="1"/>
  <c r="AH37" i="1"/>
  <c r="AF42" i="1"/>
  <c r="K41" i="1"/>
  <c r="J44" i="1"/>
  <c r="J40" i="1"/>
  <c r="I43" i="1"/>
  <c r="AG25" i="1"/>
  <c r="AF30" i="1"/>
  <c r="AH32" i="1"/>
  <c r="AF21" i="1"/>
  <c r="I32" i="1"/>
  <c r="K23" i="1"/>
  <c r="BC38" i="1"/>
  <c r="BC46" i="1"/>
  <c r="BD41" i="1"/>
  <c r="BD42" i="1"/>
  <c r="BC43" i="1"/>
  <c r="BD47" i="1"/>
  <c r="BE44" i="1"/>
  <c r="BE40" i="1"/>
  <c r="BE36" i="1"/>
  <c r="BE31" i="1"/>
  <c r="BE27" i="1"/>
  <c r="BE23" i="1"/>
  <c r="BD28" i="1"/>
  <c r="BC22" i="1"/>
  <c r="BD27" i="1"/>
  <c r="BC32" i="1"/>
  <c r="BC28" i="1"/>
  <c r="BC24" i="1"/>
  <c r="BE14" i="1"/>
  <c r="BE8" i="1"/>
  <c r="BE17" i="1"/>
  <c r="BD10" i="1"/>
  <c r="BC7" i="1"/>
  <c r="BC17" i="1"/>
  <c r="BD13" i="1"/>
  <c r="BC10" i="1"/>
  <c r="BD6" i="1"/>
  <c r="AF45" i="1"/>
  <c r="AH39" i="1"/>
  <c r="AH40" i="1"/>
  <c r="AG44" i="1"/>
  <c r="AF39" i="1"/>
  <c r="AH46" i="1"/>
  <c r="AG41" i="1"/>
  <c r="AF46" i="1"/>
  <c r="K46" i="1"/>
  <c r="K42" i="1"/>
  <c r="K38" i="1"/>
  <c r="J45" i="1"/>
  <c r="J41" i="1"/>
  <c r="J37" i="1"/>
  <c r="I44" i="1"/>
  <c r="I39" i="1"/>
  <c r="J47" i="1"/>
  <c r="AG23" i="1"/>
  <c r="AG31" i="1"/>
  <c r="AF28" i="1"/>
  <c r="AG24" i="1"/>
  <c r="AG32" i="1"/>
  <c r="AF31" i="1"/>
  <c r="AH21" i="1"/>
  <c r="AH22" i="1"/>
  <c r="AH23" i="1"/>
  <c r="J25" i="1"/>
  <c r="I22" i="1"/>
  <c r="I30" i="1"/>
  <c r="J26" i="1"/>
  <c r="I23" i="1"/>
  <c r="I31" i="1"/>
  <c r="K26" i="1"/>
  <c r="K29" i="1"/>
  <c r="K21" i="1"/>
  <c r="BC40" i="1"/>
  <c r="BC39" i="1"/>
  <c r="BD45" i="1"/>
  <c r="BD44" i="1"/>
  <c r="BC47" i="1"/>
  <c r="BE47" i="1"/>
  <c r="BE43" i="1"/>
  <c r="BE39" i="1"/>
  <c r="BD36" i="1"/>
  <c r="BE30" i="1"/>
  <c r="BE26" i="1"/>
  <c r="BE22" i="1"/>
  <c r="BD32" i="1"/>
  <c r="BD25" i="1"/>
  <c r="BC31" i="1"/>
  <c r="BC27" i="1"/>
  <c r="BC23" i="1"/>
  <c r="BE7" i="1"/>
  <c r="BE12" i="1"/>
  <c r="BD12" i="1"/>
  <c r="BD7" i="1"/>
  <c r="BC12" i="1"/>
  <c r="AH43" i="1"/>
  <c r="AF43" i="1"/>
  <c r="AG45" i="1"/>
  <c r="AF40" i="1"/>
  <c r="K45" i="1"/>
  <c r="K37" i="1"/>
  <c r="J36" i="1"/>
  <c r="I38" i="1"/>
  <c r="AF22" i="1"/>
  <c r="AF23" i="1"/>
  <c r="AG21" i="1"/>
  <c r="J27" i="1"/>
  <c r="J28" i="1"/>
  <c r="K24" i="1"/>
  <c r="J21" i="1"/>
  <c r="BC21" i="1"/>
  <c r="AF36" i="1"/>
  <c r="AG36" i="1"/>
  <c r="AH36" i="1"/>
  <c r="AD7" i="1" l="1"/>
  <c r="AD8" i="1"/>
  <c r="AD9" i="1"/>
  <c r="AD10" i="1"/>
  <c r="AD11" i="1"/>
  <c r="AD12" i="1"/>
  <c r="AD13" i="1"/>
  <c r="AD14" i="1"/>
  <c r="AD15" i="1"/>
  <c r="AD16" i="1"/>
  <c r="AD17" i="1"/>
  <c r="AG14" i="1"/>
  <c r="AH12" i="1"/>
  <c r="AF15" i="1"/>
  <c r="AF11" i="1"/>
  <c r="AF10" i="1"/>
  <c r="AG12" i="1"/>
  <c r="AH10" i="1"/>
  <c r="AH14" i="1"/>
  <c r="AF9" i="1"/>
  <c r="AH6" i="1"/>
  <c r="AG17" i="1"/>
  <c r="AF12" i="1"/>
  <c r="AG6" i="1"/>
  <c r="AG11" i="1"/>
  <c r="AF16" i="1"/>
  <c r="AF6" i="1"/>
  <c r="AG13" i="1"/>
  <c r="AF8" i="1"/>
  <c r="AH11" i="1"/>
  <c r="AG10" i="1"/>
  <c r="AH8" i="1"/>
  <c r="AH15" i="1"/>
  <c r="AH17" i="1"/>
  <c r="AH7" i="1"/>
  <c r="AG16" i="1"/>
  <c r="AF17" i="1"/>
  <c r="AH16" i="1"/>
  <c r="AG8" i="1"/>
  <c r="AH9" i="1"/>
  <c r="AF13" i="1"/>
  <c r="AG7" i="1"/>
  <c r="AG15" i="1"/>
  <c r="AG9" i="1"/>
  <c r="AF7" i="1"/>
  <c r="AH13" i="1"/>
  <c r="AF14" i="1"/>
  <c r="G6" i="1" l="1"/>
  <c r="G7" i="1"/>
  <c r="G8" i="1"/>
  <c r="G9" i="1"/>
  <c r="G10" i="1"/>
  <c r="G11" i="1"/>
  <c r="G12" i="1"/>
  <c r="G13" i="1"/>
  <c r="G14" i="1"/>
  <c r="G15" i="1"/>
  <c r="G16" i="1"/>
  <c r="G17" i="1"/>
  <c r="I14" i="1"/>
  <c r="K12" i="1"/>
  <c r="I17" i="1"/>
  <c r="J16" i="1"/>
  <c r="K13" i="1"/>
  <c r="K6" i="1"/>
  <c r="I10" i="1"/>
  <c r="K8" i="1"/>
  <c r="I12" i="1"/>
  <c r="K9" i="1"/>
  <c r="J13" i="1"/>
  <c r="J10" i="1"/>
  <c r="I6" i="1"/>
  <c r="J9" i="1"/>
  <c r="J12" i="1"/>
  <c r="J6" i="1"/>
  <c r="J17" i="1"/>
  <c r="K14" i="1"/>
  <c r="I13" i="1"/>
  <c r="J8" i="1"/>
  <c r="K11" i="1"/>
  <c r="K15" i="1"/>
  <c r="I9" i="1"/>
  <c r="K10" i="1"/>
  <c r="I8" i="1"/>
  <c r="I15" i="1"/>
  <c r="J7" i="1"/>
  <c r="I16" i="1"/>
  <c r="J14" i="1"/>
  <c r="J11" i="1"/>
  <c r="I11" i="1"/>
  <c r="K17" i="1"/>
  <c r="I7" i="1"/>
  <c r="K7" i="1"/>
  <c r="J15" i="1"/>
  <c r="K16" i="1"/>
</calcChain>
</file>

<file path=xl/sharedStrings.xml><?xml version="1.0" encoding="utf-8"?>
<sst xmlns="http://schemas.openxmlformats.org/spreadsheetml/2006/main" count="379" uniqueCount="42">
  <si>
    <t>USDKRW</t>
    <phoneticPr fontId="1" type="noConversion"/>
  </si>
  <si>
    <t>USDCNY</t>
    <phoneticPr fontId="1" type="noConversion"/>
  </si>
  <si>
    <t>USDINR</t>
    <phoneticPr fontId="1" type="noConversion"/>
  </si>
  <si>
    <t>USDIDR</t>
    <phoneticPr fontId="1" type="noConversion"/>
  </si>
  <si>
    <t>USDMYR</t>
    <phoneticPr fontId="1" type="noConversion"/>
  </si>
  <si>
    <t>USDCNH</t>
    <phoneticPr fontId="1" type="noConversion"/>
  </si>
  <si>
    <t>USDPHP</t>
    <phoneticPr fontId="1" type="noConversion"/>
  </si>
  <si>
    <t>USDTWD</t>
    <phoneticPr fontId="1" type="noConversion"/>
  </si>
  <si>
    <t>REF</t>
    <phoneticPr fontId="1" type="noConversion"/>
  </si>
  <si>
    <t>1W</t>
    <phoneticPr fontId="1" type="noConversion"/>
  </si>
  <si>
    <t>01W</t>
    <phoneticPr fontId="1" type="noConversion"/>
  </si>
  <si>
    <t>01M</t>
    <phoneticPr fontId="1" type="noConversion"/>
  </si>
  <si>
    <t>02M</t>
    <phoneticPr fontId="1" type="noConversion"/>
  </si>
  <si>
    <t>03M</t>
    <phoneticPr fontId="1" type="noConversion"/>
  </si>
  <si>
    <t>06M</t>
    <phoneticPr fontId="1" type="noConversion"/>
  </si>
  <si>
    <t>09M</t>
    <phoneticPr fontId="1" type="noConversion"/>
  </si>
  <si>
    <t>01Y</t>
    <phoneticPr fontId="1" type="noConversion"/>
  </si>
  <si>
    <t>02Y</t>
    <phoneticPr fontId="1" type="noConversion"/>
  </si>
  <si>
    <t>03Y</t>
    <phoneticPr fontId="1" type="noConversion"/>
  </si>
  <si>
    <t>04Y</t>
    <phoneticPr fontId="1" type="noConversion"/>
  </si>
  <si>
    <t>05Y</t>
    <phoneticPr fontId="1" type="noConversion"/>
  </si>
  <si>
    <t>BGC</t>
    <phoneticPr fontId="1" type="noConversion"/>
  </si>
  <si>
    <t>ALL</t>
    <phoneticPr fontId="1" type="noConversion"/>
  </si>
  <si>
    <t>TP NDF</t>
    <phoneticPr fontId="1" type="noConversion"/>
  </si>
  <si>
    <t>BGC NDF</t>
    <phoneticPr fontId="1" type="noConversion"/>
  </si>
  <si>
    <t>종합 NDF</t>
    <phoneticPr fontId="1" type="noConversion"/>
  </si>
  <si>
    <t>1M</t>
    <phoneticPr fontId="1" type="noConversion"/>
  </si>
  <si>
    <t>2M</t>
    <phoneticPr fontId="1" type="noConversion"/>
  </si>
  <si>
    <t>3M</t>
    <phoneticPr fontId="1" type="noConversion"/>
  </si>
  <si>
    <t>6M</t>
    <phoneticPr fontId="1" type="noConversion"/>
  </si>
  <si>
    <t>9M</t>
    <phoneticPr fontId="1" type="noConversion"/>
  </si>
  <si>
    <t>1Y</t>
    <phoneticPr fontId="1" type="noConversion"/>
  </si>
  <si>
    <t>2Y</t>
    <phoneticPr fontId="1" type="noConversion"/>
  </si>
  <si>
    <t>3Y</t>
    <phoneticPr fontId="1" type="noConversion"/>
  </si>
  <si>
    <t>4Y</t>
    <phoneticPr fontId="1" type="noConversion"/>
  </si>
  <si>
    <t>5Y</t>
    <phoneticPr fontId="1" type="noConversion"/>
  </si>
  <si>
    <t>NIT</t>
    <phoneticPr fontId="1" type="noConversion"/>
  </si>
  <si>
    <t>BID</t>
    <phoneticPr fontId="1" type="noConversion"/>
  </si>
  <si>
    <t>ASK</t>
    <phoneticPr fontId="1" type="noConversion"/>
  </si>
  <si>
    <t>TIME</t>
    <phoneticPr fontId="1" type="noConversion"/>
  </si>
  <si>
    <t>기물</t>
    <phoneticPr fontId="1" type="noConversion"/>
  </si>
  <si>
    <t>NDF 종합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</si>
</sst>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"/>
  </numFmts>
  <fonts count="5" x14ac:knownFonts="1">
    <font>
      <sz val="10"/>
      <color theme="1"/>
      <name val="돋움"/>
      <family val="2"/>
      <charset val="129"/>
    </font>
    <font>
      <sz val="8"/>
      <name val="돋움"/>
      <family val="2"/>
      <charset val="129"/>
    </font>
    <font>
      <b/>
      <sz val="10"/>
      <color theme="0"/>
      <name val="돋움"/>
      <family val="3"/>
      <charset val="129"/>
    </font>
    <font>
      <sz val="10"/>
      <color theme="1" tint="0.249977111117893"/>
      <name val="돋움"/>
      <family val="2"/>
      <charset val="129"/>
    </font>
    <font>
      <b/>
      <sz val="12"/>
      <color theme="3" tint="-0.249977111117893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CC99"/>
      <color rgb="FFFF6600"/>
      <color rgb="FF9FBFFF"/>
      <color rgb="FFFF9393"/>
      <color rgb="FFFF5050"/>
      <color rgb="FF6699FF"/>
      <color rgb="FF3366FF"/>
      <color rgb="FF3333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140905</v>
        <stp/>
        <stp>P</stp>
        <stp>0</stp>
        <stp>FX</stp>
        <stp>BGCUSDCNYREF</stp>
        <stp>시간</stp>
        <stp/>
        <stp/>
        <tr r="AH36" s="1"/>
        <tr r="AH36" s="1"/>
        <tr r="AH36" s="1"/>
      </tp>
      <tp>
        <v>51.78</v>
        <stp/>
        <stp>P</stp>
        <stp>0</stp>
        <stp>FX</stp>
        <stp>ALLUSDPHPREF</stp>
        <stp>매수</stp>
        <stp/>
        <stp/>
        <tr r="BC21" s="1"/>
      </tp>
      <tp>
        <v>1181.8499999999999</v>
        <stp/>
        <stp>P</stp>
        <stp>0</stp>
        <stp>FX</stp>
        <stp>NITUSDKRWREF</stp>
        <stp>매수</stp>
        <stp/>
        <stp/>
        <tr r="I21" s="1"/>
      </tp>
      <tp>
        <v>31.44</v>
        <stp/>
        <stp>P</stp>
        <stp>0</stp>
        <stp>FX</stp>
        <stp>ALLUSDTWDREF</stp>
        <stp>매수</stp>
        <stp/>
        <stp/>
        <tr r="BC6" s="1"/>
      </tp>
      <tp>
        <v>132219</v>
        <stp/>
        <stp>P</stp>
        <stp>0</stp>
        <stp>FX</stp>
        <stp>ALLUSDIDRREF</stp>
        <stp>시간</stp>
        <stp/>
        <stp/>
        <tr r="BE36" s="1"/>
        <tr r="BE36" s="1"/>
        <tr r="BE36" s="1"/>
      </tp>
      <tp>
        <v>141029</v>
        <stp/>
        <stp>P</stp>
        <stp>0</stp>
        <stp>FX</stp>
        <stp>ALLUSDKRWREF</stp>
        <stp>시간</stp>
        <stp/>
        <stp/>
        <tr r="K6" s="1"/>
        <tr r="K6" s="1"/>
        <tr r="K6" s="1"/>
      </tp>
      <tp>
        <v>141029</v>
        <stp/>
        <stp>P</stp>
        <stp>0</stp>
        <stp>FX</stp>
        <stp>BGCUSDKRWREF</stp>
        <stp>시간</stp>
        <stp/>
        <stp/>
        <tr r="K36" s="1"/>
        <tr r="K36" s="1"/>
        <tr r="K36" s="1"/>
      </tp>
      <tp>
        <v>6.9059999999999997</v>
        <stp/>
        <stp>P</stp>
        <stp>0</stp>
        <stp>FX</stp>
        <stp>NITUSDCNYREF</stp>
        <stp>매수</stp>
        <stp/>
        <stp/>
        <tr r="AF21" s="1"/>
      </tp>
      <tp>
        <v>140905</v>
        <stp/>
        <stp>P</stp>
        <stp>0</stp>
        <stp>FX</stp>
        <stp>ALLUSDCNYREF</stp>
        <stp>시간</stp>
        <stp/>
        <stp/>
        <tr r="AH6" s="1"/>
        <tr r="AH6" s="1"/>
        <tr r="AH6" s="1"/>
      </tp>
      <tp>
        <v>6.8898999999999999</v>
        <stp/>
        <stp>P</stp>
        <stp>0</stp>
        <stp>FX</stp>
        <stp>ALLUSDCNYREF</stp>
        <stp>매수</stp>
        <stp/>
        <stp/>
        <tr r="AF6" s="1"/>
      </tp>
      <tp>
        <v>1181.25</v>
        <stp/>
        <stp>P</stp>
        <stp>0</stp>
        <stp>FX</stp>
        <stp>BGCUSDKRWREF</stp>
        <stp>매수</stp>
        <stp/>
        <stp/>
        <tr r="I36" s="1"/>
      </tp>
      <tp>
        <v>132158</v>
        <stp/>
        <stp>P</stp>
        <stp>0</stp>
        <stp>FX</stp>
        <stp>NITUSDCNYREF</stp>
        <stp>시간</stp>
        <stp/>
        <stp/>
        <tr r="AH21" s="1"/>
        <tr r="AH21" s="1"/>
        <tr r="AH21" s="1"/>
      </tp>
      <tp>
        <v>140919</v>
        <stp/>
        <stp>P</stp>
        <stp>0</stp>
        <stp>FX</stp>
        <stp>ALLUSDTWDREF</stp>
        <stp>시간</stp>
        <stp/>
        <stp/>
        <tr r="BE6" s="1"/>
        <tr r="BE6" s="1"/>
        <tr r="BE6" s="1"/>
      </tp>
      <tp>
        <v>14260</v>
        <stp/>
        <stp>P</stp>
        <stp>0</stp>
        <stp>FX</stp>
        <stp>ALLUSDIDRREF</stp>
        <stp>매수</stp>
        <stp/>
        <stp/>
        <tr r="BC36" s="1"/>
      </tp>
      <tp>
        <v>1181.25</v>
        <stp/>
        <stp>P</stp>
        <stp>0</stp>
        <stp>FX</stp>
        <stp>ALLUSDKRWREF</stp>
        <stp>매수</stp>
        <stp/>
        <stp/>
        <tr r="I6" s="1"/>
      </tp>
      <tp>
        <v>6.8898999999999999</v>
        <stp/>
        <stp>P</stp>
        <stp>0</stp>
        <stp>FX</stp>
        <stp>BGCUSDCNYREF</stp>
        <stp>매수</stp>
        <stp/>
        <stp/>
        <tr r="AF36" s="1"/>
      </tp>
      <tp>
        <v>132344</v>
        <stp/>
        <stp>P</stp>
        <stp>0</stp>
        <stp>FX</stp>
        <stp>ALLUSDPHPREF</stp>
        <stp>시간</stp>
        <stp/>
        <stp/>
        <tr r="BE21" s="1"/>
        <tr r="BE21" s="1"/>
        <tr r="BE21" s="1"/>
      </tp>
      <tp>
        <v>140059</v>
        <stp/>
        <stp>P</stp>
        <stp>0</stp>
        <stp>FX</stp>
        <stp>NITUSDKRWREF</stp>
        <stp>시간</stp>
        <stp/>
        <stp/>
        <tr r="K21" s="1"/>
        <tr r="K21" s="1"/>
        <tr r="K21" s="1"/>
      </tp>
      <tp>
        <v>1163.8800000000001</v>
        <stp/>
        <stp>P</stp>
        <stp>0</stp>
        <stp>FX</stp>
        <stp>BGCUSDKRW01Y</stp>
        <stp>매수</stp>
        <stp/>
        <stp/>
        <tr r="I43" s="1"/>
      </tp>
      <tp>
        <v>6.9513999999999996</v>
        <stp/>
        <stp>P</stp>
        <stp>0</stp>
        <stp>FX</stp>
        <stp>BGCUSDCNY09M</stp>
        <stp>매수</stp>
        <stp/>
        <stp/>
        <tr r="AF42" s="1"/>
      </tp>
      <tp>
        <v>6.9344000000000001</v>
        <stp/>
        <stp>P</stp>
        <stp>0</stp>
        <stp>FX</stp>
        <stp>ALLUSDCNY06M</stp>
        <stp>매수</stp>
        <stp/>
        <stp/>
        <tr r="AF11" s="1"/>
      </tp>
      <tp>
        <v>132141</v>
        <stp/>
        <stp>P</stp>
        <stp>0</stp>
        <stp>FX</stp>
        <stp>NITUSDCNY02M</stp>
        <stp>시간</stp>
        <stp/>
        <stp/>
        <tr r="AH24" s="1"/>
        <tr r="AH24" s="1"/>
        <tr r="AH24" s="1"/>
      </tp>
      <tp>
        <v>1181.04</v>
        <stp/>
        <stp>P</stp>
        <stp>0</stp>
        <stp>FX</stp>
        <stp>BGCUSDKRW01W</stp>
        <stp>매수</stp>
        <stp/>
        <stp/>
        <tr r="I37" s="1"/>
      </tp>
      <tp>
        <v>140101</v>
        <stp/>
        <stp>P</stp>
        <stp>0</stp>
        <stp>FX</stp>
        <stp>ALLUSDPHP09M</stp>
        <stp>시간</stp>
        <stp/>
        <stp/>
        <tr r="BE27" s="1"/>
        <tr r="BE27" s="1"/>
        <tr r="BE27" s="1"/>
      </tp>
      <tp>
        <v>1180.08</v>
        <stp/>
        <stp>P</stp>
        <stp>0</stp>
        <stp>FX</stp>
        <stp>BGCUSDKRW01M</stp>
        <stp>매수</stp>
        <stp/>
        <stp/>
        <tr r="I38" s="1"/>
      </tp>
      <tp>
        <v>132153</v>
        <stp/>
        <stp>P</stp>
        <stp>0</stp>
        <stp>FX</stp>
        <stp>NITUSDCNY02Y</stp>
        <stp>시간</stp>
        <stp/>
        <stp/>
        <tr r="AH29" s="1"/>
        <tr r="AH29" s="1"/>
        <tr r="AH29" s="1"/>
      </tp>
      <tp>
        <v>132143</v>
        <stp/>
        <stp>P</stp>
        <stp>0</stp>
        <stp>FX</stp>
        <stp>NITUSDCNY03M</stp>
        <stp>시간</stp>
        <stp/>
        <stp/>
        <tr r="AH25" s="1"/>
        <tr r="AH25" s="1"/>
        <tr r="AH25" s="1"/>
      </tp>
      <tp>
        <v>140102</v>
        <stp/>
        <stp>P</stp>
        <stp>0</stp>
        <stp>FX</stp>
        <stp>NITUSDCNY03Y</stp>
        <stp>시간</stp>
        <stp/>
        <stp/>
        <tr r="AH30" s="1"/>
        <tr r="AH30" s="1"/>
        <tr r="AH30" s="1"/>
      </tp>
      <tp t="s">
        <v/>
        <stp/>
        <stp>P</stp>
        <stp>0</stp>
        <stp>FX</stp>
        <stp>BGCUSDKRW03Y</stp>
        <stp>매수</stp>
        <stp/>
        <stp/>
        <tr r="I45" s="1"/>
      </tp>
      <tp>
        <v>1177.6300000000001</v>
        <stp/>
        <stp>P</stp>
        <stp>0</stp>
        <stp>FX</stp>
        <stp>BGCUSDKRW03M</stp>
        <stp>매수</stp>
        <stp/>
        <stp/>
        <tr r="I40" s="1"/>
      </tp>
      <tp>
        <v>7.1634000000000002</v>
        <stp/>
        <stp>P</stp>
        <stp>0</stp>
        <stp>FX</stp>
        <stp>ALLUSDCNY04Y</stp>
        <stp>매수</stp>
        <stp/>
        <stp/>
        <tr r="AF16" s="1"/>
      </tp>
      <tp>
        <v>1148.25</v>
        <stp/>
        <stp>P</stp>
        <stp>0</stp>
        <stp>FX</stp>
        <stp>BGCUSDKRW02Y</stp>
        <stp>매수</stp>
        <stp/>
        <stp/>
        <tr r="I44" s="1"/>
      </tp>
      <tp>
        <v>132139</v>
        <stp/>
        <stp>P</stp>
        <stp>0</stp>
        <stp>FX</stp>
        <stp>NITUSDCNY01M</stp>
        <stp>시간</stp>
        <stp/>
        <stp/>
        <tr r="AH23" s="1"/>
        <tr r="AH23" s="1"/>
        <tr r="AH23" s="1"/>
      </tp>
      <tp>
        <v>132139</v>
        <stp/>
        <stp>P</stp>
        <stp>0</stp>
        <stp>FX</stp>
        <stp>NITUSDCNY01W</stp>
        <stp>시간</stp>
        <stp/>
        <stp/>
        <tr r="AH22" s="1"/>
        <tr r="AH22" s="1"/>
        <tr r="AH22" s="1"/>
      </tp>
      <tp>
        <v>1178.83</v>
        <stp/>
        <stp>P</stp>
        <stp>0</stp>
        <stp>FX</stp>
        <stp>BGCUSDKRW02M</stp>
        <stp>매수</stp>
        <stp/>
        <stp/>
        <tr r="I39" s="1"/>
      </tp>
      <tp>
        <v>140101</v>
        <stp/>
        <stp>P</stp>
        <stp>0</stp>
        <stp>FX</stp>
        <stp>NITUSDKRW09M</stp>
        <stp>시간</stp>
        <stp/>
        <stp/>
        <tr r="K27" s="1"/>
        <tr r="K27" s="1"/>
        <tr r="K27" s="1"/>
      </tp>
      <tp>
        <v>7.2283999999999997</v>
        <stp/>
        <stp>P</stp>
        <stp>0</stp>
        <stp>FX</stp>
        <stp>ALLUSDCNY05Y</stp>
        <stp>매수</stp>
        <stp/>
        <stp/>
        <tr r="AF17" s="1"/>
      </tp>
      <tp>
        <v>132152</v>
        <stp/>
        <stp>P</stp>
        <stp>0</stp>
        <stp>FX</stp>
        <stp>NITUSDCNY01Y</stp>
        <stp>시간</stp>
        <stp/>
        <stp/>
        <tr r="AH28" s="1"/>
        <tr r="AH28" s="1"/>
        <tr r="AH28" s="1"/>
      </tp>
      <tp t="s">
        <v/>
        <stp/>
        <stp>P</stp>
        <stp>0</stp>
        <stp>FX</stp>
        <stp>BGCUSDKRW05Y</stp>
        <stp>매수</stp>
        <stp/>
        <stp/>
        <tr r="I47" s="1"/>
      </tp>
      <tp>
        <v>6.9074</v>
        <stp/>
        <stp>P</stp>
        <stp>0</stp>
        <stp>FX</stp>
        <stp>ALLUSDCNY02M</stp>
        <stp>매수</stp>
        <stp/>
        <stp/>
        <tr r="AF9" s="1"/>
      </tp>
      <tp>
        <v>132150</v>
        <stp/>
        <stp>P</stp>
        <stp>0</stp>
        <stp>FX</stp>
        <stp>NITUSDCNY06M</stp>
        <stp>시간</stp>
        <stp/>
        <stp/>
        <tr r="AH26" s="1"/>
        <tr r="AH26" s="1"/>
        <tr r="AH26" s="1"/>
      </tp>
      <tp>
        <v>140920</v>
        <stp/>
        <stp>P</stp>
        <stp>0</stp>
        <stp>FX</stp>
        <stp>ALLUSDTWD09M</stp>
        <stp>시간</stp>
        <stp/>
        <stp/>
        <tr r="BE12" s="1"/>
        <tr r="BE12" s="1"/>
        <tr r="BE12" s="1"/>
      </tp>
      <tp>
        <v>7.0304000000000002</v>
        <stp/>
        <stp>P</stp>
        <stp>0</stp>
        <stp>FX</stp>
        <stp>ALLUSDCNY02Y</stp>
        <stp>매수</stp>
        <stp/>
        <stp/>
        <tr r="AF14" s="1"/>
      </tp>
      <tp t="s">
        <v/>
        <stp/>
        <stp>P</stp>
        <stp>0</stp>
        <stp>FX</stp>
        <stp>BGCUSDKRW04Y</stp>
        <stp>매수</stp>
        <stp/>
        <stp/>
        <tr r="I46" s="1"/>
      </tp>
      <tp>
        <v>14808</v>
        <stp/>
        <stp>P</stp>
        <stp>0</stp>
        <stp>FX</stp>
        <stp>ALLUSDIDR09M</stp>
        <stp>매수</stp>
        <stp/>
        <stp/>
        <tr r="BC42" s="1"/>
      </tp>
      <tp>
        <v>6.9158999999999997</v>
        <stp/>
        <stp>P</stp>
        <stp>0</stp>
        <stp>FX</stp>
        <stp>ALLUSDCNY03M</stp>
        <stp>매수</stp>
        <stp/>
        <stp/>
        <tr r="AF10" s="1"/>
      </tp>
      <tp>
        <v>7.0983999999999998</v>
        <stp/>
        <stp>P</stp>
        <stp>0</stp>
        <stp>FX</stp>
        <stp>ALLUSDCNY03Y</stp>
        <stp>매수</stp>
        <stp/>
        <stp/>
        <tr r="AF15" s="1"/>
      </tp>
      <tp>
        <v>140102</v>
        <stp/>
        <stp>P</stp>
        <stp>0</stp>
        <stp>FX</stp>
        <stp>NITUSDCNY04Y</stp>
        <stp>시간</stp>
        <stp/>
        <stp/>
        <tr r="AH31" s="1"/>
        <tr r="AH31" s="1"/>
        <tr r="AH31" s="1"/>
      </tp>
      <tp>
        <v>6.8989000000000003</v>
        <stp/>
        <stp>P</stp>
        <stp>0</stp>
        <stp>FX</stp>
        <stp>ALLUSDCNY01M</stp>
        <stp>매수</stp>
        <stp/>
        <stp/>
        <tr r="AF8" s="1"/>
      </tp>
      <tp>
        <v>6.8909000000000002</v>
        <stp/>
        <stp>P</stp>
        <stp>0</stp>
        <stp>FX</stp>
        <stp>ALLUSDCNY01W</stp>
        <stp>매수</stp>
        <stp/>
        <stp/>
        <tr r="AF7" s="1"/>
      </tp>
      <tp>
        <v>1168.78</v>
        <stp/>
        <stp>P</stp>
        <stp>0</stp>
        <stp>FX</stp>
        <stp>ALLUSDKRW09M</stp>
        <stp>매수</stp>
        <stp/>
        <stp/>
        <tr r="I12" s="1"/>
      </tp>
      <tp>
        <v>1173.58</v>
        <stp/>
        <stp>P</stp>
        <stp>0</stp>
        <stp>FX</stp>
        <stp>BGCUSDKRW06M</stp>
        <stp>매수</stp>
        <stp/>
        <stp/>
        <tr r="I41" s="1"/>
      </tp>
      <tp>
        <v>6.9679000000000002</v>
        <stp/>
        <stp>P</stp>
        <stp>0</stp>
        <stp>FX</stp>
        <stp>ALLUSDCNY01Y</stp>
        <stp>매수</stp>
        <stp/>
        <stp/>
        <tr r="AF13" s="1"/>
      </tp>
      <tp>
        <v>132149</v>
        <stp/>
        <stp>P</stp>
        <stp>0</stp>
        <stp>FX</stp>
        <stp>NITUSDCNY05Y</stp>
        <stp>시간</stp>
        <stp/>
        <stp/>
        <tr r="AH32" s="1"/>
        <tr r="AH32" s="1"/>
        <tr r="AH32" s="1"/>
      </tp>
      <tp>
        <v>140059</v>
        <stp/>
        <stp>P</stp>
        <stp>0</stp>
        <stp>FX</stp>
        <stp>NITUSDKRW02Y</stp>
        <stp>시간</stp>
        <stp/>
        <stp/>
        <tr r="K29" s="1"/>
        <tr r="K29" s="1"/>
        <tr r="K29" s="1"/>
      </tp>
      <tp>
        <v>132356</v>
        <stp/>
        <stp>P</stp>
        <stp>0</stp>
        <stp>FX</stp>
        <stp>ALLUSDTWD05Y</stp>
        <stp>시간</stp>
        <stp/>
        <stp/>
        <tr r="BE17" s="1"/>
        <tr r="BE17" s="1"/>
        <tr r="BE17" s="1"/>
      </tp>
      <tp>
        <v>6.8989000000000003</v>
        <stp/>
        <stp>P</stp>
        <stp>0</stp>
        <stp>FX</stp>
        <stp>BGCUSDCNY01M</stp>
        <stp>매수</stp>
        <stp/>
        <stp/>
        <tr r="AF38" s="1"/>
      </tp>
      <tp>
        <v>132324</v>
        <stp/>
        <stp>P</stp>
        <stp>0</stp>
        <stp>FX</stp>
        <stp>ALLUSDPHP01M</stp>
        <stp>시간</stp>
        <stp/>
        <stp/>
        <tr r="BE23" s="1"/>
        <tr r="BE23" s="1"/>
        <tr r="BE23" s="1"/>
      </tp>
      <tp>
        <v>6.8909000000000002</v>
        <stp/>
        <stp>P</stp>
        <stp>0</stp>
        <stp>FX</stp>
        <stp>BGCUSDCNY01W</stp>
        <stp>매수</stp>
        <stp/>
        <stp/>
        <tr r="AF37" s="1"/>
      </tp>
      <tp>
        <v>1173.58</v>
        <stp/>
        <stp>P</stp>
        <stp>0</stp>
        <stp>FX</stp>
        <stp>ALLUSDKRW06M</stp>
        <stp>매수</stp>
        <stp/>
        <stp/>
        <tr r="I11" s="1"/>
      </tp>
      <tp>
        <v>1168.78</v>
        <stp/>
        <stp>P</stp>
        <stp>0</stp>
        <stp>FX</stp>
        <stp>BGCUSDKRW09M</stp>
        <stp>매수</stp>
        <stp/>
        <stp/>
        <tr r="I42" s="1"/>
      </tp>
      <tp>
        <v>140100</v>
        <stp/>
        <stp>P</stp>
        <stp>0</stp>
        <stp>FX</stp>
        <stp>NITUSDKRW02M</stp>
        <stp>시간</stp>
        <stp/>
        <stp/>
        <tr r="K24" s="1"/>
        <tr r="K24" s="1"/>
        <tr r="K24" s="1"/>
      </tp>
      <tp>
        <v>132325</v>
        <stp/>
        <stp>P</stp>
        <stp>0</stp>
        <stp>FX</stp>
        <stp>ALLUSDPHP01W</stp>
        <stp>시간</stp>
        <stp/>
        <stp/>
        <tr r="BE22" s="1"/>
        <tr r="BE22" s="1"/>
        <tr r="BE22" s="1"/>
      </tp>
      <tp>
        <v>17257</v>
        <stp/>
        <stp>P</stp>
        <stp>0</stp>
        <stp>FX</stp>
        <stp>ALLUSDIDR04Y</stp>
        <stp>매수</stp>
        <stp/>
        <stp/>
        <tr r="BC46" s="1"/>
      </tp>
      <tp>
        <v>132337</v>
        <stp/>
        <stp>P</stp>
        <stp>0</stp>
        <stp>FX</stp>
        <stp>ALLUSDPHP01Y</stp>
        <stp>시간</stp>
        <stp/>
        <stp/>
        <tr r="BE28" s="1"/>
        <tr r="BE28" s="1"/>
        <tr r="BE28" s="1"/>
      </tp>
      <tp>
        <v>6.9679000000000002</v>
        <stp/>
        <stp>P</stp>
        <stp>0</stp>
        <stp>FX</stp>
        <stp>BGCUSDCNY01Y</stp>
        <stp>매수</stp>
        <stp/>
        <stp/>
        <tr r="AF43" s="1"/>
      </tp>
      <tp>
        <v>140101</v>
        <stp/>
        <stp>P</stp>
        <stp>0</stp>
        <stp>FX</stp>
        <stp>NITUSDKRW03Y</stp>
        <stp>시간</stp>
        <stp/>
        <stp/>
        <tr r="K30" s="1"/>
        <tr r="K30" s="1"/>
        <tr r="K30" s="1"/>
      </tp>
      <tp>
        <v>140101</v>
        <stp/>
        <stp>P</stp>
        <stp>0</stp>
        <stp>FX</stp>
        <stp>ALLUSDTWD04Y</stp>
        <stp>시간</stp>
        <stp/>
        <stp/>
        <tr r="BE16" s="1"/>
        <tr r="BE16" s="1"/>
        <tr r="BE16" s="1"/>
      </tp>
      <tp>
        <v>140059</v>
        <stp/>
        <stp>P</stp>
        <stp>0</stp>
        <stp>FX</stp>
        <stp>NITUSDKRW03M</stp>
        <stp>시간</stp>
        <stp/>
        <stp/>
        <tr r="K25" s="1"/>
        <tr r="K25" s="1"/>
        <tr r="K25" s="1"/>
      </tp>
      <tp>
        <v>18066</v>
        <stp/>
        <stp>P</stp>
        <stp>0</stp>
        <stp>FX</stp>
        <stp>ALLUSDIDR05Y</stp>
        <stp>매수</stp>
        <stp/>
        <stp/>
        <tr r="BC47" s="1"/>
      </tp>
      <tp>
        <v>1118.3900000000001</v>
        <stp/>
        <stp>P</stp>
        <stp>0</stp>
        <stp>FX</stp>
        <stp>ALLUSDKRW04Y</stp>
        <stp>매수</stp>
        <stp/>
        <stp/>
        <tr r="I16" s="1"/>
      </tp>
      <tp>
        <v>14620</v>
        <stp/>
        <stp>P</stp>
        <stp>0</stp>
        <stp>FX</stp>
        <stp>ALLUSDIDR06M</stp>
        <stp>매수</stp>
        <stp/>
        <stp/>
        <tr r="BC41" s="1"/>
      </tp>
      <tp>
        <v>6.9158999999999997</v>
        <stp/>
        <stp>P</stp>
        <stp>0</stp>
        <stp>FX</stp>
        <stp>BGCUSDCNY03M</stp>
        <stp>매수</stp>
        <stp/>
        <stp/>
        <tr r="AF40" s="1"/>
      </tp>
      <tp>
        <v>132328</v>
        <stp/>
        <stp>P</stp>
        <stp>0</stp>
        <stp>FX</stp>
        <stp>ALLUSDPHP03M</stp>
        <stp>시간</stp>
        <stp/>
        <stp/>
        <tr r="BE25" s="1"/>
        <tr r="BE25" s="1"/>
        <tr r="BE25" s="1"/>
      </tp>
      <tp>
        <v>140101</v>
        <stp/>
        <stp>P</stp>
        <stp>0</stp>
        <stp>FX</stp>
        <stp>ALLUSDPHP03Y</stp>
        <stp>시간</stp>
        <stp/>
        <stp/>
        <tr r="BE30" s="1"/>
        <tr r="BE30" s="1"/>
        <tr r="BE30" s="1"/>
      </tp>
      <tp>
        <v>7.0983999999999998</v>
        <stp/>
        <stp>P</stp>
        <stp>0</stp>
        <stp>FX</stp>
        <stp>BGCUSDCNY03Y</stp>
        <stp>매수</stp>
        <stp/>
        <stp/>
        <tr r="AF45" s="1"/>
      </tp>
      <tp>
        <v>1103.9000000000001</v>
        <stp/>
        <stp>P</stp>
        <stp>0</stp>
        <stp>FX</stp>
        <stp>ALLUSDKRW05Y</stp>
        <stp>매수</stp>
        <stp/>
        <stp/>
        <tr r="I17" s="1"/>
      </tp>
      <tp>
        <v>140100</v>
        <stp/>
        <stp>P</stp>
        <stp>0</stp>
        <stp>FX</stp>
        <stp>NITUSDKRW01Y</stp>
        <stp>시간</stp>
        <stp/>
        <stp/>
        <tr r="K28" s="1"/>
        <tr r="K28" s="1"/>
        <tr r="K28" s="1"/>
      </tp>
      <tp>
        <v>6.9074</v>
        <stp/>
        <stp>P</stp>
        <stp>0</stp>
        <stp>FX</stp>
        <stp>BGCUSDCNY02M</stp>
        <stp>매수</stp>
        <stp/>
        <stp/>
        <tr r="AF39" s="1"/>
      </tp>
      <tp>
        <v>140102</v>
        <stp/>
        <stp>P</stp>
        <stp>0</stp>
        <stp>FX</stp>
        <stp>NITUSDCNY09M</stp>
        <stp>시간</stp>
        <stp/>
        <stp/>
        <tr r="AH27" s="1"/>
        <tr r="AH27" s="1"/>
        <tr r="AH27" s="1"/>
      </tp>
      <tp>
        <v>140059</v>
        <stp/>
        <stp>P</stp>
        <stp>0</stp>
        <stp>FX</stp>
        <stp>NITUSDKRW01W</stp>
        <stp>시간</stp>
        <stp/>
        <stp/>
        <tr r="K22" s="1"/>
        <tr r="K22" s="1"/>
        <tr r="K22" s="1"/>
      </tp>
      <tp>
        <v>132326</v>
        <stp/>
        <stp>P</stp>
        <stp>0</stp>
        <stp>FX</stp>
        <stp>ALLUSDPHP02M</stp>
        <stp>시간</stp>
        <stp/>
        <stp/>
        <tr r="BE24" s="1"/>
        <tr r="BE24" s="1"/>
        <tr r="BE24" s="1"/>
      </tp>
      <tp>
        <v>140919</v>
        <stp/>
        <stp>P</stp>
        <stp>0</stp>
        <stp>FX</stp>
        <stp>ALLUSDTWD06M</stp>
        <stp>시간</stp>
        <stp/>
        <stp/>
        <tr r="BE11" s="1"/>
        <tr r="BE11" s="1"/>
        <tr r="BE11" s="1"/>
      </tp>
      <tp>
        <v>140100</v>
        <stp/>
        <stp>P</stp>
        <stp>0</stp>
        <stp>FX</stp>
        <stp>NITUSDKRW01M</stp>
        <stp>시간</stp>
        <stp/>
        <stp/>
        <tr r="K23" s="1"/>
        <tr r="K23" s="1"/>
        <tr r="K23" s="1"/>
      </tp>
      <tp>
        <v>132338</v>
        <stp/>
        <stp>P</stp>
        <stp>0</stp>
        <stp>FX</stp>
        <stp>ALLUSDPHP02Y</stp>
        <stp>시간</stp>
        <stp/>
        <stp/>
        <tr r="BE29" s="1"/>
        <tr r="BE29" s="1"/>
        <tr r="BE29" s="1"/>
      </tp>
      <tp>
        <v>7.0304000000000002</v>
        <stp/>
        <stp>P</stp>
        <stp>0</stp>
        <stp>FX</stp>
        <stp>BGCUSDCNY02Y</stp>
        <stp>매수</stp>
        <stp/>
        <stp/>
        <tr r="AF44" s="1"/>
      </tp>
      <tp>
        <v>1148.25</v>
        <stp/>
        <stp>P</stp>
        <stp>0</stp>
        <stp>FX</stp>
        <stp>ALLUSDKRW02Y</stp>
        <stp>매수</stp>
        <stp/>
        <stp/>
        <tr r="I14" s="1"/>
      </tp>
      <tp>
        <v>140919</v>
        <stp/>
        <stp>P</stp>
        <stp>0</stp>
        <stp>FX</stp>
        <stp>ALLUSDTWD01Y</stp>
        <stp>시간</stp>
        <stp/>
        <stp/>
        <tr r="BE13" s="1"/>
        <tr r="BE13" s="1"/>
        <tr r="BE13" s="1"/>
      </tp>
      <tp>
        <v>140920</v>
        <stp/>
        <stp>P</stp>
        <stp>0</stp>
        <stp>FX</stp>
        <stp>ALLUSDTWD01W</stp>
        <stp>시간</stp>
        <stp/>
        <stp/>
        <tr r="BE7" s="1"/>
        <tr r="BE7" s="1"/>
        <tr r="BE7" s="1"/>
      </tp>
      <tp>
        <v>140920</v>
        <stp/>
        <stp>P</stp>
        <stp>0</stp>
        <stp>FX</stp>
        <stp>ALLUSDTWD01M</stp>
        <stp>시간</stp>
        <stp/>
        <stp/>
        <tr r="BE8" s="1"/>
        <tr r="BE8" s="1"/>
        <tr r="BE8" s="1"/>
      </tp>
      <tp>
        <v>1178.83</v>
        <stp/>
        <stp>P</stp>
        <stp>0</stp>
        <stp>FX</stp>
        <stp>ALLUSDKRW02M</stp>
        <stp>매수</stp>
        <stp/>
        <stp/>
        <tr r="I9" s="1"/>
      </tp>
      <tp>
        <v>140100</v>
        <stp/>
        <stp>P</stp>
        <stp>0</stp>
        <stp>FX</stp>
        <stp>NITUSDKRW06M</stp>
        <stp>시간</stp>
        <stp/>
        <stp/>
        <tr r="K26" s="1"/>
        <tr r="K26" s="1"/>
        <tr r="K26" s="1"/>
      </tp>
      <tp>
        <v>132335</v>
        <stp/>
        <stp>P</stp>
        <stp>0</stp>
        <stp>FX</stp>
        <stp>ALLUSDPHP05Y</stp>
        <stp>시간</stp>
        <stp/>
        <stp/>
        <tr r="BE32" s="1"/>
        <tr r="BE32" s="1"/>
        <tr r="BE32" s="1"/>
      </tp>
      <tp>
        <v>7.2283999999999997</v>
        <stp/>
        <stp>P</stp>
        <stp>0</stp>
        <stp>FX</stp>
        <stp>BGCUSDCNY05Y</stp>
        <stp>매수</stp>
        <stp/>
        <stp/>
        <tr r="AF47" s="1"/>
      </tp>
      <tp>
        <v>1132.8499999999999</v>
        <stp/>
        <stp>P</stp>
        <stp>0</stp>
        <stp>FX</stp>
        <stp>ALLUSDKRW03Y</stp>
        <stp>매수</stp>
        <stp/>
        <stp/>
        <tr r="I15" s="1"/>
      </tp>
      <tp>
        <v>14290</v>
        <stp/>
        <stp>P</stp>
        <stp>0</stp>
        <stp>FX</stp>
        <stp>ALLUSDIDR01M</stp>
        <stp>매수</stp>
        <stp/>
        <stp/>
        <tr r="BC38" s="1"/>
      </tp>
      <tp>
        <v>1177.6300000000001</v>
        <stp/>
        <stp>P</stp>
        <stp>0</stp>
        <stp>FX</stp>
        <stp>ALLUSDKRW03M</stp>
        <stp>매수</stp>
        <stp/>
        <stp/>
        <tr r="I10" s="1"/>
      </tp>
      <tp>
        <v>15015</v>
        <stp/>
        <stp>P</stp>
        <stp>0</stp>
        <stp>FX</stp>
        <stp>ALLUSDIDR01Y</stp>
        <stp>매수</stp>
        <stp/>
        <stp/>
        <tr r="BC43" s="1"/>
      </tp>
      <tp>
        <v>14229</v>
        <stp/>
        <stp>P</stp>
        <stp>0</stp>
        <stp>FX</stp>
        <stp>ALLUSDIDR01W</stp>
        <stp>매수</stp>
        <stp/>
        <stp/>
        <tr r="BC37" s="1"/>
      </tp>
      <tp>
        <v>140101</v>
        <stp/>
        <stp>P</stp>
        <stp>0</stp>
        <stp>FX</stp>
        <stp>ALLUSDPHP04Y</stp>
        <stp>시간</stp>
        <stp/>
        <stp/>
        <tr r="BE31" s="1"/>
        <tr r="BE31" s="1"/>
        <tr r="BE31" s="1"/>
      </tp>
      <tp>
        <v>7.1634000000000002</v>
        <stp/>
        <stp>P</stp>
        <stp>0</stp>
        <stp>FX</stp>
        <stp>BGCUSDCNY04Y</stp>
        <stp>매수</stp>
        <stp/>
        <stp/>
        <tr r="AF46" s="1"/>
      </tp>
      <tp>
        <v>140101</v>
        <stp/>
        <stp>P</stp>
        <stp>0</stp>
        <stp>FX</stp>
        <stp>NITUSDKRW04Y</stp>
        <stp>시간</stp>
        <stp/>
        <stp/>
        <tr r="K31" s="1"/>
        <tr r="K31" s="1"/>
        <tr r="K31" s="1"/>
      </tp>
      <tp>
        <v>14365</v>
        <stp/>
        <stp>P</stp>
        <stp>0</stp>
        <stp>FX</stp>
        <stp>ALLUSDIDR02M</stp>
        <stp>매수</stp>
        <stp/>
        <stp/>
        <tr r="BC39" s="1"/>
      </tp>
      <tp>
        <v>132351</v>
        <stp/>
        <stp>P</stp>
        <stp>0</stp>
        <stp>FX</stp>
        <stp>ALLUSDTWD03Y</stp>
        <stp>시간</stp>
        <stp/>
        <stp/>
        <tr r="BE15" s="1"/>
        <tr r="BE15" s="1"/>
        <tr r="BE15" s="1"/>
      </tp>
      <tp>
        <v>141004</v>
        <stp/>
        <stp>P</stp>
        <stp>0</stp>
        <stp>FX</stp>
        <stp>ALLUSDTWD03M</stp>
        <stp>시간</stp>
        <stp/>
        <stp/>
        <tr r="BE10" s="1"/>
        <tr r="BE10" s="1"/>
        <tr r="BE10" s="1"/>
      </tp>
      <tp>
        <v>15756</v>
        <stp/>
        <stp>P</stp>
        <stp>0</stp>
        <stp>FX</stp>
        <stp>ALLUSDIDR02Y</stp>
        <stp>매수</stp>
        <stp/>
        <stp/>
        <tr r="BC44" s="1"/>
      </tp>
      <tp>
        <v>1163.8800000000001</v>
        <stp/>
        <stp>P</stp>
        <stp>0</stp>
        <stp>FX</stp>
        <stp>ALLUSDKRW01Y</stp>
        <stp>매수</stp>
        <stp/>
        <stp/>
        <tr r="I13" s="1"/>
      </tp>
      <tp>
        <v>140059</v>
        <stp/>
        <stp>P</stp>
        <stp>0</stp>
        <stp>FX</stp>
        <stp>NITUSDKRW05Y</stp>
        <stp>시간</stp>
        <stp/>
        <stp/>
        <tr r="K32" s="1"/>
        <tr r="K32" s="1"/>
        <tr r="K32" s="1"/>
      </tp>
      <tp>
        <v>14438</v>
        <stp/>
        <stp>P</stp>
        <stp>0</stp>
        <stp>FX</stp>
        <stp>ALLUSDIDR03M</stp>
        <stp>매수</stp>
        <stp/>
        <stp/>
        <tr r="BC40" s="1"/>
      </tp>
      <tp>
        <v>140920</v>
        <stp/>
        <stp>P</stp>
        <stp>0</stp>
        <stp>FX</stp>
        <stp>ALLUSDTWD02Y</stp>
        <stp>시간</stp>
        <stp/>
        <stp/>
        <tr r="BE14" s="1"/>
        <tr r="BE14" s="1"/>
        <tr r="BE14" s="1"/>
      </tp>
      <tp>
        <v>6.9344000000000001</v>
        <stp/>
        <stp>P</stp>
        <stp>0</stp>
        <stp>FX</stp>
        <stp>BGCUSDCNY06M</stp>
        <stp>매수</stp>
        <stp/>
        <stp/>
        <tr r="AF41" s="1"/>
      </tp>
      <tp>
        <v>6.9513999999999996</v>
        <stp/>
        <stp>P</stp>
        <stp>0</stp>
        <stp>FX</stp>
        <stp>ALLUSDCNY09M</stp>
        <stp>매수</stp>
        <stp/>
        <stp/>
        <tr r="AF12" s="1"/>
      </tp>
      <tp>
        <v>1181.04</v>
        <stp/>
        <stp>P</stp>
        <stp>0</stp>
        <stp>FX</stp>
        <stp>ALLUSDKRW01W</stp>
        <stp>매수</stp>
        <stp/>
        <stp/>
        <tr r="I7" s="1"/>
      </tp>
      <tp>
        <v>132335</v>
        <stp/>
        <stp>P</stp>
        <stp>0</stp>
        <stp>FX</stp>
        <stp>ALLUSDPHP06M</stp>
        <stp>시간</stp>
        <stp/>
        <stp/>
        <tr r="BE26" s="1"/>
        <tr r="BE26" s="1"/>
        <tr r="BE26" s="1"/>
      </tp>
      <tp>
        <v>140920</v>
        <stp/>
        <stp>P</stp>
        <stp>0</stp>
        <stp>FX</stp>
        <stp>ALLUSDTWD02M</stp>
        <stp>시간</stp>
        <stp/>
        <stp/>
        <tr r="BE9" s="1"/>
        <tr r="BE9" s="1"/>
        <tr r="BE9" s="1"/>
      </tp>
      <tp>
        <v>1180.08</v>
        <stp/>
        <stp>P</stp>
        <stp>0</stp>
        <stp>FX</stp>
        <stp>ALLUSDKRW01M</stp>
        <stp>매수</stp>
        <stp/>
        <stp/>
        <tr r="I8" s="1"/>
      </tp>
      <tp>
        <v>16509</v>
        <stp/>
        <stp>P</stp>
        <stp>0</stp>
        <stp>FX</stp>
        <stp>ALLUSDIDR03Y</stp>
        <stp>매수</stp>
        <stp/>
        <stp/>
        <tr r="BC45" s="1"/>
      </tp>
      <tp>
        <v>141029</v>
        <stp/>
        <stp>P</stp>
        <stp>0</stp>
        <stp>FX</stp>
        <stp>ALLUSDKRW02Y</stp>
        <stp>시간</stp>
        <stp/>
        <stp/>
        <tr r="K14" s="1"/>
        <tr r="K14" s="1"/>
        <tr r="K14" s="1"/>
      </tp>
      <tp>
        <v>30.9</v>
        <stp/>
        <stp>P</stp>
        <stp>0</stp>
        <stp>FX</stp>
        <stp>ALLUSDTWD01Y</stp>
        <stp>매수</stp>
        <stp/>
        <stp/>
        <tr r="BC13" s="1"/>
      </tp>
      <tp>
        <v>31.4</v>
        <stp/>
        <stp>P</stp>
        <stp>0</stp>
        <stp>FX</stp>
        <stp>ALLUSDTWD01W</stp>
        <stp>매수</stp>
        <stp/>
        <stp/>
        <tr r="BC7" s="1"/>
      </tp>
      <tp>
        <v>31.39</v>
        <stp/>
        <stp>P</stp>
        <stp>0</stp>
        <stp>FX</stp>
        <stp>ALLUSDTWD01M</stp>
        <stp>매수</stp>
        <stp/>
        <stp/>
        <tr r="BC8" s="1"/>
      </tp>
      <tp>
        <v>1173</v>
        <stp/>
        <stp>P</stp>
        <stp>0</stp>
        <stp>FX</stp>
        <stp>NITUSDKRW06M</stp>
        <stp>매수</stp>
        <stp/>
        <stp/>
        <tr r="I26" s="1"/>
      </tp>
      <tp>
        <v>141029</v>
        <stp/>
        <stp>P</stp>
        <stp>0</stp>
        <stp>FX</stp>
        <stp>ALLUSDKRW02M</stp>
        <stp>시간</stp>
        <stp/>
        <stp/>
        <tr r="K9" s="1"/>
        <tr r="K9" s="1"/>
        <tr r="K9" s="1"/>
      </tp>
      <tp>
        <v>57.79</v>
        <stp/>
        <stp>P</stp>
        <stp>0</stp>
        <stp>FX</stp>
        <stp>ALLUSDPHP05Y</stp>
        <stp>매수</stp>
        <stp/>
        <stp/>
        <tr r="BC32" s="1"/>
      </tp>
      <tp>
        <v>140905</v>
        <stp/>
        <stp>P</stp>
        <stp>0</stp>
        <stp>FX</stp>
        <stp>BGCUSDCNY05Y</stp>
        <stp>시간</stp>
        <stp/>
        <stp/>
        <tr r="AH47" s="1"/>
        <tr r="AH47" s="1"/>
        <tr r="AH47" s="1"/>
      </tp>
      <tp>
        <v>140101</v>
        <stp/>
        <stp>P</stp>
        <stp>0</stp>
        <stp>FX</stp>
        <stp>ALLUSDKRW03Y</stp>
        <stp>시간</stp>
        <stp/>
        <stp/>
        <tr r="K15" s="1"/>
        <tr r="K15" s="1"/>
        <tr r="K15" s="1"/>
      </tp>
      <tp>
        <v>132200</v>
        <stp/>
        <stp>P</stp>
        <stp>0</stp>
        <stp>FX</stp>
        <stp>ALLUSDIDR01M</stp>
        <stp>시간</stp>
        <stp/>
        <stp/>
        <tr r="BE38" s="1"/>
        <tr r="BE38" s="1"/>
        <tr r="BE38" s="1"/>
      </tp>
      <tp>
        <v>141029</v>
        <stp/>
        <stp>P</stp>
        <stp>0</stp>
        <stp>FX</stp>
        <stp>ALLUSDKRW03M</stp>
        <stp>시간</stp>
        <stp/>
        <stp/>
        <tr r="K10" s="1"/>
        <tr r="K10" s="1"/>
        <tr r="K10" s="1"/>
      </tp>
      <tp>
        <v>132213</v>
        <stp/>
        <stp>P</stp>
        <stp>0</stp>
        <stp>FX</stp>
        <stp>ALLUSDIDR01Y</stp>
        <stp>시간</stp>
        <stp/>
        <stp/>
        <tr r="BE43" s="1"/>
        <tr r="BE43" s="1"/>
        <tr r="BE43" s="1"/>
      </tp>
      <tp>
        <v>132201</v>
        <stp/>
        <stp>P</stp>
        <stp>0</stp>
        <stp>FX</stp>
        <stp>ALLUSDIDR01W</stp>
        <stp>시간</stp>
        <stp/>
        <stp/>
        <tr r="BE37" s="1"/>
        <tr r="BE37" s="1"/>
        <tr r="BE37" s="1"/>
      </tp>
      <tp>
        <v>56.44</v>
        <stp/>
        <stp>P</stp>
        <stp>0</stp>
        <stp>FX</stp>
        <stp>ALLUSDPHP04Y</stp>
        <stp>매수</stp>
        <stp/>
        <stp/>
        <tr r="BC31" s="1"/>
      </tp>
      <tp>
        <v>140905</v>
        <stp/>
        <stp>P</stp>
        <stp>0</stp>
        <stp>FX</stp>
        <stp>BGCUSDCNY04Y</stp>
        <stp>시간</stp>
        <stp/>
        <stp/>
        <tr r="AH46" s="1"/>
        <tr r="AH46" s="1"/>
        <tr r="AH46" s="1"/>
      </tp>
      <tp>
        <v>1118.3900000000001</v>
        <stp/>
        <stp>P</stp>
        <stp>0</stp>
        <stp>FX</stp>
        <stp>NITUSDKRW04Y</stp>
        <stp>매수</stp>
        <stp/>
        <stp/>
        <tr r="I31" s="1"/>
      </tp>
      <tp>
        <v>132202</v>
        <stp/>
        <stp>P</stp>
        <stp>0</stp>
        <stp>FX</stp>
        <stp>ALLUSDIDR02M</stp>
        <stp>시간</stp>
        <stp/>
        <stp/>
        <tr r="BE39" s="1"/>
        <tr r="BE39" s="1"/>
        <tr r="BE39" s="1"/>
      </tp>
      <tp>
        <v>29.63</v>
        <stp/>
        <stp>P</stp>
        <stp>0</stp>
        <stp>FX</stp>
        <stp>ALLUSDTWD03Y</stp>
        <stp>매수</stp>
        <stp/>
        <stp/>
        <tr r="BC15" s="1"/>
      </tp>
      <tp>
        <v>31.35</v>
        <stp/>
        <stp>P</stp>
        <stp>0</stp>
        <stp>FX</stp>
        <stp>ALLUSDTWD03M</stp>
        <stp>매수</stp>
        <stp/>
        <stp/>
        <tr r="BC10" s="1"/>
      </tp>
      <tp>
        <v>132214</v>
        <stp/>
        <stp>P</stp>
        <stp>0</stp>
        <stp>FX</stp>
        <stp>ALLUSDIDR02Y</stp>
        <stp>시간</stp>
        <stp/>
        <stp/>
        <tr r="BE44" s="1"/>
        <tr r="BE44" s="1"/>
        <tr r="BE44" s="1"/>
      </tp>
      <tp>
        <v>1103.9000000000001</v>
        <stp/>
        <stp>P</stp>
        <stp>0</stp>
        <stp>FX</stp>
        <stp>NITUSDKRW05Y</stp>
        <stp>매수</stp>
        <stp/>
        <stp/>
        <tr r="I32" s="1"/>
      </tp>
      <tp>
        <v>141029</v>
        <stp/>
        <stp>P</stp>
        <stp>0</stp>
        <stp>FX</stp>
        <stp>ALLUSDKRW01Y</stp>
        <stp>시간</stp>
        <stp/>
        <stp/>
        <tr r="K13" s="1"/>
        <tr r="K13" s="1"/>
        <tr r="K13" s="1"/>
      </tp>
      <tp>
        <v>132204</v>
        <stp/>
        <stp>P</stp>
        <stp>0</stp>
        <stp>FX</stp>
        <stp>ALLUSDIDR03M</stp>
        <stp>시간</stp>
        <stp/>
        <stp/>
        <tr r="BE40" s="1"/>
        <tr r="BE40" s="1"/>
        <tr r="BE40" s="1"/>
      </tp>
      <tp>
        <v>30.49</v>
        <stp/>
        <stp>P</stp>
        <stp>0</stp>
        <stp>FX</stp>
        <stp>ALLUSDTWD02Y</stp>
        <stp>매수</stp>
        <stp/>
        <stp/>
        <tr r="BC14" s="1"/>
      </tp>
      <tp>
        <v>140905</v>
        <stp/>
        <stp>P</stp>
        <stp>0</stp>
        <stp>FX</stp>
        <stp>ALLUSDCNY09M</stp>
        <stp>시간</stp>
        <stp/>
        <stp/>
        <tr r="AH12" s="1"/>
        <tr r="AH12" s="1"/>
        <tr r="AH12" s="1"/>
      </tp>
      <tp>
        <v>140905</v>
        <stp/>
        <stp>P</stp>
        <stp>0</stp>
        <stp>FX</stp>
        <stp>BGCUSDCNY06M</stp>
        <stp>시간</stp>
        <stp/>
        <stp/>
        <tr r="AH41" s="1"/>
        <tr r="AH41" s="1"/>
        <tr r="AH41" s="1"/>
      </tp>
      <tp>
        <v>52.35</v>
        <stp/>
        <stp>P</stp>
        <stp>0</stp>
        <stp>FX</stp>
        <stp>ALLUSDPHP06M</stp>
        <stp>매수</stp>
        <stp/>
        <stp/>
        <tr r="BC26" s="1"/>
      </tp>
      <tp>
        <v>141029</v>
        <stp/>
        <stp>P</stp>
        <stp>0</stp>
        <stp>FX</stp>
        <stp>ALLUSDKRW01W</stp>
        <stp>시간</stp>
        <stp/>
        <stp/>
        <tr r="K7" s="1"/>
        <tr r="K7" s="1"/>
        <tr r="K7" s="1"/>
      </tp>
      <tp>
        <v>31.36</v>
        <stp/>
        <stp>P</stp>
        <stp>0</stp>
        <stp>FX</stp>
        <stp>ALLUSDTWD02M</stp>
        <stp>매수</stp>
        <stp/>
        <stp/>
        <tr r="BC9" s="1"/>
      </tp>
      <tp>
        <v>141029</v>
        <stp/>
        <stp>P</stp>
        <stp>0</stp>
        <stp>FX</stp>
        <stp>ALLUSDKRW01M</stp>
        <stp>시간</stp>
        <stp/>
        <stp/>
        <tr r="K8" s="1"/>
        <tr r="K8" s="1"/>
        <tr r="K8" s="1"/>
      </tp>
      <tp>
        <v>132206</v>
        <stp/>
        <stp>P</stp>
        <stp>0</stp>
        <stp>FX</stp>
        <stp>ALLUSDIDR03Y</stp>
        <stp>시간</stp>
        <stp/>
        <stp/>
        <tr r="BE45" s="1"/>
        <tr r="BE45" s="1"/>
        <tr r="BE45" s="1"/>
      </tp>
      <tp>
        <v>1147.3</v>
        <stp/>
        <stp>P</stp>
        <stp>0</stp>
        <stp>FX</stp>
        <stp>NITUSDKRW02Y</stp>
        <stp>매수</stp>
        <stp/>
        <stp/>
        <tr r="I29" s="1"/>
      </tp>
      <tp>
        <v>28.555</v>
        <stp/>
        <stp>P</stp>
        <stp>0</stp>
        <stp>FX</stp>
        <stp>ALLUSDTWD05Y</stp>
        <stp>매수</stp>
        <stp/>
        <stp/>
        <tr r="BC17" s="1"/>
      </tp>
      <tp>
        <v>140905</v>
        <stp/>
        <stp>P</stp>
        <stp>0</stp>
        <stp>FX</stp>
        <stp>BGCUSDCNY01M</stp>
        <stp>시간</stp>
        <stp/>
        <stp/>
        <tr r="AH38" s="1"/>
        <tr r="AH38" s="1"/>
        <tr r="AH38" s="1"/>
      </tp>
      <tp>
        <v>51.84</v>
        <stp/>
        <stp>P</stp>
        <stp>0</stp>
        <stp>FX</stp>
        <stp>ALLUSDPHP01M</stp>
        <stp>매수</stp>
        <stp/>
        <stp/>
        <tr r="BC23" s="1"/>
      </tp>
      <tp>
        <v>140905</v>
        <stp/>
        <stp>P</stp>
        <stp>0</stp>
        <stp>FX</stp>
        <stp>BGCUSDCNY01W</stp>
        <stp>시간</stp>
        <stp/>
        <stp/>
        <tr r="AH37" s="1"/>
        <tr r="AH37" s="1"/>
        <tr r="AH37" s="1"/>
      </tp>
      <tp>
        <v>51.78</v>
        <stp/>
        <stp>P</stp>
        <stp>0</stp>
        <stp>FX</stp>
        <stp>ALLUSDPHP01W</stp>
        <stp>매수</stp>
        <stp/>
        <stp/>
        <tr r="BC22" s="1"/>
      </tp>
      <tp>
        <v>1178.8</v>
        <stp/>
        <stp>P</stp>
        <stp>0</stp>
        <stp>FX</stp>
        <stp>NITUSDKRW02M</stp>
        <stp>매수</stp>
        <stp/>
        <stp/>
        <tr r="I24" s="1"/>
      </tp>
      <tp>
        <v>141029</v>
        <stp/>
        <stp>P</stp>
        <stp>0</stp>
        <stp>FX</stp>
        <stp>BGCUSDKRW09M</stp>
        <stp>시간</stp>
        <stp/>
        <stp/>
        <tr r="K42" s="1"/>
        <tr r="K42" s="1"/>
        <tr r="K42" s="1"/>
      </tp>
      <tp>
        <v>141029</v>
        <stp/>
        <stp>P</stp>
        <stp>0</stp>
        <stp>FX</stp>
        <stp>ALLUSDKRW06M</stp>
        <stp>시간</stp>
        <stp/>
        <stp/>
        <tr r="K11" s="1"/>
        <tr r="K11" s="1"/>
        <tr r="K11" s="1"/>
      </tp>
      <tp>
        <v>132208</v>
        <stp/>
        <stp>P</stp>
        <stp>0</stp>
        <stp>FX</stp>
        <stp>ALLUSDIDR04Y</stp>
        <stp>시간</stp>
        <stp/>
        <stp/>
        <tr r="BE46" s="1"/>
        <tr r="BE46" s="1"/>
        <tr r="BE46" s="1"/>
      </tp>
      <tp>
        <v>52.97</v>
        <stp/>
        <stp>P</stp>
        <stp>0</stp>
        <stp>FX</stp>
        <stp>ALLUSDPHP01Y</stp>
        <stp>매수</stp>
        <stp/>
        <stp/>
        <tr r="BC28" s="1"/>
      </tp>
      <tp>
        <v>140905</v>
        <stp/>
        <stp>P</stp>
        <stp>0</stp>
        <stp>FX</stp>
        <stp>BGCUSDCNY01Y</stp>
        <stp>시간</stp>
        <stp/>
        <stp/>
        <tr r="AH43" s="1"/>
        <tr r="AH43" s="1"/>
        <tr r="AH43" s="1"/>
      </tp>
      <tp>
        <v>1132.8499999999999</v>
        <stp/>
        <stp>P</stp>
        <stp>0</stp>
        <stp>FX</stp>
        <stp>NITUSDKRW03Y</stp>
        <stp>매수</stp>
        <stp/>
        <stp/>
        <tr r="I30" s="1"/>
      </tp>
      <tp>
        <v>29.15</v>
        <stp/>
        <stp>P</stp>
        <stp>0</stp>
        <stp>FX</stp>
        <stp>ALLUSDTWD04Y</stp>
        <stp>매수</stp>
        <stp/>
        <stp/>
        <tr r="BC16" s="1"/>
      </tp>
      <tp>
        <v>1177.45</v>
        <stp/>
        <stp>P</stp>
        <stp>0</stp>
        <stp>FX</stp>
        <stp>NITUSDKRW03M</stp>
        <stp>매수</stp>
        <stp/>
        <stp/>
        <tr r="I25" s="1"/>
      </tp>
      <tp>
        <v>132210</v>
        <stp/>
        <stp>P</stp>
        <stp>0</stp>
        <stp>FX</stp>
        <stp>ALLUSDIDR05Y</stp>
        <stp>시간</stp>
        <stp/>
        <stp/>
        <tr r="BE47" s="1"/>
        <tr r="BE47" s="1"/>
        <tr r="BE47" s="1"/>
      </tp>
      <tp>
        <v>140101</v>
        <stp/>
        <stp>P</stp>
        <stp>0</stp>
        <stp>FX</stp>
        <stp>ALLUSDKRW04Y</stp>
        <stp>시간</stp>
        <stp/>
        <stp/>
        <tr r="K16" s="1"/>
        <tr r="K16" s="1"/>
        <tr r="K16" s="1"/>
      </tp>
      <tp>
        <v>132211</v>
        <stp/>
        <stp>P</stp>
        <stp>0</stp>
        <stp>FX</stp>
        <stp>ALLUSDIDR06M</stp>
        <stp>시간</stp>
        <stp/>
        <stp/>
        <tr r="BE41" s="1"/>
        <tr r="BE41" s="1"/>
        <tr r="BE41" s="1"/>
      </tp>
      <tp>
        <v>140905</v>
        <stp/>
        <stp>P</stp>
        <stp>0</stp>
        <stp>FX</stp>
        <stp>BGCUSDCNY03M</stp>
        <stp>시간</stp>
        <stp/>
        <stp/>
        <tr r="AH40" s="1"/>
        <tr r="AH40" s="1"/>
        <tr r="AH40" s="1"/>
      </tp>
      <tp>
        <v>52.07</v>
        <stp/>
        <stp>P</stp>
        <stp>0</stp>
        <stp>FX</stp>
        <stp>ALLUSDPHP03M</stp>
        <stp>매수</stp>
        <stp/>
        <stp/>
        <tr r="BC25" s="1"/>
      </tp>
      <tp>
        <v>55.1</v>
        <stp/>
        <stp>P</stp>
        <stp>0</stp>
        <stp>FX</stp>
        <stp>ALLUSDPHP03Y</stp>
        <stp>매수</stp>
        <stp/>
        <stp/>
        <tr r="BC30" s="1"/>
      </tp>
      <tp>
        <v>140905</v>
        <stp/>
        <stp>P</stp>
        <stp>0</stp>
        <stp>FX</stp>
        <stp>BGCUSDCNY03Y</stp>
        <stp>시간</stp>
        <stp/>
        <stp/>
        <tr r="AH45" s="1"/>
        <tr r="AH45" s="1"/>
        <tr r="AH45" s="1"/>
      </tp>
      <tp>
        <v>1164.0999999999999</v>
        <stp/>
        <stp>P</stp>
        <stp>0</stp>
        <stp>FX</stp>
        <stp>NITUSDKRW01Y</stp>
        <stp>매수</stp>
        <stp/>
        <stp/>
        <tr r="I28" s="1"/>
      </tp>
      <tp>
        <v>140059</v>
        <stp/>
        <stp>P</stp>
        <stp>0</stp>
        <stp>FX</stp>
        <stp>ALLUSDKRW05Y</stp>
        <stp>시간</stp>
        <stp/>
        <stp/>
        <tr r="K17" s="1"/>
        <tr r="K17" s="1"/>
        <tr r="K17" s="1"/>
      </tp>
      <tp>
        <v>6.9504000000000001</v>
        <stp/>
        <stp>P</stp>
        <stp>0</stp>
        <stp>FX</stp>
        <stp>NITUSDCNY09M</stp>
        <stp>매수</stp>
        <stp/>
        <stp/>
        <tr r="AF27" s="1"/>
      </tp>
      <tp>
        <v>140905</v>
        <stp/>
        <stp>P</stp>
        <stp>0</stp>
        <stp>FX</stp>
        <stp>BGCUSDCNY02M</stp>
        <stp>시간</stp>
        <stp/>
        <stp/>
        <tr r="AH39" s="1"/>
        <tr r="AH39" s="1"/>
        <tr r="AH39" s="1"/>
      </tp>
      <tp>
        <v>51.95</v>
        <stp/>
        <stp>P</stp>
        <stp>0</stp>
        <stp>FX</stp>
        <stp>ALLUSDPHP02M</stp>
        <stp>매수</stp>
        <stp/>
        <stp/>
        <tr r="BC24" s="1"/>
      </tp>
      <tp>
        <v>1181.4100000000001</v>
        <stp/>
        <stp>P</stp>
        <stp>0</stp>
        <stp>FX</stp>
        <stp>NITUSDKRW01W</stp>
        <stp>매수</stp>
        <stp/>
        <stp/>
        <tr r="I22" s="1"/>
      </tp>
      <tp>
        <v>31.24</v>
        <stp/>
        <stp>P</stp>
        <stp>0</stp>
        <stp>FX</stp>
        <stp>ALLUSDTWD06M</stp>
        <stp>매수</stp>
        <stp/>
        <stp/>
        <tr r="BC11" s="1"/>
      </tp>
      <tp>
        <v>1179.95</v>
        <stp/>
        <stp>P</stp>
        <stp>0</stp>
        <stp>FX</stp>
        <stp>NITUSDKRW01M</stp>
        <stp>매수</stp>
        <stp/>
        <stp/>
        <tr r="I23" s="1"/>
      </tp>
      <tp>
        <v>53.76</v>
        <stp/>
        <stp>P</stp>
        <stp>0</stp>
        <stp>FX</stp>
        <stp>ALLUSDPHP02Y</stp>
        <stp>매수</stp>
        <stp/>
        <stp/>
        <tr r="BC29" s="1"/>
      </tp>
      <tp>
        <v>140905</v>
        <stp/>
        <stp>P</stp>
        <stp>0</stp>
        <stp>FX</stp>
        <stp>BGCUSDCNY02Y</stp>
        <stp>시간</stp>
        <stp/>
        <stp/>
        <tr r="AH44" s="1"/>
        <tr r="AH44" s="1"/>
        <tr r="AH44" s="1"/>
      </tp>
      <tp t="s">
        <v/>
        <stp/>
        <stp>P</stp>
        <stp>0</stp>
        <stp>FX</stp>
        <stp>BGCUSDKRW05Y</stp>
        <stp>시간</stp>
        <stp/>
        <stp/>
        <tr r="K47" s="1"/>
        <tr r="K47" s="1"/>
        <tr r="K47" s="1"/>
      </tp>
      <tp>
        <v>6.9344999999999999</v>
        <stp/>
        <stp>P</stp>
        <stp>0</stp>
        <stp>FX</stp>
        <stp>NITUSDCNY06M</stp>
        <stp>매수</stp>
        <stp/>
        <stp/>
        <tr r="AF26" s="1"/>
      </tp>
      <tp>
        <v>140905</v>
        <stp/>
        <stp>P</stp>
        <stp>0</stp>
        <stp>FX</stp>
        <stp>ALLUSDCNY02M</stp>
        <stp>시간</stp>
        <stp/>
        <stp/>
        <tr r="AH9" s="1"/>
        <tr r="AH9" s="1"/>
        <tr r="AH9" s="1"/>
      </tp>
      <tp>
        <v>31.06</v>
        <stp/>
        <stp>P</stp>
        <stp>0</stp>
        <stp>FX</stp>
        <stp>ALLUSDTWD09M</stp>
        <stp>매수</stp>
        <stp/>
        <stp/>
        <tr r="BC12" s="1"/>
      </tp>
      <tp>
        <v>140905</v>
        <stp/>
        <stp>P</stp>
        <stp>0</stp>
        <stp>FX</stp>
        <stp>ALLUSDCNY02Y</stp>
        <stp>시간</stp>
        <stp/>
        <stp/>
        <tr r="AH14" s="1"/>
        <tr r="AH14" s="1"/>
        <tr r="AH14" s="1"/>
      </tp>
      <tp t="s">
        <v/>
        <stp/>
        <stp>P</stp>
        <stp>0</stp>
        <stp>FX</stp>
        <stp>BGCUSDKRW04Y</stp>
        <stp>시간</stp>
        <stp/>
        <stp/>
        <tr r="K46" s="1"/>
        <tr r="K46" s="1"/>
        <tr r="K46" s="1"/>
      </tp>
      <tp>
        <v>140101</v>
        <stp/>
        <stp>P</stp>
        <stp>0</stp>
        <stp>FX</stp>
        <stp>ALLUSDIDR09M</stp>
        <stp>시간</stp>
        <stp/>
        <stp/>
        <tr r="BE42" s="1"/>
        <tr r="BE42" s="1"/>
        <tr r="BE42" s="1"/>
      </tp>
      <tp>
        <v>140905</v>
        <stp/>
        <stp>P</stp>
        <stp>0</stp>
        <stp>FX</stp>
        <stp>ALLUSDCNY03M</stp>
        <stp>시간</stp>
        <stp/>
        <stp/>
        <tr r="AH10" s="1"/>
        <tr r="AH10" s="1"/>
        <tr r="AH10" s="1"/>
      </tp>
      <tp>
        <v>140905</v>
        <stp/>
        <stp>P</stp>
        <stp>0</stp>
        <stp>FX</stp>
        <stp>ALLUSDCNY03Y</stp>
        <stp>시간</stp>
        <stp/>
        <stp/>
        <tr r="AH15" s="1"/>
        <tr r="AH15" s="1"/>
        <tr r="AH15" s="1"/>
      </tp>
      <tp>
        <v>7.0441000000000003</v>
        <stp/>
        <stp>P</stp>
        <stp>0</stp>
        <stp>FX</stp>
        <stp>NITUSDCNY04Y</stp>
        <stp>매수</stp>
        <stp/>
        <stp/>
        <tr r="AF31" s="1"/>
      </tp>
      <tp>
        <v>140905</v>
        <stp/>
        <stp>P</stp>
        <stp>0</stp>
        <stp>FX</stp>
        <stp>ALLUSDCNY01M</stp>
        <stp>시간</stp>
        <stp/>
        <stp/>
        <tr r="AH8" s="1"/>
        <tr r="AH8" s="1"/>
        <tr r="AH8" s="1"/>
      </tp>
      <tp>
        <v>140905</v>
        <stp/>
        <stp>P</stp>
        <stp>0</stp>
        <stp>FX</stp>
        <stp>ALLUSDCNY01W</stp>
        <stp>시간</stp>
        <stp/>
        <stp/>
        <tr r="AH7" s="1"/>
        <tr r="AH7" s="1"/>
        <tr r="AH7" s="1"/>
      </tp>
      <tp>
        <v>141029</v>
        <stp/>
        <stp>P</stp>
        <stp>0</stp>
        <stp>FX</stp>
        <stp>BGCUSDKRW06M</stp>
        <stp>시간</stp>
        <stp/>
        <stp/>
        <tr r="K41" s="1"/>
        <tr r="K41" s="1"/>
        <tr r="K41" s="1"/>
      </tp>
      <tp>
        <v>141029</v>
        <stp/>
        <stp>P</stp>
        <stp>0</stp>
        <stp>FX</stp>
        <stp>ALLUSDKRW09M</stp>
        <stp>시간</stp>
        <stp/>
        <stp/>
        <tr r="K12" s="1"/>
        <tr r="K12" s="1"/>
        <tr r="K12" s="1"/>
      </tp>
      <tp>
        <v>7.0510000000000002</v>
        <stp/>
        <stp>P</stp>
        <stp>0</stp>
        <stp>FX</stp>
        <stp>NITUSDCNY05Y</stp>
        <stp>매수</stp>
        <stp/>
        <stp/>
        <tr r="AF32" s="1"/>
      </tp>
      <tp>
        <v>140905</v>
        <stp/>
        <stp>P</stp>
        <stp>0</stp>
        <stp>FX</stp>
        <stp>ALLUSDCNY01Y</stp>
        <stp>시간</stp>
        <stp/>
        <stp/>
        <tr r="AH13" s="1"/>
        <tr r="AH13" s="1"/>
        <tr r="AH13" s="1"/>
      </tp>
      <tp>
        <v>141029</v>
        <stp/>
        <stp>P</stp>
        <stp>0</stp>
        <stp>FX</stp>
        <stp>BGCUSDKRW01Y</stp>
        <stp>시간</stp>
        <stp/>
        <stp/>
        <tr r="K43" s="1"/>
        <tr r="K43" s="1"/>
        <tr r="K43" s="1"/>
      </tp>
      <tp>
        <v>6.907</v>
        <stp/>
        <stp>P</stp>
        <stp>0</stp>
        <stp>FX</stp>
        <stp>NITUSDCNY02M</stp>
        <stp>매수</stp>
        <stp/>
        <stp/>
        <tr r="AF24" s="1"/>
      </tp>
      <tp>
        <v>140905</v>
        <stp/>
        <stp>P</stp>
        <stp>0</stp>
        <stp>FX</stp>
        <stp>ALLUSDCNY06M</stp>
        <stp>시간</stp>
        <stp/>
        <stp/>
        <tr r="AH11" s="1"/>
        <tr r="AH11" s="1"/>
        <tr r="AH11" s="1"/>
      </tp>
      <tp>
        <v>140905</v>
        <stp/>
        <stp>P</stp>
        <stp>0</stp>
        <stp>FX</stp>
        <stp>BGCUSDCNY09M</stp>
        <stp>시간</stp>
        <stp/>
        <stp/>
        <tr r="AH42" s="1"/>
        <tr r="AH42" s="1"/>
        <tr r="AH42" s="1"/>
      </tp>
      <tp>
        <v>52.64</v>
        <stp/>
        <stp>P</stp>
        <stp>0</stp>
        <stp>FX</stp>
        <stp>ALLUSDPHP09M</stp>
        <stp>매수</stp>
        <stp/>
        <stp/>
        <tr r="BC27" s="1"/>
      </tp>
      <tp>
        <v>141029</v>
        <stp/>
        <stp>P</stp>
        <stp>0</stp>
        <stp>FX</stp>
        <stp>BGCUSDKRW01W</stp>
        <stp>시간</stp>
        <stp/>
        <stp/>
        <tr r="K37" s="1"/>
        <tr r="K37" s="1"/>
        <tr r="K37" s="1"/>
      </tp>
      <tp>
        <v>141029</v>
        <stp/>
        <stp>P</stp>
        <stp>0</stp>
        <stp>FX</stp>
        <stp>BGCUSDKRW01M</stp>
        <stp>시간</stp>
        <stp/>
        <stp/>
        <tr r="K38" s="1"/>
        <tr r="K38" s="1"/>
        <tr r="K38" s="1"/>
      </tp>
      <tp>
        <v>7.0305</v>
        <stp/>
        <stp>P</stp>
        <stp>0</stp>
        <stp>FX</stp>
        <stp>NITUSDCNY02Y</stp>
        <stp>매수</stp>
        <stp/>
        <stp/>
        <tr r="AF29" s="1"/>
      </tp>
      <tp>
        <v>6.9165000000000001</v>
        <stp/>
        <stp>P</stp>
        <stp>0</stp>
        <stp>FX</stp>
        <stp>NITUSDCNY03M</stp>
        <stp>매수</stp>
        <stp/>
        <stp/>
        <tr r="AF25" s="1"/>
      </tp>
      <tp>
        <v>7.0373000000000001</v>
        <stp/>
        <stp>P</stp>
        <stp>0</stp>
        <stp>FX</stp>
        <stp>NITUSDCNY03Y</stp>
        <stp>매수</stp>
        <stp/>
        <stp/>
        <tr r="AF30" s="1"/>
      </tp>
      <tp t="s">
        <v/>
        <stp/>
        <stp>P</stp>
        <stp>0</stp>
        <stp>FX</stp>
        <stp>BGCUSDKRW03Y</stp>
        <stp>시간</stp>
        <stp/>
        <stp/>
        <tr r="K45" s="1"/>
        <tr r="K45" s="1"/>
        <tr r="K45" s="1"/>
      </tp>
      <tp>
        <v>141029</v>
        <stp/>
        <stp>P</stp>
        <stp>0</stp>
        <stp>FX</stp>
        <stp>BGCUSDKRW03M</stp>
        <stp>시간</stp>
        <stp/>
        <stp/>
        <tr r="K40" s="1"/>
        <tr r="K40" s="1"/>
        <tr r="K40" s="1"/>
      </tp>
      <tp>
        <v>140905</v>
        <stp/>
        <stp>P</stp>
        <stp>0</stp>
        <stp>FX</stp>
        <stp>ALLUSDCNY04Y</stp>
        <stp>시간</stp>
        <stp/>
        <stp/>
        <tr r="AH16" s="1"/>
        <tr r="AH16" s="1"/>
        <tr r="AH16" s="1"/>
      </tp>
      <tp>
        <v>141029</v>
        <stp/>
        <stp>P</stp>
        <stp>0</stp>
        <stp>FX</stp>
        <stp>BGCUSDKRW02Y</stp>
        <stp>시간</stp>
        <stp/>
        <stp/>
        <tr r="K44" s="1"/>
        <tr r="K44" s="1"/>
        <tr r="K44" s="1"/>
      </tp>
      <tp>
        <v>6.8975</v>
        <stp/>
        <stp>P</stp>
        <stp>0</stp>
        <stp>FX</stp>
        <stp>NITUSDCNY01M</stp>
        <stp>매수</stp>
        <stp/>
        <stp/>
        <tr r="AF23" s="1"/>
      </tp>
      <tp>
        <v>6.8890000000000002</v>
        <stp/>
        <stp>P</stp>
        <stp>0</stp>
        <stp>FX</stp>
        <stp>NITUSDCNY01W</stp>
        <stp>매수</stp>
        <stp/>
        <stp/>
        <tr r="AF22" s="1"/>
      </tp>
      <tp>
        <v>1168.48</v>
        <stp/>
        <stp>P</stp>
        <stp>0</stp>
        <stp>FX</stp>
        <stp>NITUSDKRW09M</stp>
        <stp>매수</stp>
        <stp/>
        <stp/>
        <tr r="I27" s="1"/>
      </tp>
      <tp>
        <v>141029</v>
        <stp/>
        <stp>P</stp>
        <stp>0</stp>
        <stp>FX</stp>
        <stp>BGCUSDKRW02M</stp>
        <stp>시간</stp>
        <stp/>
        <stp/>
        <tr r="K39" s="1"/>
        <tr r="K39" s="1"/>
        <tr r="K39" s="1"/>
      </tp>
      <tp>
        <v>6.968</v>
        <stp/>
        <stp>P</stp>
        <stp>0</stp>
        <stp>FX</stp>
        <stp>NITUSDCNY01Y</stp>
        <stp>매수</stp>
        <stp/>
        <stp/>
        <tr r="AF28" s="1"/>
      </tp>
      <tp>
        <v>140905</v>
        <stp/>
        <stp>P</stp>
        <stp>0</stp>
        <stp>FX</stp>
        <stp>ALLUSDCNY05Y</stp>
        <stp>시간</stp>
        <stp/>
        <stp/>
        <tr r="AH17" s="1"/>
        <tr r="AH17" s="1"/>
        <tr r="AH17" s="1"/>
      </tp>
      <tp>
        <v>6.9119999999999999</v>
        <stp/>
        <stp>P</stp>
        <stp>0</stp>
        <stp>FX</stp>
        <stp>NITUSDCNY02M</stp>
        <stp>매도</stp>
        <stp/>
        <stp/>
        <tr r="AG24" s="1"/>
      </tp>
      <tp>
        <v>52.84</v>
        <stp/>
        <stp>P</stp>
        <stp>0</stp>
        <stp>FX</stp>
        <stp>ALLUSDPHP09M</stp>
        <stp>매도</stp>
        <stp/>
        <stp/>
        <tr r="BD27" s="1"/>
      </tp>
      <tp>
        <v>7.0404999999999998</v>
        <stp/>
        <stp>P</stp>
        <stp>0</stp>
        <stp>FX</stp>
        <stp>NITUSDCNY02Y</stp>
        <stp>매도</stp>
        <stp/>
        <stp/>
        <tr r="AG29" s="1"/>
      </tp>
      <tp>
        <v>6.9215</v>
        <stp/>
        <stp>P</stp>
        <stp>0</stp>
        <stp>FX</stp>
        <stp>NITUSDCNY03M</stp>
        <stp>매도</stp>
        <stp/>
        <stp/>
        <tr r="AG25" s="1"/>
      </tp>
      <tp>
        <v>7.0772000000000004</v>
        <stp/>
        <stp>P</stp>
        <stp>0</stp>
        <stp>FX</stp>
        <stp>NITUSDCNY03Y</stp>
        <stp>매도</stp>
        <stp/>
        <stp/>
        <tr r="AG30" s="1"/>
      </tp>
      <tp>
        <v>6.9024999999999999</v>
        <stp/>
        <stp>P</stp>
        <stp>0</stp>
        <stp>FX</stp>
        <stp>NITUSDCNY01M</stp>
        <stp>매도</stp>
        <stp/>
        <stp/>
        <tr r="AG23" s="1"/>
      </tp>
      <tp>
        <v>6.8940000000000001</v>
        <stp/>
        <stp>P</stp>
        <stp>0</stp>
        <stp>FX</stp>
        <stp>NITUSDCNY01W</stp>
        <stp>매도</stp>
        <stp/>
        <stp/>
        <tr r="AG22" s="1"/>
      </tp>
      <tp>
        <v>1171.58</v>
        <stp/>
        <stp>P</stp>
        <stp>0</stp>
        <stp>FX</stp>
        <stp>NITUSDKRW09M</stp>
        <stp>매도</stp>
        <stp/>
        <stp/>
        <tr r="J27" s="1"/>
      </tp>
      <tp>
        <v>6.9729999999999999</v>
        <stp/>
        <stp>P</stp>
        <stp>0</stp>
        <stp>FX</stp>
        <stp>NITUSDCNY01Y</stp>
        <stp>매도</stp>
        <stp/>
        <stp/>
        <tr r="AG28" s="1"/>
      </tp>
      <tp>
        <v>6.9394999999999998</v>
        <stp/>
        <stp>P</stp>
        <stp>0</stp>
        <stp>FX</stp>
        <stp>NITUSDCNY06M</stp>
        <stp>매도</stp>
        <stp/>
        <stp/>
        <tr r="AG26" s="1"/>
      </tp>
      <tp>
        <v>31.1</v>
        <stp/>
        <stp>P</stp>
        <stp>0</stp>
        <stp>FX</stp>
        <stp>ALLUSDTWD09M</stp>
        <stp>매도</stp>
        <stp/>
        <stp/>
        <tr r="BD12" s="1"/>
      </tp>
      <tp>
        <v>7.1140999999999996</v>
        <stp/>
        <stp>P</stp>
        <stp>0</stp>
        <stp>FX</stp>
        <stp>NITUSDCNY04Y</stp>
        <stp>매도</stp>
        <stp/>
        <stp/>
        <tr r="AG31" s="1"/>
      </tp>
      <tp>
        <v>7.1509999999999998</v>
        <stp/>
        <stp>P</stp>
        <stp>0</stp>
        <stp>FX</stp>
        <stp>NITUSDCNY05Y</stp>
        <stp>매도</stp>
        <stp/>
        <stp/>
        <tr r="AG32" s="1"/>
      </tp>
      <tp>
        <v>1152.4000000000001</v>
        <stp/>
        <stp>P</stp>
        <stp>0</stp>
        <stp>FX</stp>
        <stp>NITUSDKRW02Y</stp>
        <stp>매도</stp>
        <stp/>
        <stp/>
        <tr r="J29" s="1"/>
      </tp>
      <tp>
        <v>28.91</v>
        <stp/>
        <stp>P</stp>
        <stp>0</stp>
        <stp>FX</stp>
        <stp>ALLUSDTWD05Y</stp>
        <stp>매도</stp>
        <stp/>
        <stp/>
        <tr r="BD17" s="1"/>
      </tp>
      <tp>
        <v>51.94</v>
        <stp/>
        <stp>P</stp>
        <stp>0</stp>
        <stp>FX</stp>
        <stp>ALLUSDPHP01M</stp>
        <stp>매도</stp>
        <stp/>
        <stp/>
        <tr r="BD23" s="1"/>
      </tp>
      <tp>
        <v>51.84</v>
        <stp/>
        <stp>P</stp>
        <stp>0</stp>
        <stp>FX</stp>
        <stp>ALLUSDPHP01W</stp>
        <stp>매도</stp>
        <stp/>
        <stp/>
        <tr r="BD22" s="1"/>
      </tp>
      <tp>
        <v>1180.8</v>
        <stp/>
        <stp>P</stp>
        <stp>0</stp>
        <stp>FX</stp>
        <stp>NITUSDKRW02M</stp>
        <stp>매도</stp>
        <stp/>
        <stp/>
        <tr r="J24" s="1"/>
      </tp>
      <tp>
        <v>53.17</v>
        <stp/>
        <stp>P</stp>
        <stp>0</stp>
        <stp>FX</stp>
        <stp>ALLUSDPHP01Y</stp>
        <stp>매도</stp>
        <stp/>
        <stp/>
        <tr r="BD28" s="1"/>
      </tp>
      <tp>
        <v>1141.28</v>
        <stp/>
        <stp>P</stp>
        <stp>0</stp>
        <stp>FX</stp>
        <stp>NITUSDKRW03Y</stp>
        <stp>매도</stp>
        <stp/>
        <stp/>
        <tr r="J30" s="1"/>
      </tp>
      <tp>
        <v>29.431000000000001</v>
        <stp/>
        <stp>P</stp>
        <stp>0</stp>
        <stp>FX</stp>
        <stp>ALLUSDTWD04Y</stp>
        <stp>매도</stp>
        <stp/>
        <stp/>
        <tr r="BD16" s="1"/>
      </tp>
      <tp>
        <v>1179.45</v>
        <stp/>
        <stp>P</stp>
        <stp>0</stp>
        <stp>FX</stp>
        <stp>NITUSDKRW03M</stp>
        <stp>매도</stp>
        <stp/>
        <stp/>
        <tr r="J25" s="1"/>
      </tp>
      <tp>
        <v>52.18</v>
        <stp/>
        <stp>P</stp>
        <stp>0</stp>
        <stp>FX</stp>
        <stp>ALLUSDPHP03M</stp>
        <stp>매도</stp>
        <stp/>
        <stp/>
        <tr r="BD25" s="1"/>
      </tp>
      <tp>
        <v>56.43</v>
        <stp/>
        <stp>P</stp>
        <stp>0</stp>
        <stp>FX</stp>
        <stp>ALLUSDPHP03Y</stp>
        <stp>매도</stp>
        <stp/>
        <stp/>
        <tr r="BD30" s="1"/>
      </tp>
      <tp>
        <v>1167.2</v>
        <stp/>
        <stp>P</stp>
        <stp>0</stp>
        <stp>FX</stp>
        <stp>NITUSDKRW01Y</stp>
        <stp>매도</stp>
        <stp/>
        <stp/>
        <tr r="J28" s="1"/>
      </tp>
      <tp>
        <v>6.9554</v>
        <stp/>
        <stp>P</stp>
        <stp>0</stp>
        <stp>FX</stp>
        <stp>NITUSDCNY09M</stp>
        <stp>매도</stp>
        <stp/>
        <stp/>
        <tr r="AG27" s="1"/>
      </tp>
      <tp>
        <v>52.05</v>
        <stp/>
        <stp>P</stp>
        <stp>0</stp>
        <stp>FX</stp>
        <stp>ALLUSDPHP02M</stp>
        <stp>매도</stp>
        <stp/>
        <stp/>
        <tr r="BD24" s="1"/>
      </tp>
      <tp>
        <v>1182.4100000000001</v>
        <stp/>
        <stp>P</stp>
        <stp>0</stp>
        <stp>FX</stp>
        <stp>NITUSDKRW01W</stp>
        <stp>매도</stp>
        <stp/>
        <stp/>
        <tr r="J22" s="1"/>
      </tp>
      <tp>
        <v>31.28</v>
        <stp/>
        <stp>P</stp>
        <stp>0</stp>
        <stp>FX</stp>
        <stp>ALLUSDTWD06M</stp>
        <stp>매도</stp>
        <stp/>
        <stp/>
        <tr r="BD11" s="1"/>
      </tp>
      <tp>
        <v>1181.95</v>
        <stp/>
        <stp>P</stp>
        <stp>0</stp>
        <stp>FX</stp>
        <stp>NITUSDKRW01M</stp>
        <stp>매도</stp>
        <stp/>
        <stp/>
        <tr r="J23" s="1"/>
      </tp>
      <tp>
        <v>54.76</v>
        <stp/>
        <stp>P</stp>
        <stp>0</stp>
        <stp>FX</stp>
        <stp>ALLUSDPHP02Y</stp>
        <stp>매도</stp>
        <stp/>
        <stp/>
        <tr r="BD29" s="1"/>
      </tp>
      <tp>
        <v>30.94</v>
        <stp/>
        <stp>P</stp>
        <stp>0</stp>
        <stp>FX</stp>
        <stp>ALLUSDTWD01Y</stp>
        <stp>매도</stp>
        <stp/>
        <stp/>
        <tr r="BD13" s="1"/>
      </tp>
      <tp>
        <v>31.44</v>
        <stp/>
        <stp>P</stp>
        <stp>0</stp>
        <stp>FX</stp>
        <stp>ALLUSDTWD01W</stp>
        <stp>매도</stp>
        <stp/>
        <stp/>
        <tr r="BD7" s="1"/>
      </tp>
      <tp>
        <v>31.43</v>
        <stp/>
        <stp>P</stp>
        <stp>0</stp>
        <stp>FX</stp>
        <stp>ALLUSDTWD01M</stp>
        <stp>매도</stp>
        <stp/>
        <stp/>
        <tr r="BD8" s="1"/>
      </tp>
      <tp>
        <v>1176.0999999999999</v>
        <stp/>
        <stp>P</stp>
        <stp>0</stp>
        <stp>FX</stp>
        <stp>NITUSDKRW06M</stp>
        <stp>매도</stp>
        <stp/>
        <stp/>
        <tr r="J26" s="1"/>
      </tp>
      <tp>
        <v>59.79</v>
        <stp/>
        <stp>P</stp>
        <stp>0</stp>
        <stp>FX</stp>
        <stp>ALLUSDPHP05Y</stp>
        <stp>매도</stp>
        <stp/>
        <stp/>
        <tr r="BD32" s="1"/>
      </tp>
      <tp>
        <v>58.11</v>
        <stp/>
        <stp>P</stp>
        <stp>0</stp>
        <stp>FX</stp>
        <stp>ALLUSDPHP04Y</stp>
        <stp>매도</stp>
        <stp/>
        <stp/>
        <tr r="BD31" s="1"/>
      </tp>
      <tp>
        <v>1130.1500000000001</v>
        <stp/>
        <stp>P</stp>
        <stp>0</stp>
        <stp>FX</stp>
        <stp>NITUSDKRW04Y</stp>
        <stp>매도</stp>
        <stp/>
        <stp/>
        <tr r="J31" s="1"/>
      </tp>
      <tp>
        <v>29.925000000000001</v>
        <stp/>
        <stp>P</stp>
        <stp>0</stp>
        <stp>FX</stp>
        <stp>ALLUSDTWD03Y</stp>
        <stp>매도</stp>
        <stp/>
        <stp/>
        <tr r="BD15" s="1"/>
      </tp>
      <tp>
        <v>31.39</v>
        <stp/>
        <stp>P</stp>
        <stp>0</stp>
        <stp>FX</stp>
        <stp>ALLUSDTWD03M</stp>
        <stp>매도</stp>
        <stp/>
        <stp/>
        <tr r="BD10" s="1"/>
      </tp>
      <tp>
        <v>1119</v>
        <stp/>
        <stp>P</stp>
        <stp>0</stp>
        <stp>FX</stp>
        <stp>NITUSDKRW05Y</stp>
        <stp>매도</stp>
        <stp/>
        <stp/>
        <tr r="J32" s="1"/>
      </tp>
      <tp>
        <v>30.72</v>
        <stp/>
        <stp>P</stp>
        <stp>0</stp>
        <stp>FX</stp>
        <stp>ALLUSDTWD02Y</stp>
        <stp>매도</stp>
        <stp/>
        <stp/>
        <tr r="BD14" s="1"/>
      </tp>
      <tp>
        <v>52.55</v>
        <stp/>
        <stp>P</stp>
        <stp>0</stp>
        <stp>FX</stp>
        <stp>ALLUSDPHP06M</stp>
        <stp>매도</stp>
        <stp/>
        <stp/>
        <tr r="BD26" s="1"/>
      </tp>
      <tp>
        <v>31.4</v>
        <stp/>
        <stp>P</stp>
        <stp>0</stp>
        <stp>FX</stp>
        <stp>ALLUSDTWD02M</stp>
        <stp>매도</stp>
        <stp/>
        <stp/>
        <tr r="BD9" s="1"/>
      </tp>
      <tp>
        <v>1151.25</v>
        <stp/>
        <stp>P</stp>
        <stp>0</stp>
        <stp>FX</stp>
        <stp>ALLUSDKRW02Y</stp>
        <stp>매도</stp>
        <stp/>
        <stp/>
        <tr r="J14" s="1"/>
      </tp>
      <tp>
        <v>1179.83</v>
        <stp/>
        <stp>P</stp>
        <stp>0</stp>
        <stp>FX</stp>
        <stp>ALLUSDKRW02M</stp>
        <stp>매도</stp>
        <stp/>
        <stp/>
        <tr r="J9" s="1"/>
      </tp>
      <tp>
        <v>7.2484000000000002</v>
        <stp/>
        <stp>P</stp>
        <stp>0</stp>
        <stp>FX</stp>
        <stp>BGCUSDCNY05Y</stp>
        <stp>매도</stp>
        <stp/>
        <stp/>
        <tr r="AG47" s="1"/>
      </tp>
      <tp>
        <v>1141.28</v>
        <stp/>
        <stp>P</stp>
        <stp>0</stp>
        <stp>FX</stp>
        <stp>ALLUSDKRW03Y</stp>
        <stp>매도</stp>
        <stp/>
        <stp/>
        <tr r="J15" s="1"/>
      </tp>
      <tp>
        <v>14330</v>
        <stp/>
        <stp>P</stp>
        <stp>0</stp>
        <stp>FX</stp>
        <stp>ALLUSDIDR01M</stp>
        <stp>매도</stp>
        <stp/>
        <stp/>
        <tr r="BD38" s="1"/>
      </tp>
      <tp>
        <v>1178.6300000000001</v>
        <stp/>
        <stp>P</stp>
        <stp>0</stp>
        <stp>FX</stp>
        <stp>ALLUSDKRW03M</stp>
        <stp>매도</stp>
        <stp/>
        <stp/>
        <tr r="J10" s="1"/>
      </tp>
      <tp>
        <v>15095</v>
        <stp/>
        <stp>P</stp>
        <stp>0</stp>
        <stp>FX</stp>
        <stp>ALLUSDIDR01Y</stp>
        <stp>매도</stp>
        <stp/>
        <stp/>
        <tr r="BD43" s="1"/>
      </tp>
      <tp>
        <v>14269</v>
        <stp/>
        <stp>P</stp>
        <stp>0</stp>
        <stp>FX</stp>
        <stp>ALLUSDIDR01W</stp>
        <stp>매도</stp>
        <stp/>
        <stp/>
        <tr r="BD37" s="1"/>
      </tp>
      <tp>
        <v>7.1833999999999998</v>
        <stp/>
        <stp>P</stp>
        <stp>0</stp>
        <stp>FX</stp>
        <stp>BGCUSDCNY04Y</stp>
        <stp>매도</stp>
        <stp/>
        <stp/>
        <tr r="AG46" s="1"/>
      </tp>
      <tp>
        <v>14405</v>
        <stp/>
        <stp>P</stp>
        <stp>0</stp>
        <stp>FX</stp>
        <stp>ALLUSDIDR02M</stp>
        <stp>매도</stp>
        <stp/>
        <stp/>
        <tr r="BD39" s="1"/>
      </tp>
      <tp>
        <v>15796</v>
        <stp/>
        <stp>P</stp>
        <stp>0</stp>
        <stp>FX</stp>
        <stp>ALLUSDIDR02Y</stp>
        <stp>매도</stp>
        <stp/>
        <stp/>
        <tr r="BD44" s="1"/>
      </tp>
      <tp>
        <v>1166.8800000000001</v>
        <stp/>
        <stp>P</stp>
        <stp>0</stp>
        <stp>FX</stp>
        <stp>ALLUSDKRW01Y</stp>
        <stp>매도</stp>
        <stp/>
        <stp/>
        <tr r="J13" s="1"/>
      </tp>
      <tp>
        <v>14478</v>
        <stp/>
        <stp>P</stp>
        <stp>0</stp>
        <stp>FX</stp>
        <stp>ALLUSDIDR03M</stp>
        <stp>매도</stp>
        <stp/>
        <stp/>
        <tr r="BD40" s="1"/>
      </tp>
      <tp>
        <v>6.9394</v>
        <stp/>
        <stp>P</stp>
        <stp>0</stp>
        <stp>FX</stp>
        <stp>BGCUSDCNY06M</stp>
        <stp>매도</stp>
        <stp/>
        <stp/>
        <tr r="AG41" s="1"/>
      </tp>
      <tp>
        <v>6.9564000000000004</v>
        <stp/>
        <stp>P</stp>
        <stp>0</stp>
        <stp>FX</stp>
        <stp>ALLUSDCNY09M</stp>
        <stp>매도</stp>
        <stp/>
        <stp/>
        <tr r="AG12" s="1"/>
      </tp>
      <tp>
        <v>1182.04</v>
        <stp/>
        <stp>P</stp>
        <stp>0</stp>
        <stp>FX</stp>
        <stp>ALLUSDKRW01W</stp>
        <stp>매도</stp>
        <stp/>
        <stp/>
        <tr r="J7" s="1"/>
      </tp>
      <tp>
        <v>1181.08</v>
        <stp/>
        <stp>P</stp>
        <stp>0</stp>
        <stp>FX</stp>
        <stp>ALLUSDKRW01M</stp>
        <stp>매도</stp>
        <stp/>
        <stp/>
        <tr r="J8" s="1"/>
      </tp>
      <tp>
        <v>16549</v>
        <stp/>
        <stp>P</stp>
        <stp>0</stp>
        <stp>FX</stp>
        <stp>ALLUSDIDR03Y</stp>
        <stp>매도</stp>
        <stp/>
        <stp/>
        <tr r="BD45" s="1"/>
      </tp>
      <tp>
        <v>6.9039000000000001</v>
        <stp/>
        <stp>P</stp>
        <stp>0</stp>
        <stp>FX</stp>
        <stp>BGCUSDCNY01M</stp>
        <stp>매도</stp>
        <stp/>
        <stp/>
        <tr r="AG38" s="1"/>
      </tp>
      <tp>
        <v>6.8959000000000001</v>
        <stp/>
        <stp>P</stp>
        <stp>0</stp>
        <stp>FX</stp>
        <stp>BGCUSDCNY01W</stp>
        <stp>매도</stp>
        <stp/>
        <stp/>
        <tr r="AG37" s="1"/>
      </tp>
      <tp>
        <v>1174.58</v>
        <stp/>
        <stp>P</stp>
        <stp>0</stp>
        <stp>FX</stp>
        <stp>ALLUSDKRW06M</stp>
        <stp>매도</stp>
        <stp/>
        <stp/>
        <tr r="J11" s="1"/>
      </tp>
      <tp>
        <v>1170.78</v>
        <stp/>
        <stp>P</stp>
        <stp>0</stp>
        <stp>FX</stp>
        <stp>BGCUSDKRW09M</stp>
        <stp>매도</stp>
        <stp/>
        <stp/>
        <tr r="J42" s="1"/>
      </tp>
      <tp>
        <v>17297</v>
        <stp/>
        <stp>P</stp>
        <stp>0</stp>
        <stp>FX</stp>
        <stp>ALLUSDIDR04Y</stp>
        <stp>매도</stp>
        <stp/>
        <stp/>
        <tr r="BD46" s="1"/>
      </tp>
      <tp>
        <v>6.9748999999999999</v>
        <stp/>
        <stp>P</stp>
        <stp>0</stp>
        <stp>FX</stp>
        <stp>BGCUSDCNY01Y</stp>
        <stp>매도</stp>
        <stp/>
        <stp/>
        <tr r="AG43" s="1"/>
      </tp>
      <tp>
        <v>18666</v>
        <stp/>
        <stp>P</stp>
        <stp>0</stp>
        <stp>FX</stp>
        <stp>ALLUSDIDR05Y</stp>
        <stp>매도</stp>
        <stp/>
        <stp/>
        <tr r="BD47" s="1"/>
      </tp>
      <tp>
        <v>1130.1500000000001</v>
        <stp/>
        <stp>P</stp>
        <stp>0</stp>
        <stp>FX</stp>
        <stp>ALLUSDKRW04Y</stp>
        <stp>매도</stp>
        <stp/>
        <stp/>
        <tr r="J16" s="1"/>
      </tp>
      <tp>
        <v>14700</v>
        <stp/>
        <stp>P</stp>
        <stp>0</stp>
        <stp>FX</stp>
        <stp>ALLUSDIDR06M</stp>
        <stp>매도</stp>
        <stp/>
        <stp/>
        <tr r="BD41" s="1"/>
      </tp>
      <tp>
        <v>6.9208999999999996</v>
        <stp/>
        <stp>P</stp>
        <stp>0</stp>
        <stp>FX</stp>
        <stp>BGCUSDCNY03M</stp>
        <stp>매도</stp>
        <stp/>
        <stp/>
        <tr r="AG40" s="1"/>
      </tp>
      <tp>
        <v>7.1184000000000003</v>
        <stp/>
        <stp>P</stp>
        <stp>0</stp>
        <stp>FX</stp>
        <stp>BGCUSDCNY03Y</stp>
        <stp>매도</stp>
        <stp/>
        <stp/>
        <tr r="AG45" s="1"/>
      </tp>
      <tp>
        <v>1119</v>
        <stp/>
        <stp>P</stp>
        <stp>0</stp>
        <stp>FX</stp>
        <stp>ALLUSDKRW05Y</stp>
        <stp>매도</stp>
        <stp/>
        <stp/>
        <tr r="J17" s="1"/>
      </tp>
      <tp>
        <v>6.9123999999999999</v>
        <stp/>
        <stp>P</stp>
        <stp>0</stp>
        <stp>FX</stp>
        <stp>BGCUSDCNY02M</stp>
        <stp>매도</stp>
        <stp/>
        <stp/>
        <tr r="AG39" s="1"/>
      </tp>
      <tp>
        <v>7.0503999999999998</v>
        <stp/>
        <stp>P</stp>
        <stp>0</stp>
        <stp>FX</stp>
        <stp>BGCUSDCNY02Y</stp>
        <stp>매도</stp>
        <stp/>
        <stp/>
        <tr r="AG44" s="1"/>
      </tp>
      <tp t="s">
        <v/>
        <stp/>
        <stp>P</stp>
        <stp>0</stp>
        <stp>FX</stp>
        <stp>BGCUSDKRW05Y</stp>
        <stp>매도</stp>
        <stp/>
        <stp/>
        <tr r="J47" s="1"/>
      </tp>
      <tp>
        <v>6.9123999999999999</v>
        <stp/>
        <stp>P</stp>
        <stp>0</stp>
        <stp>FX</stp>
        <stp>ALLUSDCNY02M</stp>
        <stp>매도</stp>
        <stp/>
        <stp/>
        <tr r="AG9" s="1"/>
      </tp>
      <tp>
        <v>7.0503999999999998</v>
        <stp/>
        <stp>P</stp>
        <stp>0</stp>
        <stp>FX</stp>
        <stp>ALLUSDCNY02Y</stp>
        <stp>매도</stp>
        <stp/>
        <stp/>
        <tr r="AG14" s="1"/>
      </tp>
      <tp t="s">
        <v/>
        <stp/>
        <stp>P</stp>
        <stp>0</stp>
        <stp>FX</stp>
        <stp>BGCUSDKRW04Y</stp>
        <stp>매도</stp>
        <stp/>
        <stp/>
        <tr r="J46" s="1"/>
      </tp>
      <tp>
        <v>14888</v>
        <stp/>
        <stp>P</stp>
        <stp>0</stp>
        <stp>FX</stp>
        <stp>ALLUSDIDR09M</stp>
        <stp>매도</stp>
        <stp/>
        <stp/>
        <tr r="BD42" s="1"/>
      </tp>
      <tp>
        <v>6.9208999999999996</v>
        <stp/>
        <stp>P</stp>
        <stp>0</stp>
        <stp>FX</stp>
        <stp>ALLUSDCNY03M</stp>
        <stp>매도</stp>
        <stp/>
        <stp/>
        <tr r="AG10" s="1"/>
      </tp>
      <tp>
        <v>7.1184000000000003</v>
        <stp/>
        <stp>P</stp>
        <stp>0</stp>
        <stp>FX</stp>
        <stp>ALLUSDCNY03Y</stp>
        <stp>매도</stp>
        <stp/>
        <stp/>
        <tr r="AG15" s="1"/>
      </tp>
      <tp>
        <v>6.9039000000000001</v>
        <stp/>
        <stp>P</stp>
        <stp>0</stp>
        <stp>FX</stp>
        <stp>ALLUSDCNY01M</stp>
        <stp>매도</stp>
        <stp/>
        <stp/>
        <tr r="AG8" s="1"/>
      </tp>
      <tp>
        <v>6.8959000000000001</v>
        <stp/>
        <stp>P</stp>
        <stp>0</stp>
        <stp>FX</stp>
        <stp>ALLUSDCNY01W</stp>
        <stp>매도</stp>
        <stp/>
        <stp/>
        <tr r="AG7" s="1"/>
      </tp>
      <tp>
        <v>1170.78</v>
        <stp/>
        <stp>P</stp>
        <stp>0</stp>
        <stp>FX</stp>
        <stp>ALLUSDKRW09M</stp>
        <stp>매도</stp>
        <stp/>
        <stp/>
        <tr r="J12" s="1"/>
      </tp>
      <tp>
        <v>1174.58</v>
        <stp/>
        <stp>P</stp>
        <stp>0</stp>
        <stp>FX</stp>
        <stp>BGCUSDKRW06M</stp>
        <stp>매도</stp>
        <stp/>
        <stp/>
        <tr r="J41" s="1"/>
      </tp>
      <tp>
        <v>6.9748999999999999</v>
        <stp/>
        <stp>P</stp>
        <stp>0</stp>
        <stp>FX</stp>
        <stp>ALLUSDCNY01Y</stp>
        <stp>매도</stp>
        <stp/>
        <stp/>
        <tr r="AG13" s="1"/>
      </tp>
      <tp>
        <v>1166.8800000000001</v>
        <stp/>
        <stp>P</stp>
        <stp>0</stp>
        <stp>FX</stp>
        <stp>BGCUSDKRW01Y</stp>
        <stp>매도</stp>
        <stp/>
        <stp/>
        <tr r="J43" s="1"/>
      </tp>
      <tp>
        <v>6.9564000000000004</v>
        <stp/>
        <stp>P</stp>
        <stp>0</stp>
        <stp>FX</stp>
        <stp>BGCUSDCNY09M</stp>
        <stp>매도</stp>
        <stp/>
        <stp/>
        <tr r="AG42" s="1"/>
      </tp>
      <tp>
        <v>6.9394</v>
        <stp/>
        <stp>P</stp>
        <stp>0</stp>
        <stp>FX</stp>
        <stp>ALLUSDCNY06M</stp>
        <stp>매도</stp>
        <stp/>
        <stp/>
        <tr r="AG11" s="1"/>
      </tp>
      <tp>
        <v>1182.04</v>
        <stp/>
        <stp>P</stp>
        <stp>0</stp>
        <stp>FX</stp>
        <stp>BGCUSDKRW01W</stp>
        <stp>매도</stp>
        <stp/>
        <stp/>
        <tr r="J37" s="1"/>
      </tp>
      <tp>
        <v>1181.08</v>
        <stp/>
        <stp>P</stp>
        <stp>0</stp>
        <stp>FX</stp>
        <stp>BGCUSDKRW01M</stp>
        <stp>매도</stp>
        <stp/>
        <stp/>
        <tr r="J38" s="1"/>
      </tp>
      <tp t="s">
        <v/>
        <stp/>
        <stp>P</stp>
        <stp>0</stp>
        <stp>FX</stp>
        <stp>BGCUSDKRW03Y</stp>
        <stp>매도</stp>
        <stp/>
        <stp/>
        <tr r="J45" s="1"/>
      </tp>
      <tp>
        <v>1178.6300000000001</v>
        <stp/>
        <stp>P</stp>
        <stp>0</stp>
        <stp>FX</stp>
        <stp>BGCUSDKRW03M</stp>
        <stp>매도</stp>
        <stp/>
        <stp/>
        <tr r="J40" s="1"/>
      </tp>
      <tp>
        <v>7.1833999999999998</v>
        <stp/>
        <stp>P</stp>
        <stp>0</stp>
        <stp>FX</stp>
        <stp>ALLUSDCNY04Y</stp>
        <stp>매도</stp>
        <stp/>
        <stp/>
        <tr r="AG16" s="1"/>
      </tp>
      <tp>
        <v>1151.25</v>
        <stp/>
        <stp>P</stp>
        <stp>0</stp>
        <stp>FX</stp>
        <stp>BGCUSDKRW02Y</stp>
        <stp>매도</stp>
        <stp/>
        <stp/>
        <tr r="J44" s="1"/>
      </tp>
      <tp>
        <v>1179.83</v>
        <stp/>
        <stp>P</stp>
        <stp>0</stp>
        <stp>FX</stp>
        <stp>BGCUSDKRW02M</stp>
        <stp>매도</stp>
        <stp/>
        <stp/>
        <tr r="J39" s="1"/>
      </tp>
      <tp>
        <v>7.2484000000000002</v>
        <stp/>
        <stp>P</stp>
        <stp>0</stp>
        <stp>FX</stp>
        <stp>ALLUSDCNY05Y</stp>
        <stp>매도</stp>
        <stp/>
        <stp/>
        <tr r="AG17" s="1"/>
      </tp>
      <tp>
        <v>6.8948999999999998</v>
        <stp/>
        <stp>P</stp>
        <stp>0</stp>
        <stp>FX</stp>
        <stp>BGCUSDCNYREF</stp>
        <stp>매도</stp>
        <stp/>
        <stp/>
        <tr r="AG36" s="1"/>
      </tp>
      <tp>
        <v>14300</v>
        <stp/>
        <stp>P</stp>
        <stp>0</stp>
        <stp>FX</stp>
        <stp>ALLUSDIDRREF</stp>
        <stp>매도</stp>
        <stp/>
        <stp/>
        <tr r="BD36" s="1"/>
      </tp>
      <tp>
        <v>1182.25</v>
        <stp/>
        <stp>P</stp>
        <stp>0</stp>
        <stp>FX</stp>
        <stp>ALLUSDKRWREF</stp>
        <stp>매도</stp>
        <stp/>
        <stp/>
        <tr r="J6" s="1"/>
      </tp>
      <tp>
        <v>1182.25</v>
        <stp/>
        <stp>P</stp>
        <stp>0</stp>
        <stp>FX</stp>
        <stp>BGCUSDKRWREF</stp>
        <stp>매도</stp>
        <stp/>
        <stp/>
        <tr r="J36" s="1"/>
      </tp>
      <tp>
        <v>6.8948999999999998</v>
        <stp/>
        <stp>P</stp>
        <stp>0</stp>
        <stp>FX</stp>
        <stp>ALLUSDCNYREF</stp>
        <stp>매도</stp>
        <stp/>
        <stp/>
        <tr r="AG6" s="1"/>
      </tp>
      <tp>
        <v>6.9089999999999998</v>
        <stp/>
        <stp>P</stp>
        <stp>0</stp>
        <stp>FX</stp>
        <stp>NITUSDCNYREF</stp>
        <stp>매도</stp>
        <stp/>
        <stp/>
        <tr r="AG21" s="1"/>
      </tp>
      <tp>
        <v>31.47</v>
        <stp/>
        <stp>P</stp>
        <stp>0</stp>
        <stp>FX</stp>
        <stp>ALLUSDTWDREF</stp>
        <stp>매도</stp>
        <stp/>
        <stp/>
        <tr r="BD6" s="1"/>
      </tp>
      <tp>
        <v>51.82</v>
        <stp/>
        <stp>P</stp>
        <stp>0</stp>
        <stp>FX</stp>
        <stp>ALLUSDPHPREF</stp>
        <stp>매도</stp>
        <stp/>
        <stp/>
        <tr r="BD21" s="1"/>
      </tp>
      <tp>
        <v>1182.3499999999999</v>
        <stp/>
        <stp>P</stp>
        <stp>0</stp>
        <stp>FX</stp>
        <stp>NITUSDKRWREF</stp>
        <stp>매도</stp>
        <stp/>
        <stp/>
        <tr r="J2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809110151553636"/>
          <c:y val="7.1025002122615491E-2"/>
          <c:w val="0.74459707052747437"/>
          <c:h val="0.71584152425653802"/>
        </c:manualLayout>
      </c:layout>
      <c:lineChart>
        <c:grouping val="standard"/>
        <c:varyColors val="0"/>
        <c:ser>
          <c:idx val="0"/>
          <c:order val="0"/>
          <c:tx>
            <c:strRef>
              <c:f>NDF종합!$I$5</c:f>
              <c:strCache>
                <c:ptCount val="1"/>
                <c:pt idx="0">
                  <c:v>BID</c:v>
                </c:pt>
              </c:strCache>
            </c:strRef>
          </c:tx>
          <c:spPr>
            <a:ln w="22225">
              <a:solidFill>
                <a:srgbClr val="FF5050"/>
              </a:solidFill>
            </a:ln>
          </c:spPr>
          <c:marker>
            <c:symbol val="none"/>
          </c:marker>
          <c:cat>
            <c:strRef>
              <c:f>NDF종합!$H$6:$H$17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NDF종합!$I$6:$I$17</c:f>
              <c:numCache>
                <c:formatCode>0.0000</c:formatCode>
                <c:ptCount val="12"/>
                <c:pt idx="0">
                  <c:v>1181.25</c:v>
                </c:pt>
                <c:pt idx="1">
                  <c:v>1181.04</c:v>
                </c:pt>
                <c:pt idx="2">
                  <c:v>1180.08</c:v>
                </c:pt>
                <c:pt idx="3">
                  <c:v>1178.83</c:v>
                </c:pt>
                <c:pt idx="4">
                  <c:v>1177.6300000000001</c:v>
                </c:pt>
                <c:pt idx="5">
                  <c:v>1173.58</c:v>
                </c:pt>
                <c:pt idx="6">
                  <c:v>1168.78</c:v>
                </c:pt>
                <c:pt idx="7">
                  <c:v>1163.8800000000001</c:v>
                </c:pt>
                <c:pt idx="8">
                  <c:v>1148.25</c:v>
                </c:pt>
                <c:pt idx="9">
                  <c:v>1132.8499999999999</c:v>
                </c:pt>
                <c:pt idx="10">
                  <c:v>1118.3900000000001</c:v>
                </c:pt>
                <c:pt idx="11">
                  <c:v>1103.9000000000001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NDF종합!$J$5</c:f>
              <c:strCache>
                <c:ptCount val="1"/>
                <c:pt idx="0">
                  <c:v>ASK</c:v>
                </c:pt>
              </c:strCache>
            </c:strRef>
          </c:tx>
          <c:spPr>
            <a:ln w="22225">
              <a:solidFill>
                <a:srgbClr val="3366FF"/>
              </a:solidFill>
            </a:ln>
          </c:spPr>
          <c:marker>
            <c:symbol val="none"/>
          </c:marker>
          <c:cat>
            <c:strRef>
              <c:f>NDF종합!$H$6:$H$17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NDF종합!$J$6:$J$17</c:f>
              <c:numCache>
                <c:formatCode>0.0000</c:formatCode>
                <c:ptCount val="12"/>
                <c:pt idx="0">
                  <c:v>1182.25</c:v>
                </c:pt>
                <c:pt idx="1">
                  <c:v>1182.04</c:v>
                </c:pt>
                <c:pt idx="2">
                  <c:v>1181.08</c:v>
                </c:pt>
                <c:pt idx="3">
                  <c:v>1179.83</c:v>
                </c:pt>
                <c:pt idx="4">
                  <c:v>1178.6300000000001</c:v>
                </c:pt>
                <c:pt idx="5">
                  <c:v>1174.58</c:v>
                </c:pt>
                <c:pt idx="6">
                  <c:v>1170.78</c:v>
                </c:pt>
                <c:pt idx="7">
                  <c:v>1166.8800000000001</c:v>
                </c:pt>
                <c:pt idx="8">
                  <c:v>1151.25</c:v>
                </c:pt>
                <c:pt idx="9">
                  <c:v>1141.28</c:v>
                </c:pt>
                <c:pt idx="10">
                  <c:v>1130.1500000000001</c:v>
                </c:pt>
                <c:pt idx="11">
                  <c:v>1119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19392"/>
        <c:axId val="130135168"/>
      </c:lineChart>
      <c:catAx>
        <c:axId val="1302193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0135168"/>
        <c:crosses val="autoZero"/>
        <c:auto val="1"/>
        <c:lblAlgn val="ctr"/>
        <c:lblOffset val="100"/>
        <c:noMultiLvlLbl val="0"/>
      </c:catAx>
      <c:valAx>
        <c:axId val="130135168"/>
        <c:scaling>
          <c:orientation val="minMax"/>
        </c:scaling>
        <c:delete val="0"/>
        <c:axPos val="l"/>
        <c:numFmt formatCode="0.000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02193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6249089831513"/>
          <c:y val="0.8794684869132493"/>
          <c:w val="0.37029718059436117"/>
          <c:h val="0.10116105796240098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809110151553636"/>
          <c:y val="7.1025002122615491E-2"/>
          <c:w val="0.74459707052747437"/>
          <c:h val="0.71584152425653802"/>
        </c:manualLayout>
      </c:layout>
      <c:lineChart>
        <c:grouping val="standard"/>
        <c:varyColors val="0"/>
        <c:ser>
          <c:idx val="0"/>
          <c:order val="0"/>
          <c:tx>
            <c:strRef>
              <c:f>NDF종합!$AF$5</c:f>
              <c:strCache>
                <c:ptCount val="1"/>
                <c:pt idx="0">
                  <c:v>BID</c:v>
                </c:pt>
              </c:strCache>
            </c:strRef>
          </c:tx>
          <c:spPr>
            <a:ln w="22225">
              <a:solidFill>
                <a:srgbClr val="FF5050"/>
              </a:solidFill>
            </a:ln>
          </c:spPr>
          <c:marker>
            <c:symbol val="none"/>
          </c:marker>
          <c:cat>
            <c:strRef>
              <c:f>NDF종합!$AE$6:$AE$17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NDF종합!$AF$6:$AF$17</c:f>
              <c:numCache>
                <c:formatCode>0.0000</c:formatCode>
                <c:ptCount val="12"/>
                <c:pt idx="0">
                  <c:v>6.8898999999999999</c:v>
                </c:pt>
                <c:pt idx="1">
                  <c:v>6.8909000000000002</c:v>
                </c:pt>
                <c:pt idx="2">
                  <c:v>6.8989000000000003</c:v>
                </c:pt>
                <c:pt idx="3">
                  <c:v>6.9074</c:v>
                </c:pt>
                <c:pt idx="4">
                  <c:v>6.9158999999999997</c:v>
                </c:pt>
                <c:pt idx="5">
                  <c:v>6.9344000000000001</c:v>
                </c:pt>
                <c:pt idx="6">
                  <c:v>6.9513999999999996</c:v>
                </c:pt>
                <c:pt idx="7">
                  <c:v>6.9679000000000002</c:v>
                </c:pt>
                <c:pt idx="8">
                  <c:v>7.0304000000000002</c:v>
                </c:pt>
                <c:pt idx="9">
                  <c:v>7.0983999999999998</c:v>
                </c:pt>
                <c:pt idx="10">
                  <c:v>7.1634000000000002</c:v>
                </c:pt>
                <c:pt idx="11">
                  <c:v>7.2283999999999997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NDF종합!$AG$5</c:f>
              <c:strCache>
                <c:ptCount val="1"/>
                <c:pt idx="0">
                  <c:v>ASK</c:v>
                </c:pt>
              </c:strCache>
            </c:strRef>
          </c:tx>
          <c:spPr>
            <a:ln w="22225">
              <a:solidFill>
                <a:srgbClr val="3366FF"/>
              </a:solidFill>
            </a:ln>
          </c:spPr>
          <c:marker>
            <c:symbol val="none"/>
          </c:marker>
          <c:cat>
            <c:strRef>
              <c:f>NDF종합!$AE$6:$AE$17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NDF종합!$AG$6:$AG$17</c:f>
              <c:numCache>
                <c:formatCode>0.0000</c:formatCode>
                <c:ptCount val="12"/>
                <c:pt idx="0">
                  <c:v>6.8948999999999998</c:v>
                </c:pt>
                <c:pt idx="1">
                  <c:v>6.8959000000000001</c:v>
                </c:pt>
                <c:pt idx="2">
                  <c:v>6.9039000000000001</c:v>
                </c:pt>
                <c:pt idx="3">
                  <c:v>6.9123999999999999</c:v>
                </c:pt>
                <c:pt idx="4">
                  <c:v>6.9208999999999996</c:v>
                </c:pt>
                <c:pt idx="5">
                  <c:v>6.9394</c:v>
                </c:pt>
                <c:pt idx="6">
                  <c:v>6.9564000000000004</c:v>
                </c:pt>
                <c:pt idx="7">
                  <c:v>6.9748999999999999</c:v>
                </c:pt>
                <c:pt idx="8">
                  <c:v>7.0503999999999998</c:v>
                </c:pt>
                <c:pt idx="9">
                  <c:v>7.1184000000000003</c:v>
                </c:pt>
                <c:pt idx="10">
                  <c:v>7.1833999999999998</c:v>
                </c:pt>
                <c:pt idx="11">
                  <c:v>7.2484000000000002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13504"/>
        <c:axId val="131415040"/>
      </c:lineChart>
      <c:catAx>
        <c:axId val="1314135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1415040"/>
        <c:crosses val="autoZero"/>
        <c:auto val="1"/>
        <c:lblAlgn val="ctr"/>
        <c:lblOffset val="100"/>
        <c:noMultiLvlLbl val="0"/>
      </c:catAx>
      <c:valAx>
        <c:axId val="131415040"/>
        <c:scaling>
          <c:orientation val="minMax"/>
        </c:scaling>
        <c:delete val="0"/>
        <c:axPos val="l"/>
        <c:numFmt formatCode="0.000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14135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6249089831513"/>
          <c:y val="0.8794684869132493"/>
          <c:w val="0.37029718059436117"/>
          <c:h val="0.10116105796240098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809110151553636"/>
          <c:y val="7.1025002122615491E-2"/>
          <c:w val="0.74459707052747437"/>
          <c:h val="0.71584152425653802"/>
        </c:manualLayout>
      </c:layout>
      <c:lineChart>
        <c:grouping val="standard"/>
        <c:varyColors val="0"/>
        <c:ser>
          <c:idx val="0"/>
          <c:order val="0"/>
          <c:tx>
            <c:strRef>
              <c:f>NDF종합!$I$20</c:f>
              <c:strCache>
                <c:ptCount val="1"/>
                <c:pt idx="0">
                  <c:v>BID</c:v>
                </c:pt>
              </c:strCache>
            </c:strRef>
          </c:tx>
          <c:spPr>
            <a:ln w="22225">
              <a:solidFill>
                <a:srgbClr val="FF5050"/>
              </a:solidFill>
            </a:ln>
          </c:spPr>
          <c:marker>
            <c:symbol val="none"/>
          </c:marker>
          <c:cat>
            <c:strRef>
              <c:f>NDF종합!$H$21:$H$32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NDF종합!$I$21:$I$32</c:f>
              <c:numCache>
                <c:formatCode>0.0000</c:formatCode>
                <c:ptCount val="12"/>
                <c:pt idx="0">
                  <c:v>1181.8499999999999</c:v>
                </c:pt>
                <c:pt idx="1">
                  <c:v>1181.4100000000001</c:v>
                </c:pt>
                <c:pt idx="2">
                  <c:v>1179.95</c:v>
                </c:pt>
                <c:pt idx="3">
                  <c:v>1178.8</c:v>
                </c:pt>
                <c:pt idx="4">
                  <c:v>1177.45</c:v>
                </c:pt>
                <c:pt idx="5">
                  <c:v>1173</c:v>
                </c:pt>
                <c:pt idx="6">
                  <c:v>1168.48</c:v>
                </c:pt>
                <c:pt idx="7">
                  <c:v>1164.0999999999999</c:v>
                </c:pt>
                <c:pt idx="8">
                  <c:v>1147.3</c:v>
                </c:pt>
                <c:pt idx="9">
                  <c:v>1132.8499999999999</c:v>
                </c:pt>
                <c:pt idx="10">
                  <c:v>1118.3900000000001</c:v>
                </c:pt>
                <c:pt idx="11">
                  <c:v>1103.9000000000001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NDF종합!$J$20</c:f>
              <c:strCache>
                <c:ptCount val="1"/>
                <c:pt idx="0">
                  <c:v>ASK</c:v>
                </c:pt>
              </c:strCache>
            </c:strRef>
          </c:tx>
          <c:spPr>
            <a:ln w="22225">
              <a:solidFill>
                <a:srgbClr val="3366FF"/>
              </a:solidFill>
            </a:ln>
          </c:spPr>
          <c:marker>
            <c:symbol val="none"/>
          </c:marker>
          <c:cat>
            <c:strRef>
              <c:f>NDF종합!$H$21:$H$32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NDF종합!$J$21:$J$32</c:f>
              <c:numCache>
                <c:formatCode>0.0000</c:formatCode>
                <c:ptCount val="12"/>
                <c:pt idx="0">
                  <c:v>1182.3499999999999</c:v>
                </c:pt>
                <c:pt idx="1">
                  <c:v>1182.4100000000001</c:v>
                </c:pt>
                <c:pt idx="2">
                  <c:v>1181.95</c:v>
                </c:pt>
                <c:pt idx="3">
                  <c:v>1180.8</c:v>
                </c:pt>
                <c:pt idx="4">
                  <c:v>1179.45</c:v>
                </c:pt>
                <c:pt idx="5">
                  <c:v>1176.0999999999999</c:v>
                </c:pt>
                <c:pt idx="6">
                  <c:v>1171.58</c:v>
                </c:pt>
                <c:pt idx="7">
                  <c:v>1167.2</c:v>
                </c:pt>
                <c:pt idx="8">
                  <c:v>1152.4000000000001</c:v>
                </c:pt>
                <c:pt idx="9">
                  <c:v>1141.28</c:v>
                </c:pt>
                <c:pt idx="10">
                  <c:v>1130.1500000000001</c:v>
                </c:pt>
                <c:pt idx="11">
                  <c:v>1119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27712"/>
        <c:axId val="131458176"/>
      </c:lineChart>
      <c:catAx>
        <c:axId val="1314277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1458176"/>
        <c:crosses val="autoZero"/>
        <c:auto val="1"/>
        <c:lblAlgn val="ctr"/>
        <c:lblOffset val="100"/>
        <c:noMultiLvlLbl val="0"/>
      </c:catAx>
      <c:valAx>
        <c:axId val="131458176"/>
        <c:scaling>
          <c:orientation val="minMax"/>
        </c:scaling>
        <c:delete val="0"/>
        <c:axPos val="l"/>
        <c:numFmt formatCode="0.000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14277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6249089831513"/>
          <c:y val="0.8794684869132493"/>
          <c:w val="0.37029718059436117"/>
          <c:h val="0.10116105796240098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809110151553636"/>
          <c:y val="7.1025002122615491E-2"/>
          <c:w val="0.74459707052747437"/>
          <c:h val="0.71584152425653802"/>
        </c:manualLayout>
      </c:layout>
      <c:lineChart>
        <c:grouping val="standard"/>
        <c:varyColors val="0"/>
        <c:ser>
          <c:idx val="0"/>
          <c:order val="0"/>
          <c:tx>
            <c:strRef>
              <c:f>NDF종합!$AF$20</c:f>
              <c:strCache>
                <c:ptCount val="1"/>
                <c:pt idx="0">
                  <c:v>BID</c:v>
                </c:pt>
              </c:strCache>
            </c:strRef>
          </c:tx>
          <c:spPr>
            <a:ln w="22225">
              <a:solidFill>
                <a:srgbClr val="FF5050"/>
              </a:solidFill>
            </a:ln>
          </c:spPr>
          <c:marker>
            <c:symbol val="none"/>
          </c:marker>
          <c:cat>
            <c:strRef>
              <c:f>NDF종합!$AE$21:$AE$32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NDF종합!$AF$21:$AF$32</c:f>
              <c:numCache>
                <c:formatCode>0.0000</c:formatCode>
                <c:ptCount val="12"/>
                <c:pt idx="0">
                  <c:v>6.9059999999999997</c:v>
                </c:pt>
                <c:pt idx="1">
                  <c:v>6.8890000000000002</c:v>
                </c:pt>
                <c:pt idx="2">
                  <c:v>6.8975</c:v>
                </c:pt>
                <c:pt idx="3">
                  <c:v>6.907</c:v>
                </c:pt>
                <c:pt idx="4">
                  <c:v>6.9165000000000001</c:v>
                </c:pt>
                <c:pt idx="5">
                  <c:v>6.9344999999999999</c:v>
                </c:pt>
                <c:pt idx="6">
                  <c:v>6.9504000000000001</c:v>
                </c:pt>
                <c:pt idx="7">
                  <c:v>6.968</c:v>
                </c:pt>
                <c:pt idx="8">
                  <c:v>7.0305</c:v>
                </c:pt>
                <c:pt idx="9">
                  <c:v>7.0373000000000001</c:v>
                </c:pt>
                <c:pt idx="10">
                  <c:v>7.0441000000000003</c:v>
                </c:pt>
                <c:pt idx="11">
                  <c:v>7.0510000000000002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NDF종합!$AG$20</c:f>
              <c:strCache>
                <c:ptCount val="1"/>
                <c:pt idx="0">
                  <c:v>ASK</c:v>
                </c:pt>
              </c:strCache>
            </c:strRef>
          </c:tx>
          <c:spPr>
            <a:ln w="22225">
              <a:solidFill>
                <a:srgbClr val="3366FF"/>
              </a:solidFill>
            </a:ln>
          </c:spPr>
          <c:marker>
            <c:symbol val="none"/>
          </c:marker>
          <c:cat>
            <c:strRef>
              <c:f>NDF종합!$AE$21:$AE$32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NDF종합!$AG$21:$AG$32</c:f>
              <c:numCache>
                <c:formatCode>0.0000</c:formatCode>
                <c:ptCount val="12"/>
                <c:pt idx="0">
                  <c:v>6.9089999999999998</c:v>
                </c:pt>
                <c:pt idx="1">
                  <c:v>6.8940000000000001</c:v>
                </c:pt>
                <c:pt idx="2">
                  <c:v>6.9024999999999999</c:v>
                </c:pt>
                <c:pt idx="3">
                  <c:v>6.9119999999999999</c:v>
                </c:pt>
                <c:pt idx="4">
                  <c:v>6.9215</c:v>
                </c:pt>
                <c:pt idx="5">
                  <c:v>6.9394999999999998</c:v>
                </c:pt>
                <c:pt idx="6">
                  <c:v>6.9554</c:v>
                </c:pt>
                <c:pt idx="7">
                  <c:v>6.9729999999999999</c:v>
                </c:pt>
                <c:pt idx="8">
                  <c:v>7.0404999999999998</c:v>
                </c:pt>
                <c:pt idx="9">
                  <c:v>7.0772000000000004</c:v>
                </c:pt>
                <c:pt idx="10">
                  <c:v>7.1140999999999996</c:v>
                </c:pt>
                <c:pt idx="11">
                  <c:v>7.1509999999999998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42048"/>
        <c:axId val="130243584"/>
      </c:lineChart>
      <c:catAx>
        <c:axId val="1302420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0243584"/>
        <c:crosses val="autoZero"/>
        <c:auto val="1"/>
        <c:lblAlgn val="ctr"/>
        <c:lblOffset val="100"/>
        <c:noMultiLvlLbl val="0"/>
      </c:catAx>
      <c:valAx>
        <c:axId val="130243584"/>
        <c:scaling>
          <c:orientation val="minMax"/>
        </c:scaling>
        <c:delete val="0"/>
        <c:axPos val="l"/>
        <c:numFmt formatCode="0.000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02420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6249089831513"/>
          <c:y val="0.8794684869132493"/>
          <c:w val="0.37029718059436117"/>
          <c:h val="0.10116105796240098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809110151553636"/>
          <c:y val="7.1025002122615491E-2"/>
          <c:w val="0.74459707052747437"/>
          <c:h val="0.71584152425653802"/>
        </c:manualLayout>
      </c:layout>
      <c:lineChart>
        <c:grouping val="standard"/>
        <c:varyColors val="0"/>
        <c:ser>
          <c:idx val="0"/>
          <c:order val="0"/>
          <c:tx>
            <c:strRef>
              <c:f>NDF종합!$I$35</c:f>
              <c:strCache>
                <c:ptCount val="1"/>
                <c:pt idx="0">
                  <c:v>BID</c:v>
                </c:pt>
              </c:strCache>
            </c:strRef>
          </c:tx>
          <c:spPr>
            <a:ln w="22225">
              <a:solidFill>
                <a:srgbClr val="FF5050"/>
              </a:solidFill>
            </a:ln>
          </c:spPr>
          <c:marker>
            <c:symbol val="none"/>
          </c:marker>
          <c:cat>
            <c:strRef>
              <c:f>NDF종합!$H$36:$H$47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NDF종합!$I$36:$I$47</c:f>
              <c:numCache>
                <c:formatCode>0.0000</c:formatCode>
                <c:ptCount val="12"/>
                <c:pt idx="0">
                  <c:v>1181.25</c:v>
                </c:pt>
                <c:pt idx="1">
                  <c:v>1181.04</c:v>
                </c:pt>
                <c:pt idx="2">
                  <c:v>1180.08</c:v>
                </c:pt>
                <c:pt idx="3">
                  <c:v>1178.83</c:v>
                </c:pt>
                <c:pt idx="4">
                  <c:v>1177.6300000000001</c:v>
                </c:pt>
                <c:pt idx="5">
                  <c:v>1173.58</c:v>
                </c:pt>
                <c:pt idx="6">
                  <c:v>1168.78</c:v>
                </c:pt>
                <c:pt idx="7">
                  <c:v>1163.8800000000001</c:v>
                </c:pt>
                <c:pt idx="8">
                  <c:v>1148.25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NDF종합!$J$35</c:f>
              <c:strCache>
                <c:ptCount val="1"/>
                <c:pt idx="0">
                  <c:v>ASK</c:v>
                </c:pt>
              </c:strCache>
            </c:strRef>
          </c:tx>
          <c:spPr>
            <a:ln w="22225">
              <a:solidFill>
                <a:srgbClr val="3366FF"/>
              </a:solidFill>
            </a:ln>
          </c:spPr>
          <c:marker>
            <c:symbol val="none"/>
          </c:marker>
          <c:cat>
            <c:strRef>
              <c:f>NDF종합!$H$36:$H$47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NDF종합!$J$36:$J$47</c:f>
              <c:numCache>
                <c:formatCode>0.0000</c:formatCode>
                <c:ptCount val="12"/>
                <c:pt idx="0">
                  <c:v>1182.25</c:v>
                </c:pt>
                <c:pt idx="1">
                  <c:v>1182.04</c:v>
                </c:pt>
                <c:pt idx="2">
                  <c:v>1181.08</c:v>
                </c:pt>
                <c:pt idx="3">
                  <c:v>1179.83</c:v>
                </c:pt>
                <c:pt idx="4">
                  <c:v>1178.6300000000001</c:v>
                </c:pt>
                <c:pt idx="5">
                  <c:v>1174.58</c:v>
                </c:pt>
                <c:pt idx="6">
                  <c:v>1170.78</c:v>
                </c:pt>
                <c:pt idx="7">
                  <c:v>1166.8800000000001</c:v>
                </c:pt>
                <c:pt idx="8">
                  <c:v>1151.25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77376"/>
        <c:axId val="130278912"/>
      </c:lineChart>
      <c:catAx>
        <c:axId val="1302773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0278912"/>
        <c:crosses val="autoZero"/>
        <c:auto val="1"/>
        <c:lblAlgn val="ctr"/>
        <c:lblOffset val="100"/>
        <c:noMultiLvlLbl val="0"/>
      </c:catAx>
      <c:valAx>
        <c:axId val="130278912"/>
        <c:scaling>
          <c:orientation val="minMax"/>
        </c:scaling>
        <c:delete val="0"/>
        <c:axPos val="l"/>
        <c:numFmt formatCode="0.000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027737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6249089831513"/>
          <c:y val="0.8794684869132493"/>
          <c:w val="0.37029718059436117"/>
          <c:h val="0.10116105796240098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809110151553636"/>
          <c:y val="7.1025002122615491E-2"/>
          <c:w val="0.74459707052747437"/>
          <c:h val="0.71584152425653802"/>
        </c:manualLayout>
      </c:layout>
      <c:lineChart>
        <c:grouping val="standard"/>
        <c:varyColors val="0"/>
        <c:ser>
          <c:idx val="0"/>
          <c:order val="0"/>
          <c:tx>
            <c:strRef>
              <c:f>NDF종합!$AF$35</c:f>
              <c:strCache>
                <c:ptCount val="1"/>
                <c:pt idx="0">
                  <c:v>BID</c:v>
                </c:pt>
              </c:strCache>
            </c:strRef>
          </c:tx>
          <c:spPr>
            <a:ln w="22225">
              <a:solidFill>
                <a:srgbClr val="FF5050"/>
              </a:solidFill>
            </a:ln>
          </c:spPr>
          <c:marker>
            <c:symbol val="none"/>
          </c:marker>
          <c:cat>
            <c:strRef>
              <c:f>NDF종합!$AE$36:$AE$47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NDF종합!$AF$36:$AF$47</c:f>
              <c:numCache>
                <c:formatCode>0.0000</c:formatCode>
                <c:ptCount val="12"/>
                <c:pt idx="0">
                  <c:v>6.8898999999999999</c:v>
                </c:pt>
                <c:pt idx="1">
                  <c:v>6.8909000000000002</c:v>
                </c:pt>
                <c:pt idx="2">
                  <c:v>6.8989000000000003</c:v>
                </c:pt>
                <c:pt idx="3">
                  <c:v>6.9074</c:v>
                </c:pt>
                <c:pt idx="4">
                  <c:v>6.9158999999999997</c:v>
                </c:pt>
                <c:pt idx="5">
                  <c:v>6.9344000000000001</c:v>
                </c:pt>
                <c:pt idx="6">
                  <c:v>6.9513999999999996</c:v>
                </c:pt>
                <c:pt idx="7">
                  <c:v>6.9679000000000002</c:v>
                </c:pt>
                <c:pt idx="8">
                  <c:v>7.0304000000000002</c:v>
                </c:pt>
                <c:pt idx="9">
                  <c:v>7.0983999999999998</c:v>
                </c:pt>
                <c:pt idx="10">
                  <c:v>7.1634000000000002</c:v>
                </c:pt>
                <c:pt idx="11">
                  <c:v>7.2283999999999997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NDF종합!$AG$35</c:f>
              <c:strCache>
                <c:ptCount val="1"/>
                <c:pt idx="0">
                  <c:v>ASK</c:v>
                </c:pt>
              </c:strCache>
            </c:strRef>
          </c:tx>
          <c:spPr>
            <a:ln w="22225">
              <a:solidFill>
                <a:srgbClr val="3366FF"/>
              </a:solidFill>
            </a:ln>
          </c:spPr>
          <c:marker>
            <c:symbol val="none"/>
          </c:marker>
          <c:cat>
            <c:strRef>
              <c:f>NDF종합!$AE$36:$AE$47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NDF종합!$AG$36:$AG$47</c:f>
              <c:numCache>
                <c:formatCode>0.0000</c:formatCode>
                <c:ptCount val="12"/>
                <c:pt idx="0">
                  <c:v>6.8948999999999998</c:v>
                </c:pt>
                <c:pt idx="1">
                  <c:v>6.8959000000000001</c:v>
                </c:pt>
                <c:pt idx="2">
                  <c:v>6.9039000000000001</c:v>
                </c:pt>
                <c:pt idx="3">
                  <c:v>6.9123999999999999</c:v>
                </c:pt>
                <c:pt idx="4">
                  <c:v>6.9208999999999996</c:v>
                </c:pt>
                <c:pt idx="5">
                  <c:v>6.9394</c:v>
                </c:pt>
                <c:pt idx="6">
                  <c:v>6.9564000000000004</c:v>
                </c:pt>
                <c:pt idx="7">
                  <c:v>6.9748999999999999</c:v>
                </c:pt>
                <c:pt idx="8">
                  <c:v>7.0503999999999998</c:v>
                </c:pt>
                <c:pt idx="9">
                  <c:v>7.1184000000000003</c:v>
                </c:pt>
                <c:pt idx="10">
                  <c:v>7.1833999999999998</c:v>
                </c:pt>
                <c:pt idx="11">
                  <c:v>7.2484000000000002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32800"/>
        <c:axId val="132734336"/>
      </c:lineChart>
      <c:catAx>
        <c:axId val="1327328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2734336"/>
        <c:crosses val="autoZero"/>
        <c:auto val="1"/>
        <c:lblAlgn val="ctr"/>
        <c:lblOffset val="100"/>
        <c:noMultiLvlLbl val="0"/>
      </c:catAx>
      <c:valAx>
        <c:axId val="132734336"/>
        <c:scaling>
          <c:orientation val="minMax"/>
        </c:scaling>
        <c:delete val="0"/>
        <c:axPos val="l"/>
        <c:numFmt formatCode="0.000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273280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6249089831513"/>
          <c:y val="0.8794684869132493"/>
          <c:w val="0.37029718059436117"/>
          <c:h val="0.10116105796240098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809110151553636"/>
          <c:y val="7.1025002122615491E-2"/>
          <c:w val="0.74459707052747437"/>
          <c:h val="0.71584152425653802"/>
        </c:manualLayout>
      </c:layout>
      <c:lineChart>
        <c:grouping val="standard"/>
        <c:varyColors val="0"/>
        <c:ser>
          <c:idx val="0"/>
          <c:order val="0"/>
          <c:tx>
            <c:strRef>
              <c:f>NDF종합!$AF$5</c:f>
              <c:strCache>
                <c:ptCount val="1"/>
                <c:pt idx="0">
                  <c:v>BID</c:v>
                </c:pt>
              </c:strCache>
            </c:strRef>
          </c:tx>
          <c:spPr>
            <a:ln w="22225">
              <a:solidFill>
                <a:srgbClr val="FF5050"/>
              </a:solidFill>
            </a:ln>
          </c:spPr>
          <c:marker>
            <c:symbol val="none"/>
          </c:marker>
          <c:cat>
            <c:strRef>
              <c:f>NDF종합!$AE$6:$AE$17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NDF종합!$AF$6:$AF$17</c:f>
              <c:numCache>
                <c:formatCode>0.0000</c:formatCode>
                <c:ptCount val="12"/>
                <c:pt idx="0">
                  <c:v>6.8898999999999999</c:v>
                </c:pt>
                <c:pt idx="1">
                  <c:v>6.8909000000000002</c:v>
                </c:pt>
                <c:pt idx="2">
                  <c:v>6.8989000000000003</c:v>
                </c:pt>
                <c:pt idx="3">
                  <c:v>6.9074</c:v>
                </c:pt>
                <c:pt idx="4">
                  <c:v>6.9158999999999997</c:v>
                </c:pt>
                <c:pt idx="5">
                  <c:v>6.9344000000000001</c:v>
                </c:pt>
                <c:pt idx="6">
                  <c:v>6.9513999999999996</c:v>
                </c:pt>
                <c:pt idx="7">
                  <c:v>6.9679000000000002</c:v>
                </c:pt>
                <c:pt idx="8">
                  <c:v>7.0304000000000002</c:v>
                </c:pt>
                <c:pt idx="9">
                  <c:v>7.0983999999999998</c:v>
                </c:pt>
                <c:pt idx="10">
                  <c:v>7.1634000000000002</c:v>
                </c:pt>
                <c:pt idx="11">
                  <c:v>7.2283999999999997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NDF종합!$AG$5</c:f>
              <c:strCache>
                <c:ptCount val="1"/>
                <c:pt idx="0">
                  <c:v>ASK</c:v>
                </c:pt>
              </c:strCache>
            </c:strRef>
          </c:tx>
          <c:spPr>
            <a:ln w="22225">
              <a:solidFill>
                <a:srgbClr val="3366FF"/>
              </a:solidFill>
            </a:ln>
          </c:spPr>
          <c:marker>
            <c:symbol val="none"/>
          </c:marker>
          <c:cat>
            <c:strRef>
              <c:f>NDF종합!$AE$6:$AE$17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NDF종합!$AG$6:$AG$17</c:f>
              <c:numCache>
                <c:formatCode>0.0000</c:formatCode>
                <c:ptCount val="12"/>
                <c:pt idx="0">
                  <c:v>6.8948999999999998</c:v>
                </c:pt>
                <c:pt idx="1">
                  <c:v>6.8959000000000001</c:v>
                </c:pt>
                <c:pt idx="2">
                  <c:v>6.9039000000000001</c:v>
                </c:pt>
                <c:pt idx="3">
                  <c:v>6.9123999999999999</c:v>
                </c:pt>
                <c:pt idx="4">
                  <c:v>6.9208999999999996</c:v>
                </c:pt>
                <c:pt idx="5">
                  <c:v>6.9394</c:v>
                </c:pt>
                <c:pt idx="6">
                  <c:v>6.9564000000000004</c:v>
                </c:pt>
                <c:pt idx="7">
                  <c:v>6.9748999999999999</c:v>
                </c:pt>
                <c:pt idx="8">
                  <c:v>7.0503999999999998</c:v>
                </c:pt>
                <c:pt idx="9">
                  <c:v>7.1184000000000003</c:v>
                </c:pt>
                <c:pt idx="10">
                  <c:v>7.1833999999999998</c:v>
                </c:pt>
                <c:pt idx="11">
                  <c:v>7.2484000000000002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50720"/>
        <c:axId val="133436544"/>
      </c:lineChart>
      <c:catAx>
        <c:axId val="1327507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3436544"/>
        <c:crosses val="autoZero"/>
        <c:auto val="1"/>
        <c:lblAlgn val="ctr"/>
        <c:lblOffset val="100"/>
        <c:noMultiLvlLbl val="0"/>
      </c:catAx>
      <c:valAx>
        <c:axId val="133436544"/>
        <c:scaling>
          <c:orientation val="minMax"/>
        </c:scaling>
        <c:delete val="0"/>
        <c:axPos val="l"/>
        <c:numFmt formatCode="0.000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275072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6249089831513"/>
          <c:y val="0.8794684869132493"/>
          <c:w val="0.37029718059436117"/>
          <c:h val="0.10116105796240098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809110151553636"/>
          <c:y val="7.1025002122615491E-2"/>
          <c:w val="0.74459707052747437"/>
          <c:h val="0.71584152425653802"/>
        </c:manualLayout>
      </c:layout>
      <c:lineChart>
        <c:grouping val="standard"/>
        <c:varyColors val="0"/>
        <c:ser>
          <c:idx val="0"/>
          <c:order val="0"/>
          <c:tx>
            <c:strRef>
              <c:f>NDF종합!$BC$20</c:f>
              <c:strCache>
                <c:ptCount val="1"/>
                <c:pt idx="0">
                  <c:v>BID</c:v>
                </c:pt>
              </c:strCache>
            </c:strRef>
          </c:tx>
          <c:spPr>
            <a:ln w="22225">
              <a:solidFill>
                <a:srgbClr val="FF5050"/>
              </a:solidFill>
            </a:ln>
          </c:spPr>
          <c:marker>
            <c:symbol val="none"/>
          </c:marker>
          <c:cat>
            <c:strRef>
              <c:f>NDF종합!$BB$21:$BB$32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NDF종합!$BC$21:$BC$32</c:f>
              <c:numCache>
                <c:formatCode>0.0000</c:formatCode>
                <c:ptCount val="12"/>
                <c:pt idx="0">
                  <c:v>51.78</c:v>
                </c:pt>
                <c:pt idx="1">
                  <c:v>51.78</c:v>
                </c:pt>
                <c:pt idx="2">
                  <c:v>51.84</c:v>
                </c:pt>
                <c:pt idx="3">
                  <c:v>51.95</c:v>
                </c:pt>
                <c:pt idx="4">
                  <c:v>52.07</c:v>
                </c:pt>
                <c:pt idx="5">
                  <c:v>52.35</c:v>
                </c:pt>
                <c:pt idx="6">
                  <c:v>52.64</c:v>
                </c:pt>
                <c:pt idx="7">
                  <c:v>52.97</c:v>
                </c:pt>
                <c:pt idx="8">
                  <c:v>53.76</c:v>
                </c:pt>
                <c:pt idx="9">
                  <c:v>55.1</c:v>
                </c:pt>
                <c:pt idx="10">
                  <c:v>56.44</c:v>
                </c:pt>
                <c:pt idx="11">
                  <c:v>57.79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NDF종합!$BD$20</c:f>
              <c:strCache>
                <c:ptCount val="1"/>
                <c:pt idx="0">
                  <c:v>ASK</c:v>
                </c:pt>
              </c:strCache>
            </c:strRef>
          </c:tx>
          <c:spPr>
            <a:ln w="22225">
              <a:solidFill>
                <a:srgbClr val="3366FF"/>
              </a:solidFill>
            </a:ln>
          </c:spPr>
          <c:marker>
            <c:symbol val="none"/>
          </c:marker>
          <c:cat>
            <c:strRef>
              <c:f>NDF종합!$BB$21:$BB$32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NDF종합!$BD$21:$BD$32</c:f>
              <c:numCache>
                <c:formatCode>0.0000</c:formatCode>
                <c:ptCount val="12"/>
                <c:pt idx="0">
                  <c:v>51.82</c:v>
                </c:pt>
                <c:pt idx="1">
                  <c:v>51.84</c:v>
                </c:pt>
                <c:pt idx="2">
                  <c:v>51.94</c:v>
                </c:pt>
                <c:pt idx="3">
                  <c:v>52.05</c:v>
                </c:pt>
                <c:pt idx="4">
                  <c:v>52.18</c:v>
                </c:pt>
                <c:pt idx="5">
                  <c:v>52.55</c:v>
                </c:pt>
                <c:pt idx="6">
                  <c:v>52.84</c:v>
                </c:pt>
                <c:pt idx="7">
                  <c:v>53.17</c:v>
                </c:pt>
                <c:pt idx="8">
                  <c:v>54.76</c:v>
                </c:pt>
                <c:pt idx="9">
                  <c:v>56.43</c:v>
                </c:pt>
                <c:pt idx="10">
                  <c:v>58.11</c:v>
                </c:pt>
                <c:pt idx="11">
                  <c:v>59.79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65600"/>
        <c:axId val="133467136"/>
      </c:lineChart>
      <c:catAx>
        <c:axId val="13346560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3467136"/>
        <c:crosses val="autoZero"/>
        <c:auto val="1"/>
        <c:lblAlgn val="ctr"/>
        <c:lblOffset val="100"/>
        <c:noMultiLvlLbl val="0"/>
      </c:catAx>
      <c:valAx>
        <c:axId val="133467136"/>
        <c:scaling>
          <c:orientation val="minMax"/>
        </c:scaling>
        <c:delete val="0"/>
        <c:axPos val="l"/>
        <c:numFmt formatCode="0.000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346560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6249089831513"/>
          <c:y val="0.8794684869132493"/>
          <c:w val="0.37029718059436117"/>
          <c:h val="0.10116105796240098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809110151553636"/>
          <c:y val="7.1025002122615491E-2"/>
          <c:w val="0.74459707052747437"/>
          <c:h val="0.71584152425653802"/>
        </c:manualLayout>
      </c:layout>
      <c:lineChart>
        <c:grouping val="standard"/>
        <c:varyColors val="0"/>
        <c:ser>
          <c:idx val="0"/>
          <c:order val="0"/>
          <c:tx>
            <c:strRef>
              <c:f>NDF종합!$BC$35</c:f>
              <c:strCache>
                <c:ptCount val="1"/>
                <c:pt idx="0">
                  <c:v>BID</c:v>
                </c:pt>
              </c:strCache>
            </c:strRef>
          </c:tx>
          <c:spPr>
            <a:ln w="22225">
              <a:solidFill>
                <a:srgbClr val="FF5050"/>
              </a:solidFill>
            </a:ln>
          </c:spPr>
          <c:marker>
            <c:symbol val="none"/>
          </c:marker>
          <c:cat>
            <c:strRef>
              <c:f>NDF종합!$BB$36:$BB$47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NDF종합!$BC$36:$BC$47</c:f>
              <c:numCache>
                <c:formatCode>0.0000</c:formatCode>
                <c:ptCount val="12"/>
                <c:pt idx="0">
                  <c:v>14260</c:v>
                </c:pt>
                <c:pt idx="1">
                  <c:v>14229</c:v>
                </c:pt>
                <c:pt idx="2">
                  <c:v>14290</c:v>
                </c:pt>
                <c:pt idx="3">
                  <c:v>14365</c:v>
                </c:pt>
                <c:pt idx="4">
                  <c:v>14438</c:v>
                </c:pt>
                <c:pt idx="5">
                  <c:v>14620</c:v>
                </c:pt>
                <c:pt idx="6">
                  <c:v>14808</c:v>
                </c:pt>
                <c:pt idx="7">
                  <c:v>15015</c:v>
                </c:pt>
                <c:pt idx="8">
                  <c:v>15756</c:v>
                </c:pt>
                <c:pt idx="9">
                  <c:v>16509</c:v>
                </c:pt>
                <c:pt idx="10">
                  <c:v>17257</c:v>
                </c:pt>
                <c:pt idx="11">
                  <c:v>18066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NDF종합!$BD$35</c:f>
              <c:strCache>
                <c:ptCount val="1"/>
                <c:pt idx="0">
                  <c:v>ASK</c:v>
                </c:pt>
              </c:strCache>
            </c:strRef>
          </c:tx>
          <c:spPr>
            <a:ln w="22225">
              <a:solidFill>
                <a:srgbClr val="3366FF"/>
              </a:solidFill>
            </a:ln>
          </c:spPr>
          <c:marker>
            <c:symbol val="none"/>
          </c:marker>
          <c:cat>
            <c:strRef>
              <c:f>NDF종합!$BB$36:$BB$47</c:f>
              <c:strCache>
                <c:ptCount val="12"/>
                <c:pt idx="0">
                  <c:v>REF</c:v>
                </c:pt>
                <c:pt idx="1">
                  <c:v>1W</c:v>
                </c:pt>
                <c:pt idx="2">
                  <c:v>1M</c:v>
                </c:pt>
                <c:pt idx="3">
                  <c:v>2M</c:v>
                </c:pt>
                <c:pt idx="4">
                  <c:v>3M</c:v>
                </c:pt>
                <c:pt idx="5">
                  <c:v>6M</c:v>
                </c:pt>
                <c:pt idx="6">
                  <c:v>9M</c:v>
                </c:pt>
                <c:pt idx="7">
                  <c:v>1Y</c:v>
                </c:pt>
                <c:pt idx="8">
                  <c:v>2Y</c:v>
                </c:pt>
                <c:pt idx="9">
                  <c:v>3Y</c:v>
                </c:pt>
                <c:pt idx="10">
                  <c:v>4Y</c:v>
                </c:pt>
                <c:pt idx="11">
                  <c:v>5Y</c:v>
                </c:pt>
              </c:strCache>
            </c:strRef>
          </c:cat>
          <c:val>
            <c:numRef>
              <c:f>NDF종합!$BD$36:$BD$47</c:f>
              <c:numCache>
                <c:formatCode>0.0000</c:formatCode>
                <c:ptCount val="12"/>
                <c:pt idx="0">
                  <c:v>14300</c:v>
                </c:pt>
                <c:pt idx="1">
                  <c:v>14269</c:v>
                </c:pt>
                <c:pt idx="2">
                  <c:v>14330</c:v>
                </c:pt>
                <c:pt idx="3">
                  <c:v>14405</c:v>
                </c:pt>
                <c:pt idx="4">
                  <c:v>14478</c:v>
                </c:pt>
                <c:pt idx="5">
                  <c:v>14700</c:v>
                </c:pt>
                <c:pt idx="6">
                  <c:v>14888</c:v>
                </c:pt>
                <c:pt idx="7">
                  <c:v>15095</c:v>
                </c:pt>
                <c:pt idx="8">
                  <c:v>15796</c:v>
                </c:pt>
                <c:pt idx="9">
                  <c:v>16549</c:v>
                </c:pt>
                <c:pt idx="10">
                  <c:v>17297</c:v>
                </c:pt>
                <c:pt idx="11">
                  <c:v>18666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79808"/>
        <c:axId val="133493888"/>
      </c:lineChart>
      <c:catAx>
        <c:axId val="1334798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3493888"/>
        <c:crosses val="autoZero"/>
        <c:auto val="1"/>
        <c:lblAlgn val="ctr"/>
        <c:lblOffset val="100"/>
        <c:noMultiLvlLbl val="0"/>
      </c:catAx>
      <c:valAx>
        <c:axId val="133493888"/>
        <c:scaling>
          <c:orientation val="minMax"/>
        </c:scaling>
        <c:delete val="0"/>
        <c:axPos val="l"/>
        <c:numFmt formatCode="0.0000" sourceLinked="1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800">
                <a:solidFill>
                  <a:schemeClr val="tx1">
                    <a:lumMod val="75000"/>
                    <a:lumOff val="25000"/>
                  </a:schemeClr>
                </a:solidFill>
              </a:defRPr>
            </a:pPr>
            <a:endParaRPr lang="ko-KR"/>
          </a:p>
        </c:txPr>
        <c:crossAx val="13347980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06249089831513"/>
          <c:y val="0.8794684869132493"/>
          <c:w val="0.37029718059436117"/>
          <c:h val="0.10116105796240098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15" fmlaLink="$E$5" fmlaRange="$E$6:$E$13" noThreeD="1" val="0"/>
</file>

<file path=xl/ctrlProps/ctrlProp2.xml><?xml version="1.0" encoding="utf-8"?>
<formControlPr xmlns="http://schemas.microsoft.com/office/spreadsheetml/2009/9/main" objectType="Drop" dropStyle="combo" dx="15" fmlaLink="$D$5" fmlaRange="$C$6:$C$8" noThreeD="1" val="0"/>
</file>

<file path=xl/ctrlProps/ctrlProp3.xml><?xml version="1.0" encoding="utf-8"?>
<formControlPr xmlns="http://schemas.microsoft.com/office/spreadsheetml/2009/9/main" objectType="Drop" dropStyle="combo" dx="15" fmlaLink="$AB$5" fmlaRange="$E$6:$E$13" noThreeD="1" sel="2" val="0"/>
</file>

<file path=xl/ctrlProps/ctrlProp4.xml><?xml version="1.0" encoding="utf-8"?>
<formControlPr xmlns="http://schemas.microsoft.com/office/spreadsheetml/2009/9/main" objectType="Drop" dropStyle="combo" dx="15" fmlaLink="$AA$5" fmlaRange="$C$6:$C$8" noThreeD="1" val="0"/>
</file>

<file path=xl/ctrlProps/ctrlProp5.xml><?xml version="1.0" encoding="utf-8"?>
<formControlPr xmlns="http://schemas.microsoft.com/office/spreadsheetml/2009/9/main" objectType="Drop" dropStyle="combo" dx="15" fmlaLink="$E$20" fmlaRange="$E$6:$E$13" noThreeD="1" val="0"/>
</file>

<file path=xl/ctrlProps/ctrlProp6.xml><?xml version="1.0" encoding="utf-8"?>
<formControlPr xmlns="http://schemas.microsoft.com/office/spreadsheetml/2009/9/main" objectType="Drop" dropStyle="combo" dx="15" fmlaLink="$D$20" fmlaRange="$C$6:$C$8" noThreeD="1" sel="2" val="0"/>
</file>

<file path=xl/ctrlProps/ctrlProp7.xml><?xml version="1.0" encoding="utf-8"?>
<formControlPr xmlns="http://schemas.microsoft.com/office/spreadsheetml/2009/9/main" objectType="Drop" dropStyle="combo" dx="15" fmlaLink="$AB$20" fmlaRange="$E$6:$E$13" noThreeD="1" sel="2" val="0"/>
</file>

<file path=xl/ctrlProps/ctrlProp8.xml><?xml version="1.0" encoding="utf-8"?>
<formControlPr xmlns="http://schemas.microsoft.com/office/spreadsheetml/2009/9/main" objectType="Drop" dropStyle="combo" dx="15" fmlaLink="$AA$20" fmlaRange="$C$6:$C$8" noThreeD="1" sel="2" val="0"/>
</file>

<file path=xl/ctrlProps/ctrlProp9.xml><?xml version="1.0" encoding="utf-8"?>
<formControlPr xmlns="http://schemas.microsoft.com/office/spreadsheetml/2009/9/main" objectType="Drop" dropStyle="combo" dx="15" fmlaLink="$E$35" fmlaRange="$E$6:$E$13" noThreeD="1" val="0"/>
</file>

<file path=xl/ctrlProps/ctrlProp10.xml><?xml version="1.0" encoding="utf-8"?>
<formControlPr xmlns="http://schemas.microsoft.com/office/spreadsheetml/2009/9/main" objectType="Drop" dropStyle="combo" dx="15" fmlaLink="$D$35" fmlaRange="$C$6:$C$8" noThreeD="1" sel="3" val="0"/>
</file>

<file path=xl/ctrlProps/ctrlProp11.xml><?xml version="1.0" encoding="utf-8"?>
<formControlPr xmlns="http://schemas.microsoft.com/office/spreadsheetml/2009/9/main" objectType="Drop" dropStyle="combo" dx="15" fmlaLink="$AB$35" fmlaRange="$E$6:$E$13" noThreeD="1" sel="2" val="0"/>
</file>

<file path=xl/ctrlProps/ctrlProp12.xml><?xml version="1.0" encoding="utf-8"?>
<formControlPr xmlns="http://schemas.microsoft.com/office/spreadsheetml/2009/9/main" objectType="Drop" dropStyle="combo" dx="15" fmlaLink="$AA$35" fmlaRange="$C$6:$C$8" noThreeD="1" sel="3" val="0"/>
</file>

<file path=xl/ctrlProps/ctrlProp13.xml><?xml version="1.0" encoding="utf-8"?>
<formControlPr xmlns="http://schemas.microsoft.com/office/spreadsheetml/2009/9/main" objectType="Drop" dropStyle="combo" dx="15" fmlaLink="$AY$5" fmlaRange="$E$6:$E$13" noThreeD="1" sel="8" val="0"/>
</file>

<file path=xl/ctrlProps/ctrlProp14.xml><?xml version="1.0" encoding="utf-8"?>
<formControlPr xmlns="http://schemas.microsoft.com/office/spreadsheetml/2009/9/main" objectType="Drop" dropStyle="combo" dx="15" fmlaLink="$AX$5" fmlaRange="$C$6:$C$8" noThreeD="1" val="0"/>
</file>

<file path=xl/ctrlProps/ctrlProp15.xml><?xml version="1.0" encoding="utf-8"?>
<formControlPr xmlns="http://schemas.microsoft.com/office/spreadsheetml/2009/9/main" objectType="Drop" dropStyle="combo" dx="15" fmlaLink="$AY$20" fmlaRange="$E$6:$E$13" noThreeD="1" sel="7" val="0"/>
</file>

<file path=xl/ctrlProps/ctrlProp16.xml><?xml version="1.0" encoding="utf-8"?>
<formControlPr xmlns="http://schemas.microsoft.com/office/spreadsheetml/2009/9/main" objectType="Drop" dropStyle="combo" dx="15" fmlaLink="$AX$20" fmlaRange="$C$6:$C$8" noThreeD="1" val="0"/>
</file>

<file path=xl/ctrlProps/ctrlProp17.xml><?xml version="1.0" encoding="utf-8"?>
<formControlPr xmlns="http://schemas.microsoft.com/office/spreadsheetml/2009/9/main" objectType="Drop" dropStyle="combo" dx="15" fmlaLink="$AY$35" fmlaRange="$E$6:$E$13" noThreeD="1" sel="4" val="0"/>
</file>

<file path=xl/ctrlProps/ctrlProp18.xml><?xml version="1.0" encoding="utf-8"?>
<formControlPr xmlns="http://schemas.microsoft.com/office/spreadsheetml/2009/9/main" objectType="Drop" dropStyle="combo" dx="15" fmlaLink="$AX$35" fmlaRange="$C$6:$C$8" noThreeD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2</xdr:row>
          <xdr:rowOff>95250</xdr:rowOff>
        </xdr:from>
        <xdr:to>
          <xdr:col>10</xdr:col>
          <xdr:colOff>9525</xdr:colOff>
          <xdr:row>3</xdr:row>
          <xdr:rowOff>123825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95250</xdr:rowOff>
        </xdr:from>
        <xdr:to>
          <xdr:col>8</xdr:col>
          <xdr:colOff>352425</xdr:colOff>
          <xdr:row>3</xdr:row>
          <xdr:rowOff>123825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11</xdr:col>
      <xdr:colOff>104776</xdr:colOff>
      <xdr:row>4</xdr:row>
      <xdr:rowOff>4762</xdr:rowOff>
    </xdr:from>
    <xdr:to>
      <xdr:col>23</xdr:col>
      <xdr:colOff>0</xdr:colOff>
      <xdr:row>16</xdr:row>
      <xdr:rowOff>142875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476250</xdr:colOff>
          <xdr:row>2</xdr:row>
          <xdr:rowOff>85725</xdr:rowOff>
        </xdr:from>
        <xdr:to>
          <xdr:col>33</xdr:col>
          <xdr:colOff>47625</xdr:colOff>
          <xdr:row>3</xdr:row>
          <xdr:rowOff>114300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9525</xdr:colOff>
          <xdr:row>2</xdr:row>
          <xdr:rowOff>95250</xdr:rowOff>
        </xdr:from>
        <xdr:to>
          <xdr:col>31</xdr:col>
          <xdr:colOff>419100</xdr:colOff>
          <xdr:row>3</xdr:row>
          <xdr:rowOff>123825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34</xdr:col>
      <xdr:colOff>85725</xdr:colOff>
      <xdr:row>4</xdr:row>
      <xdr:rowOff>0</xdr:rowOff>
    </xdr:from>
    <xdr:to>
      <xdr:col>45</xdr:col>
      <xdr:colOff>200025</xdr:colOff>
      <xdr:row>16</xdr:row>
      <xdr:rowOff>138113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104775</xdr:colOff>
      <xdr:row>19</xdr:row>
      <xdr:rowOff>28575</xdr:rowOff>
    </xdr:from>
    <xdr:to>
      <xdr:col>23</xdr:col>
      <xdr:colOff>0</xdr:colOff>
      <xdr:row>32</xdr:row>
      <xdr:rowOff>14288</xdr:rowOff>
    </xdr:to>
    <xdr:graphicFrame macro="">
      <xdr:nvGraphicFramePr>
        <xdr:cNvPr id="10" name="차트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17</xdr:row>
          <xdr:rowOff>85725</xdr:rowOff>
        </xdr:from>
        <xdr:to>
          <xdr:col>10</xdr:col>
          <xdr:colOff>9525</xdr:colOff>
          <xdr:row>18</xdr:row>
          <xdr:rowOff>114300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17</xdr:row>
          <xdr:rowOff>95250</xdr:rowOff>
        </xdr:from>
        <xdr:to>
          <xdr:col>8</xdr:col>
          <xdr:colOff>361950</xdr:colOff>
          <xdr:row>18</xdr:row>
          <xdr:rowOff>123825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476250</xdr:colOff>
          <xdr:row>17</xdr:row>
          <xdr:rowOff>85725</xdr:rowOff>
        </xdr:from>
        <xdr:to>
          <xdr:col>33</xdr:col>
          <xdr:colOff>47625</xdr:colOff>
          <xdr:row>18</xdr:row>
          <xdr:rowOff>114300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9525</xdr:colOff>
          <xdr:row>17</xdr:row>
          <xdr:rowOff>95250</xdr:rowOff>
        </xdr:from>
        <xdr:to>
          <xdr:col>31</xdr:col>
          <xdr:colOff>419100</xdr:colOff>
          <xdr:row>18</xdr:row>
          <xdr:rowOff>123825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34</xdr:col>
      <xdr:colOff>95250</xdr:colOff>
      <xdr:row>19</xdr:row>
      <xdr:rowOff>9525</xdr:rowOff>
    </xdr:from>
    <xdr:to>
      <xdr:col>45</xdr:col>
      <xdr:colOff>200025</xdr:colOff>
      <xdr:row>31</xdr:row>
      <xdr:rowOff>147638</xdr:rowOff>
    </xdr:to>
    <xdr:graphicFrame macro="">
      <xdr:nvGraphicFramePr>
        <xdr:cNvPr id="15" name="차트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32</xdr:row>
          <xdr:rowOff>85725</xdr:rowOff>
        </xdr:from>
        <xdr:to>
          <xdr:col>10</xdr:col>
          <xdr:colOff>9525</xdr:colOff>
          <xdr:row>33</xdr:row>
          <xdr:rowOff>114300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32</xdr:row>
          <xdr:rowOff>95250</xdr:rowOff>
        </xdr:from>
        <xdr:to>
          <xdr:col>8</xdr:col>
          <xdr:colOff>361950</xdr:colOff>
          <xdr:row>33</xdr:row>
          <xdr:rowOff>123825</xdr:rowOff>
        </xdr:to>
        <xdr:sp macro="" textlink="">
          <xdr:nvSpPr>
            <xdr:cNvPr id="1035" name="Drop Down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11</xdr:col>
      <xdr:colOff>123825</xdr:colOff>
      <xdr:row>34</xdr:row>
      <xdr:rowOff>0</xdr:rowOff>
    </xdr:from>
    <xdr:to>
      <xdr:col>23</xdr:col>
      <xdr:colOff>0</xdr:colOff>
      <xdr:row>46</xdr:row>
      <xdr:rowOff>138113</xdr:rowOff>
    </xdr:to>
    <xdr:graphicFrame macro="">
      <xdr:nvGraphicFramePr>
        <xdr:cNvPr id="18" name="차트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476250</xdr:colOff>
          <xdr:row>32</xdr:row>
          <xdr:rowOff>95250</xdr:rowOff>
        </xdr:from>
        <xdr:to>
          <xdr:col>33</xdr:col>
          <xdr:colOff>47625</xdr:colOff>
          <xdr:row>33</xdr:row>
          <xdr:rowOff>123825</xdr:rowOff>
        </xdr:to>
        <xdr:sp macro="" textlink="">
          <xdr:nvSpPr>
            <xdr:cNvPr id="1036" name="Drop Down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9525</xdr:colOff>
          <xdr:row>32</xdr:row>
          <xdr:rowOff>95250</xdr:rowOff>
        </xdr:from>
        <xdr:to>
          <xdr:col>31</xdr:col>
          <xdr:colOff>419100</xdr:colOff>
          <xdr:row>33</xdr:row>
          <xdr:rowOff>123825</xdr:rowOff>
        </xdr:to>
        <xdr:sp macro="" textlink="">
          <xdr:nvSpPr>
            <xdr:cNvPr id="1037" name="Drop Down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34</xdr:col>
      <xdr:colOff>76200</xdr:colOff>
      <xdr:row>34</xdr:row>
      <xdr:rowOff>19050</xdr:rowOff>
    </xdr:from>
    <xdr:to>
      <xdr:col>46</xdr:col>
      <xdr:colOff>19050</xdr:colOff>
      <xdr:row>47</xdr:row>
      <xdr:rowOff>4763</xdr:rowOff>
    </xdr:to>
    <xdr:graphicFrame macro="">
      <xdr:nvGraphicFramePr>
        <xdr:cNvPr id="21" name="차트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323850</xdr:colOff>
          <xdr:row>2</xdr:row>
          <xdr:rowOff>95250</xdr:rowOff>
        </xdr:from>
        <xdr:to>
          <xdr:col>56</xdr:col>
          <xdr:colOff>47625</xdr:colOff>
          <xdr:row>3</xdr:row>
          <xdr:rowOff>123825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</xdr:col>
          <xdr:colOff>9525</xdr:colOff>
          <xdr:row>2</xdr:row>
          <xdr:rowOff>95250</xdr:rowOff>
        </xdr:from>
        <xdr:to>
          <xdr:col>54</xdr:col>
          <xdr:colOff>266700</xdr:colOff>
          <xdr:row>3</xdr:row>
          <xdr:rowOff>123825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57</xdr:col>
      <xdr:colOff>66675</xdr:colOff>
      <xdr:row>4</xdr:row>
      <xdr:rowOff>9525</xdr:rowOff>
    </xdr:from>
    <xdr:to>
      <xdr:col>61</xdr:col>
      <xdr:colOff>457200</xdr:colOff>
      <xdr:row>16</xdr:row>
      <xdr:rowOff>147638</xdr:rowOff>
    </xdr:to>
    <xdr:graphicFrame macro="">
      <xdr:nvGraphicFramePr>
        <xdr:cNvPr id="24" name="차트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323850</xdr:colOff>
          <xdr:row>17</xdr:row>
          <xdr:rowOff>95250</xdr:rowOff>
        </xdr:from>
        <xdr:to>
          <xdr:col>56</xdr:col>
          <xdr:colOff>47625</xdr:colOff>
          <xdr:row>18</xdr:row>
          <xdr:rowOff>123825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</xdr:col>
          <xdr:colOff>9525</xdr:colOff>
          <xdr:row>17</xdr:row>
          <xdr:rowOff>95250</xdr:rowOff>
        </xdr:from>
        <xdr:to>
          <xdr:col>54</xdr:col>
          <xdr:colOff>266700</xdr:colOff>
          <xdr:row>18</xdr:row>
          <xdr:rowOff>123825</xdr:rowOff>
        </xdr:to>
        <xdr:sp macro="" textlink="">
          <xdr:nvSpPr>
            <xdr:cNvPr id="1041" name="Drop Down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54</xdr:col>
          <xdr:colOff>323850</xdr:colOff>
          <xdr:row>32</xdr:row>
          <xdr:rowOff>95250</xdr:rowOff>
        </xdr:from>
        <xdr:to>
          <xdr:col>56</xdr:col>
          <xdr:colOff>47625</xdr:colOff>
          <xdr:row>33</xdr:row>
          <xdr:rowOff>123825</xdr:rowOff>
        </xdr:to>
        <xdr:sp macro="" textlink="">
          <xdr:nvSpPr>
            <xdr:cNvPr id="1042" name="Drop Down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53</xdr:col>
          <xdr:colOff>9525</xdr:colOff>
          <xdr:row>32</xdr:row>
          <xdr:rowOff>95250</xdr:rowOff>
        </xdr:from>
        <xdr:to>
          <xdr:col>54</xdr:col>
          <xdr:colOff>266700</xdr:colOff>
          <xdr:row>33</xdr:row>
          <xdr:rowOff>123825</xdr:rowOff>
        </xdr:to>
        <xdr:sp macro="" textlink="">
          <xdr:nvSpPr>
            <xdr:cNvPr id="1043" name="Drop Down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57</xdr:col>
      <xdr:colOff>66675</xdr:colOff>
      <xdr:row>19</xdr:row>
      <xdr:rowOff>0</xdr:rowOff>
    </xdr:from>
    <xdr:to>
      <xdr:col>61</xdr:col>
      <xdr:colOff>457200</xdr:colOff>
      <xdr:row>32</xdr:row>
      <xdr:rowOff>9525</xdr:rowOff>
    </xdr:to>
    <xdr:graphicFrame macro="">
      <xdr:nvGraphicFramePr>
        <xdr:cNvPr id="29" name="차트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57</xdr:col>
      <xdr:colOff>57150</xdr:colOff>
      <xdr:row>34</xdr:row>
      <xdr:rowOff>9525</xdr:rowOff>
    </xdr:from>
    <xdr:to>
      <xdr:col>61</xdr:col>
      <xdr:colOff>447675</xdr:colOff>
      <xdr:row>47</xdr:row>
      <xdr:rowOff>19050</xdr:rowOff>
    </xdr:to>
    <xdr:graphicFrame macro="">
      <xdr:nvGraphicFramePr>
        <xdr:cNvPr id="30" name="차트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J47"/>
  <sheetViews>
    <sheetView showGridLines="0" tabSelected="1" zoomScaleNormal="100" workbookViewId="0"/>
  </sheetViews>
  <sheetFormatPr defaultRowHeight="12" x14ac:dyDescent="0.15"/>
  <cols>
    <col min="1" max="1" width="3.1640625" customWidth="1"/>
    <col min="2" max="6" width="3.83203125" hidden="1" customWidth="1"/>
    <col min="7" max="7" width="4.33203125" hidden="1" customWidth="1"/>
    <col min="8" max="8" width="7.6640625" customWidth="1"/>
    <col min="9" max="11" width="10.5" customWidth="1"/>
    <col min="12" max="24" width="3.83203125" customWidth="1"/>
    <col min="25" max="30" width="3.83203125" hidden="1" customWidth="1"/>
    <col min="31" max="31" width="6.6640625" bestFit="1" customWidth="1"/>
    <col min="32" max="33" width="10.6640625" bestFit="1" customWidth="1"/>
    <col min="34" max="34" width="11.1640625" customWidth="1"/>
    <col min="35" max="47" width="3.83203125" customWidth="1"/>
    <col min="48" max="52" width="3.83203125" hidden="1" customWidth="1"/>
    <col min="53" max="53" width="3.6640625" hidden="1" customWidth="1"/>
  </cols>
  <sheetData>
    <row r="1" spans="2:62" ht="7.5" customHeight="1" x14ac:dyDescent="0.15">
      <c r="H1" s="6"/>
    </row>
    <row r="2" spans="2:62" ht="19.5" customHeight="1" x14ac:dyDescent="0.15">
      <c r="H2" s="7" t="s">
        <v>41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5" spans="2:62" x14ac:dyDescent="0.15">
      <c r="D5">
        <v>1</v>
      </c>
      <c r="E5" s="1">
        <v>1</v>
      </c>
      <c r="F5" s="1">
        <v>1</v>
      </c>
      <c r="H5" s="5" t="s">
        <v>40</v>
      </c>
      <c r="I5" s="5" t="s">
        <v>37</v>
      </c>
      <c r="J5" s="5" t="s">
        <v>38</v>
      </c>
      <c r="K5" s="5" t="s">
        <v>39</v>
      </c>
      <c r="AA5">
        <v>1</v>
      </c>
      <c r="AB5" s="1">
        <v>2</v>
      </c>
      <c r="AC5" s="1">
        <v>1</v>
      </c>
      <c r="AE5" s="5" t="s">
        <v>40</v>
      </c>
      <c r="AF5" s="5" t="s">
        <v>37</v>
      </c>
      <c r="AG5" s="5" t="s">
        <v>38</v>
      </c>
      <c r="AH5" s="5" t="s">
        <v>39</v>
      </c>
      <c r="AX5">
        <v>1</v>
      </c>
      <c r="AY5" s="1">
        <v>8</v>
      </c>
      <c r="AZ5" s="1">
        <v>1</v>
      </c>
      <c r="BB5" s="5" t="s">
        <v>40</v>
      </c>
      <c r="BC5" s="5" t="s">
        <v>37</v>
      </c>
      <c r="BD5" s="5" t="s">
        <v>38</v>
      </c>
      <c r="BE5" s="5" t="s">
        <v>39</v>
      </c>
    </row>
    <row r="6" spans="2:62" ht="11.45" customHeight="1" x14ac:dyDescent="0.15">
      <c r="B6">
        <v>1</v>
      </c>
      <c r="C6" t="s">
        <v>25</v>
      </c>
      <c r="D6" t="s">
        <v>22</v>
      </c>
      <c r="E6" t="s">
        <v>0</v>
      </c>
      <c r="F6" s="1" t="s">
        <v>8</v>
      </c>
      <c r="G6" t="str">
        <f t="shared" ref="G6:G17" si="0">INDEX($D$6:$F$17,$D$5,1)&amp;INDEX($D$6:$F$17,$E$5,2)&amp;INDEX($D$6:$F$17,$B6,3)</f>
        <v>ALLUSDKRWREF</v>
      </c>
      <c r="H6" s="4" t="s">
        <v>8</v>
      </c>
      <c r="I6" s="2">
        <f>_xll.IMDP("FX",$G6,"매수")</f>
        <v>1181.25</v>
      </c>
      <c r="J6" s="2">
        <f>_xll.IMDP("FX",$G6,"매도")</f>
        <v>1182.25</v>
      </c>
      <c r="K6" s="3" t="str">
        <f>LEFT(TEXT(_xll.IMDP("FX",$G6,"시간"),"000000"),2)&amp;":"&amp;MID(TEXT(_xll.IMDP("FX",$G6,"시간"),"000000"),3,2)&amp;":"&amp;RIGHT(TEXT(_xll.IMDP("FX",$G6,"시간"),"000000"),2)</f>
        <v>14:10:29</v>
      </c>
      <c r="Y6">
        <v>1</v>
      </c>
      <c r="Z6" t="s">
        <v>25</v>
      </c>
      <c r="AA6" t="s">
        <v>22</v>
      </c>
      <c r="AB6" t="s">
        <v>0</v>
      </c>
      <c r="AC6" s="1" t="s">
        <v>8</v>
      </c>
      <c r="AD6" t="str">
        <f>INDEX($AA$6:$AC$17,$AA$5,1)&amp;INDEX($AA$6:$AC$17,$AB$5,2)&amp;INDEX($AA$6:$AC$17,$Y6,3)</f>
        <v>ALLUSDCNYREF</v>
      </c>
      <c r="AE6" s="4" t="s">
        <v>8</v>
      </c>
      <c r="AF6" s="2">
        <f>_xll.IMDP("FX",$AD6,"매수")</f>
        <v>6.8898999999999999</v>
      </c>
      <c r="AG6" s="2">
        <f>_xll.IMDP("FX",$AD6,"매도")</f>
        <v>6.8948999999999998</v>
      </c>
      <c r="AH6" s="3" t="str">
        <f>LEFT(TEXT(_xll.IMDP("FX",$AD6,"시간"),"000000"),2)&amp;":"&amp;MID(TEXT(_xll.IMDP("FX",$AD6,"시간"),"000000"),3,2)&amp;":"&amp;RIGHT(TEXT(_xll.IMDP("FX",$AD6,"시간"),"000000"),2)</f>
        <v>14:09:05</v>
      </c>
      <c r="AV6">
        <v>1</v>
      </c>
      <c r="AW6" t="s">
        <v>25</v>
      </c>
      <c r="AX6" t="s">
        <v>22</v>
      </c>
      <c r="AY6" t="s">
        <v>0</v>
      </c>
      <c r="AZ6" s="1" t="s">
        <v>8</v>
      </c>
      <c r="BA6" t="str">
        <f>INDEX($AX$6:$AZ$17,$AX$5,1)&amp;INDEX($AX$6:$AZ$17,$AY$5,2)&amp;INDEX($AX$6:$AZ$17,$AV6,3)</f>
        <v>ALLUSDTWDREF</v>
      </c>
      <c r="BB6" s="4" t="s">
        <v>8</v>
      </c>
      <c r="BC6" s="2">
        <f>_xll.IMDP("FX",$BA6,"매수")</f>
        <v>31.44</v>
      </c>
      <c r="BD6" s="2">
        <f>_xll.IMDP("FX",$BA6,"매도")</f>
        <v>31.47</v>
      </c>
      <c r="BE6" s="3" t="str">
        <f>LEFT(TEXT(_xll.IMDP("FX",$BA6,"시간"),"000000"),2)&amp;":"&amp;MID(TEXT(_xll.IMDP("FX",$BA6,"시간"),"000000"),3,2)&amp;":"&amp;RIGHT(TEXT(_xll.IMDP("FX",$BA6,"시간"),"000000"),2)</f>
        <v>14:09:19</v>
      </c>
    </row>
    <row r="7" spans="2:62" ht="11.45" customHeight="1" x14ac:dyDescent="0.15">
      <c r="B7">
        <v>2</v>
      </c>
      <c r="C7" t="s">
        <v>23</v>
      </c>
      <c r="D7" t="s">
        <v>36</v>
      </c>
      <c r="E7" t="s">
        <v>1</v>
      </c>
      <c r="F7" s="1" t="s">
        <v>10</v>
      </c>
      <c r="G7" t="str">
        <f t="shared" si="0"/>
        <v>ALLUSDKRW01W</v>
      </c>
      <c r="H7" s="4" t="s">
        <v>9</v>
      </c>
      <c r="I7" s="2">
        <f>_xll.IMDP("FX",$G7,"매수")</f>
        <v>1181.04</v>
      </c>
      <c r="J7" s="2">
        <f>_xll.IMDP("FX",$G7,"매도")</f>
        <v>1182.04</v>
      </c>
      <c r="K7" s="3" t="str">
        <f>LEFT(TEXT(_xll.IMDP("FX",$G7,"시간"),"000000"),2)&amp;":"&amp;MID(TEXT(_xll.IMDP("FX",$G7,"시간"),"000000"),3,2)&amp;":"&amp;RIGHT(TEXT(_xll.IMDP("FX",$G7,"시간"),"000000"),2)</f>
        <v>14:10:29</v>
      </c>
      <c r="Y7">
        <v>2</v>
      </c>
      <c r="Z7" t="s">
        <v>23</v>
      </c>
      <c r="AA7" t="s">
        <v>36</v>
      </c>
      <c r="AB7" t="s">
        <v>1</v>
      </c>
      <c r="AC7" s="1" t="s">
        <v>10</v>
      </c>
      <c r="AD7" t="str">
        <f t="shared" ref="AD7:AD17" si="1">INDEX($AA$6:$AC$17,$AA$5,1)&amp;INDEX($D$6:$F$17,$AB$5,2)&amp;INDEX($D$6:$F$17,$Y7,3)</f>
        <v>ALLUSDCNY01W</v>
      </c>
      <c r="AE7" s="4" t="s">
        <v>9</v>
      </c>
      <c r="AF7" s="2">
        <f>_xll.IMDP("FX",$AD7,"매수")</f>
        <v>6.8909000000000002</v>
      </c>
      <c r="AG7" s="2">
        <f>_xll.IMDP("FX",$AD7,"매도")</f>
        <v>6.8959000000000001</v>
      </c>
      <c r="AH7" s="3" t="str">
        <f>LEFT(TEXT(_xll.IMDP("FX",$AD7,"시간"),"000000"),2)&amp;":"&amp;MID(TEXT(_xll.IMDP("FX",$AD7,"시간"),"000000"),3,2)&amp;":"&amp;RIGHT(TEXT(_xll.IMDP("FX",$AD7,"시간"),"000000"),2)</f>
        <v>14:09:05</v>
      </c>
      <c r="AV7">
        <v>2</v>
      </c>
      <c r="AW7" t="s">
        <v>23</v>
      </c>
      <c r="AX7" t="s">
        <v>36</v>
      </c>
      <c r="AY7" t="s">
        <v>1</v>
      </c>
      <c r="AZ7" s="1" t="s">
        <v>10</v>
      </c>
      <c r="BA7" t="str">
        <f t="shared" ref="BA7:BA17" si="2">INDEX($AX$6:$AZ$17,$AX$5,1)&amp;INDEX($AX$6:$AZ$17,$AY$5,2)&amp;INDEX($AX$6:$AZ$17,$AV7,3)</f>
        <v>ALLUSDTWD01W</v>
      </c>
      <c r="BB7" s="4" t="s">
        <v>9</v>
      </c>
      <c r="BC7" s="2">
        <f>_xll.IMDP("FX",$BA7,"매수")</f>
        <v>31.4</v>
      </c>
      <c r="BD7" s="2">
        <f>_xll.IMDP("FX",$BA7,"매도")</f>
        <v>31.44</v>
      </c>
      <c r="BE7" s="3" t="str">
        <f>LEFT(TEXT(_xll.IMDP("FX",$BA7,"시간"),"000000"),2)&amp;":"&amp;MID(TEXT(_xll.IMDP("FX",$BA7,"시간"),"000000"),3,2)&amp;":"&amp;RIGHT(TEXT(_xll.IMDP("FX",$BA7,"시간"),"000000"),2)</f>
        <v>14:09:20</v>
      </c>
    </row>
    <row r="8" spans="2:62" ht="11.45" customHeight="1" x14ac:dyDescent="0.15">
      <c r="B8">
        <v>3</v>
      </c>
      <c r="C8" t="s">
        <v>24</v>
      </c>
      <c r="D8" t="s">
        <v>21</v>
      </c>
      <c r="E8" t="s">
        <v>2</v>
      </c>
      <c r="F8" s="1" t="s">
        <v>11</v>
      </c>
      <c r="G8" t="str">
        <f t="shared" si="0"/>
        <v>ALLUSDKRW01M</v>
      </c>
      <c r="H8" s="4" t="s">
        <v>26</v>
      </c>
      <c r="I8" s="2">
        <f>_xll.IMDP("FX",$G8,"매수")</f>
        <v>1180.08</v>
      </c>
      <c r="J8" s="2">
        <f>_xll.IMDP("FX",$G8,"매도")</f>
        <v>1181.08</v>
      </c>
      <c r="K8" s="3" t="str">
        <f>LEFT(TEXT(_xll.IMDP("FX",$G8,"시간"),"000000"),2)&amp;":"&amp;MID(TEXT(_xll.IMDP("FX",$G8,"시간"),"000000"),3,2)&amp;":"&amp;RIGHT(TEXT(_xll.IMDP("FX",$G8,"시간"),"000000"),2)</f>
        <v>14:10:29</v>
      </c>
      <c r="Y8">
        <v>3</v>
      </c>
      <c r="Z8" t="s">
        <v>24</v>
      </c>
      <c r="AA8" t="s">
        <v>21</v>
      </c>
      <c r="AB8" t="s">
        <v>2</v>
      </c>
      <c r="AC8" s="1" t="s">
        <v>11</v>
      </c>
      <c r="AD8" t="str">
        <f t="shared" si="1"/>
        <v>ALLUSDCNY01M</v>
      </c>
      <c r="AE8" s="4" t="s">
        <v>26</v>
      </c>
      <c r="AF8" s="2">
        <f>_xll.IMDP("FX",$AD8,"매수")</f>
        <v>6.8989000000000003</v>
      </c>
      <c r="AG8" s="2">
        <f>_xll.IMDP("FX",$AD8,"매도")</f>
        <v>6.9039000000000001</v>
      </c>
      <c r="AH8" s="3" t="str">
        <f>LEFT(TEXT(_xll.IMDP("FX",$AD8,"시간"),"000000"),2)&amp;":"&amp;MID(TEXT(_xll.IMDP("FX",$AD8,"시간"),"000000"),3,2)&amp;":"&amp;RIGHT(TEXT(_xll.IMDP("FX",$AD8,"시간"),"000000"),2)</f>
        <v>14:09:05</v>
      </c>
      <c r="AV8">
        <v>3</v>
      </c>
      <c r="AW8" t="s">
        <v>24</v>
      </c>
      <c r="AX8" t="s">
        <v>21</v>
      </c>
      <c r="AY8" t="s">
        <v>2</v>
      </c>
      <c r="AZ8" s="1" t="s">
        <v>11</v>
      </c>
      <c r="BA8" t="str">
        <f t="shared" si="2"/>
        <v>ALLUSDTWD01M</v>
      </c>
      <c r="BB8" s="4" t="s">
        <v>26</v>
      </c>
      <c r="BC8" s="2">
        <f>_xll.IMDP("FX",$BA8,"매수")</f>
        <v>31.39</v>
      </c>
      <c r="BD8" s="2">
        <f>_xll.IMDP("FX",$BA8,"매도")</f>
        <v>31.43</v>
      </c>
      <c r="BE8" s="3" t="str">
        <f>LEFT(TEXT(_xll.IMDP("FX",$BA8,"시간"),"000000"),2)&amp;":"&amp;MID(TEXT(_xll.IMDP("FX",$BA8,"시간"),"000000"),3,2)&amp;":"&amp;RIGHT(TEXT(_xll.IMDP("FX",$BA8,"시간"),"000000"),2)</f>
        <v>14:09:20</v>
      </c>
    </row>
    <row r="9" spans="2:62" ht="11.45" customHeight="1" x14ac:dyDescent="0.15">
      <c r="B9">
        <v>4</v>
      </c>
      <c r="E9" t="s">
        <v>3</v>
      </c>
      <c r="F9" s="1" t="s">
        <v>12</v>
      </c>
      <c r="G9" t="str">
        <f t="shared" si="0"/>
        <v>ALLUSDKRW02M</v>
      </c>
      <c r="H9" s="4" t="s">
        <v>27</v>
      </c>
      <c r="I9" s="2">
        <f>_xll.IMDP("FX",$G9,"매수")</f>
        <v>1178.83</v>
      </c>
      <c r="J9" s="2">
        <f>_xll.IMDP("FX",$G9,"매도")</f>
        <v>1179.83</v>
      </c>
      <c r="K9" s="3" t="str">
        <f>LEFT(TEXT(_xll.IMDP("FX",$G9,"시간"),"000000"),2)&amp;":"&amp;MID(TEXT(_xll.IMDP("FX",$G9,"시간"),"000000"),3,2)&amp;":"&amp;RIGHT(TEXT(_xll.IMDP("FX",$G9,"시간"),"000000"),2)</f>
        <v>14:10:29</v>
      </c>
      <c r="Y9">
        <v>4</v>
      </c>
      <c r="AB9" t="s">
        <v>3</v>
      </c>
      <c r="AC9" s="1" t="s">
        <v>12</v>
      </c>
      <c r="AD9" t="str">
        <f t="shared" si="1"/>
        <v>ALLUSDCNY02M</v>
      </c>
      <c r="AE9" s="4" t="s">
        <v>27</v>
      </c>
      <c r="AF9" s="2">
        <f>_xll.IMDP("FX",$AD9,"매수")</f>
        <v>6.9074</v>
      </c>
      <c r="AG9" s="2">
        <f>_xll.IMDP("FX",$AD9,"매도")</f>
        <v>6.9123999999999999</v>
      </c>
      <c r="AH9" s="3" t="str">
        <f>LEFT(TEXT(_xll.IMDP("FX",$AD9,"시간"),"000000"),2)&amp;":"&amp;MID(TEXT(_xll.IMDP("FX",$AD9,"시간"),"000000"),3,2)&amp;":"&amp;RIGHT(TEXT(_xll.IMDP("FX",$AD9,"시간"),"000000"),2)</f>
        <v>14:09:05</v>
      </c>
      <c r="AV9">
        <v>4</v>
      </c>
      <c r="AY9" t="s">
        <v>3</v>
      </c>
      <c r="AZ9" s="1" t="s">
        <v>12</v>
      </c>
      <c r="BA9" t="str">
        <f t="shared" si="2"/>
        <v>ALLUSDTWD02M</v>
      </c>
      <c r="BB9" s="4" t="s">
        <v>27</v>
      </c>
      <c r="BC9" s="2">
        <f>_xll.IMDP("FX",$BA9,"매수")</f>
        <v>31.36</v>
      </c>
      <c r="BD9" s="2">
        <f>_xll.IMDP("FX",$BA9,"매도")</f>
        <v>31.4</v>
      </c>
      <c r="BE9" s="3" t="str">
        <f>LEFT(TEXT(_xll.IMDP("FX",$BA9,"시간"),"000000"),2)&amp;":"&amp;MID(TEXT(_xll.IMDP("FX",$BA9,"시간"),"000000"),3,2)&amp;":"&amp;RIGHT(TEXT(_xll.IMDP("FX",$BA9,"시간"),"000000"),2)</f>
        <v>14:09:20</v>
      </c>
    </row>
    <row r="10" spans="2:62" ht="11.45" customHeight="1" x14ac:dyDescent="0.15">
      <c r="B10">
        <v>5</v>
      </c>
      <c r="E10" t="s">
        <v>4</v>
      </c>
      <c r="F10" s="1" t="s">
        <v>13</v>
      </c>
      <c r="G10" t="str">
        <f t="shared" si="0"/>
        <v>ALLUSDKRW03M</v>
      </c>
      <c r="H10" s="4" t="s">
        <v>28</v>
      </c>
      <c r="I10" s="2">
        <f>_xll.IMDP("FX",$G10,"매수")</f>
        <v>1177.6300000000001</v>
      </c>
      <c r="J10" s="2">
        <f>_xll.IMDP("FX",$G10,"매도")</f>
        <v>1178.6300000000001</v>
      </c>
      <c r="K10" s="3" t="str">
        <f>LEFT(TEXT(_xll.IMDP("FX",$G10,"시간"),"000000"),2)&amp;":"&amp;MID(TEXT(_xll.IMDP("FX",$G10,"시간"),"000000"),3,2)&amp;":"&amp;RIGHT(TEXT(_xll.IMDP("FX",$G10,"시간"),"000000"),2)</f>
        <v>14:10:29</v>
      </c>
      <c r="Y10">
        <v>5</v>
      </c>
      <c r="AB10" t="s">
        <v>4</v>
      </c>
      <c r="AC10" s="1" t="s">
        <v>13</v>
      </c>
      <c r="AD10" t="str">
        <f t="shared" si="1"/>
        <v>ALLUSDCNY03M</v>
      </c>
      <c r="AE10" s="4" t="s">
        <v>28</v>
      </c>
      <c r="AF10" s="2">
        <f>_xll.IMDP("FX",$AD10,"매수")</f>
        <v>6.9158999999999997</v>
      </c>
      <c r="AG10" s="2">
        <f>_xll.IMDP("FX",$AD10,"매도")</f>
        <v>6.9208999999999996</v>
      </c>
      <c r="AH10" s="3" t="str">
        <f>LEFT(TEXT(_xll.IMDP("FX",$AD10,"시간"),"000000"),2)&amp;":"&amp;MID(TEXT(_xll.IMDP("FX",$AD10,"시간"),"000000"),3,2)&amp;":"&amp;RIGHT(TEXT(_xll.IMDP("FX",$AD10,"시간"),"000000"),2)</f>
        <v>14:09:05</v>
      </c>
      <c r="AV10">
        <v>5</v>
      </c>
      <c r="AY10" t="s">
        <v>4</v>
      </c>
      <c r="AZ10" s="1" t="s">
        <v>13</v>
      </c>
      <c r="BA10" t="str">
        <f t="shared" si="2"/>
        <v>ALLUSDTWD03M</v>
      </c>
      <c r="BB10" s="4" t="s">
        <v>28</v>
      </c>
      <c r="BC10" s="2">
        <f>_xll.IMDP("FX",$BA10,"매수")</f>
        <v>31.35</v>
      </c>
      <c r="BD10" s="2">
        <f>_xll.IMDP("FX",$BA10,"매도")</f>
        <v>31.39</v>
      </c>
      <c r="BE10" s="3" t="str">
        <f>LEFT(TEXT(_xll.IMDP("FX",$BA10,"시간"),"000000"),2)&amp;":"&amp;MID(TEXT(_xll.IMDP("FX",$BA10,"시간"),"000000"),3,2)&amp;":"&amp;RIGHT(TEXT(_xll.IMDP("FX",$BA10,"시간"),"000000"),2)</f>
        <v>14:10:04</v>
      </c>
    </row>
    <row r="11" spans="2:62" ht="11.45" customHeight="1" x14ac:dyDescent="0.15">
      <c r="B11">
        <v>6</v>
      </c>
      <c r="E11" t="s">
        <v>5</v>
      </c>
      <c r="F11" s="1" t="s">
        <v>14</v>
      </c>
      <c r="G11" t="str">
        <f t="shared" si="0"/>
        <v>ALLUSDKRW06M</v>
      </c>
      <c r="H11" s="4" t="s">
        <v>29</v>
      </c>
      <c r="I11" s="2">
        <f>_xll.IMDP("FX",$G11,"매수")</f>
        <v>1173.58</v>
      </c>
      <c r="J11" s="2">
        <f>_xll.IMDP("FX",$G11,"매도")</f>
        <v>1174.58</v>
      </c>
      <c r="K11" s="3" t="str">
        <f>LEFT(TEXT(_xll.IMDP("FX",$G11,"시간"),"000000"),2)&amp;":"&amp;MID(TEXT(_xll.IMDP("FX",$G11,"시간"),"000000"),3,2)&amp;":"&amp;RIGHT(TEXT(_xll.IMDP("FX",$G11,"시간"),"000000"),2)</f>
        <v>14:10:29</v>
      </c>
      <c r="Y11">
        <v>6</v>
      </c>
      <c r="AB11" t="s">
        <v>5</v>
      </c>
      <c r="AC11" s="1" t="s">
        <v>14</v>
      </c>
      <c r="AD11" t="str">
        <f t="shared" si="1"/>
        <v>ALLUSDCNY06M</v>
      </c>
      <c r="AE11" s="4" t="s">
        <v>29</v>
      </c>
      <c r="AF11" s="2">
        <f>_xll.IMDP("FX",$AD11,"매수")</f>
        <v>6.9344000000000001</v>
      </c>
      <c r="AG11" s="2">
        <f>_xll.IMDP("FX",$AD11,"매도")</f>
        <v>6.9394</v>
      </c>
      <c r="AH11" s="3" t="str">
        <f>LEFT(TEXT(_xll.IMDP("FX",$AD11,"시간"),"000000"),2)&amp;":"&amp;MID(TEXT(_xll.IMDP("FX",$AD11,"시간"),"000000"),3,2)&amp;":"&amp;RIGHT(TEXT(_xll.IMDP("FX",$AD11,"시간"),"000000"),2)</f>
        <v>14:09:05</v>
      </c>
      <c r="AV11">
        <v>6</v>
      </c>
      <c r="AY11" t="s">
        <v>5</v>
      </c>
      <c r="AZ11" s="1" t="s">
        <v>14</v>
      </c>
      <c r="BA11" t="str">
        <f t="shared" si="2"/>
        <v>ALLUSDTWD06M</v>
      </c>
      <c r="BB11" s="4" t="s">
        <v>29</v>
      </c>
      <c r="BC11" s="2">
        <f>_xll.IMDP("FX",$BA11,"매수")</f>
        <v>31.24</v>
      </c>
      <c r="BD11" s="2">
        <f>_xll.IMDP("FX",$BA11,"매도")</f>
        <v>31.28</v>
      </c>
      <c r="BE11" s="3" t="str">
        <f>LEFT(TEXT(_xll.IMDP("FX",$BA11,"시간"),"000000"),2)&amp;":"&amp;MID(TEXT(_xll.IMDP("FX",$BA11,"시간"),"000000"),3,2)&amp;":"&amp;RIGHT(TEXT(_xll.IMDP("FX",$BA11,"시간"),"000000"),2)</f>
        <v>14:09:19</v>
      </c>
    </row>
    <row r="12" spans="2:62" ht="11.45" customHeight="1" x14ac:dyDescent="0.15">
      <c r="B12">
        <v>7</v>
      </c>
      <c r="E12" t="s">
        <v>6</v>
      </c>
      <c r="F12" s="1" t="s">
        <v>15</v>
      </c>
      <c r="G12" t="str">
        <f t="shared" si="0"/>
        <v>ALLUSDKRW09M</v>
      </c>
      <c r="H12" s="4" t="s">
        <v>30</v>
      </c>
      <c r="I12" s="2">
        <f>_xll.IMDP("FX",$G12,"매수")</f>
        <v>1168.78</v>
      </c>
      <c r="J12" s="2">
        <f>_xll.IMDP("FX",$G12,"매도")</f>
        <v>1170.78</v>
      </c>
      <c r="K12" s="3" t="str">
        <f>LEFT(TEXT(_xll.IMDP("FX",$G12,"시간"),"000000"),2)&amp;":"&amp;MID(TEXT(_xll.IMDP("FX",$G12,"시간"),"000000"),3,2)&amp;":"&amp;RIGHT(TEXT(_xll.IMDP("FX",$G12,"시간"),"000000"),2)</f>
        <v>14:10:29</v>
      </c>
      <c r="Y12">
        <v>7</v>
      </c>
      <c r="AB12" t="s">
        <v>6</v>
      </c>
      <c r="AC12" s="1" t="s">
        <v>15</v>
      </c>
      <c r="AD12" t="str">
        <f t="shared" si="1"/>
        <v>ALLUSDCNY09M</v>
      </c>
      <c r="AE12" s="4" t="s">
        <v>30</v>
      </c>
      <c r="AF12" s="2">
        <f>_xll.IMDP("FX",$AD12,"매수")</f>
        <v>6.9513999999999996</v>
      </c>
      <c r="AG12" s="2">
        <f>_xll.IMDP("FX",$AD12,"매도")</f>
        <v>6.9564000000000004</v>
      </c>
      <c r="AH12" s="3" t="str">
        <f>LEFT(TEXT(_xll.IMDP("FX",$AD12,"시간"),"000000"),2)&amp;":"&amp;MID(TEXT(_xll.IMDP("FX",$AD12,"시간"),"000000"),3,2)&amp;":"&amp;RIGHT(TEXT(_xll.IMDP("FX",$AD12,"시간"),"000000"),2)</f>
        <v>14:09:05</v>
      </c>
      <c r="AV12">
        <v>7</v>
      </c>
      <c r="AY12" t="s">
        <v>6</v>
      </c>
      <c r="AZ12" s="1" t="s">
        <v>15</v>
      </c>
      <c r="BA12" t="str">
        <f t="shared" si="2"/>
        <v>ALLUSDTWD09M</v>
      </c>
      <c r="BB12" s="4" t="s">
        <v>30</v>
      </c>
      <c r="BC12" s="2">
        <f>_xll.IMDP("FX",$BA12,"매수")</f>
        <v>31.06</v>
      </c>
      <c r="BD12" s="2">
        <f>_xll.IMDP("FX",$BA12,"매도")</f>
        <v>31.1</v>
      </c>
      <c r="BE12" s="3" t="str">
        <f>LEFT(TEXT(_xll.IMDP("FX",$BA12,"시간"),"000000"),2)&amp;":"&amp;MID(TEXT(_xll.IMDP("FX",$BA12,"시간"),"000000"),3,2)&amp;":"&amp;RIGHT(TEXT(_xll.IMDP("FX",$BA12,"시간"),"000000"),2)</f>
        <v>14:09:20</v>
      </c>
    </row>
    <row r="13" spans="2:62" ht="11.45" customHeight="1" x14ac:dyDescent="0.15">
      <c r="B13">
        <v>8</v>
      </c>
      <c r="E13" t="s">
        <v>7</v>
      </c>
      <c r="F13" s="1" t="s">
        <v>16</v>
      </c>
      <c r="G13" t="str">
        <f t="shared" si="0"/>
        <v>ALLUSDKRW01Y</v>
      </c>
      <c r="H13" s="4" t="s">
        <v>31</v>
      </c>
      <c r="I13" s="2">
        <f>_xll.IMDP("FX",$G13,"매수")</f>
        <v>1163.8800000000001</v>
      </c>
      <c r="J13" s="2">
        <f>_xll.IMDP("FX",$G13,"매도")</f>
        <v>1166.8800000000001</v>
      </c>
      <c r="K13" s="3" t="str">
        <f>LEFT(TEXT(_xll.IMDP("FX",$G13,"시간"),"000000"),2)&amp;":"&amp;MID(TEXT(_xll.IMDP("FX",$G13,"시간"),"000000"),3,2)&amp;":"&amp;RIGHT(TEXT(_xll.IMDP("FX",$G13,"시간"),"000000"),2)</f>
        <v>14:10:29</v>
      </c>
      <c r="Y13">
        <v>8</v>
      </c>
      <c r="AB13" t="s">
        <v>7</v>
      </c>
      <c r="AC13" s="1" t="s">
        <v>16</v>
      </c>
      <c r="AD13" t="str">
        <f t="shared" si="1"/>
        <v>ALLUSDCNY01Y</v>
      </c>
      <c r="AE13" s="4" t="s">
        <v>31</v>
      </c>
      <c r="AF13" s="2">
        <f>_xll.IMDP("FX",$AD13,"매수")</f>
        <v>6.9679000000000002</v>
      </c>
      <c r="AG13" s="2">
        <f>_xll.IMDP("FX",$AD13,"매도")</f>
        <v>6.9748999999999999</v>
      </c>
      <c r="AH13" s="3" t="str">
        <f>LEFT(TEXT(_xll.IMDP("FX",$AD13,"시간"),"000000"),2)&amp;":"&amp;MID(TEXT(_xll.IMDP("FX",$AD13,"시간"),"000000"),3,2)&amp;":"&amp;RIGHT(TEXT(_xll.IMDP("FX",$AD13,"시간"),"000000"),2)</f>
        <v>14:09:05</v>
      </c>
      <c r="AV13">
        <v>8</v>
      </c>
      <c r="AY13" t="s">
        <v>7</v>
      </c>
      <c r="AZ13" s="1" t="s">
        <v>16</v>
      </c>
      <c r="BA13" t="str">
        <f t="shared" si="2"/>
        <v>ALLUSDTWD01Y</v>
      </c>
      <c r="BB13" s="4" t="s">
        <v>31</v>
      </c>
      <c r="BC13" s="2">
        <f>_xll.IMDP("FX",$BA13,"매수")</f>
        <v>30.9</v>
      </c>
      <c r="BD13" s="2">
        <f>_xll.IMDP("FX",$BA13,"매도")</f>
        <v>30.94</v>
      </c>
      <c r="BE13" s="3" t="str">
        <f>LEFT(TEXT(_xll.IMDP("FX",$BA13,"시간"),"000000"),2)&amp;":"&amp;MID(TEXT(_xll.IMDP("FX",$BA13,"시간"),"000000"),3,2)&amp;":"&amp;RIGHT(TEXT(_xll.IMDP("FX",$BA13,"시간"),"000000"),2)</f>
        <v>14:09:19</v>
      </c>
    </row>
    <row r="14" spans="2:62" ht="11.45" customHeight="1" x14ac:dyDescent="0.15">
      <c r="B14">
        <v>9</v>
      </c>
      <c r="F14" s="1" t="s">
        <v>17</v>
      </c>
      <c r="G14" t="str">
        <f t="shared" si="0"/>
        <v>ALLUSDKRW02Y</v>
      </c>
      <c r="H14" s="4" t="s">
        <v>32</v>
      </c>
      <c r="I14" s="2">
        <f>_xll.IMDP("FX",$G14,"매수")</f>
        <v>1148.25</v>
      </c>
      <c r="J14" s="2">
        <f>_xll.IMDP("FX",$G14,"매도")</f>
        <v>1151.25</v>
      </c>
      <c r="K14" s="3" t="str">
        <f>LEFT(TEXT(_xll.IMDP("FX",$G14,"시간"),"000000"),2)&amp;":"&amp;MID(TEXT(_xll.IMDP("FX",$G14,"시간"),"000000"),3,2)&amp;":"&amp;RIGHT(TEXT(_xll.IMDP("FX",$G14,"시간"),"000000"),2)</f>
        <v>14:10:29</v>
      </c>
      <c r="Y14">
        <v>9</v>
      </c>
      <c r="AC14" s="1" t="s">
        <v>17</v>
      </c>
      <c r="AD14" t="str">
        <f t="shared" si="1"/>
        <v>ALLUSDCNY02Y</v>
      </c>
      <c r="AE14" s="4" t="s">
        <v>32</v>
      </c>
      <c r="AF14" s="2">
        <f>_xll.IMDP("FX",$AD14,"매수")</f>
        <v>7.0304000000000002</v>
      </c>
      <c r="AG14" s="2">
        <f>_xll.IMDP("FX",$AD14,"매도")</f>
        <v>7.0503999999999998</v>
      </c>
      <c r="AH14" s="3" t="str">
        <f>LEFT(TEXT(_xll.IMDP("FX",$AD14,"시간"),"000000"),2)&amp;":"&amp;MID(TEXT(_xll.IMDP("FX",$AD14,"시간"),"000000"),3,2)&amp;":"&amp;RIGHT(TEXT(_xll.IMDP("FX",$AD14,"시간"),"000000"),2)</f>
        <v>14:09:05</v>
      </c>
      <c r="AV14">
        <v>9</v>
      </c>
      <c r="AZ14" s="1" t="s">
        <v>17</v>
      </c>
      <c r="BA14" t="str">
        <f t="shared" si="2"/>
        <v>ALLUSDTWD02Y</v>
      </c>
      <c r="BB14" s="4" t="s">
        <v>32</v>
      </c>
      <c r="BC14" s="2">
        <f>_xll.IMDP("FX",$BA14,"매수")</f>
        <v>30.49</v>
      </c>
      <c r="BD14" s="2">
        <f>_xll.IMDP("FX",$BA14,"매도")</f>
        <v>30.72</v>
      </c>
      <c r="BE14" s="3" t="str">
        <f>LEFT(TEXT(_xll.IMDP("FX",$BA14,"시간"),"000000"),2)&amp;":"&amp;MID(TEXT(_xll.IMDP("FX",$BA14,"시간"),"000000"),3,2)&amp;":"&amp;RIGHT(TEXT(_xll.IMDP("FX",$BA14,"시간"),"000000"),2)</f>
        <v>14:09:20</v>
      </c>
    </row>
    <row r="15" spans="2:62" ht="11.45" customHeight="1" x14ac:dyDescent="0.15">
      <c r="B15">
        <v>10</v>
      </c>
      <c r="F15" s="1" t="s">
        <v>18</v>
      </c>
      <c r="G15" t="str">
        <f t="shared" si="0"/>
        <v>ALLUSDKRW03Y</v>
      </c>
      <c r="H15" s="4" t="s">
        <v>33</v>
      </c>
      <c r="I15" s="2">
        <f>_xll.IMDP("FX",$G15,"매수")</f>
        <v>1132.8499999999999</v>
      </c>
      <c r="J15" s="2">
        <f>_xll.IMDP("FX",$G15,"매도")</f>
        <v>1141.28</v>
      </c>
      <c r="K15" s="3" t="str">
        <f>LEFT(TEXT(_xll.IMDP("FX",$G15,"시간"),"000000"),2)&amp;":"&amp;MID(TEXT(_xll.IMDP("FX",$G15,"시간"),"000000"),3,2)&amp;":"&amp;RIGHT(TEXT(_xll.IMDP("FX",$G15,"시간"),"000000"),2)</f>
        <v>14:01:01</v>
      </c>
      <c r="Y15">
        <v>10</v>
      </c>
      <c r="AC15" s="1" t="s">
        <v>18</v>
      </c>
      <c r="AD15" t="str">
        <f t="shared" si="1"/>
        <v>ALLUSDCNY03Y</v>
      </c>
      <c r="AE15" s="4" t="s">
        <v>33</v>
      </c>
      <c r="AF15" s="2">
        <f>_xll.IMDP("FX",$AD15,"매수")</f>
        <v>7.0983999999999998</v>
      </c>
      <c r="AG15" s="2">
        <f>_xll.IMDP("FX",$AD15,"매도")</f>
        <v>7.1184000000000003</v>
      </c>
      <c r="AH15" s="3" t="str">
        <f>LEFT(TEXT(_xll.IMDP("FX",$AD15,"시간"),"000000"),2)&amp;":"&amp;MID(TEXT(_xll.IMDP("FX",$AD15,"시간"),"000000"),3,2)&amp;":"&amp;RIGHT(TEXT(_xll.IMDP("FX",$AD15,"시간"),"000000"),2)</f>
        <v>14:09:05</v>
      </c>
      <c r="AV15">
        <v>10</v>
      </c>
      <c r="AZ15" s="1" t="s">
        <v>18</v>
      </c>
      <c r="BA15" t="str">
        <f t="shared" si="2"/>
        <v>ALLUSDTWD03Y</v>
      </c>
      <c r="BB15" s="4" t="s">
        <v>33</v>
      </c>
      <c r="BC15" s="2">
        <f>_xll.IMDP("FX",$BA15,"매수")</f>
        <v>29.63</v>
      </c>
      <c r="BD15" s="2">
        <f>_xll.IMDP("FX",$BA15,"매도")</f>
        <v>29.925000000000001</v>
      </c>
      <c r="BE15" s="3" t="str">
        <f>LEFT(TEXT(_xll.IMDP("FX",$BA15,"시간"),"000000"),2)&amp;":"&amp;MID(TEXT(_xll.IMDP("FX",$BA15,"시간"),"000000"),3,2)&amp;":"&amp;RIGHT(TEXT(_xll.IMDP("FX",$BA15,"시간"),"000000"),2)</f>
        <v>13:23:51</v>
      </c>
    </row>
    <row r="16" spans="2:62" ht="11.45" customHeight="1" x14ac:dyDescent="0.15">
      <c r="B16">
        <v>11</v>
      </c>
      <c r="F16" s="1" t="s">
        <v>19</v>
      </c>
      <c r="G16" t="str">
        <f t="shared" si="0"/>
        <v>ALLUSDKRW04Y</v>
      </c>
      <c r="H16" s="4" t="s">
        <v>34</v>
      </c>
      <c r="I16" s="2">
        <f>_xll.IMDP("FX",$G16,"매수")</f>
        <v>1118.3900000000001</v>
      </c>
      <c r="J16" s="2">
        <f>_xll.IMDP("FX",$G16,"매도")</f>
        <v>1130.1500000000001</v>
      </c>
      <c r="K16" s="3" t="str">
        <f>LEFT(TEXT(_xll.IMDP("FX",$G16,"시간"),"000000"),2)&amp;":"&amp;MID(TEXT(_xll.IMDP("FX",$G16,"시간"),"000000"),3,2)&amp;":"&amp;RIGHT(TEXT(_xll.IMDP("FX",$G16,"시간"),"000000"),2)</f>
        <v>14:01:01</v>
      </c>
      <c r="Y16">
        <v>11</v>
      </c>
      <c r="AC16" s="1" t="s">
        <v>19</v>
      </c>
      <c r="AD16" t="str">
        <f t="shared" si="1"/>
        <v>ALLUSDCNY04Y</v>
      </c>
      <c r="AE16" s="4" t="s">
        <v>34</v>
      </c>
      <c r="AF16" s="2">
        <f>_xll.IMDP("FX",$AD16,"매수")</f>
        <v>7.1634000000000002</v>
      </c>
      <c r="AG16" s="2">
        <f>_xll.IMDP("FX",$AD16,"매도")</f>
        <v>7.1833999999999998</v>
      </c>
      <c r="AH16" s="3" t="str">
        <f>LEFT(TEXT(_xll.IMDP("FX",$AD16,"시간"),"000000"),2)&amp;":"&amp;MID(TEXT(_xll.IMDP("FX",$AD16,"시간"),"000000"),3,2)&amp;":"&amp;RIGHT(TEXT(_xll.IMDP("FX",$AD16,"시간"),"000000"),2)</f>
        <v>14:09:05</v>
      </c>
      <c r="AV16">
        <v>11</v>
      </c>
      <c r="AZ16" s="1" t="s">
        <v>19</v>
      </c>
      <c r="BA16" t="str">
        <f t="shared" si="2"/>
        <v>ALLUSDTWD04Y</v>
      </c>
      <c r="BB16" s="4" t="s">
        <v>34</v>
      </c>
      <c r="BC16" s="2">
        <f>_xll.IMDP("FX",$BA16,"매수")</f>
        <v>29.15</v>
      </c>
      <c r="BD16" s="2">
        <f>_xll.IMDP("FX",$BA16,"매도")</f>
        <v>29.431000000000001</v>
      </c>
      <c r="BE16" s="3" t="str">
        <f>LEFT(TEXT(_xll.IMDP("FX",$BA16,"시간"),"000000"),2)&amp;":"&amp;MID(TEXT(_xll.IMDP("FX",$BA16,"시간"),"000000"),3,2)&amp;":"&amp;RIGHT(TEXT(_xll.IMDP("FX",$BA16,"시간"),"000000"),2)</f>
        <v>14:01:01</v>
      </c>
    </row>
    <row r="17" spans="2:57" ht="11.45" customHeight="1" x14ac:dyDescent="0.15">
      <c r="B17">
        <v>12</v>
      </c>
      <c r="F17" s="1" t="s">
        <v>20</v>
      </c>
      <c r="G17" t="str">
        <f t="shared" si="0"/>
        <v>ALLUSDKRW05Y</v>
      </c>
      <c r="H17" s="4" t="s">
        <v>35</v>
      </c>
      <c r="I17" s="2">
        <f>_xll.IMDP("FX",$G17,"매수")</f>
        <v>1103.9000000000001</v>
      </c>
      <c r="J17" s="2">
        <f>_xll.IMDP("FX",$G17,"매도")</f>
        <v>1119</v>
      </c>
      <c r="K17" s="3" t="str">
        <f>LEFT(TEXT(_xll.IMDP("FX",$G17,"시간"),"000000"),2)&amp;":"&amp;MID(TEXT(_xll.IMDP("FX",$G17,"시간"),"000000"),3,2)&amp;":"&amp;RIGHT(TEXT(_xll.IMDP("FX",$G17,"시간"),"000000"),2)</f>
        <v>14:00:59</v>
      </c>
      <c r="Y17">
        <v>12</v>
      </c>
      <c r="AC17" s="1" t="s">
        <v>20</v>
      </c>
      <c r="AD17" t="str">
        <f t="shared" si="1"/>
        <v>ALLUSDCNY05Y</v>
      </c>
      <c r="AE17" s="4" t="s">
        <v>35</v>
      </c>
      <c r="AF17" s="2">
        <f>_xll.IMDP("FX",$AD17,"매수")</f>
        <v>7.2283999999999997</v>
      </c>
      <c r="AG17" s="2">
        <f>_xll.IMDP("FX",$AD17,"매도")</f>
        <v>7.2484000000000002</v>
      </c>
      <c r="AH17" s="3" t="str">
        <f>LEFT(TEXT(_xll.IMDP("FX",$AD17,"시간"),"000000"),2)&amp;":"&amp;MID(TEXT(_xll.IMDP("FX",$AD17,"시간"),"000000"),3,2)&amp;":"&amp;RIGHT(TEXT(_xll.IMDP("FX",$AD17,"시간"),"000000"),2)</f>
        <v>14:09:05</v>
      </c>
      <c r="AV17">
        <v>12</v>
      </c>
      <c r="AZ17" s="1" t="s">
        <v>20</v>
      </c>
      <c r="BA17" t="str">
        <f t="shared" si="2"/>
        <v>ALLUSDTWD05Y</v>
      </c>
      <c r="BB17" s="4" t="s">
        <v>35</v>
      </c>
      <c r="BC17" s="2">
        <f>_xll.IMDP("FX",$BA17,"매수")</f>
        <v>28.555</v>
      </c>
      <c r="BD17" s="2">
        <f>_xll.IMDP("FX",$BA17,"매도")</f>
        <v>28.91</v>
      </c>
      <c r="BE17" s="3" t="str">
        <f>LEFT(TEXT(_xll.IMDP("FX",$BA17,"시간"),"000000"),2)&amp;":"&amp;MID(TEXT(_xll.IMDP("FX",$BA17,"시간"),"000000"),3,2)&amp;":"&amp;RIGHT(TEXT(_xll.IMDP("FX",$BA17,"시간"),"000000"),2)</f>
        <v>13:23:56</v>
      </c>
    </row>
    <row r="20" spans="2:57" x14ac:dyDescent="0.15">
      <c r="D20">
        <v>2</v>
      </c>
      <c r="E20" s="1">
        <v>1</v>
      </c>
      <c r="F20" s="1">
        <v>1</v>
      </c>
      <c r="H20" s="5" t="s">
        <v>40</v>
      </c>
      <c r="I20" s="5" t="s">
        <v>37</v>
      </c>
      <c r="J20" s="5" t="s">
        <v>38</v>
      </c>
      <c r="K20" s="5" t="s">
        <v>39</v>
      </c>
      <c r="AA20">
        <v>2</v>
      </c>
      <c r="AB20" s="1">
        <v>2</v>
      </c>
      <c r="AC20" s="1">
        <v>1</v>
      </c>
      <c r="AE20" s="5" t="s">
        <v>40</v>
      </c>
      <c r="AF20" s="5" t="s">
        <v>37</v>
      </c>
      <c r="AG20" s="5" t="s">
        <v>38</v>
      </c>
      <c r="AH20" s="5" t="s">
        <v>39</v>
      </c>
      <c r="AX20">
        <v>1</v>
      </c>
      <c r="AY20" s="1">
        <v>7</v>
      </c>
      <c r="AZ20" s="1">
        <v>1</v>
      </c>
      <c r="BB20" s="5" t="s">
        <v>40</v>
      </c>
      <c r="BC20" s="5" t="s">
        <v>37</v>
      </c>
      <c r="BD20" s="5" t="s">
        <v>38</v>
      </c>
      <c r="BE20" s="5" t="s">
        <v>39</v>
      </c>
    </row>
    <row r="21" spans="2:57" ht="11.45" customHeight="1" x14ac:dyDescent="0.15">
      <c r="B21">
        <v>1</v>
      </c>
      <c r="C21" t="s">
        <v>25</v>
      </c>
      <c r="D21" t="s">
        <v>22</v>
      </c>
      <c r="E21" t="s">
        <v>0</v>
      </c>
      <c r="F21" s="1" t="s">
        <v>8</v>
      </c>
      <c r="G21" t="str">
        <f>INDEX($D$21:$F$32,$D$20,1)&amp;INDEX($D$21:$F$32,$E$20,2)&amp;INDEX($D$21:$F$32,$B21,3)</f>
        <v>NITUSDKRWREF</v>
      </c>
      <c r="H21" s="4" t="s">
        <v>8</v>
      </c>
      <c r="I21" s="2">
        <f>_xll.IMDP("FX",$G21,"매수")</f>
        <v>1181.8499999999999</v>
      </c>
      <c r="J21" s="2">
        <f>_xll.IMDP("FX",$G21,"매도")</f>
        <v>1182.3499999999999</v>
      </c>
      <c r="K21" s="3" t="str">
        <f>LEFT(TEXT(_xll.IMDP("FX",$G21,"시간"),"000000"),2)&amp;":"&amp;MID(TEXT(_xll.IMDP("FX",$G21,"시간"),"000000"),3,2)&amp;":"&amp;RIGHT(TEXT(_xll.IMDP("FX",$G21,"시간"),"000000"),2)</f>
        <v>14:00:59</v>
      </c>
      <c r="Y21">
        <v>1</v>
      </c>
      <c r="Z21" t="s">
        <v>25</v>
      </c>
      <c r="AA21" t="s">
        <v>22</v>
      </c>
      <c r="AB21" t="s">
        <v>0</v>
      </c>
      <c r="AC21" s="1" t="s">
        <v>8</v>
      </c>
      <c r="AD21" t="str">
        <f>INDEX($AA$21:$AC$32,$AA$20,1)&amp;INDEX($AA$21:$AC$32,$AB$20,2)&amp;INDEX($AA$21:$AC$32,$Y21,3)</f>
        <v>NITUSDCNYREF</v>
      </c>
      <c r="AE21" s="4" t="s">
        <v>8</v>
      </c>
      <c r="AF21" s="2">
        <f>_xll.IMDP("FX",$AD21,"매수")</f>
        <v>6.9059999999999997</v>
      </c>
      <c r="AG21" s="2">
        <f>_xll.IMDP("FX",$AD21,"매도")</f>
        <v>6.9089999999999998</v>
      </c>
      <c r="AH21" s="3" t="str">
        <f>LEFT(TEXT(_xll.IMDP("FX",$AD21,"시간"),"000000"),2)&amp;":"&amp;MID(TEXT(_xll.IMDP("FX",$AD21,"시간"),"000000"),3,2)&amp;":"&amp;RIGHT(TEXT(_xll.IMDP("FX",$AD21,"시간"),"000000"),2)</f>
        <v>13:21:58</v>
      </c>
      <c r="AV21">
        <v>1</v>
      </c>
      <c r="AW21" t="s">
        <v>25</v>
      </c>
      <c r="AX21" t="s">
        <v>22</v>
      </c>
      <c r="AY21" t="s">
        <v>0</v>
      </c>
      <c r="AZ21" s="1" t="s">
        <v>8</v>
      </c>
      <c r="BA21" t="str">
        <f>INDEX($AX$21:$AZ$32,$AX$20,1)&amp;INDEX($AX$21:$AZ$32,$AY$20,2)&amp;INDEX($AX$21:$AZ$32,$AV21,3)</f>
        <v>ALLUSDPHPREF</v>
      </c>
      <c r="BB21" s="4" t="s">
        <v>8</v>
      </c>
      <c r="BC21" s="2">
        <f>_xll.IMDP("FX",$BA21,"매수")</f>
        <v>51.78</v>
      </c>
      <c r="BD21" s="2">
        <f>_xll.IMDP("FX",$BA21,"매도")</f>
        <v>51.82</v>
      </c>
      <c r="BE21" s="3" t="str">
        <f>LEFT(TEXT(_xll.IMDP("FX",$BA21,"시간"),"000000"),2)&amp;":"&amp;MID(TEXT(_xll.IMDP("FX",$BA21,"시간"),"000000"),3,2)&amp;":"&amp;RIGHT(TEXT(_xll.IMDP("FX",$BA21,"시간"),"000000"),2)</f>
        <v>13:23:44</v>
      </c>
    </row>
    <row r="22" spans="2:57" ht="11.45" customHeight="1" x14ac:dyDescent="0.15">
      <c r="B22">
        <v>2</v>
      </c>
      <c r="C22" t="s">
        <v>23</v>
      </c>
      <c r="D22" t="s">
        <v>36</v>
      </c>
      <c r="E22" t="s">
        <v>1</v>
      </c>
      <c r="F22" s="1" t="s">
        <v>10</v>
      </c>
      <c r="G22" t="str">
        <f t="shared" ref="G22:G32" si="3">INDEX($D$21:$F$32,$D$20,1)&amp;INDEX($D$21:$F$32,$E$20,2)&amp;INDEX($D$21:$F$32,$B22,3)</f>
        <v>NITUSDKRW01W</v>
      </c>
      <c r="H22" s="4" t="s">
        <v>9</v>
      </c>
      <c r="I22" s="2">
        <f>_xll.IMDP("FX",$G22,"매수")</f>
        <v>1181.4100000000001</v>
      </c>
      <c r="J22" s="2">
        <f>_xll.IMDP("FX",$G22,"매도")</f>
        <v>1182.4100000000001</v>
      </c>
      <c r="K22" s="3" t="str">
        <f>LEFT(TEXT(_xll.IMDP("FX",$G22,"시간"),"000000"),2)&amp;":"&amp;MID(TEXT(_xll.IMDP("FX",$G22,"시간"),"000000"),3,2)&amp;":"&amp;RIGHT(TEXT(_xll.IMDP("FX",$G22,"시간"),"000000"),2)</f>
        <v>14:00:59</v>
      </c>
      <c r="Y22">
        <v>2</v>
      </c>
      <c r="Z22" t="s">
        <v>23</v>
      </c>
      <c r="AA22" t="s">
        <v>36</v>
      </c>
      <c r="AB22" t="s">
        <v>1</v>
      </c>
      <c r="AC22" s="1" t="s">
        <v>10</v>
      </c>
      <c r="AD22" t="str">
        <f t="shared" ref="AD22:AD32" si="4">INDEX($AA$21:$AC$32,$AA$20,1)&amp;INDEX($AA$21:$AC$32,$AB$20,2)&amp;INDEX($D$6:$F$17,$Y22,3)</f>
        <v>NITUSDCNY01W</v>
      </c>
      <c r="AE22" s="4" t="s">
        <v>9</v>
      </c>
      <c r="AF22" s="2">
        <f>_xll.IMDP("FX",$AD22,"매수")</f>
        <v>6.8890000000000002</v>
      </c>
      <c r="AG22" s="2">
        <f>_xll.IMDP("FX",$AD22,"매도")</f>
        <v>6.8940000000000001</v>
      </c>
      <c r="AH22" s="3" t="str">
        <f>LEFT(TEXT(_xll.IMDP("FX",$AD22,"시간"),"000000"),2)&amp;":"&amp;MID(TEXT(_xll.IMDP("FX",$AD22,"시간"),"000000"),3,2)&amp;":"&amp;RIGHT(TEXT(_xll.IMDP("FX",$AD22,"시간"),"000000"),2)</f>
        <v>13:21:39</v>
      </c>
      <c r="AV22">
        <v>2</v>
      </c>
      <c r="AW22" t="s">
        <v>23</v>
      </c>
      <c r="AX22" t="s">
        <v>36</v>
      </c>
      <c r="AY22" t="s">
        <v>1</v>
      </c>
      <c r="AZ22" s="1" t="s">
        <v>10</v>
      </c>
      <c r="BA22" t="str">
        <f t="shared" ref="BA22:BA32" si="5">INDEX($AX$21:$AZ$32,$AX$20,1)&amp;INDEX($AX$21:$AZ$32,$AY$20,2)&amp;INDEX($AX$21:$AZ$32,$AV22,3)</f>
        <v>ALLUSDPHP01W</v>
      </c>
      <c r="BB22" s="4" t="s">
        <v>9</v>
      </c>
      <c r="BC22" s="2">
        <f>_xll.IMDP("FX",$BA22,"매수")</f>
        <v>51.78</v>
      </c>
      <c r="BD22" s="2">
        <f>_xll.IMDP("FX",$BA22,"매도")</f>
        <v>51.84</v>
      </c>
      <c r="BE22" s="3" t="str">
        <f>LEFT(TEXT(_xll.IMDP("FX",$BA22,"시간"),"000000"),2)&amp;":"&amp;MID(TEXT(_xll.IMDP("FX",$BA22,"시간"),"000000"),3,2)&amp;":"&amp;RIGHT(TEXT(_xll.IMDP("FX",$BA22,"시간"),"000000"),2)</f>
        <v>13:23:25</v>
      </c>
    </row>
    <row r="23" spans="2:57" ht="11.45" customHeight="1" x14ac:dyDescent="0.15">
      <c r="B23">
        <v>3</v>
      </c>
      <c r="C23" t="s">
        <v>24</v>
      </c>
      <c r="D23" t="s">
        <v>21</v>
      </c>
      <c r="E23" t="s">
        <v>2</v>
      </c>
      <c r="F23" s="1" t="s">
        <v>11</v>
      </c>
      <c r="G23" t="str">
        <f t="shared" si="3"/>
        <v>NITUSDKRW01M</v>
      </c>
      <c r="H23" s="4" t="s">
        <v>26</v>
      </c>
      <c r="I23" s="2">
        <f>_xll.IMDP("FX",$G23,"매수")</f>
        <v>1179.95</v>
      </c>
      <c r="J23" s="2">
        <f>_xll.IMDP("FX",$G23,"매도")</f>
        <v>1181.95</v>
      </c>
      <c r="K23" s="3" t="str">
        <f>LEFT(TEXT(_xll.IMDP("FX",$G23,"시간"),"000000"),2)&amp;":"&amp;MID(TEXT(_xll.IMDP("FX",$G23,"시간"),"000000"),3,2)&amp;":"&amp;RIGHT(TEXT(_xll.IMDP("FX",$G23,"시간"),"000000"),2)</f>
        <v>14:01:00</v>
      </c>
      <c r="Y23">
        <v>3</v>
      </c>
      <c r="Z23" t="s">
        <v>24</v>
      </c>
      <c r="AA23" t="s">
        <v>21</v>
      </c>
      <c r="AB23" t="s">
        <v>2</v>
      </c>
      <c r="AC23" s="1" t="s">
        <v>11</v>
      </c>
      <c r="AD23" t="str">
        <f t="shared" si="4"/>
        <v>NITUSDCNY01M</v>
      </c>
      <c r="AE23" s="4" t="s">
        <v>26</v>
      </c>
      <c r="AF23" s="2">
        <f>_xll.IMDP("FX",$AD23,"매수")</f>
        <v>6.8975</v>
      </c>
      <c r="AG23" s="2">
        <f>_xll.IMDP("FX",$AD23,"매도")</f>
        <v>6.9024999999999999</v>
      </c>
      <c r="AH23" s="3" t="str">
        <f>LEFT(TEXT(_xll.IMDP("FX",$AD23,"시간"),"000000"),2)&amp;":"&amp;MID(TEXT(_xll.IMDP("FX",$AD23,"시간"),"000000"),3,2)&amp;":"&amp;RIGHT(TEXT(_xll.IMDP("FX",$AD23,"시간"),"000000"),2)</f>
        <v>13:21:39</v>
      </c>
      <c r="AV23">
        <v>3</v>
      </c>
      <c r="AW23" t="s">
        <v>24</v>
      </c>
      <c r="AX23" t="s">
        <v>21</v>
      </c>
      <c r="AY23" t="s">
        <v>2</v>
      </c>
      <c r="AZ23" s="1" t="s">
        <v>11</v>
      </c>
      <c r="BA23" t="str">
        <f t="shared" si="5"/>
        <v>ALLUSDPHP01M</v>
      </c>
      <c r="BB23" s="4" t="s">
        <v>26</v>
      </c>
      <c r="BC23" s="2">
        <f>_xll.IMDP("FX",$BA23,"매수")</f>
        <v>51.84</v>
      </c>
      <c r="BD23" s="2">
        <f>_xll.IMDP("FX",$BA23,"매도")</f>
        <v>51.94</v>
      </c>
      <c r="BE23" s="3" t="str">
        <f>LEFT(TEXT(_xll.IMDP("FX",$BA23,"시간"),"000000"),2)&amp;":"&amp;MID(TEXT(_xll.IMDP("FX",$BA23,"시간"),"000000"),3,2)&amp;":"&amp;RIGHT(TEXT(_xll.IMDP("FX",$BA23,"시간"),"000000"),2)</f>
        <v>13:23:24</v>
      </c>
    </row>
    <row r="24" spans="2:57" ht="11.45" customHeight="1" x14ac:dyDescent="0.15">
      <c r="B24">
        <v>4</v>
      </c>
      <c r="E24" t="s">
        <v>3</v>
      </c>
      <c r="F24" s="1" t="s">
        <v>12</v>
      </c>
      <c r="G24" t="str">
        <f t="shared" si="3"/>
        <v>NITUSDKRW02M</v>
      </c>
      <c r="H24" s="4" t="s">
        <v>27</v>
      </c>
      <c r="I24" s="2">
        <f>_xll.IMDP("FX",$G24,"매수")</f>
        <v>1178.8</v>
      </c>
      <c r="J24" s="2">
        <f>_xll.IMDP("FX",$G24,"매도")</f>
        <v>1180.8</v>
      </c>
      <c r="K24" s="3" t="str">
        <f>LEFT(TEXT(_xll.IMDP("FX",$G24,"시간"),"000000"),2)&amp;":"&amp;MID(TEXT(_xll.IMDP("FX",$G24,"시간"),"000000"),3,2)&amp;":"&amp;RIGHT(TEXT(_xll.IMDP("FX",$G24,"시간"),"000000"),2)</f>
        <v>14:01:00</v>
      </c>
      <c r="Y24">
        <v>4</v>
      </c>
      <c r="AB24" t="s">
        <v>3</v>
      </c>
      <c r="AC24" s="1" t="s">
        <v>12</v>
      </c>
      <c r="AD24" t="str">
        <f t="shared" si="4"/>
        <v>NITUSDCNY02M</v>
      </c>
      <c r="AE24" s="4" t="s">
        <v>27</v>
      </c>
      <c r="AF24" s="2">
        <f>_xll.IMDP("FX",$AD24,"매수")</f>
        <v>6.907</v>
      </c>
      <c r="AG24" s="2">
        <f>_xll.IMDP("FX",$AD24,"매도")</f>
        <v>6.9119999999999999</v>
      </c>
      <c r="AH24" s="3" t="str">
        <f>LEFT(TEXT(_xll.IMDP("FX",$AD24,"시간"),"000000"),2)&amp;":"&amp;MID(TEXT(_xll.IMDP("FX",$AD24,"시간"),"000000"),3,2)&amp;":"&amp;RIGHT(TEXT(_xll.IMDP("FX",$AD24,"시간"),"000000"),2)</f>
        <v>13:21:41</v>
      </c>
      <c r="AV24">
        <v>4</v>
      </c>
      <c r="AY24" t="s">
        <v>3</v>
      </c>
      <c r="AZ24" s="1" t="s">
        <v>12</v>
      </c>
      <c r="BA24" t="str">
        <f t="shared" si="5"/>
        <v>ALLUSDPHP02M</v>
      </c>
      <c r="BB24" s="4" t="s">
        <v>27</v>
      </c>
      <c r="BC24" s="2">
        <f>_xll.IMDP("FX",$BA24,"매수")</f>
        <v>51.95</v>
      </c>
      <c r="BD24" s="2">
        <f>_xll.IMDP("FX",$BA24,"매도")</f>
        <v>52.05</v>
      </c>
      <c r="BE24" s="3" t="str">
        <f>LEFT(TEXT(_xll.IMDP("FX",$BA24,"시간"),"000000"),2)&amp;":"&amp;MID(TEXT(_xll.IMDP("FX",$BA24,"시간"),"000000"),3,2)&amp;":"&amp;RIGHT(TEXT(_xll.IMDP("FX",$BA24,"시간"),"000000"),2)</f>
        <v>13:23:26</v>
      </c>
    </row>
    <row r="25" spans="2:57" ht="11.45" customHeight="1" x14ac:dyDescent="0.15">
      <c r="B25">
        <v>5</v>
      </c>
      <c r="E25" t="s">
        <v>4</v>
      </c>
      <c r="F25" s="1" t="s">
        <v>13</v>
      </c>
      <c r="G25" t="str">
        <f t="shared" si="3"/>
        <v>NITUSDKRW03M</v>
      </c>
      <c r="H25" s="4" t="s">
        <v>28</v>
      </c>
      <c r="I25" s="2">
        <f>_xll.IMDP("FX",$G25,"매수")</f>
        <v>1177.45</v>
      </c>
      <c r="J25" s="2">
        <f>_xll.IMDP("FX",$G25,"매도")</f>
        <v>1179.45</v>
      </c>
      <c r="K25" s="3" t="str">
        <f>LEFT(TEXT(_xll.IMDP("FX",$G25,"시간"),"000000"),2)&amp;":"&amp;MID(TEXT(_xll.IMDP("FX",$G25,"시간"),"000000"),3,2)&amp;":"&amp;RIGHT(TEXT(_xll.IMDP("FX",$G25,"시간"),"000000"),2)</f>
        <v>14:00:59</v>
      </c>
      <c r="Y25">
        <v>5</v>
      </c>
      <c r="AB25" t="s">
        <v>4</v>
      </c>
      <c r="AC25" s="1" t="s">
        <v>13</v>
      </c>
      <c r="AD25" t="str">
        <f t="shared" si="4"/>
        <v>NITUSDCNY03M</v>
      </c>
      <c r="AE25" s="4" t="s">
        <v>28</v>
      </c>
      <c r="AF25" s="2">
        <f>_xll.IMDP("FX",$AD25,"매수")</f>
        <v>6.9165000000000001</v>
      </c>
      <c r="AG25" s="2">
        <f>_xll.IMDP("FX",$AD25,"매도")</f>
        <v>6.9215</v>
      </c>
      <c r="AH25" s="3" t="str">
        <f>LEFT(TEXT(_xll.IMDP("FX",$AD25,"시간"),"000000"),2)&amp;":"&amp;MID(TEXT(_xll.IMDP("FX",$AD25,"시간"),"000000"),3,2)&amp;":"&amp;RIGHT(TEXT(_xll.IMDP("FX",$AD25,"시간"),"000000"),2)</f>
        <v>13:21:43</v>
      </c>
      <c r="AV25">
        <v>5</v>
      </c>
      <c r="AY25" t="s">
        <v>4</v>
      </c>
      <c r="AZ25" s="1" t="s">
        <v>13</v>
      </c>
      <c r="BA25" t="str">
        <f t="shared" si="5"/>
        <v>ALLUSDPHP03M</v>
      </c>
      <c r="BB25" s="4" t="s">
        <v>28</v>
      </c>
      <c r="BC25" s="2">
        <f>_xll.IMDP("FX",$BA25,"매수")</f>
        <v>52.07</v>
      </c>
      <c r="BD25" s="2">
        <f>_xll.IMDP("FX",$BA25,"매도")</f>
        <v>52.18</v>
      </c>
      <c r="BE25" s="3" t="str">
        <f>LEFT(TEXT(_xll.IMDP("FX",$BA25,"시간"),"000000"),2)&amp;":"&amp;MID(TEXT(_xll.IMDP("FX",$BA25,"시간"),"000000"),3,2)&amp;":"&amp;RIGHT(TEXT(_xll.IMDP("FX",$BA25,"시간"),"000000"),2)</f>
        <v>13:23:28</v>
      </c>
    </row>
    <row r="26" spans="2:57" ht="11.45" customHeight="1" x14ac:dyDescent="0.15">
      <c r="B26">
        <v>6</v>
      </c>
      <c r="E26" t="s">
        <v>5</v>
      </c>
      <c r="F26" s="1" t="s">
        <v>14</v>
      </c>
      <c r="G26" t="str">
        <f t="shared" si="3"/>
        <v>NITUSDKRW06M</v>
      </c>
      <c r="H26" s="4" t="s">
        <v>29</v>
      </c>
      <c r="I26" s="2">
        <f>_xll.IMDP("FX",$G26,"매수")</f>
        <v>1173</v>
      </c>
      <c r="J26" s="2">
        <f>_xll.IMDP("FX",$G26,"매도")</f>
        <v>1176.0999999999999</v>
      </c>
      <c r="K26" s="3" t="str">
        <f>LEFT(TEXT(_xll.IMDP("FX",$G26,"시간"),"000000"),2)&amp;":"&amp;MID(TEXT(_xll.IMDP("FX",$G26,"시간"),"000000"),3,2)&amp;":"&amp;RIGHT(TEXT(_xll.IMDP("FX",$G26,"시간"),"000000"),2)</f>
        <v>14:01:00</v>
      </c>
      <c r="Y26">
        <v>6</v>
      </c>
      <c r="AB26" t="s">
        <v>5</v>
      </c>
      <c r="AC26" s="1" t="s">
        <v>14</v>
      </c>
      <c r="AD26" t="str">
        <f t="shared" si="4"/>
        <v>NITUSDCNY06M</v>
      </c>
      <c r="AE26" s="4" t="s">
        <v>29</v>
      </c>
      <c r="AF26" s="2">
        <f>_xll.IMDP("FX",$AD26,"매수")</f>
        <v>6.9344999999999999</v>
      </c>
      <c r="AG26" s="2">
        <f>_xll.IMDP("FX",$AD26,"매도")</f>
        <v>6.9394999999999998</v>
      </c>
      <c r="AH26" s="3" t="str">
        <f>LEFT(TEXT(_xll.IMDP("FX",$AD26,"시간"),"000000"),2)&amp;":"&amp;MID(TEXT(_xll.IMDP("FX",$AD26,"시간"),"000000"),3,2)&amp;":"&amp;RIGHT(TEXT(_xll.IMDP("FX",$AD26,"시간"),"000000"),2)</f>
        <v>13:21:50</v>
      </c>
      <c r="AV26">
        <v>6</v>
      </c>
      <c r="AY26" t="s">
        <v>5</v>
      </c>
      <c r="AZ26" s="1" t="s">
        <v>14</v>
      </c>
      <c r="BA26" t="str">
        <f t="shared" si="5"/>
        <v>ALLUSDPHP06M</v>
      </c>
      <c r="BB26" s="4" t="s">
        <v>29</v>
      </c>
      <c r="BC26" s="2">
        <f>_xll.IMDP("FX",$BA26,"매수")</f>
        <v>52.35</v>
      </c>
      <c r="BD26" s="2">
        <f>_xll.IMDP("FX",$BA26,"매도")</f>
        <v>52.55</v>
      </c>
      <c r="BE26" s="3" t="str">
        <f>LEFT(TEXT(_xll.IMDP("FX",$BA26,"시간"),"000000"),2)&amp;":"&amp;MID(TEXT(_xll.IMDP("FX",$BA26,"시간"),"000000"),3,2)&amp;":"&amp;RIGHT(TEXT(_xll.IMDP("FX",$BA26,"시간"),"000000"),2)</f>
        <v>13:23:35</v>
      </c>
    </row>
    <row r="27" spans="2:57" ht="11.45" customHeight="1" x14ac:dyDescent="0.15">
      <c r="B27">
        <v>7</v>
      </c>
      <c r="E27" t="s">
        <v>6</v>
      </c>
      <c r="F27" s="1" t="s">
        <v>15</v>
      </c>
      <c r="G27" t="str">
        <f t="shared" si="3"/>
        <v>NITUSDKRW09M</v>
      </c>
      <c r="H27" s="4" t="s">
        <v>30</v>
      </c>
      <c r="I27" s="2">
        <f>_xll.IMDP("FX",$G27,"매수")</f>
        <v>1168.48</v>
      </c>
      <c r="J27" s="2">
        <f>_xll.IMDP("FX",$G27,"매도")</f>
        <v>1171.58</v>
      </c>
      <c r="K27" s="3" t="str">
        <f>LEFT(TEXT(_xll.IMDP("FX",$G27,"시간"),"000000"),2)&amp;":"&amp;MID(TEXT(_xll.IMDP("FX",$G27,"시간"),"000000"),3,2)&amp;":"&amp;RIGHT(TEXT(_xll.IMDP("FX",$G27,"시간"),"000000"),2)</f>
        <v>14:01:01</v>
      </c>
      <c r="Y27">
        <v>7</v>
      </c>
      <c r="AB27" t="s">
        <v>6</v>
      </c>
      <c r="AC27" s="1" t="s">
        <v>15</v>
      </c>
      <c r="AD27" t="str">
        <f t="shared" si="4"/>
        <v>NITUSDCNY09M</v>
      </c>
      <c r="AE27" s="4" t="s">
        <v>30</v>
      </c>
      <c r="AF27" s="2">
        <f>_xll.IMDP("FX",$AD27,"매수")</f>
        <v>6.9504000000000001</v>
      </c>
      <c r="AG27" s="2">
        <f>_xll.IMDP("FX",$AD27,"매도")</f>
        <v>6.9554</v>
      </c>
      <c r="AH27" s="3" t="str">
        <f>LEFT(TEXT(_xll.IMDP("FX",$AD27,"시간"),"000000"),2)&amp;":"&amp;MID(TEXT(_xll.IMDP("FX",$AD27,"시간"),"000000"),3,2)&amp;":"&amp;RIGHT(TEXT(_xll.IMDP("FX",$AD27,"시간"),"000000"),2)</f>
        <v>14:01:02</v>
      </c>
      <c r="AV27">
        <v>7</v>
      </c>
      <c r="AY27" t="s">
        <v>6</v>
      </c>
      <c r="AZ27" s="1" t="s">
        <v>15</v>
      </c>
      <c r="BA27" t="str">
        <f t="shared" si="5"/>
        <v>ALLUSDPHP09M</v>
      </c>
      <c r="BB27" s="4" t="s">
        <v>30</v>
      </c>
      <c r="BC27" s="2">
        <f>_xll.IMDP("FX",$BA27,"매수")</f>
        <v>52.64</v>
      </c>
      <c r="BD27" s="2">
        <f>_xll.IMDP("FX",$BA27,"매도")</f>
        <v>52.84</v>
      </c>
      <c r="BE27" s="3" t="str">
        <f>LEFT(TEXT(_xll.IMDP("FX",$BA27,"시간"),"000000"),2)&amp;":"&amp;MID(TEXT(_xll.IMDP("FX",$BA27,"시간"),"000000"),3,2)&amp;":"&amp;RIGHT(TEXT(_xll.IMDP("FX",$BA27,"시간"),"000000"),2)</f>
        <v>14:01:01</v>
      </c>
    </row>
    <row r="28" spans="2:57" ht="11.45" customHeight="1" x14ac:dyDescent="0.15">
      <c r="B28">
        <v>8</v>
      </c>
      <c r="E28" t="s">
        <v>7</v>
      </c>
      <c r="F28" s="1" t="s">
        <v>16</v>
      </c>
      <c r="G28" t="str">
        <f t="shared" si="3"/>
        <v>NITUSDKRW01Y</v>
      </c>
      <c r="H28" s="4" t="s">
        <v>31</v>
      </c>
      <c r="I28" s="2">
        <f>_xll.IMDP("FX",$G28,"매수")</f>
        <v>1164.0999999999999</v>
      </c>
      <c r="J28" s="2">
        <f>_xll.IMDP("FX",$G28,"매도")</f>
        <v>1167.2</v>
      </c>
      <c r="K28" s="3" t="str">
        <f>LEFT(TEXT(_xll.IMDP("FX",$G28,"시간"),"000000"),2)&amp;":"&amp;MID(TEXT(_xll.IMDP("FX",$G28,"시간"),"000000"),3,2)&amp;":"&amp;RIGHT(TEXT(_xll.IMDP("FX",$G28,"시간"),"000000"),2)</f>
        <v>14:01:00</v>
      </c>
      <c r="Y28">
        <v>8</v>
      </c>
      <c r="AB28" t="s">
        <v>7</v>
      </c>
      <c r="AC28" s="1" t="s">
        <v>16</v>
      </c>
      <c r="AD28" t="str">
        <f t="shared" si="4"/>
        <v>NITUSDCNY01Y</v>
      </c>
      <c r="AE28" s="4" t="s">
        <v>31</v>
      </c>
      <c r="AF28" s="2">
        <f>_xll.IMDP("FX",$AD28,"매수")</f>
        <v>6.968</v>
      </c>
      <c r="AG28" s="2">
        <f>_xll.IMDP("FX",$AD28,"매도")</f>
        <v>6.9729999999999999</v>
      </c>
      <c r="AH28" s="3" t="str">
        <f>LEFT(TEXT(_xll.IMDP("FX",$AD28,"시간"),"000000"),2)&amp;":"&amp;MID(TEXT(_xll.IMDP("FX",$AD28,"시간"),"000000"),3,2)&amp;":"&amp;RIGHT(TEXT(_xll.IMDP("FX",$AD28,"시간"),"000000"),2)</f>
        <v>13:21:52</v>
      </c>
      <c r="AV28">
        <v>8</v>
      </c>
      <c r="AY28" t="s">
        <v>7</v>
      </c>
      <c r="AZ28" s="1" t="s">
        <v>16</v>
      </c>
      <c r="BA28" t="str">
        <f t="shared" si="5"/>
        <v>ALLUSDPHP01Y</v>
      </c>
      <c r="BB28" s="4" t="s">
        <v>31</v>
      </c>
      <c r="BC28" s="2">
        <f>_xll.IMDP("FX",$BA28,"매수")</f>
        <v>52.97</v>
      </c>
      <c r="BD28" s="2">
        <f>_xll.IMDP("FX",$BA28,"매도")</f>
        <v>53.17</v>
      </c>
      <c r="BE28" s="3" t="str">
        <f>LEFT(TEXT(_xll.IMDP("FX",$BA28,"시간"),"000000"),2)&amp;":"&amp;MID(TEXT(_xll.IMDP("FX",$BA28,"시간"),"000000"),3,2)&amp;":"&amp;RIGHT(TEXT(_xll.IMDP("FX",$BA28,"시간"),"000000"),2)</f>
        <v>13:23:37</v>
      </c>
    </row>
    <row r="29" spans="2:57" ht="11.45" customHeight="1" x14ac:dyDescent="0.15">
      <c r="B29">
        <v>9</v>
      </c>
      <c r="F29" s="1" t="s">
        <v>17</v>
      </c>
      <c r="G29" t="str">
        <f t="shared" si="3"/>
        <v>NITUSDKRW02Y</v>
      </c>
      <c r="H29" s="4" t="s">
        <v>32</v>
      </c>
      <c r="I29" s="2">
        <f>_xll.IMDP("FX",$G29,"매수")</f>
        <v>1147.3</v>
      </c>
      <c r="J29" s="2">
        <f>_xll.IMDP("FX",$G29,"매도")</f>
        <v>1152.4000000000001</v>
      </c>
      <c r="K29" s="3" t="str">
        <f>LEFT(TEXT(_xll.IMDP("FX",$G29,"시간"),"000000"),2)&amp;":"&amp;MID(TEXT(_xll.IMDP("FX",$G29,"시간"),"000000"),3,2)&amp;":"&amp;RIGHT(TEXT(_xll.IMDP("FX",$G29,"시간"),"000000"),2)</f>
        <v>14:00:59</v>
      </c>
      <c r="Y29">
        <v>9</v>
      </c>
      <c r="AC29" s="1" t="s">
        <v>17</v>
      </c>
      <c r="AD29" t="str">
        <f t="shared" si="4"/>
        <v>NITUSDCNY02Y</v>
      </c>
      <c r="AE29" s="4" t="s">
        <v>32</v>
      </c>
      <c r="AF29" s="2">
        <f>_xll.IMDP("FX",$AD29,"매수")</f>
        <v>7.0305</v>
      </c>
      <c r="AG29" s="2">
        <f>_xll.IMDP("FX",$AD29,"매도")</f>
        <v>7.0404999999999998</v>
      </c>
      <c r="AH29" s="3" t="str">
        <f>LEFT(TEXT(_xll.IMDP("FX",$AD29,"시간"),"000000"),2)&amp;":"&amp;MID(TEXT(_xll.IMDP("FX",$AD29,"시간"),"000000"),3,2)&amp;":"&amp;RIGHT(TEXT(_xll.IMDP("FX",$AD29,"시간"),"000000"),2)</f>
        <v>13:21:53</v>
      </c>
      <c r="AV29">
        <v>9</v>
      </c>
      <c r="AZ29" s="1" t="s">
        <v>17</v>
      </c>
      <c r="BA29" t="str">
        <f t="shared" si="5"/>
        <v>ALLUSDPHP02Y</v>
      </c>
      <c r="BB29" s="4" t="s">
        <v>32</v>
      </c>
      <c r="BC29" s="2">
        <f>_xll.IMDP("FX",$BA29,"매수")</f>
        <v>53.76</v>
      </c>
      <c r="BD29" s="2">
        <f>_xll.IMDP("FX",$BA29,"매도")</f>
        <v>54.76</v>
      </c>
      <c r="BE29" s="3" t="str">
        <f>LEFT(TEXT(_xll.IMDP("FX",$BA29,"시간"),"000000"),2)&amp;":"&amp;MID(TEXT(_xll.IMDP("FX",$BA29,"시간"),"000000"),3,2)&amp;":"&amp;RIGHT(TEXT(_xll.IMDP("FX",$BA29,"시간"),"000000"),2)</f>
        <v>13:23:38</v>
      </c>
    </row>
    <row r="30" spans="2:57" ht="11.45" customHeight="1" x14ac:dyDescent="0.15">
      <c r="B30">
        <v>10</v>
      </c>
      <c r="F30" s="1" t="s">
        <v>18</v>
      </c>
      <c r="G30" t="str">
        <f t="shared" si="3"/>
        <v>NITUSDKRW03Y</v>
      </c>
      <c r="H30" s="4" t="s">
        <v>33</v>
      </c>
      <c r="I30" s="2">
        <f>_xll.IMDP("FX",$G30,"매수")</f>
        <v>1132.8499999999999</v>
      </c>
      <c r="J30" s="2">
        <f>_xll.IMDP("FX",$G30,"매도")</f>
        <v>1141.28</v>
      </c>
      <c r="K30" s="3" t="str">
        <f>LEFT(TEXT(_xll.IMDP("FX",$G30,"시간"),"000000"),2)&amp;":"&amp;MID(TEXT(_xll.IMDP("FX",$G30,"시간"),"000000"),3,2)&amp;":"&amp;RIGHT(TEXT(_xll.IMDP("FX",$G30,"시간"),"000000"),2)</f>
        <v>14:01:01</v>
      </c>
      <c r="Y30">
        <v>10</v>
      </c>
      <c r="AC30" s="1" t="s">
        <v>18</v>
      </c>
      <c r="AD30" t="str">
        <f t="shared" si="4"/>
        <v>NITUSDCNY03Y</v>
      </c>
      <c r="AE30" s="4" t="s">
        <v>33</v>
      </c>
      <c r="AF30" s="2">
        <f>_xll.IMDP("FX",$AD30,"매수")</f>
        <v>7.0373000000000001</v>
      </c>
      <c r="AG30" s="2">
        <f>_xll.IMDP("FX",$AD30,"매도")</f>
        <v>7.0772000000000004</v>
      </c>
      <c r="AH30" s="3" t="str">
        <f>LEFT(TEXT(_xll.IMDP("FX",$AD30,"시간"),"000000"),2)&amp;":"&amp;MID(TEXT(_xll.IMDP("FX",$AD30,"시간"),"000000"),3,2)&amp;":"&amp;RIGHT(TEXT(_xll.IMDP("FX",$AD30,"시간"),"000000"),2)</f>
        <v>14:01:02</v>
      </c>
      <c r="AV30">
        <v>10</v>
      </c>
      <c r="AZ30" s="1" t="s">
        <v>18</v>
      </c>
      <c r="BA30" t="str">
        <f t="shared" si="5"/>
        <v>ALLUSDPHP03Y</v>
      </c>
      <c r="BB30" s="4" t="s">
        <v>33</v>
      </c>
      <c r="BC30" s="2">
        <f>_xll.IMDP("FX",$BA30,"매수")</f>
        <v>55.1</v>
      </c>
      <c r="BD30" s="2">
        <f>_xll.IMDP("FX",$BA30,"매도")</f>
        <v>56.43</v>
      </c>
      <c r="BE30" s="3" t="str">
        <f>LEFT(TEXT(_xll.IMDP("FX",$BA30,"시간"),"000000"),2)&amp;":"&amp;MID(TEXT(_xll.IMDP("FX",$BA30,"시간"),"000000"),3,2)&amp;":"&amp;RIGHT(TEXT(_xll.IMDP("FX",$BA30,"시간"),"000000"),2)</f>
        <v>14:01:01</v>
      </c>
    </row>
    <row r="31" spans="2:57" ht="11.45" customHeight="1" x14ac:dyDescent="0.15">
      <c r="B31">
        <v>11</v>
      </c>
      <c r="F31" s="1" t="s">
        <v>19</v>
      </c>
      <c r="G31" t="str">
        <f t="shared" si="3"/>
        <v>NITUSDKRW04Y</v>
      </c>
      <c r="H31" s="4" t="s">
        <v>34</v>
      </c>
      <c r="I31" s="2">
        <f>_xll.IMDP("FX",$G31,"매수")</f>
        <v>1118.3900000000001</v>
      </c>
      <c r="J31" s="2">
        <f>_xll.IMDP("FX",$G31,"매도")</f>
        <v>1130.1500000000001</v>
      </c>
      <c r="K31" s="3" t="str">
        <f>LEFT(TEXT(_xll.IMDP("FX",$G31,"시간"),"000000"),2)&amp;":"&amp;MID(TEXT(_xll.IMDP("FX",$G31,"시간"),"000000"),3,2)&amp;":"&amp;RIGHT(TEXT(_xll.IMDP("FX",$G31,"시간"),"000000"),2)</f>
        <v>14:01:01</v>
      </c>
      <c r="Y31">
        <v>11</v>
      </c>
      <c r="AC31" s="1" t="s">
        <v>19</v>
      </c>
      <c r="AD31" t="str">
        <f t="shared" si="4"/>
        <v>NITUSDCNY04Y</v>
      </c>
      <c r="AE31" s="4" t="s">
        <v>34</v>
      </c>
      <c r="AF31" s="2">
        <f>_xll.IMDP("FX",$AD31,"매수")</f>
        <v>7.0441000000000003</v>
      </c>
      <c r="AG31" s="2">
        <f>_xll.IMDP("FX",$AD31,"매도")</f>
        <v>7.1140999999999996</v>
      </c>
      <c r="AH31" s="3" t="str">
        <f>LEFT(TEXT(_xll.IMDP("FX",$AD31,"시간"),"000000"),2)&amp;":"&amp;MID(TEXT(_xll.IMDP("FX",$AD31,"시간"),"000000"),3,2)&amp;":"&amp;RIGHT(TEXT(_xll.IMDP("FX",$AD31,"시간"),"000000"),2)</f>
        <v>14:01:02</v>
      </c>
      <c r="AV31">
        <v>11</v>
      </c>
      <c r="AZ31" s="1" t="s">
        <v>19</v>
      </c>
      <c r="BA31" t="str">
        <f t="shared" si="5"/>
        <v>ALLUSDPHP04Y</v>
      </c>
      <c r="BB31" s="4" t="s">
        <v>34</v>
      </c>
      <c r="BC31" s="2">
        <f>_xll.IMDP("FX",$BA31,"매수")</f>
        <v>56.44</v>
      </c>
      <c r="BD31" s="2">
        <f>_xll.IMDP("FX",$BA31,"매도")</f>
        <v>58.11</v>
      </c>
      <c r="BE31" s="3" t="str">
        <f>LEFT(TEXT(_xll.IMDP("FX",$BA31,"시간"),"000000"),2)&amp;":"&amp;MID(TEXT(_xll.IMDP("FX",$BA31,"시간"),"000000"),3,2)&amp;":"&amp;RIGHT(TEXT(_xll.IMDP("FX",$BA31,"시간"),"000000"),2)</f>
        <v>14:01:01</v>
      </c>
    </row>
    <row r="32" spans="2:57" ht="11.45" customHeight="1" x14ac:dyDescent="0.15">
      <c r="B32">
        <v>12</v>
      </c>
      <c r="F32" s="1" t="s">
        <v>20</v>
      </c>
      <c r="G32" t="str">
        <f t="shared" si="3"/>
        <v>NITUSDKRW05Y</v>
      </c>
      <c r="H32" s="4" t="s">
        <v>35</v>
      </c>
      <c r="I32" s="2">
        <f>_xll.IMDP("FX",$G32,"매수")</f>
        <v>1103.9000000000001</v>
      </c>
      <c r="J32" s="2">
        <f>_xll.IMDP("FX",$G32,"매도")</f>
        <v>1119</v>
      </c>
      <c r="K32" s="3" t="str">
        <f>LEFT(TEXT(_xll.IMDP("FX",$G32,"시간"),"000000"),2)&amp;":"&amp;MID(TEXT(_xll.IMDP("FX",$G32,"시간"),"000000"),3,2)&amp;":"&amp;RIGHT(TEXT(_xll.IMDP("FX",$G32,"시간"),"000000"),2)</f>
        <v>14:00:59</v>
      </c>
      <c r="Y32">
        <v>12</v>
      </c>
      <c r="AC32" s="1" t="s">
        <v>20</v>
      </c>
      <c r="AD32" t="str">
        <f t="shared" si="4"/>
        <v>NITUSDCNY05Y</v>
      </c>
      <c r="AE32" s="4" t="s">
        <v>35</v>
      </c>
      <c r="AF32" s="2">
        <f>_xll.IMDP("FX",$AD32,"매수")</f>
        <v>7.0510000000000002</v>
      </c>
      <c r="AG32" s="2">
        <f>_xll.IMDP("FX",$AD32,"매도")</f>
        <v>7.1509999999999998</v>
      </c>
      <c r="AH32" s="3" t="str">
        <f>LEFT(TEXT(_xll.IMDP("FX",$AD32,"시간"),"000000"),2)&amp;":"&amp;MID(TEXT(_xll.IMDP("FX",$AD32,"시간"),"000000"),3,2)&amp;":"&amp;RIGHT(TEXT(_xll.IMDP("FX",$AD32,"시간"),"000000"),2)</f>
        <v>13:21:49</v>
      </c>
      <c r="AV32">
        <v>12</v>
      </c>
      <c r="AZ32" s="1" t="s">
        <v>20</v>
      </c>
      <c r="BA32" t="str">
        <f t="shared" si="5"/>
        <v>ALLUSDPHP05Y</v>
      </c>
      <c r="BB32" s="4" t="s">
        <v>35</v>
      </c>
      <c r="BC32" s="2">
        <f>_xll.IMDP("FX",$BA32,"매수")</f>
        <v>57.79</v>
      </c>
      <c r="BD32" s="2">
        <f>_xll.IMDP("FX",$BA32,"매도")</f>
        <v>59.79</v>
      </c>
      <c r="BE32" s="3" t="str">
        <f>LEFT(TEXT(_xll.IMDP("FX",$BA32,"시간"),"000000"),2)&amp;":"&amp;MID(TEXT(_xll.IMDP("FX",$BA32,"시간"),"000000"),3,2)&amp;":"&amp;RIGHT(TEXT(_xll.IMDP("FX",$BA32,"시간"),"000000"),2)</f>
        <v>13:23:35</v>
      </c>
    </row>
    <row r="35" spans="2:57" x14ac:dyDescent="0.15">
      <c r="D35">
        <v>3</v>
      </c>
      <c r="E35" s="1">
        <v>1</v>
      </c>
      <c r="F35" s="1">
        <v>1</v>
      </c>
      <c r="H35" s="5" t="s">
        <v>40</v>
      </c>
      <c r="I35" s="5" t="s">
        <v>37</v>
      </c>
      <c r="J35" s="5" t="s">
        <v>38</v>
      </c>
      <c r="K35" s="5" t="s">
        <v>39</v>
      </c>
      <c r="AA35">
        <v>3</v>
      </c>
      <c r="AB35" s="1">
        <v>2</v>
      </c>
      <c r="AC35" s="1">
        <v>1</v>
      </c>
      <c r="AE35" s="5" t="s">
        <v>40</v>
      </c>
      <c r="AF35" s="5" t="s">
        <v>37</v>
      </c>
      <c r="AG35" s="5" t="s">
        <v>38</v>
      </c>
      <c r="AH35" s="5" t="s">
        <v>39</v>
      </c>
      <c r="AX35">
        <v>1</v>
      </c>
      <c r="AY35" s="1">
        <v>4</v>
      </c>
      <c r="AZ35" s="1">
        <v>1</v>
      </c>
      <c r="BB35" s="5" t="s">
        <v>40</v>
      </c>
      <c r="BC35" s="5" t="s">
        <v>37</v>
      </c>
      <c r="BD35" s="5" t="s">
        <v>38</v>
      </c>
      <c r="BE35" s="5" t="s">
        <v>39</v>
      </c>
    </row>
    <row r="36" spans="2:57" ht="11.45" customHeight="1" x14ac:dyDescent="0.15">
      <c r="B36">
        <v>1</v>
      </c>
      <c r="C36" t="s">
        <v>25</v>
      </c>
      <c r="D36" t="s">
        <v>22</v>
      </c>
      <c r="E36" t="s">
        <v>0</v>
      </c>
      <c r="F36" s="1" t="s">
        <v>8</v>
      </c>
      <c r="G36" t="str">
        <f>INDEX($D$36:$F$47,$D$35,1)&amp;INDEX($D$36:$F$47,$E$35,2)&amp;INDEX($D$21:$F$32,$B36,3)</f>
        <v>BGCUSDKRWREF</v>
      </c>
      <c r="H36" s="4" t="s">
        <v>8</v>
      </c>
      <c r="I36" s="2">
        <f>_xll.IMDP("FX",$G36,"매수")</f>
        <v>1181.25</v>
      </c>
      <c r="J36" s="2">
        <f>_xll.IMDP("FX",$G36,"매도")</f>
        <v>1182.25</v>
      </c>
      <c r="K36" s="3" t="str">
        <f>LEFT(TEXT(_xll.IMDP("FX",$G36,"시간"),"000000"),2)&amp;":"&amp;MID(TEXT(_xll.IMDP("FX",$G36,"시간"),"000000"),3,2)&amp;":"&amp;RIGHT(TEXT(_xll.IMDP("FX",$G36,"시간"),"000000"),2)</f>
        <v>14:10:29</v>
      </c>
      <c r="Y36">
        <v>1</v>
      </c>
      <c r="Z36" t="s">
        <v>25</v>
      </c>
      <c r="AA36" t="s">
        <v>22</v>
      </c>
      <c r="AB36" t="s">
        <v>0</v>
      </c>
      <c r="AC36" s="1" t="s">
        <v>8</v>
      </c>
      <c r="AD36" t="str">
        <f>INDEX($AA$36:$AC$47,$AA$35,1)&amp;INDEX($AA$36:$AC$47,$AB$35,2)&amp;INDEX($AA$36:$AC$47,$Y36,3)</f>
        <v>BGCUSDCNYREF</v>
      </c>
      <c r="AE36" s="4" t="s">
        <v>8</v>
      </c>
      <c r="AF36" s="2">
        <f>_xll.IMDP("FX",$AD36,"매수")</f>
        <v>6.8898999999999999</v>
      </c>
      <c r="AG36" s="2">
        <f>_xll.IMDP("FX",$AD36,"매도")</f>
        <v>6.8948999999999998</v>
      </c>
      <c r="AH36" s="3" t="str">
        <f>LEFT(TEXT(_xll.IMDP("FX",$AD36,"시간"),"000000"),2)&amp;":"&amp;MID(TEXT(_xll.IMDP("FX",$AD36,"시간"),"000000"),3,2)&amp;":"&amp;RIGHT(TEXT(_xll.IMDP("FX",$AD36,"시간"),"000000"),2)</f>
        <v>14:09:05</v>
      </c>
      <c r="AV36">
        <v>1</v>
      </c>
      <c r="AW36" t="s">
        <v>25</v>
      </c>
      <c r="AX36" t="s">
        <v>22</v>
      </c>
      <c r="AY36" t="s">
        <v>0</v>
      </c>
      <c r="AZ36" s="1" t="s">
        <v>8</v>
      </c>
      <c r="BA36" t="str">
        <f>INDEX($AX$36:$AZ$47,$AX$35,1)&amp;INDEX($AX$36:$AZ$47,$AY$35,2)&amp;INDEX($AX$36:$AZ$47,$AV36,3)</f>
        <v>ALLUSDIDRREF</v>
      </c>
      <c r="BB36" s="4" t="s">
        <v>8</v>
      </c>
      <c r="BC36" s="2">
        <f>_xll.IMDP("FX",$BA36,"매수")</f>
        <v>14260</v>
      </c>
      <c r="BD36" s="2">
        <f>_xll.IMDP("FX",$BA36,"매도")</f>
        <v>14300</v>
      </c>
      <c r="BE36" s="3" t="str">
        <f>LEFT(TEXT(_xll.IMDP("FX",$BA36,"시간"),"000000"),2)&amp;":"&amp;MID(TEXT(_xll.IMDP("FX",$BA36,"시간"),"000000"),3,2)&amp;":"&amp;RIGHT(TEXT(_xll.IMDP("FX",$BA36,"시간"),"000000"),2)</f>
        <v>13:22:19</v>
      </c>
    </row>
    <row r="37" spans="2:57" ht="11.45" customHeight="1" x14ac:dyDescent="0.15">
      <c r="B37">
        <v>2</v>
      </c>
      <c r="C37" t="s">
        <v>23</v>
      </c>
      <c r="D37" t="s">
        <v>36</v>
      </c>
      <c r="E37" t="s">
        <v>1</v>
      </c>
      <c r="F37" s="1" t="s">
        <v>10</v>
      </c>
      <c r="G37" t="str">
        <f t="shared" ref="G37:G47" si="6">INDEX($D$36:$F$47,$D$35,1)&amp;INDEX($D$36:$F$47,$E$35,2)&amp;INDEX($D$21:$F$32,$B37,3)</f>
        <v>BGCUSDKRW01W</v>
      </c>
      <c r="H37" s="4" t="s">
        <v>9</v>
      </c>
      <c r="I37" s="2">
        <f>_xll.IMDP("FX",$G37,"매수")</f>
        <v>1181.04</v>
      </c>
      <c r="J37" s="2">
        <f>_xll.IMDP("FX",$G37,"매도")</f>
        <v>1182.04</v>
      </c>
      <c r="K37" s="3" t="str">
        <f>LEFT(TEXT(_xll.IMDP("FX",$G37,"시간"),"000000"),2)&amp;":"&amp;MID(TEXT(_xll.IMDP("FX",$G37,"시간"),"000000"),3,2)&amp;":"&amp;RIGHT(TEXT(_xll.IMDP("FX",$G37,"시간"),"000000"),2)</f>
        <v>14:10:29</v>
      </c>
      <c r="Y37">
        <v>2</v>
      </c>
      <c r="Z37" t="s">
        <v>23</v>
      </c>
      <c r="AA37" t="s">
        <v>36</v>
      </c>
      <c r="AB37" t="s">
        <v>1</v>
      </c>
      <c r="AC37" s="1" t="s">
        <v>10</v>
      </c>
      <c r="AD37" t="str">
        <f t="shared" ref="AD37:AD47" si="7">INDEX($AA$36:$AC$47,$AA$35,1)&amp;INDEX($AA$36:$AC$47,$AB$35,2)&amp;INDEX($AA$36:$AC$47,$Y37,3)</f>
        <v>BGCUSDCNY01W</v>
      </c>
      <c r="AE37" s="4" t="s">
        <v>9</v>
      </c>
      <c r="AF37" s="2">
        <f>_xll.IMDP("FX",$AD37,"매수")</f>
        <v>6.8909000000000002</v>
      </c>
      <c r="AG37" s="2">
        <f>_xll.IMDP("FX",$AD37,"매도")</f>
        <v>6.8959000000000001</v>
      </c>
      <c r="AH37" s="3" t="str">
        <f>LEFT(TEXT(_xll.IMDP("FX",$AD37,"시간"),"000000"),2)&amp;":"&amp;MID(TEXT(_xll.IMDP("FX",$AD37,"시간"),"000000"),3,2)&amp;":"&amp;RIGHT(TEXT(_xll.IMDP("FX",$AD37,"시간"),"000000"),2)</f>
        <v>14:09:05</v>
      </c>
      <c r="AV37">
        <v>2</v>
      </c>
      <c r="AW37" t="s">
        <v>23</v>
      </c>
      <c r="AX37" t="s">
        <v>36</v>
      </c>
      <c r="AY37" t="s">
        <v>1</v>
      </c>
      <c r="AZ37" s="1" t="s">
        <v>10</v>
      </c>
      <c r="BA37" t="str">
        <f t="shared" ref="BA37:BA47" si="8">INDEX($AX$36:$AZ$47,$AX$35,1)&amp;INDEX($AX$36:$AZ$47,$AY$35,2)&amp;INDEX($AX$36:$AZ$47,$AV37,3)</f>
        <v>ALLUSDIDR01W</v>
      </c>
      <c r="BB37" s="4" t="s">
        <v>9</v>
      </c>
      <c r="BC37" s="2">
        <f>_xll.IMDP("FX",$BA37,"매수")</f>
        <v>14229</v>
      </c>
      <c r="BD37" s="2">
        <f>_xll.IMDP("FX",$BA37,"매도")</f>
        <v>14269</v>
      </c>
      <c r="BE37" s="3" t="str">
        <f>LEFT(TEXT(_xll.IMDP("FX",$BA37,"시간"),"000000"),2)&amp;":"&amp;MID(TEXT(_xll.IMDP("FX",$BA37,"시간"),"000000"),3,2)&amp;":"&amp;RIGHT(TEXT(_xll.IMDP("FX",$BA37,"시간"),"000000"),2)</f>
        <v>13:22:01</v>
      </c>
    </row>
    <row r="38" spans="2:57" ht="11.45" customHeight="1" x14ac:dyDescent="0.15">
      <c r="B38">
        <v>3</v>
      </c>
      <c r="C38" t="s">
        <v>24</v>
      </c>
      <c r="D38" t="s">
        <v>21</v>
      </c>
      <c r="E38" t="s">
        <v>2</v>
      </c>
      <c r="F38" s="1" t="s">
        <v>11</v>
      </c>
      <c r="G38" t="str">
        <f t="shared" si="6"/>
        <v>BGCUSDKRW01M</v>
      </c>
      <c r="H38" s="4" t="s">
        <v>26</v>
      </c>
      <c r="I38" s="2">
        <f>_xll.IMDP("FX",$G38,"매수")</f>
        <v>1180.08</v>
      </c>
      <c r="J38" s="2">
        <f>_xll.IMDP("FX",$G38,"매도")</f>
        <v>1181.08</v>
      </c>
      <c r="K38" s="3" t="str">
        <f>LEFT(TEXT(_xll.IMDP("FX",$G38,"시간"),"000000"),2)&amp;":"&amp;MID(TEXT(_xll.IMDP("FX",$G38,"시간"),"000000"),3,2)&amp;":"&amp;RIGHT(TEXT(_xll.IMDP("FX",$G38,"시간"),"000000"),2)</f>
        <v>14:10:29</v>
      </c>
      <c r="Y38">
        <v>3</v>
      </c>
      <c r="Z38" t="s">
        <v>24</v>
      </c>
      <c r="AA38" t="s">
        <v>21</v>
      </c>
      <c r="AB38" t="s">
        <v>2</v>
      </c>
      <c r="AC38" s="1" t="s">
        <v>11</v>
      </c>
      <c r="AD38" t="str">
        <f t="shared" si="7"/>
        <v>BGCUSDCNY01M</v>
      </c>
      <c r="AE38" s="4" t="s">
        <v>26</v>
      </c>
      <c r="AF38" s="2">
        <f>_xll.IMDP("FX",$AD38,"매수")</f>
        <v>6.8989000000000003</v>
      </c>
      <c r="AG38" s="2">
        <f>_xll.IMDP("FX",$AD38,"매도")</f>
        <v>6.9039000000000001</v>
      </c>
      <c r="AH38" s="3" t="str">
        <f>LEFT(TEXT(_xll.IMDP("FX",$AD38,"시간"),"000000"),2)&amp;":"&amp;MID(TEXT(_xll.IMDP("FX",$AD38,"시간"),"000000"),3,2)&amp;":"&amp;RIGHT(TEXT(_xll.IMDP("FX",$AD38,"시간"),"000000"),2)</f>
        <v>14:09:05</v>
      </c>
      <c r="AV38">
        <v>3</v>
      </c>
      <c r="AW38" t="s">
        <v>24</v>
      </c>
      <c r="AX38" t="s">
        <v>21</v>
      </c>
      <c r="AY38" t="s">
        <v>2</v>
      </c>
      <c r="AZ38" s="1" t="s">
        <v>11</v>
      </c>
      <c r="BA38" t="str">
        <f t="shared" si="8"/>
        <v>ALLUSDIDR01M</v>
      </c>
      <c r="BB38" s="4" t="s">
        <v>26</v>
      </c>
      <c r="BC38" s="2">
        <f>_xll.IMDP("FX",$BA38,"매수")</f>
        <v>14290</v>
      </c>
      <c r="BD38" s="2">
        <f>_xll.IMDP("FX",$BA38,"매도")</f>
        <v>14330</v>
      </c>
      <c r="BE38" s="3" t="str">
        <f>LEFT(TEXT(_xll.IMDP("FX",$BA38,"시간"),"000000"),2)&amp;":"&amp;MID(TEXT(_xll.IMDP("FX",$BA38,"시간"),"000000"),3,2)&amp;":"&amp;RIGHT(TEXT(_xll.IMDP("FX",$BA38,"시간"),"000000"),2)</f>
        <v>13:22:00</v>
      </c>
    </row>
    <row r="39" spans="2:57" ht="11.45" customHeight="1" x14ac:dyDescent="0.15">
      <c r="B39">
        <v>4</v>
      </c>
      <c r="E39" t="s">
        <v>3</v>
      </c>
      <c r="F39" s="1" t="s">
        <v>12</v>
      </c>
      <c r="G39" t="str">
        <f t="shared" si="6"/>
        <v>BGCUSDKRW02M</v>
      </c>
      <c r="H39" s="4" t="s">
        <v>27</v>
      </c>
      <c r="I39" s="2">
        <f>_xll.IMDP("FX",$G39,"매수")</f>
        <v>1178.83</v>
      </c>
      <c r="J39" s="2">
        <f>_xll.IMDP("FX",$G39,"매도")</f>
        <v>1179.83</v>
      </c>
      <c r="K39" s="3" t="str">
        <f>LEFT(TEXT(_xll.IMDP("FX",$G39,"시간"),"000000"),2)&amp;":"&amp;MID(TEXT(_xll.IMDP("FX",$G39,"시간"),"000000"),3,2)&amp;":"&amp;RIGHT(TEXT(_xll.IMDP("FX",$G39,"시간"),"000000"),2)</f>
        <v>14:10:29</v>
      </c>
      <c r="Y39">
        <v>4</v>
      </c>
      <c r="AB39" t="s">
        <v>3</v>
      </c>
      <c r="AC39" s="1" t="s">
        <v>12</v>
      </c>
      <c r="AD39" t="str">
        <f t="shared" si="7"/>
        <v>BGCUSDCNY02M</v>
      </c>
      <c r="AE39" s="4" t="s">
        <v>27</v>
      </c>
      <c r="AF39" s="2">
        <f>_xll.IMDP("FX",$AD39,"매수")</f>
        <v>6.9074</v>
      </c>
      <c r="AG39" s="2">
        <f>_xll.IMDP("FX",$AD39,"매도")</f>
        <v>6.9123999999999999</v>
      </c>
      <c r="AH39" s="3" t="str">
        <f>LEFT(TEXT(_xll.IMDP("FX",$AD39,"시간"),"000000"),2)&amp;":"&amp;MID(TEXT(_xll.IMDP("FX",$AD39,"시간"),"000000"),3,2)&amp;":"&amp;RIGHT(TEXT(_xll.IMDP("FX",$AD39,"시간"),"000000"),2)</f>
        <v>14:09:05</v>
      </c>
      <c r="AV39">
        <v>4</v>
      </c>
      <c r="AY39" t="s">
        <v>3</v>
      </c>
      <c r="AZ39" s="1" t="s">
        <v>12</v>
      </c>
      <c r="BA39" t="str">
        <f t="shared" si="8"/>
        <v>ALLUSDIDR02M</v>
      </c>
      <c r="BB39" s="4" t="s">
        <v>27</v>
      </c>
      <c r="BC39" s="2">
        <f>_xll.IMDP("FX",$BA39,"매수")</f>
        <v>14365</v>
      </c>
      <c r="BD39" s="2">
        <f>_xll.IMDP("FX",$BA39,"매도")</f>
        <v>14405</v>
      </c>
      <c r="BE39" s="3" t="str">
        <f>LEFT(TEXT(_xll.IMDP("FX",$BA39,"시간"),"000000"),2)&amp;":"&amp;MID(TEXT(_xll.IMDP("FX",$BA39,"시간"),"000000"),3,2)&amp;":"&amp;RIGHT(TEXT(_xll.IMDP("FX",$BA39,"시간"),"000000"),2)</f>
        <v>13:22:02</v>
      </c>
    </row>
    <row r="40" spans="2:57" ht="11.45" customHeight="1" x14ac:dyDescent="0.15">
      <c r="B40">
        <v>5</v>
      </c>
      <c r="E40" t="s">
        <v>4</v>
      </c>
      <c r="F40" s="1" t="s">
        <v>13</v>
      </c>
      <c r="G40" t="str">
        <f t="shared" si="6"/>
        <v>BGCUSDKRW03M</v>
      </c>
      <c r="H40" s="4" t="s">
        <v>28</v>
      </c>
      <c r="I40" s="2">
        <f>_xll.IMDP("FX",$G40,"매수")</f>
        <v>1177.6300000000001</v>
      </c>
      <c r="J40" s="2">
        <f>_xll.IMDP("FX",$G40,"매도")</f>
        <v>1178.6300000000001</v>
      </c>
      <c r="K40" s="3" t="str">
        <f>LEFT(TEXT(_xll.IMDP("FX",$G40,"시간"),"000000"),2)&amp;":"&amp;MID(TEXT(_xll.IMDP("FX",$G40,"시간"),"000000"),3,2)&amp;":"&amp;RIGHT(TEXT(_xll.IMDP("FX",$G40,"시간"),"000000"),2)</f>
        <v>14:10:29</v>
      </c>
      <c r="Y40">
        <v>5</v>
      </c>
      <c r="AB40" t="s">
        <v>4</v>
      </c>
      <c r="AC40" s="1" t="s">
        <v>13</v>
      </c>
      <c r="AD40" t="str">
        <f t="shared" si="7"/>
        <v>BGCUSDCNY03M</v>
      </c>
      <c r="AE40" s="4" t="s">
        <v>28</v>
      </c>
      <c r="AF40" s="2">
        <f>_xll.IMDP("FX",$AD40,"매수")</f>
        <v>6.9158999999999997</v>
      </c>
      <c r="AG40" s="2">
        <f>_xll.IMDP("FX",$AD40,"매도")</f>
        <v>6.9208999999999996</v>
      </c>
      <c r="AH40" s="3" t="str">
        <f>LEFT(TEXT(_xll.IMDP("FX",$AD40,"시간"),"000000"),2)&amp;":"&amp;MID(TEXT(_xll.IMDP("FX",$AD40,"시간"),"000000"),3,2)&amp;":"&amp;RIGHT(TEXT(_xll.IMDP("FX",$AD40,"시간"),"000000"),2)</f>
        <v>14:09:05</v>
      </c>
      <c r="AV40">
        <v>5</v>
      </c>
      <c r="AY40" t="s">
        <v>4</v>
      </c>
      <c r="AZ40" s="1" t="s">
        <v>13</v>
      </c>
      <c r="BA40" t="str">
        <f t="shared" si="8"/>
        <v>ALLUSDIDR03M</v>
      </c>
      <c r="BB40" s="4" t="s">
        <v>28</v>
      </c>
      <c r="BC40" s="2">
        <f>_xll.IMDP("FX",$BA40,"매수")</f>
        <v>14438</v>
      </c>
      <c r="BD40" s="2">
        <f>_xll.IMDP("FX",$BA40,"매도")</f>
        <v>14478</v>
      </c>
      <c r="BE40" s="3" t="str">
        <f>LEFT(TEXT(_xll.IMDP("FX",$BA40,"시간"),"000000"),2)&amp;":"&amp;MID(TEXT(_xll.IMDP("FX",$BA40,"시간"),"000000"),3,2)&amp;":"&amp;RIGHT(TEXT(_xll.IMDP("FX",$BA40,"시간"),"000000"),2)</f>
        <v>13:22:04</v>
      </c>
    </row>
    <row r="41" spans="2:57" ht="11.45" customHeight="1" x14ac:dyDescent="0.15">
      <c r="B41">
        <v>6</v>
      </c>
      <c r="E41" t="s">
        <v>5</v>
      </c>
      <c r="F41" s="1" t="s">
        <v>14</v>
      </c>
      <c r="G41" t="str">
        <f t="shared" si="6"/>
        <v>BGCUSDKRW06M</v>
      </c>
      <c r="H41" s="4" t="s">
        <v>29</v>
      </c>
      <c r="I41" s="2">
        <f>_xll.IMDP("FX",$G41,"매수")</f>
        <v>1173.58</v>
      </c>
      <c r="J41" s="2">
        <f>_xll.IMDP("FX",$G41,"매도")</f>
        <v>1174.58</v>
      </c>
      <c r="K41" s="3" t="str">
        <f>LEFT(TEXT(_xll.IMDP("FX",$G41,"시간"),"000000"),2)&amp;":"&amp;MID(TEXT(_xll.IMDP("FX",$G41,"시간"),"000000"),3,2)&amp;":"&amp;RIGHT(TEXT(_xll.IMDP("FX",$G41,"시간"),"000000"),2)</f>
        <v>14:10:29</v>
      </c>
      <c r="Y41">
        <v>6</v>
      </c>
      <c r="AB41" t="s">
        <v>5</v>
      </c>
      <c r="AC41" s="1" t="s">
        <v>14</v>
      </c>
      <c r="AD41" t="str">
        <f t="shared" si="7"/>
        <v>BGCUSDCNY06M</v>
      </c>
      <c r="AE41" s="4" t="s">
        <v>29</v>
      </c>
      <c r="AF41" s="2">
        <f>_xll.IMDP("FX",$AD41,"매수")</f>
        <v>6.9344000000000001</v>
      </c>
      <c r="AG41" s="2">
        <f>_xll.IMDP("FX",$AD41,"매도")</f>
        <v>6.9394</v>
      </c>
      <c r="AH41" s="3" t="str">
        <f>LEFT(TEXT(_xll.IMDP("FX",$AD41,"시간"),"000000"),2)&amp;":"&amp;MID(TEXT(_xll.IMDP("FX",$AD41,"시간"),"000000"),3,2)&amp;":"&amp;RIGHT(TEXT(_xll.IMDP("FX",$AD41,"시간"),"000000"),2)</f>
        <v>14:09:05</v>
      </c>
      <c r="AV41">
        <v>6</v>
      </c>
      <c r="AY41" t="s">
        <v>5</v>
      </c>
      <c r="AZ41" s="1" t="s">
        <v>14</v>
      </c>
      <c r="BA41" t="str">
        <f t="shared" si="8"/>
        <v>ALLUSDIDR06M</v>
      </c>
      <c r="BB41" s="4" t="s">
        <v>29</v>
      </c>
      <c r="BC41" s="2">
        <f>_xll.IMDP("FX",$BA41,"매수")</f>
        <v>14620</v>
      </c>
      <c r="BD41" s="2">
        <f>_xll.IMDP("FX",$BA41,"매도")</f>
        <v>14700</v>
      </c>
      <c r="BE41" s="3" t="str">
        <f>LEFT(TEXT(_xll.IMDP("FX",$BA41,"시간"),"000000"),2)&amp;":"&amp;MID(TEXT(_xll.IMDP("FX",$BA41,"시간"),"000000"),3,2)&amp;":"&amp;RIGHT(TEXT(_xll.IMDP("FX",$BA41,"시간"),"000000"),2)</f>
        <v>13:22:11</v>
      </c>
    </row>
    <row r="42" spans="2:57" ht="11.45" customHeight="1" x14ac:dyDescent="0.15">
      <c r="B42">
        <v>7</v>
      </c>
      <c r="E42" t="s">
        <v>6</v>
      </c>
      <c r="F42" s="1" t="s">
        <v>15</v>
      </c>
      <c r="G42" t="str">
        <f t="shared" si="6"/>
        <v>BGCUSDKRW09M</v>
      </c>
      <c r="H42" s="4" t="s">
        <v>30</v>
      </c>
      <c r="I42" s="2">
        <f>_xll.IMDP("FX",$G42,"매수")</f>
        <v>1168.78</v>
      </c>
      <c r="J42" s="2">
        <f>_xll.IMDP("FX",$G42,"매도")</f>
        <v>1170.78</v>
      </c>
      <c r="K42" s="3" t="str">
        <f>LEFT(TEXT(_xll.IMDP("FX",$G42,"시간"),"000000"),2)&amp;":"&amp;MID(TEXT(_xll.IMDP("FX",$G42,"시간"),"000000"),3,2)&amp;":"&amp;RIGHT(TEXT(_xll.IMDP("FX",$G42,"시간"),"000000"),2)</f>
        <v>14:10:29</v>
      </c>
      <c r="Y42">
        <v>7</v>
      </c>
      <c r="AB42" t="s">
        <v>6</v>
      </c>
      <c r="AC42" s="1" t="s">
        <v>15</v>
      </c>
      <c r="AD42" t="str">
        <f t="shared" si="7"/>
        <v>BGCUSDCNY09M</v>
      </c>
      <c r="AE42" s="4" t="s">
        <v>30</v>
      </c>
      <c r="AF42" s="2">
        <f>_xll.IMDP("FX",$AD42,"매수")</f>
        <v>6.9513999999999996</v>
      </c>
      <c r="AG42" s="2">
        <f>_xll.IMDP("FX",$AD42,"매도")</f>
        <v>6.9564000000000004</v>
      </c>
      <c r="AH42" s="3" t="str">
        <f>LEFT(TEXT(_xll.IMDP("FX",$AD42,"시간"),"000000"),2)&amp;":"&amp;MID(TEXT(_xll.IMDP("FX",$AD42,"시간"),"000000"),3,2)&amp;":"&amp;RIGHT(TEXT(_xll.IMDP("FX",$AD42,"시간"),"000000"),2)</f>
        <v>14:09:05</v>
      </c>
      <c r="AV42">
        <v>7</v>
      </c>
      <c r="AY42" t="s">
        <v>6</v>
      </c>
      <c r="AZ42" s="1" t="s">
        <v>15</v>
      </c>
      <c r="BA42" t="str">
        <f t="shared" si="8"/>
        <v>ALLUSDIDR09M</v>
      </c>
      <c r="BB42" s="4" t="s">
        <v>30</v>
      </c>
      <c r="BC42" s="2">
        <f>_xll.IMDP("FX",$BA42,"매수")</f>
        <v>14808</v>
      </c>
      <c r="BD42" s="2">
        <f>_xll.IMDP("FX",$BA42,"매도")</f>
        <v>14888</v>
      </c>
      <c r="BE42" s="3" t="str">
        <f>LEFT(TEXT(_xll.IMDP("FX",$BA42,"시간"),"000000"),2)&amp;":"&amp;MID(TEXT(_xll.IMDP("FX",$BA42,"시간"),"000000"),3,2)&amp;":"&amp;RIGHT(TEXT(_xll.IMDP("FX",$BA42,"시간"),"000000"),2)</f>
        <v>14:01:01</v>
      </c>
    </row>
    <row r="43" spans="2:57" ht="11.45" customHeight="1" x14ac:dyDescent="0.15">
      <c r="B43">
        <v>8</v>
      </c>
      <c r="E43" t="s">
        <v>7</v>
      </c>
      <c r="F43" s="1" t="s">
        <v>16</v>
      </c>
      <c r="G43" t="str">
        <f t="shared" si="6"/>
        <v>BGCUSDKRW01Y</v>
      </c>
      <c r="H43" s="4" t="s">
        <v>31</v>
      </c>
      <c r="I43" s="2">
        <f>_xll.IMDP("FX",$G43,"매수")</f>
        <v>1163.8800000000001</v>
      </c>
      <c r="J43" s="2">
        <f>_xll.IMDP("FX",$G43,"매도")</f>
        <v>1166.8800000000001</v>
      </c>
      <c r="K43" s="3" t="str">
        <f>LEFT(TEXT(_xll.IMDP("FX",$G43,"시간"),"000000"),2)&amp;":"&amp;MID(TEXT(_xll.IMDP("FX",$G43,"시간"),"000000"),3,2)&amp;":"&amp;RIGHT(TEXT(_xll.IMDP("FX",$G43,"시간"),"000000"),2)</f>
        <v>14:10:29</v>
      </c>
      <c r="Y43">
        <v>8</v>
      </c>
      <c r="AB43" t="s">
        <v>7</v>
      </c>
      <c r="AC43" s="1" t="s">
        <v>16</v>
      </c>
      <c r="AD43" t="str">
        <f t="shared" si="7"/>
        <v>BGCUSDCNY01Y</v>
      </c>
      <c r="AE43" s="4" t="s">
        <v>31</v>
      </c>
      <c r="AF43" s="2">
        <f>_xll.IMDP("FX",$AD43,"매수")</f>
        <v>6.9679000000000002</v>
      </c>
      <c r="AG43" s="2">
        <f>_xll.IMDP("FX",$AD43,"매도")</f>
        <v>6.9748999999999999</v>
      </c>
      <c r="AH43" s="3" t="str">
        <f>LEFT(TEXT(_xll.IMDP("FX",$AD43,"시간"),"000000"),2)&amp;":"&amp;MID(TEXT(_xll.IMDP("FX",$AD43,"시간"),"000000"),3,2)&amp;":"&amp;RIGHT(TEXT(_xll.IMDP("FX",$AD43,"시간"),"000000"),2)</f>
        <v>14:09:05</v>
      </c>
      <c r="AV43">
        <v>8</v>
      </c>
      <c r="AY43" t="s">
        <v>7</v>
      </c>
      <c r="AZ43" s="1" t="s">
        <v>16</v>
      </c>
      <c r="BA43" t="str">
        <f t="shared" si="8"/>
        <v>ALLUSDIDR01Y</v>
      </c>
      <c r="BB43" s="4" t="s">
        <v>31</v>
      </c>
      <c r="BC43" s="2">
        <f>_xll.IMDP("FX",$BA43,"매수")</f>
        <v>15015</v>
      </c>
      <c r="BD43" s="2">
        <f>_xll.IMDP("FX",$BA43,"매도")</f>
        <v>15095</v>
      </c>
      <c r="BE43" s="3" t="str">
        <f>LEFT(TEXT(_xll.IMDP("FX",$BA43,"시간"),"000000"),2)&amp;":"&amp;MID(TEXT(_xll.IMDP("FX",$BA43,"시간"),"000000"),3,2)&amp;":"&amp;RIGHT(TEXT(_xll.IMDP("FX",$BA43,"시간"),"000000"),2)</f>
        <v>13:22:13</v>
      </c>
    </row>
    <row r="44" spans="2:57" ht="11.45" customHeight="1" x14ac:dyDescent="0.15">
      <c r="B44">
        <v>9</v>
      </c>
      <c r="F44" s="1" t="s">
        <v>17</v>
      </c>
      <c r="G44" t="str">
        <f t="shared" si="6"/>
        <v>BGCUSDKRW02Y</v>
      </c>
      <c r="H44" s="4" t="s">
        <v>32</v>
      </c>
      <c r="I44" s="2">
        <f>_xll.IMDP("FX",$G44,"매수")</f>
        <v>1148.25</v>
      </c>
      <c r="J44" s="2">
        <f>_xll.IMDP("FX",$G44,"매도")</f>
        <v>1151.25</v>
      </c>
      <c r="K44" s="3" t="str">
        <f>LEFT(TEXT(_xll.IMDP("FX",$G44,"시간"),"000000"),2)&amp;":"&amp;MID(TEXT(_xll.IMDP("FX",$G44,"시간"),"000000"),3,2)&amp;":"&amp;RIGHT(TEXT(_xll.IMDP("FX",$G44,"시간"),"000000"),2)</f>
        <v>14:10:29</v>
      </c>
      <c r="Y44">
        <v>9</v>
      </c>
      <c r="AC44" s="1" t="s">
        <v>17</v>
      </c>
      <c r="AD44" t="str">
        <f t="shared" si="7"/>
        <v>BGCUSDCNY02Y</v>
      </c>
      <c r="AE44" s="4" t="s">
        <v>32</v>
      </c>
      <c r="AF44" s="2">
        <f>_xll.IMDP("FX",$AD44,"매수")</f>
        <v>7.0304000000000002</v>
      </c>
      <c r="AG44" s="2">
        <f>_xll.IMDP("FX",$AD44,"매도")</f>
        <v>7.0503999999999998</v>
      </c>
      <c r="AH44" s="3" t="str">
        <f>LEFT(TEXT(_xll.IMDP("FX",$AD44,"시간"),"000000"),2)&amp;":"&amp;MID(TEXT(_xll.IMDP("FX",$AD44,"시간"),"000000"),3,2)&amp;":"&amp;RIGHT(TEXT(_xll.IMDP("FX",$AD44,"시간"),"000000"),2)</f>
        <v>14:09:05</v>
      </c>
      <c r="AV44">
        <v>9</v>
      </c>
      <c r="AZ44" s="1" t="s">
        <v>17</v>
      </c>
      <c r="BA44" t="str">
        <f t="shared" si="8"/>
        <v>ALLUSDIDR02Y</v>
      </c>
      <c r="BB44" s="4" t="s">
        <v>32</v>
      </c>
      <c r="BC44" s="2">
        <f>_xll.IMDP("FX",$BA44,"매수")</f>
        <v>15756</v>
      </c>
      <c r="BD44" s="2">
        <f>_xll.IMDP("FX",$BA44,"매도")</f>
        <v>15796</v>
      </c>
      <c r="BE44" s="3" t="str">
        <f>LEFT(TEXT(_xll.IMDP("FX",$BA44,"시간"),"000000"),2)&amp;":"&amp;MID(TEXT(_xll.IMDP("FX",$BA44,"시간"),"000000"),3,2)&amp;":"&amp;RIGHT(TEXT(_xll.IMDP("FX",$BA44,"시간"),"000000"),2)</f>
        <v>13:22:14</v>
      </c>
    </row>
    <row r="45" spans="2:57" ht="11.45" customHeight="1" x14ac:dyDescent="0.15">
      <c r="B45">
        <v>10</v>
      </c>
      <c r="F45" s="1" t="s">
        <v>18</v>
      </c>
      <c r="G45" t="str">
        <f t="shared" si="6"/>
        <v>BGCUSDKRW03Y</v>
      </c>
      <c r="H45" s="4" t="s">
        <v>33</v>
      </c>
      <c r="I45" s="2" t="str">
        <f>_xll.IMDP("FX",$G45,"매수")</f>
        <v/>
      </c>
      <c r="J45" s="2" t="str">
        <f>_xll.IMDP("FX",$G45,"매도")</f>
        <v/>
      </c>
      <c r="K45" s="3" t="str">
        <f>LEFT(TEXT(_xll.IMDP("FX",$G45,"시간"),"000000"),2)&amp;":"&amp;MID(TEXT(_xll.IMDP("FX",$G45,"시간"),"000000"),3,2)&amp;":"&amp;RIGHT(TEXT(_xll.IMDP("FX",$G45,"시간"),"000000"),2)</f>
        <v>::</v>
      </c>
      <c r="Y45">
        <v>10</v>
      </c>
      <c r="AC45" s="1" t="s">
        <v>18</v>
      </c>
      <c r="AD45" t="str">
        <f t="shared" si="7"/>
        <v>BGCUSDCNY03Y</v>
      </c>
      <c r="AE45" s="4" t="s">
        <v>33</v>
      </c>
      <c r="AF45" s="2">
        <f>_xll.IMDP("FX",$AD45,"매수")</f>
        <v>7.0983999999999998</v>
      </c>
      <c r="AG45" s="2">
        <f>_xll.IMDP("FX",$AD45,"매도")</f>
        <v>7.1184000000000003</v>
      </c>
      <c r="AH45" s="3" t="str">
        <f>LEFT(TEXT(_xll.IMDP("FX",$AD45,"시간"),"000000"),2)&amp;":"&amp;MID(TEXT(_xll.IMDP("FX",$AD45,"시간"),"000000"),3,2)&amp;":"&amp;RIGHT(TEXT(_xll.IMDP("FX",$AD45,"시간"),"000000"),2)</f>
        <v>14:09:05</v>
      </c>
      <c r="AV45">
        <v>10</v>
      </c>
      <c r="AZ45" s="1" t="s">
        <v>18</v>
      </c>
      <c r="BA45" t="str">
        <f t="shared" si="8"/>
        <v>ALLUSDIDR03Y</v>
      </c>
      <c r="BB45" s="4" t="s">
        <v>33</v>
      </c>
      <c r="BC45" s="2">
        <f>_xll.IMDP("FX",$BA45,"매수")</f>
        <v>16509</v>
      </c>
      <c r="BD45" s="2">
        <f>_xll.IMDP("FX",$BA45,"매도")</f>
        <v>16549</v>
      </c>
      <c r="BE45" s="3" t="str">
        <f>LEFT(TEXT(_xll.IMDP("FX",$BA45,"시간"),"000000"),2)&amp;":"&amp;MID(TEXT(_xll.IMDP("FX",$BA45,"시간"),"000000"),3,2)&amp;":"&amp;RIGHT(TEXT(_xll.IMDP("FX",$BA45,"시간"),"000000"),2)</f>
        <v>13:22:06</v>
      </c>
    </row>
    <row r="46" spans="2:57" ht="11.45" customHeight="1" x14ac:dyDescent="0.15">
      <c r="B46">
        <v>11</v>
      </c>
      <c r="F46" s="1" t="s">
        <v>19</v>
      </c>
      <c r="G46" t="str">
        <f t="shared" si="6"/>
        <v>BGCUSDKRW04Y</v>
      </c>
      <c r="H46" s="4" t="s">
        <v>34</v>
      </c>
      <c r="I46" s="2" t="str">
        <f>_xll.IMDP("FX",$G46,"매수")</f>
        <v/>
      </c>
      <c r="J46" s="2" t="str">
        <f>_xll.IMDP("FX",$G46,"매도")</f>
        <v/>
      </c>
      <c r="K46" s="3" t="str">
        <f>LEFT(TEXT(_xll.IMDP("FX",$G46,"시간"),"000000"),2)&amp;":"&amp;MID(TEXT(_xll.IMDP("FX",$G46,"시간"),"000000"),3,2)&amp;":"&amp;RIGHT(TEXT(_xll.IMDP("FX",$G46,"시간"),"000000"),2)</f>
        <v>::</v>
      </c>
      <c r="Y46">
        <v>11</v>
      </c>
      <c r="AC46" s="1" t="s">
        <v>19</v>
      </c>
      <c r="AD46" t="str">
        <f t="shared" si="7"/>
        <v>BGCUSDCNY04Y</v>
      </c>
      <c r="AE46" s="4" t="s">
        <v>34</v>
      </c>
      <c r="AF46" s="2">
        <f>_xll.IMDP("FX",$AD46,"매수")</f>
        <v>7.1634000000000002</v>
      </c>
      <c r="AG46" s="2">
        <f>_xll.IMDP("FX",$AD46,"매도")</f>
        <v>7.1833999999999998</v>
      </c>
      <c r="AH46" s="3" t="str">
        <f>LEFT(TEXT(_xll.IMDP("FX",$AD46,"시간"),"000000"),2)&amp;":"&amp;MID(TEXT(_xll.IMDP("FX",$AD46,"시간"),"000000"),3,2)&amp;":"&amp;RIGHT(TEXT(_xll.IMDP("FX",$AD46,"시간"),"000000"),2)</f>
        <v>14:09:05</v>
      </c>
      <c r="AV46">
        <v>11</v>
      </c>
      <c r="AZ46" s="1" t="s">
        <v>19</v>
      </c>
      <c r="BA46" t="str">
        <f t="shared" si="8"/>
        <v>ALLUSDIDR04Y</v>
      </c>
      <c r="BB46" s="4" t="s">
        <v>34</v>
      </c>
      <c r="BC46" s="2">
        <f>_xll.IMDP("FX",$BA46,"매수")</f>
        <v>17257</v>
      </c>
      <c r="BD46" s="2">
        <f>_xll.IMDP("FX",$BA46,"매도")</f>
        <v>17297</v>
      </c>
      <c r="BE46" s="3" t="str">
        <f>LEFT(TEXT(_xll.IMDP("FX",$BA46,"시간"),"000000"),2)&amp;":"&amp;MID(TEXT(_xll.IMDP("FX",$BA46,"시간"),"000000"),3,2)&amp;":"&amp;RIGHT(TEXT(_xll.IMDP("FX",$BA46,"시간"),"000000"),2)</f>
        <v>13:22:08</v>
      </c>
    </row>
    <row r="47" spans="2:57" ht="11.45" customHeight="1" x14ac:dyDescent="0.15">
      <c r="B47">
        <v>12</v>
      </c>
      <c r="F47" s="1" t="s">
        <v>20</v>
      </c>
      <c r="G47" t="str">
        <f t="shared" si="6"/>
        <v>BGCUSDKRW05Y</v>
      </c>
      <c r="H47" s="4" t="s">
        <v>35</v>
      </c>
      <c r="I47" s="2" t="str">
        <f>_xll.IMDP("FX",$G47,"매수")</f>
        <v/>
      </c>
      <c r="J47" s="2" t="str">
        <f>_xll.IMDP("FX",$G47,"매도")</f>
        <v/>
      </c>
      <c r="K47" s="3" t="str">
        <f>LEFT(TEXT(_xll.IMDP("FX",$G47,"시간"),"000000"),2)&amp;":"&amp;MID(TEXT(_xll.IMDP("FX",$G47,"시간"),"000000"),3,2)&amp;":"&amp;RIGHT(TEXT(_xll.IMDP("FX",$G47,"시간"),"000000"),2)</f>
        <v>::</v>
      </c>
      <c r="Y47">
        <v>12</v>
      </c>
      <c r="AC47" s="1" t="s">
        <v>20</v>
      </c>
      <c r="AD47" t="str">
        <f t="shared" si="7"/>
        <v>BGCUSDCNY05Y</v>
      </c>
      <c r="AE47" s="4" t="s">
        <v>35</v>
      </c>
      <c r="AF47" s="2">
        <f>_xll.IMDP("FX",$AD47,"매수")</f>
        <v>7.2283999999999997</v>
      </c>
      <c r="AG47" s="2">
        <f>_xll.IMDP("FX",$AD47,"매도")</f>
        <v>7.2484000000000002</v>
      </c>
      <c r="AH47" s="3" t="str">
        <f>LEFT(TEXT(_xll.IMDP("FX",$AD47,"시간"),"000000"),2)&amp;":"&amp;MID(TEXT(_xll.IMDP("FX",$AD47,"시간"),"000000"),3,2)&amp;":"&amp;RIGHT(TEXT(_xll.IMDP("FX",$AD47,"시간"),"000000"),2)</f>
        <v>14:09:05</v>
      </c>
      <c r="AV47">
        <v>12</v>
      </c>
      <c r="AZ47" s="1" t="s">
        <v>20</v>
      </c>
      <c r="BA47" t="str">
        <f t="shared" si="8"/>
        <v>ALLUSDIDR05Y</v>
      </c>
      <c r="BB47" s="4" t="s">
        <v>35</v>
      </c>
      <c r="BC47" s="2">
        <f>_xll.IMDP("FX",$BA47,"매수")</f>
        <v>18066</v>
      </c>
      <c r="BD47" s="2">
        <f>_xll.IMDP("FX",$BA47,"매도")</f>
        <v>18666</v>
      </c>
      <c r="BE47" s="3" t="str">
        <f>LEFT(TEXT(_xll.IMDP("FX",$BA47,"시간"),"000000"),2)&amp;":"&amp;MID(TEXT(_xll.IMDP("FX",$BA47,"시간"),"000000"),3,2)&amp;":"&amp;RIGHT(TEXT(_xll.IMDP("FX",$BA47,"시간"),"000000"),2)</f>
        <v>13:22:10</v>
      </c>
    </row>
  </sheetData>
  <mergeCells count="1">
    <mergeCell ref="H2:BJ2"/>
  </mergeCells>
  <phoneticPr fontId="1" type="noConversion"/>
  <conditionalFormatting sqref="I6:I17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:J17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6:AF17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G6:AG17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1:I32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:J32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21:AF32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G21:AG32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36:I47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36:J4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36:AF47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G36:AG47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C6:BC17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D6:BD1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C21:BC32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D21:BD3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C36:BC4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D36:BD4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8</xdr:col>
                    <xdr:colOff>419100</xdr:colOff>
                    <xdr:row>2</xdr:row>
                    <xdr:rowOff>95250</xdr:rowOff>
                  </from>
                  <to>
                    <xdr:col>10</xdr:col>
                    <xdr:colOff>9525</xdr:colOff>
                    <xdr:row>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autoLine="0" autoPict="0">
                <anchor moveWithCells="1">
                  <from>
                    <xdr:col>1</xdr:col>
                    <xdr:colOff>0</xdr:colOff>
                    <xdr:row>2</xdr:row>
                    <xdr:rowOff>95250</xdr:rowOff>
                  </from>
                  <to>
                    <xdr:col>8</xdr:col>
                    <xdr:colOff>352425</xdr:colOff>
                    <xdr:row>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Drop Down 4">
              <controlPr defaultSize="0" autoLine="0" autoPict="0">
                <anchor moveWithCells="1">
                  <from>
                    <xdr:col>31</xdr:col>
                    <xdr:colOff>476250</xdr:colOff>
                    <xdr:row>2</xdr:row>
                    <xdr:rowOff>85725</xdr:rowOff>
                  </from>
                  <to>
                    <xdr:col>33</xdr:col>
                    <xdr:colOff>47625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Drop Down 5">
              <controlPr defaultSize="0" autoLine="0" autoPict="0">
                <anchor moveWithCells="1">
                  <from>
                    <xdr:col>30</xdr:col>
                    <xdr:colOff>9525</xdr:colOff>
                    <xdr:row>2</xdr:row>
                    <xdr:rowOff>95250</xdr:rowOff>
                  </from>
                  <to>
                    <xdr:col>31</xdr:col>
                    <xdr:colOff>419100</xdr:colOff>
                    <xdr:row>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Drop Down 6">
              <controlPr defaultSize="0" autoLine="0" autoPict="0">
                <anchor moveWithCells="1">
                  <from>
                    <xdr:col>8</xdr:col>
                    <xdr:colOff>419100</xdr:colOff>
                    <xdr:row>17</xdr:row>
                    <xdr:rowOff>85725</xdr:rowOff>
                  </from>
                  <to>
                    <xdr:col>10</xdr:col>
                    <xdr:colOff>9525</xdr:colOff>
                    <xdr:row>18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Drop Down 7">
              <controlPr defaultSize="0" autoLine="0" autoPict="0">
                <anchor moveWithCells="1">
                  <from>
                    <xdr:col>7</xdr:col>
                    <xdr:colOff>9525</xdr:colOff>
                    <xdr:row>17</xdr:row>
                    <xdr:rowOff>95250</xdr:rowOff>
                  </from>
                  <to>
                    <xdr:col>8</xdr:col>
                    <xdr:colOff>361950</xdr:colOff>
                    <xdr:row>18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Drop Down 8">
              <controlPr defaultSize="0" autoLine="0" autoPict="0">
                <anchor moveWithCells="1">
                  <from>
                    <xdr:col>31</xdr:col>
                    <xdr:colOff>476250</xdr:colOff>
                    <xdr:row>17</xdr:row>
                    <xdr:rowOff>85725</xdr:rowOff>
                  </from>
                  <to>
                    <xdr:col>33</xdr:col>
                    <xdr:colOff>47625</xdr:colOff>
                    <xdr:row>18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Drop Down 9">
              <controlPr defaultSize="0" autoLine="0" autoPict="0">
                <anchor moveWithCells="1">
                  <from>
                    <xdr:col>30</xdr:col>
                    <xdr:colOff>9525</xdr:colOff>
                    <xdr:row>17</xdr:row>
                    <xdr:rowOff>95250</xdr:rowOff>
                  </from>
                  <to>
                    <xdr:col>31</xdr:col>
                    <xdr:colOff>419100</xdr:colOff>
                    <xdr:row>18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Drop Down 10">
              <controlPr defaultSize="0" autoLine="0" autoPict="0">
                <anchor moveWithCells="1">
                  <from>
                    <xdr:col>8</xdr:col>
                    <xdr:colOff>419100</xdr:colOff>
                    <xdr:row>32</xdr:row>
                    <xdr:rowOff>85725</xdr:rowOff>
                  </from>
                  <to>
                    <xdr:col>10</xdr:col>
                    <xdr:colOff>9525</xdr:colOff>
                    <xdr:row>33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Drop Down 11">
              <controlPr defaultSize="0" autoLine="0" autoPict="0">
                <anchor moveWithCells="1">
                  <from>
                    <xdr:col>7</xdr:col>
                    <xdr:colOff>9525</xdr:colOff>
                    <xdr:row>32</xdr:row>
                    <xdr:rowOff>95250</xdr:rowOff>
                  </from>
                  <to>
                    <xdr:col>8</xdr:col>
                    <xdr:colOff>361950</xdr:colOff>
                    <xdr:row>33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Drop Down 12">
              <controlPr defaultSize="0" autoLine="0" autoPict="0">
                <anchor moveWithCells="1">
                  <from>
                    <xdr:col>31</xdr:col>
                    <xdr:colOff>476250</xdr:colOff>
                    <xdr:row>32</xdr:row>
                    <xdr:rowOff>95250</xdr:rowOff>
                  </from>
                  <to>
                    <xdr:col>33</xdr:col>
                    <xdr:colOff>47625</xdr:colOff>
                    <xdr:row>33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Drop Down 13">
              <controlPr defaultSize="0" autoLine="0" autoPict="0">
                <anchor moveWithCells="1">
                  <from>
                    <xdr:col>30</xdr:col>
                    <xdr:colOff>9525</xdr:colOff>
                    <xdr:row>32</xdr:row>
                    <xdr:rowOff>95250</xdr:rowOff>
                  </from>
                  <to>
                    <xdr:col>31</xdr:col>
                    <xdr:colOff>419100</xdr:colOff>
                    <xdr:row>33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Drop Down 14">
              <controlPr defaultSize="0" autoLine="0" autoPict="0">
                <anchor moveWithCells="1">
                  <from>
                    <xdr:col>54</xdr:col>
                    <xdr:colOff>323850</xdr:colOff>
                    <xdr:row>2</xdr:row>
                    <xdr:rowOff>95250</xdr:rowOff>
                  </from>
                  <to>
                    <xdr:col>56</xdr:col>
                    <xdr:colOff>47625</xdr:colOff>
                    <xdr:row>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Drop Down 15">
              <controlPr defaultSize="0" autoLine="0" autoPict="0">
                <anchor moveWithCells="1">
                  <from>
                    <xdr:col>53</xdr:col>
                    <xdr:colOff>9525</xdr:colOff>
                    <xdr:row>2</xdr:row>
                    <xdr:rowOff>95250</xdr:rowOff>
                  </from>
                  <to>
                    <xdr:col>54</xdr:col>
                    <xdr:colOff>266700</xdr:colOff>
                    <xdr:row>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Drop Down 16">
              <controlPr defaultSize="0" autoLine="0" autoPict="0">
                <anchor moveWithCells="1">
                  <from>
                    <xdr:col>54</xdr:col>
                    <xdr:colOff>323850</xdr:colOff>
                    <xdr:row>17</xdr:row>
                    <xdr:rowOff>95250</xdr:rowOff>
                  </from>
                  <to>
                    <xdr:col>56</xdr:col>
                    <xdr:colOff>47625</xdr:colOff>
                    <xdr:row>18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9" name="Drop Down 17">
              <controlPr defaultSize="0" autoLine="0" autoPict="0">
                <anchor moveWithCells="1">
                  <from>
                    <xdr:col>53</xdr:col>
                    <xdr:colOff>9525</xdr:colOff>
                    <xdr:row>17</xdr:row>
                    <xdr:rowOff>95250</xdr:rowOff>
                  </from>
                  <to>
                    <xdr:col>54</xdr:col>
                    <xdr:colOff>266700</xdr:colOff>
                    <xdr:row>18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0" name="Drop Down 18">
              <controlPr defaultSize="0" autoLine="0" autoPict="0">
                <anchor moveWithCells="1">
                  <from>
                    <xdr:col>54</xdr:col>
                    <xdr:colOff>323850</xdr:colOff>
                    <xdr:row>32</xdr:row>
                    <xdr:rowOff>95250</xdr:rowOff>
                  </from>
                  <to>
                    <xdr:col>56</xdr:col>
                    <xdr:colOff>47625</xdr:colOff>
                    <xdr:row>33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1" name="Drop Down 19">
              <controlPr defaultSize="0" autoLine="0" autoPict="0">
                <anchor moveWithCells="1">
                  <from>
                    <xdr:col>53</xdr:col>
                    <xdr:colOff>9525</xdr:colOff>
                    <xdr:row>32</xdr:row>
                    <xdr:rowOff>95250</xdr:rowOff>
                  </from>
                  <to>
                    <xdr:col>54</xdr:col>
                    <xdr:colOff>266700</xdr:colOff>
                    <xdr:row>33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NDF종합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2016-10-14T01:59:25Z</dcterms:created>
  <dcterms:modified xsi:type="dcterms:W3CDTF">2019-06-04T05:10:37Z</dcterms:modified>
</cp:coreProperties>
</file>