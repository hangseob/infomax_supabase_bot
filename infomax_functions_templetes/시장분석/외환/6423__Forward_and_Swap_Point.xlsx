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4435" windowHeight="11895"/>
  </bookViews>
  <sheets>
    <sheet name="FX Forward &amp; SwapPoint" sheetId="1" r:id="rId1"/>
  </sheets>
  <calcPr calcId="145621"/>
</workbook>
</file>

<file path=xl/calcChain.xml><?xml version="1.0" encoding="utf-8"?>
<calcChain xmlns="http://schemas.openxmlformats.org/spreadsheetml/2006/main">
  <c r="BX4" i="1" l="1"/>
  <c r="BY3" i="1"/>
  <c r="O6" i="1" l="1"/>
  <c r="I8" i="1"/>
  <c r="H5" i="1"/>
  <c r="CD19" i="1"/>
  <c r="H8" i="1" l="1"/>
  <c r="H22" i="1"/>
  <c r="H17" i="1"/>
  <c r="H12" i="1"/>
  <c r="H21" i="1"/>
  <c r="H16" i="1"/>
  <c r="H10" i="1"/>
  <c r="H7" i="1"/>
  <c r="H14" i="1"/>
  <c r="H9" i="1"/>
  <c r="H24" i="1"/>
  <c r="H18" i="1"/>
  <c r="H13" i="1"/>
  <c r="H20" i="1"/>
  <c r="H23" i="1"/>
  <c r="H19" i="1"/>
  <c r="H15" i="1"/>
  <c r="H11" i="1"/>
  <c r="I7" i="1"/>
  <c r="CR11" i="1"/>
  <c r="CQ11" i="1"/>
  <c r="CQ6" i="1"/>
  <c r="CQ5" i="1"/>
  <c r="E15" i="1"/>
  <c r="E17" i="1"/>
  <c r="E16" i="1"/>
  <c r="E12" i="1"/>
  <c r="E18" i="1"/>
  <c r="E20" i="1"/>
  <c r="E23" i="1"/>
  <c r="E21" i="1"/>
  <c r="E10" i="1"/>
  <c r="E11" i="1"/>
  <c r="E19" i="1"/>
  <c r="E22" i="1"/>
  <c r="E14" i="1"/>
  <c r="E7" i="1"/>
  <c r="E8" i="1"/>
  <c r="E24" i="1"/>
  <c r="E9" i="1"/>
  <c r="E13" i="1"/>
  <c r="F18" i="1" l="1"/>
  <c r="N18" i="1" s="1"/>
  <c r="L18" i="1" s="1"/>
  <c r="F13" i="1"/>
  <c r="N13" i="1" s="1"/>
  <c r="L13" i="1" s="1"/>
  <c r="F7" i="1"/>
  <c r="F11" i="1"/>
  <c r="N11" i="1" s="1"/>
  <c r="L11" i="1" s="1"/>
  <c r="F12" i="1"/>
  <c r="N12" i="1" s="1"/>
  <c r="L12" i="1" s="1"/>
  <c r="F20" i="1"/>
  <c r="N20" i="1" s="1"/>
  <c r="L20" i="1" s="1"/>
  <c r="F14" i="1"/>
  <c r="N14" i="1" s="1"/>
  <c r="L14" i="1" s="1"/>
  <c r="F10" i="1"/>
  <c r="N10" i="1" s="1"/>
  <c r="L10" i="1" s="1"/>
  <c r="F16" i="1"/>
  <c r="N16" i="1" s="1"/>
  <c r="L16" i="1" s="1"/>
  <c r="F9" i="1"/>
  <c r="F22" i="1"/>
  <c r="N22" i="1" s="1"/>
  <c r="L22" i="1" s="1"/>
  <c r="F21" i="1"/>
  <c r="N21" i="1" s="1"/>
  <c r="L21" i="1" s="1"/>
  <c r="F17" i="1"/>
  <c r="N17" i="1" s="1"/>
  <c r="L17" i="1" s="1"/>
  <c r="F24" i="1"/>
  <c r="N24" i="1" s="1"/>
  <c r="L24" i="1" s="1"/>
  <c r="F19" i="1"/>
  <c r="N19" i="1" s="1"/>
  <c r="L19" i="1" s="1"/>
  <c r="F23" i="1"/>
  <c r="N23" i="1" s="1"/>
  <c r="L23" i="1" s="1"/>
  <c r="F15" i="1"/>
  <c r="N15" i="1" s="1"/>
  <c r="L15" i="1" s="1"/>
  <c r="F8" i="1"/>
  <c r="N9" i="1" s="1"/>
  <c r="F3" i="1"/>
  <c r="N7" i="1"/>
  <c r="L7" i="1" s="1"/>
  <c r="CT11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C7" i="1"/>
  <c r="AG18" i="1"/>
  <c r="AG11" i="1"/>
  <c r="AG19" i="1"/>
  <c r="AG24" i="1"/>
  <c r="AG12" i="1"/>
  <c r="AG22" i="1"/>
  <c r="AG17" i="1"/>
  <c r="AG16" i="1"/>
  <c r="AG7" i="1"/>
  <c r="AG13" i="1"/>
  <c r="AG9" i="1"/>
  <c r="AG23" i="1"/>
  <c r="AG15" i="1"/>
  <c r="AG21" i="1"/>
  <c r="AG10" i="1"/>
  <c r="AG20" i="1"/>
  <c r="AG14" i="1"/>
  <c r="L9" i="1" l="1"/>
  <c r="O9" i="1" s="1"/>
  <c r="M9" i="1" s="1"/>
  <c r="N8" i="1"/>
  <c r="L8" i="1" s="1"/>
  <c r="O8" i="1" s="1"/>
  <c r="M8" i="1" s="1"/>
  <c r="O13" i="1"/>
  <c r="M13" i="1" s="1"/>
  <c r="O24" i="1"/>
  <c r="M24" i="1" s="1"/>
  <c r="O12" i="1"/>
  <c r="M12" i="1" s="1"/>
  <c r="O17" i="1"/>
  <c r="M17" i="1" s="1"/>
  <c r="O23" i="1"/>
  <c r="M23" i="1" s="1"/>
  <c r="O21" i="1"/>
  <c r="M21" i="1" s="1"/>
  <c r="O20" i="1"/>
  <c r="M20" i="1" s="1"/>
  <c r="O19" i="1"/>
  <c r="M19" i="1" s="1"/>
  <c r="O22" i="1"/>
  <c r="M22" i="1" s="1"/>
  <c r="O14" i="1"/>
  <c r="M14" i="1" s="1"/>
  <c r="O15" i="1"/>
  <c r="M15" i="1" s="1"/>
  <c r="O16" i="1"/>
  <c r="M16" i="1" s="1"/>
  <c r="O18" i="1"/>
  <c r="M18" i="1" s="1"/>
  <c r="O10" i="1"/>
  <c r="M10" i="1" s="1"/>
  <c r="O11" i="1"/>
  <c r="M11" i="1" s="1"/>
  <c r="O7" i="1"/>
  <c r="M7" i="1" s="1"/>
  <c r="I10" i="1"/>
  <c r="W10" i="1"/>
  <c r="AB13" i="1"/>
  <c r="AB9" i="1"/>
  <c r="Q11" i="1"/>
  <c r="Y13" i="1"/>
  <c r="Z17" i="1"/>
  <c r="AB20" i="1"/>
  <c r="AB8" i="1"/>
  <c r="W12" i="1"/>
  <c r="W24" i="1"/>
  <c r="AB17" i="1"/>
  <c r="W18" i="1"/>
  <c r="Z21" i="1"/>
  <c r="Z15" i="1"/>
  <c r="Q21" i="1"/>
  <c r="Q20" i="1"/>
  <c r="AA14" i="1"/>
  <c r="Q10" i="1"/>
  <c r="X15" i="1"/>
  <c r="W22" i="1"/>
  <c r="AB24" i="1"/>
  <c r="AB21" i="1"/>
  <c r="AA17" i="1"/>
  <c r="U10" i="1"/>
  <c r="AB10" i="1"/>
  <c r="Z16" i="1"/>
  <c r="Z8" i="1"/>
  <c r="W19" i="1"/>
  <c r="Q15" i="1"/>
  <c r="AA16" i="1"/>
  <c r="Q17" i="1"/>
  <c r="U13" i="1"/>
  <c r="Y11" i="1"/>
  <c r="X10" i="1"/>
  <c r="U18" i="1"/>
  <c r="AA8" i="1"/>
  <c r="U11" i="1"/>
  <c r="AA13" i="1"/>
  <c r="Y19" i="1"/>
  <c r="AB16" i="1"/>
  <c r="U21" i="1"/>
  <c r="Q22" i="1"/>
  <c r="Y23" i="1"/>
  <c r="Z24" i="1"/>
  <c r="X8" i="1"/>
  <c r="AA18" i="1"/>
  <c r="AB23" i="1"/>
  <c r="Y16" i="1"/>
  <c r="AA11" i="1"/>
  <c r="AB22" i="1"/>
  <c r="Q24" i="1"/>
  <c r="Y20" i="1"/>
  <c r="AA19" i="1"/>
  <c r="AA23" i="1"/>
  <c r="Z11" i="1"/>
  <c r="Y10" i="1"/>
  <c r="Y14" i="1"/>
  <c r="X20" i="1"/>
  <c r="AA24" i="1"/>
  <c r="AB14" i="1"/>
  <c r="Q16" i="1"/>
  <c r="Y24" i="1"/>
  <c r="Y18" i="1"/>
  <c r="G8" i="1"/>
  <c r="Y17" i="1"/>
  <c r="U23" i="1"/>
  <c r="W16" i="1"/>
  <c r="Z14" i="1"/>
  <c r="Z23" i="1"/>
  <c r="W20" i="1"/>
  <c r="X9" i="1"/>
  <c r="AB12" i="1"/>
  <c r="Q8" i="1"/>
  <c r="Q19" i="1"/>
  <c r="X13" i="1"/>
  <c r="X24" i="1"/>
  <c r="W14" i="1"/>
  <c r="U17" i="1"/>
  <c r="X18" i="1"/>
  <c r="U15" i="1"/>
  <c r="Z13" i="1"/>
  <c r="X11" i="1"/>
  <c r="X21" i="1"/>
  <c r="AB11" i="1"/>
  <c r="U16" i="1"/>
  <c r="AA9" i="1"/>
  <c r="Q18" i="1"/>
  <c r="AB19" i="1"/>
  <c r="W17" i="1"/>
  <c r="Y15" i="1"/>
  <c r="X23" i="1"/>
  <c r="AA22" i="1"/>
  <c r="AB15" i="1"/>
  <c r="U22" i="1"/>
  <c r="W15" i="1"/>
  <c r="AA10" i="1"/>
  <c r="Q9" i="1"/>
  <c r="X14" i="1"/>
  <c r="AB18" i="1"/>
  <c r="Z19" i="1"/>
  <c r="U19" i="1"/>
  <c r="Z20" i="1"/>
  <c r="U8" i="1"/>
  <c r="AA21" i="1"/>
  <c r="W23" i="1"/>
  <c r="X12" i="1"/>
  <c r="U9" i="1"/>
  <c r="U12" i="1"/>
  <c r="U24" i="1"/>
  <c r="Y12" i="1"/>
  <c r="W11" i="1"/>
  <c r="Q23" i="1"/>
  <c r="Y21" i="1"/>
  <c r="AA15" i="1"/>
  <c r="U14" i="1"/>
  <c r="W21" i="1"/>
  <c r="Z18" i="1"/>
  <c r="Z9" i="1"/>
  <c r="U20" i="1"/>
  <c r="AA12" i="1"/>
  <c r="X22" i="1"/>
  <c r="Z10" i="1"/>
  <c r="Z12" i="1"/>
  <c r="AA20" i="1"/>
  <c r="W13" i="1"/>
  <c r="Q13" i="1"/>
  <c r="X16" i="1"/>
  <c r="X19" i="1"/>
  <c r="Q12" i="1"/>
  <c r="W9" i="1"/>
  <c r="Y22" i="1"/>
  <c r="X17" i="1"/>
  <c r="Y9" i="1"/>
  <c r="Z22" i="1"/>
  <c r="W8" i="1"/>
  <c r="Q14" i="1"/>
  <c r="Y8" i="1"/>
  <c r="I9" i="1" l="1"/>
  <c r="S21" i="1"/>
  <c r="S9" i="1"/>
  <c r="S8" i="1"/>
  <c r="S19" i="1"/>
  <c r="S12" i="1"/>
  <c r="S20" i="1"/>
  <c r="S11" i="1"/>
  <c r="S13" i="1"/>
  <c r="S14" i="1"/>
  <c r="S17" i="1"/>
  <c r="S10" i="1"/>
  <c r="S16" i="1"/>
  <c r="S24" i="1"/>
  <c r="S22" i="1"/>
  <c r="S23" i="1"/>
  <c r="S15" i="1"/>
  <c r="S18" i="1"/>
  <c r="CA3" i="1"/>
  <c r="CD37" i="1"/>
  <c r="Z7" i="1"/>
  <c r="G9" i="1"/>
  <c r="U7" i="1"/>
  <c r="G7" i="1"/>
  <c r="G10" i="1"/>
  <c r="Q7" i="1"/>
  <c r="X7" i="1"/>
  <c r="W7" i="1"/>
  <c r="AA7" i="1"/>
  <c r="AB7" i="1"/>
  <c r="Y7" i="1"/>
  <c r="I12" i="1" l="1"/>
  <c r="I11" i="1"/>
  <c r="K26" i="1"/>
  <c r="E31" i="1"/>
  <c r="S7" i="1"/>
  <c r="DD14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345" i="1"/>
  <c r="DA346" i="1"/>
  <c r="DA347" i="1"/>
  <c r="DA348" i="1"/>
  <c r="DA349" i="1"/>
  <c r="DA350" i="1"/>
  <c r="DA351" i="1"/>
  <c r="DA352" i="1"/>
  <c r="DA353" i="1"/>
  <c r="DA354" i="1"/>
  <c r="DA355" i="1"/>
  <c r="DA356" i="1"/>
  <c r="DA357" i="1"/>
  <c r="DA358" i="1"/>
  <c r="DA359" i="1"/>
  <c r="DA360" i="1"/>
  <c r="DA361" i="1"/>
  <c r="DA362" i="1"/>
  <c r="DA363" i="1"/>
  <c r="DA364" i="1"/>
  <c r="DA365" i="1"/>
  <c r="DA366" i="1"/>
  <c r="DA367" i="1"/>
  <c r="DA368" i="1"/>
  <c r="DA369" i="1"/>
  <c r="DA370" i="1"/>
  <c r="DA371" i="1"/>
  <c r="DA372" i="1"/>
  <c r="DA373" i="1"/>
  <c r="DA374" i="1"/>
  <c r="DA375" i="1"/>
  <c r="DA376" i="1"/>
  <c r="DA377" i="1"/>
  <c r="DA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CY235" i="1"/>
  <c r="CY236" i="1"/>
  <c r="CY237" i="1"/>
  <c r="CY238" i="1"/>
  <c r="CY239" i="1"/>
  <c r="CY240" i="1"/>
  <c r="CY241" i="1"/>
  <c r="CY242" i="1"/>
  <c r="CY243" i="1"/>
  <c r="CY244" i="1"/>
  <c r="CY245" i="1"/>
  <c r="CY246" i="1"/>
  <c r="CY247" i="1"/>
  <c r="CY248" i="1"/>
  <c r="CY249" i="1"/>
  <c r="CY250" i="1"/>
  <c r="CY251" i="1"/>
  <c r="CY252" i="1"/>
  <c r="CY253" i="1"/>
  <c r="CY254" i="1"/>
  <c r="CY255" i="1"/>
  <c r="CY256" i="1"/>
  <c r="CY257" i="1"/>
  <c r="CY258" i="1"/>
  <c r="CY259" i="1"/>
  <c r="CY260" i="1"/>
  <c r="CY261" i="1"/>
  <c r="CY262" i="1"/>
  <c r="CY263" i="1"/>
  <c r="CY264" i="1"/>
  <c r="CY265" i="1"/>
  <c r="CY266" i="1"/>
  <c r="CY267" i="1"/>
  <c r="CY268" i="1"/>
  <c r="CY269" i="1"/>
  <c r="CY270" i="1"/>
  <c r="CY271" i="1"/>
  <c r="CY272" i="1"/>
  <c r="CY273" i="1"/>
  <c r="CY274" i="1"/>
  <c r="CY275" i="1"/>
  <c r="CY276" i="1"/>
  <c r="CY277" i="1"/>
  <c r="CY278" i="1"/>
  <c r="CY279" i="1"/>
  <c r="CY280" i="1"/>
  <c r="CY281" i="1"/>
  <c r="CY282" i="1"/>
  <c r="CY283" i="1"/>
  <c r="CY284" i="1"/>
  <c r="CY285" i="1"/>
  <c r="CY286" i="1"/>
  <c r="CY287" i="1"/>
  <c r="CY288" i="1"/>
  <c r="CY289" i="1"/>
  <c r="CY290" i="1"/>
  <c r="CY291" i="1"/>
  <c r="CY292" i="1"/>
  <c r="CY293" i="1"/>
  <c r="CY294" i="1"/>
  <c r="CY295" i="1"/>
  <c r="CY296" i="1"/>
  <c r="CY297" i="1"/>
  <c r="CY298" i="1"/>
  <c r="CY299" i="1"/>
  <c r="CY300" i="1"/>
  <c r="CY301" i="1"/>
  <c r="CY302" i="1"/>
  <c r="CY303" i="1"/>
  <c r="CY304" i="1"/>
  <c r="CY305" i="1"/>
  <c r="CY306" i="1"/>
  <c r="CY307" i="1"/>
  <c r="CY308" i="1"/>
  <c r="CY309" i="1"/>
  <c r="CY310" i="1"/>
  <c r="CY311" i="1"/>
  <c r="CY312" i="1"/>
  <c r="CY313" i="1"/>
  <c r="CY314" i="1"/>
  <c r="CY315" i="1"/>
  <c r="CY316" i="1"/>
  <c r="CY317" i="1"/>
  <c r="CY318" i="1"/>
  <c r="CY319" i="1"/>
  <c r="CY320" i="1"/>
  <c r="CY321" i="1"/>
  <c r="CY322" i="1"/>
  <c r="CY323" i="1"/>
  <c r="CY324" i="1"/>
  <c r="CY325" i="1"/>
  <c r="CY326" i="1"/>
  <c r="CY327" i="1"/>
  <c r="CY328" i="1"/>
  <c r="CY329" i="1"/>
  <c r="CY330" i="1"/>
  <c r="CY331" i="1"/>
  <c r="CY332" i="1"/>
  <c r="CY333" i="1"/>
  <c r="CY334" i="1"/>
  <c r="CY335" i="1"/>
  <c r="CY336" i="1"/>
  <c r="CY337" i="1"/>
  <c r="CY338" i="1"/>
  <c r="CY339" i="1"/>
  <c r="CY340" i="1"/>
  <c r="CY341" i="1"/>
  <c r="CY342" i="1"/>
  <c r="CY343" i="1"/>
  <c r="CY344" i="1"/>
  <c r="CY345" i="1"/>
  <c r="CY346" i="1"/>
  <c r="CY347" i="1"/>
  <c r="CY348" i="1"/>
  <c r="CY349" i="1"/>
  <c r="CY350" i="1"/>
  <c r="CY351" i="1"/>
  <c r="CY352" i="1"/>
  <c r="CY353" i="1"/>
  <c r="CY354" i="1"/>
  <c r="CY355" i="1"/>
  <c r="CY356" i="1"/>
  <c r="CY357" i="1"/>
  <c r="CY358" i="1"/>
  <c r="CY359" i="1"/>
  <c r="CY360" i="1"/>
  <c r="CY361" i="1"/>
  <c r="CY362" i="1"/>
  <c r="CY363" i="1"/>
  <c r="CY364" i="1"/>
  <c r="CY365" i="1"/>
  <c r="CY366" i="1"/>
  <c r="CY367" i="1"/>
  <c r="CY368" i="1"/>
  <c r="CY369" i="1"/>
  <c r="CY370" i="1"/>
  <c r="CY371" i="1"/>
  <c r="CY372" i="1"/>
  <c r="CY373" i="1"/>
  <c r="CY374" i="1"/>
  <c r="CY375" i="1"/>
  <c r="CY376" i="1"/>
  <c r="CY377" i="1"/>
  <c r="CY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2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CX307" i="1"/>
  <c r="CX308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CX355" i="1"/>
  <c r="CX356" i="1"/>
  <c r="CX357" i="1"/>
  <c r="CX358" i="1"/>
  <c r="CX359" i="1"/>
  <c r="CX360" i="1"/>
  <c r="CX361" i="1"/>
  <c r="CX362" i="1"/>
  <c r="CX363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76" i="1"/>
  <c r="CX377" i="1"/>
  <c r="CX12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12" i="1"/>
  <c r="CS13" i="1"/>
  <c r="CZ13" i="1" s="1"/>
  <c r="CS14" i="1"/>
  <c r="CZ14" i="1" s="1"/>
  <c r="CS15" i="1"/>
  <c r="CZ15" i="1" s="1"/>
  <c r="CS16" i="1"/>
  <c r="CZ16" i="1" s="1"/>
  <c r="CS17" i="1"/>
  <c r="CZ17" i="1" s="1"/>
  <c r="CS18" i="1"/>
  <c r="CZ18" i="1" s="1"/>
  <c r="CS19" i="1"/>
  <c r="CZ19" i="1" s="1"/>
  <c r="CS20" i="1"/>
  <c r="CZ20" i="1" s="1"/>
  <c r="CS21" i="1"/>
  <c r="CZ21" i="1" s="1"/>
  <c r="CS22" i="1"/>
  <c r="CZ22" i="1" s="1"/>
  <c r="CS23" i="1"/>
  <c r="CZ23" i="1" s="1"/>
  <c r="CS24" i="1"/>
  <c r="CZ24" i="1" s="1"/>
  <c r="CS25" i="1"/>
  <c r="CZ25" i="1" s="1"/>
  <c r="CS26" i="1"/>
  <c r="CZ26" i="1" s="1"/>
  <c r="CS27" i="1"/>
  <c r="CZ27" i="1" s="1"/>
  <c r="CS28" i="1"/>
  <c r="CZ28" i="1" s="1"/>
  <c r="CS29" i="1"/>
  <c r="CZ29" i="1" s="1"/>
  <c r="CS30" i="1"/>
  <c r="CZ30" i="1" s="1"/>
  <c r="CS31" i="1"/>
  <c r="CZ31" i="1" s="1"/>
  <c r="CS32" i="1"/>
  <c r="CZ32" i="1" s="1"/>
  <c r="CS33" i="1"/>
  <c r="CZ33" i="1" s="1"/>
  <c r="CS34" i="1"/>
  <c r="CZ34" i="1" s="1"/>
  <c r="CS35" i="1"/>
  <c r="CZ35" i="1" s="1"/>
  <c r="CS36" i="1"/>
  <c r="CZ36" i="1" s="1"/>
  <c r="CS37" i="1"/>
  <c r="CZ37" i="1" s="1"/>
  <c r="CS38" i="1"/>
  <c r="CZ38" i="1" s="1"/>
  <c r="CS39" i="1"/>
  <c r="CZ39" i="1" s="1"/>
  <c r="CS40" i="1"/>
  <c r="CZ40" i="1" s="1"/>
  <c r="CS41" i="1"/>
  <c r="CZ41" i="1" s="1"/>
  <c r="CS42" i="1"/>
  <c r="CZ42" i="1" s="1"/>
  <c r="CS43" i="1"/>
  <c r="CZ43" i="1" s="1"/>
  <c r="CS44" i="1"/>
  <c r="CZ44" i="1" s="1"/>
  <c r="CS45" i="1"/>
  <c r="CZ45" i="1" s="1"/>
  <c r="CS46" i="1"/>
  <c r="CZ46" i="1" s="1"/>
  <c r="CS47" i="1"/>
  <c r="CZ47" i="1" s="1"/>
  <c r="CS48" i="1"/>
  <c r="CZ48" i="1" s="1"/>
  <c r="CS49" i="1"/>
  <c r="CZ49" i="1" s="1"/>
  <c r="CS50" i="1"/>
  <c r="CZ50" i="1" s="1"/>
  <c r="CS51" i="1"/>
  <c r="CZ51" i="1" s="1"/>
  <c r="CS52" i="1"/>
  <c r="CZ52" i="1" s="1"/>
  <c r="CS53" i="1"/>
  <c r="CZ53" i="1" s="1"/>
  <c r="CS54" i="1"/>
  <c r="CZ54" i="1" s="1"/>
  <c r="CS55" i="1"/>
  <c r="CZ55" i="1" s="1"/>
  <c r="CS56" i="1"/>
  <c r="CZ56" i="1" s="1"/>
  <c r="CS57" i="1"/>
  <c r="CZ57" i="1" s="1"/>
  <c r="CS58" i="1"/>
  <c r="CZ58" i="1" s="1"/>
  <c r="CS59" i="1"/>
  <c r="CZ59" i="1" s="1"/>
  <c r="CS60" i="1"/>
  <c r="CZ60" i="1" s="1"/>
  <c r="CS61" i="1"/>
  <c r="CZ61" i="1" s="1"/>
  <c r="CS62" i="1"/>
  <c r="CZ62" i="1" s="1"/>
  <c r="CS63" i="1"/>
  <c r="CZ63" i="1" s="1"/>
  <c r="CS64" i="1"/>
  <c r="CZ64" i="1" s="1"/>
  <c r="CS65" i="1"/>
  <c r="CZ65" i="1" s="1"/>
  <c r="CS66" i="1"/>
  <c r="CZ66" i="1" s="1"/>
  <c r="CS67" i="1"/>
  <c r="CZ67" i="1" s="1"/>
  <c r="CS68" i="1"/>
  <c r="CZ68" i="1" s="1"/>
  <c r="CS69" i="1"/>
  <c r="CZ69" i="1" s="1"/>
  <c r="CS70" i="1"/>
  <c r="CZ70" i="1" s="1"/>
  <c r="CS71" i="1"/>
  <c r="CZ71" i="1" s="1"/>
  <c r="CS72" i="1"/>
  <c r="CZ72" i="1" s="1"/>
  <c r="CS73" i="1"/>
  <c r="CZ73" i="1" s="1"/>
  <c r="CS74" i="1"/>
  <c r="CZ74" i="1" s="1"/>
  <c r="CS75" i="1"/>
  <c r="CZ75" i="1" s="1"/>
  <c r="CS76" i="1"/>
  <c r="CZ76" i="1" s="1"/>
  <c r="CS77" i="1"/>
  <c r="CZ77" i="1" s="1"/>
  <c r="CS78" i="1"/>
  <c r="CZ78" i="1" s="1"/>
  <c r="CS79" i="1"/>
  <c r="CZ79" i="1" s="1"/>
  <c r="CS80" i="1"/>
  <c r="CZ80" i="1" s="1"/>
  <c r="CS81" i="1"/>
  <c r="CZ81" i="1" s="1"/>
  <c r="CS82" i="1"/>
  <c r="CZ82" i="1" s="1"/>
  <c r="CS83" i="1"/>
  <c r="CZ83" i="1" s="1"/>
  <c r="CS84" i="1"/>
  <c r="CZ84" i="1" s="1"/>
  <c r="CS85" i="1"/>
  <c r="CZ85" i="1" s="1"/>
  <c r="CS86" i="1"/>
  <c r="CZ86" i="1" s="1"/>
  <c r="CS87" i="1"/>
  <c r="CZ87" i="1" s="1"/>
  <c r="CS88" i="1"/>
  <c r="CZ88" i="1" s="1"/>
  <c r="CS89" i="1"/>
  <c r="CZ89" i="1" s="1"/>
  <c r="CS90" i="1"/>
  <c r="CZ90" i="1" s="1"/>
  <c r="CS91" i="1"/>
  <c r="CZ91" i="1" s="1"/>
  <c r="CS92" i="1"/>
  <c r="CZ92" i="1" s="1"/>
  <c r="CS93" i="1"/>
  <c r="CZ93" i="1" s="1"/>
  <c r="CS94" i="1"/>
  <c r="CZ94" i="1" s="1"/>
  <c r="CS95" i="1"/>
  <c r="CZ95" i="1" s="1"/>
  <c r="CS96" i="1"/>
  <c r="CZ96" i="1" s="1"/>
  <c r="CS97" i="1"/>
  <c r="CZ97" i="1" s="1"/>
  <c r="CS98" i="1"/>
  <c r="CZ98" i="1" s="1"/>
  <c r="CS99" i="1"/>
  <c r="CZ99" i="1" s="1"/>
  <c r="CS100" i="1"/>
  <c r="CZ100" i="1" s="1"/>
  <c r="CS101" i="1"/>
  <c r="CZ101" i="1" s="1"/>
  <c r="CS102" i="1"/>
  <c r="CZ102" i="1" s="1"/>
  <c r="CS103" i="1"/>
  <c r="CZ103" i="1" s="1"/>
  <c r="CS104" i="1"/>
  <c r="CZ104" i="1" s="1"/>
  <c r="CS105" i="1"/>
  <c r="CZ105" i="1" s="1"/>
  <c r="CS106" i="1"/>
  <c r="CZ106" i="1" s="1"/>
  <c r="CS107" i="1"/>
  <c r="CZ107" i="1" s="1"/>
  <c r="CS108" i="1"/>
  <c r="CZ108" i="1" s="1"/>
  <c r="CS109" i="1"/>
  <c r="CZ109" i="1" s="1"/>
  <c r="CS110" i="1"/>
  <c r="CZ110" i="1" s="1"/>
  <c r="CS111" i="1"/>
  <c r="CZ111" i="1" s="1"/>
  <c r="CS112" i="1"/>
  <c r="CZ112" i="1" s="1"/>
  <c r="CS113" i="1"/>
  <c r="CZ113" i="1" s="1"/>
  <c r="CS114" i="1"/>
  <c r="CZ114" i="1" s="1"/>
  <c r="CS115" i="1"/>
  <c r="CZ115" i="1" s="1"/>
  <c r="CS116" i="1"/>
  <c r="CZ116" i="1" s="1"/>
  <c r="CS117" i="1"/>
  <c r="CZ117" i="1" s="1"/>
  <c r="CS118" i="1"/>
  <c r="CZ118" i="1" s="1"/>
  <c r="CS119" i="1"/>
  <c r="CZ119" i="1" s="1"/>
  <c r="CS120" i="1"/>
  <c r="CZ120" i="1" s="1"/>
  <c r="CS121" i="1"/>
  <c r="CZ121" i="1" s="1"/>
  <c r="CS122" i="1"/>
  <c r="CZ122" i="1" s="1"/>
  <c r="CS123" i="1"/>
  <c r="CZ123" i="1" s="1"/>
  <c r="CS124" i="1"/>
  <c r="CZ124" i="1" s="1"/>
  <c r="CS125" i="1"/>
  <c r="CZ125" i="1" s="1"/>
  <c r="CS126" i="1"/>
  <c r="CZ126" i="1" s="1"/>
  <c r="CS127" i="1"/>
  <c r="CZ127" i="1" s="1"/>
  <c r="CS128" i="1"/>
  <c r="CZ128" i="1" s="1"/>
  <c r="CS129" i="1"/>
  <c r="CZ129" i="1" s="1"/>
  <c r="CS130" i="1"/>
  <c r="CZ130" i="1" s="1"/>
  <c r="CS131" i="1"/>
  <c r="CZ131" i="1" s="1"/>
  <c r="CS132" i="1"/>
  <c r="CZ132" i="1" s="1"/>
  <c r="CS133" i="1"/>
  <c r="CZ133" i="1" s="1"/>
  <c r="CS134" i="1"/>
  <c r="CZ134" i="1" s="1"/>
  <c r="CS135" i="1"/>
  <c r="CZ135" i="1" s="1"/>
  <c r="CS136" i="1"/>
  <c r="CZ136" i="1" s="1"/>
  <c r="CS137" i="1"/>
  <c r="CZ137" i="1" s="1"/>
  <c r="CS138" i="1"/>
  <c r="CZ138" i="1" s="1"/>
  <c r="CS139" i="1"/>
  <c r="CZ139" i="1" s="1"/>
  <c r="CS140" i="1"/>
  <c r="CZ140" i="1" s="1"/>
  <c r="CS141" i="1"/>
  <c r="CZ141" i="1" s="1"/>
  <c r="CS142" i="1"/>
  <c r="CZ142" i="1" s="1"/>
  <c r="CS143" i="1"/>
  <c r="CZ143" i="1" s="1"/>
  <c r="CS144" i="1"/>
  <c r="CZ144" i="1" s="1"/>
  <c r="CS145" i="1"/>
  <c r="CZ145" i="1" s="1"/>
  <c r="CS146" i="1"/>
  <c r="CZ146" i="1" s="1"/>
  <c r="CS147" i="1"/>
  <c r="CZ147" i="1" s="1"/>
  <c r="CS148" i="1"/>
  <c r="CZ148" i="1" s="1"/>
  <c r="CS149" i="1"/>
  <c r="CZ149" i="1" s="1"/>
  <c r="CS150" i="1"/>
  <c r="CZ150" i="1" s="1"/>
  <c r="CS151" i="1"/>
  <c r="CZ151" i="1" s="1"/>
  <c r="CS152" i="1"/>
  <c r="CZ152" i="1" s="1"/>
  <c r="CS153" i="1"/>
  <c r="CZ153" i="1" s="1"/>
  <c r="CS154" i="1"/>
  <c r="CZ154" i="1" s="1"/>
  <c r="CS155" i="1"/>
  <c r="CZ155" i="1" s="1"/>
  <c r="CS156" i="1"/>
  <c r="CZ156" i="1" s="1"/>
  <c r="CS157" i="1"/>
  <c r="CZ157" i="1" s="1"/>
  <c r="CS158" i="1"/>
  <c r="CZ158" i="1" s="1"/>
  <c r="CS159" i="1"/>
  <c r="CZ159" i="1" s="1"/>
  <c r="CS160" i="1"/>
  <c r="CZ160" i="1" s="1"/>
  <c r="CS161" i="1"/>
  <c r="CZ161" i="1" s="1"/>
  <c r="CS162" i="1"/>
  <c r="CZ162" i="1" s="1"/>
  <c r="CS163" i="1"/>
  <c r="CZ163" i="1" s="1"/>
  <c r="CS164" i="1"/>
  <c r="CZ164" i="1" s="1"/>
  <c r="CS165" i="1"/>
  <c r="CZ165" i="1" s="1"/>
  <c r="CS166" i="1"/>
  <c r="CZ166" i="1" s="1"/>
  <c r="CS167" i="1"/>
  <c r="CZ167" i="1" s="1"/>
  <c r="CS168" i="1"/>
  <c r="CZ168" i="1" s="1"/>
  <c r="CS169" i="1"/>
  <c r="CZ169" i="1" s="1"/>
  <c r="CS170" i="1"/>
  <c r="CZ170" i="1" s="1"/>
  <c r="CS171" i="1"/>
  <c r="CZ171" i="1" s="1"/>
  <c r="CS172" i="1"/>
  <c r="CZ172" i="1" s="1"/>
  <c r="CS173" i="1"/>
  <c r="CZ173" i="1" s="1"/>
  <c r="CS174" i="1"/>
  <c r="CZ174" i="1" s="1"/>
  <c r="CS175" i="1"/>
  <c r="CZ175" i="1" s="1"/>
  <c r="CS176" i="1"/>
  <c r="CZ176" i="1" s="1"/>
  <c r="CS177" i="1"/>
  <c r="CZ177" i="1" s="1"/>
  <c r="CS178" i="1"/>
  <c r="CZ178" i="1" s="1"/>
  <c r="CS179" i="1"/>
  <c r="CZ179" i="1" s="1"/>
  <c r="CS180" i="1"/>
  <c r="CZ180" i="1" s="1"/>
  <c r="CS181" i="1"/>
  <c r="CZ181" i="1" s="1"/>
  <c r="CS182" i="1"/>
  <c r="CZ182" i="1" s="1"/>
  <c r="CS183" i="1"/>
  <c r="CZ183" i="1" s="1"/>
  <c r="CS184" i="1"/>
  <c r="CZ184" i="1" s="1"/>
  <c r="CS185" i="1"/>
  <c r="CZ185" i="1" s="1"/>
  <c r="CS186" i="1"/>
  <c r="CZ186" i="1" s="1"/>
  <c r="CS187" i="1"/>
  <c r="CZ187" i="1" s="1"/>
  <c r="CS188" i="1"/>
  <c r="CZ188" i="1" s="1"/>
  <c r="CS189" i="1"/>
  <c r="CZ189" i="1" s="1"/>
  <c r="CS190" i="1"/>
  <c r="CZ190" i="1" s="1"/>
  <c r="CS191" i="1"/>
  <c r="CZ191" i="1" s="1"/>
  <c r="CS192" i="1"/>
  <c r="CZ192" i="1" s="1"/>
  <c r="CS193" i="1"/>
  <c r="CZ193" i="1" s="1"/>
  <c r="CS194" i="1"/>
  <c r="CZ194" i="1" s="1"/>
  <c r="CS195" i="1"/>
  <c r="CZ195" i="1" s="1"/>
  <c r="CS196" i="1"/>
  <c r="CZ196" i="1" s="1"/>
  <c r="CS197" i="1"/>
  <c r="CZ197" i="1" s="1"/>
  <c r="CS198" i="1"/>
  <c r="CZ198" i="1" s="1"/>
  <c r="CS199" i="1"/>
  <c r="CZ199" i="1" s="1"/>
  <c r="CS200" i="1"/>
  <c r="CZ200" i="1" s="1"/>
  <c r="CS201" i="1"/>
  <c r="CZ201" i="1" s="1"/>
  <c r="CS202" i="1"/>
  <c r="CZ202" i="1" s="1"/>
  <c r="CS203" i="1"/>
  <c r="CZ203" i="1" s="1"/>
  <c r="CS204" i="1"/>
  <c r="CZ204" i="1" s="1"/>
  <c r="CS205" i="1"/>
  <c r="CZ205" i="1" s="1"/>
  <c r="CS206" i="1"/>
  <c r="CZ206" i="1" s="1"/>
  <c r="CS207" i="1"/>
  <c r="CZ207" i="1" s="1"/>
  <c r="CS208" i="1"/>
  <c r="CZ208" i="1" s="1"/>
  <c r="CS209" i="1"/>
  <c r="CZ209" i="1" s="1"/>
  <c r="CS210" i="1"/>
  <c r="CZ210" i="1" s="1"/>
  <c r="CS211" i="1"/>
  <c r="CZ211" i="1" s="1"/>
  <c r="CS212" i="1"/>
  <c r="CZ212" i="1" s="1"/>
  <c r="CS213" i="1"/>
  <c r="CZ213" i="1" s="1"/>
  <c r="CS214" i="1"/>
  <c r="CZ214" i="1" s="1"/>
  <c r="CS215" i="1"/>
  <c r="CZ215" i="1" s="1"/>
  <c r="CS216" i="1"/>
  <c r="CZ216" i="1" s="1"/>
  <c r="CS217" i="1"/>
  <c r="CZ217" i="1" s="1"/>
  <c r="CS218" i="1"/>
  <c r="CZ218" i="1" s="1"/>
  <c r="CS219" i="1"/>
  <c r="CZ219" i="1" s="1"/>
  <c r="CS220" i="1"/>
  <c r="CZ220" i="1" s="1"/>
  <c r="CS221" i="1"/>
  <c r="CZ221" i="1" s="1"/>
  <c r="CS222" i="1"/>
  <c r="CZ222" i="1" s="1"/>
  <c r="CS223" i="1"/>
  <c r="CZ223" i="1" s="1"/>
  <c r="CS224" i="1"/>
  <c r="CZ224" i="1" s="1"/>
  <c r="CS225" i="1"/>
  <c r="CZ225" i="1" s="1"/>
  <c r="CS226" i="1"/>
  <c r="CZ226" i="1" s="1"/>
  <c r="CS227" i="1"/>
  <c r="CZ227" i="1" s="1"/>
  <c r="CS228" i="1"/>
  <c r="CZ228" i="1" s="1"/>
  <c r="CS229" i="1"/>
  <c r="CZ229" i="1" s="1"/>
  <c r="CS230" i="1"/>
  <c r="CZ230" i="1" s="1"/>
  <c r="CS231" i="1"/>
  <c r="CZ231" i="1" s="1"/>
  <c r="CS232" i="1"/>
  <c r="CZ232" i="1" s="1"/>
  <c r="CS233" i="1"/>
  <c r="CZ233" i="1" s="1"/>
  <c r="CS234" i="1"/>
  <c r="CZ234" i="1" s="1"/>
  <c r="CS235" i="1"/>
  <c r="CZ235" i="1" s="1"/>
  <c r="CS236" i="1"/>
  <c r="CZ236" i="1" s="1"/>
  <c r="CS237" i="1"/>
  <c r="CZ237" i="1" s="1"/>
  <c r="CS238" i="1"/>
  <c r="CZ238" i="1" s="1"/>
  <c r="CS239" i="1"/>
  <c r="CZ239" i="1" s="1"/>
  <c r="CS240" i="1"/>
  <c r="CZ240" i="1" s="1"/>
  <c r="CS241" i="1"/>
  <c r="CZ241" i="1" s="1"/>
  <c r="CS242" i="1"/>
  <c r="CZ242" i="1" s="1"/>
  <c r="CS243" i="1"/>
  <c r="CZ243" i="1" s="1"/>
  <c r="CS244" i="1"/>
  <c r="CZ244" i="1" s="1"/>
  <c r="CS245" i="1"/>
  <c r="CZ245" i="1" s="1"/>
  <c r="CS246" i="1"/>
  <c r="CZ246" i="1" s="1"/>
  <c r="CS247" i="1"/>
  <c r="CZ247" i="1" s="1"/>
  <c r="CS248" i="1"/>
  <c r="CZ248" i="1" s="1"/>
  <c r="CS249" i="1"/>
  <c r="CZ249" i="1" s="1"/>
  <c r="CS250" i="1"/>
  <c r="CZ250" i="1" s="1"/>
  <c r="CS251" i="1"/>
  <c r="CZ251" i="1" s="1"/>
  <c r="CS252" i="1"/>
  <c r="CZ252" i="1" s="1"/>
  <c r="CS253" i="1"/>
  <c r="CZ253" i="1" s="1"/>
  <c r="CS254" i="1"/>
  <c r="CZ254" i="1" s="1"/>
  <c r="CS255" i="1"/>
  <c r="CZ255" i="1" s="1"/>
  <c r="CS256" i="1"/>
  <c r="CZ256" i="1" s="1"/>
  <c r="CS257" i="1"/>
  <c r="CZ257" i="1" s="1"/>
  <c r="CS258" i="1"/>
  <c r="CZ258" i="1" s="1"/>
  <c r="CS259" i="1"/>
  <c r="CZ259" i="1" s="1"/>
  <c r="CS260" i="1"/>
  <c r="CZ260" i="1" s="1"/>
  <c r="CS261" i="1"/>
  <c r="CZ261" i="1" s="1"/>
  <c r="CS262" i="1"/>
  <c r="CZ262" i="1" s="1"/>
  <c r="CS263" i="1"/>
  <c r="CZ263" i="1" s="1"/>
  <c r="CS264" i="1"/>
  <c r="CZ264" i="1" s="1"/>
  <c r="CS265" i="1"/>
  <c r="CZ265" i="1" s="1"/>
  <c r="CS266" i="1"/>
  <c r="CZ266" i="1" s="1"/>
  <c r="CS267" i="1"/>
  <c r="CZ267" i="1" s="1"/>
  <c r="CS268" i="1"/>
  <c r="CZ268" i="1" s="1"/>
  <c r="CS269" i="1"/>
  <c r="CZ269" i="1" s="1"/>
  <c r="CS270" i="1"/>
  <c r="CZ270" i="1" s="1"/>
  <c r="CS271" i="1"/>
  <c r="CZ271" i="1" s="1"/>
  <c r="CS272" i="1"/>
  <c r="CZ272" i="1" s="1"/>
  <c r="CS273" i="1"/>
  <c r="CZ273" i="1" s="1"/>
  <c r="CS274" i="1"/>
  <c r="CZ274" i="1" s="1"/>
  <c r="CS275" i="1"/>
  <c r="CZ275" i="1" s="1"/>
  <c r="CS276" i="1"/>
  <c r="CZ276" i="1" s="1"/>
  <c r="CS277" i="1"/>
  <c r="CZ277" i="1" s="1"/>
  <c r="CS278" i="1"/>
  <c r="CZ278" i="1" s="1"/>
  <c r="CS279" i="1"/>
  <c r="CZ279" i="1" s="1"/>
  <c r="CS280" i="1"/>
  <c r="CZ280" i="1" s="1"/>
  <c r="CS281" i="1"/>
  <c r="CZ281" i="1" s="1"/>
  <c r="CS282" i="1"/>
  <c r="CZ282" i="1" s="1"/>
  <c r="CS283" i="1"/>
  <c r="CZ283" i="1" s="1"/>
  <c r="CS284" i="1"/>
  <c r="CZ284" i="1" s="1"/>
  <c r="CS285" i="1"/>
  <c r="CZ285" i="1" s="1"/>
  <c r="CS286" i="1"/>
  <c r="CZ286" i="1" s="1"/>
  <c r="CS287" i="1"/>
  <c r="CZ287" i="1" s="1"/>
  <c r="CS288" i="1"/>
  <c r="CZ288" i="1" s="1"/>
  <c r="CS289" i="1"/>
  <c r="CZ289" i="1" s="1"/>
  <c r="CS290" i="1"/>
  <c r="CZ290" i="1" s="1"/>
  <c r="CS291" i="1"/>
  <c r="CZ291" i="1" s="1"/>
  <c r="CS292" i="1"/>
  <c r="CZ292" i="1" s="1"/>
  <c r="CS293" i="1"/>
  <c r="CZ293" i="1" s="1"/>
  <c r="CS294" i="1"/>
  <c r="CZ294" i="1" s="1"/>
  <c r="CS295" i="1"/>
  <c r="CZ295" i="1" s="1"/>
  <c r="CS296" i="1"/>
  <c r="CZ296" i="1" s="1"/>
  <c r="CS297" i="1"/>
  <c r="CZ297" i="1" s="1"/>
  <c r="CS298" i="1"/>
  <c r="CZ298" i="1" s="1"/>
  <c r="CS299" i="1"/>
  <c r="CZ299" i="1" s="1"/>
  <c r="CS300" i="1"/>
  <c r="CZ300" i="1" s="1"/>
  <c r="CS301" i="1"/>
  <c r="CZ301" i="1" s="1"/>
  <c r="CS302" i="1"/>
  <c r="CZ302" i="1" s="1"/>
  <c r="CS303" i="1"/>
  <c r="CZ303" i="1" s="1"/>
  <c r="CS304" i="1"/>
  <c r="CZ304" i="1" s="1"/>
  <c r="CS305" i="1"/>
  <c r="CZ305" i="1" s="1"/>
  <c r="CS306" i="1"/>
  <c r="CZ306" i="1" s="1"/>
  <c r="CS307" i="1"/>
  <c r="CZ307" i="1" s="1"/>
  <c r="CS308" i="1"/>
  <c r="CZ308" i="1" s="1"/>
  <c r="CS309" i="1"/>
  <c r="CZ309" i="1" s="1"/>
  <c r="CS310" i="1"/>
  <c r="CZ310" i="1" s="1"/>
  <c r="CS311" i="1"/>
  <c r="CZ311" i="1" s="1"/>
  <c r="CS312" i="1"/>
  <c r="CZ312" i="1" s="1"/>
  <c r="CS313" i="1"/>
  <c r="CZ313" i="1" s="1"/>
  <c r="CS314" i="1"/>
  <c r="CZ314" i="1" s="1"/>
  <c r="CS315" i="1"/>
  <c r="CZ315" i="1" s="1"/>
  <c r="CS316" i="1"/>
  <c r="CZ316" i="1" s="1"/>
  <c r="CS317" i="1"/>
  <c r="CZ317" i="1" s="1"/>
  <c r="CS318" i="1"/>
  <c r="CZ318" i="1" s="1"/>
  <c r="CS319" i="1"/>
  <c r="CZ319" i="1" s="1"/>
  <c r="CS320" i="1"/>
  <c r="CZ320" i="1" s="1"/>
  <c r="CS321" i="1"/>
  <c r="CZ321" i="1" s="1"/>
  <c r="CS322" i="1"/>
  <c r="CZ322" i="1" s="1"/>
  <c r="CS323" i="1"/>
  <c r="CZ323" i="1" s="1"/>
  <c r="CS324" i="1"/>
  <c r="CZ324" i="1" s="1"/>
  <c r="CS325" i="1"/>
  <c r="CZ325" i="1" s="1"/>
  <c r="CS326" i="1"/>
  <c r="CZ326" i="1" s="1"/>
  <c r="CS327" i="1"/>
  <c r="CZ327" i="1" s="1"/>
  <c r="CS328" i="1"/>
  <c r="CZ328" i="1" s="1"/>
  <c r="CS329" i="1"/>
  <c r="CZ329" i="1" s="1"/>
  <c r="CS330" i="1"/>
  <c r="CZ330" i="1" s="1"/>
  <c r="CS331" i="1"/>
  <c r="CZ331" i="1" s="1"/>
  <c r="CS332" i="1"/>
  <c r="CZ332" i="1" s="1"/>
  <c r="CS333" i="1"/>
  <c r="CZ333" i="1" s="1"/>
  <c r="CS334" i="1"/>
  <c r="CZ334" i="1" s="1"/>
  <c r="CS335" i="1"/>
  <c r="CZ335" i="1" s="1"/>
  <c r="CS336" i="1"/>
  <c r="CZ336" i="1" s="1"/>
  <c r="CS337" i="1"/>
  <c r="CZ337" i="1" s="1"/>
  <c r="CS338" i="1"/>
  <c r="CZ338" i="1" s="1"/>
  <c r="CS339" i="1"/>
  <c r="CZ339" i="1" s="1"/>
  <c r="CS340" i="1"/>
  <c r="CZ340" i="1" s="1"/>
  <c r="CS341" i="1"/>
  <c r="CZ341" i="1" s="1"/>
  <c r="CS342" i="1"/>
  <c r="CZ342" i="1" s="1"/>
  <c r="CS343" i="1"/>
  <c r="CZ343" i="1" s="1"/>
  <c r="CS344" i="1"/>
  <c r="CZ344" i="1" s="1"/>
  <c r="CS345" i="1"/>
  <c r="CZ345" i="1" s="1"/>
  <c r="CS346" i="1"/>
  <c r="CZ346" i="1" s="1"/>
  <c r="CS347" i="1"/>
  <c r="CZ347" i="1" s="1"/>
  <c r="CS348" i="1"/>
  <c r="CZ348" i="1" s="1"/>
  <c r="CS349" i="1"/>
  <c r="CZ349" i="1" s="1"/>
  <c r="CS350" i="1"/>
  <c r="CZ350" i="1" s="1"/>
  <c r="CS351" i="1"/>
  <c r="CZ351" i="1" s="1"/>
  <c r="CS352" i="1"/>
  <c r="CZ352" i="1" s="1"/>
  <c r="CS353" i="1"/>
  <c r="CZ353" i="1" s="1"/>
  <c r="CS354" i="1"/>
  <c r="CZ354" i="1" s="1"/>
  <c r="CS355" i="1"/>
  <c r="CZ355" i="1" s="1"/>
  <c r="CS356" i="1"/>
  <c r="CZ356" i="1" s="1"/>
  <c r="CS357" i="1"/>
  <c r="CZ357" i="1" s="1"/>
  <c r="CS358" i="1"/>
  <c r="CZ358" i="1" s="1"/>
  <c r="CS359" i="1"/>
  <c r="CZ359" i="1" s="1"/>
  <c r="CS360" i="1"/>
  <c r="CZ360" i="1" s="1"/>
  <c r="CS361" i="1"/>
  <c r="CZ361" i="1" s="1"/>
  <c r="CS362" i="1"/>
  <c r="CZ362" i="1" s="1"/>
  <c r="CS363" i="1"/>
  <c r="CZ363" i="1" s="1"/>
  <c r="CS364" i="1"/>
  <c r="CZ364" i="1" s="1"/>
  <c r="CS365" i="1"/>
  <c r="CZ365" i="1" s="1"/>
  <c r="CS366" i="1"/>
  <c r="CZ366" i="1" s="1"/>
  <c r="CS367" i="1"/>
  <c r="CZ367" i="1" s="1"/>
  <c r="CS368" i="1"/>
  <c r="CZ368" i="1" s="1"/>
  <c r="CS369" i="1"/>
  <c r="CZ369" i="1" s="1"/>
  <c r="CS370" i="1"/>
  <c r="CZ370" i="1" s="1"/>
  <c r="CS371" i="1"/>
  <c r="CZ371" i="1" s="1"/>
  <c r="CS372" i="1"/>
  <c r="CZ372" i="1" s="1"/>
  <c r="CS373" i="1"/>
  <c r="CZ373" i="1" s="1"/>
  <c r="CS374" i="1"/>
  <c r="CZ374" i="1" s="1"/>
  <c r="CS375" i="1"/>
  <c r="CZ375" i="1" s="1"/>
  <c r="CS376" i="1"/>
  <c r="CZ376" i="1" s="1"/>
  <c r="CS377" i="1"/>
  <c r="CZ377" i="1" s="1"/>
  <c r="CS12" i="1"/>
  <c r="CZ12" i="1" s="1"/>
  <c r="V11" i="1"/>
  <c r="V7" i="1"/>
  <c r="V10" i="1"/>
  <c r="V8" i="1"/>
  <c r="V9" i="1"/>
  <c r="DE14" i="1"/>
  <c r="G11" i="1"/>
  <c r="I13" i="1" l="1"/>
  <c r="P7" i="1"/>
  <c r="CQ4" i="1"/>
  <c r="G12" i="1"/>
  <c r="R9" i="1"/>
  <c r="G13" i="1"/>
  <c r="V13" i="1"/>
  <c r="V12" i="1"/>
  <c r="I14" i="1" l="1"/>
  <c r="I15" i="1"/>
  <c r="T9" i="1"/>
  <c r="CP8" i="1"/>
  <c r="CP9" i="1"/>
  <c r="CQ7" i="1"/>
  <c r="CS7" i="1"/>
  <c r="C6" i="1"/>
  <c r="AG8" i="1"/>
  <c r="V15" i="1"/>
  <c r="G15" i="1"/>
  <c r="CP10" i="1"/>
  <c r="CT10" i="1"/>
  <c r="DD17" i="1" l="1"/>
  <c r="I17" i="1"/>
  <c r="DD15" i="1"/>
  <c r="DD16" i="1"/>
  <c r="DD18" i="1"/>
  <c r="G17" i="1"/>
  <c r="DE17" i="1"/>
  <c r="DG18" i="1"/>
  <c r="V14" i="1"/>
  <c r="DE15" i="1"/>
  <c r="DE18" i="1"/>
  <c r="DG17" i="1"/>
  <c r="DG16" i="1"/>
  <c r="V17" i="1"/>
  <c r="G14" i="1"/>
  <c r="DG15" i="1"/>
  <c r="DE16" i="1"/>
  <c r="I16" i="1" l="1"/>
  <c r="I19" i="1"/>
  <c r="P9" i="1"/>
  <c r="P14" i="1"/>
  <c r="P15" i="1"/>
  <c r="P17" i="1"/>
  <c r="P10" i="1"/>
  <c r="P13" i="1"/>
  <c r="P8" i="1"/>
  <c r="P11" i="1"/>
  <c r="P12" i="1"/>
  <c r="C5" i="1"/>
  <c r="R10" i="1"/>
  <c r="G16" i="1"/>
  <c r="V16" i="1"/>
  <c r="R8" i="1"/>
  <c r="R7" i="1"/>
  <c r="G19" i="1"/>
  <c r="R13" i="1"/>
  <c r="R12" i="1"/>
  <c r="R17" i="1"/>
  <c r="R14" i="1"/>
  <c r="R15" i="1"/>
  <c r="V19" i="1"/>
  <c r="R11" i="1"/>
  <c r="P16" i="1" l="1"/>
  <c r="I18" i="1"/>
  <c r="P19" i="1"/>
  <c r="I21" i="1"/>
  <c r="T13" i="1"/>
  <c r="T11" i="1"/>
  <c r="T12" i="1"/>
  <c r="T10" i="1"/>
  <c r="T7" i="1"/>
  <c r="T17" i="1"/>
  <c r="T14" i="1"/>
  <c r="T8" i="1"/>
  <c r="T15" i="1"/>
  <c r="D8" i="1"/>
  <c r="D7" i="1"/>
  <c r="D11" i="1"/>
  <c r="D19" i="1"/>
  <c r="D12" i="1"/>
  <c r="D20" i="1"/>
  <c r="D15" i="1"/>
  <c r="D23" i="1"/>
  <c r="D16" i="1"/>
  <c r="D24" i="1"/>
  <c r="D22" i="1"/>
  <c r="D21" i="1"/>
  <c r="D18" i="1"/>
  <c r="D17" i="1"/>
  <c r="D13" i="1"/>
  <c r="D14" i="1"/>
  <c r="D10" i="1"/>
  <c r="D9" i="1"/>
  <c r="D6" i="1"/>
  <c r="CI7" i="1"/>
  <c r="CI6" i="1"/>
  <c r="DH19" i="1"/>
  <c r="AD22" i="1"/>
  <c r="DH18" i="1"/>
  <c r="AF7" i="1"/>
  <c r="AF21" i="1"/>
  <c r="AF19" i="1"/>
  <c r="DH15" i="1"/>
  <c r="AD23" i="1"/>
  <c r="AF12" i="1"/>
  <c r="G21" i="1"/>
  <c r="V21" i="1"/>
  <c r="AF20" i="1"/>
  <c r="AD11" i="1"/>
  <c r="AD24" i="1"/>
  <c r="AD21" i="1"/>
  <c r="AD19" i="1"/>
  <c r="AF22" i="1"/>
  <c r="AF9" i="1"/>
  <c r="DH20" i="1"/>
  <c r="AD10" i="1"/>
  <c r="AF24" i="1"/>
  <c r="AD18" i="1"/>
  <c r="AF8" i="1"/>
  <c r="AF10" i="1"/>
  <c r="AF11" i="1"/>
  <c r="AD12" i="1"/>
  <c r="AF13" i="1"/>
  <c r="AD13" i="1"/>
  <c r="AD15" i="1"/>
  <c r="R19" i="1"/>
  <c r="AD8" i="1"/>
  <c r="AF23" i="1"/>
  <c r="AF14" i="1"/>
  <c r="AD9" i="1"/>
  <c r="AF18" i="1"/>
  <c r="DH14" i="1"/>
  <c r="DH16" i="1"/>
  <c r="R16" i="1"/>
  <c r="DH17" i="1"/>
  <c r="AD16" i="1"/>
  <c r="AD20" i="1"/>
  <c r="AF16" i="1"/>
  <c r="AD14" i="1"/>
  <c r="AD7" i="1"/>
  <c r="AF17" i="1"/>
  <c r="AD17" i="1"/>
  <c r="AF15" i="1"/>
  <c r="T16" i="1" l="1"/>
  <c r="T19" i="1"/>
  <c r="P21" i="1"/>
  <c r="I23" i="1"/>
  <c r="AE7" i="1"/>
  <c r="AE11" i="1"/>
  <c r="AE23" i="1"/>
  <c r="AE21" i="1"/>
  <c r="AE14" i="1"/>
  <c r="AE8" i="1"/>
  <c r="AE17" i="1"/>
  <c r="AE22" i="1"/>
  <c r="AE10" i="1"/>
  <c r="AE13" i="1"/>
  <c r="AE19" i="1"/>
  <c r="AE18" i="1"/>
  <c r="AE20" i="1"/>
  <c r="AE15" i="1"/>
  <c r="AE9" i="1"/>
  <c r="AE24" i="1"/>
  <c r="AE16" i="1"/>
  <c r="AE12" i="1"/>
  <c r="CI8" i="1"/>
  <c r="G23" i="1"/>
  <c r="G18" i="1"/>
  <c r="V23" i="1"/>
  <c r="DG14" i="1"/>
  <c r="V18" i="1"/>
  <c r="R21" i="1"/>
  <c r="T21" i="1" l="1"/>
  <c r="P18" i="1"/>
  <c r="DD19" i="1"/>
  <c r="I20" i="1"/>
  <c r="P23" i="1"/>
  <c r="DF14" i="1"/>
  <c r="DF15" i="1"/>
  <c r="DF16" i="1"/>
  <c r="DF17" i="1"/>
  <c r="DF18" i="1"/>
  <c r="R23" i="1"/>
  <c r="DE19" i="1"/>
  <c r="G20" i="1"/>
  <c r="V20" i="1"/>
  <c r="R18" i="1"/>
  <c r="DG19" i="1"/>
  <c r="T23" i="1" l="1"/>
  <c r="T18" i="1"/>
  <c r="P20" i="1"/>
  <c r="DF19" i="1"/>
  <c r="I22" i="1"/>
  <c r="G22" i="1"/>
  <c r="R20" i="1"/>
  <c r="V22" i="1"/>
  <c r="T20" i="1" l="1"/>
  <c r="P22" i="1"/>
  <c r="I24" i="1"/>
  <c r="V24" i="1"/>
  <c r="R22" i="1"/>
  <c r="G24" i="1"/>
  <c r="T22" i="1" l="1"/>
  <c r="P24" i="1"/>
  <c r="DD20" i="1"/>
  <c r="DG20" i="1"/>
  <c r="DE20" i="1"/>
  <c r="R24" i="1"/>
  <c r="T24" i="1" l="1"/>
  <c r="DF20" i="1"/>
</calcChain>
</file>

<file path=xl/sharedStrings.xml><?xml version="1.0" encoding="utf-8"?>
<sst xmlns="http://schemas.openxmlformats.org/spreadsheetml/2006/main" count="427" uniqueCount="262">
  <si>
    <t>AUDCHF</t>
  </si>
  <si>
    <t>AUDUSD</t>
  </si>
  <si>
    <t>CADCHF</t>
  </si>
  <si>
    <t>DKKCHF</t>
  </si>
  <si>
    <t>EURAUD</t>
  </si>
  <si>
    <t>EURCAD</t>
  </si>
  <si>
    <t>EURCHF</t>
  </si>
  <si>
    <t>EURCZK</t>
  </si>
  <si>
    <t>EURDKK</t>
  </si>
  <si>
    <t>EURGBP</t>
  </si>
  <si>
    <t>EURHKD</t>
  </si>
  <si>
    <t>EURJPY</t>
  </si>
  <si>
    <t>EURKWD</t>
  </si>
  <si>
    <t>EURNOK</t>
  </si>
  <si>
    <t>EURNZD</t>
  </si>
  <si>
    <t>EURPLN</t>
  </si>
  <si>
    <t>EURSAR</t>
  </si>
  <si>
    <t>EURSEK</t>
  </si>
  <si>
    <t>EURSGD</t>
  </si>
  <si>
    <t>EURUSD</t>
  </si>
  <si>
    <t>EURZAR</t>
  </si>
  <si>
    <t>GBPAUD</t>
  </si>
  <si>
    <t>GBPCAD</t>
  </si>
  <si>
    <t>GBPCHF</t>
  </si>
  <si>
    <t>GBPDKK</t>
  </si>
  <si>
    <t>GBPHKD</t>
  </si>
  <si>
    <t>GBPJPY</t>
  </si>
  <si>
    <t>GBPNOK</t>
  </si>
  <si>
    <t>GBPNZD</t>
  </si>
  <si>
    <t>GBPSAR</t>
  </si>
  <si>
    <t>GBPSEK</t>
  </si>
  <si>
    <t>GBPSGD</t>
  </si>
  <si>
    <t>GBPTHB</t>
  </si>
  <si>
    <t>GBPUSD</t>
  </si>
  <si>
    <t>GBPZAR</t>
  </si>
  <si>
    <t>JPYCHF</t>
  </si>
  <si>
    <t>NOKCHF</t>
  </si>
  <si>
    <t>NZDUSD</t>
  </si>
  <si>
    <t>SEKCHF</t>
  </si>
  <si>
    <t>USDAED</t>
  </si>
  <si>
    <t>USDAUD</t>
  </si>
  <si>
    <t>USDBHD</t>
  </si>
  <si>
    <t>USDCAD</t>
  </si>
  <si>
    <t>USDCHF</t>
  </si>
  <si>
    <t>USDCNH</t>
  </si>
  <si>
    <t>USDCNY</t>
  </si>
  <si>
    <t>USDCZK</t>
  </si>
  <si>
    <t>USDDKK</t>
  </si>
  <si>
    <t>USDEUR</t>
  </si>
  <si>
    <t>USDGBP</t>
  </si>
  <si>
    <t>USDHKD</t>
  </si>
  <si>
    <t>USDINR</t>
  </si>
  <si>
    <t>USDJPY</t>
  </si>
  <si>
    <t>USDKWD</t>
  </si>
  <si>
    <t>USDMAD</t>
  </si>
  <si>
    <t>USDNOK</t>
  </si>
  <si>
    <t>USDNZD</t>
  </si>
  <si>
    <t>USDPLN</t>
  </si>
  <si>
    <t>USDQAR</t>
  </si>
  <si>
    <t>USDSAR</t>
  </si>
  <si>
    <t>USDSDD</t>
  </si>
  <si>
    <t>USDSEK</t>
  </si>
  <si>
    <t>USDSGD</t>
  </si>
  <si>
    <t>USDTHB</t>
  </si>
  <si>
    <t>USDZAR</t>
  </si>
  <si>
    <t>ON</t>
  </si>
  <si>
    <t>TN</t>
  </si>
  <si>
    <t>SN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</si>
  <si>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</si>
  <si>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</si>
  <si>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</si>
  <si>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</si>
  <si>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</si>
  <si>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</si>
  <si>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</si>
  <si>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</si>
  <si>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</si>
  <si>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</si>
  <si>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</si>
  <si>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</si>
  <si>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</si>
  <si>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</si>
  <si>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</si>
  <si>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2Y</t>
  </si>
  <si>
    <t>3Y</t>
  </si>
  <si>
    <t>4Y</t>
  </si>
  <si>
    <t>5Y</t>
  </si>
  <si>
    <t>7Y</t>
  </si>
  <si>
    <t>10Y</t>
  </si>
  <si>
    <t>매입</t>
    <phoneticPr fontId="2" type="noConversion"/>
  </si>
  <si>
    <t>매도</t>
    <phoneticPr fontId="2" type="noConversion"/>
  </si>
  <si>
    <t>현재가</t>
    <phoneticPr fontId="2" type="noConversion"/>
  </si>
  <si>
    <t>일자</t>
    <phoneticPr fontId="2" type="noConversion"/>
  </si>
  <si>
    <t>S매입종가</t>
    <phoneticPr fontId="2" type="noConversion"/>
  </si>
  <si>
    <t>S매도종가</t>
    <phoneticPr fontId="2" type="noConversion"/>
  </si>
  <si>
    <t>한국종가</t>
    <phoneticPr fontId="2" type="noConversion"/>
  </si>
  <si>
    <t>BID</t>
    <phoneticPr fontId="2" type="noConversion"/>
  </si>
  <si>
    <t>MID</t>
    <phoneticPr fontId="2" type="noConversion"/>
  </si>
  <si>
    <t>ASK</t>
    <phoneticPr fontId="2" type="noConversion"/>
  </si>
  <si>
    <t>기물</t>
    <phoneticPr fontId="2" type="noConversion"/>
  </si>
  <si>
    <t>12M</t>
    <phoneticPr fontId="2" type="noConversion"/>
  </si>
  <si>
    <t>01W</t>
    <phoneticPr fontId="2" type="noConversion"/>
  </si>
  <si>
    <t>01M</t>
    <phoneticPr fontId="2" type="noConversion"/>
  </si>
  <si>
    <t>02M</t>
    <phoneticPr fontId="2" type="noConversion"/>
  </si>
  <si>
    <t>03M</t>
    <phoneticPr fontId="2" type="noConversion"/>
  </si>
  <si>
    <t>06M</t>
    <phoneticPr fontId="2" type="noConversion"/>
  </si>
  <si>
    <t>02W</t>
    <phoneticPr fontId="2" type="noConversion"/>
  </si>
  <si>
    <t>03W</t>
    <phoneticPr fontId="2" type="noConversion"/>
  </si>
  <si>
    <t>04M</t>
    <phoneticPr fontId="2" type="noConversion"/>
  </si>
  <si>
    <t>05M</t>
    <phoneticPr fontId="2" type="noConversion"/>
  </si>
  <si>
    <t>07M</t>
    <phoneticPr fontId="2" type="noConversion"/>
  </si>
  <si>
    <t>08M</t>
    <phoneticPr fontId="2" type="noConversion"/>
  </si>
  <si>
    <t>09M</t>
    <phoneticPr fontId="2" type="noConversion"/>
  </si>
  <si>
    <t>USD</t>
  </si>
  <si>
    <t>EUR</t>
  </si>
  <si>
    <t>GBP</t>
  </si>
  <si>
    <t>AED</t>
  </si>
  <si>
    <t>AUD</t>
  </si>
  <si>
    <t>BHD</t>
  </si>
  <si>
    <t>CAD</t>
  </si>
  <si>
    <t>CHF</t>
  </si>
  <si>
    <t>CNH</t>
  </si>
  <si>
    <t>CNY</t>
  </si>
  <si>
    <t>DKK</t>
  </si>
  <si>
    <t>HKD</t>
  </si>
  <si>
    <t>INR</t>
  </si>
  <si>
    <t>JPY</t>
  </si>
  <si>
    <t>KWD</t>
  </si>
  <si>
    <t>MAD</t>
  </si>
  <si>
    <t>NOK</t>
  </si>
  <si>
    <t>NZD</t>
  </si>
  <si>
    <t>QAR</t>
  </si>
  <si>
    <t>SAR</t>
  </si>
  <si>
    <t>SEK</t>
  </si>
  <si>
    <t>SGD</t>
  </si>
  <si>
    <t>THB</t>
  </si>
  <si>
    <t>ZAR</t>
  </si>
  <si>
    <t>CZK</t>
  </si>
  <si>
    <t>PLN</t>
  </si>
  <si>
    <t>09M</t>
    <phoneticPr fontId="2" type="noConversion"/>
  </si>
  <si>
    <t>10M</t>
    <phoneticPr fontId="2" type="noConversion"/>
  </si>
  <si>
    <t>11M</t>
    <phoneticPr fontId="2" type="noConversion"/>
  </si>
  <si>
    <t>12M</t>
    <phoneticPr fontId="2" type="noConversion"/>
  </si>
  <si>
    <t>2Y</t>
    <phoneticPr fontId="2" type="noConversion"/>
  </si>
  <si>
    <t>3Y</t>
    <phoneticPr fontId="2" type="noConversion"/>
  </si>
  <si>
    <t>4Y</t>
    <phoneticPr fontId="2" type="noConversion"/>
  </si>
  <si>
    <t>Forward</t>
  </si>
  <si>
    <t>Forward</t>
    <phoneticPr fontId="2" type="noConversion"/>
  </si>
  <si>
    <t>SwapPoint</t>
  </si>
  <si>
    <t>SwapPoint</t>
    <phoneticPr fontId="2" type="noConversion"/>
  </si>
  <si>
    <t>BID</t>
    <phoneticPr fontId="2" type="noConversion"/>
  </si>
  <si>
    <t>ASK</t>
    <phoneticPr fontId="2" type="noConversion"/>
  </si>
  <si>
    <t>기물</t>
    <phoneticPr fontId="2" type="noConversion"/>
  </si>
  <si>
    <t>Open</t>
    <phoneticPr fontId="2" type="noConversion"/>
  </si>
  <si>
    <t>High</t>
    <phoneticPr fontId="2" type="noConversion"/>
  </si>
  <si>
    <t>Low</t>
    <phoneticPr fontId="2" type="noConversion"/>
  </si>
  <si>
    <t>SwapPoint Bid</t>
    <phoneticPr fontId="2" type="noConversion"/>
  </si>
  <si>
    <t>SwapPoint Ask</t>
    <phoneticPr fontId="2" type="noConversion"/>
  </si>
  <si>
    <t>BID</t>
    <phoneticPr fontId="2" type="noConversion"/>
  </si>
  <si>
    <t>MID</t>
    <phoneticPr fontId="2" type="noConversion"/>
  </si>
  <si>
    <t>ASK</t>
    <phoneticPr fontId="2" type="noConversion"/>
  </si>
  <si>
    <t>SPOT</t>
    <phoneticPr fontId="2" type="noConversion"/>
  </si>
  <si>
    <t>일자</t>
  </si>
  <si>
    <t>ON</t>
    <phoneticPr fontId="2" type="noConversion"/>
  </si>
  <si>
    <t>CODE</t>
    <phoneticPr fontId="2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</si>
  <si>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</si>
  <si>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</si>
  <si>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</si>
  <si>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</si>
  <si>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</si>
  <si>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</si>
  <si>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</si>
  <si>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</si>
  <si>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</si>
  <si>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</si>
  <si>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SPOT</t>
    <phoneticPr fontId="2" type="noConversion"/>
  </si>
  <si>
    <t>기물/통화</t>
    <phoneticPr fontId="2" type="noConversion"/>
  </si>
  <si>
    <t>BID</t>
    <phoneticPr fontId="2" type="noConversion"/>
  </si>
  <si>
    <t>ASK</t>
    <phoneticPr fontId="2" type="noConversion"/>
  </si>
  <si>
    <t>MID</t>
    <phoneticPr fontId="2" type="noConversion"/>
  </si>
  <si>
    <t>SPOT</t>
    <phoneticPr fontId="2" type="noConversion"/>
  </si>
  <si>
    <t>FX Forward &amp; SwapPoint</t>
    <phoneticPr fontId="2" type="noConversion"/>
  </si>
  <si>
    <t>y</t>
    <phoneticPr fontId="2" type="noConversion"/>
  </si>
  <si>
    <t>KRW</t>
    <phoneticPr fontId="2" type="noConversion"/>
  </si>
  <si>
    <t>01W</t>
  </si>
  <si>
    <t>01M</t>
  </si>
  <si>
    <t>02M</t>
  </si>
  <si>
    <t>02W</t>
  </si>
  <si>
    <t>03W</t>
  </si>
  <si>
    <t>03M</t>
  </si>
  <si>
    <t>04M</t>
  </si>
  <si>
    <t>05M</t>
  </si>
  <si>
    <t>06M</t>
  </si>
  <si>
    <t>07M</t>
  </si>
  <si>
    <t>08M</t>
  </si>
  <si>
    <t>09M</t>
  </si>
  <si>
    <t>1W</t>
    <phoneticPr fontId="2" type="noConversion"/>
  </si>
  <si>
    <t>2W</t>
    <phoneticPr fontId="2" type="noConversion"/>
  </si>
  <si>
    <t>3W</t>
    <phoneticPr fontId="2" type="noConversion"/>
  </si>
  <si>
    <t>1M</t>
    <phoneticPr fontId="2" type="noConversion"/>
  </si>
  <si>
    <t>2M</t>
    <phoneticPr fontId="2" type="noConversion"/>
  </si>
  <si>
    <t>3M</t>
    <phoneticPr fontId="2" type="noConversion"/>
  </si>
  <si>
    <t>4M</t>
    <phoneticPr fontId="2" type="noConversion"/>
  </si>
  <si>
    <t>5M</t>
    <phoneticPr fontId="2" type="noConversion"/>
  </si>
  <si>
    <t>6M</t>
    <phoneticPr fontId="2" type="noConversion"/>
  </si>
  <si>
    <t>7M</t>
    <phoneticPr fontId="2" type="noConversion"/>
  </si>
  <si>
    <t>8M</t>
    <phoneticPr fontId="2" type="noConversion"/>
  </si>
  <si>
    <t>9M</t>
    <phoneticPr fontId="2" type="noConversion"/>
  </si>
  <si>
    <t>1Y</t>
    <phoneticPr fontId="2" type="noConversion"/>
  </si>
  <si>
    <t>SGD</t>
    <phoneticPr fontId="2" type="noConversion"/>
  </si>
  <si>
    <t>`1111111111111111111111111111111</t>
    <phoneticPr fontId="2" type="noConversion"/>
  </si>
  <si>
    <t>CHF</t>
    <phoneticPr fontId="2" type="noConversion"/>
  </si>
  <si>
    <t>시간</t>
    <phoneticPr fontId="2" type="noConversion"/>
  </si>
  <si>
    <t>USDKRW</t>
    <phoneticPr fontId="2" type="noConversion"/>
  </si>
  <si>
    <t>TN</t>
    <phoneticPr fontId="2" type="noConversion"/>
  </si>
  <si>
    <t>USDSP_SMBCC</t>
    <phoneticPr fontId="2" type="noConversion"/>
  </si>
  <si>
    <t>1W</t>
    <phoneticPr fontId="2" type="noConversion"/>
  </si>
  <si>
    <t>1M</t>
    <phoneticPr fontId="2" type="noConversion"/>
  </si>
  <si>
    <t>2M</t>
    <phoneticPr fontId="2" type="noConversion"/>
  </si>
  <si>
    <t>3M</t>
    <phoneticPr fontId="2" type="noConversion"/>
  </si>
  <si>
    <t>6M</t>
    <phoneticPr fontId="2" type="noConversion"/>
  </si>
  <si>
    <t>1Y</t>
    <phoneticPr fontId="2" type="noConversion"/>
  </si>
  <si>
    <t>매수호가</t>
    <phoneticPr fontId="2" type="noConversion"/>
  </si>
  <si>
    <t>매도호가</t>
    <phoneticPr fontId="2" type="noConversion"/>
  </si>
  <si>
    <t>MID</t>
    <phoneticPr fontId="2" type="noConversion"/>
  </si>
  <si>
    <t>USDSP_SMBCC</t>
  </si>
  <si>
    <t>US</t>
    <phoneticPr fontId="2" type="noConversion"/>
  </si>
  <si>
    <t>AU</t>
    <phoneticPr fontId="2" type="noConversion"/>
  </si>
  <si>
    <t>CA</t>
    <phoneticPr fontId="2" type="noConversion"/>
  </si>
  <si>
    <t>DK</t>
    <phoneticPr fontId="2" type="noConversion"/>
  </si>
  <si>
    <t>EU</t>
    <phoneticPr fontId="2" type="noConversion"/>
  </si>
  <si>
    <t>GB</t>
    <phoneticPr fontId="2" type="noConversion"/>
  </si>
  <si>
    <t>JP</t>
    <phoneticPr fontId="2" type="noConversion"/>
  </si>
  <si>
    <t>NO</t>
    <phoneticPr fontId="2" type="noConversion"/>
  </si>
  <si>
    <t>NZ</t>
    <phoneticPr fontId="2" type="noConversion"/>
  </si>
  <si>
    <t>SE</t>
    <phoneticPr fontId="2" type="noConversion"/>
  </si>
  <si>
    <t>AE</t>
    <phoneticPr fontId="2" type="noConversion"/>
  </si>
  <si>
    <t>CH</t>
    <phoneticPr fontId="2" type="noConversion"/>
  </si>
  <si>
    <t>CN</t>
    <phoneticPr fontId="2" type="noConversion"/>
  </si>
  <si>
    <t>CZ</t>
    <phoneticPr fontId="2" type="noConversion"/>
  </si>
  <si>
    <t>DK</t>
    <phoneticPr fontId="2" type="noConversion"/>
  </si>
  <si>
    <t>HK</t>
    <phoneticPr fontId="2" type="noConversion"/>
  </si>
  <si>
    <t>IN</t>
    <phoneticPr fontId="2" type="noConversion"/>
  </si>
  <si>
    <t>JP</t>
    <phoneticPr fontId="2" type="noConversion"/>
  </si>
  <si>
    <t>KR</t>
    <phoneticPr fontId="2" type="noConversion"/>
  </si>
  <si>
    <t>KW</t>
    <phoneticPr fontId="2" type="noConversion"/>
  </si>
  <si>
    <t>BH</t>
    <phoneticPr fontId="2" type="noConversion"/>
  </si>
  <si>
    <t>MA</t>
    <phoneticPr fontId="2" type="noConversion"/>
  </si>
  <si>
    <t>PL</t>
    <phoneticPr fontId="2" type="noConversion"/>
  </si>
  <si>
    <t>QA</t>
    <phoneticPr fontId="2" type="noConversion"/>
  </si>
  <si>
    <t>SA</t>
    <phoneticPr fontId="2" type="noConversion"/>
  </si>
  <si>
    <t>SE</t>
    <phoneticPr fontId="2" type="noConversion"/>
  </si>
  <si>
    <t>SG</t>
    <phoneticPr fontId="2" type="noConversion"/>
  </si>
  <si>
    <t>TH</t>
    <phoneticPr fontId="2" type="noConversion"/>
  </si>
  <si>
    <t>US</t>
    <phoneticPr fontId="2" type="noConversion"/>
  </si>
  <si>
    <t>ZA</t>
    <phoneticPr fontId="2" type="noConversion"/>
  </si>
  <si>
    <t>CN|HK</t>
    <phoneticPr fontId="2" type="noConversion"/>
  </si>
  <si>
    <t>일자</t>
    <phoneticPr fontId="2" type="noConversion"/>
  </si>
  <si>
    <t>결제일</t>
    <phoneticPr fontId="2" type="noConversion"/>
  </si>
  <si>
    <t>US FX holi</t>
    <phoneticPr fontId="2" type="noConversion"/>
  </si>
  <si>
    <t>시작일</t>
    <phoneticPr fontId="2" type="noConversion"/>
  </si>
  <si>
    <t>US_CHECK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</si>
</sst>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14" x14ac:knownFonts="1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2"/>
      <charset val="129"/>
    </font>
    <font>
      <b/>
      <sz val="10"/>
      <color theme="1"/>
      <name val="돋움"/>
      <family val="3"/>
      <charset val="129"/>
    </font>
    <font>
      <b/>
      <sz val="11"/>
      <color theme="0"/>
      <name val="돋움"/>
      <family val="3"/>
      <charset val="129"/>
    </font>
    <font>
      <b/>
      <sz val="10"/>
      <color theme="0"/>
      <name val="돋움"/>
      <family val="3"/>
      <charset val="129"/>
    </font>
    <font>
      <b/>
      <sz val="9"/>
      <color theme="0"/>
      <name val="돋움"/>
      <family val="3"/>
      <charset val="129"/>
    </font>
    <font>
      <b/>
      <sz val="10"/>
      <color theme="1" tint="0.14999847407452621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theme="0" tint="-0.14999847407452621"/>
      <name val="돋움"/>
      <family val="2"/>
      <charset val="129"/>
    </font>
    <font>
      <sz val="10"/>
      <color rgb="FFFF0000"/>
      <name val="돋움"/>
      <family val="2"/>
      <charset val="129"/>
    </font>
    <font>
      <sz val="10"/>
      <color rgb="FFFF0000"/>
      <name val="돋움"/>
      <family val="3"/>
      <charset val="129"/>
    </font>
    <font>
      <sz val="8"/>
      <color theme="1"/>
      <name val="돋움"/>
      <family val="2"/>
      <charset val="129"/>
    </font>
    <font>
      <sz val="8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4" tint="-0.25098422193060094"/>
        </stop>
      </gradient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3" fillId="3" borderId="3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5" fillId="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>
      <alignment vertical="center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9" xfId="0" applyNumberFormat="1" applyBorder="1" applyAlignment="1">
      <alignment horizontal="right" vertical="center"/>
    </xf>
    <xf numFmtId="176" fontId="0" fillId="0" borderId="17" xfId="0" applyNumberFormat="1" applyBorder="1" applyAlignment="1">
      <alignment horizontal="right" vertical="center"/>
    </xf>
    <xf numFmtId="176" fontId="0" fillId="0" borderId="22" xfId="0" applyNumberFormat="1" applyBorder="1" applyAlignment="1">
      <alignment horizontal="right" vertical="center"/>
    </xf>
    <xf numFmtId="14" fontId="0" fillId="0" borderId="0" xfId="0" applyNumberFormat="1">
      <alignment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13" fillId="0" borderId="0" xfId="1" applyNumberFormat="1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366FF"/>
      <color rgb="FFFF9933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1190</v>
        <stp/>
        <stp>P</stp>
        <stp>0</stp>
        <stp>FX</stp>
        <stp>USDSP_SMBCC</stp>
        <stp>현재가</stp>
        <stp/>
        <stp/>
        <tr r="AG7" s="1"/>
      </tp>
      <tp>
        <v>1.10683</v>
        <stp/>
        <stp>P</stp>
        <stp>0</stp>
        <stp>FX</stp>
        <stp>EURUSDTN</stp>
        <stp>AskForward</stp>
        <stp/>
        <stp/>
        <tr r="U8" s="1"/>
      </tp>
      <tp>
        <v>119.67</v>
        <stp/>
        <stp>P</stp>
        <stp>0</stp>
        <stp>FX</stp>
        <stp>EURJPY</stp>
        <stp>현재가</stp>
        <stp/>
        <stp/>
        <tr r="AG17" s="1"/>
      </tp>
      <tp>
        <v>1.1068499999999999</v>
        <stp/>
        <stp>P</stp>
        <stp>0</stp>
        <stp>FX</stp>
        <stp>EURUSDON</stp>
        <stp>BidForward</stp>
        <stp/>
        <stp/>
        <tr r="Q7" s="1"/>
      </tp>
      <tp>
        <v>1.1069100000000001</v>
        <stp/>
        <stp>P</stp>
        <stp>0</stp>
        <stp>FX</stp>
        <stp>EURUSDSN</stp>
        <stp>AskForward</stp>
        <stp/>
        <stp/>
        <tr r="U9" s="1"/>
      </tp>
      <tp>
        <v>8.43</v>
        <stp/>
        <stp>P</stp>
        <stp>0</stp>
        <stp>FX</stp>
        <stp>GBPDKK</stp>
        <stp>현재가</stp>
        <stp/>
        <stp/>
        <tr r="AG18" s="1"/>
      </tp>
      <tp>
        <v>0.88566</v>
        <stp/>
        <stp>P</stp>
        <stp>0</stp>
        <stp>FX</stp>
        <stp>EURGBP</stp>
        <stp>현재가</stp>
        <stp/>
        <stp/>
        <tr r="AG15" s="1"/>
        <tr r="AG12" s="1"/>
      </tp>
      <tp>
        <v>0.90280000000000005</v>
        <stp/>
        <stp>P</stp>
        <stp>0</stp>
        <stp>FX</stp>
        <stp>USDEUR</stp>
        <stp>현재가</stp>
        <stp/>
        <stp/>
        <tr r="AG9" s="1"/>
      </tp>
      <tp>
        <v>7.4672999999999998</v>
        <stp/>
        <stp>P</stp>
        <stp>0</stp>
        <stp>FX</stp>
        <stp>EURDKK</stp>
        <stp>현재가</stp>
        <stp/>
        <stp/>
        <tr r="AG14" s="1"/>
      </tp>
      <tp>
        <v>9.8774999999999995</v>
        <stp/>
        <stp>P</stp>
        <stp>0</stp>
        <stp>FX</stp>
        <stp>EURNOK</stp>
        <stp>현재가</stp>
        <stp/>
        <stp/>
        <tr r="AG19" s="1"/>
      </tp>
      <tp>
        <v>104639</v>
        <stp/>
        <stp>P</stp>
        <stp>0</stp>
        <stp>FX</stp>
        <stp>EURUSD09M</stp>
        <stp>시간</stp>
        <stp/>
        <stp/>
        <tr r="G21" s="1"/>
      </tp>
      <tp>
        <v>104637</v>
        <stp/>
        <stp>P</stp>
        <stp>0</stp>
        <stp>FX</stp>
        <stp>EURUSD08M</stp>
        <stp>시간</stp>
        <stp/>
        <stp/>
        <tr r="G20" s="1"/>
      </tp>
      <tp>
        <v>4.3346999999999998</v>
        <stp/>
        <stp>P</stp>
        <stp>0</stp>
        <stp>FX</stp>
        <stp>EURPLN</stp>
        <stp>현재가</stp>
        <stp/>
        <stp/>
        <tr r="AG21" s="1"/>
      </tp>
      <tp>
        <v>104637</v>
        <stp/>
        <stp>P</stp>
        <stp>0</stp>
        <stp>FX</stp>
        <stp>EURUSD03W</stp>
        <stp>시간</stp>
        <stp/>
        <stp/>
        <tr r="G12" s="1"/>
      </tp>
      <tp>
        <v>104638</v>
        <stp/>
        <stp>P</stp>
        <stp>0</stp>
        <stp>FX</stp>
        <stp>EURUSD03M</stp>
        <stp>시간</stp>
        <stp/>
        <stp/>
        <tr r="G15" s="1"/>
      </tp>
      <tp>
        <v>1.10677</v>
        <stp/>
        <stp>P</stp>
        <stp>0</stp>
        <stp>FX</stp>
        <stp>EURUSDTN</stp>
        <stp>BidForward</stp>
        <stp/>
        <stp/>
        <tr r="Q8" s="1"/>
      </tp>
      <tp>
        <v>104628</v>
        <stp/>
        <stp>P</stp>
        <stp>0</stp>
        <stp>FX</stp>
        <stp>EURUSD02W</stp>
        <stp>시간</stp>
        <stp/>
        <stp/>
        <tr r="G11" s="1"/>
      </tp>
      <tp>
        <v>104640</v>
        <stp/>
        <stp>P</stp>
        <stp>0</stp>
        <stp>FX</stp>
        <stp>EURUSD12M</stp>
        <stp>시간</stp>
        <stp/>
        <stp/>
        <tr r="G24" s="1"/>
      </tp>
      <tp>
        <v>104555</v>
        <stp/>
        <stp>P</stp>
        <stp>0</stp>
        <stp>FX</stp>
        <stp>EURUSD02M</stp>
        <stp>시간</stp>
        <stp/>
        <stp/>
        <tr r="G14" s="1"/>
      </tp>
      <tp>
        <v>1.1068800000000001</v>
        <stp/>
        <stp>P</stp>
        <stp>0</stp>
        <stp>FX</stp>
        <stp>EURUSDON</stp>
        <stp>AskForward</stp>
        <stp/>
        <stp/>
        <tr r="U7" s="1"/>
      </tp>
      <tp>
        <v>1.456</v>
        <stp/>
        <stp>P</stp>
        <stp>0</stp>
        <stp>FX</stp>
        <stp>USDAUD</stp>
        <stp>현재가</stp>
        <stp/>
        <stp/>
        <tr r="AG8" s="1"/>
      </tp>
      <tp>
        <v>104500</v>
        <stp/>
        <stp>P</stp>
        <stp>0</stp>
        <stp>FX</stp>
        <stp>EURUSD01W</stp>
        <stp>시간</stp>
        <stp/>
        <stp/>
        <tr r="G10" s="1"/>
      </tp>
      <tp>
        <v>104640</v>
        <stp/>
        <stp>P</stp>
        <stp>0</stp>
        <stp>FX</stp>
        <stp>EURUSD11M</stp>
        <stp>시간</stp>
        <stp/>
        <stp/>
        <tr r="G23" s="1"/>
      </tp>
      <tp>
        <v>104618</v>
        <stp/>
        <stp>P</stp>
        <stp>0</stp>
        <stp>FX</stp>
        <stp>EURUSD01M</stp>
        <stp>시간</stp>
        <stp/>
        <stp/>
        <tr r="G13" s="1"/>
      </tp>
      <tp>
        <v>104637</v>
        <stp/>
        <stp>P</stp>
        <stp>0</stp>
        <stp>FX</stp>
        <stp>EURUSD10M</stp>
        <stp>시간</stp>
        <stp/>
        <stp/>
        <tr r="G22" s="1"/>
      </tp>
      <tp>
        <v>104631</v>
        <stp/>
        <stp>P</stp>
        <stp>0</stp>
        <stp>FX</stp>
        <stp>EURUSD07M</stp>
        <stp>시간</stp>
        <stp/>
        <stp/>
        <tr r="G19" s="1"/>
      </tp>
      <tp>
        <v>104638</v>
        <stp/>
        <stp>P</stp>
        <stp>0</stp>
        <stp>FX</stp>
        <stp>EURUSD06M</stp>
        <stp>시간</stp>
        <stp/>
        <stp/>
        <tr r="G18" s="1"/>
      </tp>
      <tp>
        <v>1.09941</v>
        <stp/>
        <stp>P</stp>
        <stp>0</stp>
        <stp>FX</stp>
        <stp>EURCHF</stp>
        <stp>현재가</stp>
        <stp/>
        <stp/>
        <tr r="AG13" s="1"/>
      </tp>
      <tp>
        <v>104626</v>
        <stp/>
        <stp>P</stp>
        <stp>0</stp>
        <stp>FX</stp>
        <stp>EURUSD05M</stp>
        <stp>시간</stp>
        <stp/>
        <stp/>
        <tr r="G17" s="1"/>
      </tp>
      <tp>
        <v>104628</v>
        <stp/>
        <stp>P</stp>
        <stp>0</stp>
        <stp>FX</stp>
        <stp>EURUSD04M</stp>
        <stp>시간</stp>
        <stp/>
        <stp/>
        <tr r="G16" s="1"/>
      </tp>
      <tp>
        <v>1.1068800000000001</v>
        <stp/>
        <stp>P</stp>
        <stp>0</stp>
        <stp>FX</stp>
        <stp>EURUSDSN</stp>
        <stp>BidForward</stp>
        <stp/>
        <stp/>
        <tr r="Q9" s="1"/>
      </tp>
      <tp>
        <v>1.1070800000000001</v>
        <stp/>
        <stp>P</stp>
        <stp>0</stp>
        <stp>FX</stp>
        <stp>EURUSD</stp>
        <stp>현재가</stp>
        <stp/>
        <stp/>
        <tr r="AG23" s="1"/>
      </tp>
      <tp>
        <v>1.5208999999999999</v>
        <stp/>
        <stp>P</stp>
        <stp>0</stp>
        <stp>FX</stp>
        <stp>EURSGD</stp>
        <stp>현재가</stp>
        <stp/>
        <stp/>
        <tr r="AG22" s="1"/>
        <tr r="AG24" s="1"/>
      </tp>
      <tp>
        <v>1.46617</v>
        <stp/>
        <stp>P</stp>
        <stp>0</stp>
        <stp>FX</stp>
        <stp>EURCAD</stp>
        <stp>현재가</stp>
        <stp/>
        <stp/>
        <tr r="AG11" s="1"/>
      </tp>
      <tp>
        <v>1.6123000000000001</v>
        <stp/>
        <stp>P</stp>
        <stp>0</stp>
        <stp>FX</stp>
        <stp>EURAUD</stp>
        <stp>현재가</stp>
        <stp/>
        <stp/>
        <tr r="AG10" s="1"/>
      </tp>
      <tp>
        <v>1.74</v>
        <stp/>
        <stp>P</stp>
        <stp>0</stp>
        <stp>FX</stp>
        <stp>EURNZD</stp>
        <stp>현재가</stp>
        <stp/>
        <stp/>
        <tr r="AG20" s="1"/>
      </tp>
      <tp>
        <v>8.6613000000000007</v>
        <stp/>
        <stp>P</stp>
        <stp>0</stp>
        <stp>FX</stp>
        <stp>EURHKD</stp>
        <stp>현재가</stp>
        <stp/>
        <stp/>
        <tr r="AG16" s="1"/>
      </tp>
      <tp>
        <v>1.1306099999999999</v>
        <stp/>
        <stp>P</stp>
        <stp>0</stp>
        <stp>FX</stp>
        <stp>EURUSD10M</stp>
        <stp>BidForward</stp>
        <stp/>
        <stp/>
        <tr r="Q22" s="1"/>
      </tp>
      <tp>
        <v>1.10931</v>
        <stp/>
        <stp>P</stp>
        <stp>0</stp>
        <stp>FX</stp>
        <stp>EURUSD01M</stp>
        <stp>BidForward</stp>
        <stp/>
        <stp/>
        <tr r="Q13" s="1"/>
      </tp>
      <tp>
        <v>1.13283</v>
        <stp/>
        <stp>P</stp>
        <stp>0</stp>
        <stp>FX</stp>
        <stp>EURUSD11M</stp>
        <stp>BidForward</stp>
        <stp/>
        <stp/>
        <tr r="Q23" s="1"/>
      </tp>
      <tp>
        <v>1.1072500000000001</v>
        <stp/>
        <stp>P</stp>
        <stp>0</stp>
        <stp>FX</stp>
        <stp>EURUSD01W</stp>
        <stp>BidForward</stp>
        <stp/>
        <stp/>
        <tr r="Q10" s="1"/>
      </tp>
      <tp>
        <v>1.11172</v>
        <stp/>
        <stp>P</stp>
        <stp>0</stp>
        <stp>FX</stp>
        <stp>EURUSD02M</stp>
        <stp>BidForward</stp>
        <stp/>
        <stp/>
        <tr r="Q14" s="1"/>
      </tp>
      <tp>
        <v>1.1350100000000001</v>
        <stp/>
        <stp>P</stp>
        <stp>0</stp>
        <stp>FX</stp>
        <stp>EURUSD12M</stp>
        <stp>BidForward</stp>
        <stp/>
        <stp/>
        <tr r="Q24" s="1"/>
      </tp>
      <tp>
        <v>1.1078300000000001</v>
        <stp/>
        <stp>P</stp>
        <stp>0</stp>
        <stp>FX</stp>
        <stp>EURUSD02W</stp>
        <stp>BidForward</stp>
        <stp/>
        <stp/>
        <tr r="Q11" s="1"/>
      </tp>
      <tp>
        <v>1.1141000000000001</v>
        <stp/>
        <stp>P</stp>
        <stp>0</stp>
        <stp>FX</stp>
        <stp>EURUSD03M</stp>
        <stp>BidForward</stp>
        <stp/>
        <stp/>
        <tr r="Q15" s="1"/>
      </tp>
      <tp>
        <v>1.1085199999999999</v>
        <stp/>
        <stp>P</stp>
        <stp>0</stp>
        <stp>FX</stp>
        <stp>EURUSD03W</stp>
        <stp>BidForward</stp>
        <stp/>
        <stp/>
        <tr r="Q12" s="1"/>
      </tp>
      <tp>
        <v>104500</v>
        <stp/>
        <stp>P</stp>
        <stp>0</stp>
        <stp>FX</stp>
        <stp>EURUSDTN</stp>
        <stp>시간</stp>
        <stp/>
        <stp/>
        <tr r="G8" s="1"/>
      </tp>
      <tp>
        <v>1.11721</v>
        <stp/>
        <stp>P</stp>
        <stp>0</stp>
        <stp>FX</stp>
        <stp>EURUSD04M</stp>
        <stp>BidForward</stp>
        <stp/>
        <stp/>
        <tr r="Q16" s="1"/>
      </tp>
      <tp>
        <v>103500</v>
        <stp/>
        <stp>P</stp>
        <stp>0</stp>
        <stp>FX</stp>
        <stp>EURUSDSN</stp>
        <stp>시간</stp>
        <stp/>
        <stp/>
        <tr r="G9" s="1"/>
      </tp>
      <tp>
        <v>1.1193599999999999</v>
        <stp/>
        <stp>P</stp>
        <stp>0</stp>
        <stp>FX</stp>
        <stp>EURUSD05M</stp>
        <stp>BidForward</stp>
        <stp/>
        <stp/>
        <tr r="Q17" s="1"/>
      </tp>
      <tp>
        <v>1.1215200000000001</v>
        <stp/>
        <stp>P</stp>
        <stp>0</stp>
        <stp>FX</stp>
        <stp>EURUSD06M</stp>
        <stp>BidForward</stp>
        <stp/>
        <stp/>
        <tr r="Q18" s="1"/>
      </tp>
      <tp>
        <v>1.12402</v>
        <stp/>
        <stp>P</stp>
        <stp>0</stp>
        <stp>FX</stp>
        <stp>EURUSD07M</stp>
        <stp>BidForward</stp>
        <stp/>
        <stp/>
        <tr r="Q19" s="1"/>
      </tp>
      <tp>
        <v>1.12616</v>
        <stp/>
        <stp>P</stp>
        <stp>0</stp>
        <stp>FX</stp>
        <stp>EURUSD08M</stp>
        <stp>BidForward</stp>
        <stp/>
        <stp/>
        <tr r="Q20" s="1"/>
      </tp>
      <tp>
        <v>1.12845</v>
        <stp/>
        <stp>P</stp>
        <stp>0</stp>
        <stp>FX</stp>
        <stp>EURUSD09M</stp>
        <stp>BidForward</stp>
        <stp/>
        <stp/>
        <tr r="Q21" s="1"/>
      </tp>
      <tp>
        <v>0</v>
        <stp/>
        <stp>H</stp>
        <stp>x1.Yizp1</stp>
        <stp>101</stp>
        <stp>397980</stp>
        <tr r="BY3" s="1"/>
      </tp>
      <tp>
        <v>0</v>
        <stp/>
        <stp>H</stp>
        <stp>x3.Yizp1</stp>
        <stp>103</stp>
        <stp>397980</stp>
        <tr r="CT10" s="1"/>
      </tp>
      <tp>
        <v>0</v>
        <stp/>
        <stp>H</stp>
        <stp>x2.Yizp1</stp>
        <stp>102</stp>
        <stp>397980</stp>
        <tr r="CP10" s="1"/>
      </tp>
      <tp>
        <v>1.12639</v>
        <stp/>
        <stp>P</stp>
        <stp>0</stp>
        <stp>FX</stp>
        <stp>EURUSD08M</stp>
        <stp>AskForward</stp>
        <stp/>
        <stp/>
        <tr r="U20" s="1"/>
      </tp>
      <tp>
        <v>1.1287799999999999</v>
        <stp/>
        <stp>P</stp>
        <stp>0</stp>
        <stp>FX</stp>
        <stp>EURUSD09M</stp>
        <stp>AskForward</stp>
        <stp/>
        <stp/>
        <tr r="U21" s="1"/>
      </tp>
      <tp>
        <v>1.13548</v>
        <stp/>
        <stp>P</stp>
        <stp>0</stp>
        <stp>FX</stp>
        <stp>EURUSD12M</stp>
        <stp>AskForward</stp>
        <stp/>
        <stp/>
        <tr r="U24" s="1"/>
      </tp>
      <tp>
        <v>1.11182</v>
        <stp/>
        <stp>P</stp>
        <stp>0</stp>
        <stp>FX</stp>
        <stp>EURUSD02M</stp>
        <stp>AskForward</stp>
        <stp/>
        <stp/>
        <tr r="U14" s="1"/>
      </tp>
      <tp>
        <v>1.1081799999999999</v>
        <stp/>
        <stp>P</stp>
        <stp>0</stp>
        <stp>FX</stp>
        <stp>EURUSD02W</stp>
        <stp>AskForward</stp>
        <stp/>
        <stp/>
        <tr r="U11" s="1"/>
      </tp>
      <tp>
        <v>101500</v>
        <stp/>
        <stp>P</stp>
        <stp>0</stp>
        <stp>FX</stp>
        <stp>EURUSDON</stp>
        <stp>시간</stp>
        <stp/>
        <stp/>
        <tr r="G7" s="1"/>
      </tp>
      <tp>
        <v>1.1141399999999999</v>
        <stp/>
        <stp>P</stp>
        <stp>0</stp>
        <stp>FX</stp>
        <stp>EURUSD03M</stp>
        <stp>AskForward</stp>
        <stp/>
        <stp/>
        <tr r="U15" s="1"/>
      </tp>
      <tp>
        <v>1.1085700000000001</v>
        <stp/>
        <stp>P</stp>
        <stp>0</stp>
        <stp>FX</stp>
        <stp>EURUSD03W</stp>
        <stp>AskForward</stp>
        <stp/>
        <stp/>
        <tr r="U12" s="1"/>
      </tp>
      <tp>
        <v>1.1311199999999999</v>
        <stp/>
        <stp>P</stp>
        <stp>0</stp>
        <stp>FX</stp>
        <stp>EURUSD10M</stp>
        <stp>AskForward</stp>
        <stp/>
        <stp/>
        <tr r="U22" s="1"/>
      </tp>
      <tp>
        <v>1.1333899999999999</v>
        <stp/>
        <stp>P</stp>
        <stp>0</stp>
        <stp>FX</stp>
        <stp>EURUSD11M</stp>
        <stp>AskForward</stp>
        <stp/>
        <stp/>
        <tr r="U23" s="1"/>
      </tp>
      <tp>
        <v>1.10947</v>
        <stp/>
        <stp>P</stp>
        <stp>0</stp>
        <stp>FX</stp>
        <stp>EURUSD01M</stp>
        <stp>AskForward</stp>
        <stp/>
        <stp/>
        <tr r="U13" s="1"/>
      </tp>
      <tp>
        <v>1.1073599999999999</v>
        <stp/>
        <stp>P</stp>
        <stp>0</stp>
        <stp>FX</stp>
        <stp>EURUSD01W</stp>
        <stp>AskForward</stp>
        <stp/>
        <stp/>
        <tr r="U10" s="1"/>
      </tp>
      <tp>
        <v>1.1216600000000001</v>
        <stp/>
        <stp>P</stp>
        <stp>0</stp>
        <stp>FX</stp>
        <stp>EURUSD06M</stp>
        <stp>AskForward</stp>
        <stp/>
        <stp/>
        <tr r="U18" s="1"/>
      </tp>
      <tp>
        <v>1.12408</v>
        <stp/>
        <stp>P</stp>
        <stp>0</stp>
        <stp>FX</stp>
        <stp>EURUSD07M</stp>
        <stp>AskForward</stp>
        <stp/>
        <stp/>
        <tr r="U19" s="1"/>
      </tp>
      <tp>
        <v>1.11754</v>
        <stp/>
        <stp>P</stp>
        <stp>0</stp>
        <stp>FX</stp>
        <stp>EURUSD04M</stp>
        <stp>AskForward</stp>
        <stp/>
        <stp/>
        <tr r="U16" s="1"/>
      </tp>
      <tp>
        <v>1.1198399999999999</v>
        <stp/>
        <stp>P</stp>
        <stp>0</stp>
        <stp>FX</stp>
        <stp>EURUSD05M</stp>
        <stp>AskForward</stp>
        <stp/>
        <stp/>
        <tr r="U17" s="1"/>
      </tp>
      <tp>
        <v>150.07</v>
        <stp/>
        <stp>P</stp>
        <stp>0</stp>
        <stp>FX</stp>
        <stp>EURUSD06M</stp>
        <stp>매입고가</stp>
        <stp/>
        <stp/>
        <tr r="X18" s="1"/>
      </tp>
      <tp>
        <v>175.57</v>
        <stp/>
        <stp>P</stp>
        <stp>0</stp>
        <stp>FX</stp>
        <stp>EURUSD07M</stp>
        <stp>매입고가</stp>
        <stp/>
        <stp/>
        <tr r="X19" s="1"/>
      </tp>
      <tp>
        <v>106.92</v>
        <stp/>
        <stp>P</stp>
        <stp>0</stp>
        <stp>FX</stp>
        <stp>EURUSD04M</stp>
        <stp>매입고가</stp>
        <stp/>
        <stp/>
        <tr r="X16" s="1"/>
      </tp>
      <tp>
        <v>128.6</v>
        <stp/>
        <stp>P</stp>
        <stp>0</stp>
        <stp>FX</stp>
        <stp>EURUSD05M</stp>
        <stp>매입고가</stp>
        <stp/>
        <stp/>
        <tr r="X17" s="1"/>
      </tp>
      <tp>
        <v>12.86</v>
        <stp/>
        <stp>P</stp>
        <stp>0</stp>
        <stp>FX</stp>
        <stp>EURUSD02W</stp>
        <stp>매입고가</stp>
        <stp/>
        <stp/>
        <tr r="X11" s="1"/>
      </tp>
      <tp>
        <v>50.66</v>
        <stp/>
        <stp>P</stp>
        <stp>0</stp>
        <stp>FX</stp>
        <stp>EURUSD02M</stp>
        <stp>매입고가</stp>
        <stp/>
        <stp/>
        <tr r="X14" s="1"/>
      </tp>
      <tp>
        <v>18.59</v>
        <stp/>
        <stp>P</stp>
        <stp>0</stp>
        <stp>FX</stp>
        <stp>EURUSD03W</stp>
        <stp>매입고가</stp>
        <stp/>
        <stp/>
        <tr r="X12" s="1"/>
      </tp>
      <tp>
        <v>74.12</v>
        <stp/>
        <stp>P</stp>
        <stp>0</stp>
        <stp>FX</stp>
        <stp>EURUSD03M</stp>
        <stp>매입고가</stp>
        <stp/>
        <stp/>
        <tr r="X15" s="1"/>
      </tp>
      <tp>
        <v>6.06</v>
        <stp/>
        <stp>P</stp>
        <stp>0</stp>
        <stp>FX</stp>
        <stp>EURUSD01W</stp>
        <stp>매입고가</stp>
        <stp/>
        <stp/>
        <tr r="X10" s="1"/>
      </tp>
      <tp>
        <v>27.49</v>
        <stp/>
        <stp>P</stp>
        <stp>0</stp>
        <stp>FX</stp>
        <stp>EURUSD01M</stp>
        <stp>매입고가</stp>
        <stp/>
        <stp/>
        <tr r="X13" s="1"/>
      </tp>
      <tp>
        <v>196.02</v>
        <stp/>
        <stp>P</stp>
        <stp>0</stp>
        <stp>FX</stp>
        <stp>EURUSD08M</stp>
        <stp>매입고가</stp>
        <stp/>
        <stp/>
        <tr r="X20" s="1"/>
      </tp>
      <tp>
        <v>218.98</v>
        <stp/>
        <stp>P</stp>
        <stp>0</stp>
        <stp>FX</stp>
        <stp>EURUSD09M</stp>
        <stp>매입고가</stp>
        <stp/>
        <stp/>
        <tr r="X21" s="1"/>
      </tp>
      <tp>
        <v>193.19</v>
        <stp/>
        <stp>P</stp>
        <stp>0</stp>
        <stp>FX</stp>
        <stp>EURUSD08M</stp>
        <stp>매입시가</stp>
        <stp/>
        <stp/>
        <tr r="W20" s="1"/>
      </tp>
      <tp>
        <v>11.94</v>
        <stp/>
        <stp>P</stp>
        <stp>0</stp>
        <stp>FX</stp>
        <stp>EURUSD02W</stp>
        <stp>매입저가</stp>
        <stp/>
        <stp/>
        <tr r="Y11" s="1"/>
      </tp>
      <tp>
        <v>49.6</v>
        <stp/>
        <stp>P</stp>
        <stp>0</stp>
        <stp>FX</stp>
        <stp>EURUSD02M</stp>
        <stp>매입저가</stp>
        <stp/>
        <stp/>
        <tr r="Y14" s="1"/>
      </tp>
      <tp>
        <v>215.27</v>
        <stp/>
        <stp>P</stp>
        <stp>0</stp>
        <stp>FX</stp>
        <stp>EURUSD09M</stp>
        <stp>매입시가</stp>
        <stp/>
        <stp/>
        <tr r="W21" s="1"/>
      </tp>
      <tp>
        <v>17.2</v>
        <stp/>
        <stp>P</stp>
        <stp>0</stp>
        <stp>FX</stp>
        <stp>EURUSD03W</stp>
        <stp>매입저가</stp>
        <stp/>
        <stp/>
        <tr r="Y12" s="1"/>
      </tp>
      <tp>
        <v>72.5</v>
        <stp/>
        <stp>P</stp>
        <stp>0</stp>
        <stp>FX</stp>
        <stp>EURUSD03M</stp>
        <stp>매입저가</stp>
        <stp/>
        <stp/>
        <tr r="Y15" s="1"/>
      </tp>
      <tp>
        <v>5.47</v>
        <stp/>
        <stp>P</stp>
        <stp>0</stp>
        <stp>FX</stp>
        <stp>EURUSD01W</stp>
        <stp>매입저가</stp>
        <stp/>
        <stp/>
        <tr r="Y10" s="1"/>
      </tp>
      <tp>
        <v>25.44</v>
        <stp/>
        <stp>P</stp>
        <stp>0</stp>
        <stp>FX</stp>
        <stp>EURUSD01M</stp>
        <stp>매입저가</stp>
        <stp/>
        <stp/>
        <tr r="Y13" s="1"/>
      </tp>
      <tp>
        <v>146.87</v>
        <stp/>
        <stp>P</stp>
        <stp>0</stp>
        <stp>FX</stp>
        <stp>EURUSD06M</stp>
        <stp>매입저가</stp>
        <stp/>
        <stp/>
        <tr r="Y18" s="1"/>
      </tp>
      <tp>
        <v>169.7</v>
        <stp/>
        <stp>P</stp>
        <stp>0</stp>
        <stp>FX</stp>
        <stp>EURUSD07M</stp>
        <stp>매입저가</stp>
        <stp/>
        <stp/>
        <tr r="Y19" s="1"/>
      </tp>
      <tp>
        <v>104.5</v>
        <stp/>
        <stp>P</stp>
        <stp>0</stp>
        <stp>FX</stp>
        <stp>EURUSD04M</stp>
        <stp>매입저가</stp>
        <stp/>
        <stp/>
        <tr r="Y16" s="1"/>
      </tp>
      <tp>
        <v>126.2</v>
        <stp/>
        <stp>P</stp>
        <stp>0</stp>
        <stp>FX</stp>
        <stp>EURUSD05M</stp>
        <stp>매입저가</stp>
        <stp/>
        <stp/>
        <tr r="Y17" s="1"/>
      </tp>
      <tp>
        <v>27.32</v>
        <stp/>
        <stp>P</stp>
        <stp>0</stp>
        <stp>FX</stp>
        <stp>EURUSD01M</stp>
        <stp>매입시가</stp>
        <stp/>
        <stp/>
        <tr r="W13" s="1"/>
      </tp>
      <tp>
        <v>5.85</v>
        <stp/>
        <stp>P</stp>
        <stp>0</stp>
        <stp>FX</stp>
        <stp>EURUSD01W</stp>
        <stp>매입시가</stp>
        <stp/>
        <stp/>
        <tr r="W10" s="1"/>
      </tp>
      <tp>
        <v>50.11</v>
        <stp/>
        <stp>P</stp>
        <stp>0</stp>
        <stp>FX</stp>
        <stp>EURUSD02M</stp>
        <stp>매입시가</stp>
        <stp/>
        <stp/>
        <tr r="W14" s="1"/>
      </tp>
      <tp>
        <v>12.45</v>
        <stp/>
        <stp>P</stp>
        <stp>0</stp>
        <stp>FX</stp>
        <stp>EURUSD02W</stp>
        <stp>매입시가</stp>
        <stp/>
        <stp/>
        <tr r="W11" s="1"/>
      </tp>
      <tp>
        <v>190.71</v>
        <stp/>
        <stp>P</stp>
        <stp>0</stp>
        <stp>FX</stp>
        <stp>EURUSD08M</stp>
        <stp>매입저가</stp>
        <stp/>
        <stp/>
        <tr r="Y20" s="1"/>
      </tp>
      <tp>
        <v>73.930000000000007</v>
        <stp/>
        <stp>P</stp>
        <stp>0</stp>
        <stp>FX</stp>
        <stp>EURUSD03M</stp>
        <stp>매입시가</stp>
        <stp/>
        <stp/>
        <tr r="W15" s="1"/>
      </tp>
      <tp>
        <v>17.68</v>
        <stp/>
        <stp>P</stp>
        <stp>0</stp>
        <stp>FX</stp>
        <stp>EURUSD03W</stp>
        <stp>매입시가</stp>
        <stp/>
        <stp/>
        <tr r="W12" s="1"/>
      </tp>
      <tp>
        <v>214.48</v>
        <stp/>
        <stp>P</stp>
        <stp>0</stp>
        <stp>FX</stp>
        <stp>EURUSD09M</stp>
        <stp>매입저가</stp>
        <stp/>
        <stp/>
        <tr r="Y21" s="1"/>
      </tp>
      <tp>
        <v>105.84</v>
        <stp/>
        <stp>P</stp>
        <stp>0</stp>
        <stp>FX</stp>
        <stp>EURUSD04M</stp>
        <stp>매입시가</stp>
        <stp/>
        <stp/>
        <tr r="W16" s="1"/>
      </tp>
      <tp>
        <v>127.26</v>
        <stp/>
        <stp>P</stp>
        <stp>0</stp>
        <stp>FX</stp>
        <stp>EURUSD05M</stp>
        <stp>매입시가</stp>
        <stp/>
        <stp/>
        <tr r="W17" s="1"/>
      </tp>
      <tp>
        <v>148.01</v>
        <stp/>
        <stp>P</stp>
        <stp>0</stp>
        <stp>FX</stp>
        <stp>EURUSD06M</stp>
        <stp>매입시가</stp>
        <stp/>
        <stp/>
        <tr r="W18" s="1"/>
      </tp>
      <tp>
        <v>172.1</v>
        <stp/>
        <stp>P</stp>
        <stp>0</stp>
        <stp>FX</stp>
        <stp>EURUSD07M</stp>
        <stp>매입시가</stp>
        <stp/>
        <stp/>
        <tr r="W19" s="1"/>
      </tp>
      <tp>
        <v>286.24</v>
        <stp/>
        <stp>P</stp>
        <stp>0</stp>
        <stp>FX</stp>
        <stp>EURUSD12M</stp>
        <stp>매입고가</stp>
        <stp/>
        <stp/>
        <tr r="X24" s="1"/>
      </tp>
      <tp>
        <v>240.72</v>
        <stp/>
        <stp>P</stp>
        <stp>0</stp>
        <stp>FX</stp>
        <stp>EURUSD10M</stp>
        <stp>매입고가</stp>
        <stp/>
        <stp/>
        <tr r="X22" s="1"/>
      </tp>
      <tp>
        <v>262.3</v>
        <stp/>
        <stp>P</stp>
        <stp>0</stp>
        <stp>FX</stp>
        <stp>EURUSD11M</stp>
        <stp>매입고가</stp>
        <stp/>
        <stp/>
        <tr r="X23" s="1"/>
      </tp>
      <tp>
        <v>275.14</v>
        <stp/>
        <stp>P</stp>
        <stp>0</stp>
        <stp>FX</stp>
        <stp>EURUSD12M</stp>
        <stp>매입저가</stp>
        <stp/>
        <stp/>
        <tr r="Y24" s="1"/>
      </tp>
      <tp>
        <v>234.7</v>
        <stp/>
        <stp>P</stp>
        <stp>0</stp>
        <stp>FX</stp>
        <stp>EURUSD10M</stp>
        <stp>매입저가</stp>
        <stp/>
        <stp/>
        <tr r="Y22" s="1"/>
      </tp>
      <tp>
        <v>256</v>
        <stp/>
        <stp>P</stp>
        <stp>0</stp>
        <stp>FX</stp>
        <stp>EURUSD11M</stp>
        <stp>매입저가</stp>
        <stp/>
        <stp/>
        <tr r="Y23" s="1"/>
      </tp>
      <tp>
        <v>237.61</v>
        <stp/>
        <stp>P</stp>
        <stp>0</stp>
        <stp>FX</stp>
        <stp>EURUSD10M</stp>
        <stp>매입시가</stp>
        <stp/>
        <stp/>
        <tr r="W22" s="1"/>
      </tp>
      <tp>
        <v>258.66000000000003</v>
        <stp/>
        <stp>P</stp>
        <stp>0</stp>
        <stp>FX</stp>
        <stp>EURUSD11M</stp>
        <stp>매입시가</stp>
        <stp/>
        <stp/>
        <tr r="W23" s="1"/>
      </tp>
      <tp>
        <v>283.38</v>
        <stp/>
        <stp>P</stp>
        <stp>0</stp>
        <stp>FX</stp>
        <stp>EURUSD12M</stp>
        <stp>매입시가</stp>
        <stp/>
        <stp/>
        <tr r="W24" s="1"/>
      </tp>
      <tp>
        <v>219.27</v>
        <stp/>
        <stp>P</stp>
        <stp>0</stp>
        <stp>FX</stp>
        <stp>EURUSD09M</stp>
        <stp>매도시가</stp>
        <stp/>
        <stp/>
        <tr r="Z21" s="1"/>
      </tp>
      <tp>
        <v>18.36</v>
        <stp/>
        <stp>P</stp>
        <stp>0</stp>
        <stp>FX</stp>
        <stp>EURUSD03W</stp>
        <stp>매도저가</stp>
        <stp/>
        <stp/>
        <tr r="AB12" s="1"/>
      </tp>
      <tp>
        <v>72.8</v>
        <stp/>
        <stp>P</stp>
        <stp>0</stp>
        <stp>FX</stp>
        <stp>EURUSD03M</stp>
        <stp>매도저가</stp>
        <stp/>
        <stp/>
        <tr r="AB15" s="1"/>
      </tp>
      <tp>
        <v>195.39</v>
        <stp/>
        <stp>P</stp>
        <stp>0</stp>
        <stp>FX</stp>
        <stp>EURUSD08M</stp>
        <stp>매도시가</stp>
        <stp/>
        <stp/>
        <tr r="Z20" s="1"/>
      </tp>
      <tp>
        <v>12.72</v>
        <stp/>
        <stp>P</stp>
        <stp>0</stp>
        <stp>FX</stp>
        <stp>EURUSD02W</stp>
        <stp>매도저가</stp>
        <stp/>
        <stp/>
        <tr r="AB11" s="1"/>
      </tp>
      <tp>
        <v>50.5</v>
        <stp/>
        <stp>P</stp>
        <stp>0</stp>
        <stp>FX</stp>
        <stp>EURUSD02M</stp>
        <stp>매도저가</stp>
        <stp/>
        <stp/>
        <tr r="AB14" s="1"/>
      </tp>
      <tp>
        <v>6.03</v>
        <stp/>
        <stp>P</stp>
        <stp>0</stp>
        <stp>FX</stp>
        <stp>EURUSD01W</stp>
        <stp>매도저가</stp>
        <stp/>
        <stp/>
        <tr r="AB10" s="1"/>
      </tp>
      <tp>
        <v>26.16</v>
        <stp/>
        <stp>P</stp>
        <stp>0</stp>
        <stp>FX</stp>
        <stp>EURUSD01M</stp>
        <stp>매도저가</stp>
        <stp/>
        <stp/>
        <tr r="AB13" s="1"/>
      </tp>
      <tp>
        <v>173.19</v>
        <stp/>
        <stp>P</stp>
        <stp>0</stp>
        <stp>FX</stp>
        <stp>EURUSD07M</stp>
        <stp>매도저가</stp>
        <stp/>
        <stp/>
        <tr r="AB19" s="1"/>
      </tp>
      <tp>
        <v>148.16999999999999</v>
        <stp/>
        <stp>P</stp>
        <stp>0</stp>
        <stp>FX</stp>
        <stp>EURUSD06M</stp>
        <stp>매도저가</stp>
        <stp/>
        <stp/>
        <tr r="AB18" s="1"/>
      </tp>
      <tp>
        <v>128.38999999999999</v>
        <stp/>
        <stp>P</stp>
        <stp>0</stp>
        <stp>FX</stp>
        <stp>EURUSD05M</stp>
        <stp>매도저가</stp>
        <stp/>
        <stp/>
        <tr r="AB17" s="1"/>
      </tp>
      <tp>
        <v>106.06</v>
        <stp/>
        <stp>P</stp>
        <stp>0</stp>
        <stp>FX</stp>
        <stp>EURUSD04M</stp>
        <stp>매도저가</stp>
        <stp/>
        <stp/>
        <tr r="AB16" s="1"/>
      </tp>
      <tp>
        <v>27.52</v>
        <stp/>
        <stp>P</stp>
        <stp>0</stp>
        <stp>FX</stp>
        <stp>EURUSD01M</stp>
        <stp>매도시가</stp>
        <stp/>
        <stp/>
        <tr r="Z13" s="1"/>
      </tp>
      <tp>
        <v>6.2</v>
        <stp/>
        <stp>P</stp>
        <stp>0</stp>
        <stp>FX</stp>
        <stp>EURUSD01W</stp>
        <stp>매도시가</stp>
        <stp/>
        <stp/>
        <tr r="Z10" s="1"/>
      </tp>
      <tp>
        <v>74.23</v>
        <stp/>
        <stp>P</stp>
        <stp>0</stp>
        <stp>FX</stp>
        <stp>EURUSD03M</stp>
        <stp>매도시가</stp>
        <stp/>
        <stp/>
        <tr r="Z15" s="1"/>
      </tp>
      <tp>
        <v>19.68</v>
        <stp/>
        <stp>P</stp>
        <stp>0</stp>
        <stp>FX</stp>
        <stp>EURUSD03W</stp>
        <stp>매도시가</stp>
        <stp/>
        <stp/>
        <tr r="Z12" s="1"/>
      </tp>
      <tp>
        <v>216.98</v>
        <stp/>
        <stp>P</stp>
        <stp>0</stp>
        <stp>FX</stp>
        <stp>EURUSD09M</stp>
        <stp>매도저가</stp>
        <stp/>
        <stp/>
        <tr r="AB21" s="1"/>
      </tp>
      <tp>
        <v>51.51</v>
        <stp/>
        <stp>P</stp>
        <stp>0</stp>
        <stp>FX</stp>
        <stp>EURUSD02M</stp>
        <stp>매도시가</stp>
        <stp/>
        <stp/>
        <tr r="Z14" s="1"/>
      </tp>
      <tp>
        <v>13.45</v>
        <stp/>
        <stp>P</stp>
        <stp>0</stp>
        <stp>FX</stp>
        <stp>EURUSD02W</stp>
        <stp>매도시가</stp>
        <stp/>
        <stp/>
        <tr r="Z11" s="1"/>
      </tp>
      <tp>
        <v>192.91</v>
        <stp/>
        <stp>P</stp>
        <stp>0</stp>
        <stp>FX</stp>
        <stp>EURUSD08M</stp>
        <stp>매도저가</stp>
        <stp/>
        <stp/>
        <tr r="AB20" s="1"/>
      </tp>
      <tp>
        <v>129.76</v>
        <stp/>
        <stp>P</stp>
        <stp>0</stp>
        <stp>FX</stp>
        <stp>EURUSD05M</stp>
        <stp>매도시가</stp>
        <stp/>
        <stp/>
        <tr r="Z17" s="1"/>
      </tp>
      <tp>
        <v>107.84</v>
        <stp/>
        <stp>P</stp>
        <stp>0</stp>
        <stp>FX</stp>
        <stp>EURUSD04M</stp>
        <stp>매도시가</stp>
        <stp/>
        <stp/>
        <tr r="Z16" s="1"/>
      </tp>
      <tp>
        <v>175.6</v>
        <stp/>
        <stp>P</stp>
        <stp>0</stp>
        <stp>FX</stp>
        <stp>EURUSD07M</stp>
        <stp>매도시가</stp>
        <stp/>
        <stp/>
        <tr r="Z19" s="1"/>
      </tp>
      <tp>
        <v>149.31</v>
        <stp/>
        <stp>P</stp>
        <stp>0</stp>
        <stp>FX</stp>
        <stp>EURUSD06M</stp>
        <stp>매도시가</stp>
        <stp/>
        <stp/>
        <tr r="Z18" s="1"/>
      </tp>
      <tp>
        <v>179.07</v>
        <stp/>
        <stp>P</stp>
        <stp>0</stp>
        <stp>FX</stp>
        <stp>EURUSD07M</stp>
        <stp>매도고가</stp>
        <stp/>
        <stp/>
        <tr r="AA19" s="1"/>
      </tp>
      <tp>
        <v>151.75</v>
        <stp/>
        <stp>P</stp>
        <stp>0</stp>
        <stp>FX</stp>
        <stp>EURUSD06M</stp>
        <stp>매도고가</stp>
        <stp/>
        <stp/>
        <tr r="AA18" s="1"/>
      </tp>
      <tp>
        <v>130.04</v>
        <stp/>
        <stp>P</stp>
        <stp>0</stp>
        <stp>FX</stp>
        <stp>EURUSD05M</stp>
        <stp>매도고가</stp>
        <stp/>
        <stp/>
        <tr r="AA17" s="1"/>
      </tp>
      <tp>
        <v>108.17</v>
        <stp/>
        <stp>P</stp>
        <stp>0</stp>
        <stp>FX</stp>
        <stp>EURUSD04M</stp>
        <stp>매도고가</stp>
        <stp/>
        <stp/>
        <tr r="AA16" s="1"/>
      </tp>
      <tp>
        <v>19.68</v>
        <stp/>
        <stp>P</stp>
        <stp>0</stp>
        <stp>FX</stp>
        <stp>EURUSD03W</stp>
        <stp>매도고가</stp>
        <stp/>
        <stp/>
        <tr r="AA12" s="1"/>
      </tp>
      <tp>
        <v>75.349999999999994</v>
        <stp/>
        <stp>P</stp>
        <stp>0</stp>
        <stp>FX</stp>
        <stp>EURUSD03M</stp>
        <stp>매도고가</stp>
        <stp/>
        <stp/>
        <tr r="AA15" s="1"/>
      </tp>
      <tp>
        <v>13.45</v>
        <stp/>
        <stp>P</stp>
        <stp>0</stp>
        <stp>FX</stp>
        <stp>EURUSD02W</stp>
        <stp>매도고가</stp>
        <stp/>
        <stp/>
        <tr r="AA11" s="1"/>
      </tp>
      <tp>
        <v>51.55</v>
        <stp/>
        <stp>P</stp>
        <stp>0</stp>
        <stp>FX</stp>
        <stp>EURUSD02M</stp>
        <stp>매도고가</stp>
        <stp/>
        <stp/>
        <tr r="AA14" s="1"/>
      </tp>
      <tp>
        <v>6.6</v>
        <stp/>
        <stp>P</stp>
        <stp>0</stp>
        <stp>FX</stp>
        <stp>EURUSD01W</stp>
        <stp>매도고가</stp>
        <stp/>
        <stp/>
        <tr r="AA10" s="1"/>
      </tp>
      <tp>
        <v>28.66</v>
        <stp/>
        <stp>P</stp>
        <stp>0</stp>
        <stp>FX</stp>
        <stp>EURUSD01M</stp>
        <stp>매도고가</stp>
        <stp/>
        <stp/>
        <tr r="AA13" s="1"/>
      </tp>
      <tp>
        <v>222.8</v>
        <stp/>
        <stp>P</stp>
        <stp>0</stp>
        <stp>FX</stp>
        <stp>EURUSD09M</stp>
        <stp>매도고가</stp>
        <stp/>
        <stp/>
        <tr r="AA21" s="1"/>
      </tp>
      <tp>
        <v>199.1</v>
        <stp/>
        <stp>P</stp>
        <stp>0</stp>
        <stp>FX</stp>
        <stp>EURUSD08M</stp>
        <stp>매도고가</stp>
        <stp/>
        <stp/>
        <tr r="AA20" s="1"/>
      </tp>
      <tp>
        <v>278.04000000000002</v>
        <stp/>
        <stp>P</stp>
        <stp>0</stp>
        <stp>FX</stp>
        <stp>EURUSD12M</stp>
        <stp>매도저가</stp>
        <stp/>
        <stp/>
        <tr r="AB24" s="1"/>
      </tp>
      <tp>
        <v>261.41000000000003</v>
        <stp/>
        <stp>P</stp>
        <stp>0</stp>
        <stp>FX</stp>
        <stp>EURUSD11M</stp>
        <stp>매도저가</stp>
        <stp/>
        <stp/>
        <tr r="AB23" s="1"/>
      </tp>
      <tp>
        <v>239.35</v>
        <stp/>
        <stp>P</stp>
        <stp>0</stp>
        <stp>FX</stp>
        <stp>EURUSD10M</stp>
        <stp>매도저가</stp>
        <stp/>
        <stp/>
        <tr r="AB22" s="1"/>
      </tp>
      <tp>
        <v>264.16000000000003</v>
        <stp/>
        <stp>P</stp>
        <stp>0</stp>
        <stp>FX</stp>
        <stp>EURUSD11M</stp>
        <stp>매도시가</stp>
        <stp/>
        <stp/>
        <tr r="Z23" s="1"/>
      </tp>
      <tp>
        <v>242.61</v>
        <stp/>
        <stp>P</stp>
        <stp>0</stp>
        <stp>FX</stp>
        <stp>EURUSD10M</stp>
        <stp>매도시가</stp>
        <stp/>
        <stp/>
        <tr r="Z22" s="1"/>
      </tp>
      <tp>
        <v>287.38</v>
        <stp/>
        <stp>P</stp>
        <stp>0</stp>
        <stp>FX</stp>
        <stp>EURUSD12M</stp>
        <stp>매도시가</stp>
        <stp/>
        <stp/>
        <tr r="Z24" s="1"/>
      </tp>
      <tp>
        <v>289.18</v>
        <stp/>
        <stp>P</stp>
        <stp>0</stp>
        <stp>FX</stp>
        <stp>EURUSD12M</stp>
        <stp>매도고가</stp>
        <stp/>
        <stp/>
        <tr r="AA24" s="1"/>
      </tp>
      <tp>
        <v>267.8</v>
        <stp/>
        <stp>P</stp>
        <stp>0</stp>
        <stp>FX</stp>
        <stp>EURUSD11M</stp>
        <stp>매도고가</stp>
        <stp/>
        <stp/>
        <tr r="AA23" s="1"/>
      </tp>
      <tp>
        <v>245.05</v>
        <stp/>
        <stp>P</stp>
        <stp>0</stp>
        <stp>FX</stp>
        <stp>EURUSD10M</stp>
        <stp>매도고가</stp>
        <stp/>
        <stp/>
        <tr r="AA22" s="1"/>
      </tp>
      <tp>
        <v>1.1200000000000001</v>
        <stp/>
        <stp>P</stp>
        <stp>0</stp>
        <stp>FX</stp>
        <stp>EURUSDTN</stp>
        <stp>매도</stp>
        <stp/>
        <stp/>
        <tr r="V8" s="1"/>
      </tp>
      <tp>
        <v>2.82</v>
        <stp/>
        <stp>P</stp>
        <stp>0</stp>
        <stp>FX</stp>
        <stp>EURUSDSN</stp>
        <stp>매도</stp>
        <stp/>
        <stp/>
        <tr r="V9" s="1"/>
      </tp>
      <tp>
        <v>-0.82</v>
        <stp/>
        <stp>P</stp>
        <stp>0</stp>
        <stp>FX</stp>
        <stp>USDEURON</stp>
        <stp>매도</stp>
        <stp/>
        <stp/>
        <tr r="AF9" s="1"/>
      </tp>
      <tp>
        <v>-0.62</v>
        <stp/>
        <stp>P</stp>
        <stp>0</stp>
        <stp>FX</stp>
        <stp>USDAUDON</stp>
        <stp>매도</stp>
        <stp/>
        <stp/>
        <tr r="AF8" s="1"/>
      </tp>
      <tp>
        <v>1.1100000000000001</v>
        <stp/>
        <stp>P</stp>
        <stp>0</stp>
        <stp>FX</stp>
        <stp>EURUSDON</stp>
        <stp>매도</stp>
        <stp/>
        <stp/>
        <tr r="DG14" s="1"/>
        <tr r="AF23" s="1"/>
        <tr r="V7" s="1"/>
      </tp>
      <tp>
        <v>4.3899999999999997</v>
        <stp/>
        <stp>P</stp>
        <stp>0</stp>
        <stp>FX</stp>
        <stp>EURPLNON</stp>
        <stp>매도</stp>
        <stp/>
        <stp/>
        <tr r="AF21" s="1"/>
      </tp>
      <tp>
        <v>3.31</v>
        <stp/>
        <stp>P</stp>
        <stp>0</stp>
        <stp>FX</stp>
        <stp>EURSGDON</stp>
        <stp>매도</stp>
        <stp/>
        <stp/>
        <tr r="AF24" s="1"/>
        <tr r="AF22" s="1"/>
      </tp>
      <tp>
        <v>2.36</v>
        <stp/>
        <stp>P</stp>
        <stp>0</stp>
        <stp>FX</stp>
        <stp>EURDKKON</stp>
        <stp>매도</stp>
        <stp/>
        <stp/>
        <tr r="AF14" s="1"/>
      </tp>
      <tp>
        <v>0.34</v>
        <stp/>
        <stp>P</stp>
        <stp>0</stp>
        <stp>FX</stp>
        <stp>EURGBPON</stp>
        <stp>매도</stp>
        <stp/>
        <stp/>
        <tr r="AF15" s="1"/>
        <tr r="AF12" s="1"/>
      </tp>
      <tp>
        <v>0.94</v>
        <stp/>
        <stp>P</stp>
        <stp>0</stp>
        <stp>FX</stp>
        <stp>EURAUDON</stp>
        <stp>매도</stp>
        <stp/>
        <stp/>
        <tr r="AF10" s="1"/>
      </tp>
      <tp>
        <v>0.82</v>
        <stp/>
        <stp>P</stp>
        <stp>0</stp>
        <stp>FX</stp>
        <stp>EURCADON</stp>
        <stp>매도</stp>
        <stp/>
        <stp/>
        <tr r="AF11" s="1"/>
      </tp>
      <tp>
        <v>0.13</v>
        <stp/>
        <stp>P</stp>
        <stp>0</stp>
        <stp>FX</stp>
        <stp>EURCHFON</stp>
        <stp>매도</stp>
        <stp/>
        <stp/>
        <tr r="AF13" s="1"/>
      </tp>
      <tp>
        <v>1.36</v>
        <stp/>
        <stp>P</stp>
        <stp>0</stp>
        <stp>FX</stp>
        <stp>EURNZDON</stp>
        <stp>매도</stp>
        <stp/>
        <stp/>
        <tr r="AF20" s="1"/>
      </tp>
      <tp>
        <v>5.3</v>
        <stp/>
        <stp>P</stp>
        <stp>0</stp>
        <stp>FX</stp>
        <stp>EURNOKON</stp>
        <stp>매도</stp>
        <stp/>
        <stp/>
        <tr r="AF19" s="1"/>
      </tp>
      <tp>
        <v>6.02</v>
        <stp/>
        <stp>P</stp>
        <stp>0</stp>
        <stp>FX</stp>
        <stp>EURHKDON</stp>
        <stp>매도</stp>
        <stp/>
        <stp/>
        <tr r="AF16" s="1"/>
      </tp>
      <tp>
        <v>0.06</v>
        <stp/>
        <stp>P</stp>
        <stp>0</stp>
        <stp>FX</stp>
        <stp>EURJPYON</stp>
        <stp>매도</stp>
        <stp/>
        <stp/>
        <tr r="AF17" s="1"/>
      </tp>
      <tp>
        <v>0.14000000000000001</v>
        <stp/>
        <stp>P</stp>
        <stp>0</stp>
        <stp>FX</stp>
        <stp>GBPDKKON</stp>
        <stp>매도</stp>
        <stp/>
        <stp/>
        <tr r="AF18" s="1"/>
      </tp>
      <tp t="s">
        <v xml:space="preserve">        </v>
        <stp/>
        <stp>P</stp>
        <stp>0</stp>
        <stp>FX</stp>
        <stp>USDON_SMBCC</stp>
        <stp>매도</stp>
        <stp/>
        <stp/>
        <tr r="AF7" s="1"/>
      </tp>
      <tp>
        <v>20190918</v>
        <stp/>
        <stp>P</stp>
        <stp>0</stp>
        <stp>FX</stp>
        <stp>EURUSD09M</stp>
        <stp>일자</stp>
        <stp/>
        <stp/>
        <tr r="E21" s="1"/>
      </tp>
      <tp>
        <v>20190918</v>
        <stp/>
        <stp>P</stp>
        <stp>0</stp>
        <stp>FX</stp>
        <stp>EURUSD08M</stp>
        <stp>일자</stp>
        <stp/>
        <stp/>
        <tr r="E20" s="1"/>
      </tp>
      <tp>
        <v>20190918</v>
        <stp/>
        <stp>P</stp>
        <stp>0</stp>
        <stp>FX</stp>
        <stp>EURUSD07M</stp>
        <stp>일자</stp>
        <stp/>
        <stp/>
        <tr r="E19" s="1"/>
      </tp>
      <tp>
        <v>20190918</v>
        <stp/>
        <stp>P</stp>
        <stp>0</stp>
        <stp>FX</stp>
        <stp>EURUSD06M</stp>
        <stp>일자</stp>
        <stp/>
        <stp/>
        <tr r="E18" s="1"/>
      </tp>
      <tp>
        <v>20190918</v>
        <stp/>
        <stp>P</stp>
        <stp>0</stp>
        <stp>FX</stp>
        <stp>EURUSD05M</stp>
        <stp>일자</stp>
        <stp/>
        <stp/>
        <tr r="E17" s="1"/>
      </tp>
      <tp>
        <v>20190918</v>
        <stp/>
        <stp>P</stp>
        <stp>0</stp>
        <stp>FX</stp>
        <stp>EURUSD04M</stp>
        <stp>일자</stp>
        <stp/>
        <stp/>
        <tr r="E16" s="1"/>
      </tp>
      <tp>
        <v>20190918</v>
        <stp/>
        <stp>P</stp>
        <stp>0</stp>
        <stp>FX</stp>
        <stp>EURUSD03W</stp>
        <stp>일자</stp>
        <stp/>
        <stp/>
        <tr r="E12" s="1"/>
      </tp>
      <tp>
        <v>20190918</v>
        <stp/>
        <stp>P</stp>
        <stp>0</stp>
        <stp>FX</stp>
        <stp>EURUSD03M</stp>
        <stp>일자</stp>
        <stp/>
        <stp/>
        <tr r="E15" s="1"/>
      </tp>
      <tp>
        <v>20190918</v>
        <stp/>
        <stp>P</stp>
        <stp>0</stp>
        <stp>FX</stp>
        <stp>EURUSD02W</stp>
        <stp>일자</stp>
        <stp/>
        <stp/>
        <tr r="E11" s="1"/>
      </tp>
      <tp>
        <v>20190918</v>
        <stp/>
        <stp>P</stp>
        <stp>0</stp>
        <stp>FX</stp>
        <stp>EURUSD02M</stp>
        <stp>일자</stp>
        <stp/>
        <stp/>
        <tr r="E14" s="1"/>
      </tp>
      <tp>
        <v>20190918</v>
        <stp/>
        <stp>P</stp>
        <stp>0</stp>
        <stp>FX</stp>
        <stp>EURUSD12M</stp>
        <stp>일자</stp>
        <stp/>
        <stp/>
        <tr r="E24" s="1"/>
      </tp>
      <tp>
        <v>20190918</v>
        <stp/>
        <stp>P</stp>
        <stp>0</stp>
        <stp>FX</stp>
        <stp>EURUSD01W</stp>
        <stp>일자</stp>
        <stp/>
        <stp/>
        <tr r="E10" s="1"/>
      </tp>
      <tp>
        <v>20190918</v>
        <stp/>
        <stp>P</stp>
        <stp>0</stp>
        <stp>FX</stp>
        <stp>EURUSD01M</stp>
        <stp>일자</stp>
        <stp/>
        <stp/>
        <tr r="E13" s="1"/>
      </tp>
      <tp>
        <v>20190918</v>
        <stp/>
        <stp>P</stp>
        <stp>0</stp>
        <stp>FX</stp>
        <stp>EURUSD11M</stp>
        <stp>일자</stp>
        <stp/>
        <stp/>
        <tr r="E23" s="1"/>
      </tp>
      <tp>
        <v>20190918</v>
        <stp/>
        <stp>P</stp>
        <stp>0</stp>
        <stp>FX</stp>
        <stp>EURUSD10M</stp>
        <stp>일자</stp>
        <stp/>
        <stp/>
        <tr r="E22" s="1"/>
      </tp>
      <tp>
        <v>192.44</v>
        <stp/>
        <stp>P</stp>
        <stp>0</stp>
        <stp>FX</stp>
        <stp>EURUSD08M</stp>
        <stp>매입</stp>
        <stp/>
        <stp/>
        <tr r="R20" s="1"/>
      </tp>
      <tp>
        <v>216.62</v>
        <stp/>
        <stp>P</stp>
        <stp>0</stp>
        <stp>FX</stp>
        <stp>EURUSD09M</stp>
        <stp>매입</stp>
        <stp/>
        <stp/>
        <tr r="R21" s="1"/>
      </tp>
      <tp>
        <v>12.09</v>
        <stp/>
        <stp>P</stp>
        <stp>0</stp>
        <stp>FX</stp>
        <stp>EURUSD02W</stp>
        <stp>매입</stp>
        <stp/>
        <stp/>
        <tr r="R11" s="1"/>
      </tp>
      <tp>
        <v>49.86</v>
        <stp/>
        <stp>P</stp>
        <stp>0</stp>
        <stp>FX</stp>
        <stp>EURUSD02M</stp>
        <stp>매입</stp>
        <stp/>
        <stp/>
        <tr r="R14" s="1"/>
        <tr r="DE17" s="1"/>
      </tp>
      <tp>
        <v>285.25</v>
        <stp/>
        <stp>P</stp>
        <stp>0</stp>
        <stp>FX</stp>
        <stp>EURUSD12M</stp>
        <stp>매입</stp>
        <stp/>
        <stp/>
        <tr r="R24" s="1"/>
        <tr r="DE20" s="1"/>
      </tp>
      <tp>
        <v>17.34</v>
        <stp/>
        <stp>P</stp>
        <stp>0</stp>
        <stp>FX</stp>
        <stp>EURUSD03W</stp>
        <stp>매입</stp>
        <stp/>
        <stp/>
        <tr r="R12" s="1"/>
      </tp>
      <tp>
        <v>73.47</v>
        <stp/>
        <stp>P</stp>
        <stp>0</stp>
        <stp>FX</stp>
        <stp>EURUSD03M</stp>
        <stp>매입</stp>
        <stp/>
        <stp/>
        <tr r="R15" s="1"/>
        <tr r="DE18" s="1"/>
      </tp>
      <tp>
        <v>239.2</v>
        <stp/>
        <stp>P</stp>
        <stp>0</stp>
        <stp>FX</stp>
        <stp>EURUSD10M</stp>
        <stp>매입</stp>
        <stp/>
        <stp/>
        <tr r="R22" s="1"/>
      </tp>
      <tp>
        <v>5.79</v>
        <stp/>
        <stp>P</stp>
        <stp>0</stp>
        <stp>FX</stp>
        <stp>EURUSD01W</stp>
        <stp>매입</stp>
        <stp/>
        <stp/>
        <tr r="R10" s="1"/>
        <tr r="DE15" s="1"/>
      </tp>
      <tp>
        <v>26.25</v>
        <stp/>
        <stp>P</stp>
        <stp>0</stp>
        <stp>FX</stp>
        <stp>EURUSD01M</stp>
        <stp>매입</stp>
        <stp/>
        <stp/>
        <tr r="R13" s="1"/>
        <tr r="DE16" s="1"/>
      </tp>
      <tp>
        <v>262.23</v>
        <stp/>
        <stp>P</stp>
        <stp>0</stp>
        <stp>FX</stp>
        <stp>EURUSD11M</stp>
        <stp>매입</stp>
        <stp/>
        <stp/>
        <tr r="R23" s="1"/>
      </tp>
      <tp>
        <v>150.03</v>
        <stp/>
        <stp>P</stp>
        <stp>0</stp>
        <stp>FX</stp>
        <stp>EURUSD06M</stp>
        <stp>매입</stp>
        <stp/>
        <stp/>
        <tr r="R18" s="1"/>
        <tr r="DE19" s="1"/>
      </tp>
      <tp>
        <v>172.86</v>
        <stp/>
        <stp>P</stp>
        <stp>0</stp>
        <stp>FX</stp>
        <stp>EURUSD07M</stp>
        <stp>매입</stp>
        <stp/>
        <stp/>
        <tr r="R19" s="1"/>
      </tp>
      <tp>
        <v>105.28</v>
        <stp/>
        <stp>P</stp>
        <stp>0</stp>
        <stp>FX</stp>
        <stp>EURUSD04M</stp>
        <stp>매입</stp>
        <stp/>
        <stp/>
        <tr r="R16" s="1"/>
      </tp>
      <tp>
        <v>127.32</v>
        <stp/>
        <stp>P</stp>
        <stp>0</stp>
        <stp>FX</stp>
        <stp>EURUSD05M</stp>
        <stp>매입</stp>
        <stp/>
        <stp/>
        <tr r="R17" s="1"/>
      </tp>
      <tp>
        <v>0.92</v>
        <stp/>
        <stp>P</stp>
        <stp>0</stp>
        <stp>FX</stp>
        <stp>EURUSDTN</stp>
        <stp>매입</stp>
        <stp/>
        <stp/>
        <tr r="R8" s="1"/>
      </tp>
      <tp>
        <v>0.8</v>
        <stp/>
        <stp>P</stp>
        <stp>0</stp>
        <stp>FX</stp>
        <stp>EURUSDTN</stp>
        <stp>매입시가</stp>
        <stp/>
        <stp/>
        <tr r="W8" s="1"/>
      </tp>
      <tp>
        <v>1.23</v>
        <stp/>
        <stp>P</stp>
        <stp>0</stp>
        <stp>FX</stp>
        <stp>EURUSDSN</stp>
        <stp>매입시가</stp>
        <stp/>
        <stp/>
        <tr r="W9" s="1"/>
      </tp>
      <tp>
        <v>0.66</v>
        <stp/>
        <stp>P</stp>
        <stp>0</stp>
        <stp>FX</stp>
        <stp>EURUSDTN</stp>
        <stp>매입저가</stp>
        <stp/>
        <stp/>
        <tr r="Y8" s="1"/>
      </tp>
      <tp>
        <v>1.23</v>
        <stp/>
        <stp>P</stp>
        <stp>0</stp>
        <stp>FX</stp>
        <stp>EURUSDSN</stp>
        <stp>매입저가</stp>
        <stp/>
        <stp/>
        <tr r="Y9" s="1"/>
      </tp>
      <tp>
        <v>0.42</v>
        <stp/>
        <stp>P</stp>
        <stp>0</stp>
        <stp>FX</stp>
        <stp>EURUSDON</stp>
        <stp>매입저가</stp>
        <stp/>
        <stp/>
        <tr r="Y7" s="1"/>
      </tp>
      <tp>
        <v>0.42</v>
        <stp/>
        <stp>P</stp>
        <stp>0</stp>
        <stp>FX</stp>
        <stp>EURUSDON</stp>
        <stp>매입시가</stp>
        <stp/>
        <stp/>
        <tr r="W7" s="1"/>
      </tp>
      <tp>
        <v>2.59</v>
        <stp/>
        <stp>P</stp>
        <stp>0</stp>
        <stp>FX</stp>
        <stp>EURUSDSN</stp>
        <stp>매입고가</stp>
        <stp/>
        <stp/>
        <tr r="X9" s="1"/>
      </tp>
      <tp>
        <v>0.99</v>
        <stp/>
        <stp>P</stp>
        <stp>0</stp>
        <stp>FX</stp>
        <stp>EURUSDTN</stp>
        <stp>매입고가</stp>
        <stp/>
        <stp/>
        <tr r="X8" s="1"/>
      </tp>
      <tp>
        <v>1.46</v>
        <stp/>
        <stp>P</stp>
        <stp>0</stp>
        <stp>FX</stp>
        <stp>EURUSDON</stp>
        <stp>매입고가</stp>
        <stp/>
        <stp/>
        <tr r="X7" s="1"/>
      </tp>
      <tp>
        <v>2.96</v>
        <stp/>
        <stp>P</stp>
        <stp>0</stp>
        <stp>FX</stp>
        <stp>EURUSDSN</stp>
        <stp>매도고가</stp>
        <stp/>
        <stp/>
        <tr r="AA9" s="1"/>
      </tp>
      <tp>
        <v>2.1</v>
        <stp/>
        <stp>P</stp>
        <stp>0</stp>
        <stp>FX</stp>
        <stp>EURUSDTN</stp>
        <stp>매도고가</stp>
        <stp/>
        <stp/>
        <tr r="AA8" s="1"/>
      </tp>
      <tp>
        <v>2.1</v>
        <stp/>
        <stp>P</stp>
        <stp>0</stp>
        <stp>FX</stp>
        <stp>EURUSDON</stp>
        <stp>매도고가</stp>
        <stp/>
        <stp/>
        <tr r="AA7" s="1"/>
      </tp>
      <tp>
        <v>1.3</v>
        <stp/>
        <stp>P</stp>
        <stp>0</stp>
        <stp>FX</stp>
        <stp>EURUSDTN</stp>
        <stp>매도시가</stp>
        <stp/>
        <stp/>
        <tr r="Z8" s="1"/>
      </tp>
      <tp>
        <v>1.75</v>
        <stp/>
        <stp>P</stp>
        <stp>0</stp>
        <stp>FX</stp>
        <stp>EURUSDSN</stp>
        <stp>매도시가</stp>
        <stp/>
        <stp/>
        <tr r="Z9" s="1"/>
      </tp>
      <tp>
        <v>0.99</v>
        <stp/>
        <stp>P</stp>
        <stp>0</stp>
        <stp>FX</stp>
        <stp>EURUSDTN</stp>
        <stp>매도저가</stp>
        <stp/>
        <stp/>
        <tr r="AB8" s="1"/>
      </tp>
      <tp>
        <v>1.75</v>
        <stp/>
        <stp>P</stp>
        <stp>0</stp>
        <stp>FX</stp>
        <stp>EURUSDSN</stp>
        <stp>매도저가</stp>
        <stp/>
        <stp/>
        <tr r="AB9" s="1"/>
      </tp>
      <tp>
        <v>0.52</v>
        <stp/>
        <stp>P</stp>
        <stp>0</stp>
        <stp>FX</stp>
        <stp>EURUSDON</stp>
        <stp>매도저가</stp>
        <stp/>
        <stp/>
        <tr r="AB7" s="1"/>
      </tp>
      <tp>
        <v>0.84</v>
        <stp/>
        <stp>P</stp>
        <stp>0</stp>
        <stp>FX</stp>
        <stp>EURUSDON</stp>
        <stp>매도시가</stp>
        <stp/>
        <stp/>
        <tr r="Z7" s="1"/>
      </tp>
      <tp>
        <v>2.59</v>
        <stp/>
        <stp>P</stp>
        <stp>0</stp>
        <stp>FX</stp>
        <stp>EURUSDSN</stp>
        <stp>매입</stp>
        <stp/>
        <stp/>
        <tr r="R9" s="1"/>
      </tp>
      <tp>
        <v>20190918</v>
        <stp/>
        <stp>P</stp>
        <stp>0</stp>
        <stp>FX</stp>
        <stp>EURUSDON</stp>
        <stp>일자</stp>
        <stp/>
        <stp/>
        <tr r="E7" s="1"/>
      </tp>
      <tp>
        <v>-0.91</v>
        <stp/>
        <stp>P</stp>
        <stp>0</stp>
        <stp>FX</stp>
        <stp>USDEURON</stp>
        <stp>매입</stp>
        <stp/>
        <stp/>
        <tr r="AD9" s="1"/>
        <tr r="AD9" s="1"/>
      </tp>
      <tp>
        <v>-0.7</v>
        <stp/>
        <stp>P</stp>
        <stp>0</stp>
        <stp>FX</stp>
        <stp>USDAUDON</stp>
        <stp>매입</stp>
        <stp/>
        <stp/>
        <tr r="AD8" s="1"/>
        <tr r="AD8" s="1"/>
      </tp>
      <tp>
        <v>20190918</v>
        <stp/>
        <stp>P</stp>
        <stp>0</stp>
        <stp>FX</stp>
        <stp>EURUSDSN</stp>
        <stp>일자</stp>
        <stp/>
        <stp/>
        <tr r="E9" s="1"/>
      </tp>
      <tp>
        <v>20190918</v>
        <stp/>
        <stp>P</stp>
        <stp>0</stp>
        <stp>FX</stp>
        <stp>EURUSDTN</stp>
        <stp>일자</stp>
        <stp/>
        <stp/>
        <tr r="E8" s="1"/>
      </tp>
      <tp>
        <v>1.01</v>
        <stp/>
        <stp>P</stp>
        <stp>0</stp>
        <stp>FX</stp>
        <stp>EURUSDON</stp>
        <stp>매입</stp>
        <stp/>
        <stp/>
        <tr r="AD23" s="1"/>
        <tr r="AD23" s="1"/>
        <tr r="R7" s="1"/>
        <tr r="DE14" s="1"/>
      </tp>
      <tp>
        <v>1.75</v>
        <stp/>
        <stp>P</stp>
        <stp>0</stp>
        <stp>FX</stp>
        <stp>EURPLNON</stp>
        <stp>매입</stp>
        <stp/>
        <stp/>
        <tr r="AD21" s="1"/>
        <tr r="AD21" s="1"/>
      </tp>
      <tp>
        <v>0.96</v>
        <stp/>
        <stp>P</stp>
        <stp>0</stp>
        <stp>FX</stp>
        <stp>EURSGDON</stp>
        <stp>매입</stp>
        <stp/>
        <stp/>
        <tr r="AD24" s="1"/>
        <tr r="AD24" s="1"/>
        <tr r="AD22" s="1"/>
        <tr r="AD22" s="1"/>
      </tp>
      <tp>
        <v>-3.01</v>
        <stp/>
        <stp>P</stp>
        <stp>0</stp>
        <stp>FX</stp>
        <stp>EURDKKON</stp>
        <stp>매입</stp>
        <stp/>
        <stp/>
        <tr r="AD14" s="1"/>
        <tr r="AD14" s="1"/>
      </tp>
      <tp>
        <v>0.13</v>
        <stp/>
        <stp>P</stp>
        <stp>0</stp>
        <stp>FX</stp>
        <stp>EURGBPON</stp>
        <stp>매입</stp>
        <stp/>
        <stp/>
        <tr r="AD15" s="1"/>
        <tr r="AD15" s="1"/>
        <tr r="AD12" s="1"/>
        <tr r="AD12" s="1"/>
      </tp>
      <tp>
        <v>0.7</v>
        <stp/>
        <stp>P</stp>
        <stp>0</stp>
        <stp>FX</stp>
        <stp>EURAUDON</stp>
        <stp>매입</stp>
        <stp/>
        <stp/>
        <tr r="AD10" s="1"/>
        <tr r="AD10" s="1"/>
      </tp>
      <tp>
        <v>0.56999999999999995</v>
        <stp/>
        <stp>P</stp>
        <stp>0</stp>
        <stp>FX</stp>
        <stp>EURCADON</stp>
        <stp>매입</stp>
        <stp/>
        <stp/>
        <tr r="AD11" s="1"/>
        <tr r="AD11" s="1"/>
      </tp>
      <tp>
        <v>-0.36</v>
        <stp/>
        <stp>P</stp>
        <stp>0</stp>
        <stp>FX</stp>
        <stp>EURCHFON</stp>
        <stp>매입</stp>
        <stp/>
        <stp/>
        <tr r="AD13" s="1"/>
        <tr r="AD13" s="1"/>
      </tp>
      <tp>
        <v>0.99</v>
        <stp/>
        <stp>P</stp>
        <stp>0</stp>
        <stp>FX</stp>
        <stp>EURNZDON</stp>
        <stp>매입</stp>
        <stp/>
        <stp/>
        <tr r="AD20" s="1"/>
        <tr r="AD20" s="1"/>
      </tp>
      <tp>
        <v>1.96</v>
        <stp/>
        <stp>P</stp>
        <stp>0</stp>
        <stp>FX</stp>
        <stp>EURNOKON</stp>
        <stp>매입</stp>
        <stp/>
        <stp/>
        <tr r="AD19" s="1"/>
        <tr r="AD19" s="1"/>
      </tp>
      <tp>
        <v>2.94</v>
        <stp/>
        <stp>P</stp>
        <stp>0</stp>
        <stp>FX</stp>
        <stp>EURHKDON</stp>
        <stp>매입</stp>
        <stp/>
        <stp/>
        <tr r="AD16" s="1"/>
        <tr r="AD16" s="1"/>
      </tp>
      <tp>
        <v>-7.0000000000000007E-2</v>
        <stp/>
        <stp>P</stp>
        <stp>0</stp>
        <stp>FX</stp>
        <stp>EURJPYON</stp>
        <stp>매입</stp>
        <stp/>
        <stp/>
        <tr r="AD17" s="1"/>
        <tr r="AD17" s="1"/>
      </tp>
      <tp>
        <v>-1.24</v>
        <stp/>
        <stp>P</stp>
        <stp>0</stp>
        <stp>FX</stp>
        <stp>GBPDKKON</stp>
        <stp>매입</stp>
        <stp/>
        <stp/>
        <tr r="AD18" s="1"/>
        <tr r="AD18" s="1"/>
      </tp>
      <tp t="s">
        <v xml:space="preserve">        </v>
        <stp/>
        <stp>P</stp>
        <stp>0</stp>
        <stp>FX</stp>
        <stp>USDON_SMBCC</stp>
        <stp>매입</stp>
        <stp/>
        <stp/>
        <tr r="AD7" s="1"/>
        <tr r="AD7" s="1"/>
      </tp>
      <tp>
        <v>20190918</v>
        <stp/>
        <stp>P</stp>
        <stp>0</stp>
        <stp>FX</stp>
        <stp>USDCNH</stp>
        <stp>일자</stp>
        <stp/>
        <stp/>
        <tr r="DH17" s="1"/>
        <tr r="DH16" s="1"/>
        <tr r="DH14" s="1"/>
        <tr r="DH20" s="1"/>
        <tr r="DH15" s="1"/>
        <tr r="DH18" s="1"/>
        <tr r="DH19" s="1"/>
      </tp>
      <tp>
        <v>219.12</v>
        <stp/>
        <stp>P</stp>
        <stp>0</stp>
        <stp>FX</stp>
        <stp>EURUSD09M</stp>
        <stp>매도</stp>
        <stp/>
        <stp/>
        <tr r="V21" s="1"/>
      </tp>
      <tp>
        <v>194.64</v>
        <stp/>
        <stp>P</stp>
        <stp>0</stp>
        <stp>FX</stp>
        <stp>EURUSD08M</stp>
        <stp>매도</stp>
        <stp/>
        <stp/>
        <tr r="V20" s="1"/>
      </tp>
      <tp>
        <v>19.34</v>
        <stp/>
        <stp>P</stp>
        <stp>0</stp>
        <stp>FX</stp>
        <stp>EURUSD03W</stp>
        <stp>매도</stp>
        <stp/>
        <stp/>
        <tr r="V12" s="1"/>
      </tp>
      <tp>
        <v>73.77</v>
        <stp/>
        <stp>P</stp>
        <stp>0</stp>
        <stp>FX</stp>
        <stp>EURUSD03M</stp>
        <stp>매도</stp>
        <stp/>
        <stp/>
        <tr r="DG18" s="1"/>
        <tr r="V15" s="1"/>
      </tp>
      <tp>
        <v>13.09</v>
        <stp/>
        <stp>P</stp>
        <stp>0</stp>
        <stp>FX</stp>
        <stp>EURUSD02W</stp>
        <stp>매도</stp>
        <stp/>
        <stp/>
        <tr r="V11" s="1"/>
      </tp>
      <tp>
        <v>51.26</v>
        <stp/>
        <stp>P</stp>
        <stp>0</stp>
        <stp>FX</stp>
        <stp>EURUSD02M</stp>
        <stp>매도</stp>
        <stp/>
        <stp/>
        <tr r="DG17" s="1"/>
        <tr r="V14" s="1"/>
      </tp>
      <tp>
        <v>285.75</v>
        <stp/>
        <stp>P</stp>
        <stp>0</stp>
        <stp>FX</stp>
        <stp>EURUSD12M</stp>
        <stp>매도</stp>
        <stp/>
        <stp/>
        <tr r="DG20" s="1"/>
        <tr r="V24" s="1"/>
      </tp>
      <tp>
        <v>6.29</v>
        <stp/>
        <stp>P</stp>
        <stp>0</stp>
        <stp>FX</stp>
        <stp>EURUSD01W</stp>
        <stp>매도</stp>
        <stp/>
        <stp/>
        <tr r="DG15" s="1"/>
        <tr r="V10" s="1"/>
      </tp>
      <tp>
        <v>26.45</v>
        <stp/>
        <stp>P</stp>
        <stp>0</stp>
        <stp>FX</stp>
        <stp>EURUSD01M</stp>
        <stp>매도</stp>
        <stp/>
        <stp/>
        <tr r="DG16" s="1"/>
        <tr r="V13" s="1"/>
      </tp>
      <tp>
        <v>267.73</v>
        <stp/>
        <stp>P</stp>
        <stp>0</stp>
        <stp>FX</stp>
        <stp>EURUSD11M</stp>
        <stp>매도</stp>
        <stp/>
        <stp/>
        <tr r="V23" s="1"/>
      </tp>
      <tp>
        <v>244.2</v>
        <stp/>
        <stp>P</stp>
        <stp>0</stp>
        <stp>FX</stp>
        <stp>EURUSD10M</stp>
        <stp>매도</stp>
        <stp/>
        <stp/>
        <tr r="V22" s="1"/>
      </tp>
      <tp>
        <v>176.36</v>
        <stp/>
        <stp>P</stp>
        <stp>0</stp>
        <stp>FX</stp>
        <stp>EURUSD07M</stp>
        <stp>매도</stp>
        <stp/>
        <stp/>
        <tr r="V19" s="1"/>
      </tp>
      <tp>
        <v>150.38</v>
        <stp/>
        <stp>P</stp>
        <stp>0</stp>
        <stp>FX</stp>
        <stp>EURUSD06M</stp>
        <stp>매도</stp>
        <stp/>
        <stp/>
        <tr r="DG19" s="1"/>
        <tr r="V18" s="1"/>
      </tp>
      <tp>
        <v>129.82</v>
        <stp/>
        <stp>P</stp>
        <stp>0</stp>
        <stp>FX</stp>
        <stp>EURUSD05M</stp>
        <stp>매도</stp>
        <stp/>
        <stp/>
        <tr r="V17" s="1"/>
      </tp>
      <tp>
        <v>107.28</v>
        <stp/>
        <stp>P</stp>
        <stp>0</stp>
        <stp>FX</stp>
        <stp>EURUSD04M</stp>
        <stp>매도</stp>
        <stp/>
        <stp/>
        <tr r="V1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'FX Forward &amp; SwapPoint'!$DE$13</c:f>
              <c:strCache>
                <c:ptCount val="1"/>
                <c:pt idx="0">
                  <c:v>BID</c:v>
                </c:pt>
              </c:strCache>
            </c:strRef>
          </c:tx>
          <c:spPr>
            <a:ln w="25400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'FX Forward &amp; SwapPoint'!$DC$14:$DC$20</c:f>
              <c:strCache>
                <c:ptCount val="7"/>
                <c:pt idx="0">
                  <c:v>ON</c:v>
                </c:pt>
                <c:pt idx="1">
                  <c:v>01W</c:v>
                </c:pt>
                <c:pt idx="2">
                  <c:v>01M</c:v>
                </c:pt>
                <c:pt idx="3">
                  <c:v>02M</c:v>
                </c:pt>
                <c:pt idx="4">
                  <c:v>03M</c:v>
                </c:pt>
                <c:pt idx="5">
                  <c:v>06M</c:v>
                </c:pt>
                <c:pt idx="6">
                  <c:v>12M</c:v>
                </c:pt>
              </c:strCache>
            </c:strRef>
          </c:cat>
          <c:val>
            <c:numRef>
              <c:f>'FX Forward &amp; SwapPoint'!$DE$14:$DE$20</c:f>
              <c:numCache>
                <c:formatCode>General</c:formatCode>
                <c:ptCount val="7"/>
                <c:pt idx="0">
                  <c:v>1.01</c:v>
                </c:pt>
                <c:pt idx="1">
                  <c:v>5.79</c:v>
                </c:pt>
                <c:pt idx="2">
                  <c:v>26.25</c:v>
                </c:pt>
                <c:pt idx="3">
                  <c:v>49.86</c:v>
                </c:pt>
                <c:pt idx="4">
                  <c:v>73.47</c:v>
                </c:pt>
                <c:pt idx="5">
                  <c:v>150.03</c:v>
                </c:pt>
                <c:pt idx="6">
                  <c:v>285.25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'FX Forward &amp; SwapPoint'!$DF$13</c:f>
              <c:strCache>
                <c:ptCount val="1"/>
                <c:pt idx="0">
                  <c:v>MID</c:v>
                </c:pt>
              </c:strCache>
            </c:strRef>
          </c:tx>
          <c:spPr>
            <a:ln w="25400">
              <a:solidFill>
                <a:srgbClr val="FF9933"/>
              </a:solidFill>
            </a:ln>
          </c:spPr>
          <c:marker>
            <c:symbol val="none"/>
          </c:marker>
          <c:cat>
            <c:strRef>
              <c:f>'FX Forward &amp; SwapPoint'!$DC$14:$DC$20</c:f>
              <c:strCache>
                <c:ptCount val="7"/>
                <c:pt idx="0">
                  <c:v>ON</c:v>
                </c:pt>
                <c:pt idx="1">
                  <c:v>01W</c:v>
                </c:pt>
                <c:pt idx="2">
                  <c:v>01M</c:v>
                </c:pt>
                <c:pt idx="3">
                  <c:v>02M</c:v>
                </c:pt>
                <c:pt idx="4">
                  <c:v>03M</c:v>
                </c:pt>
                <c:pt idx="5">
                  <c:v>06M</c:v>
                </c:pt>
                <c:pt idx="6">
                  <c:v>12M</c:v>
                </c:pt>
              </c:strCache>
            </c:strRef>
          </c:cat>
          <c:val>
            <c:numRef>
              <c:f>'FX Forward &amp; SwapPoint'!$DF$14:$DF$20</c:f>
              <c:numCache>
                <c:formatCode>General</c:formatCode>
                <c:ptCount val="7"/>
                <c:pt idx="0">
                  <c:v>1.06</c:v>
                </c:pt>
                <c:pt idx="1">
                  <c:v>6.04</c:v>
                </c:pt>
                <c:pt idx="2">
                  <c:v>26.35</c:v>
                </c:pt>
                <c:pt idx="3">
                  <c:v>50.56</c:v>
                </c:pt>
                <c:pt idx="4">
                  <c:v>73.62</c:v>
                </c:pt>
                <c:pt idx="5">
                  <c:v>150.20499999999998</c:v>
                </c:pt>
                <c:pt idx="6">
                  <c:v>285.5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'FX Forward &amp; SwapPoint'!$DG$13</c:f>
              <c:strCache>
                <c:ptCount val="1"/>
                <c:pt idx="0">
                  <c:v>ASK</c:v>
                </c:pt>
              </c:strCache>
            </c:strRef>
          </c:tx>
          <c:spPr>
            <a:ln w="25400"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'FX Forward &amp; SwapPoint'!$DC$14:$DC$20</c:f>
              <c:strCache>
                <c:ptCount val="7"/>
                <c:pt idx="0">
                  <c:v>ON</c:v>
                </c:pt>
                <c:pt idx="1">
                  <c:v>01W</c:v>
                </c:pt>
                <c:pt idx="2">
                  <c:v>01M</c:v>
                </c:pt>
                <c:pt idx="3">
                  <c:v>02M</c:v>
                </c:pt>
                <c:pt idx="4">
                  <c:v>03M</c:v>
                </c:pt>
                <c:pt idx="5">
                  <c:v>06M</c:v>
                </c:pt>
                <c:pt idx="6">
                  <c:v>12M</c:v>
                </c:pt>
              </c:strCache>
            </c:strRef>
          </c:cat>
          <c:val>
            <c:numRef>
              <c:f>'FX Forward &amp; SwapPoint'!$DG$14:$DG$20</c:f>
              <c:numCache>
                <c:formatCode>General</c:formatCode>
                <c:ptCount val="7"/>
                <c:pt idx="0">
                  <c:v>1.1100000000000001</c:v>
                </c:pt>
                <c:pt idx="1">
                  <c:v>6.29</c:v>
                </c:pt>
                <c:pt idx="2">
                  <c:v>26.45</c:v>
                </c:pt>
                <c:pt idx="3">
                  <c:v>51.26</c:v>
                </c:pt>
                <c:pt idx="4">
                  <c:v>73.77</c:v>
                </c:pt>
                <c:pt idx="5">
                  <c:v>150.38</c:v>
                </c:pt>
                <c:pt idx="6">
                  <c:v>285.75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41280"/>
        <c:axId val="131342336"/>
      </c:lineChart>
      <c:catAx>
        <c:axId val="12864128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1342336"/>
        <c:crosses val="autoZero"/>
        <c:auto val="1"/>
        <c:lblAlgn val="ctr"/>
        <c:lblOffset val="100"/>
        <c:noMultiLvlLbl val="0"/>
      </c:catAx>
      <c:valAx>
        <c:axId val="131342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864128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265601501902372E-2"/>
          <c:y val="6.0554650643167084E-2"/>
          <c:w val="0.8829837038815217"/>
          <c:h val="0.67611729993551595"/>
        </c:manualLayout>
      </c:layout>
      <c:lineChart>
        <c:grouping val="standard"/>
        <c:varyColors val="0"/>
        <c:ser>
          <c:idx val="0"/>
          <c:order val="0"/>
          <c:tx>
            <c:strRef>
              <c:f>'FX Forward &amp; SwapPoint'!$CX$11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numRef>
              <c:f>'FX Forward &amp; SwapPoint'!$CW$12:$CW$377</c:f>
              <c:numCache>
                <c:formatCode>m/d/yyyy</c:formatCode>
                <c:ptCount val="366"/>
                <c:pt idx="0">
                  <c:v>43726</c:v>
                </c:pt>
                <c:pt idx="1">
                  <c:v>43725</c:v>
                </c:pt>
                <c:pt idx="2">
                  <c:v>43724</c:v>
                </c:pt>
                <c:pt idx="3">
                  <c:v>43723</c:v>
                </c:pt>
                <c:pt idx="4">
                  <c:v>43722</c:v>
                </c:pt>
                <c:pt idx="5">
                  <c:v>43721</c:v>
                </c:pt>
                <c:pt idx="6">
                  <c:v>43720</c:v>
                </c:pt>
                <c:pt idx="7">
                  <c:v>43719</c:v>
                </c:pt>
                <c:pt idx="8">
                  <c:v>43718</c:v>
                </c:pt>
                <c:pt idx="9">
                  <c:v>43717</c:v>
                </c:pt>
                <c:pt idx="10">
                  <c:v>43716</c:v>
                </c:pt>
                <c:pt idx="11">
                  <c:v>43715</c:v>
                </c:pt>
                <c:pt idx="12">
                  <c:v>43714</c:v>
                </c:pt>
                <c:pt idx="13">
                  <c:v>43713</c:v>
                </c:pt>
                <c:pt idx="14">
                  <c:v>43712</c:v>
                </c:pt>
                <c:pt idx="15">
                  <c:v>43711</c:v>
                </c:pt>
                <c:pt idx="16">
                  <c:v>43710</c:v>
                </c:pt>
                <c:pt idx="17">
                  <c:v>43709</c:v>
                </c:pt>
                <c:pt idx="18">
                  <c:v>43708</c:v>
                </c:pt>
                <c:pt idx="19">
                  <c:v>43707</c:v>
                </c:pt>
                <c:pt idx="20">
                  <c:v>43706</c:v>
                </c:pt>
                <c:pt idx="21">
                  <c:v>43705</c:v>
                </c:pt>
                <c:pt idx="22">
                  <c:v>43704</c:v>
                </c:pt>
                <c:pt idx="23">
                  <c:v>43703</c:v>
                </c:pt>
                <c:pt idx="24">
                  <c:v>43702</c:v>
                </c:pt>
                <c:pt idx="25">
                  <c:v>43701</c:v>
                </c:pt>
                <c:pt idx="26">
                  <c:v>43700</c:v>
                </c:pt>
                <c:pt idx="27">
                  <c:v>43699</c:v>
                </c:pt>
                <c:pt idx="28">
                  <c:v>43698</c:v>
                </c:pt>
                <c:pt idx="29">
                  <c:v>43697</c:v>
                </c:pt>
                <c:pt idx="30">
                  <c:v>43696</c:v>
                </c:pt>
                <c:pt idx="31">
                  <c:v>43695</c:v>
                </c:pt>
                <c:pt idx="32">
                  <c:v>43694</c:v>
                </c:pt>
                <c:pt idx="33">
                  <c:v>43693</c:v>
                </c:pt>
                <c:pt idx="34">
                  <c:v>43692</c:v>
                </c:pt>
                <c:pt idx="35">
                  <c:v>43691</c:v>
                </c:pt>
                <c:pt idx="36">
                  <c:v>43690</c:v>
                </c:pt>
                <c:pt idx="37">
                  <c:v>43689</c:v>
                </c:pt>
                <c:pt idx="38">
                  <c:v>43688</c:v>
                </c:pt>
                <c:pt idx="39">
                  <c:v>43687</c:v>
                </c:pt>
                <c:pt idx="40">
                  <c:v>43686</c:v>
                </c:pt>
                <c:pt idx="41">
                  <c:v>43685</c:v>
                </c:pt>
                <c:pt idx="42">
                  <c:v>43684</c:v>
                </c:pt>
                <c:pt idx="43">
                  <c:v>43683</c:v>
                </c:pt>
                <c:pt idx="44">
                  <c:v>43682</c:v>
                </c:pt>
                <c:pt idx="45">
                  <c:v>43681</c:v>
                </c:pt>
                <c:pt idx="46">
                  <c:v>43680</c:v>
                </c:pt>
                <c:pt idx="47">
                  <c:v>43679</c:v>
                </c:pt>
                <c:pt idx="48">
                  <c:v>43678</c:v>
                </c:pt>
                <c:pt idx="49">
                  <c:v>43677</c:v>
                </c:pt>
                <c:pt idx="50">
                  <c:v>43676</c:v>
                </c:pt>
                <c:pt idx="51">
                  <c:v>43675</c:v>
                </c:pt>
                <c:pt idx="52">
                  <c:v>43674</c:v>
                </c:pt>
                <c:pt idx="53">
                  <c:v>43673</c:v>
                </c:pt>
                <c:pt idx="54">
                  <c:v>43672</c:v>
                </c:pt>
                <c:pt idx="55">
                  <c:v>43671</c:v>
                </c:pt>
                <c:pt idx="56">
                  <c:v>43670</c:v>
                </c:pt>
                <c:pt idx="57">
                  <c:v>43669</c:v>
                </c:pt>
                <c:pt idx="58">
                  <c:v>43668</c:v>
                </c:pt>
                <c:pt idx="59">
                  <c:v>43667</c:v>
                </c:pt>
                <c:pt idx="60">
                  <c:v>43666</c:v>
                </c:pt>
                <c:pt idx="61">
                  <c:v>43665</c:v>
                </c:pt>
                <c:pt idx="62">
                  <c:v>43664</c:v>
                </c:pt>
                <c:pt idx="63">
                  <c:v>43663</c:v>
                </c:pt>
                <c:pt idx="64">
                  <c:v>43662</c:v>
                </c:pt>
                <c:pt idx="65">
                  <c:v>43661</c:v>
                </c:pt>
                <c:pt idx="66">
                  <c:v>43660</c:v>
                </c:pt>
                <c:pt idx="67">
                  <c:v>43659</c:v>
                </c:pt>
                <c:pt idx="68">
                  <c:v>43658</c:v>
                </c:pt>
                <c:pt idx="69">
                  <c:v>43657</c:v>
                </c:pt>
                <c:pt idx="70">
                  <c:v>43656</c:v>
                </c:pt>
                <c:pt idx="71">
                  <c:v>43655</c:v>
                </c:pt>
                <c:pt idx="72">
                  <c:v>43654</c:v>
                </c:pt>
                <c:pt idx="73">
                  <c:v>43653</c:v>
                </c:pt>
                <c:pt idx="74">
                  <c:v>43652</c:v>
                </c:pt>
                <c:pt idx="75">
                  <c:v>43651</c:v>
                </c:pt>
                <c:pt idx="76">
                  <c:v>43650</c:v>
                </c:pt>
                <c:pt idx="77">
                  <c:v>43649</c:v>
                </c:pt>
                <c:pt idx="78">
                  <c:v>43648</c:v>
                </c:pt>
                <c:pt idx="79">
                  <c:v>43647</c:v>
                </c:pt>
                <c:pt idx="80">
                  <c:v>43646</c:v>
                </c:pt>
                <c:pt idx="81">
                  <c:v>43645</c:v>
                </c:pt>
                <c:pt idx="82">
                  <c:v>43644</c:v>
                </c:pt>
                <c:pt idx="83">
                  <c:v>43643</c:v>
                </c:pt>
                <c:pt idx="84">
                  <c:v>43642</c:v>
                </c:pt>
                <c:pt idx="85">
                  <c:v>43641</c:v>
                </c:pt>
                <c:pt idx="86">
                  <c:v>43640</c:v>
                </c:pt>
                <c:pt idx="87">
                  <c:v>43639</c:v>
                </c:pt>
                <c:pt idx="88">
                  <c:v>43638</c:v>
                </c:pt>
                <c:pt idx="89">
                  <c:v>43637</c:v>
                </c:pt>
                <c:pt idx="90">
                  <c:v>43636</c:v>
                </c:pt>
                <c:pt idx="91">
                  <c:v>43635</c:v>
                </c:pt>
                <c:pt idx="92">
                  <c:v>43634</c:v>
                </c:pt>
                <c:pt idx="93">
                  <c:v>43633</c:v>
                </c:pt>
                <c:pt idx="94">
                  <c:v>43632</c:v>
                </c:pt>
                <c:pt idx="95">
                  <c:v>43631</c:v>
                </c:pt>
                <c:pt idx="96">
                  <c:v>43630</c:v>
                </c:pt>
                <c:pt idx="97">
                  <c:v>43629</c:v>
                </c:pt>
                <c:pt idx="98">
                  <c:v>43628</c:v>
                </c:pt>
                <c:pt idx="99">
                  <c:v>43627</c:v>
                </c:pt>
                <c:pt idx="100">
                  <c:v>43626</c:v>
                </c:pt>
                <c:pt idx="101">
                  <c:v>43625</c:v>
                </c:pt>
                <c:pt idx="102">
                  <c:v>43624</c:v>
                </c:pt>
                <c:pt idx="103">
                  <c:v>43623</c:v>
                </c:pt>
                <c:pt idx="104">
                  <c:v>43622</c:v>
                </c:pt>
                <c:pt idx="105">
                  <c:v>43621</c:v>
                </c:pt>
                <c:pt idx="106">
                  <c:v>43620</c:v>
                </c:pt>
                <c:pt idx="107">
                  <c:v>43619</c:v>
                </c:pt>
                <c:pt idx="108">
                  <c:v>43618</c:v>
                </c:pt>
                <c:pt idx="109">
                  <c:v>43617</c:v>
                </c:pt>
                <c:pt idx="110">
                  <c:v>43616</c:v>
                </c:pt>
                <c:pt idx="111">
                  <c:v>43615</c:v>
                </c:pt>
                <c:pt idx="112">
                  <c:v>43614</c:v>
                </c:pt>
                <c:pt idx="113">
                  <c:v>43613</c:v>
                </c:pt>
                <c:pt idx="114">
                  <c:v>43612</c:v>
                </c:pt>
                <c:pt idx="115">
                  <c:v>43611</c:v>
                </c:pt>
                <c:pt idx="116">
                  <c:v>43610</c:v>
                </c:pt>
                <c:pt idx="117">
                  <c:v>43609</c:v>
                </c:pt>
                <c:pt idx="118">
                  <c:v>43608</c:v>
                </c:pt>
                <c:pt idx="119">
                  <c:v>43607</c:v>
                </c:pt>
                <c:pt idx="120">
                  <c:v>43606</c:v>
                </c:pt>
                <c:pt idx="121">
                  <c:v>43605</c:v>
                </c:pt>
                <c:pt idx="122">
                  <c:v>43604</c:v>
                </c:pt>
                <c:pt idx="123">
                  <c:v>43603</c:v>
                </c:pt>
                <c:pt idx="124">
                  <c:v>43602</c:v>
                </c:pt>
                <c:pt idx="125">
                  <c:v>43601</c:v>
                </c:pt>
                <c:pt idx="126">
                  <c:v>43600</c:v>
                </c:pt>
                <c:pt idx="127">
                  <c:v>43599</c:v>
                </c:pt>
                <c:pt idx="128">
                  <c:v>43598</c:v>
                </c:pt>
                <c:pt idx="129">
                  <c:v>43597</c:v>
                </c:pt>
                <c:pt idx="130">
                  <c:v>43596</c:v>
                </c:pt>
                <c:pt idx="131">
                  <c:v>43595</c:v>
                </c:pt>
                <c:pt idx="132">
                  <c:v>43594</c:v>
                </c:pt>
                <c:pt idx="133">
                  <c:v>43593</c:v>
                </c:pt>
                <c:pt idx="134">
                  <c:v>43592</c:v>
                </c:pt>
                <c:pt idx="135">
                  <c:v>43591</c:v>
                </c:pt>
                <c:pt idx="136">
                  <c:v>43590</c:v>
                </c:pt>
                <c:pt idx="137">
                  <c:v>43589</c:v>
                </c:pt>
                <c:pt idx="138">
                  <c:v>43588</c:v>
                </c:pt>
                <c:pt idx="139">
                  <c:v>43587</c:v>
                </c:pt>
                <c:pt idx="140">
                  <c:v>43586</c:v>
                </c:pt>
                <c:pt idx="141">
                  <c:v>43585</c:v>
                </c:pt>
                <c:pt idx="142">
                  <c:v>43584</c:v>
                </c:pt>
                <c:pt idx="143">
                  <c:v>43583</c:v>
                </c:pt>
                <c:pt idx="144">
                  <c:v>43582</c:v>
                </c:pt>
                <c:pt idx="145">
                  <c:v>43581</c:v>
                </c:pt>
                <c:pt idx="146">
                  <c:v>43580</c:v>
                </c:pt>
                <c:pt idx="147">
                  <c:v>43579</c:v>
                </c:pt>
                <c:pt idx="148">
                  <c:v>43578</c:v>
                </c:pt>
                <c:pt idx="149">
                  <c:v>43577</c:v>
                </c:pt>
                <c:pt idx="150">
                  <c:v>43576</c:v>
                </c:pt>
                <c:pt idx="151">
                  <c:v>43575</c:v>
                </c:pt>
                <c:pt idx="152">
                  <c:v>43574</c:v>
                </c:pt>
                <c:pt idx="153">
                  <c:v>43573</c:v>
                </c:pt>
                <c:pt idx="154">
                  <c:v>43572</c:v>
                </c:pt>
                <c:pt idx="155">
                  <c:v>43571</c:v>
                </c:pt>
                <c:pt idx="156">
                  <c:v>43570</c:v>
                </c:pt>
                <c:pt idx="157">
                  <c:v>43569</c:v>
                </c:pt>
                <c:pt idx="158">
                  <c:v>43568</c:v>
                </c:pt>
                <c:pt idx="159">
                  <c:v>43567</c:v>
                </c:pt>
                <c:pt idx="160">
                  <c:v>43566</c:v>
                </c:pt>
                <c:pt idx="161">
                  <c:v>43565</c:v>
                </c:pt>
                <c:pt idx="162">
                  <c:v>43564</c:v>
                </c:pt>
                <c:pt idx="163">
                  <c:v>43563</c:v>
                </c:pt>
                <c:pt idx="164">
                  <c:v>43562</c:v>
                </c:pt>
                <c:pt idx="165">
                  <c:v>43561</c:v>
                </c:pt>
                <c:pt idx="166">
                  <c:v>43560</c:v>
                </c:pt>
                <c:pt idx="167">
                  <c:v>43559</c:v>
                </c:pt>
                <c:pt idx="168">
                  <c:v>43558</c:v>
                </c:pt>
                <c:pt idx="169">
                  <c:v>43557</c:v>
                </c:pt>
                <c:pt idx="170">
                  <c:v>43556</c:v>
                </c:pt>
                <c:pt idx="171">
                  <c:v>43555</c:v>
                </c:pt>
                <c:pt idx="172">
                  <c:v>43554</c:v>
                </c:pt>
                <c:pt idx="173">
                  <c:v>43553</c:v>
                </c:pt>
                <c:pt idx="174">
                  <c:v>43552</c:v>
                </c:pt>
                <c:pt idx="175">
                  <c:v>43551</c:v>
                </c:pt>
                <c:pt idx="176">
                  <c:v>43550</c:v>
                </c:pt>
                <c:pt idx="177">
                  <c:v>43549</c:v>
                </c:pt>
                <c:pt idx="178">
                  <c:v>43548</c:v>
                </c:pt>
                <c:pt idx="179">
                  <c:v>43547</c:v>
                </c:pt>
                <c:pt idx="180">
                  <c:v>43546</c:v>
                </c:pt>
                <c:pt idx="181">
                  <c:v>43545</c:v>
                </c:pt>
                <c:pt idx="182">
                  <c:v>43544</c:v>
                </c:pt>
                <c:pt idx="183">
                  <c:v>43543</c:v>
                </c:pt>
                <c:pt idx="184">
                  <c:v>43542</c:v>
                </c:pt>
                <c:pt idx="185">
                  <c:v>43541</c:v>
                </c:pt>
                <c:pt idx="186">
                  <c:v>43540</c:v>
                </c:pt>
                <c:pt idx="187">
                  <c:v>43539</c:v>
                </c:pt>
                <c:pt idx="188">
                  <c:v>43538</c:v>
                </c:pt>
                <c:pt idx="189">
                  <c:v>43537</c:v>
                </c:pt>
                <c:pt idx="190">
                  <c:v>43536</c:v>
                </c:pt>
                <c:pt idx="191">
                  <c:v>43535</c:v>
                </c:pt>
                <c:pt idx="192">
                  <c:v>43534</c:v>
                </c:pt>
                <c:pt idx="193">
                  <c:v>43533</c:v>
                </c:pt>
                <c:pt idx="194">
                  <c:v>43532</c:v>
                </c:pt>
                <c:pt idx="195">
                  <c:v>43531</c:v>
                </c:pt>
                <c:pt idx="196">
                  <c:v>43530</c:v>
                </c:pt>
                <c:pt idx="197">
                  <c:v>43529</c:v>
                </c:pt>
                <c:pt idx="198">
                  <c:v>43528</c:v>
                </c:pt>
                <c:pt idx="199">
                  <c:v>43527</c:v>
                </c:pt>
                <c:pt idx="200">
                  <c:v>43526</c:v>
                </c:pt>
                <c:pt idx="201">
                  <c:v>43525</c:v>
                </c:pt>
                <c:pt idx="202">
                  <c:v>43524</c:v>
                </c:pt>
                <c:pt idx="203">
                  <c:v>43523</c:v>
                </c:pt>
                <c:pt idx="204">
                  <c:v>43522</c:v>
                </c:pt>
                <c:pt idx="205">
                  <c:v>43521</c:v>
                </c:pt>
                <c:pt idx="206">
                  <c:v>43520</c:v>
                </c:pt>
                <c:pt idx="207">
                  <c:v>43519</c:v>
                </c:pt>
                <c:pt idx="208">
                  <c:v>43518</c:v>
                </c:pt>
                <c:pt idx="209">
                  <c:v>43517</c:v>
                </c:pt>
                <c:pt idx="210">
                  <c:v>43516</c:v>
                </c:pt>
                <c:pt idx="211">
                  <c:v>43515</c:v>
                </c:pt>
                <c:pt idx="212">
                  <c:v>43514</c:v>
                </c:pt>
                <c:pt idx="213">
                  <c:v>43513</c:v>
                </c:pt>
                <c:pt idx="214">
                  <c:v>43512</c:v>
                </c:pt>
                <c:pt idx="215">
                  <c:v>43511</c:v>
                </c:pt>
                <c:pt idx="216">
                  <c:v>43510</c:v>
                </c:pt>
                <c:pt idx="217">
                  <c:v>43509</c:v>
                </c:pt>
                <c:pt idx="218">
                  <c:v>43508</c:v>
                </c:pt>
                <c:pt idx="219">
                  <c:v>43507</c:v>
                </c:pt>
                <c:pt idx="220">
                  <c:v>43506</c:v>
                </c:pt>
                <c:pt idx="221">
                  <c:v>43505</c:v>
                </c:pt>
                <c:pt idx="222">
                  <c:v>43504</c:v>
                </c:pt>
                <c:pt idx="223">
                  <c:v>43503</c:v>
                </c:pt>
                <c:pt idx="224">
                  <c:v>43502</c:v>
                </c:pt>
                <c:pt idx="225">
                  <c:v>43501</c:v>
                </c:pt>
                <c:pt idx="226">
                  <c:v>43500</c:v>
                </c:pt>
                <c:pt idx="227">
                  <c:v>43499</c:v>
                </c:pt>
                <c:pt idx="228">
                  <c:v>43498</c:v>
                </c:pt>
                <c:pt idx="229">
                  <c:v>43497</c:v>
                </c:pt>
                <c:pt idx="230">
                  <c:v>43496</c:v>
                </c:pt>
                <c:pt idx="231">
                  <c:v>43495</c:v>
                </c:pt>
                <c:pt idx="232">
                  <c:v>43494</c:v>
                </c:pt>
                <c:pt idx="233">
                  <c:v>43493</c:v>
                </c:pt>
                <c:pt idx="234">
                  <c:v>43492</c:v>
                </c:pt>
                <c:pt idx="235">
                  <c:v>43491</c:v>
                </c:pt>
                <c:pt idx="236">
                  <c:v>43490</c:v>
                </c:pt>
                <c:pt idx="237">
                  <c:v>43489</c:v>
                </c:pt>
                <c:pt idx="238">
                  <c:v>43488</c:v>
                </c:pt>
                <c:pt idx="239">
                  <c:v>43487</c:v>
                </c:pt>
                <c:pt idx="240">
                  <c:v>43486</c:v>
                </c:pt>
                <c:pt idx="241">
                  <c:v>43485</c:v>
                </c:pt>
                <c:pt idx="242">
                  <c:v>43484</c:v>
                </c:pt>
                <c:pt idx="243">
                  <c:v>43483</c:v>
                </c:pt>
                <c:pt idx="244">
                  <c:v>43482</c:v>
                </c:pt>
                <c:pt idx="245">
                  <c:v>43481</c:v>
                </c:pt>
                <c:pt idx="246">
                  <c:v>43480</c:v>
                </c:pt>
                <c:pt idx="247">
                  <c:v>43479</c:v>
                </c:pt>
                <c:pt idx="248">
                  <c:v>43478</c:v>
                </c:pt>
                <c:pt idx="249">
                  <c:v>43477</c:v>
                </c:pt>
                <c:pt idx="250">
                  <c:v>43476</c:v>
                </c:pt>
                <c:pt idx="251">
                  <c:v>43475</c:v>
                </c:pt>
                <c:pt idx="252">
                  <c:v>43474</c:v>
                </c:pt>
                <c:pt idx="253">
                  <c:v>43473</c:v>
                </c:pt>
                <c:pt idx="254">
                  <c:v>43472</c:v>
                </c:pt>
                <c:pt idx="255">
                  <c:v>43471</c:v>
                </c:pt>
                <c:pt idx="256">
                  <c:v>43470</c:v>
                </c:pt>
                <c:pt idx="257">
                  <c:v>43469</c:v>
                </c:pt>
                <c:pt idx="258">
                  <c:v>43468</c:v>
                </c:pt>
                <c:pt idx="259">
                  <c:v>43467</c:v>
                </c:pt>
                <c:pt idx="260">
                  <c:v>43466</c:v>
                </c:pt>
                <c:pt idx="261">
                  <c:v>43465</c:v>
                </c:pt>
                <c:pt idx="262">
                  <c:v>43464</c:v>
                </c:pt>
                <c:pt idx="263">
                  <c:v>43463</c:v>
                </c:pt>
                <c:pt idx="264">
                  <c:v>43462</c:v>
                </c:pt>
                <c:pt idx="265">
                  <c:v>43461</c:v>
                </c:pt>
                <c:pt idx="266">
                  <c:v>43460</c:v>
                </c:pt>
                <c:pt idx="267">
                  <c:v>43459</c:v>
                </c:pt>
                <c:pt idx="268">
                  <c:v>43458</c:v>
                </c:pt>
                <c:pt idx="269">
                  <c:v>43457</c:v>
                </c:pt>
                <c:pt idx="270">
                  <c:v>43456</c:v>
                </c:pt>
                <c:pt idx="271">
                  <c:v>43455</c:v>
                </c:pt>
                <c:pt idx="272">
                  <c:v>43454</c:v>
                </c:pt>
                <c:pt idx="273">
                  <c:v>43453</c:v>
                </c:pt>
                <c:pt idx="274">
                  <c:v>43452</c:v>
                </c:pt>
                <c:pt idx="275">
                  <c:v>43451</c:v>
                </c:pt>
                <c:pt idx="276">
                  <c:v>43450</c:v>
                </c:pt>
                <c:pt idx="277">
                  <c:v>43449</c:v>
                </c:pt>
                <c:pt idx="278">
                  <c:v>43448</c:v>
                </c:pt>
                <c:pt idx="279">
                  <c:v>43447</c:v>
                </c:pt>
                <c:pt idx="280">
                  <c:v>43446</c:v>
                </c:pt>
                <c:pt idx="281">
                  <c:v>43445</c:v>
                </c:pt>
                <c:pt idx="282">
                  <c:v>43444</c:v>
                </c:pt>
                <c:pt idx="283">
                  <c:v>43443</c:v>
                </c:pt>
                <c:pt idx="284">
                  <c:v>43442</c:v>
                </c:pt>
                <c:pt idx="285">
                  <c:v>43441</c:v>
                </c:pt>
                <c:pt idx="286">
                  <c:v>43440</c:v>
                </c:pt>
                <c:pt idx="287">
                  <c:v>43439</c:v>
                </c:pt>
                <c:pt idx="288">
                  <c:v>43438</c:v>
                </c:pt>
                <c:pt idx="289">
                  <c:v>43437</c:v>
                </c:pt>
                <c:pt idx="290">
                  <c:v>43436</c:v>
                </c:pt>
                <c:pt idx="291">
                  <c:v>43435</c:v>
                </c:pt>
                <c:pt idx="292">
                  <c:v>43434</c:v>
                </c:pt>
                <c:pt idx="293">
                  <c:v>43433</c:v>
                </c:pt>
                <c:pt idx="294">
                  <c:v>43432</c:v>
                </c:pt>
                <c:pt idx="295">
                  <c:v>43431</c:v>
                </c:pt>
                <c:pt idx="296">
                  <c:v>43430</c:v>
                </c:pt>
                <c:pt idx="297">
                  <c:v>43429</c:v>
                </c:pt>
                <c:pt idx="298">
                  <c:v>43428</c:v>
                </c:pt>
                <c:pt idx="299">
                  <c:v>43427</c:v>
                </c:pt>
                <c:pt idx="300">
                  <c:v>43426</c:v>
                </c:pt>
                <c:pt idx="301">
                  <c:v>43425</c:v>
                </c:pt>
                <c:pt idx="302">
                  <c:v>43424</c:v>
                </c:pt>
                <c:pt idx="303">
                  <c:v>43423</c:v>
                </c:pt>
                <c:pt idx="304">
                  <c:v>43422</c:v>
                </c:pt>
                <c:pt idx="305">
                  <c:v>43421</c:v>
                </c:pt>
                <c:pt idx="306">
                  <c:v>43420</c:v>
                </c:pt>
                <c:pt idx="307">
                  <c:v>43419</c:v>
                </c:pt>
                <c:pt idx="308">
                  <c:v>43418</c:v>
                </c:pt>
                <c:pt idx="309">
                  <c:v>43417</c:v>
                </c:pt>
                <c:pt idx="310">
                  <c:v>43416</c:v>
                </c:pt>
                <c:pt idx="311">
                  <c:v>43415</c:v>
                </c:pt>
                <c:pt idx="312">
                  <c:v>43414</c:v>
                </c:pt>
                <c:pt idx="313">
                  <c:v>43413</c:v>
                </c:pt>
                <c:pt idx="314">
                  <c:v>43412</c:v>
                </c:pt>
                <c:pt idx="315">
                  <c:v>43411</c:v>
                </c:pt>
                <c:pt idx="316">
                  <c:v>43410</c:v>
                </c:pt>
                <c:pt idx="317">
                  <c:v>43409</c:v>
                </c:pt>
                <c:pt idx="318">
                  <c:v>43408</c:v>
                </c:pt>
                <c:pt idx="319">
                  <c:v>43407</c:v>
                </c:pt>
                <c:pt idx="320">
                  <c:v>43406</c:v>
                </c:pt>
                <c:pt idx="321">
                  <c:v>43405</c:v>
                </c:pt>
                <c:pt idx="322">
                  <c:v>43404</c:v>
                </c:pt>
                <c:pt idx="323">
                  <c:v>43403</c:v>
                </c:pt>
                <c:pt idx="324">
                  <c:v>43402</c:v>
                </c:pt>
                <c:pt idx="325">
                  <c:v>43401</c:v>
                </c:pt>
                <c:pt idx="326">
                  <c:v>43400</c:v>
                </c:pt>
                <c:pt idx="327">
                  <c:v>43399</c:v>
                </c:pt>
                <c:pt idx="328">
                  <c:v>43398</c:v>
                </c:pt>
                <c:pt idx="329">
                  <c:v>43397</c:v>
                </c:pt>
                <c:pt idx="330">
                  <c:v>43396</c:v>
                </c:pt>
                <c:pt idx="331">
                  <c:v>43395</c:v>
                </c:pt>
                <c:pt idx="332">
                  <c:v>43394</c:v>
                </c:pt>
                <c:pt idx="333">
                  <c:v>43393</c:v>
                </c:pt>
                <c:pt idx="334">
                  <c:v>43392</c:v>
                </c:pt>
                <c:pt idx="335">
                  <c:v>43391</c:v>
                </c:pt>
                <c:pt idx="336">
                  <c:v>43390</c:v>
                </c:pt>
                <c:pt idx="337">
                  <c:v>43389</c:v>
                </c:pt>
                <c:pt idx="338">
                  <c:v>43388</c:v>
                </c:pt>
                <c:pt idx="339">
                  <c:v>43387</c:v>
                </c:pt>
                <c:pt idx="340">
                  <c:v>43386</c:v>
                </c:pt>
                <c:pt idx="341">
                  <c:v>43385</c:v>
                </c:pt>
                <c:pt idx="342">
                  <c:v>43384</c:v>
                </c:pt>
                <c:pt idx="343">
                  <c:v>43383</c:v>
                </c:pt>
                <c:pt idx="344">
                  <c:v>43382</c:v>
                </c:pt>
                <c:pt idx="345">
                  <c:v>43381</c:v>
                </c:pt>
                <c:pt idx="346">
                  <c:v>43380</c:v>
                </c:pt>
                <c:pt idx="347">
                  <c:v>43379</c:v>
                </c:pt>
                <c:pt idx="348">
                  <c:v>43378</c:v>
                </c:pt>
                <c:pt idx="349">
                  <c:v>43377</c:v>
                </c:pt>
                <c:pt idx="350">
                  <c:v>43376</c:v>
                </c:pt>
                <c:pt idx="351">
                  <c:v>43375</c:v>
                </c:pt>
                <c:pt idx="352">
                  <c:v>43374</c:v>
                </c:pt>
                <c:pt idx="353">
                  <c:v>43373</c:v>
                </c:pt>
                <c:pt idx="354">
                  <c:v>43372</c:v>
                </c:pt>
                <c:pt idx="355">
                  <c:v>43371</c:v>
                </c:pt>
                <c:pt idx="356">
                  <c:v>43370</c:v>
                </c:pt>
                <c:pt idx="357">
                  <c:v>43369</c:v>
                </c:pt>
                <c:pt idx="358">
                  <c:v>43368</c:v>
                </c:pt>
                <c:pt idx="359">
                  <c:v>43367</c:v>
                </c:pt>
                <c:pt idx="360">
                  <c:v>43366</c:v>
                </c:pt>
                <c:pt idx="361">
                  <c:v>43365</c:v>
                </c:pt>
                <c:pt idx="362">
                  <c:v>43364</c:v>
                </c:pt>
                <c:pt idx="363">
                  <c:v>43363</c:v>
                </c:pt>
                <c:pt idx="364">
                  <c:v>43362</c:v>
                </c:pt>
                <c:pt idx="365">
                  <c:v>43361</c:v>
                </c:pt>
              </c:numCache>
            </c:numRef>
          </c:cat>
          <c:val>
            <c:numRef>
              <c:f>'FX Forward &amp; SwapPoint'!$CX$12:$CX$377</c:f>
              <c:numCache>
                <c:formatCode>General</c:formatCode>
                <c:ptCount val="366"/>
                <c:pt idx="0">
                  <c:v>26.25</c:v>
                </c:pt>
                <c:pt idx="1">
                  <c:v>26.68</c:v>
                </c:pt>
                <c:pt idx="2">
                  <c:v>25.74</c:v>
                </c:pt>
                <c:pt idx="3">
                  <c:v>24.65</c:v>
                </c:pt>
                <c:pt idx="4">
                  <c:v>24.74</c:v>
                </c:pt>
                <c:pt idx="5">
                  <c:v>24.73</c:v>
                </c:pt>
                <c:pt idx="6">
                  <c:v>24.94</c:v>
                </c:pt>
                <c:pt idx="7">
                  <c:v>27.25</c:v>
                </c:pt>
                <c:pt idx="8">
                  <c:v>28.6</c:v>
                </c:pt>
                <c:pt idx="9">
                  <c:v>26.27</c:v>
                </c:pt>
                <c:pt idx="10">
                  <c:v>25.78</c:v>
                </c:pt>
                <c:pt idx="11">
                  <c:v>25.78</c:v>
                </c:pt>
                <c:pt idx="12">
                  <c:v>25.94</c:v>
                </c:pt>
                <c:pt idx="13">
                  <c:v>26</c:v>
                </c:pt>
                <c:pt idx="14">
                  <c:v>26.99</c:v>
                </c:pt>
                <c:pt idx="15">
                  <c:v>27.64</c:v>
                </c:pt>
                <c:pt idx="16">
                  <c:v>26</c:v>
                </c:pt>
                <c:pt idx="17">
                  <c:v>25.86</c:v>
                </c:pt>
                <c:pt idx="18">
                  <c:v>25.71</c:v>
                </c:pt>
                <c:pt idx="19">
                  <c:v>25.96</c:v>
                </c:pt>
                <c:pt idx="20">
                  <c:v>25.94</c:v>
                </c:pt>
                <c:pt idx="21">
                  <c:v>25.67</c:v>
                </c:pt>
                <c:pt idx="22">
                  <c:v>26.54</c:v>
                </c:pt>
                <c:pt idx="23">
                  <c:v>27.56</c:v>
                </c:pt>
                <c:pt idx="24">
                  <c:v>25.72</c:v>
                </c:pt>
                <c:pt idx="25">
                  <c:v>25.85</c:v>
                </c:pt>
                <c:pt idx="26">
                  <c:v>25.89</c:v>
                </c:pt>
                <c:pt idx="27">
                  <c:v>25.73</c:v>
                </c:pt>
                <c:pt idx="28">
                  <c:v>25.54</c:v>
                </c:pt>
                <c:pt idx="29">
                  <c:v>26.18</c:v>
                </c:pt>
                <c:pt idx="30">
                  <c:v>27.54</c:v>
                </c:pt>
                <c:pt idx="31">
                  <c:v>25.98</c:v>
                </c:pt>
                <c:pt idx="32">
                  <c:v>26.16</c:v>
                </c:pt>
                <c:pt idx="33">
                  <c:v>26.25</c:v>
                </c:pt>
                <c:pt idx="34">
                  <c:v>26.38</c:v>
                </c:pt>
                <c:pt idx="35">
                  <c:v>26.66</c:v>
                </c:pt>
                <c:pt idx="36">
                  <c:v>27.68</c:v>
                </c:pt>
                <c:pt idx="37">
                  <c:v>28.35</c:v>
                </c:pt>
                <c:pt idx="38">
                  <c:v>26.1</c:v>
                </c:pt>
                <c:pt idx="39">
                  <c:v>26.23</c:v>
                </c:pt>
                <c:pt idx="40">
                  <c:v>26.28</c:v>
                </c:pt>
                <c:pt idx="41">
                  <c:v>26.25</c:v>
                </c:pt>
                <c:pt idx="42">
                  <c:v>26.01</c:v>
                </c:pt>
                <c:pt idx="43">
                  <c:v>27.29</c:v>
                </c:pt>
                <c:pt idx="44">
                  <c:v>28.46</c:v>
                </c:pt>
                <c:pt idx="45">
                  <c:v>26.64</c:v>
                </c:pt>
                <c:pt idx="46">
                  <c:v>26.53</c:v>
                </c:pt>
                <c:pt idx="47">
                  <c:v>26.71</c:v>
                </c:pt>
                <c:pt idx="48">
                  <c:v>26.53</c:v>
                </c:pt>
                <c:pt idx="49">
                  <c:v>27.9</c:v>
                </c:pt>
                <c:pt idx="50">
                  <c:v>28.98</c:v>
                </c:pt>
                <c:pt idx="51">
                  <c:v>26.41</c:v>
                </c:pt>
                <c:pt idx="52">
                  <c:v>26.93</c:v>
                </c:pt>
                <c:pt idx="53">
                  <c:v>26.91</c:v>
                </c:pt>
                <c:pt idx="54">
                  <c:v>26.94</c:v>
                </c:pt>
                <c:pt idx="55">
                  <c:v>27.07</c:v>
                </c:pt>
                <c:pt idx="56">
                  <c:v>27.47</c:v>
                </c:pt>
                <c:pt idx="57">
                  <c:v>28.4</c:v>
                </c:pt>
                <c:pt idx="58">
                  <c:v>29.57</c:v>
                </c:pt>
                <c:pt idx="59">
                  <c:v>27.77</c:v>
                </c:pt>
                <c:pt idx="60">
                  <c:v>27.83</c:v>
                </c:pt>
                <c:pt idx="61">
                  <c:v>27.66</c:v>
                </c:pt>
                <c:pt idx="62">
                  <c:v>27.73</c:v>
                </c:pt>
                <c:pt idx="63">
                  <c:v>28.23</c:v>
                </c:pt>
                <c:pt idx="64">
                  <c:v>29.09</c:v>
                </c:pt>
                <c:pt idx="65">
                  <c:v>30.06</c:v>
                </c:pt>
                <c:pt idx="66">
                  <c:v>28.26</c:v>
                </c:pt>
                <c:pt idx="67">
                  <c:v>28.25</c:v>
                </c:pt>
                <c:pt idx="68">
                  <c:v>28.3</c:v>
                </c:pt>
                <c:pt idx="69">
                  <c:v>28.26</c:v>
                </c:pt>
                <c:pt idx="70">
                  <c:v>28.33</c:v>
                </c:pt>
                <c:pt idx="71">
                  <c:v>29.53</c:v>
                </c:pt>
                <c:pt idx="72">
                  <c:v>30.76</c:v>
                </c:pt>
                <c:pt idx="73">
                  <c:v>28.58</c:v>
                </c:pt>
                <c:pt idx="74">
                  <c:v>28.35</c:v>
                </c:pt>
                <c:pt idx="75">
                  <c:v>28.79</c:v>
                </c:pt>
                <c:pt idx="76">
                  <c:v>28.31</c:v>
                </c:pt>
                <c:pt idx="77">
                  <c:v>28.63</c:v>
                </c:pt>
                <c:pt idx="78">
                  <c:v>28.98</c:v>
                </c:pt>
                <c:pt idx="79">
                  <c:v>30.86</c:v>
                </c:pt>
                <c:pt idx="80">
                  <c:v>29.05</c:v>
                </c:pt>
                <c:pt idx="81">
                  <c:v>29</c:v>
                </c:pt>
                <c:pt idx="82">
                  <c:v>28.99</c:v>
                </c:pt>
                <c:pt idx="83">
                  <c:v>29.07</c:v>
                </c:pt>
                <c:pt idx="84">
                  <c:v>31.56</c:v>
                </c:pt>
                <c:pt idx="85">
                  <c:v>30.47</c:v>
                </c:pt>
                <c:pt idx="86">
                  <c:v>28.44</c:v>
                </c:pt>
                <c:pt idx="87">
                  <c:v>28.31</c:v>
                </c:pt>
                <c:pt idx="88">
                  <c:v>28.44</c:v>
                </c:pt>
                <c:pt idx="89">
                  <c:v>28.38</c:v>
                </c:pt>
                <c:pt idx="90">
                  <c:v>28.13</c:v>
                </c:pt>
                <c:pt idx="91">
                  <c:v>28.51</c:v>
                </c:pt>
                <c:pt idx="92">
                  <c:v>29.75</c:v>
                </c:pt>
                <c:pt idx="93">
                  <c:v>28.31</c:v>
                </c:pt>
                <c:pt idx="94">
                  <c:v>28.19</c:v>
                </c:pt>
                <c:pt idx="95">
                  <c:v>28.02</c:v>
                </c:pt>
                <c:pt idx="96">
                  <c:v>28.31</c:v>
                </c:pt>
                <c:pt idx="97">
                  <c:v>28.44</c:v>
                </c:pt>
                <c:pt idx="98">
                  <c:v>29.21</c:v>
                </c:pt>
                <c:pt idx="99">
                  <c:v>30.2</c:v>
                </c:pt>
                <c:pt idx="100">
                  <c:v>28.53</c:v>
                </c:pt>
                <c:pt idx="101">
                  <c:v>28.19</c:v>
                </c:pt>
                <c:pt idx="102">
                  <c:v>28.35</c:v>
                </c:pt>
                <c:pt idx="103">
                  <c:v>28.37</c:v>
                </c:pt>
                <c:pt idx="104">
                  <c:v>27.92</c:v>
                </c:pt>
                <c:pt idx="105">
                  <c:v>28.92</c:v>
                </c:pt>
                <c:pt idx="106">
                  <c:v>30.06</c:v>
                </c:pt>
                <c:pt idx="107">
                  <c:v>28.1</c:v>
                </c:pt>
                <c:pt idx="108">
                  <c:v>29.36</c:v>
                </c:pt>
                <c:pt idx="109">
                  <c:v>29.49</c:v>
                </c:pt>
                <c:pt idx="110">
                  <c:v>29.33</c:v>
                </c:pt>
                <c:pt idx="111">
                  <c:v>28.51</c:v>
                </c:pt>
                <c:pt idx="112">
                  <c:v>25.69</c:v>
                </c:pt>
                <c:pt idx="113">
                  <c:v>26.92</c:v>
                </c:pt>
                <c:pt idx="114">
                  <c:v>27.93</c:v>
                </c:pt>
                <c:pt idx="115">
                  <c:v>28.77</c:v>
                </c:pt>
                <c:pt idx="116">
                  <c:v>28.69</c:v>
                </c:pt>
                <c:pt idx="117">
                  <c:v>28.59</c:v>
                </c:pt>
                <c:pt idx="118">
                  <c:v>28.59</c:v>
                </c:pt>
                <c:pt idx="119">
                  <c:v>28.58</c:v>
                </c:pt>
                <c:pt idx="120">
                  <c:v>29.58</c:v>
                </c:pt>
                <c:pt idx="121">
                  <c:v>30.4</c:v>
                </c:pt>
                <c:pt idx="122">
                  <c:v>28.44</c:v>
                </c:pt>
                <c:pt idx="123">
                  <c:v>28.63</c:v>
                </c:pt>
                <c:pt idx="124">
                  <c:v>28.59</c:v>
                </c:pt>
                <c:pt idx="125">
                  <c:v>28.64</c:v>
                </c:pt>
                <c:pt idx="126">
                  <c:v>28.71</c:v>
                </c:pt>
                <c:pt idx="127">
                  <c:v>29.67</c:v>
                </c:pt>
                <c:pt idx="128">
                  <c:v>30.56</c:v>
                </c:pt>
                <c:pt idx="129">
                  <c:v>28.46</c:v>
                </c:pt>
                <c:pt idx="130">
                  <c:v>28.64</c:v>
                </c:pt>
                <c:pt idx="131">
                  <c:v>28.59</c:v>
                </c:pt>
                <c:pt idx="132">
                  <c:v>28.67</c:v>
                </c:pt>
                <c:pt idx="133">
                  <c:v>28.64</c:v>
                </c:pt>
                <c:pt idx="134">
                  <c:v>29.57</c:v>
                </c:pt>
                <c:pt idx="135">
                  <c:v>31.05</c:v>
                </c:pt>
                <c:pt idx="136">
                  <c:v>29.21</c:v>
                </c:pt>
                <c:pt idx="137">
                  <c:v>29.38</c:v>
                </c:pt>
                <c:pt idx="138">
                  <c:v>29.33</c:v>
                </c:pt>
                <c:pt idx="139">
                  <c:v>29.46</c:v>
                </c:pt>
                <c:pt idx="140">
                  <c:v>30.08</c:v>
                </c:pt>
                <c:pt idx="141">
                  <c:v>29.95</c:v>
                </c:pt>
                <c:pt idx="142">
                  <c:v>30.61</c:v>
                </c:pt>
                <c:pt idx="143">
                  <c:v>29.4</c:v>
                </c:pt>
                <c:pt idx="144">
                  <c:v>29.44</c:v>
                </c:pt>
                <c:pt idx="145">
                  <c:v>29.65</c:v>
                </c:pt>
                <c:pt idx="146">
                  <c:v>28.34</c:v>
                </c:pt>
                <c:pt idx="147">
                  <c:v>30.34</c:v>
                </c:pt>
                <c:pt idx="148">
                  <c:v>31.57</c:v>
                </c:pt>
                <c:pt idx="149">
                  <c:v>28.1</c:v>
                </c:pt>
                <c:pt idx="150">
                  <c:v>28.71</c:v>
                </c:pt>
                <c:pt idx="151">
                  <c:v>28.11</c:v>
                </c:pt>
                <c:pt idx="152">
                  <c:v>28.09</c:v>
                </c:pt>
                <c:pt idx="153">
                  <c:v>28.78</c:v>
                </c:pt>
                <c:pt idx="154">
                  <c:v>28.73</c:v>
                </c:pt>
                <c:pt idx="155">
                  <c:v>30.5</c:v>
                </c:pt>
                <c:pt idx="156">
                  <c:v>28.82</c:v>
                </c:pt>
                <c:pt idx="157">
                  <c:v>28.61</c:v>
                </c:pt>
                <c:pt idx="158">
                  <c:v>28.56</c:v>
                </c:pt>
                <c:pt idx="159">
                  <c:v>28.61</c:v>
                </c:pt>
                <c:pt idx="160">
                  <c:v>28.33</c:v>
                </c:pt>
                <c:pt idx="161">
                  <c:v>29.32</c:v>
                </c:pt>
                <c:pt idx="162">
                  <c:v>30.65</c:v>
                </c:pt>
                <c:pt idx="163">
                  <c:v>28.7</c:v>
                </c:pt>
                <c:pt idx="164">
                  <c:v>28.21</c:v>
                </c:pt>
                <c:pt idx="165">
                  <c:v>28.24</c:v>
                </c:pt>
                <c:pt idx="166">
                  <c:v>28.19</c:v>
                </c:pt>
                <c:pt idx="167">
                  <c:v>28.19</c:v>
                </c:pt>
                <c:pt idx="168">
                  <c:v>29.11</c:v>
                </c:pt>
                <c:pt idx="169">
                  <c:v>30.13</c:v>
                </c:pt>
                <c:pt idx="170">
                  <c:v>28.24</c:v>
                </c:pt>
                <c:pt idx="171">
                  <c:v>28.34</c:v>
                </c:pt>
                <c:pt idx="172">
                  <c:v>28.22</c:v>
                </c:pt>
                <c:pt idx="173">
                  <c:v>28.24</c:v>
                </c:pt>
                <c:pt idx="174">
                  <c:v>29.3</c:v>
                </c:pt>
                <c:pt idx="175">
                  <c:v>31.05</c:v>
                </c:pt>
                <c:pt idx="176">
                  <c:v>31.46</c:v>
                </c:pt>
                <c:pt idx="177">
                  <c:v>32.14</c:v>
                </c:pt>
                <c:pt idx="178">
                  <c:v>30.11</c:v>
                </c:pt>
                <c:pt idx="179">
                  <c:v>30.09</c:v>
                </c:pt>
                <c:pt idx="180">
                  <c:v>30</c:v>
                </c:pt>
                <c:pt idx="181">
                  <c:v>30.35</c:v>
                </c:pt>
                <c:pt idx="182">
                  <c:v>30.9</c:v>
                </c:pt>
                <c:pt idx="183">
                  <c:v>31.66</c:v>
                </c:pt>
                <c:pt idx="184">
                  <c:v>32.6</c:v>
                </c:pt>
                <c:pt idx="185">
                  <c:v>33.49</c:v>
                </c:pt>
                <c:pt idx="186">
                  <c:v>33.47</c:v>
                </c:pt>
                <c:pt idx="187">
                  <c:v>33.49</c:v>
                </c:pt>
                <c:pt idx="188">
                  <c:v>29.62</c:v>
                </c:pt>
                <c:pt idx="189">
                  <c:v>29.53</c:v>
                </c:pt>
                <c:pt idx="190">
                  <c:v>30.37</c:v>
                </c:pt>
                <c:pt idx="191">
                  <c:v>31.37</c:v>
                </c:pt>
                <c:pt idx="192">
                  <c:v>29.32</c:v>
                </c:pt>
                <c:pt idx="193">
                  <c:v>29.42</c:v>
                </c:pt>
                <c:pt idx="194">
                  <c:v>29.44</c:v>
                </c:pt>
                <c:pt idx="195">
                  <c:v>29.12</c:v>
                </c:pt>
                <c:pt idx="196">
                  <c:v>29.22</c:v>
                </c:pt>
                <c:pt idx="197">
                  <c:v>30.25</c:v>
                </c:pt>
                <c:pt idx="198">
                  <c:v>31.16</c:v>
                </c:pt>
                <c:pt idx="199">
                  <c:v>29.54</c:v>
                </c:pt>
                <c:pt idx="200">
                  <c:v>29.56</c:v>
                </c:pt>
                <c:pt idx="201">
                  <c:v>29.56</c:v>
                </c:pt>
                <c:pt idx="202">
                  <c:v>29.5</c:v>
                </c:pt>
                <c:pt idx="203">
                  <c:v>29.41</c:v>
                </c:pt>
                <c:pt idx="204">
                  <c:v>27.19</c:v>
                </c:pt>
                <c:pt idx="205">
                  <c:v>26.2</c:v>
                </c:pt>
                <c:pt idx="206">
                  <c:v>25.97</c:v>
                </c:pt>
                <c:pt idx="207">
                  <c:v>25.99</c:v>
                </c:pt>
                <c:pt idx="208">
                  <c:v>26.03</c:v>
                </c:pt>
                <c:pt idx="209">
                  <c:v>25.86</c:v>
                </c:pt>
                <c:pt idx="210">
                  <c:v>25.96</c:v>
                </c:pt>
                <c:pt idx="211">
                  <c:v>26.06</c:v>
                </c:pt>
                <c:pt idx="212">
                  <c:v>26.01</c:v>
                </c:pt>
                <c:pt idx="213">
                  <c:v>26.01</c:v>
                </c:pt>
                <c:pt idx="214">
                  <c:v>26</c:v>
                </c:pt>
                <c:pt idx="215">
                  <c:v>25.9</c:v>
                </c:pt>
                <c:pt idx="216">
                  <c:v>26.04</c:v>
                </c:pt>
                <c:pt idx="217">
                  <c:v>26.18</c:v>
                </c:pt>
                <c:pt idx="218">
                  <c:v>26.27</c:v>
                </c:pt>
                <c:pt idx="219">
                  <c:v>26.1</c:v>
                </c:pt>
                <c:pt idx="220">
                  <c:v>26.24</c:v>
                </c:pt>
                <c:pt idx="221">
                  <c:v>26.31</c:v>
                </c:pt>
                <c:pt idx="222">
                  <c:v>26.26</c:v>
                </c:pt>
                <c:pt idx="223">
                  <c:v>26.35</c:v>
                </c:pt>
                <c:pt idx="224">
                  <c:v>26.45</c:v>
                </c:pt>
                <c:pt idx="225">
                  <c:v>26.65</c:v>
                </c:pt>
                <c:pt idx="226">
                  <c:v>26.74</c:v>
                </c:pt>
                <c:pt idx="227">
                  <c:v>26.96</c:v>
                </c:pt>
                <c:pt idx="228">
                  <c:v>26.96</c:v>
                </c:pt>
                <c:pt idx="229">
                  <c:v>26.89</c:v>
                </c:pt>
                <c:pt idx="230">
                  <c:v>26.98</c:v>
                </c:pt>
                <c:pt idx="231">
                  <c:v>26.65</c:v>
                </c:pt>
                <c:pt idx="232">
                  <c:v>26.87</c:v>
                </c:pt>
                <c:pt idx="233">
                  <c:v>27.77</c:v>
                </c:pt>
                <c:pt idx="234">
                  <c:v>28.59</c:v>
                </c:pt>
                <c:pt idx="235">
                  <c:v>28.67</c:v>
                </c:pt>
                <c:pt idx="236">
                  <c:v>28.53</c:v>
                </c:pt>
                <c:pt idx="237">
                  <c:v>29.51</c:v>
                </c:pt>
                <c:pt idx="238">
                  <c:v>29.72</c:v>
                </c:pt>
                <c:pt idx="239">
                  <c:v>30.68</c:v>
                </c:pt>
                <c:pt idx="240">
                  <c:v>31.44</c:v>
                </c:pt>
                <c:pt idx="241">
                  <c:v>29.39</c:v>
                </c:pt>
                <c:pt idx="242">
                  <c:v>29.46</c:v>
                </c:pt>
                <c:pt idx="243">
                  <c:v>29.49</c:v>
                </c:pt>
                <c:pt idx="244">
                  <c:v>29.57</c:v>
                </c:pt>
                <c:pt idx="245">
                  <c:v>30.82</c:v>
                </c:pt>
                <c:pt idx="246">
                  <c:v>31.82</c:v>
                </c:pt>
                <c:pt idx="247">
                  <c:v>32.69</c:v>
                </c:pt>
                <c:pt idx="248">
                  <c:v>29.5</c:v>
                </c:pt>
                <c:pt idx="249">
                  <c:v>29.48</c:v>
                </c:pt>
                <c:pt idx="250">
                  <c:v>29.49</c:v>
                </c:pt>
                <c:pt idx="251">
                  <c:v>29.6</c:v>
                </c:pt>
                <c:pt idx="252">
                  <c:v>29.41</c:v>
                </c:pt>
                <c:pt idx="253">
                  <c:v>30.26</c:v>
                </c:pt>
                <c:pt idx="254">
                  <c:v>31.57</c:v>
                </c:pt>
                <c:pt idx="255">
                  <c:v>29.36</c:v>
                </c:pt>
                <c:pt idx="256">
                  <c:v>29.4</c:v>
                </c:pt>
                <c:pt idx="257">
                  <c:v>29.34</c:v>
                </c:pt>
                <c:pt idx="258">
                  <c:v>29.18</c:v>
                </c:pt>
                <c:pt idx="259">
                  <c:v>28.91</c:v>
                </c:pt>
                <c:pt idx="260">
                  <c:v>30.21</c:v>
                </c:pt>
                <c:pt idx="261">
                  <c:v>30.3</c:v>
                </c:pt>
                <c:pt idx="262">
                  <c:v>31.06</c:v>
                </c:pt>
                <c:pt idx="263">
                  <c:v>31.08</c:v>
                </c:pt>
                <c:pt idx="264">
                  <c:v>31.14</c:v>
                </c:pt>
                <c:pt idx="265">
                  <c:v>30.34</c:v>
                </c:pt>
                <c:pt idx="266">
                  <c:v>31.44</c:v>
                </c:pt>
                <c:pt idx="267">
                  <c:v>31.64</c:v>
                </c:pt>
                <c:pt idx="268">
                  <c:v>32.18</c:v>
                </c:pt>
                <c:pt idx="269">
                  <c:v>33.369990000000001</c:v>
                </c:pt>
                <c:pt idx="270">
                  <c:v>33.340000000000003</c:v>
                </c:pt>
                <c:pt idx="271">
                  <c:v>33.94</c:v>
                </c:pt>
                <c:pt idx="272">
                  <c:v>34.21</c:v>
                </c:pt>
                <c:pt idx="273">
                  <c:v>35.96</c:v>
                </c:pt>
                <c:pt idx="274">
                  <c:v>35.76</c:v>
                </c:pt>
                <c:pt idx="275">
                  <c:v>37.26</c:v>
                </c:pt>
                <c:pt idx="276">
                  <c:v>34.54</c:v>
                </c:pt>
                <c:pt idx="277">
                  <c:v>34.299990000000001</c:v>
                </c:pt>
                <c:pt idx="278">
                  <c:v>34.520000000000003</c:v>
                </c:pt>
                <c:pt idx="279">
                  <c:v>33.97</c:v>
                </c:pt>
                <c:pt idx="280">
                  <c:v>35.22</c:v>
                </c:pt>
                <c:pt idx="281">
                  <c:v>37.29</c:v>
                </c:pt>
                <c:pt idx="282">
                  <c:v>39.32</c:v>
                </c:pt>
                <c:pt idx="283">
                  <c:v>35.97</c:v>
                </c:pt>
                <c:pt idx="284">
                  <c:v>35.86</c:v>
                </c:pt>
                <c:pt idx="285">
                  <c:v>35.869990000000001</c:v>
                </c:pt>
                <c:pt idx="286">
                  <c:v>35.94</c:v>
                </c:pt>
                <c:pt idx="287">
                  <c:v>35.979990000000001</c:v>
                </c:pt>
                <c:pt idx="288">
                  <c:v>38.25</c:v>
                </c:pt>
                <c:pt idx="289">
                  <c:v>39.270000000000003</c:v>
                </c:pt>
                <c:pt idx="290">
                  <c:v>35.840000000000003</c:v>
                </c:pt>
                <c:pt idx="291">
                  <c:v>36.29</c:v>
                </c:pt>
                <c:pt idx="292">
                  <c:v>36</c:v>
                </c:pt>
                <c:pt idx="293">
                  <c:v>33.93</c:v>
                </c:pt>
                <c:pt idx="294">
                  <c:v>27.54</c:v>
                </c:pt>
                <c:pt idx="295">
                  <c:v>28.35</c:v>
                </c:pt>
                <c:pt idx="296">
                  <c:v>26.31</c:v>
                </c:pt>
                <c:pt idx="297">
                  <c:v>26.26</c:v>
                </c:pt>
                <c:pt idx="298">
                  <c:v>26.11</c:v>
                </c:pt>
                <c:pt idx="299">
                  <c:v>26.3</c:v>
                </c:pt>
                <c:pt idx="300">
                  <c:v>27.26</c:v>
                </c:pt>
                <c:pt idx="301">
                  <c:v>26.96</c:v>
                </c:pt>
                <c:pt idx="302">
                  <c:v>27.05</c:v>
                </c:pt>
                <c:pt idx="303">
                  <c:v>25.9</c:v>
                </c:pt>
                <c:pt idx="304">
                  <c:v>26</c:v>
                </c:pt>
                <c:pt idx="305">
                  <c:v>26.1</c:v>
                </c:pt>
                <c:pt idx="306">
                  <c:v>25.89</c:v>
                </c:pt>
                <c:pt idx="307">
                  <c:v>25.89</c:v>
                </c:pt>
                <c:pt idx="308">
                  <c:v>26.71</c:v>
                </c:pt>
                <c:pt idx="309">
                  <c:v>27.5</c:v>
                </c:pt>
                <c:pt idx="310">
                  <c:v>25.96</c:v>
                </c:pt>
                <c:pt idx="311">
                  <c:v>26.17</c:v>
                </c:pt>
                <c:pt idx="312">
                  <c:v>26.12</c:v>
                </c:pt>
                <c:pt idx="313">
                  <c:v>26.1</c:v>
                </c:pt>
                <c:pt idx="314">
                  <c:v>26.3</c:v>
                </c:pt>
                <c:pt idx="315">
                  <c:v>27.28</c:v>
                </c:pt>
                <c:pt idx="316">
                  <c:v>27.9</c:v>
                </c:pt>
                <c:pt idx="317">
                  <c:v>26.11</c:v>
                </c:pt>
                <c:pt idx="318">
                  <c:v>26.02</c:v>
                </c:pt>
                <c:pt idx="319">
                  <c:v>26.01</c:v>
                </c:pt>
                <c:pt idx="320">
                  <c:v>26.12</c:v>
                </c:pt>
                <c:pt idx="321">
                  <c:v>26.03</c:v>
                </c:pt>
                <c:pt idx="322">
                  <c:v>26.94</c:v>
                </c:pt>
                <c:pt idx="323">
                  <c:v>28.11</c:v>
                </c:pt>
                <c:pt idx="324">
                  <c:v>26.55</c:v>
                </c:pt>
                <c:pt idx="325">
                  <c:v>27.47</c:v>
                </c:pt>
                <c:pt idx="326">
                  <c:v>27.46</c:v>
                </c:pt>
                <c:pt idx="327">
                  <c:v>27.43</c:v>
                </c:pt>
                <c:pt idx="328">
                  <c:v>27.35</c:v>
                </c:pt>
                <c:pt idx="329">
                  <c:v>27.28</c:v>
                </c:pt>
                <c:pt idx="330">
                  <c:v>28.3</c:v>
                </c:pt>
                <c:pt idx="331">
                  <c:v>29.21</c:v>
                </c:pt>
                <c:pt idx="332">
                  <c:v>27.65</c:v>
                </c:pt>
                <c:pt idx="333">
                  <c:v>27.65</c:v>
                </c:pt>
                <c:pt idx="334">
                  <c:v>27.6</c:v>
                </c:pt>
                <c:pt idx="335">
                  <c:v>28.39</c:v>
                </c:pt>
                <c:pt idx="336">
                  <c:v>27.66</c:v>
                </c:pt>
                <c:pt idx="337">
                  <c:v>28.53</c:v>
                </c:pt>
                <c:pt idx="338">
                  <c:v>29.67</c:v>
                </c:pt>
                <c:pt idx="339">
                  <c:v>27.91</c:v>
                </c:pt>
                <c:pt idx="340">
                  <c:v>27.93</c:v>
                </c:pt>
                <c:pt idx="341">
                  <c:v>27.95</c:v>
                </c:pt>
                <c:pt idx="342">
                  <c:v>27.83</c:v>
                </c:pt>
                <c:pt idx="343">
                  <c:v>28.71</c:v>
                </c:pt>
                <c:pt idx="344">
                  <c:v>29.46</c:v>
                </c:pt>
                <c:pt idx="345">
                  <c:v>30.23</c:v>
                </c:pt>
                <c:pt idx="346">
                  <c:v>27.44</c:v>
                </c:pt>
                <c:pt idx="347">
                  <c:v>27.45</c:v>
                </c:pt>
                <c:pt idx="348">
                  <c:v>27.4</c:v>
                </c:pt>
                <c:pt idx="349">
                  <c:v>27.44</c:v>
                </c:pt>
                <c:pt idx="350">
                  <c:v>27.35</c:v>
                </c:pt>
                <c:pt idx="351">
                  <c:v>28.4</c:v>
                </c:pt>
                <c:pt idx="352">
                  <c:v>29.41</c:v>
                </c:pt>
                <c:pt idx="353">
                  <c:v>27.95</c:v>
                </c:pt>
                <c:pt idx="354">
                  <c:v>27.95</c:v>
                </c:pt>
                <c:pt idx="355">
                  <c:v>28</c:v>
                </c:pt>
                <c:pt idx="356">
                  <c:v>28.25</c:v>
                </c:pt>
                <c:pt idx="357">
                  <c:v>30.5</c:v>
                </c:pt>
                <c:pt idx="358">
                  <c:v>29.39</c:v>
                </c:pt>
                <c:pt idx="359">
                  <c:v>27.56</c:v>
                </c:pt>
                <c:pt idx="360">
                  <c:v>27.41</c:v>
                </c:pt>
                <c:pt idx="361">
                  <c:v>27.42</c:v>
                </c:pt>
                <c:pt idx="362">
                  <c:v>27.5</c:v>
                </c:pt>
                <c:pt idx="363">
                  <c:v>27.22</c:v>
                </c:pt>
                <c:pt idx="364">
                  <c:v>28.03</c:v>
                </c:pt>
                <c:pt idx="365">
                  <c:v>28.89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'FX Forward &amp; SwapPoint'!$CY$11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92D050"/>
              </a:solidFill>
            </a:ln>
          </c:spPr>
          <c:marker>
            <c:symbol val="none"/>
          </c:marker>
          <c:cat>
            <c:numRef>
              <c:f>'FX Forward &amp; SwapPoint'!$CW$12:$CW$377</c:f>
              <c:numCache>
                <c:formatCode>m/d/yyyy</c:formatCode>
                <c:ptCount val="366"/>
                <c:pt idx="0">
                  <c:v>43726</c:v>
                </c:pt>
                <c:pt idx="1">
                  <c:v>43725</c:v>
                </c:pt>
                <c:pt idx="2">
                  <c:v>43724</c:v>
                </c:pt>
                <c:pt idx="3">
                  <c:v>43723</c:v>
                </c:pt>
                <c:pt idx="4">
                  <c:v>43722</c:v>
                </c:pt>
                <c:pt idx="5">
                  <c:v>43721</c:v>
                </c:pt>
                <c:pt idx="6">
                  <c:v>43720</c:v>
                </c:pt>
                <c:pt idx="7">
                  <c:v>43719</c:v>
                </c:pt>
                <c:pt idx="8">
                  <c:v>43718</c:v>
                </c:pt>
                <c:pt idx="9">
                  <c:v>43717</c:v>
                </c:pt>
                <c:pt idx="10">
                  <c:v>43716</c:v>
                </c:pt>
                <c:pt idx="11">
                  <c:v>43715</c:v>
                </c:pt>
                <c:pt idx="12">
                  <c:v>43714</c:v>
                </c:pt>
                <c:pt idx="13">
                  <c:v>43713</c:v>
                </c:pt>
                <c:pt idx="14">
                  <c:v>43712</c:v>
                </c:pt>
                <c:pt idx="15">
                  <c:v>43711</c:v>
                </c:pt>
                <c:pt idx="16">
                  <c:v>43710</c:v>
                </c:pt>
                <c:pt idx="17">
                  <c:v>43709</c:v>
                </c:pt>
                <c:pt idx="18">
                  <c:v>43708</c:v>
                </c:pt>
                <c:pt idx="19">
                  <c:v>43707</c:v>
                </c:pt>
                <c:pt idx="20">
                  <c:v>43706</c:v>
                </c:pt>
                <c:pt idx="21">
                  <c:v>43705</c:v>
                </c:pt>
                <c:pt idx="22">
                  <c:v>43704</c:v>
                </c:pt>
                <c:pt idx="23">
                  <c:v>43703</c:v>
                </c:pt>
                <c:pt idx="24">
                  <c:v>43702</c:v>
                </c:pt>
                <c:pt idx="25">
                  <c:v>43701</c:v>
                </c:pt>
                <c:pt idx="26">
                  <c:v>43700</c:v>
                </c:pt>
                <c:pt idx="27">
                  <c:v>43699</c:v>
                </c:pt>
                <c:pt idx="28">
                  <c:v>43698</c:v>
                </c:pt>
                <c:pt idx="29">
                  <c:v>43697</c:v>
                </c:pt>
                <c:pt idx="30">
                  <c:v>43696</c:v>
                </c:pt>
                <c:pt idx="31">
                  <c:v>43695</c:v>
                </c:pt>
                <c:pt idx="32">
                  <c:v>43694</c:v>
                </c:pt>
                <c:pt idx="33">
                  <c:v>43693</c:v>
                </c:pt>
                <c:pt idx="34">
                  <c:v>43692</c:v>
                </c:pt>
                <c:pt idx="35">
                  <c:v>43691</c:v>
                </c:pt>
                <c:pt idx="36">
                  <c:v>43690</c:v>
                </c:pt>
                <c:pt idx="37">
                  <c:v>43689</c:v>
                </c:pt>
                <c:pt idx="38">
                  <c:v>43688</c:v>
                </c:pt>
                <c:pt idx="39">
                  <c:v>43687</c:v>
                </c:pt>
                <c:pt idx="40">
                  <c:v>43686</c:v>
                </c:pt>
                <c:pt idx="41">
                  <c:v>43685</c:v>
                </c:pt>
                <c:pt idx="42">
                  <c:v>43684</c:v>
                </c:pt>
                <c:pt idx="43">
                  <c:v>43683</c:v>
                </c:pt>
                <c:pt idx="44">
                  <c:v>43682</c:v>
                </c:pt>
                <c:pt idx="45">
                  <c:v>43681</c:v>
                </c:pt>
                <c:pt idx="46">
                  <c:v>43680</c:v>
                </c:pt>
                <c:pt idx="47">
                  <c:v>43679</c:v>
                </c:pt>
                <c:pt idx="48">
                  <c:v>43678</c:v>
                </c:pt>
                <c:pt idx="49">
                  <c:v>43677</c:v>
                </c:pt>
                <c:pt idx="50">
                  <c:v>43676</c:v>
                </c:pt>
                <c:pt idx="51">
                  <c:v>43675</c:v>
                </c:pt>
                <c:pt idx="52">
                  <c:v>43674</c:v>
                </c:pt>
                <c:pt idx="53">
                  <c:v>43673</c:v>
                </c:pt>
                <c:pt idx="54">
                  <c:v>43672</c:v>
                </c:pt>
                <c:pt idx="55">
                  <c:v>43671</c:v>
                </c:pt>
                <c:pt idx="56">
                  <c:v>43670</c:v>
                </c:pt>
                <c:pt idx="57">
                  <c:v>43669</c:v>
                </c:pt>
                <c:pt idx="58">
                  <c:v>43668</c:v>
                </c:pt>
                <c:pt idx="59">
                  <c:v>43667</c:v>
                </c:pt>
                <c:pt idx="60">
                  <c:v>43666</c:v>
                </c:pt>
                <c:pt idx="61">
                  <c:v>43665</c:v>
                </c:pt>
                <c:pt idx="62">
                  <c:v>43664</c:v>
                </c:pt>
                <c:pt idx="63">
                  <c:v>43663</c:v>
                </c:pt>
                <c:pt idx="64">
                  <c:v>43662</c:v>
                </c:pt>
                <c:pt idx="65">
                  <c:v>43661</c:v>
                </c:pt>
                <c:pt idx="66">
                  <c:v>43660</c:v>
                </c:pt>
                <c:pt idx="67">
                  <c:v>43659</c:v>
                </c:pt>
                <c:pt idx="68">
                  <c:v>43658</c:v>
                </c:pt>
                <c:pt idx="69">
                  <c:v>43657</c:v>
                </c:pt>
                <c:pt idx="70">
                  <c:v>43656</c:v>
                </c:pt>
                <c:pt idx="71">
                  <c:v>43655</c:v>
                </c:pt>
                <c:pt idx="72">
                  <c:v>43654</c:v>
                </c:pt>
                <c:pt idx="73">
                  <c:v>43653</c:v>
                </c:pt>
                <c:pt idx="74">
                  <c:v>43652</c:v>
                </c:pt>
                <c:pt idx="75">
                  <c:v>43651</c:v>
                </c:pt>
                <c:pt idx="76">
                  <c:v>43650</c:v>
                </c:pt>
                <c:pt idx="77">
                  <c:v>43649</c:v>
                </c:pt>
                <c:pt idx="78">
                  <c:v>43648</c:v>
                </c:pt>
                <c:pt idx="79">
                  <c:v>43647</c:v>
                </c:pt>
                <c:pt idx="80">
                  <c:v>43646</c:v>
                </c:pt>
                <c:pt idx="81">
                  <c:v>43645</c:v>
                </c:pt>
                <c:pt idx="82">
                  <c:v>43644</c:v>
                </c:pt>
                <c:pt idx="83">
                  <c:v>43643</c:v>
                </c:pt>
                <c:pt idx="84">
                  <c:v>43642</c:v>
                </c:pt>
                <c:pt idx="85">
                  <c:v>43641</c:v>
                </c:pt>
                <c:pt idx="86">
                  <c:v>43640</c:v>
                </c:pt>
                <c:pt idx="87">
                  <c:v>43639</c:v>
                </c:pt>
                <c:pt idx="88">
                  <c:v>43638</c:v>
                </c:pt>
                <c:pt idx="89">
                  <c:v>43637</c:v>
                </c:pt>
                <c:pt idx="90">
                  <c:v>43636</c:v>
                </c:pt>
                <c:pt idx="91">
                  <c:v>43635</c:v>
                </c:pt>
                <c:pt idx="92">
                  <c:v>43634</c:v>
                </c:pt>
                <c:pt idx="93">
                  <c:v>43633</c:v>
                </c:pt>
                <c:pt idx="94">
                  <c:v>43632</c:v>
                </c:pt>
                <c:pt idx="95">
                  <c:v>43631</c:v>
                </c:pt>
                <c:pt idx="96">
                  <c:v>43630</c:v>
                </c:pt>
                <c:pt idx="97">
                  <c:v>43629</c:v>
                </c:pt>
                <c:pt idx="98">
                  <c:v>43628</c:v>
                </c:pt>
                <c:pt idx="99">
                  <c:v>43627</c:v>
                </c:pt>
                <c:pt idx="100">
                  <c:v>43626</c:v>
                </c:pt>
                <c:pt idx="101">
                  <c:v>43625</c:v>
                </c:pt>
                <c:pt idx="102">
                  <c:v>43624</c:v>
                </c:pt>
                <c:pt idx="103">
                  <c:v>43623</c:v>
                </c:pt>
                <c:pt idx="104">
                  <c:v>43622</c:v>
                </c:pt>
                <c:pt idx="105">
                  <c:v>43621</c:v>
                </c:pt>
                <c:pt idx="106">
                  <c:v>43620</c:v>
                </c:pt>
                <c:pt idx="107">
                  <c:v>43619</c:v>
                </c:pt>
                <c:pt idx="108">
                  <c:v>43618</c:v>
                </c:pt>
                <c:pt idx="109">
                  <c:v>43617</c:v>
                </c:pt>
                <c:pt idx="110">
                  <c:v>43616</c:v>
                </c:pt>
                <c:pt idx="111">
                  <c:v>43615</c:v>
                </c:pt>
                <c:pt idx="112">
                  <c:v>43614</c:v>
                </c:pt>
                <c:pt idx="113">
                  <c:v>43613</c:v>
                </c:pt>
                <c:pt idx="114">
                  <c:v>43612</c:v>
                </c:pt>
                <c:pt idx="115">
                  <c:v>43611</c:v>
                </c:pt>
                <c:pt idx="116">
                  <c:v>43610</c:v>
                </c:pt>
                <c:pt idx="117">
                  <c:v>43609</c:v>
                </c:pt>
                <c:pt idx="118">
                  <c:v>43608</c:v>
                </c:pt>
                <c:pt idx="119">
                  <c:v>43607</c:v>
                </c:pt>
                <c:pt idx="120">
                  <c:v>43606</c:v>
                </c:pt>
                <c:pt idx="121">
                  <c:v>43605</c:v>
                </c:pt>
                <c:pt idx="122">
                  <c:v>43604</c:v>
                </c:pt>
                <c:pt idx="123">
                  <c:v>43603</c:v>
                </c:pt>
                <c:pt idx="124">
                  <c:v>43602</c:v>
                </c:pt>
                <c:pt idx="125">
                  <c:v>43601</c:v>
                </c:pt>
                <c:pt idx="126">
                  <c:v>43600</c:v>
                </c:pt>
                <c:pt idx="127">
                  <c:v>43599</c:v>
                </c:pt>
                <c:pt idx="128">
                  <c:v>43598</c:v>
                </c:pt>
                <c:pt idx="129">
                  <c:v>43597</c:v>
                </c:pt>
                <c:pt idx="130">
                  <c:v>43596</c:v>
                </c:pt>
                <c:pt idx="131">
                  <c:v>43595</c:v>
                </c:pt>
                <c:pt idx="132">
                  <c:v>43594</c:v>
                </c:pt>
                <c:pt idx="133">
                  <c:v>43593</c:v>
                </c:pt>
                <c:pt idx="134">
                  <c:v>43592</c:v>
                </c:pt>
                <c:pt idx="135">
                  <c:v>43591</c:v>
                </c:pt>
                <c:pt idx="136">
                  <c:v>43590</c:v>
                </c:pt>
                <c:pt idx="137">
                  <c:v>43589</c:v>
                </c:pt>
                <c:pt idx="138">
                  <c:v>43588</c:v>
                </c:pt>
                <c:pt idx="139">
                  <c:v>43587</c:v>
                </c:pt>
                <c:pt idx="140">
                  <c:v>43586</c:v>
                </c:pt>
                <c:pt idx="141">
                  <c:v>43585</c:v>
                </c:pt>
                <c:pt idx="142">
                  <c:v>43584</c:v>
                </c:pt>
                <c:pt idx="143">
                  <c:v>43583</c:v>
                </c:pt>
                <c:pt idx="144">
                  <c:v>43582</c:v>
                </c:pt>
                <c:pt idx="145">
                  <c:v>43581</c:v>
                </c:pt>
                <c:pt idx="146">
                  <c:v>43580</c:v>
                </c:pt>
                <c:pt idx="147">
                  <c:v>43579</c:v>
                </c:pt>
                <c:pt idx="148">
                  <c:v>43578</c:v>
                </c:pt>
                <c:pt idx="149">
                  <c:v>43577</c:v>
                </c:pt>
                <c:pt idx="150">
                  <c:v>43576</c:v>
                </c:pt>
                <c:pt idx="151">
                  <c:v>43575</c:v>
                </c:pt>
                <c:pt idx="152">
                  <c:v>43574</c:v>
                </c:pt>
                <c:pt idx="153">
                  <c:v>43573</c:v>
                </c:pt>
                <c:pt idx="154">
                  <c:v>43572</c:v>
                </c:pt>
                <c:pt idx="155">
                  <c:v>43571</c:v>
                </c:pt>
                <c:pt idx="156">
                  <c:v>43570</c:v>
                </c:pt>
                <c:pt idx="157">
                  <c:v>43569</c:v>
                </c:pt>
                <c:pt idx="158">
                  <c:v>43568</c:v>
                </c:pt>
                <c:pt idx="159">
                  <c:v>43567</c:v>
                </c:pt>
                <c:pt idx="160">
                  <c:v>43566</c:v>
                </c:pt>
                <c:pt idx="161">
                  <c:v>43565</c:v>
                </c:pt>
                <c:pt idx="162">
                  <c:v>43564</c:v>
                </c:pt>
                <c:pt idx="163">
                  <c:v>43563</c:v>
                </c:pt>
                <c:pt idx="164">
                  <c:v>43562</c:v>
                </c:pt>
                <c:pt idx="165">
                  <c:v>43561</c:v>
                </c:pt>
                <c:pt idx="166">
                  <c:v>43560</c:v>
                </c:pt>
                <c:pt idx="167">
                  <c:v>43559</c:v>
                </c:pt>
                <c:pt idx="168">
                  <c:v>43558</c:v>
                </c:pt>
                <c:pt idx="169">
                  <c:v>43557</c:v>
                </c:pt>
                <c:pt idx="170">
                  <c:v>43556</c:v>
                </c:pt>
                <c:pt idx="171">
                  <c:v>43555</c:v>
                </c:pt>
                <c:pt idx="172">
                  <c:v>43554</c:v>
                </c:pt>
                <c:pt idx="173">
                  <c:v>43553</c:v>
                </c:pt>
                <c:pt idx="174">
                  <c:v>43552</c:v>
                </c:pt>
                <c:pt idx="175">
                  <c:v>43551</c:v>
                </c:pt>
                <c:pt idx="176">
                  <c:v>43550</c:v>
                </c:pt>
                <c:pt idx="177">
                  <c:v>43549</c:v>
                </c:pt>
                <c:pt idx="178">
                  <c:v>43548</c:v>
                </c:pt>
                <c:pt idx="179">
                  <c:v>43547</c:v>
                </c:pt>
                <c:pt idx="180">
                  <c:v>43546</c:v>
                </c:pt>
                <c:pt idx="181">
                  <c:v>43545</c:v>
                </c:pt>
                <c:pt idx="182">
                  <c:v>43544</c:v>
                </c:pt>
                <c:pt idx="183">
                  <c:v>43543</c:v>
                </c:pt>
                <c:pt idx="184">
                  <c:v>43542</c:v>
                </c:pt>
                <c:pt idx="185">
                  <c:v>43541</c:v>
                </c:pt>
                <c:pt idx="186">
                  <c:v>43540</c:v>
                </c:pt>
                <c:pt idx="187">
                  <c:v>43539</c:v>
                </c:pt>
                <c:pt idx="188">
                  <c:v>43538</c:v>
                </c:pt>
                <c:pt idx="189">
                  <c:v>43537</c:v>
                </c:pt>
                <c:pt idx="190">
                  <c:v>43536</c:v>
                </c:pt>
                <c:pt idx="191">
                  <c:v>43535</c:v>
                </c:pt>
                <c:pt idx="192">
                  <c:v>43534</c:v>
                </c:pt>
                <c:pt idx="193">
                  <c:v>43533</c:v>
                </c:pt>
                <c:pt idx="194">
                  <c:v>43532</c:v>
                </c:pt>
                <c:pt idx="195">
                  <c:v>43531</c:v>
                </c:pt>
                <c:pt idx="196">
                  <c:v>43530</c:v>
                </c:pt>
                <c:pt idx="197">
                  <c:v>43529</c:v>
                </c:pt>
                <c:pt idx="198">
                  <c:v>43528</c:v>
                </c:pt>
                <c:pt idx="199">
                  <c:v>43527</c:v>
                </c:pt>
                <c:pt idx="200">
                  <c:v>43526</c:v>
                </c:pt>
                <c:pt idx="201">
                  <c:v>43525</c:v>
                </c:pt>
                <c:pt idx="202">
                  <c:v>43524</c:v>
                </c:pt>
                <c:pt idx="203">
                  <c:v>43523</c:v>
                </c:pt>
                <c:pt idx="204">
                  <c:v>43522</c:v>
                </c:pt>
                <c:pt idx="205">
                  <c:v>43521</c:v>
                </c:pt>
                <c:pt idx="206">
                  <c:v>43520</c:v>
                </c:pt>
                <c:pt idx="207">
                  <c:v>43519</c:v>
                </c:pt>
                <c:pt idx="208">
                  <c:v>43518</c:v>
                </c:pt>
                <c:pt idx="209">
                  <c:v>43517</c:v>
                </c:pt>
                <c:pt idx="210">
                  <c:v>43516</c:v>
                </c:pt>
                <c:pt idx="211">
                  <c:v>43515</c:v>
                </c:pt>
                <c:pt idx="212">
                  <c:v>43514</c:v>
                </c:pt>
                <c:pt idx="213">
                  <c:v>43513</c:v>
                </c:pt>
                <c:pt idx="214">
                  <c:v>43512</c:v>
                </c:pt>
                <c:pt idx="215">
                  <c:v>43511</c:v>
                </c:pt>
                <c:pt idx="216">
                  <c:v>43510</c:v>
                </c:pt>
                <c:pt idx="217">
                  <c:v>43509</c:v>
                </c:pt>
                <c:pt idx="218">
                  <c:v>43508</c:v>
                </c:pt>
                <c:pt idx="219">
                  <c:v>43507</c:v>
                </c:pt>
                <c:pt idx="220">
                  <c:v>43506</c:v>
                </c:pt>
                <c:pt idx="221">
                  <c:v>43505</c:v>
                </c:pt>
                <c:pt idx="222">
                  <c:v>43504</c:v>
                </c:pt>
                <c:pt idx="223">
                  <c:v>43503</c:v>
                </c:pt>
                <c:pt idx="224">
                  <c:v>43502</c:v>
                </c:pt>
                <c:pt idx="225">
                  <c:v>43501</c:v>
                </c:pt>
                <c:pt idx="226">
                  <c:v>43500</c:v>
                </c:pt>
                <c:pt idx="227">
                  <c:v>43499</c:v>
                </c:pt>
                <c:pt idx="228">
                  <c:v>43498</c:v>
                </c:pt>
                <c:pt idx="229">
                  <c:v>43497</c:v>
                </c:pt>
                <c:pt idx="230">
                  <c:v>43496</c:v>
                </c:pt>
                <c:pt idx="231">
                  <c:v>43495</c:v>
                </c:pt>
                <c:pt idx="232">
                  <c:v>43494</c:v>
                </c:pt>
                <c:pt idx="233">
                  <c:v>43493</c:v>
                </c:pt>
                <c:pt idx="234">
                  <c:v>43492</c:v>
                </c:pt>
                <c:pt idx="235">
                  <c:v>43491</c:v>
                </c:pt>
                <c:pt idx="236">
                  <c:v>43490</c:v>
                </c:pt>
                <c:pt idx="237">
                  <c:v>43489</c:v>
                </c:pt>
                <c:pt idx="238">
                  <c:v>43488</c:v>
                </c:pt>
                <c:pt idx="239">
                  <c:v>43487</c:v>
                </c:pt>
                <c:pt idx="240">
                  <c:v>43486</c:v>
                </c:pt>
                <c:pt idx="241">
                  <c:v>43485</c:v>
                </c:pt>
                <c:pt idx="242">
                  <c:v>43484</c:v>
                </c:pt>
                <c:pt idx="243">
                  <c:v>43483</c:v>
                </c:pt>
                <c:pt idx="244">
                  <c:v>43482</c:v>
                </c:pt>
                <c:pt idx="245">
                  <c:v>43481</c:v>
                </c:pt>
                <c:pt idx="246">
                  <c:v>43480</c:v>
                </c:pt>
                <c:pt idx="247">
                  <c:v>43479</c:v>
                </c:pt>
                <c:pt idx="248">
                  <c:v>43478</c:v>
                </c:pt>
                <c:pt idx="249">
                  <c:v>43477</c:v>
                </c:pt>
                <c:pt idx="250">
                  <c:v>43476</c:v>
                </c:pt>
                <c:pt idx="251">
                  <c:v>43475</c:v>
                </c:pt>
                <c:pt idx="252">
                  <c:v>43474</c:v>
                </c:pt>
                <c:pt idx="253">
                  <c:v>43473</c:v>
                </c:pt>
                <c:pt idx="254">
                  <c:v>43472</c:v>
                </c:pt>
                <c:pt idx="255">
                  <c:v>43471</c:v>
                </c:pt>
                <c:pt idx="256">
                  <c:v>43470</c:v>
                </c:pt>
                <c:pt idx="257">
                  <c:v>43469</c:v>
                </c:pt>
                <c:pt idx="258">
                  <c:v>43468</c:v>
                </c:pt>
                <c:pt idx="259">
                  <c:v>43467</c:v>
                </c:pt>
                <c:pt idx="260">
                  <c:v>43466</c:v>
                </c:pt>
                <c:pt idx="261">
                  <c:v>43465</c:v>
                </c:pt>
                <c:pt idx="262">
                  <c:v>43464</c:v>
                </c:pt>
                <c:pt idx="263">
                  <c:v>43463</c:v>
                </c:pt>
                <c:pt idx="264">
                  <c:v>43462</c:v>
                </c:pt>
                <c:pt idx="265">
                  <c:v>43461</c:v>
                </c:pt>
                <c:pt idx="266">
                  <c:v>43460</c:v>
                </c:pt>
                <c:pt idx="267">
                  <c:v>43459</c:v>
                </c:pt>
                <c:pt idx="268">
                  <c:v>43458</c:v>
                </c:pt>
                <c:pt idx="269">
                  <c:v>43457</c:v>
                </c:pt>
                <c:pt idx="270">
                  <c:v>43456</c:v>
                </c:pt>
                <c:pt idx="271">
                  <c:v>43455</c:v>
                </c:pt>
                <c:pt idx="272">
                  <c:v>43454</c:v>
                </c:pt>
                <c:pt idx="273">
                  <c:v>43453</c:v>
                </c:pt>
                <c:pt idx="274">
                  <c:v>43452</c:v>
                </c:pt>
                <c:pt idx="275">
                  <c:v>43451</c:v>
                </c:pt>
                <c:pt idx="276">
                  <c:v>43450</c:v>
                </c:pt>
                <c:pt idx="277">
                  <c:v>43449</c:v>
                </c:pt>
                <c:pt idx="278">
                  <c:v>43448</c:v>
                </c:pt>
                <c:pt idx="279">
                  <c:v>43447</c:v>
                </c:pt>
                <c:pt idx="280">
                  <c:v>43446</c:v>
                </c:pt>
                <c:pt idx="281">
                  <c:v>43445</c:v>
                </c:pt>
                <c:pt idx="282">
                  <c:v>43444</c:v>
                </c:pt>
                <c:pt idx="283">
                  <c:v>43443</c:v>
                </c:pt>
                <c:pt idx="284">
                  <c:v>43442</c:v>
                </c:pt>
                <c:pt idx="285">
                  <c:v>43441</c:v>
                </c:pt>
                <c:pt idx="286">
                  <c:v>43440</c:v>
                </c:pt>
                <c:pt idx="287">
                  <c:v>43439</c:v>
                </c:pt>
                <c:pt idx="288">
                  <c:v>43438</c:v>
                </c:pt>
                <c:pt idx="289">
                  <c:v>43437</c:v>
                </c:pt>
                <c:pt idx="290">
                  <c:v>43436</c:v>
                </c:pt>
                <c:pt idx="291">
                  <c:v>43435</c:v>
                </c:pt>
                <c:pt idx="292">
                  <c:v>43434</c:v>
                </c:pt>
                <c:pt idx="293">
                  <c:v>43433</c:v>
                </c:pt>
                <c:pt idx="294">
                  <c:v>43432</c:v>
                </c:pt>
                <c:pt idx="295">
                  <c:v>43431</c:v>
                </c:pt>
                <c:pt idx="296">
                  <c:v>43430</c:v>
                </c:pt>
                <c:pt idx="297">
                  <c:v>43429</c:v>
                </c:pt>
                <c:pt idx="298">
                  <c:v>43428</c:v>
                </c:pt>
                <c:pt idx="299">
                  <c:v>43427</c:v>
                </c:pt>
                <c:pt idx="300">
                  <c:v>43426</c:v>
                </c:pt>
                <c:pt idx="301">
                  <c:v>43425</c:v>
                </c:pt>
                <c:pt idx="302">
                  <c:v>43424</c:v>
                </c:pt>
                <c:pt idx="303">
                  <c:v>43423</c:v>
                </c:pt>
                <c:pt idx="304">
                  <c:v>43422</c:v>
                </c:pt>
                <c:pt idx="305">
                  <c:v>43421</c:v>
                </c:pt>
                <c:pt idx="306">
                  <c:v>43420</c:v>
                </c:pt>
                <c:pt idx="307">
                  <c:v>43419</c:v>
                </c:pt>
                <c:pt idx="308">
                  <c:v>43418</c:v>
                </c:pt>
                <c:pt idx="309">
                  <c:v>43417</c:v>
                </c:pt>
                <c:pt idx="310">
                  <c:v>43416</c:v>
                </c:pt>
                <c:pt idx="311">
                  <c:v>43415</c:v>
                </c:pt>
                <c:pt idx="312">
                  <c:v>43414</c:v>
                </c:pt>
                <c:pt idx="313">
                  <c:v>43413</c:v>
                </c:pt>
                <c:pt idx="314">
                  <c:v>43412</c:v>
                </c:pt>
                <c:pt idx="315">
                  <c:v>43411</c:v>
                </c:pt>
                <c:pt idx="316">
                  <c:v>43410</c:v>
                </c:pt>
                <c:pt idx="317">
                  <c:v>43409</c:v>
                </c:pt>
                <c:pt idx="318">
                  <c:v>43408</c:v>
                </c:pt>
                <c:pt idx="319">
                  <c:v>43407</c:v>
                </c:pt>
                <c:pt idx="320">
                  <c:v>43406</c:v>
                </c:pt>
                <c:pt idx="321">
                  <c:v>43405</c:v>
                </c:pt>
                <c:pt idx="322">
                  <c:v>43404</c:v>
                </c:pt>
                <c:pt idx="323">
                  <c:v>43403</c:v>
                </c:pt>
                <c:pt idx="324">
                  <c:v>43402</c:v>
                </c:pt>
                <c:pt idx="325">
                  <c:v>43401</c:v>
                </c:pt>
                <c:pt idx="326">
                  <c:v>43400</c:v>
                </c:pt>
                <c:pt idx="327">
                  <c:v>43399</c:v>
                </c:pt>
                <c:pt idx="328">
                  <c:v>43398</c:v>
                </c:pt>
                <c:pt idx="329">
                  <c:v>43397</c:v>
                </c:pt>
                <c:pt idx="330">
                  <c:v>43396</c:v>
                </c:pt>
                <c:pt idx="331">
                  <c:v>43395</c:v>
                </c:pt>
                <c:pt idx="332">
                  <c:v>43394</c:v>
                </c:pt>
                <c:pt idx="333">
                  <c:v>43393</c:v>
                </c:pt>
                <c:pt idx="334">
                  <c:v>43392</c:v>
                </c:pt>
                <c:pt idx="335">
                  <c:v>43391</c:v>
                </c:pt>
                <c:pt idx="336">
                  <c:v>43390</c:v>
                </c:pt>
                <c:pt idx="337">
                  <c:v>43389</c:v>
                </c:pt>
                <c:pt idx="338">
                  <c:v>43388</c:v>
                </c:pt>
                <c:pt idx="339">
                  <c:v>43387</c:v>
                </c:pt>
                <c:pt idx="340">
                  <c:v>43386</c:v>
                </c:pt>
                <c:pt idx="341">
                  <c:v>43385</c:v>
                </c:pt>
                <c:pt idx="342">
                  <c:v>43384</c:v>
                </c:pt>
                <c:pt idx="343">
                  <c:v>43383</c:v>
                </c:pt>
                <c:pt idx="344">
                  <c:v>43382</c:v>
                </c:pt>
                <c:pt idx="345">
                  <c:v>43381</c:v>
                </c:pt>
                <c:pt idx="346">
                  <c:v>43380</c:v>
                </c:pt>
                <c:pt idx="347">
                  <c:v>43379</c:v>
                </c:pt>
                <c:pt idx="348">
                  <c:v>43378</c:v>
                </c:pt>
                <c:pt idx="349">
                  <c:v>43377</c:v>
                </c:pt>
                <c:pt idx="350">
                  <c:v>43376</c:v>
                </c:pt>
                <c:pt idx="351">
                  <c:v>43375</c:v>
                </c:pt>
                <c:pt idx="352">
                  <c:v>43374</c:v>
                </c:pt>
                <c:pt idx="353">
                  <c:v>43373</c:v>
                </c:pt>
                <c:pt idx="354">
                  <c:v>43372</c:v>
                </c:pt>
                <c:pt idx="355">
                  <c:v>43371</c:v>
                </c:pt>
                <c:pt idx="356">
                  <c:v>43370</c:v>
                </c:pt>
                <c:pt idx="357">
                  <c:v>43369</c:v>
                </c:pt>
                <c:pt idx="358">
                  <c:v>43368</c:v>
                </c:pt>
                <c:pt idx="359">
                  <c:v>43367</c:v>
                </c:pt>
                <c:pt idx="360">
                  <c:v>43366</c:v>
                </c:pt>
                <c:pt idx="361">
                  <c:v>43365</c:v>
                </c:pt>
                <c:pt idx="362">
                  <c:v>43364</c:v>
                </c:pt>
                <c:pt idx="363">
                  <c:v>43363</c:v>
                </c:pt>
                <c:pt idx="364">
                  <c:v>43362</c:v>
                </c:pt>
                <c:pt idx="365">
                  <c:v>43361</c:v>
                </c:pt>
              </c:numCache>
            </c:numRef>
          </c:cat>
          <c:val>
            <c:numRef>
              <c:f>'FX Forward &amp; SwapPoint'!$CY$12:$CY$377</c:f>
              <c:numCache>
                <c:formatCode>General</c:formatCode>
                <c:ptCount val="366"/>
                <c:pt idx="0">
                  <c:v>26.45</c:v>
                </c:pt>
                <c:pt idx="1">
                  <c:v>28.68</c:v>
                </c:pt>
                <c:pt idx="2">
                  <c:v>25.94</c:v>
                </c:pt>
                <c:pt idx="3">
                  <c:v>24.85</c:v>
                </c:pt>
                <c:pt idx="4">
                  <c:v>25.44</c:v>
                </c:pt>
                <c:pt idx="5">
                  <c:v>24.93</c:v>
                </c:pt>
                <c:pt idx="6">
                  <c:v>25.14</c:v>
                </c:pt>
                <c:pt idx="7">
                  <c:v>27.45</c:v>
                </c:pt>
                <c:pt idx="8">
                  <c:v>28.8</c:v>
                </c:pt>
                <c:pt idx="9">
                  <c:v>26.47</c:v>
                </c:pt>
                <c:pt idx="10">
                  <c:v>25.98</c:v>
                </c:pt>
                <c:pt idx="11">
                  <c:v>25.98</c:v>
                </c:pt>
                <c:pt idx="12">
                  <c:v>26.14</c:v>
                </c:pt>
                <c:pt idx="13">
                  <c:v>26.2</c:v>
                </c:pt>
                <c:pt idx="14">
                  <c:v>27.19</c:v>
                </c:pt>
                <c:pt idx="15">
                  <c:v>27.84</c:v>
                </c:pt>
                <c:pt idx="16">
                  <c:v>26.2</c:v>
                </c:pt>
                <c:pt idx="17">
                  <c:v>26.1</c:v>
                </c:pt>
                <c:pt idx="18">
                  <c:v>25.91</c:v>
                </c:pt>
                <c:pt idx="19">
                  <c:v>26.16</c:v>
                </c:pt>
                <c:pt idx="20">
                  <c:v>26.14</c:v>
                </c:pt>
                <c:pt idx="21">
                  <c:v>25.87</c:v>
                </c:pt>
                <c:pt idx="22">
                  <c:v>26.74</c:v>
                </c:pt>
                <c:pt idx="23">
                  <c:v>27.76</c:v>
                </c:pt>
                <c:pt idx="24">
                  <c:v>25.92</c:v>
                </c:pt>
                <c:pt idx="25">
                  <c:v>26.25</c:v>
                </c:pt>
                <c:pt idx="26">
                  <c:v>26.09</c:v>
                </c:pt>
                <c:pt idx="27">
                  <c:v>25.93</c:v>
                </c:pt>
                <c:pt idx="28">
                  <c:v>25.74</c:v>
                </c:pt>
                <c:pt idx="29">
                  <c:v>26.58</c:v>
                </c:pt>
                <c:pt idx="30">
                  <c:v>27.74</c:v>
                </c:pt>
                <c:pt idx="31">
                  <c:v>26.18</c:v>
                </c:pt>
                <c:pt idx="32">
                  <c:v>26.41</c:v>
                </c:pt>
                <c:pt idx="33">
                  <c:v>26.45</c:v>
                </c:pt>
                <c:pt idx="34">
                  <c:v>26.58</c:v>
                </c:pt>
                <c:pt idx="35">
                  <c:v>26.86</c:v>
                </c:pt>
                <c:pt idx="36">
                  <c:v>27.88</c:v>
                </c:pt>
                <c:pt idx="37">
                  <c:v>28.55</c:v>
                </c:pt>
                <c:pt idx="38">
                  <c:v>26.3</c:v>
                </c:pt>
                <c:pt idx="39">
                  <c:v>26.63</c:v>
                </c:pt>
                <c:pt idx="40">
                  <c:v>26.48</c:v>
                </c:pt>
                <c:pt idx="41">
                  <c:v>26.45</c:v>
                </c:pt>
                <c:pt idx="42">
                  <c:v>26.41</c:v>
                </c:pt>
                <c:pt idx="43">
                  <c:v>27.49</c:v>
                </c:pt>
                <c:pt idx="44">
                  <c:v>28.66</c:v>
                </c:pt>
                <c:pt idx="45">
                  <c:v>26.84</c:v>
                </c:pt>
                <c:pt idx="46">
                  <c:v>27.13</c:v>
                </c:pt>
                <c:pt idx="47">
                  <c:v>26.91</c:v>
                </c:pt>
                <c:pt idx="48">
                  <c:v>27.13</c:v>
                </c:pt>
                <c:pt idx="49">
                  <c:v>28.1</c:v>
                </c:pt>
                <c:pt idx="50">
                  <c:v>29.18</c:v>
                </c:pt>
                <c:pt idx="51">
                  <c:v>26.61</c:v>
                </c:pt>
                <c:pt idx="52">
                  <c:v>27.13</c:v>
                </c:pt>
                <c:pt idx="53">
                  <c:v>27.11</c:v>
                </c:pt>
                <c:pt idx="54">
                  <c:v>27.14</c:v>
                </c:pt>
                <c:pt idx="55">
                  <c:v>27.27</c:v>
                </c:pt>
                <c:pt idx="56">
                  <c:v>27.67</c:v>
                </c:pt>
                <c:pt idx="57">
                  <c:v>28.6</c:v>
                </c:pt>
                <c:pt idx="58">
                  <c:v>29.77</c:v>
                </c:pt>
                <c:pt idx="59">
                  <c:v>27.97</c:v>
                </c:pt>
                <c:pt idx="60">
                  <c:v>27.99</c:v>
                </c:pt>
                <c:pt idx="61">
                  <c:v>27.86</c:v>
                </c:pt>
                <c:pt idx="62">
                  <c:v>27.93</c:v>
                </c:pt>
                <c:pt idx="63">
                  <c:v>28.43</c:v>
                </c:pt>
                <c:pt idx="64">
                  <c:v>29.29</c:v>
                </c:pt>
                <c:pt idx="65">
                  <c:v>30.2</c:v>
                </c:pt>
                <c:pt idx="66">
                  <c:v>28.47</c:v>
                </c:pt>
                <c:pt idx="67">
                  <c:v>28.45</c:v>
                </c:pt>
                <c:pt idx="68">
                  <c:v>28.5</c:v>
                </c:pt>
                <c:pt idx="69">
                  <c:v>28.46</c:v>
                </c:pt>
                <c:pt idx="70">
                  <c:v>28.53</c:v>
                </c:pt>
                <c:pt idx="71">
                  <c:v>29.73</c:v>
                </c:pt>
                <c:pt idx="72">
                  <c:v>30.96</c:v>
                </c:pt>
                <c:pt idx="73">
                  <c:v>28.8</c:v>
                </c:pt>
                <c:pt idx="74">
                  <c:v>28.55</c:v>
                </c:pt>
                <c:pt idx="75">
                  <c:v>28.99</c:v>
                </c:pt>
                <c:pt idx="76">
                  <c:v>28.51</c:v>
                </c:pt>
                <c:pt idx="77">
                  <c:v>28.83</c:v>
                </c:pt>
                <c:pt idx="78">
                  <c:v>29.18</c:v>
                </c:pt>
                <c:pt idx="79">
                  <c:v>31.06</c:v>
                </c:pt>
                <c:pt idx="80">
                  <c:v>29.22</c:v>
                </c:pt>
                <c:pt idx="81">
                  <c:v>29.2</c:v>
                </c:pt>
                <c:pt idx="82">
                  <c:v>29.19</c:v>
                </c:pt>
                <c:pt idx="83">
                  <c:v>29.27</c:v>
                </c:pt>
                <c:pt idx="84">
                  <c:v>31.76</c:v>
                </c:pt>
                <c:pt idx="85">
                  <c:v>30.67</c:v>
                </c:pt>
                <c:pt idx="86">
                  <c:v>28.64</c:v>
                </c:pt>
                <c:pt idx="87">
                  <c:v>28.51</c:v>
                </c:pt>
                <c:pt idx="88">
                  <c:v>28.62</c:v>
                </c:pt>
                <c:pt idx="89">
                  <c:v>28.58</c:v>
                </c:pt>
                <c:pt idx="90">
                  <c:v>28.33</c:v>
                </c:pt>
                <c:pt idx="91">
                  <c:v>28.71</c:v>
                </c:pt>
                <c:pt idx="92">
                  <c:v>29.95</c:v>
                </c:pt>
                <c:pt idx="93">
                  <c:v>28.51</c:v>
                </c:pt>
                <c:pt idx="94">
                  <c:v>28.44</c:v>
                </c:pt>
                <c:pt idx="95">
                  <c:v>28.22</c:v>
                </c:pt>
                <c:pt idx="96">
                  <c:v>28.51</c:v>
                </c:pt>
                <c:pt idx="97">
                  <c:v>28.64</c:v>
                </c:pt>
                <c:pt idx="98">
                  <c:v>29.41</c:v>
                </c:pt>
                <c:pt idx="99">
                  <c:v>30.4</c:v>
                </c:pt>
                <c:pt idx="100">
                  <c:v>28.69</c:v>
                </c:pt>
                <c:pt idx="101">
                  <c:v>28.39</c:v>
                </c:pt>
                <c:pt idx="102">
                  <c:v>28.53</c:v>
                </c:pt>
                <c:pt idx="103">
                  <c:v>28.57</c:v>
                </c:pt>
                <c:pt idx="104">
                  <c:v>28.12</c:v>
                </c:pt>
                <c:pt idx="105">
                  <c:v>29.12</c:v>
                </c:pt>
                <c:pt idx="106">
                  <c:v>30.26</c:v>
                </c:pt>
                <c:pt idx="107">
                  <c:v>28.3</c:v>
                </c:pt>
                <c:pt idx="108">
                  <c:v>29.59</c:v>
                </c:pt>
                <c:pt idx="109">
                  <c:v>29.65</c:v>
                </c:pt>
                <c:pt idx="110">
                  <c:v>29.53</c:v>
                </c:pt>
                <c:pt idx="111">
                  <c:v>28.67</c:v>
                </c:pt>
                <c:pt idx="112">
                  <c:v>25.89</c:v>
                </c:pt>
                <c:pt idx="113">
                  <c:v>27.12</c:v>
                </c:pt>
                <c:pt idx="114">
                  <c:v>28.13</c:v>
                </c:pt>
                <c:pt idx="115">
                  <c:v>28.91</c:v>
                </c:pt>
                <c:pt idx="116">
                  <c:v>28.89</c:v>
                </c:pt>
                <c:pt idx="117">
                  <c:v>28.79</c:v>
                </c:pt>
                <c:pt idx="118">
                  <c:v>28.79</c:v>
                </c:pt>
                <c:pt idx="119">
                  <c:v>28.78</c:v>
                </c:pt>
                <c:pt idx="120">
                  <c:v>29.78</c:v>
                </c:pt>
                <c:pt idx="121">
                  <c:v>30.6</c:v>
                </c:pt>
                <c:pt idx="122">
                  <c:v>28.64</c:v>
                </c:pt>
                <c:pt idx="123">
                  <c:v>28.79</c:v>
                </c:pt>
                <c:pt idx="124">
                  <c:v>28.79</c:v>
                </c:pt>
                <c:pt idx="125">
                  <c:v>28.84</c:v>
                </c:pt>
                <c:pt idx="126">
                  <c:v>28.91</c:v>
                </c:pt>
                <c:pt idx="127">
                  <c:v>29.87</c:v>
                </c:pt>
                <c:pt idx="128">
                  <c:v>30.76</c:v>
                </c:pt>
                <c:pt idx="129">
                  <c:v>28.66</c:v>
                </c:pt>
                <c:pt idx="130">
                  <c:v>28.84</c:v>
                </c:pt>
                <c:pt idx="131">
                  <c:v>28.79</c:v>
                </c:pt>
                <c:pt idx="132">
                  <c:v>28.87</c:v>
                </c:pt>
                <c:pt idx="133">
                  <c:v>28.84</c:v>
                </c:pt>
                <c:pt idx="134">
                  <c:v>29.77</c:v>
                </c:pt>
                <c:pt idx="135">
                  <c:v>31.25</c:v>
                </c:pt>
                <c:pt idx="136">
                  <c:v>29.41</c:v>
                </c:pt>
                <c:pt idx="137">
                  <c:v>29.58</c:v>
                </c:pt>
                <c:pt idx="138">
                  <c:v>29.53</c:v>
                </c:pt>
                <c:pt idx="139">
                  <c:v>29.66</c:v>
                </c:pt>
                <c:pt idx="140">
                  <c:v>30.28</c:v>
                </c:pt>
                <c:pt idx="141">
                  <c:v>30.15</c:v>
                </c:pt>
                <c:pt idx="142">
                  <c:v>30.81</c:v>
                </c:pt>
                <c:pt idx="143">
                  <c:v>29.6</c:v>
                </c:pt>
                <c:pt idx="144">
                  <c:v>29.64</c:v>
                </c:pt>
                <c:pt idx="145">
                  <c:v>29.85</c:v>
                </c:pt>
                <c:pt idx="146">
                  <c:v>28.54</c:v>
                </c:pt>
                <c:pt idx="147">
                  <c:v>30.54</c:v>
                </c:pt>
                <c:pt idx="148">
                  <c:v>31.77</c:v>
                </c:pt>
                <c:pt idx="149">
                  <c:v>29.7</c:v>
                </c:pt>
                <c:pt idx="150">
                  <c:v>28.96</c:v>
                </c:pt>
                <c:pt idx="151">
                  <c:v>29.71</c:v>
                </c:pt>
                <c:pt idx="152">
                  <c:v>29.69</c:v>
                </c:pt>
                <c:pt idx="153">
                  <c:v>28.98</c:v>
                </c:pt>
                <c:pt idx="154">
                  <c:v>28.93</c:v>
                </c:pt>
                <c:pt idx="155">
                  <c:v>30.7</c:v>
                </c:pt>
                <c:pt idx="156">
                  <c:v>28.92</c:v>
                </c:pt>
                <c:pt idx="157">
                  <c:v>28.75</c:v>
                </c:pt>
                <c:pt idx="158">
                  <c:v>28.7</c:v>
                </c:pt>
                <c:pt idx="159">
                  <c:v>28.81</c:v>
                </c:pt>
                <c:pt idx="160">
                  <c:v>28.53</c:v>
                </c:pt>
                <c:pt idx="161">
                  <c:v>29.52</c:v>
                </c:pt>
                <c:pt idx="162">
                  <c:v>30.85</c:v>
                </c:pt>
                <c:pt idx="163">
                  <c:v>28.9</c:v>
                </c:pt>
                <c:pt idx="164">
                  <c:v>28.37</c:v>
                </c:pt>
                <c:pt idx="165">
                  <c:v>28.44</c:v>
                </c:pt>
                <c:pt idx="166">
                  <c:v>28.39</c:v>
                </c:pt>
                <c:pt idx="167">
                  <c:v>28.39</c:v>
                </c:pt>
                <c:pt idx="168">
                  <c:v>29.31</c:v>
                </c:pt>
                <c:pt idx="169">
                  <c:v>30.33</c:v>
                </c:pt>
                <c:pt idx="170">
                  <c:v>28.44</c:v>
                </c:pt>
                <c:pt idx="171">
                  <c:v>28.56</c:v>
                </c:pt>
                <c:pt idx="172">
                  <c:v>28.42</c:v>
                </c:pt>
                <c:pt idx="173">
                  <c:v>28.44</c:v>
                </c:pt>
                <c:pt idx="174">
                  <c:v>29.5</c:v>
                </c:pt>
                <c:pt idx="175">
                  <c:v>31.25</c:v>
                </c:pt>
                <c:pt idx="176">
                  <c:v>31.66</c:v>
                </c:pt>
                <c:pt idx="177">
                  <c:v>32.340000000000003</c:v>
                </c:pt>
                <c:pt idx="178">
                  <c:v>30.34</c:v>
                </c:pt>
                <c:pt idx="179">
                  <c:v>30.39</c:v>
                </c:pt>
                <c:pt idx="180">
                  <c:v>30.2</c:v>
                </c:pt>
                <c:pt idx="181">
                  <c:v>30.55</c:v>
                </c:pt>
                <c:pt idx="182">
                  <c:v>31.1</c:v>
                </c:pt>
                <c:pt idx="183">
                  <c:v>31.86</c:v>
                </c:pt>
                <c:pt idx="184">
                  <c:v>32.799990000000001</c:v>
                </c:pt>
                <c:pt idx="185">
                  <c:v>33.67</c:v>
                </c:pt>
                <c:pt idx="186">
                  <c:v>33.67</c:v>
                </c:pt>
                <c:pt idx="187">
                  <c:v>33.69</c:v>
                </c:pt>
                <c:pt idx="188">
                  <c:v>29.82</c:v>
                </c:pt>
                <c:pt idx="189">
                  <c:v>29.73</c:v>
                </c:pt>
                <c:pt idx="190">
                  <c:v>30.57</c:v>
                </c:pt>
                <c:pt idx="191">
                  <c:v>31.57</c:v>
                </c:pt>
                <c:pt idx="192">
                  <c:v>29.49</c:v>
                </c:pt>
                <c:pt idx="193">
                  <c:v>29.62</c:v>
                </c:pt>
                <c:pt idx="194">
                  <c:v>29.64</c:v>
                </c:pt>
                <c:pt idx="195">
                  <c:v>29.32</c:v>
                </c:pt>
                <c:pt idx="196">
                  <c:v>29.42</c:v>
                </c:pt>
                <c:pt idx="197">
                  <c:v>30.45</c:v>
                </c:pt>
                <c:pt idx="198">
                  <c:v>31.36</c:v>
                </c:pt>
                <c:pt idx="199">
                  <c:v>29.73</c:v>
                </c:pt>
                <c:pt idx="200">
                  <c:v>29.76</c:v>
                </c:pt>
                <c:pt idx="201">
                  <c:v>29.76</c:v>
                </c:pt>
                <c:pt idx="202">
                  <c:v>29.7</c:v>
                </c:pt>
                <c:pt idx="203">
                  <c:v>29.61</c:v>
                </c:pt>
                <c:pt idx="204">
                  <c:v>27.39</c:v>
                </c:pt>
                <c:pt idx="205">
                  <c:v>26.4</c:v>
                </c:pt>
                <c:pt idx="206">
                  <c:v>26.14</c:v>
                </c:pt>
                <c:pt idx="207">
                  <c:v>26.19</c:v>
                </c:pt>
                <c:pt idx="208">
                  <c:v>26.23</c:v>
                </c:pt>
                <c:pt idx="209">
                  <c:v>26.06</c:v>
                </c:pt>
                <c:pt idx="210">
                  <c:v>26.16</c:v>
                </c:pt>
                <c:pt idx="211">
                  <c:v>26.26</c:v>
                </c:pt>
                <c:pt idx="212">
                  <c:v>26.21</c:v>
                </c:pt>
                <c:pt idx="213">
                  <c:v>26.21</c:v>
                </c:pt>
                <c:pt idx="214">
                  <c:v>26.18</c:v>
                </c:pt>
                <c:pt idx="215">
                  <c:v>26.1</c:v>
                </c:pt>
                <c:pt idx="216">
                  <c:v>26.24</c:v>
                </c:pt>
                <c:pt idx="217">
                  <c:v>26.38</c:v>
                </c:pt>
                <c:pt idx="218">
                  <c:v>26.47</c:v>
                </c:pt>
                <c:pt idx="219">
                  <c:v>26.3</c:v>
                </c:pt>
                <c:pt idx="220">
                  <c:v>26.43</c:v>
                </c:pt>
                <c:pt idx="221">
                  <c:v>26.51</c:v>
                </c:pt>
                <c:pt idx="222">
                  <c:v>26.46</c:v>
                </c:pt>
                <c:pt idx="223">
                  <c:v>26.55</c:v>
                </c:pt>
                <c:pt idx="224">
                  <c:v>26.65</c:v>
                </c:pt>
                <c:pt idx="225">
                  <c:v>26.85</c:v>
                </c:pt>
                <c:pt idx="226">
                  <c:v>26.94</c:v>
                </c:pt>
                <c:pt idx="227">
                  <c:v>27.12</c:v>
                </c:pt>
                <c:pt idx="228">
                  <c:v>27.14</c:v>
                </c:pt>
                <c:pt idx="229">
                  <c:v>27.09</c:v>
                </c:pt>
                <c:pt idx="230">
                  <c:v>27.18</c:v>
                </c:pt>
                <c:pt idx="231">
                  <c:v>26.85</c:v>
                </c:pt>
                <c:pt idx="232">
                  <c:v>27.07</c:v>
                </c:pt>
                <c:pt idx="233">
                  <c:v>27.95</c:v>
                </c:pt>
                <c:pt idx="234">
                  <c:v>28.83</c:v>
                </c:pt>
                <c:pt idx="235">
                  <c:v>28.85</c:v>
                </c:pt>
                <c:pt idx="236">
                  <c:v>28.73</c:v>
                </c:pt>
                <c:pt idx="237">
                  <c:v>29.71</c:v>
                </c:pt>
                <c:pt idx="238">
                  <c:v>29.92</c:v>
                </c:pt>
                <c:pt idx="239">
                  <c:v>30.88</c:v>
                </c:pt>
                <c:pt idx="240">
                  <c:v>31.64</c:v>
                </c:pt>
                <c:pt idx="241">
                  <c:v>29.65</c:v>
                </c:pt>
                <c:pt idx="242">
                  <c:v>29.64</c:v>
                </c:pt>
                <c:pt idx="243">
                  <c:v>29.69</c:v>
                </c:pt>
                <c:pt idx="244">
                  <c:v>29.77</c:v>
                </c:pt>
                <c:pt idx="245">
                  <c:v>31.02</c:v>
                </c:pt>
                <c:pt idx="246">
                  <c:v>32.020000000000003</c:v>
                </c:pt>
                <c:pt idx="247">
                  <c:v>32.89</c:v>
                </c:pt>
                <c:pt idx="248">
                  <c:v>29.73</c:v>
                </c:pt>
                <c:pt idx="249">
                  <c:v>29.68</c:v>
                </c:pt>
                <c:pt idx="250">
                  <c:v>29.69</c:v>
                </c:pt>
                <c:pt idx="251">
                  <c:v>29.8</c:v>
                </c:pt>
                <c:pt idx="252">
                  <c:v>29.61</c:v>
                </c:pt>
                <c:pt idx="253">
                  <c:v>30.46</c:v>
                </c:pt>
                <c:pt idx="254">
                  <c:v>31.77</c:v>
                </c:pt>
                <c:pt idx="255">
                  <c:v>29.66</c:v>
                </c:pt>
                <c:pt idx="256">
                  <c:v>29.7</c:v>
                </c:pt>
                <c:pt idx="257">
                  <c:v>29.54</c:v>
                </c:pt>
                <c:pt idx="258">
                  <c:v>29.38</c:v>
                </c:pt>
                <c:pt idx="259">
                  <c:v>29.11</c:v>
                </c:pt>
                <c:pt idx="260">
                  <c:v>30.41</c:v>
                </c:pt>
                <c:pt idx="261">
                  <c:v>30.4</c:v>
                </c:pt>
                <c:pt idx="262">
                  <c:v>31.86</c:v>
                </c:pt>
                <c:pt idx="263">
                  <c:v>31.28</c:v>
                </c:pt>
                <c:pt idx="264">
                  <c:v>31.34</c:v>
                </c:pt>
                <c:pt idx="265">
                  <c:v>30.54</c:v>
                </c:pt>
                <c:pt idx="266">
                  <c:v>33.44</c:v>
                </c:pt>
                <c:pt idx="267">
                  <c:v>33.64</c:v>
                </c:pt>
                <c:pt idx="268">
                  <c:v>32.380000000000003</c:v>
                </c:pt>
                <c:pt idx="269">
                  <c:v>34.03</c:v>
                </c:pt>
                <c:pt idx="270">
                  <c:v>34.340000000000003</c:v>
                </c:pt>
                <c:pt idx="271">
                  <c:v>34.14</c:v>
                </c:pt>
                <c:pt idx="272">
                  <c:v>34.409990000000001</c:v>
                </c:pt>
                <c:pt idx="273">
                  <c:v>36.159990000000001</c:v>
                </c:pt>
                <c:pt idx="274">
                  <c:v>35.96</c:v>
                </c:pt>
                <c:pt idx="275">
                  <c:v>37.46</c:v>
                </c:pt>
                <c:pt idx="276">
                  <c:v>35.049990000000001</c:v>
                </c:pt>
                <c:pt idx="277">
                  <c:v>34.5</c:v>
                </c:pt>
                <c:pt idx="278">
                  <c:v>34.72</c:v>
                </c:pt>
                <c:pt idx="279">
                  <c:v>34.57</c:v>
                </c:pt>
                <c:pt idx="280">
                  <c:v>35.42</c:v>
                </c:pt>
                <c:pt idx="281">
                  <c:v>37.49</c:v>
                </c:pt>
                <c:pt idx="282">
                  <c:v>39.520000000000003</c:v>
                </c:pt>
                <c:pt idx="283">
                  <c:v>36.44</c:v>
                </c:pt>
                <c:pt idx="284">
                  <c:v>36.659990000000001</c:v>
                </c:pt>
                <c:pt idx="285">
                  <c:v>36.07</c:v>
                </c:pt>
                <c:pt idx="286">
                  <c:v>36.14</c:v>
                </c:pt>
                <c:pt idx="287">
                  <c:v>36.18</c:v>
                </c:pt>
                <c:pt idx="288">
                  <c:v>38.450000000000003</c:v>
                </c:pt>
                <c:pt idx="289">
                  <c:v>39.47</c:v>
                </c:pt>
                <c:pt idx="290">
                  <c:v>36.25</c:v>
                </c:pt>
                <c:pt idx="291">
                  <c:v>36.79</c:v>
                </c:pt>
                <c:pt idx="292">
                  <c:v>36.299990000000001</c:v>
                </c:pt>
                <c:pt idx="293">
                  <c:v>34.130000000000003</c:v>
                </c:pt>
                <c:pt idx="294">
                  <c:v>27.74</c:v>
                </c:pt>
                <c:pt idx="295">
                  <c:v>28.55</c:v>
                </c:pt>
                <c:pt idx="296">
                  <c:v>26.51</c:v>
                </c:pt>
                <c:pt idx="297">
                  <c:v>26.43</c:v>
                </c:pt>
                <c:pt idx="298">
                  <c:v>26.31</c:v>
                </c:pt>
                <c:pt idx="299">
                  <c:v>26.5</c:v>
                </c:pt>
                <c:pt idx="300">
                  <c:v>27.4</c:v>
                </c:pt>
                <c:pt idx="301">
                  <c:v>27.16</c:v>
                </c:pt>
                <c:pt idx="302">
                  <c:v>27.25</c:v>
                </c:pt>
                <c:pt idx="303">
                  <c:v>26.1</c:v>
                </c:pt>
                <c:pt idx="304">
                  <c:v>26.17</c:v>
                </c:pt>
                <c:pt idx="305">
                  <c:v>26.25</c:v>
                </c:pt>
                <c:pt idx="306">
                  <c:v>26.09</c:v>
                </c:pt>
                <c:pt idx="307">
                  <c:v>26.03</c:v>
                </c:pt>
                <c:pt idx="308">
                  <c:v>26.91</c:v>
                </c:pt>
                <c:pt idx="309">
                  <c:v>27.7</c:v>
                </c:pt>
                <c:pt idx="310">
                  <c:v>26.16</c:v>
                </c:pt>
                <c:pt idx="311">
                  <c:v>26.33</c:v>
                </c:pt>
                <c:pt idx="312">
                  <c:v>26.26</c:v>
                </c:pt>
                <c:pt idx="313">
                  <c:v>26.3</c:v>
                </c:pt>
                <c:pt idx="314">
                  <c:v>26.5</c:v>
                </c:pt>
                <c:pt idx="315">
                  <c:v>27.48</c:v>
                </c:pt>
                <c:pt idx="316">
                  <c:v>28.1</c:v>
                </c:pt>
                <c:pt idx="317">
                  <c:v>26.31</c:v>
                </c:pt>
                <c:pt idx="318">
                  <c:v>26.2</c:v>
                </c:pt>
                <c:pt idx="319">
                  <c:v>26.15</c:v>
                </c:pt>
                <c:pt idx="320">
                  <c:v>26.32</c:v>
                </c:pt>
                <c:pt idx="321">
                  <c:v>26.23</c:v>
                </c:pt>
                <c:pt idx="322">
                  <c:v>27.14</c:v>
                </c:pt>
                <c:pt idx="323">
                  <c:v>28.31</c:v>
                </c:pt>
                <c:pt idx="324">
                  <c:v>26.75</c:v>
                </c:pt>
                <c:pt idx="325">
                  <c:v>27.61</c:v>
                </c:pt>
                <c:pt idx="326">
                  <c:v>27.6</c:v>
                </c:pt>
                <c:pt idx="327">
                  <c:v>27.63</c:v>
                </c:pt>
                <c:pt idx="328">
                  <c:v>27.55</c:v>
                </c:pt>
                <c:pt idx="329">
                  <c:v>27.48</c:v>
                </c:pt>
                <c:pt idx="330">
                  <c:v>28.5</c:v>
                </c:pt>
                <c:pt idx="331">
                  <c:v>29.41</c:v>
                </c:pt>
                <c:pt idx="332">
                  <c:v>27.85</c:v>
                </c:pt>
                <c:pt idx="333">
                  <c:v>27.85</c:v>
                </c:pt>
                <c:pt idx="334">
                  <c:v>27.8</c:v>
                </c:pt>
                <c:pt idx="335">
                  <c:v>28.59</c:v>
                </c:pt>
                <c:pt idx="336">
                  <c:v>27.86</c:v>
                </c:pt>
                <c:pt idx="337">
                  <c:v>28.73</c:v>
                </c:pt>
                <c:pt idx="338">
                  <c:v>29.87</c:v>
                </c:pt>
                <c:pt idx="339">
                  <c:v>28.11</c:v>
                </c:pt>
                <c:pt idx="340">
                  <c:v>28.13</c:v>
                </c:pt>
                <c:pt idx="341">
                  <c:v>28.15</c:v>
                </c:pt>
                <c:pt idx="342">
                  <c:v>28.03</c:v>
                </c:pt>
                <c:pt idx="343">
                  <c:v>28.91</c:v>
                </c:pt>
                <c:pt idx="344">
                  <c:v>29.66</c:v>
                </c:pt>
                <c:pt idx="345">
                  <c:v>30.43</c:v>
                </c:pt>
                <c:pt idx="346">
                  <c:v>27.63</c:v>
                </c:pt>
                <c:pt idx="347">
                  <c:v>27.65</c:v>
                </c:pt>
                <c:pt idx="348">
                  <c:v>27.6</c:v>
                </c:pt>
                <c:pt idx="349">
                  <c:v>27.64</c:v>
                </c:pt>
                <c:pt idx="350">
                  <c:v>27.55</c:v>
                </c:pt>
                <c:pt idx="351">
                  <c:v>28.6</c:v>
                </c:pt>
                <c:pt idx="352">
                  <c:v>29.61</c:v>
                </c:pt>
                <c:pt idx="353">
                  <c:v>28.14</c:v>
                </c:pt>
                <c:pt idx="354">
                  <c:v>28.15</c:v>
                </c:pt>
                <c:pt idx="355">
                  <c:v>28.2</c:v>
                </c:pt>
                <c:pt idx="356">
                  <c:v>28.45</c:v>
                </c:pt>
                <c:pt idx="357">
                  <c:v>30.7</c:v>
                </c:pt>
                <c:pt idx="358">
                  <c:v>29.59</c:v>
                </c:pt>
                <c:pt idx="359">
                  <c:v>27.76</c:v>
                </c:pt>
                <c:pt idx="360">
                  <c:v>27.6</c:v>
                </c:pt>
                <c:pt idx="361">
                  <c:v>27.62</c:v>
                </c:pt>
                <c:pt idx="362">
                  <c:v>27.7</c:v>
                </c:pt>
                <c:pt idx="363">
                  <c:v>27.42</c:v>
                </c:pt>
                <c:pt idx="364">
                  <c:v>28.23</c:v>
                </c:pt>
                <c:pt idx="365">
                  <c:v>29.09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'FX Forward &amp; SwapPoint'!$CZ$11</c:f>
              <c:strCache>
                <c:ptCount val="1"/>
                <c:pt idx="0">
                  <c:v>MID</c:v>
                </c:pt>
              </c:strCache>
            </c:strRef>
          </c:tx>
          <c:spPr>
            <a:ln w="22225">
              <a:solidFill>
                <a:srgbClr val="FF9933"/>
              </a:solidFill>
            </a:ln>
          </c:spPr>
          <c:marker>
            <c:symbol val="none"/>
          </c:marker>
          <c:cat>
            <c:numRef>
              <c:f>'FX Forward &amp; SwapPoint'!$CW$12:$CW$377</c:f>
              <c:numCache>
                <c:formatCode>m/d/yyyy</c:formatCode>
                <c:ptCount val="366"/>
                <c:pt idx="0">
                  <c:v>43726</c:v>
                </c:pt>
                <c:pt idx="1">
                  <c:v>43725</c:v>
                </c:pt>
                <c:pt idx="2">
                  <c:v>43724</c:v>
                </c:pt>
                <c:pt idx="3">
                  <c:v>43723</c:v>
                </c:pt>
                <c:pt idx="4">
                  <c:v>43722</c:v>
                </c:pt>
                <c:pt idx="5">
                  <c:v>43721</c:v>
                </c:pt>
                <c:pt idx="6">
                  <c:v>43720</c:v>
                </c:pt>
                <c:pt idx="7">
                  <c:v>43719</c:v>
                </c:pt>
                <c:pt idx="8">
                  <c:v>43718</c:v>
                </c:pt>
                <c:pt idx="9">
                  <c:v>43717</c:v>
                </c:pt>
                <c:pt idx="10">
                  <c:v>43716</c:v>
                </c:pt>
                <c:pt idx="11">
                  <c:v>43715</c:v>
                </c:pt>
                <c:pt idx="12">
                  <c:v>43714</c:v>
                </c:pt>
                <c:pt idx="13">
                  <c:v>43713</c:v>
                </c:pt>
                <c:pt idx="14">
                  <c:v>43712</c:v>
                </c:pt>
                <c:pt idx="15">
                  <c:v>43711</c:v>
                </c:pt>
                <c:pt idx="16">
                  <c:v>43710</c:v>
                </c:pt>
                <c:pt idx="17">
                  <c:v>43709</c:v>
                </c:pt>
                <c:pt idx="18">
                  <c:v>43708</c:v>
                </c:pt>
                <c:pt idx="19">
                  <c:v>43707</c:v>
                </c:pt>
                <c:pt idx="20">
                  <c:v>43706</c:v>
                </c:pt>
                <c:pt idx="21">
                  <c:v>43705</c:v>
                </c:pt>
                <c:pt idx="22">
                  <c:v>43704</c:v>
                </c:pt>
                <c:pt idx="23">
                  <c:v>43703</c:v>
                </c:pt>
                <c:pt idx="24">
                  <c:v>43702</c:v>
                </c:pt>
                <c:pt idx="25">
                  <c:v>43701</c:v>
                </c:pt>
                <c:pt idx="26">
                  <c:v>43700</c:v>
                </c:pt>
                <c:pt idx="27">
                  <c:v>43699</c:v>
                </c:pt>
                <c:pt idx="28">
                  <c:v>43698</c:v>
                </c:pt>
                <c:pt idx="29">
                  <c:v>43697</c:v>
                </c:pt>
                <c:pt idx="30">
                  <c:v>43696</c:v>
                </c:pt>
                <c:pt idx="31">
                  <c:v>43695</c:v>
                </c:pt>
                <c:pt idx="32">
                  <c:v>43694</c:v>
                </c:pt>
                <c:pt idx="33">
                  <c:v>43693</c:v>
                </c:pt>
                <c:pt idx="34">
                  <c:v>43692</c:v>
                </c:pt>
                <c:pt idx="35">
                  <c:v>43691</c:v>
                </c:pt>
                <c:pt idx="36">
                  <c:v>43690</c:v>
                </c:pt>
                <c:pt idx="37">
                  <c:v>43689</c:v>
                </c:pt>
                <c:pt idx="38">
                  <c:v>43688</c:v>
                </c:pt>
                <c:pt idx="39">
                  <c:v>43687</c:v>
                </c:pt>
                <c:pt idx="40">
                  <c:v>43686</c:v>
                </c:pt>
                <c:pt idx="41">
                  <c:v>43685</c:v>
                </c:pt>
                <c:pt idx="42">
                  <c:v>43684</c:v>
                </c:pt>
                <c:pt idx="43">
                  <c:v>43683</c:v>
                </c:pt>
                <c:pt idx="44">
                  <c:v>43682</c:v>
                </c:pt>
                <c:pt idx="45">
                  <c:v>43681</c:v>
                </c:pt>
                <c:pt idx="46">
                  <c:v>43680</c:v>
                </c:pt>
                <c:pt idx="47">
                  <c:v>43679</c:v>
                </c:pt>
                <c:pt idx="48">
                  <c:v>43678</c:v>
                </c:pt>
                <c:pt idx="49">
                  <c:v>43677</c:v>
                </c:pt>
                <c:pt idx="50">
                  <c:v>43676</c:v>
                </c:pt>
                <c:pt idx="51">
                  <c:v>43675</c:v>
                </c:pt>
                <c:pt idx="52">
                  <c:v>43674</c:v>
                </c:pt>
                <c:pt idx="53">
                  <c:v>43673</c:v>
                </c:pt>
                <c:pt idx="54">
                  <c:v>43672</c:v>
                </c:pt>
                <c:pt idx="55">
                  <c:v>43671</c:v>
                </c:pt>
                <c:pt idx="56">
                  <c:v>43670</c:v>
                </c:pt>
                <c:pt idx="57">
                  <c:v>43669</c:v>
                </c:pt>
                <c:pt idx="58">
                  <c:v>43668</c:v>
                </c:pt>
                <c:pt idx="59">
                  <c:v>43667</c:v>
                </c:pt>
                <c:pt idx="60">
                  <c:v>43666</c:v>
                </c:pt>
                <c:pt idx="61">
                  <c:v>43665</c:v>
                </c:pt>
                <c:pt idx="62">
                  <c:v>43664</c:v>
                </c:pt>
                <c:pt idx="63">
                  <c:v>43663</c:v>
                </c:pt>
                <c:pt idx="64">
                  <c:v>43662</c:v>
                </c:pt>
                <c:pt idx="65">
                  <c:v>43661</c:v>
                </c:pt>
                <c:pt idx="66">
                  <c:v>43660</c:v>
                </c:pt>
                <c:pt idx="67">
                  <c:v>43659</c:v>
                </c:pt>
                <c:pt idx="68">
                  <c:v>43658</c:v>
                </c:pt>
                <c:pt idx="69">
                  <c:v>43657</c:v>
                </c:pt>
                <c:pt idx="70">
                  <c:v>43656</c:v>
                </c:pt>
                <c:pt idx="71">
                  <c:v>43655</c:v>
                </c:pt>
                <c:pt idx="72">
                  <c:v>43654</c:v>
                </c:pt>
                <c:pt idx="73">
                  <c:v>43653</c:v>
                </c:pt>
                <c:pt idx="74">
                  <c:v>43652</c:v>
                </c:pt>
                <c:pt idx="75">
                  <c:v>43651</c:v>
                </c:pt>
                <c:pt idx="76">
                  <c:v>43650</c:v>
                </c:pt>
                <c:pt idx="77">
                  <c:v>43649</c:v>
                </c:pt>
                <c:pt idx="78">
                  <c:v>43648</c:v>
                </c:pt>
                <c:pt idx="79">
                  <c:v>43647</c:v>
                </c:pt>
                <c:pt idx="80">
                  <c:v>43646</c:v>
                </c:pt>
                <c:pt idx="81">
                  <c:v>43645</c:v>
                </c:pt>
                <c:pt idx="82">
                  <c:v>43644</c:v>
                </c:pt>
                <c:pt idx="83">
                  <c:v>43643</c:v>
                </c:pt>
                <c:pt idx="84">
                  <c:v>43642</c:v>
                </c:pt>
                <c:pt idx="85">
                  <c:v>43641</c:v>
                </c:pt>
                <c:pt idx="86">
                  <c:v>43640</c:v>
                </c:pt>
                <c:pt idx="87">
                  <c:v>43639</c:v>
                </c:pt>
                <c:pt idx="88">
                  <c:v>43638</c:v>
                </c:pt>
                <c:pt idx="89">
                  <c:v>43637</c:v>
                </c:pt>
                <c:pt idx="90">
                  <c:v>43636</c:v>
                </c:pt>
                <c:pt idx="91">
                  <c:v>43635</c:v>
                </c:pt>
                <c:pt idx="92">
                  <c:v>43634</c:v>
                </c:pt>
                <c:pt idx="93">
                  <c:v>43633</c:v>
                </c:pt>
                <c:pt idx="94">
                  <c:v>43632</c:v>
                </c:pt>
                <c:pt idx="95">
                  <c:v>43631</c:v>
                </c:pt>
                <c:pt idx="96">
                  <c:v>43630</c:v>
                </c:pt>
                <c:pt idx="97">
                  <c:v>43629</c:v>
                </c:pt>
                <c:pt idx="98">
                  <c:v>43628</c:v>
                </c:pt>
                <c:pt idx="99">
                  <c:v>43627</c:v>
                </c:pt>
                <c:pt idx="100">
                  <c:v>43626</c:v>
                </c:pt>
                <c:pt idx="101">
                  <c:v>43625</c:v>
                </c:pt>
                <c:pt idx="102">
                  <c:v>43624</c:v>
                </c:pt>
                <c:pt idx="103">
                  <c:v>43623</c:v>
                </c:pt>
                <c:pt idx="104">
                  <c:v>43622</c:v>
                </c:pt>
                <c:pt idx="105">
                  <c:v>43621</c:v>
                </c:pt>
                <c:pt idx="106">
                  <c:v>43620</c:v>
                </c:pt>
                <c:pt idx="107">
                  <c:v>43619</c:v>
                </c:pt>
                <c:pt idx="108">
                  <c:v>43618</c:v>
                </c:pt>
                <c:pt idx="109">
                  <c:v>43617</c:v>
                </c:pt>
                <c:pt idx="110">
                  <c:v>43616</c:v>
                </c:pt>
                <c:pt idx="111">
                  <c:v>43615</c:v>
                </c:pt>
                <c:pt idx="112">
                  <c:v>43614</c:v>
                </c:pt>
                <c:pt idx="113">
                  <c:v>43613</c:v>
                </c:pt>
                <c:pt idx="114">
                  <c:v>43612</c:v>
                </c:pt>
                <c:pt idx="115">
                  <c:v>43611</c:v>
                </c:pt>
                <c:pt idx="116">
                  <c:v>43610</c:v>
                </c:pt>
                <c:pt idx="117">
                  <c:v>43609</c:v>
                </c:pt>
                <c:pt idx="118">
                  <c:v>43608</c:v>
                </c:pt>
                <c:pt idx="119">
                  <c:v>43607</c:v>
                </c:pt>
                <c:pt idx="120">
                  <c:v>43606</c:v>
                </c:pt>
                <c:pt idx="121">
                  <c:v>43605</c:v>
                </c:pt>
                <c:pt idx="122">
                  <c:v>43604</c:v>
                </c:pt>
                <c:pt idx="123">
                  <c:v>43603</c:v>
                </c:pt>
                <c:pt idx="124">
                  <c:v>43602</c:v>
                </c:pt>
                <c:pt idx="125">
                  <c:v>43601</c:v>
                </c:pt>
                <c:pt idx="126">
                  <c:v>43600</c:v>
                </c:pt>
                <c:pt idx="127">
                  <c:v>43599</c:v>
                </c:pt>
                <c:pt idx="128">
                  <c:v>43598</c:v>
                </c:pt>
                <c:pt idx="129">
                  <c:v>43597</c:v>
                </c:pt>
                <c:pt idx="130">
                  <c:v>43596</c:v>
                </c:pt>
                <c:pt idx="131">
                  <c:v>43595</c:v>
                </c:pt>
                <c:pt idx="132">
                  <c:v>43594</c:v>
                </c:pt>
                <c:pt idx="133">
                  <c:v>43593</c:v>
                </c:pt>
                <c:pt idx="134">
                  <c:v>43592</c:v>
                </c:pt>
                <c:pt idx="135">
                  <c:v>43591</c:v>
                </c:pt>
                <c:pt idx="136">
                  <c:v>43590</c:v>
                </c:pt>
                <c:pt idx="137">
                  <c:v>43589</c:v>
                </c:pt>
                <c:pt idx="138">
                  <c:v>43588</c:v>
                </c:pt>
                <c:pt idx="139">
                  <c:v>43587</c:v>
                </c:pt>
                <c:pt idx="140">
                  <c:v>43586</c:v>
                </c:pt>
                <c:pt idx="141">
                  <c:v>43585</c:v>
                </c:pt>
                <c:pt idx="142">
                  <c:v>43584</c:v>
                </c:pt>
                <c:pt idx="143">
                  <c:v>43583</c:v>
                </c:pt>
                <c:pt idx="144">
                  <c:v>43582</c:v>
                </c:pt>
                <c:pt idx="145">
                  <c:v>43581</c:v>
                </c:pt>
                <c:pt idx="146">
                  <c:v>43580</c:v>
                </c:pt>
                <c:pt idx="147">
                  <c:v>43579</c:v>
                </c:pt>
                <c:pt idx="148">
                  <c:v>43578</c:v>
                </c:pt>
                <c:pt idx="149">
                  <c:v>43577</c:v>
                </c:pt>
                <c:pt idx="150">
                  <c:v>43576</c:v>
                </c:pt>
                <c:pt idx="151">
                  <c:v>43575</c:v>
                </c:pt>
                <c:pt idx="152">
                  <c:v>43574</c:v>
                </c:pt>
                <c:pt idx="153">
                  <c:v>43573</c:v>
                </c:pt>
                <c:pt idx="154">
                  <c:v>43572</c:v>
                </c:pt>
                <c:pt idx="155">
                  <c:v>43571</c:v>
                </c:pt>
                <c:pt idx="156">
                  <c:v>43570</c:v>
                </c:pt>
                <c:pt idx="157">
                  <c:v>43569</c:v>
                </c:pt>
                <c:pt idx="158">
                  <c:v>43568</c:v>
                </c:pt>
                <c:pt idx="159">
                  <c:v>43567</c:v>
                </c:pt>
                <c:pt idx="160">
                  <c:v>43566</c:v>
                </c:pt>
                <c:pt idx="161">
                  <c:v>43565</c:v>
                </c:pt>
                <c:pt idx="162">
                  <c:v>43564</c:v>
                </c:pt>
                <c:pt idx="163">
                  <c:v>43563</c:v>
                </c:pt>
                <c:pt idx="164">
                  <c:v>43562</c:v>
                </c:pt>
                <c:pt idx="165">
                  <c:v>43561</c:v>
                </c:pt>
                <c:pt idx="166">
                  <c:v>43560</c:v>
                </c:pt>
                <c:pt idx="167">
                  <c:v>43559</c:v>
                </c:pt>
                <c:pt idx="168">
                  <c:v>43558</c:v>
                </c:pt>
                <c:pt idx="169">
                  <c:v>43557</c:v>
                </c:pt>
                <c:pt idx="170">
                  <c:v>43556</c:v>
                </c:pt>
                <c:pt idx="171">
                  <c:v>43555</c:v>
                </c:pt>
                <c:pt idx="172">
                  <c:v>43554</c:v>
                </c:pt>
                <c:pt idx="173">
                  <c:v>43553</c:v>
                </c:pt>
                <c:pt idx="174">
                  <c:v>43552</c:v>
                </c:pt>
                <c:pt idx="175">
                  <c:v>43551</c:v>
                </c:pt>
                <c:pt idx="176">
                  <c:v>43550</c:v>
                </c:pt>
                <c:pt idx="177">
                  <c:v>43549</c:v>
                </c:pt>
                <c:pt idx="178">
                  <c:v>43548</c:v>
                </c:pt>
                <c:pt idx="179">
                  <c:v>43547</c:v>
                </c:pt>
                <c:pt idx="180">
                  <c:v>43546</c:v>
                </c:pt>
                <c:pt idx="181">
                  <c:v>43545</c:v>
                </c:pt>
                <c:pt idx="182">
                  <c:v>43544</c:v>
                </c:pt>
                <c:pt idx="183">
                  <c:v>43543</c:v>
                </c:pt>
                <c:pt idx="184">
                  <c:v>43542</c:v>
                </c:pt>
                <c:pt idx="185">
                  <c:v>43541</c:v>
                </c:pt>
                <c:pt idx="186">
                  <c:v>43540</c:v>
                </c:pt>
                <c:pt idx="187">
                  <c:v>43539</c:v>
                </c:pt>
                <c:pt idx="188">
                  <c:v>43538</c:v>
                </c:pt>
                <c:pt idx="189">
                  <c:v>43537</c:v>
                </c:pt>
                <c:pt idx="190">
                  <c:v>43536</c:v>
                </c:pt>
                <c:pt idx="191">
                  <c:v>43535</c:v>
                </c:pt>
                <c:pt idx="192">
                  <c:v>43534</c:v>
                </c:pt>
                <c:pt idx="193">
                  <c:v>43533</c:v>
                </c:pt>
                <c:pt idx="194">
                  <c:v>43532</c:v>
                </c:pt>
                <c:pt idx="195">
                  <c:v>43531</c:v>
                </c:pt>
                <c:pt idx="196">
                  <c:v>43530</c:v>
                </c:pt>
                <c:pt idx="197">
                  <c:v>43529</c:v>
                </c:pt>
                <c:pt idx="198">
                  <c:v>43528</c:v>
                </c:pt>
                <c:pt idx="199">
                  <c:v>43527</c:v>
                </c:pt>
                <c:pt idx="200">
                  <c:v>43526</c:v>
                </c:pt>
                <c:pt idx="201">
                  <c:v>43525</c:v>
                </c:pt>
                <c:pt idx="202">
                  <c:v>43524</c:v>
                </c:pt>
                <c:pt idx="203">
                  <c:v>43523</c:v>
                </c:pt>
                <c:pt idx="204">
                  <c:v>43522</c:v>
                </c:pt>
                <c:pt idx="205">
                  <c:v>43521</c:v>
                </c:pt>
                <c:pt idx="206">
                  <c:v>43520</c:v>
                </c:pt>
                <c:pt idx="207">
                  <c:v>43519</c:v>
                </c:pt>
                <c:pt idx="208">
                  <c:v>43518</c:v>
                </c:pt>
                <c:pt idx="209">
                  <c:v>43517</c:v>
                </c:pt>
                <c:pt idx="210">
                  <c:v>43516</c:v>
                </c:pt>
                <c:pt idx="211">
                  <c:v>43515</c:v>
                </c:pt>
                <c:pt idx="212">
                  <c:v>43514</c:v>
                </c:pt>
                <c:pt idx="213">
                  <c:v>43513</c:v>
                </c:pt>
                <c:pt idx="214">
                  <c:v>43512</c:v>
                </c:pt>
                <c:pt idx="215">
                  <c:v>43511</c:v>
                </c:pt>
                <c:pt idx="216">
                  <c:v>43510</c:v>
                </c:pt>
                <c:pt idx="217">
                  <c:v>43509</c:v>
                </c:pt>
                <c:pt idx="218">
                  <c:v>43508</c:v>
                </c:pt>
                <c:pt idx="219">
                  <c:v>43507</c:v>
                </c:pt>
                <c:pt idx="220">
                  <c:v>43506</c:v>
                </c:pt>
                <c:pt idx="221">
                  <c:v>43505</c:v>
                </c:pt>
                <c:pt idx="222">
                  <c:v>43504</c:v>
                </c:pt>
                <c:pt idx="223">
                  <c:v>43503</c:v>
                </c:pt>
                <c:pt idx="224">
                  <c:v>43502</c:v>
                </c:pt>
                <c:pt idx="225">
                  <c:v>43501</c:v>
                </c:pt>
                <c:pt idx="226">
                  <c:v>43500</c:v>
                </c:pt>
                <c:pt idx="227">
                  <c:v>43499</c:v>
                </c:pt>
                <c:pt idx="228">
                  <c:v>43498</c:v>
                </c:pt>
                <c:pt idx="229">
                  <c:v>43497</c:v>
                </c:pt>
                <c:pt idx="230">
                  <c:v>43496</c:v>
                </c:pt>
                <c:pt idx="231">
                  <c:v>43495</c:v>
                </c:pt>
                <c:pt idx="232">
                  <c:v>43494</c:v>
                </c:pt>
                <c:pt idx="233">
                  <c:v>43493</c:v>
                </c:pt>
                <c:pt idx="234">
                  <c:v>43492</c:v>
                </c:pt>
                <c:pt idx="235">
                  <c:v>43491</c:v>
                </c:pt>
                <c:pt idx="236">
                  <c:v>43490</c:v>
                </c:pt>
                <c:pt idx="237">
                  <c:v>43489</c:v>
                </c:pt>
                <c:pt idx="238">
                  <c:v>43488</c:v>
                </c:pt>
                <c:pt idx="239">
                  <c:v>43487</c:v>
                </c:pt>
                <c:pt idx="240">
                  <c:v>43486</c:v>
                </c:pt>
                <c:pt idx="241">
                  <c:v>43485</c:v>
                </c:pt>
                <c:pt idx="242">
                  <c:v>43484</c:v>
                </c:pt>
                <c:pt idx="243">
                  <c:v>43483</c:v>
                </c:pt>
                <c:pt idx="244">
                  <c:v>43482</c:v>
                </c:pt>
                <c:pt idx="245">
                  <c:v>43481</c:v>
                </c:pt>
                <c:pt idx="246">
                  <c:v>43480</c:v>
                </c:pt>
                <c:pt idx="247">
                  <c:v>43479</c:v>
                </c:pt>
                <c:pt idx="248">
                  <c:v>43478</c:v>
                </c:pt>
                <c:pt idx="249">
                  <c:v>43477</c:v>
                </c:pt>
                <c:pt idx="250">
                  <c:v>43476</c:v>
                </c:pt>
                <c:pt idx="251">
                  <c:v>43475</c:v>
                </c:pt>
                <c:pt idx="252">
                  <c:v>43474</c:v>
                </c:pt>
                <c:pt idx="253">
                  <c:v>43473</c:v>
                </c:pt>
                <c:pt idx="254">
                  <c:v>43472</c:v>
                </c:pt>
                <c:pt idx="255">
                  <c:v>43471</c:v>
                </c:pt>
                <c:pt idx="256">
                  <c:v>43470</c:v>
                </c:pt>
                <c:pt idx="257">
                  <c:v>43469</c:v>
                </c:pt>
                <c:pt idx="258">
                  <c:v>43468</c:v>
                </c:pt>
                <c:pt idx="259">
                  <c:v>43467</c:v>
                </c:pt>
                <c:pt idx="260">
                  <c:v>43466</c:v>
                </c:pt>
                <c:pt idx="261">
                  <c:v>43465</c:v>
                </c:pt>
                <c:pt idx="262">
                  <c:v>43464</c:v>
                </c:pt>
                <c:pt idx="263">
                  <c:v>43463</c:v>
                </c:pt>
                <c:pt idx="264">
                  <c:v>43462</c:v>
                </c:pt>
                <c:pt idx="265">
                  <c:v>43461</c:v>
                </c:pt>
                <c:pt idx="266">
                  <c:v>43460</c:v>
                </c:pt>
                <c:pt idx="267">
                  <c:v>43459</c:v>
                </c:pt>
                <c:pt idx="268">
                  <c:v>43458</c:v>
                </c:pt>
                <c:pt idx="269">
                  <c:v>43457</c:v>
                </c:pt>
                <c:pt idx="270">
                  <c:v>43456</c:v>
                </c:pt>
                <c:pt idx="271">
                  <c:v>43455</c:v>
                </c:pt>
                <c:pt idx="272">
                  <c:v>43454</c:v>
                </c:pt>
                <c:pt idx="273">
                  <c:v>43453</c:v>
                </c:pt>
                <c:pt idx="274">
                  <c:v>43452</c:v>
                </c:pt>
                <c:pt idx="275">
                  <c:v>43451</c:v>
                </c:pt>
                <c:pt idx="276">
                  <c:v>43450</c:v>
                </c:pt>
                <c:pt idx="277">
                  <c:v>43449</c:v>
                </c:pt>
                <c:pt idx="278">
                  <c:v>43448</c:v>
                </c:pt>
                <c:pt idx="279">
                  <c:v>43447</c:v>
                </c:pt>
                <c:pt idx="280">
                  <c:v>43446</c:v>
                </c:pt>
                <c:pt idx="281">
                  <c:v>43445</c:v>
                </c:pt>
                <c:pt idx="282">
                  <c:v>43444</c:v>
                </c:pt>
                <c:pt idx="283">
                  <c:v>43443</c:v>
                </c:pt>
                <c:pt idx="284">
                  <c:v>43442</c:v>
                </c:pt>
                <c:pt idx="285">
                  <c:v>43441</c:v>
                </c:pt>
                <c:pt idx="286">
                  <c:v>43440</c:v>
                </c:pt>
                <c:pt idx="287">
                  <c:v>43439</c:v>
                </c:pt>
                <c:pt idx="288">
                  <c:v>43438</c:v>
                </c:pt>
                <c:pt idx="289">
                  <c:v>43437</c:v>
                </c:pt>
                <c:pt idx="290">
                  <c:v>43436</c:v>
                </c:pt>
                <c:pt idx="291">
                  <c:v>43435</c:v>
                </c:pt>
                <c:pt idx="292">
                  <c:v>43434</c:v>
                </c:pt>
                <c:pt idx="293">
                  <c:v>43433</c:v>
                </c:pt>
                <c:pt idx="294">
                  <c:v>43432</c:v>
                </c:pt>
                <c:pt idx="295">
                  <c:v>43431</c:v>
                </c:pt>
                <c:pt idx="296">
                  <c:v>43430</c:v>
                </c:pt>
                <c:pt idx="297">
                  <c:v>43429</c:v>
                </c:pt>
                <c:pt idx="298">
                  <c:v>43428</c:v>
                </c:pt>
                <c:pt idx="299">
                  <c:v>43427</c:v>
                </c:pt>
                <c:pt idx="300">
                  <c:v>43426</c:v>
                </c:pt>
                <c:pt idx="301">
                  <c:v>43425</c:v>
                </c:pt>
                <c:pt idx="302">
                  <c:v>43424</c:v>
                </c:pt>
                <c:pt idx="303">
                  <c:v>43423</c:v>
                </c:pt>
                <c:pt idx="304">
                  <c:v>43422</c:v>
                </c:pt>
                <c:pt idx="305">
                  <c:v>43421</c:v>
                </c:pt>
                <c:pt idx="306">
                  <c:v>43420</c:v>
                </c:pt>
                <c:pt idx="307">
                  <c:v>43419</c:v>
                </c:pt>
                <c:pt idx="308">
                  <c:v>43418</c:v>
                </c:pt>
                <c:pt idx="309">
                  <c:v>43417</c:v>
                </c:pt>
                <c:pt idx="310">
                  <c:v>43416</c:v>
                </c:pt>
                <c:pt idx="311">
                  <c:v>43415</c:v>
                </c:pt>
                <c:pt idx="312">
                  <c:v>43414</c:v>
                </c:pt>
                <c:pt idx="313">
                  <c:v>43413</c:v>
                </c:pt>
                <c:pt idx="314">
                  <c:v>43412</c:v>
                </c:pt>
                <c:pt idx="315">
                  <c:v>43411</c:v>
                </c:pt>
                <c:pt idx="316">
                  <c:v>43410</c:v>
                </c:pt>
                <c:pt idx="317">
                  <c:v>43409</c:v>
                </c:pt>
                <c:pt idx="318">
                  <c:v>43408</c:v>
                </c:pt>
                <c:pt idx="319">
                  <c:v>43407</c:v>
                </c:pt>
                <c:pt idx="320">
                  <c:v>43406</c:v>
                </c:pt>
                <c:pt idx="321">
                  <c:v>43405</c:v>
                </c:pt>
                <c:pt idx="322">
                  <c:v>43404</c:v>
                </c:pt>
                <c:pt idx="323">
                  <c:v>43403</c:v>
                </c:pt>
                <c:pt idx="324">
                  <c:v>43402</c:v>
                </c:pt>
                <c:pt idx="325">
                  <c:v>43401</c:v>
                </c:pt>
                <c:pt idx="326">
                  <c:v>43400</c:v>
                </c:pt>
                <c:pt idx="327">
                  <c:v>43399</c:v>
                </c:pt>
                <c:pt idx="328">
                  <c:v>43398</c:v>
                </c:pt>
                <c:pt idx="329">
                  <c:v>43397</c:v>
                </c:pt>
                <c:pt idx="330">
                  <c:v>43396</c:v>
                </c:pt>
                <c:pt idx="331">
                  <c:v>43395</c:v>
                </c:pt>
                <c:pt idx="332">
                  <c:v>43394</c:v>
                </c:pt>
                <c:pt idx="333">
                  <c:v>43393</c:v>
                </c:pt>
                <c:pt idx="334">
                  <c:v>43392</c:v>
                </c:pt>
                <c:pt idx="335">
                  <c:v>43391</c:v>
                </c:pt>
                <c:pt idx="336">
                  <c:v>43390</c:v>
                </c:pt>
                <c:pt idx="337">
                  <c:v>43389</c:v>
                </c:pt>
                <c:pt idx="338">
                  <c:v>43388</c:v>
                </c:pt>
                <c:pt idx="339">
                  <c:v>43387</c:v>
                </c:pt>
                <c:pt idx="340">
                  <c:v>43386</c:v>
                </c:pt>
                <c:pt idx="341">
                  <c:v>43385</c:v>
                </c:pt>
                <c:pt idx="342">
                  <c:v>43384</c:v>
                </c:pt>
                <c:pt idx="343">
                  <c:v>43383</c:v>
                </c:pt>
                <c:pt idx="344">
                  <c:v>43382</c:v>
                </c:pt>
                <c:pt idx="345">
                  <c:v>43381</c:v>
                </c:pt>
                <c:pt idx="346">
                  <c:v>43380</c:v>
                </c:pt>
                <c:pt idx="347">
                  <c:v>43379</c:v>
                </c:pt>
                <c:pt idx="348">
                  <c:v>43378</c:v>
                </c:pt>
                <c:pt idx="349">
                  <c:v>43377</c:v>
                </c:pt>
                <c:pt idx="350">
                  <c:v>43376</c:v>
                </c:pt>
                <c:pt idx="351">
                  <c:v>43375</c:v>
                </c:pt>
                <c:pt idx="352">
                  <c:v>43374</c:v>
                </c:pt>
                <c:pt idx="353">
                  <c:v>43373</c:v>
                </c:pt>
                <c:pt idx="354">
                  <c:v>43372</c:v>
                </c:pt>
                <c:pt idx="355">
                  <c:v>43371</c:v>
                </c:pt>
                <c:pt idx="356">
                  <c:v>43370</c:v>
                </c:pt>
                <c:pt idx="357">
                  <c:v>43369</c:v>
                </c:pt>
                <c:pt idx="358">
                  <c:v>43368</c:v>
                </c:pt>
                <c:pt idx="359">
                  <c:v>43367</c:v>
                </c:pt>
                <c:pt idx="360">
                  <c:v>43366</c:v>
                </c:pt>
                <c:pt idx="361">
                  <c:v>43365</c:v>
                </c:pt>
                <c:pt idx="362">
                  <c:v>43364</c:v>
                </c:pt>
                <c:pt idx="363">
                  <c:v>43363</c:v>
                </c:pt>
                <c:pt idx="364">
                  <c:v>43362</c:v>
                </c:pt>
                <c:pt idx="365">
                  <c:v>43361</c:v>
                </c:pt>
              </c:numCache>
            </c:numRef>
          </c:cat>
          <c:val>
            <c:numRef>
              <c:f>'FX Forward &amp; SwapPoint'!$CZ$12:$CZ$377</c:f>
              <c:numCache>
                <c:formatCode>General</c:formatCode>
                <c:ptCount val="366"/>
                <c:pt idx="0">
                  <c:v>26.35</c:v>
                </c:pt>
                <c:pt idx="1">
                  <c:v>27.68</c:v>
                </c:pt>
                <c:pt idx="2">
                  <c:v>25.84</c:v>
                </c:pt>
                <c:pt idx="3">
                  <c:v>24.75</c:v>
                </c:pt>
                <c:pt idx="4">
                  <c:v>25.09</c:v>
                </c:pt>
                <c:pt idx="5">
                  <c:v>24.83</c:v>
                </c:pt>
                <c:pt idx="6">
                  <c:v>25.04</c:v>
                </c:pt>
                <c:pt idx="7">
                  <c:v>27.35</c:v>
                </c:pt>
                <c:pt idx="8">
                  <c:v>28.700000000000003</c:v>
                </c:pt>
                <c:pt idx="9">
                  <c:v>26.369999999999997</c:v>
                </c:pt>
                <c:pt idx="10">
                  <c:v>25.880000000000003</c:v>
                </c:pt>
                <c:pt idx="11">
                  <c:v>25.880000000000003</c:v>
                </c:pt>
                <c:pt idx="12">
                  <c:v>26.04</c:v>
                </c:pt>
                <c:pt idx="13">
                  <c:v>26.1</c:v>
                </c:pt>
                <c:pt idx="14">
                  <c:v>27.09</c:v>
                </c:pt>
                <c:pt idx="15">
                  <c:v>27.740000000000002</c:v>
                </c:pt>
                <c:pt idx="16">
                  <c:v>26.1</c:v>
                </c:pt>
                <c:pt idx="17">
                  <c:v>25.98</c:v>
                </c:pt>
                <c:pt idx="18">
                  <c:v>25.810000000000002</c:v>
                </c:pt>
                <c:pt idx="19">
                  <c:v>26.060000000000002</c:v>
                </c:pt>
                <c:pt idx="20">
                  <c:v>26.04</c:v>
                </c:pt>
                <c:pt idx="21">
                  <c:v>25.770000000000003</c:v>
                </c:pt>
                <c:pt idx="22">
                  <c:v>26.64</c:v>
                </c:pt>
                <c:pt idx="23">
                  <c:v>27.66</c:v>
                </c:pt>
                <c:pt idx="24">
                  <c:v>25.82</c:v>
                </c:pt>
                <c:pt idx="25">
                  <c:v>26.05</c:v>
                </c:pt>
                <c:pt idx="26">
                  <c:v>25.990000000000002</c:v>
                </c:pt>
                <c:pt idx="27">
                  <c:v>25.83</c:v>
                </c:pt>
                <c:pt idx="28">
                  <c:v>25.64</c:v>
                </c:pt>
                <c:pt idx="29">
                  <c:v>26.38</c:v>
                </c:pt>
                <c:pt idx="30">
                  <c:v>27.64</c:v>
                </c:pt>
                <c:pt idx="31">
                  <c:v>26.08</c:v>
                </c:pt>
                <c:pt idx="32">
                  <c:v>26.285</c:v>
                </c:pt>
                <c:pt idx="33">
                  <c:v>26.35</c:v>
                </c:pt>
                <c:pt idx="34">
                  <c:v>26.479999999999997</c:v>
                </c:pt>
                <c:pt idx="35">
                  <c:v>26.759999999999998</c:v>
                </c:pt>
                <c:pt idx="36">
                  <c:v>27.78</c:v>
                </c:pt>
                <c:pt idx="37">
                  <c:v>28.450000000000003</c:v>
                </c:pt>
                <c:pt idx="38">
                  <c:v>26.200000000000003</c:v>
                </c:pt>
                <c:pt idx="39">
                  <c:v>26.43</c:v>
                </c:pt>
                <c:pt idx="40">
                  <c:v>26.380000000000003</c:v>
                </c:pt>
                <c:pt idx="41">
                  <c:v>26.35</c:v>
                </c:pt>
                <c:pt idx="42">
                  <c:v>26.21</c:v>
                </c:pt>
                <c:pt idx="43">
                  <c:v>27.39</c:v>
                </c:pt>
                <c:pt idx="44">
                  <c:v>28.560000000000002</c:v>
                </c:pt>
                <c:pt idx="45">
                  <c:v>26.740000000000002</c:v>
                </c:pt>
                <c:pt idx="46">
                  <c:v>26.83</c:v>
                </c:pt>
                <c:pt idx="47">
                  <c:v>26.810000000000002</c:v>
                </c:pt>
                <c:pt idx="48">
                  <c:v>26.83</c:v>
                </c:pt>
                <c:pt idx="49">
                  <c:v>28</c:v>
                </c:pt>
                <c:pt idx="50">
                  <c:v>29.08</c:v>
                </c:pt>
                <c:pt idx="51">
                  <c:v>26.509999999999998</c:v>
                </c:pt>
                <c:pt idx="52">
                  <c:v>27.03</c:v>
                </c:pt>
                <c:pt idx="53">
                  <c:v>27.009999999999998</c:v>
                </c:pt>
                <c:pt idx="54">
                  <c:v>27.04</c:v>
                </c:pt>
                <c:pt idx="55">
                  <c:v>27.17</c:v>
                </c:pt>
                <c:pt idx="56">
                  <c:v>27.57</c:v>
                </c:pt>
                <c:pt idx="57">
                  <c:v>28.5</c:v>
                </c:pt>
                <c:pt idx="58">
                  <c:v>29.67</c:v>
                </c:pt>
                <c:pt idx="59">
                  <c:v>27.869999999999997</c:v>
                </c:pt>
                <c:pt idx="60">
                  <c:v>27.909999999999997</c:v>
                </c:pt>
                <c:pt idx="61">
                  <c:v>27.759999999999998</c:v>
                </c:pt>
                <c:pt idx="62">
                  <c:v>27.83</c:v>
                </c:pt>
                <c:pt idx="63">
                  <c:v>28.33</c:v>
                </c:pt>
                <c:pt idx="64">
                  <c:v>29.189999999999998</c:v>
                </c:pt>
                <c:pt idx="65">
                  <c:v>30.13</c:v>
                </c:pt>
                <c:pt idx="66">
                  <c:v>28.365000000000002</c:v>
                </c:pt>
                <c:pt idx="67">
                  <c:v>28.35</c:v>
                </c:pt>
                <c:pt idx="68">
                  <c:v>28.4</c:v>
                </c:pt>
                <c:pt idx="69">
                  <c:v>28.36</c:v>
                </c:pt>
                <c:pt idx="70">
                  <c:v>28.43</c:v>
                </c:pt>
                <c:pt idx="71">
                  <c:v>29.630000000000003</c:v>
                </c:pt>
                <c:pt idx="72">
                  <c:v>30.86</c:v>
                </c:pt>
                <c:pt idx="73">
                  <c:v>28.689999999999998</c:v>
                </c:pt>
                <c:pt idx="74">
                  <c:v>28.450000000000003</c:v>
                </c:pt>
                <c:pt idx="75">
                  <c:v>28.89</c:v>
                </c:pt>
                <c:pt idx="76">
                  <c:v>28.41</c:v>
                </c:pt>
                <c:pt idx="77">
                  <c:v>28.729999999999997</c:v>
                </c:pt>
                <c:pt idx="78">
                  <c:v>29.08</c:v>
                </c:pt>
                <c:pt idx="79">
                  <c:v>30.96</c:v>
                </c:pt>
                <c:pt idx="80">
                  <c:v>29.134999999999998</c:v>
                </c:pt>
                <c:pt idx="81">
                  <c:v>29.1</c:v>
                </c:pt>
                <c:pt idx="82">
                  <c:v>29.09</c:v>
                </c:pt>
                <c:pt idx="83">
                  <c:v>29.17</c:v>
                </c:pt>
                <c:pt idx="84">
                  <c:v>31.66</c:v>
                </c:pt>
                <c:pt idx="85">
                  <c:v>30.57</c:v>
                </c:pt>
                <c:pt idx="86">
                  <c:v>28.54</c:v>
                </c:pt>
                <c:pt idx="87">
                  <c:v>28.41</c:v>
                </c:pt>
                <c:pt idx="88">
                  <c:v>28.53</c:v>
                </c:pt>
                <c:pt idx="89">
                  <c:v>28.479999999999997</c:v>
                </c:pt>
                <c:pt idx="90">
                  <c:v>28.229999999999997</c:v>
                </c:pt>
                <c:pt idx="91">
                  <c:v>28.61</c:v>
                </c:pt>
                <c:pt idx="92">
                  <c:v>29.85</c:v>
                </c:pt>
                <c:pt idx="93">
                  <c:v>28.41</c:v>
                </c:pt>
                <c:pt idx="94">
                  <c:v>28.315000000000001</c:v>
                </c:pt>
                <c:pt idx="95">
                  <c:v>28.119999999999997</c:v>
                </c:pt>
                <c:pt idx="96">
                  <c:v>28.41</c:v>
                </c:pt>
                <c:pt idx="97">
                  <c:v>28.54</c:v>
                </c:pt>
                <c:pt idx="98">
                  <c:v>29.310000000000002</c:v>
                </c:pt>
                <c:pt idx="99">
                  <c:v>30.299999999999997</c:v>
                </c:pt>
                <c:pt idx="100">
                  <c:v>28.61</c:v>
                </c:pt>
                <c:pt idx="101">
                  <c:v>28.29</c:v>
                </c:pt>
                <c:pt idx="102">
                  <c:v>28.44</c:v>
                </c:pt>
                <c:pt idx="103">
                  <c:v>28.47</c:v>
                </c:pt>
                <c:pt idx="104">
                  <c:v>28.020000000000003</c:v>
                </c:pt>
                <c:pt idx="105">
                  <c:v>29.020000000000003</c:v>
                </c:pt>
                <c:pt idx="106">
                  <c:v>30.16</c:v>
                </c:pt>
                <c:pt idx="107">
                  <c:v>28.200000000000003</c:v>
                </c:pt>
                <c:pt idx="108">
                  <c:v>29.475000000000001</c:v>
                </c:pt>
                <c:pt idx="109">
                  <c:v>29.57</c:v>
                </c:pt>
                <c:pt idx="110">
                  <c:v>29.43</c:v>
                </c:pt>
                <c:pt idx="111">
                  <c:v>28.590000000000003</c:v>
                </c:pt>
                <c:pt idx="112">
                  <c:v>25.79</c:v>
                </c:pt>
                <c:pt idx="113">
                  <c:v>27.020000000000003</c:v>
                </c:pt>
                <c:pt idx="114">
                  <c:v>28.03</c:v>
                </c:pt>
                <c:pt idx="115">
                  <c:v>28.84</c:v>
                </c:pt>
                <c:pt idx="116">
                  <c:v>28.79</c:v>
                </c:pt>
                <c:pt idx="117">
                  <c:v>28.689999999999998</c:v>
                </c:pt>
                <c:pt idx="118">
                  <c:v>28.689999999999998</c:v>
                </c:pt>
                <c:pt idx="119">
                  <c:v>28.68</c:v>
                </c:pt>
                <c:pt idx="120">
                  <c:v>29.68</c:v>
                </c:pt>
                <c:pt idx="121">
                  <c:v>30.5</c:v>
                </c:pt>
                <c:pt idx="122">
                  <c:v>28.54</c:v>
                </c:pt>
                <c:pt idx="123">
                  <c:v>28.71</c:v>
                </c:pt>
                <c:pt idx="124">
                  <c:v>28.689999999999998</c:v>
                </c:pt>
                <c:pt idx="125">
                  <c:v>28.740000000000002</c:v>
                </c:pt>
                <c:pt idx="126">
                  <c:v>28.810000000000002</c:v>
                </c:pt>
                <c:pt idx="127">
                  <c:v>29.770000000000003</c:v>
                </c:pt>
                <c:pt idx="128">
                  <c:v>30.66</c:v>
                </c:pt>
                <c:pt idx="129">
                  <c:v>28.560000000000002</c:v>
                </c:pt>
                <c:pt idx="130">
                  <c:v>28.740000000000002</c:v>
                </c:pt>
                <c:pt idx="131">
                  <c:v>28.689999999999998</c:v>
                </c:pt>
                <c:pt idx="132">
                  <c:v>28.770000000000003</c:v>
                </c:pt>
                <c:pt idx="133">
                  <c:v>28.740000000000002</c:v>
                </c:pt>
                <c:pt idx="134">
                  <c:v>29.67</c:v>
                </c:pt>
                <c:pt idx="135">
                  <c:v>31.15</c:v>
                </c:pt>
                <c:pt idx="136">
                  <c:v>29.310000000000002</c:v>
                </c:pt>
                <c:pt idx="137">
                  <c:v>29.479999999999997</c:v>
                </c:pt>
                <c:pt idx="138">
                  <c:v>29.43</c:v>
                </c:pt>
                <c:pt idx="139">
                  <c:v>29.560000000000002</c:v>
                </c:pt>
                <c:pt idx="140">
                  <c:v>30.18</c:v>
                </c:pt>
                <c:pt idx="141">
                  <c:v>30.049999999999997</c:v>
                </c:pt>
                <c:pt idx="142">
                  <c:v>30.71</c:v>
                </c:pt>
                <c:pt idx="143">
                  <c:v>29.5</c:v>
                </c:pt>
                <c:pt idx="144">
                  <c:v>29.54</c:v>
                </c:pt>
                <c:pt idx="145">
                  <c:v>29.75</c:v>
                </c:pt>
                <c:pt idx="146">
                  <c:v>28.439999999999998</c:v>
                </c:pt>
                <c:pt idx="147">
                  <c:v>30.439999999999998</c:v>
                </c:pt>
                <c:pt idx="148">
                  <c:v>31.67</c:v>
                </c:pt>
                <c:pt idx="149">
                  <c:v>28.9</c:v>
                </c:pt>
                <c:pt idx="150">
                  <c:v>28.835000000000001</c:v>
                </c:pt>
                <c:pt idx="151">
                  <c:v>28.91</c:v>
                </c:pt>
                <c:pt idx="152">
                  <c:v>28.89</c:v>
                </c:pt>
                <c:pt idx="153">
                  <c:v>28.880000000000003</c:v>
                </c:pt>
                <c:pt idx="154">
                  <c:v>28.83</c:v>
                </c:pt>
                <c:pt idx="155">
                  <c:v>30.6</c:v>
                </c:pt>
                <c:pt idx="156">
                  <c:v>28.87</c:v>
                </c:pt>
                <c:pt idx="157">
                  <c:v>28.68</c:v>
                </c:pt>
                <c:pt idx="158">
                  <c:v>28.63</c:v>
                </c:pt>
                <c:pt idx="159">
                  <c:v>28.71</c:v>
                </c:pt>
                <c:pt idx="160">
                  <c:v>28.43</c:v>
                </c:pt>
                <c:pt idx="161">
                  <c:v>29.42</c:v>
                </c:pt>
                <c:pt idx="162">
                  <c:v>30.75</c:v>
                </c:pt>
                <c:pt idx="163">
                  <c:v>28.799999999999997</c:v>
                </c:pt>
                <c:pt idx="164">
                  <c:v>28.29</c:v>
                </c:pt>
                <c:pt idx="165">
                  <c:v>28.34</c:v>
                </c:pt>
                <c:pt idx="166">
                  <c:v>28.29</c:v>
                </c:pt>
                <c:pt idx="167">
                  <c:v>28.29</c:v>
                </c:pt>
                <c:pt idx="168">
                  <c:v>29.21</c:v>
                </c:pt>
                <c:pt idx="169">
                  <c:v>30.229999999999997</c:v>
                </c:pt>
                <c:pt idx="170">
                  <c:v>28.34</c:v>
                </c:pt>
                <c:pt idx="171">
                  <c:v>28.45</c:v>
                </c:pt>
                <c:pt idx="172">
                  <c:v>28.32</c:v>
                </c:pt>
                <c:pt idx="173">
                  <c:v>28.34</c:v>
                </c:pt>
                <c:pt idx="174">
                  <c:v>29.4</c:v>
                </c:pt>
                <c:pt idx="175">
                  <c:v>31.15</c:v>
                </c:pt>
                <c:pt idx="176">
                  <c:v>31.560000000000002</c:v>
                </c:pt>
                <c:pt idx="177">
                  <c:v>32.24</c:v>
                </c:pt>
                <c:pt idx="178">
                  <c:v>30.225000000000001</c:v>
                </c:pt>
                <c:pt idx="179">
                  <c:v>30.240000000000002</c:v>
                </c:pt>
                <c:pt idx="180">
                  <c:v>30.1</c:v>
                </c:pt>
                <c:pt idx="181">
                  <c:v>30.450000000000003</c:v>
                </c:pt>
                <c:pt idx="182">
                  <c:v>31</c:v>
                </c:pt>
                <c:pt idx="183">
                  <c:v>31.759999999999998</c:v>
                </c:pt>
                <c:pt idx="184">
                  <c:v>32.699995000000001</c:v>
                </c:pt>
                <c:pt idx="185">
                  <c:v>33.58</c:v>
                </c:pt>
                <c:pt idx="186">
                  <c:v>33.57</c:v>
                </c:pt>
                <c:pt idx="187">
                  <c:v>33.590000000000003</c:v>
                </c:pt>
                <c:pt idx="188">
                  <c:v>29.72</c:v>
                </c:pt>
                <c:pt idx="189">
                  <c:v>29.630000000000003</c:v>
                </c:pt>
                <c:pt idx="190">
                  <c:v>30.47</c:v>
                </c:pt>
                <c:pt idx="191">
                  <c:v>31.47</c:v>
                </c:pt>
                <c:pt idx="192">
                  <c:v>29.405000000000001</c:v>
                </c:pt>
                <c:pt idx="193">
                  <c:v>29.520000000000003</c:v>
                </c:pt>
                <c:pt idx="194">
                  <c:v>29.54</c:v>
                </c:pt>
                <c:pt idx="195">
                  <c:v>29.22</c:v>
                </c:pt>
                <c:pt idx="196">
                  <c:v>29.32</c:v>
                </c:pt>
                <c:pt idx="197">
                  <c:v>30.35</c:v>
                </c:pt>
                <c:pt idx="198">
                  <c:v>31.259999999999998</c:v>
                </c:pt>
                <c:pt idx="199">
                  <c:v>29.634999999999998</c:v>
                </c:pt>
                <c:pt idx="200">
                  <c:v>29.66</c:v>
                </c:pt>
                <c:pt idx="201">
                  <c:v>29.66</c:v>
                </c:pt>
                <c:pt idx="202">
                  <c:v>29.6</c:v>
                </c:pt>
                <c:pt idx="203">
                  <c:v>29.509999999999998</c:v>
                </c:pt>
                <c:pt idx="204">
                  <c:v>27.29</c:v>
                </c:pt>
                <c:pt idx="205">
                  <c:v>26.299999999999997</c:v>
                </c:pt>
                <c:pt idx="206">
                  <c:v>26.055</c:v>
                </c:pt>
                <c:pt idx="207">
                  <c:v>26.09</c:v>
                </c:pt>
                <c:pt idx="208">
                  <c:v>26.130000000000003</c:v>
                </c:pt>
                <c:pt idx="209">
                  <c:v>25.96</c:v>
                </c:pt>
                <c:pt idx="210">
                  <c:v>26.060000000000002</c:v>
                </c:pt>
                <c:pt idx="211">
                  <c:v>26.16</c:v>
                </c:pt>
                <c:pt idx="212">
                  <c:v>26.11</c:v>
                </c:pt>
                <c:pt idx="213">
                  <c:v>26.11</c:v>
                </c:pt>
                <c:pt idx="214">
                  <c:v>26.09</c:v>
                </c:pt>
                <c:pt idx="215">
                  <c:v>26</c:v>
                </c:pt>
                <c:pt idx="216">
                  <c:v>26.14</c:v>
                </c:pt>
                <c:pt idx="217">
                  <c:v>26.28</c:v>
                </c:pt>
                <c:pt idx="218">
                  <c:v>26.369999999999997</c:v>
                </c:pt>
                <c:pt idx="219">
                  <c:v>26.200000000000003</c:v>
                </c:pt>
                <c:pt idx="220">
                  <c:v>26.335000000000001</c:v>
                </c:pt>
                <c:pt idx="221">
                  <c:v>26.41</c:v>
                </c:pt>
                <c:pt idx="222">
                  <c:v>26.36</c:v>
                </c:pt>
                <c:pt idx="223">
                  <c:v>26.450000000000003</c:v>
                </c:pt>
                <c:pt idx="224">
                  <c:v>26.549999999999997</c:v>
                </c:pt>
                <c:pt idx="225">
                  <c:v>26.75</c:v>
                </c:pt>
                <c:pt idx="226">
                  <c:v>26.84</c:v>
                </c:pt>
                <c:pt idx="227">
                  <c:v>27.04</c:v>
                </c:pt>
                <c:pt idx="228">
                  <c:v>27.05</c:v>
                </c:pt>
                <c:pt idx="229">
                  <c:v>26.990000000000002</c:v>
                </c:pt>
                <c:pt idx="230">
                  <c:v>27.08</c:v>
                </c:pt>
                <c:pt idx="231">
                  <c:v>26.75</c:v>
                </c:pt>
                <c:pt idx="232">
                  <c:v>26.97</c:v>
                </c:pt>
                <c:pt idx="233">
                  <c:v>27.86</c:v>
                </c:pt>
                <c:pt idx="234">
                  <c:v>28.71</c:v>
                </c:pt>
                <c:pt idx="235">
                  <c:v>28.76</c:v>
                </c:pt>
                <c:pt idx="236">
                  <c:v>28.630000000000003</c:v>
                </c:pt>
                <c:pt idx="237">
                  <c:v>29.61</c:v>
                </c:pt>
                <c:pt idx="238">
                  <c:v>29.82</c:v>
                </c:pt>
                <c:pt idx="239">
                  <c:v>30.78</c:v>
                </c:pt>
                <c:pt idx="240">
                  <c:v>31.54</c:v>
                </c:pt>
                <c:pt idx="241">
                  <c:v>29.52</c:v>
                </c:pt>
                <c:pt idx="242">
                  <c:v>29.55</c:v>
                </c:pt>
                <c:pt idx="243">
                  <c:v>29.59</c:v>
                </c:pt>
                <c:pt idx="244">
                  <c:v>29.67</c:v>
                </c:pt>
                <c:pt idx="245">
                  <c:v>30.92</c:v>
                </c:pt>
                <c:pt idx="246">
                  <c:v>31.92</c:v>
                </c:pt>
                <c:pt idx="247">
                  <c:v>32.79</c:v>
                </c:pt>
                <c:pt idx="248">
                  <c:v>29.615000000000002</c:v>
                </c:pt>
                <c:pt idx="249">
                  <c:v>29.58</c:v>
                </c:pt>
                <c:pt idx="250">
                  <c:v>29.59</c:v>
                </c:pt>
                <c:pt idx="251">
                  <c:v>29.700000000000003</c:v>
                </c:pt>
                <c:pt idx="252">
                  <c:v>29.509999999999998</c:v>
                </c:pt>
                <c:pt idx="253">
                  <c:v>30.36</c:v>
                </c:pt>
                <c:pt idx="254">
                  <c:v>31.67</c:v>
                </c:pt>
                <c:pt idx="255">
                  <c:v>29.509999999999998</c:v>
                </c:pt>
                <c:pt idx="256">
                  <c:v>29.549999999999997</c:v>
                </c:pt>
                <c:pt idx="257">
                  <c:v>29.439999999999998</c:v>
                </c:pt>
                <c:pt idx="258">
                  <c:v>29.28</c:v>
                </c:pt>
                <c:pt idx="259">
                  <c:v>29.009999999999998</c:v>
                </c:pt>
                <c:pt idx="260">
                  <c:v>30.310000000000002</c:v>
                </c:pt>
                <c:pt idx="261">
                  <c:v>30.35</c:v>
                </c:pt>
                <c:pt idx="262">
                  <c:v>31.46</c:v>
                </c:pt>
                <c:pt idx="263">
                  <c:v>31.18</c:v>
                </c:pt>
                <c:pt idx="264">
                  <c:v>31.240000000000002</c:v>
                </c:pt>
                <c:pt idx="265">
                  <c:v>30.439999999999998</c:v>
                </c:pt>
                <c:pt idx="266">
                  <c:v>32.44</c:v>
                </c:pt>
                <c:pt idx="267">
                  <c:v>32.64</c:v>
                </c:pt>
                <c:pt idx="268">
                  <c:v>32.28</c:v>
                </c:pt>
                <c:pt idx="269">
                  <c:v>33.699995000000001</c:v>
                </c:pt>
                <c:pt idx="270">
                  <c:v>33.840000000000003</c:v>
                </c:pt>
                <c:pt idx="271">
                  <c:v>34.04</c:v>
                </c:pt>
                <c:pt idx="272">
                  <c:v>34.309995000000001</c:v>
                </c:pt>
                <c:pt idx="273">
                  <c:v>36.059995000000001</c:v>
                </c:pt>
                <c:pt idx="274">
                  <c:v>35.86</c:v>
                </c:pt>
                <c:pt idx="275">
                  <c:v>37.36</c:v>
                </c:pt>
                <c:pt idx="276">
                  <c:v>34.794995</c:v>
                </c:pt>
                <c:pt idx="277">
                  <c:v>34.399995000000004</c:v>
                </c:pt>
                <c:pt idx="278">
                  <c:v>34.620000000000005</c:v>
                </c:pt>
                <c:pt idx="279">
                  <c:v>34.269999999999996</c:v>
                </c:pt>
                <c:pt idx="280">
                  <c:v>35.32</c:v>
                </c:pt>
                <c:pt idx="281">
                  <c:v>37.39</c:v>
                </c:pt>
                <c:pt idx="282">
                  <c:v>39.42</c:v>
                </c:pt>
                <c:pt idx="283">
                  <c:v>36.204999999999998</c:v>
                </c:pt>
                <c:pt idx="284">
                  <c:v>36.259995000000004</c:v>
                </c:pt>
                <c:pt idx="285">
                  <c:v>35.969994999999997</c:v>
                </c:pt>
                <c:pt idx="286">
                  <c:v>36.04</c:v>
                </c:pt>
                <c:pt idx="287">
                  <c:v>36.079994999999997</c:v>
                </c:pt>
                <c:pt idx="288">
                  <c:v>38.35</c:v>
                </c:pt>
                <c:pt idx="289">
                  <c:v>39.370000000000005</c:v>
                </c:pt>
                <c:pt idx="290">
                  <c:v>36.045000000000002</c:v>
                </c:pt>
                <c:pt idx="291">
                  <c:v>36.54</c:v>
                </c:pt>
                <c:pt idx="292">
                  <c:v>36.149995000000004</c:v>
                </c:pt>
                <c:pt idx="293">
                  <c:v>34.03</c:v>
                </c:pt>
                <c:pt idx="294">
                  <c:v>27.64</c:v>
                </c:pt>
                <c:pt idx="295">
                  <c:v>28.450000000000003</c:v>
                </c:pt>
                <c:pt idx="296">
                  <c:v>26.41</c:v>
                </c:pt>
                <c:pt idx="297">
                  <c:v>26.344999999999999</c:v>
                </c:pt>
                <c:pt idx="298">
                  <c:v>26.21</c:v>
                </c:pt>
                <c:pt idx="299">
                  <c:v>26.4</c:v>
                </c:pt>
                <c:pt idx="300">
                  <c:v>27.33</c:v>
                </c:pt>
                <c:pt idx="301">
                  <c:v>27.060000000000002</c:v>
                </c:pt>
                <c:pt idx="302">
                  <c:v>27.15</c:v>
                </c:pt>
                <c:pt idx="303">
                  <c:v>26</c:v>
                </c:pt>
                <c:pt idx="304">
                  <c:v>26.085000000000001</c:v>
                </c:pt>
                <c:pt idx="305">
                  <c:v>26.175000000000001</c:v>
                </c:pt>
                <c:pt idx="306">
                  <c:v>25.990000000000002</c:v>
                </c:pt>
                <c:pt idx="307">
                  <c:v>25.96</c:v>
                </c:pt>
                <c:pt idx="308">
                  <c:v>26.810000000000002</c:v>
                </c:pt>
                <c:pt idx="309">
                  <c:v>27.6</c:v>
                </c:pt>
                <c:pt idx="310">
                  <c:v>26.060000000000002</c:v>
                </c:pt>
                <c:pt idx="311">
                  <c:v>26.25</c:v>
                </c:pt>
                <c:pt idx="312">
                  <c:v>26.19</c:v>
                </c:pt>
                <c:pt idx="313">
                  <c:v>26.200000000000003</c:v>
                </c:pt>
                <c:pt idx="314">
                  <c:v>26.4</c:v>
                </c:pt>
                <c:pt idx="315">
                  <c:v>27.380000000000003</c:v>
                </c:pt>
                <c:pt idx="316">
                  <c:v>28</c:v>
                </c:pt>
                <c:pt idx="317">
                  <c:v>26.21</c:v>
                </c:pt>
                <c:pt idx="318">
                  <c:v>26.11</c:v>
                </c:pt>
                <c:pt idx="319">
                  <c:v>26.08</c:v>
                </c:pt>
                <c:pt idx="320">
                  <c:v>26.22</c:v>
                </c:pt>
                <c:pt idx="321">
                  <c:v>26.130000000000003</c:v>
                </c:pt>
                <c:pt idx="322">
                  <c:v>27.04</c:v>
                </c:pt>
                <c:pt idx="323">
                  <c:v>28.21</c:v>
                </c:pt>
                <c:pt idx="324">
                  <c:v>26.65</c:v>
                </c:pt>
                <c:pt idx="325">
                  <c:v>27.54</c:v>
                </c:pt>
                <c:pt idx="326">
                  <c:v>27.53</c:v>
                </c:pt>
                <c:pt idx="327">
                  <c:v>27.53</c:v>
                </c:pt>
                <c:pt idx="328">
                  <c:v>27.450000000000003</c:v>
                </c:pt>
                <c:pt idx="329">
                  <c:v>27.380000000000003</c:v>
                </c:pt>
                <c:pt idx="330">
                  <c:v>28.4</c:v>
                </c:pt>
                <c:pt idx="331">
                  <c:v>29.310000000000002</c:v>
                </c:pt>
                <c:pt idx="332">
                  <c:v>27.75</c:v>
                </c:pt>
                <c:pt idx="333">
                  <c:v>27.75</c:v>
                </c:pt>
                <c:pt idx="334">
                  <c:v>27.700000000000003</c:v>
                </c:pt>
                <c:pt idx="335">
                  <c:v>28.490000000000002</c:v>
                </c:pt>
                <c:pt idx="336">
                  <c:v>27.759999999999998</c:v>
                </c:pt>
                <c:pt idx="337">
                  <c:v>28.630000000000003</c:v>
                </c:pt>
                <c:pt idx="338">
                  <c:v>29.770000000000003</c:v>
                </c:pt>
                <c:pt idx="339">
                  <c:v>28.009999999999998</c:v>
                </c:pt>
                <c:pt idx="340">
                  <c:v>28.03</c:v>
                </c:pt>
                <c:pt idx="341">
                  <c:v>28.049999999999997</c:v>
                </c:pt>
                <c:pt idx="342">
                  <c:v>27.93</c:v>
                </c:pt>
                <c:pt idx="343">
                  <c:v>28.810000000000002</c:v>
                </c:pt>
                <c:pt idx="344">
                  <c:v>29.560000000000002</c:v>
                </c:pt>
                <c:pt idx="345">
                  <c:v>30.33</c:v>
                </c:pt>
                <c:pt idx="346">
                  <c:v>27.535</c:v>
                </c:pt>
                <c:pt idx="347">
                  <c:v>27.549999999999997</c:v>
                </c:pt>
                <c:pt idx="348">
                  <c:v>27.5</c:v>
                </c:pt>
                <c:pt idx="349">
                  <c:v>27.54</c:v>
                </c:pt>
                <c:pt idx="350">
                  <c:v>27.450000000000003</c:v>
                </c:pt>
                <c:pt idx="351">
                  <c:v>28.5</c:v>
                </c:pt>
                <c:pt idx="352">
                  <c:v>29.509999999999998</c:v>
                </c:pt>
                <c:pt idx="353">
                  <c:v>28.045000000000002</c:v>
                </c:pt>
                <c:pt idx="354">
                  <c:v>28.049999999999997</c:v>
                </c:pt>
                <c:pt idx="355">
                  <c:v>28.1</c:v>
                </c:pt>
                <c:pt idx="356">
                  <c:v>28.35</c:v>
                </c:pt>
                <c:pt idx="357">
                  <c:v>30.6</c:v>
                </c:pt>
                <c:pt idx="358">
                  <c:v>29.490000000000002</c:v>
                </c:pt>
                <c:pt idx="359">
                  <c:v>27.66</c:v>
                </c:pt>
                <c:pt idx="360">
                  <c:v>27.505000000000003</c:v>
                </c:pt>
                <c:pt idx="361">
                  <c:v>27.520000000000003</c:v>
                </c:pt>
                <c:pt idx="362">
                  <c:v>27.6</c:v>
                </c:pt>
                <c:pt idx="363">
                  <c:v>27.32</c:v>
                </c:pt>
                <c:pt idx="364">
                  <c:v>28.130000000000003</c:v>
                </c:pt>
                <c:pt idx="365">
                  <c:v>28.990000000000002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78176"/>
        <c:axId val="131388160"/>
      </c:lineChart>
      <c:lineChart>
        <c:grouping val="standard"/>
        <c:varyColors val="0"/>
        <c:ser>
          <c:idx val="3"/>
          <c:order val="3"/>
          <c:tx>
            <c:strRef>
              <c:f>'FX Forward &amp; SwapPoint'!$DA$11</c:f>
              <c:strCache>
                <c:ptCount val="1"/>
                <c:pt idx="0">
                  <c:v>SPOT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'FX Forward &amp; SwapPoint'!$CW$12:$CW$377</c:f>
              <c:numCache>
                <c:formatCode>m/d/yyyy</c:formatCode>
                <c:ptCount val="366"/>
                <c:pt idx="0">
                  <c:v>43726</c:v>
                </c:pt>
                <c:pt idx="1">
                  <c:v>43725</c:v>
                </c:pt>
                <c:pt idx="2">
                  <c:v>43724</c:v>
                </c:pt>
                <c:pt idx="3">
                  <c:v>43723</c:v>
                </c:pt>
                <c:pt idx="4">
                  <c:v>43722</c:v>
                </c:pt>
                <c:pt idx="5">
                  <c:v>43721</c:v>
                </c:pt>
                <c:pt idx="6">
                  <c:v>43720</c:v>
                </c:pt>
                <c:pt idx="7">
                  <c:v>43719</c:v>
                </c:pt>
                <c:pt idx="8">
                  <c:v>43718</c:v>
                </c:pt>
                <c:pt idx="9">
                  <c:v>43717</c:v>
                </c:pt>
                <c:pt idx="10">
                  <c:v>43716</c:v>
                </c:pt>
                <c:pt idx="11">
                  <c:v>43715</c:v>
                </c:pt>
                <c:pt idx="12">
                  <c:v>43714</c:v>
                </c:pt>
                <c:pt idx="13">
                  <c:v>43713</c:v>
                </c:pt>
                <c:pt idx="14">
                  <c:v>43712</c:v>
                </c:pt>
                <c:pt idx="15">
                  <c:v>43711</c:v>
                </c:pt>
                <c:pt idx="16">
                  <c:v>43710</c:v>
                </c:pt>
                <c:pt idx="17">
                  <c:v>43709</c:v>
                </c:pt>
                <c:pt idx="18">
                  <c:v>43708</c:v>
                </c:pt>
                <c:pt idx="19">
                  <c:v>43707</c:v>
                </c:pt>
                <c:pt idx="20">
                  <c:v>43706</c:v>
                </c:pt>
                <c:pt idx="21">
                  <c:v>43705</c:v>
                </c:pt>
                <c:pt idx="22">
                  <c:v>43704</c:v>
                </c:pt>
                <c:pt idx="23">
                  <c:v>43703</c:v>
                </c:pt>
                <c:pt idx="24">
                  <c:v>43702</c:v>
                </c:pt>
                <c:pt idx="25">
                  <c:v>43701</c:v>
                </c:pt>
                <c:pt idx="26">
                  <c:v>43700</c:v>
                </c:pt>
                <c:pt idx="27">
                  <c:v>43699</c:v>
                </c:pt>
                <c:pt idx="28">
                  <c:v>43698</c:v>
                </c:pt>
                <c:pt idx="29">
                  <c:v>43697</c:v>
                </c:pt>
                <c:pt idx="30">
                  <c:v>43696</c:v>
                </c:pt>
                <c:pt idx="31">
                  <c:v>43695</c:v>
                </c:pt>
                <c:pt idx="32">
                  <c:v>43694</c:v>
                </c:pt>
                <c:pt idx="33">
                  <c:v>43693</c:v>
                </c:pt>
                <c:pt idx="34">
                  <c:v>43692</c:v>
                </c:pt>
                <c:pt idx="35">
                  <c:v>43691</c:v>
                </c:pt>
                <c:pt idx="36">
                  <c:v>43690</c:v>
                </c:pt>
                <c:pt idx="37">
                  <c:v>43689</c:v>
                </c:pt>
                <c:pt idx="38">
                  <c:v>43688</c:v>
                </c:pt>
                <c:pt idx="39">
                  <c:v>43687</c:v>
                </c:pt>
                <c:pt idx="40">
                  <c:v>43686</c:v>
                </c:pt>
                <c:pt idx="41">
                  <c:v>43685</c:v>
                </c:pt>
                <c:pt idx="42">
                  <c:v>43684</c:v>
                </c:pt>
                <c:pt idx="43">
                  <c:v>43683</c:v>
                </c:pt>
                <c:pt idx="44">
                  <c:v>43682</c:v>
                </c:pt>
                <c:pt idx="45">
                  <c:v>43681</c:v>
                </c:pt>
                <c:pt idx="46">
                  <c:v>43680</c:v>
                </c:pt>
                <c:pt idx="47">
                  <c:v>43679</c:v>
                </c:pt>
                <c:pt idx="48">
                  <c:v>43678</c:v>
                </c:pt>
                <c:pt idx="49">
                  <c:v>43677</c:v>
                </c:pt>
                <c:pt idx="50">
                  <c:v>43676</c:v>
                </c:pt>
                <c:pt idx="51">
                  <c:v>43675</c:v>
                </c:pt>
                <c:pt idx="52">
                  <c:v>43674</c:v>
                </c:pt>
                <c:pt idx="53">
                  <c:v>43673</c:v>
                </c:pt>
                <c:pt idx="54">
                  <c:v>43672</c:v>
                </c:pt>
                <c:pt idx="55">
                  <c:v>43671</c:v>
                </c:pt>
                <c:pt idx="56">
                  <c:v>43670</c:v>
                </c:pt>
                <c:pt idx="57">
                  <c:v>43669</c:v>
                </c:pt>
                <c:pt idx="58">
                  <c:v>43668</c:v>
                </c:pt>
                <c:pt idx="59">
                  <c:v>43667</c:v>
                </c:pt>
                <c:pt idx="60">
                  <c:v>43666</c:v>
                </c:pt>
                <c:pt idx="61">
                  <c:v>43665</c:v>
                </c:pt>
                <c:pt idx="62">
                  <c:v>43664</c:v>
                </c:pt>
                <c:pt idx="63">
                  <c:v>43663</c:v>
                </c:pt>
                <c:pt idx="64">
                  <c:v>43662</c:v>
                </c:pt>
                <c:pt idx="65">
                  <c:v>43661</c:v>
                </c:pt>
                <c:pt idx="66">
                  <c:v>43660</c:v>
                </c:pt>
                <c:pt idx="67">
                  <c:v>43659</c:v>
                </c:pt>
                <c:pt idx="68">
                  <c:v>43658</c:v>
                </c:pt>
                <c:pt idx="69">
                  <c:v>43657</c:v>
                </c:pt>
                <c:pt idx="70">
                  <c:v>43656</c:v>
                </c:pt>
                <c:pt idx="71">
                  <c:v>43655</c:v>
                </c:pt>
                <c:pt idx="72">
                  <c:v>43654</c:v>
                </c:pt>
                <c:pt idx="73">
                  <c:v>43653</c:v>
                </c:pt>
                <c:pt idx="74">
                  <c:v>43652</c:v>
                </c:pt>
                <c:pt idx="75">
                  <c:v>43651</c:v>
                </c:pt>
                <c:pt idx="76">
                  <c:v>43650</c:v>
                </c:pt>
                <c:pt idx="77">
                  <c:v>43649</c:v>
                </c:pt>
                <c:pt idx="78">
                  <c:v>43648</c:v>
                </c:pt>
                <c:pt idx="79">
                  <c:v>43647</c:v>
                </c:pt>
                <c:pt idx="80">
                  <c:v>43646</c:v>
                </c:pt>
                <c:pt idx="81">
                  <c:v>43645</c:v>
                </c:pt>
                <c:pt idx="82">
                  <c:v>43644</c:v>
                </c:pt>
                <c:pt idx="83">
                  <c:v>43643</c:v>
                </c:pt>
                <c:pt idx="84">
                  <c:v>43642</c:v>
                </c:pt>
                <c:pt idx="85">
                  <c:v>43641</c:v>
                </c:pt>
                <c:pt idx="86">
                  <c:v>43640</c:v>
                </c:pt>
                <c:pt idx="87">
                  <c:v>43639</c:v>
                </c:pt>
                <c:pt idx="88">
                  <c:v>43638</c:v>
                </c:pt>
                <c:pt idx="89">
                  <c:v>43637</c:v>
                </c:pt>
                <c:pt idx="90">
                  <c:v>43636</c:v>
                </c:pt>
                <c:pt idx="91">
                  <c:v>43635</c:v>
                </c:pt>
                <c:pt idx="92">
                  <c:v>43634</c:v>
                </c:pt>
                <c:pt idx="93">
                  <c:v>43633</c:v>
                </c:pt>
                <c:pt idx="94">
                  <c:v>43632</c:v>
                </c:pt>
                <c:pt idx="95">
                  <c:v>43631</c:v>
                </c:pt>
                <c:pt idx="96">
                  <c:v>43630</c:v>
                </c:pt>
                <c:pt idx="97">
                  <c:v>43629</c:v>
                </c:pt>
                <c:pt idx="98">
                  <c:v>43628</c:v>
                </c:pt>
                <c:pt idx="99">
                  <c:v>43627</c:v>
                </c:pt>
                <c:pt idx="100">
                  <c:v>43626</c:v>
                </c:pt>
                <c:pt idx="101">
                  <c:v>43625</c:v>
                </c:pt>
                <c:pt idx="102">
                  <c:v>43624</c:v>
                </c:pt>
                <c:pt idx="103">
                  <c:v>43623</c:v>
                </c:pt>
                <c:pt idx="104">
                  <c:v>43622</c:v>
                </c:pt>
                <c:pt idx="105">
                  <c:v>43621</c:v>
                </c:pt>
                <c:pt idx="106">
                  <c:v>43620</c:v>
                </c:pt>
                <c:pt idx="107">
                  <c:v>43619</c:v>
                </c:pt>
                <c:pt idx="108">
                  <c:v>43618</c:v>
                </c:pt>
                <c:pt idx="109">
                  <c:v>43617</c:v>
                </c:pt>
                <c:pt idx="110">
                  <c:v>43616</c:v>
                </c:pt>
                <c:pt idx="111">
                  <c:v>43615</c:v>
                </c:pt>
                <c:pt idx="112">
                  <c:v>43614</c:v>
                </c:pt>
                <c:pt idx="113">
                  <c:v>43613</c:v>
                </c:pt>
                <c:pt idx="114">
                  <c:v>43612</c:v>
                </c:pt>
                <c:pt idx="115">
                  <c:v>43611</c:v>
                </c:pt>
                <c:pt idx="116">
                  <c:v>43610</c:v>
                </c:pt>
                <c:pt idx="117">
                  <c:v>43609</c:v>
                </c:pt>
                <c:pt idx="118">
                  <c:v>43608</c:v>
                </c:pt>
                <c:pt idx="119">
                  <c:v>43607</c:v>
                </c:pt>
                <c:pt idx="120">
                  <c:v>43606</c:v>
                </c:pt>
                <c:pt idx="121">
                  <c:v>43605</c:v>
                </c:pt>
                <c:pt idx="122">
                  <c:v>43604</c:v>
                </c:pt>
                <c:pt idx="123">
                  <c:v>43603</c:v>
                </c:pt>
                <c:pt idx="124">
                  <c:v>43602</c:v>
                </c:pt>
                <c:pt idx="125">
                  <c:v>43601</c:v>
                </c:pt>
                <c:pt idx="126">
                  <c:v>43600</c:v>
                </c:pt>
                <c:pt idx="127">
                  <c:v>43599</c:v>
                </c:pt>
                <c:pt idx="128">
                  <c:v>43598</c:v>
                </c:pt>
                <c:pt idx="129">
                  <c:v>43597</c:v>
                </c:pt>
                <c:pt idx="130">
                  <c:v>43596</c:v>
                </c:pt>
                <c:pt idx="131">
                  <c:v>43595</c:v>
                </c:pt>
                <c:pt idx="132">
                  <c:v>43594</c:v>
                </c:pt>
                <c:pt idx="133">
                  <c:v>43593</c:v>
                </c:pt>
                <c:pt idx="134">
                  <c:v>43592</c:v>
                </c:pt>
                <c:pt idx="135">
                  <c:v>43591</c:v>
                </c:pt>
                <c:pt idx="136">
                  <c:v>43590</c:v>
                </c:pt>
                <c:pt idx="137">
                  <c:v>43589</c:v>
                </c:pt>
                <c:pt idx="138">
                  <c:v>43588</c:v>
                </c:pt>
                <c:pt idx="139">
                  <c:v>43587</c:v>
                </c:pt>
                <c:pt idx="140">
                  <c:v>43586</c:v>
                </c:pt>
                <c:pt idx="141">
                  <c:v>43585</c:v>
                </c:pt>
                <c:pt idx="142">
                  <c:v>43584</c:v>
                </c:pt>
                <c:pt idx="143">
                  <c:v>43583</c:v>
                </c:pt>
                <c:pt idx="144">
                  <c:v>43582</c:v>
                </c:pt>
                <c:pt idx="145">
                  <c:v>43581</c:v>
                </c:pt>
                <c:pt idx="146">
                  <c:v>43580</c:v>
                </c:pt>
                <c:pt idx="147">
                  <c:v>43579</c:v>
                </c:pt>
                <c:pt idx="148">
                  <c:v>43578</c:v>
                </c:pt>
                <c:pt idx="149">
                  <c:v>43577</c:v>
                </c:pt>
                <c:pt idx="150">
                  <c:v>43576</c:v>
                </c:pt>
                <c:pt idx="151">
                  <c:v>43575</c:v>
                </c:pt>
                <c:pt idx="152">
                  <c:v>43574</c:v>
                </c:pt>
                <c:pt idx="153">
                  <c:v>43573</c:v>
                </c:pt>
                <c:pt idx="154">
                  <c:v>43572</c:v>
                </c:pt>
                <c:pt idx="155">
                  <c:v>43571</c:v>
                </c:pt>
                <c:pt idx="156">
                  <c:v>43570</c:v>
                </c:pt>
                <c:pt idx="157">
                  <c:v>43569</c:v>
                </c:pt>
                <c:pt idx="158">
                  <c:v>43568</c:v>
                </c:pt>
                <c:pt idx="159">
                  <c:v>43567</c:v>
                </c:pt>
                <c:pt idx="160">
                  <c:v>43566</c:v>
                </c:pt>
                <c:pt idx="161">
                  <c:v>43565</c:v>
                </c:pt>
                <c:pt idx="162">
                  <c:v>43564</c:v>
                </c:pt>
                <c:pt idx="163">
                  <c:v>43563</c:v>
                </c:pt>
                <c:pt idx="164">
                  <c:v>43562</c:v>
                </c:pt>
                <c:pt idx="165">
                  <c:v>43561</c:v>
                </c:pt>
                <c:pt idx="166">
                  <c:v>43560</c:v>
                </c:pt>
                <c:pt idx="167">
                  <c:v>43559</c:v>
                </c:pt>
                <c:pt idx="168">
                  <c:v>43558</c:v>
                </c:pt>
                <c:pt idx="169">
                  <c:v>43557</c:v>
                </c:pt>
                <c:pt idx="170">
                  <c:v>43556</c:v>
                </c:pt>
                <c:pt idx="171">
                  <c:v>43555</c:v>
                </c:pt>
                <c:pt idx="172">
                  <c:v>43554</c:v>
                </c:pt>
                <c:pt idx="173">
                  <c:v>43553</c:v>
                </c:pt>
                <c:pt idx="174">
                  <c:v>43552</c:v>
                </c:pt>
                <c:pt idx="175">
                  <c:v>43551</c:v>
                </c:pt>
                <c:pt idx="176">
                  <c:v>43550</c:v>
                </c:pt>
                <c:pt idx="177">
                  <c:v>43549</c:v>
                </c:pt>
                <c:pt idx="178">
                  <c:v>43548</c:v>
                </c:pt>
                <c:pt idx="179">
                  <c:v>43547</c:v>
                </c:pt>
                <c:pt idx="180">
                  <c:v>43546</c:v>
                </c:pt>
                <c:pt idx="181">
                  <c:v>43545</c:v>
                </c:pt>
                <c:pt idx="182">
                  <c:v>43544</c:v>
                </c:pt>
                <c:pt idx="183">
                  <c:v>43543</c:v>
                </c:pt>
                <c:pt idx="184">
                  <c:v>43542</c:v>
                </c:pt>
                <c:pt idx="185">
                  <c:v>43541</c:v>
                </c:pt>
                <c:pt idx="186">
                  <c:v>43540</c:v>
                </c:pt>
                <c:pt idx="187">
                  <c:v>43539</c:v>
                </c:pt>
                <c:pt idx="188">
                  <c:v>43538</c:v>
                </c:pt>
                <c:pt idx="189">
                  <c:v>43537</c:v>
                </c:pt>
                <c:pt idx="190">
                  <c:v>43536</c:v>
                </c:pt>
                <c:pt idx="191">
                  <c:v>43535</c:v>
                </c:pt>
                <c:pt idx="192">
                  <c:v>43534</c:v>
                </c:pt>
                <c:pt idx="193">
                  <c:v>43533</c:v>
                </c:pt>
                <c:pt idx="194">
                  <c:v>43532</c:v>
                </c:pt>
                <c:pt idx="195">
                  <c:v>43531</c:v>
                </c:pt>
                <c:pt idx="196">
                  <c:v>43530</c:v>
                </c:pt>
                <c:pt idx="197">
                  <c:v>43529</c:v>
                </c:pt>
                <c:pt idx="198">
                  <c:v>43528</c:v>
                </c:pt>
                <c:pt idx="199">
                  <c:v>43527</c:v>
                </c:pt>
                <c:pt idx="200">
                  <c:v>43526</c:v>
                </c:pt>
                <c:pt idx="201">
                  <c:v>43525</c:v>
                </c:pt>
                <c:pt idx="202">
                  <c:v>43524</c:v>
                </c:pt>
                <c:pt idx="203">
                  <c:v>43523</c:v>
                </c:pt>
                <c:pt idx="204">
                  <c:v>43522</c:v>
                </c:pt>
                <c:pt idx="205">
                  <c:v>43521</c:v>
                </c:pt>
                <c:pt idx="206">
                  <c:v>43520</c:v>
                </c:pt>
                <c:pt idx="207">
                  <c:v>43519</c:v>
                </c:pt>
                <c:pt idx="208">
                  <c:v>43518</c:v>
                </c:pt>
                <c:pt idx="209">
                  <c:v>43517</c:v>
                </c:pt>
                <c:pt idx="210">
                  <c:v>43516</c:v>
                </c:pt>
                <c:pt idx="211">
                  <c:v>43515</c:v>
                </c:pt>
                <c:pt idx="212">
                  <c:v>43514</c:v>
                </c:pt>
                <c:pt idx="213">
                  <c:v>43513</c:v>
                </c:pt>
                <c:pt idx="214">
                  <c:v>43512</c:v>
                </c:pt>
                <c:pt idx="215">
                  <c:v>43511</c:v>
                </c:pt>
                <c:pt idx="216">
                  <c:v>43510</c:v>
                </c:pt>
                <c:pt idx="217">
                  <c:v>43509</c:v>
                </c:pt>
                <c:pt idx="218">
                  <c:v>43508</c:v>
                </c:pt>
                <c:pt idx="219">
                  <c:v>43507</c:v>
                </c:pt>
                <c:pt idx="220">
                  <c:v>43506</c:v>
                </c:pt>
                <c:pt idx="221">
                  <c:v>43505</c:v>
                </c:pt>
                <c:pt idx="222">
                  <c:v>43504</c:v>
                </c:pt>
                <c:pt idx="223">
                  <c:v>43503</c:v>
                </c:pt>
                <c:pt idx="224">
                  <c:v>43502</c:v>
                </c:pt>
                <c:pt idx="225">
                  <c:v>43501</c:v>
                </c:pt>
                <c:pt idx="226">
                  <c:v>43500</c:v>
                </c:pt>
                <c:pt idx="227">
                  <c:v>43499</c:v>
                </c:pt>
                <c:pt idx="228">
                  <c:v>43498</c:v>
                </c:pt>
                <c:pt idx="229">
                  <c:v>43497</c:v>
                </c:pt>
                <c:pt idx="230">
                  <c:v>43496</c:v>
                </c:pt>
                <c:pt idx="231">
                  <c:v>43495</c:v>
                </c:pt>
                <c:pt idx="232">
                  <c:v>43494</c:v>
                </c:pt>
                <c:pt idx="233">
                  <c:v>43493</c:v>
                </c:pt>
                <c:pt idx="234">
                  <c:v>43492</c:v>
                </c:pt>
                <c:pt idx="235">
                  <c:v>43491</c:v>
                </c:pt>
                <c:pt idx="236">
                  <c:v>43490</c:v>
                </c:pt>
                <c:pt idx="237">
                  <c:v>43489</c:v>
                </c:pt>
                <c:pt idx="238">
                  <c:v>43488</c:v>
                </c:pt>
                <c:pt idx="239">
                  <c:v>43487</c:v>
                </c:pt>
                <c:pt idx="240">
                  <c:v>43486</c:v>
                </c:pt>
                <c:pt idx="241">
                  <c:v>43485</c:v>
                </c:pt>
                <c:pt idx="242">
                  <c:v>43484</c:v>
                </c:pt>
                <c:pt idx="243">
                  <c:v>43483</c:v>
                </c:pt>
                <c:pt idx="244">
                  <c:v>43482</c:v>
                </c:pt>
                <c:pt idx="245">
                  <c:v>43481</c:v>
                </c:pt>
                <c:pt idx="246">
                  <c:v>43480</c:v>
                </c:pt>
                <c:pt idx="247">
                  <c:v>43479</c:v>
                </c:pt>
                <c:pt idx="248">
                  <c:v>43478</c:v>
                </c:pt>
                <c:pt idx="249">
                  <c:v>43477</c:v>
                </c:pt>
                <c:pt idx="250">
                  <c:v>43476</c:v>
                </c:pt>
                <c:pt idx="251">
                  <c:v>43475</c:v>
                </c:pt>
                <c:pt idx="252">
                  <c:v>43474</c:v>
                </c:pt>
                <c:pt idx="253">
                  <c:v>43473</c:v>
                </c:pt>
                <c:pt idx="254">
                  <c:v>43472</c:v>
                </c:pt>
                <c:pt idx="255">
                  <c:v>43471</c:v>
                </c:pt>
                <c:pt idx="256">
                  <c:v>43470</c:v>
                </c:pt>
                <c:pt idx="257">
                  <c:v>43469</c:v>
                </c:pt>
                <c:pt idx="258">
                  <c:v>43468</c:v>
                </c:pt>
                <c:pt idx="259">
                  <c:v>43467</c:v>
                </c:pt>
                <c:pt idx="260">
                  <c:v>43466</c:v>
                </c:pt>
                <c:pt idx="261">
                  <c:v>43465</c:v>
                </c:pt>
                <c:pt idx="262">
                  <c:v>43464</c:v>
                </c:pt>
                <c:pt idx="263">
                  <c:v>43463</c:v>
                </c:pt>
                <c:pt idx="264">
                  <c:v>43462</c:v>
                </c:pt>
                <c:pt idx="265">
                  <c:v>43461</c:v>
                </c:pt>
                <c:pt idx="266">
                  <c:v>43460</c:v>
                </c:pt>
                <c:pt idx="267">
                  <c:v>43459</c:v>
                </c:pt>
                <c:pt idx="268">
                  <c:v>43458</c:v>
                </c:pt>
                <c:pt idx="269">
                  <c:v>43457</c:v>
                </c:pt>
                <c:pt idx="270">
                  <c:v>43456</c:v>
                </c:pt>
                <c:pt idx="271">
                  <c:v>43455</c:v>
                </c:pt>
                <c:pt idx="272">
                  <c:v>43454</c:v>
                </c:pt>
                <c:pt idx="273">
                  <c:v>43453</c:v>
                </c:pt>
                <c:pt idx="274">
                  <c:v>43452</c:v>
                </c:pt>
                <c:pt idx="275">
                  <c:v>43451</c:v>
                </c:pt>
                <c:pt idx="276">
                  <c:v>43450</c:v>
                </c:pt>
                <c:pt idx="277">
                  <c:v>43449</c:v>
                </c:pt>
                <c:pt idx="278">
                  <c:v>43448</c:v>
                </c:pt>
                <c:pt idx="279">
                  <c:v>43447</c:v>
                </c:pt>
                <c:pt idx="280">
                  <c:v>43446</c:v>
                </c:pt>
                <c:pt idx="281">
                  <c:v>43445</c:v>
                </c:pt>
                <c:pt idx="282">
                  <c:v>43444</c:v>
                </c:pt>
                <c:pt idx="283">
                  <c:v>43443</c:v>
                </c:pt>
                <c:pt idx="284">
                  <c:v>43442</c:v>
                </c:pt>
                <c:pt idx="285">
                  <c:v>43441</c:v>
                </c:pt>
                <c:pt idx="286">
                  <c:v>43440</c:v>
                </c:pt>
                <c:pt idx="287">
                  <c:v>43439</c:v>
                </c:pt>
                <c:pt idx="288">
                  <c:v>43438</c:v>
                </c:pt>
                <c:pt idx="289">
                  <c:v>43437</c:v>
                </c:pt>
                <c:pt idx="290">
                  <c:v>43436</c:v>
                </c:pt>
                <c:pt idx="291">
                  <c:v>43435</c:v>
                </c:pt>
                <c:pt idx="292">
                  <c:v>43434</c:v>
                </c:pt>
                <c:pt idx="293">
                  <c:v>43433</c:v>
                </c:pt>
                <c:pt idx="294">
                  <c:v>43432</c:v>
                </c:pt>
                <c:pt idx="295">
                  <c:v>43431</c:v>
                </c:pt>
                <c:pt idx="296">
                  <c:v>43430</c:v>
                </c:pt>
                <c:pt idx="297">
                  <c:v>43429</c:v>
                </c:pt>
                <c:pt idx="298">
                  <c:v>43428</c:v>
                </c:pt>
                <c:pt idx="299">
                  <c:v>43427</c:v>
                </c:pt>
                <c:pt idx="300">
                  <c:v>43426</c:v>
                </c:pt>
                <c:pt idx="301">
                  <c:v>43425</c:v>
                </c:pt>
                <c:pt idx="302">
                  <c:v>43424</c:v>
                </c:pt>
                <c:pt idx="303">
                  <c:v>43423</c:v>
                </c:pt>
                <c:pt idx="304">
                  <c:v>43422</c:v>
                </c:pt>
                <c:pt idx="305">
                  <c:v>43421</c:v>
                </c:pt>
                <c:pt idx="306">
                  <c:v>43420</c:v>
                </c:pt>
                <c:pt idx="307">
                  <c:v>43419</c:v>
                </c:pt>
                <c:pt idx="308">
                  <c:v>43418</c:v>
                </c:pt>
                <c:pt idx="309">
                  <c:v>43417</c:v>
                </c:pt>
                <c:pt idx="310">
                  <c:v>43416</c:v>
                </c:pt>
                <c:pt idx="311">
                  <c:v>43415</c:v>
                </c:pt>
                <c:pt idx="312">
                  <c:v>43414</c:v>
                </c:pt>
                <c:pt idx="313">
                  <c:v>43413</c:v>
                </c:pt>
                <c:pt idx="314">
                  <c:v>43412</c:v>
                </c:pt>
                <c:pt idx="315">
                  <c:v>43411</c:v>
                </c:pt>
                <c:pt idx="316">
                  <c:v>43410</c:v>
                </c:pt>
                <c:pt idx="317">
                  <c:v>43409</c:v>
                </c:pt>
                <c:pt idx="318">
                  <c:v>43408</c:v>
                </c:pt>
                <c:pt idx="319">
                  <c:v>43407</c:v>
                </c:pt>
                <c:pt idx="320">
                  <c:v>43406</c:v>
                </c:pt>
                <c:pt idx="321">
                  <c:v>43405</c:v>
                </c:pt>
                <c:pt idx="322">
                  <c:v>43404</c:v>
                </c:pt>
                <c:pt idx="323">
                  <c:v>43403</c:v>
                </c:pt>
                <c:pt idx="324">
                  <c:v>43402</c:v>
                </c:pt>
                <c:pt idx="325">
                  <c:v>43401</c:v>
                </c:pt>
                <c:pt idx="326">
                  <c:v>43400</c:v>
                </c:pt>
                <c:pt idx="327">
                  <c:v>43399</c:v>
                </c:pt>
                <c:pt idx="328">
                  <c:v>43398</c:v>
                </c:pt>
                <c:pt idx="329">
                  <c:v>43397</c:v>
                </c:pt>
                <c:pt idx="330">
                  <c:v>43396</c:v>
                </c:pt>
                <c:pt idx="331">
                  <c:v>43395</c:v>
                </c:pt>
                <c:pt idx="332">
                  <c:v>43394</c:v>
                </c:pt>
                <c:pt idx="333">
                  <c:v>43393</c:v>
                </c:pt>
                <c:pt idx="334">
                  <c:v>43392</c:v>
                </c:pt>
                <c:pt idx="335">
                  <c:v>43391</c:v>
                </c:pt>
                <c:pt idx="336">
                  <c:v>43390</c:v>
                </c:pt>
                <c:pt idx="337">
                  <c:v>43389</c:v>
                </c:pt>
                <c:pt idx="338">
                  <c:v>43388</c:v>
                </c:pt>
                <c:pt idx="339">
                  <c:v>43387</c:v>
                </c:pt>
                <c:pt idx="340">
                  <c:v>43386</c:v>
                </c:pt>
                <c:pt idx="341">
                  <c:v>43385</c:v>
                </c:pt>
                <c:pt idx="342">
                  <c:v>43384</c:v>
                </c:pt>
                <c:pt idx="343">
                  <c:v>43383</c:v>
                </c:pt>
                <c:pt idx="344">
                  <c:v>43382</c:v>
                </c:pt>
                <c:pt idx="345">
                  <c:v>43381</c:v>
                </c:pt>
                <c:pt idx="346">
                  <c:v>43380</c:v>
                </c:pt>
                <c:pt idx="347">
                  <c:v>43379</c:v>
                </c:pt>
                <c:pt idx="348">
                  <c:v>43378</c:v>
                </c:pt>
                <c:pt idx="349">
                  <c:v>43377</c:v>
                </c:pt>
                <c:pt idx="350">
                  <c:v>43376</c:v>
                </c:pt>
                <c:pt idx="351">
                  <c:v>43375</c:v>
                </c:pt>
                <c:pt idx="352">
                  <c:v>43374</c:v>
                </c:pt>
                <c:pt idx="353">
                  <c:v>43373</c:v>
                </c:pt>
                <c:pt idx="354">
                  <c:v>43372</c:v>
                </c:pt>
                <c:pt idx="355">
                  <c:v>43371</c:v>
                </c:pt>
                <c:pt idx="356">
                  <c:v>43370</c:v>
                </c:pt>
                <c:pt idx="357">
                  <c:v>43369</c:v>
                </c:pt>
                <c:pt idx="358">
                  <c:v>43368</c:v>
                </c:pt>
                <c:pt idx="359">
                  <c:v>43367</c:v>
                </c:pt>
                <c:pt idx="360">
                  <c:v>43366</c:v>
                </c:pt>
                <c:pt idx="361">
                  <c:v>43365</c:v>
                </c:pt>
                <c:pt idx="362">
                  <c:v>43364</c:v>
                </c:pt>
                <c:pt idx="363">
                  <c:v>43363</c:v>
                </c:pt>
                <c:pt idx="364">
                  <c:v>43362</c:v>
                </c:pt>
                <c:pt idx="365">
                  <c:v>43361</c:v>
                </c:pt>
              </c:numCache>
            </c:numRef>
          </c:cat>
          <c:val>
            <c:numRef>
              <c:f>'FX Forward &amp; SwapPoint'!$DA$12:$DA$377</c:f>
              <c:numCache>
                <c:formatCode>General</c:formatCode>
                <c:ptCount val="366"/>
                <c:pt idx="0">
                  <c:v>1.1070800000000001</c:v>
                </c:pt>
                <c:pt idx="1">
                  <c:v>1.10724</c:v>
                </c:pt>
                <c:pt idx="2">
                  <c:v>1.1001399999999999</c:v>
                </c:pt>
                <c:pt idx="3">
                  <c:v>1.1073999999999999</c:v>
                </c:pt>
                <c:pt idx="4">
                  <c:v>1.1073999999999999</c:v>
                </c:pt>
                <c:pt idx="5">
                  <c:v>1.1073999999999999</c:v>
                </c:pt>
                <c:pt idx="6">
                  <c:v>1.1066</c:v>
                </c:pt>
                <c:pt idx="7">
                  <c:v>1.10104</c:v>
                </c:pt>
                <c:pt idx="8">
                  <c:v>1.10433</c:v>
                </c:pt>
                <c:pt idx="9">
                  <c:v>1.1049</c:v>
                </c:pt>
                <c:pt idx="10">
                  <c:v>1.1028899999999999</c:v>
                </c:pt>
                <c:pt idx="11">
                  <c:v>1.1028899999999999</c:v>
                </c:pt>
                <c:pt idx="12">
                  <c:v>1.1028899999999999</c:v>
                </c:pt>
                <c:pt idx="13">
                  <c:v>1.10345</c:v>
                </c:pt>
                <c:pt idx="14">
                  <c:v>1.1036999999999999</c:v>
                </c:pt>
                <c:pt idx="15">
                  <c:v>1.0973599999999999</c:v>
                </c:pt>
                <c:pt idx="16">
                  <c:v>1.0969899999999999</c:v>
                </c:pt>
                <c:pt idx="17">
                  <c:v>1.0989</c:v>
                </c:pt>
                <c:pt idx="18">
                  <c:v>1.0989</c:v>
                </c:pt>
                <c:pt idx="19">
                  <c:v>1.0989</c:v>
                </c:pt>
                <c:pt idx="20">
                  <c:v>1.1056999999999999</c:v>
                </c:pt>
                <c:pt idx="21">
                  <c:v>1.1077900000000001</c:v>
                </c:pt>
                <c:pt idx="22">
                  <c:v>1.10904</c:v>
                </c:pt>
                <c:pt idx="23">
                  <c:v>1.1102000000000001</c:v>
                </c:pt>
                <c:pt idx="24">
                  <c:v>1.1140699999999999</c:v>
                </c:pt>
                <c:pt idx="25">
                  <c:v>1.1140699999999999</c:v>
                </c:pt>
                <c:pt idx="26">
                  <c:v>1.1140699999999999</c:v>
                </c:pt>
                <c:pt idx="27">
                  <c:v>1.1079300000000001</c:v>
                </c:pt>
                <c:pt idx="28">
                  <c:v>1.1084700000000001</c:v>
                </c:pt>
                <c:pt idx="29">
                  <c:v>1.1099699999999999</c:v>
                </c:pt>
                <c:pt idx="30">
                  <c:v>1.1078300000000001</c:v>
                </c:pt>
                <c:pt idx="31">
                  <c:v>1.1090800000000001</c:v>
                </c:pt>
                <c:pt idx="32">
                  <c:v>1.1090800000000001</c:v>
                </c:pt>
                <c:pt idx="33">
                  <c:v>1.1090800000000001</c:v>
                </c:pt>
                <c:pt idx="34">
                  <c:v>1.11073</c:v>
                </c:pt>
                <c:pt idx="35">
                  <c:v>1.11385</c:v>
                </c:pt>
                <c:pt idx="36">
                  <c:v>1.11711</c:v>
                </c:pt>
                <c:pt idx="37">
                  <c:v>1.12138</c:v>
                </c:pt>
                <c:pt idx="38">
                  <c:v>1.1200600000000001</c:v>
                </c:pt>
                <c:pt idx="39">
                  <c:v>1.1200600000000001</c:v>
                </c:pt>
                <c:pt idx="40">
                  <c:v>1.1200600000000001</c:v>
                </c:pt>
                <c:pt idx="41">
                  <c:v>1.11808</c:v>
                </c:pt>
                <c:pt idx="42">
                  <c:v>1.1199600000000001</c:v>
                </c:pt>
                <c:pt idx="43">
                  <c:v>1.11965</c:v>
                </c:pt>
                <c:pt idx="44">
                  <c:v>1.1202799999999999</c:v>
                </c:pt>
                <c:pt idx="45">
                  <c:v>1.111</c:v>
                </c:pt>
                <c:pt idx="46">
                  <c:v>1.111</c:v>
                </c:pt>
                <c:pt idx="47">
                  <c:v>1.111</c:v>
                </c:pt>
                <c:pt idx="48">
                  <c:v>1.1085400000000001</c:v>
                </c:pt>
                <c:pt idx="49">
                  <c:v>1.10755</c:v>
                </c:pt>
                <c:pt idx="50">
                  <c:v>1.11551</c:v>
                </c:pt>
                <c:pt idx="51">
                  <c:v>1.1144799999999999</c:v>
                </c:pt>
                <c:pt idx="52">
                  <c:v>1.1127</c:v>
                </c:pt>
                <c:pt idx="53">
                  <c:v>1.1127</c:v>
                </c:pt>
                <c:pt idx="54">
                  <c:v>1.1127</c:v>
                </c:pt>
                <c:pt idx="55">
                  <c:v>1.1147400000000001</c:v>
                </c:pt>
                <c:pt idx="56">
                  <c:v>1.1140300000000001</c:v>
                </c:pt>
                <c:pt idx="57">
                  <c:v>1.1152</c:v>
                </c:pt>
                <c:pt idx="58">
                  <c:v>1.12086</c:v>
                </c:pt>
                <c:pt idx="59">
                  <c:v>1.12216</c:v>
                </c:pt>
                <c:pt idx="60">
                  <c:v>1.12216</c:v>
                </c:pt>
                <c:pt idx="61">
                  <c:v>1.12216</c:v>
                </c:pt>
                <c:pt idx="62">
                  <c:v>1.12771</c:v>
                </c:pt>
                <c:pt idx="63">
                  <c:v>1.12239</c:v>
                </c:pt>
                <c:pt idx="64">
                  <c:v>1.12104</c:v>
                </c:pt>
                <c:pt idx="65">
                  <c:v>1.1258999999999999</c:v>
                </c:pt>
                <c:pt idx="66">
                  <c:v>1.1270199999999999</c:v>
                </c:pt>
                <c:pt idx="67">
                  <c:v>1.1270199999999999</c:v>
                </c:pt>
                <c:pt idx="68">
                  <c:v>1.1270199999999999</c:v>
                </c:pt>
                <c:pt idx="69">
                  <c:v>1.1254200000000001</c:v>
                </c:pt>
                <c:pt idx="70">
                  <c:v>1.1250899999999999</c:v>
                </c:pt>
                <c:pt idx="71">
                  <c:v>1.12079</c:v>
                </c:pt>
                <c:pt idx="72">
                  <c:v>1.1214200000000001</c:v>
                </c:pt>
                <c:pt idx="73">
                  <c:v>1.1225099999999999</c:v>
                </c:pt>
                <c:pt idx="74">
                  <c:v>1.1225099999999999</c:v>
                </c:pt>
                <c:pt idx="75">
                  <c:v>1.1225099999999999</c:v>
                </c:pt>
                <c:pt idx="76">
                  <c:v>1.12843</c:v>
                </c:pt>
                <c:pt idx="77">
                  <c:v>1.1277999999999999</c:v>
                </c:pt>
                <c:pt idx="78">
                  <c:v>1.1284700000000001</c:v>
                </c:pt>
                <c:pt idx="79">
                  <c:v>1.1285799999999999</c:v>
                </c:pt>
                <c:pt idx="80">
                  <c:v>1.1372</c:v>
                </c:pt>
                <c:pt idx="81">
                  <c:v>1.1372</c:v>
                </c:pt>
                <c:pt idx="82">
                  <c:v>1.1372</c:v>
                </c:pt>
                <c:pt idx="83">
                  <c:v>1.1369400000000001</c:v>
                </c:pt>
                <c:pt idx="84">
                  <c:v>1.1369400000000001</c:v>
                </c:pt>
                <c:pt idx="85">
                  <c:v>1.1366700000000001</c:v>
                </c:pt>
                <c:pt idx="86">
                  <c:v>1.13981</c:v>
                </c:pt>
                <c:pt idx="87">
                  <c:v>1.1368499999999999</c:v>
                </c:pt>
                <c:pt idx="88">
                  <c:v>1.1368499999999999</c:v>
                </c:pt>
                <c:pt idx="89">
                  <c:v>1.1368499999999999</c:v>
                </c:pt>
                <c:pt idx="90">
                  <c:v>1.12931</c:v>
                </c:pt>
                <c:pt idx="91">
                  <c:v>1.12266</c:v>
                </c:pt>
                <c:pt idx="92">
                  <c:v>1.1193900000000001</c:v>
                </c:pt>
                <c:pt idx="93">
                  <c:v>1.12182</c:v>
                </c:pt>
                <c:pt idx="94">
                  <c:v>1.1209</c:v>
                </c:pt>
                <c:pt idx="95">
                  <c:v>1.1209</c:v>
                </c:pt>
                <c:pt idx="96">
                  <c:v>1.1209</c:v>
                </c:pt>
                <c:pt idx="97">
                  <c:v>1.1276299999999999</c:v>
                </c:pt>
                <c:pt idx="98">
                  <c:v>1.1287499999999999</c:v>
                </c:pt>
                <c:pt idx="99">
                  <c:v>1.1326000000000001</c:v>
                </c:pt>
                <c:pt idx="100">
                  <c:v>1.1311500000000001</c:v>
                </c:pt>
                <c:pt idx="101">
                  <c:v>1.13334</c:v>
                </c:pt>
                <c:pt idx="102">
                  <c:v>1.13334</c:v>
                </c:pt>
                <c:pt idx="103">
                  <c:v>1.13334</c:v>
                </c:pt>
                <c:pt idx="104">
                  <c:v>1.1275999999999999</c:v>
                </c:pt>
                <c:pt idx="105">
                  <c:v>1.12209</c:v>
                </c:pt>
                <c:pt idx="106">
                  <c:v>1.1251800000000001</c:v>
                </c:pt>
                <c:pt idx="107">
                  <c:v>1.12408</c:v>
                </c:pt>
                <c:pt idx="108">
                  <c:v>1.1169500000000001</c:v>
                </c:pt>
                <c:pt idx="109">
                  <c:v>1.1169500000000001</c:v>
                </c:pt>
                <c:pt idx="110">
                  <c:v>1.1169500000000001</c:v>
                </c:pt>
                <c:pt idx="111">
                  <c:v>1.1129199999999999</c:v>
                </c:pt>
                <c:pt idx="112">
                  <c:v>1.1130800000000001</c:v>
                </c:pt>
                <c:pt idx="113">
                  <c:v>1.11602</c:v>
                </c:pt>
                <c:pt idx="114">
                  <c:v>1.1193</c:v>
                </c:pt>
                <c:pt idx="115">
                  <c:v>1.12022</c:v>
                </c:pt>
                <c:pt idx="116">
                  <c:v>1.12022</c:v>
                </c:pt>
                <c:pt idx="117">
                  <c:v>1.12022</c:v>
                </c:pt>
                <c:pt idx="118">
                  <c:v>1.11818</c:v>
                </c:pt>
                <c:pt idx="119">
                  <c:v>1.11503</c:v>
                </c:pt>
                <c:pt idx="120">
                  <c:v>1.11602</c:v>
                </c:pt>
                <c:pt idx="121">
                  <c:v>1.1166199999999999</c:v>
                </c:pt>
                <c:pt idx="122">
                  <c:v>1.11585</c:v>
                </c:pt>
                <c:pt idx="123">
                  <c:v>1.11585</c:v>
                </c:pt>
                <c:pt idx="124">
                  <c:v>1.11585</c:v>
                </c:pt>
                <c:pt idx="125">
                  <c:v>1.11744</c:v>
                </c:pt>
                <c:pt idx="126">
                  <c:v>1.12022</c:v>
                </c:pt>
                <c:pt idx="127">
                  <c:v>1.1204000000000001</c:v>
                </c:pt>
                <c:pt idx="128">
                  <c:v>1.12219</c:v>
                </c:pt>
                <c:pt idx="129">
                  <c:v>1.1233</c:v>
                </c:pt>
                <c:pt idx="130">
                  <c:v>1.1233</c:v>
                </c:pt>
                <c:pt idx="131">
                  <c:v>1.1233</c:v>
                </c:pt>
                <c:pt idx="132">
                  <c:v>1.12157</c:v>
                </c:pt>
                <c:pt idx="133">
                  <c:v>1.1191899999999999</c:v>
                </c:pt>
                <c:pt idx="134">
                  <c:v>1.11907</c:v>
                </c:pt>
                <c:pt idx="135">
                  <c:v>1.1199399999999999</c:v>
                </c:pt>
                <c:pt idx="136">
                  <c:v>1.1203399999999999</c:v>
                </c:pt>
                <c:pt idx="137">
                  <c:v>1.1203399999999999</c:v>
                </c:pt>
                <c:pt idx="138">
                  <c:v>1.1203399999999999</c:v>
                </c:pt>
                <c:pt idx="139">
                  <c:v>1.1172</c:v>
                </c:pt>
                <c:pt idx="140">
                  <c:v>1.11958</c:v>
                </c:pt>
                <c:pt idx="141">
                  <c:v>1.12154</c:v>
                </c:pt>
                <c:pt idx="142">
                  <c:v>1.1186100000000001</c:v>
                </c:pt>
                <c:pt idx="143">
                  <c:v>1.1148499999999999</c:v>
                </c:pt>
                <c:pt idx="144">
                  <c:v>1.1148499999999999</c:v>
                </c:pt>
                <c:pt idx="145">
                  <c:v>1.1148499999999999</c:v>
                </c:pt>
                <c:pt idx="146">
                  <c:v>1.1132500000000001</c:v>
                </c:pt>
                <c:pt idx="147">
                  <c:v>1.1153999999999999</c:v>
                </c:pt>
                <c:pt idx="148">
                  <c:v>1.12273</c:v>
                </c:pt>
                <c:pt idx="149">
                  <c:v>1.1257299999999999</c:v>
                </c:pt>
                <c:pt idx="150">
                  <c:v>1.1245700000000001</c:v>
                </c:pt>
                <c:pt idx="151">
                  <c:v>1.1245700000000001</c:v>
                </c:pt>
                <c:pt idx="152">
                  <c:v>1.1245700000000001</c:v>
                </c:pt>
                <c:pt idx="153">
                  <c:v>1.1232</c:v>
                </c:pt>
                <c:pt idx="154">
                  <c:v>1.1294999999999999</c:v>
                </c:pt>
                <c:pt idx="155">
                  <c:v>1.12809</c:v>
                </c:pt>
                <c:pt idx="156">
                  <c:v>1.1303799999999999</c:v>
                </c:pt>
                <c:pt idx="157">
                  <c:v>1.1298900000000001</c:v>
                </c:pt>
                <c:pt idx="158">
                  <c:v>1.1298900000000001</c:v>
                </c:pt>
                <c:pt idx="159">
                  <c:v>1.1298900000000001</c:v>
                </c:pt>
                <c:pt idx="160">
                  <c:v>1.12537</c:v>
                </c:pt>
                <c:pt idx="161">
                  <c:v>1.1273500000000001</c:v>
                </c:pt>
                <c:pt idx="162">
                  <c:v>1.12626</c:v>
                </c:pt>
                <c:pt idx="163">
                  <c:v>1.1263399999999999</c:v>
                </c:pt>
                <c:pt idx="164">
                  <c:v>1.1214999999999999</c:v>
                </c:pt>
                <c:pt idx="165">
                  <c:v>1.1214999999999999</c:v>
                </c:pt>
                <c:pt idx="166">
                  <c:v>1.1214999999999999</c:v>
                </c:pt>
                <c:pt idx="167">
                  <c:v>1.12208</c:v>
                </c:pt>
                <c:pt idx="168">
                  <c:v>1.1232599999999999</c:v>
                </c:pt>
                <c:pt idx="169">
                  <c:v>1.1204499999999999</c:v>
                </c:pt>
                <c:pt idx="170">
                  <c:v>1.1212599999999999</c:v>
                </c:pt>
                <c:pt idx="171">
                  <c:v>1.1217600000000001</c:v>
                </c:pt>
                <c:pt idx="172">
                  <c:v>1.1217600000000001</c:v>
                </c:pt>
                <c:pt idx="173">
                  <c:v>1.1217600000000001</c:v>
                </c:pt>
                <c:pt idx="174">
                  <c:v>1.12208</c:v>
                </c:pt>
                <c:pt idx="175">
                  <c:v>1.1244099999999999</c:v>
                </c:pt>
                <c:pt idx="176">
                  <c:v>1.1265700000000001</c:v>
                </c:pt>
                <c:pt idx="177">
                  <c:v>1.13121</c:v>
                </c:pt>
                <c:pt idx="178">
                  <c:v>1.1302700000000001</c:v>
                </c:pt>
                <c:pt idx="179">
                  <c:v>1.1302700000000001</c:v>
                </c:pt>
                <c:pt idx="180">
                  <c:v>1.1302700000000001</c:v>
                </c:pt>
                <c:pt idx="181">
                  <c:v>1.13744</c:v>
                </c:pt>
                <c:pt idx="182">
                  <c:v>1.14133</c:v>
                </c:pt>
                <c:pt idx="183">
                  <c:v>1.1351899999999999</c:v>
                </c:pt>
                <c:pt idx="184">
                  <c:v>1.13367</c:v>
                </c:pt>
                <c:pt idx="185">
                  <c:v>1.13259</c:v>
                </c:pt>
                <c:pt idx="186">
                  <c:v>1.13259</c:v>
                </c:pt>
                <c:pt idx="187">
                  <c:v>1.13259</c:v>
                </c:pt>
                <c:pt idx="188">
                  <c:v>1.1304099999999999</c:v>
                </c:pt>
                <c:pt idx="189">
                  <c:v>1.1327400000000001</c:v>
                </c:pt>
                <c:pt idx="190">
                  <c:v>1.1287700000000001</c:v>
                </c:pt>
                <c:pt idx="191">
                  <c:v>1.12452</c:v>
                </c:pt>
                <c:pt idx="192">
                  <c:v>1.1231899999999999</c:v>
                </c:pt>
                <c:pt idx="193">
                  <c:v>1.1231899999999999</c:v>
                </c:pt>
                <c:pt idx="194">
                  <c:v>1.1231899999999999</c:v>
                </c:pt>
                <c:pt idx="195">
                  <c:v>1.11815</c:v>
                </c:pt>
                <c:pt idx="196">
                  <c:v>1.13113</c:v>
                </c:pt>
                <c:pt idx="197">
                  <c:v>1.1307799999999999</c:v>
                </c:pt>
                <c:pt idx="198">
                  <c:v>1.1342399999999999</c:v>
                </c:pt>
                <c:pt idx="199">
                  <c:v>1.13646</c:v>
                </c:pt>
                <c:pt idx="200">
                  <c:v>1.13646</c:v>
                </c:pt>
                <c:pt idx="201">
                  <c:v>1.13646</c:v>
                </c:pt>
                <c:pt idx="202">
                  <c:v>1.13733</c:v>
                </c:pt>
                <c:pt idx="203">
                  <c:v>1.1371100000000001</c:v>
                </c:pt>
                <c:pt idx="204">
                  <c:v>1.1392</c:v>
                </c:pt>
                <c:pt idx="205">
                  <c:v>1.1362000000000001</c:v>
                </c:pt>
                <c:pt idx="206">
                  <c:v>1.1332199999999999</c:v>
                </c:pt>
                <c:pt idx="207">
                  <c:v>1.1332199999999999</c:v>
                </c:pt>
                <c:pt idx="208">
                  <c:v>1.1332199999999999</c:v>
                </c:pt>
                <c:pt idx="209">
                  <c:v>1.1338600000000001</c:v>
                </c:pt>
                <c:pt idx="210">
                  <c:v>1.13402</c:v>
                </c:pt>
                <c:pt idx="211">
                  <c:v>1.1343000000000001</c:v>
                </c:pt>
                <c:pt idx="212">
                  <c:v>1.1314599999999999</c:v>
                </c:pt>
                <c:pt idx="213">
                  <c:v>1.1299300000000001</c:v>
                </c:pt>
                <c:pt idx="214">
                  <c:v>1.1299300000000001</c:v>
                </c:pt>
                <c:pt idx="215">
                  <c:v>1.1299300000000001</c:v>
                </c:pt>
                <c:pt idx="216">
                  <c:v>1.1292</c:v>
                </c:pt>
                <c:pt idx="217">
                  <c:v>1.1266499999999999</c:v>
                </c:pt>
                <c:pt idx="218">
                  <c:v>1.13317</c:v>
                </c:pt>
                <c:pt idx="219">
                  <c:v>1.1276600000000001</c:v>
                </c:pt>
                <c:pt idx="220">
                  <c:v>1.1322300000000001</c:v>
                </c:pt>
                <c:pt idx="221">
                  <c:v>1.1322300000000001</c:v>
                </c:pt>
                <c:pt idx="222">
                  <c:v>1.1322300000000001</c:v>
                </c:pt>
                <c:pt idx="223">
                  <c:v>1.13425</c:v>
                </c:pt>
                <c:pt idx="224">
                  <c:v>1.13683</c:v>
                </c:pt>
                <c:pt idx="225">
                  <c:v>1.1412500000000001</c:v>
                </c:pt>
                <c:pt idx="226">
                  <c:v>1.1435</c:v>
                </c:pt>
                <c:pt idx="227">
                  <c:v>1.1459699999999999</c:v>
                </c:pt>
                <c:pt idx="228">
                  <c:v>1.1459699999999999</c:v>
                </c:pt>
                <c:pt idx="229">
                  <c:v>1.1459699999999999</c:v>
                </c:pt>
                <c:pt idx="230">
                  <c:v>1.14449</c:v>
                </c:pt>
                <c:pt idx="231">
                  <c:v>1.1481600000000001</c:v>
                </c:pt>
                <c:pt idx="232">
                  <c:v>1.1433199999999999</c:v>
                </c:pt>
                <c:pt idx="233">
                  <c:v>1.1428199999999999</c:v>
                </c:pt>
                <c:pt idx="234">
                  <c:v>1.14147</c:v>
                </c:pt>
                <c:pt idx="235">
                  <c:v>1.14147</c:v>
                </c:pt>
                <c:pt idx="236">
                  <c:v>1.14147</c:v>
                </c:pt>
                <c:pt idx="237">
                  <c:v>1.1308</c:v>
                </c:pt>
                <c:pt idx="238">
                  <c:v>1.1382699999999999</c:v>
                </c:pt>
                <c:pt idx="239">
                  <c:v>1.1352199999999999</c:v>
                </c:pt>
                <c:pt idx="240">
                  <c:v>1.13686</c:v>
                </c:pt>
                <c:pt idx="241">
                  <c:v>1.1364799999999999</c:v>
                </c:pt>
                <c:pt idx="242">
                  <c:v>1.1364799999999999</c:v>
                </c:pt>
                <c:pt idx="243">
                  <c:v>1.1364799999999999</c:v>
                </c:pt>
                <c:pt idx="244">
                  <c:v>1.1391500000000001</c:v>
                </c:pt>
                <c:pt idx="245">
                  <c:v>1.13927</c:v>
                </c:pt>
                <c:pt idx="246">
                  <c:v>1.14133</c:v>
                </c:pt>
                <c:pt idx="247">
                  <c:v>1.14689</c:v>
                </c:pt>
                <c:pt idx="248">
                  <c:v>1.1462699999999999</c:v>
                </c:pt>
                <c:pt idx="249">
                  <c:v>1.1462699999999999</c:v>
                </c:pt>
                <c:pt idx="250">
                  <c:v>1.1462699999999999</c:v>
                </c:pt>
                <c:pt idx="251">
                  <c:v>1.14978</c:v>
                </c:pt>
                <c:pt idx="252">
                  <c:v>1.1555</c:v>
                </c:pt>
                <c:pt idx="253">
                  <c:v>1.1440399999999999</c:v>
                </c:pt>
                <c:pt idx="254">
                  <c:v>1.1476599999999999</c:v>
                </c:pt>
                <c:pt idx="255">
                  <c:v>1.14028</c:v>
                </c:pt>
                <c:pt idx="256">
                  <c:v>1.14028</c:v>
                </c:pt>
                <c:pt idx="257">
                  <c:v>1.14028</c:v>
                </c:pt>
                <c:pt idx="258">
                  <c:v>1.1398999999999999</c:v>
                </c:pt>
                <c:pt idx="259">
                  <c:v>1.1346000000000001</c:v>
                </c:pt>
                <c:pt idx="260">
                  <c:v>1.14605</c:v>
                </c:pt>
                <c:pt idx="261">
                  <c:v>1.1456599999999999</c:v>
                </c:pt>
                <c:pt idx="262">
                  <c:v>1.14422</c:v>
                </c:pt>
                <c:pt idx="263">
                  <c:v>1.14422</c:v>
                </c:pt>
                <c:pt idx="264">
                  <c:v>1.14422</c:v>
                </c:pt>
                <c:pt idx="265">
                  <c:v>1.1439600000000001</c:v>
                </c:pt>
                <c:pt idx="266">
                  <c:v>1.1353800000000001</c:v>
                </c:pt>
                <c:pt idx="267">
                  <c:v>1.139</c:v>
                </c:pt>
                <c:pt idx="268">
                  <c:v>1.1408100000000001</c:v>
                </c:pt>
                <c:pt idx="269">
                  <c:v>1.1358900000000001</c:v>
                </c:pt>
                <c:pt idx="270">
                  <c:v>1.1358900000000001</c:v>
                </c:pt>
                <c:pt idx="271">
                  <c:v>1.1358900000000001</c:v>
                </c:pt>
                <c:pt idx="272">
                  <c:v>1.14588</c:v>
                </c:pt>
                <c:pt idx="273">
                  <c:v>1.13733</c:v>
                </c:pt>
                <c:pt idx="274">
                  <c:v>1.13628</c:v>
                </c:pt>
                <c:pt idx="275">
                  <c:v>1.1345499999999999</c:v>
                </c:pt>
                <c:pt idx="276">
                  <c:v>1.1300600000000001</c:v>
                </c:pt>
                <c:pt idx="277">
                  <c:v>1.1300600000000001</c:v>
                </c:pt>
                <c:pt idx="278">
                  <c:v>1.1300600000000001</c:v>
                </c:pt>
                <c:pt idx="279">
                  <c:v>1.1364000000000001</c:v>
                </c:pt>
                <c:pt idx="280">
                  <c:v>1.1372</c:v>
                </c:pt>
                <c:pt idx="281">
                  <c:v>1.13266</c:v>
                </c:pt>
                <c:pt idx="282">
                  <c:v>1.1355</c:v>
                </c:pt>
                <c:pt idx="283">
                  <c:v>1.1411100000000001</c:v>
                </c:pt>
                <c:pt idx="284">
                  <c:v>1.1411100000000001</c:v>
                </c:pt>
                <c:pt idx="285">
                  <c:v>1.1411100000000001</c:v>
                </c:pt>
                <c:pt idx="286">
                  <c:v>1.1382099999999999</c:v>
                </c:pt>
                <c:pt idx="287">
                  <c:v>1.1344700000000001</c:v>
                </c:pt>
                <c:pt idx="288">
                  <c:v>1.1337999999999999</c:v>
                </c:pt>
                <c:pt idx="289">
                  <c:v>1.1344799999999999</c:v>
                </c:pt>
                <c:pt idx="290">
                  <c:v>1.13215</c:v>
                </c:pt>
                <c:pt idx="291">
                  <c:v>1.13215</c:v>
                </c:pt>
                <c:pt idx="292">
                  <c:v>1.13215</c:v>
                </c:pt>
                <c:pt idx="293">
                  <c:v>1.13896</c:v>
                </c:pt>
                <c:pt idx="294">
                  <c:v>1.1368799999999999</c:v>
                </c:pt>
                <c:pt idx="295">
                  <c:v>1.12965</c:v>
                </c:pt>
                <c:pt idx="296">
                  <c:v>1.1334200000000001</c:v>
                </c:pt>
                <c:pt idx="297">
                  <c:v>1.13313</c:v>
                </c:pt>
                <c:pt idx="298">
                  <c:v>1.13313</c:v>
                </c:pt>
                <c:pt idx="299">
                  <c:v>1.13313</c:v>
                </c:pt>
                <c:pt idx="300">
                  <c:v>1.14062</c:v>
                </c:pt>
                <c:pt idx="301">
                  <c:v>1.1382300000000001</c:v>
                </c:pt>
                <c:pt idx="302">
                  <c:v>1.13693</c:v>
                </c:pt>
                <c:pt idx="303">
                  <c:v>1.1452</c:v>
                </c:pt>
                <c:pt idx="304">
                  <c:v>1.1415999999999999</c:v>
                </c:pt>
                <c:pt idx="305">
                  <c:v>1.1415999999999999</c:v>
                </c:pt>
                <c:pt idx="306">
                  <c:v>1.1415999999999999</c:v>
                </c:pt>
                <c:pt idx="307">
                  <c:v>1.1333</c:v>
                </c:pt>
                <c:pt idx="308">
                  <c:v>1.13226</c:v>
                </c:pt>
                <c:pt idx="309">
                  <c:v>1.1285099999999999</c:v>
                </c:pt>
                <c:pt idx="310">
                  <c:v>1.12337</c:v>
                </c:pt>
                <c:pt idx="311">
                  <c:v>1.13375</c:v>
                </c:pt>
                <c:pt idx="312">
                  <c:v>1.13375</c:v>
                </c:pt>
                <c:pt idx="313">
                  <c:v>1.13375</c:v>
                </c:pt>
                <c:pt idx="314">
                  <c:v>1.1360399999999999</c:v>
                </c:pt>
                <c:pt idx="315">
                  <c:v>1.14392</c:v>
                </c:pt>
                <c:pt idx="316">
                  <c:v>1.14178</c:v>
                </c:pt>
                <c:pt idx="317">
                  <c:v>1.14079</c:v>
                </c:pt>
                <c:pt idx="318">
                  <c:v>1.1387499999999999</c:v>
                </c:pt>
                <c:pt idx="319">
                  <c:v>1.1387499999999999</c:v>
                </c:pt>
                <c:pt idx="320">
                  <c:v>1.1387499999999999</c:v>
                </c:pt>
                <c:pt idx="321">
                  <c:v>1.1408499999999999</c:v>
                </c:pt>
                <c:pt idx="322">
                  <c:v>1.1311899999999999</c:v>
                </c:pt>
                <c:pt idx="323">
                  <c:v>1.13442</c:v>
                </c:pt>
                <c:pt idx="324">
                  <c:v>1.1372599999999999</c:v>
                </c:pt>
                <c:pt idx="325">
                  <c:v>1.14035</c:v>
                </c:pt>
                <c:pt idx="326">
                  <c:v>1.14035</c:v>
                </c:pt>
                <c:pt idx="327">
                  <c:v>1.14035</c:v>
                </c:pt>
                <c:pt idx="328">
                  <c:v>1.1375</c:v>
                </c:pt>
                <c:pt idx="329">
                  <c:v>1.1392100000000001</c:v>
                </c:pt>
                <c:pt idx="330">
                  <c:v>1.1470400000000001</c:v>
                </c:pt>
                <c:pt idx="331">
                  <c:v>1.1464700000000001</c:v>
                </c:pt>
                <c:pt idx="332">
                  <c:v>1.1514500000000001</c:v>
                </c:pt>
                <c:pt idx="333">
                  <c:v>1.1514500000000001</c:v>
                </c:pt>
                <c:pt idx="334">
                  <c:v>1.1514500000000001</c:v>
                </c:pt>
                <c:pt idx="335">
                  <c:v>1.1453</c:v>
                </c:pt>
                <c:pt idx="336">
                  <c:v>1.15008</c:v>
                </c:pt>
                <c:pt idx="337">
                  <c:v>1.1574500000000001</c:v>
                </c:pt>
                <c:pt idx="338">
                  <c:v>1.1579699999999999</c:v>
                </c:pt>
                <c:pt idx="339">
                  <c:v>1.1559900000000001</c:v>
                </c:pt>
                <c:pt idx="340">
                  <c:v>1.1559900000000001</c:v>
                </c:pt>
                <c:pt idx="341">
                  <c:v>1.1559900000000001</c:v>
                </c:pt>
                <c:pt idx="342">
                  <c:v>1.1593199999999999</c:v>
                </c:pt>
                <c:pt idx="343">
                  <c:v>1.15194</c:v>
                </c:pt>
                <c:pt idx="344">
                  <c:v>1.1490800000000001</c:v>
                </c:pt>
                <c:pt idx="345">
                  <c:v>1.14916</c:v>
                </c:pt>
                <c:pt idx="346">
                  <c:v>1.1520999999999999</c:v>
                </c:pt>
                <c:pt idx="347">
                  <c:v>1.1520999999999999</c:v>
                </c:pt>
                <c:pt idx="348">
                  <c:v>1.1520999999999999</c:v>
                </c:pt>
                <c:pt idx="349">
                  <c:v>1.1514500000000001</c:v>
                </c:pt>
                <c:pt idx="350">
                  <c:v>1.14774</c:v>
                </c:pt>
                <c:pt idx="351">
                  <c:v>1.15462</c:v>
                </c:pt>
                <c:pt idx="352">
                  <c:v>1.1578299999999999</c:v>
                </c:pt>
                <c:pt idx="353">
                  <c:v>1.1604300000000001</c:v>
                </c:pt>
                <c:pt idx="354">
                  <c:v>1.1604300000000001</c:v>
                </c:pt>
                <c:pt idx="355">
                  <c:v>1.1604300000000001</c:v>
                </c:pt>
                <c:pt idx="356">
                  <c:v>1.16405</c:v>
                </c:pt>
                <c:pt idx="357">
                  <c:v>1.1740200000000001</c:v>
                </c:pt>
                <c:pt idx="358">
                  <c:v>1.1766700000000001</c:v>
                </c:pt>
                <c:pt idx="359">
                  <c:v>1.1748099999999999</c:v>
                </c:pt>
                <c:pt idx="360">
                  <c:v>1.1749099999999999</c:v>
                </c:pt>
                <c:pt idx="361">
                  <c:v>1.1749099999999999</c:v>
                </c:pt>
                <c:pt idx="362">
                  <c:v>1.1749099999999999</c:v>
                </c:pt>
                <c:pt idx="363">
                  <c:v>1.1776800000000001</c:v>
                </c:pt>
                <c:pt idx="364">
                  <c:v>1.1672400000000001</c:v>
                </c:pt>
                <c:pt idx="365">
                  <c:v>1.16666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93600"/>
        <c:axId val="131389696"/>
      </c:lineChart>
      <c:dateAx>
        <c:axId val="13137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700"/>
            </a:pPr>
            <a:endParaRPr lang="ko-KR"/>
          </a:p>
        </c:txPr>
        <c:crossAx val="131388160"/>
        <c:crosses val="autoZero"/>
        <c:auto val="1"/>
        <c:lblOffset val="100"/>
        <c:baseTimeUnit val="days"/>
      </c:dateAx>
      <c:valAx>
        <c:axId val="131388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31378176"/>
        <c:crosses val="autoZero"/>
        <c:crossBetween val="between"/>
      </c:valAx>
      <c:valAx>
        <c:axId val="13138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31993600"/>
        <c:crosses val="max"/>
        <c:crossBetween val="between"/>
      </c:valAx>
      <c:dateAx>
        <c:axId val="1319936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1389696"/>
        <c:crosses val="autoZero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0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20" dropStyle="combo" dx="15" fmlaLink="$B$7" fmlaRange="$CJ$4:$CJ$69" noThreeD="1" sel="54" val="46"/>
</file>

<file path=xl/ctrlProps/ctrlProp2.xml><?xml version="1.0" encoding="utf-8"?>
<formControlPr xmlns="http://schemas.microsoft.com/office/spreadsheetml/2009/9/main" objectType="Drop" dropLines="24" dropStyle="combo" dx="15" fmlaLink="$B$5" fmlaRange="$CM$4:$CM$27" noThreeD="1" val="0"/>
</file>

<file path=xl/ctrlProps/ctrlProp3.xml><?xml version="1.0" encoding="utf-8"?>
<formControlPr xmlns="http://schemas.microsoft.com/office/spreadsheetml/2009/9/main" objectType="Drop" dropLines="10" dropStyle="combo" dx="15" fmlaLink="$CA$4" fmlaRange="$CA$5:$CA$14" noThreeD="1" sel="5" val="0"/>
</file>

<file path=xl/ctrlProps/ctrlProp4.xml><?xml version="1.0" encoding="utf-8"?>
<formControlPr xmlns="http://schemas.microsoft.com/office/spreadsheetml/2009/9/main" objectType="Drop" dropLines="10" dropStyle="combo" dx="15" fmlaLink="$CD$4" fmlaRange="$CC$5:$CC$32" noThreeD="1" sel="27" val="18"/>
</file>

<file path=xl/ctrlProps/ctrlProp5.xml><?xml version="1.0" encoding="utf-8"?>
<formControlPr xmlns="http://schemas.microsoft.com/office/spreadsheetml/2009/9/main" objectType="Drop" dropLines="10" dropStyle="combo" dx="15" fmlaLink="$CP$6" fmlaRange="$CG$5:$CG$28" noThreeD="1" sel="7" val="6"/>
</file>

<file path=xl/ctrlProps/ctrlProp6.xml><?xml version="1.0" encoding="utf-8"?>
<formControlPr xmlns="http://schemas.microsoft.com/office/spreadsheetml/2009/9/main" objectType="Drop" dropLines="20" dropStyle="combo" dx="15" fmlaLink="$B$8" fmlaRange="$CJ$4:$CJ$69" noThreeD="1" sel="41" val="30"/>
</file>

<file path=xl/ctrlProps/ctrlProp7.xml><?xml version="1.0" encoding="utf-8"?>
<formControlPr xmlns="http://schemas.microsoft.com/office/spreadsheetml/2009/9/main" objectType="Drop" dropLines="20" dropStyle="combo" dx="15" fmlaLink="$B$9" fmlaRange="$CJ$4:$CJ$69" noThreeD="1" sel="49" val="46"/>
</file>

<file path=xl/ctrlProps/ctrlProp8.xml><?xml version="1.0" encoding="utf-8"?>
<formControlPr xmlns="http://schemas.microsoft.com/office/spreadsheetml/2009/9/main" objectType="Drop" dropLines="20" dropStyle="combo" dx="15" fmlaLink="$B$10" fmlaRange="$CJ$4:$CJ$69" noThreeD="1" sel="5" val="3"/>
</file>

<file path=xl/ctrlProps/ctrlProp9.xml><?xml version="1.0" encoding="utf-8"?>
<formControlPr xmlns="http://schemas.microsoft.com/office/spreadsheetml/2009/9/main" objectType="Drop" dropLines="20" dropStyle="combo" dx="15" fmlaLink="$B$11" fmlaRange="$CJ$4:$CJ$69" noThreeD="1" sel="6" val="0"/>
</file>

<file path=xl/ctrlProps/ctrlProp10.xml><?xml version="1.0" encoding="utf-8"?>
<formControlPr xmlns="http://schemas.microsoft.com/office/spreadsheetml/2009/9/main" objectType="Drop" dropLines="20" dropStyle="combo" dx="15" fmlaLink="$B$12" fmlaRange="$CJ$4:$CJ$69" noThreeD="1" sel="10" val="6"/>
</file>

<file path=xl/ctrlProps/ctrlProp11.xml><?xml version="1.0" encoding="utf-8"?>
<formControlPr xmlns="http://schemas.microsoft.com/office/spreadsheetml/2009/9/main" objectType="Drop" dropLines="20" dropStyle="combo" dx="15" fmlaLink="$B$13" fmlaRange="$CJ$4:$CJ$69" noThreeD="1" sel="7" val="6"/>
</file>

<file path=xl/ctrlProps/ctrlProp12.xml><?xml version="1.0" encoding="utf-8"?>
<formControlPr xmlns="http://schemas.microsoft.com/office/spreadsheetml/2009/9/main" objectType="Drop" dropLines="20" dropStyle="combo" dx="15" fmlaLink="$B$14" fmlaRange="$CJ$4:$CJ$69" noThreeD="1" sel="9" val="5"/>
</file>

<file path=xl/ctrlProps/ctrlProp13.xml><?xml version="1.0" encoding="utf-8"?>
<formControlPr xmlns="http://schemas.microsoft.com/office/spreadsheetml/2009/9/main" objectType="Drop" dropLines="20" dropStyle="combo" dx="15" fmlaLink="$B$15" fmlaRange="$CJ$4:$CJ$69" noThreeD="1" sel="10" val="0"/>
</file>

<file path=xl/ctrlProps/ctrlProp14.xml><?xml version="1.0" encoding="utf-8"?>
<formControlPr xmlns="http://schemas.microsoft.com/office/spreadsheetml/2009/9/main" objectType="Drop" dropLines="20" dropStyle="combo" dx="15" fmlaLink="$B$16" fmlaRange="$CJ$4:$CJ$69" noThreeD="1" sel="11" val="0"/>
</file>

<file path=xl/ctrlProps/ctrlProp15.xml><?xml version="1.0" encoding="utf-8"?>
<formControlPr xmlns="http://schemas.microsoft.com/office/spreadsheetml/2009/9/main" objectType="Drop" dropLines="20" dropStyle="combo" dx="15" fmlaLink="$B$17" fmlaRange="$CJ$4:$CJ$69" noThreeD="1" sel="12" val="0"/>
</file>

<file path=xl/ctrlProps/ctrlProp16.xml><?xml version="1.0" encoding="utf-8"?>
<formControlPr xmlns="http://schemas.microsoft.com/office/spreadsheetml/2009/9/main" objectType="Drop" dropLines="20" dropStyle="combo" dx="15" fmlaLink="$B$18" fmlaRange="$CJ$4:$CJ$69" noThreeD="1" sel="25" val="11"/>
</file>

<file path=xl/ctrlProps/ctrlProp17.xml><?xml version="1.0" encoding="utf-8"?>
<formControlPr xmlns="http://schemas.microsoft.com/office/spreadsheetml/2009/9/main" objectType="Drop" dropLines="20" dropStyle="combo" dx="15" fmlaLink="$B$19" fmlaRange="$CJ$4:$CJ$69" noThreeD="1" sel="14" val="0"/>
</file>

<file path=xl/ctrlProps/ctrlProp18.xml><?xml version="1.0" encoding="utf-8"?>
<formControlPr xmlns="http://schemas.microsoft.com/office/spreadsheetml/2009/9/main" objectType="Drop" dropLines="20" dropStyle="combo" dx="15" fmlaLink="$B$20" fmlaRange="$CJ$4:$CJ$69" noThreeD="1" sel="15" val="0"/>
</file>

<file path=xl/ctrlProps/ctrlProp19.xml><?xml version="1.0" encoding="utf-8"?>
<formControlPr xmlns="http://schemas.microsoft.com/office/spreadsheetml/2009/9/main" objectType="Drop" dropLines="20" dropStyle="combo" dx="15" fmlaLink="$B$21" fmlaRange="$CJ$4:$CJ$69" noThreeD="1" sel="16" val="0"/>
</file>

<file path=xl/ctrlProps/ctrlProp20.xml><?xml version="1.0" encoding="utf-8"?>
<formControlPr xmlns="http://schemas.microsoft.com/office/spreadsheetml/2009/9/main" objectType="Drop" dropLines="20" dropStyle="combo" dx="15" fmlaLink="$B$22" fmlaRange="$CJ$4:$CJ$69" noThreeD="1" sel="19" val="10"/>
</file>

<file path=xl/ctrlProps/ctrlProp21.xml><?xml version="1.0" encoding="utf-8"?>
<formControlPr xmlns="http://schemas.microsoft.com/office/spreadsheetml/2009/9/main" objectType="Drop" dropLines="20" dropStyle="combo" dx="15" fmlaLink="$B$23" fmlaRange="$CJ$4:$CJ$69" noThreeD="1" sel="20" val="17"/>
</file>

<file path=xl/ctrlProps/ctrlProp22.xml><?xml version="1.0" encoding="utf-8"?>
<formControlPr xmlns="http://schemas.microsoft.com/office/spreadsheetml/2009/9/main" objectType="Drop" dropLines="20" dropStyle="combo" dx="15" fmlaLink="$B$24" fmlaRange="$CJ$4:$CJ$69" noThreeD="1" sel="19" val="0"/>
</file>

<file path=xl/ctrlProps/ctrlProp23.xml><?xml version="1.0" encoding="utf-8"?>
<formControlPr xmlns="http://schemas.microsoft.com/office/spreadsheetml/2009/9/main" objectType="Drop" dropLines="10" dropStyle="combo" dx="15" fmlaLink="$CP$4" fmlaRange="$CA$5:$CA$14" noThreeD="1" sel="5" val="0"/>
</file>

<file path=xl/ctrlProps/ctrlProp24.xml><?xml version="1.0" encoding="utf-8"?>
<formControlPr xmlns="http://schemas.microsoft.com/office/spreadsheetml/2009/9/main" objectType="Drop" dropLines="10" dropStyle="combo" dx="15" fmlaLink="$CP$5" fmlaRange="$CC$5:$CC$32" noThreeD="1" sel="27" val="18"/>
</file>

<file path=xl/ctrlProps/ctrlProp25.xml><?xml version="1.0" encoding="utf-8"?>
<formControlPr xmlns="http://schemas.microsoft.com/office/spreadsheetml/2009/9/main" objectType="CheckBox" checked="Checked" fmlaLink="$CQ$8" lockText="1"/>
</file>

<file path=xl/ctrlProps/ctrlProp26.xml><?xml version="1.0" encoding="utf-8"?>
<formControlPr xmlns="http://schemas.microsoft.com/office/spreadsheetml/2009/9/main" objectType="CheckBox" checked="Checked" fmlaLink="$CR$8" lockText="1"/>
</file>

<file path=xl/ctrlProps/ctrlProp27.xml><?xml version="1.0" encoding="utf-8"?>
<formControlPr xmlns="http://schemas.microsoft.com/office/spreadsheetml/2009/9/main" objectType="CheckBox" checked="Checked" fmlaLink="$CS$8" lockText="1"/>
</file>

<file path=xl/ctrlProps/ctrlProp28.xml><?xml version="1.0" encoding="utf-8"?>
<formControlPr xmlns="http://schemas.microsoft.com/office/spreadsheetml/2009/9/main" objectType="CheckBox" checked="Checked" fmlaLink="$CT$8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0</xdr:colOff>
          <xdr:row>5</xdr:row>
          <xdr:rowOff>9525</xdr:rowOff>
        </xdr:from>
        <xdr:to>
          <xdr:col>28</xdr:col>
          <xdr:colOff>733425</xdr:colOff>
          <xdr:row>6</xdr:row>
          <xdr:rowOff>0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9526</xdr:colOff>
      <xdr:row>26</xdr:row>
      <xdr:rowOff>9525</xdr:rowOff>
    </xdr:from>
    <xdr:to>
      <xdr:col>23</xdr:col>
      <xdr:colOff>85725</xdr:colOff>
      <xdr:row>43</xdr:row>
      <xdr:rowOff>76200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4</xdr:row>
          <xdr:rowOff>0</xdr:rowOff>
        </xdr:from>
        <xdr:to>
          <xdr:col>12</xdr:col>
          <xdr:colOff>9525</xdr:colOff>
          <xdr:row>4</xdr:row>
          <xdr:rowOff>171450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4</xdr:row>
          <xdr:rowOff>0</xdr:rowOff>
        </xdr:from>
        <xdr:to>
          <xdr:col>15</xdr:col>
          <xdr:colOff>9525</xdr:colOff>
          <xdr:row>4</xdr:row>
          <xdr:rowOff>171450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0</xdr:colOff>
          <xdr:row>6</xdr:row>
          <xdr:rowOff>19050</xdr:rowOff>
        </xdr:from>
        <xdr:to>
          <xdr:col>28</xdr:col>
          <xdr:colOff>733425</xdr:colOff>
          <xdr:row>24</xdr:row>
          <xdr:rowOff>0</xdr:rowOff>
        </xdr:to>
        <xdr:grpSp>
          <xdr:nvGrpSpPr>
            <xdr:cNvPr id="2" name="그룹 1"/>
            <xdr:cNvGrpSpPr/>
          </xdr:nvGrpSpPr>
          <xdr:grpSpPr>
            <a:xfrm>
              <a:off x="10601325" y="942975"/>
              <a:ext cx="733425" cy="3409950"/>
              <a:chOff x="8915400" y="942975"/>
              <a:chExt cx="733425" cy="3409950"/>
            </a:xfrm>
          </xdr:grpSpPr>
          <xdr:sp macro="" textlink="">
            <xdr:nvSpPr>
              <xdr:cNvPr id="1027" name="Drop Down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8915400" y="942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46" name="Drop Down 22" hidden="1">
                <a:extLst>
                  <a:ext uri="{63B3BB69-23CF-44E3-9099-C40C66FF867C}">
                    <a14:compatExt spid="_x0000_s1046"/>
                  </a:ext>
                </a:extLst>
              </xdr:cNvPr>
              <xdr:cNvSpPr/>
            </xdr:nvSpPr>
            <xdr:spPr>
              <a:xfrm>
                <a:off x="8915400" y="1133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47" name="Drop Down 23" hidden="1">
                <a:extLst>
                  <a:ext uri="{63B3BB69-23CF-44E3-9099-C40C66FF867C}">
                    <a14:compatExt spid="_x0000_s1047"/>
                  </a:ext>
                </a:extLst>
              </xdr:cNvPr>
              <xdr:cNvSpPr/>
            </xdr:nvSpPr>
            <xdr:spPr>
              <a:xfrm>
                <a:off x="8915400" y="1323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48" name="Drop Down 24" hidden="1">
                <a:extLst>
                  <a:ext uri="{63B3BB69-23CF-44E3-9099-C40C66FF867C}">
                    <a14:compatExt spid="_x0000_s1048"/>
                  </a:ext>
                </a:extLst>
              </xdr:cNvPr>
              <xdr:cNvSpPr/>
            </xdr:nvSpPr>
            <xdr:spPr>
              <a:xfrm>
                <a:off x="8915400" y="1514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49" name="Drop Down 25" hidden="1">
                <a:extLst>
                  <a:ext uri="{63B3BB69-23CF-44E3-9099-C40C66FF867C}">
                    <a14:compatExt spid="_x0000_s1049"/>
                  </a:ext>
                </a:extLst>
              </xdr:cNvPr>
              <xdr:cNvSpPr/>
            </xdr:nvSpPr>
            <xdr:spPr>
              <a:xfrm>
                <a:off x="8915400" y="1704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0" name="Drop Down 26" hidden="1">
                <a:extLst>
                  <a:ext uri="{63B3BB69-23CF-44E3-9099-C40C66FF867C}">
                    <a14:compatExt spid="_x0000_s1050"/>
                  </a:ext>
                </a:extLst>
              </xdr:cNvPr>
              <xdr:cNvSpPr/>
            </xdr:nvSpPr>
            <xdr:spPr>
              <a:xfrm>
                <a:off x="8915400" y="1895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1" name="Drop Down 27" hidden="1">
                <a:extLst>
                  <a:ext uri="{63B3BB69-23CF-44E3-9099-C40C66FF867C}">
                    <a14:compatExt spid="_x0000_s1051"/>
                  </a:ext>
                </a:extLst>
              </xdr:cNvPr>
              <xdr:cNvSpPr/>
            </xdr:nvSpPr>
            <xdr:spPr>
              <a:xfrm>
                <a:off x="8915400" y="2085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2" name="Drop Down 28" hidden="1">
                <a:extLst>
                  <a:ext uri="{63B3BB69-23CF-44E3-9099-C40C66FF867C}">
                    <a14:compatExt spid="_x0000_s1052"/>
                  </a:ext>
                </a:extLst>
              </xdr:cNvPr>
              <xdr:cNvSpPr/>
            </xdr:nvSpPr>
            <xdr:spPr>
              <a:xfrm>
                <a:off x="8915400" y="2276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3" name="Drop Down 29" hidden="1">
                <a:extLst>
                  <a:ext uri="{63B3BB69-23CF-44E3-9099-C40C66FF867C}">
                    <a14:compatExt spid="_x0000_s1053"/>
                  </a:ext>
                </a:extLst>
              </xdr:cNvPr>
              <xdr:cNvSpPr/>
            </xdr:nvSpPr>
            <xdr:spPr>
              <a:xfrm>
                <a:off x="8915400" y="2466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4" name="Drop Down 30" hidden="1">
                <a:extLst>
                  <a:ext uri="{63B3BB69-23CF-44E3-9099-C40C66FF867C}">
                    <a14:compatExt spid="_x0000_s1054"/>
                  </a:ext>
                </a:extLst>
              </xdr:cNvPr>
              <xdr:cNvSpPr/>
            </xdr:nvSpPr>
            <xdr:spPr>
              <a:xfrm>
                <a:off x="8915400" y="2657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5" name="Drop Down 31" hidden="1">
                <a:extLst>
                  <a:ext uri="{63B3BB69-23CF-44E3-9099-C40C66FF867C}">
                    <a14:compatExt spid="_x0000_s1055"/>
                  </a:ext>
                </a:extLst>
              </xdr:cNvPr>
              <xdr:cNvSpPr/>
            </xdr:nvSpPr>
            <xdr:spPr>
              <a:xfrm>
                <a:off x="8915400" y="2847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6" name="Drop Down 32" hidden="1">
                <a:extLst>
                  <a:ext uri="{63B3BB69-23CF-44E3-9099-C40C66FF867C}">
                    <a14:compatExt spid="_x0000_s1056"/>
                  </a:ext>
                </a:extLst>
              </xdr:cNvPr>
              <xdr:cNvSpPr/>
            </xdr:nvSpPr>
            <xdr:spPr>
              <a:xfrm>
                <a:off x="8915400" y="3038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7" name="Drop Down 33" hidden="1">
                <a:extLst>
                  <a:ext uri="{63B3BB69-23CF-44E3-9099-C40C66FF867C}">
                    <a14:compatExt spid="_x0000_s1057"/>
                  </a:ext>
                </a:extLst>
              </xdr:cNvPr>
              <xdr:cNvSpPr/>
            </xdr:nvSpPr>
            <xdr:spPr>
              <a:xfrm>
                <a:off x="8915400" y="3228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8" name="Drop Down 34" hidden="1">
                <a:extLst>
                  <a:ext uri="{63B3BB69-23CF-44E3-9099-C40C66FF867C}">
                    <a14:compatExt spid="_x0000_s1058"/>
                  </a:ext>
                </a:extLst>
              </xdr:cNvPr>
              <xdr:cNvSpPr/>
            </xdr:nvSpPr>
            <xdr:spPr>
              <a:xfrm>
                <a:off x="8915400" y="3419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59" name="Drop Down 35" hidden="1">
                <a:extLst>
                  <a:ext uri="{63B3BB69-23CF-44E3-9099-C40C66FF867C}">
                    <a14:compatExt spid="_x0000_s1059"/>
                  </a:ext>
                </a:extLst>
              </xdr:cNvPr>
              <xdr:cNvSpPr/>
            </xdr:nvSpPr>
            <xdr:spPr>
              <a:xfrm>
                <a:off x="8915400" y="3609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60" name="Drop Down 36" hidden="1">
                <a:extLst>
                  <a:ext uri="{63B3BB69-23CF-44E3-9099-C40C66FF867C}">
                    <a14:compatExt spid="_x0000_s1060"/>
                  </a:ext>
                </a:extLst>
              </xdr:cNvPr>
              <xdr:cNvSpPr/>
            </xdr:nvSpPr>
            <xdr:spPr>
              <a:xfrm>
                <a:off x="8915400" y="38004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61" name="Drop Down 37" hidden="1">
                <a:extLst>
                  <a:ext uri="{63B3BB69-23CF-44E3-9099-C40C66FF867C}">
                    <a14:compatExt spid="_x0000_s1061"/>
                  </a:ext>
                </a:extLst>
              </xdr:cNvPr>
              <xdr:cNvSpPr/>
            </xdr:nvSpPr>
            <xdr:spPr>
              <a:xfrm>
                <a:off x="8915400" y="3990975"/>
                <a:ext cx="733425" cy="171450"/>
              </a:xfrm>
              <a:prstGeom prst="rect">
                <a:avLst/>
              </a:prstGeom>
            </xdr:spPr>
          </xdr:sp>
          <xdr:sp macro="" textlink="">
            <xdr:nvSpPr>
              <xdr:cNvPr id="1062" name="Drop Down 38" hidden="1">
                <a:extLst>
                  <a:ext uri="{63B3BB69-23CF-44E3-9099-C40C66FF867C}">
                    <a14:compatExt spid="_x0000_s1062"/>
                  </a:ext>
                </a:extLst>
              </xdr:cNvPr>
              <xdr:cNvSpPr/>
            </xdr:nvSpPr>
            <xdr:spPr>
              <a:xfrm>
                <a:off x="8915400" y="4181475"/>
                <a:ext cx="733425" cy="17145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180975</xdr:colOff>
          <xdr:row>24</xdr:row>
          <xdr:rowOff>85725</xdr:rowOff>
        </xdr:from>
        <xdr:to>
          <xdr:col>26</xdr:col>
          <xdr:colOff>190500</xdr:colOff>
          <xdr:row>25</xdr:row>
          <xdr:rowOff>114300</xdr:rowOff>
        </xdr:to>
        <xdr:grpSp>
          <xdr:nvGrpSpPr>
            <xdr:cNvPr id="9" name="그룹 8"/>
            <xdr:cNvGrpSpPr/>
          </xdr:nvGrpSpPr>
          <xdr:grpSpPr>
            <a:xfrm>
              <a:off x="7400925" y="4438650"/>
              <a:ext cx="2038350" cy="180975"/>
              <a:chOff x="10172700" y="4610100"/>
              <a:chExt cx="2038350" cy="180975"/>
            </a:xfrm>
          </xdr:grpSpPr>
          <xdr:sp macro="" textlink="">
            <xdr:nvSpPr>
              <xdr:cNvPr id="1040" name="Drop Down 16" hidden="1">
                <a:extLst>
                  <a:ext uri="{63B3BB69-23CF-44E3-9099-C40C66FF867C}">
                    <a14:compatExt spid="_x0000_s1040"/>
                  </a:ext>
                </a:extLst>
              </xdr:cNvPr>
              <xdr:cNvSpPr/>
            </xdr:nvSpPr>
            <xdr:spPr>
              <a:xfrm>
                <a:off x="11639550" y="4610100"/>
                <a:ext cx="571500" cy="180975"/>
              </a:xfrm>
              <a:prstGeom prst="rect">
                <a:avLst/>
              </a:prstGeom>
            </xdr:spPr>
          </xdr:sp>
          <xdr:sp macro="" textlink="">
            <xdr:nvSpPr>
              <xdr:cNvPr id="1063" name="Drop Down 39" hidden="1">
                <a:extLst>
                  <a:ext uri="{63B3BB69-23CF-44E3-9099-C40C66FF867C}">
                    <a14:compatExt spid="_x0000_s1063"/>
                  </a:ext>
                </a:extLst>
              </xdr:cNvPr>
              <xdr:cNvSpPr/>
            </xdr:nvSpPr>
            <xdr:spPr>
              <a:xfrm>
                <a:off x="10172700" y="4619625"/>
                <a:ext cx="685800" cy="171450"/>
              </a:xfrm>
              <a:prstGeom prst="rect">
                <a:avLst/>
              </a:prstGeom>
            </xdr:spPr>
          </xdr:sp>
          <xdr:sp macro="" textlink="">
            <xdr:nvSpPr>
              <xdr:cNvPr id="1064" name="Drop Down 40" hidden="1">
                <a:extLst>
                  <a:ext uri="{63B3BB69-23CF-44E3-9099-C40C66FF867C}">
                    <a14:compatExt spid="_x0000_s1064"/>
                  </a:ext>
                </a:extLst>
              </xdr:cNvPr>
              <xdr:cNvSpPr/>
            </xdr:nvSpPr>
            <xdr:spPr>
              <a:xfrm>
                <a:off x="10915650" y="4619625"/>
                <a:ext cx="666750" cy="17145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xdr:twoCellAnchor>
    <xdr:from>
      <xdr:col>23</xdr:col>
      <xdr:colOff>180975</xdr:colOff>
      <xdr:row>26</xdr:row>
      <xdr:rowOff>4762</xdr:rowOff>
    </xdr:from>
    <xdr:to>
      <xdr:col>33</xdr:col>
      <xdr:colOff>28575</xdr:colOff>
      <xdr:row>43</xdr:row>
      <xdr:rowOff>85725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552450</xdr:colOff>
          <xdr:row>24</xdr:row>
          <xdr:rowOff>47625</xdr:rowOff>
        </xdr:from>
        <xdr:to>
          <xdr:col>32</xdr:col>
          <xdr:colOff>619125</xdr:colOff>
          <xdr:row>25</xdr:row>
          <xdr:rowOff>123825</xdr:rowOff>
        </xdr:to>
        <xdr:grpSp>
          <xdr:nvGrpSpPr>
            <xdr:cNvPr id="8" name="그룹 7"/>
            <xdr:cNvGrpSpPr/>
          </xdr:nvGrpSpPr>
          <xdr:grpSpPr>
            <a:xfrm>
              <a:off x="11896725" y="4400550"/>
              <a:ext cx="2095500" cy="228600"/>
              <a:chOff x="13011150" y="4581525"/>
              <a:chExt cx="2095500" cy="228600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</a:extLst>
              </xdr:cNvPr>
              <xdr:cNvSpPr/>
            </xdr:nvSpPr>
            <xdr:spPr>
              <a:xfrm>
                <a:off x="13011150" y="4591049"/>
                <a:ext cx="600075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BID</a:t>
                </a:r>
              </a:p>
            </xdr:txBody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</a:extLst>
              </xdr:cNvPr>
              <xdr:cNvSpPr/>
            </xdr:nvSpPr>
            <xdr:spPr>
              <a:xfrm>
                <a:off x="13487400" y="4591050"/>
                <a:ext cx="600075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ASK</a:t>
                </a:r>
              </a:p>
            </xdr:txBody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</a:extLst>
              </xdr:cNvPr>
              <xdr:cNvSpPr/>
            </xdr:nvSpPr>
            <xdr:spPr>
              <a:xfrm>
                <a:off x="14001750" y="4581525"/>
                <a:ext cx="600075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MID</a:t>
                </a:r>
              </a:p>
            </xdr:txBody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</a:extLst>
              </xdr:cNvPr>
              <xdr:cNvSpPr/>
            </xdr:nvSpPr>
            <xdr:spPr>
              <a:xfrm>
                <a:off x="14506575" y="4591050"/>
                <a:ext cx="600075" cy="219075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SPOT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H10010"/>
  <sheetViews>
    <sheetView showGridLines="0" tabSelected="1" zoomScaleNormal="100" workbookViewId="0"/>
  </sheetViews>
  <sheetFormatPr defaultRowHeight="12" x14ac:dyDescent="0.15"/>
  <cols>
    <col min="1" max="1" width="2" style="6" customWidth="1"/>
    <col min="2" max="2" width="4" style="6" hidden="1" customWidth="1"/>
    <col min="3" max="3" width="17" style="38" hidden="1" customWidth="1"/>
    <col min="4" max="4" width="20.6640625" style="38" hidden="1" customWidth="1"/>
    <col min="5" max="7" width="13.1640625" style="38" hidden="1" customWidth="1"/>
    <col min="8" max="8" width="17.6640625" style="38" hidden="1" customWidth="1"/>
    <col min="9" max="9" width="5.33203125" style="38" hidden="1" customWidth="1"/>
    <col min="10" max="10" width="5.83203125" style="38" hidden="1" customWidth="1"/>
    <col min="11" max="11" width="8.1640625" style="6" customWidth="1"/>
    <col min="12" max="12" width="12.1640625" style="6" customWidth="1"/>
    <col min="13" max="13" width="11.83203125" style="6" customWidth="1"/>
    <col min="14" max="14" width="11.83203125" style="6" hidden="1" customWidth="1"/>
    <col min="15" max="15" width="11" style="6" hidden="1" customWidth="1"/>
    <col min="16" max="16" width="9.33203125" style="6" bestFit="1" customWidth="1"/>
    <col min="17" max="28" width="11.83203125" style="6" customWidth="1"/>
    <col min="29" max="29" width="13" style="6" customWidth="1"/>
    <col min="30" max="33" width="11.83203125" style="6" customWidth="1"/>
    <col min="34" max="75" width="3.83203125" style="6" customWidth="1"/>
    <col min="76" max="76" width="14.5" style="6" hidden="1" customWidth="1"/>
    <col min="77" max="77" width="15.5" style="6" hidden="1" customWidth="1"/>
    <col min="78" max="78" width="6.5" style="6" hidden="1" customWidth="1"/>
    <col min="79" max="79" width="7.33203125" style="6" hidden="1" customWidth="1"/>
    <col min="80" max="80" width="3.83203125" style="6" hidden="1" customWidth="1"/>
    <col min="81" max="81" width="10.1640625" style="6" hidden="1" customWidth="1"/>
    <col min="82" max="83" width="13" style="6" hidden="1" customWidth="1"/>
    <col min="84" max="86" width="3.83203125" style="6" hidden="1" customWidth="1"/>
    <col min="87" max="87" width="14.6640625" style="6" hidden="1" customWidth="1"/>
    <col min="88" max="90" width="17" style="6" hidden="1" customWidth="1"/>
    <col min="91" max="93" width="3.83203125" style="6" hidden="1" customWidth="1"/>
    <col min="94" max="94" width="17.1640625" style="6" hidden="1" customWidth="1"/>
    <col min="95" max="99" width="12.6640625" style="6" hidden="1" customWidth="1"/>
    <col min="100" max="100" width="3.83203125" style="6" hidden="1" customWidth="1"/>
    <col min="101" max="101" width="12.5" style="6" hidden="1" customWidth="1"/>
    <col min="102" max="105" width="9.83203125" style="6" hidden="1" customWidth="1"/>
    <col min="106" max="107" width="9.33203125" style="6" hidden="1" customWidth="1"/>
    <col min="108" max="108" width="23.6640625" style="6" hidden="1" customWidth="1"/>
    <col min="109" max="109" width="9.83203125" style="6" hidden="1" customWidth="1"/>
    <col min="110" max="110" width="11.83203125" style="6" hidden="1" customWidth="1"/>
    <col min="111" max="111" width="10.83203125" style="6" hidden="1" customWidth="1"/>
    <col min="112" max="112" width="10.33203125" style="6" hidden="1" customWidth="1"/>
    <col min="113" max="16384" width="9.33203125" style="6"/>
  </cols>
  <sheetData>
    <row r="1" spans="1:112" ht="5.25" customHeight="1" x14ac:dyDescent="0.15">
      <c r="A1"/>
      <c r="B1" s="16"/>
      <c r="C1" s="32"/>
      <c r="D1" s="32"/>
      <c r="E1" s="32"/>
      <c r="F1" s="32"/>
      <c r="G1" s="32"/>
      <c r="H1" s="32"/>
      <c r="I1" s="32"/>
      <c r="J1" s="32"/>
      <c r="K1"/>
      <c r="L1" s="1"/>
      <c r="Q1"/>
      <c r="R1"/>
      <c r="U1"/>
      <c r="V1"/>
      <c r="W1" s="1"/>
      <c r="X1" s="1"/>
      <c r="Y1" s="1"/>
      <c r="Z1" s="1"/>
      <c r="AA1" s="1"/>
      <c r="AB1" s="1"/>
      <c r="AC1" s="1"/>
      <c r="AD1"/>
      <c r="AE1"/>
      <c r="AF1" s="1"/>
      <c r="AG1" s="1"/>
    </row>
    <row r="2" spans="1:112" ht="5.25" customHeight="1" x14ac:dyDescent="0.15">
      <c r="A2"/>
      <c r="B2" s="16"/>
      <c r="C2" s="32"/>
      <c r="D2" s="32"/>
      <c r="E2" s="32"/>
      <c r="F2" s="32"/>
      <c r="G2" s="32"/>
      <c r="H2" s="32"/>
      <c r="I2" s="32"/>
      <c r="J2" s="32"/>
      <c r="K2"/>
      <c r="L2" s="1"/>
      <c r="Q2"/>
      <c r="R2"/>
      <c r="U2"/>
      <c r="V2"/>
      <c r="W2" s="1"/>
      <c r="X2" s="1"/>
      <c r="Y2" s="1"/>
      <c r="Z2" s="1"/>
      <c r="AA2" s="1"/>
      <c r="AB2" s="1"/>
      <c r="AC2" s="1"/>
      <c r="AD2"/>
      <c r="AE2"/>
      <c r="AF2" s="1"/>
      <c r="AG2" s="1"/>
      <c r="CQ2" s="6" t="s">
        <v>222</v>
      </c>
      <c r="CR2" s="6" t="s">
        <v>223</v>
      </c>
    </row>
    <row r="3" spans="1:112" ht="23.25" customHeight="1" x14ac:dyDescent="0.15">
      <c r="A3"/>
      <c r="B3" s="16"/>
      <c r="C3" s="32"/>
      <c r="D3" s="32"/>
      <c r="E3" s="32"/>
      <c r="F3" s="32">
        <f>IF($E7="...","",DATE(LEFT($E7,4),MID($E7,5,2),RIGHT($E7,2)))</f>
        <v>43726</v>
      </c>
      <c r="G3" s="32" t="s">
        <v>225</v>
      </c>
      <c r="H3" s="32"/>
      <c r="I3" s="32"/>
      <c r="J3" s="32"/>
      <c r="K3" s="52" t="s">
        <v>181</v>
      </c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BX3" s="31"/>
      <c r="BY3" s="6" t="str">
        <f ca="1">_xll.IMDH("FX","USDSP_SMBCB",$BY$4,TODAY()-100,TODAY()+500,500,"Per=일,sort=D,real=false,Bizday=100,Country="&amp;$BX$4&amp;",Quote=종가,Pos=20,Orient=V,DtFmt=1,TmFmt=1")</f>
        <v>조회[USDSP_SMBCB]</v>
      </c>
      <c r="CA3" s="6" t="str">
        <f>INDEX($CA$5:$CA$14,$CA$4,1)&amp;INDEX($CD$5:$CD$32,$CD$4,1)&amp;INDEX($CG$5:$CG$31,$CG$4,1)</f>
        <v>EURUSD12M</v>
      </c>
      <c r="CJ3" s="6">
        <v>45</v>
      </c>
      <c r="CL3" s="6">
        <v>2</v>
      </c>
      <c r="CQ3" s="6" t="s">
        <v>93</v>
      </c>
      <c r="CR3" s="6" t="s">
        <v>94</v>
      </c>
    </row>
    <row r="4" spans="1:112" ht="9" customHeight="1" thickBot="1" x14ac:dyDescent="0.2">
      <c r="A4"/>
      <c r="B4" s="16"/>
      <c r="C4" s="33" t="str">
        <f>INDEX($CM$4:$CM$27,$B$5,1)</f>
        <v>ON</v>
      </c>
      <c r="D4" s="32"/>
      <c r="E4" s="32"/>
      <c r="F4" s="32"/>
      <c r="G4" s="32"/>
      <c r="I4" s="32"/>
      <c r="J4" s="32"/>
      <c r="K4"/>
      <c r="L4" s="1"/>
      <c r="Q4"/>
      <c r="R4"/>
      <c r="U4"/>
      <c r="V4"/>
      <c r="W4" s="1"/>
      <c r="X4" s="1"/>
      <c r="Y4" s="1"/>
      <c r="Z4" s="1"/>
      <c r="AA4" s="1"/>
      <c r="AB4" s="1"/>
      <c r="AC4" s="1"/>
      <c r="AD4"/>
      <c r="AE4"/>
      <c r="AF4" s="1"/>
      <c r="AG4" s="1"/>
      <c r="BX4" s="6" t="str">
        <f>INDEX($CB$5:$CB$14,$CA$4)&amp;"|"&amp;INDEX($CE$5:$CE$32,$CD$4)</f>
        <v>EU|US</v>
      </c>
      <c r="BY4" s="6" t="s">
        <v>257</v>
      </c>
      <c r="CA4" s="6">
        <v>5</v>
      </c>
      <c r="CD4" s="6">
        <v>27</v>
      </c>
      <c r="CG4" s="6">
        <v>18</v>
      </c>
      <c r="CJ4" s="6" t="s">
        <v>0</v>
      </c>
      <c r="CK4" s="6" t="s">
        <v>0</v>
      </c>
      <c r="CL4" s="6" t="s">
        <v>65</v>
      </c>
      <c r="CM4" s="6" t="s">
        <v>65</v>
      </c>
      <c r="CP4" s="6">
        <v>5</v>
      </c>
      <c r="CQ4" s="6" t="str">
        <f>INDEX($CA$5:$CA$14,$CP4,1)</f>
        <v>EUR</v>
      </c>
    </row>
    <row r="5" spans="1:112" ht="14.25" customHeight="1" x14ac:dyDescent="0.15">
      <c r="A5"/>
      <c r="B5" s="17">
        <v>1</v>
      </c>
      <c r="C5" s="33" t="str">
        <f>INDEX($CL$4:$CL$27,$B$5,1)</f>
        <v>ON</v>
      </c>
      <c r="D5" s="33" t="s">
        <v>89</v>
      </c>
      <c r="E5" s="33" t="s">
        <v>90</v>
      </c>
      <c r="F5" s="33"/>
      <c r="G5" s="33" t="s">
        <v>91</v>
      </c>
      <c r="H5" s="32" t="str">
        <f>INDEX($CA$5:$CA$14,$CA$4)&amp;INDEX($CC$5:$CC$32,$CD$4)</f>
        <v>EURUSD</v>
      </c>
      <c r="I5" s="32"/>
      <c r="J5" s="32"/>
      <c r="K5" s="11"/>
      <c r="L5" s="12"/>
      <c r="M5" s="12"/>
      <c r="N5" s="12"/>
      <c r="O5" s="12"/>
      <c r="P5" s="12"/>
      <c r="Q5" s="53" t="s">
        <v>150</v>
      </c>
      <c r="R5" s="54"/>
      <c r="S5" s="53" t="s">
        <v>224</v>
      </c>
      <c r="T5" s="54"/>
      <c r="U5" s="53" t="s">
        <v>151</v>
      </c>
      <c r="V5" s="54"/>
      <c r="W5" s="55" t="s">
        <v>156</v>
      </c>
      <c r="X5" s="55"/>
      <c r="Y5" s="55"/>
      <c r="Z5" s="55" t="s">
        <v>157</v>
      </c>
      <c r="AA5" s="55"/>
      <c r="AB5" s="56"/>
      <c r="AC5" s="18" t="s">
        <v>176</v>
      </c>
      <c r="AD5" s="48" t="s">
        <v>158</v>
      </c>
      <c r="AE5" s="48" t="s">
        <v>159</v>
      </c>
      <c r="AF5" s="48" t="s">
        <v>160</v>
      </c>
      <c r="AG5" s="50" t="s">
        <v>161</v>
      </c>
      <c r="BX5" s="45" t="s">
        <v>259</v>
      </c>
      <c r="BY5" s="31">
        <v>44225</v>
      </c>
      <c r="CA5" s="6" t="s">
        <v>113</v>
      </c>
      <c r="CB5" s="6" t="s">
        <v>226</v>
      </c>
      <c r="CC5" s="6" t="s">
        <v>116</v>
      </c>
      <c r="CD5" s="6" t="s">
        <v>116</v>
      </c>
      <c r="CE5" s="6" t="s">
        <v>236</v>
      </c>
      <c r="CG5" s="6" t="s">
        <v>65</v>
      </c>
      <c r="CH5" s="6" t="s">
        <v>65</v>
      </c>
      <c r="CJ5" s="6" t="s">
        <v>1</v>
      </c>
      <c r="CK5" s="6" t="s">
        <v>1</v>
      </c>
      <c r="CL5" s="6" t="s">
        <v>66</v>
      </c>
      <c r="CM5" s="6" t="s">
        <v>66</v>
      </c>
      <c r="CP5" s="6">
        <v>27</v>
      </c>
      <c r="CQ5" s="6" t="str">
        <f>INDEX($CD$5:$CD$32,$CP5,1)</f>
        <v>USD</v>
      </c>
    </row>
    <row r="6" spans="1:112" ht="15.95" customHeight="1" x14ac:dyDescent="0.15">
      <c r="A6"/>
      <c r="B6" s="17">
        <v>1</v>
      </c>
      <c r="C6" s="33" t="str">
        <f>INDEX($CL$4:$CL$27,$B$6,1)</f>
        <v>ON</v>
      </c>
      <c r="D6" s="33" t="str">
        <f t="shared" ref="D6" si="0">C6&amp;$C$5</f>
        <v>ONON</v>
      </c>
      <c r="E6" s="34"/>
      <c r="F6" s="34"/>
      <c r="G6" s="34"/>
      <c r="H6" s="34"/>
      <c r="I6" s="34"/>
      <c r="J6" s="34"/>
      <c r="K6" s="13" t="s">
        <v>152</v>
      </c>
      <c r="L6" s="9" t="s">
        <v>260</v>
      </c>
      <c r="M6" s="9" t="s">
        <v>258</v>
      </c>
      <c r="N6" s="32" t="s">
        <v>261</v>
      </c>
      <c r="O6" s="32">
        <f>IFERROR(FIND("US",BX4),FALSE)</f>
        <v>4</v>
      </c>
      <c r="P6" s="9" t="s">
        <v>212</v>
      </c>
      <c r="Q6" s="9" t="s">
        <v>147</v>
      </c>
      <c r="R6" s="7" t="s">
        <v>149</v>
      </c>
      <c r="S6" s="9" t="s">
        <v>147</v>
      </c>
      <c r="T6" s="7" t="s">
        <v>149</v>
      </c>
      <c r="U6" s="9" t="s">
        <v>146</v>
      </c>
      <c r="V6" s="7" t="s">
        <v>148</v>
      </c>
      <c r="W6" s="9" t="s">
        <v>153</v>
      </c>
      <c r="X6" s="9" t="s">
        <v>154</v>
      </c>
      <c r="Y6" s="9" t="s">
        <v>155</v>
      </c>
      <c r="Z6" s="9" t="s">
        <v>153</v>
      </c>
      <c r="AA6" s="9" t="s">
        <v>154</v>
      </c>
      <c r="AB6" s="10" t="s">
        <v>155</v>
      </c>
      <c r="AC6" s="4"/>
      <c r="AD6" s="49"/>
      <c r="AE6" s="49"/>
      <c r="AF6" s="49"/>
      <c r="AG6" s="51"/>
      <c r="BX6" s="46">
        <v>43752</v>
      </c>
      <c r="BY6" s="31">
        <v>44224</v>
      </c>
      <c r="CA6" s="6" t="s">
        <v>117</v>
      </c>
      <c r="CB6" s="6" t="s">
        <v>227</v>
      </c>
      <c r="CC6" s="6" t="s">
        <v>117</v>
      </c>
      <c r="CD6" s="6" t="s">
        <v>117</v>
      </c>
      <c r="CE6" s="6" t="s">
        <v>227</v>
      </c>
      <c r="CG6" s="6" t="s">
        <v>66</v>
      </c>
      <c r="CI6" s="6" t="str">
        <f>INDEX($CJ$4:$CJ$69,$CJ$3,1)</f>
        <v>USDCNH</v>
      </c>
      <c r="CJ6" s="6" t="s">
        <v>2</v>
      </c>
      <c r="CK6" s="6" t="s">
        <v>2</v>
      </c>
      <c r="CL6" s="6" t="s">
        <v>67</v>
      </c>
      <c r="CM6" s="6" t="s">
        <v>67</v>
      </c>
      <c r="CP6" s="6">
        <v>7</v>
      </c>
      <c r="CQ6" s="6" t="str">
        <f>IF($CP$5=15,INDEX($CH$5:$CH$28,$CP6,1),INDEX($CG$5:$CG$28,$CP6,1))</f>
        <v>01M</v>
      </c>
    </row>
    <row r="7" spans="1:112" ht="15" customHeight="1" x14ac:dyDescent="0.15">
      <c r="A7"/>
      <c r="B7" s="17">
        <v>54</v>
      </c>
      <c r="C7" s="33" t="str">
        <f t="shared" ref="C7:C24" si="1">INDEX($CK$4:$CK$69,$B7,1)</f>
        <v>USDSP_SMBCC</v>
      </c>
      <c r="D7" s="35" t="str">
        <f>IF($B7=54,LEFT($C7,3)&amp;$C$4&amp;RIGHT($C7,6),$C7&amp;$C$5)</f>
        <v>USDON_SMBCC</v>
      </c>
      <c r="E7" s="33">
        <f>_xll.IMDP("FX",$H7,"일자")</f>
        <v>20190918</v>
      </c>
      <c r="F7" s="44">
        <f>IF($E7="...","",DATE(LEFT($E7,4),MID($E7,5,2),RIGHT($E7,2)))</f>
        <v>43726</v>
      </c>
      <c r="G7" s="33" t="str">
        <f>IF($CC$4=15,TEXT(_xll.IMDP("FX",$H7,"체결시간"),"000000"),TEXT(_xll.IMDP("FX",$H7,"시간"),"000000"))</f>
        <v>101500</v>
      </c>
      <c r="H7" s="35" t="str">
        <f>IF($H$5="USDKRW",INDEX($CA$5:$CA$14,$CA$4,1)&amp;$J7&amp;INDEX($CD$5:$CD$32,$CD$4),INDEX($CA$5:$CA$14,$CA$4,1)&amp;INDEX($CC$5:$CC$32,$CD$4,1)&amp;$K7)</f>
        <v>EURUSDON</v>
      </c>
      <c r="I7" s="36" t="str">
        <f>IF(H5="USDKRW",$J7,$K7)</f>
        <v>ON</v>
      </c>
      <c r="J7" s="34" t="s">
        <v>163</v>
      </c>
      <c r="K7" s="14" t="s">
        <v>65</v>
      </c>
      <c r="L7" s="41">
        <f t="shared" ref="L7:M13" si="2">IFERROR(IF($O$6,IF(IFERROR(MATCH(N7,$BX:$BX,0),FALSE),INDEX($BY:$BY,MATCH(N7+1,$BY:$BY,-1)),N7),N7),"")</f>
        <v>43726</v>
      </c>
      <c r="M7" s="47">
        <f t="shared" ca="1" si="2"/>
        <v>43727</v>
      </c>
      <c r="N7" s="31">
        <f>F7</f>
        <v>43726</v>
      </c>
      <c r="O7" s="41">
        <f ca="1">INDEX($BY:$BY,IFERROR(MATCH(L7+1,$BY:$BY,0),MATCH(L7+1,$BY:$BY,-1)))</f>
        <v>43727</v>
      </c>
      <c r="P7" s="2" t="str">
        <f>IF($G7="...","",LEFT($G7,2)&amp;":"&amp;MID($G7,3,2)&amp;":"&amp;RIGHT($G7,2))</f>
        <v>10:15:00</v>
      </c>
      <c r="Q7" s="21">
        <f>IF($CD$4=15,"",IFERROR(_xll.IMDP("FX",$H7,"BidForward"),""))</f>
        <v>1.1068499999999999</v>
      </c>
      <c r="R7" s="21">
        <f>IF($E7="...","",_xll.IMDP("FX",$H7,"매입"))</f>
        <v>1.01</v>
      </c>
      <c r="S7" s="21">
        <f>IFERROR(AVERAGE(Q7,U7),"")</f>
        <v>1.106865</v>
      </c>
      <c r="T7" s="21">
        <f>IFERROR(AVERAGE(R7,V7),"")</f>
        <v>1.06</v>
      </c>
      <c r="U7" s="21">
        <f>IF($CD$4=15,"",_xll.IMDP("FX",$H7,"AskForward"))</f>
        <v>1.1068800000000001</v>
      </c>
      <c r="V7" s="21">
        <f>_xll.IMDP("FX",$H7,"매도")</f>
        <v>1.1100000000000001</v>
      </c>
      <c r="W7" s="21">
        <f>IF($CD$4=15,"",_xll.IMDP("FX",$H7,"매입시가"))</f>
        <v>0.42</v>
      </c>
      <c r="X7" s="21">
        <f>IF($CD$4=15,"",_xll.IMDP("FX",$H7,"매입고가"))</f>
        <v>1.46</v>
      </c>
      <c r="Y7" s="21">
        <f>IF($CD$4=15,"",_xll.IMDP("FX",$H7,"매입저가"))</f>
        <v>0.42</v>
      </c>
      <c r="Z7" s="21">
        <f>IF($CD$4=15,"",_xll.IMDP("FX",$H7,"매도시가"))</f>
        <v>0.84</v>
      </c>
      <c r="AA7" s="21">
        <f>IF($CD$4=15,"",_xll.IMDP("FX",$H7,"매도고가"))</f>
        <v>2.1</v>
      </c>
      <c r="AB7" s="22">
        <f>IF($CD$4=15,"",_xll.IMDP("FX",$H7,"매도저가"))</f>
        <v>0.52</v>
      </c>
      <c r="AC7" s="5"/>
      <c r="AD7" s="25" t="str">
        <f>IF(_xll.IMDP("FX",$D7,$D$5)="...","",_xll.IMDP("FX",$D7,$D$5))</f>
        <v xml:space="preserve">        </v>
      </c>
      <c r="AE7" s="26" t="str">
        <f>IFERROR(AVERAGE($AD7,$AF7),"")</f>
        <v/>
      </c>
      <c r="AF7" s="25" t="str">
        <f>IFERROR(_xll.IMDP("FX",$D7,$E$5),"")</f>
        <v xml:space="preserve">        </v>
      </c>
      <c r="AG7" s="27">
        <f>IFERROR(_xll.IMDP("FX",$C7,$G$5),"")</f>
        <v>1190</v>
      </c>
      <c r="BX7" s="46">
        <v>43780</v>
      </c>
      <c r="BY7" s="31">
        <v>44223</v>
      </c>
      <c r="CA7" s="6" t="s">
        <v>119</v>
      </c>
      <c r="CB7" s="6" t="s">
        <v>228</v>
      </c>
      <c r="CC7" s="6" t="s">
        <v>118</v>
      </c>
      <c r="CD7" s="6" t="s">
        <v>118</v>
      </c>
      <c r="CE7" s="40" t="s">
        <v>246</v>
      </c>
      <c r="CG7" s="6" t="s">
        <v>67</v>
      </c>
      <c r="CI7" s="6" t="str">
        <f>INDEX($CL$4:$CL$27,$CL$3,1)</f>
        <v>TN</v>
      </c>
      <c r="CJ7" s="6" t="s">
        <v>3</v>
      </c>
      <c r="CK7" s="6" t="s">
        <v>3</v>
      </c>
      <c r="CL7" s="6" t="s">
        <v>101</v>
      </c>
      <c r="CM7" s="6" t="s">
        <v>68</v>
      </c>
      <c r="CP7" s="6" t="s">
        <v>165</v>
      </c>
      <c r="CQ7" s="31">
        <f ca="1">TODAY()-365</f>
        <v>43361</v>
      </c>
      <c r="CR7" s="6" t="s">
        <v>166</v>
      </c>
      <c r="CS7" s="31">
        <f ca="1">TODAY()</f>
        <v>43726</v>
      </c>
      <c r="CT7" s="6" t="s">
        <v>167</v>
      </c>
      <c r="CU7" s="6">
        <v>9999</v>
      </c>
      <c r="CV7" s="6" t="s">
        <v>168</v>
      </c>
      <c r="CW7" s="6" t="s">
        <v>169</v>
      </c>
      <c r="CX7" s="6" t="s">
        <v>170</v>
      </c>
      <c r="CY7" s="6" t="s">
        <v>171</v>
      </c>
      <c r="CZ7" s="6" t="s">
        <v>172</v>
      </c>
      <c r="DA7" s="6">
        <v>2</v>
      </c>
      <c r="DB7" s="6" t="s">
        <v>173</v>
      </c>
      <c r="DC7" s="6" t="s">
        <v>174</v>
      </c>
    </row>
    <row r="8" spans="1:112" ht="15" customHeight="1" x14ac:dyDescent="0.15">
      <c r="A8"/>
      <c r="B8" s="17">
        <v>41</v>
      </c>
      <c r="C8" s="33" t="str">
        <f t="shared" si="1"/>
        <v>USDAUD</v>
      </c>
      <c r="D8" s="35" t="str">
        <f>IF($B8=54,LEFT($C8,3)&amp;$C$4&amp;RIGHT($C8,6),C8&amp;$C$5)</f>
        <v>USDAUDON</v>
      </c>
      <c r="E8" s="33">
        <f>_xll.IMDP("FX",$H8,"일자")</f>
        <v>20190918</v>
      </c>
      <c r="F8" s="44">
        <f t="shared" ref="F8:F24" si="3">IF($E8="...","",DATE(LEFT($E8,4),MID($E8,5,2),RIGHT($E8,2)))</f>
        <v>43726</v>
      </c>
      <c r="G8" s="33" t="str">
        <f>IF($CC$4=15,TEXT(_xll.IMDP("FX",$H8,"체결시간"),"000000"),TEXT(_xll.IMDP("FX",$H8,"시간"),"000000"))</f>
        <v>104500</v>
      </c>
      <c r="H8" s="35" t="str">
        <f t="shared" ref="H8:H24" si="4">IF($H$5="USDKRW",INDEX($CA$5:$CA$14,$CA$4,1)&amp;$J8&amp;INDEX($CD$5:$CD$32,$CD$4),INDEX($CA$5:$CA$14,$CA$4,1)&amp;INDEX($CC$5:$CC$32,$CD$4,1)&amp;$K8)</f>
        <v>EURUSDTN</v>
      </c>
      <c r="I8" s="36" t="str">
        <f t="shared" ref="I8:I24" si="5">IF(H6="USDKRW",$J8,$K8)</f>
        <v>TN</v>
      </c>
      <c r="J8" s="34" t="s">
        <v>214</v>
      </c>
      <c r="K8" s="14" t="s">
        <v>66</v>
      </c>
      <c r="L8" s="41">
        <f t="shared" ca="1" si="2"/>
        <v>43727</v>
      </c>
      <c r="M8" s="41">
        <f t="shared" ca="1" si="2"/>
        <v>43728</v>
      </c>
      <c r="N8" s="41">
        <f ca="1">INDEX($BY:$BY,IFERROR(MATCH(F8+1,$BY:$BY,0),MATCH(F8+1,$BY:$BY,-1)))</f>
        <v>43727</v>
      </c>
      <c r="O8" s="41">
        <f ca="1">INDEX($BY:$BY,IFERROR(MATCH(L8+1,$BY:$BY,0),MATCH(L8+1,$BY:$BY,-1)))</f>
        <v>43728</v>
      </c>
      <c r="P8" s="2" t="str">
        <f t="shared" ref="P8:P24" si="6">IF($G8="...","",LEFT($G8,2)&amp;":"&amp;MID($G8,3,2)&amp;":"&amp;RIGHT($G8,2))</f>
        <v>10:45:00</v>
      </c>
      <c r="Q8" s="21">
        <f>IF($CD$4=15,"",IFERROR(_xll.IMDP("FX",$H8,"BidForward"),""))</f>
        <v>1.10677</v>
      </c>
      <c r="R8" s="21">
        <f>IF($E8="...","",_xll.IMDP("FX",$H8,"매입"))</f>
        <v>0.92</v>
      </c>
      <c r="S8" s="21">
        <f t="shared" ref="S8:S24" si="7">IFERROR(AVERAGE(Q8,U8),"")</f>
        <v>1.1068</v>
      </c>
      <c r="T8" s="21">
        <f t="shared" ref="T8:T24" si="8">IFERROR(AVERAGE(R8,V8),"")</f>
        <v>1.02</v>
      </c>
      <c r="U8" s="21">
        <f>IF($CD$4=15,"",_xll.IMDP("FX",$H8,"AskForward"))</f>
        <v>1.10683</v>
      </c>
      <c r="V8" s="21">
        <f>_xll.IMDP("FX",$H8,"매도")</f>
        <v>1.1200000000000001</v>
      </c>
      <c r="W8" s="21">
        <f>IF($CD$4=15,"",_xll.IMDP("FX",$H8,"매입시가"))</f>
        <v>0.8</v>
      </c>
      <c r="X8" s="21">
        <f>IF($CD$4=15,"",_xll.IMDP("FX",$H8,"매입고가"))</f>
        <v>0.99</v>
      </c>
      <c r="Y8" s="21">
        <f>IF($CD$4=15,"",_xll.IMDP("FX",$H8,"매입저가"))</f>
        <v>0.66</v>
      </c>
      <c r="Z8" s="21">
        <f>IF($CD$4=15,"",_xll.IMDP("FX",$H8,"매도시가"))</f>
        <v>1.3</v>
      </c>
      <c r="AA8" s="21">
        <f>IF($CD$4=15,"",_xll.IMDP("FX",$H8,"매도고가"))</f>
        <v>2.1</v>
      </c>
      <c r="AB8" s="22">
        <f>IF($CD$4=15,"",_xll.IMDP("FX",$H8,"매도저가"))</f>
        <v>0.99</v>
      </c>
      <c r="AC8" s="5"/>
      <c r="AD8" s="25">
        <f>IF(_xll.IMDP("FX",$D8,$D$5)="...","",_xll.IMDP("FX",$D8,$D$5))</f>
        <v>-0.7</v>
      </c>
      <c r="AE8" s="26">
        <f t="shared" ref="AE8:AE24" si="9">IFERROR(AVERAGE($AD8,$AF8),"")</f>
        <v>-0.65999999999999992</v>
      </c>
      <c r="AF8" s="25">
        <f>IFERROR(_xll.IMDP("FX",$D8,$E$5),"")</f>
        <v>-0.62</v>
      </c>
      <c r="AG8" s="27">
        <f>IFERROR(_xll.IMDP("FX",$C8,$G$5),"")</f>
        <v>1.456</v>
      </c>
      <c r="BX8" s="46">
        <v>44116</v>
      </c>
      <c r="BY8" s="31">
        <v>44222</v>
      </c>
      <c r="CA8" s="6" t="s">
        <v>123</v>
      </c>
      <c r="CB8" s="6" t="s">
        <v>229</v>
      </c>
      <c r="CC8" s="6" t="s">
        <v>119</v>
      </c>
      <c r="CD8" s="6" t="s">
        <v>119</v>
      </c>
      <c r="CE8" s="6" t="s">
        <v>228</v>
      </c>
      <c r="CG8" s="6" t="s">
        <v>101</v>
      </c>
      <c r="CH8" s="6" t="s">
        <v>216</v>
      </c>
      <c r="CI8" s="6" t="str">
        <f>CI6&amp;CI7</f>
        <v>USDCNHTN</v>
      </c>
      <c r="CJ8" s="6" t="s">
        <v>4</v>
      </c>
      <c r="CK8" s="6" t="s">
        <v>4</v>
      </c>
      <c r="CL8" s="6" t="s">
        <v>106</v>
      </c>
      <c r="CM8" s="6" t="s">
        <v>69</v>
      </c>
      <c r="CP8" s="6" t="str">
        <f>IF($CP$5=15,$CQ$4&amp;"SP"&amp;CQ5,CQ4&amp;CQ5)</f>
        <v>EURUSD</v>
      </c>
      <c r="CQ8" s="6" t="b">
        <v>1</v>
      </c>
      <c r="CR8" s="6" t="b">
        <v>1</v>
      </c>
      <c r="CS8" s="6" t="b">
        <v>1</v>
      </c>
      <c r="CT8" s="6" t="b">
        <v>1</v>
      </c>
    </row>
    <row r="9" spans="1:112" ht="15" customHeight="1" x14ac:dyDescent="0.15">
      <c r="A9"/>
      <c r="B9" s="17">
        <v>49</v>
      </c>
      <c r="C9" s="33" t="str">
        <f t="shared" si="1"/>
        <v>USDEUR</v>
      </c>
      <c r="D9" s="35" t="str">
        <f t="shared" ref="D9:D24" si="10">IF($B9=54,LEFT($C9,3)&amp;$C$4&amp;RIGHT($C9,6),C9&amp;$C$5)</f>
        <v>USDEURON</v>
      </c>
      <c r="E9" s="33">
        <f>_xll.IMDP("FX",$H9,"일자")</f>
        <v>20190918</v>
      </c>
      <c r="F9" s="44">
        <f t="shared" si="3"/>
        <v>43726</v>
      </c>
      <c r="G9" s="33" t="str">
        <f>IF($CC$4=15,TEXT(_xll.IMDP("FX",$H9,"체결시간"),"000000"),TEXT(_xll.IMDP("FX",$H9,"시간"),"000000"))</f>
        <v>103500</v>
      </c>
      <c r="H9" s="35" t="str">
        <f t="shared" si="4"/>
        <v>EURUSDSN</v>
      </c>
      <c r="I9" s="36" t="str">
        <f t="shared" si="5"/>
        <v>SN</v>
      </c>
      <c r="J9" s="34" t="s">
        <v>67</v>
      </c>
      <c r="K9" s="14" t="s">
        <v>67</v>
      </c>
      <c r="L9" s="41">
        <f t="shared" ca="1" si="2"/>
        <v>43728</v>
      </c>
      <c r="M9" s="41">
        <f t="shared" ca="1" si="2"/>
        <v>43731</v>
      </c>
      <c r="N9" s="41">
        <f ca="1">INDEX($BY:$BY,IFERROR(MATCH(F8+2,$BY:$BY,0),MATCH(F8,$BY:$BY,-1)-2))</f>
        <v>43728</v>
      </c>
      <c r="O9" s="41">
        <f ca="1">INDEX($BY:$BY,IFERROR(MATCH(L9+1,$BY:$BY,0),MATCH(L9+1,$BY:$BY,-1)))</f>
        <v>43731</v>
      </c>
      <c r="P9" s="2" t="str">
        <f t="shared" si="6"/>
        <v>10:35:00</v>
      </c>
      <c r="Q9" s="21">
        <f>IF($CD$4=15,"",IFERROR(_xll.IMDP("FX",$H9,"BidForward"),""))</f>
        <v>1.1068800000000001</v>
      </c>
      <c r="R9" s="21">
        <f>IF($E9="...","",_xll.IMDP("FX",$H9,"매입"))</f>
        <v>2.59</v>
      </c>
      <c r="S9" s="21">
        <f t="shared" si="7"/>
        <v>1.1068950000000002</v>
      </c>
      <c r="T9" s="21">
        <f t="shared" si="8"/>
        <v>2.7050000000000001</v>
      </c>
      <c r="U9" s="21">
        <f>IF($CD$4=15,"",_xll.IMDP("FX",$H9,"AskForward"))</f>
        <v>1.1069100000000001</v>
      </c>
      <c r="V9" s="21">
        <f>_xll.IMDP("FX",$H9,"매도")</f>
        <v>2.82</v>
      </c>
      <c r="W9" s="21">
        <f>IF($CD$4=15,"",_xll.IMDP("FX",$H9,"매입시가"))</f>
        <v>1.23</v>
      </c>
      <c r="X9" s="21">
        <f>IF($CD$4=15,"",_xll.IMDP("FX",$H9,"매입고가"))</f>
        <v>2.59</v>
      </c>
      <c r="Y9" s="21">
        <f>IF($CD$4=15,"",_xll.IMDP("FX",$H9,"매입저가"))</f>
        <v>1.23</v>
      </c>
      <c r="Z9" s="21">
        <f>IF($CD$4=15,"",_xll.IMDP("FX",$H9,"매도시가"))</f>
        <v>1.75</v>
      </c>
      <c r="AA9" s="21">
        <f>IF($CD$4=15,"",_xll.IMDP("FX",$H9,"매도고가"))</f>
        <v>2.96</v>
      </c>
      <c r="AB9" s="22">
        <f>IF($CD$4=15,"",_xll.IMDP("FX",$H9,"매도저가"))</f>
        <v>1.75</v>
      </c>
      <c r="AC9" s="5"/>
      <c r="AD9" s="25">
        <f>IF(_xll.IMDP("FX",$D9,$D$5)="...","",_xll.IMDP("FX",$D9,$D$5))</f>
        <v>-0.91</v>
      </c>
      <c r="AE9" s="26">
        <f t="shared" si="9"/>
        <v>-0.86499999999999999</v>
      </c>
      <c r="AF9" s="25">
        <f>IFERROR(_xll.IMDP("FX",$D9,$E$5),"")</f>
        <v>-0.82</v>
      </c>
      <c r="AG9" s="27">
        <f>IFERROR(_xll.IMDP("FX",$C9,$G$5),"")</f>
        <v>0.90280000000000005</v>
      </c>
      <c r="BX9" s="46">
        <v>44146</v>
      </c>
      <c r="BY9" s="31">
        <v>44221</v>
      </c>
      <c r="CA9" s="6" t="s">
        <v>114</v>
      </c>
      <c r="CB9" s="6" t="s">
        <v>230</v>
      </c>
      <c r="CC9" s="6" t="s">
        <v>211</v>
      </c>
      <c r="CD9" s="6" t="s">
        <v>120</v>
      </c>
      <c r="CE9" s="6" t="s">
        <v>237</v>
      </c>
      <c r="CG9" s="6" t="s">
        <v>106</v>
      </c>
      <c r="CJ9" s="6" t="s">
        <v>5</v>
      </c>
      <c r="CK9" s="6" t="s">
        <v>5</v>
      </c>
      <c r="CL9" s="6" t="s">
        <v>107</v>
      </c>
      <c r="CM9" s="6" t="s">
        <v>70</v>
      </c>
      <c r="CP9" s="6" t="str">
        <f>IF($CP$5=15,CQ4&amp;CQ6&amp;CQ5,CQ4&amp;CQ5&amp;CQ6)</f>
        <v>EURUSD01M</v>
      </c>
      <c r="CQ9" s="6" t="s">
        <v>158</v>
      </c>
      <c r="CR9" s="6" t="s">
        <v>160</v>
      </c>
      <c r="CS9" s="6" t="s">
        <v>159</v>
      </c>
      <c r="CT9" s="6" t="s">
        <v>175</v>
      </c>
    </row>
    <row r="10" spans="1:112" ht="15" customHeight="1" x14ac:dyDescent="0.15">
      <c r="A10"/>
      <c r="B10" s="17">
        <v>5</v>
      </c>
      <c r="C10" s="33" t="str">
        <f t="shared" si="1"/>
        <v>EURAUD</v>
      </c>
      <c r="D10" s="35" t="str">
        <f t="shared" si="10"/>
        <v>EURAUDON</v>
      </c>
      <c r="E10" s="33">
        <f>_xll.IMDP("FX",$H10,"일자")</f>
        <v>20190918</v>
      </c>
      <c r="F10" s="44">
        <f t="shared" si="3"/>
        <v>43726</v>
      </c>
      <c r="G10" s="33" t="str">
        <f>IF($CC$4=15,TEXT(_xll.IMDP("FX",$H10,"체결시간"),"000000"),TEXT(_xll.IMDP("FX",$H10,"시간"),"000000"))</f>
        <v>104500</v>
      </c>
      <c r="H10" s="35" t="str">
        <f t="shared" si="4"/>
        <v>EURUSD01W</v>
      </c>
      <c r="I10" s="36" t="str">
        <f t="shared" si="5"/>
        <v>01W</v>
      </c>
      <c r="J10" s="34" t="s">
        <v>196</v>
      </c>
      <c r="K10" s="14" t="s">
        <v>184</v>
      </c>
      <c r="L10" s="41">
        <f t="shared" ca="1" si="2"/>
        <v>43728</v>
      </c>
      <c r="M10" s="41">
        <f t="shared" ca="1" si="2"/>
        <v>43735</v>
      </c>
      <c r="N10" s="41">
        <f ca="1">INDEX($BY:$BY,IFERROR(MATCH(F10+2,$BY:$BY,0),MATCH(F10,$BY:$BY,-1)-2))</f>
        <v>43728</v>
      </c>
      <c r="O10" s="41">
        <f ca="1">INDEX($BY:$BY,IFERROR(MATCH(L10+7,$BY:$BY,0),MATCH(L10+7,$BY:$BY,-1)))</f>
        <v>43735</v>
      </c>
      <c r="P10" s="2" t="str">
        <f t="shared" si="6"/>
        <v>10:45:00</v>
      </c>
      <c r="Q10" s="21">
        <f>IF($CD$4=15,"",IFERROR(_xll.IMDP("FX",$H10,"BidForward"),""))</f>
        <v>1.1072500000000001</v>
      </c>
      <c r="R10" s="21">
        <f>IF($E10="...","",_xll.IMDP("FX",$H10,"매입"))</f>
        <v>5.79</v>
      </c>
      <c r="S10" s="21">
        <f t="shared" si="7"/>
        <v>1.107305</v>
      </c>
      <c r="T10" s="21">
        <f t="shared" si="8"/>
        <v>6.04</v>
      </c>
      <c r="U10" s="21">
        <f>IF($CD$4=15,"",_xll.IMDP("FX",$H10,"AskForward"))</f>
        <v>1.1073599999999999</v>
      </c>
      <c r="V10" s="21">
        <f>_xll.IMDP("FX",$H10,"매도")</f>
        <v>6.29</v>
      </c>
      <c r="W10" s="21">
        <f>IF($CD$4=15,"",_xll.IMDP("FX",$H10,"매입시가"))</f>
        <v>5.85</v>
      </c>
      <c r="X10" s="21">
        <f>IF($CD$4=15,"",_xll.IMDP("FX",$H10,"매입고가"))</f>
        <v>6.06</v>
      </c>
      <c r="Y10" s="21">
        <f>IF($CD$4=15,"",_xll.IMDP("FX",$H10,"매입저가"))</f>
        <v>5.47</v>
      </c>
      <c r="Z10" s="21">
        <f>IF($CD$4=15,"",_xll.IMDP("FX",$H10,"매도시가"))</f>
        <v>6.2</v>
      </c>
      <c r="AA10" s="21">
        <f>IF($CD$4=15,"",_xll.IMDP("FX",$H10,"매도고가"))</f>
        <v>6.6</v>
      </c>
      <c r="AB10" s="22">
        <f>IF($CD$4=15,"",_xll.IMDP("FX",$H10,"매도저가"))</f>
        <v>6.03</v>
      </c>
      <c r="AC10" s="5"/>
      <c r="AD10" s="25">
        <f>IF(_xll.IMDP("FX",$D10,$D$5)="...","",_xll.IMDP("FX",$D10,$D$5))</f>
        <v>0.7</v>
      </c>
      <c r="AE10" s="26">
        <f t="shared" si="9"/>
        <v>0.82</v>
      </c>
      <c r="AF10" s="25">
        <f>IFERROR(_xll.IMDP("FX",$D10,$E$5),"")</f>
        <v>0.94</v>
      </c>
      <c r="AG10" s="27">
        <f>IFERROR(_xll.IMDP("FX",$C10,$G$5),"")</f>
        <v>1.6123000000000001</v>
      </c>
      <c r="BX10" s="46">
        <v>44480</v>
      </c>
      <c r="BY10" s="31">
        <v>44218</v>
      </c>
      <c r="CA10" s="6" t="s">
        <v>115</v>
      </c>
      <c r="CB10" s="6" t="s">
        <v>231</v>
      </c>
      <c r="CC10" s="6" t="s">
        <v>121</v>
      </c>
      <c r="CD10" s="6" t="s">
        <v>121</v>
      </c>
      <c r="CE10" s="6" t="s">
        <v>256</v>
      </c>
      <c r="CG10" s="6" t="s">
        <v>107</v>
      </c>
      <c r="CJ10" s="6" t="s">
        <v>6</v>
      </c>
      <c r="CK10" s="6" t="s">
        <v>6</v>
      </c>
      <c r="CL10" s="6" t="s">
        <v>102</v>
      </c>
      <c r="CM10" s="6" t="s">
        <v>71</v>
      </c>
      <c r="CP10" s="6" t="str">
        <f ca="1">_xll.IMDH("FX",$CP$9,CP11:CR11,$CQ$7,$CS$7,$CU$7,"Per="&amp;$CW$7&amp;",sort="&amp;$CY$7&amp;",real=true,Bizday="&amp;$DA$7&amp;",Quote="&amp;$DC$7&amp;",Pos=20,Orient=V,Title=이종통화 선물환 "&amp;CP9&amp;",DtFmt=1,TmFmt=1,unit=true")</f>
        <v>이종통화 선물환 EURUSD01M</v>
      </c>
      <c r="CT10" s="6" t="str">
        <f ca="1">_xll.IMDH("FX",$CP$8,CT11,$CQ$7,$CS$7,$CU$7,"Per="&amp;$CW$7&amp;",sort="&amp;$CY$7&amp;",real=true,Bizday="&amp;$DA$7&amp;",Quote="&amp;$DC$7&amp;",Pos=20,Orient=V,Title=해외통화 "&amp;CP8&amp;",DtFmt=1,TmFmt=1,unit=true")</f>
        <v>해외통화 EURUSD</v>
      </c>
    </row>
    <row r="11" spans="1:112" ht="15" customHeight="1" x14ac:dyDescent="0.15">
      <c r="A11"/>
      <c r="B11" s="17">
        <v>6</v>
      </c>
      <c r="C11" s="33" t="str">
        <f t="shared" si="1"/>
        <v>EURCAD</v>
      </c>
      <c r="D11" s="35" t="str">
        <f t="shared" si="10"/>
        <v>EURCADON</v>
      </c>
      <c r="E11" s="33">
        <f>_xll.IMDP("FX",$H11,"일자")</f>
        <v>20190918</v>
      </c>
      <c r="F11" s="44">
        <f t="shared" si="3"/>
        <v>43726</v>
      </c>
      <c r="G11" s="33" t="str">
        <f>IF($CC$4=15,TEXT(_xll.IMDP("FX",$H11,"체결시간"),"000000"),TEXT(_xll.IMDP("FX",$H11,"시간"),"000000"))</f>
        <v>104628</v>
      </c>
      <c r="H11" s="35" t="str">
        <f t="shared" si="4"/>
        <v>EURUSD02W</v>
      </c>
      <c r="I11" s="36" t="str">
        <f t="shared" si="5"/>
        <v>02W</v>
      </c>
      <c r="J11" s="34" t="s">
        <v>197</v>
      </c>
      <c r="K11" s="14" t="s">
        <v>187</v>
      </c>
      <c r="L11" s="41">
        <f t="shared" ca="1" si="2"/>
        <v>43728</v>
      </c>
      <c r="M11" s="41">
        <f t="shared" ca="1" si="2"/>
        <v>43742</v>
      </c>
      <c r="N11" s="41">
        <f ca="1">INDEX($BY:$BY,IFERROR(MATCH(F11+2,$BY:$BY,0),MATCH(F11,$BY:$BY,-1)-2))</f>
        <v>43728</v>
      </c>
      <c r="O11" s="41">
        <f ca="1">INDEX($BY:$BY,IFERROR(MATCH(L11+14,$BY:$BY,0),MATCH(L11+14,$BY:$BY,-1)))</f>
        <v>43742</v>
      </c>
      <c r="P11" s="2" t="str">
        <f t="shared" si="6"/>
        <v>10:46:28</v>
      </c>
      <c r="Q11" s="21">
        <f>IF($CD$4=15,"",IFERROR(_xll.IMDP("FX",$H11,"BidForward"),""))</f>
        <v>1.1078300000000001</v>
      </c>
      <c r="R11" s="21">
        <f>IF($E11="...","",_xll.IMDP("FX",$H11,"매입"))</f>
        <v>12.09</v>
      </c>
      <c r="S11" s="21">
        <f t="shared" si="7"/>
        <v>1.1080049999999999</v>
      </c>
      <c r="T11" s="21">
        <f t="shared" si="8"/>
        <v>12.59</v>
      </c>
      <c r="U11" s="21">
        <f>IF($CD$4=15,"",_xll.IMDP("FX",$H11,"AskForward"))</f>
        <v>1.1081799999999999</v>
      </c>
      <c r="V11" s="21">
        <f>_xll.IMDP("FX",$H11,"매도")</f>
        <v>13.09</v>
      </c>
      <c r="W11" s="21">
        <f>IF($CD$4=15,"",_xll.IMDP("FX",$H11,"매입시가"))</f>
        <v>12.45</v>
      </c>
      <c r="X11" s="21">
        <f>IF($CD$4=15,"",_xll.IMDP("FX",$H11,"매입고가"))</f>
        <v>12.86</v>
      </c>
      <c r="Y11" s="21">
        <f>IF($CD$4=15,"",_xll.IMDP("FX",$H11,"매입저가"))</f>
        <v>11.94</v>
      </c>
      <c r="Z11" s="21">
        <f>IF($CD$4=15,"",_xll.IMDP("FX",$H11,"매도시가"))</f>
        <v>13.45</v>
      </c>
      <c r="AA11" s="21">
        <f>IF($CD$4=15,"",_xll.IMDP("FX",$H11,"매도고가"))</f>
        <v>13.45</v>
      </c>
      <c r="AB11" s="22">
        <f>IF($CD$4=15,"",_xll.IMDP("FX",$H11,"매도저가"))</f>
        <v>12.72</v>
      </c>
      <c r="AC11" s="5"/>
      <c r="AD11" s="25">
        <f>IF(_xll.IMDP("FX",$D11,$D$5)="...","",_xll.IMDP("FX",$D11,$D$5))</f>
        <v>0.56999999999999995</v>
      </c>
      <c r="AE11" s="26">
        <f t="shared" si="9"/>
        <v>0.69499999999999995</v>
      </c>
      <c r="AF11" s="25">
        <f>IFERROR(_xll.IMDP("FX",$D11,$E$5),"")</f>
        <v>0.82</v>
      </c>
      <c r="AG11" s="27">
        <f>IFERROR(_xll.IMDP("FX",$C11,$G$5),"")</f>
        <v>1.46617</v>
      </c>
      <c r="BX11" s="46">
        <v>44511</v>
      </c>
      <c r="BY11" s="31">
        <v>44217</v>
      </c>
      <c r="CA11" s="6" t="s">
        <v>126</v>
      </c>
      <c r="CB11" s="6" t="s">
        <v>232</v>
      </c>
      <c r="CC11" s="6" t="s">
        <v>122</v>
      </c>
      <c r="CD11" s="6" t="s">
        <v>122</v>
      </c>
      <c r="CE11" s="6" t="s">
        <v>238</v>
      </c>
      <c r="CG11" s="6" t="s">
        <v>102</v>
      </c>
      <c r="CH11" s="6" t="s">
        <v>217</v>
      </c>
      <c r="CJ11" s="6" t="s">
        <v>7</v>
      </c>
      <c r="CK11" s="6" t="s">
        <v>7</v>
      </c>
      <c r="CL11" s="6" t="s">
        <v>103</v>
      </c>
      <c r="CM11" s="6" t="s">
        <v>72</v>
      </c>
      <c r="CP11" s="6" t="s">
        <v>162</v>
      </c>
      <c r="CQ11" s="6" t="str">
        <f>IF($CP$5=15,CQ$2,CQ$3)</f>
        <v>S매입종가</v>
      </c>
      <c r="CR11" s="6" t="str">
        <f>IF($CP$5=15,CR$2,CR$3)</f>
        <v>S매도종가</v>
      </c>
      <c r="CS11" s="6" t="s">
        <v>159</v>
      </c>
      <c r="CT11" s="6" t="str">
        <f>IF($CP$5=15,"현재가","뉴욕종가")</f>
        <v>뉴욕종가</v>
      </c>
      <c r="CW11" s="6" t="s">
        <v>162</v>
      </c>
      <c r="CX11" s="6" t="s">
        <v>177</v>
      </c>
      <c r="CY11" s="6" t="s">
        <v>178</v>
      </c>
      <c r="CZ11" s="6" t="s">
        <v>179</v>
      </c>
      <c r="DA11" s="6" t="s">
        <v>180</v>
      </c>
      <c r="DC11" s="6" t="s">
        <v>93</v>
      </c>
      <c r="DD11" s="6" t="s">
        <v>94</v>
      </c>
      <c r="DE11" s="6" t="s">
        <v>95</v>
      </c>
    </row>
    <row r="12" spans="1:112" ht="15" customHeight="1" x14ac:dyDescent="0.15">
      <c r="A12"/>
      <c r="B12" s="17">
        <v>10</v>
      </c>
      <c r="C12" s="33" t="str">
        <f t="shared" si="1"/>
        <v>EURGBP</v>
      </c>
      <c r="D12" s="35" t="str">
        <f t="shared" si="10"/>
        <v>EURGBPON</v>
      </c>
      <c r="E12" s="33">
        <f>_xll.IMDP("FX",$H12,"일자")</f>
        <v>20190918</v>
      </c>
      <c r="F12" s="44">
        <f t="shared" si="3"/>
        <v>43726</v>
      </c>
      <c r="G12" s="33" t="str">
        <f>IF($CC$4=15,TEXT(_xll.IMDP("FX",$H12,"체결시간"),"000000"),TEXT(_xll.IMDP("FX",$H12,"시간"),"000000"))</f>
        <v>104637</v>
      </c>
      <c r="H12" s="35" t="str">
        <f t="shared" si="4"/>
        <v>EURUSD03W</v>
      </c>
      <c r="I12" s="36" t="str">
        <f t="shared" si="5"/>
        <v>03W</v>
      </c>
      <c r="J12" s="34" t="s">
        <v>198</v>
      </c>
      <c r="K12" s="14" t="s">
        <v>188</v>
      </c>
      <c r="L12" s="41">
        <f t="shared" ca="1" si="2"/>
        <v>43728</v>
      </c>
      <c r="M12" s="41">
        <f t="shared" ca="1" si="2"/>
        <v>43749</v>
      </c>
      <c r="N12" s="41">
        <f ca="1">INDEX($BY:$BY,IFERROR(MATCH(F12+2,$BY:$BY,0),MATCH(F12,$BY:$BY,-1)-2))</f>
        <v>43728</v>
      </c>
      <c r="O12" s="41">
        <f ca="1">INDEX($BY:$BY,IFERROR(MATCH(L12+21,$BY:$BY,0),MATCH(L12+21,$BY:$BY,-1)))</f>
        <v>43749</v>
      </c>
      <c r="P12" s="2" t="str">
        <f t="shared" si="6"/>
        <v>10:46:37</v>
      </c>
      <c r="Q12" s="21">
        <f>IF($CD$4=15,"",IFERROR(_xll.IMDP("FX",$H12,"BidForward"),""))</f>
        <v>1.1085199999999999</v>
      </c>
      <c r="R12" s="21">
        <f>IF($E12="...","",_xll.IMDP("FX",$H12,"매입"))</f>
        <v>17.34</v>
      </c>
      <c r="S12" s="21">
        <f t="shared" si="7"/>
        <v>1.1085449999999999</v>
      </c>
      <c r="T12" s="21">
        <f t="shared" si="8"/>
        <v>18.34</v>
      </c>
      <c r="U12" s="21">
        <f>IF($CD$4=15,"",_xll.IMDP("FX",$H12,"AskForward"))</f>
        <v>1.1085700000000001</v>
      </c>
      <c r="V12" s="21">
        <f>_xll.IMDP("FX",$H12,"매도")</f>
        <v>19.34</v>
      </c>
      <c r="W12" s="21">
        <f>IF($CD$4=15,"",_xll.IMDP("FX",$H12,"매입시가"))</f>
        <v>17.68</v>
      </c>
      <c r="X12" s="21">
        <f>IF($CD$4=15,"",_xll.IMDP("FX",$H12,"매입고가"))</f>
        <v>18.59</v>
      </c>
      <c r="Y12" s="21">
        <f>IF($CD$4=15,"",_xll.IMDP("FX",$H12,"매입저가"))</f>
        <v>17.2</v>
      </c>
      <c r="Z12" s="21">
        <f>IF($CD$4=15,"",_xll.IMDP("FX",$H12,"매도시가"))</f>
        <v>19.68</v>
      </c>
      <c r="AA12" s="21">
        <f>IF($CD$4=15,"",_xll.IMDP("FX",$H12,"매도고가"))</f>
        <v>19.68</v>
      </c>
      <c r="AB12" s="22">
        <f>IF($CD$4=15,"",_xll.IMDP("FX",$H12,"매도저가"))</f>
        <v>18.36</v>
      </c>
      <c r="AC12" s="5"/>
      <c r="AD12" s="25">
        <f>IF(_xll.IMDP("FX",$D12,$D$5)="...","",_xll.IMDP("FX",$D12,$D$5))</f>
        <v>0.13</v>
      </c>
      <c r="AE12" s="26">
        <f t="shared" si="9"/>
        <v>0.23500000000000001</v>
      </c>
      <c r="AF12" s="25">
        <f>IFERROR(_xll.IMDP("FX",$D12,$E$5),"")</f>
        <v>0.34</v>
      </c>
      <c r="AG12" s="27">
        <f>IFERROR(_xll.IMDP("FX",$C12,$G$5),"")</f>
        <v>0.88566</v>
      </c>
      <c r="BX12" s="46">
        <v>44844</v>
      </c>
      <c r="BY12" s="31">
        <v>44216</v>
      </c>
      <c r="CA12" s="6" t="s">
        <v>129</v>
      </c>
      <c r="CB12" s="6" t="s">
        <v>233</v>
      </c>
      <c r="CC12" s="6" t="s">
        <v>137</v>
      </c>
      <c r="CD12" s="6" t="s">
        <v>137</v>
      </c>
      <c r="CE12" s="6" t="s">
        <v>239</v>
      </c>
      <c r="CG12" s="6" t="s">
        <v>103</v>
      </c>
      <c r="CH12" s="6" t="s">
        <v>218</v>
      </c>
      <c r="CJ12" s="6" t="s">
        <v>8</v>
      </c>
      <c r="CK12" s="6" t="s">
        <v>8</v>
      </c>
      <c r="CL12" s="6" t="s">
        <v>104</v>
      </c>
      <c r="CM12" s="6" t="s">
        <v>73</v>
      </c>
      <c r="CP12" s="31">
        <v>43726</v>
      </c>
      <c r="CQ12" s="6">
        <v>26.25</v>
      </c>
      <c r="CR12" s="6">
        <v>26.45</v>
      </c>
      <c r="CS12" s="6">
        <f>AVERAGE(CQ12:CR12)</f>
        <v>26.35</v>
      </c>
      <c r="CT12" s="6">
        <v>1.1070800000000001</v>
      </c>
      <c r="CW12" s="31">
        <f>CP12</f>
        <v>43726</v>
      </c>
      <c r="CX12" s="6">
        <f t="shared" ref="CX12:CX75" si="11">IF($CQ$8=TRUE,CQ12,"")</f>
        <v>26.25</v>
      </c>
      <c r="CY12" s="6">
        <f t="shared" ref="CY12:CY75" si="12">IF($CR$8=TRUE,CR12,"")</f>
        <v>26.45</v>
      </c>
      <c r="CZ12" s="6">
        <f t="shared" ref="CZ12:CZ75" si="13">IF($CS$8=TRUE,CS12,"")</f>
        <v>26.35</v>
      </c>
      <c r="DA12" s="6">
        <f t="shared" ref="DA12:DA75" si="14">IF($CT$8=TRUE,CT12,"")</f>
        <v>1.1070800000000001</v>
      </c>
    </row>
    <row r="13" spans="1:112" ht="15" customHeight="1" x14ac:dyDescent="0.15">
      <c r="A13"/>
      <c r="B13" s="17">
        <v>7</v>
      </c>
      <c r="C13" s="33" t="str">
        <f t="shared" si="1"/>
        <v>EURCHF</v>
      </c>
      <c r="D13" s="35" t="str">
        <f t="shared" si="10"/>
        <v>EURCHFON</v>
      </c>
      <c r="E13" s="33">
        <f>_xll.IMDP("FX",$H13,"일자")</f>
        <v>20190918</v>
      </c>
      <c r="F13" s="44">
        <f t="shared" si="3"/>
        <v>43726</v>
      </c>
      <c r="G13" s="33" t="str">
        <f>IF($CC$4=15,TEXT(_xll.IMDP("FX",$H13,"체결시간"),"000000"),TEXT(_xll.IMDP("FX",$H13,"시간"),"000000"))</f>
        <v>104618</v>
      </c>
      <c r="H13" s="35" t="str">
        <f t="shared" si="4"/>
        <v>EURUSD01M</v>
      </c>
      <c r="I13" s="36" t="str">
        <f t="shared" si="5"/>
        <v>01M</v>
      </c>
      <c r="J13" s="34" t="s">
        <v>199</v>
      </c>
      <c r="K13" s="14" t="s">
        <v>185</v>
      </c>
      <c r="L13" s="41">
        <f t="shared" ca="1" si="2"/>
        <v>43728</v>
      </c>
      <c r="M13" s="41">
        <f t="shared" ca="1" si="2"/>
        <v>43759</v>
      </c>
      <c r="N13" s="41">
        <f ca="1">INDEX($BY:$BY,IFERROR(MATCH(F13+2,$BY:$BY,0),MATCH(F13,$BY:$BY,-1)-2))</f>
        <v>43728</v>
      </c>
      <c r="O13" s="41">
        <f ca="1">INDEX($BY:$BY,IFERROR(MATCH(EDATE(L13,SUBSTITUTE(J13,"M","")),$BY:$BY,0),MATCH(EDATE(L13,SUBSTITUTE(J13,"M","")),$BY:$BY,-1)))</f>
        <v>43759</v>
      </c>
      <c r="P13" s="2" t="str">
        <f t="shared" si="6"/>
        <v>10:46:18</v>
      </c>
      <c r="Q13" s="21">
        <f>IF($CD$4=15,"",IFERROR(_xll.IMDP("FX",$H13,"BidForward"),""))</f>
        <v>1.10931</v>
      </c>
      <c r="R13" s="21">
        <f>IF($E13="...","",_xll.IMDP("FX",$H13,"매입"))</f>
        <v>26.25</v>
      </c>
      <c r="S13" s="21">
        <f t="shared" si="7"/>
        <v>1.1093899999999999</v>
      </c>
      <c r="T13" s="21">
        <f t="shared" si="8"/>
        <v>26.35</v>
      </c>
      <c r="U13" s="21">
        <f>IF($CD$4=15,"",_xll.IMDP("FX",$H13,"AskForward"))</f>
        <v>1.10947</v>
      </c>
      <c r="V13" s="21">
        <f>_xll.IMDP("FX",$H13,"매도")</f>
        <v>26.45</v>
      </c>
      <c r="W13" s="21">
        <f>IF($CD$4=15,"",_xll.IMDP("FX",$H13,"매입시가"))</f>
        <v>27.32</v>
      </c>
      <c r="X13" s="21">
        <f>IF($CD$4=15,"",_xll.IMDP("FX",$H13,"매입고가"))</f>
        <v>27.49</v>
      </c>
      <c r="Y13" s="21">
        <f>IF($CD$4=15,"",_xll.IMDP("FX",$H13,"매입저가"))</f>
        <v>25.44</v>
      </c>
      <c r="Z13" s="21">
        <f>IF($CD$4=15,"",_xll.IMDP("FX",$H13,"매도시가"))</f>
        <v>27.52</v>
      </c>
      <c r="AA13" s="21">
        <f>IF($CD$4=15,"",_xll.IMDP("FX",$H13,"매도고가"))</f>
        <v>28.66</v>
      </c>
      <c r="AB13" s="22">
        <f>IF($CD$4=15,"",_xll.IMDP("FX",$H13,"매도저가"))</f>
        <v>26.16</v>
      </c>
      <c r="AC13" s="5"/>
      <c r="AD13" s="25">
        <f>IF(_xll.IMDP("FX",$D13,$D$5)="...","",_xll.IMDP("FX",$D13,$D$5))</f>
        <v>-0.36</v>
      </c>
      <c r="AE13" s="26">
        <f t="shared" si="9"/>
        <v>-0.11499999999999999</v>
      </c>
      <c r="AF13" s="25">
        <f>IFERROR(_xll.IMDP("FX",$D13,$E$5),"")</f>
        <v>0.13</v>
      </c>
      <c r="AG13" s="27">
        <f>IFERROR(_xll.IMDP("FX",$C13,$G$5),"")</f>
        <v>1.09941</v>
      </c>
      <c r="BX13" s="46">
        <v>44876</v>
      </c>
      <c r="BY13" s="31">
        <v>44215</v>
      </c>
      <c r="CA13" s="6" t="s">
        <v>130</v>
      </c>
      <c r="CB13" s="6" t="s">
        <v>234</v>
      </c>
      <c r="CC13" s="6" t="s">
        <v>123</v>
      </c>
      <c r="CD13" s="6" t="s">
        <v>123</v>
      </c>
      <c r="CE13" s="6" t="s">
        <v>240</v>
      </c>
      <c r="CG13" s="6" t="s">
        <v>104</v>
      </c>
      <c r="CH13" s="6" t="s">
        <v>219</v>
      </c>
      <c r="CJ13" s="6" t="s">
        <v>9</v>
      </c>
      <c r="CK13" s="6" t="s">
        <v>9</v>
      </c>
      <c r="CL13" s="6" t="s">
        <v>108</v>
      </c>
      <c r="CM13" s="6" t="s">
        <v>74</v>
      </c>
      <c r="CP13" s="31">
        <v>43725</v>
      </c>
      <c r="CQ13" s="6">
        <v>26.68</v>
      </c>
      <c r="CR13" s="6">
        <v>28.68</v>
      </c>
      <c r="CS13" s="6">
        <f t="shared" ref="CS13:CS76" si="15">AVERAGE(CQ13:CR13)</f>
        <v>27.68</v>
      </c>
      <c r="CT13" s="6">
        <v>1.10724</v>
      </c>
      <c r="CW13" s="31">
        <f t="shared" ref="CW13:CW76" si="16">CP13</f>
        <v>43725</v>
      </c>
      <c r="CX13" s="6">
        <f t="shared" si="11"/>
        <v>26.68</v>
      </c>
      <c r="CY13" s="6">
        <f t="shared" si="12"/>
        <v>28.68</v>
      </c>
      <c r="CZ13" s="6">
        <f t="shared" si="13"/>
        <v>27.68</v>
      </c>
      <c r="DA13" s="6">
        <f t="shared" si="14"/>
        <v>1.10724</v>
      </c>
      <c r="DC13" s="6" t="s">
        <v>99</v>
      </c>
      <c r="DD13" s="6" t="s">
        <v>164</v>
      </c>
      <c r="DE13" s="6" t="s">
        <v>96</v>
      </c>
      <c r="DF13" s="6" t="s">
        <v>97</v>
      </c>
      <c r="DG13" s="6" t="s">
        <v>98</v>
      </c>
      <c r="DH13" s="6" t="s">
        <v>92</v>
      </c>
    </row>
    <row r="14" spans="1:112" ht="15" customHeight="1" x14ac:dyDescent="0.15">
      <c r="A14"/>
      <c r="B14" s="17">
        <v>9</v>
      </c>
      <c r="C14" s="33" t="str">
        <f t="shared" si="1"/>
        <v>EURDKK</v>
      </c>
      <c r="D14" s="35" t="str">
        <f t="shared" si="10"/>
        <v>EURDKKON</v>
      </c>
      <c r="E14" s="33">
        <f>_xll.IMDP("FX",$H14,"일자")</f>
        <v>20190918</v>
      </c>
      <c r="F14" s="44">
        <f t="shared" si="3"/>
        <v>43726</v>
      </c>
      <c r="G14" s="33" t="str">
        <f>IF($CC$4=15,TEXT(_xll.IMDP("FX",$H14,"체결시간"),"000000"),TEXT(_xll.IMDP("FX",$H14,"시간"),"000000"))</f>
        <v>104555</v>
      </c>
      <c r="H14" s="35" t="str">
        <f t="shared" si="4"/>
        <v>EURUSD02M</v>
      </c>
      <c r="I14" s="36" t="str">
        <f t="shared" si="5"/>
        <v>02M</v>
      </c>
      <c r="J14" s="34" t="s">
        <v>200</v>
      </c>
      <c r="K14" s="14" t="s">
        <v>186</v>
      </c>
      <c r="L14" s="41">
        <f t="shared" ref="L14:L23" ca="1" si="17">IFERROR(IF($O$6,IF(IFERROR(MATCH(N14,$BX:$BX,0),FALSE),INDEX($BY:$BY,MATCH(N14+1,$BY:$BY,-1)),N14),N14),"")</f>
        <v>43728</v>
      </c>
      <c r="M14" s="41">
        <f t="shared" ref="M14:M23" ca="1" si="18">IFERROR(IF($O$6,IF(IFERROR(MATCH(O14,$BX:$BX,0),FALSE),INDEX($BY:$BY,MATCH(O14+1,$BY:$BY,-1)),O14),O14),"")</f>
        <v>43789</v>
      </c>
      <c r="N14" s="41">
        <f t="shared" ref="N14:N23" ca="1" si="19">INDEX($BY:$BY,IFERROR(MATCH(F14+2,$BY:$BY,0),MATCH(F14,$BY:$BY,-1)-2))</f>
        <v>43728</v>
      </c>
      <c r="O14" s="41">
        <f t="shared" ref="O14:O23" ca="1" si="20">INDEX($BY:$BY,IFERROR(MATCH(EDATE(L14,SUBSTITUTE(J14,"M","")),$BY:$BY,0),MATCH(EDATE(L14,SUBSTITUTE(J14,"M","")),$BY:$BY,-1)))</f>
        <v>43789</v>
      </c>
      <c r="P14" s="2" t="str">
        <f t="shared" si="6"/>
        <v>10:45:55</v>
      </c>
      <c r="Q14" s="21">
        <f>IF($CD$4=15,"",IFERROR(_xll.IMDP("FX",$H14,"BidForward"),""))</f>
        <v>1.11172</v>
      </c>
      <c r="R14" s="21">
        <f>IF($E14="...","",_xll.IMDP("FX",$H14,"매입"))</f>
        <v>49.86</v>
      </c>
      <c r="S14" s="21">
        <f t="shared" si="7"/>
        <v>1.1117699999999999</v>
      </c>
      <c r="T14" s="21">
        <f t="shared" si="8"/>
        <v>50.56</v>
      </c>
      <c r="U14" s="21">
        <f>IF($CD$4=15,"",_xll.IMDP("FX",$H14,"AskForward"))</f>
        <v>1.11182</v>
      </c>
      <c r="V14" s="21">
        <f>_xll.IMDP("FX",$H14,"매도")</f>
        <v>51.26</v>
      </c>
      <c r="W14" s="21">
        <f>IF($CD$4=15,"",_xll.IMDP("FX",$H14,"매입시가"))</f>
        <v>50.11</v>
      </c>
      <c r="X14" s="21">
        <f>IF($CD$4=15,"",_xll.IMDP("FX",$H14,"매입고가"))</f>
        <v>50.66</v>
      </c>
      <c r="Y14" s="21">
        <f>IF($CD$4=15,"",_xll.IMDP("FX",$H14,"매입저가"))</f>
        <v>49.6</v>
      </c>
      <c r="Z14" s="21">
        <f>IF($CD$4=15,"",_xll.IMDP("FX",$H14,"매도시가"))</f>
        <v>51.51</v>
      </c>
      <c r="AA14" s="21">
        <f>IF($CD$4=15,"",_xll.IMDP("FX",$H14,"매도고가"))</f>
        <v>51.55</v>
      </c>
      <c r="AB14" s="22">
        <f>IF($CD$4=15,"",_xll.IMDP("FX",$H14,"매도저가"))</f>
        <v>50.5</v>
      </c>
      <c r="AC14" s="5"/>
      <c r="AD14" s="25">
        <f>IF(_xll.IMDP("FX",$D14,$D$5)="...","",_xll.IMDP("FX",$D14,$D$5))</f>
        <v>-3.01</v>
      </c>
      <c r="AE14" s="26">
        <f t="shared" si="9"/>
        <v>-0.32499999999999996</v>
      </c>
      <c r="AF14" s="25">
        <f>IFERROR(_xll.IMDP("FX",$D14,$E$5),"")</f>
        <v>2.36</v>
      </c>
      <c r="AG14" s="27">
        <f>IFERROR(_xll.IMDP("FX",$C14,$G$5),"")</f>
        <v>7.4672999999999998</v>
      </c>
      <c r="BX14" s="46">
        <v>45208</v>
      </c>
      <c r="BY14" s="31">
        <v>44211</v>
      </c>
      <c r="CA14" s="6" t="s">
        <v>133</v>
      </c>
      <c r="CB14" s="6" t="s">
        <v>235</v>
      </c>
      <c r="CC14" s="6" t="s">
        <v>114</v>
      </c>
      <c r="CD14" s="6" t="s">
        <v>114</v>
      </c>
      <c r="CE14" s="6" t="s">
        <v>230</v>
      </c>
      <c r="CG14" s="6" t="s">
        <v>108</v>
      </c>
      <c r="CJ14" s="6" t="s">
        <v>10</v>
      </c>
      <c r="CK14" s="6" t="s">
        <v>10</v>
      </c>
      <c r="CL14" s="6" t="s">
        <v>109</v>
      </c>
      <c r="CM14" s="6" t="s">
        <v>75</v>
      </c>
      <c r="CP14" s="31">
        <v>43724</v>
      </c>
      <c r="CQ14" s="6">
        <v>25.74</v>
      </c>
      <c r="CR14" s="6">
        <v>25.94</v>
      </c>
      <c r="CS14" s="6">
        <f t="shared" si="15"/>
        <v>25.84</v>
      </c>
      <c r="CT14" s="6">
        <v>1.1001399999999999</v>
      </c>
      <c r="CW14" s="31">
        <f t="shared" si="16"/>
        <v>43724</v>
      </c>
      <c r="CX14" s="6">
        <f t="shared" si="11"/>
        <v>25.74</v>
      </c>
      <c r="CY14" s="6">
        <f t="shared" si="12"/>
        <v>25.94</v>
      </c>
      <c r="CZ14" s="6">
        <f t="shared" si="13"/>
        <v>25.84</v>
      </c>
      <c r="DA14" s="6">
        <f t="shared" si="14"/>
        <v>1.1001399999999999</v>
      </c>
      <c r="DC14" s="6" t="s">
        <v>163</v>
      </c>
      <c r="DD14" s="6" t="str">
        <f>$H$7</f>
        <v>EURUSDON</v>
      </c>
      <c r="DE14" s="6">
        <f>_xll.IMDP("FX",$DD14,$D$5)</f>
        <v>1.01</v>
      </c>
      <c r="DF14" s="6">
        <f t="shared" ref="DF14:DF20" si="21">IFERROR(AVERAGE($DE14,$DG14),"")</f>
        <v>1.06</v>
      </c>
      <c r="DG14" s="6">
        <f>_xll.IMDP("FX",$DD14,$E$5)</f>
        <v>1.1100000000000001</v>
      </c>
      <c r="DH14" s="6">
        <f>_xll.IMDP("FX",$CI$6,$DH$13)</f>
        <v>20190918</v>
      </c>
    </row>
    <row r="15" spans="1:112" ht="15" customHeight="1" x14ac:dyDescent="0.15">
      <c r="A15"/>
      <c r="B15" s="17">
        <v>10</v>
      </c>
      <c r="C15" s="33" t="str">
        <f t="shared" si="1"/>
        <v>EURGBP</v>
      </c>
      <c r="D15" s="35" t="str">
        <f t="shared" si="10"/>
        <v>EURGBPON</v>
      </c>
      <c r="E15" s="33">
        <f>_xll.IMDP("FX",$H15,"일자")</f>
        <v>20190918</v>
      </c>
      <c r="F15" s="44">
        <f t="shared" si="3"/>
        <v>43726</v>
      </c>
      <c r="G15" s="33" t="str">
        <f>IF($CC$4=15,TEXT(_xll.IMDP("FX",$H15,"체결시간"),"000000"),TEXT(_xll.IMDP("FX",$H15,"시간"),"000000"))</f>
        <v>104638</v>
      </c>
      <c r="H15" s="35" t="str">
        <f t="shared" si="4"/>
        <v>EURUSD03M</v>
      </c>
      <c r="I15" s="36" t="str">
        <f t="shared" si="5"/>
        <v>03M</v>
      </c>
      <c r="J15" s="34" t="s">
        <v>201</v>
      </c>
      <c r="K15" s="14" t="s">
        <v>189</v>
      </c>
      <c r="L15" s="41">
        <f t="shared" ca="1" si="17"/>
        <v>43728</v>
      </c>
      <c r="M15" s="41">
        <f t="shared" ca="1" si="18"/>
        <v>43819</v>
      </c>
      <c r="N15" s="41">
        <f t="shared" ca="1" si="19"/>
        <v>43728</v>
      </c>
      <c r="O15" s="41">
        <f t="shared" ca="1" si="20"/>
        <v>43819</v>
      </c>
      <c r="P15" s="2" t="str">
        <f t="shared" si="6"/>
        <v>10:46:38</v>
      </c>
      <c r="Q15" s="21">
        <f>IF($CD$4=15,"",IFERROR(_xll.IMDP("FX",$H15,"BidForward"),""))</f>
        <v>1.1141000000000001</v>
      </c>
      <c r="R15" s="21">
        <f>IF($E15="...","",_xll.IMDP("FX",$H15,"매입"))</f>
        <v>73.47</v>
      </c>
      <c r="S15" s="21">
        <f t="shared" si="7"/>
        <v>1.11412</v>
      </c>
      <c r="T15" s="21">
        <f t="shared" si="8"/>
        <v>73.62</v>
      </c>
      <c r="U15" s="21">
        <f>IF($CD$4=15,"",_xll.IMDP("FX",$H15,"AskForward"))</f>
        <v>1.1141399999999999</v>
      </c>
      <c r="V15" s="21">
        <f>_xll.IMDP("FX",$H15,"매도")</f>
        <v>73.77</v>
      </c>
      <c r="W15" s="21">
        <f>IF($CD$4=15,"",_xll.IMDP("FX",$H15,"매입시가"))</f>
        <v>73.930000000000007</v>
      </c>
      <c r="X15" s="21">
        <f>IF($CD$4=15,"",_xll.IMDP("FX",$H15,"매입고가"))</f>
        <v>74.12</v>
      </c>
      <c r="Y15" s="21">
        <f>IF($CD$4=15,"",_xll.IMDP("FX",$H15,"매입저가"))</f>
        <v>72.5</v>
      </c>
      <c r="Z15" s="21">
        <f>IF($CD$4=15,"",_xll.IMDP("FX",$H15,"매도시가"))</f>
        <v>74.23</v>
      </c>
      <c r="AA15" s="21">
        <f>IF($CD$4=15,"",_xll.IMDP("FX",$H15,"매도고가"))</f>
        <v>75.349999999999994</v>
      </c>
      <c r="AB15" s="22">
        <f>IF($CD$4=15,"",_xll.IMDP("FX",$H15,"매도저가"))</f>
        <v>72.8</v>
      </c>
      <c r="AC15" s="5"/>
      <c r="AD15" s="25">
        <f>IF(_xll.IMDP("FX",$D15,$D$5)="...","",_xll.IMDP("FX",$D15,$D$5))</f>
        <v>0.13</v>
      </c>
      <c r="AE15" s="26">
        <f t="shared" si="9"/>
        <v>0.23500000000000001</v>
      </c>
      <c r="AF15" s="25">
        <f>IFERROR(_xll.IMDP("FX",$D15,$E$5),"")</f>
        <v>0.34</v>
      </c>
      <c r="AG15" s="27">
        <f>IFERROR(_xll.IMDP("FX",$C15,$G$5),"")</f>
        <v>0.88566</v>
      </c>
      <c r="BX15" s="46">
        <v>45240</v>
      </c>
      <c r="BY15" s="31">
        <v>44210</v>
      </c>
      <c r="CC15" s="6" t="s">
        <v>115</v>
      </c>
      <c r="CD15" s="6" t="s">
        <v>115</v>
      </c>
      <c r="CE15" s="6" t="s">
        <v>231</v>
      </c>
      <c r="CG15" s="6" t="s">
        <v>109</v>
      </c>
      <c r="CJ15" s="6" t="s">
        <v>11</v>
      </c>
      <c r="CK15" s="6" t="s">
        <v>11</v>
      </c>
      <c r="CL15" s="6" t="s">
        <v>105</v>
      </c>
      <c r="CM15" s="6" t="s">
        <v>76</v>
      </c>
      <c r="CP15" s="31">
        <v>43723</v>
      </c>
      <c r="CQ15" s="6">
        <v>24.65</v>
      </c>
      <c r="CR15" s="6">
        <v>24.85</v>
      </c>
      <c r="CS15" s="6">
        <f t="shared" si="15"/>
        <v>24.75</v>
      </c>
      <c r="CT15" s="6">
        <v>1.1073999999999999</v>
      </c>
      <c r="CW15" s="31">
        <f t="shared" si="16"/>
        <v>43723</v>
      </c>
      <c r="CX15" s="6">
        <f t="shared" si="11"/>
        <v>24.65</v>
      </c>
      <c r="CY15" s="6">
        <f t="shared" si="12"/>
        <v>24.85</v>
      </c>
      <c r="CZ15" s="6">
        <f t="shared" si="13"/>
        <v>24.75</v>
      </c>
      <c r="DA15" s="6">
        <f t="shared" si="14"/>
        <v>1.1073999999999999</v>
      </c>
      <c r="DC15" s="6" t="s">
        <v>101</v>
      </c>
      <c r="DD15" s="6" t="str">
        <f>$H$10</f>
        <v>EURUSD01W</v>
      </c>
      <c r="DE15" s="6">
        <f>_xll.IMDP("FX",$DD15,$D$5)</f>
        <v>5.79</v>
      </c>
      <c r="DF15" s="6">
        <f t="shared" si="21"/>
        <v>6.04</v>
      </c>
      <c r="DG15" s="6">
        <f>_xll.IMDP("FX",$DD15,$E$5)</f>
        <v>6.29</v>
      </c>
      <c r="DH15" s="6">
        <f>_xll.IMDP("FX",$CI$6,$DH$13)</f>
        <v>20190918</v>
      </c>
    </row>
    <row r="16" spans="1:112" ht="15" customHeight="1" x14ac:dyDescent="0.15">
      <c r="A16" s="1"/>
      <c r="B16" s="17">
        <v>11</v>
      </c>
      <c r="C16" s="33" t="str">
        <f t="shared" si="1"/>
        <v>EURHKD</v>
      </c>
      <c r="D16" s="35" t="str">
        <f t="shared" si="10"/>
        <v>EURHKDON</v>
      </c>
      <c r="E16" s="33">
        <f>_xll.IMDP("FX",$H16,"일자")</f>
        <v>20190918</v>
      </c>
      <c r="F16" s="44">
        <f t="shared" si="3"/>
        <v>43726</v>
      </c>
      <c r="G16" s="33" t="str">
        <f>IF($CC$4=15,TEXT(_xll.IMDP("FX",$H16,"체결시간"),"000000"),TEXT(_xll.IMDP("FX",$H16,"시간"),"000000"))</f>
        <v>104628</v>
      </c>
      <c r="H16" s="35" t="str">
        <f t="shared" si="4"/>
        <v>EURUSD04M</v>
      </c>
      <c r="I16" s="36" t="str">
        <f t="shared" si="5"/>
        <v>04M</v>
      </c>
      <c r="J16" s="34" t="s">
        <v>202</v>
      </c>
      <c r="K16" s="14" t="s">
        <v>190</v>
      </c>
      <c r="L16" s="41">
        <f t="shared" ca="1" si="17"/>
        <v>43728</v>
      </c>
      <c r="M16" s="41">
        <f t="shared" ca="1" si="18"/>
        <v>43851</v>
      </c>
      <c r="N16" s="41">
        <f t="shared" ca="1" si="19"/>
        <v>43728</v>
      </c>
      <c r="O16" s="41">
        <f t="shared" ca="1" si="20"/>
        <v>43851</v>
      </c>
      <c r="P16" s="2" t="str">
        <f t="shared" si="6"/>
        <v>10:46:28</v>
      </c>
      <c r="Q16" s="21">
        <f>IF($CD$4=15,"",IFERROR(_xll.IMDP("FX",$H16,"BidForward"),""))</f>
        <v>1.11721</v>
      </c>
      <c r="R16" s="21">
        <f>IF($E16="...","",_xll.IMDP("FX",$H16,"매입"))</f>
        <v>105.28</v>
      </c>
      <c r="S16" s="21">
        <f t="shared" si="7"/>
        <v>1.117375</v>
      </c>
      <c r="T16" s="21">
        <f t="shared" si="8"/>
        <v>106.28</v>
      </c>
      <c r="U16" s="21">
        <f>IF($CD$4=15,"",_xll.IMDP("FX",$H16,"AskForward"))</f>
        <v>1.11754</v>
      </c>
      <c r="V16" s="21">
        <f>_xll.IMDP("FX",$H16,"매도")</f>
        <v>107.28</v>
      </c>
      <c r="W16" s="21">
        <f>IF($CD$4=15,"",_xll.IMDP("FX",$H16,"매입시가"))</f>
        <v>105.84</v>
      </c>
      <c r="X16" s="21">
        <f>IF($CD$4=15,"",_xll.IMDP("FX",$H16,"매입고가"))</f>
        <v>106.92</v>
      </c>
      <c r="Y16" s="21">
        <f>IF($CD$4=15,"",_xll.IMDP("FX",$H16,"매입저가"))</f>
        <v>104.5</v>
      </c>
      <c r="Z16" s="21">
        <f>IF($CD$4=15,"",_xll.IMDP("FX",$H16,"매도시가"))</f>
        <v>107.84</v>
      </c>
      <c r="AA16" s="21">
        <f>IF($CD$4=15,"",_xll.IMDP("FX",$H16,"매도고가"))</f>
        <v>108.17</v>
      </c>
      <c r="AB16" s="22">
        <f>IF($CD$4=15,"",_xll.IMDP("FX",$H16,"매도저가"))</f>
        <v>106.06</v>
      </c>
      <c r="AC16" s="5"/>
      <c r="AD16" s="25">
        <f>IF(_xll.IMDP("FX",$D16,$D$5)="...","",_xll.IMDP("FX",$D16,$D$5))</f>
        <v>2.94</v>
      </c>
      <c r="AE16" s="26">
        <f t="shared" si="9"/>
        <v>4.4799999999999995</v>
      </c>
      <c r="AF16" s="25">
        <f>IFERROR(_xll.IMDP("FX",$D16,$E$5),"")</f>
        <v>6.02</v>
      </c>
      <c r="AG16" s="27">
        <f>IFERROR(_xll.IMDP("FX",$C16,$G$5),"")</f>
        <v>8.6613000000000007</v>
      </c>
      <c r="BX16" s="46">
        <v>45241</v>
      </c>
      <c r="BY16" s="31">
        <v>44209</v>
      </c>
      <c r="CC16" s="6" t="s">
        <v>124</v>
      </c>
      <c r="CD16" s="6" t="s">
        <v>124</v>
      </c>
      <c r="CE16" s="6" t="s">
        <v>241</v>
      </c>
      <c r="CG16" s="6" t="s">
        <v>105</v>
      </c>
      <c r="CH16" s="6" t="s">
        <v>220</v>
      </c>
      <c r="CJ16" s="6" t="s">
        <v>12</v>
      </c>
      <c r="CK16" s="6" t="s">
        <v>12</v>
      </c>
      <c r="CL16" s="6" t="s">
        <v>110</v>
      </c>
      <c r="CM16" s="6" t="s">
        <v>77</v>
      </c>
      <c r="CP16" s="31">
        <v>43722</v>
      </c>
      <c r="CQ16" s="6">
        <v>24.74</v>
      </c>
      <c r="CR16" s="6">
        <v>25.44</v>
      </c>
      <c r="CS16" s="6">
        <f t="shared" si="15"/>
        <v>25.09</v>
      </c>
      <c r="CT16" s="6">
        <v>1.1073999999999999</v>
      </c>
      <c r="CW16" s="31">
        <f t="shared" si="16"/>
        <v>43722</v>
      </c>
      <c r="CX16" s="6">
        <f t="shared" si="11"/>
        <v>24.74</v>
      </c>
      <c r="CY16" s="6">
        <f t="shared" si="12"/>
        <v>25.44</v>
      </c>
      <c r="CZ16" s="6">
        <f t="shared" si="13"/>
        <v>25.09</v>
      </c>
      <c r="DA16" s="6">
        <f t="shared" si="14"/>
        <v>1.1073999999999999</v>
      </c>
      <c r="DC16" s="6" t="s">
        <v>102</v>
      </c>
      <c r="DD16" s="6" t="str">
        <f>$H$13</f>
        <v>EURUSD01M</v>
      </c>
      <c r="DE16" s="6">
        <f>_xll.IMDP("FX",$DD16,$D$5)</f>
        <v>26.25</v>
      </c>
      <c r="DF16" s="6">
        <f t="shared" si="21"/>
        <v>26.35</v>
      </c>
      <c r="DG16" s="6">
        <f>_xll.IMDP("FX",$DD16,$E$5)</f>
        <v>26.45</v>
      </c>
      <c r="DH16" s="6">
        <f>_xll.IMDP("FX",$CI$6,$DH$13)</f>
        <v>20190918</v>
      </c>
    </row>
    <row r="17" spans="1:112" ht="15" customHeight="1" x14ac:dyDescent="0.15">
      <c r="A17" s="1"/>
      <c r="B17" s="17">
        <v>12</v>
      </c>
      <c r="C17" s="33" t="str">
        <f t="shared" si="1"/>
        <v>EURJPY</v>
      </c>
      <c r="D17" s="35" t="str">
        <f t="shared" si="10"/>
        <v>EURJPYON</v>
      </c>
      <c r="E17" s="33">
        <f>_xll.IMDP("FX",$H17,"일자")</f>
        <v>20190918</v>
      </c>
      <c r="F17" s="44">
        <f t="shared" si="3"/>
        <v>43726</v>
      </c>
      <c r="G17" s="33" t="str">
        <f>IF($CC$4=15,TEXT(_xll.IMDP("FX",$H17,"체결시간"),"000000"),TEXT(_xll.IMDP("FX",$H17,"시간"),"000000"))</f>
        <v>104626</v>
      </c>
      <c r="H17" s="35" t="str">
        <f t="shared" si="4"/>
        <v>EURUSD05M</v>
      </c>
      <c r="I17" s="36" t="str">
        <f t="shared" si="5"/>
        <v>05M</v>
      </c>
      <c r="J17" s="34" t="s">
        <v>203</v>
      </c>
      <c r="K17" s="14" t="s">
        <v>191</v>
      </c>
      <c r="L17" s="41">
        <f t="shared" ca="1" si="17"/>
        <v>43728</v>
      </c>
      <c r="M17" s="41">
        <f t="shared" ca="1" si="18"/>
        <v>43881</v>
      </c>
      <c r="N17" s="41">
        <f t="shared" ca="1" si="19"/>
        <v>43728</v>
      </c>
      <c r="O17" s="41">
        <f t="shared" ca="1" si="20"/>
        <v>43881</v>
      </c>
      <c r="P17" s="2" t="str">
        <f t="shared" si="6"/>
        <v>10:46:26</v>
      </c>
      <c r="Q17" s="21">
        <f>IF($CD$4=15,"",IFERROR(_xll.IMDP("FX",$H17,"BidForward"),""))</f>
        <v>1.1193599999999999</v>
      </c>
      <c r="R17" s="21">
        <f>IF($E17="...","",_xll.IMDP("FX",$H17,"매입"))</f>
        <v>127.32</v>
      </c>
      <c r="S17" s="21">
        <f t="shared" si="7"/>
        <v>1.1195999999999999</v>
      </c>
      <c r="T17" s="21">
        <f t="shared" si="8"/>
        <v>128.57</v>
      </c>
      <c r="U17" s="21">
        <f>IF($CD$4=15,"",_xll.IMDP("FX",$H17,"AskForward"))</f>
        <v>1.1198399999999999</v>
      </c>
      <c r="V17" s="21">
        <f>_xll.IMDP("FX",$H17,"매도")</f>
        <v>129.82</v>
      </c>
      <c r="W17" s="21">
        <f>IF($CD$4=15,"",_xll.IMDP("FX",$H17,"매입시가"))</f>
        <v>127.26</v>
      </c>
      <c r="X17" s="21">
        <f>IF($CD$4=15,"",_xll.IMDP("FX",$H17,"매입고가"))</f>
        <v>128.6</v>
      </c>
      <c r="Y17" s="21">
        <f>IF($CD$4=15,"",_xll.IMDP("FX",$H17,"매입저가"))</f>
        <v>126.2</v>
      </c>
      <c r="Z17" s="21">
        <f>IF($CD$4=15,"",_xll.IMDP("FX",$H17,"매도시가"))</f>
        <v>129.76</v>
      </c>
      <c r="AA17" s="21">
        <f>IF($CD$4=15,"",_xll.IMDP("FX",$H17,"매도고가"))</f>
        <v>130.04</v>
      </c>
      <c r="AB17" s="22">
        <f>IF($CD$4=15,"",_xll.IMDP("FX",$H17,"매도저가"))</f>
        <v>128.38999999999999</v>
      </c>
      <c r="AC17" s="5"/>
      <c r="AD17" s="25">
        <f>IF(_xll.IMDP("FX",$D17,$D$5)="...","",_xll.IMDP("FX",$D17,$D$5))</f>
        <v>-7.0000000000000007E-2</v>
      </c>
      <c r="AE17" s="26">
        <f t="shared" si="9"/>
        <v>-5.0000000000000044E-3</v>
      </c>
      <c r="AF17" s="25">
        <f>IFERROR(_xll.IMDP("FX",$D17,$E$5),"")</f>
        <v>0.06</v>
      </c>
      <c r="AG17" s="27">
        <f>IFERROR(_xll.IMDP("FX",$C17,$G$5),"")</f>
        <v>119.67</v>
      </c>
      <c r="BX17" s="46">
        <v>45579</v>
      </c>
      <c r="BY17" s="31">
        <v>44208</v>
      </c>
      <c r="CC17" s="6" t="s">
        <v>125</v>
      </c>
      <c r="CD17" s="6" t="s">
        <v>125</v>
      </c>
      <c r="CE17" s="6" t="s">
        <v>242</v>
      </c>
      <c r="CG17" s="6" t="s">
        <v>110</v>
      </c>
      <c r="CJ17" s="6" t="s">
        <v>13</v>
      </c>
      <c r="CK17" s="6" t="s">
        <v>13</v>
      </c>
      <c r="CL17" s="6" t="s">
        <v>111</v>
      </c>
      <c r="CM17" s="6" t="s">
        <v>78</v>
      </c>
      <c r="CP17" s="31">
        <v>43721</v>
      </c>
      <c r="CQ17" s="6">
        <v>24.73</v>
      </c>
      <c r="CR17" s="6">
        <v>24.93</v>
      </c>
      <c r="CS17" s="6">
        <f t="shared" si="15"/>
        <v>24.83</v>
      </c>
      <c r="CT17" s="6">
        <v>1.1073999999999999</v>
      </c>
      <c r="CW17" s="31">
        <f t="shared" si="16"/>
        <v>43721</v>
      </c>
      <c r="CX17" s="6">
        <f t="shared" si="11"/>
        <v>24.73</v>
      </c>
      <c r="CY17" s="6">
        <f t="shared" si="12"/>
        <v>24.93</v>
      </c>
      <c r="CZ17" s="6">
        <f t="shared" si="13"/>
        <v>24.83</v>
      </c>
      <c r="DA17" s="6">
        <f t="shared" si="14"/>
        <v>1.1073999999999999</v>
      </c>
      <c r="DC17" s="6" t="s">
        <v>103</v>
      </c>
      <c r="DD17" s="6" t="str">
        <f>$H$14</f>
        <v>EURUSD02M</v>
      </c>
      <c r="DE17" s="6">
        <f>_xll.IMDP("FX",$DD17,$D$5)</f>
        <v>49.86</v>
      </c>
      <c r="DF17" s="6">
        <f t="shared" si="21"/>
        <v>50.56</v>
      </c>
      <c r="DG17" s="6">
        <f>_xll.IMDP("FX",$DD17,$E$5)</f>
        <v>51.26</v>
      </c>
      <c r="DH17" s="6">
        <f>_xll.IMDP("FX",$CI$6,$DH$13)</f>
        <v>20190918</v>
      </c>
    </row>
    <row r="18" spans="1:112" ht="15" customHeight="1" x14ac:dyDescent="0.15">
      <c r="A18" s="1"/>
      <c r="B18" s="17">
        <v>25</v>
      </c>
      <c r="C18" s="33" t="str">
        <f t="shared" si="1"/>
        <v>GBPDKK</v>
      </c>
      <c r="D18" s="35" t="str">
        <f t="shared" si="10"/>
        <v>GBPDKKON</v>
      </c>
      <c r="E18" s="33">
        <f>_xll.IMDP("FX",$H18,"일자")</f>
        <v>20190918</v>
      </c>
      <c r="F18" s="44">
        <f t="shared" si="3"/>
        <v>43726</v>
      </c>
      <c r="G18" s="33" t="str">
        <f>IF($CC$4=15,TEXT(_xll.IMDP("FX",$H18,"체결시간"),"000000"),TEXT(_xll.IMDP("FX",$H18,"시간"),"000000"))</f>
        <v>104638</v>
      </c>
      <c r="H18" s="35" t="str">
        <f t="shared" si="4"/>
        <v>EURUSD06M</v>
      </c>
      <c r="I18" s="36" t="str">
        <f t="shared" si="5"/>
        <v>06M</v>
      </c>
      <c r="J18" s="34" t="s">
        <v>204</v>
      </c>
      <c r="K18" s="14" t="s">
        <v>192</v>
      </c>
      <c r="L18" s="41">
        <f t="shared" ca="1" si="17"/>
        <v>43728</v>
      </c>
      <c r="M18" s="41">
        <f t="shared" ca="1" si="18"/>
        <v>43910</v>
      </c>
      <c r="N18" s="41">
        <f t="shared" ca="1" si="19"/>
        <v>43728</v>
      </c>
      <c r="O18" s="41">
        <f t="shared" ca="1" si="20"/>
        <v>43910</v>
      </c>
      <c r="P18" s="2" t="str">
        <f t="shared" si="6"/>
        <v>10:46:38</v>
      </c>
      <c r="Q18" s="21">
        <f>IF($CD$4=15,"",IFERROR(_xll.IMDP("FX",$H18,"BidForward"),""))</f>
        <v>1.1215200000000001</v>
      </c>
      <c r="R18" s="21">
        <f>IF($E18="...","",_xll.IMDP("FX",$H18,"매입"))</f>
        <v>150.03</v>
      </c>
      <c r="S18" s="21">
        <f t="shared" si="7"/>
        <v>1.1215900000000001</v>
      </c>
      <c r="T18" s="21">
        <f t="shared" si="8"/>
        <v>150.20499999999998</v>
      </c>
      <c r="U18" s="21">
        <f>IF($CD$4=15,"",_xll.IMDP("FX",$H18,"AskForward"))</f>
        <v>1.1216600000000001</v>
      </c>
      <c r="V18" s="21">
        <f>_xll.IMDP("FX",$H18,"매도")</f>
        <v>150.38</v>
      </c>
      <c r="W18" s="21">
        <f>IF($CD$4=15,"",_xll.IMDP("FX",$H18,"매입시가"))</f>
        <v>148.01</v>
      </c>
      <c r="X18" s="21">
        <f>IF($CD$4=15,"",_xll.IMDP("FX",$H18,"매입고가"))</f>
        <v>150.07</v>
      </c>
      <c r="Y18" s="21">
        <f>IF($CD$4=15,"",_xll.IMDP("FX",$H18,"매입저가"))</f>
        <v>146.87</v>
      </c>
      <c r="Z18" s="21">
        <f>IF($CD$4=15,"",_xll.IMDP("FX",$H18,"매도시가"))</f>
        <v>149.31</v>
      </c>
      <c r="AA18" s="21">
        <f>IF($CD$4=15,"",_xll.IMDP("FX",$H18,"매도고가"))</f>
        <v>151.75</v>
      </c>
      <c r="AB18" s="22">
        <f>IF($CD$4=15,"",_xll.IMDP("FX",$H18,"매도저가"))</f>
        <v>148.16999999999999</v>
      </c>
      <c r="AC18" s="5"/>
      <c r="AD18" s="25">
        <f>IF(_xll.IMDP("FX",$D18,$D$5)="...","",_xll.IMDP("FX",$D18,$D$5))</f>
        <v>-1.24</v>
      </c>
      <c r="AE18" s="26">
        <f t="shared" si="9"/>
        <v>-0.55000000000000004</v>
      </c>
      <c r="AF18" s="25">
        <f>IFERROR(_xll.IMDP("FX",$D18,$E$5),"")</f>
        <v>0.14000000000000001</v>
      </c>
      <c r="AG18" s="27">
        <f>IFERROR(_xll.IMDP("FX",$C18,$G$5),"")</f>
        <v>8.43</v>
      </c>
      <c r="BX18" s="46">
        <v>45607</v>
      </c>
      <c r="BY18" s="31">
        <v>44207</v>
      </c>
      <c r="CC18" s="6" t="s">
        <v>126</v>
      </c>
      <c r="CD18" s="6" t="s">
        <v>126</v>
      </c>
      <c r="CE18" s="6" t="s">
        <v>243</v>
      </c>
      <c r="CG18" s="6" t="s">
        <v>111</v>
      </c>
      <c r="CJ18" s="6" t="s">
        <v>14</v>
      </c>
      <c r="CK18" s="6" t="s">
        <v>14</v>
      </c>
      <c r="CL18" s="6" t="s">
        <v>139</v>
      </c>
      <c r="CM18" s="6" t="s">
        <v>79</v>
      </c>
      <c r="CP18" s="31">
        <v>43720</v>
      </c>
      <c r="CQ18" s="6">
        <v>24.94</v>
      </c>
      <c r="CR18" s="6">
        <v>25.14</v>
      </c>
      <c r="CS18" s="6">
        <f t="shared" si="15"/>
        <v>25.04</v>
      </c>
      <c r="CT18" s="6">
        <v>1.1066</v>
      </c>
      <c r="CW18" s="31">
        <f t="shared" si="16"/>
        <v>43720</v>
      </c>
      <c r="CX18" s="6">
        <f t="shared" si="11"/>
        <v>24.94</v>
      </c>
      <c r="CY18" s="6">
        <f t="shared" si="12"/>
        <v>25.14</v>
      </c>
      <c r="CZ18" s="6">
        <f t="shared" si="13"/>
        <v>25.04</v>
      </c>
      <c r="DA18" s="6">
        <f t="shared" si="14"/>
        <v>1.1066</v>
      </c>
      <c r="DC18" s="6" t="s">
        <v>104</v>
      </c>
      <c r="DD18" s="6" t="str">
        <f>$H$15</f>
        <v>EURUSD03M</v>
      </c>
      <c r="DE18" s="6">
        <f>_xll.IMDP("FX",$DD18,$D$5)</f>
        <v>73.47</v>
      </c>
      <c r="DF18" s="6">
        <f t="shared" si="21"/>
        <v>73.62</v>
      </c>
      <c r="DG18" s="6">
        <f>_xll.IMDP("FX",$DD18,$E$5)</f>
        <v>73.77</v>
      </c>
      <c r="DH18" s="6">
        <f>_xll.IMDP("FX",$CI$6,$DH$13)</f>
        <v>20190918</v>
      </c>
    </row>
    <row r="19" spans="1:112" ht="15" customHeight="1" x14ac:dyDescent="0.15">
      <c r="A19" s="1"/>
      <c r="B19" s="17">
        <v>14</v>
      </c>
      <c r="C19" s="33" t="str">
        <f t="shared" si="1"/>
        <v>EURNOK</v>
      </c>
      <c r="D19" s="35" t="str">
        <f t="shared" si="10"/>
        <v>EURNOKON</v>
      </c>
      <c r="E19" s="33">
        <f>_xll.IMDP("FX",$H19,"일자")</f>
        <v>20190918</v>
      </c>
      <c r="F19" s="44">
        <f t="shared" si="3"/>
        <v>43726</v>
      </c>
      <c r="G19" s="33" t="str">
        <f>IF($CC$4=15,TEXT(_xll.IMDP("FX",$H19,"체결시간"),"000000"),TEXT(_xll.IMDP("FX",$H19,"시간"),"000000"))</f>
        <v>104631</v>
      </c>
      <c r="H19" s="35" t="str">
        <f t="shared" si="4"/>
        <v>EURUSD07M</v>
      </c>
      <c r="I19" s="36" t="str">
        <f t="shared" si="5"/>
        <v>07M</v>
      </c>
      <c r="J19" s="34" t="s">
        <v>205</v>
      </c>
      <c r="K19" s="14" t="s">
        <v>193</v>
      </c>
      <c r="L19" s="41">
        <f t="shared" ca="1" si="17"/>
        <v>43728</v>
      </c>
      <c r="M19" s="41">
        <f t="shared" ca="1" si="18"/>
        <v>43941</v>
      </c>
      <c r="N19" s="41">
        <f t="shared" ca="1" si="19"/>
        <v>43728</v>
      </c>
      <c r="O19" s="41">
        <f t="shared" ca="1" si="20"/>
        <v>43941</v>
      </c>
      <c r="P19" s="2" t="str">
        <f t="shared" si="6"/>
        <v>10:46:31</v>
      </c>
      <c r="Q19" s="21">
        <f>IF($CD$4=15,"",IFERROR(_xll.IMDP("FX",$H19,"BidForward"),""))</f>
        <v>1.12402</v>
      </c>
      <c r="R19" s="21">
        <f>IF($E19="...","",_xll.IMDP("FX",$H19,"매입"))</f>
        <v>172.86</v>
      </c>
      <c r="S19" s="21">
        <f t="shared" si="7"/>
        <v>1.12405</v>
      </c>
      <c r="T19" s="21">
        <f t="shared" si="8"/>
        <v>174.61</v>
      </c>
      <c r="U19" s="21">
        <f>IF($CD$4=15,"",_xll.IMDP("FX",$H19,"AskForward"))</f>
        <v>1.12408</v>
      </c>
      <c r="V19" s="21">
        <f>_xll.IMDP("FX",$H19,"매도")</f>
        <v>176.36</v>
      </c>
      <c r="W19" s="21">
        <f>IF($CD$4=15,"",_xll.IMDP("FX",$H19,"매입시가"))</f>
        <v>172.1</v>
      </c>
      <c r="X19" s="21">
        <f>IF($CD$4=15,"",_xll.IMDP("FX",$H19,"매입고가"))</f>
        <v>175.57</v>
      </c>
      <c r="Y19" s="21">
        <f>IF($CD$4=15,"",_xll.IMDP("FX",$H19,"매입저가"))</f>
        <v>169.7</v>
      </c>
      <c r="Z19" s="21">
        <f>IF($CD$4=15,"",_xll.IMDP("FX",$H19,"매도시가"))</f>
        <v>175.6</v>
      </c>
      <c r="AA19" s="21">
        <f>IF($CD$4=15,"",_xll.IMDP("FX",$H19,"매도고가"))</f>
        <v>179.07</v>
      </c>
      <c r="AB19" s="22">
        <f>IF($CD$4=15,"",_xll.IMDP("FX",$H19,"매도저가"))</f>
        <v>173.19</v>
      </c>
      <c r="AC19" s="5"/>
      <c r="AD19" s="25">
        <f>IF(_xll.IMDP("FX",$D19,$D$5)="...","",_xll.IMDP("FX",$D19,$D$5))</f>
        <v>1.96</v>
      </c>
      <c r="AE19" s="26">
        <f t="shared" si="9"/>
        <v>3.63</v>
      </c>
      <c r="AF19" s="25">
        <f>IFERROR(_xll.IMDP("FX",$D19,$E$5),"")</f>
        <v>5.3</v>
      </c>
      <c r="AG19" s="27">
        <f>IFERROR(_xll.IMDP("FX",$C19,$G$5),"")</f>
        <v>9.8774999999999995</v>
      </c>
      <c r="BX19" s="46">
        <v>45943</v>
      </c>
      <c r="BY19" s="31">
        <v>44204</v>
      </c>
      <c r="CC19" s="6" t="s">
        <v>183</v>
      </c>
      <c r="CD19" s="6" t="str">
        <f>IF($CA$4=1,"_"&amp;"SMBCC",$CC$19)</f>
        <v>KRW</v>
      </c>
      <c r="CE19" s="6" t="s">
        <v>244</v>
      </c>
      <c r="CG19" s="6" t="s">
        <v>112</v>
      </c>
      <c r="CJ19" s="6" t="s">
        <v>15</v>
      </c>
      <c r="CK19" s="6" t="s">
        <v>15</v>
      </c>
      <c r="CL19" s="6" t="s">
        <v>140</v>
      </c>
      <c r="CM19" s="6" t="s">
        <v>80</v>
      </c>
      <c r="CP19" s="31">
        <v>43719</v>
      </c>
      <c r="CQ19" s="6">
        <v>27.25</v>
      </c>
      <c r="CR19" s="6">
        <v>27.45</v>
      </c>
      <c r="CS19" s="6">
        <f t="shared" si="15"/>
        <v>27.35</v>
      </c>
      <c r="CT19" s="6">
        <v>1.10104</v>
      </c>
      <c r="CW19" s="31">
        <f t="shared" si="16"/>
        <v>43719</v>
      </c>
      <c r="CX19" s="6">
        <f t="shared" si="11"/>
        <v>27.25</v>
      </c>
      <c r="CY19" s="6">
        <f t="shared" si="12"/>
        <v>27.45</v>
      </c>
      <c r="CZ19" s="6">
        <f t="shared" si="13"/>
        <v>27.35</v>
      </c>
      <c r="DA19" s="6">
        <f t="shared" si="14"/>
        <v>1.10104</v>
      </c>
      <c r="DC19" s="6" t="s">
        <v>105</v>
      </c>
      <c r="DD19" s="6" t="str">
        <f>$H$18</f>
        <v>EURUSD06M</v>
      </c>
      <c r="DE19" s="6">
        <f>_xll.IMDP("FX",$DD19,$D$5)</f>
        <v>150.03</v>
      </c>
      <c r="DF19" s="6">
        <f t="shared" si="21"/>
        <v>150.20499999999998</v>
      </c>
      <c r="DG19" s="6">
        <f>_xll.IMDP("FX",$DD19,$E$5)</f>
        <v>150.38</v>
      </c>
      <c r="DH19" s="6">
        <f>_xll.IMDP("FX",$CI$6,$DH$13)</f>
        <v>20190918</v>
      </c>
    </row>
    <row r="20" spans="1:112" ht="15" customHeight="1" x14ac:dyDescent="0.15">
      <c r="A20" s="1"/>
      <c r="B20" s="17">
        <v>15</v>
      </c>
      <c r="C20" s="33" t="str">
        <f t="shared" si="1"/>
        <v>EURNZD</v>
      </c>
      <c r="D20" s="35" t="str">
        <f t="shared" si="10"/>
        <v>EURNZDON</v>
      </c>
      <c r="E20" s="33">
        <f>_xll.IMDP("FX",$H20,"일자")</f>
        <v>20190918</v>
      </c>
      <c r="F20" s="44">
        <f t="shared" si="3"/>
        <v>43726</v>
      </c>
      <c r="G20" s="33" t="str">
        <f>IF($CC$4=15,TEXT(_xll.IMDP("FX",$H20,"체결시간"),"000000"),TEXT(_xll.IMDP("FX",$H20,"시간"),"000000"))</f>
        <v>104637</v>
      </c>
      <c r="H20" s="35" t="str">
        <f t="shared" si="4"/>
        <v>EURUSD08M</v>
      </c>
      <c r="I20" s="36" t="str">
        <f t="shared" si="5"/>
        <v>08M</v>
      </c>
      <c r="J20" s="34" t="s">
        <v>206</v>
      </c>
      <c r="K20" s="14" t="s">
        <v>194</v>
      </c>
      <c r="L20" s="41">
        <f t="shared" ca="1" si="17"/>
        <v>43728</v>
      </c>
      <c r="M20" s="41">
        <f t="shared" ca="1" si="18"/>
        <v>43971</v>
      </c>
      <c r="N20" s="41">
        <f t="shared" ca="1" si="19"/>
        <v>43728</v>
      </c>
      <c r="O20" s="41">
        <f t="shared" ca="1" si="20"/>
        <v>43971</v>
      </c>
      <c r="P20" s="2" t="str">
        <f t="shared" si="6"/>
        <v>10:46:37</v>
      </c>
      <c r="Q20" s="21">
        <f>IF($CD$4=15,"",IFERROR(_xll.IMDP("FX",$H20,"BidForward"),""))</f>
        <v>1.12616</v>
      </c>
      <c r="R20" s="21">
        <f>IF($E20="...","",_xll.IMDP("FX",$H20,"매입"))</f>
        <v>192.44</v>
      </c>
      <c r="S20" s="21">
        <f t="shared" si="7"/>
        <v>1.1262750000000001</v>
      </c>
      <c r="T20" s="21">
        <f t="shared" si="8"/>
        <v>193.54</v>
      </c>
      <c r="U20" s="21">
        <f>IF($CD$4=15,"",_xll.IMDP("FX",$H20,"AskForward"))</f>
        <v>1.12639</v>
      </c>
      <c r="V20" s="21">
        <f>_xll.IMDP("FX",$H20,"매도")</f>
        <v>194.64</v>
      </c>
      <c r="W20" s="21">
        <f>IF($CD$4=15,"",_xll.IMDP("FX",$H20,"매입시가"))</f>
        <v>193.19</v>
      </c>
      <c r="X20" s="21">
        <f>IF($CD$4=15,"",_xll.IMDP("FX",$H20,"매입고가"))</f>
        <v>196.02</v>
      </c>
      <c r="Y20" s="21">
        <f>IF($CD$4=15,"",_xll.IMDP("FX",$H20,"매입저가"))</f>
        <v>190.71</v>
      </c>
      <c r="Z20" s="21">
        <f>IF($CD$4=15,"",_xll.IMDP("FX",$H20,"매도시가"))</f>
        <v>195.39</v>
      </c>
      <c r="AA20" s="21">
        <f>IF($CD$4=15,"",_xll.IMDP("FX",$H20,"매도고가"))</f>
        <v>199.1</v>
      </c>
      <c r="AB20" s="22">
        <f>IF($CD$4=15,"",_xll.IMDP("FX",$H20,"매도저가"))</f>
        <v>192.91</v>
      </c>
      <c r="AC20" s="5"/>
      <c r="AD20" s="25">
        <f>IF(_xll.IMDP("FX",$D20,$D$5)="...","",_xll.IMDP("FX",$D20,$D$5))</f>
        <v>0.99</v>
      </c>
      <c r="AE20" s="26">
        <f t="shared" si="9"/>
        <v>1.175</v>
      </c>
      <c r="AF20" s="25">
        <f>IFERROR(_xll.IMDP("FX",$D20,$E$5),"")</f>
        <v>1.36</v>
      </c>
      <c r="AG20" s="27">
        <f>IFERROR(_xll.IMDP("FX",$C20,$G$5),"")</f>
        <v>1.74</v>
      </c>
      <c r="BX20" s="46">
        <v>45972</v>
      </c>
      <c r="BY20" s="31">
        <v>44203</v>
      </c>
      <c r="CC20" s="6" t="s">
        <v>127</v>
      </c>
      <c r="CD20" s="6" t="s">
        <v>127</v>
      </c>
      <c r="CE20" s="6" t="s">
        <v>245</v>
      </c>
      <c r="CG20" s="6" t="s">
        <v>80</v>
      </c>
      <c r="CJ20" s="6" t="s">
        <v>16</v>
      </c>
      <c r="CK20" s="6" t="s">
        <v>16</v>
      </c>
      <c r="CL20" s="6" t="s">
        <v>141</v>
      </c>
      <c r="CM20" s="6" t="s">
        <v>81</v>
      </c>
      <c r="CP20" s="31">
        <v>43718</v>
      </c>
      <c r="CQ20" s="6">
        <v>28.6</v>
      </c>
      <c r="CR20" s="6">
        <v>28.8</v>
      </c>
      <c r="CS20" s="6">
        <f t="shared" si="15"/>
        <v>28.700000000000003</v>
      </c>
      <c r="CT20" s="6">
        <v>1.10433</v>
      </c>
      <c r="CW20" s="31">
        <f t="shared" si="16"/>
        <v>43718</v>
      </c>
      <c r="CX20" s="6">
        <f t="shared" si="11"/>
        <v>28.6</v>
      </c>
      <c r="CY20" s="6">
        <f t="shared" si="12"/>
        <v>28.8</v>
      </c>
      <c r="CZ20" s="6">
        <f t="shared" si="13"/>
        <v>28.700000000000003</v>
      </c>
      <c r="DA20" s="6">
        <f t="shared" si="14"/>
        <v>1.10433</v>
      </c>
      <c r="DC20" s="6" t="s">
        <v>100</v>
      </c>
      <c r="DD20" s="6" t="str">
        <f>H24</f>
        <v>EURUSD12M</v>
      </c>
      <c r="DE20" s="6">
        <f>_xll.IMDP("FX",$DD20,$D$5)</f>
        <v>285.25</v>
      </c>
      <c r="DF20" s="6">
        <f t="shared" si="21"/>
        <v>285.5</v>
      </c>
      <c r="DG20" s="6">
        <f>_xll.IMDP("FX",$DD20,$E$5)</f>
        <v>285.75</v>
      </c>
      <c r="DH20" s="6">
        <f>_xll.IMDP("FX",$CI$6,$DH$13)</f>
        <v>20190918</v>
      </c>
    </row>
    <row r="21" spans="1:112" ht="15" customHeight="1" x14ac:dyDescent="0.15">
      <c r="A21" s="1"/>
      <c r="B21" s="17">
        <v>16</v>
      </c>
      <c r="C21" s="33" t="str">
        <f t="shared" si="1"/>
        <v>EURPLN</v>
      </c>
      <c r="D21" s="35" t="str">
        <f t="shared" si="10"/>
        <v>EURPLNON</v>
      </c>
      <c r="E21" s="33">
        <f>_xll.IMDP("FX",$H21,"일자")</f>
        <v>20190918</v>
      </c>
      <c r="F21" s="44">
        <f t="shared" si="3"/>
        <v>43726</v>
      </c>
      <c r="G21" s="33" t="str">
        <f>IF($CC$4=15,TEXT(_xll.IMDP("FX",$H21,"체결시간"),"000000"),TEXT(_xll.IMDP("FX",$H21,"시간"),"000000"))</f>
        <v>104639</v>
      </c>
      <c r="H21" s="35" t="str">
        <f t="shared" si="4"/>
        <v>EURUSD09M</v>
      </c>
      <c r="I21" s="36" t="str">
        <f t="shared" si="5"/>
        <v>09M</v>
      </c>
      <c r="J21" s="34" t="s">
        <v>207</v>
      </c>
      <c r="K21" s="14" t="s">
        <v>195</v>
      </c>
      <c r="L21" s="41">
        <f t="shared" ca="1" si="17"/>
        <v>43728</v>
      </c>
      <c r="M21" s="41">
        <f t="shared" ca="1" si="18"/>
        <v>44004</v>
      </c>
      <c r="N21" s="41">
        <f t="shared" ca="1" si="19"/>
        <v>43728</v>
      </c>
      <c r="O21" s="41">
        <f t="shared" ca="1" si="20"/>
        <v>44004</v>
      </c>
      <c r="P21" s="2" t="str">
        <f t="shared" si="6"/>
        <v>10:46:39</v>
      </c>
      <c r="Q21" s="21">
        <f>IF($CD$4=15,"",IFERROR(_xll.IMDP("FX",$H21,"BidForward"),""))</f>
        <v>1.12845</v>
      </c>
      <c r="R21" s="21">
        <f>IF($E21="...","",_xll.IMDP("FX",$H21,"매입"))</f>
        <v>216.62</v>
      </c>
      <c r="S21" s="21">
        <f t="shared" si="7"/>
        <v>1.1286149999999999</v>
      </c>
      <c r="T21" s="21">
        <f t="shared" si="8"/>
        <v>217.87</v>
      </c>
      <c r="U21" s="21">
        <f>IF($CD$4=15,"",_xll.IMDP("FX",$H21,"AskForward"))</f>
        <v>1.1287799999999999</v>
      </c>
      <c r="V21" s="21">
        <f>_xll.IMDP("FX",$H21,"매도")</f>
        <v>219.12</v>
      </c>
      <c r="W21" s="21">
        <f>IF($CD$4=15,"",_xll.IMDP("FX",$H21,"매입시가"))</f>
        <v>215.27</v>
      </c>
      <c r="X21" s="21">
        <f>IF($CD$4=15,"",_xll.IMDP("FX",$H21,"매입고가"))</f>
        <v>218.98</v>
      </c>
      <c r="Y21" s="21">
        <f>IF($CD$4=15,"",_xll.IMDP("FX",$H21,"매입저가"))</f>
        <v>214.48</v>
      </c>
      <c r="Z21" s="21">
        <f>IF($CD$4=15,"",_xll.IMDP("FX",$H21,"매도시가"))</f>
        <v>219.27</v>
      </c>
      <c r="AA21" s="21">
        <f>IF($CD$4=15,"",_xll.IMDP("FX",$H21,"매도고가"))</f>
        <v>222.8</v>
      </c>
      <c r="AB21" s="22">
        <f>IF($CD$4=15,"",_xll.IMDP("FX",$H21,"매도저가"))</f>
        <v>216.98</v>
      </c>
      <c r="AC21" s="5"/>
      <c r="AD21" s="25">
        <f>IF(_xll.IMDP("FX",$D21,$D$5)="...","",_xll.IMDP("FX",$D21,$D$5))</f>
        <v>1.75</v>
      </c>
      <c r="AE21" s="26">
        <f t="shared" si="9"/>
        <v>3.07</v>
      </c>
      <c r="AF21" s="25">
        <f>IFERROR(_xll.IMDP("FX",$D21,$E$5),"")</f>
        <v>4.3899999999999997</v>
      </c>
      <c r="AG21" s="27">
        <f>IFERROR(_xll.IMDP("FX",$C21,$G$5),"")</f>
        <v>4.3346999999999998</v>
      </c>
      <c r="BX21" s="46">
        <v>46307</v>
      </c>
      <c r="BY21" s="31">
        <v>44202</v>
      </c>
      <c r="CC21" s="6" t="s">
        <v>128</v>
      </c>
      <c r="CD21" s="6" t="s">
        <v>128</v>
      </c>
      <c r="CE21" s="40" t="s">
        <v>247</v>
      </c>
      <c r="CG21" s="6" t="s">
        <v>81</v>
      </c>
      <c r="CJ21" s="6" t="s">
        <v>17</v>
      </c>
      <c r="CK21" s="6" t="s">
        <v>17</v>
      </c>
      <c r="CL21" s="6" t="s">
        <v>142</v>
      </c>
      <c r="CM21" s="6" t="s">
        <v>82</v>
      </c>
      <c r="CP21" s="31">
        <v>43717</v>
      </c>
      <c r="CQ21" s="6">
        <v>26.27</v>
      </c>
      <c r="CR21" s="6">
        <v>26.47</v>
      </c>
      <c r="CS21" s="6">
        <f t="shared" si="15"/>
        <v>26.369999999999997</v>
      </c>
      <c r="CT21" s="6">
        <v>1.1049</v>
      </c>
      <c r="CW21" s="31">
        <f t="shared" si="16"/>
        <v>43717</v>
      </c>
      <c r="CX21" s="6">
        <f t="shared" si="11"/>
        <v>26.27</v>
      </c>
      <c r="CY21" s="6">
        <f t="shared" si="12"/>
        <v>26.47</v>
      </c>
      <c r="CZ21" s="6">
        <f t="shared" si="13"/>
        <v>26.369999999999997</v>
      </c>
      <c r="DA21" s="6">
        <f t="shared" si="14"/>
        <v>1.1049</v>
      </c>
    </row>
    <row r="22" spans="1:112" ht="15" customHeight="1" x14ac:dyDescent="0.15">
      <c r="A22" s="1"/>
      <c r="B22" s="17">
        <v>19</v>
      </c>
      <c r="C22" s="33" t="str">
        <f t="shared" si="1"/>
        <v>EURSGD</v>
      </c>
      <c r="D22" s="35" t="str">
        <f t="shared" si="10"/>
        <v>EURSGDON</v>
      </c>
      <c r="E22" s="33">
        <f>_xll.IMDP("FX",$H22,"일자")</f>
        <v>20190918</v>
      </c>
      <c r="F22" s="44">
        <f t="shared" si="3"/>
        <v>43726</v>
      </c>
      <c r="G22" s="33" t="str">
        <f>IF($CC$4=15,TEXT(_xll.IMDP("FX",$H22,"체결시간"),"000000"),TEXT(_xll.IMDP("FX",$H22,"시간"),"000000"))</f>
        <v>104637</v>
      </c>
      <c r="H22" s="35" t="str">
        <f t="shared" si="4"/>
        <v>EURUSD10M</v>
      </c>
      <c r="I22" s="36" t="str">
        <f t="shared" si="5"/>
        <v>10M</v>
      </c>
      <c r="J22" s="34" t="s">
        <v>80</v>
      </c>
      <c r="K22" s="14" t="s">
        <v>80</v>
      </c>
      <c r="L22" s="41">
        <f t="shared" ca="1" si="17"/>
        <v>43728</v>
      </c>
      <c r="M22" s="41">
        <f t="shared" ca="1" si="18"/>
        <v>44032</v>
      </c>
      <c r="N22" s="41">
        <f t="shared" ca="1" si="19"/>
        <v>43728</v>
      </c>
      <c r="O22" s="41">
        <f t="shared" ca="1" si="20"/>
        <v>44032</v>
      </c>
      <c r="P22" s="2" t="str">
        <f t="shared" si="6"/>
        <v>10:46:37</v>
      </c>
      <c r="Q22" s="21">
        <f>IF($CD$4=15,"",IFERROR(_xll.IMDP("FX",$H22,"BidForward"),""))</f>
        <v>1.1306099999999999</v>
      </c>
      <c r="R22" s="21">
        <f>IF($E22="...","",_xll.IMDP("FX",$H22,"매입"))</f>
        <v>239.2</v>
      </c>
      <c r="S22" s="21">
        <f t="shared" si="7"/>
        <v>1.130865</v>
      </c>
      <c r="T22" s="21">
        <f t="shared" si="8"/>
        <v>241.7</v>
      </c>
      <c r="U22" s="21">
        <f>IF($CD$4=15,"",_xll.IMDP("FX",$H22,"AskForward"))</f>
        <v>1.1311199999999999</v>
      </c>
      <c r="V22" s="21">
        <f>_xll.IMDP("FX",$H22,"매도")</f>
        <v>244.2</v>
      </c>
      <c r="W22" s="21">
        <f>IF($CD$4=15,"",_xll.IMDP("FX",$H22,"매입시가"))</f>
        <v>237.61</v>
      </c>
      <c r="X22" s="21">
        <f>IF($CD$4=15,"",_xll.IMDP("FX",$H22,"매입고가"))</f>
        <v>240.72</v>
      </c>
      <c r="Y22" s="21">
        <f>IF($CD$4=15,"",_xll.IMDP("FX",$H22,"매입저가"))</f>
        <v>234.7</v>
      </c>
      <c r="Z22" s="21">
        <f>IF($CD$4=15,"",_xll.IMDP("FX",$H22,"매도시가"))</f>
        <v>242.61</v>
      </c>
      <c r="AA22" s="21">
        <f>IF($CD$4=15,"",_xll.IMDP("FX",$H22,"매도고가"))</f>
        <v>245.05</v>
      </c>
      <c r="AB22" s="22">
        <f>IF($CD$4=15,"",_xll.IMDP("FX",$H22,"매도저가"))</f>
        <v>239.35</v>
      </c>
      <c r="AC22" s="5"/>
      <c r="AD22" s="25">
        <f>IF(_xll.IMDP("FX",$D22,$D$5)="...","",_xll.IMDP("FX",$D22,$D$5))</f>
        <v>0.96</v>
      </c>
      <c r="AE22" s="26">
        <f t="shared" si="9"/>
        <v>2.1349999999999998</v>
      </c>
      <c r="AF22" s="25">
        <f>IFERROR(_xll.IMDP("FX",$D22,$E$5),"")</f>
        <v>3.31</v>
      </c>
      <c r="AG22" s="27">
        <f>IFERROR(_xll.IMDP("FX",$C22,$G$5),"")</f>
        <v>1.5208999999999999</v>
      </c>
      <c r="BX22" s="46">
        <v>46337</v>
      </c>
      <c r="BY22" s="31">
        <v>44201</v>
      </c>
      <c r="CC22" s="6" t="s">
        <v>129</v>
      </c>
      <c r="CD22" s="6" t="s">
        <v>129</v>
      </c>
      <c r="CE22" s="6" t="s">
        <v>233</v>
      </c>
      <c r="CG22" s="6" t="s">
        <v>82</v>
      </c>
      <c r="CH22" s="6" t="s">
        <v>221</v>
      </c>
      <c r="CJ22" s="6" t="s">
        <v>18</v>
      </c>
      <c r="CK22" s="6" t="s">
        <v>18</v>
      </c>
      <c r="CL22" s="6" t="s">
        <v>143</v>
      </c>
      <c r="CM22" s="6" t="s">
        <v>83</v>
      </c>
      <c r="CP22" s="31">
        <v>43716</v>
      </c>
      <c r="CQ22" s="6">
        <v>25.78</v>
      </c>
      <c r="CR22" s="6">
        <v>25.98</v>
      </c>
      <c r="CS22" s="6">
        <f t="shared" si="15"/>
        <v>25.880000000000003</v>
      </c>
      <c r="CT22" s="6">
        <v>1.1028899999999999</v>
      </c>
      <c r="CW22" s="31">
        <f t="shared" si="16"/>
        <v>43716</v>
      </c>
      <c r="CX22" s="6">
        <f t="shared" si="11"/>
        <v>25.78</v>
      </c>
      <c r="CY22" s="6">
        <f t="shared" si="12"/>
        <v>25.98</v>
      </c>
      <c r="CZ22" s="6">
        <f t="shared" si="13"/>
        <v>25.880000000000003</v>
      </c>
      <c r="DA22" s="6">
        <f t="shared" si="14"/>
        <v>1.1028899999999999</v>
      </c>
    </row>
    <row r="23" spans="1:112" ht="15" customHeight="1" x14ac:dyDescent="0.15">
      <c r="A23"/>
      <c r="B23" s="17">
        <v>20</v>
      </c>
      <c r="C23" s="33" t="str">
        <f t="shared" si="1"/>
        <v>EURUSD</v>
      </c>
      <c r="D23" s="35" t="str">
        <f t="shared" si="10"/>
        <v>EURUSDON</v>
      </c>
      <c r="E23" s="33">
        <f>_xll.IMDP("FX",$H23,"일자")</f>
        <v>20190918</v>
      </c>
      <c r="F23" s="44">
        <f t="shared" si="3"/>
        <v>43726</v>
      </c>
      <c r="G23" s="33" t="str">
        <f>IF($CC$4=15,TEXT(_xll.IMDP("FX",$H23,"체결시간"),"000000"),TEXT(_xll.IMDP("FX",$H23,"시간"),"000000"))</f>
        <v>104640</v>
      </c>
      <c r="H23" s="35" t="str">
        <f t="shared" si="4"/>
        <v>EURUSD11M</v>
      </c>
      <c r="I23" s="36" t="str">
        <f t="shared" si="5"/>
        <v>11M</v>
      </c>
      <c r="J23" s="34" t="s">
        <v>81</v>
      </c>
      <c r="K23" s="14" t="s">
        <v>81</v>
      </c>
      <c r="L23" s="41">
        <f t="shared" ca="1" si="17"/>
        <v>43728</v>
      </c>
      <c r="M23" s="41">
        <f t="shared" ca="1" si="18"/>
        <v>44063</v>
      </c>
      <c r="N23" s="41">
        <f t="shared" ca="1" si="19"/>
        <v>43728</v>
      </c>
      <c r="O23" s="41">
        <f t="shared" ca="1" si="20"/>
        <v>44063</v>
      </c>
      <c r="P23" s="2" t="str">
        <f t="shared" si="6"/>
        <v>10:46:40</v>
      </c>
      <c r="Q23" s="21">
        <f>IF($CD$4=15,"",IFERROR(_xll.IMDP("FX",$H23,"BidForward"),""))</f>
        <v>1.13283</v>
      </c>
      <c r="R23" s="21">
        <f>IF($E23="...","",_xll.IMDP("FX",$H23,"매입"))</f>
        <v>262.23</v>
      </c>
      <c r="S23" s="21">
        <f t="shared" si="7"/>
        <v>1.1331099999999998</v>
      </c>
      <c r="T23" s="21">
        <f t="shared" si="8"/>
        <v>264.98</v>
      </c>
      <c r="U23" s="21">
        <f>IF($CD$4=15,"",_xll.IMDP("FX",$H23,"AskForward"))</f>
        <v>1.1333899999999999</v>
      </c>
      <c r="V23" s="21">
        <f>_xll.IMDP("FX",$H23,"매도")</f>
        <v>267.73</v>
      </c>
      <c r="W23" s="21">
        <f>IF($CD$4=15,"",_xll.IMDP("FX",$H23,"매입시가"))</f>
        <v>258.66000000000003</v>
      </c>
      <c r="X23" s="21">
        <f>IF($CD$4=15,"",_xll.IMDP("FX",$H23,"매입고가"))</f>
        <v>262.3</v>
      </c>
      <c r="Y23" s="21">
        <f>IF($CD$4=15,"",_xll.IMDP("FX",$H23,"매입저가"))</f>
        <v>256</v>
      </c>
      <c r="Z23" s="21">
        <f>IF($CD$4=15,"",_xll.IMDP("FX",$H23,"매도시가"))</f>
        <v>264.16000000000003</v>
      </c>
      <c r="AA23" s="21">
        <f>IF($CD$4=15,"",_xll.IMDP("FX",$H23,"매도고가"))</f>
        <v>267.8</v>
      </c>
      <c r="AB23" s="22">
        <f>IF($CD$4=15,"",_xll.IMDP("FX",$H23,"매도저가"))</f>
        <v>261.41000000000003</v>
      </c>
      <c r="AC23" s="5"/>
      <c r="AD23" s="25">
        <f>IF(_xll.IMDP("FX",$D23,$D$5)="...","",_xll.IMDP("FX",$D23,$D$5))</f>
        <v>1.01</v>
      </c>
      <c r="AE23" s="26">
        <f t="shared" si="9"/>
        <v>1.06</v>
      </c>
      <c r="AF23" s="25">
        <f>IFERROR(_xll.IMDP("FX",$D23,$E$5),"")</f>
        <v>1.1100000000000001</v>
      </c>
      <c r="AG23" s="27">
        <f>IFERROR(_xll.IMDP("FX",$C23,$G$5),"")</f>
        <v>1.1070800000000001</v>
      </c>
      <c r="BX23" s="46">
        <v>46671</v>
      </c>
      <c r="BY23" s="31">
        <v>44200</v>
      </c>
      <c r="CC23" s="6" t="s">
        <v>130</v>
      </c>
      <c r="CD23" s="6" t="s">
        <v>130</v>
      </c>
      <c r="CE23" s="6" t="s">
        <v>234</v>
      </c>
      <c r="CG23" s="6" t="s">
        <v>83</v>
      </c>
      <c r="CJ23" s="6" t="s">
        <v>19</v>
      </c>
      <c r="CK23" s="6" t="s">
        <v>19</v>
      </c>
      <c r="CL23" s="6" t="s">
        <v>144</v>
      </c>
      <c r="CM23" s="6" t="s">
        <v>84</v>
      </c>
      <c r="CP23" s="31">
        <v>43715</v>
      </c>
      <c r="CQ23" s="6">
        <v>25.78</v>
      </c>
      <c r="CR23" s="6">
        <v>25.98</v>
      </c>
      <c r="CS23" s="6">
        <f t="shared" si="15"/>
        <v>25.880000000000003</v>
      </c>
      <c r="CT23" s="6">
        <v>1.1028899999999999</v>
      </c>
      <c r="CW23" s="31">
        <f t="shared" si="16"/>
        <v>43715</v>
      </c>
      <c r="CX23" s="6">
        <f t="shared" si="11"/>
        <v>25.78</v>
      </c>
      <c r="CY23" s="6">
        <f t="shared" si="12"/>
        <v>25.98</v>
      </c>
      <c r="CZ23" s="6">
        <f t="shared" si="13"/>
        <v>25.880000000000003</v>
      </c>
      <c r="DA23" s="6">
        <f t="shared" si="14"/>
        <v>1.1028899999999999</v>
      </c>
    </row>
    <row r="24" spans="1:112" ht="15" customHeight="1" thickBot="1" x14ac:dyDescent="0.2">
      <c r="A24"/>
      <c r="B24" s="17">
        <v>19</v>
      </c>
      <c r="C24" s="33" t="str">
        <f t="shared" si="1"/>
        <v>EURSGD</v>
      </c>
      <c r="D24" s="35" t="str">
        <f t="shared" si="10"/>
        <v>EURSGDON</v>
      </c>
      <c r="E24" s="33">
        <f>_xll.IMDP("FX",$H24,"일자")</f>
        <v>20190918</v>
      </c>
      <c r="F24" s="44">
        <f t="shared" si="3"/>
        <v>43726</v>
      </c>
      <c r="G24" s="33" t="str">
        <f>IF($CC$4=15,TEXT(_xll.IMDP("FX",$H24,"체결시간"),"000000"),TEXT(_xll.IMDP("FX",$H24,"시간"),"000000"))</f>
        <v>104640</v>
      </c>
      <c r="H24" s="35" t="str">
        <f t="shared" si="4"/>
        <v>EURUSD12M</v>
      </c>
      <c r="I24" s="36" t="str">
        <f t="shared" si="5"/>
        <v>12M</v>
      </c>
      <c r="J24" s="34" t="s">
        <v>208</v>
      </c>
      <c r="K24" s="19" t="s">
        <v>82</v>
      </c>
      <c r="L24" s="42">
        <f ca="1">IFERROR(IF($O$6,IF(IFERROR(MATCH(N24,$BX:$BX,0),FALSE),INDEX($BY:$BY,MATCH(N24+1,$BY:$BY,-1)),N24),N24),"")</f>
        <v>43728</v>
      </c>
      <c r="M24" s="42">
        <f ca="1">IFERROR(IF($O$6,IF(IFERROR(MATCH(O24,$BX:$BX,0),FALSE),INDEX($BY:$BY,MATCH(O24+1,$BY:$BY,-1)),O24),O24),"")</f>
        <v>44095</v>
      </c>
      <c r="N24" s="42">
        <f ca="1">INDEX($BY:$BY,IFERROR(MATCH(F24+2,$BY:$BY,0),MATCH(F24,$BY:$BY,-1)-2))</f>
        <v>43728</v>
      </c>
      <c r="O24" s="42">
        <f ca="1">INDEX($BY:$BY,IFERROR(MATCH(EDATE(L24,12),$BY:$BY,0),MATCH(EDATE(L24,12),$BY:$BY,-1)))</f>
        <v>44095</v>
      </c>
      <c r="P24" s="20" t="str">
        <f t="shared" si="6"/>
        <v>10:46:40</v>
      </c>
      <c r="Q24" s="23">
        <f>IF($CD$4=15,"",IFERROR(_xll.IMDP("FX",$H24,"BidForward"),""))</f>
        <v>1.1350100000000001</v>
      </c>
      <c r="R24" s="23">
        <f>IF($E24="...","",_xll.IMDP("FX",$H24,"매입"))</f>
        <v>285.25</v>
      </c>
      <c r="S24" s="23">
        <f t="shared" si="7"/>
        <v>1.1352450000000001</v>
      </c>
      <c r="T24" s="23">
        <f t="shared" si="8"/>
        <v>285.5</v>
      </c>
      <c r="U24" s="23">
        <f>IF($CD$4=15,"",_xll.IMDP("FX",$H24,"AskForward"))</f>
        <v>1.13548</v>
      </c>
      <c r="V24" s="23">
        <f>_xll.IMDP("FX",$H24,"매도")</f>
        <v>285.75</v>
      </c>
      <c r="W24" s="23">
        <f>IF($CD$4=15,"",_xll.IMDP("FX",$H24,"매입시가"))</f>
        <v>283.38</v>
      </c>
      <c r="X24" s="23">
        <f>IF($CD$4=15,"",_xll.IMDP("FX",$H24,"매입고가"))</f>
        <v>286.24</v>
      </c>
      <c r="Y24" s="23">
        <f>IF($CD$4=15,"",_xll.IMDP("FX",$H24,"매입저가"))</f>
        <v>275.14</v>
      </c>
      <c r="Z24" s="23">
        <f>IF($CD$4=15,"",_xll.IMDP("FX",$H24,"매도시가"))</f>
        <v>287.38</v>
      </c>
      <c r="AA24" s="23">
        <f>IF($CD$4=15,"",_xll.IMDP("FX",$H24,"매도고가"))</f>
        <v>289.18</v>
      </c>
      <c r="AB24" s="24">
        <f>IF($CD$4=15,"",_xll.IMDP("FX",$H24,"매도저가"))</f>
        <v>278.04000000000002</v>
      </c>
      <c r="AC24" s="15"/>
      <c r="AD24" s="28">
        <f>IF(_xll.IMDP("FX",$D24,$D$5)="...","",_xll.IMDP("FX",$D24,$D$5))</f>
        <v>0.96</v>
      </c>
      <c r="AE24" s="29">
        <f t="shared" si="9"/>
        <v>2.1349999999999998</v>
      </c>
      <c r="AF24" s="28">
        <f>IFERROR(_xll.IMDP("FX",$D24,$E$5),"")</f>
        <v>3.31</v>
      </c>
      <c r="AG24" s="30">
        <f>IFERROR(_xll.IMDP("FX",$C24,$G$5),"")</f>
        <v>1.5208999999999999</v>
      </c>
      <c r="BX24" s="46">
        <v>46702</v>
      </c>
      <c r="BY24" s="31">
        <v>44196</v>
      </c>
      <c r="CC24" s="6" t="s">
        <v>138</v>
      </c>
      <c r="CD24" s="6" t="s">
        <v>138</v>
      </c>
      <c r="CE24" s="6" t="s">
        <v>248</v>
      </c>
      <c r="CG24" s="6" t="s">
        <v>84</v>
      </c>
      <c r="CJ24" s="6" t="s">
        <v>20</v>
      </c>
      <c r="CK24" s="6" t="s">
        <v>20</v>
      </c>
      <c r="CL24" s="6" t="s">
        <v>145</v>
      </c>
      <c r="CM24" s="6" t="s">
        <v>85</v>
      </c>
      <c r="CP24" s="31">
        <v>43714</v>
      </c>
      <c r="CQ24" s="6">
        <v>25.94</v>
      </c>
      <c r="CR24" s="6">
        <v>26.14</v>
      </c>
      <c r="CS24" s="6">
        <f t="shared" si="15"/>
        <v>26.04</v>
      </c>
      <c r="CT24" s="6">
        <v>1.1028899999999999</v>
      </c>
      <c r="CW24" s="31">
        <f t="shared" si="16"/>
        <v>43714</v>
      </c>
      <c r="CX24" s="6">
        <f t="shared" si="11"/>
        <v>25.94</v>
      </c>
      <c r="CY24" s="6">
        <f t="shared" si="12"/>
        <v>26.14</v>
      </c>
      <c r="CZ24" s="6">
        <f t="shared" si="13"/>
        <v>26.04</v>
      </c>
      <c r="DA24" s="6">
        <f t="shared" si="14"/>
        <v>1.1028899999999999</v>
      </c>
    </row>
    <row r="25" spans="1:112" ht="12" customHeight="1" x14ac:dyDescent="0.15">
      <c r="A25"/>
      <c r="B25" s="16"/>
      <c r="C25" s="32"/>
      <c r="D25" s="32"/>
      <c r="E25" s="32"/>
      <c r="F25" s="32"/>
      <c r="G25" s="32"/>
      <c r="H25" s="32"/>
      <c r="I25" s="34"/>
      <c r="J25" s="34"/>
      <c r="K25" s="1"/>
      <c r="L25" s="1"/>
      <c r="Q25" s="1"/>
      <c r="R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3"/>
      <c r="AF25" s="3"/>
      <c r="AG25" s="3"/>
      <c r="BX25" s="46">
        <v>47035</v>
      </c>
      <c r="BY25" s="31">
        <v>44195</v>
      </c>
      <c r="CC25" s="6" t="s">
        <v>131</v>
      </c>
      <c r="CD25" s="6" t="s">
        <v>131</v>
      </c>
      <c r="CE25" s="6" t="s">
        <v>249</v>
      </c>
      <c r="CG25" s="6" t="s">
        <v>85</v>
      </c>
      <c r="CJ25" s="6" t="s">
        <v>21</v>
      </c>
      <c r="CK25" s="6" t="s">
        <v>21</v>
      </c>
      <c r="CL25" s="6" t="s">
        <v>86</v>
      </c>
      <c r="CM25" s="6" t="s">
        <v>86</v>
      </c>
      <c r="CP25" s="31">
        <v>43713</v>
      </c>
      <c r="CQ25" s="6">
        <v>26</v>
      </c>
      <c r="CR25" s="6">
        <v>26.2</v>
      </c>
      <c r="CS25" s="6">
        <f t="shared" si="15"/>
        <v>26.1</v>
      </c>
      <c r="CT25" s="6">
        <v>1.10345</v>
      </c>
      <c r="CW25" s="31">
        <f t="shared" si="16"/>
        <v>43713</v>
      </c>
      <c r="CX25" s="6">
        <f t="shared" si="11"/>
        <v>26</v>
      </c>
      <c r="CY25" s="6">
        <f t="shared" si="12"/>
        <v>26.2</v>
      </c>
      <c r="CZ25" s="6">
        <f t="shared" si="13"/>
        <v>26.1</v>
      </c>
      <c r="DA25" s="6">
        <f t="shared" si="14"/>
        <v>1.10345</v>
      </c>
    </row>
    <row r="26" spans="1:112" ht="12" customHeight="1" x14ac:dyDescent="0.15">
      <c r="A26"/>
      <c r="B26" s="16"/>
      <c r="C26" s="32"/>
      <c r="D26" s="32"/>
      <c r="E26" s="32"/>
      <c r="F26" s="32"/>
      <c r="G26" s="32"/>
      <c r="H26" s="43"/>
      <c r="I26" s="34"/>
      <c r="J26" s="34"/>
      <c r="K26" s="8" t="str">
        <f>IF($CD$4=15,"USDKRW",LEFT(H7,6))&amp;" SwapPoint"</f>
        <v>EURUSD SwapPoint</v>
      </c>
      <c r="L26" s="1"/>
      <c r="Q26" s="1"/>
      <c r="R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/>
      <c r="AF26" s="3"/>
      <c r="AG26" s="3"/>
      <c r="BX26" s="46">
        <v>47067</v>
      </c>
      <c r="BY26" s="31">
        <v>44194</v>
      </c>
      <c r="CC26" s="6" t="s">
        <v>132</v>
      </c>
      <c r="CD26" s="6" t="s">
        <v>132</v>
      </c>
      <c r="CE26" s="6" t="s">
        <v>250</v>
      </c>
      <c r="CG26" s="6" t="s">
        <v>86</v>
      </c>
      <c r="CJ26" s="6" t="s">
        <v>22</v>
      </c>
      <c r="CK26" s="6" t="s">
        <v>22</v>
      </c>
      <c r="CL26" s="6" t="s">
        <v>87</v>
      </c>
      <c r="CM26" s="6" t="s">
        <v>87</v>
      </c>
      <c r="CP26" s="31">
        <v>43712</v>
      </c>
      <c r="CQ26" s="6">
        <v>26.99</v>
      </c>
      <c r="CR26" s="6">
        <v>27.19</v>
      </c>
      <c r="CS26" s="6">
        <f t="shared" si="15"/>
        <v>27.09</v>
      </c>
      <c r="CT26" s="6">
        <v>1.1036999999999999</v>
      </c>
      <c r="CW26" s="31">
        <f t="shared" si="16"/>
        <v>43712</v>
      </c>
      <c r="CX26" s="6">
        <f t="shared" si="11"/>
        <v>26.99</v>
      </c>
      <c r="CY26" s="6">
        <f t="shared" si="12"/>
        <v>27.19</v>
      </c>
      <c r="CZ26" s="6">
        <f t="shared" si="13"/>
        <v>27.09</v>
      </c>
      <c r="DA26" s="6">
        <f t="shared" si="14"/>
        <v>1.1036999999999999</v>
      </c>
    </row>
    <row r="27" spans="1:112" ht="12" customHeight="1" x14ac:dyDescent="0.15">
      <c r="A27"/>
      <c r="B27" s="16"/>
      <c r="C27" s="32"/>
      <c r="D27" s="32"/>
      <c r="E27" s="32"/>
      <c r="F27" s="32"/>
      <c r="G27" s="43"/>
      <c r="H27" s="32"/>
      <c r="I27" s="34"/>
      <c r="J27" s="34"/>
      <c r="K27" s="1"/>
      <c r="L27" s="1" t="s">
        <v>210</v>
      </c>
      <c r="Q27" s="1"/>
      <c r="R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/>
      <c r="AF27" s="3"/>
      <c r="AG27" s="3"/>
      <c r="BX27" s="46">
        <v>47068</v>
      </c>
      <c r="BY27" s="31">
        <v>44193</v>
      </c>
      <c r="CC27" s="6" t="s">
        <v>133</v>
      </c>
      <c r="CD27" s="6" t="s">
        <v>133</v>
      </c>
      <c r="CE27" s="6" t="s">
        <v>251</v>
      </c>
      <c r="CG27" s="6" t="s">
        <v>87</v>
      </c>
      <c r="CJ27" s="6" t="s">
        <v>23</v>
      </c>
      <c r="CK27" s="6" t="s">
        <v>23</v>
      </c>
      <c r="CL27" s="6" t="s">
        <v>88</v>
      </c>
      <c r="CM27" s="6" t="s">
        <v>88</v>
      </c>
      <c r="CP27" s="31">
        <v>43711</v>
      </c>
      <c r="CQ27" s="6">
        <v>27.64</v>
      </c>
      <c r="CR27" s="6">
        <v>27.84</v>
      </c>
      <c r="CS27" s="6">
        <f t="shared" si="15"/>
        <v>27.740000000000002</v>
      </c>
      <c r="CT27" s="6">
        <v>1.0973599999999999</v>
      </c>
      <c r="CW27" s="31">
        <f t="shared" si="16"/>
        <v>43711</v>
      </c>
      <c r="CX27" s="6">
        <f t="shared" si="11"/>
        <v>27.64</v>
      </c>
      <c r="CY27" s="6">
        <f t="shared" si="12"/>
        <v>27.84</v>
      </c>
      <c r="CZ27" s="6">
        <f t="shared" si="13"/>
        <v>27.740000000000002</v>
      </c>
      <c r="DA27" s="6">
        <f t="shared" si="14"/>
        <v>1.0973599999999999</v>
      </c>
    </row>
    <row r="28" spans="1:112" ht="12" customHeight="1" x14ac:dyDescent="0.15">
      <c r="A28"/>
      <c r="B28" s="16"/>
      <c r="C28" s="32"/>
      <c r="D28" s="32"/>
      <c r="E28" s="32"/>
      <c r="F28" s="32"/>
      <c r="G28" s="32"/>
      <c r="H28" s="32"/>
      <c r="I28" s="34"/>
      <c r="J28" s="34"/>
      <c r="K28" s="1"/>
      <c r="L28" s="1"/>
      <c r="Q28" s="1"/>
      <c r="R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3"/>
      <c r="AF28" s="3"/>
      <c r="AG28" s="3"/>
      <c r="BX28" s="46">
        <v>47399</v>
      </c>
      <c r="BY28" s="31">
        <v>44189</v>
      </c>
      <c r="CC28" s="6" t="s">
        <v>134</v>
      </c>
      <c r="CD28" s="6" t="s">
        <v>134</v>
      </c>
      <c r="CE28" s="6" t="s">
        <v>252</v>
      </c>
      <c r="CG28" s="6" t="s">
        <v>88</v>
      </c>
      <c r="CJ28" s="6" t="s">
        <v>24</v>
      </c>
      <c r="CK28" s="6" t="s">
        <v>24</v>
      </c>
      <c r="CP28" s="31">
        <v>43710</v>
      </c>
      <c r="CQ28" s="6">
        <v>26</v>
      </c>
      <c r="CR28" s="6">
        <v>26.2</v>
      </c>
      <c r="CS28" s="6">
        <f t="shared" si="15"/>
        <v>26.1</v>
      </c>
      <c r="CT28" s="6">
        <v>1.0969899999999999</v>
      </c>
      <c r="CW28" s="31">
        <f t="shared" si="16"/>
        <v>43710</v>
      </c>
      <c r="CX28" s="6">
        <f t="shared" si="11"/>
        <v>26</v>
      </c>
      <c r="CY28" s="6">
        <f t="shared" si="12"/>
        <v>26.2</v>
      </c>
      <c r="CZ28" s="6">
        <f t="shared" si="13"/>
        <v>26.1</v>
      </c>
      <c r="DA28" s="6">
        <f t="shared" si="14"/>
        <v>1.0969899999999999</v>
      </c>
    </row>
    <row r="29" spans="1:112" ht="12" customHeight="1" x14ac:dyDescent="0.15">
      <c r="A29"/>
      <c r="B29" s="16"/>
      <c r="C29" s="32"/>
      <c r="D29" s="32"/>
      <c r="E29" s="32"/>
      <c r="F29" s="32"/>
      <c r="G29" s="6"/>
      <c r="H29" s="32"/>
      <c r="I29" s="37"/>
      <c r="J29" s="37"/>
      <c r="K29" s="1"/>
      <c r="L29" s="1"/>
      <c r="Q29" s="1"/>
      <c r="R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3"/>
      <c r="AF29" s="3"/>
      <c r="AG29" s="3"/>
      <c r="BX29" s="46">
        <v>47433</v>
      </c>
      <c r="BY29" s="31">
        <v>44188</v>
      </c>
      <c r="CC29" s="6" t="s">
        <v>209</v>
      </c>
      <c r="CD29" s="6" t="s">
        <v>209</v>
      </c>
      <c r="CE29" s="6" t="s">
        <v>252</v>
      </c>
      <c r="CJ29" s="6" t="s">
        <v>25</v>
      </c>
      <c r="CK29" s="6" t="s">
        <v>25</v>
      </c>
      <c r="CP29" s="31">
        <v>43709</v>
      </c>
      <c r="CQ29" s="6">
        <v>25.86</v>
      </c>
      <c r="CR29" s="6">
        <v>26.1</v>
      </c>
      <c r="CS29" s="6">
        <f t="shared" si="15"/>
        <v>25.98</v>
      </c>
      <c r="CT29" s="6">
        <v>1.0989</v>
      </c>
      <c r="CW29" s="31">
        <f t="shared" si="16"/>
        <v>43709</v>
      </c>
      <c r="CX29" s="6">
        <f t="shared" si="11"/>
        <v>25.86</v>
      </c>
      <c r="CY29" s="6">
        <f t="shared" si="12"/>
        <v>26.1</v>
      </c>
      <c r="CZ29" s="6">
        <f t="shared" si="13"/>
        <v>25.98</v>
      </c>
      <c r="DA29" s="6">
        <f t="shared" si="14"/>
        <v>1.0989</v>
      </c>
    </row>
    <row r="30" spans="1:112" ht="12" customHeight="1" x14ac:dyDescent="0.15">
      <c r="A30"/>
      <c r="B30" s="16"/>
      <c r="C30" s="32"/>
      <c r="D30" s="32"/>
      <c r="E30" s="32"/>
      <c r="F30" s="32"/>
      <c r="G30" s="32"/>
      <c r="H30" s="32"/>
      <c r="K30" s="1"/>
      <c r="L30" s="1"/>
      <c r="Q30" s="1"/>
      <c r="R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3"/>
      <c r="AF30" s="3"/>
      <c r="AG30" s="3"/>
      <c r="BX30" s="46">
        <v>47434</v>
      </c>
      <c r="BY30" s="31">
        <v>44187</v>
      </c>
      <c r="CC30" s="6" t="s">
        <v>135</v>
      </c>
      <c r="CD30" s="6" t="s">
        <v>135</v>
      </c>
      <c r="CE30" s="6" t="s">
        <v>253</v>
      </c>
      <c r="CJ30" s="6" t="s">
        <v>26</v>
      </c>
      <c r="CK30" s="6" t="s">
        <v>26</v>
      </c>
      <c r="CP30" s="31">
        <v>43708</v>
      </c>
      <c r="CQ30" s="6">
        <v>25.71</v>
      </c>
      <c r="CR30" s="6">
        <v>25.91</v>
      </c>
      <c r="CS30" s="6">
        <f t="shared" si="15"/>
        <v>25.810000000000002</v>
      </c>
      <c r="CT30" s="6">
        <v>1.0989</v>
      </c>
      <c r="CW30" s="31">
        <f t="shared" si="16"/>
        <v>43708</v>
      </c>
      <c r="CX30" s="6">
        <f t="shared" si="11"/>
        <v>25.71</v>
      </c>
      <c r="CY30" s="6">
        <f t="shared" si="12"/>
        <v>25.91</v>
      </c>
      <c r="CZ30" s="6">
        <f t="shared" si="13"/>
        <v>25.810000000000002</v>
      </c>
      <c r="DA30" s="6">
        <f t="shared" si="14"/>
        <v>1.0989</v>
      </c>
    </row>
    <row r="31" spans="1:112" x14ac:dyDescent="0.15">
      <c r="A31"/>
      <c r="B31" s="16"/>
      <c r="C31" s="32"/>
      <c r="D31" s="32"/>
      <c r="E31" s="39">
        <f>IF((LEFT(H7,3)&amp;RIGHT(H7,3))="USDKRW",1,0)</f>
        <v>0</v>
      </c>
      <c r="F31" s="39"/>
      <c r="G31" s="32"/>
      <c r="H31" s="32"/>
      <c r="I31" s="32"/>
      <c r="J31" s="32"/>
      <c r="K31" s="1"/>
      <c r="L31" s="1"/>
      <c r="Q31" s="1"/>
      <c r="R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3"/>
      <c r="AF31" s="3"/>
      <c r="AG31" s="3"/>
      <c r="BX31" s="46">
        <v>47770</v>
      </c>
      <c r="BY31" s="31">
        <v>44186</v>
      </c>
      <c r="CC31" s="6" t="s">
        <v>113</v>
      </c>
      <c r="CD31" s="6" t="s">
        <v>113</v>
      </c>
      <c r="CE31" s="6" t="s">
        <v>254</v>
      </c>
      <c r="CJ31" s="6" t="s">
        <v>27</v>
      </c>
      <c r="CK31" s="6" t="s">
        <v>27</v>
      </c>
      <c r="CP31" s="31">
        <v>43707</v>
      </c>
      <c r="CQ31" s="6">
        <v>25.96</v>
      </c>
      <c r="CR31" s="6">
        <v>26.16</v>
      </c>
      <c r="CS31" s="6">
        <f t="shared" si="15"/>
        <v>26.060000000000002</v>
      </c>
      <c r="CT31" s="6">
        <v>1.0989</v>
      </c>
      <c r="CW31" s="31">
        <f t="shared" si="16"/>
        <v>43707</v>
      </c>
      <c r="CX31" s="6">
        <f t="shared" si="11"/>
        <v>25.96</v>
      </c>
      <c r="CY31" s="6">
        <f t="shared" si="12"/>
        <v>26.16</v>
      </c>
      <c r="CZ31" s="6">
        <f t="shared" si="13"/>
        <v>26.060000000000002</v>
      </c>
      <c r="DA31" s="6">
        <f t="shared" si="14"/>
        <v>1.0989</v>
      </c>
    </row>
    <row r="32" spans="1:112" x14ac:dyDescent="0.15">
      <c r="A32"/>
      <c r="B32" s="16"/>
      <c r="C32" s="32"/>
      <c r="D32" s="32"/>
      <c r="E32" s="32"/>
      <c r="F32" s="32"/>
      <c r="G32" s="32"/>
      <c r="H32" s="32"/>
      <c r="I32" s="32"/>
      <c r="J32" s="32"/>
      <c r="K32" s="1"/>
      <c r="L32" s="1"/>
      <c r="Q32" s="1"/>
      <c r="R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3"/>
      <c r="AF32" s="3"/>
      <c r="AG32" s="3"/>
      <c r="BX32" s="46">
        <v>47798</v>
      </c>
      <c r="BY32" s="31">
        <v>44183</v>
      </c>
      <c r="CC32" s="6" t="s">
        <v>136</v>
      </c>
      <c r="CD32" s="6" t="s">
        <v>136</v>
      </c>
      <c r="CE32" s="6" t="s">
        <v>255</v>
      </c>
      <c r="CJ32" s="6" t="s">
        <v>28</v>
      </c>
      <c r="CK32" s="6" t="s">
        <v>28</v>
      </c>
      <c r="CP32" s="31">
        <v>43706</v>
      </c>
      <c r="CQ32" s="6">
        <v>25.94</v>
      </c>
      <c r="CR32" s="6">
        <v>26.14</v>
      </c>
      <c r="CS32" s="6">
        <f t="shared" si="15"/>
        <v>26.04</v>
      </c>
      <c r="CT32" s="6">
        <v>1.1056999999999999</v>
      </c>
      <c r="CW32" s="31">
        <f t="shared" si="16"/>
        <v>43706</v>
      </c>
      <c r="CX32" s="6">
        <f t="shared" si="11"/>
        <v>25.94</v>
      </c>
      <c r="CY32" s="6">
        <f t="shared" si="12"/>
        <v>26.14</v>
      </c>
      <c r="CZ32" s="6">
        <f t="shared" si="13"/>
        <v>26.04</v>
      </c>
      <c r="DA32" s="6">
        <f t="shared" si="14"/>
        <v>1.1056999999999999</v>
      </c>
    </row>
    <row r="33" spans="1:109" x14ac:dyDescent="0.15">
      <c r="A33"/>
      <c r="B33" s="16"/>
      <c r="C33" s="32"/>
      <c r="D33" s="32"/>
      <c r="E33" s="32"/>
      <c r="F33" s="32"/>
      <c r="G33" s="32"/>
      <c r="H33" s="32"/>
      <c r="I33" s="32"/>
      <c r="J33" s="32"/>
      <c r="K33" s="1"/>
      <c r="L33" s="1"/>
      <c r="Q33" s="1"/>
      <c r="R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3"/>
      <c r="AF33" s="3"/>
      <c r="AG33" s="3"/>
      <c r="BX33" s="46">
        <v>48134</v>
      </c>
      <c r="BY33" s="31">
        <v>44182</v>
      </c>
      <c r="CJ33" s="6" t="s">
        <v>29</v>
      </c>
      <c r="CK33" s="6" t="s">
        <v>29</v>
      </c>
      <c r="CP33" s="31">
        <v>43705</v>
      </c>
      <c r="CQ33" s="6">
        <v>25.67</v>
      </c>
      <c r="CR33" s="6">
        <v>25.87</v>
      </c>
      <c r="CS33" s="6">
        <f t="shared" si="15"/>
        <v>25.770000000000003</v>
      </c>
      <c r="CT33" s="6">
        <v>1.1077900000000001</v>
      </c>
      <c r="CW33" s="31">
        <f t="shared" si="16"/>
        <v>43705</v>
      </c>
      <c r="CX33" s="6">
        <f t="shared" si="11"/>
        <v>25.67</v>
      </c>
      <c r="CY33" s="6">
        <f t="shared" si="12"/>
        <v>25.87</v>
      </c>
      <c r="CZ33" s="6">
        <f t="shared" si="13"/>
        <v>25.770000000000003</v>
      </c>
      <c r="DA33" s="6">
        <f t="shared" si="14"/>
        <v>1.1077900000000001</v>
      </c>
    </row>
    <row r="34" spans="1:109" x14ac:dyDescent="0.15">
      <c r="A34"/>
      <c r="B34" s="16"/>
      <c r="C34" s="32"/>
      <c r="D34" s="32"/>
      <c r="E34" s="32"/>
      <c r="F34" s="32"/>
      <c r="G34" s="32"/>
      <c r="H34" s="32"/>
      <c r="I34" s="32"/>
      <c r="J34" s="32"/>
      <c r="K34"/>
      <c r="L34" s="1"/>
      <c r="Q34"/>
      <c r="R34"/>
      <c r="U34"/>
      <c r="V34" s="1"/>
      <c r="W34" s="1"/>
      <c r="X34" s="1"/>
      <c r="Y34" s="1"/>
      <c r="Z34" s="1"/>
      <c r="AA34" s="1"/>
      <c r="AB34" s="1"/>
      <c r="AC34" s="1"/>
      <c r="AD34"/>
      <c r="AE34"/>
      <c r="AF34" s="1"/>
      <c r="AG34" s="1"/>
      <c r="BX34" s="46">
        <v>48163</v>
      </c>
      <c r="BY34" s="31">
        <v>44181</v>
      </c>
      <c r="CJ34" s="6" t="s">
        <v>30</v>
      </c>
      <c r="CK34" s="6" t="s">
        <v>30</v>
      </c>
      <c r="CP34" s="31">
        <v>43704</v>
      </c>
      <c r="CQ34" s="6">
        <v>26.54</v>
      </c>
      <c r="CR34" s="6">
        <v>26.74</v>
      </c>
      <c r="CS34" s="6">
        <f t="shared" si="15"/>
        <v>26.64</v>
      </c>
      <c r="CT34" s="6">
        <v>1.10904</v>
      </c>
      <c r="CW34" s="31">
        <f t="shared" si="16"/>
        <v>43704</v>
      </c>
      <c r="CX34" s="6">
        <f t="shared" si="11"/>
        <v>26.54</v>
      </c>
      <c r="CY34" s="6">
        <f t="shared" si="12"/>
        <v>26.74</v>
      </c>
      <c r="CZ34" s="6">
        <f t="shared" si="13"/>
        <v>26.64</v>
      </c>
      <c r="DA34" s="6">
        <f t="shared" si="14"/>
        <v>1.10904</v>
      </c>
    </row>
    <row r="35" spans="1:109" x14ac:dyDescent="0.15">
      <c r="A35"/>
      <c r="B35" s="16"/>
      <c r="C35" s="32"/>
      <c r="D35" s="32"/>
      <c r="E35" s="32"/>
      <c r="F35" s="32"/>
      <c r="G35" s="32"/>
      <c r="H35" s="32"/>
      <c r="I35" s="32"/>
      <c r="J35" s="32"/>
      <c r="K35"/>
      <c r="L35" s="1"/>
      <c r="Q35"/>
      <c r="R35"/>
      <c r="U35"/>
      <c r="V35"/>
      <c r="W35" s="1"/>
      <c r="X35" s="1"/>
      <c r="Y35" s="1"/>
      <c r="Z35" s="1"/>
      <c r="AA35" s="1"/>
      <c r="AB35" s="1"/>
      <c r="AC35" s="1"/>
      <c r="AD35"/>
      <c r="AE35"/>
      <c r="AF35" s="1"/>
      <c r="AG35" s="1"/>
      <c r="BX35" s="46">
        <v>48498</v>
      </c>
      <c r="BY35" s="31">
        <v>44180</v>
      </c>
      <c r="CJ35" s="6" t="s">
        <v>31</v>
      </c>
      <c r="CK35" s="6" t="s">
        <v>31</v>
      </c>
      <c r="CP35" s="31">
        <v>43703</v>
      </c>
      <c r="CQ35" s="6">
        <v>27.56</v>
      </c>
      <c r="CR35" s="6">
        <v>27.76</v>
      </c>
      <c r="CS35" s="6">
        <f t="shared" si="15"/>
        <v>27.66</v>
      </c>
      <c r="CT35" s="6">
        <v>1.1102000000000001</v>
      </c>
      <c r="CW35" s="31">
        <f t="shared" si="16"/>
        <v>43703</v>
      </c>
      <c r="CX35" s="6">
        <f t="shared" si="11"/>
        <v>27.56</v>
      </c>
      <c r="CY35" s="6">
        <f t="shared" si="12"/>
        <v>27.76</v>
      </c>
      <c r="CZ35" s="6">
        <f t="shared" si="13"/>
        <v>27.66</v>
      </c>
      <c r="DA35" s="6">
        <f t="shared" si="14"/>
        <v>1.1102000000000001</v>
      </c>
    </row>
    <row r="36" spans="1:109" x14ac:dyDescent="0.15">
      <c r="A36"/>
      <c r="B36" s="16"/>
      <c r="C36" s="32"/>
      <c r="D36" s="32"/>
      <c r="E36" s="32"/>
      <c r="F36" s="32"/>
      <c r="G36" s="32"/>
      <c r="H36" s="32"/>
      <c r="I36" s="32"/>
      <c r="J36" s="32"/>
      <c r="K36"/>
      <c r="L36" s="1"/>
      <c r="Q36"/>
      <c r="R36"/>
      <c r="U36"/>
      <c r="V36"/>
      <c r="W36" s="1"/>
      <c r="X36" s="1"/>
      <c r="Y36" s="1"/>
      <c r="Z36" s="1"/>
      <c r="AA36" s="1"/>
      <c r="AB36" s="1"/>
      <c r="AC36" s="1"/>
      <c r="AD36"/>
      <c r="AE36"/>
      <c r="AF36" s="1"/>
      <c r="AG36" s="1"/>
      <c r="BX36" s="46">
        <v>48529</v>
      </c>
      <c r="BY36" s="31">
        <v>44179</v>
      </c>
      <c r="CJ36" s="6" t="s">
        <v>32</v>
      </c>
      <c r="CK36" s="6" t="s">
        <v>32</v>
      </c>
      <c r="CP36" s="31">
        <v>43702</v>
      </c>
      <c r="CQ36" s="6">
        <v>25.72</v>
      </c>
      <c r="CR36" s="6">
        <v>25.92</v>
      </c>
      <c r="CS36" s="6">
        <f t="shared" si="15"/>
        <v>25.82</v>
      </c>
      <c r="CT36" s="6">
        <v>1.1140699999999999</v>
      </c>
      <c r="CW36" s="31">
        <f t="shared" si="16"/>
        <v>43702</v>
      </c>
      <c r="CX36" s="6">
        <f t="shared" si="11"/>
        <v>25.72</v>
      </c>
      <c r="CY36" s="6">
        <f t="shared" si="12"/>
        <v>25.92</v>
      </c>
      <c r="CZ36" s="6">
        <f t="shared" si="13"/>
        <v>25.82</v>
      </c>
      <c r="DA36" s="6">
        <f t="shared" si="14"/>
        <v>1.1140699999999999</v>
      </c>
    </row>
    <row r="37" spans="1:109" x14ac:dyDescent="0.15">
      <c r="A37"/>
      <c r="B37" s="16"/>
      <c r="C37" s="32"/>
      <c r="D37" s="32"/>
      <c r="E37" s="32"/>
      <c r="F37" s="32"/>
      <c r="G37" s="32"/>
      <c r="H37" s="32"/>
      <c r="I37" s="32"/>
      <c r="J37" s="32"/>
      <c r="K37"/>
      <c r="L37" s="1"/>
      <c r="Q37"/>
      <c r="R37"/>
      <c r="U37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BX37" s="46">
        <v>48862</v>
      </c>
      <c r="BY37" s="31">
        <v>44176</v>
      </c>
      <c r="CD37" s="6" t="str">
        <f>INDEX($CL$4:$CL$27,$B$6,1)&amp;"_"&amp;"SMBCC"</f>
        <v>ON_SMBCC</v>
      </c>
      <c r="CJ37" s="6" t="s">
        <v>33</v>
      </c>
      <c r="CK37" s="6" t="s">
        <v>33</v>
      </c>
      <c r="CP37" s="31">
        <v>43701</v>
      </c>
      <c r="CQ37" s="6">
        <v>25.85</v>
      </c>
      <c r="CR37" s="6">
        <v>26.25</v>
      </c>
      <c r="CS37" s="6">
        <f t="shared" si="15"/>
        <v>26.05</v>
      </c>
      <c r="CT37" s="6">
        <v>1.1140699999999999</v>
      </c>
      <c r="CW37" s="31">
        <f t="shared" si="16"/>
        <v>43701</v>
      </c>
      <c r="CX37" s="6">
        <f t="shared" si="11"/>
        <v>25.85</v>
      </c>
      <c r="CY37" s="6">
        <f t="shared" si="12"/>
        <v>26.25</v>
      </c>
      <c r="CZ37" s="6">
        <f t="shared" si="13"/>
        <v>26.05</v>
      </c>
      <c r="DA37" s="6">
        <f t="shared" si="14"/>
        <v>1.1140699999999999</v>
      </c>
    </row>
    <row r="38" spans="1:109" x14ac:dyDescent="0.15">
      <c r="A38"/>
      <c r="B38" s="16"/>
      <c r="C38" s="32"/>
      <c r="D38" s="32"/>
      <c r="E38" s="32"/>
      <c r="F38" s="32"/>
      <c r="G38" s="32"/>
      <c r="H38" s="32"/>
      <c r="I38" s="32"/>
      <c r="J38" s="32"/>
      <c r="K38"/>
      <c r="L38" s="1"/>
      <c r="Q38"/>
      <c r="R38"/>
      <c r="U38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BX38" s="46">
        <v>48894</v>
      </c>
      <c r="BY38" s="31">
        <v>44175</v>
      </c>
      <c r="CJ38" s="6" t="s">
        <v>34</v>
      </c>
      <c r="CK38" s="6" t="s">
        <v>34</v>
      </c>
      <c r="CP38" s="31">
        <v>43700</v>
      </c>
      <c r="CQ38" s="6">
        <v>25.89</v>
      </c>
      <c r="CR38" s="6">
        <v>26.09</v>
      </c>
      <c r="CS38" s="6">
        <f t="shared" si="15"/>
        <v>25.990000000000002</v>
      </c>
      <c r="CT38" s="6">
        <v>1.1140699999999999</v>
      </c>
      <c r="CW38" s="31">
        <f t="shared" si="16"/>
        <v>43700</v>
      </c>
      <c r="CX38" s="6">
        <f t="shared" si="11"/>
        <v>25.89</v>
      </c>
      <c r="CY38" s="6">
        <f t="shared" si="12"/>
        <v>26.09</v>
      </c>
      <c r="CZ38" s="6">
        <f t="shared" si="13"/>
        <v>25.990000000000002</v>
      </c>
      <c r="DA38" s="6">
        <f t="shared" si="14"/>
        <v>1.1140699999999999</v>
      </c>
      <c r="DE38" s="6" t="s">
        <v>182</v>
      </c>
    </row>
    <row r="39" spans="1:109" x14ac:dyDescent="0.15">
      <c r="A39"/>
      <c r="B39" s="16"/>
      <c r="C39" s="32"/>
      <c r="D39" s="32"/>
      <c r="E39" s="32"/>
      <c r="F39" s="32"/>
      <c r="G39" s="32"/>
      <c r="H39" s="32"/>
      <c r="I39" s="32"/>
      <c r="J39" s="32"/>
      <c r="K39"/>
      <c r="L39" s="1"/>
      <c r="Q39"/>
      <c r="R39"/>
      <c r="U39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BY39" s="31">
        <v>44174</v>
      </c>
      <c r="CJ39" s="6" t="s">
        <v>35</v>
      </c>
      <c r="CK39" s="6" t="s">
        <v>35</v>
      </c>
      <c r="CP39" s="31">
        <v>43699</v>
      </c>
      <c r="CQ39" s="6">
        <v>25.73</v>
      </c>
      <c r="CR39" s="6">
        <v>25.93</v>
      </c>
      <c r="CS39" s="6">
        <f t="shared" si="15"/>
        <v>25.83</v>
      </c>
      <c r="CT39" s="6">
        <v>1.1079300000000001</v>
      </c>
      <c r="CW39" s="31">
        <f t="shared" si="16"/>
        <v>43699</v>
      </c>
      <c r="CX39" s="6">
        <f t="shared" si="11"/>
        <v>25.73</v>
      </c>
      <c r="CY39" s="6">
        <f t="shared" si="12"/>
        <v>25.93</v>
      </c>
      <c r="CZ39" s="6">
        <f t="shared" si="13"/>
        <v>25.83</v>
      </c>
      <c r="DA39" s="6">
        <f t="shared" si="14"/>
        <v>1.1079300000000001</v>
      </c>
    </row>
    <row r="40" spans="1:109" x14ac:dyDescent="0.15">
      <c r="A40"/>
      <c r="B40" s="16"/>
      <c r="C40" s="32"/>
      <c r="D40" s="32"/>
      <c r="E40" s="32"/>
      <c r="F40" s="32"/>
      <c r="G40" s="32"/>
      <c r="H40" s="32"/>
      <c r="I40" s="32"/>
      <c r="J40" s="32"/>
      <c r="K40"/>
      <c r="L40" s="1"/>
      <c r="Q40"/>
      <c r="R40"/>
      <c r="U40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BY40" s="31">
        <v>44173</v>
      </c>
      <c r="CJ40" s="6" t="s">
        <v>36</v>
      </c>
      <c r="CK40" s="6" t="s">
        <v>36</v>
      </c>
      <c r="CP40" s="31">
        <v>43698</v>
      </c>
      <c r="CQ40" s="6">
        <v>25.54</v>
      </c>
      <c r="CR40" s="6">
        <v>25.74</v>
      </c>
      <c r="CS40" s="6">
        <f t="shared" si="15"/>
        <v>25.64</v>
      </c>
      <c r="CT40" s="6">
        <v>1.1084700000000001</v>
      </c>
      <c r="CW40" s="31">
        <f t="shared" si="16"/>
        <v>43698</v>
      </c>
      <c r="CX40" s="6">
        <f t="shared" si="11"/>
        <v>25.54</v>
      </c>
      <c r="CY40" s="6">
        <f t="shared" si="12"/>
        <v>25.74</v>
      </c>
      <c r="CZ40" s="6">
        <f t="shared" si="13"/>
        <v>25.64</v>
      </c>
      <c r="DA40" s="6">
        <f t="shared" si="14"/>
        <v>1.1084700000000001</v>
      </c>
    </row>
    <row r="41" spans="1:109" x14ac:dyDescent="0.15">
      <c r="A41"/>
      <c r="B41" s="16"/>
      <c r="C41" s="32"/>
      <c r="D41" s="32"/>
      <c r="E41" s="32"/>
      <c r="F41" s="32"/>
      <c r="G41" s="32"/>
      <c r="H41" s="32"/>
      <c r="I41" s="32"/>
      <c r="J41" s="32"/>
      <c r="K41"/>
      <c r="L41" s="1"/>
      <c r="Q41"/>
      <c r="R41"/>
      <c r="U4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BY41" s="31">
        <v>44172</v>
      </c>
      <c r="CJ41" s="6" t="s">
        <v>37</v>
      </c>
      <c r="CK41" s="6" t="s">
        <v>37</v>
      </c>
      <c r="CP41" s="31">
        <v>43697</v>
      </c>
      <c r="CQ41" s="6">
        <v>26.18</v>
      </c>
      <c r="CR41" s="6">
        <v>26.58</v>
      </c>
      <c r="CS41" s="6">
        <f t="shared" si="15"/>
        <v>26.38</v>
      </c>
      <c r="CT41" s="6">
        <v>1.1099699999999999</v>
      </c>
      <c r="CW41" s="31">
        <f t="shared" si="16"/>
        <v>43697</v>
      </c>
      <c r="CX41" s="6">
        <f t="shared" si="11"/>
        <v>26.18</v>
      </c>
      <c r="CY41" s="6">
        <f t="shared" si="12"/>
        <v>26.58</v>
      </c>
      <c r="CZ41" s="6">
        <f t="shared" si="13"/>
        <v>26.38</v>
      </c>
      <c r="DA41" s="6">
        <f t="shared" si="14"/>
        <v>1.1099699999999999</v>
      </c>
    </row>
    <row r="42" spans="1:109" x14ac:dyDescent="0.15">
      <c r="A42"/>
      <c r="B42" s="16"/>
      <c r="C42" s="32"/>
      <c r="D42" s="32"/>
      <c r="E42" s="32"/>
      <c r="F42" s="32"/>
      <c r="G42" s="32"/>
      <c r="H42" s="32"/>
      <c r="I42" s="32"/>
      <c r="J42" s="32"/>
      <c r="K42"/>
      <c r="L42" s="1"/>
      <c r="Q42"/>
      <c r="R42"/>
      <c r="U42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BY42" s="31">
        <v>44169</v>
      </c>
      <c r="CJ42" s="6" t="s">
        <v>38</v>
      </c>
      <c r="CK42" s="6" t="s">
        <v>38</v>
      </c>
      <c r="CP42" s="31">
        <v>43696</v>
      </c>
      <c r="CQ42" s="6">
        <v>27.54</v>
      </c>
      <c r="CR42" s="6">
        <v>27.74</v>
      </c>
      <c r="CS42" s="6">
        <f t="shared" si="15"/>
        <v>27.64</v>
      </c>
      <c r="CT42" s="6">
        <v>1.1078300000000001</v>
      </c>
      <c r="CW42" s="31">
        <f t="shared" si="16"/>
        <v>43696</v>
      </c>
      <c r="CX42" s="6">
        <f t="shared" si="11"/>
        <v>27.54</v>
      </c>
      <c r="CY42" s="6">
        <f t="shared" si="12"/>
        <v>27.74</v>
      </c>
      <c r="CZ42" s="6">
        <f t="shared" si="13"/>
        <v>27.64</v>
      </c>
      <c r="DA42" s="6">
        <f t="shared" si="14"/>
        <v>1.1078300000000001</v>
      </c>
    </row>
    <row r="43" spans="1:109" x14ac:dyDescent="0.15">
      <c r="A43"/>
      <c r="B43" s="16"/>
      <c r="C43" s="32"/>
      <c r="D43" s="32"/>
      <c r="E43" s="32"/>
      <c r="F43" s="32"/>
      <c r="G43" s="32"/>
      <c r="H43" s="32"/>
      <c r="I43" s="32"/>
      <c r="J43" s="32"/>
      <c r="K43"/>
      <c r="L43" s="1"/>
      <c r="Q43"/>
      <c r="R43"/>
      <c r="U4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BY43" s="31">
        <v>44168</v>
      </c>
      <c r="CJ43" s="6" t="s">
        <v>39</v>
      </c>
      <c r="CK43" s="6" t="s">
        <v>39</v>
      </c>
      <c r="CP43" s="31">
        <v>43695</v>
      </c>
      <c r="CQ43" s="6">
        <v>25.98</v>
      </c>
      <c r="CR43" s="6">
        <v>26.18</v>
      </c>
      <c r="CS43" s="6">
        <f t="shared" si="15"/>
        <v>26.08</v>
      </c>
      <c r="CT43" s="6">
        <v>1.1090800000000001</v>
      </c>
      <c r="CW43" s="31">
        <f t="shared" si="16"/>
        <v>43695</v>
      </c>
      <c r="CX43" s="6">
        <f t="shared" si="11"/>
        <v>25.98</v>
      </c>
      <c r="CY43" s="6">
        <f t="shared" si="12"/>
        <v>26.18</v>
      </c>
      <c r="CZ43" s="6">
        <f t="shared" si="13"/>
        <v>26.08</v>
      </c>
      <c r="DA43" s="6">
        <f t="shared" si="14"/>
        <v>1.1090800000000001</v>
      </c>
    </row>
    <row r="44" spans="1:109" x14ac:dyDescent="0.15">
      <c r="A44"/>
      <c r="B44" s="16"/>
      <c r="C44" s="32"/>
      <c r="D44" s="32"/>
      <c r="E44" s="32"/>
      <c r="F44" s="32"/>
      <c r="G44" s="32"/>
      <c r="H44" s="32"/>
      <c r="I44" s="32"/>
      <c r="J44" s="32"/>
      <c r="K44"/>
      <c r="L44" s="1"/>
      <c r="Q44"/>
      <c r="R44"/>
      <c r="U44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BY44" s="31">
        <v>44167</v>
      </c>
      <c r="CJ44" s="6" t="s">
        <v>40</v>
      </c>
      <c r="CK44" s="6" t="s">
        <v>40</v>
      </c>
      <c r="CP44" s="31">
        <v>43694</v>
      </c>
      <c r="CQ44" s="6">
        <v>26.16</v>
      </c>
      <c r="CR44" s="6">
        <v>26.41</v>
      </c>
      <c r="CS44" s="6">
        <f t="shared" si="15"/>
        <v>26.285</v>
      </c>
      <c r="CT44" s="6">
        <v>1.1090800000000001</v>
      </c>
      <c r="CW44" s="31">
        <f t="shared" si="16"/>
        <v>43694</v>
      </c>
      <c r="CX44" s="6">
        <f t="shared" si="11"/>
        <v>26.16</v>
      </c>
      <c r="CY44" s="6">
        <f t="shared" si="12"/>
        <v>26.41</v>
      </c>
      <c r="CZ44" s="6">
        <f t="shared" si="13"/>
        <v>26.285</v>
      </c>
      <c r="DA44" s="6">
        <f t="shared" si="14"/>
        <v>1.1090800000000001</v>
      </c>
    </row>
    <row r="45" spans="1:109" x14ac:dyDescent="0.15">
      <c r="BY45" s="31">
        <v>44166</v>
      </c>
      <c r="CJ45" s="6" t="s">
        <v>41</v>
      </c>
      <c r="CK45" s="6" t="s">
        <v>41</v>
      </c>
      <c r="CP45" s="31">
        <v>43693</v>
      </c>
      <c r="CQ45" s="6">
        <v>26.25</v>
      </c>
      <c r="CR45" s="6">
        <v>26.45</v>
      </c>
      <c r="CS45" s="6">
        <f t="shared" si="15"/>
        <v>26.35</v>
      </c>
      <c r="CT45" s="6">
        <v>1.1090800000000001</v>
      </c>
      <c r="CW45" s="31">
        <f t="shared" si="16"/>
        <v>43693</v>
      </c>
      <c r="CX45" s="6">
        <f t="shared" si="11"/>
        <v>26.25</v>
      </c>
      <c r="CY45" s="6">
        <f t="shared" si="12"/>
        <v>26.45</v>
      </c>
      <c r="CZ45" s="6">
        <f t="shared" si="13"/>
        <v>26.35</v>
      </c>
      <c r="DA45" s="6">
        <f t="shared" si="14"/>
        <v>1.1090800000000001</v>
      </c>
    </row>
    <row r="46" spans="1:109" x14ac:dyDescent="0.15">
      <c r="BY46" s="31">
        <v>44165</v>
      </c>
      <c r="CJ46" s="6" t="s">
        <v>42</v>
      </c>
      <c r="CK46" s="6" t="s">
        <v>42</v>
      </c>
      <c r="CP46" s="31">
        <v>43692</v>
      </c>
      <c r="CQ46" s="6">
        <v>26.38</v>
      </c>
      <c r="CR46" s="6">
        <v>26.58</v>
      </c>
      <c r="CS46" s="6">
        <f t="shared" si="15"/>
        <v>26.479999999999997</v>
      </c>
      <c r="CT46" s="6">
        <v>1.11073</v>
      </c>
      <c r="CW46" s="31">
        <f t="shared" si="16"/>
        <v>43692</v>
      </c>
      <c r="CX46" s="6">
        <f t="shared" si="11"/>
        <v>26.38</v>
      </c>
      <c r="CY46" s="6">
        <f t="shared" si="12"/>
        <v>26.58</v>
      </c>
      <c r="CZ46" s="6">
        <f t="shared" si="13"/>
        <v>26.479999999999997</v>
      </c>
      <c r="DA46" s="6">
        <f t="shared" si="14"/>
        <v>1.11073</v>
      </c>
    </row>
    <row r="47" spans="1:109" x14ac:dyDescent="0.15">
      <c r="BY47" s="31">
        <v>44162</v>
      </c>
      <c r="CJ47" s="6" t="s">
        <v>43</v>
      </c>
      <c r="CK47" s="6" t="s">
        <v>43</v>
      </c>
      <c r="CP47" s="31">
        <v>43691</v>
      </c>
      <c r="CQ47" s="6">
        <v>26.66</v>
      </c>
      <c r="CR47" s="6">
        <v>26.86</v>
      </c>
      <c r="CS47" s="6">
        <f t="shared" si="15"/>
        <v>26.759999999999998</v>
      </c>
      <c r="CT47" s="6">
        <v>1.11385</v>
      </c>
      <c r="CW47" s="31">
        <f t="shared" si="16"/>
        <v>43691</v>
      </c>
      <c r="CX47" s="6">
        <f t="shared" si="11"/>
        <v>26.66</v>
      </c>
      <c r="CY47" s="6">
        <f t="shared" si="12"/>
        <v>26.86</v>
      </c>
      <c r="CZ47" s="6">
        <f t="shared" si="13"/>
        <v>26.759999999999998</v>
      </c>
      <c r="DA47" s="6">
        <f t="shared" si="14"/>
        <v>1.11385</v>
      </c>
    </row>
    <row r="48" spans="1:109" x14ac:dyDescent="0.15">
      <c r="BY48" s="31">
        <v>44160</v>
      </c>
      <c r="CJ48" s="6" t="s">
        <v>44</v>
      </c>
      <c r="CK48" s="6" t="s">
        <v>44</v>
      </c>
      <c r="CP48" s="31">
        <v>43690</v>
      </c>
      <c r="CQ48" s="6">
        <v>27.68</v>
      </c>
      <c r="CR48" s="6">
        <v>27.88</v>
      </c>
      <c r="CS48" s="6">
        <f t="shared" si="15"/>
        <v>27.78</v>
      </c>
      <c r="CT48" s="6">
        <v>1.11711</v>
      </c>
      <c r="CW48" s="31">
        <f t="shared" si="16"/>
        <v>43690</v>
      </c>
      <c r="CX48" s="6">
        <f t="shared" si="11"/>
        <v>27.68</v>
      </c>
      <c r="CY48" s="6">
        <f t="shared" si="12"/>
        <v>27.88</v>
      </c>
      <c r="CZ48" s="6">
        <f t="shared" si="13"/>
        <v>27.78</v>
      </c>
      <c r="DA48" s="6">
        <f t="shared" si="14"/>
        <v>1.11711</v>
      </c>
    </row>
    <row r="49" spans="77:105" x14ac:dyDescent="0.15">
      <c r="BY49" s="31">
        <v>44159</v>
      </c>
      <c r="CJ49" s="6" t="s">
        <v>45</v>
      </c>
      <c r="CK49" s="6" t="s">
        <v>45</v>
      </c>
      <c r="CP49" s="31">
        <v>43689</v>
      </c>
      <c r="CQ49" s="6">
        <v>28.35</v>
      </c>
      <c r="CR49" s="6">
        <v>28.55</v>
      </c>
      <c r="CS49" s="6">
        <f t="shared" si="15"/>
        <v>28.450000000000003</v>
      </c>
      <c r="CT49" s="6">
        <v>1.12138</v>
      </c>
      <c r="CW49" s="31">
        <f t="shared" si="16"/>
        <v>43689</v>
      </c>
      <c r="CX49" s="6">
        <f t="shared" si="11"/>
        <v>28.35</v>
      </c>
      <c r="CY49" s="6">
        <f t="shared" si="12"/>
        <v>28.55</v>
      </c>
      <c r="CZ49" s="6">
        <f t="shared" si="13"/>
        <v>28.450000000000003</v>
      </c>
      <c r="DA49" s="6">
        <f t="shared" si="14"/>
        <v>1.12138</v>
      </c>
    </row>
    <row r="50" spans="77:105" x14ac:dyDescent="0.15">
      <c r="BY50" s="31">
        <v>44158</v>
      </c>
      <c r="CJ50" s="6" t="s">
        <v>46</v>
      </c>
      <c r="CK50" s="6" t="s">
        <v>46</v>
      </c>
      <c r="CP50" s="31">
        <v>43688</v>
      </c>
      <c r="CQ50" s="6">
        <v>26.1</v>
      </c>
      <c r="CR50" s="6">
        <v>26.3</v>
      </c>
      <c r="CS50" s="6">
        <f t="shared" si="15"/>
        <v>26.200000000000003</v>
      </c>
      <c r="CT50" s="6">
        <v>1.1200600000000001</v>
      </c>
      <c r="CW50" s="31">
        <f t="shared" si="16"/>
        <v>43688</v>
      </c>
      <c r="CX50" s="6">
        <f t="shared" si="11"/>
        <v>26.1</v>
      </c>
      <c r="CY50" s="6">
        <f t="shared" si="12"/>
        <v>26.3</v>
      </c>
      <c r="CZ50" s="6">
        <f t="shared" si="13"/>
        <v>26.200000000000003</v>
      </c>
      <c r="DA50" s="6">
        <f t="shared" si="14"/>
        <v>1.1200600000000001</v>
      </c>
    </row>
    <row r="51" spans="77:105" x14ac:dyDescent="0.15">
      <c r="BY51" s="31">
        <v>44155</v>
      </c>
      <c r="CJ51" s="6" t="s">
        <v>47</v>
      </c>
      <c r="CK51" s="6" t="s">
        <v>47</v>
      </c>
      <c r="CP51" s="31">
        <v>43687</v>
      </c>
      <c r="CQ51" s="6">
        <v>26.23</v>
      </c>
      <c r="CR51" s="6">
        <v>26.63</v>
      </c>
      <c r="CS51" s="6">
        <f t="shared" si="15"/>
        <v>26.43</v>
      </c>
      <c r="CT51" s="6">
        <v>1.1200600000000001</v>
      </c>
      <c r="CW51" s="31">
        <f t="shared" si="16"/>
        <v>43687</v>
      </c>
      <c r="CX51" s="6">
        <f t="shared" si="11"/>
        <v>26.23</v>
      </c>
      <c r="CY51" s="6">
        <f t="shared" si="12"/>
        <v>26.63</v>
      </c>
      <c r="CZ51" s="6">
        <f t="shared" si="13"/>
        <v>26.43</v>
      </c>
      <c r="DA51" s="6">
        <f t="shared" si="14"/>
        <v>1.1200600000000001</v>
      </c>
    </row>
    <row r="52" spans="77:105" x14ac:dyDescent="0.15">
      <c r="BY52" s="31">
        <v>44154</v>
      </c>
      <c r="CJ52" s="6" t="s">
        <v>48</v>
      </c>
      <c r="CK52" s="6" t="s">
        <v>48</v>
      </c>
      <c r="CP52" s="31">
        <v>43686</v>
      </c>
      <c r="CQ52" s="6">
        <v>26.28</v>
      </c>
      <c r="CR52" s="6">
        <v>26.48</v>
      </c>
      <c r="CS52" s="6">
        <f t="shared" si="15"/>
        <v>26.380000000000003</v>
      </c>
      <c r="CT52" s="6">
        <v>1.1200600000000001</v>
      </c>
      <c r="CW52" s="31">
        <f t="shared" si="16"/>
        <v>43686</v>
      </c>
      <c r="CX52" s="6">
        <f t="shared" si="11"/>
        <v>26.28</v>
      </c>
      <c r="CY52" s="6">
        <f t="shared" si="12"/>
        <v>26.48</v>
      </c>
      <c r="CZ52" s="6">
        <f t="shared" si="13"/>
        <v>26.380000000000003</v>
      </c>
      <c r="DA52" s="6">
        <f t="shared" si="14"/>
        <v>1.1200600000000001</v>
      </c>
    </row>
    <row r="53" spans="77:105" x14ac:dyDescent="0.15">
      <c r="BY53" s="31">
        <v>44153</v>
      </c>
      <c r="CJ53" s="6" t="s">
        <v>49</v>
      </c>
      <c r="CK53" s="6" t="s">
        <v>49</v>
      </c>
      <c r="CP53" s="31">
        <v>43685</v>
      </c>
      <c r="CQ53" s="6">
        <v>26.25</v>
      </c>
      <c r="CR53" s="6">
        <v>26.45</v>
      </c>
      <c r="CS53" s="6">
        <f t="shared" si="15"/>
        <v>26.35</v>
      </c>
      <c r="CT53" s="6">
        <v>1.11808</v>
      </c>
      <c r="CW53" s="31">
        <f t="shared" si="16"/>
        <v>43685</v>
      </c>
      <c r="CX53" s="6">
        <f t="shared" si="11"/>
        <v>26.25</v>
      </c>
      <c r="CY53" s="6">
        <f t="shared" si="12"/>
        <v>26.45</v>
      </c>
      <c r="CZ53" s="6">
        <f t="shared" si="13"/>
        <v>26.35</v>
      </c>
      <c r="DA53" s="6">
        <f t="shared" si="14"/>
        <v>1.11808</v>
      </c>
    </row>
    <row r="54" spans="77:105" x14ac:dyDescent="0.15">
      <c r="BY54" s="31">
        <v>44152</v>
      </c>
      <c r="CJ54" s="6" t="s">
        <v>50</v>
      </c>
      <c r="CK54" s="6" t="s">
        <v>50</v>
      </c>
      <c r="CP54" s="31">
        <v>43684</v>
      </c>
      <c r="CQ54" s="6">
        <v>26.01</v>
      </c>
      <c r="CR54" s="6">
        <v>26.41</v>
      </c>
      <c r="CS54" s="6">
        <f t="shared" si="15"/>
        <v>26.21</v>
      </c>
      <c r="CT54" s="6">
        <v>1.1199600000000001</v>
      </c>
      <c r="CW54" s="31">
        <f t="shared" si="16"/>
        <v>43684</v>
      </c>
      <c r="CX54" s="6">
        <f t="shared" si="11"/>
        <v>26.01</v>
      </c>
      <c r="CY54" s="6">
        <f t="shared" si="12"/>
        <v>26.41</v>
      </c>
      <c r="CZ54" s="6">
        <f t="shared" si="13"/>
        <v>26.21</v>
      </c>
      <c r="DA54" s="6">
        <f t="shared" si="14"/>
        <v>1.1199600000000001</v>
      </c>
    </row>
    <row r="55" spans="77:105" x14ac:dyDescent="0.15">
      <c r="BY55" s="31">
        <v>44151</v>
      </c>
      <c r="CJ55" s="6" t="s">
        <v>51</v>
      </c>
      <c r="CK55" s="6" t="s">
        <v>51</v>
      </c>
      <c r="CP55" s="31">
        <v>43683</v>
      </c>
      <c r="CQ55" s="6">
        <v>27.29</v>
      </c>
      <c r="CR55" s="6">
        <v>27.49</v>
      </c>
      <c r="CS55" s="6">
        <f t="shared" si="15"/>
        <v>27.39</v>
      </c>
      <c r="CT55" s="6">
        <v>1.11965</v>
      </c>
      <c r="CW55" s="31">
        <f t="shared" si="16"/>
        <v>43683</v>
      </c>
      <c r="CX55" s="6">
        <f t="shared" si="11"/>
        <v>27.29</v>
      </c>
      <c r="CY55" s="6">
        <f t="shared" si="12"/>
        <v>27.49</v>
      </c>
      <c r="CZ55" s="6">
        <f t="shared" si="13"/>
        <v>27.39</v>
      </c>
      <c r="DA55" s="6">
        <f t="shared" si="14"/>
        <v>1.11965</v>
      </c>
    </row>
    <row r="56" spans="77:105" x14ac:dyDescent="0.15">
      <c r="BY56" s="31">
        <v>44148</v>
      </c>
      <c r="CJ56" s="6" t="s">
        <v>52</v>
      </c>
      <c r="CK56" s="6" t="s">
        <v>52</v>
      </c>
      <c r="CP56" s="31">
        <v>43682</v>
      </c>
      <c r="CQ56" s="6">
        <v>28.46</v>
      </c>
      <c r="CR56" s="6">
        <v>28.66</v>
      </c>
      <c r="CS56" s="6">
        <f t="shared" si="15"/>
        <v>28.560000000000002</v>
      </c>
      <c r="CT56" s="6">
        <v>1.1202799999999999</v>
      </c>
      <c r="CW56" s="31">
        <f t="shared" si="16"/>
        <v>43682</v>
      </c>
      <c r="CX56" s="6">
        <f t="shared" si="11"/>
        <v>28.46</v>
      </c>
      <c r="CY56" s="6">
        <f t="shared" si="12"/>
        <v>28.66</v>
      </c>
      <c r="CZ56" s="6">
        <f t="shared" si="13"/>
        <v>28.560000000000002</v>
      </c>
      <c r="DA56" s="6">
        <f t="shared" si="14"/>
        <v>1.1202799999999999</v>
      </c>
    </row>
    <row r="57" spans="77:105" x14ac:dyDescent="0.15">
      <c r="BY57" s="31">
        <v>44147</v>
      </c>
      <c r="CJ57" s="6" t="s">
        <v>213</v>
      </c>
      <c r="CK57" s="6" t="s">
        <v>215</v>
      </c>
      <c r="CP57" s="31">
        <v>43681</v>
      </c>
      <c r="CQ57" s="6">
        <v>26.64</v>
      </c>
      <c r="CR57" s="6">
        <v>26.84</v>
      </c>
      <c r="CS57" s="6">
        <f t="shared" si="15"/>
        <v>26.740000000000002</v>
      </c>
      <c r="CT57" s="6">
        <v>1.111</v>
      </c>
      <c r="CW57" s="31">
        <f t="shared" si="16"/>
        <v>43681</v>
      </c>
      <c r="CX57" s="6">
        <f t="shared" si="11"/>
        <v>26.64</v>
      </c>
      <c r="CY57" s="6">
        <f t="shared" si="12"/>
        <v>26.84</v>
      </c>
      <c r="CZ57" s="6">
        <f t="shared" si="13"/>
        <v>26.740000000000002</v>
      </c>
      <c r="DA57" s="6">
        <f t="shared" si="14"/>
        <v>1.111</v>
      </c>
    </row>
    <row r="58" spans="77:105" x14ac:dyDescent="0.15">
      <c r="BY58" s="31">
        <v>44146</v>
      </c>
      <c r="CJ58" s="6" t="s">
        <v>53</v>
      </c>
      <c r="CK58" s="6" t="s">
        <v>53</v>
      </c>
      <c r="CP58" s="31">
        <v>43680</v>
      </c>
      <c r="CQ58" s="6">
        <v>26.53</v>
      </c>
      <c r="CR58" s="6">
        <v>27.13</v>
      </c>
      <c r="CS58" s="6">
        <f t="shared" si="15"/>
        <v>26.83</v>
      </c>
      <c r="CT58" s="6">
        <v>1.111</v>
      </c>
      <c r="CW58" s="31">
        <f t="shared" si="16"/>
        <v>43680</v>
      </c>
      <c r="CX58" s="6">
        <f t="shared" si="11"/>
        <v>26.53</v>
      </c>
      <c r="CY58" s="6">
        <f t="shared" si="12"/>
        <v>27.13</v>
      </c>
      <c r="CZ58" s="6">
        <f t="shared" si="13"/>
        <v>26.83</v>
      </c>
      <c r="DA58" s="6">
        <f t="shared" si="14"/>
        <v>1.111</v>
      </c>
    </row>
    <row r="59" spans="77:105" x14ac:dyDescent="0.15">
      <c r="BY59" s="31">
        <v>44145</v>
      </c>
      <c r="CJ59" s="6" t="s">
        <v>54</v>
      </c>
      <c r="CK59" s="6" t="s">
        <v>54</v>
      </c>
      <c r="CP59" s="31">
        <v>43679</v>
      </c>
      <c r="CQ59" s="6">
        <v>26.71</v>
      </c>
      <c r="CR59" s="6">
        <v>26.91</v>
      </c>
      <c r="CS59" s="6">
        <f t="shared" si="15"/>
        <v>26.810000000000002</v>
      </c>
      <c r="CT59" s="6">
        <v>1.111</v>
      </c>
      <c r="CW59" s="31">
        <f t="shared" si="16"/>
        <v>43679</v>
      </c>
      <c r="CX59" s="6">
        <f t="shared" si="11"/>
        <v>26.71</v>
      </c>
      <c r="CY59" s="6">
        <f t="shared" si="12"/>
        <v>26.91</v>
      </c>
      <c r="CZ59" s="6">
        <f t="shared" si="13"/>
        <v>26.810000000000002</v>
      </c>
      <c r="DA59" s="6">
        <f t="shared" si="14"/>
        <v>1.111</v>
      </c>
    </row>
    <row r="60" spans="77:105" x14ac:dyDescent="0.15">
      <c r="BY60" s="31">
        <v>44144</v>
      </c>
      <c r="CJ60" s="6" t="s">
        <v>55</v>
      </c>
      <c r="CK60" s="6" t="s">
        <v>55</v>
      </c>
      <c r="CP60" s="31">
        <v>43678</v>
      </c>
      <c r="CQ60" s="6">
        <v>26.53</v>
      </c>
      <c r="CR60" s="6">
        <v>27.13</v>
      </c>
      <c r="CS60" s="6">
        <f t="shared" si="15"/>
        <v>26.83</v>
      </c>
      <c r="CT60" s="6">
        <v>1.1085400000000001</v>
      </c>
      <c r="CW60" s="31">
        <f t="shared" si="16"/>
        <v>43678</v>
      </c>
      <c r="CX60" s="6">
        <f t="shared" si="11"/>
        <v>26.53</v>
      </c>
      <c r="CY60" s="6">
        <f t="shared" si="12"/>
        <v>27.13</v>
      </c>
      <c r="CZ60" s="6">
        <f t="shared" si="13"/>
        <v>26.83</v>
      </c>
      <c r="DA60" s="6">
        <f t="shared" si="14"/>
        <v>1.1085400000000001</v>
      </c>
    </row>
    <row r="61" spans="77:105" x14ac:dyDescent="0.15">
      <c r="BY61" s="31">
        <v>44141</v>
      </c>
      <c r="CJ61" s="6" t="s">
        <v>56</v>
      </c>
      <c r="CK61" s="6" t="s">
        <v>56</v>
      </c>
      <c r="CP61" s="31">
        <v>43677</v>
      </c>
      <c r="CQ61" s="6">
        <v>27.9</v>
      </c>
      <c r="CR61" s="6">
        <v>28.1</v>
      </c>
      <c r="CS61" s="6">
        <f t="shared" si="15"/>
        <v>28</v>
      </c>
      <c r="CT61" s="6">
        <v>1.10755</v>
      </c>
      <c r="CW61" s="31">
        <f t="shared" si="16"/>
        <v>43677</v>
      </c>
      <c r="CX61" s="6">
        <f t="shared" si="11"/>
        <v>27.9</v>
      </c>
      <c r="CY61" s="6">
        <f t="shared" si="12"/>
        <v>28.1</v>
      </c>
      <c r="CZ61" s="6">
        <f t="shared" si="13"/>
        <v>28</v>
      </c>
      <c r="DA61" s="6">
        <f t="shared" si="14"/>
        <v>1.10755</v>
      </c>
    </row>
    <row r="62" spans="77:105" x14ac:dyDescent="0.15">
      <c r="BY62" s="31">
        <v>44140</v>
      </c>
      <c r="CJ62" s="6" t="s">
        <v>57</v>
      </c>
      <c r="CK62" s="6" t="s">
        <v>57</v>
      </c>
      <c r="CP62" s="31">
        <v>43676</v>
      </c>
      <c r="CQ62" s="6">
        <v>28.98</v>
      </c>
      <c r="CR62" s="6">
        <v>29.18</v>
      </c>
      <c r="CS62" s="6">
        <f t="shared" si="15"/>
        <v>29.08</v>
      </c>
      <c r="CT62" s="6">
        <v>1.11551</v>
      </c>
      <c r="CW62" s="31">
        <f t="shared" si="16"/>
        <v>43676</v>
      </c>
      <c r="CX62" s="6">
        <f t="shared" si="11"/>
        <v>28.98</v>
      </c>
      <c r="CY62" s="6">
        <f t="shared" si="12"/>
        <v>29.18</v>
      </c>
      <c r="CZ62" s="6">
        <f t="shared" si="13"/>
        <v>29.08</v>
      </c>
      <c r="DA62" s="6">
        <f t="shared" si="14"/>
        <v>1.11551</v>
      </c>
    </row>
    <row r="63" spans="77:105" x14ac:dyDescent="0.15">
      <c r="BY63" s="31">
        <v>44139</v>
      </c>
      <c r="CJ63" s="6" t="s">
        <v>58</v>
      </c>
      <c r="CK63" s="6" t="s">
        <v>58</v>
      </c>
      <c r="CP63" s="31">
        <v>43675</v>
      </c>
      <c r="CQ63" s="6">
        <v>26.41</v>
      </c>
      <c r="CR63" s="6">
        <v>26.61</v>
      </c>
      <c r="CS63" s="6">
        <f t="shared" si="15"/>
        <v>26.509999999999998</v>
      </c>
      <c r="CT63" s="6">
        <v>1.1144799999999999</v>
      </c>
      <c r="CW63" s="31">
        <f t="shared" si="16"/>
        <v>43675</v>
      </c>
      <c r="CX63" s="6">
        <f t="shared" si="11"/>
        <v>26.41</v>
      </c>
      <c r="CY63" s="6">
        <f t="shared" si="12"/>
        <v>26.61</v>
      </c>
      <c r="CZ63" s="6">
        <f t="shared" si="13"/>
        <v>26.509999999999998</v>
      </c>
      <c r="DA63" s="6">
        <f t="shared" si="14"/>
        <v>1.1144799999999999</v>
      </c>
    </row>
    <row r="64" spans="77:105" x14ac:dyDescent="0.15">
      <c r="BY64" s="31">
        <v>44138</v>
      </c>
      <c r="CJ64" s="6" t="s">
        <v>59</v>
      </c>
      <c r="CK64" s="6" t="s">
        <v>59</v>
      </c>
      <c r="CP64" s="31">
        <v>43674</v>
      </c>
      <c r="CQ64" s="6">
        <v>26.93</v>
      </c>
      <c r="CR64" s="6">
        <v>27.13</v>
      </c>
      <c r="CS64" s="6">
        <f t="shared" si="15"/>
        <v>27.03</v>
      </c>
      <c r="CT64" s="6">
        <v>1.1127</v>
      </c>
      <c r="CW64" s="31">
        <f t="shared" si="16"/>
        <v>43674</v>
      </c>
      <c r="CX64" s="6">
        <f t="shared" si="11"/>
        <v>26.93</v>
      </c>
      <c r="CY64" s="6">
        <f t="shared" si="12"/>
        <v>27.13</v>
      </c>
      <c r="CZ64" s="6">
        <f t="shared" si="13"/>
        <v>27.03</v>
      </c>
      <c r="DA64" s="6">
        <f t="shared" si="14"/>
        <v>1.1127</v>
      </c>
    </row>
    <row r="65" spans="77:105" x14ac:dyDescent="0.15">
      <c r="BY65" s="31">
        <v>44137</v>
      </c>
      <c r="CJ65" s="6" t="s">
        <v>60</v>
      </c>
      <c r="CK65" s="6" t="s">
        <v>60</v>
      </c>
      <c r="CP65" s="31">
        <v>43673</v>
      </c>
      <c r="CQ65" s="6">
        <v>26.91</v>
      </c>
      <c r="CR65" s="6">
        <v>27.11</v>
      </c>
      <c r="CS65" s="6">
        <f t="shared" si="15"/>
        <v>27.009999999999998</v>
      </c>
      <c r="CT65" s="6">
        <v>1.1127</v>
      </c>
      <c r="CW65" s="31">
        <f t="shared" si="16"/>
        <v>43673</v>
      </c>
      <c r="CX65" s="6">
        <f t="shared" si="11"/>
        <v>26.91</v>
      </c>
      <c r="CY65" s="6">
        <f t="shared" si="12"/>
        <v>27.11</v>
      </c>
      <c r="CZ65" s="6">
        <f t="shared" si="13"/>
        <v>27.009999999999998</v>
      </c>
      <c r="DA65" s="6">
        <f t="shared" si="14"/>
        <v>1.1127</v>
      </c>
    </row>
    <row r="66" spans="77:105" x14ac:dyDescent="0.15">
      <c r="BY66" s="31">
        <v>44134</v>
      </c>
      <c r="CJ66" s="6" t="s">
        <v>61</v>
      </c>
      <c r="CK66" s="6" t="s">
        <v>61</v>
      </c>
      <c r="CP66" s="31">
        <v>43672</v>
      </c>
      <c r="CQ66" s="6">
        <v>26.94</v>
      </c>
      <c r="CR66" s="6">
        <v>27.14</v>
      </c>
      <c r="CS66" s="6">
        <f t="shared" si="15"/>
        <v>27.04</v>
      </c>
      <c r="CT66" s="6">
        <v>1.1127</v>
      </c>
      <c r="CW66" s="31">
        <f t="shared" si="16"/>
        <v>43672</v>
      </c>
      <c r="CX66" s="6">
        <f t="shared" si="11"/>
        <v>26.94</v>
      </c>
      <c r="CY66" s="6">
        <f t="shared" si="12"/>
        <v>27.14</v>
      </c>
      <c r="CZ66" s="6">
        <f t="shared" si="13"/>
        <v>27.04</v>
      </c>
      <c r="DA66" s="6">
        <f t="shared" si="14"/>
        <v>1.1127</v>
      </c>
    </row>
    <row r="67" spans="77:105" x14ac:dyDescent="0.15">
      <c r="BY67" s="31">
        <v>44133</v>
      </c>
      <c r="CJ67" s="6" t="s">
        <v>62</v>
      </c>
      <c r="CK67" s="6" t="s">
        <v>62</v>
      </c>
      <c r="CP67" s="31">
        <v>43671</v>
      </c>
      <c r="CQ67" s="6">
        <v>27.07</v>
      </c>
      <c r="CR67" s="6">
        <v>27.27</v>
      </c>
      <c r="CS67" s="6">
        <f t="shared" si="15"/>
        <v>27.17</v>
      </c>
      <c r="CT67" s="6">
        <v>1.1147400000000001</v>
      </c>
      <c r="CW67" s="31">
        <f t="shared" si="16"/>
        <v>43671</v>
      </c>
      <c r="CX67" s="6">
        <f t="shared" si="11"/>
        <v>27.07</v>
      </c>
      <c r="CY67" s="6">
        <f t="shared" si="12"/>
        <v>27.27</v>
      </c>
      <c r="CZ67" s="6">
        <f t="shared" si="13"/>
        <v>27.17</v>
      </c>
      <c r="DA67" s="6">
        <f t="shared" si="14"/>
        <v>1.1147400000000001</v>
      </c>
    </row>
    <row r="68" spans="77:105" x14ac:dyDescent="0.15">
      <c r="BY68" s="31">
        <v>44132</v>
      </c>
      <c r="CJ68" s="6" t="s">
        <v>63</v>
      </c>
      <c r="CK68" s="6" t="s">
        <v>63</v>
      </c>
      <c r="CP68" s="31">
        <v>43670</v>
      </c>
      <c r="CQ68" s="6">
        <v>27.47</v>
      </c>
      <c r="CR68" s="6">
        <v>27.67</v>
      </c>
      <c r="CS68" s="6">
        <f t="shared" si="15"/>
        <v>27.57</v>
      </c>
      <c r="CT68" s="6">
        <v>1.1140300000000001</v>
      </c>
      <c r="CW68" s="31">
        <f t="shared" si="16"/>
        <v>43670</v>
      </c>
      <c r="CX68" s="6">
        <f t="shared" si="11"/>
        <v>27.47</v>
      </c>
      <c r="CY68" s="6">
        <f t="shared" si="12"/>
        <v>27.67</v>
      </c>
      <c r="CZ68" s="6">
        <f t="shared" si="13"/>
        <v>27.57</v>
      </c>
      <c r="DA68" s="6">
        <f t="shared" si="14"/>
        <v>1.1140300000000001</v>
      </c>
    </row>
    <row r="69" spans="77:105" x14ac:dyDescent="0.15">
      <c r="BY69" s="31">
        <v>44131</v>
      </c>
      <c r="CJ69" s="6" t="s">
        <v>64</v>
      </c>
      <c r="CK69" s="6" t="s">
        <v>64</v>
      </c>
      <c r="CP69" s="31">
        <v>43669</v>
      </c>
      <c r="CQ69" s="6">
        <v>28.4</v>
      </c>
      <c r="CR69" s="6">
        <v>28.6</v>
      </c>
      <c r="CS69" s="6">
        <f t="shared" si="15"/>
        <v>28.5</v>
      </c>
      <c r="CT69" s="6">
        <v>1.1152</v>
      </c>
      <c r="CW69" s="31">
        <f t="shared" si="16"/>
        <v>43669</v>
      </c>
      <c r="CX69" s="6">
        <f t="shared" si="11"/>
        <v>28.4</v>
      </c>
      <c r="CY69" s="6">
        <f t="shared" si="12"/>
        <v>28.6</v>
      </c>
      <c r="CZ69" s="6">
        <f t="shared" si="13"/>
        <v>28.5</v>
      </c>
      <c r="DA69" s="6">
        <f t="shared" si="14"/>
        <v>1.1152</v>
      </c>
    </row>
    <row r="70" spans="77:105" x14ac:dyDescent="0.15">
      <c r="BY70" s="31">
        <v>44130</v>
      </c>
      <c r="CP70" s="31">
        <v>43668</v>
      </c>
      <c r="CQ70" s="6">
        <v>29.57</v>
      </c>
      <c r="CR70" s="6">
        <v>29.77</v>
      </c>
      <c r="CS70" s="6">
        <f t="shared" si="15"/>
        <v>29.67</v>
      </c>
      <c r="CT70" s="6">
        <v>1.12086</v>
      </c>
      <c r="CW70" s="31">
        <f t="shared" si="16"/>
        <v>43668</v>
      </c>
      <c r="CX70" s="6">
        <f t="shared" si="11"/>
        <v>29.57</v>
      </c>
      <c r="CY70" s="6">
        <f t="shared" si="12"/>
        <v>29.77</v>
      </c>
      <c r="CZ70" s="6">
        <f t="shared" si="13"/>
        <v>29.67</v>
      </c>
      <c r="DA70" s="6">
        <f t="shared" si="14"/>
        <v>1.12086</v>
      </c>
    </row>
    <row r="71" spans="77:105" x14ac:dyDescent="0.15">
      <c r="BY71" s="31">
        <v>44127</v>
      </c>
      <c r="CP71" s="31">
        <v>43667</v>
      </c>
      <c r="CQ71" s="6">
        <v>27.77</v>
      </c>
      <c r="CR71" s="6">
        <v>27.97</v>
      </c>
      <c r="CS71" s="6">
        <f t="shared" si="15"/>
        <v>27.869999999999997</v>
      </c>
      <c r="CT71" s="6">
        <v>1.12216</v>
      </c>
      <c r="CW71" s="31">
        <f t="shared" si="16"/>
        <v>43667</v>
      </c>
      <c r="CX71" s="6">
        <f t="shared" si="11"/>
        <v>27.77</v>
      </c>
      <c r="CY71" s="6">
        <f t="shared" si="12"/>
        <v>27.97</v>
      </c>
      <c r="CZ71" s="6">
        <f t="shared" si="13"/>
        <v>27.869999999999997</v>
      </c>
      <c r="DA71" s="6">
        <f t="shared" si="14"/>
        <v>1.12216</v>
      </c>
    </row>
    <row r="72" spans="77:105" x14ac:dyDescent="0.15">
      <c r="BY72" s="31">
        <v>44126</v>
      </c>
      <c r="CP72" s="31">
        <v>43666</v>
      </c>
      <c r="CQ72" s="6">
        <v>27.83</v>
      </c>
      <c r="CR72" s="6">
        <v>27.99</v>
      </c>
      <c r="CS72" s="6">
        <f t="shared" si="15"/>
        <v>27.909999999999997</v>
      </c>
      <c r="CT72" s="6">
        <v>1.12216</v>
      </c>
      <c r="CW72" s="31">
        <f t="shared" si="16"/>
        <v>43666</v>
      </c>
      <c r="CX72" s="6">
        <f t="shared" si="11"/>
        <v>27.83</v>
      </c>
      <c r="CY72" s="6">
        <f t="shared" si="12"/>
        <v>27.99</v>
      </c>
      <c r="CZ72" s="6">
        <f t="shared" si="13"/>
        <v>27.909999999999997</v>
      </c>
      <c r="DA72" s="6">
        <f t="shared" si="14"/>
        <v>1.12216</v>
      </c>
    </row>
    <row r="73" spans="77:105" x14ac:dyDescent="0.15">
      <c r="BY73" s="31">
        <v>44125</v>
      </c>
      <c r="CP73" s="31">
        <v>43665</v>
      </c>
      <c r="CQ73" s="6">
        <v>27.66</v>
      </c>
      <c r="CR73" s="6">
        <v>27.86</v>
      </c>
      <c r="CS73" s="6">
        <f t="shared" si="15"/>
        <v>27.759999999999998</v>
      </c>
      <c r="CT73" s="6">
        <v>1.12216</v>
      </c>
      <c r="CW73" s="31">
        <f t="shared" si="16"/>
        <v>43665</v>
      </c>
      <c r="CX73" s="6">
        <f t="shared" si="11"/>
        <v>27.66</v>
      </c>
      <c r="CY73" s="6">
        <f t="shared" si="12"/>
        <v>27.86</v>
      </c>
      <c r="CZ73" s="6">
        <f t="shared" si="13"/>
        <v>27.759999999999998</v>
      </c>
      <c r="DA73" s="6">
        <f t="shared" si="14"/>
        <v>1.12216</v>
      </c>
    </row>
    <row r="74" spans="77:105" x14ac:dyDescent="0.15">
      <c r="BY74" s="31">
        <v>44124</v>
      </c>
      <c r="CP74" s="31">
        <v>43664</v>
      </c>
      <c r="CQ74" s="6">
        <v>27.73</v>
      </c>
      <c r="CR74" s="6">
        <v>27.93</v>
      </c>
      <c r="CS74" s="6">
        <f t="shared" si="15"/>
        <v>27.83</v>
      </c>
      <c r="CT74" s="6">
        <v>1.12771</v>
      </c>
      <c r="CW74" s="31">
        <f t="shared" si="16"/>
        <v>43664</v>
      </c>
      <c r="CX74" s="6">
        <f t="shared" si="11"/>
        <v>27.73</v>
      </c>
      <c r="CY74" s="6">
        <f t="shared" si="12"/>
        <v>27.93</v>
      </c>
      <c r="CZ74" s="6">
        <f t="shared" si="13"/>
        <v>27.83</v>
      </c>
      <c r="DA74" s="6">
        <f t="shared" si="14"/>
        <v>1.12771</v>
      </c>
    </row>
    <row r="75" spans="77:105" x14ac:dyDescent="0.15">
      <c r="BY75" s="31">
        <v>44123</v>
      </c>
      <c r="CP75" s="31">
        <v>43663</v>
      </c>
      <c r="CQ75" s="6">
        <v>28.23</v>
      </c>
      <c r="CR75" s="6">
        <v>28.43</v>
      </c>
      <c r="CS75" s="6">
        <f t="shared" si="15"/>
        <v>28.33</v>
      </c>
      <c r="CT75" s="6">
        <v>1.12239</v>
      </c>
      <c r="CW75" s="31">
        <f t="shared" si="16"/>
        <v>43663</v>
      </c>
      <c r="CX75" s="6">
        <f t="shared" si="11"/>
        <v>28.23</v>
      </c>
      <c r="CY75" s="6">
        <f t="shared" si="12"/>
        <v>28.43</v>
      </c>
      <c r="CZ75" s="6">
        <f t="shared" si="13"/>
        <v>28.33</v>
      </c>
      <c r="DA75" s="6">
        <f t="shared" si="14"/>
        <v>1.12239</v>
      </c>
    </row>
    <row r="76" spans="77:105" x14ac:dyDescent="0.15">
      <c r="BY76" s="31">
        <v>44120</v>
      </c>
      <c r="CP76" s="31">
        <v>43662</v>
      </c>
      <c r="CQ76" s="6">
        <v>29.09</v>
      </c>
      <c r="CR76" s="6">
        <v>29.29</v>
      </c>
      <c r="CS76" s="6">
        <f t="shared" si="15"/>
        <v>29.189999999999998</v>
      </c>
      <c r="CT76" s="6">
        <v>1.12104</v>
      </c>
      <c r="CW76" s="31">
        <f t="shared" si="16"/>
        <v>43662</v>
      </c>
      <c r="CX76" s="6">
        <f t="shared" ref="CX76:CX139" si="22">IF($CQ$8=TRUE,CQ76,"")</f>
        <v>29.09</v>
      </c>
      <c r="CY76" s="6">
        <f t="shared" ref="CY76:CY139" si="23">IF($CR$8=TRUE,CR76,"")</f>
        <v>29.29</v>
      </c>
      <c r="CZ76" s="6">
        <f t="shared" ref="CZ76:CZ139" si="24">IF($CS$8=TRUE,CS76,"")</f>
        <v>29.189999999999998</v>
      </c>
      <c r="DA76" s="6">
        <f t="shared" ref="DA76:DA139" si="25">IF($CT$8=TRUE,CT76,"")</f>
        <v>1.12104</v>
      </c>
    </row>
    <row r="77" spans="77:105" x14ac:dyDescent="0.15">
      <c r="BY77" s="31">
        <v>44119</v>
      </c>
      <c r="CP77" s="31">
        <v>43661</v>
      </c>
      <c r="CQ77" s="6">
        <v>30.06</v>
      </c>
      <c r="CR77" s="6">
        <v>30.2</v>
      </c>
      <c r="CS77" s="6">
        <f t="shared" ref="CS77:CS140" si="26">AVERAGE(CQ77:CR77)</f>
        <v>30.13</v>
      </c>
      <c r="CT77" s="6">
        <v>1.1258999999999999</v>
      </c>
      <c r="CW77" s="31">
        <f t="shared" ref="CW77:CW140" si="27">CP77</f>
        <v>43661</v>
      </c>
      <c r="CX77" s="6">
        <f t="shared" si="22"/>
        <v>30.06</v>
      </c>
      <c r="CY77" s="6">
        <f t="shared" si="23"/>
        <v>30.2</v>
      </c>
      <c r="CZ77" s="6">
        <f t="shared" si="24"/>
        <v>30.13</v>
      </c>
      <c r="DA77" s="6">
        <f t="shared" si="25"/>
        <v>1.1258999999999999</v>
      </c>
    </row>
    <row r="78" spans="77:105" x14ac:dyDescent="0.15">
      <c r="BY78" s="31">
        <v>44118</v>
      </c>
      <c r="CP78" s="31">
        <v>43660</v>
      </c>
      <c r="CQ78" s="6">
        <v>28.26</v>
      </c>
      <c r="CR78" s="6">
        <v>28.47</v>
      </c>
      <c r="CS78" s="6">
        <f t="shared" si="26"/>
        <v>28.365000000000002</v>
      </c>
      <c r="CT78" s="6">
        <v>1.1270199999999999</v>
      </c>
      <c r="CW78" s="31">
        <f t="shared" si="27"/>
        <v>43660</v>
      </c>
      <c r="CX78" s="6">
        <f t="shared" si="22"/>
        <v>28.26</v>
      </c>
      <c r="CY78" s="6">
        <f t="shared" si="23"/>
        <v>28.47</v>
      </c>
      <c r="CZ78" s="6">
        <f t="shared" si="24"/>
        <v>28.365000000000002</v>
      </c>
      <c r="DA78" s="6">
        <f t="shared" si="25"/>
        <v>1.1270199999999999</v>
      </c>
    </row>
    <row r="79" spans="77:105" x14ac:dyDescent="0.15">
      <c r="BY79" s="31">
        <v>44117</v>
      </c>
      <c r="CP79" s="31">
        <v>43659</v>
      </c>
      <c r="CQ79" s="6">
        <v>28.25</v>
      </c>
      <c r="CR79" s="6">
        <v>28.45</v>
      </c>
      <c r="CS79" s="6">
        <f t="shared" si="26"/>
        <v>28.35</v>
      </c>
      <c r="CT79" s="6">
        <v>1.1270199999999999</v>
      </c>
      <c r="CW79" s="31">
        <f t="shared" si="27"/>
        <v>43659</v>
      </c>
      <c r="CX79" s="6">
        <f t="shared" si="22"/>
        <v>28.25</v>
      </c>
      <c r="CY79" s="6">
        <f t="shared" si="23"/>
        <v>28.45</v>
      </c>
      <c r="CZ79" s="6">
        <f t="shared" si="24"/>
        <v>28.35</v>
      </c>
      <c r="DA79" s="6">
        <f t="shared" si="25"/>
        <v>1.1270199999999999</v>
      </c>
    </row>
    <row r="80" spans="77:105" x14ac:dyDescent="0.15">
      <c r="BY80" s="31">
        <v>44116</v>
      </c>
      <c r="CP80" s="31">
        <v>43658</v>
      </c>
      <c r="CQ80" s="6">
        <v>28.3</v>
      </c>
      <c r="CR80" s="6">
        <v>28.5</v>
      </c>
      <c r="CS80" s="6">
        <f t="shared" si="26"/>
        <v>28.4</v>
      </c>
      <c r="CT80" s="6">
        <v>1.1270199999999999</v>
      </c>
      <c r="CW80" s="31">
        <f t="shared" si="27"/>
        <v>43658</v>
      </c>
      <c r="CX80" s="6">
        <f t="shared" si="22"/>
        <v>28.3</v>
      </c>
      <c r="CY80" s="6">
        <f t="shared" si="23"/>
        <v>28.5</v>
      </c>
      <c r="CZ80" s="6">
        <f t="shared" si="24"/>
        <v>28.4</v>
      </c>
      <c r="DA80" s="6">
        <f t="shared" si="25"/>
        <v>1.1270199999999999</v>
      </c>
    </row>
    <row r="81" spans="77:105" x14ac:dyDescent="0.15">
      <c r="BY81" s="31">
        <v>44113</v>
      </c>
      <c r="CP81" s="31">
        <v>43657</v>
      </c>
      <c r="CQ81" s="6">
        <v>28.26</v>
      </c>
      <c r="CR81" s="6">
        <v>28.46</v>
      </c>
      <c r="CS81" s="6">
        <f t="shared" si="26"/>
        <v>28.36</v>
      </c>
      <c r="CT81" s="6">
        <v>1.1254200000000001</v>
      </c>
      <c r="CW81" s="31">
        <f t="shared" si="27"/>
        <v>43657</v>
      </c>
      <c r="CX81" s="6">
        <f t="shared" si="22"/>
        <v>28.26</v>
      </c>
      <c r="CY81" s="6">
        <f t="shared" si="23"/>
        <v>28.46</v>
      </c>
      <c r="CZ81" s="6">
        <f t="shared" si="24"/>
        <v>28.36</v>
      </c>
      <c r="DA81" s="6">
        <f t="shared" si="25"/>
        <v>1.1254200000000001</v>
      </c>
    </row>
    <row r="82" spans="77:105" x14ac:dyDescent="0.15">
      <c r="BY82" s="31">
        <v>44112</v>
      </c>
      <c r="CP82" s="31">
        <v>43656</v>
      </c>
      <c r="CQ82" s="6">
        <v>28.33</v>
      </c>
      <c r="CR82" s="6">
        <v>28.53</v>
      </c>
      <c r="CS82" s="6">
        <f t="shared" si="26"/>
        <v>28.43</v>
      </c>
      <c r="CT82" s="6">
        <v>1.1250899999999999</v>
      </c>
      <c r="CW82" s="31">
        <f t="shared" si="27"/>
        <v>43656</v>
      </c>
      <c r="CX82" s="6">
        <f t="shared" si="22"/>
        <v>28.33</v>
      </c>
      <c r="CY82" s="6">
        <f t="shared" si="23"/>
        <v>28.53</v>
      </c>
      <c r="CZ82" s="6">
        <f t="shared" si="24"/>
        <v>28.43</v>
      </c>
      <c r="DA82" s="6">
        <f t="shared" si="25"/>
        <v>1.1250899999999999</v>
      </c>
    </row>
    <row r="83" spans="77:105" x14ac:dyDescent="0.15">
      <c r="BY83" s="31">
        <v>44111</v>
      </c>
      <c r="CP83" s="31">
        <v>43655</v>
      </c>
      <c r="CQ83" s="6">
        <v>29.53</v>
      </c>
      <c r="CR83" s="6">
        <v>29.73</v>
      </c>
      <c r="CS83" s="6">
        <f t="shared" si="26"/>
        <v>29.630000000000003</v>
      </c>
      <c r="CT83" s="6">
        <v>1.12079</v>
      </c>
      <c r="CW83" s="31">
        <f t="shared" si="27"/>
        <v>43655</v>
      </c>
      <c r="CX83" s="6">
        <f t="shared" si="22"/>
        <v>29.53</v>
      </c>
      <c r="CY83" s="6">
        <f t="shared" si="23"/>
        <v>29.73</v>
      </c>
      <c r="CZ83" s="6">
        <f t="shared" si="24"/>
        <v>29.630000000000003</v>
      </c>
      <c r="DA83" s="6">
        <f t="shared" si="25"/>
        <v>1.12079</v>
      </c>
    </row>
    <row r="84" spans="77:105" x14ac:dyDescent="0.15">
      <c r="BY84" s="31">
        <v>44110</v>
      </c>
      <c r="CP84" s="31">
        <v>43654</v>
      </c>
      <c r="CQ84" s="6">
        <v>30.76</v>
      </c>
      <c r="CR84" s="6">
        <v>30.96</v>
      </c>
      <c r="CS84" s="6">
        <f t="shared" si="26"/>
        <v>30.86</v>
      </c>
      <c r="CT84" s="6">
        <v>1.1214200000000001</v>
      </c>
      <c r="CW84" s="31">
        <f t="shared" si="27"/>
        <v>43654</v>
      </c>
      <c r="CX84" s="6">
        <f t="shared" si="22"/>
        <v>30.76</v>
      </c>
      <c r="CY84" s="6">
        <f t="shared" si="23"/>
        <v>30.96</v>
      </c>
      <c r="CZ84" s="6">
        <f t="shared" si="24"/>
        <v>30.86</v>
      </c>
      <c r="DA84" s="6">
        <f t="shared" si="25"/>
        <v>1.1214200000000001</v>
      </c>
    </row>
    <row r="85" spans="77:105" x14ac:dyDescent="0.15">
      <c r="BY85" s="31">
        <v>44109</v>
      </c>
      <c r="CP85" s="31">
        <v>43653</v>
      </c>
      <c r="CQ85" s="6">
        <v>28.58</v>
      </c>
      <c r="CR85" s="6">
        <v>28.8</v>
      </c>
      <c r="CS85" s="6">
        <f t="shared" si="26"/>
        <v>28.689999999999998</v>
      </c>
      <c r="CT85" s="6">
        <v>1.1225099999999999</v>
      </c>
      <c r="CW85" s="31">
        <f t="shared" si="27"/>
        <v>43653</v>
      </c>
      <c r="CX85" s="6">
        <f t="shared" si="22"/>
        <v>28.58</v>
      </c>
      <c r="CY85" s="6">
        <f t="shared" si="23"/>
        <v>28.8</v>
      </c>
      <c r="CZ85" s="6">
        <f t="shared" si="24"/>
        <v>28.689999999999998</v>
      </c>
      <c r="DA85" s="6">
        <f t="shared" si="25"/>
        <v>1.1225099999999999</v>
      </c>
    </row>
    <row r="86" spans="77:105" x14ac:dyDescent="0.15">
      <c r="BY86" s="31">
        <v>44106</v>
      </c>
      <c r="CP86" s="31">
        <v>43652</v>
      </c>
      <c r="CQ86" s="6">
        <v>28.35</v>
      </c>
      <c r="CR86" s="6">
        <v>28.55</v>
      </c>
      <c r="CS86" s="6">
        <f t="shared" si="26"/>
        <v>28.450000000000003</v>
      </c>
      <c r="CT86" s="6">
        <v>1.1225099999999999</v>
      </c>
      <c r="CW86" s="31">
        <f t="shared" si="27"/>
        <v>43652</v>
      </c>
      <c r="CX86" s="6">
        <f t="shared" si="22"/>
        <v>28.35</v>
      </c>
      <c r="CY86" s="6">
        <f t="shared" si="23"/>
        <v>28.55</v>
      </c>
      <c r="CZ86" s="6">
        <f t="shared" si="24"/>
        <v>28.450000000000003</v>
      </c>
      <c r="DA86" s="6">
        <f t="shared" si="25"/>
        <v>1.1225099999999999</v>
      </c>
    </row>
    <row r="87" spans="77:105" x14ac:dyDescent="0.15">
      <c r="BY87" s="31">
        <v>44105</v>
      </c>
      <c r="CP87" s="31">
        <v>43651</v>
      </c>
      <c r="CQ87" s="6">
        <v>28.79</v>
      </c>
      <c r="CR87" s="6">
        <v>28.99</v>
      </c>
      <c r="CS87" s="6">
        <f t="shared" si="26"/>
        <v>28.89</v>
      </c>
      <c r="CT87" s="6">
        <v>1.1225099999999999</v>
      </c>
      <c r="CW87" s="31">
        <f t="shared" si="27"/>
        <v>43651</v>
      </c>
      <c r="CX87" s="6">
        <f t="shared" si="22"/>
        <v>28.79</v>
      </c>
      <c r="CY87" s="6">
        <f t="shared" si="23"/>
        <v>28.99</v>
      </c>
      <c r="CZ87" s="6">
        <f t="shared" si="24"/>
        <v>28.89</v>
      </c>
      <c r="DA87" s="6">
        <f t="shared" si="25"/>
        <v>1.1225099999999999</v>
      </c>
    </row>
    <row r="88" spans="77:105" x14ac:dyDescent="0.15">
      <c r="BY88" s="31">
        <v>44104</v>
      </c>
      <c r="CP88" s="31">
        <v>43650</v>
      </c>
      <c r="CQ88" s="6">
        <v>28.31</v>
      </c>
      <c r="CR88" s="6">
        <v>28.51</v>
      </c>
      <c r="CS88" s="6">
        <f t="shared" si="26"/>
        <v>28.41</v>
      </c>
      <c r="CT88" s="6">
        <v>1.12843</v>
      </c>
      <c r="CW88" s="31">
        <f t="shared" si="27"/>
        <v>43650</v>
      </c>
      <c r="CX88" s="6">
        <f t="shared" si="22"/>
        <v>28.31</v>
      </c>
      <c r="CY88" s="6">
        <f t="shared" si="23"/>
        <v>28.51</v>
      </c>
      <c r="CZ88" s="6">
        <f t="shared" si="24"/>
        <v>28.41</v>
      </c>
      <c r="DA88" s="6">
        <f t="shared" si="25"/>
        <v>1.12843</v>
      </c>
    </row>
    <row r="89" spans="77:105" x14ac:dyDescent="0.15">
      <c r="BY89" s="31">
        <v>44103</v>
      </c>
      <c r="CP89" s="31">
        <v>43649</v>
      </c>
      <c r="CQ89" s="6">
        <v>28.63</v>
      </c>
      <c r="CR89" s="6">
        <v>28.83</v>
      </c>
      <c r="CS89" s="6">
        <f t="shared" si="26"/>
        <v>28.729999999999997</v>
      </c>
      <c r="CT89" s="6">
        <v>1.1277999999999999</v>
      </c>
      <c r="CW89" s="31">
        <f t="shared" si="27"/>
        <v>43649</v>
      </c>
      <c r="CX89" s="6">
        <f t="shared" si="22"/>
        <v>28.63</v>
      </c>
      <c r="CY89" s="6">
        <f t="shared" si="23"/>
        <v>28.83</v>
      </c>
      <c r="CZ89" s="6">
        <f t="shared" si="24"/>
        <v>28.729999999999997</v>
      </c>
      <c r="DA89" s="6">
        <f t="shared" si="25"/>
        <v>1.1277999999999999</v>
      </c>
    </row>
    <row r="90" spans="77:105" x14ac:dyDescent="0.15">
      <c r="BY90" s="31">
        <v>44102</v>
      </c>
      <c r="CP90" s="31">
        <v>43648</v>
      </c>
      <c r="CQ90" s="6">
        <v>28.98</v>
      </c>
      <c r="CR90" s="6">
        <v>29.18</v>
      </c>
      <c r="CS90" s="6">
        <f t="shared" si="26"/>
        <v>29.08</v>
      </c>
      <c r="CT90" s="6">
        <v>1.1284700000000001</v>
      </c>
      <c r="CW90" s="31">
        <f t="shared" si="27"/>
        <v>43648</v>
      </c>
      <c r="CX90" s="6">
        <f t="shared" si="22"/>
        <v>28.98</v>
      </c>
      <c r="CY90" s="6">
        <f t="shared" si="23"/>
        <v>29.18</v>
      </c>
      <c r="CZ90" s="6">
        <f t="shared" si="24"/>
        <v>29.08</v>
      </c>
      <c r="DA90" s="6">
        <f t="shared" si="25"/>
        <v>1.1284700000000001</v>
      </c>
    </row>
    <row r="91" spans="77:105" x14ac:dyDescent="0.15">
      <c r="BY91" s="31">
        <v>44099</v>
      </c>
      <c r="CP91" s="31">
        <v>43647</v>
      </c>
      <c r="CQ91" s="6">
        <v>30.86</v>
      </c>
      <c r="CR91" s="6">
        <v>31.06</v>
      </c>
      <c r="CS91" s="6">
        <f t="shared" si="26"/>
        <v>30.96</v>
      </c>
      <c r="CT91" s="6">
        <v>1.1285799999999999</v>
      </c>
      <c r="CW91" s="31">
        <f t="shared" si="27"/>
        <v>43647</v>
      </c>
      <c r="CX91" s="6">
        <f t="shared" si="22"/>
        <v>30.86</v>
      </c>
      <c r="CY91" s="6">
        <f t="shared" si="23"/>
        <v>31.06</v>
      </c>
      <c r="CZ91" s="6">
        <f t="shared" si="24"/>
        <v>30.96</v>
      </c>
      <c r="DA91" s="6">
        <f t="shared" si="25"/>
        <v>1.1285799999999999</v>
      </c>
    </row>
    <row r="92" spans="77:105" x14ac:dyDescent="0.15">
      <c r="BY92" s="31">
        <v>44098</v>
      </c>
      <c r="CP92" s="31">
        <v>43646</v>
      </c>
      <c r="CQ92" s="6">
        <v>29.05</v>
      </c>
      <c r="CR92" s="6">
        <v>29.22</v>
      </c>
      <c r="CS92" s="6">
        <f t="shared" si="26"/>
        <v>29.134999999999998</v>
      </c>
      <c r="CT92" s="6">
        <v>1.1372</v>
      </c>
      <c r="CW92" s="31">
        <f t="shared" si="27"/>
        <v>43646</v>
      </c>
      <c r="CX92" s="6">
        <f t="shared" si="22"/>
        <v>29.05</v>
      </c>
      <c r="CY92" s="6">
        <f t="shared" si="23"/>
        <v>29.22</v>
      </c>
      <c r="CZ92" s="6">
        <f t="shared" si="24"/>
        <v>29.134999999999998</v>
      </c>
      <c r="DA92" s="6">
        <f t="shared" si="25"/>
        <v>1.1372</v>
      </c>
    </row>
    <row r="93" spans="77:105" x14ac:dyDescent="0.15">
      <c r="BY93" s="31">
        <v>44097</v>
      </c>
      <c r="CP93" s="31">
        <v>43645</v>
      </c>
      <c r="CQ93" s="6">
        <v>29</v>
      </c>
      <c r="CR93" s="6">
        <v>29.2</v>
      </c>
      <c r="CS93" s="6">
        <f t="shared" si="26"/>
        <v>29.1</v>
      </c>
      <c r="CT93" s="6">
        <v>1.1372</v>
      </c>
      <c r="CW93" s="31">
        <f t="shared" si="27"/>
        <v>43645</v>
      </c>
      <c r="CX93" s="6">
        <f t="shared" si="22"/>
        <v>29</v>
      </c>
      <c r="CY93" s="6">
        <f t="shared" si="23"/>
        <v>29.2</v>
      </c>
      <c r="CZ93" s="6">
        <f t="shared" si="24"/>
        <v>29.1</v>
      </c>
      <c r="DA93" s="6">
        <f t="shared" si="25"/>
        <v>1.1372</v>
      </c>
    </row>
    <row r="94" spans="77:105" x14ac:dyDescent="0.15">
      <c r="BY94" s="31">
        <v>44096</v>
      </c>
      <c r="CP94" s="31">
        <v>43644</v>
      </c>
      <c r="CQ94" s="6">
        <v>28.99</v>
      </c>
      <c r="CR94" s="6">
        <v>29.19</v>
      </c>
      <c r="CS94" s="6">
        <f t="shared" si="26"/>
        <v>29.09</v>
      </c>
      <c r="CT94" s="6">
        <v>1.1372</v>
      </c>
      <c r="CW94" s="31">
        <f t="shared" si="27"/>
        <v>43644</v>
      </c>
      <c r="CX94" s="6">
        <f t="shared" si="22"/>
        <v>28.99</v>
      </c>
      <c r="CY94" s="6">
        <f t="shared" si="23"/>
        <v>29.19</v>
      </c>
      <c r="CZ94" s="6">
        <f t="shared" si="24"/>
        <v>29.09</v>
      </c>
      <c r="DA94" s="6">
        <f t="shared" si="25"/>
        <v>1.1372</v>
      </c>
    </row>
    <row r="95" spans="77:105" x14ac:dyDescent="0.15">
      <c r="BY95" s="31">
        <v>44095</v>
      </c>
      <c r="CP95" s="31">
        <v>43643</v>
      </c>
      <c r="CQ95" s="6">
        <v>29.07</v>
      </c>
      <c r="CR95" s="6">
        <v>29.27</v>
      </c>
      <c r="CS95" s="6">
        <f t="shared" si="26"/>
        <v>29.17</v>
      </c>
      <c r="CT95" s="6">
        <v>1.1369400000000001</v>
      </c>
      <c r="CW95" s="31">
        <f t="shared" si="27"/>
        <v>43643</v>
      </c>
      <c r="CX95" s="6">
        <f t="shared" si="22"/>
        <v>29.07</v>
      </c>
      <c r="CY95" s="6">
        <f t="shared" si="23"/>
        <v>29.27</v>
      </c>
      <c r="CZ95" s="6">
        <f t="shared" si="24"/>
        <v>29.17</v>
      </c>
      <c r="DA95" s="6">
        <f t="shared" si="25"/>
        <v>1.1369400000000001</v>
      </c>
    </row>
    <row r="96" spans="77:105" x14ac:dyDescent="0.15">
      <c r="BY96" s="31">
        <v>44092</v>
      </c>
      <c r="CP96" s="31">
        <v>43642</v>
      </c>
      <c r="CQ96" s="6">
        <v>31.56</v>
      </c>
      <c r="CR96" s="6">
        <v>31.76</v>
      </c>
      <c r="CS96" s="6">
        <f t="shared" si="26"/>
        <v>31.66</v>
      </c>
      <c r="CT96" s="6">
        <v>1.1369400000000001</v>
      </c>
      <c r="CW96" s="31">
        <f t="shared" si="27"/>
        <v>43642</v>
      </c>
      <c r="CX96" s="6">
        <f t="shared" si="22"/>
        <v>31.56</v>
      </c>
      <c r="CY96" s="6">
        <f t="shared" si="23"/>
        <v>31.76</v>
      </c>
      <c r="CZ96" s="6">
        <f t="shared" si="24"/>
        <v>31.66</v>
      </c>
      <c r="DA96" s="6">
        <f t="shared" si="25"/>
        <v>1.1369400000000001</v>
      </c>
    </row>
    <row r="97" spans="77:105" x14ac:dyDescent="0.15">
      <c r="BY97" s="31">
        <v>44091</v>
      </c>
      <c r="CP97" s="31">
        <v>43641</v>
      </c>
      <c r="CQ97" s="6">
        <v>30.47</v>
      </c>
      <c r="CR97" s="6">
        <v>30.67</v>
      </c>
      <c r="CS97" s="6">
        <f t="shared" si="26"/>
        <v>30.57</v>
      </c>
      <c r="CT97" s="6">
        <v>1.1366700000000001</v>
      </c>
      <c r="CW97" s="31">
        <f t="shared" si="27"/>
        <v>43641</v>
      </c>
      <c r="CX97" s="6">
        <f t="shared" si="22"/>
        <v>30.47</v>
      </c>
      <c r="CY97" s="6">
        <f t="shared" si="23"/>
        <v>30.67</v>
      </c>
      <c r="CZ97" s="6">
        <f t="shared" si="24"/>
        <v>30.57</v>
      </c>
      <c r="DA97" s="6">
        <f t="shared" si="25"/>
        <v>1.1366700000000001</v>
      </c>
    </row>
    <row r="98" spans="77:105" x14ac:dyDescent="0.15">
      <c r="BY98" s="31">
        <v>44090</v>
      </c>
      <c r="CP98" s="31">
        <v>43640</v>
      </c>
      <c r="CQ98" s="6">
        <v>28.44</v>
      </c>
      <c r="CR98" s="6">
        <v>28.64</v>
      </c>
      <c r="CS98" s="6">
        <f t="shared" si="26"/>
        <v>28.54</v>
      </c>
      <c r="CT98" s="6">
        <v>1.13981</v>
      </c>
      <c r="CW98" s="31">
        <f t="shared" si="27"/>
        <v>43640</v>
      </c>
      <c r="CX98" s="6">
        <f t="shared" si="22"/>
        <v>28.44</v>
      </c>
      <c r="CY98" s="6">
        <f t="shared" si="23"/>
        <v>28.64</v>
      </c>
      <c r="CZ98" s="6">
        <f t="shared" si="24"/>
        <v>28.54</v>
      </c>
      <c r="DA98" s="6">
        <f t="shared" si="25"/>
        <v>1.13981</v>
      </c>
    </row>
    <row r="99" spans="77:105" x14ac:dyDescent="0.15">
      <c r="BY99" s="31">
        <v>44089</v>
      </c>
      <c r="CP99" s="31">
        <v>43639</v>
      </c>
      <c r="CQ99" s="6">
        <v>28.31</v>
      </c>
      <c r="CR99" s="6">
        <v>28.51</v>
      </c>
      <c r="CS99" s="6">
        <f t="shared" si="26"/>
        <v>28.41</v>
      </c>
      <c r="CT99" s="6">
        <v>1.1368499999999999</v>
      </c>
      <c r="CW99" s="31">
        <f t="shared" si="27"/>
        <v>43639</v>
      </c>
      <c r="CX99" s="6">
        <f t="shared" si="22"/>
        <v>28.31</v>
      </c>
      <c r="CY99" s="6">
        <f t="shared" si="23"/>
        <v>28.51</v>
      </c>
      <c r="CZ99" s="6">
        <f t="shared" si="24"/>
        <v>28.41</v>
      </c>
      <c r="DA99" s="6">
        <f t="shared" si="25"/>
        <v>1.1368499999999999</v>
      </c>
    </row>
    <row r="100" spans="77:105" x14ac:dyDescent="0.15">
      <c r="BY100" s="31">
        <v>44088</v>
      </c>
      <c r="CP100" s="31">
        <v>43638</v>
      </c>
      <c r="CQ100" s="6">
        <v>28.44</v>
      </c>
      <c r="CR100" s="6">
        <v>28.62</v>
      </c>
      <c r="CS100" s="6">
        <f t="shared" si="26"/>
        <v>28.53</v>
      </c>
      <c r="CT100" s="6">
        <v>1.1368499999999999</v>
      </c>
      <c r="CW100" s="31">
        <f t="shared" si="27"/>
        <v>43638</v>
      </c>
      <c r="CX100" s="6">
        <f t="shared" si="22"/>
        <v>28.44</v>
      </c>
      <c r="CY100" s="6">
        <f t="shared" si="23"/>
        <v>28.62</v>
      </c>
      <c r="CZ100" s="6">
        <f t="shared" si="24"/>
        <v>28.53</v>
      </c>
      <c r="DA100" s="6">
        <f t="shared" si="25"/>
        <v>1.1368499999999999</v>
      </c>
    </row>
    <row r="101" spans="77:105" x14ac:dyDescent="0.15">
      <c r="BY101" s="31">
        <v>44085</v>
      </c>
      <c r="CP101" s="31">
        <v>43637</v>
      </c>
      <c r="CQ101" s="6">
        <v>28.38</v>
      </c>
      <c r="CR101" s="6">
        <v>28.58</v>
      </c>
      <c r="CS101" s="6">
        <f t="shared" si="26"/>
        <v>28.479999999999997</v>
      </c>
      <c r="CT101" s="6">
        <v>1.1368499999999999</v>
      </c>
      <c r="CW101" s="31">
        <f t="shared" si="27"/>
        <v>43637</v>
      </c>
      <c r="CX101" s="6">
        <f t="shared" si="22"/>
        <v>28.38</v>
      </c>
      <c r="CY101" s="6">
        <f t="shared" si="23"/>
        <v>28.58</v>
      </c>
      <c r="CZ101" s="6">
        <f t="shared" si="24"/>
        <v>28.479999999999997</v>
      </c>
      <c r="DA101" s="6">
        <f t="shared" si="25"/>
        <v>1.1368499999999999</v>
      </c>
    </row>
    <row r="102" spans="77:105" x14ac:dyDescent="0.15">
      <c r="BY102" s="31">
        <v>44084</v>
      </c>
      <c r="CP102" s="31">
        <v>43636</v>
      </c>
      <c r="CQ102" s="6">
        <v>28.13</v>
      </c>
      <c r="CR102" s="6">
        <v>28.33</v>
      </c>
      <c r="CS102" s="6">
        <f t="shared" si="26"/>
        <v>28.229999999999997</v>
      </c>
      <c r="CT102" s="6">
        <v>1.12931</v>
      </c>
      <c r="CW102" s="31">
        <f t="shared" si="27"/>
        <v>43636</v>
      </c>
      <c r="CX102" s="6">
        <f t="shared" si="22"/>
        <v>28.13</v>
      </c>
      <c r="CY102" s="6">
        <f t="shared" si="23"/>
        <v>28.33</v>
      </c>
      <c r="CZ102" s="6">
        <f t="shared" si="24"/>
        <v>28.229999999999997</v>
      </c>
      <c r="DA102" s="6">
        <f t="shared" si="25"/>
        <v>1.12931</v>
      </c>
    </row>
    <row r="103" spans="77:105" x14ac:dyDescent="0.15">
      <c r="BY103" s="31">
        <v>44083</v>
      </c>
      <c r="CP103" s="31">
        <v>43635</v>
      </c>
      <c r="CQ103" s="6">
        <v>28.51</v>
      </c>
      <c r="CR103" s="6">
        <v>28.71</v>
      </c>
      <c r="CS103" s="6">
        <f t="shared" si="26"/>
        <v>28.61</v>
      </c>
      <c r="CT103" s="6">
        <v>1.12266</v>
      </c>
      <c r="CW103" s="31">
        <f t="shared" si="27"/>
        <v>43635</v>
      </c>
      <c r="CX103" s="6">
        <f t="shared" si="22"/>
        <v>28.51</v>
      </c>
      <c r="CY103" s="6">
        <f t="shared" si="23"/>
        <v>28.71</v>
      </c>
      <c r="CZ103" s="6">
        <f t="shared" si="24"/>
        <v>28.61</v>
      </c>
      <c r="DA103" s="6">
        <f t="shared" si="25"/>
        <v>1.12266</v>
      </c>
    </row>
    <row r="104" spans="77:105" x14ac:dyDescent="0.15">
      <c r="BY104" s="31">
        <v>44082</v>
      </c>
      <c r="CP104" s="31">
        <v>43634</v>
      </c>
      <c r="CQ104" s="6">
        <v>29.75</v>
      </c>
      <c r="CR104" s="6">
        <v>29.95</v>
      </c>
      <c r="CS104" s="6">
        <f t="shared" si="26"/>
        <v>29.85</v>
      </c>
      <c r="CT104" s="6">
        <v>1.1193900000000001</v>
      </c>
      <c r="CW104" s="31">
        <f t="shared" si="27"/>
        <v>43634</v>
      </c>
      <c r="CX104" s="6">
        <f t="shared" si="22"/>
        <v>29.75</v>
      </c>
      <c r="CY104" s="6">
        <f t="shared" si="23"/>
        <v>29.95</v>
      </c>
      <c r="CZ104" s="6">
        <f t="shared" si="24"/>
        <v>29.85</v>
      </c>
      <c r="DA104" s="6">
        <f t="shared" si="25"/>
        <v>1.1193900000000001</v>
      </c>
    </row>
    <row r="105" spans="77:105" x14ac:dyDescent="0.15">
      <c r="BY105" s="31">
        <v>44078</v>
      </c>
      <c r="CP105" s="31">
        <v>43633</v>
      </c>
      <c r="CQ105" s="6">
        <v>28.31</v>
      </c>
      <c r="CR105" s="6">
        <v>28.51</v>
      </c>
      <c r="CS105" s="6">
        <f t="shared" si="26"/>
        <v>28.41</v>
      </c>
      <c r="CT105" s="6">
        <v>1.12182</v>
      </c>
      <c r="CW105" s="31">
        <f t="shared" si="27"/>
        <v>43633</v>
      </c>
      <c r="CX105" s="6">
        <f t="shared" si="22"/>
        <v>28.31</v>
      </c>
      <c r="CY105" s="6">
        <f t="shared" si="23"/>
        <v>28.51</v>
      </c>
      <c r="CZ105" s="6">
        <f t="shared" si="24"/>
        <v>28.41</v>
      </c>
      <c r="DA105" s="6">
        <f t="shared" si="25"/>
        <v>1.12182</v>
      </c>
    </row>
    <row r="106" spans="77:105" x14ac:dyDescent="0.15">
      <c r="BY106" s="31">
        <v>44077</v>
      </c>
      <c r="CP106" s="31">
        <v>43632</v>
      </c>
      <c r="CQ106" s="6">
        <v>28.19</v>
      </c>
      <c r="CR106" s="6">
        <v>28.44</v>
      </c>
      <c r="CS106" s="6">
        <f t="shared" si="26"/>
        <v>28.315000000000001</v>
      </c>
      <c r="CT106" s="6">
        <v>1.1209</v>
      </c>
      <c r="CW106" s="31">
        <f t="shared" si="27"/>
        <v>43632</v>
      </c>
      <c r="CX106" s="6">
        <f t="shared" si="22"/>
        <v>28.19</v>
      </c>
      <c r="CY106" s="6">
        <f t="shared" si="23"/>
        <v>28.44</v>
      </c>
      <c r="CZ106" s="6">
        <f t="shared" si="24"/>
        <v>28.315000000000001</v>
      </c>
      <c r="DA106" s="6">
        <f t="shared" si="25"/>
        <v>1.1209</v>
      </c>
    </row>
    <row r="107" spans="77:105" x14ac:dyDescent="0.15">
      <c r="BY107" s="31">
        <v>44076</v>
      </c>
      <c r="CP107" s="31">
        <v>43631</v>
      </c>
      <c r="CQ107" s="6">
        <v>28.02</v>
      </c>
      <c r="CR107" s="6">
        <v>28.22</v>
      </c>
      <c r="CS107" s="6">
        <f t="shared" si="26"/>
        <v>28.119999999999997</v>
      </c>
      <c r="CT107" s="6">
        <v>1.1209</v>
      </c>
      <c r="CW107" s="31">
        <f t="shared" si="27"/>
        <v>43631</v>
      </c>
      <c r="CX107" s="6">
        <f t="shared" si="22"/>
        <v>28.02</v>
      </c>
      <c r="CY107" s="6">
        <f t="shared" si="23"/>
        <v>28.22</v>
      </c>
      <c r="CZ107" s="6">
        <f t="shared" si="24"/>
        <v>28.119999999999997</v>
      </c>
      <c r="DA107" s="6">
        <f t="shared" si="25"/>
        <v>1.1209</v>
      </c>
    </row>
    <row r="108" spans="77:105" x14ac:dyDescent="0.15">
      <c r="BY108" s="31">
        <v>44075</v>
      </c>
      <c r="CP108" s="31">
        <v>43630</v>
      </c>
      <c r="CQ108" s="6">
        <v>28.31</v>
      </c>
      <c r="CR108" s="6">
        <v>28.51</v>
      </c>
      <c r="CS108" s="6">
        <f t="shared" si="26"/>
        <v>28.41</v>
      </c>
      <c r="CT108" s="6">
        <v>1.1209</v>
      </c>
      <c r="CW108" s="31">
        <f t="shared" si="27"/>
        <v>43630</v>
      </c>
      <c r="CX108" s="6">
        <f t="shared" si="22"/>
        <v>28.31</v>
      </c>
      <c r="CY108" s="6">
        <f t="shared" si="23"/>
        <v>28.51</v>
      </c>
      <c r="CZ108" s="6">
        <f t="shared" si="24"/>
        <v>28.41</v>
      </c>
      <c r="DA108" s="6">
        <f t="shared" si="25"/>
        <v>1.1209</v>
      </c>
    </row>
    <row r="109" spans="77:105" x14ac:dyDescent="0.15">
      <c r="BY109" s="31">
        <v>44074</v>
      </c>
      <c r="CP109" s="31">
        <v>43629</v>
      </c>
      <c r="CQ109" s="6">
        <v>28.44</v>
      </c>
      <c r="CR109" s="6">
        <v>28.64</v>
      </c>
      <c r="CS109" s="6">
        <f t="shared" si="26"/>
        <v>28.54</v>
      </c>
      <c r="CT109" s="6">
        <v>1.1276299999999999</v>
      </c>
      <c r="CW109" s="31">
        <f t="shared" si="27"/>
        <v>43629</v>
      </c>
      <c r="CX109" s="6">
        <f t="shared" si="22"/>
        <v>28.44</v>
      </c>
      <c r="CY109" s="6">
        <f t="shared" si="23"/>
        <v>28.64</v>
      </c>
      <c r="CZ109" s="6">
        <f t="shared" si="24"/>
        <v>28.54</v>
      </c>
      <c r="DA109" s="6">
        <f t="shared" si="25"/>
        <v>1.1276299999999999</v>
      </c>
    </row>
    <row r="110" spans="77:105" x14ac:dyDescent="0.15">
      <c r="BY110" s="31">
        <v>44071</v>
      </c>
      <c r="CP110" s="31">
        <v>43628</v>
      </c>
      <c r="CQ110" s="6">
        <v>29.21</v>
      </c>
      <c r="CR110" s="6">
        <v>29.41</v>
      </c>
      <c r="CS110" s="6">
        <f t="shared" si="26"/>
        <v>29.310000000000002</v>
      </c>
      <c r="CT110" s="6">
        <v>1.1287499999999999</v>
      </c>
      <c r="CW110" s="31">
        <f t="shared" si="27"/>
        <v>43628</v>
      </c>
      <c r="CX110" s="6">
        <f t="shared" si="22"/>
        <v>29.21</v>
      </c>
      <c r="CY110" s="6">
        <f t="shared" si="23"/>
        <v>29.41</v>
      </c>
      <c r="CZ110" s="6">
        <f t="shared" si="24"/>
        <v>29.310000000000002</v>
      </c>
      <c r="DA110" s="6">
        <f t="shared" si="25"/>
        <v>1.1287499999999999</v>
      </c>
    </row>
    <row r="111" spans="77:105" x14ac:dyDescent="0.15">
      <c r="BY111" s="31">
        <v>44070</v>
      </c>
      <c r="CP111" s="31">
        <v>43627</v>
      </c>
      <c r="CQ111" s="6">
        <v>30.2</v>
      </c>
      <c r="CR111" s="6">
        <v>30.4</v>
      </c>
      <c r="CS111" s="6">
        <f t="shared" si="26"/>
        <v>30.299999999999997</v>
      </c>
      <c r="CT111" s="6">
        <v>1.1326000000000001</v>
      </c>
      <c r="CW111" s="31">
        <f t="shared" si="27"/>
        <v>43627</v>
      </c>
      <c r="CX111" s="6">
        <f t="shared" si="22"/>
        <v>30.2</v>
      </c>
      <c r="CY111" s="6">
        <f t="shared" si="23"/>
        <v>30.4</v>
      </c>
      <c r="CZ111" s="6">
        <f t="shared" si="24"/>
        <v>30.299999999999997</v>
      </c>
      <c r="DA111" s="6">
        <f t="shared" si="25"/>
        <v>1.1326000000000001</v>
      </c>
    </row>
    <row r="112" spans="77:105" x14ac:dyDescent="0.15">
      <c r="BY112" s="31">
        <v>44069</v>
      </c>
      <c r="CP112" s="31">
        <v>43626</v>
      </c>
      <c r="CQ112" s="6">
        <v>28.53</v>
      </c>
      <c r="CR112" s="6">
        <v>28.69</v>
      </c>
      <c r="CS112" s="6">
        <f t="shared" si="26"/>
        <v>28.61</v>
      </c>
      <c r="CT112" s="6">
        <v>1.1311500000000001</v>
      </c>
      <c r="CW112" s="31">
        <f t="shared" si="27"/>
        <v>43626</v>
      </c>
      <c r="CX112" s="6">
        <f t="shared" si="22"/>
        <v>28.53</v>
      </c>
      <c r="CY112" s="6">
        <f t="shared" si="23"/>
        <v>28.69</v>
      </c>
      <c r="CZ112" s="6">
        <f t="shared" si="24"/>
        <v>28.61</v>
      </c>
      <c r="DA112" s="6">
        <f t="shared" si="25"/>
        <v>1.1311500000000001</v>
      </c>
    </row>
    <row r="113" spans="77:105" x14ac:dyDescent="0.15">
      <c r="BY113" s="31">
        <v>44068</v>
      </c>
      <c r="CP113" s="31">
        <v>43625</v>
      </c>
      <c r="CQ113" s="6">
        <v>28.19</v>
      </c>
      <c r="CR113" s="6">
        <v>28.39</v>
      </c>
      <c r="CS113" s="6">
        <f t="shared" si="26"/>
        <v>28.29</v>
      </c>
      <c r="CT113" s="6">
        <v>1.13334</v>
      </c>
      <c r="CW113" s="31">
        <f t="shared" si="27"/>
        <v>43625</v>
      </c>
      <c r="CX113" s="6">
        <f t="shared" si="22"/>
        <v>28.19</v>
      </c>
      <c r="CY113" s="6">
        <f t="shared" si="23"/>
        <v>28.39</v>
      </c>
      <c r="CZ113" s="6">
        <f t="shared" si="24"/>
        <v>28.29</v>
      </c>
      <c r="DA113" s="6">
        <f t="shared" si="25"/>
        <v>1.13334</v>
      </c>
    </row>
    <row r="114" spans="77:105" x14ac:dyDescent="0.15">
      <c r="BY114" s="31">
        <v>44067</v>
      </c>
      <c r="CP114" s="31">
        <v>43624</v>
      </c>
      <c r="CQ114" s="6">
        <v>28.35</v>
      </c>
      <c r="CR114" s="6">
        <v>28.53</v>
      </c>
      <c r="CS114" s="6">
        <f t="shared" si="26"/>
        <v>28.44</v>
      </c>
      <c r="CT114" s="6">
        <v>1.13334</v>
      </c>
      <c r="CW114" s="31">
        <f t="shared" si="27"/>
        <v>43624</v>
      </c>
      <c r="CX114" s="6">
        <f t="shared" si="22"/>
        <v>28.35</v>
      </c>
      <c r="CY114" s="6">
        <f t="shared" si="23"/>
        <v>28.53</v>
      </c>
      <c r="CZ114" s="6">
        <f t="shared" si="24"/>
        <v>28.44</v>
      </c>
      <c r="DA114" s="6">
        <f t="shared" si="25"/>
        <v>1.13334</v>
      </c>
    </row>
    <row r="115" spans="77:105" x14ac:dyDescent="0.15">
      <c r="BY115" s="31">
        <v>44064</v>
      </c>
      <c r="CP115" s="31">
        <v>43623</v>
      </c>
      <c r="CQ115" s="6">
        <v>28.37</v>
      </c>
      <c r="CR115" s="6">
        <v>28.57</v>
      </c>
      <c r="CS115" s="6">
        <f t="shared" si="26"/>
        <v>28.47</v>
      </c>
      <c r="CT115" s="6">
        <v>1.13334</v>
      </c>
      <c r="CW115" s="31">
        <f t="shared" si="27"/>
        <v>43623</v>
      </c>
      <c r="CX115" s="6">
        <f t="shared" si="22"/>
        <v>28.37</v>
      </c>
      <c r="CY115" s="6">
        <f t="shared" si="23"/>
        <v>28.57</v>
      </c>
      <c r="CZ115" s="6">
        <f t="shared" si="24"/>
        <v>28.47</v>
      </c>
      <c r="DA115" s="6">
        <f t="shared" si="25"/>
        <v>1.13334</v>
      </c>
    </row>
    <row r="116" spans="77:105" x14ac:dyDescent="0.15">
      <c r="BY116" s="31">
        <v>44063</v>
      </c>
      <c r="CP116" s="31">
        <v>43622</v>
      </c>
      <c r="CQ116" s="6">
        <v>27.92</v>
      </c>
      <c r="CR116" s="6">
        <v>28.12</v>
      </c>
      <c r="CS116" s="6">
        <f t="shared" si="26"/>
        <v>28.020000000000003</v>
      </c>
      <c r="CT116" s="6">
        <v>1.1275999999999999</v>
      </c>
      <c r="CW116" s="31">
        <f t="shared" si="27"/>
        <v>43622</v>
      </c>
      <c r="CX116" s="6">
        <f t="shared" si="22"/>
        <v>27.92</v>
      </c>
      <c r="CY116" s="6">
        <f t="shared" si="23"/>
        <v>28.12</v>
      </c>
      <c r="CZ116" s="6">
        <f t="shared" si="24"/>
        <v>28.020000000000003</v>
      </c>
      <c r="DA116" s="6">
        <f t="shared" si="25"/>
        <v>1.1275999999999999</v>
      </c>
    </row>
    <row r="117" spans="77:105" x14ac:dyDescent="0.15">
      <c r="BY117" s="31">
        <v>44062</v>
      </c>
      <c r="CP117" s="31">
        <v>43621</v>
      </c>
      <c r="CQ117" s="6">
        <v>28.92</v>
      </c>
      <c r="CR117" s="6">
        <v>29.12</v>
      </c>
      <c r="CS117" s="6">
        <f t="shared" si="26"/>
        <v>29.020000000000003</v>
      </c>
      <c r="CT117" s="6">
        <v>1.12209</v>
      </c>
      <c r="CW117" s="31">
        <f t="shared" si="27"/>
        <v>43621</v>
      </c>
      <c r="CX117" s="6">
        <f t="shared" si="22"/>
        <v>28.92</v>
      </c>
      <c r="CY117" s="6">
        <f t="shared" si="23"/>
        <v>29.12</v>
      </c>
      <c r="CZ117" s="6">
        <f t="shared" si="24"/>
        <v>29.020000000000003</v>
      </c>
      <c r="DA117" s="6">
        <f t="shared" si="25"/>
        <v>1.12209</v>
      </c>
    </row>
    <row r="118" spans="77:105" x14ac:dyDescent="0.15">
      <c r="BY118" s="31">
        <v>44061</v>
      </c>
      <c r="CP118" s="31">
        <v>43620</v>
      </c>
      <c r="CQ118" s="6">
        <v>30.06</v>
      </c>
      <c r="CR118" s="6">
        <v>30.26</v>
      </c>
      <c r="CS118" s="6">
        <f t="shared" si="26"/>
        <v>30.16</v>
      </c>
      <c r="CT118" s="6">
        <v>1.1251800000000001</v>
      </c>
      <c r="CW118" s="31">
        <f t="shared" si="27"/>
        <v>43620</v>
      </c>
      <c r="CX118" s="6">
        <f t="shared" si="22"/>
        <v>30.06</v>
      </c>
      <c r="CY118" s="6">
        <f t="shared" si="23"/>
        <v>30.26</v>
      </c>
      <c r="CZ118" s="6">
        <f t="shared" si="24"/>
        <v>30.16</v>
      </c>
      <c r="DA118" s="6">
        <f t="shared" si="25"/>
        <v>1.1251800000000001</v>
      </c>
    </row>
    <row r="119" spans="77:105" x14ac:dyDescent="0.15">
      <c r="BY119" s="31">
        <v>44060</v>
      </c>
      <c r="CP119" s="31">
        <v>43619</v>
      </c>
      <c r="CQ119" s="6">
        <v>28.1</v>
      </c>
      <c r="CR119" s="6">
        <v>28.3</v>
      </c>
      <c r="CS119" s="6">
        <f t="shared" si="26"/>
        <v>28.200000000000003</v>
      </c>
      <c r="CT119" s="6">
        <v>1.12408</v>
      </c>
      <c r="CW119" s="31">
        <f t="shared" si="27"/>
        <v>43619</v>
      </c>
      <c r="CX119" s="6">
        <f t="shared" si="22"/>
        <v>28.1</v>
      </c>
      <c r="CY119" s="6">
        <f t="shared" si="23"/>
        <v>28.3</v>
      </c>
      <c r="CZ119" s="6">
        <f t="shared" si="24"/>
        <v>28.200000000000003</v>
      </c>
      <c r="DA119" s="6">
        <f t="shared" si="25"/>
        <v>1.12408</v>
      </c>
    </row>
    <row r="120" spans="77:105" x14ac:dyDescent="0.15">
      <c r="BY120" s="31">
        <v>44057</v>
      </c>
      <c r="CP120" s="31">
        <v>43618</v>
      </c>
      <c r="CQ120" s="6">
        <v>29.36</v>
      </c>
      <c r="CR120" s="6">
        <v>29.59</v>
      </c>
      <c r="CS120" s="6">
        <f t="shared" si="26"/>
        <v>29.475000000000001</v>
      </c>
      <c r="CT120" s="6">
        <v>1.1169500000000001</v>
      </c>
      <c r="CW120" s="31">
        <f t="shared" si="27"/>
        <v>43618</v>
      </c>
      <c r="CX120" s="6">
        <f t="shared" si="22"/>
        <v>29.36</v>
      </c>
      <c r="CY120" s="6">
        <f t="shared" si="23"/>
        <v>29.59</v>
      </c>
      <c r="CZ120" s="6">
        <f t="shared" si="24"/>
        <v>29.475000000000001</v>
      </c>
      <c r="DA120" s="6">
        <f t="shared" si="25"/>
        <v>1.1169500000000001</v>
      </c>
    </row>
    <row r="121" spans="77:105" x14ac:dyDescent="0.15">
      <c r="BY121" s="31">
        <v>44056</v>
      </c>
      <c r="CP121" s="31">
        <v>43617</v>
      </c>
      <c r="CQ121" s="6">
        <v>29.49</v>
      </c>
      <c r="CR121" s="6">
        <v>29.65</v>
      </c>
      <c r="CS121" s="6">
        <f t="shared" si="26"/>
        <v>29.57</v>
      </c>
      <c r="CT121" s="6">
        <v>1.1169500000000001</v>
      </c>
      <c r="CW121" s="31">
        <f t="shared" si="27"/>
        <v>43617</v>
      </c>
      <c r="CX121" s="6">
        <f t="shared" si="22"/>
        <v>29.49</v>
      </c>
      <c r="CY121" s="6">
        <f t="shared" si="23"/>
        <v>29.65</v>
      </c>
      <c r="CZ121" s="6">
        <f t="shared" si="24"/>
        <v>29.57</v>
      </c>
      <c r="DA121" s="6">
        <f t="shared" si="25"/>
        <v>1.1169500000000001</v>
      </c>
    </row>
    <row r="122" spans="77:105" x14ac:dyDescent="0.15">
      <c r="BY122" s="31">
        <v>44055</v>
      </c>
      <c r="CP122" s="31">
        <v>43616</v>
      </c>
      <c r="CQ122" s="6">
        <v>29.33</v>
      </c>
      <c r="CR122" s="6">
        <v>29.53</v>
      </c>
      <c r="CS122" s="6">
        <f t="shared" si="26"/>
        <v>29.43</v>
      </c>
      <c r="CT122" s="6">
        <v>1.1169500000000001</v>
      </c>
      <c r="CW122" s="31">
        <f t="shared" si="27"/>
        <v>43616</v>
      </c>
      <c r="CX122" s="6">
        <f t="shared" si="22"/>
        <v>29.33</v>
      </c>
      <c r="CY122" s="6">
        <f t="shared" si="23"/>
        <v>29.53</v>
      </c>
      <c r="CZ122" s="6">
        <f t="shared" si="24"/>
        <v>29.43</v>
      </c>
      <c r="DA122" s="6">
        <f t="shared" si="25"/>
        <v>1.1169500000000001</v>
      </c>
    </row>
    <row r="123" spans="77:105" x14ac:dyDescent="0.15">
      <c r="BY123" s="31">
        <v>44054</v>
      </c>
      <c r="CP123" s="31">
        <v>43615</v>
      </c>
      <c r="CQ123" s="6">
        <v>28.51</v>
      </c>
      <c r="CR123" s="6">
        <v>28.67</v>
      </c>
      <c r="CS123" s="6">
        <f t="shared" si="26"/>
        <v>28.590000000000003</v>
      </c>
      <c r="CT123" s="6">
        <v>1.1129199999999999</v>
      </c>
      <c r="CW123" s="31">
        <f t="shared" si="27"/>
        <v>43615</v>
      </c>
      <c r="CX123" s="6">
        <f t="shared" si="22"/>
        <v>28.51</v>
      </c>
      <c r="CY123" s="6">
        <f t="shared" si="23"/>
        <v>28.67</v>
      </c>
      <c r="CZ123" s="6">
        <f t="shared" si="24"/>
        <v>28.590000000000003</v>
      </c>
      <c r="DA123" s="6">
        <f t="shared" si="25"/>
        <v>1.1129199999999999</v>
      </c>
    </row>
    <row r="124" spans="77:105" x14ac:dyDescent="0.15">
      <c r="BY124" s="31">
        <v>44053</v>
      </c>
      <c r="CP124" s="31">
        <v>43614</v>
      </c>
      <c r="CQ124" s="6">
        <v>25.69</v>
      </c>
      <c r="CR124" s="6">
        <v>25.89</v>
      </c>
      <c r="CS124" s="6">
        <f t="shared" si="26"/>
        <v>25.79</v>
      </c>
      <c r="CT124" s="6">
        <v>1.1130800000000001</v>
      </c>
      <c r="CW124" s="31">
        <f t="shared" si="27"/>
        <v>43614</v>
      </c>
      <c r="CX124" s="6">
        <f t="shared" si="22"/>
        <v>25.69</v>
      </c>
      <c r="CY124" s="6">
        <f t="shared" si="23"/>
        <v>25.89</v>
      </c>
      <c r="CZ124" s="6">
        <f t="shared" si="24"/>
        <v>25.79</v>
      </c>
      <c r="DA124" s="6">
        <f t="shared" si="25"/>
        <v>1.1130800000000001</v>
      </c>
    </row>
    <row r="125" spans="77:105" x14ac:dyDescent="0.15">
      <c r="BY125" s="31">
        <v>44050</v>
      </c>
      <c r="CP125" s="31">
        <v>43613</v>
      </c>
      <c r="CQ125" s="6">
        <v>26.92</v>
      </c>
      <c r="CR125" s="6">
        <v>27.12</v>
      </c>
      <c r="CS125" s="6">
        <f t="shared" si="26"/>
        <v>27.020000000000003</v>
      </c>
      <c r="CT125" s="6">
        <v>1.11602</v>
      </c>
      <c r="CW125" s="31">
        <f t="shared" si="27"/>
        <v>43613</v>
      </c>
      <c r="CX125" s="6">
        <f t="shared" si="22"/>
        <v>26.92</v>
      </c>
      <c r="CY125" s="6">
        <f t="shared" si="23"/>
        <v>27.12</v>
      </c>
      <c r="CZ125" s="6">
        <f t="shared" si="24"/>
        <v>27.020000000000003</v>
      </c>
      <c r="DA125" s="6">
        <f t="shared" si="25"/>
        <v>1.11602</v>
      </c>
    </row>
    <row r="126" spans="77:105" x14ac:dyDescent="0.15">
      <c r="BY126" s="31">
        <v>44049</v>
      </c>
      <c r="CP126" s="31">
        <v>43612</v>
      </c>
      <c r="CQ126" s="6">
        <v>27.93</v>
      </c>
      <c r="CR126" s="6">
        <v>28.13</v>
      </c>
      <c r="CS126" s="6">
        <f t="shared" si="26"/>
        <v>28.03</v>
      </c>
      <c r="CT126" s="6">
        <v>1.1193</v>
      </c>
      <c r="CW126" s="31">
        <f t="shared" si="27"/>
        <v>43612</v>
      </c>
      <c r="CX126" s="6">
        <f t="shared" si="22"/>
        <v>27.93</v>
      </c>
      <c r="CY126" s="6">
        <f t="shared" si="23"/>
        <v>28.13</v>
      </c>
      <c r="CZ126" s="6">
        <f t="shared" si="24"/>
        <v>28.03</v>
      </c>
      <c r="DA126" s="6">
        <f t="shared" si="25"/>
        <v>1.1193</v>
      </c>
    </row>
    <row r="127" spans="77:105" x14ac:dyDescent="0.15">
      <c r="BY127" s="31">
        <v>44048</v>
      </c>
      <c r="CP127" s="31">
        <v>43611</v>
      </c>
      <c r="CQ127" s="6">
        <v>28.77</v>
      </c>
      <c r="CR127" s="6">
        <v>28.91</v>
      </c>
      <c r="CS127" s="6">
        <f t="shared" si="26"/>
        <v>28.84</v>
      </c>
      <c r="CT127" s="6">
        <v>1.12022</v>
      </c>
      <c r="CW127" s="31">
        <f t="shared" si="27"/>
        <v>43611</v>
      </c>
      <c r="CX127" s="6">
        <f t="shared" si="22"/>
        <v>28.77</v>
      </c>
      <c r="CY127" s="6">
        <f t="shared" si="23"/>
        <v>28.91</v>
      </c>
      <c r="CZ127" s="6">
        <f t="shared" si="24"/>
        <v>28.84</v>
      </c>
      <c r="DA127" s="6">
        <f t="shared" si="25"/>
        <v>1.12022</v>
      </c>
    </row>
    <row r="128" spans="77:105" x14ac:dyDescent="0.15">
      <c r="BY128" s="31">
        <v>44047</v>
      </c>
      <c r="CP128" s="31">
        <v>43610</v>
      </c>
      <c r="CQ128" s="6">
        <v>28.69</v>
      </c>
      <c r="CR128" s="6">
        <v>28.89</v>
      </c>
      <c r="CS128" s="6">
        <f t="shared" si="26"/>
        <v>28.79</v>
      </c>
      <c r="CT128" s="6">
        <v>1.12022</v>
      </c>
      <c r="CW128" s="31">
        <f t="shared" si="27"/>
        <v>43610</v>
      </c>
      <c r="CX128" s="6">
        <f t="shared" si="22"/>
        <v>28.69</v>
      </c>
      <c r="CY128" s="6">
        <f t="shared" si="23"/>
        <v>28.89</v>
      </c>
      <c r="CZ128" s="6">
        <f t="shared" si="24"/>
        <v>28.79</v>
      </c>
      <c r="DA128" s="6">
        <f t="shared" si="25"/>
        <v>1.12022</v>
      </c>
    </row>
    <row r="129" spans="77:105" x14ac:dyDescent="0.15">
      <c r="BY129" s="31">
        <v>44046</v>
      </c>
      <c r="CP129" s="31">
        <v>43609</v>
      </c>
      <c r="CQ129" s="6">
        <v>28.59</v>
      </c>
      <c r="CR129" s="6">
        <v>28.79</v>
      </c>
      <c r="CS129" s="6">
        <f t="shared" si="26"/>
        <v>28.689999999999998</v>
      </c>
      <c r="CT129" s="6">
        <v>1.12022</v>
      </c>
      <c r="CW129" s="31">
        <f t="shared" si="27"/>
        <v>43609</v>
      </c>
      <c r="CX129" s="6">
        <f t="shared" si="22"/>
        <v>28.59</v>
      </c>
      <c r="CY129" s="6">
        <f t="shared" si="23"/>
        <v>28.79</v>
      </c>
      <c r="CZ129" s="6">
        <f t="shared" si="24"/>
        <v>28.689999999999998</v>
      </c>
      <c r="DA129" s="6">
        <f t="shared" si="25"/>
        <v>1.12022</v>
      </c>
    </row>
    <row r="130" spans="77:105" x14ac:dyDescent="0.15">
      <c r="BY130" s="31">
        <v>44043</v>
      </c>
      <c r="CP130" s="31">
        <v>43608</v>
      </c>
      <c r="CQ130" s="6">
        <v>28.59</v>
      </c>
      <c r="CR130" s="6">
        <v>28.79</v>
      </c>
      <c r="CS130" s="6">
        <f t="shared" si="26"/>
        <v>28.689999999999998</v>
      </c>
      <c r="CT130" s="6">
        <v>1.11818</v>
      </c>
      <c r="CW130" s="31">
        <f t="shared" si="27"/>
        <v>43608</v>
      </c>
      <c r="CX130" s="6">
        <f t="shared" si="22"/>
        <v>28.59</v>
      </c>
      <c r="CY130" s="6">
        <f t="shared" si="23"/>
        <v>28.79</v>
      </c>
      <c r="CZ130" s="6">
        <f t="shared" si="24"/>
        <v>28.689999999999998</v>
      </c>
      <c r="DA130" s="6">
        <f t="shared" si="25"/>
        <v>1.11818</v>
      </c>
    </row>
    <row r="131" spans="77:105" x14ac:dyDescent="0.15">
      <c r="BY131" s="31">
        <v>44042</v>
      </c>
      <c r="CP131" s="31">
        <v>43607</v>
      </c>
      <c r="CQ131" s="6">
        <v>28.58</v>
      </c>
      <c r="CR131" s="6">
        <v>28.78</v>
      </c>
      <c r="CS131" s="6">
        <f t="shared" si="26"/>
        <v>28.68</v>
      </c>
      <c r="CT131" s="6">
        <v>1.11503</v>
      </c>
      <c r="CW131" s="31">
        <f t="shared" si="27"/>
        <v>43607</v>
      </c>
      <c r="CX131" s="6">
        <f t="shared" si="22"/>
        <v>28.58</v>
      </c>
      <c r="CY131" s="6">
        <f t="shared" si="23"/>
        <v>28.78</v>
      </c>
      <c r="CZ131" s="6">
        <f t="shared" si="24"/>
        <v>28.68</v>
      </c>
      <c r="DA131" s="6">
        <f t="shared" si="25"/>
        <v>1.11503</v>
      </c>
    </row>
    <row r="132" spans="77:105" x14ac:dyDescent="0.15">
      <c r="BY132" s="31">
        <v>44041</v>
      </c>
      <c r="CP132" s="31">
        <v>43606</v>
      </c>
      <c r="CQ132" s="6">
        <v>29.58</v>
      </c>
      <c r="CR132" s="6">
        <v>29.78</v>
      </c>
      <c r="CS132" s="6">
        <f t="shared" si="26"/>
        <v>29.68</v>
      </c>
      <c r="CT132" s="6">
        <v>1.11602</v>
      </c>
      <c r="CW132" s="31">
        <f t="shared" si="27"/>
        <v>43606</v>
      </c>
      <c r="CX132" s="6">
        <f t="shared" si="22"/>
        <v>29.58</v>
      </c>
      <c r="CY132" s="6">
        <f t="shared" si="23"/>
        <v>29.78</v>
      </c>
      <c r="CZ132" s="6">
        <f t="shared" si="24"/>
        <v>29.68</v>
      </c>
      <c r="DA132" s="6">
        <f t="shared" si="25"/>
        <v>1.11602</v>
      </c>
    </row>
    <row r="133" spans="77:105" x14ac:dyDescent="0.15">
      <c r="BY133" s="31">
        <v>44040</v>
      </c>
      <c r="CP133" s="31">
        <v>43605</v>
      </c>
      <c r="CQ133" s="6">
        <v>30.4</v>
      </c>
      <c r="CR133" s="6">
        <v>30.6</v>
      </c>
      <c r="CS133" s="6">
        <f t="shared" si="26"/>
        <v>30.5</v>
      </c>
      <c r="CT133" s="6">
        <v>1.1166199999999999</v>
      </c>
      <c r="CW133" s="31">
        <f t="shared" si="27"/>
        <v>43605</v>
      </c>
      <c r="CX133" s="6">
        <f t="shared" si="22"/>
        <v>30.4</v>
      </c>
      <c r="CY133" s="6">
        <f t="shared" si="23"/>
        <v>30.6</v>
      </c>
      <c r="CZ133" s="6">
        <f t="shared" si="24"/>
        <v>30.5</v>
      </c>
      <c r="DA133" s="6">
        <f t="shared" si="25"/>
        <v>1.1166199999999999</v>
      </c>
    </row>
    <row r="134" spans="77:105" x14ac:dyDescent="0.15">
      <c r="BY134" s="31">
        <v>44039</v>
      </c>
      <c r="CP134" s="31">
        <v>43604</v>
      </c>
      <c r="CQ134" s="6">
        <v>28.44</v>
      </c>
      <c r="CR134" s="6">
        <v>28.64</v>
      </c>
      <c r="CS134" s="6">
        <f t="shared" si="26"/>
        <v>28.54</v>
      </c>
      <c r="CT134" s="6">
        <v>1.11585</v>
      </c>
      <c r="CW134" s="31">
        <f t="shared" si="27"/>
        <v>43604</v>
      </c>
      <c r="CX134" s="6">
        <f t="shared" si="22"/>
        <v>28.44</v>
      </c>
      <c r="CY134" s="6">
        <f t="shared" si="23"/>
        <v>28.64</v>
      </c>
      <c r="CZ134" s="6">
        <f t="shared" si="24"/>
        <v>28.54</v>
      </c>
      <c r="DA134" s="6">
        <f t="shared" si="25"/>
        <v>1.11585</v>
      </c>
    </row>
    <row r="135" spans="77:105" x14ac:dyDescent="0.15">
      <c r="BY135" s="31">
        <v>44036</v>
      </c>
      <c r="CP135" s="31">
        <v>43603</v>
      </c>
      <c r="CQ135" s="6">
        <v>28.63</v>
      </c>
      <c r="CR135" s="6">
        <v>28.79</v>
      </c>
      <c r="CS135" s="6">
        <f t="shared" si="26"/>
        <v>28.71</v>
      </c>
      <c r="CT135" s="6">
        <v>1.11585</v>
      </c>
      <c r="CW135" s="31">
        <f t="shared" si="27"/>
        <v>43603</v>
      </c>
      <c r="CX135" s="6">
        <f t="shared" si="22"/>
        <v>28.63</v>
      </c>
      <c r="CY135" s="6">
        <f t="shared" si="23"/>
        <v>28.79</v>
      </c>
      <c r="CZ135" s="6">
        <f t="shared" si="24"/>
        <v>28.71</v>
      </c>
      <c r="DA135" s="6">
        <f t="shared" si="25"/>
        <v>1.11585</v>
      </c>
    </row>
    <row r="136" spans="77:105" x14ac:dyDescent="0.15">
      <c r="BY136" s="31">
        <v>44035</v>
      </c>
      <c r="CP136" s="31">
        <v>43602</v>
      </c>
      <c r="CQ136" s="6">
        <v>28.59</v>
      </c>
      <c r="CR136" s="6">
        <v>28.79</v>
      </c>
      <c r="CS136" s="6">
        <f t="shared" si="26"/>
        <v>28.689999999999998</v>
      </c>
      <c r="CT136" s="6">
        <v>1.11585</v>
      </c>
      <c r="CW136" s="31">
        <f t="shared" si="27"/>
        <v>43602</v>
      </c>
      <c r="CX136" s="6">
        <f t="shared" si="22"/>
        <v>28.59</v>
      </c>
      <c r="CY136" s="6">
        <f t="shared" si="23"/>
        <v>28.79</v>
      </c>
      <c r="CZ136" s="6">
        <f t="shared" si="24"/>
        <v>28.689999999999998</v>
      </c>
      <c r="DA136" s="6">
        <f t="shared" si="25"/>
        <v>1.11585</v>
      </c>
    </row>
    <row r="137" spans="77:105" x14ac:dyDescent="0.15">
      <c r="BY137" s="31">
        <v>44034</v>
      </c>
      <c r="CP137" s="31">
        <v>43601</v>
      </c>
      <c r="CQ137" s="6">
        <v>28.64</v>
      </c>
      <c r="CR137" s="6">
        <v>28.84</v>
      </c>
      <c r="CS137" s="6">
        <f t="shared" si="26"/>
        <v>28.740000000000002</v>
      </c>
      <c r="CT137" s="6">
        <v>1.11744</v>
      </c>
      <c r="CW137" s="31">
        <f t="shared" si="27"/>
        <v>43601</v>
      </c>
      <c r="CX137" s="6">
        <f t="shared" si="22"/>
        <v>28.64</v>
      </c>
      <c r="CY137" s="6">
        <f t="shared" si="23"/>
        <v>28.84</v>
      </c>
      <c r="CZ137" s="6">
        <f t="shared" si="24"/>
        <v>28.740000000000002</v>
      </c>
      <c r="DA137" s="6">
        <f t="shared" si="25"/>
        <v>1.11744</v>
      </c>
    </row>
    <row r="138" spans="77:105" x14ac:dyDescent="0.15">
      <c r="BY138" s="31">
        <v>44033</v>
      </c>
      <c r="CP138" s="31">
        <v>43600</v>
      </c>
      <c r="CQ138" s="6">
        <v>28.71</v>
      </c>
      <c r="CR138" s="6">
        <v>28.91</v>
      </c>
      <c r="CS138" s="6">
        <f t="shared" si="26"/>
        <v>28.810000000000002</v>
      </c>
      <c r="CT138" s="6">
        <v>1.12022</v>
      </c>
      <c r="CW138" s="31">
        <f t="shared" si="27"/>
        <v>43600</v>
      </c>
      <c r="CX138" s="6">
        <f t="shared" si="22"/>
        <v>28.71</v>
      </c>
      <c r="CY138" s="6">
        <f t="shared" si="23"/>
        <v>28.91</v>
      </c>
      <c r="CZ138" s="6">
        <f t="shared" si="24"/>
        <v>28.810000000000002</v>
      </c>
      <c r="DA138" s="6">
        <f t="shared" si="25"/>
        <v>1.12022</v>
      </c>
    </row>
    <row r="139" spans="77:105" x14ac:dyDescent="0.15">
      <c r="BY139" s="31">
        <v>44032</v>
      </c>
      <c r="CP139" s="31">
        <v>43599</v>
      </c>
      <c r="CQ139" s="6">
        <v>29.67</v>
      </c>
      <c r="CR139" s="6">
        <v>29.87</v>
      </c>
      <c r="CS139" s="6">
        <f t="shared" si="26"/>
        <v>29.770000000000003</v>
      </c>
      <c r="CT139" s="6">
        <v>1.1204000000000001</v>
      </c>
      <c r="CW139" s="31">
        <f t="shared" si="27"/>
        <v>43599</v>
      </c>
      <c r="CX139" s="6">
        <f t="shared" si="22"/>
        <v>29.67</v>
      </c>
      <c r="CY139" s="6">
        <f t="shared" si="23"/>
        <v>29.87</v>
      </c>
      <c r="CZ139" s="6">
        <f t="shared" si="24"/>
        <v>29.770000000000003</v>
      </c>
      <c r="DA139" s="6">
        <f t="shared" si="25"/>
        <v>1.1204000000000001</v>
      </c>
    </row>
    <row r="140" spans="77:105" x14ac:dyDescent="0.15">
      <c r="BY140" s="31">
        <v>44029</v>
      </c>
      <c r="CP140" s="31">
        <v>43598</v>
      </c>
      <c r="CQ140" s="6">
        <v>30.56</v>
      </c>
      <c r="CR140" s="6">
        <v>30.76</v>
      </c>
      <c r="CS140" s="6">
        <f t="shared" si="26"/>
        <v>30.66</v>
      </c>
      <c r="CT140" s="6">
        <v>1.12219</v>
      </c>
      <c r="CW140" s="31">
        <f t="shared" si="27"/>
        <v>43598</v>
      </c>
      <c r="CX140" s="6">
        <f t="shared" ref="CX140:CX203" si="28">IF($CQ$8=TRUE,CQ140,"")</f>
        <v>30.56</v>
      </c>
      <c r="CY140" s="6">
        <f t="shared" ref="CY140:CY203" si="29">IF($CR$8=TRUE,CR140,"")</f>
        <v>30.76</v>
      </c>
      <c r="CZ140" s="6">
        <f t="shared" ref="CZ140:CZ203" si="30">IF($CS$8=TRUE,CS140,"")</f>
        <v>30.66</v>
      </c>
      <c r="DA140" s="6">
        <f t="shared" ref="DA140:DA203" si="31">IF($CT$8=TRUE,CT140,"")</f>
        <v>1.12219</v>
      </c>
    </row>
    <row r="141" spans="77:105" x14ac:dyDescent="0.15">
      <c r="BY141" s="31">
        <v>44028</v>
      </c>
      <c r="CP141" s="31">
        <v>43597</v>
      </c>
      <c r="CQ141" s="6">
        <v>28.46</v>
      </c>
      <c r="CR141" s="6">
        <v>28.66</v>
      </c>
      <c r="CS141" s="6">
        <f t="shared" ref="CS141:CS204" si="32">AVERAGE(CQ141:CR141)</f>
        <v>28.560000000000002</v>
      </c>
      <c r="CT141" s="6">
        <v>1.1233</v>
      </c>
      <c r="CW141" s="31">
        <f t="shared" ref="CW141:CW204" si="33">CP141</f>
        <v>43597</v>
      </c>
      <c r="CX141" s="6">
        <f t="shared" si="28"/>
        <v>28.46</v>
      </c>
      <c r="CY141" s="6">
        <f t="shared" si="29"/>
        <v>28.66</v>
      </c>
      <c r="CZ141" s="6">
        <f t="shared" si="30"/>
        <v>28.560000000000002</v>
      </c>
      <c r="DA141" s="6">
        <f t="shared" si="31"/>
        <v>1.1233</v>
      </c>
    </row>
    <row r="142" spans="77:105" x14ac:dyDescent="0.15">
      <c r="BY142" s="31">
        <v>44027</v>
      </c>
      <c r="CP142" s="31">
        <v>43596</v>
      </c>
      <c r="CQ142" s="6">
        <v>28.64</v>
      </c>
      <c r="CR142" s="6">
        <v>28.84</v>
      </c>
      <c r="CS142" s="6">
        <f t="shared" si="32"/>
        <v>28.740000000000002</v>
      </c>
      <c r="CT142" s="6">
        <v>1.1233</v>
      </c>
      <c r="CW142" s="31">
        <f t="shared" si="33"/>
        <v>43596</v>
      </c>
      <c r="CX142" s="6">
        <f t="shared" si="28"/>
        <v>28.64</v>
      </c>
      <c r="CY142" s="6">
        <f t="shared" si="29"/>
        <v>28.84</v>
      </c>
      <c r="CZ142" s="6">
        <f t="shared" si="30"/>
        <v>28.740000000000002</v>
      </c>
      <c r="DA142" s="6">
        <f t="shared" si="31"/>
        <v>1.1233</v>
      </c>
    </row>
    <row r="143" spans="77:105" x14ac:dyDescent="0.15">
      <c r="BY143" s="31">
        <v>44026</v>
      </c>
      <c r="CP143" s="31">
        <v>43595</v>
      </c>
      <c r="CQ143" s="6">
        <v>28.59</v>
      </c>
      <c r="CR143" s="6">
        <v>28.79</v>
      </c>
      <c r="CS143" s="6">
        <f t="shared" si="32"/>
        <v>28.689999999999998</v>
      </c>
      <c r="CT143" s="6">
        <v>1.1233</v>
      </c>
      <c r="CW143" s="31">
        <f t="shared" si="33"/>
        <v>43595</v>
      </c>
      <c r="CX143" s="6">
        <f t="shared" si="28"/>
        <v>28.59</v>
      </c>
      <c r="CY143" s="6">
        <f t="shared" si="29"/>
        <v>28.79</v>
      </c>
      <c r="CZ143" s="6">
        <f t="shared" si="30"/>
        <v>28.689999999999998</v>
      </c>
      <c r="DA143" s="6">
        <f t="shared" si="31"/>
        <v>1.1233</v>
      </c>
    </row>
    <row r="144" spans="77:105" x14ac:dyDescent="0.15">
      <c r="BY144" s="31">
        <v>44025</v>
      </c>
      <c r="CP144" s="31">
        <v>43594</v>
      </c>
      <c r="CQ144" s="6">
        <v>28.67</v>
      </c>
      <c r="CR144" s="6">
        <v>28.87</v>
      </c>
      <c r="CS144" s="6">
        <f t="shared" si="32"/>
        <v>28.770000000000003</v>
      </c>
      <c r="CT144" s="6">
        <v>1.12157</v>
      </c>
      <c r="CW144" s="31">
        <f t="shared" si="33"/>
        <v>43594</v>
      </c>
      <c r="CX144" s="6">
        <f t="shared" si="28"/>
        <v>28.67</v>
      </c>
      <c r="CY144" s="6">
        <f t="shared" si="29"/>
        <v>28.87</v>
      </c>
      <c r="CZ144" s="6">
        <f t="shared" si="30"/>
        <v>28.770000000000003</v>
      </c>
      <c r="DA144" s="6">
        <f t="shared" si="31"/>
        <v>1.12157</v>
      </c>
    </row>
    <row r="145" spans="77:105" x14ac:dyDescent="0.15">
      <c r="BY145" s="31">
        <v>44022</v>
      </c>
      <c r="CP145" s="31">
        <v>43593</v>
      </c>
      <c r="CQ145" s="6">
        <v>28.64</v>
      </c>
      <c r="CR145" s="6">
        <v>28.84</v>
      </c>
      <c r="CS145" s="6">
        <f t="shared" si="32"/>
        <v>28.740000000000002</v>
      </c>
      <c r="CT145" s="6">
        <v>1.1191899999999999</v>
      </c>
      <c r="CW145" s="31">
        <f t="shared" si="33"/>
        <v>43593</v>
      </c>
      <c r="CX145" s="6">
        <f t="shared" si="28"/>
        <v>28.64</v>
      </c>
      <c r="CY145" s="6">
        <f t="shared" si="29"/>
        <v>28.84</v>
      </c>
      <c r="CZ145" s="6">
        <f t="shared" si="30"/>
        <v>28.740000000000002</v>
      </c>
      <c r="DA145" s="6">
        <f t="shared" si="31"/>
        <v>1.1191899999999999</v>
      </c>
    </row>
    <row r="146" spans="77:105" x14ac:dyDescent="0.15">
      <c r="BY146" s="31">
        <v>44021</v>
      </c>
      <c r="CP146" s="31">
        <v>43592</v>
      </c>
      <c r="CQ146" s="6">
        <v>29.57</v>
      </c>
      <c r="CR146" s="6">
        <v>29.77</v>
      </c>
      <c r="CS146" s="6">
        <f t="shared" si="32"/>
        <v>29.67</v>
      </c>
      <c r="CT146" s="6">
        <v>1.11907</v>
      </c>
      <c r="CW146" s="31">
        <f t="shared" si="33"/>
        <v>43592</v>
      </c>
      <c r="CX146" s="6">
        <f t="shared" si="28"/>
        <v>29.57</v>
      </c>
      <c r="CY146" s="6">
        <f t="shared" si="29"/>
        <v>29.77</v>
      </c>
      <c r="CZ146" s="6">
        <f t="shared" si="30"/>
        <v>29.67</v>
      </c>
      <c r="DA146" s="6">
        <f t="shared" si="31"/>
        <v>1.11907</v>
      </c>
    </row>
    <row r="147" spans="77:105" x14ac:dyDescent="0.15">
      <c r="BY147" s="31">
        <v>44020</v>
      </c>
      <c r="CP147" s="31">
        <v>43591</v>
      </c>
      <c r="CQ147" s="6">
        <v>31.05</v>
      </c>
      <c r="CR147" s="6">
        <v>31.25</v>
      </c>
      <c r="CS147" s="6">
        <f t="shared" si="32"/>
        <v>31.15</v>
      </c>
      <c r="CT147" s="6">
        <v>1.1199399999999999</v>
      </c>
      <c r="CW147" s="31">
        <f t="shared" si="33"/>
        <v>43591</v>
      </c>
      <c r="CX147" s="6">
        <f t="shared" si="28"/>
        <v>31.05</v>
      </c>
      <c r="CY147" s="6">
        <f t="shared" si="29"/>
        <v>31.25</v>
      </c>
      <c r="CZ147" s="6">
        <f t="shared" si="30"/>
        <v>31.15</v>
      </c>
      <c r="DA147" s="6">
        <f t="shared" si="31"/>
        <v>1.1199399999999999</v>
      </c>
    </row>
    <row r="148" spans="77:105" x14ac:dyDescent="0.15">
      <c r="BY148" s="31">
        <v>44019</v>
      </c>
      <c r="CP148" s="31">
        <v>43590</v>
      </c>
      <c r="CQ148" s="6">
        <v>29.21</v>
      </c>
      <c r="CR148" s="6">
        <v>29.41</v>
      </c>
      <c r="CS148" s="6">
        <f t="shared" si="32"/>
        <v>29.310000000000002</v>
      </c>
      <c r="CT148" s="6">
        <v>1.1203399999999999</v>
      </c>
      <c r="CW148" s="31">
        <f t="shared" si="33"/>
        <v>43590</v>
      </c>
      <c r="CX148" s="6">
        <f t="shared" si="28"/>
        <v>29.21</v>
      </c>
      <c r="CY148" s="6">
        <f t="shared" si="29"/>
        <v>29.41</v>
      </c>
      <c r="CZ148" s="6">
        <f t="shared" si="30"/>
        <v>29.310000000000002</v>
      </c>
      <c r="DA148" s="6">
        <f t="shared" si="31"/>
        <v>1.1203399999999999</v>
      </c>
    </row>
    <row r="149" spans="77:105" x14ac:dyDescent="0.15">
      <c r="BY149" s="31">
        <v>44018</v>
      </c>
      <c r="CP149" s="31">
        <v>43589</v>
      </c>
      <c r="CQ149" s="6">
        <v>29.38</v>
      </c>
      <c r="CR149" s="6">
        <v>29.58</v>
      </c>
      <c r="CS149" s="6">
        <f t="shared" si="32"/>
        <v>29.479999999999997</v>
      </c>
      <c r="CT149" s="6">
        <v>1.1203399999999999</v>
      </c>
      <c r="CW149" s="31">
        <f t="shared" si="33"/>
        <v>43589</v>
      </c>
      <c r="CX149" s="6">
        <f t="shared" si="28"/>
        <v>29.38</v>
      </c>
      <c r="CY149" s="6">
        <f t="shared" si="29"/>
        <v>29.58</v>
      </c>
      <c r="CZ149" s="6">
        <f t="shared" si="30"/>
        <v>29.479999999999997</v>
      </c>
      <c r="DA149" s="6">
        <f t="shared" si="31"/>
        <v>1.1203399999999999</v>
      </c>
    </row>
    <row r="150" spans="77:105" x14ac:dyDescent="0.15">
      <c r="BY150" s="31">
        <v>44014</v>
      </c>
      <c r="CP150" s="31">
        <v>43588</v>
      </c>
      <c r="CQ150" s="6">
        <v>29.33</v>
      </c>
      <c r="CR150" s="6">
        <v>29.53</v>
      </c>
      <c r="CS150" s="6">
        <f t="shared" si="32"/>
        <v>29.43</v>
      </c>
      <c r="CT150" s="6">
        <v>1.1203399999999999</v>
      </c>
      <c r="CW150" s="31">
        <f t="shared" si="33"/>
        <v>43588</v>
      </c>
      <c r="CX150" s="6">
        <f t="shared" si="28"/>
        <v>29.33</v>
      </c>
      <c r="CY150" s="6">
        <f t="shared" si="29"/>
        <v>29.53</v>
      </c>
      <c r="CZ150" s="6">
        <f t="shared" si="30"/>
        <v>29.43</v>
      </c>
      <c r="DA150" s="6">
        <f t="shared" si="31"/>
        <v>1.1203399999999999</v>
      </c>
    </row>
    <row r="151" spans="77:105" x14ac:dyDescent="0.15">
      <c r="BY151" s="31">
        <v>44013</v>
      </c>
      <c r="CP151" s="31">
        <v>43587</v>
      </c>
      <c r="CQ151" s="6">
        <v>29.46</v>
      </c>
      <c r="CR151" s="6">
        <v>29.66</v>
      </c>
      <c r="CS151" s="6">
        <f t="shared" si="32"/>
        <v>29.560000000000002</v>
      </c>
      <c r="CT151" s="6">
        <v>1.1172</v>
      </c>
      <c r="CW151" s="31">
        <f t="shared" si="33"/>
        <v>43587</v>
      </c>
      <c r="CX151" s="6">
        <f t="shared" si="28"/>
        <v>29.46</v>
      </c>
      <c r="CY151" s="6">
        <f t="shared" si="29"/>
        <v>29.66</v>
      </c>
      <c r="CZ151" s="6">
        <f t="shared" si="30"/>
        <v>29.560000000000002</v>
      </c>
      <c r="DA151" s="6">
        <f t="shared" si="31"/>
        <v>1.1172</v>
      </c>
    </row>
    <row r="152" spans="77:105" x14ac:dyDescent="0.15">
      <c r="BY152" s="31">
        <v>44012</v>
      </c>
      <c r="CP152" s="31">
        <v>43586</v>
      </c>
      <c r="CQ152" s="6">
        <v>30.08</v>
      </c>
      <c r="CR152" s="6">
        <v>30.28</v>
      </c>
      <c r="CS152" s="6">
        <f t="shared" si="32"/>
        <v>30.18</v>
      </c>
      <c r="CT152" s="6">
        <v>1.11958</v>
      </c>
      <c r="CW152" s="31">
        <f t="shared" si="33"/>
        <v>43586</v>
      </c>
      <c r="CX152" s="6">
        <f t="shared" si="28"/>
        <v>30.08</v>
      </c>
      <c r="CY152" s="6">
        <f t="shared" si="29"/>
        <v>30.28</v>
      </c>
      <c r="CZ152" s="6">
        <f t="shared" si="30"/>
        <v>30.18</v>
      </c>
      <c r="DA152" s="6">
        <f t="shared" si="31"/>
        <v>1.11958</v>
      </c>
    </row>
    <row r="153" spans="77:105" x14ac:dyDescent="0.15">
      <c r="BY153" s="31">
        <v>44011</v>
      </c>
      <c r="CP153" s="31">
        <v>43585</v>
      </c>
      <c r="CQ153" s="6">
        <v>29.95</v>
      </c>
      <c r="CR153" s="6">
        <v>30.15</v>
      </c>
      <c r="CS153" s="6">
        <f t="shared" si="32"/>
        <v>30.049999999999997</v>
      </c>
      <c r="CT153" s="6">
        <v>1.12154</v>
      </c>
      <c r="CW153" s="31">
        <f t="shared" si="33"/>
        <v>43585</v>
      </c>
      <c r="CX153" s="6">
        <f t="shared" si="28"/>
        <v>29.95</v>
      </c>
      <c r="CY153" s="6">
        <f t="shared" si="29"/>
        <v>30.15</v>
      </c>
      <c r="CZ153" s="6">
        <f t="shared" si="30"/>
        <v>30.049999999999997</v>
      </c>
      <c r="DA153" s="6">
        <f t="shared" si="31"/>
        <v>1.12154</v>
      </c>
    </row>
    <row r="154" spans="77:105" x14ac:dyDescent="0.15">
      <c r="BY154" s="31">
        <v>44008</v>
      </c>
      <c r="CP154" s="31">
        <v>43584</v>
      </c>
      <c r="CQ154" s="6">
        <v>30.61</v>
      </c>
      <c r="CR154" s="6">
        <v>30.81</v>
      </c>
      <c r="CS154" s="6">
        <f t="shared" si="32"/>
        <v>30.71</v>
      </c>
      <c r="CT154" s="6">
        <v>1.1186100000000001</v>
      </c>
      <c r="CW154" s="31">
        <f t="shared" si="33"/>
        <v>43584</v>
      </c>
      <c r="CX154" s="6">
        <f t="shared" si="28"/>
        <v>30.61</v>
      </c>
      <c r="CY154" s="6">
        <f t="shared" si="29"/>
        <v>30.81</v>
      </c>
      <c r="CZ154" s="6">
        <f t="shared" si="30"/>
        <v>30.71</v>
      </c>
      <c r="DA154" s="6">
        <f t="shared" si="31"/>
        <v>1.1186100000000001</v>
      </c>
    </row>
    <row r="155" spans="77:105" x14ac:dyDescent="0.15">
      <c r="BY155" s="31">
        <v>44007</v>
      </c>
      <c r="CP155" s="31">
        <v>43583</v>
      </c>
      <c r="CQ155" s="6">
        <v>29.4</v>
      </c>
      <c r="CR155" s="6">
        <v>29.6</v>
      </c>
      <c r="CS155" s="6">
        <f t="shared" si="32"/>
        <v>29.5</v>
      </c>
      <c r="CT155" s="6">
        <v>1.1148499999999999</v>
      </c>
      <c r="CW155" s="31">
        <f t="shared" si="33"/>
        <v>43583</v>
      </c>
      <c r="CX155" s="6">
        <f t="shared" si="28"/>
        <v>29.4</v>
      </c>
      <c r="CY155" s="6">
        <f t="shared" si="29"/>
        <v>29.6</v>
      </c>
      <c r="CZ155" s="6">
        <f t="shared" si="30"/>
        <v>29.5</v>
      </c>
      <c r="DA155" s="6">
        <f t="shared" si="31"/>
        <v>1.1148499999999999</v>
      </c>
    </row>
    <row r="156" spans="77:105" x14ac:dyDescent="0.15">
      <c r="BY156" s="31">
        <v>44006</v>
      </c>
      <c r="CP156" s="31">
        <v>43582</v>
      </c>
      <c r="CQ156" s="6">
        <v>29.44</v>
      </c>
      <c r="CR156" s="6">
        <v>29.64</v>
      </c>
      <c r="CS156" s="6">
        <f t="shared" si="32"/>
        <v>29.54</v>
      </c>
      <c r="CT156" s="6">
        <v>1.1148499999999999</v>
      </c>
      <c r="CW156" s="31">
        <f t="shared" si="33"/>
        <v>43582</v>
      </c>
      <c r="CX156" s="6">
        <f t="shared" si="28"/>
        <v>29.44</v>
      </c>
      <c r="CY156" s="6">
        <f t="shared" si="29"/>
        <v>29.64</v>
      </c>
      <c r="CZ156" s="6">
        <f t="shared" si="30"/>
        <v>29.54</v>
      </c>
      <c r="DA156" s="6">
        <f t="shared" si="31"/>
        <v>1.1148499999999999</v>
      </c>
    </row>
    <row r="157" spans="77:105" x14ac:dyDescent="0.15">
      <c r="BY157" s="31">
        <v>44005</v>
      </c>
      <c r="CP157" s="31">
        <v>43581</v>
      </c>
      <c r="CQ157" s="6">
        <v>29.65</v>
      </c>
      <c r="CR157" s="6">
        <v>29.85</v>
      </c>
      <c r="CS157" s="6">
        <f t="shared" si="32"/>
        <v>29.75</v>
      </c>
      <c r="CT157" s="6">
        <v>1.1148499999999999</v>
      </c>
      <c r="CW157" s="31">
        <f t="shared" si="33"/>
        <v>43581</v>
      </c>
      <c r="CX157" s="6">
        <f t="shared" si="28"/>
        <v>29.65</v>
      </c>
      <c r="CY157" s="6">
        <f t="shared" si="29"/>
        <v>29.85</v>
      </c>
      <c r="CZ157" s="6">
        <f t="shared" si="30"/>
        <v>29.75</v>
      </c>
      <c r="DA157" s="6">
        <f t="shared" si="31"/>
        <v>1.1148499999999999</v>
      </c>
    </row>
    <row r="158" spans="77:105" x14ac:dyDescent="0.15">
      <c r="BY158" s="31">
        <v>44004</v>
      </c>
      <c r="CP158" s="31">
        <v>43580</v>
      </c>
      <c r="CQ158" s="6">
        <v>28.34</v>
      </c>
      <c r="CR158" s="6">
        <v>28.54</v>
      </c>
      <c r="CS158" s="6">
        <f t="shared" si="32"/>
        <v>28.439999999999998</v>
      </c>
      <c r="CT158" s="6">
        <v>1.1132500000000001</v>
      </c>
      <c r="CW158" s="31">
        <f t="shared" si="33"/>
        <v>43580</v>
      </c>
      <c r="CX158" s="6">
        <f t="shared" si="28"/>
        <v>28.34</v>
      </c>
      <c r="CY158" s="6">
        <f t="shared" si="29"/>
        <v>28.54</v>
      </c>
      <c r="CZ158" s="6">
        <f t="shared" si="30"/>
        <v>28.439999999999998</v>
      </c>
      <c r="DA158" s="6">
        <f t="shared" si="31"/>
        <v>1.1132500000000001</v>
      </c>
    </row>
    <row r="159" spans="77:105" x14ac:dyDescent="0.15">
      <c r="BY159" s="31">
        <v>44001</v>
      </c>
      <c r="CP159" s="31">
        <v>43579</v>
      </c>
      <c r="CQ159" s="6">
        <v>30.34</v>
      </c>
      <c r="CR159" s="6">
        <v>30.54</v>
      </c>
      <c r="CS159" s="6">
        <f t="shared" si="32"/>
        <v>30.439999999999998</v>
      </c>
      <c r="CT159" s="6">
        <v>1.1153999999999999</v>
      </c>
      <c r="CW159" s="31">
        <f t="shared" si="33"/>
        <v>43579</v>
      </c>
      <c r="CX159" s="6">
        <f t="shared" si="28"/>
        <v>30.34</v>
      </c>
      <c r="CY159" s="6">
        <f t="shared" si="29"/>
        <v>30.54</v>
      </c>
      <c r="CZ159" s="6">
        <f t="shared" si="30"/>
        <v>30.439999999999998</v>
      </c>
      <c r="DA159" s="6">
        <f t="shared" si="31"/>
        <v>1.1153999999999999</v>
      </c>
    </row>
    <row r="160" spans="77:105" x14ac:dyDescent="0.15">
      <c r="BY160" s="31">
        <v>44000</v>
      </c>
      <c r="CP160" s="31">
        <v>43578</v>
      </c>
      <c r="CQ160" s="6">
        <v>31.57</v>
      </c>
      <c r="CR160" s="6">
        <v>31.77</v>
      </c>
      <c r="CS160" s="6">
        <f t="shared" si="32"/>
        <v>31.67</v>
      </c>
      <c r="CT160" s="6">
        <v>1.12273</v>
      </c>
      <c r="CW160" s="31">
        <f t="shared" si="33"/>
        <v>43578</v>
      </c>
      <c r="CX160" s="6">
        <f t="shared" si="28"/>
        <v>31.57</v>
      </c>
      <c r="CY160" s="6">
        <f t="shared" si="29"/>
        <v>31.77</v>
      </c>
      <c r="CZ160" s="6">
        <f t="shared" si="30"/>
        <v>31.67</v>
      </c>
      <c r="DA160" s="6">
        <f t="shared" si="31"/>
        <v>1.12273</v>
      </c>
    </row>
    <row r="161" spans="77:105" x14ac:dyDescent="0.15">
      <c r="BY161" s="31">
        <v>43999</v>
      </c>
      <c r="CP161" s="31">
        <v>43577</v>
      </c>
      <c r="CQ161" s="6">
        <v>28.1</v>
      </c>
      <c r="CR161" s="6">
        <v>29.7</v>
      </c>
      <c r="CS161" s="6">
        <f t="shared" si="32"/>
        <v>28.9</v>
      </c>
      <c r="CT161" s="6">
        <v>1.1257299999999999</v>
      </c>
      <c r="CW161" s="31">
        <f t="shared" si="33"/>
        <v>43577</v>
      </c>
      <c r="CX161" s="6">
        <f t="shared" si="28"/>
        <v>28.1</v>
      </c>
      <c r="CY161" s="6">
        <f t="shared" si="29"/>
        <v>29.7</v>
      </c>
      <c r="CZ161" s="6">
        <f t="shared" si="30"/>
        <v>28.9</v>
      </c>
      <c r="DA161" s="6">
        <f t="shared" si="31"/>
        <v>1.1257299999999999</v>
      </c>
    </row>
    <row r="162" spans="77:105" x14ac:dyDescent="0.15">
      <c r="BY162" s="31">
        <v>43998</v>
      </c>
      <c r="CP162" s="31">
        <v>43576</v>
      </c>
      <c r="CQ162" s="6">
        <v>28.71</v>
      </c>
      <c r="CR162" s="6">
        <v>28.96</v>
      </c>
      <c r="CS162" s="6">
        <f t="shared" si="32"/>
        <v>28.835000000000001</v>
      </c>
      <c r="CT162" s="6">
        <v>1.1245700000000001</v>
      </c>
      <c r="CW162" s="31">
        <f t="shared" si="33"/>
        <v>43576</v>
      </c>
      <c r="CX162" s="6">
        <f t="shared" si="28"/>
        <v>28.71</v>
      </c>
      <c r="CY162" s="6">
        <f t="shared" si="29"/>
        <v>28.96</v>
      </c>
      <c r="CZ162" s="6">
        <f t="shared" si="30"/>
        <v>28.835000000000001</v>
      </c>
      <c r="DA162" s="6">
        <f t="shared" si="31"/>
        <v>1.1245700000000001</v>
      </c>
    </row>
    <row r="163" spans="77:105" x14ac:dyDescent="0.15">
      <c r="BY163" s="31">
        <v>43997</v>
      </c>
      <c r="CP163" s="31">
        <v>43575</v>
      </c>
      <c r="CQ163" s="6">
        <v>28.11</v>
      </c>
      <c r="CR163" s="6">
        <v>29.71</v>
      </c>
      <c r="CS163" s="6">
        <f t="shared" si="32"/>
        <v>28.91</v>
      </c>
      <c r="CT163" s="6">
        <v>1.1245700000000001</v>
      </c>
      <c r="CW163" s="31">
        <f t="shared" si="33"/>
        <v>43575</v>
      </c>
      <c r="CX163" s="6">
        <f t="shared" si="28"/>
        <v>28.11</v>
      </c>
      <c r="CY163" s="6">
        <f t="shared" si="29"/>
        <v>29.71</v>
      </c>
      <c r="CZ163" s="6">
        <f t="shared" si="30"/>
        <v>28.91</v>
      </c>
      <c r="DA163" s="6">
        <f t="shared" si="31"/>
        <v>1.1245700000000001</v>
      </c>
    </row>
    <row r="164" spans="77:105" x14ac:dyDescent="0.15">
      <c r="BY164" s="31">
        <v>43994</v>
      </c>
      <c r="CP164" s="31">
        <v>43574</v>
      </c>
      <c r="CQ164" s="6">
        <v>28.09</v>
      </c>
      <c r="CR164" s="6">
        <v>29.69</v>
      </c>
      <c r="CS164" s="6">
        <f t="shared" si="32"/>
        <v>28.89</v>
      </c>
      <c r="CT164" s="6">
        <v>1.1245700000000001</v>
      </c>
      <c r="CW164" s="31">
        <f t="shared" si="33"/>
        <v>43574</v>
      </c>
      <c r="CX164" s="6">
        <f t="shared" si="28"/>
        <v>28.09</v>
      </c>
      <c r="CY164" s="6">
        <f t="shared" si="29"/>
        <v>29.69</v>
      </c>
      <c r="CZ164" s="6">
        <f t="shared" si="30"/>
        <v>28.89</v>
      </c>
      <c r="DA164" s="6">
        <f t="shared" si="31"/>
        <v>1.1245700000000001</v>
      </c>
    </row>
    <row r="165" spans="77:105" x14ac:dyDescent="0.15">
      <c r="BY165" s="31">
        <v>43993</v>
      </c>
      <c r="CP165" s="31">
        <v>43573</v>
      </c>
      <c r="CQ165" s="6">
        <v>28.78</v>
      </c>
      <c r="CR165" s="6">
        <v>28.98</v>
      </c>
      <c r="CS165" s="6">
        <f t="shared" si="32"/>
        <v>28.880000000000003</v>
      </c>
      <c r="CT165" s="6">
        <v>1.1232</v>
      </c>
      <c r="CW165" s="31">
        <f t="shared" si="33"/>
        <v>43573</v>
      </c>
      <c r="CX165" s="6">
        <f t="shared" si="28"/>
        <v>28.78</v>
      </c>
      <c r="CY165" s="6">
        <f t="shared" si="29"/>
        <v>28.98</v>
      </c>
      <c r="CZ165" s="6">
        <f t="shared" si="30"/>
        <v>28.880000000000003</v>
      </c>
      <c r="DA165" s="6">
        <f t="shared" si="31"/>
        <v>1.1232</v>
      </c>
    </row>
    <row r="166" spans="77:105" x14ac:dyDescent="0.15">
      <c r="BY166" s="31">
        <v>43992</v>
      </c>
      <c r="CP166" s="31">
        <v>43572</v>
      </c>
      <c r="CQ166" s="6">
        <v>28.73</v>
      </c>
      <c r="CR166" s="6">
        <v>28.93</v>
      </c>
      <c r="CS166" s="6">
        <f t="shared" si="32"/>
        <v>28.83</v>
      </c>
      <c r="CT166" s="6">
        <v>1.1294999999999999</v>
      </c>
      <c r="CW166" s="31">
        <f t="shared" si="33"/>
        <v>43572</v>
      </c>
      <c r="CX166" s="6">
        <f t="shared" si="28"/>
        <v>28.73</v>
      </c>
      <c r="CY166" s="6">
        <f t="shared" si="29"/>
        <v>28.93</v>
      </c>
      <c r="CZ166" s="6">
        <f t="shared" si="30"/>
        <v>28.83</v>
      </c>
      <c r="DA166" s="6">
        <f t="shared" si="31"/>
        <v>1.1294999999999999</v>
      </c>
    </row>
    <row r="167" spans="77:105" x14ac:dyDescent="0.15">
      <c r="BY167" s="31">
        <v>43991</v>
      </c>
      <c r="CP167" s="31">
        <v>43571</v>
      </c>
      <c r="CQ167" s="6">
        <v>30.5</v>
      </c>
      <c r="CR167" s="6">
        <v>30.7</v>
      </c>
      <c r="CS167" s="6">
        <f t="shared" si="32"/>
        <v>30.6</v>
      </c>
      <c r="CT167" s="6">
        <v>1.12809</v>
      </c>
      <c r="CW167" s="31">
        <f t="shared" si="33"/>
        <v>43571</v>
      </c>
      <c r="CX167" s="6">
        <f t="shared" si="28"/>
        <v>30.5</v>
      </c>
      <c r="CY167" s="6">
        <f t="shared" si="29"/>
        <v>30.7</v>
      </c>
      <c r="CZ167" s="6">
        <f t="shared" si="30"/>
        <v>30.6</v>
      </c>
      <c r="DA167" s="6">
        <f t="shared" si="31"/>
        <v>1.12809</v>
      </c>
    </row>
    <row r="168" spans="77:105" x14ac:dyDescent="0.15">
      <c r="BY168" s="31">
        <v>43990</v>
      </c>
      <c r="CP168" s="31">
        <v>43570</v>
      </c>
      <c r="CQ168" s="6">
        <v>28.82</v>
      </c>
      <c r="CR168" s="6">
        <v>28.92</v>
      </c>
      <c r="CS168" s="6">
        <f t="shared" si="32"/>
        <v>28.87</v>
      </c>
      <c r="CT168" s="6">
        <v>1.1303799999999999</v>
      </c>
      <c r="CW168" s="31">
        <f t="shared" si="33"/>
        <v>43570</v>
      </c>
      <c r="CX168" s="6">
        <f t="shared" si="28"/>
        <v>28.82</v>
      </c>
      <c r="CY168" s="6">
        <f t="shared" si="29"/>
        <v>28.92</v>
      </c>
      <c r="CZ168" s="6">
        <f t="shared" si="30"/>
        <v>28.87</v>
      </c>
      <c r="DA168" s="6">
        <f t="shared" si="31"/>
        <v>1.1303799999999999</v>
      </c>
    </row>
    <row r="169" spans="77:105" x14ac:dyDescent="0.15">
      <c r="BY169" s="31">
        <v>43987</v>
      </c>
      <c r="CP169" s="31">
        <v>43569</v>
      </c>
      <c r="CQ169" s="6">
        <v>28.61</v>
      </c>
      <c r="CR169" s="6">
        <v>28.75</v>
      </c>
      <c r="CS169" s="6">
        <f t="shared" si="32"/>
        <v>28.68</v>
      </c>
      <c r="CT169" s="6">
        <v>1.1298900000000001</v>
      </c>
      <c r="CW169" s="31">
        <f t="shared" si="33"/>
        <v>43569</v>
      </c>
      <c r="CX169" s="6">
        <f t="shared" si="28"/>
        <v>28.61</v>
      </c>
      <c r="CY169" s="6">
        <f t="shared" si="29"/>
        <v>28.75</v>
      </c>
      <c r="CZ169" s="6">
        <f t="shared" si="30"/>
        <v>28.68</v>
      </c>
      <c r="DA169" s="6">
        <f t="shared" si="31"/>
        <v>1.1298900000000001</v>
      </c>
    </row>
    <row r="170" spans="77:105" x14ac:dyDescent="0.15">
      <c r="BY170" s="31">
        <v>43986</v>
      </c>
      <c r="CP170" s="31">
        <v>43568</v>
      </c>
      <c r="CQ170" s="6">
        <v>28.56</v>
      </c>
      <c r="CR170" s="6">
        <v>28.7</v>
      </c>
      <c r="CS170" s="6">
        <f t="shared" si="32"/>
        <v>28.63</v>
      </c>
      <c r="CT170" s="6">
        <v>1.1298900000000001</v>
      </c>
      <c r="CW170" s="31">
        <f t="shared" si="33"/>
        <v>43568</v>
      </c>
      <c r="CX170" s="6">
        <f t="shared" si="28"/>
        <v>28.56</v>
      </c>
      <c r="CY170" s="6">
        <f t="shared" si="29"/>
        <v>28.7</v>
      </c>
      <c r="CZ170" s="6">
        <f t="shared" si="30"/>
        <v>28.63</v>
      </c>
      <c r="DA170" s="6">
        <f t="shared" si="31"/>
        <v>1.1298900000000001</v>
      </c>
    </row>
    <row r="171" spans="77:105" x14ac:dyDescent="0.15">
      <c r="BY171" s="31">
        <v>43985</v>
      </c>
      <c r="CP171" s="31">
        <v>43567</v>
      </c>
      <c r="CQ171" s="6">
        <v>28.61</v>
      </c>
      <c r="CR171" s="6">
        <v>28.81</v>
      </c>
      <c r="CS171" s="6">
        <f t="shared" si="32"/>
        <v>28.71</v>
      </c>
      <c r="CT171" s="6">
        <v>1.1298900000000001</v>
      </c>
      <c r="CW171" s="31">
        <f t="shared" si="33"/>
        <v>43567</v>
      </c>
      <c r="CX171" s="6">
        <f t="shared" si="28"/>
        <v>28.61</v>
      </c>
      <c r="CY171" s="6">
        <f t="shared" si="29"/>
        <v>28.81</v>
      </c>
      <c r="CZ171" s="6">
        <f t="shared" si="30"/>
        <v>28.71</v>
      </c>
      <c r="DA171" s="6">
        <f t="shared" si="31"/>
        <v>1.1298900000000001</v>
      </c>
    </row>
    <row r="172" spans="77:105" x14ac:dyDescent="0.15">
      <c r="BY172" s="31">
        <v>43984</v>
      </c>
      <c r="CP172" s="31">
        <v>43566</v>
      </c>
      <c r="CQ172" s="6">
        <v>28.33</v>
      </c>
      <c r="CR172" s="6">
        <v>28.53</v>
      </c>
      <c r="CS172" s="6">
        <f t="shared" si="32"/>
        <v>28.43</v>
      </c>
      <c r="CT172" s="6">
        <v>1.12537</v>
      </c>
      <c r="CW172" s="31">
        <f t="shared" si="33"/>
        <v>43566</v>
      </c>
      <c r="CX172" s="6">
        <f t="shared" si="28"/>
        <v>28.33</v>
      </c>
      <c r="CY172" s="6">
        <f t="shared" si="29"/>
        <v>28.53</v>
      </c>
      <c r="CZ172" s="6">
        <f t="shared" si="30"/>
        <v>28.43</v>
      </c>
      <c r="DA172" s="6">
        <f t="shared" si="31"/>
        <v>1.12537</v>
      </c>
    </row>
    <row r="173" spans="77:105" x14ac:dyDescent="0.15">
      <c r="BY173" s="31">
        <v>43983</v>
      </c>
      <c r="CP173" s="31">
        <v>43565</v>
      </c>
      <c r="CQ173" s="6">
        <v>29.32</v>
      </c>
      <c r="CR173" s="6">
        <v>29.52</v>
      </c>
      <c r="CS173" s="6">
        <f t="shared" si="32"/>
        <v>29.42</v>
      </c>
      <c r="CT173" s="6">
        <v>1.1273500000000001</v>
      </c>
      <c r="CW173" s="31">
        <f t="shared" si="33"/>
        <v>43565</v>
      </c>
      <c r="CX173" s="6">
        <f t="shared" si="28"/>
        <v>29.32</v>
      </c>
      <c r="CY173" s="6">
        <f t="shared" si="29"/>
        <v>29.52</v>
      </c>
      <c r="CZ173" s="6">
        <f t="shared" si="30"/>
        <v>29.42</v>
      </c>
      <c r="DA173" s="6">
        <f t="shared" si="31"/>
        <v>1.1273500000000001</v>
      </c>
    </row>
    <row r="174" spans="77:105" x14ac:dyDescent="0.15">
      <c r="BY174" s="31">
        <v>43980</v>
      </c>
      <c r="CP174" s="31">
        <v>43564</v>
      </c>
      <c r="CQ174" s="6">
        <v>30.65</v>
      </c>
      <c r="CR174" s="6">
        <v>30.85</v>
      </c>
      <c r="CS174" s="6">
        <f t="shared" si="32"/>
        <v>30.75</v>
      </c>
      <c r="CT174" s="6">
        <v>1.12626</v>
      </c>
      <c r="CW174" s="31">
        <f t="shared" si="33"/>
        <v>43564</v>
      </c>
      <c r="CX174" s="6">
        <f t="shared" si="28"/>
        <v>30.65</v>
      </c>
      <c r="CY174" s="6">
        <f t="shared" si="29"/>
        <v>30.85</v>
      </c>
      <c r="CZ174" s="6">
        <f t="shared" si="30"/>
        <v>30.75</v>
      </c>
      <c r="DA174" s="6">
        <f t="shared" si="31"/>
        <v>1.12626</v>
      </c>
    </row>
    <row r="175" spans="77:105" x14ac:dyDescent="0.15">
      <c r="BY175" s="31">
        <v>43979</v>
      </c>
      <c r="CP175" s="31">
        <v>43563</v>
      </c>
      <c r="CQ175" s="6">
        <v>28.7</v>
      </c>
      <c r="CR175" s="6">
        <v>28.9</v>
      </c>
      <c r="CS175" s="6">
        <f t="shared" si="32"/>
        <v>28.799999999999997</v>
      </c>
      <c r="CT175" s="6">
        <v>1.1263399999999999</v>
      </c>
      <c r="CW175" s="31">
        <f t="shared" si="33"/>
        <v>43563</v>
      </c>
      <c r="CX175" s="6">
        <f t="shared" si="28"/>
        <v>28.7</v>
      </c>
      <c r="CY175" s="6">
        <f t="shared" si="29"/>
        <v>28.9</v>
      </c>
      <c r="CZ175" s="6">
        <f t="shared" si="30"/>
        <v>28.799999999999997</v>
      </c>
      <c r="DA175" s="6">
        <f t="shared" si="31"/>
        <v>1.1263399999999999</v>
      </c>
    </row>
    <row r="176" spans="77:105" x14ac:dyDescent="0.15">
      <c r="BY176" s="31">
        <v>43978</v>
      </c>
      <c r="CP176" s="31">
        <v>43562</v>
      </c>
      <c r="CQ176" s="6">
        <v>28.21</v>
      </c>
      <c r="CR176" s="6">
        <v>28.37</v>
      </c>
      <c r="CS176" s="6">
        <f t="shared" si="32"/>
        <v>28.29</v>
      </c>
      <c r="CT176" s="6">
        <v>1.1214999999999999</v>
      </c>
      <c r="CW176" s="31">
        <f t="shared" si="33"/>
        <v>43562</v>
      </c>
      <c r="CX176" s="6">
        <f t="shared" si="28"/>
        <v>28.21</v>
      </c>
      <c r="CY176" s="6">
        <f t="shared" si="29"/>
        <v>28.37</v>
      </c>
      <c r="CZ176" s="6">
        <f t="shared" si="30"/>
        <v>28.29</v>
      </c>
      <c r="DA176" s="6">
        <f t="shared" si="31"/>
        <v>1.1214999999999999</v>
      </c>
    </row>
    <row r="177" spans="77:105" x14ac:dyDescent="0.15">
      <c r="BY177" s="31">
        <v>43977</v>
      </c>
      <c r="CP177" s="31">
        <v>43561</v>
      </c>
      <c r="CQ177" s="6">
        <v>28.24</v>
      </c>
      <c r="CR177" s="6">
        <v>28.44</v>
      </c>
      <c r="CS177" s="6">
        <f t="shared" si="32"/>
        <v>28.34</v>
      </c>
      <c r="CT177" s="6">
        <v>1.1214999999999999</v>
      </c>
      <c r="CW177" s="31">
        <f t="shared" si="33"/>
        <v>43561</v>
      </c>
      <c r="CX177" s="6">
        <f t="shared" si="28"/>
        <v>28.24</v>
      </c>
      <c r="CY177" s="6">
        <f t="shared" si="29"/>
        <v>28.44</v>
      </c>
      <c r="CZ177" s="6">
        <f t="shared" si="30"/>
        <v>28.34</v>
      </c>
      <c r="DA177" s="6">
        <f t="shared" si="31"/>
        <v>1.1214999999999999</v>
      </c>
    </row>
    <row r="178" spans="77:105" x14ac:dyDescent="0.15">
      <c r="BY178" s="31">
        <v>43973</v>
      </c>
      <c r="CP178" s="31">
        <v>43560</v>
      </c>
      <c r="CQ178" s="6">
        <v>28.19</v>
      </c>
      <c r="CR178" s="6">
        <v>28.39</v>
      </c>
      <c r="CS178" s="6">
        <f t="shared" si="32"/>
        <v>28.29</v>
      </c>
      <c r="CT178" s="6">
        <v>1.1214999999999999</v>
      </c>
      <c r="CW178" s="31">
        <f t="shared" si="33"/>
        <v>43560</v>
      </c>
      <c r="CX178" s="6">
        <f t="shared" si="28"/>
        <v>28.19</v>
      </c>
      <c r="CY178" s="6">
        <f t="shared" si="29"/>
        <v>28.39</v>
      </c>
      <c r="CZ178" s="6">
        <f t="shared" si="30"/>
        <v>28.29</v>
      </c>
      <c r="DA178" s="6">
        <f t="shared" si="31"/>
        <v>1.1214999999999999</v>
      </c>
    </row>
    <row r="179" spans="77:105" x14ac:dyDescent="0.15">
      <c r="BY179" s="31">
        <v>43972</v>
      </c>
      <c r="CP179" s="31">
        <v>43559</v>
      </c>
      <c r="CQ179" s="6">
        <v>28.19</v>
      </c>
      <c r="CR179" s="6">
        <v>28.39</v>
      </c>
      <c r="CS179" s="6">
        <f t="shared" si="32"/>
        <v>28.29</v>
      </c>
      <c r="CT179" s="6">
        <v>1.12208</v>
      </c>
      <c r="CW179" s="31">
        <f t="shared" si="33"/>
        <v>43559</v>
      </c>
      <c r="CX179" s="6">
        <f t="shared" si="28"/>
        <v>28.19</v>
      </c>
      <c r="CY179" s="6">
        <f t="shared" si="29"/>
        <v>28.39</v>
      </c>
      <c r="CZ179" s="6">
        <f t="shared" si="30"/>
        <v>28.29</v>
      </c>
      <c r="DA179" s="6">
        <f t="shared" si="31"/>
        <v>1.12208</v>
      </c>
    </row>
    <row r="180" spans="77:105" x14ac:dyDescent="0.15">
      <c r="BY180" s="31">
        <v>43971</v>
      </c>
      <c r="CP180" s="31">
        <v>43558</v>
      </c>
      <c r="CQ180" s="6">
        <v>29.11</v>
      </c>
      <c r="CR180" s="6">
        <v>29.31</v>
      </c>
      <c r="CS180" s="6">
        <f t="shared" si="32"/>
        <v>29.21</v>
      </c>
      <c r="CT180" s="6">
        <v>1.1232599999999999</v>
      </c>
      <c r="CW180" s="31">
        <f t="shared" si="33"/>
        <v>43558</v>
      </c>
      <c r="CX180" s="6">
        <f t="shared" si="28"/>
        <v>29.11</v>
      </c>
      <c r="CY180" s="6">
        <f t="shared" si="29"/>
        <v>29.31</v>
      </c>
      <c r="CZ180" s="6">
        <f t="shared" si="30"/>
        <v>29.21</v>
      </c>
      <c r="DA180" s="6">
        <f t="shared" si="31"/>
        <v>1.1232599999999999</v>
      </c>
    </row>
    <row r="181" spans="77:105" x14ac:dyDescent="0.15">
      <c r="BY181" s="31">
        <v>43970</v>
      </c>
      <c r="CP181" s="31">
        <v>43557</v>
      </c>
      <c r="CQ181" s="6">
        <v>30.13</v>
      </c>
      <c r="CR181" s="6">
        <v>30.33</v>
      </c>
      <c r="CS181" s="6">
        <f t="shared" si="32"/>
        <v>30.229999999999997</v>
      </c>
      <c r="CT181" s="6">
        <v>1.1204499999999999</v>
      </c>
      <c r="CW181" s="31">
        <f t="shared" si="33"/>
        <v>43557</v>
      </c>
      <c r="CX181" s="6">
        <f t="shared" si="28"/>
        <v>30.13</v>
      </c>
      <c r="CY181" s="6">
        <f t="shared" si="29"/>
        <v>30.33</v>
      </c>
      <c r="CZ181" s="6">
        <f t="shared" si="30"/>
        <v>30.229999999999997</v>
      </c>
      <c r="DA181" s="6">
        <f t="shared" si="31"/>
        <v>1.1204499999999999</v>
      </c>
    </row>
    <row r="182" spans="77:105" x14ac:dyDescent="0.15">
      <c r="BY182" s="31">
        <v>43969</v>
      </c>
      <c r="CP182" s="31">
        <v>43556</v>
      </c>
      <c r="CQ182" s="6">
        <v>28.24</v>
      </c>
      <c r="CR182" s="6">
        <v>28.44</v>
      </c>
      <c r="CS182" s="6">
        <f t="shared" si="32"/>
        <v>28.34</v>
      </c>
      <c r="CT182" s="6">
        <v>1.1212599999999999</v>
      </c>
      <c r="CW182" s="31">
        <f t="shared" si="33"/>
        <v>43556</v>
      </c>
      <c r="CX182" s="6">
        <f t="shared" si="28"/>
        <v>28.24</v>
      </c>
      <c r="CY182" s="6">
        <f t="shared" si="29"/>
        <v>28.44</v>
      </c>
      <c r="CZ182" s="6">
        <f t="shared" si="30"/>
        <v>28.34</v>
      </c>
      <c r="DA182" s="6">
        <f t="shared" si="31"/>
        <v>1.1212599999999999</v>
      </c>
    </row>
    <row r="183" spans="77:105" x14ac:dyDescent="0.15">
      <c r="BY183" s="31">
        <v>43966</v>
      </c>
      <c r="CP183" s="31">
        <v>43555</v>
      </c>
      <c r="CQ183" s="6">
        <v>28.34</v>
      </c>
      <c r="CR183" s="6">
        <v>28.56</v>
      </c>
      <c r="CS183" s="6">
        <f t="shared" si="32"/>
        <v>28.45</v>
      </c>
      <c r="CT183" s="6">
        <v>1.1217600000000001</v>
      </c>
      <c r="CW183" s="31">
        <f t="shared" si="33"/>
        <v>43555</v>
      </c>
      <c r="CX183" s="6">
        <f t="shared" si="28"/>
        <v>28.34</v>
      </c>
      <c r="CY183" s="6">
        <f t="shared" si="29"/>
        <v>28.56</v>
      </c>
      <c r="CZ183" s="6">
        <f t="shared" si="30"/>
        <v>28.45</v>
      </c>
      <c r="DA183" s="6">
        <f t="shared" si="31"/>
        <v>1.1217600000000001</v>
      </c>
    </row>
    <row r="184" spans="77:105" x14ac:dyDescent="0.15">
      <c r="BY184" s="31">
        <v>43965</v>
      </c>
      <c r="CP184" s="31">
        <v>43554</v>
      </c>
      <c r="CQ184" s="6">
        <v>28.22</v>
      </c>
      <c r="CR184" s="6">
        <v>28.42</v>
      </c>
      <c r="CS184" s="6">
        <f t="shared" si="32"/>
        <v>28.32</v>
      </c>
      <c r="CT184" s="6">
        <v>1.1217600000000001</v>
      </c>
      <c r="CW184" s="31">
        <f t="shared" si="33"/>
        <v>43554</v>
      </c>
      <c r="CX184" s="6">
        <f t="shared" si="28"/>
        <v>28.22</v>
      </c>
      <c r="CY184" s="6">
        <f t="shared" si="29"/>
        <v>28.42</v>
      </c>
      <c r="CZ184" s="6">
        <f t="shared" si="30"/>
        <v>28.32</v>
      </c>
      <c r="DA184" s="6">
        <f t="shared" si="31"/>
        <v>1.1217600000000001</v>
      </c>
    </row>
    <row r="185" spans="77:105" x14ac:dyDescent="0.15">
      <c r="BY185" s="31">
        <v>43964</v>
      </c>
      <c r="CP185" s="31">
        <v>43553</v>
      </c>
      <c r="CQ185" s="6">
        <v>28.24</v>
      </c>
      <c r="CR185" s="6">
        <v>28.44</v>
      </c>
      <c r="CS185" s="6">
        <f t="shared" si="32"/>
        <v>28.34</v>
      </c>
      <c r="CT185" s="6">
        <v>1.1217600000000001</v>
      </c>
      <c r="CW185" s="31">
        <f t="shared" si="33"/>
        <v>43553</v>
      </c>
      <c r="CX185" s="6">
        <f t="shared" si="28"/>
        <v>28.24</v>
      </c>
      <c r="CY185" s="6">
        <f t="shared" si="29"/>
        <v>28.44</v>
      </c>
      <c r="CZ185" s="6">
        <f t="shared" si="30"/>
        <v>28.34</v>
      </c>
      <c r="DA185" s="6">
        <f t="shared" si="31"/>
        <v>1.1217600000000001</v>
      </c>
    </row>
    <row r="186" spans="77:105" x14ac:dyDescent="0.15">
      <c r="BY186" s="31">
        <v>43963</v>
      </c>
      <c r="CP186" s="31">
        <v>43552</v>
      </c>
      <c r="CQ186" s="6">
        <v>29.3</v>
      </c>
      <c r="CR186" s="6">
        <v>29.5</v>
      </c>
      <c r="CS186" s="6">
        <f t="shared" si="32"/>
        <v>29.4</v>
      </c>
      <c r="CT186" s="6">
        <v>1.12208</v>
      </c>
      <c r="CW186" s="31">
        <f t="shared" si="33"/>
        <v>43552</v>
      </c>
      <c r="CX186" s="6">
        <f t="shared" si="28"/>
        <v>29.3</v>
      </c>
      <c r="CY186" s="6">
        <f t="shared" si="29"/>
        <v>29.5</v>
      </c>
      <c r="CZ186" s="6">
        <f t="shared" si="30"/>
        <v>29.4</v>
      </c>
      <c r="DA186" s="6">
        <f t="shared" si="31"/>
        <v>1.12208</v>
      </c>
    </row>
    <row r="187" spans="77:105" x14ac:dyDescent="0.15">
      <c r="BY187" s="31">
        <v>43962</v>
      </c>
      <c r="CP187" s="31">
        <v>43551</v>
      </c>
      <c r="CQ187" s="6">
        <v>31.05</v>
      </c>
      <c r="CR187" s="6">
        <v>31.25</v>
      </c>
      <c r="CS187" s="6">
        <f t="shared" si="32"/>
        <v>31.15</v>
      </c>
      <c r="CT187" s="6">
        <v>1.1244099999999999</v>
      </c>
      <c r="CW187" s="31">
        <f t="shared" si="33"/>
        <v>43551</v>
      </c>
      <c r="CX187" s="6">
        <f t="shared" si="28"/>
        <v>31.05</v>
      </c>
      <c r="CY187" s="6">
        <f t="shared" si="29"/>
        <v>31.25</v>
      </c>
      <c r="CZ187" s="6">
        <f t="shared" si="30"/>
        <v>31.15</v>
      </c>
      <c r="DA187" s="6">
        <f t="shared" si="31"/>
        <v>1.1244099999999999</v>
      </c>
    </row>
    <row r="188" spans="77:105" x14ac:dyDescent="0.15">
      <c r="BY188" s="31">
        <v>43959</v>
      </c>
      <c r="CP188" s="31">
        <v>43550</v>
      </c>
      <c r="CQ188" s="6">
        <v>31.46</v>
      </c>
      <c r="CR188" s="6">
        <v>31.66</v>
      </c>
      <c r="CS188" s="6">
        <f t="shared" si="32"/>
        <v>31.560000000000002</v>
      </c>
      <c r="CT188" s="6">
        <v>1.1265700000000001</v>
      </c>
      <c r="CW188" s="31">
        <f t="shared" si="33"/>
        <v>43550</v>
      </c>
      <c r="CX188" s="6">
        <f t="shared" si="28"/>
        <v>31.46</v>
      </c>
      <c r="CY188" s="6">
        <f t="shared" si="29"/>
        <v>31.66</v>
      </c>
      <c r="CZ188" s="6">
        <f t="shared" si="30"/>
        <v>31.560000000000002</v>
      </c>
      <c r="DA188" s="6">
        <f t="shared" si="31"/>
        <v>1.1265700000000001</v>
      </c>
    </row>
    <row r="189" spans="77:105" x14ac:dyDescent="0.15">
      <c r="BY189" s="31">
        <v>43958</v>
      </c>
      <c r="CP189" s="31">
        <v>43549</v>
      </c>
      <c r="CQ189" s="6">
        <v>32.14</v>
      </c>
      <c r="CR189" s="6">
        <v>32.340000000000003</v>
      </c>
      <c r="CS189" s="6">
        <f t="shared" si="32"/>
        <v>32.24</v>
      </c>
      <c r="CT189" s="6">
        <v>1.13121</v>
      </c>
      <c r="CW189" s="31">
        <f t="shared" si="33"/>
        <v>43549</v>
      </c>
      <c r="CX189" s="6">
        <f t="shared" si="28"/>
        <v>32.14</v>
      </c>
      <c r="CY189" s="6">
        <f t="shared" si="29"/>
        <v>32.340000000000003</v>
      </c>
      <c r="CZ189" s="6">
        <f t="shared" si="30"/>
        <v>32.24</v>
      </c>
      <c r="DA189" s="6">
        <f t="shared" si="31"/>
        <v>1.13121</v>
      </c>
    </row>
    <row r="190" spans="77:105" x14ac:dyDescent="0.15">
      <c r="BY190" s="31">
        <v>43957</v>
      </c>
      <c r="CP190" s="31">
        <v>43548</v>
      </c>
      <c r="CQ190" s="6">
        <v>30.11</v>
      </c>
      <c r="CR190" s="6">
        <v>30.34</v>
      </c>
      <c r="CS190" s="6">
        <f t="shared" si="32"/>
        <v>30.225000000000001</v>
      </c>
      <c r="CT190" s="6">
        <v>1.1302700000000001</v>
      </c>
      <c r="CW190" s="31">
        <f t="shared" si="33"/>
        <v>43548</v>
      </c>
      <c r="CX190" s="6">
        <f t="shared" si="28"/>
        <v>30.11</v>
      </c>
      <c r="CY190" s="6">
        <f t="shared" si="29"/>
        <v>30.34</v>
      </c>
      <c r="CZ190" s="6">
        <f t="shared" si="30"/>
        <v>30.225000000000001</v>
      </c>
      <c r="DA190" s="6">
        <f t="shared" si="31"/>
        <v>1.1302700000000001</v>
      </c>
    </row>
    <row r="191" spans="77:105" x14ac:dyDescent="0.15">
      <c r="BY191" s="31">
        <v>43956</v>
      </c>
      <c r="CP191" s="31">
        <v>43547</v>
      </c>
      <c r="CQ191" s="6">
        <v>30.09</v>
      </c>
      <c r="CR191" s="6">
        <v>30.39</v>
      </c>
      <c r="CS191" s="6">
        <f t="shared" si="32"/>
        <v>30.240000000000002</v>
      </c>
      <c r="CT191" s="6">
        <v>1.1302700000000001</v>
      </c>
      <c r="CW191" s="31">
        <f t="shared" si="33"/>
        <v>43547</v>
      </c>
      <c r="CX191" s="6">
        <f t="shared" si="28"/>
        <v>30.09</v>
      </c>
      <c r="CY191" s="6">
        <f t="shared" si="29"/>
        <v>30.39</v>
      </c>
      <c r="CZ191" s="6">
        <f t="shared" si="30"/>
        <v>30.240000000000002</v>
      </c>
      <c r="DA191" s="6">
        <f t="shared" si="31"/>
        <v>1.1302700000000001</v>
      </c>
    </row>
    <row r="192" spans="77:105" x14ac:dyDescent="0.15">
      <c r="BY192" s="31">
        <v>43955</v>
      </c>
      <c r="CP192" s="31">
        <v>43546</v>
      </c>
      <c r="CQ192" s="6">
        <v>30</v>
      </c>
      <c r="CR192" s="6">
        <v>30.2</v>
      </c>
      <c r="CS192" s="6">
        <f t="shared" si="32"/>
        <v>30.1</v>
      </c>
      <c r="CT192" s="6">
        <v>1.1302700000000001</v>
      </c>
      <c r="CW192" s="31">
        <f t="shared" si="33"/>
        <v>43546</v>
      </c>
      <c r="CX192" s="6">
        <f t="shared" si="28"/>
        <v>30</v>
      </c>
      <c r="CY192" s="6">
        <f t="shared" si="29"/>
        <v>30.2</v>
      </c>
      <c r="CZ192" s="6">
        <f t="shared" si="30"/>
        <v>30.1</v>
      </c>
      <c r="DA192" s="6">
        <f t="shared" si="31"/>
        <v>1.1302700000000001</v>
      </c>
    </row>
    <row r="193" spans="77:105" x14ac:dyDescent="0.15">
      <c r="BY193" s="31">
        <v>43951</v>
      </c>
      <c r="CP193" s="31">
        <v>43545</v>
      </c>
      <c r="CQ193" s="6">
        <v>30.35</v>
      </c>
      <c r="CR193" s="6">
        <v>30.55</v>
      </c>
      <c r="CS193" s="6">
        <f t="shared" si="32"/>
        <v>30.450000000000003</v>
      </c>
      <c r="CT193" s="6">
        <v>1.13744</v>
      </c>
      <c r="CW193" s="31">
        <f t="shared" si="33"/>
        <v>43545</v>
      </c>
      <c r="CX193" s="6">
        <f t="shared" si="28"/>
        <v>30.35</v>
      </c>
      <c r="CY193" s="6">
        <f t="shared" si="29"/>
        <v>30.55</v>
      </c>
      <c r="CZ193" s="6">
        <f t="shared" si="30"/>
        <v>30.450000000000003</v>
      </c>
      <c r="DA193" s="6">
        <f t="shared" si="31"/>
        <v>1.13744</v>
      </c>
    </row>
    <row r="194" spans="77:105" x14ac:dyDescent="0.15">
      <c r="BY194" s="31">
        <v>43950</v>
      </c>
      <c r="CP194" s="31">
        <v>43544</v>
      </c>
      <c r="CQ194" s="6">
        <v>30.9</v>
      </c>
      <c r="CR194" s="6">
        <v>31.1</v>
      </c>
      <c r="CS194" s="6">
        <f t="shared" si="32"/>
        <v>31</v>
      </c>
      <c r="CT194" s="6">
        <v>1.14133</v>
      </c>
      <c r="CW194" s="31">
        <f t="shared" si="33"/>
        <v>43544</v>
      </c>
      <c r="CX194" s="6">
        <f t="shared" si="28"/>
        <v>30.9</v>
      </c>
      <c r="CY194" s="6">
        <f t="shared" si="29"/>
        <v>31.1</v>
      </c>
      <c r="CZ194" s="6">
        <f t="shared" si="30"/>
        <v>31</v>
      </c>
      <c r="DA194" s="6">
        <f t="shared" si="31"/>
        <v>1.14133</v>
      </c>
    </row>
    <row r="195" spans="77:105" x14ac:dyDescent="0.15">
      <c r="BY195" s="31">
        <v>43949</v>
      </c>
      <c r="CP195" s="31">
        <v>43543</v>
      </c>
      <c r="CQ195" s="6">
        <v>31.66</v>
      </c>
      <c r="CR195" s="6">
        <v>31.86</v>
      </c>
      <c r="CS195" s="6">
        <f t="shared" si="32"/>
        <v>31.759999999999998</v>
      </c>
      <c r="CT195" s="6">
        <v>1.1351899999999999</v>
      </c>
      <c r="CW195" s="31">
        <f t="shared" si="33"/>
        <v>43543</v>
      </c>
      <c r="CX195" s="6">
        <f t="shared" si="28"/>
        <v>31.66</v>
      </c>
      <c r="CY195" s="6">
        <f t="shared" si="29"/>
        <v>31.86</v>
      </c>
      <c r="CZ195" s="6">
        <f t="shared" si="30"/>
        <v>31.759999999999998</v>
      </c>
      <c r="DA195" s="6">
        <f t="shared" si="31"/>
        <v>1.1351899999999999</v>
      </c>
    </row>
    <row r="196" spans="77:105" x14ac:dyDescent="0.15">
      <c r="BY196" s="31">
        <v>43948</v>
      </c>
      <c r="CP196" s="31">
        <v>43542</v>
      </c>
      <c r="CQ196" s="6">
        <v>32.6</v>
      </c>
      <c r="CR196" s="6">
        <v>32.799990000000001</v>
      </c>
      <c r="CS196" s="6">
        <f t="shared" si="32"/>
        <v>32.699995000000001</v>
      </c>
      <c r="CT196" s="6">
        <v>1.13367</v>
      </c>
      <c r="CW196" s="31">
        <f t="shared" si="33"/>
        <v>43542</v>
      </c>
      <c r="CX196" s="6">
        <f t="shared" si="28"/>
        <v>32.6</v>
      </c>
      <c r="CY196" s="6">
        <f t="shared" si="29"/>
        <v>32.799990000000001</v>
      </c>
      <c r="CZ196" s="6">
        <f t="shared" si="30"/>
        <v>32.699995000000001</v>
      </c>
      <c r="DA196" s="6">
        <f t="shared" si="31"/>
        <v>1.13367</v>
      </c>
    </row>
    <row r="197" spans="77:105" x14ac:dyDescent="0.15">
      <c r="BY197" s="31">
        <v>43945</v>
      </c>
      <c r="CP197" s="31">
        <v>43541</v>
      </c>
      <c r="CQ197" s="6">
        <v>33.49</v>
      </c>
      <c r="CR197" s="6">
        <v>33.67</v>
      </c>
      <c r="CS197" s="6">
        <f t="shared" si="32"/>
        <v>33.58</v>
      </c>
      <c r="CT197" s="6">
        <v>1.13259</v>
      </c>
      <c r="CW197" s="31">
        <f t="shared" si="33"/>
        <v>43541</v>
      </c>
      <c r="CX197" s="6">
        <f t="shared" si="28"/>
        <v>33.49</v>
      </c>
      <c r="CY197" s="6">
        <f t="shared" si="29"/>
        <v>33.67</v>
      </c>
      <c r="CZ197" s="6">
        <f t="shared" si="30"/>
        <v>33.58</v>
      </c>
      <c r="DA197" s="6">
        <f t="shared" si="31"/>
        <v>1.13259</v>
      </c>
    </row>
    <row r="198" spans="77:105" x14ac:dyDescent="0.15">
      <c r="BY198" s="31">
        <v>43944</v>
      </c>
      <c r="CP198" s="31">
        <v>43540</v>
      </c>
      <c r="CQ198" s="6">
        <v>33.47</v>
      </c>
      <c r="CR198" s="6">
        <v>33.67</v>
      </c>
      <c r="CS198" s="6">
        <f t="shared" si="32"/>
        <v>33.57</v>
      </c>
      <c r="CT198" s="6">
        <v>1.13259</v>
      </c>
      <c r="CW198" s="31">
        <f t="shared" si="33"/>
        <v>43540</v>
      </c>
      <c r="CX198" s="6">
        <f t="shared" si="28"/>
        <v>33.47</v>
      </c>
      <c r="CY198" s="6">
        <f t="shared" si="29"/>
        <v>33.67</v>
      </c>
      <c r="CZ198" s="6">
        <f t="shared" si="30"/>
        <v>33.57</v>
      </c>
      <c r="DA198" s="6">
        <f t="shared" si="31"/>
        <v>1.13259</v>
      </c>
    </row>
    <row r="199" spans="77:105" x14ac:dyDescent="0.15">
      <c r="BY199" s="31">
        <v>43943</v>
      </c>
      <c r="CP199" s="31">
        <v>43539</v>
      </c>
      <c r="CQ199" s="6">
        <v>33.49</v>
      </c>
      <c r="CR199" s="6">
        <v>33.69</v>
      </c>
      <c r="CS199" s="6">
        <f t="shared" si="32"/>
        <v>33.590000000000003</v>
      </c>
      <c r="CT199" s="6">
        <v>1.13259</v>
      </c>
      <c r="CW199" s="31">
        <f t="shared" si="33"/>
        <v>43539</v>
      </c>
      <c r="CX199" s="6">
        <f t="shared" si="28"/>
        <v>33.49</v>
      </c>
      <c r="CY199" s="6">
        <f t="shared" si="29"/>
        <v>33.69</v>
      </c>
      <c r="CZ199" s="6">
        <f t="shared" si="30"/>
        <v>33.590000000000003</v>
      </c>
      <c r="DA199" s="6">
        <f t="shared" si="31"/>
        <v>1.13259</v>
      </c>
    </row>
    <row r="200" spans="77:105" x14ac:dyDescent="0.15">
      <c r="BY200" s="31">
        <v>43942</v>
      </c>
      <c r="CP200" s="31">
        <v>43538</v>
      </c>
      <c r="CQ200" s="6">
        <v>29.62</v>
      </c>
      <c r="CR200" s="6">
        <v>29.82</v>
      </c>
      <c r="CS200" s="6">
        <f t="shared" si="32"/>
        <v>29.72</v>
      </c>
      <c r="CT200" s="6">
        <v>1.1304099999999999</v>
      </c>
      <c r="CW200" s="31">
        <f t="shared" si="33"/>
        <v>43538</v>
      </c>
      <c r="CX200" s="6">
        <f t="shared" si="28"/>
        <v>29.62</v>
      </c>
      <c r="CY200" s="6">
        <f t="shared" si="29"/>
        <v>29.82</v>
      </c>
      <c r="CZ200" s="6">
        <f t="shared" si="30"/>
        <v>29.72</v>
      </c>
      <c r="DA200" s="6">
        <f t="shared" si="31"/>
        <v>1.1304099999999999</v>
      </c>
    </row>
    <row r="201" spans="77:105" x14ac:dyDescent="0.15">
      <c r="BY201" s="31">
        <v>43941</v>
      </c>
      <c r="CP201" s="31">
        <v>43537</v>
      </c>
      <c r="CQ201" s="6">
        <v>29.53</v>
      </c>
      <c r="CR201" s="6">
        <v>29.73</v>
      </c>
      <c r="CS201" s="6">
        <f t="shared" si="32"/>
        <v>29.630000000000003</v>
      </c>
      <c r="CT201" s="6">
        <v>1.1327400000000001</v>
      </c>
      <c r="CW201" s="31">
        <f t="shared" si="33"/>
        <v>43537</v>
      </c>
      <c r="CX201" s="6">
        <f t="shared" si="28"/>
        <v>29.53</v>
      </c>
      <c r="CY201" s="6">
        <f t="shared" si="29"/>
        <v>29.73</v>
      </c>
      <c r="CZ201" s="6">
        <f t="shared" si="30"/>
        <v>29.630000000000003</v>
      </c>
      <c r="DA201" s="6">
        <f t="shared" si="31"/>
        <v>1.1327400000000001</v>
      </c>
    </row>
    <row r="202" spans="77:105" x14ac:dyDescent="0.15">
      <c r="BY202" s="31">
        <v>43938</v>
      </c>
      <c r="CP202" s="31">
        <v>43536</v>
      </c>
      <c r="CQ202" s="6">
        <v>30.37</v>
      </c>
      <c r="CR202" s="6">
        <v>30.57</v>
      </c>
      <c r="CS202" s="6">
        <f t="shared" si="32"/>
        <v>30.47</v>
      </c>
      <c r="CT202" s="6">
        <v>1.1287700000000001</v>
      </c>
      <c r="CW202" s="31">
        <f t="shared" si="33"/>
        <v>43536</v>
      </c>
      <c r="CX202" s="6">
        <f t="shared" si="28"/>
        <v>30.37</v>
      </c>
      <c r="CY202" s="6">
        <f t="shared" si="29"/>
        <v>30.57</v>
      </c>
      <c r="CZ202" s="6">
        <f t="shared" si="30"/>
        <v>30.47</v>
      </c>
      <c r="DA202" s="6">
        <f t="shared" si="31"/>
        <v>1.1287700000000001</v>
      </c>
    </row>
    <row r="203" spans="77:105" x14ac:dyDescent="0.15">
      <c r="BY203" s="31">
        <v>43937</v>
      </c>
      <c r="CP203" s="31">
        <v>43535</v>
      </c>
      <c r="CQ203" s="6">
        <v>31.37</v>
      </c>
      <c r="CR203" s="6">
        <v>31.57</v>
      </c>
      <c r="CS203" s="6">
        <f t="shared" si="32"/>
        <v>31.47</v>
      </c>
      <c r="CT203" s="6">
        <v>1.12452</v>
      </c>
      <c r="CW203" s="31">
        <f t="shared" si="33"/>
        <v>43535</v>
      </c>
      <c r="CX203" s="6">
        <f t="shared" si="28"/>
        <v>31.37</v>
      </c>
      <c r="CY203" s="6">
        <f t="shared" si="29"/>
        <v>31.57</v>
      </c>
      <c r="CZ203" s="6">
        <f t="shared" si="30"/>
        <v>31.47</v>
      </c>
      <c r="DA203" s="6">
        <f t="shared" si="31"/>
        <v>1.12452</v>
      </c>
    </row>
    <row r="204" spans="77:105" x14ac:dyDescent="0.15">
      <c r="BY204" s="31">
        <v>43936</v>
      </c>
      <c r="CP204" s="31">
        <v>43534</v>
      </c>
      <c r="CQ204" s="6">
        <v>29.32</v>
      </c>
      <c r="CR204" s="6">
        <v>29.49</v>
      </c>
      <c r="CS204" s="6">
        <f t="shared" si="32"/>
        <v>29.405000000000001</v>
      </c>
      <c r="CT204" s="6">
        <v>1.1231899999999999</v>
      </c>
      <c r="CW204" s="31">
        <f t="shared" si="33"/>
        <v>43534</v>
      </c>
      <c r="CX204" s="6">
        <f t="shared" ref="CX204:CX267" si="34">IF($CQ$8=TRUE,CQ204,"")</f>
        <v>29.32</v>
      </c>
      <c r="CY204" s="6">
        <f t="shared" ref="CY204:CY267" si="35">IF($CR$8=TRUE,CR204,"")</f>
        <v>29.49</v>
      </c>
      <c r="CZ204" s="6">
        <f t="shared" ref="CZ204:CZ267" si="36">IF($CS$8=TRUE,CS204,"")</f>
        <v>29.405000000000001</v>
      </c>
      <c r="DA204" s="6">
        <f t="shared" ref="DA204:DA267" si="37">IF($CT$8=TRUE,CT204,"")</f>
        <v>1.1231899999999999</v>
      </c>
    </row>
    <row r="205" spans="77:105" x14ac:dyDescent="0.15">
      <c r="BY205" s="31">
        <v>43935</v>
      </c>
      <c r="CP205" s="31">
        <v>43533</v>
      </c>
      <c r="CQ205" s="6">
        <v>29.42</v>
      </c>
      <c r="CR205" s="6">
        <v>29.62</v>
      </c>
      <c r="CS205" s="6">
        <f t="shared" ref="CS205:CS268" si="38">AVERAGE(CQ205:CR205)</f>
        <v>29.520000000000003</v>
      </c>
      <c r="CT205" s="6">
        <v>1.1231899999999999</v>
      </c>
      <c r="CW205" s="31">
        <f t="shared" ref="CW205:CW268" si="39">CP205</f>
        <v>43533</v>
      </c>
      <c r="CX205" s="6">
        <f t="shared" si="34"/>
        <v>29.42</v>
      </c>
      <c r="CY205" s="6">
        <f t="shared" si="35"/>
        <v>29.62</v>
      </c>
      <c r="CZ205" s="6">
        <f t="shared" si="36"/>
        <v>29.520000000000003</v>
      </c>
      <c r="DA205" s="6">
        <f t="shared" si="37"/>
        <v>1.1231899999999999</v>
      </c>
    </row>
    <row r="206" spans="77:105" x14ac:dyDescent="0.15">
      <c r="BY206" s="31">
        <v>43930</v>
      </c>
      <c r="CP206" s="31">
        <v>43532</v>
      </c>
      <c r="CQ206" s="6">
        <v>29.44</v>
      </c>
      <c r="CR206" s="6">
        <v>29.64</v>
      </c>
      <c r="CS206" s="6">
        <f t="shared" si="38"/>
        <v>29.54</v>
      </c>
      <c r="CT206" s="6">
        <v>1.1231899999999999</v>
      </c>
      <c r="CW206" s="31">
        <f t="shared" si="39"/>
        <v>43532</v>
      </c>
      <c r="CX206" s="6">
        <f t="shared" si="34"/>
        <v>29.44</v>
      </c>
      <c r="CY206" s="6">
        <f t="shared" si="35"/>
        <v>29.64</v>
      </c>
      <c r="CZ206" s="6">
        <f t="shared" si="36"/>
        <v>29.54</v>
      </c>
      <c r="DA206" s="6">
        <f t="shared" si="37"/>
        <v>1.1231899999999999</v>
      </c>
    </row>
    <row r="207" spans="77:105" x14ac:dyDescent="0.15">
      <c r="BY207" s="31">
        <v>43929</v>
      </c>
      <c r="CP207" s="31">
        <v>43531</v>
      </c>
      <c r="CQ207" s="6">
        <v>29.12</v>
      </c>
      <c r="CR207" s="6">
        <v>29.32</v>
      </c>
      <c r="CS207" s="6">
        <f t="shared" si="38"/>
        <v>29.22</v>
      </c>
      <c r="CT207" s="6">
        <v>1.11815</v>
      </c>
      <c r="CW207" s="31">
        <f t="shared" si="39"/>
        <v>43531</v>
      </c>
      <c r="CX207" s="6">
        <f t="shared" si="34"/>
        <v>29.12</v>
      </c>
      <c r="CY207" s="6">
        <f t="shared" si="35"/>
        <v>29.32</v>
      </c>
      <c r="CZ207" s="6">
        <f t="shared" si="36"/>
        <v>29.22</v>
      </c>
      <c r="DA207" s="6">
        <f t="shared" si="37"/>
        <v>1.11815</v>
      </c>
    </row>
    <row r="208" spans="77:105" x14ac:dyDescent="0.15">
      <c r="BY208" s="31">
        <v>43928</v>
      </c>
      <c r="CP208" s="31">
        <v>43530</v>
      </c>
      <c r="CQ208" s="6">
        <v>29.22</v>
      </c>
      <c r="CR208" s="6">
        <v>29.42</v>
      </c>
      <c r="CS208" s="6">
        <f t="shared" si="38"/>
        <v>29.32</v>
      </c>
      <c r="CT208" s="6">
        <v>1.13113</v>
      </c>
      <c r="CW208" s="31">
        <f t="shared" si="39"/>
        <v>43530</v>
      </c>
      <c r="CX208" s="6">
        <f t="shared" si="34"/>
        <v>29.22</v>
      </c>
      <c r="CY208" s="6">
        <f t="shared" si="35"/>
        <v>29.42</v>
      </c>
      <c r="CZ208" s="6">
        <f t="shared" si="36"/>
        <v>29.32</v>
      </c>
      <c r="DA208" s="6">
        <f t="shared" si="37"/>
        <v>1.13113</v>
      </c>
    </row>
    <row r="209" spans="77:105" x14ac:dyDescent="0.15">
      <c r="BY209" s="31">
        <v>43927</v>
      </c>
      <c r="CP209" s="31">
        <v>43529</v>
      </c>
      <c r="CQ209" s="6">
        <v>30.25</v>
      </c>
      <c r="CR209" s="6">
        <v>30.45</v>
      </c>
      <c r="CS209" s="6">
        <f t="shared" si="38"/>
        <v>30.35</v>
      </c>
      <c r="CT209" s="6">
        <v>1.1307799999999999</v>
      </c>
      <c r="CW209" s="31">
        <f t="shared" si="39"/>
        <v>43529</v>
      </c>
      <c r="CX209" s="6">
        <f t="shared" si="34"/>
        <v>30.25</v>
      </c>
      <c r="CY209" s="6">
        <f t="shared" si="35"/>
        <v>30.45</v>
      </c>
      <c r="CZ209" s="6">
        <f t="shared" si="36"/>
        <v>30.35</v>
      </c>
      <c r="DA209" s="6">
        <f t="shared" si="37"/>
        <v>1.1307799999999999</v>
      </c>
    </row>
    <row r="210" spans="77:105" x14ac:dyDescent="0.15">
      <c r="BY210" s="31">
        <v>43924</v>
      </c>
      <c r="CP210" s="31">
        <v>43528</v>
      </c>
      <c r="CQ210" s="6">
        <v>31.16</v>
      </c>
      <c r="CR210" s="6">
        <v>31.36</v>
      </c>
      <c r="CS210" s="6">
        <f t="shared" si="38"/>
        <v>31.259999999999998</v>
      </c>
      <c r="CT210" s="6">
        <v>1.1342399999999999</v>
      </c>
      <c r="CW210" s="31">
        <f t="shared" si="39"/>
        <v>43528</v>
      </c>
      <c r="CX210" s="6">
        <f t="shared" si="34"/>
        <v>31.16</v>
      </c>
      <c r="CY210" s="6">
        <f t="shared" si="35"/>
        <v>31.36</v>
      </c>
      <c r="CZ210" s="6">
        <f t="shared" si="36"/>
        <v>31.259999999999998</v>
      </c>
      <c r="DA210" s="6">
        <f t="shared" si="37"/>
        <v>1.1342399999999999</v>
      </c>
    </row>
    <row r="211" spans="77:105" x14ac:dyDescent="0.15">
      <c r="BY211" s="31">
        <v>43923</v>
      </c>
      <c r="CP211" s="31">
        <v>43527</v>
      </c>
      <c r="CQ211" s="6">
        <v>29.54</v>
      </c>
      <c r="CR211" s="6">
        <v>29.73</v>
      </c>
      <c r="CS211" s="6">
        <f t="shared" si="38"/>
        <v>29.634999999999998</v>
      </c>
      <c r="CT211" s="6">
        <v>1.13646</v>
      </c>
      <c r="CW211" s="31">
        <f t="shared" si="39"/>
        <v>43527</v>
      </c>
      <c r="CX211" s="6">
        <f t="shared" si="34"/>
        <v>29.54</v>
      </c>
      <c r="CY211" s="6">
        <f t="shared" si="35"/>
        <v>29.73</v>
      </c>
      <c r="CZ211" s="6">
        <f t="shared" si="36"/>
        <v>29.634999999999998</v>
      </c>
      <c r="DA211" s="6">
        <f t="shared" si="37"/>
        <v>1.13646</v>
      </c>
    </row>
    <row r="212" spans="77:105" x14ac:dyDescent="0.15">
      <c r="BY212" s="31">
        <v>43922</v>
      </c>
      <c r="CP212" s="31">
        <v>43526</v>
      </c>
      <c r="CQ212" s="6">
        <v>29.56</v>
      </c>
      <c r="CR212" s="6">
        <v>29.76</v>
      </c>
      <c r="CS212" s="6">
        <f t="shared" si="38"/>
        <v>29.66</v>
      </c>
      <c r="CT212" s="6">
        <v>1.13646</v>
      </c>
      <c r="CW212" s="31">
        <f t="shared" si="39"/>
        <v>43526</v>
      </c>
      <c r="CX212" s="6">
        <f t="shared" si="34"/>
        <v>29.56</v>
      </c>
      <c r="CY212" s="6">
        <f t="shared" si="35"/>
        <v>29.76</v>
      </c>
      <c r="CZ212" s="6">
        <f t="shared" si="36"/>
        <v>29.66</v>
      </c>
      <c r="DA212" s="6">
        <f t="shared" si="37"/>
        <v>1.13646</v>
      </c>
    </row>
    <row r="213" spans="77:105" x14ac:dyDescent="0.15">
      <c r="BY213" s="31">
        <v>43921</v>
      </c>
      <c r="CP213" s="31">
        <v>43525</v>
      </c>
      <c r="CQ213" s="6">
        <v>29.56</v>
      </c>
      <c r="CR213" s="6">
        <v>29.76</v>
      </c>
      <c r="CS213" s="6">
        <f t="shared" si="38"/>
        <v>29.66</v>
      </c>
      <c r="CT213" s="6">
        <v>1.13646</v>
      </c>
      <c r="CW213" s="31">
        <f t="shared" si="39"/>
        <v>43525</v>
      </c>
      <c r="CX213" s="6">
        <f t="shared" si="34"/>
        <v>29.56</v>
      </c>
      <c r="CY213" s="6">
        <f t="shared" si="35"/>
        <v>29.76</v>
      </c>
      <c r="CZ213" s="6">
        <f t="shared" si="36"/>
        <v>29.66</v>
      </c>
      <c r="DA213" s="6">
        <f t="shared" si="37"/>
        <v>1.13646</v>
      </c>
    </row>
    <row r="214" spans="77:105" x14ac:dyDescent="0.15">
      <c r="BY214" s="31">
        <v>43920</v>
      </c>
      <c r="CP214" s="31">
        <v>43524</v>
      </c>
      <c r="CQ214" s="6">
        <v>29.5</v>
      </c>
      <c r="CR214" s="6">
        <v>29.7</v>
      </c>
      <c r="CS214" s="6">
        <f t="shared" si="38"/>
        <v>29.6</v>
      </c>
      <c r="CT214" s="6">
        <v>1.13733</v>
      </c>
      <c r="CW214" s="31">
        <f t="shared" si="39"/>
        <v>43524</v>
      </c>
      <c r="CX214" s="6">
        <f t="shared" si="34"/>
        <v>29.5</v>
      </c>
      <c r="CY214" s="6">
        <f t="shared" si="35"/>
        <v>29.7</v>
      </c>
      <c r="CZ214" s="6">
        <f t="shared" si="36"/>
        <v>29.6</v>
      </c>
      <c r="DA214" s="6">
        <f t="shared" si="37"/>
        <v>1.13733</v>
      </c>
    </row>
    <row r="215" spans="77:105" x14ac:dyDescent="0.15">
      <c r="BY215" s="31">
        <v>43917</v>
      </c>
      <c r="CP215" s="31">
        <v>43523</v>
      </c>
      <c r="CQ215" s="6">
        <v>29.41</v>
      </c>
      <c r="CR215" s="6">
        <v>29.61</v>
      </c>
      <c r="CS215" s="6">
        <f t="shared" si="38"/>
        <v>29.509999999999998</v>
      </c>
      <c r="CT215" s="6">
        <v>1.1371100000000001</v>
      </c>
      <c r="CW215" s="31">
        <f t="shared" si="39"/>
        <v>43523</v>
      </c>
      <c r="CX215" s="6">
        <f t="shared" si="34"/>
        <v>29.41</v>
      </c>
      <c r="CY215" s="6">
        <f t="shared" si="35"/>
        <v>29.61</v>
      </c>
      <c r="CZ215" s="6">
        <f t="shared" si="36"/>
        <v>29.509999999999998</v>
      </c>
      <c r="DA215" s="6">
        <f t="shared" si="37"/>
        <v>1.1371100000000001</v>
      </c>
    </row>
    <row r="216" spans="77:105" x14ac:dyDescent="0.15">
      <c r="BY216" s="31">
        <v>43916</v>
      </c>
      <c r="CP216" s="31">
        <v>43522</v>
      </c>
      <c r="CQ216" s="6">
        <v>27.19</v>
      </c>
      <c r="CR216" s="6">
        <v>27.39</v>
      </c>
      <c r="CS216" s="6">
        <f t="shared" si="38"/>
        <v>27.29</v>
      </c>
      <c r="CT216" s="6">
        <v>1.1392</v>
      </c>
      <c r="CW216" s="31">
        <f t="shared" si="39"/>
        <v>43522</v>
      </c>
      <c r="CX216" s="6">
        <f t="shared" si="34"/>
        <v>27.19</v>
      </c>
      <c r="CY216" s="6">
        <f t="shared" si="35"/>
        <v>27.39</v>
      </c>
      <c r="CZ216" s="6">
        <f t="shared" si="36"/>
        <v>27.29</v>
      </c>
      <c r="DA216" s="6">
        <f t="shared" si="37"/>
        <v>1.1392</v>
      </c>
    </row>
    <row r="217" spans="77:105" x14ac:dyDescent="0.15">
      <c r="BY217" s="31">
        <v>43915</v>
      </c>
      <c r="CP217" s="31">
        <v>43521</v>
      </c>
      <c r="CQ217" s="6">
        <v>26.2</v>
      </c>
      <c r="CR217" s="6">
        <v>26.4</v>
      </c>
      <c r="CS217" s="6">
        <f t="shared" si="38"/>
        <v>26.299999999999997</v>
      </c>
      <c r="CT217" s="6">
        <v>1.1362000000000001</v>
      </c>
      <c r="CW217" s="31">
        <f t="shared" si="39"/>
        <v>43521</v>
      </c>
      <c r="CX217" s="6">
        <f t="shared" si="34"/>
        <v>26.2</v>
      </c>
      <c r="CY217" s="6">
        <f t="shared" si="35"/>
        <v>26.4</v>
      </c>
      <c r="CZ217" s="6">
        <f t="shared" si="36"/>
        <v>26.299999999999997</v>
      </c>
      <c r="DA217" s="6">
        <f t="shared" si="37"/>
        <v>1.1362000000000001</v>
      </c>
    </row>
    <row r="218" spans="77:105" x14ac:dyDescent="0.15">
      <c r="BY218" s="31">
        <v>43914</v>
      </c>
      <c r="CP218" s="31">
        <v>43520</v>
      </c>
      <c r="CQ218" s="6">
        <v>25.97</v>
      </c>
      <c r="CR218" s="6">
        <v>26.14</v>
      </c>
      <c r="CS218" s="6">
        <f t="shared" si="38"/>
        <v>26.055</v>
      </c>
      <c r="CT218" s="6">
        <v>1.1332199999999999</v>
      </c>
      <c r="CW218" s="31">
        <f t="shared" si="39"/>
        <v>43520</v>
      </c>
      <c r="CX218" s="6">
        <f t="shared" si="34"/>
        <v>25.97</v>
      </c>
      <c r="CY218" s="6">
        <f t="shared" si="35"/>
        <v>26.14</v>
      </c>
      <c r="CZ218" s="6">
        <f t="shared" si="36"/>
        <v>26.055</v>
      </c>
      <c r="DA218" s="6">
        <f t="shared" si="37"/>
        <v>1.1332199999999999</v>
      </c>
    </row>
    <row r="219" spans="77:105" x14ac:dyDescent="0.15">
      <c r="BY219" s="31">
        <v>43913</v>
      </c>
      <c r="CP219" s="31">
        <v>43519</v>
      </c>
      <c r="CQ219" s="6">
        <v>25.99</v>
      </c>
      <c r="CR219" s="6">
        <v>26.19</v>
      </c>
      <c r="CS219" s="6">
        <f t="shared" si="38"/>
        <v>26.09</v>
      </c>
      <c r="CT219" s="6">
        <v>1.1332199999999999</v>
      </c>
      <c r="CW219" s="31">
        <f t="shared" si="39"/>
        <v>43519</v>
      </c>
      <c r="CX219" s="6">
        <f t="shared" si="34"/>
        <v>25.99</v>
      </c>
      <c r="CY219" s="6">
        <f t="shared" si="35"/>
        <v>26.19</v>
      </c>
      <c r="CZ219" s="6">
        <f t="shared" si="36"/>
        <v>26.09</v>
      </c>
      <c r="DA219" s="6">
        <f t="shared" si="37"/>
        <v>1.1332199999999999</v>
      </c>
    </row>
    <row r="220" spans="77:105" x14ac:dyDescent="0.15">
      <c r="BY220" s="31">
        <v>43910</v>
      </c>
      <c r="CP220" s="31">
        <v>43518</v>
      </c>
      <c r="CQ220" s="6">
        <v>26.03</v>
      </c>
      <c r="CR220" s="6">
        <v>26.23</v>
      </c>
      <c r="CS220" s="6">
        <f t="shared" si="38"/>
        <v>26.130000000000003</v>
      </c>
      <c r="CT220" s="6">
        <v>1.1332199999999999</v>
      </c>
      <c r="CW220" s="31">
        <f t="shared" si="39"/>
        <v>43518</v>
      </c>
      <c r="CX220" s="6">
        <f t="shared" si="34"/>
        <v>26.03</v>
      </c>
      <c r="CY220" s="6">
        <f t="shared" si="35"/>
        <v>26.23</v>
      </c>
      <c r="CZ220" s="6">
        <f t="shared" si="36"/>
        <v>26.130000000000003</v>
      </c>
      <c r="DA220" s="6">
        <f t="shared" si="37"/>
        <v>1.1332199999999999</v>
      </c>
    </row>
    <row r="221" spans="77:105" x14ac:dyDescent="0.15">
      <c r="BY221" s="31">
        <v>43909</v>
      </c>
      <c r="CP221" s="31">
        <v>43517</v>
      </c>
      <c r="CQ221" s="6">
        <v>25.86</v>
      </c>
      <c r="CR221" s="6">
        <v>26.06</v>
      </c>
      <c r="CS221" s="6">
        <f t="shared" si="38"/>
        <v>25.96</v>
      </c>
      <c r="CT221" s="6">
        <v>1.1338600000000001</v>
      </c>
      <c r="CW221" s="31">
        <f t="shared" si="39"/>
        <v>43517</v>
      </c>
      <c r="CX221" s="6">
        <f t="shared" si="34"/>
        <v>25.86</v>
      </c>
      <c r="CY221" s="6">
        <f t="shared" si="35"/>
        <v>26.06</v>
      </c>
      <c r="CZ221" s="6">
        <f t="shared" si="36"/>
        <v>25.96</v>
      </c>
      <c r="DA221" s="6">
        <f t="shared" si="37"/>
        <v>1.1338600000000001</v>
      </c>
    </row>
    <row r="222" spans="77:105" x14ac:dyDescent="0.15">
      <c r="BY222" s="31">
        <v>43908</v>
      </c>
      <c r="CP222" s="31">
        <v>43516</v>
      </c>
      <c r="CQ222" s="6">
        <v>25.96</v>
      </c>
      <c r="CR222" s="6">
        <v>26.16</v>
      </c>
      <c r="CS222" s="6">
        <f t="shared" si="38"/>
        <v>26.060000000000002</v>
      </c>
      <c r="CT222" s="6">
        <v>1.13402</v>
      </c>
      <c r="CW222" s="31">
        <f t="shared" si="39"/>
        <v>43516</v>
      </c>
      <c r="CX222" s="6">
        <f t="shared" si="34"/>
        <v>25.96</v>
      </c>
      <c r="CY222" s="6">
        <f t="shared" si="35"/>
        <v>26.16</v>
      </c>
      <c r="CZ222" s="6">
        <f t="shared" si="36"/>
        <v>26.060000000000002</v>
      </c>
      <c r="DA222" s="6">
        <f t="shared" si="37"/>
        <v>1.13402</v>
      </c>
    </row>
    <row r="223" spans="77:105" x14ac:dyDescent="0.15">
      <c r="BY223" s="31">
        <v>43907</v>
      </c>
      <c r="CP223" s="31">
        <v>43515</v>
      </c>
      <c r="CQ223" s="6">
        <v>26.06</v>
      </c>
      <c r="CR223" s="6">
        <v>26.26</v>
      </c>
      <c r="CS223" s="6">
        <f t="shared" si="38"/>
        <v>26.16</v>
      </c>
      <c r="CT223" s="6">
        <v>1.1343000000000001</v>
      </c>
      <c r="CW223" s="31">
        <f t="shared" si="39"/>
        <v>43515</v>
      </c>
      <c r="CX223" s="6">
        <f t="shared" si="34"/>
        <v>26.06</v>
      </c>
      <c r="CY223" s="6">
        <f t="shared" si="35"/>
        <v>26.26</v>
      </c>
      <c r="CZ223" s="6">
        <f t="shared" si="36"/>
        <v>26.16</v>
      </c>
      <c r="DA223" s="6">
        <f t="shared" si="37"/>
        <v>1.1343000000000001</v>
      </c>
    </row>
    <row r="224" spans="77:105" x14ac:dyDescent="0.15">
      <c r="BY224" s="31">
        <v>43906</v>
      </c>
      <c r="CP224" s="31">
        <v>43514</v>
      </c>
      <c r="CQ224" s="6">
        <v>26.01</v>
      </c>
      <c r="CR224" s="6">
        <v>26.21</v>
      </c>
      <c r="CS224" s="6">
        <f t="shared" si="38"/>
        <v>26.11</v>
      </c>
      <c r="CT224" s="6">
        <v>1.1314599999999999</v>
      </c>
      <c r="CW224" s="31">
        <f t="shared" si="39"/>
        <v>43514</v>
      </c>
      <c r="CX224" s="6">
        <f t="shared" si="34"/>
        <v>26.01</v>
      </c>
      <c r="CY224" s="6">
        <f t="shared" si="35"/>
        <v>26.21</v>
      </c>
      <c r="CZ224" s="6">
        <f t="shared" si="36"/>
        <v>26.11</v>
      </c>
      <c r="DA224" s="6">
        <f t="shared" si="37"/>
        <v>1.1314599999999999</v>
      </c>
    </row>
    <row r="225" spans="77:105" x14ac:dyDescent="0.15">
      <c r="BY225" s="31">
        <v>43903</v>
      </c>
      <c r="CP225" s="31">
        <v>43513</v>
      </c>
      <c r="CQ225" s="6">
        <v>26.01</v>
      </c>
      <c r="CR225" s="6">
        <v>26.21</v>
      </c>
      <c r="CS225" s="6">
        <f t="shared" si="38"/>
        <v>26.11</v>
      </c>
      <c r="CT225" s="6">
        <v>1.1299300000000001</v>
      </c>
      <c r="CW225" s="31">
        <f t="shared" si="39"/>
        <v>43513</v>
      </c>
      <c r="CX225" s="6">
        <f t="shared" si="34"/>
        <v>26.01</v>
      </c>
      <c r="CY225" s="6">
        <f t="shared" si="35"/>
        <v>26.21</v>
      </c>
      <c r="CZ225" s="6">
        <f t="shared" si="36"/>
        <v>26.11</v>
      </c>
      <c r="DA225" s="6">
        <f t="shared" si="37"/>
        <v>1.1299300000000001</v>
      </c>
    </row>
    <row r="226" spans="77:105" x14ac:dyDescent="0.15">
      <c r="BY226" s="31">
        <v>43902</v>
      </c>
      <c r="CP226" s="31">
        <v>43512</v>
      </c>
      <c r="CQ226" s="6">
        <v>26</v>
      </c>
      <c r="CR226" s="6">
        <v>26.18</v>
      </c>
      <c r="CS226" s="6">
        <f t="shared" si="38"/>
        <v>26.09</v>
      </c>
      <c r="CT226" s="6">
        <v>1.1299300000000001</v>
      </c>
      <c r="CW226" s="31">
        <f t="shared" si="39"/>
        <v>43512</v>
      </c>
      <c r="CX226" s="6">
        <f t="shared" si="34"/>
        <v>26</v>
      </c>
      <c r="CY226" s="6">
        <f t="shared" si="35"/>
        <v>26.18</v>
      </c>
      <c r="CZ226" s="6">
        <f t="shared" si="36"/>
        <v>26.09</v>
      </c>
      <c r="DA226" s="6">
        <f t="shared" si="37"/>
        <v>1.1299300000000001</v>
      </c>
    </row>
    <row r="227" spans="77:105" x14ac:dyDescent="0.15">
      <c r="BY227" s="31">
        <v>43901</v>
      </c>
      <c r="CP227" s="31">
        <v>43511</v>
      </c>
      <c r="CQ227" s="6">
        <v>25.9</v>
      </c>
      <c r="CR227" s="6">
        <v>26.1</v>
      </c>
      <c r="CS227" s="6">
        <f t="shared" si="38"/>
        <v>26</v>
      </c>
      <c r="CT227" s="6">
        <v>1.1299300000000001</v>
      </c>
      <c r="CW227" s="31">
        <f t="shared" si="39"/>
        <v>43511</v>
      </c>
      <c r="CX227" s="6">
        <f t="shared" si="34"/>
        <v>25.9</v>
      </c>
      <c r="CY227" s="6">
        <f t="shared" si="35"/>
        <v>26.1</v>
      </c>
      <c r="CZ227" s="6">
        <f t="shared" si="36"/>
        <v>26</v>
      </c>
      <c r="DA227" s="6">
        <f t="shared" si="37"/>
        <v>1.1299300000000001</v>
      </c>
    </row>
    <row r="228" spans="77:105" x14ac:dyDescent="0.15">
      <c r="BY228" s="31">
        <v>43900</v>
      </c>
      <c r="CP228" s="31">
        <v>43510</v>
      </c>
      <c r="CQ228" s="6">
        <v>26.04</v>
      </c>
      <c r="CR228" s="6">
        <v>26.24</v>
      </c>
      <c r="CS228" s="6">
        <f t="shared" si="38"/>
        <v>26.14</v>
      </c>
      <c r="CT228" s="6">
        <v>1.1292</v>
      </c>
      <c r="CW228" s="31">
        <f t="shared" si="39"/>
        <v>43510</v>
      </c>
      <c r="CX228" s="6">
        <f t="shared" si="34"/>
        <v>26.04</v>
      </c>
      <c r="CY228" s="6">
        <f t="shared" si="35"/>
        <v>26.24</v>
      </c>
      <c r="CZ228" s="6">
        <f t="shared" si="36"/>
        <v>26.14</v>
      </c>
      <c r="DA228" s="6">
        <f t="shared" si="37"/>
        <v>1.1292</v>
      </c>
    </row>
    <row r="229" spans="77:105" x14ac:dyDescent="0.15">
      <c r="BY229" s="31">
        <v>43899</v>
      </c>
      <c r="CP229" s="31">
        <v>43509</v>
      </c>
      <c r="CQ229" s="6">
        <v>26.18</v>
      </c>
      <c r="CR229" s="6">
        <v>26.38</v>
      </c>
      <c r="CS229" s="6">
        <f t="shared" si="38"/>
        <v>26.28</v>
      </c>
      <c r="CT229" s="6">
        <v>1.1266499999999999</v>
      </c>
      <c r="CW229" s="31">
        <f t="shared" si="39"/>
        <v>43509</v>
      </c>
      <c r="CX229" s="6">
        <f t="shared" si="34"/>
        <v>26.18</v>
      </c>
      <c r="CY229" s="6">
        <f t="shared" si="35"/>
        <v>26.38</v>
      </c>
      <c r="CZ229" s="6">
        <f t="shared" si="36"/>
        <v>26.28</v>
      </c>
      <c r="DA229" s="6">
        <f t="shared" si="37"/>
        <v>1.1266499999999999</v>
      </c>
    </row>
    <row r="230" spans="77:105" x14ac:dyDescent="0.15">
      <c r="BY230" s="31">
        <v>43896</v>
      </c>
      <c r="CP230" s="31">
        <v>43508</v>
      </c>
      <c r="CQ230" s="6">
        <v>26.27</v>
      </c>
      <c r="CR230" s="6">
        <v>26.47</v>
      </c>
      <c r="CS230" s="6">
        <f t="shared" si="38"/>
        <v>26.369999999999997</v>
      </c>
      <c r="CT230" s="6">
        <v>1.13317</v>
      </c>
      <c r="CW230" s="31">
        <f t="shared" si="39"/>
        <v>43508</v>
      </c>
      <c r="CX230" s="6">
        <f t="shared" si="34"/>
        <v>26.27</v>
      </c>
      <c r="CY230" s="6">
        <f t="shared" si="35"/>
        <v>26.47</v>
      </c>
      <c r="CZ230" s="6">
        <f t="shared" si="36"/>
        <v>26.369999999999997</v>
      </c>
      <c r="DA230" s="6">
        <f t="shared" si="37"/>
        <v>1.13317</v>
      </c>
    </row>
    <row r="231" spans="77:105" x14ac:dyDescent="0.15">
      <c r="BY231" s="31">
        <v>43895</v>
      </c>
      <c r="CP231" s="31">
        <v>43507</v>
      </c>
      <c r="CQ231" s="6">
        <v>26.1</v>
      </c>
      <c r="CR231" s="6">
        <v>26.3</v>
      </c>
      <c r="CS231" s="6">
        <f t="shared" si="38"/>
        <v>26.200000000000003</v>
      </c>
      <c r="CT231" s="6">
        <v>1.1276600000000001</v>
      </c>
      <c r="CW231" s="31">
        <f t="shared" si="39"/>
        <v>43507</v>
      </c>
      <c r="CX231" s="6">
        <f t="shared" si="34"/>
        <v>26.1</v>
      </c>
      <c r="CY231" s="6">
        <f t="shared" si="35"/>
        <v>26.3</v>
      </c>
      <c r="CZ231" s="6">
        <f t="shared" si="36"/>
        <v>26.200000000000003</v>
      </c>
      <c r="DA231" s="6">
        <f t="shared" si="37"/>
        <v>1.1276600000000001</v>
      </c>
    </row>
    <row r="232" spans="77:105" x14ac:dyDescent="0.15">
      <c r="BY232" s="31">
        <v>43894</v>
      </c>
      <c r="CP232" s="31">
        <v>43506</v>
      </c>
      <c r="CQ232" s="6">
        <v>26.24</v>
      </c>
      <c r="CR232" s="6">
        <v>26.43</v>
      </c>
      <c r="CS232" s="6">
        <f t="shared" si="38"/>
        <v>26.335000000000001</v>
      </c>
      <c r="CT232" s="6">
        <v>1.1322300000000001</v>
      </c>
      <c r="CW232" s="31">
        <f t="shared" si="39"/>
        <v>43506</v>
      </c>
      <c r="CX232" s="6">
        <f t="shared" si="34"/>
        <v>26.24</v>
      </c>
      <c r="CY232" s="6">
        <f t="shared" si="35"/>
        <v>26.43</v>
      </c>
      <c r="CZ232" s="6">
        <f t="shared" si="36"/>
        <v>26.335000000000001</v>
      </c>
      <c r="DA232" s="6">
        <f t="shared" si="37"/>
        <v>1.1322300000000001</v>
      </c>
    </row>
    <row r="233" spans="77:105" x14ac:dyDescent="0.15">
      <c r="BY233" s="31">
        <v>43893</v>
      </c>
      <c r="CP233" s="31">
        <v>43505</v>
      </c>
      <c r="CQ233" s="6">
        <v>26.31</v>
      </c>
      <c r="CR233" s="6">
        <v>26.51</v>
      </c>
      <c r="CS233" s="6">
        <f t="shared" si="38"/>
        <v>26.41</v>
      </c>
      <c r="CT233" s="6">
        <v>1.1322300000000001</v>
      </c>
      <c r="CW233" s="31">
        <f t="shared" si="39"/>
        <v>43505</v>
      </c>
      <c r="CX233" s="6">
        <f t="shared" si="34"/>
        <v>26.31</v>
      </c>
      <c r="CY233" s="6">
        <f t="shared" si="35"/>
        <v>26.51</v>
      </c>
      <c r="CZ233" s="6">
        <f t="shared" si="36"/>
        <v>26.41</v>
      </c>
      <c r="DA233" s="6">
        <f t="shared" si="37"/>
        <v>1.1322300000000001</v>
      </c>
    </row>
    <row r="234" spans="77:105" x14ac:dyDescent="0.15">
      <c r="BY234" s="31">
        <v>43892</v>
      </c>
      <c r="CP234" s="31">
        <v>43504</v>
      </c>
      <c r="CQ234" s="6">
        <v>26.26</v>
      </c>
      <c r="CR234" s="6">
        <v>26.46</v>
      </c>
      <c r="CS234" s="6">
        <f t="shared" si="38"/>
        <v>26.36</v>
      </c>
      <c r="CT234" s="6">
        <v>1.1322300000000001</v>
      </c>
      <c r="CW234" s="31">
        <f t="shared" si="39"/>
        <v>43504</v>
      </c>
      <c r="CX234" s="6">
        <f t="shared" si="34"/>
        <v>26.26</v>
      </c>
      <c r="CY234" s="6">
        <f t="shared" si="35"/>
        <v>26.46</v>
      </c>
      <c r="CZ234" s="6">
        <f t="shared" si="36"/>
        <v>26.36</v>
      </c>
      <c r="DA234" s="6">
        <f t="shared" si="37"/>
        <v>1.1322300000000001</v>
      </c>
    </row>
    <row r="235" spans="77:105" x14ac:dyDescent="0.15">
      <c r="BY235" s="31">
        <v>43889</v>
      </c>
      <c r="CP235" s="31">
        <v>43503</v>
      </c>
      <c r="CQ235" s="6">
        <v>26.35</v>
      </c>
      <c r="CR235" s="6">
        <v>26.55</v>
      </c>
      <c r="CS235" s="6">
        <f t="shared" si="38"/>
        <v>26.450000000000003</v>
      </c>
      <c r="CT235" s="6">
        <v>1.13425</v>
      </c>
      <c r="CW235" s="31">
        <f t="shared" si="39"/>
        <v>43503</v>
      </c>
      <c r="CX235" s="6">
        <f t="shared" si="34"/>
        <v>26.35</v>
      </c>
      <c r="CY235" s="6">
        <f t="shared" si="35"/>
        <v>26.55</v>
      </c>
      <c r="CZ235" s="6">
        <f t="shared" si="36"/>
        <v>26.450000000000003</v>
      </c>
      <c r="DA235" s="6">
        <f t="shared" si="37"/>
        <v>1.13425</v>
      </c>
    </row>
    <row r="236" spans="77:105" x14ac:dyDescent="0.15">
      <c r="BY236" s="31">
        <v>43888</v>
      </c>
      <c r="CP236" s="31">
        <v>43502</v>
      </c>
      <c r="CQ236" s="6">
        <v>26.45</v>
      </c>
      <c r="CR236" s="6">
        <v>26.65</v>
      </c>
      <c r="CS236" s="6">
        <f t="shared" si="38"/>
        <v>26.549999999999997</v>
      </c>
      <c r="CT236" s="6">
        <v>1.13683</v>
      </c>
      <c r="CW236" s="31">
        <f t="shared" si="39"/>
        <v>43502</v>
      </c>
      <c r="CX236" s="6">
        <f t="shared" si="34"/>
        <v>26.45</v>
      </c>
      <c r="CY236" s="6">
        <f t="shared" si="35"/>
        <v>26.65</v>
      </c>
      <c r="CZ236" s="6">
        <f t="shared" si="36"/>
        <v>26.549999999999997</v>
      </c>
      <c r="DA236" s="6">
        <f t="shared" si="37"/>
        <v>1.13683</v>
      </c>
    </row>
    <row r="237" spans="77:105" x14ac:dyDescent="0.15">
      <c r="BY237" s="31">
        <v>43887</v>
      </c>
      <c r="CP237" s="31">
        <v>43501</v>
      </c>
      <c r="CQ237" s="6">
        <v>26.65</v>
      </c>
      <c r="CR237" s="6">
        <v>26.85</v>
      </c>
      <c r="CS237" s="6">
        <f t="shared" si="38"/>
        <v>26.75</v>
      </c>
      <c r="CT237" s="6">
        <v>1.1412500000000001</v>
      </c>
      <c r="CW237" s="31">
        <f t="shared" si="39"/>
        <v>43501</v>
      </c>
      <c r="CX237" s="6">
        <f t="shared" si="34"/>
        <v>26.65</v>
      </c>
      <c r="CY237" s="6">
        <f t="shared" si="35"/>
        <v>26.85</v>
      </c>
      <c r="CZ237" s="6">
        <f t="shared" si="36"/>
        <v>26.75</v>
      </c>
      <c r="DA237" s="6">
        <f t="shared" si="37"/>
        <v>1.1412500000000001</v>
      </c>
    </row>
    <row r="238" spans="77:105" x14ac:dyDescent="0.15">
      <c r="BY238" s="31">
        <v>43886</v>
      </c>
      <c r="CP238" s="31">
        <v>43500</v>
      </c>
      <c r="CQ238" s="6">
        <v>26.74</v>
      </c>
      <c r="CR238" s="6">
        <v>26.94</v>
      </c>
      <c r="CS238" s="6">
        <f t="shared" si="38"/>
        <v>26.84</v>
      </c>
      <c r="CT238" s="6">
        <v>1.1435</v>
      </c>
      <c r="CW238" s="31">
        <f t="shared" si="39"/>
        <v>43500</v>
      </c>
      <c r="CX238" s="6">
        <f t="shared" si="34"/>
        <v>26.74</v>
      </c>
      <c r="CY238" s="6">
        <f t="shared" si="35"/>
        <v>26.94</v>
      </c>
      <c r="CZ238" s="6">
        <f t="shared" si="36"/>
        <v>26.84</v>
      </c>
      <c r="DA238" s="6">
        <f t="shared" si="37"/>
        <v>1.1435</v>
      </c>
    </row>
    <row r="239" spans="77:105" x14ac:dyDescent="0.15">
      <c r="BY239" s="31">
        <v>43885</v>
      </c>
      <c r="CP239" s="31">
        <v>43499</v>
      </c>
      <c r="CQ239" s="6">
        <v>26.96</v>
      </c>
      <c r="CR239" s="6">
        <v>27.12</v>
      </c>
      <c r="CS239" s="6">
        <f t="shared" si="38"/>
        <v>27.04</v>
      </c>
      <c r="CT239" s="6">
        <v>1.1459699999999999</v>
      </c>
      <c r="CW239" s="31">
        <f t="shared" si="39"/>
        <v>43499</v>
      </c>
      <c r="CX239" s="6">
        <f t="shared" si="34"/>
        <v>26.96</v>
      </c>
      <c r="CY239" s="6">
        <f t="shared" si="35"/>
        <v>27.12</v>
      </c>
      <c r="CZ239" s="6">
        <f t="shared" si="36"/>
        <v>27.04</v>
      </c>
      <c r="DA239" s="6">
        <f t="shared" si="37"/>
        <v>1.1459699999999999</v>
      </c>
    </row>
    <row r="240" spans="77:105" x14ac:dyDescent="0.15">
      <c r="BY240" s="31">
        <v>43882</v>
      </c>
      <c r="CP240" s="31">
        <v>43498</v>
      </c>
      <c r="CQ240" s="6">
        <v>26.96</v>
      </c>
      <c r="CR240" s="6">
        <v>27.14</v>
      </c>
      <c r="CS240" s="6">
        <f t="shared" si="38"/>
        <v>27.05</v>
      </c>
      <c r="CT240" s="6">
        <v>1.1459699999999999</v>
      </c>
      <c r="CW240" s="31">
        <f t="shared" si="39"/>
        <v>43498</v>
      </c>
      <c r="CX240" s="6">
        <f t="shared" si="34"/>
        <v>26.96</v>
      </c>
      <c r="CY240" s="6">
        <f t="shared" si="35"/>
        <v>27.14</v>
      </c>
      <c r="CZ240" s="6">
        <f t="shared" si="36"/>
        <v>27.05</v>
      </c>
      <c r="DA240" s="6">
        <f t="shared" si="37"/>
        <v>1.1459699999999999</v>
      </c>
    </row>
    <row r="241" spans="77:105" x14ac:dyDescent="0.15">
      <c r="BY241" s="31">
        <v>43881</v>
      </c>
      <c r="CP241" s="31">
        <v>43497</v>
      </c>
      <c r="CQ241" s="6">
        <v>26.89</v>
      </c>
      <c r="CR241" s="6">
        <v>27.09</v>
      </c>
      <c r="CS241" s="6">
        <f t="shared" si="38"/>
        <v>26.990000000000002</v>
      </c>
      <c r="CT241" s="6">
        <v>1.1459699999999999</v>
      </c>
      <c r="CW241" s="31">
        <f t="shared" si="39"/>
        <v>43497</v>
      </c>
      <c r="CX241" s="6">
        <f t="shared" si="34"/>
        <v>26.89</v>
      </c>
      <c r="CY241" s="6">
        <f t="shared" si="35"/>
        <v>27.09</v>
      </c>
      <c r="CZ241" s="6">
        <f t="shared" si="36"/>
        <v>26.990000000000002</v>
      </c>
      <c r="DA241" s="6">
        <f t="shared" si="37"/>
        <v>1.1459699999999999</v>
      </c>
    </row>
    <row r="242" spans="77:105" x14ac:dyDescent="0.15">
      <c r="BY242" s="31">
        <v>43880</v>
      </c>
      <c r="CP242" s="31">
        <v>43496</v>
      </c>
      <c r="CQ242" s="6">
        <v>26.98</v>
      </c>
      <c r="CR242" s="6">
        <v>27.18</v>
      </c>
      <c r="CS242" s="6">
        <f t="shared" si="38"/>
        <v>27.08</v>
      </c>
      <c r="CT242" s="6">
        <v>1.14449</v>
      </c>
      <c r="CW242" s="31">
        <f t="shared" si="39"/>
        <v>43496</v>
      </c>
      <c r="CX242" s="6">
        <f t="shared" si="34"/>
        <v>26.98</v>
      </c>
      <c r="CY242" s="6">
        <f t="shared" si="35"/>
        <v>27.18</v>
      </c>
      <c r="CZ242" s="6">
        <f t="shared" si="36"/>
        <v>27.08</v>
      </c>
      <c r="DA242" s="6">
        <f t="shared" si="37"/>
        <v>1.14449</v>
      </c>
    </row>
    <row r="243" spans="77:105" x14ac:dyDescent="0.15">
      <c r="BY243" s="31">
        <v>43879</v>
      </c>
      <c r="CP243" s="31">
        <v>43495</v>
      </c>
      <c r="CQ243" s="6">
        <v>26.65</v>
      </c>
      <c r="CR243" s="6">
        <v>26.85</v>
      </c>
      <c r="CS243" s="6">
        <f t="shared" si="38"/>
        <v>26.75</v>
      </c>
      <c r="CT243" s="6">
        <v>1.1481600000000001</v>
      </c>
      <c r="CW243" s="31">
        <f t="shared" si="39"/>
        <v>43495</v>
      </c>
      <c r="CX243" s="6">
        <f t="shared" si="34"/>
        <v>26.65</v>
      </c>
      <c r="CY243" s="6">
        <f t="shared" si="35"/>
        <v>26.85</v>
      </c>
      <c r="CZ243" s="6">
        <f t="shared" si="36"/>
        <v>26.75</v>
      </c>
      <c r="DA243" s="6">
        <f t="shared" si="37"/>
        <v>1.1481600000000001</v>
      </c>
    </row>
    <row r="244" spans="77:105" x14ac:dyDescent="0.15">
      <c r="BY244" s="31">
        <v>43875</v>
      </c>
      <c r="CP244" s="31">
        <v>43494</v>
      </c>
      <c r="CQ244" s="6">
        <v>26.87</v>
      </c>
      <c r="CR244" s="6">
        <v>27.07</v>
      </c>
      <c r="CS244" s="6">
        <f t="shared" si="38"/>
        <v>26.97</v>
      </c>
      <c r="CT244" s="6">
        <v>1.1433199999999999</v>
      </c>
      <c r="CW244" s="31">
        <f t="shared" si="39"/>
        <v>43494</v>
      </c>
      <c r="CX244" s="6">
        <f t="shared" si="34"/>
        <v>26.87</v>
      </c>
      <c r="CY244" s="6">
        <f t="shared" si="35"/>
        <v>27.07</v>
      </c>
      <c r="CZ244" s="6">
        <f t="shared" si="36"/>
        <v>26.97</v>
      </c>
      <c r="DA244" s="6">
        <f t="shared" si="37"/>
        <v>1.1433199999999999</v>
      </c>
    </row>
    <row r="245" spans="77:105" x14ac:dyDescent="0.15">
      <c r="BY245" s="31">
        <v>43874</v>
      </c>
      <c r="CP245" s="31">
        <v>43493</v>
      </c>
      <c r="CQ245" s="6">
        <v>27.77</v>
      </c>
      <c r="CR245" s="6">
        <v>27.95</v>
      </c>
      <c r="CS245" s="6">
        <f t="shared" si="38"/>
        <v>27.86</v>
      </c>
      <c r="CT245" s="6">
        <v>1.1428199999999999</v>
      </c>
      <c r="CW245" s="31">
        <f t="shared" si="39"/>
        <v>43493</v>
      </c>
      <c r="CX245" s="6">
        <f t="shared" si="34"/>
        <v>27.77</v>
      </c>
      <c r="CY245" s="6">
        <f t="shared" si="35"/>
        <v>27.95</v>
      </c>
      <c r="CZ245" s="6">
        <f t="shared" si="36"/>
        <v>27.86</v>
      </c>
      <c r="DA245" s="6">
        <f t="shared" si="37"/>
        <v>1.1428199999999999</v>
      </c>
    </row>
    <row r="246" spans="77:105" x14ac:dyDescent="0.15">
      <c r="BY246" s="31">
        <v>43873</v>
      </c>
      <c r="CP246" s="31">
        <v>43492</v>
      </c>
      <c r="CQ246" s="6">
        <v>28.59</v>
      </c>
      <c r="CR246" s="6">
        <v>28.83</v>
      </c>
      <c r="CS246" s="6">
        <f t="shared" si="38"/>
        <v>28.71</v>
      </c>
      <c r="CT246" s="6">
        <v>1.14147</v>
      </c>
      <c r="CW246" s="31">
        <f t="shared" si="39"/>
        <v>43492</v>
      </c>
      <c r="CX246" s="6">
        <f t="shared" si="34"/>
        <v>28.59</v>
      </c>
      <c r="CY246" s="6">
        <f t="shared" si="35"/>
        <v>28.83</v>
      </c>
      <c r="CZ246" s="6">
        <f t="shared" si="36"/>
        <v>28.71</v>
      </c>
      <c r="DA246" s="6">
        <f t="shared" si="37"/>
        <v>1.14147</v>
      </c>
    </row>
    <row r="247" spans="77:105" x14ac:dyDescent="0.15">
      <c r="BY247" s="31">
        <v>43872</v>
      </c>
      <c r="CP247" s="31">
        <v>43491</v>
      </c>
      <c r="CQ247" s="6">
        <v>28.67</v>
      </c>
      <c r="CR247" s="6">
        <v>28.85</v>
      </c>
      <c r="CS247" s="6">
        <f t="shared" si="38"/>
        <v>28.76</v>
      </c>
      <c r="CT247" s="6">
        <v>1.14147</v>
      </c>
      <c r="CW247" s="31">
        <f t="shared" si="39"/>
        <v>43491</v>
      </c>
      <c r="CX247" s="6">
        <f t="shared" si="34"/>
        <v>28.67</v>
      </c>
      <c r="CY247" s="6">
        <f t="shared" si="35"/>
        <v>28.85</v>
      </c>
      <c r="CZ247" s="6">
        <f t="shared" si="36"/>
        <v>28.76</v>
      </c>
      <c r="DA247" s="6">
        <f t="shared" si="37"/>
        <v>1.14147</v>
      </c>
    </row>
    <row r="248" spans="77:105" x14ac:dyDescent="0.15">
      <c r="BY248" s="31">
        <v>43871</v>
      </c>
      <c r="CP248" s="31">
        <v>43490</v>
      </c>
      <c r="CQ248" s="6">
        <v>28.53</v>
      </c>
      <c r="CR248" s="6">
        <v>28.73</v>
      </c>
      <c r="CS248" s="6">
        <f t="shared" si="38"/>
        <v>28.630000000000003</v>
      </c>
      <c r="CT248" s="6">
        <v>1.14147</v>
      </c>
      <c r="CW248" s="31">
        <f t="shared" si="39"/>
        <v>43490</v>
      </c>
      <c r="CX248" s="6">
        <f t="shared" si="34"/>
        <v>28.53</v>
      </c>
      <c r="CY248" s="6">
        <f t="shared" si="35"/>
        <v>28.73</v>
      </c>
      <c r="CZ248" s="6">
        <f t="shared" si="36"/>
        <v>28.630000000000003</v>
      </c>
      <c r="DA248" s="6">
        <f t="shared" si="37"/>
        <v>1.14147</v>
      </c>
    </row>
    <row r="249" spans="77:105" x14ac:dyDescent="0.15">
      <c r="BY249" s="31">
        <v>43868</v>
      </c>
      <c r="CP249" s="31">
        <v>43489</v>
      </c>
      <c r="CQ249" s="6">
        <v>29.51</v>
      </c>
      <c r="CR249" s="6">
        <v>29.71</v>
      </c>
      <c r="CS249" s="6">
        <f t="shared" si="38"/>
        <v>29.61</v>
      </c>
      <c r="CT249" s="6">
        <v>1.1308</v>
      </c>
      <c r="CW249" s="31">
        <f t="shared" si="39"/>
        <v>43489</v>
      </c>
      <c r="CX249" s="6">
        <f t="shared" si="34"/>
        <v>29.51</v>
      </c>
      <c r="CY249" s="6">
        <f t="shared" si="35"/>
        <v>29.71</v>
      </c>
      <c r="CZ249" s="6">
        <f t="shared" si="36"/>
        <v>29.61</v>
      </c>
      <c r="DA249" s="6">
        <f t="shared" si="37"/>
        <v>1.1308</v>
      </c>
    </row>
    <row r="250" spans="77:105" x14ac:dyDescent="0.15">
      <c r="BY250" s="31">
        <v>43867</v>
      </c>
      <c r="CP250" s="31">
        <v>43488</v>
      </c>
      <c r="CQ250" s="6">
        <v>29.72</v>
      </c>
      <c r="CR250" s="6">
        <v>29.92</v>
      </c>
      <c r="CS250" s="6">
        <f t="shared" si="38"/>
        <v>29.82</v>
      </c>
      <c r="CT250" s="6">
        <v>1.1382699999999999</v>
      </c>
      <c r="CW250" s="31">
        <f t="shared" si="39"/>
        <v>43488</v>
      </c>
      <c r="CX250" s="6">
        <f t="shared" si="34"/>
        <v>29.72</v>
      </c>
      <c r="CY250" s="6">
        <f t="shared" si="35"/>
        <v>29.92</v>
      </c>
      <c r="CZ250" s="6">
        <f t="shared" si="36"/>
        <v>29.82</v>
      </c>
      <c r="DA250" s="6">
        <f t="shared" si="37"/>
        <v>1.1382699999999999</v>
      </c>
    </row>
    <row r="251" spans="77:105" x14ac:dyDescent="0.15">
      <c r="BY251" s="31">
        <v>43866</v>
      </c>
      <c r="CP251" s="31">
        <v>43487</v>
      </c>
      <c r="CQ251" s="6">
        <v>30.68</v>
      </c>
      <c r="CR251" s="6">
        <v>30.88</v>
      </c>
      <c r="CS251" s="6">
        <f t="shared" si="38"/>
        <v>30.78</v>
      </c>
      <c r="CT251" s="6">
        <v>1.1352199999999999</v>
      </c>
      <c r="CW251" s="31">
        <f t="shared" si="39"/>
        <v>43487</v>
      </c>
      <c r="CX251" s="6">
        <f t="shared" si="34"/>
        <v>30.68</v>
      </c>
      <c r="CY251" s="6">
        <f t="shared" si="35"/>
        <v>30.88</v>
      </c>
      <c r="CZ251" s="6">
        <f t="shared" si="36"/>
        <v>30.78</v>
      </c>
      <c r="DA251" s="6">
        <f t="shared" si="37"/>
        <v>1.1352199999999999</v>
      </c>
    </row>
    <row r="252" spans="77:105" x14ac:dyDescent="0.15">
      <c r="BY252" s="31">
        <v>43865</v>
      </c>
      <c r="CP252" s="31">
        <v>43486</v>
      </c>
      <c r="CQ252" s="6">
        <v>31.44</v>
      </c>
      <c r="CR252" s="6">
        <v>31.64</v>
      </c>
      <c r="CS252" s="6">
        <f t="shared" si="38"/>
        <v>31.54</v>
      </c>
      <c r="CT252" s="6">
        <v>1.13686</v>
      </c>
      <c r="CW252" s="31">
        <f t="shared" si="39"/>
        <v>43486</v>
      </c>
      <c r="CX252" s="6">
        <f t="shared" si="34"/>
        <v>31.44</v>
      </c>
      <c r="CY252" s="6">
        <f t="shared" si="35"/>
        <v>31.64</v>
      </c>
      <c r="CZ252" s="6">
        <f t="shared" si="36"/>
        <v>31.54</v>
      </c>
      <c r="DA252" s="6">
        <f t="shared" si="37"/>
        <v>1.13686</v>
      </c>
    </row>
    <row r="253" spans="77:105" x14ac:dyDescent="0.15">
      <c r="BY253" s="31">
        <v>43864</v>
      </c>
      <c r="CP253" s="31">
        <v>43485</v>
      </c>
      <c r="CQ253" s="6">
        <v>29.39</v>
      </c>
      <c r="CR253" s="6">
        <v>29.65</v>
      </c>
      <c r="CS253" s="6">
        <f t="shared" si="38"/>
        <v>29.52</v>
      </c>
      <c r="CT253" s="6">
        <v>1.1364799999999999</v>
      </c>
      <c r="CW253" s="31">
        <f t="shared" si="39"/>
        <v>43485</v>
      </c>
      <c r="CX253" s="6">
        <f t="shared" si="34"/>
        <v>29.39</v>
      </c>
      <c r="CY253" s="6">
        <f t="shared" si="35"/>
        <v>29.65</v>
      </c>
      <c r="CZ253" s="6">
        <f t="shared" si="36"/>
        <v>29.52</v>
      </c>
      <c r="DA253" s="6">
        <f t="shared" si="37"/>
        <v>1.1364799999999999</v>
      </c>
    </row>
    <row r="254" spans="77:105" x14ac:dyDescent="0.15">
      <c r="BY254" s="31">
        <v>43861</v>
      </c>
      <c r="CP254" s="31">
        <v>43484</v>
      </c>
      <c r="CQ254" s="6">
        <v>29.46</v>
      </c>
      <c r="CR254" s="6">
        <v>29.64</v>
      </c>
      <c r="CS254" s="6">
        <f t="shared" si="38"/>
        <v>29.55</v>
      </c>
      <c r="CT254" s="6">
        <v>1.1364799999999999</v>
      </c>
      <c r="CW254" s="31">
        <f t="shared" si="39"/>
        <v>43484</v>
      </c>
      <c r="CX254" s="6">
        <f t="shared" si="34"/>
        <v>29.46</v>
      </c>
      <c r="CY254" s="6">
        <f t="shared" si="35"/>
        <v>29.64</v>
      </c>
      <c r="CZ254" s="6">
        <f t="shared" si="36"/>
        <v>29.55</v>
      </c>
      <c r="DA254" s="6">
        <f t="shared" si="37"/>
        <v>1.1364799999999999</v>
      </c>
    </row>
    <row r="255" spans="77:105" x14ac:dyDescent="0.15">
      <c r="BY255" s="31">
        <v>43860</v>
      </c>
      <c r="CP255" s="31">
        <v>43483</v>
      </c>
      <c r="CQ255" s="6">
        <v>29.49</v>
      </c>
      <c r="CR255" s="6">
        <v>29.69</v>
      </c>
      <c r="CS255" s="6">
        <f t="shared" si="38"/>
        <v>29.59</v>
      </c>
      <c r="CT255" s="6">
        <v>1.1364799999999999</v>
      </c>
      <c r="CW255" s="31">
        <f t="shared" si="39"/>
        <v>43483</v>
      </c>
      <c r="CX255" s="6">
        <f t="shared" si="34"/>
        <v>29.49</v>
      </c>
      <c r="CY255" s="6">
        <f t="shared" si="35"/>
        <v>29.69</v>
      </c>
      <c r="CZ255" s="6">
        <f t="shared" si="36"/>
        <v>29.59</v>
      </c>
      <c r="DA255" s="6">
        <f t="shared" si="37"/>
        <v>1.1364799999999999</v>
      </c>
    </row>
    <row r="256" spans="77:105" x14ac:dyDescent="0.15">
      <c r="BY256" s="31">
        <v>43859</v>
      </c>
      <c r="CP256" s="31">
        <v>43482</v>
      </c>
      <c r="CQ256" s="6">
        <v>29.57</v>
      </c>
      <c r="CR256" s="6">
        <v>29.77</v>
      </c>
      <c r="CS256" s="6">
        <f t="shared" si="38"/>
        <v>29.67</v>
      </c>
      <c r="CT256" s="6">
        <v>1.1391500000000001</v>
      </c>
      <c r="CW256" s="31">
        <f t="shared" si="39"/>
        <v>43482</v>
      </c>
      <c r="CX256" s="6">
        <f t="shared" si="34"/>
        <v>29.57</v>
      </c>
      <c r="CY256" s="6">
        <f t="shared" si="35"/>
        <v>29.77</v>
      </c>
      <c r="CZ256" s="6">
        <f t="shared" si="36"/>
        <v>29.67</v>
      </c>
      <c r="DA256" s="6">
        <f t="shared" si="37"/>
        <v>1.1391500000000001</v>
      </c>
    </row>
    <row r="257" spans="77:105" x14ac:dyDescent="0.15">
      <c r="BY257" s="31">
        <v>43858</v>
      </c>
      <c r="CP257" s="31">
        <v>43481</v>
      </c>
      <c r="CQ257" s="6">
        <v>30.82</v>
      </c>
      <c r="CR257" s="6">
        <v>31.02</v>
      </c>
      <c r="CS257" s="6">
        <f t="shared" si="38"/>
        <v>30.92</v>
      </c>
      <c r="CT257" s="6">
        <v>1.13927</v>
      </c>
      <c r="CW257" s="31">
        <f t="shared" si="39"/>
        <v>43481</v>
      </c>
      <c r="CX257" s="6">
        <f t="shared" si="34"/>
        <v>30.82</v>
      </c>
      <c r="CY257" s="6">
        <f t="shared" si="35"/>
        <v>31.02</v>
      </c>
      <c r="CZ257" s="6">
        <f t="shared" si="36"/>
        <v>30.92</v>
      </c>
      <c r="DA257" s="6">
        <f t="shared" si="37"/>
        <v>1.13927</v>
      </c>
    </row>
    <row r="258" spans="77:105" x14ac:dyDescent="0.15">
      <c r="BY258" s="31">
        <v>43857</v>
      </c>
      <c r="CP258" s="31">
        <v>43480</v>
      </c>
      <c r="CQ258" s="6">
        <v>31.82</v>
      </c>
      <c r="CR258" s="6">
        <v>32.020000000000003</v>
      </c>
      <c r="CS258" s="6">
        <f t="shared" si="38"/>
        <v>31.92</v>
      </c>
      <c r="CT258" s="6">
        <v>1.14133</v>
      </c>
      <c r="CW258" s="31">
        <f t="shared" si="39"/>
        <v>43480</v>
      </c>
      <c r="CX258" s="6">
        <f t="shared" si="34"/>
        <v>31.82</v>
      </c>
      <c r="CY258" s="6">
        <f t="shared" si="35"/>
        <v>32.020000000000003</v>
      </c>
      <c r="CZ258" s="6">
        <f t="shared" si="36"/>
        <v>31.92</v>
      </c>
      <c r="DA258" s="6">
        <f t="shared" si="37"/>
        <v>1.14133</v>
      </c>
    </row>
    <row r="259" spans="77:105" x14ac:dyDescent="0.15">
      <c r="BY259" s="31">
        <v>43854</v>
      </c>
      <c r="CP259" s="31">
        <v>43479</v>
      </c>
      <c r="CQ259" s="6">
        <v>32.69</v>
      </c>
      <c r="CR259" s="6">
        <v>32.89</v>
      </c>
      <c r="CS259" s="6">
        <f t="shared" si="38"/>
        <v>32.79</v>
      </c>
      <c r="CT259" s="6">
        <v>1.14689</v>
      </c>
      <c r="CW259" s="31">
        <f t="shared" si="39"/>
        <v>43479</v>
      </c>
      <c r="CX259" s="6">
        <f t="shared" si="34"/>
        <v>32.69</v>
      </c>
      <c r="CY259" s="6">
        <f t="shared" si="35"/>
        <v>32.89</v>
      </c>
      <c r="CZ259" s="6">
        <f t="shared" si="36"/>
        <v>32.79</v>
      </c>
      <c r="DA259" s="6">
        <f t="shared" si="37"/>
        <v>1.14689</v>
      </c>
    </row>
    <row r="260" spans="77:105" x14ac:dyDescent="0.15">
      <c r="BY260" s="31">
        <v>43853</v>
      </c>
      <c r="CP260" s="31">
        <v>43478</v>
      </c>
      <c r="CQ260" s="6">
        <v>29.5</v>
      </c>
      <c r="CR260" s="6">
        <v>29.73</v>
      </c>
      <c r="CS260" s="6">
        <f t="shared" si="38"/>
        <v>29.615000000000002</v>
      </c>
      <c r="CT260" s="6">
        <v>1.1462699999999999</v>
      </c>
      <c r="CW260" s="31">
        <f t="shared" si="39"/>
        <v>43478</v>
      </c>
      <c r="CX260" s="6">
        <f t="shared" si="34"/>
        <v>29.5</v>
      </c>
      <c r="CY260" s="6">
        <f t="shared" si="35"/>
        <v>29.73</v>
      </c>
      <c r="CZ260" s="6">
        <f t="shared" si="36"/>
        <v>29.615000000000002</v>
      </c>
      <c r="DA260" s="6">
        <f t="shared" si="37"/>
        <v>1.1462699999999999</v>
      </c>
    </row>
    <row r="261" spans="77:105" x14ac:dyDescent="0.15">
      <c r="BY261" s="31">
        <v>43852</v>
      </c>
      <c r="CP261" s="31">
        <v>43477</v>
      </c>
      <c r="CQ261" s="6">
        <v>29.48</v>
      </c>
      <c r="CR261" s="6">
        <v>29.68</v>
      </c>
      <c r="CS261" s="6">
        <f t="shared" si="38"/>
        <v>29.58</v>
      </c>
      <c r="CT261" s="6">
        <v>1.1462699999999999</v>
      </c>
      <c r="CW261" s="31">
        <f t="shared" si="39"/>
        <v>43477</v>
      </c>
      <c r="CX261" s="6">
        <f t="shared" si="34"/>
        <v>29.48</v>
      </c>
      <c r="CY261" s="6">
        <f t="shared" si="35"/>
        <v>29.68</v>
      </c>
      <c r="CZ261" s="6">
        <f t="shared" si="36"/>
        <v>29.58</v>
      </c>
      <c r="DA261" s="6">
        <f t="shared" si="37"/>
        <v>1.1462699999999999</v>
      </c>
    </row>
    <row r="262" spans="77:105" x14ac:dyDescent="0.15">
      <c r="BY262" s="31">
        <v>43851</v>
      </c>
      <c r="CP262" s="31">
        <v>43476</v>
      </c>
      <c r="CQ262" s="6">
        <v>29.49</v>
      </c>
      <c r="CR262" s="6">
        <v>29.69</v>
      </c>
      <c r="CS262" s="6">
        <f t="shared" si="38"/>
        <v>29.59</v>
      </c>
      <c r="CT262" s="6">
        <v>1.1462699999999999</v>
      </c>
      <c r="CW262" s="31">
        <f t="shared" si="39"/>
        <v>43476</v>
      </c>
      <c r="CX262" s="6">
        <f t="shared" si="34"/>
        <v>29.49</v>
      </c>
      <c r="CY262" s="6">
        <f t="shared" si="35"/>
        <v>29.69</v>
      </c>
      <c r="CZ262" s="6">
        <f t="shared" si="36"/>
        <v>29.59</v>
      </c>
      <c r="DA262" s="6">
        <f t="shared" si="37"/>
        <v>1.1462699999999999</v>
      </c>
    </row>
    <row r="263" spans="77:105" x14ac:dyDescent="0.15">
      <c r="BY263" s="31">
        <v>43847</v>
      </c>
      <c r="CP263" s="31">
        <v>43475</v>
      </c>
      <c r="CQ263" s="6">
        <v>29.6</v>
      </c>
      <c r="CR263" s="6">
        <v>29.8</v>
      </c>
      <c r="CS263" s="6">
        <f t="shared" si="38"/>
        <v>29.700000000000003</v>
      </c>
      <c r="CT263" s="6">
        <v>1.14978</v>
      </c>
      <c r="CW263" s="31">
        <f t="shared" si="39"/>
        <v>43475</v>
      </c>
      <c r="CX263" s="6">
        <f t="shared" si="34"/>
        <v>29.6</v>
      </c>
      <c r="CY263" s="6">
        <f t="shared" si="35"/>
        <v>29.8</v>
      </c>
      <c r="CZ263" s="6">
        <f t="shared" si="36"/>
        <v>29.700000000000003</v>
      </c>
      <c r="DA263" s="6">
        <f t="shared" si="37"/>
        <v>1.14978</v>
      </c>
    </row>
    <row r="264" spans="77:105" x14ac:dyDescent="0.15">
      <c r="BY264" s="31">
        <v>43846</v>
      </c>
      <c r="CP264" s="31">
        <v>43474</v>
      </c>
      <c r="CQ264" s="6">
        <v>29.41</v>
      </c>
      <c r="CR264" s="6">
        <v>29.61</v>
      </c>
      <c r="CS264" s="6">
        <f t="shared" si="38"/>
        <v>29.509999999999998</v>
      </c>
      <c r="CT264" s="6">
        <v>1.1555</v>
      </c>
      <c r="CW264" s="31">
        <f t="shared" si="39"/>
        <v>43474</v>
      </c>
      <c r="CX264" s="6">
        <f t="shared" si="34"/>
        <v>29.41</v>
      </c>
      <c r="CY264" s="6">
        <f t="shared" si="35"/>
        <v>29.61</v>
      </c>
      <c r="CZ264" s="6">
        <f t="shared" si="36"/>
        <v>29.509999999999998</v>
      </c>
      <c r="DA264" s="6">
        <f t="shared" si="37"/>
        <v>1.1555</v>
      </c>
    </row>
    <row r="265" spans="77:105" x14ac:dyDescent="0.15">
      <c r="BY265" s="31">
        <v>43845</v>
      </c>
      <c r="CP265" s="31">
        <v>43473</v>
      </c>
      <c r="CQ265" s="6">
        <v>30.26</v>
      </c>
      <c r="CR265" s="6">
        <v>30.46</v>
      </c>
      <c r="CS265" s="6">
        <f t="shared" si="38"/>
        <v>30.36</v>
      </c>
      <c r="CT265" s="6">
        <v>1.1440399999999999</v>
      </c>
      <c r="CW265" s="31">
        <f t="shared" si="39"/>
        <v>43473</v>
      </c>
      <c r="CX265" s="6">
        <f t="shared" si="34"/>
        <v>30.26</v>
      </c>
      <c r="CY265" s="6">
        <f t="shared" si="35"/>
        <v>30.46</v>
      </c>
      <c r="CZ265" s="6">
        <f t="shared" si="36"/>
        <v>30.36</v>
      </c>
      <c r="DA265" s="6">
        <f t="shared" si="37"/>
        <v>1.1440399999999999</v>
      </c>
    </row>
    <row r="266" spans="77:105" x14ac:dyDescent="0.15">
      <c r="BY266" s="31">
        <v>43844</v>
      </c>
      <c r="CP266" s="31">
        <v>43472</v>
      </c>
      <c r="CQ266" s="6">
        <v>31.57</v>
      </c>
      <c r="CR266" s="6">
        <v>31.77</v>
      </c>
      <c r="CS266" s="6">
        <f t="shared" si="38"/>
        <v>31.67</v>
      </c>
      <c r="CT266" s="6">
        <v>1.1476599999999999</v>
      </c>
      <c r="CW266" s="31">
        <f t="shared" si="39"/>
        <v>43472</v>
      </c>
      <c r="CX266" s="6">
        <f t="shared" si="34"/>
        <v>31.57</v>
      </c>
      <c r="CY266" s="6">
        <f t="shared" si="35"/>
        <v>31.77</v>
      </c>
      <c r="CZ266" s="6">
        <f t="shared" si="36"/>
        <v>31.67</v>
      </c>
      <c r="DA266" s="6">
        <f t="shared" si="37"/>
        <v>1.1476599999999999</v>
      </c>
    </row>
    <row r="267" spans="77:105" x14ac:dyDescent="0.15">
      <c r="BY267" s="31">
        <v>43843</v>
      </c>
      <c r="CP267" s="31">
        <v>43471</v>
      </c>
      <c r="CQ267" s="6">
        <v>29.36</v>
      </c>
      <c r="CR267" s="6">
        <v>29.66</v>
      </c>
      <c r="CS267" s="6">
        <f t="shared" si="38"/>
        <v>29.509999999999998</v>
      </c>
      <c r="CT267" s="6">
        <v>1.14028</v>
      </c>
      <c r="CW267" s="31">
        <f t="shared" si="39"/>
        <v>43471</v>
      </c>
      <c r="CX267" s="6">
        <f t="shared" si="34"/>
        <v>29.36</v>
      </c>
      <c r="CY267" s="6">
        <f t="shared" si="35"/>
        <v>29.66</v>
      </c>
      <c r="CZ267" s="6">
        <f t="shared" si="36"/>
        <v>29.509999999999998</v>
      </c>
      <c r="DA267" s="6">
        <f t="shared" si="37"/>
        <v>1.14028</v>
      </c>
    </row>
    <row r="268" spans="77:105" x14ac:dyDescent="0.15">
      <c r="BY268" s="31">
        <v>43840</v>
      </c>
      <c r="CP268" s="31">
        <v>43470</v>
      </c>
      <c r="CQ268" s="6">
        <v>29.4</v>
      </c>
      <c r="CR268" s="6">
        <v>29.7</v>
      </c>
      <c r="CS268" s="6">
        <f t="shared" si="38"/>
        <v>29.549999999999997</v>
      </c>
      <c r="CT268" s="6">
        <v>1.14028</v>
      </c>
      <c r="CW268" s="31">
        <f t="shared" si="39"/>
        <v>43470</v>
      </c>
      <c r="CX268" s="6">
        <f t="shared" ref="CX268:CX331" si="40">IF($CQ$8=TRUE,CQ268,"")</f>
        <v>29.4</v>
      </c>
      <c r="CY268" s="6">
        <f t="shared" ref="CY268:CY331" si="41">IF($CR$8=TRUE,CR268,"")</f>
        <v>29.7</v>
      </c>
      <c r="CZ268" s="6">
        <f t="shared" ref="CZ268:CZ331" si="42">IF($CS$8=TRUE,CS268,"")</f>
        <v>29.549999999999997</v>
      </c>
      <c r="DA268" s="6">
        <f t="shared" ref="DA268:DA331" si="43">IF($CT$8=TRUE,CT268,"")</f>
        <v>1.14028</v>
      </c>
    </row>
    <row r="269" spans="77:105" x14ac:dyDescent="0.15">
      <c r="BY269" s="31">
        <v>43839</v>
      </c>
      <c r="CP269" s="31">
        <v>43469</v>
      </c>
      <c r="CQ269" s="6">
        <v>29.34</v>
      </c>
      <c r="CR269" s="6">
        <v>29.54</v>
      </c>
      <c r="CS269" s="6">
        <f t="shared" ref="CS269:CS332" si="44">AVERAGE(CQ269:CR269)</f>
        <v>29.439999999999998</v>
      </c>
      <c r="CT269" s="6">
        <v>1.14028</v>
      </c>
      <c r="CW269" s="31">
        <f t="shared" ref="CW269:CW332" si="45">CP269</f>
        <v>43469</v>
      </c>
      <c r="CX269" s="6">
        <f t="shared" si="40"/>
        <v>29.34</v>
      </c>
      <c r="CY269" s="6">
        <f t="shared" si="41"/>
        <v>29.54</v>
      </c>
      <c r="CZ269" s="6">
        <f t="shared" si="42"/>
        <v>29.439999999999998</v>
      </c>
      <c r="DA269" s="6">
        <f t="shared" si="43"/>
        <v>1.14028</v>
      </c>
    </row>
    <row r="270" spans="77:105" x14ac:dyDescent="0.15">
      <c r="BY270" s="31">
        <v>43838</v>
      </c>
      <c r="CP270" s="31">
        <v>43468</v>
      </c>
      <c r="CQ270" s="6">
        <v>29.18</v>
      </c>
      <c r="CR270" s="6">
        <v>29.38</v>
      </c>
      <c r="CS270" s="6">
        <f t="shared" si="44"/>
        <v>29.28</v>
      </c>
      <c r="CT270" s="6">
        <v>1.1398999999999999</v>
      </c>
      <c r="CW270" s="31">
        <f t="shared" si="45"/>
        <v>43468</v>
      </c>
      <c r="CX270" s="6">
        <f t="shared" si="40"/>
        <v>29.18</v>
      </c>
      <c r="CY270" s="6">
        <f t="shared" si="41"/>
        <v>29.38</v>
      </c>
      <c r="CZ270" s="6">
        <f t="shared" si="42"/>
        <v>29.28</v>
      </c>
      <c r="DA270" s="6">
        <f t="shared" si="43"/>
        <v>1.1398999999999999</v>
      </c>
    </row>
    <row r="271" spans="77:105" x14ac:dyDescent="0.15">
      <c r="BY271" s="31">
        <v>43837</v>
      </c>
      <c r="CP271" s="31">
        <v>43467</v>
      </c>
      <c r="CQ271" s="6">
        <v>28.91</v>
      </c>
      <c r="CR271" s="6">
        <v>29.11</v>
      </c>
      <c r="CS271" s="6">
        <f t="shared" si="44"/>
        <v>29.009999999999998</v>
      </c>
      <c r="CT271" s="6">
        <v>1.1346000000000001</v>
      </c>
      <c r="CW271" s="31">
        <f t="shared" si="45"/>
        <v>43467</v>
      </c>
      <c r="CX271" s="6">
        <f t="shared" si="40"/>
        <v>28.91</v>
      </c>
      <c r="CY271" s="6">
        <f t="shared" si="41"/>
        <v>29.11</v>
      </c>
      <c r="CZ271" s="6">
        <f t="shared" si="42"/>
        <v>29.009999999999998</v>
      </c>
      <c r="DA271" s="6">
        <f t="shared" si="43"/>
        <v>1.1346000000000001</v>
      </c>
    </row>
    <row r="272" spans="77:105" x14ac:dyDescent="0.15">
      <c r="BY272" s="31">
        <v>43836</v>
      </c>
      <c r="CP272" s="31">
        <v>43466</v>
      </c>
      <c r="CQ272" s="6">
        <v>30.21</v>
      </c>
      <c r="CR272" s="6">
        <v>30.41</v>
      </c>
      <c r="CS272" s="6">
        <f t="shared" si="44"/>
        <v>30.310000000000002</v>
      </c>
      <c r="CT272" s="6">
        <v>1.14605</v>
      </c>
      <c r="CW272" s="31">
        <f t="shared" si="45"/>
        <v>43466</v>
      </c>
      <c r="CX272" s="6">
        <f t="shared" si="40"/>
        <v>30.21</v>
      </c>
      <c r="CY272" s="6">
        <f t="shared" si="41"/>
        <v>30.41</v>
      </c>
      <c r="CZ272" s="6">
        <f t="shared" si="42"/>
        <v>30.310000000000002</v>
      </c>
      <c r="DA272" s="6">
        <f t="shared" si="43"/>
        <v>1.14605</v>
      </c>
    </row>
    <row r="273" spans="77:105" x14ac:dyDescent="0.15">
      <c r="BY273" s="31">
        <v>43833</v>
      </c>
      <c r="CP273" s="31">
        <v>43465</v>
      </c>
      <c r="CQ273" s="6">
        <v>30.3</v>
      </c>
      <c r="CR273" s="6">
        <v>30.4</v>
      </c>
      <c r="CS273" s="6">
        <f t="shared" si="44"/>
        <v>30.35</v>
      </c>
      <c r="CT273" s="6">
        <v>1.1456599999999999</v>
      </c>
      <c r="CW273" s="31">
        <f t="shared" si="45"/>
        <v>43465</v>
      </c>
      <c r="CX273" s="6">
        <f t="shared" si="40"/>
        <v>30.3</v>
      </c>
      <c r="CY273" s="6">
        <f t="shared" si="41"/>
        <v>30.4</v>
      </c>
      <c r="CZ273" s="6">
        <f t="shared" si="42"/>
        <v>30.35</v>
      </c>
      <c r="DA273" s="6">
        <f t="shared" si="43"/>
        <v>1.1456599999999999</v>
      </c>
    </row>
    <row r="274" spans="77:105" x14ac:dyDescent="0.15">
      <c r="BY274" s="31">
        <v>43832</v>
      </c>
      <c r="CP274" s="31">
        <v>43464</v>
      </c>
      <c r="CQ274" s="6">
        <v>31.06</v>
      </c>
      <c r="CR274" s="6">
        <v>31.86</v>
      </c>
      <c r="CS274" s="6">
        <f t="shared" si="44"/>
        <v>31.46</v>
      </c>
      <c r="CT274" s="6">
        <v>1.14422</v>
      </c>
      <c r="CW274" s="31">
        <f t="shared" si="45"/>
        <v>43464</v>
      </c>
      <c r="CX274" s="6">
        <f t="shared" si="40"/>
        <v>31.06</v>
      </c>
      <c r="CY274" s="6">
        <f t="shared" si="41"/>
        <v>31.86</v>
      </c>
      <c r="CZ274" s="6">
        <f t="shared" si="42"/>
        <v>31.46</v>
      </c>
      <c r="DA274" s="6">
        <f t="shared" si="43"/>
        <v>1.14422</v>
      </c>
    </row>
    <row r="275" spans="77:105" x14ac:dyDescent="0.15">
      <c r="BY275" s="31">
        <v>43830</v>
      </c>
      <c r="CP275" s="31">
        <v>43463</v>
      </c>
      <c r="CQ275" s="6">
        <v>31.08</v>
      </c>
      <c r="CR275" s="6">
        <v>31.28</v>
      </c>
      <c r="CS275" s="6">
        <f t="shared" si="44"/>
        <v>31.18</v>
      </c>
      <c r="CT275" s="6">
        <v>1.14422</v>
      </c>
      <c r="CW275" s="31">
        <f t="shared" si="45"/>
        <v>43463</v>
      </c>
      <c r="CX275" s="6">
        <f t="shared" si="40"/>
        <v>31.08</v>
      </c>
      <c r="CY275" s="6">
        <f t="shared" si="41"/>
        <v>31.28</v>
      </c>
      <c r="CZ275" s="6">
        <f t="shared" si="42"/>
        <v>31.18</v>
      </c>
      <c r="DA275" s="6">
        <f t="shared" si="43"/>
        <v>1.14422</v>
      </c>
    </row>
    <row r="276" spans="77:105" x14ac:dyDescent="0.15">
      <c r="BY276" s="31">
        <v>43829</v>
      </c>
      <c r="CP276" s="31">
        <v>43462</v>
      </c>
      <c r="CQ276" s="6">
        <v>31.14</v>
      </c>
      <c r="CR276" s="6">
        <v>31.34</v>
      </c>
      <c r="CS276" s="6">
        <f t="shared" si="44"/>
        <v>31.240000000000002</v>
      </c>
      <c r="CT276" s="6">
        <v>1.14422</v>
      </c>
      <c r="CW276" s="31">
        <f t="shared" si="45"/>
        <v>43462</v>
      </c>
      <c r="CX276" s="6">
        <f t="shared" si="40"/>
        <v>31.14</v>
      </c>
      <c r="CY276" s="6">
        <f t="shared" si="41"/>
        <v>31.34</v>
      </c>
      <c r="CZ276" s="6">
        <f t="shared" si="42"/>
        <v>31.240000000000002</v>
      </c>
      <c r="DA276" s="6">
        <f t="shared" si="43"/>
        <v>1.14422</v>
      </c>
    </row>
    <row r="277" spans="77:105" x14ac:dyDescent="0.15">
      <c r="BY277" s="31">
        <v>43826</v>
      </c>
      <c r="CP277" s="31">
        <v>43461</v>
      </c>
      <c r="CQ277" s="6">
        <v>30.34</v>
      </c>
      <c r="CR277" s="6">
        <v>30.54</v>
      </c>
      <c r="CS277" s="6">
        <f t="shared" si="44"/>
        <v>30.439999999999998</v>
      </c>
      <c r="CT277" s="6">
        <v>1.1439600000000001</v>
      </c>
      <c r="CW277" s="31">
        <f t="shared" si="45"/>
        <v>43461</v>
      </c>
      <c r="CX277" s="6">
        <f t="shared" si="40"/>
        <v>30.34</v>
      </c>
      <c r="CY277" s="6">
        <f t="shared" si="41"/>
        <v>30.54</v>
      </c>
      <c r="CZ277" s="6">
        <f t="shared" si="42"/>
        <v>30.439999999999998</v>
      </c>
      <c r="DA277" s="6">
        <f t="shared" si="43"/>
        <v>1.1439600000000001</v>
      </c>
    </row>
    <row r="278" spans="77:105" x14ac:dyDescent="0.15">
      <c r="BY278" s="31">
        <v>43823</v>
      </c>
      <c r="CP278" s="31">
        <v>43460</v>
      </c>
      <c r="CQ278" s="6">
        <v>31.44</v>
      </c>
      <c r="CR278" s="6">
        <v>33.44</v>
      </c>
      <c r="CS278" s="6">
        <f t="shared" si="44"/>
        <v>32.44</v>
      </c>
      <c r="CT278" s="6">
        <v>1.1353800000000001</v>
      </c>
      <c r="CW278" s="31">
        <f t="shared" si="45"/>
        <v>43460</v>
      </c>
      <c r="CX278" s="6">
        <f t="shared" si="40"/>
        <v>31.44</v>
      </c>
      <c r="CY278" s="6">
        <f t="shared" si="41"/>
        <v>33.44</v>
      </c>
      <c r="CZ278" s="6">
        <f t="shared" si="42"/>
        <v>32.44</v>
      </c>
      <c r="DA278" s="6">
        <f t="shared" si="43"/>
        <v>1.1353800000000001</v>
      </c>
    </row>
    <row r="279" spans="77:105" x14ac:dyDescent="0.15">
      <c r="BY279" s="31">
        <v>43822</v>
      </c>
      <c r="CP279" s="31">
        <v>43459</v>
      </c>
      <c r="CQ279" s="6">
        <v>31.64</v>
      </c>
      <c r="CR279" s="6">
        <v>33.64</v>
      </c>
      <c r="CS279" s="6">
        <f t="shared" si="44"/>
        <v>32.64</v>
      </c>
      <c r="CT279" s="6">
        <v>1.139</v>
      </c>
      <c r="CW279" s="31">
        <f t="shared" si="45"/>
        <v>43459</v>
      </c>
      <c r="CX279" s="6">
        <f t="shared" si="40"/>
        <v>31.64</v>
      </c>
      <c r="CY279" s="6">
        <f t="shared" si="41"/>
        <v>33.64</v>
      </c>
      <c r="CZ279" s="6">
        <f t="shared" si="42"/>
        <v>32.64</v>
      </c>
      <c r="DA279" s="6">
        <f t="shared" si="43"/>
        <v>1.139</v>
      </c>
    </row>
    <row r="280" spans="77:105" x14ac:dyDescent="0.15">
      <c r="BY280" s="31">
        <v>43819</v>
      </c>
      <c r="CP280" s="31">
        <v>43458</v>
      </c>
      <c r="CQ280" s="6">
        <v>32.18</v>
      </c>
      <c r="CR280" s="6">
        <v>32.380000000000003</v>
      </c>
      <c r="CS280" s="6">
        <f t="shared" si="44"/>
        <v>32.28</v>
      </c>
      <c r="CT280" s="6">
        <v>1.1408100000000001</v>
      </c>
      <c r="CW280" s="31">
        <f t="shared" si="45"/>
        <v>43458</v>
      </c>
      <c r="CX280" s="6">
        <f t="shared" si="40"/>
        <v>32.18</v>
      </c>
      <c r="CY280" s="6">
        <f t="shared" si="41"/>
        <v>32.380000000000003</v>
      </c>
      <c r="CZ280" s="6">
        <f t="shared" si="42"/>
        <v>32.28</v>
      </c>
      <c r="DA280" s="6">
        <f t="shared" si="43"/>
        <v>1.1408100000000001</v>
      </c>
    </row>
    <row r="281" spans="77:105" x14ac:dyDescent="0.15">
      <c r="BY281" s="31">
        <v>43818</v>
      </c>
      <c r="CP281" s="31">
        <v>43457</v>
      </c>
      <c r="CQ281" s="6">
        <v>33.369990000000001</v>
      </c>
      <c r="CR281" s="6">
        <v>34.03</v>
      </c>
      <c r="CS281" s="6">
        <f t="shared" si="44"/>
        <v>33.699995000000001</v>
      </c>
      <c r="CT281" s="6">
        <v>1.1358900000000001</v>
      </c>
      <c r="CW281" s="31">
        <f t="shared" si="45"/>
        <v>43457</v>
      </c>
      <c r="CX281" s="6">
        <f t="shared" si="40"/>
        <v>33.369990000000001</v>
      </c>
      <c r="CY281" s="6">
        <f t="shared" si="41"/>
        <v>34.03</v>
      </c>
      <c r="CZ281" s="6">
        <f t="shared" si="42"/>
        <v>33.699995000000001</v>
      </c>
      <c r="DA281" s="6">
        <f t="shared" si="43"/>
        <v>1.1358900000000001</v>
      </c>
    </row>
    <row r="282" spans="77:105" x14ac:dyDescent="0.15">
      <c r="BY282" s="31">
        <v>43817</v>
      </c>
      <c r="CP282" s="31">
        <v>43456</v>
      </c>
      <c r="CQ282" s="6">
        <v>33.340000000000003</v>
      </c>
      <c r="CR282" s="6">
        <v>34.340000000000003</v>
      </c>
      <c r="CS282" s="6">
        <f t="shared" si="44"/>
        <v>33.840000000000003</v>
      </c>
      <c r="CT282" s="6">
        <v>1.1358900000000001</v>
      </c>
      <c r="CW282" s="31">
        <f t="shared" si="45"/>
        <v>43456</v>
      </c>
      <c r="CX282" s="6">
        <f t="shared" si="40"/>
        <v>33.340000000000003</v>
      </c>
      <c r="CY282" s="6">
        <f t="shared" si="41"/>
        <v>34.340000000000003</v>
      </c>
      <c r="CZ282" s="6">
        <f t="shared" si="42"/>
        <v>33.840000000000003</v>
      </c>
      <c r="DA282" s="6">
        <f t="shared" si="43"/>
        <v>1.1358900000000001</v>
      </c>
    </row>
    <row r="283" spans="77:105" x14ac:dyDescent="0.15">
      <c r="BY283" s="31">
        <v>43816</v>
      </c>
      <c r="CP283" s="31">
        <v>43455</v>
      </c>
      <c r="CQ283" s="6">
        <v>33.94</v>
      </c>
      <c r="CR283" s="6">
        <v>34.14</v>
      </c>
      <c r="CS283" s="6">
        <f t="shared" si="44"/>
        <v>34.04</v>
      </c>
      <c r="CT283" s="6">
        <v>1.1358900000000001</v>
      </c>
      <c r="CW283" s="31">
        <f t="shared" si="45"/>
        <v>43455</v>
      </c>
      <c r="CX283" s="6">
        <f t="shared" si="40"/>
        <v>33.94</v>
      </c>
      <c r="CY283" s="6">
        <f t="shared" si="41"/>
        <v>34.14</v>
      </c>
      <c r="CZ283" s="6">
        <f t="shared" si="42"/>
        <v>34.04</v>
      </c>
      <c r="DA283" s="6">
        <f t="shared" si="43"/>
        <v>1.1358900000000001</v>
      </c>
    </row>
    <row r="284" spans="77:105" x14ac:dyDescent="0.15">
      <c r="BY284" s="31">
        <v>43815</v>
      </c>
      <c r="CP284" s="31">
        <v>43454</v>
      </c>
      <c r="CQ284" s="6">
        <v>34.21</v>
      </c>
      <c r="CR284" s="6">
        <v>34.409990000000001</v>
      </c>
      <c r="CS284" s="6">
        <f t="shared" si="44"/>
        <v>34.309995000000001</v>
      </c>
      <c r="CT284" s="6">
        <v>1.14588</v>
      </c>
      <c r="CW284" s="31">
        <f t="shared" si="45"/>
        <v>43454</v>
      </c>
      <c r="CX284" s="6">
        <f t="shared" si="40"/>
        <v>34.21</v>
      </c>
      <c r="CY284" s="6">
        <f t="shared" si="41"/>
        <v>34.409990000000001</v>
      </c>
      <c r="CZ284" s="6">
        <f t="shared" si="42"/>
        <v>34.309995000000001</v>
      </c>
      <c r="DA284" s="6">
        <f t="shared" si="43"/>
        <v>1.14588</v>
      </c>
    </row>
    <row r="285" spans="77:105" x14ac:dyDescent="0.15">
      <c r="BY285" s="31">
        <v>43812</v>
      </c>
      <c r="CP285" s="31">
        <v>43453</v>
      </c>
      <c r="CQ285" s="6">
        <v>35.96</v>
      </c>
      <c r="CR285" s="6">
        <v>36.159990000000001</v>
      </c>
      <c r="CS285" s="6">
        <f t="shared" si="44"/>
        <v>36.059995000000001</v>
      </c>
      <c r="CT285" s="6">
        <v>1.13733</v>
      </c>
      <c r="CW285" s="31">
        <f t="shared" si="45"/>
        <v>43453</v>
      </c>
      <c r="CX285" s="6">
        <f t="shared" si="40"/>
        <v>35.96</v>
      </c>
      <c r="CY285" s="6">
        <f t="shared" si="41"/>
        <v>36.159990000000001</v>
      </c>
      <c r="CZ285" s="6">
        <f t="shared" si="42"/>
        <v>36.059995000000001</v>
      </c>
      <c r="DA285" s="6">
        <f t="shared" si="43"/>
        <v>1.13733</v>
      </c>
    </row>
    <row r="286" spans="77:105" x14ac:dyDescent="0.15">
      <c r="BY286" s="31">
        <v>43811</v>
      </c>
      <c r="CP286" s="31">
        <v>43452</v>
      </c>
      <c r="CQ286" s="6">
        <v>35.76</v>
      </c>
      <c r="CR286" s="6">
        <v>35.96</v>
      </c>
      <c r="CS286" s="6">
        <f t="shared" si="44"/>
        <v>35.86</v>
      </c>
      <c r="CT286" s="6">
        <v>1.13628</v>
      </c>
      <c r="CW286" s="31">
        <f t="shared" si="45"/>
        <v>43452</v>
      </c>
      <c r="CX286" s="6">
        <f t="shared" si="40"/>
        <v>35.76</v>
      </c>
      <c r="CY286" s="6">
        <f t="shared" si="41"/>
        <v>35.96</v>
      </c>
      <c r="CZ286" s="6">
        <f t="shared" si="42"/>
        <v>35.86</v>
      </c>
      <c r="DA286" s="6">
        <f t="shared" si="43"/>
        <v>1.13628</v>
      </c>
    </row>
    <row r="287" spans="77:105" x14ac:dyDescent="0.15">
      <c r="BY287" s="31">
        <v>43810</v>
      </c>
      <c r="CP287" s="31">
        <v>43451</v>
      </c>
      <c r="CQ287" s="6">
        <v>37.26</v>
      </c>
      <c r="CR287" s="6">
        <v>37.46</v>
      </c>
      <c r="CS287" s="6">
        <f t="shared" si="44"/>
        <v>37.36</v>
      </c>
      <c r="CT287" s="6">
        <v>1.1345499999999999</v>
      </c>
      <c r="CW287" s="31">
        <f t="shared" si="45"/>
        <v>43451</v>
      </c>
      <c r="CX287" s="6">
        <f t="shared" si="40"/>
        <v>37.26</v>
      </c>
      <c r="CY287" s="6">
        <f t="shared" si="41"/>
        <v>37.46</v>
      </c>
      <c r="CZ287" s="6">
        <f t="shared" si="42"/>
        <v>37.36</v>
      </c>
      <c r="DA287" s="6">
        <f t="shared" si="43"/>
        <v>1.1345499999999999</v>
      </c>
    </row>
    <row r="288" spans="77:105" x14ac:dyDescent="0.15">
      <c r="BY288" s="31">
        <v>43809</v>
      </c>
      <c r="CP288" s="31">
        <v>43450</v>
      </c>
      <c r="CQ288" s="6">
        <v>34.54</v>
      </c>
      <c r="CR288" s="6">
        <v>35.049990000000001</v>
      </c>
      <c r="CS288" s="6">
        <f t="shared" si="44"/>
        <v>34.794995</v>
      </c>
      <c r="CT288" s="6">
        <v>1.1300600000000001</v>
      </c>
      <c r="CW288" s="31">
        <f t="shared" si="45"/>
        <v>43450</v>
      </c>
      <c r="CX288" s="6">
        <f t="shared" si="40"/>
        <v>34.54</v>
      </c>
      <c r="CY288" s="6">
        <f t="shared" si="41"/>
        <v>35.049990000000001</v>
      </c>
      <c r="CZ288" s="6">
        <f t="shared" si="42"/>
        <v>34.794995</v>
      </c>
      <c r="DA288" s="6">
        <f t="shared" si="43"/>
        <v>1.1300600000000001</v>
      </c>
    </row>
    <row r="289" spans="77:105" x14ac:dyDescent="0.15">
      <c r="BY289" s="31">
        <v>43808</v>
      </c>
      <c r="CP289" s="31">
        <v>43449</v>
      </c>
      <c r="CQ289" s="6">
        <v>34.299990000000001</v>
      </c>
      <c r="CR289" s="6">
        <v>34.5</v>
      </c>
      <c r="CS289" s="6">
        <f t="shared" si="44"/>
        <v>34.399995000000004</v>
      </c>
      <c r="CT289" s="6">
        <v>1.1300600000000001</v>
      </c>
      <c r="CW289" s="31">
        <f t="shared" si="45"/>
        <v>43449</v>
      </c>
      <c r="CX289" s="6">
        <f t="shared" si="40"/>
        <v>34.299990000000001</v>
      </c>
      <c r="CY289" s="6">
        <f t="shared" si="41"/>
        <v>34.5</v>
      </c>
      <c r="CZ289" s="6">
        <f t="shared" si="42"/>
        <v>34.399995000000004</v>
      </c>
      <c r="DA289" s="6">
        <f t="shared" si="43"/>
        <v>1.1300600000000001</v>
      </c>
    </row>
    <row r="290" spans="77:105" x14ac:dyDescent="0.15">
      <c r="BY290" s="31">
        <v>43805</v>
      </c>
      <c r="CP290" s="31">
        <v>43448</v>
      </c>
      <c r="CQ290" s="6">
        <v>34.520000000000003</v>
      </c>
      <c r="CR290" s="6">
        <v>34.72</v>
      </c>
      <c r="CS290" s="6">
        <f t="shared" si="44"/>
        <v>34.620000000000005</v>
      </c>
      <c r="CT290" s="6">
        <v>1.1300600000000001</v>
      </c>
      <c r="CW290" s="31">
        <f t="shared" si="45"/>
        <v>43448</v>
      </c>
      <c r="CX290" s="6">
        <f t="shared" si="40"/>
        <v>34.520000000000003</v>
      </c>
      <c r="CY290" s="6">
        <f t="shared" si="41"/>
        <v>34.72</v>
      </c>
      <c r="CZ290" s="6">
        <f t="shared" si="42"/>
        <v>34.620000000000005</v>
      </c>
      <c r="DA290" s="6">
        <f t="shared" si="43"/>
        <v>1.1300600000000001</v>
      </c>
    </row>
    <row r="291" spans="77:105" x14ac:dyDescent="0.15">
      <c r="BY291" s="31">
        <v>43804</v>
      </c>
      <c r="CP291" s="31">
        <v>43447</v>
      </c>
      <c r="CQ291" s="6">
        <v>33.97</v>
      </c>
      <c r="CR291" s="6">
        <v>34.57</v>
      </c>
      <c r="CS291" s="6">
        <f t="shared" si="44"/>
        <v>34.269999999999996</v>
      </c>
      <c r="CT291" s="6">
        <v>1.1364000000000001</v>
      </c>
      <c r="CW291" s="31">
        <f t="shared" si="45"/>
        <v>43447</v>
      </c>
      <c r="CX291" s="6">
        <f t="shared" si="40"/>
        <v>33.97</v>
      </c>
      <c r="CY291" s="6">
        <f t="shared" si="41"/>
        <v>34.57</v>
      </c>
      <c r="CZ291" s="6">
        <f t="shared" si="42"/>
        <v>34.269999999999996</v>
      </c>
      <c r="DA291" s="6">
        <f t="shared" si="43"/>
        <v>1.1364000000000001</v>
      </c>
    </row>
    <row r="292" spans="77:105" x14ac:dyDescent="0.15">
      <c r="BY292" s="31">
        <v>43803</v>
      </c>
      <c r="CP292" s="31">
        <v>43446</v>
      </c>
      <c r="CQ292" s="6">
        <v>35.22</v>
      </c>
      <c r="CR292" s="6">
        <v>35.42</v>
      </c>
      <c r="CS292" s="6">
        <f t="shared" si="44"/>
        <v>35.32</v>
      </c>
      <c r="CT292" s="6">
        <v>1.1372</v>
      </c>
      <c r="CW292" s="31">
        <f t="shared" si="45"/>
        <v>43446</v>
      </c>
      <c r="CX292" s="6">
        <f t="shared" si="40"/>
        <v>35.22</v>
      </c>
      <c r="CY292" s="6">
        <f t="shared" si="41"/>
        <v>35.42</v>
      </c>
      <c r="CZ292" s="6">
        <f t="shared" si="42"/>
        <v>35.32</v>
      </c>
      <c r="DA292" s="6">
        <f t="shared" si="43"/>
        <v>1.1372</v>
      </c>
    </row>
    <row r="293" spans="77:105" x14ac:dyDescent="0.15">
      <c r="BY293" s="31">
        <v>43802</v>
      </c>
      <c r="CP293" s="31">
        <v>43445</v>
      </c>
      <c r="CQ293" s="6">
        <v>37.29</v>
      </c>
      <c r="CR293" s="6">
        <v>37.49</v>
      </c>
      <c r="CS293" s="6">
        <f t="shared" si="44"/>
        <v>37.39</v>
      </c>
      <c r="CT293" s="6">
        <v>1.13266</v>
      </c>
      <c r="CW293" s="31">
        <f t="shared" si="45"/>
        <v>43445</v>
      </c>
      <c r="CX293" s="6">
        <f t="shared" si="40"/>
        <v>37.29</v>
      </c>
      <c r="CY293" s="6">
        <f t="shared" si="41"/>
        <v>37.49</v>
      </c>
      <c r="CZ293" s="6">
        <f t="shared" si="42"/>
        <v>37.39</v>
      </c>
      <c r="DA293" s="6">
        <f t="shared" si="43"/>
        <v>1.13266</v>
      </c>
    </row>
    <row r="294" spans="77:105" x14ac:dyDescent="0.15">
      <c r="BY294" s="31">
        <v>43801</v>
      </c>
      <c r="CP294" s="31">
        <v>43444</v>
      </c>
      <c r="CQ294" s="6">
        <v>39.32</v>
      </c>
      <c r="CR294" s="6">
        <v>39.520000000000003</v>
      </c>
      <c r="CS294" s="6">
        <f t="shared" si="44"/>
        <v>39.42</v>
      </c>
      <c r="CT294" s="6">
        <v>1.1355</v>
      </c>
      <c r="CW294" s="31">
        <f t="shared" si="45"/>
        <v>43444</v>
      </c>
      <c r="CX294" s="6">
        <f t="shared" si="40"/>
        <v>39.32</v>
      </c>
      <c r="CY294" s="6">
        <f t="shared" si="41"/>
        <v>39.520000000000003</v>
      </c>
      <c r="CZ294" s="6">
        <f t="shared" si="42"/>
        <v>39.42</v>
      </c>
      <c r="DA294" s="6">
        <f t="shared" si="43"/>
        <v>1.1355</v>
      </c>
    </row>
    <row r="295" spans="77:105" x14ac:dyDescent="0.15">
      <c r="BY295" s="31">
        <v>43798</v>
      </c>
      <c r="CP295" s="31">
        <v>43443</v>
      </c>
      <c r="CQ295" s="6">
        <v>35.97</v>
      </c>
      <c r="CR295" s="6">
        <v>36.44</v>
      </c>
      <c r="CS295" s="6">
        <f t="shared" si="44"/>
        <v>36.204999999999998</v>
      </c>
      <c r="CT295" s="6">
        <v>1.1411100000000001</v>
      </c>
      <c r="CW295" s="31">
        <f t="shared" si="45"/>
        <v>43443</v>
      </c>
      <c r="CX295" s="6">
        <f t="shared" si="40"/>
        <v>35.97</v>
      </c>
      <c r="CY295" s="6">
        <f t="shared" si="41"/>
        <v>36.44</v>
      </c>
      <c r="CZ295" s="6">
        <f t="shared" si="42"/>
        <v>36.204999999999998</v>
      </c>
      <c r="DA295" s="6">
        <f t="shared" si="43"/>
        <v>1.1411100000000001</v>
      </c>
    </row>
    <row r="296" spans="77:105" x14ac:dyDescent="0.15">
      <c r="BY296" s="31">
        <v>43796</v>
      </c>
      <c r="CP296" s="31">
        <v>43442</v>
      </c>
      <c r="CQ296" s="6">
        <v>35.86</v>
      </c>
      <c r="CR296" s="6">
        <v>36.659990000000001</v>
      </c>
      <c r="CS296" s="6">
        <f t="shared" si="44"/>
        <v>36.259995000000004</v>
      </c>
      <c r="CT296" s="6">
        <v>1.1411100000000001</v>
      </c>
      <c r="CW296" s="31">
        <f t="shared" si="45"/>
        <v>43442</v>
      </c>
      <c r="CX296" s="6">
        <f t="shared" si="40"/>
        <v>35.86</v>
      </c>
      <c r="CY296" s="6">
        <f t="shared" si="41"/>
        <v>36.659990000000001</v>
      </c>
      <c r="CZ296" s="6">
        <f t="shared" si="42"/>
        <v>36.259995000000004</v>
      </c>
      <c r="DA296" s="6">
        <f t="shared" si="43"/>
        <v>1.1411100000000001</v>
      </c>
    </row>
    <row r="297" spans="77:105" x14ac:dyDescent="0.15">
      <c r="BY297" s="31">
        <v>43795</v>
      </c>
      <c r="CP297" s="31">
        <v>43441</v>
      </c>
      <c r="CQ297" s="6">
        <v>35.869990000000001</v>
      </c>
      <c r="CR297" s="6">
        <v>36.07</v>
      </c>
      <c r="CS297" s="6">
        <f t="shared" si="44"/>
        <v>35.969994999999997</v>
      </c>
      <c r="CT297" s="6">
        <v>1.1411100000000001</v>
      </c>
      <c r="CW297" s="31">
        <f t="shared" si="45"/>
        <v>43441</v>
      </c>
      <c r="CX297" s="6">
        <f t="shared" si="40"/>
        <v>35.869990000000001</v>
      </c>
      <c r="CY297" s="6">
        <f t="shared" si="41"/>
        <v>36.07</v>
      </c>
      <c r="CZ297" s="6">
        <f t="shared" si="42"/>
        <v>35.969994999999997</v>
      </c>
      <c r="DA297" s="6">
        <f t="shared" si="43"/>
        <v>1.1411100000000001</v>
      </c>
    </row>
    <row r="298" spans="77:105" x14ac:dyDescent="0.15">
      <c r="BY298" s="31">
        <v>43794</v>
      </c>
      <c r="CP298" s="31">
        <v>43440</v>
      </c>
      <c r="CQ298" s="6">
        <v>35.94</v>
      </c>
      <c r="CR298" s="6">
        <v>36.14</v>
      </c>
      <c r="CS298" s="6">
        <f t="shared" si="44"/>
        <v>36.04</v>
      </c>
      <c r="CT298" s="6">
        <v>1.1382099999999999</v>
      </c>
      <c r="CW298" s="31">
        <f t="shared" si="45"/>
        <v>43440</v>
      </c>
      <c r="CX298" s="6">
        <f t="shared" si="40"/>
        <v>35.94</v>
      </c>
      <c r="CY298" s="6">
        <f t="shared" si="41"/>
        <v>36.14</v>
      </c>
      <c r="CZ298" s="6">
        <f t="shared" si="42"/>
        <v>36.04</v>
      </c>
      <c r="DA298" s="6">
        <f t="shared" si="43"/>
        <v>1.1382099999999999</v>
      </c>
    </row>
    <row r="299" spans="77:105" x14ac:dyDescent="0.15">
      <c r="BY299" s="31">
        <v>43791</v>
      </c>
      <c r="CP299" s="31">
        <v>43439</v>
      </c>
      <c r="CQ299" s="6">
        <v>35.979990000000001</v>
      </c>
      <c r="CR299" s="6">
        <v>36.18</v>
      </c>
      <c r="CS299" s="6">
        <f t="shared" si="44"/>
        <v>36.079994999999997</v>
      </c>
      <c r="CT299" s="6">
        <v>1.1344700000000001</v>
      </c>
      <c r="CW299" s="31">
        <f t="shared" si="45"/>
        <v>43439</v>
      </c>
      <c r="CX299" s="6">
        <f t="shared" si="40"/>
        <v>35.979990000000001</v>
      </c>
      <c r="CY299" s="6">
        <f t="shared" si="41"/>
        <v>36.18</v>
      </c>
      <c r="CZ299" s="6">
        <f t="shared" si="42"/>
        <v>36.079994999999997</v>
      </c>
      <c r="DA299" s="6">
        <f t="shared" si="43"/>
        <v>1.1344700000000001</v>
      </c>
    </row>
    <row r="300" spans="77:105" x14ac:dyDescent="0.15">
      <c r="BY300" s="31">
        <v>43790</v>
      </c>
      <c r="CP300" s="31">
        <v>43438</v>
      </c>
      <c r="CQ300" s="6">
        <v>38.25</v>
      </c>
      <c r="CR300" s="6">
        <v>38.450000000000003</v>
      </c>
      <c r="CS300" s="6">
        <f t="shared" si="44"/>
        <v>38.35</v>
      </c>
      <c r="CT300" s="6">
        <v>1.1337999999999999</v>
      </c>
      <c r="CW300" s="31">
        <f t="shared" si="45"/>
        <v>43438</v>
      </c>
      <c r="CX300" s="6">
        <f t="shared" si="40"/>
        <v>38.25</v>
      </c>
      <c r="CY300" s="6">
        <f t="shared" si="41"/>
        <v>38.450000000000003</v>
      </c>
      <c r="CZ300" s="6">
        <f t="shared" si="42"/>
        <v>38.35</v>
      </c>
      <c r="DA300" s="6">
        <f t="shared" si="43"/>
        <v>1.1337999999999999</v>
      </c>
    </row>
    <row r="301" spans="77:105" x14ac:dyDescent="0.15">
      <c r="BY301" s="31">
        <v>43789</v>
      </c>
      <c r="CP301" s="31">
        <v>43437</v>
      </c>
      <c r="CQ301" s="6">
        <v>39.270000000000003</v>
      </c>
      <c r="CR301" s="6">
        <v>39.47</v>
      </c>
      <c r="CS301" s="6">
        <f t="shared" si="44"/>
        <v>39.370000000000005</v>
      </c>
      <c r="CT301" s="6">
        <v>1.1344799999999999</v>
      </c>
      <c r="CW301" s="31">
        <f t="shared" si="45"/>
        <v>43437</v>
      </c>
      <c r="CX301" s="6">
        <f t="shared" si="40"/>
        <v>39.270000000000003</v>
      </c>
      <c r="CY301" s="6">
        <f t="shared" si="41"/>
        <v>39.47</v>
      </c>
      <c r="CZ301" s="6">
        <f t="shared" si="42"/>
        <v>39.370000000000005</v>
      </c>
      <c r="DA301" s="6">
        <f t="shared" si="43"/>
        <v>1.1344799999999999</v>
      </c>
    </row>
    <row r="302" spans="77:105" x14ac:dyDescent="0.15">
      <c r="BY302" s="31">
        <v>43788</v>
      </c>
      <c r="CP302" s="31">
        <v>43436</v>
      </c>
      <c r="CQ302" s="6">
        <v>35.840000000000003</v>
      </c>
      <c r="CR302" s="6">
        <v>36.25</v>
      </c>
      <c r="CS302" s="6">
        <f t="shared" si="44"/>
        <v>36.045000000000002</v>
      </c>
      <c r="CT302" s="6">
        <v>1.13215</v>
      </c>
      <c r="CW302" s="31">
        <f t="shared" si="45"/>
        <v>43436</v>
      </c>
      <c r="CX302" s="6">
        <f t="shared" si="40"/>
        <v>35.840000000000003</v>
      </c>
      <c r="CY302" s="6">
        <f t="shared" si="41"/>
        <v>36.25</v>
      </c>
      <c r="CZ302" s="6">
        <f t="shared" si="42"/>
        <v>36.045000000000002</v>
      </c>
      <c r="DA302" s="6">
        <f t="shared" si="43"/>
        <v>1.13215</v>
      </c>
    </row>
    <row r="303" spans="77:105" x14ac:dyDescent="0.15">
      <c r="BY303" s="31">
        <v>43787</v>
      </c>
      <c r="CP303" s="31">
        <v>43435</v>
      </c>
      <c r="CQ303" s="6">
        <v>36.29</v>
      </c>
      <c r="CR303" s="6">
        <v>36.79</v>
      </c>
      <c r="CS303" s="6">
        <f t="shared" si="44"/>
        <v>36.54</v>
      </c>
      <c r="CT303" s="6">
        <v>1.13215</v>
      </c>
      <c r="CW303" s="31">
        <f t="shared" si="45"/>
        <v>43435</v>
      </c>
      <c r="CX303" s="6">
        <f t="shared" si="40"/>
        <v>36.29</v>
      </c>
      <c r="CY303" s="6">
        <f t="shared" si="41"/>
        <v>36.79</v>
      </c>
      <c r="CZ303" s="6">
        <f t="shared" si="42"/>
        <v>36.54</v>
      </c>
      <c r="DA303" s="6">
        <f t="shared" si="43"/>
        <v>1.13215</v>
      </c>
    </row>
    <row r="304" spans="77:105" x14ac:dyDescent="0.15">
      <c r="BY304" s="31">
        <v>43784</v>
      </c>
      <c r="CP304" s="31">
        <v>43434</v>
      </c>
      <c r="CQ304" s="6">
        <v>36</v>
      </c>
      <c r="CR304" s="6">
        <v>36.299990000000001</v>
      </c>
      <c r="CS304" s="6">
        <f t="shared" si="44"/>
        <v>36.149995000000004</v>
      </c>
      <c r="CT304" s="6">
        <v>1.13215</v>
      </c>
      <c r="CW304" s="31">
        <f t="shared" si="45"/>
        <v>43434</v>
      </c>
      <c r="CX304" s="6">
        <f t="shared" si="40"/>
        <v>36</v>
      </c>
      <c r="CY304" s="6">
        <f t="shared" si="41"/>
        <v>36.299990000000001</v>
      </c>
      <c r="CZ304" s="6">
        <f t="shared" si="42"/>
        <v>36.149995000000004</v>
      </c>
      <c r="DA304" s="6">
        <f t="shared" si="43"/>
        <v>1.13215</v>
      </c>
    </row>
    <row r="305" spans="77:105" x14ac:dyDescent="0.15">
      <c r="BY305" s="31">
        <v>43783</v>
      </c>
      <c r="CP305" s="31">
        <v>43433</v>
      </c>
      <c r="CQ305" s="6">
        <v>33.93</v>
      </c>
      <c r="CR305" s="6">
        <v>34.130000000000003</v>
      </c>
      <c r="CS305" s="6">
        <f t="shared" si="44"/>
        <v>34.03</v>
      </c>
      <c r="CT305" s="6">
        <v>1.13896</v>
      </c>
      <c r="CW305" s="31">
        <f t="shared" si="45"/>
        <v>43433</v>
      </c>
      <c r="CX305" s="6">
        <f t="shared" si="40"/>
        <v>33.93</v>
      </c>
      <c r="CY305" s="6">
        <f t="shared" si="41"/>
        <v>34.130000000000003</v>
      </c>
      <c r="CZ305" s="6">
        <f t="shared" si="42"/>
        <v>34.03</v>
      </c>
      <c r="DA305" s="6">
        <f t="shared" si="43"/>
        <v>1.13896</v>
      </c>
    </row>
    <row r="306" spans="77:105" x14ac:dyDescent="0.15">
      <c r="BY306" s="31">
        <v>43782</v>
      </c>
      <c r="CP306" s="31">
        <v>43432</v>
      </c>
      <c r="CQ306" s="6">
        <v>27.54</v>
      </c>
      <c r="CR306" s="6">
        <v>27.74</v>
      </c>
      <c r="CS306" s="6">
        <f t="shared" si="44"/>
        <v>27.64</v>
      </c>
      <c r="CT306" s="6">
        <v>1.1368799999999999</v>
      </c>
      <c r="CW306" s="31">
        <f t="shared" si="45"/>
        <v>43432</v>
      </c>
      <c r="CX306" s="6">
        <f t="shared" si="40"/>
        <v>27.54</v>
      </c>
      <c r="CY306" s="6">
        <f t="shared" si="41"/>
        <v>27.74</v>
      </c>
      <c r="CZ306" s="6">
        <f t="shared" si="42"/>
        <v>27.64</v>
      </c>
      <c r="DA306" s="6">
        <f t="shared" si="43"/>
        <v>1.1368799999999999</v>
      </c>
    </row>
    <row r="307" spans="77:105" x14ac:dyDescent="0.15">
      <c r="BY307" s="31">
        <v>43781</v>
      </c>
      <c r="CP307" s="31">
        <v>43431</v>
      </c>
      <c r="CQ307" s="6">
        <v>28.35</v>
      </c>
      <c r="CR307" s="6">
        <v>28.55</v>
      </c>
      <c r="CS307" s="6">
        <f t="shared" si="44"/>
        <v>28.450000000000003</v>
      </c>
      <c r="CT307" s="6">
        <v>1.12965</v>
      </c>
      <c r="CW307" s="31">
        <f t="shared" si="45"/>
        <v>43431</v>
      </c>
      <c r="CX307" s="6">
        <f t="shared" si="40"/>
        <v>28.35</v>
      </c>
      <c r="CY307" s="6">
        <f t="shared" si="41"/>
        <v>28.55</v>
      </c>
      <c r="CZ307" s="6">
        <f t="shared" si="42"/>
        <v>28.450000000000003</v>
      </c>
      <c r="DA307" s="6">
        <f t="shared" si="43"/>
        <v>1.12965</v>
      </c>
    </row>
    <row r="308" spans="77:105" x14ac:dyDescent="0.15">
      <c r="BY308" s="31">
        <v>43780</v>
      </c>
      <c r="CP308" s="31">
        <v>43430</v>
      </c>
      <c r="CQ308" s="6">
        <v>26.31</v>
      </c>
      <c r="CR308" s="6">
        <v>26.51</v>
      </c>
      <c r="CS308" s="6">
        <f t="shared" si="44"/>
        <v>26.41</v>
      </c>
      <c r="CT308" s="6">
        <v>1.1334200000000001</v>
      </c>
      <c r="CW308" s="31">
        <f t="shared" si="45"/>
        <v>43430</v>
      </c>
      <c r="CX308" s="6">
        <f t="shared" si="40"/>
        <v>26.31</v>
      </c>
      <c r="CY308" s="6">
        <f t="shared" si="41"/>
        <v>26.51</v>
      </c>
      <c r="CZ308" s="6">
        <f t="shared" si="42"/>
        <v>26.41</v>
      </c>
      <c r="DA308" s="6">
        <f t="shared" si="43"/>
        <v>1.1334200000000001</v>
      </c>
    </row>
    <row r="309" spans="77:105" x14ac:dyDescent="0.15">
      <c r="BY309" s="31">
        <v>43777</v>
      </c>
      <c r="CP309" s="31">
        <v>43429</v>
      </c>
      <c r="CQ309" s="6">
        <v>26.26</v>
      </c>
      <c r="CR309" s="6">
        <v>26.43</v>
      </c>
      <c r="CS309" s="6">
        <f t="shared" si="44"/>
        <v>26.344999999999999</v>
      </c>
      <c r="CT309" s="6">
        <v>1.13313</v>
      </c>
      <c r="CW309" s="31">
        <f t="shared" si="45"/>
        <v>43429</v>
      </c>
      <c r="CX309" s="6">
        <f t="shared" si="40"/>
        <v>26.26</v>
      </c>
      <c r="CY309" s="6">
        <f t="shared" si="41"/>
        <v>26.43</v>
      </c>
      <c r="CZ309" s="6">
        <f t="shared" si="42"/>
        <v>26.344999999999999</v>
      </c>
      <c r="DA309" s="6">
        <f t="shared" si="43"/>
        <v>1.13313</v>
      </c>
    </row>
    <row r="310" spans="77:105" x14ac:dyDescent="0.15">
      <c r="BY310" s="31">
        <v>43776</v>
      </c>
      <c r="CP310" s="31">
        <v>43428</v>
      </c>
      <c r="CQ310" s="6">
        <v>26.11</v>
      </c>
      <c r="CR310" s="6">
        <v>26.31</v>
      </c>
      <c r="CS310" s="6">
        <f t="shared" si="44"/>
        <v>26.21</v>
      </c>
      <c r="CT310" s="6">
        <v>1.13313</v>
      </c>
      <c r="CW310" s="31">
        <f t="shared" si="45"/>
        <v>43428</v>
      </c>
      <c r="CX310" s="6">
        <f t="shared" si="40"/>
        <v>26.11</v>
      </c>
      <c r="CY310" s="6">
        <f t="shared" si="41"/>
        <v>26.31</v>
      </c>
      <c r="CZ310" s="6">
        <f t="shared" si="42"/>
        <v>26.21</v>
      </c>
      <c r="DA310" s="6">
        <f t="shared" si="43"/>
        <v>1.13313</v>
      </c>
    </row>
    <row r="311" spans="77:105" x14ac:dyDescent="0.15">
      <c r="BY311" s="31">
        <v>43775</v>
      </c>
      <c r="CP311" s="31">
        <v>43427</v>
      </c>
      <c r="CQ311" s="6">
        <v>26.3</v>
      </c>
      <c r="CR311" s="6">
        <v>26.5</v>
      </c>
      <c r="CS311" s="6">
        <f t="shared" si="44"/>
        <v>26.4</v>
      </c>
      <c r="CT311" s="6">
        <v>1.13313</v>
      </c>
      <c r="CW311" s="31">
        <f t="shared" si="45"/>
        <v>43427</v>
      </c>
      <c r="CX311" s="6">
        <f t="shared" si="40"/>
        <v>26.3</v>
      </c>
      <c r="CY311" s="6">
        <f t="shared" si="41"/>
        <v>26.5</v>
      </c>
      <c r="CZ311" s="6">
        <f t="shared" si="42"/>
        <v>26.4</v>
      </c>
      <c r="DA311" s="6">
        <f t="shared" si="43"/>
        <v>1.13313</v>
      </c>
    </row>
    <row r="312" spans="77:105" x14ac:dyDescent="0.15">
      <c r="BY312" s="31">
        <v>43774</v>
      </c>
      <c r="CP312" s="31">
        <v>43426</v>
      </c>
      <c r="CQ312" s="6">
        <v>27.26</v>
      </c>
      <c r="CR312" s="6">
        <v>27.4</v>
      </c>
      <c r="CS312" s="6">
        <f t="shared" si="44"/>
        <v>27.33</v>
      </c>
      <c r="CT312" s="6">
        <v>1.14062</v>
      </c>
      <c r="CW312" s="31">
        <f t="shared" si="45"/>
        <v>43426</v>
      </c>
      <c r="CX312" s="6">
        <f t="shared" si="40"/>
        <v>27.26</v>
      </c>
      <c r="CY312" s="6">
        <f t="shared" si="41"/>
        <v>27.4</v>
      </c>
      <c r="CZ312" s="6">
        <f t="shared" si="42"/>
        <v>27.33</v>
      </c>
      <c r="DA312" s="6">
        <f t="shared" si="43"/>
        <v>1.14062</v>
      </c>
    </row>
    <row r="313" spans="77:105" x14ac:dyDescent="0.15">
      <c r="BY313" s="31">
        <v>43773</v>
      </c>
      <c r="CP313" s="31">
        <v>43425</v>
      </c>
      <c r="CQ313" s="6">
        <v>26.96</v>
      </c>
      <c r="CR313" s="6">
        <v>27.16</v>
      </c>
      <c r="CS313" s="6">
        <f t="shared" si="44"/>
        <v>27.060000000000002</v>
      </c>
      <c r="CT313" s="6">
        <v>1.1382300000000001</v>
      </c>
      <c r="CW313" s="31">
        <f t="shared" si="45"/>
        <v>43425</v>
      </c>
      <c r="CX313" s="6">
        <f t="shared" si="40"/>
        <v>26.96</v>
      </c>
      <c r="CY313" s="6">
        <f t="shared" si="41"/>
        <v>27.16</v>
      </c>
      <c r="CZ313" s="6">
        <f t="shared" si="42"/>
        <v>27.060000000000002</v>
      </c>
      <c r="DA313" s="6">
        <f t="shared" si="43"/>
        <v>1.1382300000000001</v>
      </c>
    </row>
    <row r="314" spans="77:105" x14ac:dyDescent="0.15">
      <c r="BY314" s="31">
        <v>43770</v>
      </c>
      <c r="CP314" s="31">
        <v>43424</v>
      </c>
      <c r="CQ314" s="6">
        <v>27.05</v>
      </c>
      <c r="CR314" s="6">
        <v>27.25</v>
      </c>
      <c r="CS314" s="6">
        <f t="shared" si="44"/>
        <v>27.15</v>
      </c>
      <c r="CT314" s="6">
        <v>1.13693</v>
      </c>
      <c r="CW314" s="31">
        <f t="shared" si="45"/>
        <v>43424</v>
      </c>
      <c r="CX314" s="6">
        <f t="shared" si="40"/>
        <v>27.05</v>
      </c>
      <c r="CY314" s="6">
        <f t="shared" si="41"/>
        <v>27.25</v>
      </c>
      <c r="CZ314" s="6">
        <f t="shared" si="42"/>
        <v>27.15</v>
      </c>
      <c r="DA314" s="6">
        <f t="shared" si="43"/>
        <v>1.13693</v>
      </c>
    </row>
    <row r="315" spans="77:105" x14ac:dyDescent="0.15">
      <c r="BY315" s="31">
        <v>43769</v>
      </c>
      <c r="CP315" s="31">
        <v>43423</v>
      </c>
      <c r="CQ315" s="6">
        <v>25.9</v>
      </c>
      <c r="CR315" s="6">
        <v>26.1</v>
      </c>
      <c r="CS315" s="6">
        <f t="shared" si="44"/>
        <v>26</v>
      </c>
      <c r="CT315" s="6">
        <v>1.1452</v>
      </c>
      <c r="CW315" s="31">
        <f t="shared" si="45"/>
        <v>43423</v>
      </c>
      <c r="CX315" s="6">
        <f t="shared" si="40"/>
        <v>25.9</v>
      </c>
      <c r="CY315" s="6">
        <f t="shared" si="41"/>
        <v>26.1</v>
      </c>
      <c r="CZ315" s="6">
        <f t="shared" si="42"/>
        <v>26</v>
      </c>
      <c r="DA315" s="6">
        <f t="shared" si="43"/>
        <v>1.1452</v>
      </c>
    </row>
    <row r="316" spans="77:105" x14ac:dyDescent="0.15">
      <c r="BY316" s="31">
        <v>43768</v>
      </c>
      <c r="CP316" s="31">
        <v>43422</v>
      </c>
      <c r="CQ316" s="6">
        <v>26</v>
      </c>
      <c r="CR316" s="6">
        <v>26.17</v>
      </c>
      <c r="CS316" s="6">
        <f t="shared" si="44"/>
        <v>26.085000000000001</v>
      </c>
      <c r="CT316" s="6">
        <v>1.1415999999999999</v>
      </c>
      <c r="CW316" s="31">
        <f t="shared" si="45"/>
        <v>43422</v>
      </c>
      <c r="CX316" s="6">
        <f t="shared" si="40"/>
        <v>26</v>
      </c>
      <c r="CY316" s="6">
        <f t="shared" si="41"/>
        <v>26.17</v>
      </c>
      <c r="CZ316" s="6">
        <f t="shared" si="42"/>
        <v>26.085000000000001</v>
      </c>
      <c r="DA316" s="6">
        <f t="shared" si="43"/>
        <v>1.1415999999999999</v>
      </c>
    </row>
    <row r="317" spans="77:105" x14ac:dyDescent="0.15">
      <c r="BY317" s="31">
        <v>43767</v>
      </c>
      <c r="CP317" s="31">
        <v>43421</v>
      </c>
      <c r="CQ317" s="6">
        <v>26.1</v>
      </c>
      <c r="CR317" s="6">
        <v>26.25</v>
      </c>
      <c r="CS317" s="6">
        <f t="shared" si="44"/>
        <v>26.175000000000001</v>
      </c>
      <c r="CT317" s="6">
        <v>1.1415999999999999</v>
      </c>
      <c r="CW317" s="31">
        <f t="shared" si="45"/>
        <v>43421</v>
      </c>
      <c r="CX317" s="6">
        <f t="shared" si="40"/>
        <v>26.1</v>
      </c>
      <c r="CY317" s="6">
        <f t="shared" si="41"/>
        <v>26.25</v>
      </c>
      <c r="CZ317" s="6">
        <f t="shared" si="42"/>
        <v>26.175000000000001</v>
      </c>
      <c r="DA317" s="6">
        <f t="shared" si="43"/>
        <v>1.1415999999999999</v>
      </c>
    </row>
    <row r="318" spans="77:105" x14ac:dyDescent="0.15">
      <c r="BY318" s="31">
        <v>43766</v>
      </c>
      <c r="CP318" s="31">
        <v>43420</v>
      </c>
      <c r="CQ318" s="6">
        <v>25.89</v>
      </c>
      <c r="CR318" s="6">
        <v>26.09</v>
      </c>
      <c r="CS318" s="6">
        <f t="shared" si="44"/>
        <v>25.990000000000002</v>
      </c>
      <c r="CT318" s="6">
        <v>1.1415999999999999</v>
      </c>
      <c r="CW318" s="31">
        <f t="shared" si="45"/>
        <v>43420</v>
      </c>
      <c r="CX318" s="6">
        <f t="shared" si="40"/>
        <v>25.89</v>
      </c>
      <c r="CY318" s="6">
        <f t="shared" si="41"/>
        <v>26.09</v>
      </c>
      <c r="CZ318" s="6">
        <f t="shared" si="42"/>
        <v>25.990000000000002</v>
      </c>
      <c r="DA318" s="6">
        <f t="shared" si="43"/>
        <v>1.1415999999999999</v>
      </c>
    </row>
    <row r="319" spans="77:105" x14ac:dyDescent="0.15">
      <c r="BY319" s="31">
        <v>43763</v>
      </c>
      <c r="CP319" s="31">
        <v>43419</v>
      </c>
      <c r="CQ319" s="6">
        <v>25.89</v>
      </c>
      <c r="CR319" s="6">
        <v>26.03</v>
      </c>
      <c r="CS319" s="6">
        <f t="shared" si="44"/>
        <v>25.96</v>
      </c>
      <c r="CT319" s="6">
        <v>1.1333</v>
      </c>
      <c r="CW319" s="31">
        <f t="shared" si="45"/>
        <v>43419</v>
      </c>
      <c r="CX319" s="6">
        <f t="shared" si="40"/>
        <v>25.89</v>
      </c>
      <c r="CY319" s="6">
        <f t="shared" si="41"/>
        <v>26.03</v>
      </c>
      <c r="CZ319" s="6">
        <f t="shared" si="42"/>
        <v>25.96</v>
      </c>
      <c r="DA319" s="6">
        <f t="shared" si="43"/>
        <v>1.1333</v>
      </c>
    </row>
    <row r="320" spans="77:105" x14ac:dyDescent="0.15">
      <c r="BY320" s="31">
        <v>43762</v>
      </c>
      <c r="CP320" s="31">
        <v>43418</v>
      </c>
      <c r="CQ320" s="6">
        <v>26.71</v>
      </c>
      <c r="CR320" s="6">
        <v>26.91</v>
      </c>
      <c r="CS320" s="6">
        <f t="shared" si="44"/>
        <v>26.810000000000002</v>
      </c>
      <c r="CT320" s="6">
        <v>1.13226</v>
      </c>
      <c r="CW320" s="31">
        <f t="shared" si="45"/>
        <v>43418</v>
      </c>
      <c r="CX320" s="6">
        <f t="shared" si="40"/>
        <v>26.71</v>
      </c>
      <c r="CY320" s="6">
        <f t="shared" si="41"/>
        <v>26.91</v>
      </c>
      <c r="CZ320" s="6">
        <f t="shared" si="42"/>
        <v>26.810000000000002</v>
      </c>
      <c r="DA320" s="6">
        <f t="shared" si="43"/>
        <v>1.13226</v>
      </c>
    </row>
    <row r="321" spans="77:105" x14ac:dyDescent="0.15">
      <c r="BY321" s="31">
        <v>43761</v>
      </c>
      <c r="CP321" s="31">
        <v>43417</v>
      </c>
      <c r="CQ321" s="6">
        <v>27.5</v>
      </c>
      <c r="CR321" s="6">
        <v>27.7</v>
      </c>
      <c r="CS321" s="6">
        <f t="shared" si="44"/>
        <v>27.6</v>
      </c>
      <c r="CT321" s="6">
        <v>1.1285099999999999</v>
      </c>
      <c r="CW321" s="31">
        <f t="shared" si="45"/>
        <v>43417</v>
      </c>
      <c r="CX321" s="6">
        <f t="shared" si="40"/>
        <v>27.5</v>
      </c>
      <c r="CY321" s="6">
        <f t="shared" si="41"/>
        <v>27.7</v>
      </c>
      <c r="CZ321" s="6">
        <f t="shared" si="42"/>
        <v>27.6</v>
      </c>
      <c r="DA321" s="6">
        <f t="shared" si="43"/>
        <v>1.1285099999999999</v>
      </c>
    </row>
    <row r="322" spans="77:105" x14ac:dyDescent="0.15">
      <c r="BY322" s="31">
        <v>43760</v>
      </c>
      <c r="CP322" s="31">
        <v>43416</v>
      </c>
      <c r="CQ322" s="6">
        <v>25.96</v>
      </c>
      <c r="CR322" s="6">
        <v>26.16</v>
      </c>
      <c r="CS322" s="6">
        <f t="shared" si="44"/>
        <v>26.060000000000002</v>
      </c>
      <c r="CT322" s="6">
        <v>1.12337</v>
      </c>
      <c r="CW322" s="31">
        <f t="shared" si="45"/>
        <v>43416</v>
      </c>
      <c r="CX322" s="6">
        <f t="shared" si="40"/>
        <v>25.96</v>
      </c>
      <c r="CY322" s="6">
        <f t="shared" si="41"/>
        <v>26.16</v>
      </c>
      <c r="CZ322" s="6">
        <f t="shared" si="42"/>
        <v>26.060000000000002</v>
      </c>
      <c r="DA322" s="6">
        <f t="shared" si="43"/>
        <v>1.12337</v>
      </c>
    </row>
    <row r="323" spans="77:105" x14ac:dyDescent="0.15">
      <c r="BY323" s="31">
        <v>43759</v>
      </c>
      <c r="CP323" s="31">
        <v>43415</v>
      </c>
      <c r="CQ323" s="6">
        <v>26.17</v>
      </c>
      <c r="CR323" s="6">
        <v>26.33</v>
      </c>
      <c r="CS323" s="6">
        <f t="shared" si="44"/>
        <v>26.25</v>
      </c>
      <c r="CT323" s="6">
        <v>1.13375</v>
      </c>
      <c r="CW323" s="31">
        <f t="shared" si="45"/>
        <v>43415</v>
      </c>
      <c r="CX323" s="6">
        <f t="shared" si="40"/>
        <v>26.17</v>
      </c>
      <c r="CY323" s="6">
        <f t="shared" si="41"/>
        <v>26.33</v>
      </c>
      <c r="CZ323" s="6">
        <f t="shared" si="42"/>
        <v>26.25</v>
      </c>
      <c r="DA323" s="6">
        <f t="shared" si="43"/>
        <v>1.13375</v>
      </c>
    </row>
    <row r="324" spans="77:105" x14ac:dyDescent="0.15">
      <c r="BY324" s="31">
        <v>43756</v>
      </c>
      <c r="CP324" s="31">
        <v>43414</v>
      </c>
      <c r="CQ324" s="6">
        <v>26.12</v>
      </c>
      <c r="CR324" s="6">
        <v>26.26</v>
      </c>
      <c r="CS324" s="6">
        <f t="shared" si="44"/>
        <v>26.19</v>
      </c>
      <c r="CT324" s="6">
        <v>1.13375</v>
      </c>
      <c r="CW324" s="31">
        <f t="shared" si="45"/>
        <v>43414</v>
      </c>
      <c r="CX324" s="6">
        <f t="shared" si="40"/>
        <v>26.12</v>
      </c>
      <c r="CY324" s="6">
        <f t="shared" si="41"/>
        <v>26.26</v>
      </c>
      <c r="CZ324" s="6">
        <f t="shared" si="42"/>
        <v>26.19</v>
      </c>
      <c r="DA324" s="6">
        <f t="shared" si="43"/>
        <v>1.13375</v>
      </c>
    </row>
    <row r="325" spans="77:105" x14ac:dyDescent="0.15">
      <c r="BY325" s="31">
        <v>43755</v>
      </c>
      <c r="CP325" s="31">
        <v>43413</v>
      </c>
      <c r="CQ325" s="6">
        <v>26.1</v>
      </c>
      <c r="CR325" s="6">
        <v>26.3</v>
      </c>
      <c r="CS325" s="6">
        <f t="shared" si="44"/>
        <v>26.200000000000003</v>
      </c>
      <c r="CT325" s="6">
        <v>1.13375</v>
      </c>
      <c r="CW325" s="31">
        <f t="shared" si="45"/>
        <v>43413</v>
      </c>
      <c r="CX325" s="6">
        <f t="shared" si="40"/>
        <v>26.1</v>
      </c>
      <c r="CY325" s="6">
        <f t="shared" si="41"/>
        <v>26.3</v>
      </c>
      <c r="CZ325" s="6">
        <f t="shared" si="42"/>
        <v>26.200000000000003</v>
      </c>
      <c r="DA325" s="6">
        <f t="shared" si="43"/>
        <v>1.13375</v>
      </c>
    </row>
    <row r="326" spans="77:105" x14ac:dyDescent="0.15">
      <c r="BY326" s="31">
        <v>43754</v>
      </c>
      <c r="CP326" s="31">
        <v>43412</v>
      </c>
      <c r="CQ326" s="6">
        <v>26.3</v>
      </c>
      <c r="CR326" s="6">
        <v>26.5</v>
      </c>
      <c r="CS326" s="6">
        <f t="shared" si="44"/>
        <v>26.4</v>
      </c>
      <c r="CT326" s="6">
        <v>1.1360399999999999</v>
      </c>
      <c r="CW326" s="31">
        <f t="shared" si="45"/>
        <v>43412</v>
      </c>
      <c r="CX326" s="6">
        <f t="shared" si="40"/>
        <v>26.3</v>
      </c>
      <c r="CY326" s="6">
        <f t="shared" si="41"/>
        <v>26.5</v>
      </c>
      <c r="CZ326" s="6">
        <f t="shared" si="42"/>
        <v>26.4</v>
      </c>
      <c r="DA326" s="6">
        <f t="shared" si="43"/>
        <v>1.1360399999999999</v>
      </c>
    </row>
    <row r="327" spans="77:105" x14ac:dyDescent="0.15">
      <c r="BY327" s="31">
        <v>43753</v>
      </c>
      <c r="CP327" s="31">
        <v>43411</v>
      </c>
      <c r="CQ327" s="6">
        <v>27.28</v>
      </c>
      <c r="CR327" s="6">
        <v>27.48</v>
      </c>
      <c r="CS327" s="6">
        <f t="shared" si="44"/>
        <v>27.380000000000003</v>
      </c>
      <c r="CT327" s="6">
        <v>1.14392</v>
      </c>
      <c r="CW327" s="31">
        <f t="shared" si="45"/>
        <v>43411</v>
      </c>
      <c r="CX327" s="6">
        <f t="shared" si="40"/>
        <v>27.28</v>
      </c>
      <c r="CY327" s="6">
        <f t="shared" si="41"/>
        <v>27.48</v>
      </c>
      <c r="CZ327" s="6">
        <f t="shared" si="42"/>
        <v>27.380000000000003</v>
      </c>
      <c r="DA327" s="6">
        <f t="shared" si="43"/>
        <v>1.14392</v>
      </c>
    </row>
    <row r="328" spans="77:105" x14ac:dyDescent="0.15">
      <c r="BY328" s="31">
        <v>43752</v>
      </c>
      <c r="CP328" s="31">
        <v>43410</v>
      </c>
      <c r="CQ328" s="6">
        <v>27.9</v>
      </c>
      <c r="CR328" s="6">
        <v>28.1</v>
      </c>
      <c r="CS328" s="6">
        <f t="shared" si="44"/>
        <v>28</v>
      </c>
      <c r="CT328" s="6">
        <v>1.14178</v>
      </c>
      <c r="CW328" s="31">
        <f t="shared" si="45"/>
        <v>43410</v>
      </c>
      <c r="CX328" s="6">
        <f t="shared" si="40"/>
        <v>27.9</v>
      </c>
      <c r="CY328" s="6">
        <f t="shared" si="41"/>
        <v>28.1</v>
      </c>
      <c r="CZ328" s="6">
        <f t="shared" si="42"/>
        <v>28</v>
      </c>
      <c r="DA328" s="6">
        <f t="shared" si="43"/>
        <v>1.14178</v>
      </c>
    </row>
    <row r="329" spans="77:105" x14ac:dyDescent="0.15">
      <c r="BY329" s="31">
        <v>43749</v>
      </c>
      <c r="CP329" s="31">
        <v>43409</v>
      </c>
      <c r="CQ329" s="6">
        <v>26.11</v>
      </c>
      <c r="CR329" s="6">
        <v>26.31</v>
      </c>
      <c r="CS329" s="6">
        <f t="shared" si="44"/>
        <v>26.21</v>
      </c>
      <c r="CT329" s="6">
        <v>1.14079</v>
      </c>
      <c r="CW329" s="31">
        <f t="shared" si="45"/>
        <v>43409</v>
      </c>
      <c r="CX329" s="6">
        <f t="shared" si="40"/>
        <v>26.11</v>
      </c>
      <c r="CY329" s="6">
        <f t="shared" si="41"/>
        <v>26.31</v>
      </c>
      <c r="CZ329" s="6">
        <f t="shared" si="42"/>
        <v>26.21</v>
      </c>
      <c r="DA329" s="6">
        <f t="shared" si="43"/>
        <v>1.14079</v>
      </c>
    </row>
    <row r="330" spans="77:105" x14ac:dyDescent="0.15">
      <c r="BY330" s="31">
        <v>43748</v>
      </c>
      <c r="CP330" s="31">
        <v>43408</v>
      </c>
      <c r="CQ330" s="6">
        <v>26.02</v>
      </c>
      <c r="CR330" s="6">
        <v>26.2</v>
      </c>
      <c r="CS330" s="6">
        <f t="shared" si="44"/>
        <v>26.11</v>
      </c>
      <c r="CT330" s="6">
        <v>1.1387499999999999</v>
      </c>
      <c r="CW330" s="31">
        <f t="shared" si="45"/>
        <v>43408</v>
      </c>
      <c r="CX330" s="6">
        <f t="shared" si="40"/>
        <v>26.02</v>
      </c>
      <c r="CY330" s="6">
        <f t="shared" si="41"/>
        <v>26.2</v>
      </c>
      <c r="CZ330" s="6">
        <f t="shared" si="42"/>
        <v>26.11</v>
      </c>
      <c r="DA330" s="6">
        <f t="shared" si="43"/>
        <v>1.1387499999999999</v>
      </c>
    </row>
    <row r="331" spans="77:105" x14ac:dyDescent="0.15">
      <c r="BY331" s="31">
        <v>43747</v>
      </c>
      <c r="CP331" s="31">
        <v>43407</v>
      </c>
      <c r="CQ331" s="6">
        <v>26.01</v>
      </c>
      <c r="CR331" s="6">
        <v>26.15</v>
      </c>
      <c r="CS331" s="6">
        <f t="shared" si="44"/>
        <v>26.08</v>
      </c>
      <c r="CT331" s="6">
        <v>1.1387499999999999</v>
      </c>
      <c r="CW331" s="31">
        <f t="shared" si="45"/>
        <v>43407</v>
      </c>
      <c r="CX331" s="6">
        <f t="shared" si="40"/>
        <v>26.01</v>
      </c>
      <c r="CY331" s="6">
        <f t="shared" si="41"/>
        <v>26.15</v>
      </c>
      <c r="CZ331" s="6">
        <f t="shared" si="42"/>
        <v>26.08</v>
      </c>
      <c r="DA331" s="6">
        <f t="shared" si="43"/>
        <v>1.1387499999999999</v>
      </c>
    </row>
    <row r="332" spans="77:105" x14ac:dyDescent="0.15">
      <c r="BY332" s="31">
        <v>43746</v>
      </c>
      <c r="CP332" s="31">
        <v>43406</v>
      </c>
      <c r="CQ332" s="6">
        <v>26.12</v>
      </c>
      <c r="CR332" s="6">
        <v>26.32</v>
      </c>
      <c r="CS332" s="6">
        <f t="shared" si="44"/>
        <v>26.22</v>
      </c>
      <c r="CT332" s="6">
        <v>1.1387499999999999</v>
      </c>
      <c r="CW332" s="31">
        <f t="shared" si="45"/>
        <v>43406</v>
      </c>
      <c r="CX332" s="6">
        <f t="shared" ref="CX332:CX377" si="46">IF($CQ$8=TRUE,CQ332,"")</f>
        <v>26.12</v>
      </c>
      <c r="CY332" s="6">
        <f t="shared" ref="CY332:CY377" si="47">IF($CR$8=TRUE,CR332,"")</f>
        <v>26.32</v>
      </c>
      <c r="CZ332" s="6">
        <f t="shared" ref="CZ332:CZ377" si="48">IF($CS$8=TRUE,CS332,"")</f>
        <v>26.22</v>
      </c>
      <c r="DA332" s="6">
        <f t="shared" ref="DA332:DA377" si="49">IF($CT$8=TRUE,CT332,"")</f>
        <v>1.1387499999999999</v>
      </c>
    </row>
    <row r="333" spans="77:105" x14ac:dyDescent="0.15">
      <c r="BY333" s="31">
        <v>43745</v>
      </c>
      <c r="CP333" s="31">
        <v>43405</v>
      </c>
      <c r="CQ333" s="6">
        <v>26.03</v>
      </c>
      <c r="CR333" s="6">
        <v>26.23</v>
      </c>
      <c r="CS333" s="6">
        <f t="shared" ref="CS333:CS377" si="50">AVERAGE(CQ333:CR333)</f>
        <v>26.130000000000003</v>
      </c>
      <c r="CT333" s="6">
        <v>1.1408499999999999</v>
      </c>
      <c r="CW333" s="31">
        <f t="shared" ref="CW333:CW377" si="51">CP333</f>
        <v>43405</v>
      </c>
      <c r="CX333" s="6">
        <f t="shared" si="46"/>
        <v>26.03</v>
      </c>
      <c r="CY333" s="6">
        <f t="shared" si="47"/>
        <v>26.23</v>
      </c>
      <c r="CZ333" s="6">
        <f t="shared" si="48"/>
        <v>26.130000000000003</v>
      </c>
      <c r="DA333" s="6">
        <f t="shared" si="49"/>
        <v>1.1408499999999999</v>
      </c>
    </row>
    <row r="334" spans="77:105" x14ac:dyDescent="0.15">
      <c r="BY334" s="31">
        <v>43742</v>
      </c>
      <c r="CP334" s="31">
        <v>43404</v>
      </c>
      <c r="CQ334" s="6">
        <v>26.94</v>
      </c>
      <c r="CR334" s="6">
        <v>27.14</v>
      </c>
      <c r="CS334" s="6">
        <f t="shared" si="50"/>
        <v>27.04</v>
      </c>
      <c r="CT334" s="6">
        <v>1.1311899999999999</v>
      </c>
      <c r="CW334" s="31">
        <f t="shared" si="51"/>
        <v>43404</v>
      </c>
      <c r="CX334" s="6">
        <f t="shared" si="46"/>
        <v>26.94</v>
      </c>
      <c r="CY334" s="6">
        <f t="shared" si="47"/>
        <v>27.14</v>
      </c>
      <c r="CZ334" s="6">
        <f t="shared" si="48"/>
        <v>27.04</v>
      </c>
      <c r="DA334" s="6">
        <f t="shared" si="49"/>
        <v>1.1311899999999999</v>
      </c>
    </row>
    <row r="335" spans="77:105" x14ac:dyDescent="0.15">
      <c r="BY335" s="31">
        <v>43741</v>
      </c>
      <c r="CP335" s="31">
        <v>43403</v>
      </c>
      <c r="CQ335" s="6">
        <v>28.11</v>
      </c>
      <c r="CR335" s="6">
        <v>28.31</v>
      </c>
      <c r="CS335" s="6">
        <f t="shared" si="50"/>
        <v>28.21</v>
      </c>
      <c r="CT335" s="6">
        <v>1.13442</v>
      </c>
      <c r="CW335" s="31">
        <f t="shared" si="51"/>
        <v>43403</v>
      </c>
      <c r="CX335" s="6">
        <f t="shared" si="46"/>
        <v>28.11</v>
      </c>
      <c r="CY335" s="6">
        <f t="shared" si="47"/>
        <v>28.31</v>
      </c>
      <c r="CZ335" s="6">
        <f t="shared" si="48"/>
        <v>28.21</v>
      </c>
      <c r="DA335" s="6">
        <f t="shared" si="49"/>
        <v>1.13442</v>
      </c>
    </row>
    <row r="336" spans="77:105" x14ac:dyDescent="0.15">
      <c r="BY336" s="31">
        <v>43740</v>
      </c>
      <c r="CP336" s="31">
        <v>43402</v>
      </c>
      <c r="CQ336" s="6">
        <v>26.55</v>
      </c>
      <c r="CR336" s="6">
        <v>26.75</v>
      </c>
      <c r="CS336" s="6">
        <f t="shared" si="50"/>
        <v>26.65</v>
      </c>
      <c r="CT336" s="6">
        <v>1.1372599999999999</v>
      </c>
      <c r="CW336" s="31">
        <f t="shared" si="51"/>
        <v>43402</v>
      </c>
      <c r="CX336" s="6">
        <f t="shared" si="46"/>
        <v>26.55</v>
      </c>
      <c r="CY336" s="6">
        <f t="shared" si="47"/>
        <v>26.75</v>
      </c>
      <c r="CZ336" s="6">
        <f t="shared" si="48"/>
        <v>26.65</v>
      </c>
      <c r="DA336" s="6">
        <f t="shared" si="49"/>
        <v>1.1372599999999999</v>
      </c>
    </row>
    <row r="337" spans="77:105" x14ac:dyDescent="0.15">
      <c r="BY337" s="31">
        <v>43739</v>
      </c>
      <c r="CP337" s="31">
        <v>43401</v>
      </c>
      <c r="CQ337" s="6">
        <v>27.47</v>
      </c>
      <c r="CR337" s="6">
        <v>27.61</v>
      </c>
      <c r="CS337" s="6">
        <f t="shared" si="50"/>
        <v>27.54</v>
      </c>
      <c r="CT337" s="6">
        <v>1.14035</v>
      </c>
      <c r="CW337" s="31">
        <f t="shared" si="51"/>
        <v>43401</v>
      </c>
      <c r="CX337" s="6">
        <f t="shared" si="46"/>
        <v>27.47</v>
      </c>
      <c r="CY337" s="6">
        <f t="shared" si="47"/>
        <v>27.61</v>
      </c>
      <c r="CZ337" s="6">
        <f t="shared" si="48"/>
        <v>27.54</v>
      </c>
      <c r="DA337" s="6">
        <f t="shared" si="49"/>
        <v>1.14035</v>
      </c>
    </row>
    <row r="338" spans="77:105" x14ac:dyDescent="0.15">
      <c r="BY338" s="31">
        <v>43738</v>
      </c>
      <c r="CP338" s="31">
        <v>43400</v>
      </c>
      <c r="CQ338" s="6">
        <v>27.46</v>
      </c>
      <c r="CR338" s="6">
        <v>27.6</v>
      </c>
      <c r="CS338" s="6">
        <f t="shared" si="50"/>
        <v>27.53</v>
      </c>
      <c r="CT338" s="6">
        <v>1.14035</v>
      </c>
      <c r="CW338" s="31">
        <f t="shared" si="51"/>
        <v>43400</v>
      </c>
      <c r="CX338" s="6">
        <f t="shared" si="46"/>
        <v>27.46</v>
      </c>
      <c r="CY338" s="6">
        <f t="shared" si="47"/>
        <v>27.6</v>
      </c>
      <c r="CZ338" s="6">
        <f t="shared" si="48"/>
        <v>27.53</v>
      </c>
      <c r="DA338" s="6">
        <f t="shared" si="49"/>
        <v>1.14035</v>
      </c>
    </row>
    <row r="339" spans="77:105" x14ac:dyDescent="0.15">
      <c r="BY339" s="31">
        <v>43735</v>
      </c>
      <c r="CP339" s="31">
        <v>43399</v>
      </c>
      <c r="CQ339" s="6">
        <v>27.43</v>
      </c>
      <c r="CR339" s="6">
        <v>27.63</v>
      </c>
      <c r="CS339" s="6">
        <f t="shared" si="50"/>
        <v>27.53</v>
      </c>
      <c r="CT339" s="6">
        <v>1.14035</v>
      </c>
      <c r="CW339" s="31">
        <f t="shared" si="51"/>
        <v>43399</v>
      </c>
      <c r="CX339" s="6">
        <f t="shared" si="46"/>
        <v>27.43</v>
      </c>
      <c r="CY339" s="6">
        <f t="shared" si="47"/>
        <v>27.63</v>
      </c>
      <c r="CZ339" s="6">
        <f t="shared" si="48"/>
        <v>27.53</v>
      </c>
      <c r="DA339" s="6">
        <f t="shared" si="49"/>
        <v>1.14035</v>
      </c>
    </row>
    <row r="340" spans="77:105" x14ac:dyDescent="0.15">
      <c r="BY340" s="31">
        <v>43734</v>
      </c>
      <c r="CP340" s="31">
        <v>43398</v>
      </c>
      <c r="CQ340" s="6">
        <v>27.35</v>
      </c>
      <c r="CR340" s="6">
        <v>27.55</v>
      </c>
      <c r="CS340" s="6">
        <f t="shared" si="50"/>
        <v>27.450000000000003</v>
      </c>
      <c r="CT340" s="6">
        <v>1.1375</v>
      </c>
      <c r="CW340" s="31">
        <f t="shared" si="51"/>
        <v>43398</v>
      </c>
      <c r="CX340" s="6">
        <f t="shared" si="46"/>
        <v>27.35</v>
      </c>
      <c r="CY340" s="6">
        <f t="shared" si="47"/>
        <v>27.55</v>
      </c>
      <c r="CZ340" s="6">
        <f t="shared" si="48"/>
        <v>27.450000000000003</v>
      </c>
      <c r="DA340" s="6">
        <f t="shared" si="49"/>
        <v>1.1375</v>
      </c>
    </row>
    <row r="341" spans="77:105" x14ac:dyDescent="0.15">
      <c r="BY341" s="31">
        <v>43733</v>
      </c>
      <c r="CP341" s="31">
        <v>43397</v>
      </c>
      <c r="CQ341" s="6">
        <v>27.28</v>
      </c>
      <c r="CR341" s="6">
        <v>27.48</v>
      </c>
      <c r="CS341" s="6">
        <f t="shared" si="50"/>
        <v>27.380000000000003</v>
      </c>
      <c r="CT341" s="6">
        <v>1.1392100000000001</v>
      </c>
      <c r="CW341" s="31">
        <f t="shared" si="51"/>
        <v>43397</v>
      </c>
      <c r="CX341" s="6">
        <f t="shared" si="46"/>
        <v>27.28</v>
      </c>
      <c r="CY341" s="6">
        <f t="shared" si="47"/>
        <v>27.48</v>
      </c>
      <c r="CZ341" s="6">
        <f t="shared" si="48"/>
        <v>27.380000000000003</v>
      </c>
      <c r="DA341" s="6">
        <f t="shared" si="49"/>
        <v>1.1392100000000001</v>
      </c>
    </row>
    <row r="342" spans="77:105" x14ac:dyDescent="0.15">
      <c r="BY342" s="31">
        <v>43732</v>
      </c>
      <c r="CP342" s="31">
        <v>43396</v>
      </c>
      <c r="CQ342" s="6">
        <v>28.3</v>
      </c>
      <c r="CR342" s="6">
        <v>28.5</v>
      </c>
      <c r="CS342" s="6">
        <f t="shared" si="50"/>
        <v>28.4</v>
      </c>
      <c r="CT342" s="6">
        <v>1.1470400000000001</v>
      </c>
      <c r="CW342" s="31">
        <f t="shared" si="51"/>
        <v>43396</v>
      </c>
      <c r="CX342" s="6">
        <f t="shared" si="46"/>
        <v>28.3</v>
      </c>
      <c r="CY342" s="6">
        <f t="shared" si="47"/>
        <v>28.5</v>
      </c>
      <c r="CZ342" s="6">
        <f t="shared" si="48"/>
        <v>28.4</v>
      </c>
      <c r="DA342" s="6">
        <f t="shared" si="49"/>
        <v>1.1470400000000001</v>
      </c>
    </row>
    <row r="343" spans="77:105" x14ac:dyDescent="0.15">
      <c r="BY343" s="31">
        <v>43731</v>
      </c>
      <c r="CP343" s="31">
        <v>43395</v>
      </c>
      <c r="CQ343" s="6">
        <v>29.21</v>
      </c>
      <c r="CR343" s="6">
        <v>29.41</v>
      </c>
      <c r="CS343" s="6">
        <f t="shared" si="50"/>
        <v>29.310000000000002</v>
      </c>
      <c r="CT343" s="6">
        <v>1.1464700000000001</v>
      </c>
      <c r="CW343" s="31">
        <f t="shared" si="51"/>
        <v>43395</v>
      </c>
      <c r="CX343" s="6">
        <f t="shared" si="46"/>
        <v>29.21</v>
      </c>
      <c r="CY343" s="6">
        <f t="shared" si="47"/>
        <v>29.41</v>
      </c>
      <c r="CZ343" s="6">
        <f t="shared" si="48"/>
        <v>29.310000000000002</v>
      </c>
      <c r="DA343" s="6">
        <f t="shared" si="49"/>
        <v>1.1464700000000001</v>
      </c>
    </row>
    <row r="344" spans="77:105" x14ac:dyDescent="0.15">
      <c r="BY344" s="31">
        <v>43728</v>
      </c>
      <c r="CP344" s="31">
        <v>43394</v>
      </c>
      <c r="CQ344" s="6">
        <v>27.65</v>
      </c>
      <c r="CR344" s="6">
        <v>27.85</v>
      </c>
      <c r="CS344" s="6">
        <f t="shared" si="50"/>
        <v>27.75</v>
      </c>
      <c r="CT344" s="6">
        <v>1.1514500000000001</v>
      </c>
      <c r="CW344" s="31">
        <f t="shared" si="51"/>
        <v>43394</v>
      </c>
      <c r="CX344" s="6">
        <f t="shared" si="46"/>
        <v>27.65</v>
      </c>
      <c r="CY344" s="6">
        <f t="shared" si="47"/>
        <v>27.85</v>
      </c>
      <c r="CZ344" s="6">
        <f t="shared" si="48"/>
        <v>27.75</v>
      </c>
      <c r="DA344" s="6">
        <f t="shared" si="49"/>
        <v>1.1514500000000001</v>
      </c>
    </row>
    <row r="345" spans="77:105" x14ac:dyDescent="0.15">
      <c r="BY345" s="31">
        <v>43727</v>
      </c>
      <c r="CP345" s="31">
        <v>43393</v>
      </c>
      <c r="CQ345" s="6">
        <v>27.65</v>
      </c>
      <c r="CR345" s="6">
        <v>27.85</v>
      </c>
      <c r="CS345" s="6">
        <f t="shared" si="50"/>
        <v>27.75</v>
      </c>
      <c r="CT345" s="6">
        <v>1.1514500000000001</v>
      </c>
      <c r="CW345" s="31">
        <f t="shared" si="51"/>
        <v>43393</v>
      </c>
      <c r="CX345" s="6">
        <f t="shared" si="46"/>
        <v>27.65</v>
      </c>
      <c r="CY345" s="6">
        <f t="shared" si="47"/>
        <v>27.85</v>
      </c>
      <c r="CZ345" s="6">
        <f t="shared" si="48"/>
        <v>27.75</v>
      </c>
      <c r="DA345" s="6">
        <f t="shared" si="49"/>
        <v>1.1514500000000001</v>
      </c>
    </row>
    <row r="346" spans="77:105" x14ac:dyDescent="0.15">
      <c r="BY346" s="31">
        <v>43726</v>
      </c>
      <c r="CP346" s="31">
        <v>43392</v>
      </c>
      <c r="CQ346" s="6">
        <v>27.6</v>
      </c>
      <c r="CR346" s="6">
        <v>27.8</v>
      </c>
      <c r="CS346" s="6">
        <f t="shared" si="50"/>
        <v>27.700000000000003</v>
      </c>
      <c r="CT346" s="6">
        <v>1.1514500000000001</v>
      </c>
      <c r="CW346" s="31">
        <f t="shared" si="51"/>
        <v>43392</v>
      </c>
      <c r="CX346" s="6">
        <f t="shared" si="46"/>
        <v>27.6</v>
      </c>
      <c r="CY346" s="6">
        <f t="shared" si="47"/>
        <v>27.8</v>
      </c>
      <c r="CZ346" s="6">
        <f t="shared" si="48"/>
        <v>27.700000000000003</v>
      </c>
      <c r="DA346" s="6">
        <f t="shared" si="49"/>
        <v>1.1514500000000001</v>
      </c>
    </row>
    <row r="347" spans="77:105" x14ac:dyDescent="0.15">
      <c r="BY347" s="31">
        <v>43725</v>
      </c>
      <c r="CP347" s="31">
        <v>43391</v>
      </c>
      <c r="CQ347" s="6">
        <v>28.39</v>
      </c>
      <c r="CR347" s="6">
        <v>28.59</v>
      </c>
      <c r="CS347" s="6">
        <f t="shared" si="50"/>
        <v>28.490000000000002</v>
      </c>
      <c r="CT347" s="6">
        <v>1.1453</v>
      </c>
      <c r="CW347" s="31">
        <f t="shared" si="51"/>
        <v>43391</v>
      </c>
      <c r="CX347" s="6">
        <f t="shared" si="46"/>
        <v>28.39</v>
      </c>
      <c r="CY347" s="6">
        <f t="shared" si="47"/>
        <v>28.59</v>
      </c>
      <c r="CZ347" s="6">
        <f t="shared" si="48"/>
        <v>28.490000000000002</v>
      </c>
      <c r="DA347" s="6">
        <f t="shared" si="49"/>
        <v>1.1453</v>
      </c>
    </row>
    <row r="348" spans="77:105" x14ac:dyDescent="0.15">
      <c r="BY348" s="31">
        <v>43724</v>
      </c>
      <c r="CP348" s="31">
        <v>43390</v>
      </c>
      <c r="CQ348" s="6">
        <v>27.66</v>
      </c>
      <c r="CR348" s="6">
        <v>27.86</v>
      </c>
      <c r="CS348" s="6">
        <f t="shared" si="50"/>
        <v>27.759999999999998</v>
      </c>
      <c r="CT348" s="6">
        <v>1.15008</v>
      </c>
      <c r="CW348" s="31">
        <f t="shared" si="51"/>
        <v>43390</v>
      </c>
      <c r="CX348" s="6">
        <f t="shared" si="46"/>
        <v>27.66</v>
      </c>
      <c r="CY348" s="6">
        <f t="shared" si="47"/>
        <v>27.86</v>
      </c>
      <c r="CZ348" s="6">
        <f t="shared" si="48"/>
        <v>27.759999999999998</v>
      </c>
      <c r="DA348" s="6">
        <f t="shared" si="49"/>
        <v>1.15008</v>
      </c>
    </row>
    <row r="349" spans="77:105" x14ac:dyDescent="0.15">
      <c r="BY349" s="31">
        <v>43721</v>
      </c>
      <c r="CP349" s="31">
        <v>43389</v>
      </c>
      <c r="CQ349" s="6">
        <v>28.53</v>
      </c>
      <c r="CR349" s="6">
        <v>28.73</v>
      </c>
      <c r="CS349" s="6">
        <f t="shared" si="50"/>
        <v>28.630000000000003</v>
      </c>
      <c r="CT349" s="6">
        <v>1.1574500000000001</v>
      </c>
      <c r="CW349" s="31">
        <f t="shared" si="51"/>
        <v>43389</v>
      </c>
      <c r="CX349" s="6">
        <f t="shared" si="46"/>
        <v>28.53</v>
      </c>
      <c r="CY349" s="6">
        <f t="shared" si="47"/>
        <v>28.73</v>
      </c>
      <c r="CZ349" s="6">
        <f t="shared" si="48"/>
        <v>28.630000000000003</v>
      </c>
      <c r="DA349" s="6">
        <f t="shared" si="49"/>
        <v>1.1574500000000001</v>
      </c>
    </row>
    <row r="350" spans="77:105" x14ac:dyDescent="0.15">
      <c r="BY350" s="31">
        <v>43720</v>
      </c>
      <c r="CP350" s="31">
        <v>43388</v>
      </c>
      <c r="CQ350" s="6">
        <v>29.67</v>
      </c>
      <c r="CR350" s="6">
        <v>29.87</v>
      </c>
      <c r="CS350" s="6">
        <f t="shared" si="50"/>
        <v>29.770000000000003</v>
      </c>
      <c r="CT350" s="6">
        <v>1.1579699999999999</v>
      </c>
      <c r="CW350" s="31">
        <f t="shared" si="51"/>
        <v>43388</v>
      </c>
      <c r="CX350" s="6">
        <f t="shared" si="46"/>
        <v>29.67</v>
      </c>
      <c r="CY350" s="6">
        <f t="shared" si="47"/>
        <v>29.87</v>
      </c>
      <c r="CZ350" s="6">
        <f t="shared" si="48"/>
        <v>29.770000000000003</v>
      </c>
      <c r="DA350" s="6">
        <f t="shared" si="49"/>
        <v>1.1579699999999999</v>
      </c>
    </row>
    <row r="351" spans="77:105" x14ac:dyDescent="0.15">
      <c r="BY351" s="31">
        <v>43719</v>
      </c>
      <c r="CP351" s="31">
        <v>43387</v>
      </c>
      <c r="CQ351" s="6">
        <v>27.91</v>
      </c>
      <c r="CR351" s="6">
        <v>28.11</v>
      </c>
      <c r="CS351" s="6">
        <f t="shared" si="50"/>
        <v>28.009999999999998</v>
      </c>
      <c r="CT351" s="6">
        <v>1.1559900000000001</v>
      </c>
      <c r="CW351" s="31">
        <f t="shared" si="51"/>
        <v>43387</v>
      </c>
      <c r="CX351" s="6">
        <f t="shared" si="46"/>
        <v>27.91</v>
      </c>
      <c r="CY351" s="6">
        <f t="shared" si="47"/>
        <v>28.11</v>
      </c>
      <c r="CZ351" s="6">
        <f t="shared" si="48"/>
        <v>28.009999999999998</v>
      </c>
      <c r="DA351" s="6">
        <f t="shared" si="49"/>
        <v>1.1559900000000001</v>
      </c>
    </row>
    <row r="352" spans="77:105" x14ac:dyDescent="0.15">
      <c r="BY352" s="31">
        <v>43718</v>
      </c>
      <c r="CP352" s="31">
        <v>43386</v>
      </c>
      <c r="CQ352" s="6">
        <v>27.93</v>
      </c>
      <c r="CR352" s="6">
        <v>28.13</v>
      </c>
      <c r="CS352" s="6">
        <f t="shared" si="50"/>
        <v>28.03</v>
      </c>
      <c r="CT352" s="6">
        <v>1.1559900000000001</v>
      </c>
      <c r="CW352" s="31">
        <f t="shared" si="51"/>
        <v>43386</v>
      </c>
      <c r="CX352" s="6">
        <f t="shared" si="46"/>
        <v>27.93</v>
      </c>
      <c r="CY352" s="6">
        <f t="shared" si="47"/>
        <v>28.13</v>
      </c>
      <c r="CZ352" s="6">
        <f t="shared" si="48"/>
        <v>28.03</v>
      </c>
      <c r="DA352" s="6">
        <f t="shared" si="49"/>
        <v>1.1559900000000001</v>
      </c>
    </row>
    <row r="353" spans="77:105" x14ac:dyDescent="0.15">
      <c r="BY353" s="31">
        <v>43717</v>
      </c>
      <c r="CP353" s="31">
        <v>43385</v>
      </c>
      <c r="CQ353" s="6">
        <v>27.95</v>
      </c>
      <c r="CR353" s="6">
        <v>28.15</v>
      </c>
      <c r="CS353" s="6">
        <f t="shared" si="50"/>
        <v>28.049999999999997</v>
      </c>
      <c r="CT353" s="6">
        <v>1.1559900000000001</v>
      </c>
      <c r="CW353" s="31">
        <f t="shared" si="51"/>
        <v>43385</v>
      </c>
      <c r="CX353" s="6">
        <f t="shared" si="46"/>
        <v>27.95</v>
      </c>
      <c r="CY353" s="6">
        <f t="shared" si="47"/>
        <v>28.15</v>
      </c>
      <c r="CZ353" s="6">
        <f t="shared" si="48"/>
        <v>28.049999999999997</v>
      </c>
      <c r="DA353" s="6">
        <f t="shared" si="49"/>
        <v>1.1559900000000001</v>
      </c>
    </row>
    <row r="354" spans="77:105" x14ac:dyDescent="0.15">
      <c r="BY354" s="31">
        <v>43714</v>
      </c>
      <c r="CP354" s="31">
        <v>43384</v>
      </c>
      <c r="CQ354" s="6">
        <v>27.83</v>
      </c>
      <c r="CR354" s="6">
        <v>28.03</v>
      </c>
      <c r="CS354" s="6">
        <f t="shared" si="50"/>
        <v>27.93</v>
      </c>
      <c r="CT354" s="6">
        <v>1.1593199999999999</v>
      </c>
      <c r="CW354" s="31">
        <f t="shared" si="51"/>
        <v>43384</v>
      </c>
      <c r="CX354" s="6">
        <f t="shared" si="46"/>
        <v>27.83</v>
      </c>
      <c r="CY354" s="6">
        <f t="shared" si="47"/>
        <v>28.03</v>
      </c>
      <c r="CZ354" s="6">
        <f t="shared" si="48"/>
        <v>27.93</v>
      </c>
      <c r="DA354" s="6">
        <f t="shared" si="49"/>
        <v>1.1593199999999999</v>
      </c>
    </row>
    <row r="355" spans="77:105" x14ac:dyDescent="0.15">
      <c r="BY355" s="31">
        <v>43713</v>
      </c>
      <c r="CP355" s="31">
        <v>43383</v>
      </c>
      <c r="CQ355" s="6">
        <v>28.71</v>
      </c>
      <c r="CR355" s="6">
        <v>28.91</v>
      </c>
      <c r="CS355" s="6">
        <f t="shared" si="50"/>
        <v>28.810000000000002</v>
      </c>
      <c r="CT355" s="6">
        <v>1.15194</v>
      </c>
      <c r="CW355" s="31">
        <f t="shared" si="51"/>
        <v>43383</v>
      </c>
      <c r="CX355" s="6">
        <f t="shared" si="46"/>
        <v>28.71</v>
      </c>
      <c r="CY355" s="6">
        <f t="shared" si="47"/>
        <v>28.91</v>
      </c>
      <c r="CZ355" s="6">
        <f t="shared" si="48"/>
        <v>28.810000000000002</v>
      </c>
      <c r="DA355" s="6">
        <f t="shared" si="49"/>
        <v>1.15194</v>
      </c>
    </row>
    <row r="356" spans="77:105" x14ac:dyDescent="0.15">
      <c r="BY356" s="31">
        <v>43712</v>
      </c>
      <c r="CP356" s="31">
        <v>43382</v>
      </c>
      <c r="CQ356" s="6">
        <v>29.46</v>
      </c>
      <c r="CR356" s="6">
        <v>29.66</v>
      </c>
      <c r="CS356" s="6">
        <f t="shared" si="50"/>
        <v>29.560000000000002</v>
      </c>
      <c r="CT356" s="6">
        <v>1.1490800000000001</v>
      </c>
      <c r="CW356" s="31">
        <f t="shared" si="51"/>
        <v>43382</v>
      </c>
      <c r="CX356" s="6">
        <f t="shared" si="46"/>
        <v>29.46</v>
      </c>
      <c r="CY356" s="6">
        <f t="shared" si="47"/>
        <v>29.66</v>
      </c>
      <c r="CZ356" s="6">
        <f t="shared" si="48"/>
        <v>29.560000000000002</v>
      </c>
      <c r="DA356" s="6">
        <f t="shared" si="49"/>
        <v>1.1490800000000001</v>
      </c>
    </row>
    <row r="357" spans="77:105" x14ac:dyDescent="0.15">
      <c r="BY357" s="31">
        <v>43711</v>
      </c>
      <c r="CP357" s="31">
        <v>43381</v>
      </c>
      <c r="CQ357" s="6">
        <v>30.23</v>
      </c>
      <c r="CR357" s="6">
        <v>30.43</v>
      </c>
      <c r="CS357" s="6">
        <f t="shared" si="50"/>
        <v>30.33</v>
      </c>
      <c r="CT357" s="6">
        <v>1.14916</v>
      </c>
      <c r="CW357" s="31">
        <f t="shared" si="51"/>
        <v>43381</v>
      </c>
      <c r="CX357" s="6">
        <f t="shared" si="46"/>
        <v>30.23</v>
      </c>
      <c r="CY357" s="6">
        <f t="shared" si="47"/>
        <v>30.43</v>
      </c>
      <c r="CZ357" s="6">
        <f t="shared" si="48"/>
        <v>30.33</v>
      </c>
      <c r="DA357" s="6">
        <f t="shared" si="49"/>
        <v>1.14916</v>
      </c>
    </row>
    <row r="358" spans="77:105" x14ac:dyDescent="0.15">
      <c r="BY358" s="31">
        <v>43707</v>
      </c>
      <c r="CP358" s="31">
        <v>43380</v>
      </c>
      <c r="CQ358" s="6">
        <v>27.44</v>
      </c>
      <c r="CR358" s="6">
        <v>27.63</v>
      </c>
      <c r="CS358" s="6">
        <f t="shared" si="50"/>
        <v>27.535</v>
      </c>
      <c r="CT358" s="6">
        <v>1.1520999999999999</v>
      </c>
      <c r="CW358" s="31">
        <f t="shared" si="51"/>
        <v>43380</v>
      </c>
      <c r="CX358" s="6">
        <f t="shared" si="46"/>
        <v>27.44</v>
      </c>
      <c r="CY358" s="6">
        <f t="shared" si="47"/>
        <v>27.63</v>
      </c>
      <c r="CZ358" s="6">
        <f t="shared" si="48"/>
        <v>27.535</v>
      </c>
      <c r="DA358" s="6">
        <f t="shared" si="49"/>
        <v>1.1520999999999999</v>
      </c>
    </row>
    <row r="359" spans="77:105" x14ac:dyDescent="0.15">
      <c r="BY359" s="31">
        <v>43706</v>
      </c>
      <c r="CP359" s="31">
        <v>43379</v>
      </c>
      <c r="CQ359" s="6">
        <v>27.45</v>
      </c>
      <c r="CR359" s="6">
        <v>27.65</v>
      </c>
      <c r="CS359" s="6">
        <f t="shared" si="50"/>
        <v>27.549999999999997</v>
      </c>
      <c r="CT359" s="6">
        <v>1.1520999999999999</v>
      </c>
      <c r="CW359" s="31">
        <f t="shared" si="51"/>
        <v>43379</v>
      </c>
      <c r="CX359" s="6">
        <f t="shared" si="46"/>
        <v>27.45</v>
      </c>
      <c r="CY359" s="6">
        <f t="shared" si="47"/>
        <v>27.65</v>
      </c>
      <c r="CZ359" s="6">
        <f t="shared" si="48"/>
        <v>27.549999999999997</v>
      </c>
      <c r="DA359" s="6">
        <f t="shared" si="49"/>
        <v>1.1520999999999999</v>
      </c>
    </row>
    <row r="360" spans="77:105" x14ac:dyDescent="0.15">
      <c r="BY360" s="31">
        <v>43705</v>
      </c>
      <c r="CP360" s="31">
        <v>43378</v>
      </c>
      <c r="CQ360" s="6">
        <v>27.4</v>
      </c>
      <c r="CR360" s="6">
        <v>27.6</v>
      </c>
      <c r="CS360" s="6">
        <f t="shared" si="50"/>
        <v>27.5</v>
      </c>
      <c r="CT360" s="6">
        <v>1.1520999999999999</v>
      </c>
      <c r="CW360" s="31">
        <f t="shared" si="51"/>
        <v>43378</v>
      </c>
      <c r="CX360" s="6">
        <f t="shared" si="46"/>
        <v>27.4</v>
      </c>
      <c r="CY360" s="6">
        <f t="shared" si="47"/>
        <v>27.6</v>
      </c>
      <c r="CZ360" s="6">
        <f t="shared" si="48"/>
        <v>27.5</v>
      </c>
      <c r="DA360" s="6">
        <f t="shared" si="49"/>
        <v>1.1520999999999999</v>
      </c>
    </row>
    <row r="361" spans="77:105" x14ac:dyDescent="0.15">
      <c r="BY361" s="31">
        <v>43704</v>
      </c>
      <c r="CP361" s="31">
        <v>43377</v>
      </c>
      <c r="CQ361" s="6">
        <v>27.44</v>
      </c>
      <c r="CR361" s="6">
        <v>27.64</v>
      </c>
      <c r="CS361" s="6">
        <f t="shared" si="50"/>
        <v>27.54</v>
      </c>
      <c r="CT361" s="6">
        <v>1.1514500000000001</v>
      </c>
      <c r="CW361" s="31">
        <f t="shared" si="51"/>
        <v>43377</v>
      </c>
      <c r="CX361" s="6">
        <f t="shared" si="46"/>
        <v>27.44</v>
      </c>
      <c r="CY361" s="6">
        <f t="shared" si="47"/>
        <v>27.64</v>
      </c>
      <c r="CZ361" s="6">
        <f t="shared" si="48"/>
        <v>27.54</v>
      </c>
      <c r="DA361" s="6">
        <f t="shared" si="49"/>
        <v>1.1514500000000001</v>
      </c>
    </row>
    <row r="362" spans="77:105" x14ac:dyDescent="0.15">
      <c r="BY362" s="31">
        <v>43703</v>
      </c>
      <c r="CP362" s="31">
        <v>43376</v>
      </c>
      <c r="CQ362" s="6">
        <v>27.35</v>
      </c>
      <c r="CR362" s="6">
        <v>27.55</v>
      </c>
      <c r="CS362" s="6">
        <f t="shared" si="50"/>
        <v>27.450000000000003</v>
      </c>
      <c r="CT362" s="6">
        <v>1.14774</v>
      </c>
      <c r="CW362" s="31">
        <f t="shared" si="51"/>
        <v>43376</v>
      </c>
      <c r="CX362" s="6">
        <f t="shared" si="46"/>
        <v>27.35</v>
      </c>
      <c r="CY362" s="6">
        <f t="shared" si="47"/>
        <v>27.55</v>
      </c>
      <c r="CZ362" s="6">
        <f t="shared" si="48"/>
        <v>27.450000000000003</v>
      </c>
      <c r="DA362" s="6">
        <f t="shared" si="49"/>
        <v>1.14774</v>
      </c>
    </row>
    <row r="363" spans="77:105" x14ac:dyDescent="0.15">
      <c r="BY363" s="31">
        <v>43700</v>
      </c>
      <c r="CP363" s="31">
        <v>43375</v>
      </c>
      <c r="CQ363" s="6">
        <v>28.4</v>
      </c>
      <c r="CR363" s="6">
        <v>28.6</v>
      </c>
      <c r="CS363" s="6">
        <f t="shared" si="50"/>
        <v>28.5</v>
      </c>
      <c r="CT363" s="6">
        <v>1.15462</v>
      </c>
      <c r="CW363" s="31">
        <f t="shared" si="51"/>
        <v>43375</v>
      </c>
      <c r="CX363" s="6">
        <f t="shared" si="46"/>
        <v>28.4</v>
      </c>
      <c r="CY363" s="6">
        <f t="shared" si="47"/>
        <v>28.6</v>
      </c>
      <c r="CZ363" s="6">
        <f t="shared" si="48"/>
        <v>28.5</v>
      </c>
      <c r="DA363" s="6">
        <f t="shared" si="49"/>
        <v>1.15462</v>
      </c>
    </row>
    <row r="364" spans="77:105" x14ac:dyDescent="0.15">
      <c r="BY364" s="31">
        <v>43699</v>
      </c>
      <c r="CP364" s="31">
        <v>43374</v>
      </c>
      <c r="CQ364" s="6">
        <v>29.41</v>
      </c>
      <c r="CR364" s="6">
        <v>29.61</v>
      </c>
      <c r="CS364" s="6">
        <f t="shared" si="50"/>
        <v>29.509999999999998</v>
      </c>
      <c r="CT364" s="6">
        <v>1.1578299999999999</v>
      </c>
      <c r="CW364" s="31">
        <f t="shared" si="51"/>
        <v>43374</v>
      </c>
      <c r="CX364" s="6">
        <f t="shared" si="46"/>
        <v>29.41</v>
      </c>
      <c r="CY364" s="6">
        <f t="shared" si="47"/>
        <v>29.61</v>
      </c>
      <c r="CZ364" s="6">
        <f t="shared" si="48"/>
        <v>29.509999999999998</v>
      </c>
      <c r="DA364" s="6">
        <f t="shared" si="49"/>
        <v>1.1578299999999999</v>
      </c>
    </row>
    <row r="365" spans="77:105" x14ac:dyDescent="0.15">
      <c r="BY365" s="31">
        <v>43698</v>
      </c>
      <c r="CP365" s="31">
        <v>43373</v>
      </c>
      <c r="CQ365" s="6">
        <v>27.95</v>
      </c>
      <c r="CR365" s="6">
        <v>28.14</v>
      </c>
      <c r="CS365" s="6">
        <f t="shared" si="50"/>
        <v>28.045000000000002</v>
      </c>
      <c r="CT365" s="6">
        <v>1.1604300000000001</v>
      </c>
      <c r="CW365" s="31">
        <f t="shared" si="51"/>
        <v>43373</v>
      </c>
      <c r="CX365" s="6">
        <f t="shared" si="46"/>
        <v>27.95</v>
      </c>
      <c r="CY365" s="6">
        <f t="shared" si="47"/>
        <v>28.14</v>
      </c>
      <c r="CZ365" s="6">
        <f t="shared" si="48"/>
        <v>28.045000000000002</v>
      </c>
      <c r="DA365" s="6">
        <f t="shared" si="49"/>
        <v>1.1604300000000001</v>
      </c>
    </row>
    <row r="366" spans="77:105" x14ac:dyDescent="0.15">
      <c r="BY366" s="31">
        <v>43697</v>
      </c>
      <c r="CP366" s="31">
        <v>43372</v>
      </c>
      <c r="CQ366" s="6">
        <v>27.95</v>
      </c>
      <c r="CR366" s="6">
        <v>28.15</v>
      </c>
      <c r="CS366" s="6">
        <f t="shared" si="50"/>
        <v>28.049999999999997</v>
      </c>
      <c r="CT366" s="6">
        <v>1.1604300000000001</v>
      </c>
      <c r="CW366" s="31">
        <f t="shared" si="51"/>
        <v>43372</v>
      </c>
      <c r="CX366" s="6">
        <f t="shared" si="46"/>
        <v>27.95</v>
      </c>
      <c r="CY366" s="6">
        <f t="shared" si="47"/>
        <v>28.15</v>
      </c>
      <c r="CZ366" s="6">
        <f t="shared" si="48"/>
        <v>28.049999999999997</v>
      </c>
      <c r="DA366" s="6">
        <f t="shared" si="49"/>
        <v>1.1604300000000001</v>
      </c>
    </row>
    <row r="367" spans="77:105" x14ac:dyDescent="0.15">
      <c r="BY367" s="31">
        <v>43696</v>
      </c>
      <c r="CP367" s="31">
        <v>43371</v>
      </c>
      <c r="CQ367" s="6">
        <v>28</v>
      </c>
      <c r="CR367" s="6">
        <v>28.2</v>
      </c>
      <c r="CS367" s="6">
        <f t="shared" si="50"/>
        <v>28.1</v>
      </c>
      <c r="CT367" s="6">
        <v>1.1604300000000001</v>
      </c>
      <c r="CW367" s="31">
        <f t="shared" si="51"/>
        <v>43371</v>
      </c>
      <c r="CX367" s="6">
        <f t="shared" si="46"/>
        <v>28</v>
      </c>
      <c r="CY367" s="6">
        <f t="shared" si="47"/>
        <v>28.2</v>
      </c>
      <c r="CZ367" s="6">
        <f t="shared" si="48"/>
        <v>28.1</v>
      </c>
      <c r="DA367" s="6">
        <f t="shared" si="49"/>
        <v>1.1604300000000001</v>
      </c>
    </row>
    <row r="368" spans="77:105" x14ac:dyDescent="0.15">
      <c r="BY368" s="31">
        <v>43693</v>
      </c>
      <c r="CP368" s="31">
        <v>43370</v>
      </c>
      <c r="CQ368" s="6">
        <v>28.25</v>
      </c>
      <c r="CR368" s="6">
        <v>28.45</v>
      </c>
      <c r="CS368" s="6">
        <f t="shared" si="50"/>
        <v>28.35</v>
      </c>
      <c r="CT368" s="6">
        <v>1.16405</v>
      </c>
      <c r="CW368" s="31">
        <f t="shared" si="51"/>
        <v>43370</v>
      </c>
      <c r="CX368" s="6">
        <f t="shared" si="46"/>
        <v>28.25</v>
      </c>
      <c r="CY368" s="6">
        <f t="shared" si="47"/>
        <v>28.45</v>
      </c>
      <c r="CZ368" s="6">
        <f t="shared" si="48"/>
        <v>28.35</v>
      </c>
      <c r="DA368" s="6">
        <f t="shared" si="49"/>
        <v>1.16405</v>
      </c>
    </row>
    <row r="369" spans="77:105" x14ac:dyDescent="0.15">
      <c r="BY369" s="31">
        <v>43692</v>
      </c>
      <c r="CP369" s="31">
        <v>43369</v>
      </c>
      <c r="CQ369" s="6">
        <v>30.5</v>
      </c>
      <c r="CR369" s="6">
        <v>30.7</v>
      </c>
      <c r="CS369" s="6">
        <f t="shared" si="50"/>
        <v>30.6</v>
      </c>
      <c r="CT369" s="6">
        <v>1.1740200000000001</v>
      </c>
      <c r="CW369" s="31">
        <f t="shared" si="51"/>
        <v>43369</v>
      </c>
      <c r="CX369" s="6">
        <f t="shared" si="46"/>
        <v>30.5</v>
      </c>
      <c r="CY369" s="6">
        <f t="shared" si="47"/>
        <v>30.7</v>
      </c>
      <c r="CZ369" s="6">
        <f t="shared" si="48"/>
        <v>30.6</v>
      </c>
      <c r="DA369" s="6">
        <f t="shared" si="49"/>
        <v>1.1740200000000001</v>
      </c>
    </row>
    <row r="370" spans="77:105" x14ac:dyDescent="0.15">
      <c r="BY370" s="31">
        <v>43691</v>
      </c>
      <c r="CP370" s="31">
        <v>43368</v>
      </c>
      <c r="CQ370" s="6">
        <v>29.39</v>
      </c>
      <c r="CR370" s="6">
        <v>29.59</v>
      </c>
      <c r="CS370" s="6">
        <f t="shared" si="50"/>
        <v>29.490000000000002</v>
      </c>
      <c r="CT370" s="6">
        <v>1.1766700000000001</v>
      </c>
      <c r="CW370" s="31">
        <f t="shared" si="51"/>
        <v>43368</v>
      </c>
      <c r="CX370" s="6">
        <f t="shared" si="46"/>
        <v>29.39</v>
      </c>
      <c r="CY370" s="6">
        <f t="shared" si="47"/>
        <v>29.59</v>
      </c>
      <c r="CZ370" s="6">
        <f t="shared" si="48"/>
        <v>29.490000000000002</v>
      </c>
      <c r="DA370" s="6">
        <f t="shared" si="49"/>
        <v>1.1766700000000001</v>
      </c>
    </row>
    <row r="371" spans="77:105" x14ac:dyDescent="0.15">
      <c r="BY371" s="31">
        <v>43690</v>
      </c>
      <c r="CP371" s="31">
        <v>43367</v>
      </c>
      <c r="CQ371" s="6">
        <v>27.56</v>
      </c>
      <c r="CR371" s="6">
        <v>27.76</v>
      </c>
      <c r="CS371" s="6">
        <f t="shared" si="50"/>
        <v>27.66</v>
      </c>
      <c r="CT371" s="6">
        <v>1.1748099999999999</v>
      </c>
      <c r="CW371" s="31">
        <f t="shared" si="51"/>
        <v>43367</v>
      </c>
      <c r="CX371" s="6">
        <f t="shared" si="46"/>
        <v>27.56</v>
      </c>
      <c r="CY371" s="6">
        <f t="shared" si="47"/>
        <v>27.76</v>
      </c>
      <c r="CZ371" s="6">
        <f t="shared" si="48"/>
        <v>27.66</v>
      </c>
      <c r="DA371" s="6">
        <f t="shared" si="49"/>
        <v>1.1748099999999999</v>
      </c>
    </row>
    <row r="372" spans="77:105" x14ac:dyDescent="0.15">
      <c r="BY372" s="31">
        <v>43689</v>
      </c>
      <c r="CP372" s="31">
        <v>43366</v>
      </c>
      <c r="CQ372" s="6">
        <v>27.41</v>
      </c>
      <c r="CR372" s="6">
        <v>27.6</v>
      </c>
      <c r="CS372" s="6">
        <f t="shared" si="50"/>
        <v>27.505000000000003</v>
      </c>
      <c r="CT372" s="6">
        <v>1.1749099999999999</v>
      </c>
      <c r="CW372" s="31">
        <f t="shared" si="51"/>
        <v>43366</v>
      </c>
      <c r="CX372" s="6">
        <f t="shared" si="46"/>
        <v>27.41</v>
      </c>
      <c r="CY372" s="6">
        <f t="shared" si="47"/>
        <v>27.6</v>
      </c>
      <c r="CZ372" s="6">
        <f t="shared" si="48"/>
        <v>27.505000000000003</v>
      </c>
      <c r="DA372" s="6">
        <f t="shared" si="49"/>
        <v>1.1749099999999999</v>
      </c>
    </row>
    <row r="373" spans="77:105" x14ac:dyDescent="0.15">
      <c r="BY373" s="31">
        <v>43686</v>
      </c>
      <c r="CP373" s="31">
        <v>43365</v>
      </c>
      <c r="CQ373" s="6">
        <v>27.42</v>
      </c>
      <c r="CR373" s="6">
        <v>27.62</v>
      </c>
      <c r="CS373" s="6">
        <f t="shared" si="50"/>
        <v>27.520000000000003</v>
      </c>
      <c r="CT373" s="6">
        <v>1.1749099999999999</v>
      </c>
      <c r="CW373" s="31">
        <f t="shared" si="51"/>
        <v>43365</v>
      </c>
      <c r="CX373" s="6">
        <f t="shared" si="46"/>
        <v>27.42</v>
      </c>
      <c r="CY373" s="6">
        <f t="shared" si="47"/>
        <v>27.62</v>
      </c>
      <c r="CZ373" s="6">
        <f t="shared" si="48"/>
        <v>27.520000000000003</v>
      </c>
      <c r="DA373" s="6">
        <f t="shared" si="49"/>
        <v>1.1749099999999999</v>
      </c>
    </row>
    <row r="374" spans="77:105" x14ac:dyDescent="0.15">
      <c r="BY374" s="31">
        <v>43685</v>
      </c>
      <c r="CP374" s="31">
        <v>43364</v>
      </c>
      <c r="CQ374" s="6">
        <v>27.5</v>
      </c>
      <c r="CR374" s="6">
        <v>27.7</v>
      </c>
      <c r="CS374" s="6">
        <f t="shared" si="50"/>
        <v>27.6</v>
      </c>
      <c r="CT374" s="6">
        <v>1.1749099999999999</v>
      </c>
      <c r="CW374" s="31">
        <f t="shared" si="51"/>
        <v>43364</v>
      </c>
      <c r="CX374" s="6">
        <f t="shared" si="46"/>
        <v>27.5</v>
      </c>
      <c r="CY374" s="6">
        <f t="shared" si="47"/>
        <v>27.7</v>
      </c>
      <c r="CZ374" s="6">
        <f t="shared" si="48"/>
        <v>27.6</v>
      </c>
      <c r="DA374" s="6">
        <f t="shared" si="49"/>
        <v>1.1749099999999999</v>
      </c>
    </row>
    <row r="375" spans="77:105" x14ac:dyDescent="0.15">
      <c r="BY375" s="31">
        <v>43684</v>
      </c>
      <c r="CP375" s="31">
        <v>43363</v>
      </c>
      <c r="CQ375" s="6">
        <v>27.22</v>
      </c>
      <c r="CR375" s="6">
        <v>27.42</v>
      </c>
      <c r="CS375" s="6">
        <f t="shared" si="50"/>
        <v>27.32</v>
      </c>
      <c r="CT375" s="6">
        <v>1.1776800000000001</v>
      </c>
      <c r="CW375" s="31">
        <f t="shared" si="51"/>
        <v>43363</v>
      </c>
      <c r="CX375" s="6">
        <f t="shared" si="46"/>
        <v>27.22</v>
      </c>
      <c r="CY375" s="6">
        <f t="shared" si="47"/>
        <v>27.42</v>
      </c>
      <c r="CZ375" s="6">
        <f t="shared" si="48"/>
        <v>27.32</v>
      </c>
      <c r="DA375" s="6">
        <f t="shared" si="49"/>
        <v>1.1776800000000001</v>
      </c>
    </row>
    <row r="376" spans="77:105" x14ac:dyDescent="0.15">
      <c r="BY376" s="31">
        <v>43683</v>
      </c>
      <c r="CP376" s="31">
        <v>43362</v>
      </c>
      <c r="CQ376" s="6">
        <v>28.03</v>
      </c>
      <c r="CR376" s="6">
        <v>28.23</v>
      </c>
      <c r="CS376" s="6">
        <f t="shared" si="50"/>
        <v>28.130000000000003</v>
      </c>
      <c r="CT376" s="6">
        <v>1.1672400000000001</v>
      </c>
      <c r="CW376" s="31">
        <f t="shared" si="51"/>
        <v>43362</v>
      </c>
      <c r="CX376" s="6">
        <f t="shared" si="46"/>
        <v>28.03</v>
      </c>
      <c r="CY376" s="6">
        <f t="shared" si="47"/>
        <v>28.23</v>
      </c>
      <c r="CZ376" s="6">
        <f t="shared" si="48"/>
        <v>28.130000000000003</v>
      </c>
      <c r="DA376" s="6">
        <f t="shared" si="49"/>
        <v>1.1672400000000001</v>
      </c>
    </row>
    <row r="377" spans="77:105" x14ac:dyDescent="0.15">
      <c r="BY377" s="31">
        <v>43682</v>
      </c>
      <c r="CP377" s="31">
        <v>43361</v>
      </c>
      <c r="CQ377" s="6">
        <v>28.89</v>
      </c>
      <c r="CR377" s="6">
        <v>29.09</v>
      </c>
      <c r="CS377" s="6">
        <f t="shared" si="50"/>
        <v>28.990000000000002</v>
      </c>
      <c r="CT377" s="6">
        <v>1.16666</v>
      </c>
      <c r="CW377" s="31">
        <f t="shared" si="51"/>
        <v>43361</v>
      </c>
      <c r="CX377" s="6">
        <f t="shared" si="46"/>
        <v>28.89</v>
      </c>
      <c r="CY377" s="6">
        <f t="shared" si="47"/>
        <v>29.09</v>
      </c>
      <c r="CZ377" s="6">
        <f t="shared" si="48"/>
        <v>28.990000000000002</v>
      </c>
      <c r="DA377" s="6">
        <f t="shared" si="49"/>
        <v>1.16666</v>
      </c>
    </row>
    <row r="378" spans="77:105" x14ac:dyDescent="0.15">
      <c r="BY378" s="31">
        <v>43679</v>
      </c>
      <c r="CP378" s="31"/>
    </row>
    <row r="379" spans="77:105" x14ac:dyDescent="0.15">
      <c r="BY379" s="31">
        <v>43678</v>
      </c>
      <c r="CP379" s="31"/>
    </row>
    <row r="380" spans="77:105" x14ac:dyDescent="0.15">
      <c r="BY380" s="31">
        <v>43677</v>
      </c>
      <c r="CP380" s="31"/>
    </row>
    <row r="381" spans="77:105" x14ac:dyDescent="0.15">
      <c r="BY381" s="31">
        <v>43676</v>
      </c>
      <c r="CP381" s="31"/>
    </row>
    <row r="382" spans="77:105" x14ac:dyDescent="0.15">
      <c r="BY382" s="31">
        <v>43675</v>
      </c>
      <c r="CP382" s="31"/>
    </row>
    <row r="383" spans="77:105" x14ac:dyDescent="0.15">
      <c r="BY383" s="31">
        <v>43672</v>
      </c>
      <c r="CP383" s="31"/>
    </row>
    <row r="384" spans="77:105" x14ac:dyDescent="0.15">
      <c r="BY384" s="31">
        <v>43671</v>
      </c>
      <c r="CP384" s="31"/>
    </row>
    <row r="385" spans="77:94" x14ac:dyDescent="0.15">
      <c r="BY385" s="31">
        <v>43670</v>
      </c>
      <c r="CP385" s="31"/>
    </row>
    <row r="386" spans="77:94" x14ac:dyDescent="0.15">
      <c r="BY386" s="31">
        <v>43669</v>
      </c>
      <c r="CP386" s="31"/>
    </row>
    <row r="387" spans="77:94" x14ac:dyDescent="0.15">
      <c r="BY387" s="31">
        <v>43668</v>
      </c>
      <c r="CP387" s="31"/>
    </row>
    <row r="388" spans="77:94" x14ac:dyDescent="0.15">
      <c r="BY388" s="31">
        <v>43665</v>
      </c>
      <c r="CP388" s="31"/>
    </row>
    <row r="389" spans="77:94" x14ac:dyDescent="0.15">
      <c r="BY389" s="31">
        <v>43664</v>
      </c>
      <c r="CP389" s="31"/>
    </row>
    <row r="390" spans="77:94" x14ac:dyDescent="0.15">
      <c r="BY390" s="31">
        <v>43663</v>
      </c>
      <c r="CP390" s="31"/>
    </row>
    <row r="391" spans="77:94" x14ac:dyDescent="0.15">
      <c r="BY391" s="31">
        <v>43662</v>
      </c>
      <c r="CP391" s="31"/>
    </row>
    <row r="392" spans="77:94" x14ac:dyDescent="0.15">
      <c r="BY392" s="31">
        <v>43661</v>
      </c>
      <c r="CP392" s="31"/>
    </row>
    <row r="393" spans="77:94" x14ac:dyDescent="0.15">
      <c r="BY393" s="31">
        <v>43658</v>
      </c>
      <c r="CP393" s="31"/>
    </row>
    <row r="394" spans="77:94" x14ac:dyDescent="0.15">
      <c r="BY394" s="31">
        <v>43657</v>
      </c>
      <c r="CP394" s="31"/>
    </row>
    <row r="395" spans="77:94" x14ac:dyDescent="0.15">
      <c r="BY395" s="31">
        <v>43656</v>
      </c>
      <c r="CP395" s="31"/>
    </row>
    <row r="396" spans="77:94" x14ac:dyDescent="0.15">
      <c r="BY396" s="31">
        <v>43655</v>
      </c>
      <c r="CP396" s="31"/>
    </row>
    <row r="397" spans="77:94" x14ac:dyDescent="0.15">
      <c r="BY397" s="31">
        <v>43654</v>
      </c>
      <c r="CP397" s="31"/>
    </row>
    <row r="398" spans="77:94" x14ac:dyDescent="0.15">
      <c r="BY398" s="31">
        <v>43651</v>
      </c>
      <c r="CP398" s="31"/>
    </row>
    <row r="399" spans="77:94" x14ac:dyDescent="0.15">
      <c r="BY399" s="31">
        <v>43649</v>
      </c>
      <c r="CP399" s="31"/>
    </row>
    <row r="400" spans="77:94" x14ac:dyDescent="0.15">
      <c r="BY400" s="31">
        <v>43648</v>
      </c>
      <c r="CP400" s="31"/>
    </row>
    <row r="401" spans="77:94" x14ac:dyDescent="0.15">
      <c r="BY401" s="31">
        <v>43647</v>
      </c>
      <c r="CP401" s="31"/>
    </row>
    <row r="402" spans="77:94" x14ac:dyDescent="0.15">
      <c r="BY402" s="31">
        <v>43644</v>
      </c>
      <c r="CP402" s="31"/>
    </row>
    <row r="403" spans="77:94" x14ac:dyDescent="0.15">
      <c r="BY403" s="31">
        <v>43643</v>
      </c>
      <c r="CP403" s="31"/>
    </row>
    <row r="404" spans="77:94" x14ac:dyDescent="0.15">
      <c r="BY404" s="31">
        <v>43642</v>
      </c>
      <c r="CP404" s="31"/>
    </row>
    <row r="405" spans="77:94" x14ac:dyDescent="0.15">
      <c r="BY405" s="31">
        <v>43641</v>
      </c>
      <c r="CP405" s="31"/>
    </row>
    <row r="406" spans="77:94" x14ac:dyDescent="0.15">
      <c r="BY406" s="31">
        <v>43640</v>
      </c>
      <c r="CP406" s="31"/>
    </row>
    <row r="407" spans="77:94" x14ac:dyDescent="0.15">
      <c r="BY407" s="31">
        <v>43637</v>
      </c>
      <c r="CP407" s="31"/>
    </row>
    <row r="408" spans="77:94" x14ac:dyDescent="0.15">
      <c r="BY408" s="31">
        <v>43636</v>
      </c>
      <c r="CP408" s="31"/>
    </row>
    <row r="409" spans="77:94" x14ac:dyDescent="0.15">
      <c r="BY409" s="31">
        <v>43635</v>
      </c>
      <c r="CP409" s="31"/>
    </row>
    <row r="410" spans="77:94" x14ac:dyDescent="0.15">
      <c r="BY410" s="31">
        <v>43634</v>
      </c>
      <c r="CP410" s="31"/>
    </row>
    <row r="411" spans="77:94" x14ac:dyDescent="0.15">
      <c r="BY411" s="31">
        <v>43633</v>
      </c>
      <c r="CP411" s="31"/>
    </row>
    <row r="412" spans="77:94" x14ac:dyDescent="0.15">
      <c r="BY412" s="31">
        <v>43630</v>
      </c>
      <c r="CP412" s="31"/>
    </row>
    <row r="413" spans="77:94" x14ac:dyDescent="0.15">
      <c r="BY413" s="31">
        <v>43629</v>
      </c>
      <c r="CP413" s="31"/>
    </row>
    <row r="414" spans="77:94" x14ac:dyDescent="0.15">
      <c r="BY414" s="31">
        <v>43628</v>
      </c>
      <c r="CP414" s="31"/>
    </row>
    <row r="415" spans="77:94" x14ac:dyDescent="0.15">
      <c r="BY415" s="31">
        <v>43627</v>
      </c>
      <c r="CP415" s="31"/>
    </row>
    <row r="416" spans="77:94" x14ac:dyDescent="0.15">
      <c r="BY416" s="31">
        <v>43626</v>
      </c>
      <c r="CP416" s="31"/>
    </row>
    <row r="417" spans="77:94" x14ac:dyDescent="0.15">
      <c r="BY417" s="31"/>
      <c r="CP417" s="31"/>
    </row>
    <row r="418" spans="77:94" x14ac:dyDescent="0.15">
      <c r="BY418" s="31"/>
      <c r="CP418" s="31"/>
    </row>
    <row r="419" spans="77:94" x14ac:dyDescent="0.15">
      <c r="BY419" s="31"/>
      <c r="CP419" s="31"/>
    </row>
    <row r="420" spans="77:94" x14ac:dyDescent="0.15">
      <c r="BY420" s="31"/>
      <c r="CP420" s="31"/>
    </row>
    <row r="421" spans="77:94" x14ac:dyDescent="0.15">
      <c r="BY421" s="31"/>
      <c r="CP421" s="31"/>
    </row>
    <row r="422" spans="77:94" x14ac:dyDescent="0.15">
      <c r="BY422" s="31"/>
      <c r="CP422" s="31"/>
    </row>
    <row r="423" spans="77:94" x14ac:dyDescent="0.15">
      <c r="BY423" s="31"/>
      <c r="CP423" s="31"/>
    </row>
    <row r="424" spans="77:94" x14ac:dyDescent="0.15">
      <c r="BY424" s="31"/>
      <c r="CP424" s="31"/>
    </row>
    <row r="425" spans="77:94" x14ac:dyDescent="0.15">
      <c r="BY425" s="31"/>
      <c r="CP425" s="31"/>
    </row>
    <row r="426" spans="77:94" x14ac:dyDescent="0.15">
      <c r="BY426" s="31"/>
      <c r="CP426" s="31"/>
    </row>
    <row r="427" spans="77:94" x14ac:dyDescent="0.15">
      <c r="BY427" s="31"/>
      <c r="CP427" s="31"/>
    </row>
    <row r="428" spans="77:94" x14ac:dyDescent="0.15">
      <c r="BY428" s="31"/>
      <c r="CP428" s="31"/>
    </row>
    <row r="429" spans="77:94" x14ac:dyDescent="0.15">
      <c r="BY429" s="31"/>
      <c r="CP429" s="31"/>
    </row>
    <row r="430" spans="77:94" x14ac:dyDescent="0.15">
      <c r="BY430" s="31"/>
      <c r="CP430" s="31"/>
    </row>
    <row r="431" spans="77:94" x14ac:dyDescent="0.15">
      <c r="BY431" s="31"/>
      <c r="CP431" s="31"/>
    </row>
    <row r="432" spans="77:94" x14ac:dyDescent="0.15">
      <c r="BY432" s="31"/>
      <c r="CP432" s="31"/>
    </row>
    <row r="433" spans="77:94" x14ac:dyDescent="0.15">
      <c r="BY433" s="31"/>
      <c r="CP433" s="31"/>
    </row>
    <row r="434" spans="77:94" x14ac:dyDescent="0.15">
      <c r="BY434" s="31"/>
      <c r="CP434" s="31"/>
    </row>
    <row r="435" spans="77:94" x14ac:dyDescent="0.15">
      <c r="BY435" s="31"/>
      <c r="CP435" s="31"/>
    </row>
    <row r="436" spans="77:94" x14ac:dyDescent="0.15">
      <c r="BY436" s="31"/>
      <c r="CP436" s="31"/>
    </row>
    <row r="437" spans="77:94" x14ac:dyDescent="0.15">
      <c r="BY437" s="31"/>
      <c r="CP437" s="31"/>
    </row>
    <row r="438" spans="77:94" x14ac:dyDescent="0.15">
      <c r="BY438" s="31"/>
      <c r="CP438" s="31"/>
    </row>
    <row r="439" spans="77:94" x14ac:dyDescent="0.15">
      <c r="BY439" s="31"/>
      <c r="CP439" s="31"/>
    </row>
    <row r="440" spans="77:94" x14ac:dyDescent="0.15">
      <c r="BY440" s="31"/>
      <c r="CP440" s="31"/>
    </row>
    <row r="441" spans="77:94" x14ac:dyDescent="0.15">
      <c r="BY441" s="31"/>
      <c r="CP441" s="31"/>
    </row>
    <row r="442" spans="77:94" x14ac:dyDescent="0.15">
      <c r="BY442" s="31"/>
      <c r="CP442" s="31"/>
    </row>
    <row r="443" spans="77:94" x14ac:dyDescent="0.15">
      <c r="BY443" s="31"/>
      <c r="CP443" s="31"/>
    </row>
    <row r="444" spans="77:94" x14ac:dyDescent="0.15">
      <c r="BY444" s="31"/>
      <c r="CP444" s="31"/>
    </row>
    <row r="445" spans="77:94" x14ac:dyDescent="0.15">
      <c r="BY445" s="31"/>
      <c r="CP445" s="31"/>
    </row>
    <row r="446" spans="77:94" x14ac:dyDescent="0.15">
      <c r="BY446" s="31"/>
      <c r="CP446" s="31"/>
    </row>
    <row r="447" spans="77:94" x14ac:dyDescent="0.15">
      <c r="BY447" s="31"/>
      <c r="CP447" s="31"/>
    </row>
    <row r="448" spans="77:94" x14ac:dyDescent="0.15">
      <c r="BY448" s="31"/>
      <c r="CP448" s="31"/>
    </row>
    <row r="449" spans="77:94" x14ac:dyDescent="0.15">
      <c r="BY449" s="31"/>
      <c r="CP449" s="31"/>
    </row>
    <row r="450" spans="77:94" x14ac:dyDescent="0.15">
      <c r="BY450" s="31"/>
      <c r="CP450" s="31"/>
    </row>
    <row r="451" spans="77:94" x14ac:dyDescent="0.15">
      <c r="BY451" s="31"/>
      <c r="CP451" s="31"/>
    </row>
    <row r="452" spans="77:94" x14ac:dyDescent="0.15">
      <c r="BY452" s="31"/>
      <c r="CP452" s="31"/>
    </row>
    <row r="453" spans="77:94" x14ac:dyDescent="0.15">
      <c r="BY453" s="31"/>
      <c r="CP453" s="31"/>
    </row>
    <row r="454" spans="77:94" x14ac:dyDescent="0.15">
      <c r="BY454" s="31"/>
      <c r="CP454" s="31"/>
    </row>
    <row r="455" spans="77:94" x14ac:dyDescent="0.15">
      <c r="BY455" s="31"/>
      <c r="CP455" s="31"/>
    </row>
    <row r="456" spans="77:94" x14ac:dyDescent="0.15">
      <c r="BY456" s="31"/>
      <c r="CP456" s="31"/>
    </row>
    <row r="457" spans="77:94" x14ac:dyDescent="0.15">
      <c r="BY457" s="31"/>
      <c r="CP457" s="31"/>
    </row>
    <row r="458" spans="77:94" x14ac:dyDescent="0.15">
      <c r="BY458" s="31"/>
      <c r="CP458" s="31"/>
    </row>
    <row r="459" spans="77:94" x14ac:dyDescent="0.15">
      <c r="BY459" s="31"/>
      <c r="CP459" s="31"/>
    </row>
    <row r="460" spans="77:94" x14ac:dyDescent="0.15">
      <c r="BY460" s="31"/>
      <c r="CP460" s="31"/>
    </row>
    <row r="461" spans="77:94" x14ac:dyDescent="0.15">
      <c r="BY461" s="31"/>
      <c r="CP461" s="31"/>
    </row>
    <row r="462" spans="77:94" x14ac:dyDescent="0.15">
      <c r="BY462" s="31"/>
      <c r="CP462" s="31"/>
    </row>
    <row r="463" spans="77:94" x14ac:dyDescent="0.15">
      <c r="BY463" s="31"/>
      <c r="CP463" s="31"/>
    </row>
    <row r="464" spans="77:94" x14ac:dyDescent="0.15">
      <c r="BY464" s="31"/>
      <c r="CP464" s="31"/>
    </row>
    <row r="465" spans="77:94" x14ac:dyDescent="0.15">
      <c r="BY465" s="31"/>
      <c r="CP465" s="31"/>
    </row>
    <row r="466" spans="77:94" x14ac:dyDescent="0.15">
      <c r="BY466" s="31"/>
      <c r="CP466" s="31"/>
    </row>
    <row r="467" spans="77:94" x14ac:dyDescent="0.15">
      <c r="BY467" s="31"/>
      <c r="CP467" s="31"/>
    </row>
    <row r="468" spans="77:94" x14ac:dyDescent="0.15">
      <c r="BY468" s="31"/>
      <c r="CP468" s="31"/>
    </row>
    <row r="469" spans="77:94" x14ac:dyDescent="0.15">
      <c r="BY469" s="31"/>
      <c r="CP469" s="31"/>
    </row>
    <row r="470" spans="77:94" x14ac:dyDescent="0.15">
      <c r="BY470" s="31"/>
      <c r="CP470" s="31"/>
    </row>
    <row r="471" spans="77:94" x14ac:dyDescent="0.15">
      <c r="BY471" s="31"/>
      <c r="CP471" s="31"/>
    </row>
    <row r="472" spans="77:94" x14ac:dyDescent="0.15">
      <c r="BY472" s="31"/>
      <c r="CP472" s="31"/>
    </row>
    <row r="473" spans="77:94" x14ac:dyDescent="0.15">
      <c r="BY473" s="31"/>
      <c r="CP473" s="31"/>
    </row>
    <row r="474" spans="77:94" x14ac:dyDescent="0.15">
      <c r="BY474" s="31"/>
      <c r="CP474" s="31"/>
    </row>
    <row r="475" spans="77:94" x14ac:dyDescent="0.15">
      <c r="BY475" s="31"/>
      <c r="CP475" s="31"/>
    </row>
    <row r="476" spans="77:94" x14ac:dyDescent="0.15">
      <c r="BY476" s="31"/>
      <c r="CP476" s="31"/>
    </row>
    <row r="477" spans="77:94" x14ac:dyDescent="0.15">
      <c r="BY477" s="31"/>
      <c r="CP477" s="31"/>
    </row>
    <row r="478" spans="77:94" x14ac:dyDescent="0.15">
      <c r="BY478" s="31"/>
      <c r="CP478" s="31"/>
    </row>
    <row r="479" spans="77:94" x14ac:dyDescent="0.15">
      <c r="BY479" s="31"/>
      <c r="CP479" s="31"/>
    </row>
    <row r="480" spans="77:94" x14ac:dyDescent="0.15">
      <c r="BY480" s="31"/>
      <c r="CP480" s="31"/>
    </row>
    <row r="481" spans="77:94" x14ac:dyDescent="0.15">
      <c r="BY481" s="31"/>
      <c r="CP481" s="31"/>
    </row>
    <row r="482" spans="77:94" x14ac:dyDescent="0.15">
      <c r="BY482" s="31"/>
      <c r="CP482" s="31"/>
    </row>
    <row r="483" spans="77:94" x14ac:dyDescent="0.15">
      <c r="BY483" s="31"/>
      <c r="CP483" s="31"/>
    </row>
    <row r="484" spans="77:94" x14ac:dyDescent="0.15">
      <c r="BY484" s="31"/>
      <c r="CP484" s="31"/>
    </row>
    <row r="485" spans="77:94" x14ac:dyDescent="0.15">
      <c r="BY485" s="31"/>
      <c r="CP485" s="31"/>
    </row>
    <row r="486" spans="77:94" x14ac:dyDescent="0.15">
      <c r="BY486" s="31"/>
      <c r="CP486" s="31"/>
    </row>
    <row r="487" spans="77:94" x14ac:dyDescent="0.15">
      <c r="BY487" s="31"/>
      <c r="CP487" s="31"/>
    </row>
    <row r="488" spans="77:94" x14ac:dyDescent="0.15">
      <c r="BY488" s="31"/>
      <c r="CP488" s="31"/>
    </row>
    <row r="489" spans="77:94" x14ac:dyDescent="0.15">
      <c r="BY489" s="31"/>
      <c r="CP489" s="31"/>
    </row>
    <row r="490" spans="77:94" x14ac:dyDescent="0.15">
      <c r="BY490" s="31"/>
      <c r="CP490" s="31"/>
    </row>
    <row r="491" spans="77:94" x14ac:dyDescent="0.15">
      <c r="BY491" s="31"/>
      <c r="CP491" s="31"/>
    </row>
    <row r="492" spans="77:94" x14ac:dyDescent="0.15">
      <c r="BY492" s="31"/>
      <c r="CP492" s="31"/>
    </row>
    <row r="493" spans="77:94" x14ac:dyDescent="0.15">
      <c r="BY493" s="31"/>
      <c r="CP493" s="31"/>
    </row>
    <row r="494" spans="77:94" x14ac:dyDescent="0.15">
      <c r="BY494" s="31"/>
      <c r="CP494" s="31"/>
    </row>
    <row r="495" spans="77:94" x14ac:dyDescent="0.15">
      <c r="BY495" s="31"/>
      <c r="CP495" s="31"/>
    </row>
    <row r="496" spans="77:94" x14ac:dyDescent="0.15">
      <c r="BY496" s="31"/>
      <c r="CP496" s="31"/>
    </row>
    <row r="497" spans="77:94" x14ac:dyDescent="0.15">
      <c r="BY497" s="31"/>
      <c r="CP497" s="31"/>
    </row>
    <row r="498" spans="77:94" x14ac:dyDescent="0.15">
      <c r="BY498" s="31"/>
      <c r="CP498" s="31"/>
    </row>
    <row r="499" spans="77:94" x14ac:dyDescent="0.15">
      <c r="BY499" s="31"/>
      <c r="CP499" s="31"/>
    </row>
    <row r="500" spans="77:94" x14ac:dyDescent="0.15">
      <c r="BY500" s="31"/>
      <c r="CP500" s="31"/>
    </row>
    <row r="501" spans="77:94" x14ac:dyDescent="0.15">
      <c r="BY501" s="31"/>
      <c r="CP501" s="31"/>
    </row>
    <row r="502" spans="77:94" x14ac:dyDescent="0.15">
      <c r="BY502" s="31"/>
      <c r="CP502" s="31"/>
    </row>
    <row r="503" spans="77:94" x14ac:dyDescent="0.15">
      <c r="BY503" s="31"/>
      <c r="CP503" s="31"/>
    </row>
    <row r="504" spans="77:94" x14ac:dyDescent="0.15">
      <c r="BY504" s="31"/>
      <c r="CP504" s="31"/>
    </row>
    <row r="505" spans="77:94" x14ac:dyDescent="0.15">
      <c r="CP505" s="31"/>
    </row>
    <row r="506" spans="77:94" x14ac:dyDescent="0.15">
      <c r="CP506" s="31"/>
    </row>
    <row r="507" spans="77:94" x14ac:dyDescent="0.15">
      <c r="CP507" s="31"/>
    </row>
    <row r="508" spans="77:94" x14ac:dyDescent="0.15">
      <c r="CP508" s="31"/>
    </row>
    <row r="509" spans="77:94" x14ac:dyDescent="0.15">
      <c r="CP509" s="31"/>
    </row>
    <row r="510" spans="77:94" x14ac:dyDescent="0.15">
      <c r="CP510" s="31"/>
    </row>
    <row r="511" spans="77:94" x14ac:dyDescent="0.15">
      <c r="CP511" s="31"/>
    </row>
    <row r="512" spans="77:94" x14ac:dyDescent="0.15">
      <c r="CP512" s="31"/>
    </row>
    <row r="513" spans="94:94" x14ac:dyDescent="0.15">
      <c r="CP513" s="31"/>
    </row>
    <row r="514" spans="94:94" x14ac:dyDescent="0.15">
      <c r="CP514" s="31"/>
    </row>
    <row r="515" spans="94:94" x14ac:dyDescent="0.15">
      <c r="CP515" s="31"/>
    </row>
    <row r="516" spans="94:94" x14ac:dyDescent="0.15">
      <c r="CP516" s="31"/>
    </row>
    <row r="517" spans="94:94" x14ac:dyDescent="0.15">
      <c r="CP517" s="31"/>
    </row>
    <row r="518" spans="94:94" x14ac:dyDescent="0.15">
      <c r="CP518" s="31"/>
    </row>
    <row r="519" spans="94:94" x14ac:dyDescent="0.15">
      <c r="CP519" s="31"/>
    </row>
    <row r="520" spans="94:94" x14ac:dyDescent="0.15">
      <c r="CP520" s="31"/>
    </row>
    <row r="521" spans="94:94" x14ac:dyDescent="0.15">
      <c r="CP521" s="31"/>
    </row>
    <row r="522" spans="94:94" x14ac:dyDescent="0.15">
      <c r="CP522" s="31"/>
    </row>
    <row r="523" spans="94:94" x14ac:dyDescent="0.15">
      <c r="CP523" s="31"/>
    </row>
    <row r="524" spans="94:94" x14ac:dyDescent="0.15">
      <c r="CP524" s="31"/>
    </row>
    <row r="525" spans="94:94" x14ac:dyDescent="0.15">
      <c r="CP525" s="31"/>
    </row>
    <row r="526" spans="94:94" x14ac:dyDescent="0.15">
      <c r="CP526" s="31"/>
    </row>
    <row r="527" spans="94:94" x14ac:dyDescent="0.15">
      <c r="CP527" s="31"/>
    </row>
    <row r="528" spans="94:94" x14ac:dyDescent="0.15">
      <c r="CP528" s="31"/>
    </row>
    <row r="529" spans="94:94" x14ac:dyDescent="0.15">
      <c r="CP529" s="31"/>
    </row>
    <row r="530" spans="94:94" x14ac:dyDescent="0.15">
      <c r="CP530" s="31"/>
    </row>
    <row r="531" spans="94:94" x14ac:dyDescent="0.15">
      <c r="CP531" s="31"/>
    </row>
    <row r="532" spans="94:94" x14ac:dyDescent="0.15">
      <c r="CP532" s="31"/>
    </row>
    <row r="533" spans="94:94" x14ac:dyDescent="0.15">
      <c r="CP533" s="31"/>
    </row>
    <row r="534" spans="94:94" x14ac:dyDescent="0.15">
      <c r="CP534" s="31"/>
    </row>
    <row r="535" spans="94:94" x14ac:dyDescent="0.15">
      <c r="CP535" s="31"/>
    </row>
    <row r="536" spans="94:94" x14ac:dyDescent="0.15">
      <c r="CP536" s="31"/>
    </row>
    <row r="537" spans="94:94" x14ac:dyDescent="0.15">
      <c r="CP537" s="31"/>
    </row>
    <row r="538" spans="94:94" x14ac:dyDescent="0.15">
      <c r="CP538" s="31"/>
    </row>
    <row r="539" spans="94:94" x14ac:dyDescent="0.15">
      <c r="CP539" s="31"/>
    </row>
    <row r="540" spans="94:94" x14ac:dyDescent="0.15">
      <c r="CP540" s="31"/>
    </row>
    <row r="541" spans="94:94" x14ac:dyDescent="0.15">
      <c r="CP541" s="31"/>
    </row>
    <row r="542" spans="94:94" x14ac:dyDescent="0.15">
      <c r="CP542" s="31"/>
    </row>
    <row r="543" spans="94:94" x14ac:dyDescent="0.15">
      <c r="CP543" s="31"/>
    </row>
    <row r="544" spans="94:94" x14ac:dyDescent="0.15">
      <c r="CP544" s="31"/>
    </row>
    <row r="545" spans="94:94" x14ac:dyDescent="0.15">
      <c r="CP545" s="31"/>
    </row>
    <row r="546" spans="94:94" x14ac:dyDescent="0.15">
      <c r="CP546" s="31"/>
    </row>
    <row r="547" spans="94:94" x14ac:dyDescent="0.15">
      <c r="CP547" s="31"/>
    </row>
    <row r="548" spans="94:94" x14ac:dyDescent="0.15">
      <c r="CP548" s="31"/>
    </row>
    <row r="549" spans="94:94" x14ac:dyDescent="0.15">
      <c r="CP549" s="31"/>
    </row>
    <row r="550" spans="94:94" x14ac:dyDescent="0.15">
      <c r="CP550" s="31"/>
    </row>
    <row r="551" spans="94:94" x14ac:dyDescent="0.15">
      <c r="CP551" s="31"/>
    </row>
    <row r="552" spans="94:94" x14ac:dyDescent="0.15">
      <c r="CP552" s="31"/>
    </row>
    <row r="553" spans="94:94" x14ac:dyDescent="0.15">
      <c r="CP553" s="31"/>
    </row>
    <row r="554" spans="94:94" x14ac:dyDescent="0.15">
      <c r="CP554" s="31"/>
    </row>
    <row r="555" spans="94:94" x14ac:dyDescent="0.15">
      <c r="CP555" s="31"/>
    </row>
    <row r="556" spans="94:94" x14ac:dyDescent="0.15">
      <c r="CP556" s="31"/>
    </row>
    <row r="557" spans="94:94" x14ac:dyDescent="0.15">
      <c r="CP557" s="31"/>
    </row>
    <row r="558" spans="94:94" x14ac:dyDescent="0.15">
      <c r="CP558" s="31"/>
    </row>
    <row r="559" spans="94:94" x14ac:dyDescent="0.15">
      <c r="CP559" s="31"/>
    </row>
    <row r="560" spans="94:94" x14ac:dyDescent="0.15">
      <c r="CP560" s="31"/>
    </row>
    <row r="561" spans="94:94" x14ac:dyDescent="0.15">
      <c r="CP561" s="31"/>
    </row>
    <row r="562" spans="94:94" x14ac:dyDescent="0.15">
      <c r="CP562" s="31"/>
    </row>
    <row r="563" spans="94:94" x14ac:dyDescent="0.15">
      <c r="CP563" s="31"/>
    </row>
    <row r="564" spans="94:94" x14ac:dyDescent="0.15">
      <c r="CP564" s="31"/>
    </row>
    <row r="565" spans="94:94" x14ac:dyDescent="0.15">
      <c r="CP565" s="31"/>
    </row>
    <row r="566" spans="94:94" x14ac:dyDescent="0.15">
      <c r="CP566" s="31"/>
    </row>
    <row r="567" spans="94:94" x14ac:dyDescent="0.15">
      <c r="CP567" s="31"/>
    </row>
    <row r="568" spans="94:94" x14ac:dyDescent="0.15">
      <c r="CP568" s="31"/>
    </row>
    <row r="569" spans="94:94" x14ac:dyDescent="0.15">
      <c r="CP569" s="31"/>
    </row>
    <row r="570" spans="94:94" x14ac:dyDescent="0.15">
      <c r="CP570" s="31"/>
    </row>
    <row r="571" spans="94:94" x14ac:dyDescent="0.15">
      <c r="CP571" s="31"/>
    </row>
    <row r="572" spans="94:94" x14ac:dyDescent="0.15">
      <c r="CP572" s="31"/>
    </row>
    <row r="573" spans="94:94" x14ac:dyDescent="0.15">
      <c r="CP573" s="31"/>
    </row>
    <row r="574" spans="94:94" x14ac:dyDescent="0.15">
      <c r="CP574" s="31"/>
    </row>
    <row r="575" spans="94:94" x14ac:dyDescent="0.15">
      <c r="CP575" s="31"/>
    </row>
    <row r="576" spans="94:94" x14ac:dyDescent="0.15">
      <c r="CP576" s="31"/>
    </row>
    <row r="577" spans="94:94" x14ac:dyDescent="0.15">
      <c r="CP577" s="31"/>
    </row>
    <row r="578" spans="94:94" x14ac:dyDescent="0.15">
      <c r="CP578" s="31"/>
    </row>
    <row r="579" spans="94:94" x14ac:dyDescent="0.15">
      <c r="CP579" s="31"/>
    </row>
    <row r="580" spans="94:94" x14ac:dyDescent="0.15">
      <c r="CP580" s="31"/>
    </row>
    <row r="581" spans="94:94" x14ac:dyDescent="0.15">
      <c r="CP581" s="31"/>
    </row>
    <row r="582" spans="94:94" x14ac:dyDescent="0.15">
      <c r="CP582" s="31"/>
    </row>
    <row r="583" spans="94:94" x14ac:dyDescent="0.15">
      <c r="CP583" s="31"/>
    </row>
    <row r="584" spans="94:94" x14ac:dyDescent="0.15">
      <c r="CP584" s="31"/>
    </row>
    <row r="585" spans="94:94" x14ac:dyDescent="0.15">
      <c r="CP585" s="31"/>
    </row>
    <row r="586" spans="94:94" x14ac:dyDescent="0.15">
      <c r="CP586" s="31"/>
    </row>
    <row r="587" spans="94:94" x14ac:dyDescent="0.15">
      <c r="CP587" s="31"/>
    </row>
    <row r="588" spans="94:94" x14ac:dyDescent="0.15">
      <c r="CP588" s="31"/>
    </row>
    <row r="589" spans="94:94" x14ac:dyDescent="0.15">
      <c r="CP589" s="31"/>
    </row>
    <row r="590" spans="94:94" x14ac:dyDescent="0.15">
      <c r="CP590" s="31"/>
    </row>
    <row r="591" spans="94:94" x14ac:dyDescent="0.15">
      <c r="CP591" s="31"/>
    </row>
    <row r="592" spans="94:94" x14ac:dyDescent="0.15">
      <c r="CP592" s="31"/>
    </row>
    <row r="593" spans="94:94" x14ac:dyDescent="0.15">
      <c r="CP593" s="31"/>
    </row>
    <row r="594" spans="94:94" x14ac:dyDescent="0.15">
      <c r="CP594" s="31"/>
    </row>
    <row r="595" spans="94:94" x14ac:dyDescent="0.15">
      <c r="CP595" s="31"/>
    </row>
    <row r="596" spans="94:94" x14ac:dyDescent="0.15">
      <c r="CP596" s="31"/>
    </row>
    <row r="597" spans="94:94" x14ac:dyDescent="0.15">
      <c r="CP597" s="31"/>
    </row>
    <row r="598" spans="94:94" x14ac:dyDescent="0.15">
      <c r="CP598" s="31"/>
    </row>
    <row r="599" spans="94:94" x14ac:dyDescent="0.15">
      <c r="CP599" s="31"/>
    </row>
    <row r="600" spans="94:94" x14ac:dyDescent="0.15">
      <c r="CP600" s="31"/>
    </row>
    <row r="601" spans="94:94" x14ac:dyDescent="0.15">
      <c r="CP601" s="31"/>
    </row>
    <row r="602" spans="94:94" x14ac:dyDescent="0.15">
      <c r="CP602" s="31"/>
    </row>
    <row r="603" spans="94:94" x14ac:dyDescent="0.15">
      <c r="CP603" s="31"/>
    </row>
    <row r="604" spans="94:94" x14ac:dyDescent="0.15">
      <c r="CP604" s="31"/>
    </row>
    <row r="605" spans="94:94" x14ac:dyDescent="0.15">
      <c r="CP605" s="31"/>
    </row>
    <row r="606" spans="94:94" x14ac:dyDescent="0.15">
      <c r="CP606" s="31"/>
    </row>
    <row r="607" spans="94:94" x14ac:dyDescent="0.15">
      <c r="CP607" s="31"/>
    </row>
    <row r="608" spans="94:94" x14ac:dyDescent="0.15">
      <c r="CP608" s="31"/>
    </row>
    <row r="609" spans="94:94" x14ac:dyDescent="0.15">
      <c r="CP609" s="31"/>
    </row>
    <row r="610" spans="94:94" x14ac:dyDescent="0.15">
      <c r="CP610" s="31"/>
    </row>
    <row r="611" spans="94:94" x14ac:dyDescent="0.15">
      <c r="CP611" s="31"/>
    </row>
    <row r="612" spans="94:94" x14ac:dyDescent="0.15">
      <c r="CP612" s="31"/>
    </row>
    <row r="613" spans="94:94" x14ac:dyDescent="0.15">
      <c r="CP613" s="31"/>
    </row>
    <row r="614" spans="94:94" x14ac:dyDescent="0.15">
      <c r="CP614" s="31"/>
    </row>
    <row r="615" spans="94:94" x14ac:dyDescent="0.15">
      <c r="CP615" s="31"/>
    </row>
    <row r="616" spans="94:94" x14ac:dyDescent="0.15">
      <c r="CP616" s="31"/>
    </row>
    <row r="617" spans="94:94" x14ac:dyDescent="0.15">
      <c r="CP617" s="31"/>
    </row>
    <row r="618" spans="94:94" x14ac:dyDescent="0.15">
      <c r="CP618" s="31"/>
    </row>
    <row r="619" spans="94:94" x14ac:dyDescent="0.15">
      <c r="CP619" s="31"/>
    </row>
    <row r="620" spans="94:94" x14ac:dyDescent="0.15">
      <c r="CP620" s="31"/>
    </row>
    <row r="621" spans="94:94" x14ac:dyDescent="0.15">
      <c r="CP621" s="31"/>
    </row>
    <row r="622" spans="94:94" x14ac:dyDescent="0.15">
      <c r="CP622" s="31"/>
    </row>
    <row r="623" spans="94:94" x14ac:dyDescent="0.15">
      <c r="CP623" s="31"/>
    </row>
    <row r="624" spans="94:94" x14ac:dyDescent="0.15">
      <c r="CP624" s="31"/>
    </row>
    <row r="625" spans="94:94" x14ac:dyDescent="0.15">
      <c r="CP625" s="31"/>
    </row>
    <row r="626" spans="94:94" x14ac:dyDescent="0.15">
      <c r="CP626" s="31"/>
    </row>
    <row r="627" spans="94:94" x14ac:dyDescent="0.15">
      <c r="CP627" s="31"/>
    </row>
    <row r="628" spans="94:94" x14ac:dyDescent="0.15">
      <c r="CP628" s="31"/>
    </row>
    <row r="629" spans="94:94" x14ac:dyDescent="0.15">
      <c r="CP629" s="31"/>
    </row>
    <row r="630" spans="94:94" x14ac:dyDescent="0.15">
      <c r="CP630" s="31"/>
    </row>
    <row r="631" spans="94:94" x14ac:dyDescent="0.15">
      <c r="CP631" s="31"/>
    </row>
    <row r="632" spans="94:94" x14ac:dyDescent="0.15">
      <c r="CP632" s="31"/>
    </row>
    <row r="633" spans="94:94" x14ac:dyDescent="0.15">
      <c r="CP633" s="31"/>
    </row>
    <row r="634" spans="94:94" x14ac:dyDescent="0.15">
      <c r="CP634" s="31"/>
    </row>
    <row r="635" spans="94:94" x14ac:dyDescent="0.15">
      <c r="CP635" s="31"/>
    </row>
    <row r="636" spans="94:94" x14ac:dyDescent="0.15">
      <c r="CP636" s="31"/>
    </row>
    <row r="637" spans="94:94" x14ac:dyDescent="0.15">
      <c r="CP637" s="31"/>
    </row>
    <row r="638" spans="94:94" x14ac:dyDescent="0.15">
      <c r="CP638" s="31"/>
    </row>
    <row r="639" spans="94:94" x14ac:dyDescent="0.15">
      <c r="CP639" s="31"/>
    </row>
    <row r="640" spans="94:94" x14ac:dyDescent="0.15">
      <c r="CP640" s="31"/>
    </row>
    <row r="641" spans="94:94" x14ac:dyDescent="0.15">
      <c r="CP641" s="31"/>
    </row>
    <row r="642" spans="94:94" x14ac:dyDescent="0.15">
      <c r="CP642" s="31"/>
    </row>
    <row r="643" spans="94:94" x14ac:dyDescent="0.15">
      <c r="CP643" s="31"/>
    </row>
    <row r="644" spans="94:94" x14ac:dyDescent="0.15">
      <c r="CP644" s="31"/>
    </row>
    <row r="645" spans="94:94" x14ac:dyDescent="0.15">
      <c r="CP645" s="31"/>
    </row>
    <row r="646" spans="94:94" x14ac:dyDescent="0.15">
      <c r="CP646" s="31"/>
    </row>
    <row r="647" spans="94:94" x14ac:dyDescent="0.15">
      <c r="CP647" s="31"/>
    </row>
    <row r="648" spans="94:94" x14ac:dyDescent="0.15">
      <c r="CP648" s="31"/>
    </row>
    <row r="649" spans="94:94" x14ac:dyDescent="0.15">
      <c r="CP649" s="31"/>
    </row>
    <row r="650" spans="94:94" x14ac:dyDescent="0.15">
      <c r="CP650" s="31"/>
    </row>
    <row r="651" spans="94:94" x14ac:dyDescent="0.15">
      <c r="CP651" s="31"/>
    </row>
    <row r="652" spans="94:94" x14ac:dyDescent="0.15">
      <c r="CP652" s="31"/>
    </row>
    <row r="653" spans="94:94" x14ac:dyDescent="0.15">
      <c r="CP653" s="31"/>
    </row>
    <row r="654" spans="94:94" x14ac:dyDescent="0.15">
      <c r="CP654" s="31"/>
    </row>
    <row r="655" spans="94:94" x14ac:dyDescent="0.15">
      <c r="CP655" s="31"/>
    </row>
    <row r="656" spans="94:94" x14ac:dyDescent="0.15">
      <c r="CP656" s="31"/>
    </row>
    <row r="657" spans="94:94" x14ac:dyDescent="0.15">
      <c r="CP657" s="31"/>
    </row>
    <row r="658" spans="94:94" x14ac:dyDescent="0.15">
      <c r="CP658" s="31"/>
    </row>
    <row r="659" spans="94:94" x14ac:dyDescent="0.15">
      <c r="CP659" s="31"/>
    </row>
    <row r="660" spans="94:94" x14ac:dyDescent="0.15">
      <c r="CP660" s="31"/>
    </row>
    <row r="661" spans="94:94" x14ac:dyDescent="0.15">
      <c r="CP661" s="31"/>
    </row>
    <row r="662" spans="94:94" x14ac:dyDescent="0.15">
      <c r="CP662" s="31"/>
    </row>
    <row r="663" spans="94:94" x14ac:dyDescent="0.15">
      <c r="CP663" s="31"/>
    </row>
    <row r="664" spans="94:94" x14ac:dyDescent="0.15">
      <c r="CP664" s="31"/>
    </row>
    <row r="665" spans="94:94" x14ac:dyDescent="0.15">
      <c r="CP665" s="31"/>
    </row>
    <row r="666" spans="94:94" x14ac:dyDescent="0.15">
      <c r="CP666" s="31"/>
    </row>
    <row r="667" spans="94:94" x14ac:dyDescent="0.15">
      <c r="CP667" s="31"/>
    </row>
    <row r="668" spans="94:94" x14ac:dyDescent="0.15">
      <c r="CP668" s="31"/>
    </row>
    <row r="669" spans="94:94" x14ac:dyDescent="0.15">
      <c r="CP669" s="31"/>
    </row>
    <row r="670" spans="94:94" x14ac:dyDescent="0.15">
      <c r="CP670" s="31"/>
    </row>
    <row r="671" spans="94:94" x14ac:dyDescent="0.15">
      <c r="CP671" s="31"/>
    </row>
    <row r="672" spans="94:94" x14ac:dyDescent="0.15">
      <c r="CP672" s="31"/>
    </row>
    <row r="673" spans="94:94" x14ac:dyDescent="0.15">
      <c r="CP673" s="31"/>
    </row>
    <row r="674" spans="94:94" x14ac:dyDescent="0.15">
      <c r="CP674" s="31"/>
    </row>
    <row r="675" spans="94:94" x14ac:dyDescent="0.15">
      <c r="CP675" s="31"/>
    </row>
    <row r="676" spans="94:94" x14ac:dyDescent="0.15">
      <c r="CP676" s="31"/>
    </row>
    <row r="677" spans="94:94" x14ac:dyDescent="0.15">
      <c r="CP677" s="31"/>
    </row>
    <row r="678" spans="94:94" x14ac:dyDescent="0.15">
      <c r="CP678" s="31"/>
    </row>
    <row r="679" spans="94:94" x14ac:dyDescent="0.15">
      <c r="CP679" s="31"/>
    </row>
    <row r="680" spans="94:94" x14ac:dyDescent="0.15">
      <c r="CP680" s="31"/>
    </row>
    <row r="681" spans="94:94" x14ac:dyDescent="0.15">
      <c r="CP681" s="31"/>
    </row>
    <row r="682" spans="94:94" x14ac:dyDescent="0.15">
      <c r="CP682" s="31"/>
    </row>
    <row r="683" spans="94:94" x14ac:dyDescent="0.15">
      <c r="CP683" s="31"/>
    </row>
    <row r="684" spans="94:94" x14ac:dyDescent="0.15">
      <c r="CP684" s="31"/>
    </row>
    <row r="685" spans="94:94" x14ac:dyDescent="0.15">
      <c r="CP685" s="31"/>
    </row>
    <row r="686" spans="94:94" x14ac:dyDescent="0.15">
      <c r="CP686" s="31"/>
    </row>
    <row r="687" spans="94:94" x14ac:dyDescent="0.15">
      <c r="CP687" s="31"/>
    </row>
    <row r="688" spans="94:94" x14ac:dyDescent="0.15">
      <c r="CP688" s="31"/>
    </row>
    <row r="689" spans="94:94" x14ac:dyDescent="0.15">
      <c r="CP689" s="31"/>
    </row>
    <row r="690" spans="94:94" x14ac:dyDescent="0.15">
      <c r="CP690" s="31"/>
    </row>
    <row r="691" spans="94:94" x14ac:dyDescent="0.15">
      <c r="CP691" s="31"/>
    </row>
    <row r="692" spans="94:94" x14ac:dyDescent="0.15">
      <c r="CP692" s="31"/>
    </row>
    <row r="693" spans="94:94" x14ac:dyDescent="0.15">
      <c r="CP693" s="31"/>
    </row>
    <row r="694" spans="94:94" x14ac:dyDescent="0.15">
      <c r="CP694" s="31"/>
    </row>
    <row r="695" spans="94:94" x14ac:dyDescent="0.15">
      <c r="CP695" s="31"/>
    </row>
    <row r="696" spans="94:94" x14ac:dyDescent="0.15">
      <c r="CP696" s="31"/>
    </row>
    <row r="697" spans="94:94" x14ac:dyDescent="0.15">
      <c r="CP697" s="31"/>
    </row>
    <row r="698" spans="94:94" x14ac:dyDescent="0.15">
      <c r="CP698" s="31"/>
    </row>
    <row r="699" spans="94:94" x14ac:dyDescent="0.15">
      <c r="CP699" s="31"/>
    </row>
    <row r="700" spans="94:94" x14ac:dyDescent="0.15">
      <c r="CP700" s="31"/>
    </row>
    <row r="701" spans="94:94" x14ac:dyDescent="0.15">
      <c r="CP701" s="31"/>
    </row>
    <row r="702" spans="94:94" x14ac:dyDescent="0.15">
      <c r="CP702" s="31"/>
    </row>
    <row r="703" spans="94:94" x14ac:dyDescent="0.15">
      <c r="CP703" s="31"/>
    </row>
    <row r="704" spans="94:94" x14ac:dyDescent="0.15">
      <c r="CP704" s="31"/>
    </row>
    <row r="705" spans="94:94" x14ac:dyDescent="0.15">
      <c r="CP705" s="31"/>
    </row>
    <row r="706" spans="94:94" x14ac:dyDescent="0.15">
      <c r="CP706" s="31"/>
    </row>
    <row r="707" spans="94:94" x14ac:dyDescent="0.15">
      <c r="CP707" s="31"/>
    </row>
    <row r="708" spans="94:94" x14ac:dyDescent="0.15">
      <c r="CP708" s="31"/>
    </row>
    <row r="709" spans="94:94" x14ac:dyDescent="0.15">
      <c r="CP709" s="31"/>
    </row>
    <row r="710" spans="94:94" x14ac:dyDescent="0.15">
      <c r="CP710" s="31"/>
    </row>
    <row r="711" spans="94:94" x14ac:dyDescent="0.15">
      <c r="CP711" s="31"/>
    </row>
    <row r="712" spans="94:94" x14ac:dyDescent="0.15">
      <c r="CP712" s="31"/>
    </row>
    <row r="713" spans="94:94" x14ac:dyDescent="0.15">
      <c r="CP713" s="31"/>
    </row>
    <row r="714" spans="94:94" x14ac:dyDescent="0.15">
      <c r="CP714" s="31"/>
    </row>
    <row r="715" spans="94:94" x14ac:dyDescent="0.15">
      <c r="CP715" s="31"/>
    </row>
    <row r="716" spans="94:94" x14ac:dyDescent="0.15">
      <c r="CP716" s="31"/>
    </row>
    <row r="717" spans="94:94" x14ac:dyDescent="0.15">
      <c r="CP717" s="31"/>
    </row>
    <row r="718" spans="94:94" x14ac:dyDescent="0.15">
      <c r="CP718" s="31"/>
    </row>
    <row r="719" spans="94:94" x14ac:dyDescent="0.15">
      <c r="CP719" s="31"/>
    </row>
    <row r="720" spans="94:94" x14ac:dyDescent="0.15">
      <c r="CP720" s="31"/>
    </row>
    <row r="721" spans="94:94" x14ac:dyDescent="0.15">
      <c r="CP721" s="31"/>
    </row>
    <row r="722" spans="94:94" x14ac:dyDescent="0.15">
      <c r="CP722" s="31"/>
    </row>
    <row r="723" spans="94:94" x14ac:dyDescent="0.15">
      <c r="CP723" s="31"/>
    </row>
    <row r="724" spans="94:94" x14ac:dyDescent="0.15">
      <c r="CP724" s="31"/>
    </row>
    <row r="725" spans="94:94" x14ac:dyDescent="0.15">
      <c r="CP725" s="31"/>
    </row>
    <row r="726" spans="94:94" x14ac:dyDescent="0.15">
      <c r="CP726" s="31"/>
    </row>
    <row r="727" spans="94:94" x14ac:dyDescent="0.15">
      <c r="CP727" s="31"/>
    </row>
    <row r="728" spans="94:94" x14ac:dyDescent="0.15">
      <c r="CP728" s="31"/>
    </row>
    <row r="729" spans="94:94" x14ac:dyDescent="0.15">
      <c r="CP729" s="31"/>
    </row>
    <row r="730" spans="94:94" x14ac:dyDescent="0.15">
      <c r="CP730" s="31"/>
    </row>
    <row r="731" spans="94:94" x14ac:dyDescent="0.15">
      <c r="CP731" s="31"/>
    </row>
    <row r="732" spans="94:94" x14ac:dyDescent="0.15">
      <c r="CP732" s="31"/>
    </row>
    <row r="733" spans="94:94" x14ac:dyDescent="0.15">
      <c r="CP733" s="31"/>
    </row>
    <row r="734" spans="94:94" x14ac:dyDescent="0.15">
      <c r="CP734" s="31"/>
    </row>
    <row r="735" spans="94:94" x14ac:dyDescent="0.15">
      <c r="CP735" s="31"/>
    </row>
    <row r="736" spans="94:94" x14ac:dyDescent="0.15">
      <c r="CP736" s="31"/>
    </row>
    <row r="737" spans="94:94" x14ac:dyDescent="0.15">
      <c r="CP737" s="31"/>
    </row>
    <row r="738" spans="94:94" x14ac:dyDescent="0.15">
      <c r="CP738" s="31"/>
    </row>
    <row r="739" spans="94:94" x14ac:dyDescent="0.15">
      <c r="CP739" s="31"/>
    </row>
    <row r="740" spans="94:94" x14ac:dyDescent="0.15">
      <c r="CP740" s="31"/>
    </row>
    <row r="741" spans="94:94" x14ac:dyDescent="0.15">
      <c r="CP741" s="31"/>
    </row>
    <row r="742" spans="94:94" x14ac:dyDescent="0.15">
      <c r="CP742" s="31"/>
    </row>
    <row r="743" spans="94:94" x14ac:dyDescent="0.15">
      <c r="CP743" s="31"/>
    </row>
    <row r="744" spans="94:94" x14ac:dyDescent="0.15">
      <c r="CP744" s="31"/>
    </row>
    <row r="745" spans="94:94" x14ac:dyDescent="0.15">
      <c r="CP745" s="31"/>
    </row>
    <row r="746" spans="94:94" x14ac:dyDescent="0.15">
      <c r="CP746" s="31"/>
    </row>
    <row r="747" spans="94:94" x14ac:dyDescent="0.15">
      <c r="CP747" s="31"/>
    </row>
    <row r="748" spans="94:94" x14ac:dyDescent="0.15">
      <c r="CP748" s="31"/>
    </row>
    <row r="749" spans="94:94" x14ac:dyDescent="0.15">
      <c r="CP749" s="31"/>
    </row>
    <row r="750" spans="94:94" x14ac:dyDescent="0.15">
      <c r="CP750" s="31"/>
    </row>
    <row r="751" spans="94:94" x14ac:dyDescent="0.15">
      <c r="CP751" s="31"/>
    </row>
    <row r="752" spans="94:94" x14ac:dyDescent="0.15">
      <c r="CP752" s="31"/>
    </row>
    <row r="753" spans="94:94" x14ac:dyDescent="0.15">
      <c r="CP753" s="31"/>
    </row>
    <row r="754" spans="94:94" x14ac:dyDescent="0.15">
      <c r="CP754" s="31"/>
    </row>
    <row r="755" spans="94:94" x14ac:dyDescent="0.15">
      <c r="CP755" s="31"/>
    </row>
    <row r="756" spans="94:94" x14ac:dyDescent="0.15">
      <c r="CP756" s="31"/>
    </row>
    <row r="757" spans="94:94" x14ac:dyDescent="0.15">
      <c r="CP757" s="31"/>
    </row>
    <row r="758" spans="94:94" x14ac:dyDescent="0.15">
      <c r="CP758" s="31"/>
    </row>
    <row r="759" spans="94:94" x14ac:dyDescent="0.15">
      <c r="CP759" s="31"/>
    </row>
    <row r="760" spans="94:94" x14ac:dyDescent="0.15">
      <c r="CP760" s="31"/>
    </row>
    <row r="761" spans="94:94" x14ac:dyDescent="0.15">
      <c r="CP761" s="31"/>
    </row>
    <row r="762" spans="94:94" x14ac:dyDescent="0.15">
      <c r="CP762" s="31"/>
    </row>
    <row r="763" spans="94:94" x14ac:dyDescent="0.15">
      <c r="CP763" s="31"/>
    </row>
    <row r="764" spans="94:94" x14ac:dyDescent="0.15">
      <c r="CP764" s="31"/>
    </row>
    <row r="765" spans="94:94" x14ac:dyDescent="0.15">
      <c r="CP765" s="31"/>
    </row>
    <row r="766" spans="94:94" x14ac:dyDescent="0.15">
      <c r="CP766" s="31"/>
    </row>
    <row r="767" spans="94:94" x14ac:dyDescent="0.15">
      <c r="CP767" s="31"/>
    </row>
    <row r="768" spans="94:94" x14ac:dyDescent="0.15">
      <c r="CP768" s="31"/>
    </row>
    <row r="769" spans="94:94" x14ac:dyDescent="0.15">
      <c r="CP769" s="31"/>
    </row>
    <row r="770" spans="94:94" x14ac:dyDescent="0.15">
      <c r="CP770" s="31"/>
    </row>
    <row r="771" spans="94:94" x14ac:dyDescent="0.15">
      <c r="CP771" s="31"/>
    </row>
    <row r="772" spans="94:94" x14ac:dyDescent="0.15">
      <c r="CP772" s="31"/>
    </row>
    <row r="773" spans="94:94" x14ac:dyDescent="0.15">
      <c r="CP773" s="31"/>
    </row>
    <row r="774" spans="94:94" x14ac:dyDescent="0.15">
      <c r="CP774" s="31"/>
    </row>
    <row r="775" spans="94:94" x14ac:dyDescent="0.15">
      <c r="CP775" s="31"/>
    </row>
    <row r="776" spans="94:94" x14ac:dyDescent="0.15">
      <c r="CP776" s="31"/>
    </row>
    <row r="777" spans="94:94" x14ac:dyDescent="0.15">
      <c r="CP777" s="31"/>
    </row>
    <row r="778" spans="94:94" x14ac:dyDescent="0.15">
      <c r="CP778" s="31"/>
    </row>
    <row r="779" spans="94:94" x14ac:dyDescent="0.15">
      <c r="CP779" s="31"/>
    </row>
    <row r="780" spans="94:94" x14ac:dyDescent="0.15">
      <c r="CP780" s="31"/>
    </row>
    <row r="781" spans="94:94" x14ac:dyDescent="0.15">
      <c r="CP781" s="31"/>
    </row>
    <row r="782" spans="94:94" x14ac:dyDescent="0.15">
      <c r="CP782" s="31"/>
    </row>
    <row r="783" spans="94:94" x14ac:dyDescent="0.15">
      <c r="CP783" s="31"/>
    </row>
    <row r="784" spans="94:94" x14ac:dyDescent="0.15">
      <c r="CP784" s="31"/>
    </row>
    <row r="785" spans="94:94" x14ac:dyDescent="0.15">
      <c r="CP785" s="31"/>
    </row>
    <row r="786" spans="94:94" x14ac:dyDescent="0.15">
      <c r="CP786" s="31"/>
    </row>
    <row r="787" spans="94:94" x14ac:dyDescent="0.15">
      <c r="CP787" s="31"/>
    </row>
    <row r="788" spans="94:94" x14ac:dyDescent="0.15">
      <c r="CP788" s="31"/>
    </row>
    <row r="789" spans="94:94" x14ac:dyDescent="0.15">
      <c r="CP789" s="31"/>
    </row>
    <row r="790" spans="94:94" x14ac:dyDescent="0.15">
      <c r="CP790" s="31"/>
    </row>
    <row r="791" spans="94:94" x14ac:dyDescent="0.15">
      <c r="CP791" s="31"/>
    </row>
    <row r="792" spans="94:94" x14ac:dyDescent="0.15">
      <c r="CP792" s="31"/>
    </row>
    <row r="793" spans="94:94" x14ac:dyDescent="0.15">
      <c r="CP793" s="31"/>
    </row>
    <row r="794" spans="94:94" x14ac:dyDescent="0.15">
      <c r="CP794" s="31"/>
    </row>
    <row r="795" spans="94:94" x14ac:dyDescent="0.15">
      <c r="CP795" s="31"/>
    </row>
    <row r="796" spans="94:94" x14ac:dyDescent="0.15">
      <c r="CP796" s="31"/>
    </row>
    <row r="797" spans="94:94" x14ac:dyDescent="0.15">
      <c r="CP797" s="31"/>
    </row>
    <row r="798" spans="94:94" x14ac:dyDescent="0.15">
      <c r="CP798" s="31"/>
    </row>
    <row r="799" spans="94:94" x14ac:dyDescent="0.15">
      <c r="CP799" s="31"/>
    </row>
    <row r="800" spans="94:94" x14ac:dyDescent="0.15">
      <c r="CP800" s="31"/>
    </row>
    <row r="801" spans="94:94" x14ac:dyDescent="0.15">
      <c r="CP801" s="31"/>
    </row>
    <row r="802" spans="94:94" x14ac:dyDescent="0.15">
      <c r="CP802" s="31"/>
    </row>
    <row r="803" spans="94:94" x14ac:dyDescent="0.15">
      <c r="CP803" s="31"/>
    </row>
    <row r="804" spans="94:94" x14ac:dyDescent="0.15">
      <c r="CP804" s="31"/>
    </row>
    <row r="805" spans="94:94" x14ac:dyDescent="0.15">
      <c r="CP805" s="31"/>
    </row>
    <row r="806" spans="94:94" x14ac:dyDescent="0.15">
      <c r="CP806" s="31"/>
    </row>
    <row r="807" spans="94:94" x14ac:dyDescent="0.15">
      <c r="CP807" s="31"/>
    </row>
    <row r="808" spans="94:94" x14ac:dyDescent="0.15">
      <c r="CP808" s="31"/>
    </row>
    <row r="809" spans="94:94" x14ac:dyDescent="0.15">
      <c r="CP809" s="31"/>
    </row>
    <row r="810" spans="94:94" x14ac:dyDescent="0.15">
      <c r="CP810" s="31"/>
    </row>
    <row r="811" spans="94:94" x14ac:dyDescent="0.15">
      <c r="CP811" s="31"/>
    </row>
    <row r="812" spans="94:94" x14ac:dyDescent="0.15">
      <c r="CP812" s="31"/>
    </row>
    <row r="813" spans="94:94" x14ac:dyDescent="0.15">
      <c r="CP813" s="31"/>
    </row>
    <row r="814" spans="94:94" x14ac:dyDescent="0.15">
      <c r="CP814" s="31"/>
    </row>
    <row r="815" spans="94:94" x14ac:dyDescent="0.15">
      <c r="CP815" s="31"/>
    </row>
    <row r="816" spans="94:94" x14ac:dyDescent="0.15">
      <c r="CP816" s="31"/>
    </row>
    <row r="817" spans="94:94" x14ac:dyDescent="0.15">
      <c r="CP817" s="31"/>
    </row>
    <row r="818" spans="94:94" x14ac:dyDescent="0.15">
      <c r="CP818" s="31"/>
    </row>
    <row r="819" spans="94:94" x14ac:dyDescent="0.15">
      <c r="CP819" s="31"/>
    </row>
    <row r="820" spans="94:94" x14ac:dyDescent="0.15">
      <c r="CP820" s="31"/>
    </row>
    <row r="821" spans="94:94" x14ac:dyDescent="0.15">
      <c r="CP821" s="31"/>
    </row>
    <row r="822" spans="94:94" x14ac:dyDescent="0.15">
      <c r="CP822" s="31"/>
    </row>
    <row r="823" spans="94:94" x14ac:dyDescent="0.15">
      <c r="CP823" s="31"/>
    </row>
    <row r="824" spans="94:94" x14ac:dyDescent="0.15">
      <c r="CP824" s="31"/>
    </row>
    <row r="825" spans="94:94" x14ac:dyDescent="0.15">
      <c r="CP825" s="31"/>
    </row>
    <row r="826" spans="94:94" x14ac:dyDescent="0.15">
      <c r="CP826" s="31"/>
    </row>
    <row r="827" spans="94:94" x14ac:dyDescent="0.15">
      <c r="CP827" s="31"/>
    </row>
    <row r="828" spans="94:94" x14ac:dyDescent="0.15">
      <c r="CP828" s="31"/>
    </row>
    <row r="829" spans="94:94" x14ac:dyDescent="0.15">
      <c r="CP829" s="31"/>
    </row>
    <row r="830" spans="94:94" x14ac:dyDescent="0.15">
      <c r="CP830" s="31"/>
    </row>
    <row r="831" spans="94:94" x14ac:dyDescent="0.15">
      <c r="CP831" s="31"/>
    </row>
    <row r="832" spans="94:94" x14ac:dyDescent="0.15">
      <c r="CP832" s="31"/>
    </row>
    <row r="833" spans="94:94" x14ac:dyDescent="0.15">
      <c r="CP833" s="31"/>
    </row>
    <row r="834" spans="94:94" x14ac:dyDescent="0.15">
      <c r="CP834" s="31"/>
    </row>
    <row r="835" spans="94:94" x14ac:dyDescent="0.15">
      <c r="CP835" s="31"/>
    </row>
    <row r="836" spans="94:94" x14ac:dyDescent="0.15">
      <c r="CP836" s="31"/>
    </row>
    <row r="837" spans="94:94" x14ac:dyDescent="0.15">
      <c r="CP837" s="31"/>
    </row>
    <row r="838" spans="94:94" x14ac:dyDescent="0.15">
      <c r="CP838" s="31"/>
    </row>
    <row r="839" spans="94:94" x14ac:dyDescent="0.15">
      <c r="CP839" s="31"/>
    </row>
    <row r="840" spans="94:94" x14ac:dyDescent="0.15">
      <c r="CP840" s="31"/>
    </row>
    <row r="841" spans="94:94" x14ac:dyDescent="0.15">
      <c r="CP841" s="31"/>
    </row>
    <row r="842" spans="94:94" x14ac:dyDescent="0.15">
      <c r="CP842" s="31"/>
    </row>
    <row r="843" spans="94:94" x14ac:dyDescent="0.15">
      <c r="CP843" s="31"/>
    </row>
    <row r="844" spans="94:94" x14ac:dyDescent="0.15">
      <c r="CP844" s="31"/>
    </row>
    <row r="845" spans="94:94" x14ac:dyDescent="0.15">
      <c r="CP845" s="31"/>
    </row>
    <row r="846" spans="94:94" x14ac:dyDescent="0.15">
      <c r="CP846" s="31"/>
    </row>
    <row r="847" spans="94:94" x14ac:dyDescent="0.15">
      <c r="CP847" s="31"/>
    </row>
    <row r="848" spans="94:94" x14ac:dyDescent="0.15">
      <c r="CP848" s="31"/>
    </row>
    <row r="849" spans="94:94" x14ac:dyDescent="0.15">
      <c r="CP849" s="31"/>
    </row>
    <row r="850" spans="94:94" x14ac:dyDescent="0.15">
      <c r="CP850" s="31"/>
    </row>
    <row r="851" spans="94:94" x14ac:dyDescent="0.15">
      <c r="CP851" s="31"/>
    </row>
    <row r="852" spans="94:94" x14ac:dyDescent="0.15">
      <c r="CP852" s="31"/>
    </row>
    <row r="853" spans="94:94" x14ac:dyDescent="0.15">
      <c r="CP853" s="31"/>
    </row>
    <row r="854" spans="94:94" x14ac:dyDescent="0.15">
      <c r="CP854" s="31"/>
    </row>
    <row r="855" spans="94:94" x14ac:dyDescent="0.15">
      <c r="CP855" s="31"/>
    </row>
    <row r="856" spans="94:94" x14ac:dyDescent="0.15">
      <c r="CP856" s="31"/>
    </row>
    <row r="857" spans="94:94" x14ac:dyDescent="0.15">
      <c r="CP857" s="31"/>
    </row>
    <row r="858" spans="94:94" x14ac:dyDescent="0.15">
      <c r="CP858" s="31"/>
    </row>
    <row r="859" spans="94:94" x14ac:dyDescent="0.15">
      <c r="CP859" s="31"/>
    </row>
    <row r="860" spans="94:94" x14ac:dyDescent="0.15">
      <c r="CP860" s="31"/>
    </row>
    <row r="861" spans="94:94" x14ac:dyDescent="0.15">
      <c r="CP861" s="31"/>
    </row>
    <row r="862" spans="94:94" x14ac:dyDescent="0.15">
      <c r="CP862" s="31"/>
    </row>
    <row r="863" spans="94:94" x14ac:dyDescent="0.15">
      <c r="CP863" s="31"/>
    </row>
    <row r="864" spans="94:94" x14ac:dyDescent="0.15">
      <c r="CP864" s="31"/>
    </row>
    <row r="865" spans="94:94" x14ac:dyDescent="0.15">
      <c r="CP865" s="31"/>
    </row>
    <row r="866" spans="94:94" x14ac:dyDescent="0.15">
      <c r="CP866" s="31"/>
    </row>
    <row r="867" spans="94:94" x14ac:dyDescent="0.15">
      <c r="CP867" s="31"/>
    </row>
    <row r="868" spans="94:94" x14ac:dyDescent="0.15">
      <c r="CP868" s="31"/>
    </row>
    <row r="869" spans="94:94" x14ac:dyDescent="0.15">
      <c r="CP869" s="31"/>
    </row>
    <row r="870" spans="94:94" x14ac:dyDescent="0.15">
      <c r="CP870" s="31"/>
    </row>
    <row r="871" spans="94:94" x14ac:dyDescent="0.15">
      <c r="CP871" s="31"/>
    </row>
    <row r="872" spans="94:94" x14ac:dyDescent="0.15">
      <c r="CP872" s="31"/>
    </row>
    <row r="873" spans="94:94" x14ac:dyDescent="0.15">
      <c r="CP873" s="31"/>
    </row>
    <row r="874" spans="94:94" x14ac:dyDescent="0.15">
      <c r="CP874" s="31"/>
    </row>
    <row r="875" spans="94:94" x14ac:dyDescent="0.15">
      <c r="CP875" s="31"/>
    </row>
    <row r="876" spans="94:94" x14ac:dyDescent="0.15">
      <c r="CP876" s="31"/>
    </row>
    <row r="877" spans="94:94" x14ac:dyDescent="0.15">
      <c r="CP877" s="31"/>
    </row>
    <row r="878" spans="94:94" x14ac:dyDescent="0.15">
      <c r="CP878" s="31"/>
    </row>
    <row r="879" spans="94:94" x14ac:dyDescent="0.15">
      <c r="CP879" s="31"/>
    </row>
    <row r="880" spans="94:94" x14ac:dyDescent="0.15">
      <c r="CP880" s="31"/>
    </row>
    <row r="881" spans="94:94" x14ac:dyDescent="0.15">
      <c r="CP881" s="31"/>
    </row>
    <row r="882" spans="94:94" x14ac:dyDescent="0.15">
      <c r="CP882" s="31"/>
    </row>
    <row r="883" spans="94:94" x14ac:dyDescent="0.15">
      <c r="CP883" s="31"/>
    </row>
    <row r="884" spans="94:94" x14ac:dyDescent="0.15">
      <c r="CP884" s="31"/>
    </row>
    <row r="885" spans="94:94" x14ac:dyDescent="0.15">
      <c r="CP885" s="31"/>
    </row>
    <row r="886" spans="94:94" x14ac:dyDescent="0.15">
      <c r="CP886" s="31"/>
    </row>
    <row r="887" spans="94:94" x14ac:dyDescent="0.15">
      <c r="CP887" s="31"/>
    </row>
    <row r="888" spans="94:94" x14ac:dyDescent="0.15">
      <c r="CP888" s="31"/>
    </row>
    <row r="889" spans="94:94" x14ac:dyDescent="0.15">
      <c r="CP889" s="31"/>
    </row>
    <row r="890" spans="94:94" x14ac:dyDescent="0.15">
      <c r="CP890" s="31"/>
    </row>
    <row r="891" spans="94:94" x14ac:dyDescent="0.15">
      <c r="CP891" s="31"/>
    </row>
    <row r="892" spans="94:94" x14ac:dyDescent="0.15">
      <c r="CP892" s="31"/>
    </row>
    <row r="893" spans="94:94" x14ac:dyDescent="0.15">
      <c r="CP893" s="31"/>
    </row>
    <row r="894" spans="94:94" x14ac:dyDescent="0.15">
      <c r="CP894" s="31"/>
    </row>
    <row r="895" spans="94:94" x14ac:dyDescent="0.15">
      <c r="CP895" s="31"/>
    </row>
    <row r="896" spans="94:94" x14ac:dyDescent="0.15">
      <c r="CP896" s="31"/>
    </row>
    <row r="897" spans="94:94" x14ac:dyDescent="0.15">
      <c r="CP897" s="31"/>
    </row>
    <row r="898" spans="94:94" x14ac:dyDescent="0.15">
      <c r="CP898" s="31"/>
    </row>
    <row r="899" spans="94:94" x14ac:dyDescent="0.15">
      <c r="CP899" s="31"/>
    </row>
    <row r="900" spans="94:94" x14ac:dyDescent="0.15">
      <c r="CP900" s="31"/>
    </row>
    <row r="901" spans="94:94" x14ac:dyDescent="0.15">
      <c r="CP901" s="31"/>
    </row>
    <row r="902" spans="94:94" x14ac:dyDescent="0.15">
      <c r="CP902" s="31"/>
    </row>
    <row r="903" spans="94:94" x14ac:dyDescent="0.15">
      <c r="CP903" s="31"/>
    </row>
    <row r="904" spans="94:94" x14ac:dyDescent="0.15">
      <c r="CP904" s="31"/>
    </row>
    <row r="905" spans="94:94" x14ac:dyDescent="0.15">
      <c r="CP905" s="31"/>
    </row>
    <row r="906" spans="94:94" x14ac:dyDescent="0.15">
      <c r="CP906" s="31"/>
    </row>
    <row r="907" spans="94:94" x14ac:dyDescent="0.15">
      <c r="CP907" s="31"/>
    </row>
    <row r="908" spans="94:94" x14ac:dyDescent="0.15">
      <c r="CP908" s="31"/>
    </row>
    <row r="909" spans="94:94" x14ac:dyDescent="0.15">
      <c r="CP909" s="31"/>
    </row>
    <row r="910" spans="94:94" x14ac:dyDescent="0.15">
      <c r="CP910" s="31"/>
    </row>
    <row r="911" spans="94:94" x14ac:dyDescent="0.15">
      <c r="CP911" s="31"/>
    </row>
    <row r="912" spans="94:94" x14ac:dyDescent="0.15">
      <c r="CP912" s="31"/>
    </row>
    <row r="913" spans="94:94" x14ac:dyDescent="0.15">
      <c r="CP913" s="31"/>
    </row>
    <row r="914" spans="94:94" x14ac:dyDescent="0.15">
      <c r="CP914" s="31"/>
    </row>
    <row r="915" spans="94:94" x14ac:dyDescent="0.15">
      <c r="CP915" s="31"/>
    </row>
    <row r="916" spans="94:94" x14ac:dyDescent="0.15">
      <c r="CP916" s="31"/>
    </row>
    <row r="917" spans="94:94" x14ac:dyDescent="0.15">
      <c r="CP917" s="31"/>
    </row>
    <row r="918" spans="94:94" x14ac:dyDescent="0.15">
      <c r="CP918" s="31"/>
    </row>
    <row r="919" spans="94:94" x14ac:dyDescent="0.15">
      <c r="CP919" s="31"/>
    </row>
    <row r="920" spans="94:94" x14ac:dyDescent="0.15">
      <c r="CP920" s="31"/>
    </row>
    <row r="921" spans="94:94" x14ac:dyDescent="0.15">
      <c r="CP921" s="31"/>
    </row>
    <row r="922" spans="94:94" x14ac:dyDescent="0.15">
      <c r="CP922" s="31"/>
    </row>
    <row r="923" spans="94:94" x14ac:dyDescent="0.15">
      <c r="CP923" s="31"/>
    </row>
    <row r="924" spans="94:94" x14ac:dyDescent="0.15">
      <c r="CP924" s="31"/>
    </row>
    <row r="925" spans="94:94" x14ac:dyDescent="0.15">
      <c r="CP925" s="31"/>
    </row>
    <row r="926" spans="94:94" x14ac:dyDescent="0.15">
      <c r="CP926" s="31"/>
    </row>
    <row r="927" spans="94:94" x14ac:dyDescent="0.15">
      <c r="CP927" s="31"/>
    </row>
    <row r="928" spans="94:94" x14ac:dyDescent="0.15">
      <c r="CP928" s="31"/>
    </row>
    <row r="929" spans="94:94" x14ac:dyDescent="0.15">
      <c r="CP929" s="31"/>
    </row>
    <row r="930" spans="94:94" x14ac:dyDescent="0.15">
      <c r="CP930" s="31"/>
    </row>
    <row r="931" spans="94:94" x14ac:dyDescent="0.15">
      <c r="CP931" s="31"/>
    </row>
    <row r="932" spans="94:94" x14ac:dyDescent="0.15">
      <c r="CP932" s="31"/>
    </row>
    <row r="933" spans="94:94" x14ac:dyDescent="0.15">
      <c r="CP933" s="31"/>
    </row>
    <row r="934" spans="94:94" x14ac:dyDescent="0.15">
      <c r="CP934" s="31"/>
    </row>
    <row r="935" spans="94:94" x14ac:dyDescent="0.15">
      <c r="CP935" s="31"/>
    </row>
    <row r="936" spans="94:94" x14ac:dyDescent="0.15">
      <c r="CP936" s="31"/>
    </row>
    <row r="937" spans="94:94" x14ac:dyDescent="0.15">
      <c r="CP937" s="31"/>
    </row>
    <row r="938" spans="94:94" x14ac:dyDescent="0.15">
      <c r="CP938" s="31"/>
    </row>
    <row r="939" spans="94:94" x14ac:dyDescent="0.15">
      <c r="CP939" s="31"/>
    </row>
    <row r="940" spans="94:94" x14ac:dyDescent="0.15">
      <c r="CP940" s="31"/>
    </row>
    <row r="941" spans="94:94" x14ac:dyDescent="0.15">
      <c r="CP941" s="31"/>
    </row>
    <row r="942" spans="94:94" x14ac:dyDescent="0.15">
      <c r="CP942" s="31"/>
    </row>
    <row r="943" spans="94:94" x14ac:dyDescent="0.15">
      <c r="CP943" s="31"/>
    </row>
    <row r="944" spans="94:94" x14ac:dyDescent="0.15">
      <c r="CP944" s="31"/>
    </row>
    <row r="945" spans="94:94" x14ac:dyDescent="0.15">
      <c r="CP945" s="31"/>
    </row>
    <row r="946" spans="94:94" x14ac:dyDescent="0.15">
      <c r="CP946" s="31"/>
    </row>
    <row r="947" spans="94:94" x14ac:dyDescent="0.15">
      <c r="CP947" s="31"/>
    </row>
    <row r="948" spans="94:94" x14ac:dyDescent="0.15">
      <c r="CP948" s="31"/>
    </row>
    <row r="949" spans="94:94" x14ac:dyDescent="0.15">
      <c r="CP949" s="31"/>
    </row>
    <row r="950" spans="94:94" x14ac:dyDescent="0.15">
      <c r="CP950" s="31"/>
    </row>
    <row r="951" spans="94:94" x14ac:dyDescent="0.15">
      <c r="CP951" s="31"/>
    </row>
    <row r="952" spans="94:94" x14ac:dyDescent="0.15">
      <c r="CP952" s="31"/>
    </row>
    <row r="953" spans="94:94" x14ac:dyDescent="0.15">
      <c r="CP953" s="31"/>
    </row>
    <row r="954" spans="94:94" x14ac:dyDescent="0.15">
      <c r="CP954" s="31"/>
    </row>
    <row r="955" spans="94:94" x14ac:dyDescent="0.15">
      <c r="CP955" s="31"/>
    </row>
    <row r="956" spans="94:94" x14ac:dyDescent="0.15">
      <c r="CP956" s="31"/>
    </row>
    <row r="957" spans="94:94" x14ac:dyDescent="0.15">
      <c r="CP957" s="31"/>
    </row>
    <row r="958" spans="94:94" x14ac:dyDescent="0.15">
      <c r="CP958" s="31"/>
    </row>
    <row r="959" spans="94:94" x14ac:dyDescent="0.15">
      <c r="CP959" s="31"/>
    </row>
    <row r="960" spans="94:94" x14ac:dyDescent="0.15">
      <c r="CP960" s="31"/>
    </row>
    <row r="961" spans="94:94" x14ac:dyDescent="0.15">
      <c r="CP961" s="31"/>
    </row>
    <row r="962" spans="94:94" x14ac:dyDescent="0.15">
      <c r="CP962" s="31"/>
    </row>
    <row r="963" spans="94:94" x14ac:dyDescent="0.15">
      <c r="CP963" s="31"/>
    </row>
    <row r="964" spans="94:94" x14ac:dyDescent="0.15">
      <c r="CP964" s="31"/>
    </row>
    <row r="965" spans="94:94" x14ac:dyDescent="0.15">
      <c r="CP965" s="31"/>
    </row>
    <row r="966" spans="94:94" x14ac:dyDescent="0.15">
      <c r="CP966" s="31"/>
    </row>
    <row r="967" spans="94:94" x14ac:dyDescent="0.15">
      <c r="CP967" s="31"/>
    </row>
    <row r="968" spans="94:94" x14ac:dyDescent="0.15">
      <c r="CP968" s="31"/>
    </row>
    <row r="969" spans="94:94" x14ac:dyDescent="0.15">
      <c r="CP969" s="31"/>
    </row>
    <row r="970" spans="94:94" x14ac:dyDescent="0.15">
      <c r="CP970" s="31"/>
    </row>
    <row r="971" spans="94:94" x14ac:dyDescent="0.15">
      <c r="CP971" s="31"/>
    </row>
    <row r="972" spans="94:94" x14ac:dyDescent="0.15">
      <c r="CP972" s="31"/>
    </row>
    <row r="973" spans="94:94" x14ac:dyDescent="0.15">
      <c r="CP973" s="31"/>
    </row>
    <row r="974" spans="94:94" x14ac:dyDescent="0.15">
      <c r="CP974" s="31"/>
    </row>
    <row r="975" spans="94:94" x14ac:dyDescent="0.15">
      <c r="CP975" s="31"/>
    </row>
    <row r="976" spans="94:94" x14ac:dyDescent="0.15">
      <c r="CP976" s="31"/>
    </row>
    <row r="977" spans="94:94" x14ac:dyDescent="0.15">
      <c r="CP977" s="31"/>
    </row>
    <row r="978" spans="94:94" x14ac:dyDescent="0.15">
      <c r="CP978" s="31"/>
    </row>
    <row r="979" spans="94:94" x14ac:dyDescent="0.15">
      <c r="CP979" s="31"/>
    </row>
    <row r="980" spans="94:94" x14ac:dyDescent="0.15">
      <c r="CP980" s="31"/>
    </row>
    <row r="981" spans="94:94" x14ac:dyDescent="0.15">
      <c r="CP981" s="31"/>
    </row>
    <row r="982" spans="94:94" x14ac:dyDescent="0.15">
      <c r="CP982" s="31"/>
    </row>
    <row r="983" spans="94:94" x14ac:dyDescent="0.15">
      <c r="CP983" s="31"/>
    </row>
    <row r="984" spans="94:94" x14ac:dyDescent="0.15">
      <c r="CP984" s="31"/>
    </row>
    <row r="985" spans="94:94" x14ac:dyDescent="0.15">
      <c r="CP985" s="31"/>
    </row>
    <row r="986" spans="94:94" x14ac:dyDescent="0.15">
      <c r="CP986" s="31"/>
    </row>
    <row r="987" spans="94:94" x14ac:dyDescent="0.15">
      <c r="CP987" s="31"/>
    </row>
    <row r="988" spans="94:94" x14ac:dyDescent="0.15">
      <c r="CP988" s="31"/>
    </row>
    <row r="989" spans="94:94" x14ac:dyDescent="0.15">
      <c r="CP989" s="31"/>
    </row>
    <row r="990" spans="94:94" x14ac:dyDescent="0.15">
      <c r="CP990" s="31"/>
    </row>
    <row r="991" spans="94:94" x14ac:dyDescent="0.15">
      <c r="CP991" s="31"/>
    </row>
    <row r="992" spans="94:94" x14ac:dyDescent="0.15">
      <c r="CP992" s="31"/>
    </row>
    <row r="993" spans="94:94" x14ac:dyDescent="0.15">
      <c r="CP993" s="31"/>
    </row>
    <row r="994" spans="94:94" x14ac:dyDescent="0.15">
      <c r="CP994" s="31"/>
    </row>
    <row r="995" spans="94:94" x14ac:dyDescent="0.15">
      <c r="CP995" s="31"/>
    </row>
    <row r="996" spans="94:94" x14ac:dyDescent="0.15">
      <c r="CP996" s="31"/>
    </row>
    <row r="997" spans="94:94" x14ac:dyDescent="0.15">
      <c r="CP997" s="31"/>
    </row>
    <row r="998" spans="94:94" x14ac:dyDescent="0.15">
      <c r="CP998" s="31"/>
    </row>
    <row r="999" spans="94:94" x14ac:dyDescent="0.15">
      <c r="CP999" s="31"/>
    </row>
    <row r="1000" spans="94:94" x14ac:dyDescent="0.15">
      <c r="CP1000" s="31"/>
    </row>
    <row r="1001" spans="94:94" x14ac:dyDescent="0.15">
      <c r="CP1001" s="31"/>
    </row>
    <row r="1002" spans="94:94" x14ac:dyDescent="0.15">
      <c r="CP1002" s="31"/>
    </row>
    <row r="1003" spans="94:94" x14ac:dyDescent="0.15">
      <c r="CP1003" s="31"/>
    </row>
    <row r="1004" spans="94:94" x14ac:dyDescent="0.15">
      <c r="CP1004" s="31"/>
    </row>
    <row r="1005" spans="94:94" x14ac:dyDescent="0.15">
      <c r="CP1005" s="31"/>
    </row>
    <row r="1006" spans="94:94" x14ac:dyDescent="0.15">
      <c r="CP1006" s="31"/>
    </row>
    <row r="1007" spans="94:94" x14ac:dyDescent="0.15">
      <c r="CP1007" s="31"/>
    </row>
    <row r="1008" spans="94:94" x14ac:dyDescent="0.15">
      <c r="CP1008" s="31"/>
    </row>
    <row r="1009" spans="94:94" x14ac:dyDescent="0.15">
      <c r="CP1009" s="31"/>
    </row>
    <row r="1010" spans="94:94" x14ac:dyDescent="0.15">
      <c r="CP1010" s="31"/>
    </row>
    <row r="1011" spans="94:94" x14ac:dyDescent="0.15">
      <c r="CP1011" s="31"/>
    </row>
    <row r="1012" spans="94:94" x14ac:dyDescent="0.15">
      <c r="CP1012" s="31"/>
    </row>
    <row r="1013" spans="94:94" x14ac:dyDescent="0.15">
      <c r="CP1013" s="31"/>
    </row>
    <row r="1014" spans="94:94" x14ac:dyDescent="0.15">
      <c r="CP1014" s="31"/>
    </row>
    <row r="1015" spans="94:94" x14ac:dyDescent="0.15">
      <c r="CP1015" s="31"/>
    </row>
    <row r="1016" spans="94:94" x14ac:dyDescent="0.15">
      <c r="CP1016" s="31"/>
    </row>
    <row r="1017" spans="94:94" x14ac:dyDescent="0.15">
      <c r="CP1017" s="31"/>
    </row>
    <row r="1018" spans="94:94" x14ac:dyDescent="0.15">
      <c r="CP1018" s="31"/>
    </row>
    <row r="1019" spans="94:94" x14ac:dyDescent="0.15">
      <c r="CP1019" s="31"/>
    </row>
    <row r="1020" spans="94:94" x14ac:dyDescent="0.15">
      <c r="CP1020" s="31"/>
    </row>
    <row r="1021" spans="94:94" x14ac:dyDescent="0.15">
      <c r="CP1021" s="31"/>
    </row>
    <row r="1022" spans="94:94" x14ac:dyDescent="0.15">
      <c r="CP1022" s="31"/>
    </row>
    <row r="1023" spans="94:94" x14ac:dyDescent="0.15">
      <c r="CP1023" s="31"/>
    </row>
    <row r="1024" spans="94:94" x14ac:dyDescent="0.15">
      <c r="CP1024" s="31"/>
    </row>
    <row r="1025" spans="94:94" x14ac:dyDescent="0.15">
      <c r="CP1025" s="31"/>
    </row>
    <row r="1026" spans="94:94" x14ac:dyDescent="0.15">
      <c r="CP1026" s="31"/>
    </row>
    <row r="1027" spans="94:94" x14ac:dyDescent="0.15">
      <c r="CP1027" s="31"/>
    </row>
    <row r="1028" spans="94:94" x14ac:dyDescent="0.15">
      <c r="CP1028" s="31"/>
    </row>
    <row r="1029" spans="94:94" x14ac:dyDescent="0.15">
      <c r="CP1029" s="31"/>
    </row>
    <row r="1030" spans="94:94" x14ac:dyDescent="0.15">
      <c r="CP1030" s="31"/>
    </row>
    <row r="1031" spans="94:94" x14ac:dyDescent="0.15">
      <c r="CP1031" s="31"/>
    </row>
    <row r="1032" spans="94:94" x14ac:dyDescent="0.15">
      <c r="CP1032" s="31"/>
    </row>
    <row r="1033" spans="94:94" x14ac:dyDescent="0.15">
      <c r="CP1033" s="31"/>
    </row>
    <row r="1034" spans="94:94" x14ac:dyDescent="0.15">
      <c r="CP1034" s="31"/>
    </row>
    <row r="1035" spans="94:94" x14ac:dyDescent="0.15">
      <c r="CP1035" s="31"/>
    </row>
    <row r="1036" spans="94:94" x14ac:dyDescent="0.15">
      <c r="CP1036" s="31"/>
    </row>
    <row r="1037" spans="94:94" x14ac:dyDescent="0.15">
      <c r="CP1037" s="31"/>
    </row>
    <row r="1038" spans="94:94" x14ac:dyDescent="0.15">
      <c r="CP1038" s="31"/>
    </row>
    <row r="1039" spans="94:94" x14ac:dyDescent="0.15">
      <c r="CP1039" s="31"/>
    </row>
    <row r="1040" spans="94:94" x14ac:dyDescent="0.15">
      <c r="CP1040" s="31"/>
    </row>
    <row r="1041" spans="94:94" x14ac:dyDescent="0.15">
      <c r="CP1041" s="31"/>
    </row>
    <row r="1042" spans="94:94" x14ac:dyDescent="0.15">
      <c r="CP1042" s="31"/>
    </row>
    <row r="1043" spans="94:94" x14ac:dyDescent="0.15">
      <c r="CP1043" s="31"/>
    </row>
    <row r="1044" spans="94:94" x14ac:dyDescent="0.15">
      <c r="CP1044" s="31"/>
    </row>
    <row r="1045" spans="94:94" x14ac:dyDescent="0.15">
      <c r="CP1045" s="31"/>
    </row>
    <row r="1046" spans="94:94" x14ac:dyDescent="0.15">
      <c r="CP1046" s="31"/>
    </row>
    <row r="1047" spans="94:94" x14ac:dyDescent="0.15">
      <c r="CP1047" s="31"/>
    </row>
    <row r="1048" spans="94:94" x14ac:dyDescent="0.15">
      <c r="CP1048" s="31"/>
    </row>
    <row r="1049" spans="94:94" x14ac:dyDescent="0.15">
      <c r="CP1049" s="31"/>
    </row>
    <row r="1050" spans="94:94" x14ac:dyDescent="0.15">
      <c r="CP1050" s="31"/>
    </row>
    <row r="1051" spans="94:94" x14ac:dyDescent="0.15">
      <c r="CP1051" s="31"/>
    </row>
    <row r="1052" spans="94:94" x14ac:dyDescent="0.15">
      <c r="CP1052" s="31"/>
    </row>
    <row r="1053" spans="94:94" x14ac:dyDescent="0.15">
      <c r="CP1053" s="31"/>
    </row>
    <row r="1054" spans="94:94" x14ac:dyDescent="0.15">
      <c r="CP1054" s="31"/>
    </row>
    <row r="1055" spans="94:94" x14ac:dyDescent="0.15">
      <c r="CP1055" s="31"/>
    </row>
    <row r="1056" spans="94:94" x14ac:dyDescent="0.15">
      <c r="CP1056" s="31"/>
    </row>
    <row r="1057" spans="94:94" x14ac:dyDescent="0.15">
      <c r="CP1057" s="31"/>
    </row>
    <row r="1058" spans="94:94" x14ac:dyDescent="0.15">
      <c r="CP1058" s="31"/>
    </row>
    <row r="1059" spans="94:94" x14ac:dyDescent="0.15">
      <c r="CP1059" s="31"/>
    </row>
    <row r="1060" spans="94:94" x14ac:dyDescent="0.15">
      <c r="CP1060" s="31"/>
    </row>
    <row r="1061" spans="94:94" x14ac:dyDescent="0.15">
      <c r="CP1061" s="31"/>
    </row>
    <row r="1062" spans="94:94" x14ac:dyDescent="0.15">
      <c r="CP1062" s="31"/>
    </row>
    <row r="1063" spans="94:94" x14ac:dyDescent="0.15">
      <c r="CP1063" s="31"/>
    </row>
    <row r="1064" spans="94:94" x14ac:dyDescent="0.15">
      <c r="CP1064" s="31"/>
    </row>
    <row r="1065" spans="94:94" x14ac:dyDescent="0.15">
      <c r="CP1065" s="31"/>
    </row>
    <row r="1066" spans="94:94" x14ac:dyDescent="0.15">
      <c r="CP1066" s="31"/>
    </row>
    <row r="1067" spans="94:94" x14ac:dyDescent="0.15">
      <c r="CP1067" s="31"/>
    </row>
    <row r="1068" spans="94:94" x14ac:dyDescent="0.15">
      <c r="CP1068" s="31"/>
    </row>
    <row r="1069" spans="94:94" x14ac:dyDescent="0.15">
      <c r="CP1069" s="31"/>
    </row>
    <row r="1070" spans="94:94" x14ac:dyDescent="0.15">
      <c r="CP1070" s="31"/>
    </row>
    <row r="1071" spans="94:94" x14ac:dyDescent="0.15">
      <c r="CP1071" s="31"/>
    </row>
    <row r="1072" spans="94:94" x14ac:dyDescent="0.15">
      <c r="CP1072" s="31"/>
    </row>
    <row r="1073" spans="94:94" x14ac:dyDescent="0.15">
      <c r="CP1073" s="31"/>
    </row>
    <row r="1074" spans="94:94" x14ac:dyDescent="0.15">
      <c r="CP1074" s="31"/>
    </row>
    <row r="1075" spans="94:94" x14ac:dyDescent="0.15">
      <c r="CP1075" s="31"/>
    </row>
    <row r="1076" spans="94:94" x14ac:dyDescent="0.15">
      <c r="CP1076" s="31"/>
    </row>
    <row r="1077" spans="94:94" x14ac:dyDescent="0.15">
      <c r="CP1077" s="31"/>
    </row>
    <row r="1078" spans="94:94" x14ac:dyDescent="0.15">
      <c r="CP1078" s="31"/>
    </row>
    <row r="1079" spans="94:94" x14ac:dyDescent="0.15">
      <c r="CP1079" s="31"/>
    </row>
    <row r="1080" spans="94:94" x14ac:dyDescent="0.15">
      <c r="CP1080" s="31"/>
    </row>
    <row r="1081" spans="94:94" x14ac:dyDescent="0.15">
      <c r="CP1081" s="31"/>
    </row>
    <row r="1082" spans="94:94" x14ac:dyDescent="0.15">
      <c r="CP1082" s="31"/>
    </row>
    <row r="1083" spans="94:94" x14ac:dyDescent="0.15">
      <c r="CP1083" s="31"/>
    </row>
    <row r="1084" spans="94:94" x14ac:dyDescent="0.15">
      <c r="CP1084" s="31"/>
    </row>
    <row r="1085" spans="94:94" x14ac:dyDescent="0.15">
      <c r="CP1085" s="31"/>
    </row>
    <row r="1086" spans="94:94" x14ac:dyDescent="0.15">
      <c r="CP1086" s="31"/>
    </row>
    <row r="1087" spans="94:94" x14ac:dyDescent="0.15">
      <c r="CP1087" s="31"/>
    </row>
    <row r="1088" spans="94:94" x14ac:dyDescent="0.15">
      <c r="CP1088" s="31"/>
    </row>
    <row r="1089" spans="94:94" x14ac:dyDescent="0.15">
      <c r="CP1089" s="31"/>
    </row>
    <row r="1090" spans="94:94" x14ac:dyDescent="0.15">
      <c r="CP1090" s="31"/>
    </row>
    <row r="1091" spans="94:94" x14ac:dyDescent="0.15">
      <c r="CP1091" s="31"/>
    </row>
    <row r="1092" spans="94:94" x14ac:dyDescent="0.15">
      <c r="CP1092" s="31"/>
    </row>
    <row r="1093" spans="94:94" x14ac:dyDescent="0.15">
      <c r="CP1093" s="31"/>
    </row>
    <row r="1094" spans="94:94" x14ac:dyDescent="0.15">
      <c r="CP1094" s="31"/>
    </row>
    <row r="1095" spans="94:94" x14ac:dyDescent="0.15">
      <c r="CP1095" s="31"/>
    </row>
    <row r="1096" spans="94:94" x14ac:dyDescent="0.15">
      <c r="CP1096" s="31"/>
    </row>
    <row r="1097" spans="94:94" x14ac:dyDescent="0.15">
      <c r="CP1097" s="31"/>
    </row>
    <row r="1098" spans="94:94" x14ac:dyDescent="0.15">
      <c r="CP1098" s="31"/>
    </row>
    <row r="1099" spans="94:94" x14ac:dyDescent="0.15">
      <c r="CP1099" s="31"/>
    </row>
    <row r="1100" spans="94:94" x14ac:dyDescent="0.15">
      <c r="CP1100" s="31"/>
    </row>
    <row r="1101" spans="94:94" x14ac:dyDescent="0.15">
      <c r="CP1101" s="31"/>
    </row>
    <row r="1102" spans="94:94" x14ac:dyDescent="0.15">
      <c r="CP1102" s="31"/>
    </row>
    <row r="1103" spans="94:94" x14ac:dyDescent="0.15">
      <c r="CP1103" s="31"/>
    </row>
    <row r="1104" spans="94:94" x14ac:dyDescent="0.15">
      <c r="CP1104" s="31"/>
    </row>
    <row r="1105" spans="94:94" x14ac:dyDescent="0.15">
      <c r="CP1105" s="31"/>
    </row>
    <row r="1106" spans="94:94" x14ac:dyDescent="0.15">
      <c r="CP1106" s="31"/>
    </row>
    <row r="1107" spans="94:94" x14ac:dyDescent="0.15">
      <c r="CP1107" s="31"/>
    </row>
    <row r="1108" spans="94:94" x14ac:dyDescent="0.15">
      <c r="CP1108" s="31"/>
    </row>
    <row r="1109" spans="94:94" x14ac:dyDescent="0.15">
      <c r="CP1109" s="31"/>
    </row>
    <row r="1110" spans="94:94" x14ac:dyDescent="0.15">
      <c r="CP1110" s="31"/>
    </row>
    <row r="1111" spans="94:94" x14ac:dyDescent="0.15">
      <c r="CP1111" s="31"/>
    </row>
    <row r="1112" spans="94:94" x14ac:dyDescent="0.15">
      <c r="CP1112" s="31"/>
    </row>
    <row r="1113" spans="94:94" x14ac:dyDescent="0.15">
      <c r="CP1113" s="31"/>
    </row>
    <row r="1114" spans="94:94" x14ac:dyDescent="0.15">
      <c r="CP1114" s="31"/>
    </row>
    <row r="1115" spans="94:94" x14ac:dyDescent="0.15">
      <c r="CP1115" s="31"/>
    </row>
    <row r="1116" spans="94:94" x14ac:dyDescent="0.15">
      <c r="CP1116" s="31"/>
    </row>
    <row r="1117" spans="94:94" x14ac:dyDescent="0.15">
      <c r="CP1117" s="31"/>
    </row>
    <row r="1118" spans="94:94" x14ac:dyDescent="0.15">
      <c r="CP1118" s="31"/>
    </row>
    <row r="1119" spans="94:94" x14ac:dyDescent="0.15">
      <c r="CP1119" s="31"/>
    </row>
    <row r="1120" spans="94:94" x14ac:dyDescent="0.15">
      <c r="CP1120" s="31"/>
    </row>
    <row r="1121" spans="94:94" x14ac:dyDescent="0.15">
      <c r="CP1121" s="31"/>
    </row>
    <row r="1122" spans="94:94" x14ac:dyDescent="0.15">
      <c r="CP1122" s="31"/>
    </row>
    <row r="1123" spans="94:94" x14ac:dyDescent="0.15">
      <c r="CP1123" s="31"/>
    </row>
    <row r="1124" spans="94:94" x14ac:dyDescent="0.15">
      <c r="CP1124" s="31"/>
    </row>
    <row r="1125" spans="94:94" x14ac:dyDescent="0.15">
      <c r="CP1125" s="31"/>
    </row>
    <row r="1126" spans="94:94" x14ac:dyDescent="0.15">
      <c r="CP1126" s="31"/>
    </row>
    <row r="1127" spans="94:94" x14ac:dyDescent="0.15">
      <c r="CP1127" s="31"/>
    </row>
    <row r="1128" spans="94:94" x14ac:dyDescent="0.15">
      <c r="CP1128" s="31"/>
    </row>
    <row r="1129" spans="94:94" x14ac:dyDescent="0.15">
      <c r="CP1129" s="31"/>
    </row>
    <row r="1130" spans="94:94" x14ac:dyDescent="0.15">
      <c r="CP1130" s="31"/>
    </row>
    <row r="1131" spans="94:94" x14ac:dyDescent="0.15">
      <c r="CP1131" s="31"/>
    </row>
    <row r="1132" spans="94:94" x14ac:dyDescent="0.15">
      <c r="CP1132" s="31"/>
    </row>
    <row r="1133" spans="94:94" x14ac:dyDescent="0.15">
      <c r="CP1133" s="31"/>
    </row>
    <row r="1134" spans="94:94" x14ac:dyDescent="0.15">
      <c r="CP1134" s="31"/>
    </row>
    <row r="1135" spans="94:94" x14ac:dyDescent="0.15">
      <c r="CP1135" s="31"/>
    </row>
    <row r="1136" spans="94:94" x14ac:dyDescent="0.15">
      <c r="CP1136" s="31"/>
    </row>
    <row r="1137" spans="94:94" x14ac:dyDescent="0.15">
      <c r="CP1137" s="31"/>
    </row>
    <row r="1138" spans="94:94" x14ac:dyDescent="0.15">
      <c r="CP1138" s="31"/>
    </row>
    <row r="1139" spans="94:94" x14ac:dyDescent="0.15">
      <c r="CP1139" s="31"/>
    </row>
    <row r="1140" spans="94:94" x14ac:dyDescent="0.15">
      <c r="CP1140" s="31"/>
    </row>
    <row r="1141" spans="94:94" x14ac:dyDescent="0.15">
      <c r="CP1141" s="31"/>
    </row>
    <row r="1142" spans="94:94" x14ac:dyDescent="0.15">
      <c r="CP1142" s="31"/>
    </row>
    <row r="1143" spans="94:94" x14ac:dyDescent="0.15">
      <c r="CP1143" s="31"/>
    </row>
    <row r="1144" spans="94:94" x14ac:dyDescent="0.15">
      <c r="CP1144" s="31"/>
    </row>
    <row r="1145" spans="94:94" x14ac:dyDescent="0.15">
      <c r="CP1145" s="31"/>
    </row>
    <row r="1146" spans="94:94" x14ac:dyDescent="0.15">
      <c r="CP1146" s="31"/>
    </row>
    <row r="1147" spans="94:94" x14ac:dyDescent="0.15">
      <c r="CP1147" s="31"/>
    </row>
    <row r="1148" spans="94:94" x14ac:dyDescent="0.15">
      <c r="CP1148" s="31"/>
    </row>
    <row r="1149" spans="94:94" x14ac:dyDescent="0.15">
      <c r="CP1149" s="31"/>
    </row>
    <row r="1150" spans="94:94" x14ac:dyDescent="0.15">
      <c r="CP1150" s="31"/>
    </row>
    <row r="1151" spans="94:94" x14ac:dyDescent="0.15">
      <c r="CP1151" s="31"/>
    </row>
    <row r="1152" spans="94:94" x14ac:dyDescent="0.15">
      <c r="CP1152" s="31"/>
    </row>
    <row r="1153" spans="94:94" x14ac:dyDescent="0.15">
      <c r="CP1153" s="31"/>
    </row>
    <row r="1154" spans="94:94" x14ac:dyDescent="0.15">
      <c r="CP1154" s="31"/>
    </row>
    <row r="1155" spans="94:94" x14ac:dyDescent="0.15">
      <c r="CP1155" s="31"/>
    </row>
    <row r="1156" spans="94:94" x14ac:dyDescent="0.15">
      <c r="CP1156" s="31"/>
    </row>
    <row r="1157" spans="94:94" x14ac:dyDescent="0.15">
      <c r="CP1157" s="31"/>
    </row>
    <row r="1158" spans="94:94" x14ac:dyDescent="0.15">
      <c r="CP1158" s="31"/>
    </row>
    <row r="1159" spans="94:94" x14ac:dyDescent="0.15">
      <c r="CP1159" s="31"/>
    </row>
    <row r="1160" spans="94:94" x14ac:dyDescent="0.15">
      <c r="CP1160" s="31"/>
    </row>
    <row r="1161" spans="94:94" x14ac:dyDescent="0.15">
      <c r="CP1161" s="31"/>
    </row>
    <row r="1162" spans="94:94" x14ac:dyDescent="0.15">
      <c r="CP1162" s="31"/>
    </row>
    <row r="1163" spans="94:94" x14ac:dyDescent="0.15">
      <c r="CP1163" s="31"/>
    </row>
    <row r="1164" spans="94:94" x14ac:dyDescent="0.15">
      <c r="CP1164" s="31"/>
    </row>
    <row r="1165" spans="94:94" x14ac:dyDescent="0.15">
      <c r="CP1165" s="31"/>
    </row>
    <row r="1166" spans="94:94" x14ac:dyDescent="0.15">
      <c r="CP1166" s="31"/>
    </row>
    <row r="1167" spans="94:94" x14ac:dyDescent="0.15">
      <c r="CP1167" s="31"/>
    </row>
    <row r="1168" spans="94:94" x14ac:dyDescent="0.15">
      <c r="CP1168" s="31"/>
    </row>
    <row r="1169" spans="94:94" x14ac:dyDescent="0.15">
      <c r="CP1169" s="31"/>
    </row>
    <row r="1170" spans="94:94" x14ac:dyDescent="0.15">
      <c r="CP1170" s="31"/>
    </row>
    <row r="1171" spans="94:94" x14ac:dyDescent="0.15">
      <c r="CP1171" s="31"/>
    </row>
    <row r="1172" spans="94:94" x14ac:dyDescent="0.15">
      <c r="CP1172" s="31"/>
    </row>
    <row r="1173" spans="94:94" x14ac:dyDescent="0.15">
      <c r="CP1173" s="31"/>
    </row>
    <row r="1174" spans="94:94" x14ac:dyDescent="0.15">
      <c r="CP1174" s="31"/>
    </row>
    <row r="1175" spans="94:94" x14ac:dyDescent="0.15">
      <c r="CP1175" s="31"/>
    </row>
    <row r="1176" spans="94:94" x14ac:dyDescent="0.15">
      <c r="CP1176" s="31"/>
    </row>
    <row r="1177" spans="94:94" x14ac:dyDescent="0.15">
      <c r="CP1177" s="31"/>
    </row>
    <row r="1178" spans="94:94" x14ac:dyDescent="0.15">
      <c r="CP1178" s="31"/>
    </row>
    <row r="1179" spans="94:94" x14ac:dyDescent="0.15">
      <c r="CP1179" s="31"/>
    </row>
    <row r="1180" spans="94:94" x14ac:dyDescent="0.15">
      <c r="CP1180" s="31"/>
    </row>
    <row r="1181" spans="94:94" x14ac:dyDescent="0.15">
      <c r="CP1181" s="31"/>
    </row>
    <row r="1182" spans="94:94" x14ac:dyDescent="0.15">
      <c r="CP1182" s="31"/>
    </row>
    <row r="1183" spans="94:94" x14ac:dyDescent="0.15">
      <c r="CP1183" s="31"/>
    </row>
    <row r="1184" spans="94:94" x14ac:dyDescent="0.15">
      <c r="CP1184" s="31"/>
    </row>
    <row r="1185" spans="94:94" x14ac:dyDescent="0.15">
      <c r="CP1185" s="31"/>
    </row>
    <row r="1186" spans="94:94" x14ac:dyDescent="0.15">
      <c r="CP1186" s="31"/>
    </row>
    <row r="1187" spans="94:94" x14ac:dyDescent="0.15">
      <c r="CP1187" s="31"/>
    </row>
    <row r="1188" spans="94:94" x14ac:dyDescent="0.15">
      <c r="CP1188" s="31"/>
    </row>
    <row r="1189" spans="94:94" x14ac:dyDescent="0.15">
      <c r="CP1189" s="31"/>
    </row>
    <row r="1190" spans="94:94" x14ac:dyDescent="0.15">
      <c r="CP1190" s="31"/>
    </row>
    <row r="1191" spans="94:94" x14ac:dyDescent="0.15">
      <c r="CP1191" s="31"/>
    </row>
    <row r="1192" spans="94:94" x14ac:dyDescent="0.15">
      <c r="CP1192" s="31"/>
    </row>
    <row r="1193" spans="94:94" x14ac:dyDescent="0.15">
      <c r="CP1193" s="31"/>
    </row>
    <row r="1194" spans="94:94" x14ac:dyDescent="0.15">
      <c r="CP1194" s="31"/>
    </row>
    <row r="1195" spans="94:94" x14ac:dyDescent="0.15">
      <c r="CP1195" s="31"/>
    </row>
    <row r="1196" spans="94:94" x14ac:dyDescent="0.15">
      <c r="CP1196" s="31"/>
    </row>
    <row r="1197" spans="94:94" x14ac:dyDescent="0.15">
      <c r="CP1197" s="31"/>
    </row>
    <row r="1198" spans="94:94" x14ac:dyDescent="0.15">
      <c r="CP1198" s="31"/>
    </row>
    <row r="1199" spans="94:94" x14ac:dyDescent="0.15">
      <c r="CP1199" s="31"/>
    </row>
    <row r="1200" spans="94:94" x14ac:dyDescent="0.15">
      <c r="CP1200" s="31"/>
    </row>
    <row r="1201" spans="94:94" x14ac:dyDescent="0.15">
      <c r="CP1201" s="31"/>
    </row>
    <row r="1202" spans="94:94" x14ac:dyDescent="0.15">
      <c r="CP1202" s="31"/>
    </row>
    <row r="1203" spans="94:94" x14ac:dyDescent="0.15">
      <c r="CP1203" s="31"/>
    </row>
    <row r="1204" spans="94:94" x14ac:dyDescent="0.15">
      <c r="CP1204" s="31"/>
    </row>
    <row r="1205" spans="94:94" x14ac:dyDescent="0.15">
      <c r="CP1205" s="31"/>
    </row>
    <row r="1206" spans="94:94" x14ac:dyDescent="0.15">
      <c r="CP1206" s="31"/>
    </row>
    <row r="1207" spans="94:94" x14ac:dyDescent="0.15">
      <c r="CP1207" s="31"/>
    </row>
    <row r="1208" spans="94:94" x14ac:dyDescent="0.15">
      <c r="CP1208" s="31"/>
    </row>
    <row r="1209" spans="94:94" x14ac:dyDescent="0.15">
      <c r="CP1209" s="31"/>
    </row>
    <row r="1210" spans="94:94" x14ac:dyDescent="0.15">
      <c r="CP1210" s="31"/>
    </row>
    <row r="1211" spans="94:94" x14ac:dyDescent="0.15">
      <c r="CP1211" s="31"/>
    </row>
    <row r="1212" spans="94:94" x14ac:dyDescent="0.15">
      <c r="CP1212" s="31"/>
    </row>
    <row r="1213" spans="94:94" x14ac:dyDescent="0.15">
      <c r="CP1213" s="31"/>
    </row>
    <row r="1214" spans="94:94" x14ac:dyDescent="0.15">
      <c r="CP1214" s="31"/>
    </row>
    <row r="1215" spans="94:94" x14ac:dyDescent="0.15">
      <c r="CP1215" s="31"/>
    </row>
    <row r="1216" spans="94:94" x14ac:dyDescent="0.15">
      <c r="CP1216" s="31"/>
    </row>
    <row r="1217" spans="94:94" x14ac:dyDescent="0.15">
      <c r="CP1217" s="31"/>
    </row>
    <row r="1218" spans="94:94" x14ac:dyDescent="0.15">
      <c r="CP1218" s="31"/>
    </row>
    <row r="1219" spans="94:94" x14ac:dyDescent="0.15">
      <c r="CP1219" s="31"/>
    </row>
    <row r="1220" spans="94:94" x14ac:dyDescent="0.15">
      <c r="CP1220" s="31"/>
    </row>
    <row r="1221" spans="94:94" x14ac:dyDescent="0.15">
      <c r="CP1221" s="31"/>
    </row>
    <row r="1222" spans="94:94" x14ac:dyDescent="0.15">
      <c r="CP1222" s="31"/>
    </row>
    <row r="1223" spans="94:94" x14ac:dyDescent="0.15">
      <c r="CP1223" s="31"/>
    </row>
    <row r="1224" spans="94:94" x14ac:dyDescent="0.15">
      <c r="CP1224" s="31"/>
    </row>
    <row r="1225" spans="94:94" x14ac:dyDescent="0.15">
      <c r="CP1225" s="31"/>
    </row>
    <row r="1226" spans="94:94" x14ac:dyDescent="0.15">
      <c r="CP1226" s="31"/>
    </row>
    <row r="1227" spans="94:94" x14ac:dyDescent="0.15">
      <c r="CP1227" s="31"/>
    </row>
    <row r="1228" spans="94:94" x14ac:dyDescent="0.15">
      <c r="CP1228" s="31"/>
    </row>
    <row r="1229" spans="94:94" x14ac:dyDescent="0.15">
      <c r="CP1229" s="31"/>
    </row>
    <row r="1230" spans="94:94" x14ac:dyDescent="0.15">
      <c r="CP1230" s="31"/>
    </row>
    <row r="1231" spans="94:94" x14ac:dyDescent="0.15">
      <c r="CP1231" s="31"/>
    </row>
    <row r="1232" spans="94:94" x14ac:dyDescent="0.15">
      <c r="CP1232" s="31"/>
    </row>
    <row r="1233" spans="94:94" x14ac:dyDescent="0.15">
      <c r="CP1233" s="31"/>
    </row>
    <row r="1234" spans="94:94" x14ac:dyDescent="0.15">
      <c r="CP1234" s="31"/>
    </row>
    <row r="1235" spans="94:94" x14ac:dyDescent="0.15">
      <c r="CP1235" s="31"/>
    </row>
    <row r="1236" spans="94:94" x14ac:dyDescent="0.15">
      <c r="CP1236" s="31"/>
    </row>
    <row r="1237" spans="94:94" x14ac:dyDescent="0.15">
      <c r="CP1237" s="31"/>
    </row>
    <row r="1238" spans="94:94" x14ac:dyDescent="0.15">
      <c r="CP1238" s="31"/>
    </row>
    <row r="1239" spans="94:94" x14ac:dyDescent="0.15">
      <c r="CP1239" s="31"/>
    </row>
    <row r="1240" spans="94:94" x14ac:dyDescent="0.15">
      <c r="CP1240" s="31"/>
    </row>
    <row r="1241" spans="94:94" x14ac:dyDescent="0.15">
      <c r="CP1241" s="31"/>
    </row>
    <row r="1242" spans="94:94" x14ac:dyDescent="0.15">
      <c r="CP1242" s="31"/>
    </row>
    <row r="1243" spans="94:94" x14ac:dyDescent="0.15">
      <c r="CP1243" s="31"/>
    </row>
    <row r="1244" spans="94:94" x14ac:dyDescent="0.15">
      <c r="CP1244" s="31"/>
    </row>
    <row r="1245" spans="94:94" x14ac:dyDescent="0.15">
      <c r="CP1245" s="31"/>
    </row>
    <row r="1246" spans="94:94" x14ac:dyDescent="0.15">
      <c r="CP1246" s="31"/>
    </row>
    <row r="1247" spans="94:94" x14ac:dyDescent="0.15">
      <c r="CP1247" s="31"/>
    </row>
    <row r="1248" spans="94:94" x14ac:dyDescent="0.15">
      <c r="CP1248" s="31"/>
    </row>
    <row r="1249" spans="94:94" x14ac:dyDescent="0.15">
      <c r="CP1249" s="31"/>
    </row>
    <row r="1250" spans="94:94" x14ac:dyDescent="0.15">
      <c r="CP1250" s="31"/>
    </row>
    <row r="1251" spans="94:94" x14ac:dyDescent="0.15">
      <c r="CP1251" s="31"/>
    </row>
    <row r="1252" spans="94:94" x14ac:dyDescent="0.15">
      <c r="CP1252" s="31"/>
    </row>
    <row r="1253" spans="94:94" x14ac:dyDescent="0.15">
      <c r="CP1253" s="31"/>
    </row>
    <row r="1254" spans="94:94" x14ac:dyDescent="0.15">
      <c r="CP1254" s="31"/>
    </row>
    <row r="1255" spans="94:94" x14ac:dyDescent="0.15">
      <c r="CP1255" s="31"/>
    </row>
    <row r="1256" spans="94:94" x14ac:dyDescent="0.15">
      <c r="CP1256" s="31"/>
    </row>
    <row r="1257" spans="94:94" x14ac:dyDescent="0.15">
      <c r="CP1257" s="31"/>
    </row>
    <row r="1258" spans="94:94" x14ac:dyDescent="0.15">
      <c r="CP1258" s="31"/>
    </row>
    <row r="1259" spans="94:94" x14ac:dyDescent="0.15">
      <c r="CP1259" s="31"/>
    </row>
    <row r="1260" spans="94:94" x14ac:dyDescent="0.15">
      <c r="CP1260" s="31"/>
    </row>
    <row r="1261" spans="94:94" x14ac:dyDescent="0.15">
      <c r="CP1261" s="31"/>
    </row>
    <row r="1262" spans="94:94" x14ac:dyDescent="0.15">
      <c r="CP1262" s="31"/>
    </row>
    <row r="1263" spans="94:94" x14ac:dyDescent="0.15">
      <c r="CP1263" s="31"/>
    </row>
    <row r="1264" spans="94:94" x14ac:dyDescent="0.15">
      <c r="CP1264" s="31"/>
    </row>
    <row r="1265" spans="94:94" x14ac:dyDescent="0.15">
      <c r="CP1265" s="31"/>
    </row>
    <row r="1266" spans="94:94" x14ac:dyDescent="0.15">
      <c r="CP1266" s="31"/>
    </row>
    <row r="1267" spans="94:94" x14ac:dyDescent="0.15">
      <c r="CP1267" s="31"/>
    </row>
    <row r="1268" spans="94:94" x14ac:dyDescent="0.15">
      <c r="CP1268" s="31"/>
    </row>
    <row r="1269" spans="94:94" x14ac:dyDescent="0.15">
      <c r="CP1269" s="31"/>
    </row>
    <row r="1270" spans="94:94" x14ac:dyDescent="0.15">
      <c r="CP1270" s="31"/>
    </row>
    <row r="1271" spans="94:94" x14ac:dyDescent="0.15">
      <c r="CP1271" s="31"/>
    </row>
    <row r="1272" spans="94:94" x14ac:dyDescent="0.15">
      <c r="CP1272" s="31"/>
    </row>
    <row r="1273" spans="94:94" x14ac:dyDescent="0.15">
      <c r="CP1273" s="31"/>
    </row>
    <row r="1274" spans="94:94" x14ac:dyDescent="0.15">
      <c r="CP1274" s="31"/>
    </row>
    <row r="1275" spans="94:94" x14ac:dyDescent="0.15">
      <c r="CP1275" s="31"/>
    </row>
    <row r="1276" spans="94:94" x14ac:dyDescent="0.15">
      <c r="CP1276" s="31"/>
    </row>
    <row r="1277" spans="94:94" x14ac:dyDescent="0.15">
      <c r="CP1277" s="31"/>
    </row>
    <row r="1278" spans="94:94" x14ac:dyDescent="0.15">
      <c r="CP1278" s="31"/>
    </row>
    <row r="1279" spans="94:94" x14ac:dyDescent="0.15">
      <c r="CP1279" s="31"/>
    </row>
    <row r="1280" spans="94:94" x14ac:dyDescent="0.15">
      <c r="CP1280" s="31"/>
    </row>
    <row r="1281" spans="94:94" x14ac:dyDescent="0.15">
      <c r="CP1281" s="31"/>
    </row>
    <row r="1282" spans="94:94" x14ac:dyDescent="0.15">
      <c r="CP1282" s="31"/>
    </row>
    <row r="1283" spans="94:94" x14ac:dyDescent="0.15">
      <c r="CP1283" s="31"/>
    </row>
    <row r="1284" spans="94:94" x14ac:dyDescent="0.15">
      <c r="CP1284" s="31"/>
    </row>
    <row r="1285" spans="94:94" x14ac:dyDescent="0.15">
      <c r="CP1285" s="31"/>
    </row>
    <row r="1286" spans="94:94" x14ac:dyDescent="0.15">
      <c r="CP1286" s="31"/>
    </row>
    <row r="1287" spans="94:94" x14ac:dyDescent="0.15">
      <c r="CP1287" s="31"/>
    </row>
    <row r="1288" spans="94:94" x14ac:dyDescent="0.15">
      <c r="CP1288" s="31"/>
    </row>
    <row r="1289" spans="94:94" x14ac:dyDescent="0.15">
      <c r="CP1289" s="31"/>
    </row>
    <row r="1290" spans="94:94" x14ac:dyDescent="0.15">
      <c r="CP1290" s="31"/>
    </row>
    <row r="1291" spans="94:94" x14ac:dyDescent="0.15">
      <c r="CP1291" s="31"/>
    </row>
    <row r="1292" spans="94:94" x14ac:dyDescent="0.15">
      <c r="CP1292" s="31"/>
    </row>
    <row r="1293" spans="94:94" x14ac:dyDescent="0.15">
      <c r="CP1293" s="31"/>
    </row>
    <row r="1294" spans="94:94" x14ac:dyDescent="0.15">
      <c r="CP1294" s="31"/>
    </row>
    <row r="1295" spans="94:94" x14ac:dyDescent="0.15">
      <c r="CP1295" s="31"/>
    </row>
    <row r="1296" spans="94:94" x14ac:dyDescent="0.15">
      <c r="CP1296" s="31"/>
    </row>
    <row r="1297" spans="94:94" x14ac:dyDescent="0.15">
      <c r="CP1297" s="31"/>
    </row>
    <row r="1298" spans="94:94" x14ac:dyDescent="0.15">
      <c r="CP1298" s="31"/>
    </row>
    <row r="1299" spans="94:94" x14ac:dyDescent="0.15">
      <c r="CP1299" s="31"/>
    </row>
    <row r="1300" spans="94:94" x14ac:dyDescent="0.15">
      <c r="CP1300" s="31"/>
    </row>
    <row r="1301" spans="94:94" x14ac:dyDescent="0.15">
      <c r="CP1301" s="31"/>
    </row>
    <row r="1302" spans="94:94" x14ac:dyDescent="0.15">
      <c r="CP1302" s="31"/>
    </row>
    <row r="1303" spans="94:94" x14ac:dyDescent="0.15">
      <c r="CP1303" s="31"/>
    </row>
    <row r="1304" spans="94:94" x14ac:dyDescent="0.15">
      <c r="CP1304" s="31"/>
    </row>
    <row r="1305" spans="94:94" x14ac:dyDescent="0.15">
      <c r="CP1305" s="31"/>
    </row>
    <row r="1306" spans="94:94" x14ac:dyDescent="0.15">
      <c r="CP1306" s="31"/>
    </row>
    <row r="1307" spans="94:94" x14ac:dyDescent="0.15">
      <c r="CP1307" s="31"/>
    </row>
    <row r="1308" spans="94:94" x14ac:dyDescent="0.15">
      <c r="CP1308" s="31"/>
    </row>
    <row r="1309" spans="94:94" x14ac:dyDescent="0.15">
      <c r="CP1309" s="31"/>
    </row>
    <row r="1310" spans="94:94" x14ac:dyDescent="0.15">
      <c r="CP1310" s="31"/>
    </row>
    <row r="1311" spans="94:94" x14ac:dyDescent="0.15">
      <c r="CP1311" s="31"/>
    </row>
    <row r="1312" spans="94:94" x14ac:dyDescent="0.15">
      <c r="CP1312" s="31"/>
    </row>
    <row r="1313" spans="94:94" x14ac:dyDescent="0.15">
      <c r="CP1313" s="31"/>
    </row>
    <row r="1314" spans="94:94" x14ac:dyDescent="0.15">
      <c r="CP1314" s="31"/>
    </row>
    <row r="1315" spans="94:94" x14ac:dyDescent="0.15">
      <c r="CP1315" s="31"/>
    </row>
    <row r="1316" spans="94:94" x14ac:dyDescent="0.15">
      <c r="CP1316" s="31"/>
    </row>
    <row r="1317" spans="94:94" x14ac:dyDescent="0.15">
      <c r="CP1317" s="31"/>
    </row>
    <row r="1318" spans="94:94" x14ac:dyDescent="0.15">
      <c r="CP1318" s="31"/>
    </row>
    <row r="1319" spans="94:94" x14ac:dyDescent="0.15">
      <c r="CP1319" s="31"/>
    </row>
    <row r="1320" spans="94:94" x14ac:dyDescent="0.15">
      <c r="CP1320" s="31"/>
    </row>
    <row r="1321" spans="94:94" x14ac:dyDescent="0.15">
      <c r="CP1321" s="31"/>
    </row>
    <row r="1322" spans="94:94" x14ac:dyDescent="0.15">
      <c r="CP1322" s="31"/>
    </row>
    <row r="1323" spans="94:94" x14ac:dyDescent="0.15">
      <c r="CP1323" s="31"/>
    </row>
    <row r="1324" spans="94:94" x14ac:dyDescent="0.15">
      <c r="CP1324" s="31"/>
    </row>
    <row r="1325" spans="94:94" x14ac:dyDescent="0.15">
      <c r="CP1325" s="31"/>
    </row>
    <row r="1326" spans="94:94" x14ac:dyDescent="0.15">
      <c r="CP1326" s="31"/>
    </row>
    <row r="1327" spans="94:94" x14ac:dyDescent="0.15">
      <c r="CP1327" s="31"/>
    </row>
    <row r="1328" spans="94:94" x14ac:dyDescent="0.15">
      <c r="CP1328" s="31"/>
    </row>
    <row r="1329" spans="94:94" x14ac:dyDescent="0.15">
      <c r="CP1329" s="31"/>
    </row>
    <row r="1330" spans="94:94" x14ac:dyDescent="0.15">
      <c r="CP1330" s="31"/>
    </row>
    <row r="1331" spans="94:94" x14ac:dyDescent="0.15">
      <c r="CP1331" s="31"/>
    </row>
    <row r="1332" spans="94:94" x14ac:dyDescent="0.15">
      <c r="CP1332" s="31"/>
    </row>
    <row r="1333" spans="94:94" x14ac:dyDescent="0.15">
      <c r="CP1333" s="31"/>
    </row>
    <row r="1334" spans="94:94" x14ac:dyDescent="0.15">
      <c r="CP1334" s="31"/>
    </row>
    <row r="1335" spans="94:94" x14ac:dyDescent="0.15">
      <c r="CP1335" s="31"/>
    </row>
    <row r="1336" spans="94:94" x14ac:dyDescent="0.15">
      <c r="CP1336" s="31"/>
    </row>
    <row r="1337" spans="94:94" x14ac:dyDescent="0.15">
      <c r="CP1337" s="31"/>
    </row>
    <row r="1338" spans="94:94" x14ac:dyDescent="0.15">
      <c r="CP1338" s="31"/>
    </row>
    <row r="1339" spans="94:94" x14ac:dyDescent="0.15">
      <c r="CP1339" s="31"/>
    </row>
    <row r="1340" spans="94:94" x14ac:dyDescent="0.15">
      <c r="CP1340" s="31"/>
    </row>
    <row r="1341" spans="94:94" x14ac:dyDescent="0.15">
      <c r="CP1341" s="31"/>
    </row>
    <row r="1342" spans="94:94" x14ac:dyDescent="0.15">
      <c r="CP1342" s="31"/>
    </row>
    <row r="1343" spans="94:94" x14ac:dyDescent="0.15">
      <c r="CP1343" s="31"/>
    </row>
    <row r="1344" spans="94:94" x14ac:dyDescent="0.15">
      <c r="CP1344" s="31"/>
    </row>
    <row r="1345" spans="94:94" x14ac:dyDescent="0.15">
      <c r="CP1345" s="31"/>
    </row>
    <row r="1346" spans="94:94" x14ac:dyDescent="0.15">
      <c r="CP1346" s="31"/>
    </row>
    <row r="1347" spans="94:94" x14ac:dyDescent="0.15">
      <c r="CP1347" s="31"/>
    </row>
    <row r="1348" spans="94:94" x14ac:dyDescent="0.15">
      <c r="CP1348" s="31"/>
    </row>
    <row r="1349" spans="94:94" x14ac:dyDescent="0.15">
      <c r="CP1349" s="31"/>
    </row>
    <row r="1350" spans="94:94" x14ac:dyDescent="0.15">
      <c r="CP1350" s="31"/>
    </row>
    <row r="1351" spans="94:94" x14ac:dyDescent="0.15">
      <c r="CP1351" s="31"/>
    </row>
    <row r="1352" spans="94:94" x14ac:dyDescent="0.15">
      <c r="CP1352" s="31"/>
    </row>
    <row r="1353" spans="94:94" x14ac:dyDescent="0.15">
      <c r="CP1353" s="31"/>
    </row>
    <row r="1354" spans="94:94" x14ac:dyDescent="0.15">
      <c r="CP1354" s="31"/>
    </row>
    <row r="1355" spans="94:94" x14ac:dyDescent="0.15">
      <c r="CP1355" s="31"/>
    </row>
    <row r="1356" spans="94:94" x14ac:dyDescent="0.15">
      <c r="CP1356" s="31"/>
    </row>
    <row r="1357" spans="94:94" x14ac:dyDescent="0.15">
      <c r="CP1357" s="31"/>
    </row>
    <row r="1358" spans="94:94" x14ac:dyDescent="0.15">
      <c r="CP1358" s="31"/>
    </row>
    <row r="1359" spans="94:94" x14ac:dyDescent="0.15">
      <c r="CP1359" s="31"/>
    </row>
    <row r="1360" spans="94:94" x14ac:dyDescent="0.15">
      <c r="CP1360" s="31"/>
    </row>
    <row r="1361" spans="94:94" x14ac:dyDescent="0.15">
      <c r="CP1361" s="31"/>
    </row>
    <row r="1362" spans="94:94" x14ac:dyDescent="0.15">
      <c r="CP1362" s="31"/>
    </row>
    <row r="1363" spans="94:94" x14ac:dyDescent="0.15">
      <c r="CP1363" s="31"/>
    </row>
    <row r="1364" spans="94:94" x14ac:dyDescent="0.15">
      <c r="CP1364" s="31"/>
    </row>
    <row r="1365" spans="94:94" x14ac:dyDescent="0.15">
      <c r="CP1365" s="31"/>
    </row>
    <row r="1366" spans="94:94" x14ac:dyDescent="0.15">
      <c r="CP1366" s="31"/>
    </row>
    <row r="1367" spans="94:94" x14ac:dyDescent="0.15">
      <c r="CP1367" s="31"/>
    </row>
    <row r="1368" spans="94:94" x14ac:dyDescent="0.15">
      <c r="CP1368" s="31"/>
    </row>
    <row r="1369" spans="94:94" x14ac:dyDescent="0.15">
      <c r="CP1369" s="31"/>
    </row>
    <row r="1370" spans="94:94" x14ac:dyDescent="0.15">
      <c r="CP1370" s="31"/>
    </row>
    <row r="1371" spans="94:94" x14ac:dyDescent="0.15">
      <c r="CP1371" s="31"/>
    </row>
    <row r="1372" spans="94:94" x14ac:dyDescent="0.15">
      <c r="CP1372" s="31"/>
    </row>
    <row r="1373" spans="94:94" x14ac:dyDescent="0.15">
      <c r="CP1373" s="31"/>
    </row>
    <row r="1374" spans="94:94" x14ac:dyDescent="0.15">
      <c r="CP1374" s="31"/>
    </row>
    <row r="1375" spans="94:94" x14ac:dyDescent="0.15">
      <c r="CP1375" s="31"/>
    </row>
    <row r="1376" spans="94:94" x14ac:dyDescent="0.15">
      <c r="CP1376" s="31"/>
    </row>
    <row r="1377" spans="94:94" x14ac:dyDescent="0.15">
      <c r="CP1377" s="31"/>
    </row>
    <row r="1378" spans="94:94" x14ac:dyDescent="0.15">
      <c r="CP1378" s="31"/>
    </row>
    <row r="1379" spans="94:94" x14ac:dyDescent="0.15">
      <c r="CP1379" s="31"/>
    </row>
    <row r="1380" spans="94:94" x14ac:dyDescent="0.15">
      <c r="CP1380" s="31"/>
    </row>
    <row r="1381" spans="94:94" x14ac:dyDescent="0.15">
      <c r="CP1381" s="31"/>
    </row>
    <row r="1382" spans="94:94" x14ac:dyDescent="0.15">
      <c r="CP1382" s="31"/>
    </row>
    <row r="1383" spans="94:94" x14ac:dyDescent="0.15">
      <c r="CP1383" s="31"/>
    </row>
    <row r="1384" spans="94:94" x14ac:dyDescent="0.15">
      <c r="CP1384" s="31"/>
    </row>
    <row r="1385" spans="94:94" x14ac:dyDescent="0.15">
      <c r="CP1385" s="31"/>
    </row>
    <row r="1386" spans="94:94" x14ac:dyDescent="0.15">
      <c r="CP1386" s="31"/>
    </row>
    <row r="1387" spans="94:94" x14ac:dyDescent="0.15">
      <c r="CP1387" s="31"/>
    </row>
    <row r="1388" spans="94:94" x14ac:dyDescent="0.15">
      <c r="CP1388" s="31"/>
    </row>
    <row r="1389" spans="94:94" x14ac:dyDescent="0.15">
      <c r="CP1389" s="31"/>
    </row>
    <row r="1390" spans="94:94" x14ac:dyDescent="0.15">
      <c r="CP1390" s="31"/>
    </row>
    <row r="1391" spans="94:94" x14ac:dyDescent="0.15">
      <c r="CP1391" s="31"/>
    </row>
    <row r="1392" spans="94:94" x14ac:dyDescent="0.15">
      <c r="CP1392" s="31"/>
    </row>
    <row r="1393" spans="94:94" x14ac:dyDescent="0.15">
      <c r="CP1393" s="31"/>
    </row>
    <row r="1394" spans="94:94" x14ac:dyDescent="0.15">
      <c r="CP1394" s="31"/>
    </row>
    <row r="1395" spans="94:94" x14ac:dyDescent="0.15">
      <c r="CP1395" s="31"/>
    </row>
    <row r="1396" spans="94:94" x14ac:dyDescent="0.15">
      <c r="CP1396" s="31"/>
    </row>
    <row r="1397" spans="94:94" x14ac:dyDescent="0.15">
      <c r="CP1397" s="31"/>
    </row>
    <row r="1398" spans="94:94" x14ac:dyDescent="0.15">
      <c r="CP1398" s="31"/>
    </row>
    <row r="1399" spans="94:94" x14ac:dyDescent="0.15">
      <c r="CP1399" s="31"/>
    </row>
    <row r="1400" spans="94:94" x14ac:dyDescent="0.15">
      <c r="CP1400" s="31"/>
    </row>
    <row r="1401" spans="94:94" x14ac:dyDescent="0.15">
      <c r="CP1401" s="31"/>
    </row>
    <row r="1402" spans="94:94" x14ac:dyDescent="0.15">
      <c r="CP1402" s="31"/>
    </row>
    <row r="1403" spans="94:94" x14ac:dyDescent="0.15">
      <c r="CP1403" s="31"/>
    </row>
    <row r="1404" spans="94:94" x14ac:dyDescent="0.15">
      <c r="CP1404" s="31"/>
    </row>
    <row r="1405" spans="94:94" x14ac:dyDescent="0.15">
      <c r="CP1405" s="31"/>
    </row>
    <row r="1406" spans="94:94" x14ac:dyDescent="0.15">
      <c r="CP1406" s="31"/>
    </row>
    <row r="1407" spans="94:94" x14ac:dyDescent="0.15">
      <c r="CP1407" s="31"/>
    </row>
    <row r="1408" spans="94:94" x14ac:dyDescent="0.15">
      <c r="CP1408" s="31"/>
    </row>
    <row r="1409" spans="94:94" x14ac:dyDescent="0.15">
      <c r="CP1409" s="31"/>
    </row>
    <row r="1410" spans="94:94" x14ac:dyDescent="0.15">
      <c r="CP1410" s="31"/>
    </row>
    <row r="1411" spans="94:94" x14ac:dyDescent="0.15">
      <c r="CP1411" s="31"/>
    </row>
    <row r="1412" spans="94:94" x14ac:dyDescent="0.15">
      <c r="CP1412" s="31"/>
    </row>
    <row r="1413" spans="94:94" x14ac:dyDescent="0.15">
      <c r="CP1413" s="31"/>
    </row>
    <row r="1414" spans="94:94" x14ac:dyDescent="0.15">
      <c r="CP1414" s="31"/>
    </row>
    <row r="1415" spans="94:94" x14ac:dyDescent="0.15">
      <c r="CP1415" s="31"/>
    </row>
    <row r="1416" spans="94:94" x14ac:dyDescent="0.15">
      <c r="CP1416" s="31"/>
    </row>
    <row r="1417" spans="94:94" x14ac:dyDescent="0.15">
      <c r="CP1417" s="31"/>
    </row>
    <row r="1418" spans="94:94" x14ac:dyDescent="0.15">
      <c r="CP1418" s="31"/>
    </row>
    <row r="1419" spans="94:94" x14ac:dyDescent="0.15">
      <c r="CP1419" s="31"/>
    </row>
    <row r="1420" spans="94:94" x14ac:dyDescent="0.15">
      <c r="CP1420" s="31"/>
    </row>
    <row r="1421" spans="94:94" x14ac:dyDescent="0.15">
      <c r="CP1421" s="31"/>
    </row>
    <row r="1422" spans="94:94" x14ac:dyDescent="0.15">
      <c r="CP1422" s="31"/>
    </row>
    <row r="1423" spans="94:94" x14ac:dyDescent="0.15">
      <c r="CP1423" s="31"/>
    </row>
    <row r="1424" spans="94:94" x14ac:dyDescent="0.15">
      <c r="CP1424" s="31"/>
    </row>
    <row r="1425" spans="94:94" x14ac:dyDescent="0.15">
      <c r="CP1425" s="31"/>
    </row>
    <row r="1426" spans="94:94" x14ac:dyDescent="0.15">
      <c r="CP1426" s="31"/>
    </row>
    <row r="1427" spans="94:94" x14ac:dyDescent="0.15">
      <c r="CP1427" s="31"/>
    </row>
    <row r="1428" spans="94:94" x14ac:dyDescent="0.15">
      <c r="CP1428" s="31"/>
    </row>
    <row r="1429" spans="94:94" x14ac:dyDescent="0.15">
      <c r="CP1429" s="31"/>
    </row>
    <row r="1430" spans="94:94" x14ac:dyDescent="0.15">
      <c r="CP1430" s="31"/>
    </row>
    <row r="1431" spans="94:94" x14ac:dyDescent="0.15">
      <c r="CP1431" s="31"/>
    </row>
    <row r="1432" spans="94:94" x14ac:dyDescent="0.15">
      <c r="CP1432" s="31"/>
    </row>
    <row r="1433" spans="94:94" x14ac:dyDescent="0.15">
      <c r="CP1433" s="31"/>
    </row>
    <row r="1434" spans="94:94" x14ac:dyDescent="0.15">
      <c r="CP1434" s="31"/>
    </row>
    <row r="1435" spans="94:94" x14ac:dyDescent="0.15">
      <c r="CP1435" s="31"/>
    </row>
    <row r="1436" spans="94:94" x14ac:dyDescent="0.15">
      <c r="CP1436" s="31"/>
    </row>
    <row r="1437" spans="94:94" x14ac:dyDescent="0.15">
      <c r="CP1437" s="31"/>
    </row>
    <row r="1438" spans="94:94" x14ac:dyDescent="0.15">
      <c r="CP1438" s="31"/>
    </row>
    <row r="1439" spans="94:94" x14ac:dyDescent="0.15">
      <c r="CP1439" s="31"/>
    </row>
    <row r="1440" spans="94:94" x14ac:dyDescent="0.15">
      <c r="CP1440" s="31"/>
    </row>
    <row r="1441" spans="94:94" x14ac:dyDescent="0.15">
      <c r="CP1441" s="31"/>
    </row>
    <row r="1442" spans="94:94" x14ac:dyDescent="0.15">
      <c r="CP1442" s="31"/>
    </row>
    <row r="1443" spans="94:94" x14ac:dyDescent="0.15">
      <c r="CP1443" s="31"/>
    </row>
    <row r="1444" spans="94:94" x14ac:dyDescent="0.15">
      <c r="CP1444" s="31"/>
    </row>
    <row r="1445" spans="94:94" x14ac:dyDescent="0.15">
      <c r="CP1445" s="31"/>
    </row>
    <row r="1446" spans="94:94" x14ac:dyDescent="0.15">
      <c r="CP1446" s="31"/>
    </row>
    <row r="1447" spans="94:94" x14ac:dyDescent="0.15">
      <c r="CP1447" s="31"/>
    </row>
    <row r="1448" spans="94:94" x14ac:dyDescent="0.15">
      <c r="CP1448" s="31"/>
    </row>
    <row r="1449" spans="94:94" x14ac:dyDescent="0.15">
      <c r="CP1449" s="31"/>
    </row>
    <row r="1450" spans="94:94" x14ac:dyDescent="0.15">
      <c r="CP1450" s="31"/>
    </row>
    <row r="1451" spans="94:94" x14ac:dyDescent="0.15">
      <c r="CP1451" s="31"/>
    </row>
    <row r="1452" spans="94:94" x14ac:dyDescent="0.15">
      <c r="CP1452" s="31"/>
    </row>
    <row r="1453" spans="94:94" x14ac:dyDescent="0.15">
      <c r="CP1453" s="31"/>
    </row>
    <row r="1454" spans="94:94" x14ac:dyDescent="0.15">
      <c r="CP1454" s="31"/>
    </row>
    <row r="1455" spans="94:94" x14ac:dyDescent="0.15">
      <c r="CP1455" s="31"/>
    </row>
    <row r="1456" spans="94:94" x14ac:dyDescent="0.15">
      <c r="CP1456" s="31"/>
    </row>
    <row r="1457" spans="94:94" x14ac:dyDescent="0.15">
      <c r="CP1457" s="31"/>
    </row>
    <row r="1458" spans="94:94" x14ac:dyDescent="0.15">
      <c r="CP1458" s="31"/>
    </row>
    <row r="1459" spans="94:94" x14ac:dyDescent="0.15">
      <c r="CP1459" s="31"/>
    </row>
    <row r="1460" spans="94:94" x14ac:dyDescent="0.15">
      <c r="CP1460" s="31"/>
    </row>
    <row r="1461" spans="94:94" x14ac:dyDescent="0.15">
      <c r="CP1461" s="31"/>
    </row>
    <row r="1462" spans="94:94" x14ac:dyDescent="0.15">
      <c r="CP1462" s="31"/>
    </row>
    <row r="1463" spans="94:94" x14ac:dyDescent="0.15">
      <c r="CP1463" s="31"/>
    </row>
    <row r="1464" spans="94:94" x14ac:dyDescent="0.15">
      <c r="CP1464" s="31"/>
    </row>
    <row r="1465" spans="94:94" x14ac:dyDescent="0.15">
      <c r="CP1465" s="31"/>
    </row>
    <row r="1466" spans="94:94" x14ac:dyDescent="0.15">
      <c r="CP1466" s="31"/>
    </row>
    <row r="1467" spans="94:94" x14ac:dyDescent="0.15">
      <c r="CP1467" s="31"/>
    </row>
    <row r="1468" spans="94:94" x14ac:dyDescent="0.15">
      <c r="CP1468" s="31"/>
    </row>
    <row r="1469" spans="94:94" x14ac:dyDescent="0.15">
      <c r="CP1469" s="31"/>
    </row>
    <row r="1470" spans="94:94" x14ac:dyDescent="0.15">
      <c r="CP1470" s="31"/>
    </row>
    <row r="1471" spans="94:94" x14ac:dyDescent="0.15">
      <c r="CP1471" s="31"/>
    </row>
    <row r="1472" spans="94:94" x14ac:dyDescent="0.15">
      <c r="CP1472" s="31"/>
    </row>
    <row r="1473" spans="94:94" x14ac:dyDescent="0.15">
      <c r="CP1473" s="31"/>
    </row>
    <row r="1474" spans="94:94" x14ac:dyDescent="0.15">
      <c r="CP1474" s="31"/>
    </row>
    <row r="1475" spans="94:94" x14ac:dyDescent="0.15">
      <c r="CP1475" s="31"/>
    </row>
    <row r="1476" spans="94:94" x14ac:dyDescent="0.15">
      <c r="CP1476" s="31"/>
    </row>
    <row r="1477" spans="94:94" x14ac:dyDescent="0.15">
      <c r="CP1477" s="31"/>
    </row>
    <row r="1478" spans="94:94" x14ac:dyDescent="0.15">
      <c r="CP1478" s="31"/>
    </row>
    <row r="1479" spans="94:94" x14ac:dyDescent="0.15">
      <c r="CP1479" s="31"/>
    </row>
    <row r="1480" spans="94:94" x14ac:dyDescent="0.15">
      <c r="CP1480" s="31"/>
    </row>
    <row r="1481" spans="94:94" x14ac:dyDescent="0.15">
      <c r="CP1481" s="31"/>
    </row>
    <row r="1482" spans="94:94" x14ac:dyDescent="0.15">
      <c r="CP1482" s="31"/>
    </row>
    <row r="1483" spans="94:94" x14ac:dyDescent="0.15">
      <c r="CP1483" s="31"/>
    </row>
    <row r="1484" spans="94:94" x14ac:dyDescent="0.15">
      <c r="CP1484" s="31"/>
    </row>
    <row r="1485" spans="94:94" x14ac:dyDescent="0.15">
      <c r="CP1485" s="31"/>
    </row>
    <row r="1486" spans="94:94" x14ac:dyDescent="0.15">
      <c r="CP1486" s="31"/>
    </row>
    <row r="1487" spans="94:94" x14ac:dyDescent="0.15">
      <c r="CP1487" s="31"/>
    </row>
    <row r="1488" spans="94:94" x14ac:dyDescent="0.15">
      <c r="CP1488" s="31"/>
    </row>
    <row r="1489" spans="94:94" x14ac:dyDescent="0.15">
      <c r="CP1489" s="31"/>
    </row>
    <row r="1490" spans="94:94" x14ac:dyDescent="0.15">
      <c r="CP1490" s="31"/>
    </row>
    <row r="1491" spans="94:94" x14ac:dyDescent="0.15">
      <c r="CP1491" s="31"/>
    </row>
    <row r="1492" spans="94:94" x14ac:dyDescent="0.15">
      <c r="CP1492" s="31"/>
    </row>
    <row r="1493" spans="94:94" x14ac:dyDescent="0.15">
      <c r="CP1493" s="31"/>
    </row>
    <row r="1494" spans="94:94" x14ac:dyDescent="0.15">
      <c r="CP1494" s="31"/>
    </row>
    <row r="1495" spans="94:94" x14ac:dyDescent="0.15">
      <c r="CP1495" s="31"/>
    </row>
    <row r="1496" spans="94:94" x14ac:dyDescent="0.15">
      <c r="CP1496" s="31"/>
    </row>
    <row r="1497" spans="94:94" x14ac:dyDescent="0.15">
      <c r="CP1497" s="31"/>
    </row>
    <row r="1498" spans="94:94" x14ac:dyDescent="0.15">
      <c r="CP1498" s="31"/>
    </row>
    <row r="1499" spans="94:94" x14ac:dyDescent="0.15">
      <c r="CP1499" s="31"/>
    </row>
    <row r="1500" spans="94:94" x14ac:dyDescent="0.15">
      <c r="CP1500" s="31"/>
    </row>
    <row r="1501" spans="94:94" x14ac:dyDescent="0.15">
      <c r="CP1501" s="31"/>
    </row>
    <row r="1502" spans="94:94" x14ac:dyDescent="0.15">
      <c r="CP1502" s="31"/>
    </row>
    <row r="1503" spans="94:94" x14ac:dyDescent="0.15">
      <c r="CP1503" s="31"/>
    </row>
    <row r="1504" spans="94:94" x14ac:dyDescent="0.15">
      <c r="CP1504" s="31"/>
    </row>
    <row r="1505" spans="94:94" x14ac:dyDescent="0.15">
      <c r="CP1505" s="31"/>
    </row>
    <row r="1506" spans="94:94" x14ac:dyDescent="0.15">
      <c r="CP1506" s="31"/>
    </row>
    <row r="1507" spans="94:94" x14ac:dyDescent="0.15">
      <c r="CP1507" s="31"/>
    </row>
    <row r="1508" spans="94:94" x14ac:dyDescent="0.15">
      <c r="CP1508" s="31"/>
    </row>
    <row r="1509" spans="94:94" x14ac:dyDescent="0.15">
      <c r="CP1509" s="31"/>
    </row>
    <row r="1510" spans="94:94" x14ac:dyDescent="0.15">
      <c r="CP1510" s="31"/>
    </row>
    <row r="1511" spans="94:94" x14ac:dyDescent="0.15">
      <c r="CP1511" s="31"/>
    </row>
    <row r="1512" spans="94:94" x14ac:dyDescent="0.15">
      <c r="CP1512" s="31"/>
    </row>
    <row r="1513" spans="94:94" x14ac:dyDescent="0.15">
      <c r="CP1513" s="31"/>
    </row>
    <row r="1514" spans="94:94" x14ac:dyDescent="0.15">
      <c r="CP1514" s="31"/>
    </row>
    <row r="1515" spans="94:94" x14ac:dyDescent="0.15">
      <c r="CP1515" s="31"/>
    </row>
    <row r="1516" spans="94:94" x14ac:dyDescent="0.15">
      <c r="CP1516" s="31"/>
    </row>
    <row r="1517" spans="94:94" x14ac:dyDescent="0.15">
      <c r="CP1517" s="31"/>
    </row>
    <row r="1518" spans="94:94" x14ac:dyDescent="0.15">
      <c r="CP1518" s="31"/>
    </row>
    <row r="1519" spans="94:94" x14ac:dyDescent="0.15">
      <c r="CP1519" s="31"/>
    </row>
    <row r="1520" spans="94:94" x14ac:dyDescent="0.15">
      <c r="CP1520" s="31"/>
    </row>
    <row r="1521" spans="94:94" x14ac:dyDescent="0.15">
      <c r="CP1521" s="31"/>
    </row>
    <row r="1522" spans="94:94" x14ac:dyDescent="0.15">
      <c r="CP1522" s="31"/>
    </row>
    <row r="1523" spans="94:94" x14ac:dyDescent="0.15">
      <c r="CP1523" s="31"/>
    </row>
    <row r="1524" spans="94:94" x14ac:dyDescent="0.15">
      <c r="CP1524" s="31"/>
    </row>
    <row r="1525" spans="94:94" x14ac:dyDescent="0.15">
      <c r="CP1525" s="31"/>
    </row>
    <row r="1526" spans="94:94" x14ac:dyDescent="0.15">
      <c r="CP1526" s="31"/>
    </row>
    <row r="1527" spans="94:94" x14ac:dyDescent="0.15">
      <c r="CP1527" s="31"/>
    </row>
    <row r="1528" spans="94:94" x14ac:dyDescent="0.15">
      <c r="CP1528" s="31"/>
    </row>
    <row r="1529" spans="94:94" x14ac:dyDescent="0.15">
      <c r="CP1529" s="31"/>
    </row>
    <row r="1530" spans="94:94" x14ac:dyDescent="0.15">
      <c r="CP1530" s="31"/>
    </row>
    <row r="1531" spans="94:94" x14ac:dyDescent="0.15">
      <c r="CP1531" s="31"/>
    </row>
    <row r="1532" spans="94:94" x14ac:dyDescent="0.15">
      <c r="CP1532" s="31"/>
    </row>
    <row r="1533" spans="94:94" x14ac:dyDescent="0.15">
      <c r="CP1533" s="31"/>
    </row>
    <row r="1534" spans="94:94" x14ac:dyDescent="0.15">
      <c r="CP1534" s="31"/>
    </row>
    <row r="1535" spans="94:94" x14ac:dyDescent="0.15">
      <c r="CP1535" s="31"/>
    </row>
    <row r="1536" spans="94:94" x14ac:dyDescent="0.15">
      <c r="CP1536" s="31"/>
    </row>
    <row r="1537" spans="94:94" x14ac:dyDescent="0.15">
      <c r="CP1537" s="31"/>
    </row>
    <row r="1538" spans="94:94" x14ac:dyDescent="0.15">
      <c r="CP1538" s="31"/>
    </row>
    <row r="1539" spans="94:94" x14ac:dyDescent="0.15">
      <c r="CP1539" s="31"/>
    </row>
    <row r="1540" spans="94:94" x14ac:dyDescent="0.15">
      <c r="CP1540" s="31"/>
    </row>
    <row r="1541" spans="94:94" x14ac:dyDescent="0.15">
      <c r="CP1541" s="31"/>
    </row>
    <row r="1542" spans="94:94" x14ac:dyDescent="0.15">
      <c r="CP1542" s="31"/>
    </row>
    <row r="1543" spans="94:94" x14ac:dyDescent="0.15">
      <c r="CP1543" s="31"/>
    </row>
    <row r="1544" spans="94:94" x14ac:dyDescent="0.15">
      <c r="CP1544" s="31"/>
    </row>
    <row r="1545" spans="94:94" x14ac:dyDescent="0.15">
      <c r="CP1545" s="31"/>
    </row>
    <row r="1546" spans="94:94" x14ac:dyDescent="0.15">
      <c r="CP1546" s="31"/>
    </row>
    <row r="1547" spans="94:94" x14ac:dyDescent="0.15">
      <c r="CP1547" s="31"/>
    </row>
    <row r="1548" spans="94:94" x14ac:dyDescent="0.15">
      <c r="CP1548" s="31"/>
    </row>
    <row r="1549" spans="94:94" x14ac:dyDescent="0.15">
      <c r="CP1549" s="31"/>
    </row>
    <row r="1550" spans="94:94" x14ac:dyDescent="0.15">
      <c r="CP1550" s="31"/>
    </row>
    <row r="1551" spans="94:94" x14ac:dyDescent="0.15">
      <c r="CP1551" s="31"/>
    </row>
    <row r="1552" spans="94:94" x14ac:dyDescent="0.15">
      <c r="CP1552" s="31"/>
    </row>
    <row r="1553" spans="94:94" x14ac:dyDescent="0.15">
      <c r="CP1553" s="31"/>
    </row>
    <row r="1554" spans="94:94" x14ac:dyDescent="0.15">
      <c r="CP1554" s="31"/>
    </row>
    <row r="1555" spans="94:94" x14ac:dyDescent="0.15">
      <c r="CP1555" s="31"/>
    </row>
    <row r="1556" spans="94:94" x14ac:dyDescent="0.15">
      <c r="CP1556" s="31"/>
    </row>
    <row r="1557" spans="94:94" x14ac:dyDescent="0.15">
      <c r="CP1557" s="31"/>
    </row>
    <row r="1558" spans="94:94" x14ac:dyDescent="0.15">
      <c r="CP1558" s="31"/>
    </row>
    <row r="1559" spans="94:94" x14ac:dyDescent="0.15">
      <c r="CP1559" s="31"/>
    </row>
    <row r="1560" spans="94:94" x14ac:dyDescent="0.15">
      <c r="CP1560" s="31"/>
    </row>
    <row r="1561" spans="94:94" x14ac:dyDescent="0.15">
      <c r="CP1561" s="31"/>
    </row>
    <row r="1562" spans="94:94" x14ac:dyDescent="0.15">
      <c r="CP1562" s="31"/>
    </row>
    <row r="1563" spans="94:94" x14ac:dyDescent="0.15">
      <c r="CP1563" s="31"/>
    </row>
    <row r="1564" spans="94:94" x14ac:dyDescent="0.15">
      <c r="CP1564" s="31"/>
    </row>
    <row r="1565" spans="94:94" x14ac:dyDescent="0.15">
      <c r="CP1565" s="31"/>
    </row>
    <row r="1566" spans="94:94" x14ac:dyDescent="0.15">
      <c r="CP1566" s="31"/>
    </row>
    <row r="1567" spans="94:94" x14ac:dyDescent="0.15">
      <c r="CP1567" s="31"/>
    </row>
    <row r="1568" spans="94:94" x14ac:dyDescent="0.15">
      <c r="CP1568" s="31"/>
    </row>
    <row r="1569" spans="94:94" x14ac:dyDescent="0.15">
      <c r="CP1569" s="31"/>
    </row>
    <row r="1570" spans="94:94" x14ac:dyDescent="0.15">
      <c r="CP1570" s="31"/>
    </row>
    <row r="1571" spans="94:94" x14ac:dyDescent="0.15">
      <c r="CP1571" s="31"/>
    </row>
    <row r="1572" spans="94:94" x14ac:dyDescent="0.15">
      <c r="CP1572" s="31"/>
    </row>
    <row r="1573" spans="94:94" x14ac:dyDescent="0.15">
      <c r="CP1573" s="31"/>
    </row>
    <row r="1574" spans="94:94" x14ac:dyDescent="0.15">
      <c r="CP1574" s="31"/>
    </row>
    <row r="1575" spans="94:94" x14ac:dyDescent="0.15">
      <c r="CP1575" s="31"/>
    </row>
    <row r="1576" spans="94:94" x14ac:dyDescent="0.15">
      <c r="CP1576" s="31"/>
    </row>
    <row r="1577" spans="94:94" x14ac:dyDescent="0.15">
      <c r="CP1577" s="31"/>
    </row>
    <row r="1578" spans="94:94" x14ac:dyDescent="0.15">
      <c r="CP1578" s="31"/>
    </row>
    <row r="1579" spans="94:94" x14ac:dyDescent="0.15">
      <c r="CP1579" s="31"/>
    </row>
    <row r="1580" spans="94:94" x14ac:dyDescent="0.15">
      <c r="CP1580" s="31"/>
    </row>
    <row r="1581" spans="94:94" x14ac:dyDescent="0.15">
      <c r="CP1581" s="31"/>
    </row>
    <row r="1582" spans="94:94" x14ac:dyDescent="0.15">
      <c r="CP1582" s="31"/>
    </row>
    <row r="1583" spans="94:94" x14ac:dyDescent="0.15">
      <c r="CP1583" s="31"/>
    </row>
    <row r="1584" spans="94:94" x14ac:dyDescent="0.15">
      <c r="CP1584" s="31"/>
    </row>
    <row r="1585" spans="94:94" x14ac:dyDescent="0.15">
      <c r="CP1585" s="31"/>
    </row>
    <row r="1586" spans="94:94" x14ac:dyDescent="0.15">
      <c r="CP1586" s="31"/>
    </row>
    <row r="1587" spans="94:94" x14ac:dyDescent="0.15">
      <c r="CP1587" s="31"/>
    </row>
    <row r="1588" spans="94:94" x14ac:dyDescent="0.15">
      <c r="CP1588" s="31"/>
    </row>
    <row r="1589" spans="94:94" x14ac:dyDescent="0.15">
      <c r="CP1589" s="31"/>
    </row>
    <row r="1590" spans="94:94" x14ac:dyDescent="0.15">
      <c r="CP1590" s="31"/>
    </row>
    <row r="1591" spans="94:94" x14ac:dyDescent="0.15">
      <c r="CP1591" s="31"/>
    </row>
    <row r="1592" spans="94:94" x14ac:dyDescent="0.15">
      <c r="CP1592" s="31"/>
    </row>
    <row r="1593" spans="94:94" x14ac:dyDescent="0.15">
      <c r="CP1593" s="31"/>
    </row>
    <row r="1594" spans="94:94" x14ac:dyDescent="0.15">
      <c r="CP1594" s="31"/>
    </row>
    <row r="1595" spans="94:94" x14ac:dyDescent="0.15">
      <c r="CP1595" s="31"/>
    </row>
    <row r="1596" spans="94:94" x14ac:dyDescent="0.15">
      <c r="CP1596" s="31"/>
    </row>
    <row r="1597" spans="94:94" x14ac:dyDescent="0.15">
      <c r="CP1597" s="31"/>
    </row>
    <row r="1598" spans="94:94" x14ac:dyDescent="0.15">
      <c r="CP1598" s="31"/>
    </row>
    <row r="1599" spans="94:94" x14ac:dyDescent="0.15">
      <c r="CP1599" s="31"/>
    </row>
    <row r="1600" spans="94:94" x14ac:dyDescent="0.15">
      <c r="CP1600" s="31"/>
    </row>
    <row r="1601" spans="94:94" x14ac:dyDescent="0.15">
      <c r="CP1601" s="31"/>
    </row>
    <row r="1602" spans="94:94" x14ac:dyDescent="0.15">
      <c r="CP1602" s="31"/>
    </row>
    <row r="1603" spans="94:94" x14ac:dyDescent="0.15">
      <c r="CP1603" s="31"/>
    </row>
    <row r="1604" spans="94:94" x14ac:dyDescent="0.15">
      <c r="CP1604" s="31"/>
    </row>
    <row r="1605" spans="94:94" x14ac:dyDescent="0.15">
      <c r="CP1605" s="31"/>
    </row>
    <row r="1606" spans="94:94" x14ac:dyDescent="0.15">
      <c r="CP1606" s="31"/>
    </row>
    <row r="1607" spans="94:94" x14ac:dyDescent="0.15">
      <c r="CP1607" s="31"/>
    </row>
    <row r="1608" spans="94:94" x14ac:dyDescent="0.15">
      <c r="CP1608" s="31"/>
    </row>
    <row r="1609" spans="94:94" x14ac:dyDescent="0.15">
      <c r="CP1609" s="31"/>
    </row>
    <row r="1610" spans="94:94" x14ac:dyDescent="0.15">
      <c r="CP1610" s="31"/>
    </row>
    <row r="1611" spans="94:94" x14ac:dyDescent="0.15">
      <c r="CP1611" s="31"/>
    </row>
    <row r="1612" spans="94:94" x14ac:dyDescent="0.15">
      <c r="CP1612" s="31"/>
    </row>
    <row r="1613" spans="94:94" x14ac:dyDescent="0.15">
      <c r="CP1613" s="31"/>
    </row>
    <row r="1614" spans="94:94" x14ac:dyDescent="0.15">
      <c r="CP1614" s="31"/>
    </row>
    <row r="1615" spans="94:94" x14ac:dyDescent="0.15">
      <c r="CP1615" s="31"/>
    </row>
    <row r="1616" spans="94:94" x14ac:dyDescent="0.15">
      <c r="CP1616" s="31"/>
    </row>
    <row r="1617" spans="94:94" x14ac:dyDescent="0.15">
      <c r="CP1617" s="31"/>
    </row>
    <row r="1618" spans="94:94" x14ac:dyDescent="0.15">
      <c r="CP1618" s="31"/>
    </row>
    <row r="1619" spans="94:94" x14ac:dyDescent="0.15">
      <c r="CP1619" s="31"/>
    </row>
    <row r="1620" spans="94:94" x14ac:dyDescent="0.15">
      <c r="CP1620" s="31"/>
    </row>
    <row r="1621" spans="94:94" x14ac:dyDescent="0.15">
      <c r="CP1621" s="31"/>
    </row>
    <row r="1622" spans="94:94" x14ac:dyDescent="0.15">
      <c r="CP1622" s="31"/>
    </row>
    <row r="1623" spans="94:94" x14ac:dyDescent="0.15">
      <c r="CP1623" s="31"/>
    </row>
    <row r="1624" spans="94:94" x14ac:dyDescent="0.15">
      <c r="CP1624" s="31"/>
    </row>
    <row r="1625" spans="94:94" x14ac:dyDescent="0.15">
      <c r="CP1625" s="31"/>
    </row>
    <row r="1626" spans="94:94" x14ac:dyDescent="0.15">
      <c r="CP1626" s="31"/>
    </row>
    <row r="1627" spans="94:94" x14ac:dyDescent="0.15">
      <c r="CP1627" s="31"/>
    </row>
    <row r="1628" spans="94:94" x14ac:dyDescent="0.15">
      <c r="CP1628" s="31"/>
    </row>
    <row r="1629" spans="94:94" x14ac:dyDescent="0.15">
      <c r="CP1629" s="31"/>
    </row>
    <row r="1630" spans="94:94" x14ac:dyDescent="0.15">
      <c r="CP1630" s="31"/>
    </row>
    <row r="1631" spans="94:94" x14ac:dyDescent="0.15">
      <c r="CP1631" s="31"/>
    </row>
    <row r="1632" spans="94:94" x14ac:dyDescent="0.15">
      <c r="CP1632" s="31"/>
    </row>
    <row r="1633" spans="94:94" x14ac:dyDescent="0.15">
      <c r="CP1633" s="31"/>
    </row>
    <row r="1634" spans="94:94" x14ac:dyDescent="0.15">
      <c r="CP1634" s="31"/>
    </row>
    <row r="1635" spans="94:94" x14ac:dyDescent="0.15">
      <c r="CP1635" s="31"/>
    </row>
    <row r="1636" spans="94:94" x14ac:dyDescent="0.15">
      <c r="CP1636" s="31"/>
    </row>
    <row r="1637" spans="94:94" x14ac:dyDescent="0.15">
      <c r="CP1637" s="31"/>
    </row>
    <row r="1638" spans="94:94" x14ac:dyDescent="0.15">
      <c r="CP1638" s="31"/>
    </row>
    <row r="1639" spans="94:94" x14ac:dyDescent="0.15">
      <c r="CP1639" s="31"/>
    </row>
    <row r="1640" spans="94:94" x14ac:dyDescent="0.15">
      <c r="CP1640" s="31"/>
    </row>
    <row r="1641" spans="94:94" x14ac:dyDescent="0.15">
      <c r="CP1641" s="31"/>
    </row>
    <row r="1642" spans="94:94" x14ac:dyDescent="0.15">
      <c r="CP1642" s="31"/>
    </row>
    <row r="1643" spans="94:94" x14ac:dyDescent="0.15">
      <c r="CP1643" s="31"/>
    </row>
    <row r="1644" spans="94:94" x14ac:dyDescent="0.15">
      <c r="CP1644" s="31"/>
    </row>
    <row r="1645" spans="94:94" x14ac:dyDescent="0.15">
      <c r="CP1645" s="31"/>
    </row>
    <row r="1646" spans="94:94" x14ac:dyDescent="0.15">
      <c r="CP1646" s="31"/>
    </row>
    <row r="1647" spans="94:94" x14ac:dyDescent="0.15">
      <c r="CP1647" s="31"/>
    </row>
    <row r="1648" spans="94:94" x14ac:dyDescent="0.15">
      <c r="CP1648" s="31"/>
    </row>
    <row r="1649" spans="94:94" x14ac:dyDescent="0.15">
      <c r="CP1649" s="31"/>
    </row>
    <row r="1650" spans="94:94" x14ac:dyDescent="0.15">
      <c r="CP1650" s="31"/>
    </row>
    <row r="1651" spans="94:94" x14ac:dyDescent="0.15">
      <c r="CP1651" s="31"/>
    </row>
    <row r="1652" spans="94:94" x14ac:dyDescent="0.15">
      <c r="CP1652" s="31"/>
    </row>
    <row r="1653" spans="94:94" x14ac:dyDescent="0.15">
      <c r="CP1653" s="31"/>
    </row>
    <row r="1654" spans="94:94" x14ac:dyDescent="0.15">
      <c r="CP1654" s="31"/>
    </row>
    <row r="1655" spans="94:94" x14ac:dyDescent="0.15">
      <c r="CP1655" s="31"/>
    </row>
    <row r="1656" spans="94:94" x14ac:dyDescent="0.15">
      <c r="CP1656" s="31"/>
    </row>
    <row r="1657" spans="94:94" x14ac:dyDescent="0.15">
      <c r="CP1657" s="31"/>
    </row>
    <row r="1658" spans="94:94" x14ac:dyDescent="0.15">
      <c r="CP1658" s="31"/>
    </row>
    <row r="1659" spans="94:94" x14ac:dyDescent="0.15">
      <c r="CP1659" s="31"/>
    </row>
    <row r="1660" spans="94:94" x14ac:dyDescent="0.15">
      <c r="CP1660" s="31"/>
    </row>
    <row r="1661" spans="94:94" x14ac:dyDescent="0.15">
      <c r="CP1661" s="31"/>
    </row>
    <row r="1662" spans="94:94" x14ac:dyDescent="0.15">
      <c r="CP1662" s="31"/>
    </row>
    <row r="1663" spans="94:94" x14ac:dyDescent="0.15">
      <c r="CP1663" s="31"/>
    </row>
    <row r="1664" spans="94:94" x14ac:dyDescent="0.15">
      <c r="CP1664" s="31"/>
    </row>
    <row r="1665" spans="94:94" x14ac:dyDescent="0.15">
      <c r="CP1665" s="31"/>
    </row>
    <row r="1666" spans="94:94" x14ac:dyDescent="0.15">
      <c r="CP1666" s="31"/>
    </row>
    <row r="1667" spans="94:94" x14ac:dyDescent="0.15">
      <c r="CP1667" s="31"/>
    </row>
    <row r="1668" spans="94:94" x14ac:dyDescent="0.15">
      <c r="CP1668" s="31"/>
    </row>
    <row r="1669" spans="94:94" x14ac:dyDescent="0.15">
      <c r="CP1669" s="31"/>
    </row>
    <row r="1670" spans="94:94" x14ac:dyDescent="0.15">
      <c r="CP1670" s="31"/>
    </row>
    <row r="1671" spans="94:94" x14ac:dyDescent="0.15">
      <c r="CP1671" s="31"/>
    </row>
    <row r="1672" spans="94:94" x14ac:dyDescent="0.15">
      <c r="CP1672" s="31"/>
    </row>
    <row r="1673" spans="94:94" x14ac:dyDescent="0.15">
      <c r="CP1673" s="31"/>
    </row>
    <row r="1674" spans="94:94" x14ac:dyDescent="0.15">
      <c r="CP1674" s="31"/>
    </row>
    <row r="1675" spans="94:94" x14ac:dyDescent="0.15">
      <c r="CP1675" s="31"/>
    </row>
    <row r="1676" spans="94:94" x14ac:dyDescent="0.15">
      <c r="CP1676" s="31"/>
    </row>
    <row r="1677" spans="94:94" x14ac:dyDescent="0.15">
      <c r="CP1677" s="31"/>
    </row>
    <row r="1678" spans="94:94" x14ac:dyDescent="0.15">
      <c r="CP1678" s="31"/>
    </row>
    <row r="1679" spans="94:94" x14ac:dyDescent="0.15">
      <c r="CP1679" s="31"/>
    </row>
    <row r="1680" spans="94:94" x14ac:dyDescent="0.15">
      <c r="CP1680" s="31"/>
    </row>
    <row r="1681" spans="94:94" x14ac:dyDescent="0.15">
      <c r="CP1681" s="31"/>
    </row>
    <row r="1682" spans="94:94" x14ac:dyDescent="0.15">
      <c r="CP1682" s="31"/>
    </row>
    <row r="1683" spans="94:94" x14ac:dyDescent="0.15">
      <c r="CP1683" s="31"/>
    </row>
    <row r="1684" spans="94:94" x14ac:dyDescent="0.15">
      <c r="CP1684" s="31"/>
    </row>
    <row r="1685" spans="94:94" x14ac:dyDescent="0.15">
      <c r="CP1685" s="31"/>
    </row>
    <row r="1686" spans="94:94" x14ac:dyDescent="0.15">
      <c r="CP1686" s="31"/>
    </row>
    <row r="1687" spans="94:94" x14ac:dyDescent="0.15">
      <c r="CP1687" s="31"/>
    </row>
    <row r="1688" spans="94:94" x14ac:dyDescent="0.15">
      <c r="CP1688" s="31"/>
    </row>
    <row r="1689" spans="94:94" x14ac:dyDescent="0.15">
      <c r="CP1689" s="31"/>
    </row>
    <row r="1690" spans="94:94" x14ac:dyDescent="0.15">
      <c r="CP1690" s="31"/>
    </row>
    <row r="1691" spans="94:94" x14ac:dyDescent="0.15">
      <c r="CP1691" s="31"/>
    </row>
    <row r="1692" spans="94:94" x14ac:dyDescent="0.15">
      <c r="CP1692" s="31"/>
    </row>
    <row r="1693" spans="94:94" x14ac:dyDescent="0.15">
      <c r="CP1693" s="31"/>
    </row>
    <row r="1694" spans="94:94" x14ac:dyDescent="0.15">
      <c r="CP1694" s="31"/>
    </row>
    <row r="1695" spans="94:94" x14ac:dyDescent="0.15">
      <c r="CP1695" s="31"/>
    </row>
    <row r="1696" spans="94:94" x14ac:dyDescent="0.15">
      <c r="CP1696" s="31"/>
    </row>
    <row r="1697" spans="94:94" x14ac:dyDescent="0.15">
      <c r="CP1697" s="31"/>
    </row>
    <row r="1698" spans="94:94" x14ac:dyDescent="0.15">
      <c r="CP1698" s="31"/>
    </row>
    <row r="1699" spans="94:94" x14ac:dyDescent="0.15">
      <c r="CP1699" s="31"/>
    </row>
    <row r="1700" spans="94:94" x14ac:dyDescent="0.15">
      <c r="CP1700" s="31"/>
    </row>
    <row r="1701" spans="94:94" x14ac:dyDescent="0.15">
      <c r="CP1701" s="31"/>
    </row>
    <row r="1702" spans="94:94" x14ac:dyDescent="0.15">
      <c r="CP1702" s="31"/>
    </row>
    <row r="1703" spans="94:94" x14ac:dyDescent="0.15">
      <c r="CP1703" s="31"/>
    </row>
    <row r="1704" spans="94:94" x14ac:dyDescent="0.15">
      <c r="CP1704" s="31"/>
    </row>
    <row r="1705" spans="94:94" x14ac:dyDescent="0.15">
      <c r="CP1705" s="31"/>
    </row>
    <row r="1706" spans="94:94" x14ac:dyDescent="0.15">
      <c r="CP1706" s="31"/>
    </row>
    <row r="1707" spans="94:94" x14ac:dyDescent="0.15">
      <c r="CP1707" s="31"/>
    </row>
    <row r="1708" spans="94:94" x14ac:dyDescent="0.15">
      <c r="CP1708" s="31"/>
    </row>
    <row r="1709" spans="94:94" x14ac:dyDescent="0.15">
      <c r="CP1709" s="31"/>
    </row>
    <row r="1710" spans="94:94" x14ac:dyDescent="0.15">
      <c r="CP1710" s="31"/>
    </row>
    <row r="1711" spans="94:94" x14ac:dyDescent="0.15">
      <c r="CP1711" s="31"/>
    </row>
    <row r="1712" spans="94:94" x14ac:dyDescent="0.15">
      <c r="CP1712" s="31"/>
    </row>
    <row r="1713" spans="94:94" x14ac:dyDescent="0.15">
      <c r="CP1713" s="31"/>
    </row>
    <row r="1714" spans="94:94" x14ac:dyDescent="0.15">
      <c r="CP1714" s="31"/>
    </row>
    <row r="1715" spans="94:94" x14ac:dyDescent="0.15">
      <c r="CP1715" s="31"/>
    </row>
    <row r="1716" spans="94:94" x14ac:dyDescent="0.15">
      <c r="CP1716" s="31"/>
    </row>
    <row r="1717" spans="94:94" x14ac:dyDescent="0.15">
      <c r="CP1717" s="31"/>
    </row>
    <row r="1718" spans="94:94" x14ac:dyDescent="0.15">
      <c r="CP1718" s="31"/>
    </row>
    <row r="1719" spans="94:94" x14ac:dyDescent="0.15">
      <c r="CP1719" s="31"/>
    </row>
    <row r="1720" spans="94:94" x14ac:dyDescent="0.15">
      <c r="CP1720" s="31"/>
    </row>
    <row r="1721" spans="94:94" x14ac:dyDescent="0.15">
      <c r="CP1721" s="31"/>
    </row>
    <row r="1722" spans="94:94" x14ac:dyDescent="0.15">
      <c r="CP1722" s="31"/>
    </row>
    <row r="1723" spans="94:94" x14ac:dyDescent="0.15">
      <c r="CP1723" s="31"/>
    </row>
    <row r="1724" spans="94:94" x14ac:dyDescent="0.15">
      <c r="CP1724" s="31"/>
    </row>
    <row r="1725" spans="94:94" x14ac:dyDescent="0.15">
      <c r="CP1725" s="31"/>
    </row>
    <row r="1726" spans="94:94" x14ac:dyDescent="0.15">
      <c r="CP1726" s="31"/>
    </row>
    <row r="1727" spans="94:94" x14ac:dyDescent="0.15">
      <c r="CP1727" s="31"/>
    </row>
    <row r="1728" spans="94:94" x14ac:dyDescent="0.15">
      <c r="CP1728" s="31"/>
    </row>
    <row r="1729" spans="94:94" x14ac:dyDescent="0.15">
      <c r="CP1729" s="31"/>
    </row>
    <row r="1730" spans="94:94" x14ac:dyDescent="0.15">
      <c r="CP1730" s="31"/>
    </row>
    <row r="1731" spans="94:94" x14ac:dyDescent="0.15">
      <c r="CP1731" s="31"/>
    </row>
    <row r="1732" spans="94:94" x14ac:dyDescent="0.15">
      <c r="CP1732" s="31"/>
    </row>
    <row r="1733" spans="94:94" x14ac:dyDescent="0.15">
      <c r="CP1733" s="31"/>
    </row>
    <row r="1734" spans="94:94" x14ac:dyDescent="0.15">
      <c r="CP1734" s="31"/>
    </row>
    <row r="1735" spans="94:94" x14ac:dyDescent="0.15">
      <c r="CP1735" s="31"/>
    </row>
    <row r="1736" spans="94:94" x14ac:dyDescent="0.15">
      <c r="CP1736" s="31"/>
    </row>
    <row r="1737" spans="94:94" x14ac:dyDescent="0.15">
      <c r="CP1737" s="31"/>
    </row>
    <row r="1738" spans="94:94" x14ac:dyDescent="0.15">
      <c r="CP1738" s="31"/>
    </row>
    <row r="1739" spans="94:94" x14ac:dyDescent="0.15">
      <c r="CP1739" s="31"/>
    </row>
    <row r="1740" spans="94:94" x14ac:dyDescent="0.15">
      <c r="CP1740" s="31"/>
    </row>
    <row r="1741" spans="94:94" x14ac:dyDescent="0.15">
      <c r="CP1741" s="31"/>
    </row>
    <row r="1742" spans="94:94" x14ac:dyDescent="0.15">
      <c r="CP1742" s="31"/>
    </row>
    <row r="1743" spans="94:94" x14ac:dyDescent="0.15">
      <c r="CP1743" s="31"/>
    </row>
    <row r="1744" spans="94:94" x14ac:dyDescent="0.15">
      <c r="CP1744" s="31"/>
    </row>
    <row r="1745" spans="94:94" x14ac:dyDescent="0.15">
      <c r="CP1745" s="31"/>
    </row>
    <row r="1746" spans="94:94" x14ac:dyDescent="0.15">
      <c r="CP1746" s="31"/>
    </row>
    <row r="1747" spans="94:94" x14ac:dyDescent="0.15">
      <c r="CP1747" s="31"/>
    </row>
    <row r="1748" spans="94:94" x14ac:dyDescent="0.15">
      <c r="CP1748" s="31"/>
    </row>
    <row r="1749" spans="94:94" x14ac:dyDescent="0.15">
      <c r="CP1749" s="31"/>
    </row>
    <row r="1750" spans="94:94" x14ac:dyDescent="0.15">
      <c r="CP1750" s="31"/>
    </row>
    <row r="1751" spans="94:94" x14ac:dyDescent="0.15">
      <c r="CP1751" s="31"/>
    </row>
    <row r="1752" spans="94:94" x14ac:dyDescent="0.15">
      <c r="CP1752" s="31"/>
    </row>
    <row r="1753" spans="94:94" x14ac:dyDescent="0.15">
      <c r="CP1753" s="31"/>
    </row>
    <row r="1754" spans="94:94" x14ac:dyDescent="0.15">
      <c r="CP1754" s="31"/>
    </row>
    <row r="1755" spans="94:94" x14ac:dyDescent="0.15">
      <c r="CP1755" s="31"/>
    </row>
    <row r="1756" spans="94:94" x14ac:dyDescent="0.15">
      <c r="CP1756" s="31"/>
    </row>
    <row r="1757" spans="94:94" x14ac:dyDescent="0.15">
      <c r="CP1757" s="31"/>
    </row>
    <row r="1758" spans="94:94" x14ac:dyDescent="0.15">
      <c r="CP1758" s="31"/>
    </row>
    <row r="1759" spans="94:94" x14ac:dyDescent="0.15">
      <c r="CP1759" s="31"/>
    </row>
    <row r="1760" spans="94:94" x14ac:dyDescent="0.15">
      <c r="CP1760" s="31"/>
    </row>
    <row r="1761" spans="94:94" x14ac:dyDescent="0.15">
      <c r="CP1761" s="31"/>
    </row>
    <row r="1762" spans="94:94" x14ac:dyDescent="0.15">
      <c r="CP1762" s="31"/>
    </row>
    <row r="1763" spans="94:94" x14ac:dyDescent="0.15">
      <c r="CP1763" s="31"/>
    </row>
    <row r="1764" spans="94:94" x14ac:dyDescent="0.15">
      <c r="CP1764" s="31"/>
    </row>
    <row r="1765" spans="94:94" x14ac:dyDescent="0.15">
      <c r="CP1765" s="31"/>
    </row>
    <row r="1766" spans="94:94" x14ac:dyDescent="0.15">
      <c r="CP1766" s="31"/>
    </row>
    <row r="1767" spans="94:94" x14ac:dyDescent="0.15">
      <c r="CP1767" s="31"/>
    </row>
    <row r="1768" spans="94:94" x14ac:dyDescent="0.15">
      <c r="CP1768" s="31"/>
    </row>
    <row r="1769" spans="94:94" x14ac:dyDescent="0.15">
      <c r="CP1769" s="31"/>
    </row>
    <row r="1770" spans="94:94" x14ac:dyDescent="0.15">
      <c r="CP1770" s="31"/>
    </row>
    <row r="1771" spans="94:94" x14ac:dyDescent="0.15">
      <c r="CP1771" s="31"/>
    </row>
    <row r="1772" spans="94:94" x14ac:dyDescent="0.15">
      <c r="CP1772" s="31"/>
    </row>
    <row r="1773" spans="94:94" x14ac:dyDescent="0.15">
      <c r="CP1773" s="31"/>
    </row>
    <row r="1774" spans="94:94" x14ac:dyDescent="0.15">
      <c r="CP1774" s="31"/>
    </row>
    <row r="1775" spans="94:94" x14ac:dyDescent="0.15">
      <c r="CP1775" s="31"/>
    </row>
    <row r="1776" spans="94:94" x14ac:dyDescent="0.15">
      <c r="CP1776" s="31"/>
    </row>
    <row r="1777" spans="94:94" x14ac:dyDescent="0.15">
      <c r="CP1777" s="31"/>
    </row>
    <row r="1778" spans="94:94" x14ac:dyDescent="0.15">
      <c r="CP1778" s="31"/>
    </row>
    <row r="1779" spans="94:94" x14ac:dyDescent="0.15">
      <c r="CP1779" s="31"/>
    </row>
    <row r="1780" spans="94:94" x14ac:dyDescent="0.15">
      <c r="CP1780" s="31"/>
    </row>
    <row r="1781" spans="94:94" x14ac:dyDescent="0.15">
      <c r="CP1781" s="31"/>
    </row>
    <row r="1782" spans="94:94" x14ac:dyDescent="0.15">
      <c r="CP1782" s="31"/>
    </row>
    <row r="1783" spans="94:94" x14ac:dyDescent="0.15">
      <c r="CP1783" s="31"/>
    </row>
    <row r="1784" spans="94:94" x14ac:dyDescent="0.15">
      <c r="CP1784" s="31"/>
    </row>
    <row r="1785" spans="94:94" x14ac:dyDescent="0.15">
      <c r="CP1785" s="31"/>
    </row>
    <row r="1786" spans="94:94" x14ac:dyDescent="0.15">
      <c r="CP1786" s="31"/>
    </row>
    <row r="1787" spans="94:94" x14ac:dyDescent="0.15">
      <c r="CP1787" s="31"/>
    </row>
    <row r="1788" spans="94:94" x14ac:dyDescent="0.15">
      <c r="CP1788" s="31"/>
    </row>
    <row r="1789" spans="94:94" x14ac:dyDescent="0.15">
      <c r="CP1789" s="31"/>
    </row>
    <row r="1790" spans="94:94" x14ac:dyDescent="0.15">
      <c r="CP1790" s="31"/>
    </row>
    <row r="1791" spans="94:94" x14ac:dyDescent="0.15">
      <c r="CP1791" s="31"/>
    </row>
    <row r="1792" spans="94:94" x14ac:dyDescent="0.15">
      <c r="CP1792" s="31"/>
    </row>
    <row r="1793" spans="94:94" x14ac:dyDescent="0.15">
      <c r="CP1793" s="31"/>
    </row>
    <row r="1794" spans="94:94" x14ac:dyDescent="0.15">
      <c r="CP1794" s="31"/>
    </row>
    <row r="1795" spans="94:94" x14ac:dyDescent="0.15">
      <c r="CP1795" s="31"/>
    </row>
    <row r="1796" spans="94:94" x14ac:dyDescent="0.15">
      <c r="CP1796" s="31"/>
    </row>
    <row r="1797" spans="94:94" x14ac:dyDescent="0.15">
      <c r="CP1797" s="31"/>
    </row>
    <row r="1798" spans="94:94" x14ac:dyDescent="0.15">
      <c r="CP1798" s="31"/>
    </row>
    <row r="1799" spans="94:94" x14ac:dyDescent="0.15">
      <c r="CP1799" s="31"/>
    </row>
    <row r="1800" spans="94:94" x14ac:dyDescent="0.15">
      <c r="CP1800" s="31"/>
    </row>
    <row r="1801" spans="94:94" x14ac:dyDescent="0.15">
      <c r="CP1801" s="31"/>
    </row>
    <row r="1802" spans="94:94" x14ac:dyDescent="0.15">
      <c r="CP1802" s="31"/>
    </row>
    <row r="1803" spans="94:94" x14ac:dyDescent="0.15">
      <c r="CP1803" s="31"/>
    </row>
    <row r="1804" spans="94:94" x14ac:dyDescent="0.15">
      <c r="CP1804" s="31"/>
    </row>
    <row r="1805" spans="94:94" x14ac:dyDescent="0.15">
      <c r="CP1805" s="31"/>
    </row>
    <row r="1806" spans="94:94" x14ac:dyDescent="0.15">
      <c r="CP1806" s="31"/>
    </row>
    <row r="1807" spans="94:94" x14ac:dyDescent="0.15">
      <c r="CP1807" s="31"/>
    </row>
    <row r="1808" spans="94:94" x14ac:dyDescent="0.15">
      <c r="CP1808" s="31"/>
    </row>
    <row r="1809" spans="94:94" x14ac:dyDescent="0.15">
      <c r="CP1809" s="31"/>
    </row>
    <row r="1810" spans="94:94" x14ac:dyDescent="0.15">
      <c r="CP1810" s="31"/>
    </row>
    <row r="1811" spans="94:94" x14ac:dyDescent="0.15">
      <c r="CP1811" s="31"/>
    </row>
    <row r="1812" spans="94:94" x14ac:dyDescent="0.15">
      <c r="CP1812" s="31"/>
    </row>
    <row r="1813" spans="94:94" x14ac:dyDescent="0.15">
      <c r="CP1813" s="31"/>
    </row>
    <row r="1814" spans="94:94" x14ac:dyDescent="0.15">
      <c r="CP1814" s="31"/>
    </row>
    <row r="1815" spans="94:94" x14ac:dyDescent="0.15">
      <c r="CP1815" s="31"/>
    </row>
    <row r="1816" spans="94:94" x14ac:dyDescent="0.15">
      <c r="CP1816" s="31"/>
    </row>
    <row r="1817" spans="94:94" x14ac:dyDescent="0.15">
      <c r="CP1817" s="31"/>
    </row>
    <row r="1818" spans="94:94" x14ac:dyDescent="0.15">
      <c r="CP1818" s="31"/>
    </row>
    <row r="1819" spans="94:94" x14ac:dyDescent="0.15">
      <c r="CP1819" s="31"/>
    </row>
    <row r="1820" spans="94:94" x14ac:dyDescent="0.15">
      <c r="CP1820" s="31"/>
    </row>
    <row r="1821" spans="94:94" x14ac:dyDescent="0.15">
      <c r="CP1821" s="31"/>
    </row>
    <row r="1822" spans="94:94" x14ac:dyDescent="0.15">
      <c r="CP1822" s="31"/>
    </row>
    <row r="1823" spans="94:94" x14ac:dyDescent="0.15">
      <c r="CP1823" s="31"/>
    </row>
    <row r="1824" spans="94:94" x14ac:dyDescent="0.15">
      <c r="CP1824" s="31"/>
    </row>
    <row r="1825" spans="94:94" x14ac:dyDescent="0.15">
      <c r="CP1825" s="31"/>
    </row>
    <row r="1826" spans="94:94" x14ac:dyDescent="0.15">
      <c r="CP1826" s="31"/>
    </row>
    <row r="1827" spans="94:94" x14ac:dyDescent="0.15">
      <c r="CP1827" s="31"/>
    </row>
    <row r="1828" spans="94:94" x14ac:dyDescent="0.15">
      <c r="CP1828" s="31"/>
    </row>
    <row r="1829" spans="94:94" x14ac:dyDescent="0.15">
      <c r="CP1829" s="31"/>
    </row>
    <row r="1830" spans="94:94" x14ac:dyDescent="0.15">
      <c r="CP1830" s="31"/>
    </row>
    <row r="1831" spans="94:94" x14ac:dyDescent="0.15">
      <c r="CP1831" s="31"/>
    </row>
    <row r="1832" spans="94:94" x14ac:dyDescent="0.15">
      <c r="CP1832" s="31"/>
    </row>
    <row r="1833" spans="94:94" x14ac:dyDescent="0.15">
      <c r="CP1833" s="31"/>
    </row>
    <row r="1834" spans="94:94" x14ac:dyDescent="0.15">
      <c r="CP1834" s="31"/>
    </row>
    <row r="1835" spans="94:94" x14ac:dyDescent="0.15">
      <c r="CP1835" s="31"/>
    </row>
    <row r="1836" spans="94:94" x14ac:dyDescent="0.15">
      <c r="CP1836" s="31"/>
    </row>
    <row r="1837" spans="94:94" x14ac:dyDescent="0.15">
      <c r="CP1837" s="31"/>
    </row>
    <row r="1838" spans="94:94" x14ac:dyDescent="0.15">
      <c r="CP1838" s="31"/>
    </row>
    <row r="1839" spans="94:94" x14ac:dyDescent="0.15">
      <c r="CP1839" s="31"/>
    </row>
    <row r="1840" spans="94:94" x14ac:dyDescent="0.15">
      <c r="CP1840" s="31"/>
    </row>
    <row r="1841" spans="94:94" x14ac:dyDescent="0.15">
      <c r="CP1841" s="31"/>
    </row>
    <row r="1842" spans="94:94" x14ac:dyDescent="0.15">
      <c r="CP1842" s="31"/>
    </row>
    <row r="1843" spans="94:94" x14ac:dyDescent="0.15">
      <c r="CP1843" s="31"/>
    </row>
    <row r="1844" spans="94:94" x14ac:dyDescent="0.15">
      <c r="CP1844" s="31"/>
    </row>
    <row r="1845" spans="94:94" x14ac:dyDescent="0.15">
      <c r="CP1845" s="31"/>
    </row>
    <row r="1846" spans="94:94" x14ac:dyDescent="0.15">
      <c r="CP1846" s="31"/>
    </row>
    <row r="1847" spans="94:94" x14ac:dyDescent="0.15">
      <c r="CP1847" s="31"/>
    </row>
    <row r="1848" spans="94:94" x14ac:dyDescent="0.15">
      <c r="CP1848" s="31"/>
    </row>
    <row r="1849" spans="94:94" x14ac:dyDescent="0.15">
      <c r="CP1849" s="31"/>
    </row>
    <row r="1850" spans="94:94" x14ac:dyDescent="0.15">
      <c r="CP1850" s="31"/>
    </row>
    <row r="1851" spans="94:94" x14ac:dyDescent="0.15">
      <c r="CP1851" s="31"/>
    </row>
    <row r="1852" spans="94:94" x14ac:dyDescent="0.15">
      <c r="CP1852" s="31"/>
    </row>
    <row r="1853" spans="94:94" x14ac:dyDescent="0.15">
      <c r="CP1853" s="31"/>
    </row>
    <row r="1854" spans="94:94" x14ac:dyDescent="0.15">
      <c r="CP1854" s="31"/>
    </row>
    <row r="1855" spans="94:94" x14ac:dyDescent="0.15">
      <c r="CP1855" s="31"/>
    </row>
    <row r="1856" spans="94:94" x14ac:dyDescent="0.15">
      <c r="CP1856" s="31"/>
    </row>
    <row r="1857" spans="94:94" x14ac:dyDescent="0.15">
      <c r="CP1857" s="31"/>
    </row>
    <row r="1858" spans="94:94" x14ac:dyDescent="0.15">
      <c r="CP1858" s="31"/>
    </row>
    <row r="1859" spans="94:94" x14ac:dyDescent="0.15">
      <c r="CP1859" s="31"/>
    </row>
    <row r="1860" spans="94:94" x14ac:dyDescent="0.15">
      <c r="CP1860" s="31"/>
    </row>
    <row r="1861" spans="94:94" x14ac:dyDescent="0.15">
      <c r="CP1861" s="31"/>
    </row>
    <row r="1862" spans="94:94" x14ac:dyDescent="0.15">
      <c r="CP1862" s="31"/>
    </row>
    <row r="1863" spans="94:94" x14ac:dyDescent="0.15">
      <c r="CP1863" s="31"/>
    </row>
    <row r="1864" spans="94:94" x14ac:dyDescent="0.15">
      <c r="CP1864" s="31"/>
    </row>
    <row r="1865" spans="94:94" x14ac:dyDescent="0.15">
      <c r="CP1865" s="31"/>
    </row>
    <row r="1866" spans="94:94" x14ac:dyDescent="0.15">
      <c r="CP1866" s="31"/>
    </row>
    <row r="1867" spans="94:94" x14ac:dyDescent="0.15">
      <c r="CP1867" s="31"/>
    </row>
    <row r="1868" spans="94:94" x14ac:dyDescent="0.15">
      <c r="CP1868" s="31"/>
    </row>
    <row r="1869" spans="94:94" x14ac:dyDescent="0.15">
      <c r="CP1869" s="31"/>
    </row>
    <row r="1870" spans="94:94" x14ac:dyDescent="0.15">
      <c r="CP1870" s="31"/>
    </row>
    <row r="1871" spans="94:94" x14ac:dyDescent="0.15">
      <c r="CP1871" s="31"/>
    </row>
    <row r="1872" spans="94:94" x14ac:dyDescent="0.15">
      <c r="CP1872" s="31"/>
    </row>
    <row r="1873" spans="94:94" x14ac:dyDescent="0.15">
      <c r="CP1873" s="31"/>
    </row>
    <row r="1874" spans="94:94" x14ac:dyDescent="0.15">
      <c r="CP1874" s="31"/>
    </row>
    <row r="1875" spans="94:94" x14ac:dyDescent="0.15">
      <c r="CP1875" s="31"/>
    </row>
    <row r="1876" spans="94:94" x14ac:dyDescent="0.15">
      <c r="CP1876" s="31"/>
    </row>
    <row r="1877" spans="94:94" x14ac:dyDescent="0.15">
      <c r="CP1877" s="31"/>
    </row>
    <row r="1878" spans="94:94" x14ac:dyDescent="0.15">
      <c r="CP1878" s="31"/>
    </row>
    <row r="1879" spans="94:94" x14ac:dyDescent="0.15">
      <c r="CP1879" s="31"/>
    </row>
    <row r="1880" spans="94:94" x14ac:dyDescent="0.15">
      <c r="CP1880" s="31"/>
    </row>
    <row r="1881" spans="94:94" x14ac:dyDescent="0.15">
      <c r="CP1881" s="31"/>
    </row>
    <row r="1882" spans="94:94" x14ac:dyDescent="0.15">
      <c r="CP1882" s="31"/>
    </row>
    <row r="1883" spans="94:94" x14ac:dyDescent="0.15">
      <c r="CP1883" s="31"/>
    </row>
    <row r="1884" spans="94:94" x14ac:dyDescent="0.15">
      <c r="CP1884" s="31"/>
    </row>
    <row r="1885" spans="94:94" x14ac:dyDescent="0.15">
      <c r="CP1885" s="31"/>
    </row>
    <row r="1886" spans="94:94" x14ac:dyDescent="0.15">
      <c r="CP1886" s="31"/>
    </row>
    <row r="1887" spans="94:94" x14ac:dyDescent="0.15">
      <c r="CP1887" s="31"/>
    </row>
    <row r="1888" spans="94:94" x14ac:dyDescent="0.15">
      <c r="CP1888" s="31"/>
    </row>
    <row r="1889" spans="94:94" x14ac:dyDescent="0.15">
      <c r="CP1889" s="31"/>
    </row>
    <row r="1890" spans="94:94" x14ac:dyDescent="0.15">
      <c r="CP1890" s="31"/>
    </row>
    <row r="1891" spans="94:94" x14ac:dyDescent="0.15">
      <c r="CP1891" s="31"/>
    </row>
    <row r="1892" spans="94:94" x14ac:dyDescent="0.15">
      <c r="CP1892" s="31"/>
    </row>
    <row r="1893" spans="94:94" x14ac:dyDescent="0.15">
      <c r="CP1893" s="31"/>
    </row>
    <row r="1894" spans="94:94" x14ac:dyDescent="0.15">
      <c r="CP1894" s="31"/>
    </row>
    <row r="1895" spans="94:94" x14ac:dyDescent="0.15">
      <c r="CP1895" s="31"/>
    </row>
    <row r="1896" spans="94:94" x14ac:dyDescent="0.15">
      <c r="CP1896" s="31"/>
    </row>
    <row r="1897" spans="94:94" x14ac:dyDescent="0.15">
      <c r="CP1897" s="31"/>
    </row>
    <row r="1898" spans="94:94" x14ac:dyDescent="0.15">
      <c r="CP1898" s="31"/>
    </row>
    <row r="1899" spans="94:94" x14ac:dyDescent="0.15">
      <c r="CP1899" s="31"/>
    </row>
    <row r="1900" spans="94:94" x14ac:dyDescent="0.15">
      <c r="CP1900" s="31"/>
    </row>
    <row r="1901" spans="94:94" x14ac:dyDescent="0.15">
      <c r="CP1901" s="31"/>
    </row>
    <row r="1902" spans="94:94" x14ac:dyDescent="0.15">
      <c r="CP1902" s="31"/>
    </row>
    <row r="1903" spans="94:94" x14ac:dyDescent="0.15">
      <c r="CP1903" s="31"/>
    </row>
    <row r="1904" spans="94:94" x14ac:dyDescent="0.15">
      <c r="CP1904" s="31"/>
    </row>
    <row r="1905" spans="94:94" x14ac:dyDescent="0.15">
      <c r="CP1905" s="31"/>
    </row>
    <row r="1906" spans="94:94" x14ac:dyDescent="0.15">
      <c r="CP1906" s="31"/>
    </row>
    <row r="1907" spans="94:94" x14ac:dyDescent="0.15">
      <c r="CP1907" s="31"/>
    </row>
    <row r="1908" spans="94:94" x14ac:dyDescent="0.15">
      <c r="CP1908" s="31"/>
    </row>
    <row r="1909" spans="94:94" x14ac:dyDescent="0.15">
      <c r="CP1909" s="31"/>
    </row>
    <row r="1910" spans="94:94" x14ac:dyDescent="0.15">
      <c r="CP1910" s="31"/>
    </row>
    <row r="1911" spans="94:94" x14ac:dyDescent="0.15">
      <c r="CP1911" s="31"/>
    </row>
    <row r="1912" spans="94:94" x14ac:dyDescent="0.15">
      <c r="CP1912" s="31"/>
    </row>
    <row r="1913" spans="94:94" x14ac:dyDescent="0.15">
      <c r="CP1913" s="31"/>
    </row>
    <row r="1914" spans="94:94" x14ac:dyDescent="0.15">
      <c r="CP1914" s="31"/>
    </row>
    <row r="1915" spans="94:94" x14ac:dyDescent="0.15">
      <c r="CP1915" s="31"/>
    </row>
    <row r="1916" spans="94:94" x14ac:dyDescent="0.15">
      <c r="CP1916" s="31"/>
    </row>
    <row r="1917" spans="94:94" x14ac:dyDescent="0.15">
      <c r="CP1917" s="31"/>
    </row>
    <row r="1918" spans="94:94" x14ac:dyDescent="0.15">
      <c r="CP1918" s="31"/>
    </row>
    <row r="1919" spans="94:94" x14ac:dyDescent="0.15">
      <c r="CP1919" s="31"/>
    </row>
    <row r="1920" spans="94:94" x14ac:dyDescent="0.15">
      <c r="CP1920" s="31"/>
    </row>
    <row r="1921" spans="94:94" x14ac:dyDescent="0.15">
      <c r="CP1921" s="31"/>
    </row>
    <row r="1922" spans="94:94" x14ac:dyDescent="0.15">
      <c r="CP1922" s="31"/>
    </row>
    <row r="1923" spans="94:94" x14ac:dyDescent="0.15">
      <c r="CP1923" s="31"/>
    </row>
    <row r="1924" spans="94:94" x14ac:dyDescent="0.15">
      <c r="CP1924" s="31"/>
    </row>
    <row r="1925" spans="94:94" x14ac:dyDescent="0.15">
      <c r="CP1925" s="31"/>
    </row>
    <row r="1926" spans="94:94" x14ac:dyDescent="0.15">
      <c r="CP1926" s="31"/>
    </row>
    <row r="1927" spans="94:94" x14ac:dyDescent="0.15">
      <c r="CP1927" s="31"/>
    </row>
    <row r="1928" spans="94:94" x14ac:dyDescent="0.15">
      <c r="CP1928" s="31"/>
    </row>
    <row r="1929" spans="94:94" x14ac:dyDescent="0.15">
      <c r="CP1929" s="31"/>
    </row>
    <row r="1930" spans="94:94" x14ac:dyDescent="0.15">
      <c r="CP1930" s="31"/>
    </row>
    <row r="1931" spans="94:94" x14ac:dyDescent="0.15">
      <c r="CP1931" s="31"/>
    </row>
    <row r="1932" spans="94:94" x14ac:dyDescent="0.15">
      <c r="CP1932" s="31"/>
    </row>
    <row r="1933" spans="94:94" x14ac:dyDescent="0.15">
      <c r="CP1933" s="31"/>
    </row>
    <row r="1934" spans="94:94" x14ac:dyDescent="0.15">
      <c r="CP1934" s="31"/>
    </row>
    <row r="1935" spans="94:94" x14ac:dyDescent="0.15">
      <c r="CP1935" s="31"/>
    </row>
    <row r="1936" spans="94:94" x14ac:dyDescent="0.15">
      <c r="CP1936" s="31"/>
    </row>
    <row r="1937" spans="94:94" x14ac:dyDescent="0.15">
      <c r="CP1937" s="31"/>
    </row>
    <row r="1938" spans="94:94" x14ac:dyDescent="0.15">
      <c r="CP1938" s="31"/>
    </row>
    <row r="1939" spans="94:94" x14ac:dyDescent="0.15">
      <c r="CP1939" s="31"/>
    </row>
    <row r="1940" spans="94:94" x14ac:dyDescent="0.15">
      <c r="CP1940" s="31"/>
    </row>
    <row r="1941" spans="94:94" x14ac:dyDescent="0.15">
      <c r="CP1941" s="31"/>
    </row>
    <row r="1942" spans="94:94" x14ac:dyDescent="0.15">
      <c r="CP1942" s="31"/>
    </row>
    <row r="1943" spans="94:94" x14ac:dyDescent="0.15">
      <c r="CP1943" s="31"/>
    </row>
    <row r="1944" spans="94:94" x14ac:dyDescent="0.15">
      <c r="CP1944" s="31"/>
    </row>
    <row r="1945" spans="94:94" x14ac:dyDescent="0.15">
      <c r="CP1945" s="31"/>
    </row>
    <row r="1946" spans="94:94" x14ac:dyDescent="0.15">
      <c r="CP1946" s="31"/>
    </row>
    <row r="1947" spans="94:94" x14ac:dyDescent="0.15">
      <c r="CP1947" s="31"/>
    </row>
    <row r="1948" spans="94:94" x14ac:dyDescent="0.15">
      <c r="CP1948" s="31"/>
    </row>
    <row r="1949" spans="94:94" x14ac:dyDescent="0.15">
      <c r="CP1949" s="31"/>
    </row>
    <row r="1950" spans="94:94" x14ac:dyDescent="0.15">
      <c r="CP1950" s="31"/>
    </row>
    <row r="1951" spans="94:94" x14ac:dyDescent="0.15">
      <c r="CP1951" s="31"/>
    </row>
    <row r="1952" spans="94:94" x14ac:dyDescent="0.15">
      <c r="CP1952" s="31"/>
    </row>
    <row r="1953" spans="94:94" x14ac:dyDescent="0.15">
      <c r="CP1953" s="31"/>
    </row>
    <row r="1954" spans="94:94" x14ac:dyDescent="0.15">
      <c r="CP1954" s="31"/>
    </row>
    <row r="1955" spans="94:94" x14ac:dyDescent="0.15">
      <c r="CP1955" s="31"/>
    </row>
    <row r="1956" spans="94:94" x14ac:dyDescent="0.15">
      <c r="CP1956" s="31"/>
    </row>
    <row r="1957" spans="94:94" x14ac:dyDescent="0.15">
      <c r="CP1957" s="31"/>
    </row>
    <row r="1958" spans="94:94" x14ac:dyDescent="0.15">
      <c r="CP1958" s="31"/>
    </row>
    <row r="1959" spans="94:94" x14ac:dyDescent="0.15">
      <c r="CP1959" s="31"/>
    </row>
    <row r="1960" spans="94:94" x14ac:dyDescent="0.15">
      <c r="CP1960" s="31"/>
    </row>
    <row r="1961" spans="94:94" x14ac:dyDescent="0.15">
      <c r="CP1961" s="31"/>
    </row>
    <row r="1962" spans="94:94" x14ac:dyDescent="0.15">
      <c r="CP1962" s="31"/>
    </row>
    <row r="1963" spans="94:94" x14ac:dyDescent="0.15">
      <c r="CP1963" s="31"/>
    </row>
    <row r="1964" spans="94:94" x14ac:dyDescent="0.15">
      <c r="CP1964" s="31"/>
    </row>
    <row r="1965" spans="94:94" x14ac:dyDescent="0.15">
      <c r="CP1965" s="31"/>
    </row>
    <row r="1966" spans="94:94" x14ac:dyDescent="0.15">
      <c r="CP1966" s="31"/>
    </row>
    <row r="1967" spans="94:94" x14ac:dyDescent="0.15">
      <c r="CP1967" s="31"/>
    </row>
    <row r="1968" spans="94:94" x14ac:dyDescent="0.15">
      <c r="CP1968" s="31"/>
    </row>
    <row r="1969" spans="94:94" x14ac:dyDescent="0.15">
      <c r="CP1969" s="31"/>
    </row>
    <row r="1970" spans="94:94" x14ac:dyDescent="0.15">
      <c r="CP1970" s="31"/>
    </row>
    <row r="1971" spans="94:94" x14ac:dyDescent="0.15">
      <c r="CP1971" s="31"/>
    </row>
    <row r="1972" spans="94:94" x14ac:dyDescent="0.15">
      <c r="CP1972" s="31"/>
    </row>
    <row r="1973" spans="94:94" x14ac:dyDescent="0.15">
      <c r="CP1973" s="31"/>
    </row>
    <row r="1974" spans="94:94" x14ac:dyDescent="0.15">
      <c r="CP1974" s="31"/>
    </row>
    <row r="1975" spans="94:94" x14ac:dyDescent="0.15">
      <c r="CP1975" s="31"/>
    </row>
    <row r="1976" spans="94:94" x14ac:dyDescent="0.15">
      <c r="CP1976" s="31"/>
    </row>
    <row r="1977" spans="94:94" x14ac:dyDescent="0.15">
      <c r="CP1977" s="31"/>
    </row>
    <row r="1978" spans="94:94" x14ac:dyDescent="0.15">
      <c r="CP1978" s="31"/>
    </row>
    <row r="1979" spans="94:94" x14ac:dyDescent="0.15">
      <c r="CP1979" s="31"/>
    </row>
    <row r="1980" spans="94:94" x14ac:dyDescent="0.15">
      <c r="CP1980" s="31"/>
    </row>
    <row r="1981" spans="94:94" x14ac:dyDescent="0.15">
      <c r="CP1981" s="31"/>
    </row>
    <row r="1982" spans="94:94" x14ac:dyDescent="0.15">
      <c r="CP1982" s="31"/>
    </row>
    <row r="1983" spans="94:94" x14ac:dyDescent="0.15">
      <c r="CP1983" s="31"/>
    </row>
    <row r="1984" spans="94:94" x14ac:dyDescent="0.15">
      <c r="CP1984" s="31"/>
    </row>
    <row r="1985" spans="94:94" x14ac:dyDescent="0.15">
      <c r="CP1985" s="31"/>
    </row>
    <row r="1986" spans="94:94" x14ac:dyDescent="0.15">
      <c r="CP1986" s="31"/>
    </row>
    <row r="1987" spans="94:94" x14ac:dyDescent="0.15">
      <c r="CP1987" s="31"/>
    </row>
    <row r="1988" spans="94:94" x14ac:dyDescent="0.15">
      <c r="CP1988" s="31"/>
    </row>
    <row r="1989" spans="94:94" x14ac:dyDescent="0.15">
      <c r="CP1989" s="31"/>
    </row>
    <row r="1990" spans="94:94" x14ac:dyDescent="0.15">
      <c r="CP1990" s="31"/>
    </row>
    <row r="1991" spans="94:94" x14ac:dyDescent="0.15">
      <c r="CP1991" s="31"/>
    </row>
    <row r="1992" spans="94:94" x14ac:dyDescent="0.15">
      <c r="CP1992" s="31"/>
    </row>
    <row r="1993" spans="94:94" x14ac:dyDescent="0.15">
      <c r="CP1993" s="31"/>
    </row>
    <row r="1994" spans="94:94" x14ac:dyDescent="0.15">
      <c r="CP1994" s="31"/>
    </row>
    <row r="1995" spans="94:94" x14ac:dyDescent="0.15">
      <c r="CP1995" s="31"/>
    </row>
    <row r="1996" spans="94:94" x14ac:dyDescent="0.15">
      <c r="CP1996" s="31"/>
    </row>
    <row r="1997" spans="94:94" x14ac:dyDescent="0.15">
      <c r="CP1997" s="31"/>
    </row>
    <row r="1998" spans="94:94" x14ac:dyDescent="0.15">
      <c r="CP1998" s="31"/>
    </row>
    <row r="1999" spans="94:94" x14ac:dyDescent="0.15">
      <c r="CP1999" s="31"/>
    </row>
    <row r="2000" spans="94:94" x14ac:dyDescent="0.15">
      <c r="CP2000" s="31"/>
    </row>
    <row r="2001" spans="94:94" x14ac:dyDescent="0.15">
      <c r="CP2001" s="31"/>
    </row>
    <row r="2002" spans="94:94" x14ac:dyDescent="0.15">
      <c r="CP2002" s="31"/>
    </row>
    <row r="2003" spans="94:94" x14ac:dyDescent="0.15">
      <c r="CP2003" s="31"/>
    </row>
    <row r="2004" spans="94:94" x14ac:dyDescent="0.15">
      <c r="CP2004" s="31"/>
    </row>
    <row r="2005" spans="94:94" x14ac:dyDescent="0.15">
      <c r="CP2005" s="31"/>
    </row>
    <row r="2006" spans="94:94" x14ac:dyDescent="0.15">
      <c r="CP2006" s="31"/>
    </row>
    <row r="2007" spans="94:94" x14ac:dyDescent="0.15">
      <c r="CP2007" s="31"/>
    </row>
    <row r="2008" spans="94:94" x14ac:dyDescent="0.15">
      <c r="CP2008" s="31"/>
    </row>
    <row r="2009" spans="94:94" x14ac:dyDescent="0.15">
      <c r="CP2009" s="31"/>
    </row>
    <row r="2010" spans="94:94" x14ac:dyDescent="0.15">
      <c r="CP2010" s="31"/>
    </row>
    <row r="2011" spans="94:94" x14ac:dyDescent="0.15">
      <c r="CP2011" s="31"/>
    </row>
    <row r="2012" spans="94:94" x14ac:dyDescent="0.15">
      <c r="CP2012" s="31"/>
    </row>
    <row r="2013" spans="94:94" x14ac:dyDescent="0.15">
      <c r="CP2013" s="31"/>
    </row>
    <row r="2014" spans="94:94" x14ac:dyDescent="0.15">
      <c r="CP2014" s="31"/>
    </row>
    <row r="2015" spans="94:94" x14ac:dyDescent="0.15">
      <c r="CP2015" s="31"/>
    </row>
    <row r="2016" spans="94:94" x14ac:dyDescent="0.15">
      <c r="CP2016" s="31"/>
    </row>
    <row r="2017" spans="94:94" x14ac:dyDescent="0.15">
      <c r="CP2017" s="31"/>
    </row>
    <row r="2018" spans="94:94" x14ac:dyDescent="0.15">
      <c r="CP2018" s="31"/>
    </row>
    <row r="2019" spans="94:94" x14ac:dyDescent="0.15">
      <c r="CP2019" s="31"/>
    </row>
    <row r="2020" spans="94:94" x14ac:dyDescent="0.15">
      <c r="CP2020" s="31"/>
    </row>
    <row r="2021" spans="94:94" x14ac:dyDescent="0.15">
      <c r="CP2021" s="31"/>
    </row>
    <row r="2022" spans="94:94" x14ac:dyDescent="0.15">
      <c r="CP2022" s="31"/>
    </row>
    <row r="2023" spans="94:94" x14ac:dyDescent="0.15">
      <c r="CP2023" s="31"/>
    </row>
    <row r="2024" spans="94:94" x14ac:dyDescent="0.15">
      <c r="CP2024" s="31"/>
    </row>
    <row r="2025" spans="94:94" x14ac:dyDescent="0.15">
      <c r="CP2025" s="31"/>
    </row>
    <row r="2026" spans="94:94" x14ac:dyDescent="0.15">
      <c r="CP2026" s="31"/>
    </row>
    <row r="2027" spans="94:94" x14ac:dyDescent="0.15">
      <c r="CP2027" s="31"/>
    </row>
    <row r="2028" spans="94:94" x14ac:dyDescent="0.15">
      <c r="CP2028" s="31"/>
    </row>
    <row r="2029" spans="94:94" x14ac:dyDescent="0.15">
      <c r="CP2029" s="31"/>
    </row>
    <row r="2030" spans="94:94" x14ac:dyDescent="0.15">
      <c r="CP2030" s="31"/>
    </row>
    <row r="2031" spans="94:94" x14ac:dyDescent="0.15">
      <c r="CP2031" s="31"/>
    </row>
    <row r="2032" spans="94:94" x14ac:dyDescent="0.15">
      <c r="CP2032" s="31"/>
    </row>
    <row r="2033" spans="94:94" x14ac:dyDescent="0.15">
      <c r="CP2033" s="31"/>
    </row>
    <row r="2034" spans="94:94" x14ac:dyDescent="0.15">
      <c r="CP2034" s="31"/>
    </row>
    <row r="2035" spans="94:94" x14ac:dyDescent="0.15">
      <c r="CP2035" s="31"/>
    </row>
    <row r="2036" spans="94:94" x14ac:dyDescent="0.15">
      <c r="CP2036" s="31"/>
    </row>
    <row r="2037" spans="94:94" x14ac:dyDescent="0.15">
      <c r="CP2037" s="31"/>
    </row>
    <row r="2038" spans="94:94" x14ac:dyDescent="0.15">
      <c r="CP2038" s="31"/>
    </row>
    <row r="2039" spans="94:94" x14ac:dyDescent="0.15">
      <c r="CP2039" s="31"/>
    </row>
    <row r="2040" spans="94:94" x14ac:dyDescent="0.15">
      <c r="CP2040" s="31"/>
    </row>
    <row r="2041" spans="94:94" x14ac:dyDescent="0.15">
      <c r="CP2041" s="31"/>
    </row>
    <row r="2042" spans="94:94" x14ac:dyDescent="0.15">
      <c r="CP2042" s="31"/>
    </row>
    <row r="2043" spans="94:94" x14ac:dyDescent="0.15">
      <c r="CP2043" s="31"/>
    </row>
    <row r="2044" spans="94:94" x14ac:dyDescent="0.15">
      <c r="CP2044" s="31"/>
    </row>
    <row r="2045" spans="94:94" x14ac:dyDescent="0.15">
      <c r="CP2045" s="31"/>
    </row>
    <row r="2046" spans="94:94" x14ac:dyDescent="0.15">
      <c r="CP2046" s="31"/>
    </row>
    <row r="2047" spans="94:94" x14ac:dyDescent="0.15">
      <c r="CP2047" s="31"/>
    </row>
    <row r="2048" spans="94:94" x14ac:dyDescent="0.15">
      <c r="CP2048" s="31"/>
    </row>
    <row r="2049" spans="94:94" x14ac:dyDescent="0.15">
      <c r="CP2049" s="31"/>
    </row>
    <row r="2050" spans="94:94" x14ac:dyDescent="0.15">
      <c r="CP2050" s="31"/>
    </row>
    <row r="2051" spans="94:94" x14ac:dyDescent="0.15">
      <c r="CP2051" s="31"/>
    </row>
    <row r="2052" spans="94:94" x14ac:dyDescent="0.15">
      <c r="CP2052" s="31"/>
    </row>
    <row r="2053" spans="94:94" x14ac:dyDescent="0.15">
      <c r="CP2053" s="31"/>
    </row>
    <row r="2054" spans="94:94" x14ac:dyDescent="0.15">
      <c r="CP2054" s="31"/>
    </row>
    <row r="2055" spans="94:94" x14ac:dyDescent="0.15">
      <c r="CP2055" s="31"/>
    </row>
    <row r="2056" spans="94:94" x14ac:dyDescent="0.15">
      <c r="CP2056" s="31"/>
    </row>
    <row r="2057" spans="94:94" x14ac:dyDescent="0.15">
      <c r="CP2057" s="31"/>
    </row>
    <row r="2058" spans="94:94" x14ac:dyDescent="0.15">
      <c r="CP2058" s="31"/>
    </row>
    <row r="2059" spans="94:94" x14ac:dyDescent="0.15">
      <c r="CP2059" s="31"/>
    </row>
    <row r="2060" spans="94:94" x14ac:dyDescent="0.15">
      <c r="CP2060" s="31"/>
    </row>
    <row r="2061" spans="94:94" x14ac:dyDescent="0.15">
      <c r="CP2061" s="31"/>
    </row>
    <row r="2062" spans="94:94" x14ac:dyDescent="0.15">
      <c r="CP2062" s="31"/>
    </row>
    <row r="2063" spans="94:94" x14ac:dyDescent="0.15">
      <c r="CP2063" s="31"/>
    </row>
    <row r="2064" spans="94:94" x14ac:dyDescent="0.15">
      <c r="CP2064" s="31"/>
    </row>
    <row r="2065" spans="94:94" x14ac:dyDescent="0.15">
      <c r="CP2065" s="31"/>
    </row>
    <row r="2066" spans="94:94" x14ac:dyDescent="0.15">
      <c r="CP2066" s="31"/>
    </row>
    <row r="2067" spans="94:94" x14ac:dyDescent="0.15">
      <c r="CP2067" s="31"/>
    </row>
    <row r="2068" spans="94:94" x14ac:dyDescent="0.15">
      <c r="CP2068" s="31"/>
    </row>
    <row r="2069" spans="94:94" x14ac:dyDescent="0.15">
      <c r="CP2069" s="31"/>
    </row>
    <row r="2070" spans="94:94" x14ac:dyDescent="0.15">
      <c r="CP2070" s="31"/>
    </row>
    <row r="2071" spans="94:94" x14ac:dyDescent="0.15">
      <c r="CP2071" s="31"/>
    </row>
    <row r="2072" spans="94:94" x14ac:dyDescent="0.15">
      <c r="CP2072" s="31"/>
    </row>
    <row r="2073" spans="94:94" x14ac:dyDescent="0.15">
      <c r="CP2073" s="31"/>
    </row>
    <row r="2074" spans="94:94" x14ac:dyDescent="0.15">
      <c r="CP2074" s="31"/>
    </row>
    <row r="2075" spans="94:94" x14ac:dyDescent="0.15">
      <c r="CP2075" s="31"/>
    </row>
    <row r="2076" spans="94:94" x14ac:dyDescent="0.15">
      <c r="CP2076" s="31"/>
    </row>
    <row r="2077" spans="94:94" x14ac:dyDescent="0.15">
      <c r="CP2077" s="31"/>
    </row>
    <row r="2078" spans="94:94" x14ac:dyDescent="0.15">
      <c r="CP2078" s="31"/>
    </row>
    <row r="2079" spans="94:94" x14ac:dyDescent="0.15">
      <c r="CP2079" s="31"/>
    </row>
    <row r="2080" spans="94:94" x14ac:dyDescent="0.15">
      <c r="CP2080" s="31"/>
    </row>
    <row r="2081" spans="94:94" x14ac:dyDescent="0.15">
      <c r="CP2081" s="31"/>
    </row>
    <row r="2082" spans="94:94" x14ac:dyDescent="0.15">
      <c r="CP2082" s="31"/>
    </row>
    <row r="2083" spans="94:94" x14ac:dyDescent="0.15">
      <c r="CP2083" s="31"/>
    </row>
    <row r="2084" spans="94:94" x14ac:dyDescent="0.15">
      <c r="CP2084" s="31"/>
    </row>
    <row r="2085" spans="94:94" x14ac:dyDescent="0.15">
      <c r="CP2085" s="31"/>
    </row>
    <row r="2086" spans="94:94" x14ac:dyDescent="0.15">
      <c r="CP2086" s="31"/>
    </row>
    <row r="2087" spans="94:94" x14ac:dyDescent="0.15">
      <c r="CP2087" s="31"/>
    </row>
    <row r="2088" spans="94:94" x14ac:dyDescent="0.15">
      <c r="CP2088" s="31"/>
    </row>
    <row r="2089" spans="94:94" x14ac:dyDescent="0.15">
      <c r="CP2089" s="31"/>
    </row>
    <row r="2090" spans="94:94" x14ac:dyDescent="0.15">
      <c r="CP2090" s="31"/>
    </row>
    <row r="2091" spans="94:94" x14ac:dyDescent="0.15">
      <c r="CP2091" s="31"/>
    </row>
    <row r="2092" spans="94:94" x14ac:dyDescent="0.15">
      <c r="CP2092" s="31"/>
    </row>
    <row r="2093" spans="94:94" x14ac:dyDescent="0.15">
      <c r="CP2093" s="31"/>
    </row>
    <row r="2094" spans="94:94" x14ac:dyDescent="0.15">
      <c r="CP2094" s="31"/>
    </row>
    <row r="2095" spans="94:94" x14ac:dyDescent="0.15">
      <c r="CP2095" s="31"/>
    </row>
    <row r="2096" spans="94:94" x14ac:dyDescent="0.15">
      <c r="CP2096" s="31"/>
    </row>
    <row r="2097" spans="94:94" x14ac:dyDescent="0.15">
      <c r="CP2097" s="31"/>
    </row>
    <row r="2098" spans="94:94" x14ac:dyDescent="0.15">
      <c r="CP2098" s="31"/>
    </row>
    <row r="2099" spans="94:94" x14ac:dyDescent="0.15">
      <c r="CP2099" s="31"/>
    </row>
    <row r="2100" spans="94:94" x14ac:dyDescent="0.15">
      <c r="CP2100" s="31"/>
    </row>
    <row r="2101" spans="94:94" x14ac:dyDescent="0.15">
      <c r="CP2101" s="31"/>
    </row>
    <row r="2102" spans="94:94" x14ac:dyDescent="0.15">
      <c r="CP2102" s="31"/>
    </row>
    <row r="2103" spans="94:94" x14ac:dyDescent="0.15">
      <c r="CP2103" s="31"/>
    </row>
    <row r="2104" spans="94:94" x14ac:dyDescent="0.15">
      <c r="CP2104" s="31"/>
    </row>
    <row r="2105" spans="94:94" x14ac:dyDescent="0.15">
      <c r="CP2105" s="31"/>
    </row>
    <row r="2106" spans="94:94" x14ac:dyDescent="0.15">
      <c r="CP2106" s="31"/>
    </row>
    <row r="2107" spans="94:94" x14ac:dyDescent="0.15">
      <c r="CP2107" s="31"/>
    </row>
    <row r="2108" spans="94:94" x14ac:dyDescent="0.15">
      <c r="CP2108" s="31"/>
    </row>
    <row r="2109" spans="94:94" x14ac:dyDescent="0.15">
      <c r="CP2109" s="31"/>
    </row>
    <row r="2110" spans="94:94" x14ac:dyDescent="0.15">
      <c r="CP2110" s="31"/>
    </row>
    <row r="2111" spans="94:94" x14ac:dyDescent="0.15">
      <c r="CP2111" s="31"/>
    </row>
    <row r="2112" spans="94:94" x14ac:dyDescent="0.15">
      <c r="CP2112" s="31"/>
    </row>
    <row r="2113" spans="94:94" x14ac:dyDescent="0.15">
      <c r="CP2113" s="31"/>
    </row>
    <row r="2114" spans="94:94" x14ac:dyDescent="0.15">
      <c r="CP2114" s="31"/>
    </row>
    <row r="2115" spans="94:94" x14ac:dyDescent="0.15">
      <c r="CP2115" s="31"/>
    </row>
    <row r="2116" spans="94:94" x14ac:dyDescent="0.15">
      <c r="CP2116" s="31"/>
    </row>
    <row r="2117" spans="94:94" x14ac:dyDescent="0.15">
      <c r="CP2117" s="31"/>
    </row>
    <row r="2118" spans="94:94" x14ac:dyDescent="0.15">
      <c r="CP2118" s="31"/>
    </row>
    <row r="2119" spans="94:94" x14ac:dyDescent="0.15">
      <c r="CP2119" s="31"/>
    </row>
    <row r="2120" spans="94:94" x14ac:dyDescent="0.15">
      <c r="CP2120" s="31"/>
    </row>
    <row r="2121" spans="94:94" x14ac:dyDescent="0.15">
      <c r="CP2121" s="31"/>
    </row>
    <row r="2122" spans="94:94" x14ac:dyDescent="0.15">
      <c r="CP2122" s="31"/>
    </row>
    <row r="2123" spans="94:94" x14ac:dyDescent="0.15">
      <c r="CP2123" s="31"/>
    </row>
    <row r="2124" spans="94:94" x14ac:dyDescent="0.15">
      <c r="CP2124" s="31"/>
    </row>
    <row r="2125" spans="94:94" x14ac:dyDescent="0.15">
      <c r="CP2125" s="31"/>
    </row>
    <row r="2126" spans="94:94" x14ac:dyDescent="0.15">
      <c r="CP2126" s="31"/>
    </row>
    <row r="2127" spans="94:94" x14ac:dyDescent="0.15">
      <c r="CP2127" s="31"/>
    </row>
    <row r="2128" spans="94:94" x14ac:dyDescent="0.15">
      <c r="CP2128" s="31"/>
    </row>
    <row r="2129" spans="94:94" x14ac:dyDescent="0.15">
      <c r="CP2129" s="31"/>
    </row>
    <row r="2130" spans="94:94" x14ac:dyDescent="0.15">
      <c r="CP2130" s="31"/>
    </row>
    <row r="2131" spans="94:94" x14ac:dyDescent="0.15">
      <c r="CP2131" s="31"/>
    </row>
    <row r="2132" spans="94:94" x14ac:dyDescent="0.15">
      <c r="CP2132" s="31"/>
    </row>
    <row r="2133" spans="94:94" x14ac:dyDescent="0.15">
      <c r="CP2133" s="31"/>
    </row>
    <row r="2134" spans="94:94" x14ac:dyDescent="0.15">
      <c r="CP2134" s="31"/>
    </row>
    <row r="2135" spans="94:94" x14ac:dyDescent="0.15">
      <c r="CP2135" s="31"/>
    </row>
    <row r="2136" spans="94:94" x14ac:dyDescent="0.15">
      <c r="CP2136" s="31"/>
    </row>
    <row r="2137" spans="94:94" x14ac:dyDescent="0.15">
      <c r="CP2137" s="31"/>
    </row>
    <row r="2138" spans="94:94" x14ac:dyDescent="0.15">
      <c r="CP2138" s="31"/>
    </row>
    <row r="2139" spans="94:94" x14ac:dyDescent="0.15">
      <c r="CP2139" s="31"/>
    </row>
    <row r="2140" spans="94:94" x14ac:dyDescent="0.15">
      <c r="CP2140" s="31"/>
    </row>
    <row r="2141" spans="94:94" x14ac:dyDescent="0.15">
      <c r="CP2141" s="31"/>
    </row>
    <row r="2142" spans="94:94" x14ac:dyDescent="0.15">
      <c r="CP2142" s="31"/>
    </row>
    <row r="2143" spans="94:94" x14ac:dyDescent="0.15">
      <c r="CP2143" s="31"/>
    </row>
    <row r="2144" spans="94:94" x14ac:dyDescent="0.15">
      <c r="CP2144" s="31"/>
    </row>
    <row r="2145" spans="94:94" x14ac:dyDescent="0.15">
      <c r="CP2145" s="31"/>
    </row>
    <row r="2146" spans="94:94" x14ac:dyDescent="0.15">
      <c r="CP2146" s="31"/>
    </row>
    <row r="2147" spans="94:94" x14ac:dyDescent="0.15">
      <c r="CP2147" s="31"/>
    </row>
    <row r="2148" spans="94:94" x14ac:dyDescent="0.15">
      <c r="CP2148" s="31"/>
    </row>
    <row r="2149" spans="94:94" x14ac:dyDescent="0.15">
      <c r="CP2149" s="31"/>
    </row>
    <row r="2150" spans="94:94" x14ac:dyDescent="0.15">
      <c r="CP2150" s="31"/>
    </row>
    <row r="2151" spans="94:94" x14ac:dyDescent="0.15">
      <c r="CP2151" s="31"/>
    </row>
    <row r="2152" spans="94:94" x14ac:dyDescent="0.15">
      <c r="CP2152" s="31"/>
    </row>
    <row r="2153" spans="94:94" x14ac:dyDescent="0.15">
      <c r="CP2153" s="31"/>
    </row>
    <row r="2154" spans="94:94" x14ac:dyDescent="0.15">
      <c r="CP2154" s="31"/>
    </row>
    <row r="2155" spans="94:94" x14ac:dyDescent="0.15">
      <c r="CP2155" s="31"/>
    </row>
    <row r="2156" spans="94:94" x14ac:dyDescent="0.15">
      <c r="CP2156" s="31"/>
    </row>
    <row r="2157" spans="94:94" x14ac:dyDescent="0.15">
      <c r="CP2157" s="31"/>
    </row>
    <row r="2158" spans="94:94" x14ac:dyDescent="0.15">
      <c r="CP2158" s="31"/>
    </row>
    <row r="2159" spans="94:94" x14ac:dyDescent="0.15">
      <c r="CP2159" s="31"/>
    </row>
    <row r="2160" spans="94:94" x14ac:dyDescent="0.15">
      <c r="CP2160" s="31"/>
    </row>
    <row r="2161" spans="94:94" x14ac:dyDescent="0.15">
      <c r="CP2161" s="31"/>
    </row>
    <row r="2162" spans="94:94" x14ac:dyDescent="0.15">
      <c r="CP2162" s="31"/>
    </row>
    <row r="2163" spans="94:94" x14ac:dyDescent="0.15">
      <c r="CP2163" s="31"/>
    </row>
    <row r="2164" spans="94:94" x14ac:dyDescent="0.15">
      <c r="CP2164" s="31"/>
    </row>
    <row r="2165" spans="94:94" x14ac:dyDescent="0.15">
      <c r="CP2165" s="31"/>
    </row>
    <row r="2166" spans="94:94" x14ac:dyDescent="0.15">
      <c r="CP2166" s="31"/>
    </row>
    <row r="2167" spans="94:94" x14ac:dyDescent="0.15">
      <c r="CP2167" s="31"/>
    </row>
    <row r="2168" spans="94:94" x14ac:dyDescent="0.15">
      <c r="CP2168" s="31"/>
    </row>
    <row r="2169" spans="94:94" x14ac:dyDescent="0.15">
      <c r="CP2169" s="31"/>
    </row>
    <row r="2170" spans="94:94" x14ac:dyDescent="0.15">
      <c r="CP2170" s="31"/>
    </row>
    <row r="2171" spans="94:94" x14ac:dyDescent="0.15">
      <c r="CP2171" s="31"/>
    </row>
    <row r="2172" spans="94:94" x14ac:dyDescent="0.15">
      <c r="CP2172" s="31"/>
    </row>
    <row r="2173" spans="94:94" x14ac:dyDescent="0.15">
      <c r="CP2173" s="31"/>
    </row>
    <row r="2174" spans="94:94" x14ac:dyDescent="0.15">
      <c r="CP2174" s="31"/>
    </row>
    <row r="2175" spans="94:94" x14ac:dyDescent="0.15">
      <c r="CP2175" s="31"/>
    </row>
    <row r="2176" spans="94:94" x14ac:dyDescent="0.15">
      <c r="CP2176" s="31"/>
    </row>
    <row r="2177" spans="94:94" x14ac:dyDescent="0.15">
      <c r="CP2177" s="31"/>
    </row>
    <row r="2178" spans="94:94" x14ac:dyDescent="0.15">
      <c r="CP2178" s="31"/>
    </row>
    <row r="2179" spans="94:94" x14ac:dyDescent="0.15">
      <c r="CP2179" s="31"/>
    </row>
    <row r="2180" spans="94:94" x14ac:dyDescent="0.15">
      <c r="CP2180" s="31"/>
    </row>
    <row r="2181" spans="94:94" x14ac:dyDescent="0.15">
      <c r="CP2181" s="31"/>
    </row>
    <row r="2182" spans="94:94" x14ac:dyDescent="0.15">
      <c r="CP2182" s="31"/>
    </row>
    <row r="2183" spans="94:94" x14ac:dyDescent="0.15">
      <c r="CP2183" s="31"/>
    </row>
    <row r="2184" spans="94:94" x14ac:dyDescent="0.15">
      <c r="CP2184" s="31"/>
    </row>
    <row r="2185" spans="94:94" x14ac:dyDescent="0.15">
      <c r="CP2185" s="31"/>
    </row>
    <row r="2186" spans="94:94" x14ac:dyDescent="0.15">
      <c r="CP2186" s="31"/>
    </row>
    <row r="2187" spans="94:94" x14ac:dyDescent="0.15">
      <c r="CP2187" s="31"/>
    </row>
    <row r="2188" spans="94:94" x14ac:dyDescent="0.15">
      <c r="CP2188" s="31"/>
    </row>
    <row r="2189" spans="94:94" x14ac:dyDescent="0.15">
      <c r="CP2189" s="31"/>
    </row>
    <row r="2190" spans="94:94" x14ac:dyDescent="0.15">
      <c r="CP2190" s="31"/>
    </row>
    <row r="2191" spans="94:94" x14ac:dyDescent="0.15">
      <c r="CP2191" s="31"/>
    </row>
    <row r="2192" spans="94:94" x14ac:dyDescent="0.15">
      <c r="CP2192" s="31"/>
    </row>
    <row r="2193" spans="94:94" x14ac:dyDescent="0.15">
      <c r="CP2193" s="31"/>
    </row>
    <row r="2194" spans="94:94" x14ac:dyDescent="0.15">
      <c r="CP2194" s="31"/>
    </row>
    <row r="2195" spans="94:94" x14ac:dyDescent="0.15">
      <c r="CP2195" s="31"/>
    </row>
    <row r="2196" spans="94:94" x14ac:dyDescent="0.15">
      <c r="CP2196" s="31"/>
    </row>
    <row r="2197" spans="94:94" x14ac:dyDescent="0.15">
      <c r="CP2197" s="31"/>
    </row>
    <row r="2198" spans="94:94" x14ac:dyDescent="0.15">
      <c r="CP2198" s="31"/>
    </row>
    <row r="2199" spans="94:94" x14ac:dyDescent="0.15">
      <c r="CP2199" s="31"/>
    </row>
    <row r="2200" spans="94:94" x14ac:dyDescent="0.15">
      <c r="CP2200" s="31"/>
    </row>
    <row r="2201" spans="94:94" x14ac:dyDescent="0.15">
      <c r="CP2201" s="31"/>
    </row>
    <row r="2202" spans="94:94" x14ac:dyDescent="0.15">
      <c r="CP2202" s="31"/>
    </row>
    <row r="2203" spans="94:94" x14ac:dyDescent="0.15">
      <c r="CP2203" s="31"/>
    </row>
    <row r="2204" spans="94:94" x14ac:dyDescent="0.15">
      <c r="CP2204" s="31"/>
    </row>
    <row r="2205" spans="94:94" x14ac:dyDescent="0.15">
      <c r="CP2205" s="31"/>
    </row>
    <row r="2206" spans="94:94" x14ac:dyDescent="0.15">
      <c r="CP2206" s="31"/>
    </row>
    <row r="2207" spans="94:94" x14ac:dyDescent="0.15">
      <c r="CP2207" s="31"/>
    </row>
    <row r="2208" spans="94:94" x14ac:dyDescent="0.15">
      <c r="CP2208" s="31"/>
    </row>
    <row r="2209" spans="94:94" x14ac:dyDescent="0.15">
      <c r="CP2209" s="31"/>
    </row>
    <row r="2210" spans="94:94" x14ac:dyDescent="0.15">
      <c r="CP2210" s="31"/>
    </row>
    <row r="2211" spans="94:94" x14ac:dyDescent="0.15">
      <c r="CP2211" s="31"/>
    </row>
    <row r="2212" spans="94:94" x14ac:dyDescent="0.15">
      <c r="CP2212" s="31"/>
    </row>
    <row r="2213" spans="94:94" x14ac:dyDescent="0.15">
      <c r="CP2213" s="31"/>
    </row>
    <row r="2214" spans="94:94" x14ac:dyDescent="0.15">
      <c r="CP2214" s="31"/>
    </row>
    <row r="2215" spans="94:94" x14ac:dyDescent="0.15">
      <c r="CP2215" s="31"/>
    </row>
    <row r="2216" spans="94:94" x14ac:dyDescent="0.15">
      <c r="CP2216" s="31"/>
    </row>
    <row r="2217" spans="94:94" x14ac:dyDescent="0.15">
      <c r="CP2217" s="31"/>
    </row>
    <row r="2218" spans="94:94" x14ac:dyDescent="0.15">
      <c r="CP2218" s="31"/>
    </row>
    <row r="2219" spans="94:94" x14ac:dyDescent="0.15">
      <c r="CP2219" s="31"/>
    </row>
    <row r="2220" spans="94:94" x14ac:dyDescent="0.15">
      <c r="CP2220" s="31"/>
    </row>
    <row r="2221" spans="94:94" x14ac:dyDescent="0.15">
      <c r="CP2221" s="31"/>
    </row>
    <row r="2222" spans="94:94" x14ac:dyDescent="0.15">
      <c r="CP2222" s="31"/>
    </row>
    <row r="2223" spans="94:94" x14ac:dyDescent="0.15">
      <c r="CP2223" s="31"/>
    </row>
    <row r="2224" spans="94:94" x14ac:dyDescent="0.15">
      <c r="CP2224" s="31"/>
    </row>
    <row r="2225" spans="94:94" x14ac:dyDescent="0.15">
      <c r="CP2225" s="31"/>
    </row>
    <row r="2226" spans="94:94" x14ac:dyDescent="0.15">
      <c r="CP2226" s="31"/>
    </row>
    <row r="2227" spans="94:94" x14ac:dyDescent="0.15">
      <c r="CP2227" s="31"/>
    </row>
    <row r="2228" spans="94:94" x14ac:dyDescent="0.15">
      <c r="CP2228" s="31"/>
    </row>
    <row r="2229" spans="94:94" x14ac:dyDescent="0.15">
      <c r="CP2229" s="31"/>
    </row>
    <row r="2230" spans="94:94" x14ac:dyDescent="0.15">
      <c r="CP2230" s="31"/>
    </row>
    <row r="2231" spans="94:94" x14ac:dyDescent="0.15">
      <c r="CP2231" s="31"/>
    </row>
    <row r="2232" spans="94:94" x14ac:dyDescent="0.15">
      <c r="CP2232" s="31"/>
    </row>
    <row r="2233" spans="94:94" x14ac:dyDescent="0.15">
      <c r="CP2233" s="31"/>
    </row>
    <row r="2234" spans="94:94" x14ac:dyDescent="0.15">
      <c r="CP2234" s="31"/>
    </row>
    <row r="2235" spans="94:94" x14ac:dyDescent="0.15">
      <c r="CP2235" s="31"/>
    </row>
    <row r="2236" spans="94:94" x14ac:dyDescent="0.15">
      <c r="CP2236" s="31"/>
    </row>
    <row r="2237" spans="94:94" x14ac:dyDescent="0.15">
      <c r="CP2237" s="31"/>
    </row>
    <row r="2238" spans="94:94" x14ac:dyDescent="0.15">
      <c r="CP2238" s="31"/>
    </row>
    <row r="2239" spans="94:94" x14ac:dyDescent="0.15">
      <c r="CP2239" s="31"/>
    </row>
    <row r="2240" spans="94:94" x14ac:dyDescent="0.15">
      <c r="CP2240" s="31"/>
    </row>
    <row r="2241" spans="94:94" x14ac:dyDescent="0.15">
      <c r="CP2241" s="31"/>
    </row>
    <row r="2242" spans="94:94" x14ac:dyDescent="0.15">
      <c r="CP2242" s="31"/>
    </row>
    <row r="2243" spans="94:94" x14ac:dyDescent="0.15">
      <c r="CP2243" s="31"/>
    </row>
    <row r="2244" spans="94:94" x14ac:dyDescent="0.15">
      <c r="CP2244" s="31"/>
    </row>
    <row r="2245" spans="94:94" x14ac:dyDescent="0.15">
      <c r="CP2245" s="31"/>
    </row>
    <row r="2246" spans="94:94" x14ac:dyDescent="0.15">
      <c r="CP2246" s="31"/>
    </row>
    <row r="2247" spans="94:94" x14ac:dyDescent="0.15">
      <c r="CP2247" s="31"/>
    </row>
    <row r="2248" spans="94:94" x14ac:dyDescent="0.15">
      <c r="CP2248" s="31"/>
    </row>
    <row r="2249" spans="94:94" x14ac:dyDescent="0.15">
      <c r="CP2249" s="31"/>
    </row>
    <row r="2250" spans="94:94" x14ac:dyDescent="0.15">
      <c r="CP2250" s="31"/>
    </row>
    <row r="2251" spans="94:94" x14ac:dyDescent="0.15">
      <c r="CP2251" s="31"/>
    </row>
    <row r="2252" spans="94:94" x14ac:dyDescent="0.15">
      <c r="CP2252" s="31"/>
    </row>
    <row r="2253" spans="94:94" x14ac:dyDescent="0.15">
      <c r="CP2253" s="31"/>
    </row>
    <row r="2254" spans="94:94" x14ac:dyDescent="0.15">
      <c r="CP2254" s="31"/>
    </row>
    <row r="2255" spans="94:94" x14ac:dyDescent="0.15">
      <c r="CP2255" s="31"/>
    </row>
    <row r="2256" spans="94:94" x14ac:dyDescent="0.15">
      <c r="CP2256" s="31"/>
    </row>
    <row r="2257" spans="94:94" x14ac:dyDescent="0.15">
      <c r="CP2257" s="31"/>
    </row>
    <row r="2258" spans="94:94" x14ac:dyDescent="0.15">
      <c r="CP2258" s="31"/>
    </row>
    <row r="2259" spans="94:94" x14ac:dyDescent="0.15">
      <c r="CP2259" s="31"/>
    </row>
    <row r="2260" spans="94:94" x14ac:dyDescent="0.15">
      <c r="CP2260" s="31"/>
    </row>
    <row r="2261" spans="94:94" x14ac:dyDescent="0.15">
      <c r="CP2261" s="31"/>
    </row>
    <row r="2262" spans="94:94" x14ac:dyDescent="0.15">
      <c r="CP2262" s="31"/>
    </row>
    <row r="2263" spans="94:94" x14ac:dyDescent="0.15">
      <c r="CP2263" s="31"/>
    </row>
    <row r="2264" spans="94:94" x14ac:dyDescent="0.15">
      <c r="CP2264" s="31"/>
    </row>
    <row r="2265" spans="94:94" x14ac:dyDescent="0.15">
      <c r="CP2265" s="31"/>
    </row>
    <row r="2266" spans="94:94" x14ac:dyDescent="0.15">
      <c r="CP2266" s="31"/>
    </row>
    <row r="2267" spans="94:94" x14ac:dyDescent="0.15">
      <c r="CP2267" s="31"/>
    </row>
    <row r="2268" spans="94:94" x14ac:dyDescent="0.15">
      <c r="CP2268" s="31"/>
    </row>
    <row r="2269" spans="94:94" x14ac:dyDescent="0.15">
      <c r="CP2269" s="31"/>
    </row>
    <row r="2270" spans="94:94" x14ac:dyDescent="0.15">
      <c r="CP2270" s="31"/>
    </row>
    <row r="2271" spans="94:94" x14ac:dyDescent="0.15">
      <c r="CP2271" s="31"/>
    </row>
    <row r="2272" spans="94:94" x14ac:dyDescent="0.15">
      <c r="CP2272" s="31"/>
    </row>
    <row r="2273" spans="94:94" x14ac:dyDescent="0.15">
      <c r="CP2273" s="31"/>
    </row>
    <row r="2274" spans="94:94" x14ac:dyDescent="0.15">
      <c r="CP2274" s="31"/>
    </row>
    <row r="2275" spans="94:94" x14ac:dyDescent="0.15">
      <c r="CP2275" s="31"/>
    </row>
    <row r="2276" spans="94:94" x14ac:dyDescent="0.15">
      <c r="CP2276" s="31"/>
    </row>
    <row r="2277" spans="94:94" x14ac:dyDescent="0.15">
      <c r="CP2277" s="31"/>
    </row>
    <row r="2278" spans="94:94" x14ac:dyDescent="0.15">
      <c r="CP2278" s="31"/>
    </row>
    <row r="2279" spans="94:94" x14ac:dyDescent="0.15">
      <c r="CP2279" s="31"/>
    </row>
    <row r="2280" spans="94:94" x14ac:dyDescent="0.15">
      <c r="CP2280" s="31"/>
    </row>
    <row r="2281" spans="94:94" x14ac:dyDescent="0.15">
      <c r="CP2281" s="31"/>
    </row>
    <row r="2282" spans="94:94" x14ac:dyDescent="0.15">
      <c r="CP2282" s="31"/>
    </row>
    <row r="2283" spans="94:94" x14ac:dyDescent="0.15">
      <c r="CP2283" s="31"/>
    </row>
    <row r="2284" spans="94:94" x14ac:dyDescent="0.15">
      <c r="CP2284" s="31"/>
    </row>
    <row r="2285" spans="94:94" x14ac:dyDescent="0.15">
      <c r="CP2285" s="31"/>
    </row>
    <row r="2286" spans="94:94" x14ac:dyDescent="0.15">
      <c r="CP2286" s="31"/>
    </row>
    <row r="2287" spans="94:94" x14ac:dyDescent="0.15">
      <c r="CP2287" s="31"/>
    </row>
    <row r="2288" spans="94:94" x14ac:dyDescent="0.15">
      <c r="CP2288" s="31"/>
    </row>
    <row r="2289" spans="94:94" x14ac:dyDescent="0.15">
      <c r="CP2289" s="31"/>
    </row>
    <row r="2290" spans="94:94" x14ac:dyDescent="0.15">
      <c r="CP2290" s="31"/>
    </row>
    <row r="2291" spans="94:94" x14ac:dyDescent="0.15">
      <c r="CP2291" s="31"/>
    </row>
    <row r="2292" spans="94:94" x14ac:dyDescent="0.15">
      <c r="CP2292" s="31"/>
    </row>
    <row r="2293" spans="94:94" x14ac:dyDescent="0.15">
      <c r="CP2293" s="31"/>
    </row>
    <row r="2294" spans="94:94" x14ac:dyDescent="0.15">
      <c r="CP2294" s="31"/>
    </row>
    <row r="2295" spans="94:94" x14ac:dyDescent="0.15">
      <c r="CP2295" s="31"/>
    </row>
    <row r="2296" spans="94:94" x14ac:dyDescent="0.15">
      <c r="CP2296" s="31"/>
    </row>
    <row r="2297" spans="94:94" x14ac:dyDescent="0.15">
      <c r="CP2297" s="31"/>
    </row>
    <row r="2298" spans="94:94" x14ac:dyDescent="0.15">
      <c r="CP2298" s="31"/>
    </row>
    <row r="2299" spans="94:94" x14ac:dyDescent="0.15">
      <c r="CP2299" s="31"/>
    </row>
    <row r="2300" spans="94:94" x14ac:dyDescent="0.15">
      <c r="CP2300" s="31"/>
    </row>
    <row r="2301" spans="94:94" x14ac:dyDescent="0.15">
      <c r="CP2301" s="31"/>
    </row>
    <row r="2302" spans="94:94" x14ac:dyDescent="0.15">
      <c r="CP2302" s="31"/>
    </row>
    <row r="2303" spans="94:94" x14ac:dyDescent="0.15">
      <c r="CP2303" s="31"/>
    </row>
    <row r="2304" spans="94:94" x14ac:dyDescent="0.15">
      <c r="CP2304" s="31"/>
    </row>
    <row r="2305" spans="94:94" x14ac:dyDescent="0.15">
      <c r="CP2305" s="31"/>
    </row>
    <row r="2306" spans="94:94" x14ac:dyDescent="0.15">
      <c r="CP2306" s="31"/>
    </row>
    <row r="2307" spans="94:94" x14ac:dyDescent="0.15">
      <c r="CP2307" s="31"/>
    </row>
    <row r="2308" spans="94:94" x14ac:dyDescent="0.15">
      <c r="CP2308" s="31"/>
    </row>
    <row r="2309" spans="94:94" x14ac:dyDescent="0.15">
      <c r="CP2309" s="31"/>
    </row>
    <row r="2310" spans="94:94" x14ac:dyDescent="0.15">
      <c r="CP2310" s="31"/>
    </row>
    <row r="2311" spans="94:94" x14ac:dyDescent="0.15">
      <c r="CP2311" s="31"/>
    </row>
    <row r="2312" spans="94:94" x14ac:dyDescent="0.15">
      <c r="CP2312" s="31"/>
    </row>
    <row r="2313" spans="94:94" x14ac:dyDescent="0.15">
      <c r="CP2313" s="31"/>
    </row>
    <row r="2314" spans="94:94" x14ac:dyDescent="0.15">
      <c r="CP2314" s="31"/>
    </row>
    <row r="2315" spans="94:94" x14ac:dyDescent="0.15">
      <c r="CP2315" s="31"/>
    </row>
    <row r="2316" spans="94:94" x14ac:dyDescent="0.15">
      <c r="CP2316" s="31"/>
    </row>
    <row r="2317" spans="94:94" x14ac:dyDescent="0.15">
      <c r="CP2317" s="31"/>
    </row>
    <row r="2318" spans="94:94" x14ac:dyDescent="0.15">
      <c r="CP2318" s="31"/>
    </row>
    <row r="2319" spans="94:94" x14ac:dyDescent="0.15">
      <c r="CP2319" s="31"/>
    </row>
    <row r="2320" spans="94:94" x14ac:dyDescent="0.15">
      <c r="CP2320" s="31"/>
    </row>
    <row r="2321" spans="94:94" x14ac:dyDescent="0.15">
      <c r="CP2321" s="31"/>
    </row>
    <row r="2322" spans="94:94" x14ac:dyDescent="0.15">
      <c r="CP2322" s="31"/>
    </row>
    <row r="2323" spans="94:94" x14ac:dyDescent="0.15">
      <c r="CP2323" s="31"/>
    </row>
    <row r="2324" spans="94:94" x14ac:dyDescent="0.15">
      <c r="CP2324" s="31"/>
    </row>
    <row r="2325" spans="94:94" x14ac:dyDescent="0.15">
      <c r="CP2325" s="31"/>
    </row>
    <row r="2326" spans="94:94" x14ac:dyDescent="0.15">
      <c r="CP2326" s="31"/>
    </row>
    <row r="2327" spans="94:94" x14ac:dyDescent="0.15">
      <c r="CP2327" s="31"/>
    </row>
    <row r="2328" spans="94:94" x14ac:dyDescent="0.15">
      <c r="CP2328" s="31"/>
    </row>
    <row r="2329" spans="94:94" x14ac:dyDescent="0.15">
      <c r="CP2329" s="31"/>
    </row>
    <row r="2330" spans="94:94" x14ac:dyDescent="0.15">
      <c r="CP2330" s="31"/>
    </row>
    <row r="2331" spans="94:94" x14ac:dyDescent="0.15">
      <c r="CP2331" s="31"/>
    </row>
    <row r="2332" spans="94:94" x14ac:dyDescent="0.15">
      <c r="CP2332" s="31"/>
    </row>
    <row r="2333" spans="94:94" x14ac:dyDescent="0.15">
      <c r="CP2333" s="31"/>
    </row>
    <row r="2334" spans="94:94" x14ac:dyDescent="0.15">
      <c r="CP2334" s="31"/>
    </row>
    <row r="2335" spans="94:94" x14ac:dyDescent="0.15">
      <c r="CP2335" s="31"/>
    </row>
    <row r="2336" spans="94:94" x14ac:dyDescent="0.15">
      <c r="CP2336" s="31"/>
    </row>
    <row r="2337" spans="94:94" x14ac:dyDescent="0.15">
      <c r="CP2337" s="31"/>
    </row>
    <row r="2338" spans="94:94" x14ac:dyDescent="0.15">
      <c r="CP2338" s="31"/>
    </row>
    <row r="2339" spans="94:94" x14ac:dyDescent="0.15">
      <c r="CP2339" s="31"/>
    </row>
    <row r="2340" spans="94:94" x14ac:dyDescent="0.15">
      <c r="CP2340" s="31"/>
    </row>
    <row r="2341" spans="94:94" x14ac:dyDescent="0.15">
      <c r="CP2341" s="31"/>
    </row>
    <row r="2342" spans="94:94" x14ac:dyDescent="0.15">
      <c r="CP2342" s="31"/>
    </row>
    <row r="2343" spans="94:94" x14ac:dyDescent="0.15">
      <c r="CP2343" s="31"/>
    </row>
    <row r="2344" spans="94:94" x14ac:dyDescent="0.15">
      <c r="CP2344" s="31"/>
    </row>
    <row r="2345" spans="94:94" x14ac:dyDescent="0.15">
      <c r="CP2345" s="31"/>
    </row>
    <row r="2346" spans="94:94" x14ac:dyDescent="0.15">
      <c r="CP2346" s="31"/>
    </row>
    <row r="2347" spans="94:94" x14ac:dyDescent="0.15">
      <c r="CP2347" s="31"/>
    </row>
    <row r="2348" spans="94:94" x14ac:dyDescent="0.15">
      <c r="CP2348" s="31"/>
    </row>
    <row r="2349" spans="94:94" x14ac:dyDescent="0.15">
      <c r="CP2349" s="31"/>
    </row>
    <row r="2350" spans="94:94" x14ac:dyDescent="0.15">
      <c r="CP2350" s="31"/>
    </row>
    <row r="2351" spans="94:94" x14ac:dyDescent="0.15">
      <c r="CP2351" s="31"/>
    </row>
    <row r="2352" spans="94:94" x14ac:dyDescent="0.15">
      <c r="CP2352" s="31"/>
    </row>
    <row r="2353" spans="94:94" x14ac:dyDescent="0.15">
      <c r="CP2353" s="31"/>
    </row>
    <row r="2354" spans="94:94" x14ac:dyDescent="0.15">
      <c r="CP2354" s="31"/>
    </row>
    <row r="2355" spans="94:94" x14ac:dyDescent="0.15">
      <c r="CP2355" s="31"/>
    </row>
    <row r="2356" spans="94:94" x14ac:dyDescent="0.15">
      <c r="CP2356" s="31"/>
    </row>
    <row r="2357" spans="94:94" x14ac:dyDescent="0.15">
      <c r="CP2357" s="31"/>
    </row>
    <row r="2358" spans="94:94" x14ac:dyDescent="0.15">
      <c r="CP2358" s="31"/>
    </row>
    <row r="2359" spans="94:94" x14ac:dyDescent="0.15">
      <c r="CP2359" s="31"/>
    </row>
    <row r="2360" spans="94:94" x14ac:dyDescent="0.15">
      <c r="CP2360" s="31"/>
    </row>
    <row r="2361" spans="94:94" x14ac:dyDescent="0.15">
      <c r="CP2361" s="31"/>
    </row>
    <row r="2362" spans="94:94" x14ac:dyDescent="0.15">
      <c r="CP2362" s="31"/>
    </row>
    <row r="2363" spans="94:94" x14ac:dyDescent="0.15">
      <c r="CP2363" s="31"/>
    </row>
    <row r="2364" spans="94:94" x14ac:dyDescent="0.15">
      <c r="CP2364" s="31"/>
    </row>
    <row r="2365" spans="94:94" x14ac:dyDescent="0.15">
      <c r="CP2365" s="31"/>
    </row>
    <row r="2366" spans="94:94" x14ac:dyDescent="0.15">
      <c r="CP2366" s="31"/>
    </row>
    <row r="2367" spans="94:94" x14ac:dyDescent="0.15">
      <c r="CP2367" s="31"/>
    </row>
    <row r="2368" spans="94:94" x14ac:dyDescent="0.15">
      <c r="CP2368" s="31"/>
    </row>
    <row r="2369" spans="94:94" x14ac:dyDescent="0.15">
      <c r="CP2369" s="31"/>
    </row>
    <row r="2370" spans="94:94" x14ac:dyDescent="0.15">
      <c r="CP2370" s="31"/>
    </row>
    <row r="2371" spans="94:94" x14ac:dyDescent="0.15">
      <c r="CP2371" s="31"/>
    </row>
    <row r="2372" spans="94:94" x14ac:dyDescent="0.15">
      <c r="CP2372" s="31"/>
    </row>
    <row r="2373" spans="94:94" x14ac:dyDescent="0.15">
      <c r="CP2373" s="31"/>
    </row>
    <row r="2374" spans="94:94" x14ac:dyDescent="0.15">
      <c r="CP2374" s="31"/>
    </row>
    <row r="2375" spans="94:94" x14ac:dyDescent="0.15">
      <c r="CP2375" s="31"/>
    </row>
    <row r="2376" spans="94:94" x14ac:dyDescent="0.15">
      <c r="CP2376" s="31"/>
    </row>
    <row r="2377" spans="94:94" x14ac:dyDescent="0.15">
      <c r="CP2377" s="31"/>
    </row>
    <row r="2378" spans="94:94" x14ac:dyDescent="0.15">
      <c r="CP2378" s="31"/>
    </row>
    <row r="2379" spans="94:94" x14ac:dyDescent="0.15">
      <c r="CP2379" s="31"/>
    </row>
    <row r="2380" spans="94:94" x14ac:dyDescent="0.15">
      <c r="CP2380" s="31"/>
    </row>
    <row r="2381" spans="94:94" x14ac:dyDescent="0.15">
      <c r="CP2381" s="31"/>
    </row>
    <row r="2382" spans="94:94" x14ac:dyDescent="0.15">
      <c r="CP2382" s="31"/>
    </row>
    <row r="2383" spans="94:94" x14ac:dyDescent="0.15">
      <c r="CP2383" s="31"/>
    </row>
    <row r="2384" spans="94:94" x14ac:dyDescent="0.15">
      <c r="CP2384" s="31"/>
    </row>
    <row r="2385" spans="94:94" x14ac:dyDescent="0.15">
      <c r="CP2385" s="31"/>
    </row>
    <row r="2386" spans="94:94" x14ac:dyDescent="0.15">
      <c r="CP2386" s="31"/>
    </row>
    <row r="2387" spans="94:94" x14ac:dyDescent="0.15">
      <c r="CP2387" s="31"/>
    </row>
    <row r="2388" spans="94:94" x14ac:dyDescent="0.15">
      <c r="CP2388" s="31"/>
    </row>
    <row r="2389" spans="94:94" x14ac:dyDescent="0.15">
      <c r="CP2389" s="31"/>
    </row>
    <row r="2390" spans="94:94" x14ac:dyDescent="0.15">
      <c r="CP2390" s="31"/>
    </row>
    <row r="2391" spans="94:94" x14ac:dyDescent="0.15">
      <c r="CP2391" s="31"/>
    </row>
    <row r="2392" spans="94:94" x14ac:dyDescent="0.15">
      <c r="CP2392" s="31"/>
    </row>
    <row r="2393" spans="94:94" x14ac:dyDescent="0.15">
      <c r="CP2393" s="31"/>
    </row>
    <row r="2394" spans="94:94" x14ac:dyDescent="0.15">
      <c r="CP2394" s="31"/>
    </row>
    <row r="2395" spans="94:94" x14ac:dyDescent="0.15">
      <c r="CP2395" s="31"/>
    </row>
    <row r="2396" spans="94:94" x14ac:dyDescent="0.15">
      <c r="CP2396" s="31"/>
    </row>
    <row r="2397" spans="94:94" x14ac:dyDescent="0.15">
      <c r="CP2397" s="31"/>
    </row>
    <row r="2398" spans="94:94" x14ac:dyDescent="0.15">
      <c r="CP2398" s="31"/>
    </row>
    <row r="2399" spans="94:94" x14ac:dyDescent="0.15">
      <c r="CP2399" s="31"/>
    </row>
    <row r="2400" spans="94:94" x14ac:dyDescent="0.15">
      <c r="CP2400" s="31"/>
    </row>
    <row r="2401" spans="94:94" x14ac:dyDescent="0.15">
      <c r="CP2401" s="31"/>
    </row>
    <row r="2402" spans="94:94" x14ac:dyDescent="0.15">
      <c r="CP2402" s="31"/>
    </row>
    <row r="2403" spans="94:94" x14ac:dyDescent="0.15">
      <c r="CP2403" s="31"/>
    </row>
    <row r="2404" spans="94:94" x14ac:dyDescent="0.15">
      <c r="CP2404" s="31"/>
    </row>
    <row r="2405" spans="94:94" x14ac:dyDescent="0.15">
      <c r="CP2405" s="31"/>
    </row>
    <row r="2406" spans="94:94" x14ac:dyDescent="0.15">
      <c r="CP2406" s="31"/>
    </row>
    <row r="2407" spans="94:94" x14ac:dyDescent="0.15">
      <c r="CP2407" s="31"/>
    </row>
    <row r="2408" spans="94:94" x14ac:dyDescent="0.15">
      <c r="CP2408" s="31"/>
    </row>
    <row r="2409" spans="94:94" x14ac:dyDescent="0.15">
      <c r="CP2409" s="31"/>
    </row>
    <row r="2410" spans="94:94" x14ac:dyDescent="0.15">
      <c r="CP2410" s="31"/>
    </row>
    <row r="2411" spans="94:94" x14ac:dyDescent="0.15">
      <c r="CP2411" s="31"/>
    </row>
    <row r="2412" spans="94:94" x14ac:dyDescent="0.15">
      <c r="CP2412" s="31"/>
    </row>
    <row r="2413" spans="94:94" x14ac:dyDescent="0.15">
      <c r="CP2413" s="31"/>
    </row>
    <row r="2414" spans="94:94" x14ac:dyDescent="0.15">
      <c r="CP2414" s="31"/>
    </row>
    <row r="2415" spans="94:94" x14ac:dyDescent="0.15">
      <c r="CP2415" s="31"/>
    </row>
    <row r="2416" spans="94:94" x14ac:dyDescent="0.15">
      <c r="CP2416" s="31"/>
    </row>
    <row r="2417" spans="94:94" x14ac:dyDescent="0.15">
      <c r="CP2417" s="31"/>
    </row>
    <row r="2418" spans="94:94" x14ac:dyDescent="0.15">
      <c r="CP2418" s="31"/>
    </row>
    <row r="2419" spans="94:94" x14ac:dyDescent="0.15">
      <c r="CP2419" s="31"/>
    </row>
    <row r="2420" spans="94:94" x14ac:dyDescent="0.15">
      <c r="CP2420" s="31"/>
    </row>
    <row r="2421" spans="94:94" x14ac:dyDescent="0.15">
      <c r="CP2421" s="31"/>
    </row>
    <row r="2422" spans="94:94" x14ac:dyDescent="0.15">
      <c r="CP2422" s="31"/>
    </row>
    <row r="2423" spans="94:94" x14ac:dyDescent="0.15">
      <c r="CP2423" s="31"/>
    </row>
    <row r="2424" spans="94:94" x14ac:dyDescent="0.15">
      <c r="CP2424" s="31"/>
    </row>
    <row r="2425" spans="94:94" x14ac:dyDescent="0.15">
      <c r="CP2425" s="31"/>
    </row>
    <row r="2426" spans="94:94" x14ac:dyDescent="0.15">
      <c r="CP2426" s="31"/>
    </row>
    <row r="2427" spans="94:94" x14ac:dyDescent="0.15">
      <c r="CP2427" s="31"/>
    </row>
    <row r="2428" spans="94:94" x14ac:dyDescent="0.15">
      <c r="CP2428" s="31"/>
    </row>
    <row r="2429" spans="94:94" x14ac:dyDescent="0.15">
      <c r="CP2429" s="31"/>
    </row>
    <row r="2430" spans="94:94" x14ac:dyDescent="0.15">
      <c r="CP2430" s="31"/>
    </row>
    <row r="2431" spans="94:94" x14ac:dyDescent="0.15">
      <c r="CP2431" s="31"/>
    </row>
    <row r="2432" spans="94:94" x14ac:dyDescent="0.15">
      <c r="CP2432" s="31"/>
    </row>
    <row r="2433" spans="94:94" x14ac:dyDescent="0.15">
      <c r="CP2433" s="31"/>
    </row>
    <row r="2434" spans="94:94" x14ac:dyDescent="0.15">
      <c r="CP2434" s="31"/>
    </row>
    <row r="2435" spans="94:94" x14ac:dyDescent="0.15">
      <c r="CP2435" s="31"/>
    </row>
    <row r="2436" spans="94:94" x14ac:dyDescent="0.15">
      <c r="CP2436" s="31"/>
    </row>
    <row r="2437" spans="94:94" x14ac:dyDescent="0.15">
      <c r="CP2437" s="31"/>
    </row>
    <row r="2438" spans="94:94" x14ac:dyDescent="0.15">
      <c r="CP2438" s="31"/>
    </row>
    <row r="2439" spans="94:94" x14ac:dyDescent="0.15">
      <c r="CP2439" s="31"/>
    </row>
    <row r="2440" spans="94:94" x14ac:dyDescent="0.15">
      <c r="CP2440" s="31"/>
    </row>
    <row r="2441" spans="94:94" x14ac:dyDescent="0.15">
      <c r="CP2441" s="31"/>
    </row>
    <row r="2442" spans="94:94" x14ac:dyDescent="0.15">
      <c r="CP2442" s="31"/>
    </row>
    <row r="2443" spans="94:94" x14ac:dyDescent="0.15">
      <c r="CP2443" s="31"/>
    </row>
    <row r="2444" spans="94:94" x14ac:dyDescent="0.15">
      <c r="CP2444" s="31"/>
    </row>
    <row r="2445" spans="94:94" x14ac:dyDescent="0.15">
      <c r="CP2445" s="31"/>
    </row>
    <row r="2446" spans="94:94" x14ac:dyDescent="0.15">
      <c r="CP2446" s="31"/>
    </row>
    <row r="2447" spans="94:94" x14ac:dyDescent="0.15">
      <c r="CP2447" s="31"/>
    </row>
    <row r="2448" spans="94:94" x14ac:dyDescent="0.15">
      <c r="CP2448" s="31"/>
    </row>
    <row r="2449" spans="94:94" x14ac:dyDescent="0.15">
      <c r="CP2449" s="31"/>
    </row>
    <row r="2450" spans="94:94" x14ac:dyDescent="0.15">
      <c r="CP2450" s="31"/>
    </row>
    <row r="2451" spans="94:94" x14ac:dyDescent="0.15">
      <c r="CP2451" s="31"/>
    </row>
    <row r="2452" spans="94:94" x14ac:dyDescent="0.15">
      <c r="CP2452" s="31"/>
    </row>
    <row r="2453" spans="94:94" x14ac:dyDescent="0.15">
      <c r="CP2453" s="31"/>
    </row>
    <row r="2454" spans="94:94" x14ac:dyDescent="0.15">
      <c r="CP2454" s="31"/>
    </row>
    <row r="2455" spans="94:94" x14ac:dyDescent="0.15">
      <c r="CP2455" s="31"/>
    </row>
    <row r="2456" spans="94:94" x14ac:dyDescent="0.15">
      <c r="CP2456" s="31"/>
    </row>
    <row r="2457" spans="94:94" x14ac:dyDescent="0.15">
      <c r="CP2457" s="31"/>
    </row>
    <row r="2458" spans="94:94" x14ac:dyDescent="0.15">
      <c r="CP2458" s="31"/>
    </row>
    <row r="2459" spans="94:94" x14ac:dyDescent="0.15">
      <c r="CP2459" s="31"/>
    </row>
    <row r="2460" spans="94:94" x14ac:dyDescent="0.15">
      <c r="CP2460" s="31"/>
    </row>
    <row r="2461" spans="94:94" x14ac:dyDescent="0.15">
      <c r="CP2461" s="31"/>
    </row>
    <row r="2462" spans="94:94" x14ac:dyDescent="0.15">
      <c r="CP2462" s="31"/>
    </row>
    <row r="2463" spans="94:94" x14ac:dyDescent="0.15">
      <c r="CP2463" s="31"/>
    </row>
    <row r="2464" spans="94:94" x14ac:dyDescent="0.15">
      <c r="CP2464" s="31"/>
    </row>
    <row r="2465" spans="94:94" x14ac:dyDescent="0.15">
      <c r="CP2465" s="31"/>
    </row>
    <row r="2466" spans="94:94" x14ac:dyDescent="0.15">
      <c r="CP2466" s="31"/>
    </row>
    <row r="2467" spans="94:94" x14ac:dyDescent="0.15">
      <c r="CP2467" s="31"/>
    </row>
    <row r="2468" spans="94:94" x14ac:dyDescent="0.15">
      <c r="CP2468" s="31"/>
    </row>
    <row r="2469" spans="94:94" x14ac:dyDescent="0.15">
      <c r="CP2469" s="31"/>
    </row>
    <row r="2470" spans="94:94" x14ac:dyDescent="0.15">
      <c r="CP2470" s="31"/>
    </row>
    <row r="2471" spans="94:94" x14ac:dyDescent="0.15">
      <c r="CP2471" s="31"/>
    </row>
    <row r="2472" spans="94:94" x14ac:dyDescent="0.15">
      <c r="CP2472" s="31"/>
    </row>
    <row r="2473" spans="94:94" x14ac:dyDescent="0.15">
      <c r="CP2473" s="31"/>
    </row>
    <row r="2474" spans="94:94" x14ac:dyDescent="0.15">
      <c r="CP2474" s="31"/>
    </row>
    <row r="2475" spans="94:94" x14ac:dyDescent="0.15">
      <c r="CP2475" s="31"/>
    </row>
    <row r="2476" spans="94:94" x14ac:dyDescent="0.15">
      <c r="CP2476" s="31"/>
    </row>
    <row r="2477" spans="94:94" x14ac:dyDescent="0.15">
      <c r="CP2477" s="31"/>
    </row>
    <row r="2478" spans="94:94" x14ac:dyDescent="0.15">
      <c r="CP2478" s="31"/>
    </row>
    <row r="2479" spans="94:94" x14ac:dyDescent="0.15">
      <c r="CP2479" s="31"/>
    </row>
    <row r="2480" spans="94:94" x14ac:dyDescent="0.15">
      <c r="CP2480" s="31"/>
    </row>
    <row r="2481" spans="94:94" x14ac:dyDescent="0.15">
      <c r="CP2481" s="31"/>
    </row>
    <row r="2482" spans="94:94" x14ac:dyDescent="0.15">
      <c r="CP2482" s="31"/>
    </row>
    <row r="2483" spans="94:94" x14ac:dyDescent="0.15">
      <c r="CP2483" s="31"/>
    </row>
    <row r="2484" spans="94:94" x14ac:dyDescent="0.15">
      <c r="CP2484" s="31"/>
    </row>
    <row r="2485" spans="94:94" x14ac:dyDescent="0.15">
      <c r="CP2485" s="31"/>
    </row>
    <row r="2486" spans="94:94" x14ac:dyDescent="0.15">
      <c r="CP2486" s="31"/>
    </row>
    <row r="2487" spans="94:94" x14ac:dyDescent="0.15">
      <c r="CP2487" s="31"/>
    </row>
    <row r="2488" spans="94:94" x14ac:dyDescent="0.15">
      <c r="CP2488" s="31"/>
    </row>
    <row r="2489" spans="94:94" x14ac:dyDescent="0.15">
      <c r="CP2489" s="31"/>
    </row>
    <row r="2490" spans="94:94" x14ac:dyDescent="0.15">
      <c r="CP2490" s="31"/>
    </row>
    <row r="2491" spans="94:94" x14ac:dyDescent="0.15">
      <c r="CP2491" s="31"/>
    </row>
    <row r="2492" spans="94:94" x14ac:dyDescent="0.15">
      <c r="CP2492" s="31"/>
    </row>
    <row r="2493" spans="94:94" x14ac:dyDescent="0.15">
      <c r="CP2493" s="31"/>
    </row>
    <row r="2494" spans="94:94" x14ac:dyDescent="0.15">
      <c r="CP2494" s="31"/>
    </row>
    <row r="2495" spans="94:94" x14ac:dyDescent="0.15">
      <c r="CP2495" s="31"/>
    </row>
    <row r="2496" spans="94:94" x14ac:dyDescent="0.15">
      <c r="CP2496" s="31"/>
    </row>
    <row r="2497" spans="94:94" x14ac:dyDescent="0.15">
      <c r="CP2497" s="31"/>
    </row>
    <row r="2498" spans="94:94" x14ac:dyDescent="0.15">
      <c r="CP2498" s="31"/>
    </row>
    <row r="2499" spans="94:94" x14ac:dyDescent="0.15">
      <c r="CP2499" s="31"/>
    </row>
    <row r="2500" spans="94:94" x14ac:dyDescent="0.15">
      <c r="CP2500" s="31"/>
    </row>
    <row r="2501" spans="94:94" x14ac:dyDescent="0.15">
      <c r="CP2501" s="31"/>
    </row>
    <row r="2502" spans="94:94" x14ac:dyDescent="0.15">
      <c r="CP2502" s="31"/>
    </row>
    <row r="2503" spans="94:94" x14ac:dyDescent="0.15">
      <c r="CP2503" s="31"/>
    </row>
    <row r="2504" spans="94:94" x14ac:dyDescent="0.15">
      <c r="CP2504" s="31"/>
    </row>
    <row r="2505" spans="94:94" x14ac:dyDescent="0.15">
      <c r="CP2505" s="31"/>
    </row>
    <row r="2506" spans="94:94" x14ac:dyDescent="0.15">
      <c r="CP2506" s="31"/>
    </row>
    <row r="2507" spans="94:94" x14ac:dyDescent="0.15">
      <c r="CP2507" s="31"/>
    </row>
    <row r="2508" spans="94:94" x14ac:dyDescent="0.15">
      <c r="CP2508" s="31"/>
    </row>
    <row r="2509" spans="94:94" x14ac:dyDescent="0.15">
      <c r="CP2509" s="31"/>
    </row>
    <row r="2510" spans="94:94" x14ac:dyDescent="0.15">
      <c r="CP2510" s="31"/>
    </row>
    <row r="2511" spans="94:94" x14ac:dyDescent="0.15">
      <c r="CP2511" s="31"/>
    </row>
    <row r="2512" spans="94:94" x14ac:dyDescent="0.15">
      <c r="CP2512" s="31"/>
    </row>
    <row r="2513" spans="94:94" x14ac:dyDescent="0.15">
      <c r="CP2513" s="31"/>
    </row>
    <row r="2514" spans="94:94" x14ac:dyDescent="0.15">
      <c r="CP2514" s="31"/>
    </row>
    <row r="2515" spans="94:94" x14ac:dyDescent="0.15">
      <c r="CP2515" s="31"/>
    </row>
    <row r="2516" spans="94:94" x14ac:dyDescent="0.15">
      <c r="CP2516" s="31"/>
    </row>
    <row r="2517" spans="94:94" x14ac:dyDescent="0.15">
      <c r="CP2517" s="31"/>
    </row>
    <row r="2518" spans="94:94" x14ac:dyDescent="0.15">
      <c r="CP2518" s="31"/>
    </row>
    <row r="2519" spans="94:94" x14ac:dyDescent="0.15">
      <c r="CP2519" s="31"/>
    </row>
    <row r="2520" spans="94:94" x14ac:dyDescent="0.15">
      <c r="CP2520" s="31"/>
    </row>
    <row r="2521" spans="94:94" x14ac:dyDescent="0.15">
      <c r="CP2521" s="31"/>
    </row>
    <row r="2522" spans="94:94" x14ac:dyDescent="0.15">
      <c r="CP2522" s="31"/>
    </row>
    <row r="2523" spans="94:94" x14ac:dyDescent="0.15">
      <c r="CP2523" s="31"/>
    </row>
    <row r="2524" spans="94:94" x14ac:dyDescent="0.15">
      <c r="CP2524" s="31"/>
    </row>
    <row r="2525" spans="94:94" x14ac:dyDescent="0.15">
      <c r="CP2525" s="31"/>
    </row>
    <row r="2526" spans="94:94" x14ac:dyDescent="0.15">
      <c r="CP2526" s="31"/>
    </row>
    <row r="2527" spans="94:94" x14ac:dyDescent="0.15">
      <c r="CP2527" s="31"/>
    </row>
    <row r="2528" spans="94:94" x14ac:dyDescent="0.15">
      <c r="CP2528" s="31"/>
    </row>
    <row r="2529" spans="94:94" x14ac:dyDescent="0.15">
      <c r="CP2529" s="31"/>
    </row>
    <row r="2530" spans="94:94" x14ac:dyDescent="0.15">
      <c r="CP2530" s="31"/>
    </row>
    <row r="2531" spans="94:94" x14ac:dyDescent="0.15">
      <c r="CP2531" s="31"/>
    </row>
    <row r="2532" spans="94:94" x14ac:dyDescent="0.15">
      <c r="CP2532" s="31"/>
    </row>
    <row r="2533" spans="94:94" x14ac:dyDescent="0.15">
      <c r="CP2533" s="31"/>
    </row>
    <row r="2534" spans="94:94" x14ac:dyDescent="0.15">
      <c r="CP2534" s="31"/>
    </row>
    <row r="2535" spans="94:94" x14ac:dyDescent="0.15">
      <c r="CP2535" s="31"/>
    </row>
    <row r="2536" spans="94:94" x14ac:dyDescent="0.15">
      <c r="CP2536" s="31"/>
    </row>
    <row r="2537" spans="94:94" x14ac:dyDescent="0.15">
      <c r="CP2537" s="31"/>
    </row>
    <row r="2538" spans="94:94" x14ac:dyDescent="0.15">
      <c r="CP2538" s="31"/>
    </row>
    <row r="2539" spans="94:94" x14ac:dyDescent="0.15">
      <c r="CP2539" s="31"/>
    </row>
    <row r="2540" spans="94:94" x14ac:dyDescent="0.15">
      <c r="CP2540" s="31"/>
    </row>
    <row r="2541" spans="94:94" x14ac:dyDescent="0.15">
      <c r="CP2541" s="31"/>
    </row>
    <row r="2542" spans="94:94" x14ac:dyDescent="0.15">
      <c r="CP2542" s="31"/>
    </row>
    <row r="2543" spans="94:94" x14ac:dyDescent="0.15">
      <c r="CP2543" s="31"/>
    </row>
    <row r="2544" spans="94:94" x14ac:dyDescent="0.15">
      <c r="CP2544" s="31"/>
    </row>
    <row r="2545" spans="94:94" x14ac:dyDescent="0.15">
      <c r="CP2545" s="31"/>
    </row>
    <row r="2546" spans="94:94" x14ac:dyDescent="0.15">
      <c r="CP2546" s="31"/>
    </row>
    <row r="2547" spans="94:94" x14ac:dyDescent="0.15">
      <c r="CP2547" s="31"/>
    </row>
    <row r="2548" spans="94:94" x14ac:dyDescent="0.15">
      <c r="CP2548" s="31"/>
    </row>
    <row r="2549" spans="94:94" x14ac:dyDescent="0.15">
      <c r="CP2549" s="31"/>
    </row>
    <row r="2550" spans="94:94" x14ac:dyDescent="0.15">
      <c r="CP2550" s="31"/>
    </row>
    <row r="2551" spans="94:94" x14ac:dyDescent="0.15">
      <c r="CP2551" s="31"/>
    </row>
    <row r="2552" spans="94:94" x14ac:dyDescent="0.15">
      <c r="CP2552" s="31"/>
    </row>
    <row r="2553" spans="94:94" x14ac:dyDescent="0.15">
      <c r="CP2553" s="31"/>
    </row>
    <row r="2554" spans="94:94" x14ac:dyDescent="0.15">
      <c r="CP2554" s="31"/>
    </row>
    <row r="2555" spans="94:94" x14ac:dyDescent="0.15">
      <c r="CP2555" s="31"/>
    </row>
    <row r="2556" spans="94:94" x14ac:dyDescent="0.15">
      <c r="CP2556" s="31"/>
    </row>
    <row r="2557" spans="94:94" x14ac:dyDescent="0.15">
      <c r="CP2557" s="31"/>
    </row>
    <row r="2558" spans="94:94" x14ac:dyDescent="0.15">
      <c r="CP2558" s="31"/>
    </row>
    <row r="2559" spans="94:94" x14ac:dyDescent="0.15">
      <c r="CP2559" s="31"/>
    </row>
    <row r="2560" spans="94:94" x14ac:dyDescent="0.15">
      <c r="CP2560" s="31"/>
    </row>
    <row r="2561" spans="94:94" x14ac:dyDescent="0.15">
      <c r="CP2561" s="31"/>
    </row>
    <row r="2562" spans="94:94" x14ac:dyDescent="0.15">
      <c r="CP2562" s="31"/>
    </row>
    <row r="2563" spans="94:94" x14ac:dyDescent="0.15">
      <c r="CP2563" s="31"/>
    </row>
    <row r="2564" spans="94:94" x14ac:dyDescent="0.15">
      <c r="CP2564" s="31"/>
    </row>
    <row r="2565" spans="94:94" x14ac:dyDescent="0.15">
      <c r="CP2565" s="31"/>
    </row>
    <row r="2566" spans="94:94" x14ac:dyDescent="0.15">
      <c r="CP2566" s="31"/>
    </row>
    <row r="2567" spans="94:94" x14ac:dyDescent="0.15">
      <c r="CP2567" s="31"/>
    </row>
    <row r="2568" spans="94:94" x14ac:dyDescent="0.15">
      <c r="CP2568" s="31"/>
    </row>
    <row r="2569" spans="94:94" x14ac:dyDescent="0.15">
      <c r="CP2569" s="31"/>
    </row>
    <row r="2570" spans="94:94" x14ac:dyDescent="0.15">
      <c r="CP2570" s="31"/>
    </row>
    <row r="2571" spans="94:94" x14ac:dyDescent="0.15">
      <c r="CP2571" s="31"/>
    </row>
    <row r="2572" spans="94:94" x14ac:dyDescent="0.15">
      <c r="CP2572" s="31"/>
    </row>
    <row r="2573" spans="94:94" x14ac:dyDescent="0.15">
      <c r="CP2573" s="31"/>
    </row>
    <row r="2574" spans="94:94" x14ac:dyDescent="0.15">
      <c r="CP2574" s="31"/>
    </row>
    <row r="2575" spans="94:94" x14ac:dyDescent="0.15">
      <c r="CP2575" s="31"/>
    </row>
    <row r="2576" spans="94:94" x14ac:dyDescent="0.15">
      <c r="CP2576" s="31"/>
    </row>
    <row r="2577" spans="94:94" x14ac:dyDescent="0.15">
      <c r="CP2577" s="31"/>
    </row>
    <row r="2578" spans="94:94" x14ac:dyDescent="0.15">
      <c r="CP2578" s="31"/>
    </row>
    <row r="2579" spans="94:94" x14ac:dyDescent="0.15">
      <c r="CP2579" s="31"/>
    </row>
    <row r="2580" spans="94:94" x14ac:dyDescent="0.15">
      <c r="CP2580" s="31"/>
    </row>
    <row r="2581" spans="94:94" x14ac:dyDescent="0.15">
      <c r="CP2581" s="31"/>
    </row>
    <row r="2582" spans="94:94" x14ac:dyDescent="0.15">
      <c r="CP2582" s="31"/>
    </row>
    <row r="2583" spans="94:94" x14ac:dyDescent="0.15">
      <c r="CP2583" s="31"/>
    </row>
    <row r="2584" spans="94:94" x14ac:dyDescent="0.15">
      <c r="CP2584" s="31"/>
    </row>
    <row r="2585" spans="94:94" x14ac:dyDescent="0.15">
      <c r="CP2585" s="31"/>
    </row>
    <row r="2586" spans="94:94" x14ac:dyDescent="0.15">
      <c r="CP2586" s="31"/>
    </row>
    <row r="2587" spans="94:94" x14ac:dyDescent="0.15">
      <c r="CP2587" s="31"/>
    </row>
    <row r="2588" spans="94:94" x14ac:dyDescent="0.15">
      <c r="CP2588" s="31"/>
    </row>
    <row r="2589" spans="94:94" x14ac:dyDescent="0.15">
      <c r="CP2589" s="31"/>
    </row>
    <row r="2590" spans="94:94" x14ac:dyDescent="0.15">
      <c r="CP2590" s="31"/>
    </row>
    <row r="2591" spans="94:94" x14ac:dyDescent="0.15">
      <c r="CP2591" s="31"/>
    </row>
    <row r="2592" spans="94:94" x14ac:dyDescent="0.15">
      <c r="CP2592" s="31"/>
    </row>
    <row r="2593" spans="94:94" x14ac:dyDescent="0.15">
      <c r="CP2593" s="31"/>
    </row>
    <row r="2594" spans="94:94" x14ac:dyDescent="0.15">
      <c r="CP2594" s="31"/>
    </row>
    <row r="2595" spans="94:94" x14ac:dyDescent="0.15">
      <c r="CP2595" s="31"/>
    </row>
    <row r="2596" spans="94:94" x14ac:dyDescent="0.15">
      <c r="CP2596" s="31"/>
    </row>
    <row r="2597" spans="94:94" x14ac:dyDescent="0.15">
      <c r="CP2597" s="31"/>
    </row>
    <row r="2598" spans="94:94" x14ac:dyDescent="0.15">
      <c r="CP2598" s="31"/>
    </row>
    <row r="2599" spans="94:94" x14ac:dyDescent="0.15">
      <c r="CP2599" s="31"/>
    </row>
    <row r="2600" spans="94:94" x14ac:dyDescent="0.15">
      <c r="CP2600" s="31"/>
    </row>
    <row r="2601" spans="94:94" x14ac:dyDescent="0.15">
      <c r="CP2601" s="31"/>
    </row>
    <row r="2602" spans="94:94" x14ac:dyDescent="0.15">
      <c r="CP2602" s="31"/>
    </row>
    <row r="2603" spans="94:94" x14ac:dyDescent="0.15">
      <c r="CP2603" s="31"/>
    </row>
    <row r="2604" spans="94:94" x14ac:dyDescent="0.15">
      <c r="CP2604" s="31"/>
    </row>
    <row r="2605" spans="94:94" x14ac:dyDescent="0.15">
      <c r="CP2605" s="31"/>
    </row>
    <row r="2606" spans="94:94" x14ac:dyDescent="0.15">
      <c r="CP2606" s="31"/>
    </row>
    <row r="2607" spans="94:94" x14ac:dyDescent="0.15">
      <c r="CP2607" s="31"/>
    </row>
    <row r="2608" spans="94:94" x14ac:dyDescent="0.15">
      <c r="CP2608" s="31"/>
    </row>
    <row r="2609" spans="94:94" x14ac:dyDescent="0.15">
      <c r="CP2609" s="31"/>
    </row>
    <row r="2610" spans="94:94" x14ac:dyDescent="0.15">
      <c r="CP2610" s="31"/>
    </row>
    <row r="2611" spans="94:94" x14ac:dyDescent="0.15">
      <c r="CP2611" s="31"/>
    </row>
    <row r="2612" spans="94:94" x14ac:dyDescent="0.15">
      <c r="CP2612" s="31"/>
    </row>
    <row r="2613" spans="94:94" x14ac:dyDescent="0.15">
      <c r="CP2613" s="31"/>
    </row>
    <row r="2614" spans="94:94" x14ac:dyDescent="0.15">
      <c r="CP2614" s="31"/>
    </row>
    <row r="2615" spans="94:94" x14ac:dyDescent="0.15">
      <c r="CP2615" s="31"/>
    </row>
    <row r="2616" spans="94:94" x14ac:dyDescent="0.15">
      <c r="CP2616" s="31"/>
    </row>
    <row r="2617" spans="94:94" x14ac:dyDescent="0.15">
      <c r="CP2617" s="31"/>
    </row>
    <row r="2618" spans="94:94" x14ac:dyDescent="0.15">
      <c r="CP2618" s="31"/>
    </row>
    <row r="2619" spans="94:94" x14ac:dyDescent="0.15">
      <c r="CP2619" s="31"/>
    </row>
    <row r="2620" spans="94:94" x14ac:dyDescent="0.15">
      <c r="CP2620" s="31"/>
    </row>
    <row r="2621" spans="94:94" x14ac:dyDescent="0.15">
      <c r="CP2621" s="31"/>
    </row>
    <row r="2622" spans="94:94" x14ac:dyDescent="0.15">
      <c r="CP2622" s="31"/>
    </row>
    <row r="2623" spans="94:94" x14ac:dyDescent="0.15">
      <c r="CP2623" s="31"/>
    </row>
    <row r="2624" spans="94:94" x14ac:dyDescent="0.15">
      <c r="CP2624" s="31"/>
    </row>
    <row r="2625" spans="94:94" x14ac:dyDescent="0.15">
      <c r="CP2625" s="31"/>
    </row>
    <row r="2626" spans="94:94" x14ac:dyDescent="0.15">
      <c r="CP2626" s="31"/>
    </row>
    <row r="2627" spans="94:94" x14ac:dyDescent="0.15">
      <c r="CP2627" s="31"/>
    </row>
    <row r="2628" spans="94:94" x14ac:dyDescent="0.15">
      <c r="CP2628" s="31"/>
    </row>
    <row r="2629" spans="94:94" x14ac:dyDescent="0.15">
      <c r="CP2629" s="31"/>
    </row>
    <row r="2630" spans="94:94" x14ac:dyDescent="0.15">
      <c r="CP2630" s="31"/>
    </row>
    <row r="2631" spans="94:94" x14ac:dyDescent="0.15">
      <c r="CP2631" s="31"/>
    </row>
    <row r="2632" spans="94:94" x14ac:dyDescent="0.15">
      <c r="CP2632" s="31"/>
    </row>
    <row r="2633" spans="94:94" x14ac:dyDescent="0.15">
      <c r="CP2633" s="31"/>
    </row>
    <row r="2634" spans="94:94" x14ac:dyDescent="0.15">
      <c r="CP2634" s="31"/>
    </row>
    <row r="2635" spans="94:94" x14ac:dyDescent="0.15">
      <c r="CP2635" s="31"/>
    </row>
    <row r="2636" spans="94:94" x14ac:dyDescent="0.15">
      <c r="CP2636" s="31"/>
    </row>
    <row r="2637" spans="94:94" x14ac:dyDescent="0.15">
      <c r="CP2637" s="31"/>
    </row>
    <row r="2638" spans="94:94" x14ac:dyDescent="0.15">
      <c r="CP2638" s="31"/>
    </row>
    <row r="2639" spans="94:94" x14ac:dyDescent="0.15">
      <c r="CP2639" s="31"/>
    </row>
    <row r="2640" spans="94:94" x14ac:dyDescent="0.15">
      <c r="CP2640" s="31"/>
    </row>
    <row r="2641" spans="94:94" x14ac:dyDescent="0.15">
      <c r="CP2641" s="31"/>
    </row>
    <row r="2642" spans="94:94" x14ac:dyDescent="0.15">
      <c r="CP2642" s="31"/>
    </row>
    <row r="2643" spans="94:94" x14ac:dyDescent="0.15">
      <c r="CP2643" s="31"/>
    </row>
    <row r="2644" spans="94:94" x14ac:dyDescent="0.15">
      <c r="CP2644" s="31"/>
    </row>
    <row r="2645" spans="94:94" x14ac:dyDescent="0.15">
      <c r="CP2645" s="31"/>
    </row>
    <row r="2646" spans="94:94" x14ac:dyDescent="0.15">
      <c r="CP2646" s="31"/>
    </row>
    <row r="2647" spans="94:94" x14ac:dyDescent="0.15">
      <c r="CP2647" s="31"/>
    </row>
    <row r="2648" spans="94:94" x14ac:dyDescent="0.15">
      <c r="CP2648" s="31"/>
    </row>
    <row r="2649" spans="94:94" x14ac:dyDescent="0.15">
      <c r="CP2649" s="31"/>
    </row>
    <row r="2650" spans="94:94" x14ac:dyDescent="0.15">
      <c r="CP2650" s="31"/>
    </row>
    <row r="2651" spans="94:94" x14ac:dyDescent="0.15">
      <c r="CP2651" s="31"/>
    </row>
    <row r="2652" spans="94:94" x14ac:dyDescent="0.15">
      <c r="CP2652" s="31"/>
    </row>
    <row r="2653" spans="94:94" x14ac:dyDescent="0.15">
      <c r="CP2653" s="31"/>
    </row>
    <row r="2654" spans="94:94" x14ac:dyDescent="0.15">
      <c r="CP2654" s="31"/>
    </row>
    <row r="2655" spans="94:94" x14ac:dyDescent="0.15">
      <c r="CP2655" s="31"/>
    </row>
    <row r="2656" spans="94:94" x14ac:dyDescent="0.15">
      <c r="CP2656" s="31"/>
    </row>
    <row r="2657" spans="94:94" x14ac:dyDescent="0.15">
      <c r="CP2657" s="31"/>
    </row>
    <row r="2658" spans="94:94" x14ac:dyDescent="0.15">
      <c r="CP2658" s="31"/>
    </row>
    <row r="2659" spans="94:94" x14ac:dyDescent="0.15">
      <c r="CP2659" s="31"/>
    </row>
    <row r="2660" spans="94:94" x14ac:dyDescent="0.15">
      <c r="CP2660" s="31"/>
    </row>
    <row r="2661" spans="94:94" x14ac:dyDescent="0.15">
      <c r="CP2661" s="31"/>
    </row>
    <row r="2662" spans="94:94" x14ac:dyDescent="0.15">
      <c r="CP2662" s="31"/>
    </row>
    <row r="2663" spans="94:94" x14ac:dyDescent="0.15">
      <c r="CP2663" s="31"/>
    </row>
    <row r="2664" spans="94:94" x14ac:dyDescent="0.15">
      <c r="CP2664" s="31"/>
    </row>
    <row r="2665" spans="94:94" x14ac:dyDescent="0.15">
      <c r="CP2665" s="31"/>
    </row>
    <row r="2666" spans="94:94" x14ac:dyDescent="0.15">
      <c r="CP2666" s="31"/>
    </row>
    <row r="2667" spans="94:94" x14ac:dyDescent="0.15">
      <c r="CP2667" s="31"/>
    </row>
    <row r="2668" spans="94:94" x14ac:dyDescent="0.15">
      <c r="CP2668" s="31"/>
    </row>
    <row r="2669" spans="94:94" x14ac:dyDescent="0.15">
      <c r="CP2669" s="31"/>
    </row>
    <row r="2670" spans="94:94" x14ac:dyDescent="0.15">
      <c r="CP2670" s="31"/>
    </row>
    <row r="2671" spans="94:94" x14ac:dyDescent="0.15">
      <c r="CP2671" s="31"/>
    </row>
    <row r="2672" spans="94:94" x14ac:dyDescent="0.15">
      <c r="CP2672" s="31"/>
    </row>
    <row r="2673" spans="94:94" x14ac:dyDescent="0.15">
      <c r="CP2673" s="31"/>
    </row>
    <row r="2674" spans="94:94" x14ac:dyDescent="0.15">
      <c r="CP2674" s="31"/>
    </row>
    <row r="2675" spans="94:94" x14ac:dyDescent="0.15">
      <c r="CP2675" s="31"/>
    </row>
    <row r="2676" spans="94:94" x14ac:dyDescent="0.15">
      <c r="CP2676" s="31"/>
    </row>
    <row r="2677" spans="94:94" x14ac:dyDescent="0.15">
      <c r="CP2677" s="31"/>
    </row>
    <row r="2678" spans="94:94" x14ac:dyDescent="0.15">
      <c r="CP2678" s="31"/>
    </row>
    <row r="2679" spans="94:94" x14ac:dyDescent="0.15">
      <c r="CP2679" s="31"/>
    </row>
    <row r="2680" spans="94:94" x14ac:dyDescent="0.15">
      <c r="CP2680" s="31"/>
    </row>
    <row r="2681" spans="94:94" x14ac:dyDescent="0.15">
      <c r="CP2681" s="31"/>
    </row>
    <row r="2682" spans="94:94" x14ac:dyDescent="0.15">
      <c r="CP2682" s="31"/>
    </row>
    <row r="2683" spans="94:94" x14ac:dyDescent="0.15">
      <c r="CP2683" s="31"/>
    </row>
    <row r="2684" spans="94:94" x14ac:dyDescent="0.15">
      <c r="CP2684" s="31"/>
    </row>
    <row r="2685" spans="94:94" x14ac:dyDescent="0.15">
      <c r="CP2685" s="31"/>
    </row>
    <row r="2686" spans="94:94" x14ac:dyDescent="0.15">
      <c r="CP2686" s="31"/>
    </row>
    <row r="2687" spans="94:94" x14ac:dyDescent="0.15">
      <c r="CP2687" s="31"/>
    </row>
    <row r="2688" spans="94:94" x14ac:dyDescent="0.15">
      <c r="CP2688" s="31"/>
    </row>
    <row r="2689" spans="94:94" x14ac:dyDescent="0.15">
      <c r="CP2689" s="31"/>
    </row>
    <row r="2690" spans="94:94" x14ac:dyDescent="0.15">
      <c r="CP2690" s="31"/>
    </row>
    <row r="2691" spans="94:94" x14ac:dyDescent="0.15">
      <c r="CP2691" s="31"/>
    </row>
    <row r="2692" spans="94:94" x14ac:dyDescent="0.15">
      <c r="CP2692" s="31"/>
    </row>
    <row r="2693" spans="94:94" x14ac:dyDescent="0.15">
      <c r="CP2693" s="31"/>
    </row>
    <row r="2694" spans="94:94" x14ac:dyDescent="0.15">
      <c r="CP2694" s="31"/>
    </row>
    <row r="2695" spans="94:94" x14ac:dyDescent="0.15">
      <c r="CP2695" s="31"/>
    </row>
    <row r="2696" spans="94:94" x14ac:dyDescent="0.15">
      <c r="CP2696" s="31"/>
    </row>
    <row r="2697" spans="94:94" x14ac:dyDescent="0.15">
      <c r="CP2697" s="31"/>
    </row>
    <row r="2698" spans="94:94" x14ac:dyDescent="0.15">
      <c r="CP2698" s="31"/>
    </row>
    <row r="2699" spans="94:94" x14ac:dyDescent="0.15">
      <c r="CP2699" s="31"/>
    </row>
    <row r="2700" spans="94:94" x14ac:dyDescent="0.15">
      <c r="CP2700" s="31"/>
    </row>
    <row r="2701" spans="94:94" x14ac:dyDescent="0.15">
      <c r="CP2701" s="31"/>
    </row>
    <row r="2702" spans="94:94" x14ac:dyDescent="0.15">
      <c r="CP2702" s="31"/>
    </row>
    <row r="2703" spans="94:94" x14ac:dyDescent="0.15">
      <c r="CP2703" s="31"/>
    </row>
    <row r="2704" spans="94:94" x14ac:dyDescent="0.15">
      <c r="CP2704" s="31"/>
    </row>
    <row r="2705" spans="94:94" x14ac:dyDescent="0.15">
      <c r="CP2705" s="31"/>
    </row>
    <row r="2706" spans="94:94" x14ac:dyDescent="0.15">
      <c r="CP2706" s="31"/>
    </row>
    <row r="2707" spans="94:94" x14ac:dyDescent="0.15">
      <c r="CP2707" s="31"/>
    </row>
    <row r="2708" spans="94:94" x14ac:dyDescent="0.15">
      <c r="CP2708" s="31"/>
    </row>
    <row r="2709" spans="94:94" x14ac:dyDescent="0.15">
      <c r="CP2709" s="31"/>
    </row>
    <row r="2710" spans="94:94" x14ac:dyDescent="0.15">
      <c r="CP2710" s="31"/>
    </row>
    <row r="2711" spans="94:94" x14ac:dyDescent="0.15">
      <c r="CP2711" s="31"/>
    </row>
    <row r="2712" spans="94:94" x14ac:dyDescent="0.15">
      <c r="CP2712" s="31"/>
    </row>
    <row r="2713" spans="94:94" x14ac:dyDescent="0.15">
      <c r="CP2713" s="31"/>
    </row>
    <row r="2714" spans="94:94" x14ac:dyDescent="0.15">
      <c r="CP2714" s="31"/>
    </row>
    <row r="2715" spans="94:94" x14ac:dyDescent="0.15">
      <c r="CP2715" s="31"/>
    </row>
    <row r="2716" spans="94:94" x14ac:dyDescent="0.15">
      <c r="CP2716" s="31"/>
    </row>
    <row r="2717" spans="94:94" x14ac:dyDescent="0.15">
      <c r="CP2717" s="31"/>
    </row>
    <row r="2718" spans="94:94" x14ac:dyDescent="0.15">
      <c r="CP2718" s="31"/>
    </row>
    <row r="2719" spans="94:94" x14ac:dyDescent="0.15">
      <c r="CP2719" s="31"/>
    </row>
    <row r="2720" spans="94:94" x14ac:dyDescent="0.15">
      <c r="CP2720" s="31"/>
    </row>
    <row r="2721" spans="94:94" x14ac:dyDescent="0.15">
      <c r="CP2721" s="31"/>
    </row>
    <row r="2722" spans="94:94" x14ac:dyDescent="0.15">
      <c r="CP2722" s="31"/>
    </row>
    <row r="2723" spans="94:94" x14ac:dyDescent="0.15">
      <c r="CP2723" s="31"/>
    </row>
    <row r="2724" spans="94:94" x14ac:dyDescent="0.15">
      <c r="CP2724" s="31"/>
    </row>
    <row r="2725" spans="94:94" x14ac:dyDescent="0.15">
      <c r="CP2725" s="31"/>
    </row>
    <row r="2726" spans="94:94" x14ac:dyDescent="0.15">
      <c r="CP2726" s="31"/>
    </row>
    <row r="2727" spans="94:94" x14ac:dyDescent="0.15">
      <c r="CP2727" s="31"/>
    </row>
    <row r="2728" spans="94:94" x14ac:dyDescent="0.15">
      <c r="CP2728" s="31"/>
    </row>
    <row r="2729" spans="94:94" x14ac:dyDescent="0.15">
      <c r="CP2729" s="31"/>
    </row>
    <row r="2730" spans="94:94" x14ac:dyDescent="0.15">
      <c r="CP2730" s="31"/>
    </row>
    <row r="2731" spans="94:94" x14ac:dyDescent="0.15">
      <c r="CP2731" s="31"/>
    </row>
    <row r="2732" spans="94:94" x14ac:dyDescent="0.15">
      <c r="CP2732" s="31"/>
    </row>
    <row r="2733" spans="94:94" x14ac:dyDescent="0.15">
      <c r="CP2733" s="31"/>
    </row>
    <row r="2734" spans="94:94" x14ac:dyDescent="0.15">
      <c r="CP2734" s="31"/>
    </row>
    <row r="2735" spans="94:94" x14ac:dyDescent="0.15">
      <c r="CP2735" s="31"/>
    </row>
    <row r="2736" spans="94:94" x14ac:dyDescent="0.15">
      <c r="CP2736" s="31"/>
    </row>
    <row r="2737" spans="94:94" x14ac:dyDescent="0.15">
      <c r="CP2737" s="31"/>
    </row>
    <row r="2738" spans="94:94" x14ac:dyDescent="0.15">
      <c r="CP2738" s="31"/>
    </row>
    <row r="2739" spans="94:94" x14ac:dyDescent="0.15">
      <c r="CP2739" s="31"/>
    </row>
    <row r="2740" spans="94:94" x14ac:dyDescent="0.15">
      <c r="CP2740" s="31"/>
    </row>
    <row r="2741" spans="94:94" x14ac:dyDescent="0.15">
      <c r="CP2741" s="31"/>
    </row>
    <row r="2742" spans="94:94" x14ac:dyDescent="0.15">
      <c r="CP2742" s="31"/>
    </row>
    <row r="2743" spans="94:94" x14ac:dyDescent="0.15">
      <c r="CP2743" s="31"/>
    </row>
    <row r="2744" spans="94:94" x14ac:dyDescent="0.15">
      <c r="CP2744" s="31"/>
    </row>
    <row r="2745" spans="94:94" x14ac:dyDescent="0.15">
      <c r="CP2745" s="31"/>
    </row>
    <row r="2746" spans="94:94" x14ac:dyDescent="0.15">
      <c r="CP2746" s="31"/>
    </row>
    <row r="2747" spans="94:94" x14ac:dyDescent="0.15">
      <c r="CP2747" s="31"/>
    </row>
    <row r="2748" spans="94:94" x14ac:dyDescent="0.15">
      <c r="CP2748" s="31"/>
    </row>
    <row r="2749" spans="94:94" x14ac:dyDescent="0.15">
      <c r="CP2749" s="31"/>
    </row>
    <row r="2750" spans="94:94" x14ac:dyDescent="0.15">
      <c r="CP2750" s="31"/>
    </row>
    <row r="2751" spans="94:94" x14ac:dyDescent="0.15">
      <c r="CP2751" s="31"/>
    </row>
    <row r="2752" spans="94:94" x14ac:dyDescent="0.15">
      <c r="CP2752" s="31"/>
    </row>
    <row r="2753" spans="94:94" x14ac:dyDescent="0.15">
      <c r="CP2753" s="31"/>
    </row>
    <row r="2754" spans="94:94" x14ac:dyDescent="0.15">
      <c r="CP2754" s="31"/>
    </row>
    <row r="2755" spans="94:94" x14ac:dyDescent="0.15">
      <c r="CP2755" s="31"/>
    </row>
    <row r="2756" spans="94:94" x14ac:dyDescent="0.15">
      <c r="CP2756" s="31"/>
    </row>
    <row r="2757" spans="94:94" x14ac:dyDescent="0.15">
      <c r="CP2757" s="31"/>
    </row>
    <row r="2758" spans="94:94" x14ac:dyDescent="0.15">
      <c r="CP2758" s="31"/>
    </row>
    <row r="2759" spans="94:94" x14ac:dyDescent="0.15">
      <c r="CP2759" s="31"/>
    </row>
    <row r="2760" spans="94:94" x14ac:dyDescent="0.15">
      <c r="CP2760" s="31"/>
    </row>
    <row r="2761" spans="94:94" x14ac:dyDescent="0.15">
      <c r="CP2761" s="31"/>
    </row>
    <row r="2762" spans="94:94" x14ac:dyDescent="0.15">
      <c r="CP2762" s="31"/>
    </row>
    <row r="2763" spans="94:94" x14ac:dyDescent="0.15">
      <c r="CP2763" s="31"/>
    </row>
    <row r="2764" spans="94:94" x14ac:dyDescent="0.15">
      <c r="CP2764" s="31"/>
    </row>
    <row r="2765" spans="94:94" x14ac:dyDescent="0.15">
      <c r="CP2765" s="31"/>
    </row>
    <row r="2766" spans="94:94" x14ac:dyDescent="0.15">
      <c r="CP2766" s="31"/>
    </row>
    <row r="2767" spans="94:94" x14ac:dyDescent="0.15">
      <c r="CP2767" s="31"/>
    </row>
    <row r="2768" spans="94:94" x14ac:dyDescent="0.15">
      <c r="CP2768" s="31"/>
    </row>
    <row r="2769" spans="94:94" x14ac:dyDescent="0.15">
      <c r="CP2769" s="31"/>
    </row>
    <row r="2770" spans="94:94" x14ac:dyDescent="0.15">
      <c r="CP2770" s="31"/>
    </row>
    <row r="2771" spans="94:94" x14ac:dyDescent="0.15">
      <c r="CP2771" s="31"/>
    </row>
    <row r="2772" spans="94:94" x14ac:dyDescent="0.15">
      <c r="CP2772" s="31"/>
    </row>
    <row r="2773" spans="94:94" x14ac:dyDescent="0.15">
      <c r="CP2773" s="31"/>
    </row>
    <row r="2774" spans="94:94" x14ac:dyDescent="0.15">
      <c r="CP2774" s="31"/>
    </row>
    <row r="2775" spans="94:94" x14ac:dyDescent="0.15">
      <c r="CP2775" s="31"/>
    </row>
    <row r="2776" spans="94:94" x14ac:dyDescent="0.15">
      <c r="CP2776" s="31"/>
    </row>
    <row r="2777" spans="94:94" x14ac:dyDescent="0.15">
      <c r="CP2777" s="31"/>
    </row>
    <row r="2778" spans="94:94" x14ac:dyDescent="0.15">
      <c r="CP2778" s="31"/>
    </row>
    <row r="2779" spans="94:94" x14ac:dyDescent="0.15">
      <c r="CP2779" s="31"/>
    </row>
    <row r="2780" spans="94:94" x14ac:dyDescent="0.15">
      <c r="CP2780" s="31"/>
    </row>
    <row r="2781" spans="94:94" x14ac:dyDescent="0.15">
      <c r="CP2781" s="31"/>
    </row>
    <row r="2782" spans="94:94" x14ac:dyDescent="0.15">
      <c r="CP2782" s="31"/>
    </row>
    <row r="2783" spans="94:94" x14ac:dyDescent="0.15">
      <c r="CP2783" s="31"/>
    </row>
    <row r="2784" spans="94:94" x14ac:dyDescent="0.15">
      <c r="CP2784" s="31"/>
    </row>
    <row r="2785" spans="94:94" x14ac:dyDescent="0.15">
      <c r="CP2785" s="31"/>
    </row>
    <row r="2786" spans="94:94" x14ac:dyDescent="0.15">
      <c r="CP2786" s="31"/>
    </row>
    <row r="2787" spans="94:94" x14ac:dyDescent="0.15">
      <c r="CP2787" s="31"/>
    </row>
    <row r="2788" spans="94:94" x14ac:dyDescent="0.15">
      <c r="CP2788" s="31"/>
    </row>
    <row r="2789" spans="94:94" x14ac:dyDescent="0.15">
      <c r="CP2789" s="31"/>
    </row>
    <row r="2790" spans="94:94" x14ac:dyDescent="0.15">
      <c r="CP2790" s="31"/>
    </row>
    <row r="2791" spans="94:94" x14ac:dyDescent="0.15">
      <c r="CP2791" s="31"/>
    </row>
    <row r="2792" spans="94:94" x14ac:dyDescent="0.15">
      <c r="CP2792" s="31"/>
    </row>
    <row r="2793" spans="94:94" x14ac:dyDescent="0.15">
      <c r="CP2793" s="31"/>
    </row>
    <row r="2794" spans="94:94" x14ac:dyDescent="0.15">
      <c r="CP2794" s="31"/>
    </row>
    <row r="2795" spans="94:94" x14ac:dyDescent="0.15">
      <c r="CP2795" s="31"/>
    </row>
    <row r="2796" spans="94:94" x14ac:dyDescent="0.15">
      <c r="CP2796" s="31"/>
    </row>
    <row r="2797" spans="94:94" x14ac:dyDescent="0.15">
      <c r="CP2797" s="31"/>
    </row>
    <row r="2798" spans="94:94" x14ac:dyDescent="0.15">
      <c r="CP2798" s="31"/>
    </row>
    <row r="2799" spans="94:94" x14ac:dyDescent="0.15">
      <c r="CP2799" s="31"/>
    </row>
    <row r="2800" spans="94:94" x14ac:dyDescent="0.15">
      <c r="CP2800" s="31"/>
    </row>
    <row r="2801" spans="94:94" x14ac:dyDescent="0.15">
      <c r="CP2801" s="31"/>
    </row>
    <row r="2802" spans="94:94" x14ac:dyDescent="0.15">
      <c r="CP2802" s="31"/>
    </row>
    <row r="2803" spans="94:94" x14ac:dyDescent="0.15">
      <c r="CP2803" s="31"/>
    </row>
    <row r="2804" spans="94:94" x14ac:dyDescent="0.15">
      <c r="CP2804" s="31"/>
    </row>
    <row r="2805" spans="94:94" x14ac:dyDescent="0.15">
      <c r="CP2805" s="31"/>
    </row>
    <row r="2806" spans="94:94" x14ac:dyDescent="0.15">
      <c r="CP2806" s="31"/>
    </row>
    <row r="2807" spans="94:94" x14ac:dyDescent="0.15">
      <c r="CP2807" s="31"/>
    </row>
    <row r="2808" spans="94:94" x14ac:dyDescent="0.15">
      <c r="CP2808" s="31"/>
    </row>
    <row r="2809" spans="94:94" x14ac:dyDescent="0.15">
      <c r="CP2809" s="31"/>
    </row>
    <row r="2810" spans="94:94" x14ac:dyDescent="0.15">
      <c r="CP2810" s="31"/>
    </row>
    <row r="2811" spans="94:94" x14ac:dyDescent="0.15">
      <c r="CP2811" s="31"/>
    </row>
    <row r="2812" spans="94:94" x14ac:dyDescent="0.15">
      <c r="CP2812" s="31"/>
    </row>
    <row r="2813" spans="94:94" x14ac:dyDescent="0.15">
      <c r="CP2813" s="31"/>
    </row>
    <row r="2814" spans="94:94" x14ac:dyDescent="0.15">
      <c r="CP2814" s="31"/>
    </row>
    <row r="2815" spans="94:94" x14ac:dyDescent="0.15">
      <c r="CP2815" s="31"/>
    </row>
    <row r="2816" spans="94:94" x14ac:dyDescent="0.15">
      <c r="CP2816" s="31"/>
    </row>
    <row r="2817" spans="94:94" x14ac:dyDescent="0.15">
      <c r="CP2817" s="31"/>
    </row>
    <row r="2818" spans="94:94" x14ac:dyDescent="0.15">
      <c r="CP2818" s="31"/>
    </row>
    <row r="2819" spans="94:94" x14ac:dyDescent="0.15">
      <c r="CP2819" s="31"/>
    </row>
    <row r="2820" spans="94:94" x14ac:dyDescent="0.15">
      <c r="CP2820" s="31"/>
    </row>
    <row r="2821" spans="94:94" x14ac:dyDescent="0.15">
      <c r="CP2821" s="31"/>
    </row>
    <row r="2822" spans="94:94" x14ac:dyDescent="0.15">
      <c r="CP2822" s="31"/>
    </row>
    <row r="2823" spans="94:94" x14ac:dyDescent="0.15">
      <c r="CP2823" s="31"/>
    </row>
    <row r="2824" spans="94:94" x14ac:dyDescent="0.15">
      <c r="CP2824" s="31"/>
    </row>
    <row r="2825" spans="94:94" x14ac:dyDescent="0.15">
      <c r="CP2825" s="31"/>
    </row>
    <row r="2826" spans="94:94" x14ac:dyDescent="0.15">
      <c r="CP2826" s="31"/>
    </row>
    <row r="2827" spans="94:94" x14ac:dyDescent="0.15">
      <c r="CP2827" s="31"/>
    </row>
    <row r="2828" spans="94:94" x14ac:dyDescent="0.15">
      <c r="CP2828" s="31"/>
    </row>
    <row r="2829" spans="94:94" x14ac:dyDescent="0.15">
      <c r="CP2829" s="31"/>
    </row>
    <row r="2830" spans="94:94" x14ac:dyDescent="0.15">
      <c r="CP2830" s="31"/>
    </row>
    <row r="2831" spans="94:94" x14ac:dyDescent="0.15">
      <c r="CP2831" s="31"/>
    </row>
    <row r="2832" spans="94:94" x14ac:dyDescent="0.15">
      <c r="CP2832" s="31"/>
    </row>
    <row r="2833" spans="94:94" x14ac:dyDescent="0.15">
      <c r="CP2833" s="31"/>
    </row>
    <row r="2834" spans="94:94" x14ac:dyDescent="0.15">
      <c r="CP2834" s="31"/>
    </row>
    <row r="2835" spans="94:94" x14ac:dyDescent="0.15">
      <c r="CP2835" s="31"/>
    </row>
    <row r="2836" spans="94:94" x14ac:dyDescent="0.15">
      <c r="CP2836" s="31"/>
    </row>
    <row r="2837" spans="94:94" x14ac:dyDescent="0.15">
      <c r="CP2837" s="31"/>
    </row>
    <row r="2838" spans="94:94" x14ac:dyDescent="0.15">
      <c r="CP2838" s="31"/>
    </row>
    <row r="2839" spans="94:94" x14ac:dyDescent="0.15">
      <c r="CP2839" s="31"/>
    </row>
    <row r="2840" spans="94:94" x14ac:dyDescent="0.15">
      <c r="CP2840" s="31"/>
    </row>
    <row r="2841" spans="94:94" x14ac:dyDescent="0.15">
      <c r="CP2841" s="31"/>
    </row>
    <row r="2842" spans="94:94" x14ac:dyDescent="0.15">
      <c r="CP2842" s="31"/>
    </row>
    <row r="2843" spans="94:94" x14ac:dyDescent="0.15">
      <c r="CP2843" s="31"/>
    </row>
    <row r="2844" spans="94:94" x14ac:dyDescent="0.15">
      <c r="CP2844" s="31"/>
    </row>
    <row r="2845" spans="94:94" x14ac:dyDescent="0.15">
      <c r="CP2845" s="31"/>
    </row>
    <row r="2846" spans="94:94" x14ac:dyDescent="0.15">
      <c r="CP2846" s="31"/>
    </row>
    <row r="2847" spans="94:94" x14ac:dyDescent="0.15">
      <c r="CP2847" s="31"/>
    </row>
    <row r="2848" spans="94:94" x14ac:dyDescent="0.15">
      <c r="CP2848" s="31"/>
    </row>
    <row r="2849" spans="94:94" x14ac:dyDescent="0.15">
      <c r="CP2849" s="31"/>
    </row>
    <row r="2850" spans="94:94" x14ac:dyDescent="0.15">
      <c r="CP2850" s="31"/>
    </row>
    <row r="2851" spans="94:94" x14ac:dyDescent="0.15">
      <c r="CP2851" s="31"/>
    </row>
    <row r="2852" spans="94:94" x14ac:dyDescent="0.15">
      <c r="CP2852" s="31"/>
    </row>
    <row r="2853" spans="94:94" x14ac:dyDescent="0.15">
      <c r="CP2853" s="31"/>
    </row>
    <row r="2854" spans="94:94" x14ac:dyDescent="0.15">
      <c r="CP2854" s="31"/>
    </row>
    <row r="2855" spans="94:94" x14ac:dyDescent="0.15">
      <c r="CP2855" s="31"/>
    </row>
    <row r="2856" spans="94:94" x14ac:dyDescent="0.15">
      <c r="CP2856" s="31"/>
    </row>
    <row r="2857" spans="94:94" x14ac:dyDescent="0.15">
      <c r="CP2857" s="31"/>
    </row>
    <row r="2858" spans="94:94" x14ac:dyDescent="0.15">
      <c r="CP2858" s="31"/>
    </row>
    <row r="2859" spans="94:94" x14ac:dyDescent="0.15">
      <c r="CP2859" s="31"/>
    </row>
    <row r="2860" spans="94:94" x14ac:dyDescent="0.15">
      <c r="CP2860" s="31"/>
    </row>
    <row r="2861" spans="94:94" x14ac:dyDescent="0.15">
      <c r="CP2861" s="31"/>
    </row>
    <row r="2862" spans="94:94" x14ac:dyDescent="0.15">
      <c r="CP2862" s="31"/>
    </row>
    <row r="2863" spans="94:94" x14ac:dyDescent="0.15">
      <c r="CP2863" s="31"/>
    </row>
    <row r="2864" spans="94:94" x14ac:dyDescent="0.15">
      <c r="CP2864" s="31"/>
    </row>
    <row r="2865" spans="94:94" x14ac:dyDescent="0.15">
      <c r="CP2865" s="31"/>
    </row>
    <row r="2866" spans="94:94" x14ac:dyDescent="0.15">
      <c r="CP2866" s="31"/>
    </row>
    <row r="2867" spans="94:94" x14ac:dyDescent="0.15">
      <c r="CP2867" s="31"/>
    </row>
    <row r="2868" spans="94:94" x14ac:dyDescent="0.15">
      <c r="CP2868" s="31"/>
    </row>
    <row r="2869" spans="94:94" x14ac:dyDescent="0.15">
      <c r="CP2869" s="31"/>
    </row>
    <row r="2870" spans="94:94" x14ac:dyDescent="0.15">
      <c r="CP2870" s="31"/>
    </row>
    <row r="2871" spans="94:94" x14ac:dyDescent="0.15">
      <c r="CP2871" s="31"/>
    </row>
    <row r="2872" spans="94:94" x14ac:dyDescent="0.15">
      <c r="CP2872" s="31"/>
    </row>
    <row r="2873" spans="94:94" x14ac:dyDescent="0.15">
      <c r="CP2873" s="31"/>
    </row>
    <row r="2874" spans="94:94" x14ac:dyDescent="0.15">
      <c r="CP2874" s="31"/>
    </row>
    <row r="2875" spans="94:94" x14ac:dyDescent="0.15">
      <c r="CP2875" s="31"/>
    </row>
    <row r="2876" spans="94:94" x14ac:dyDescent="0.15">
      <c r="CP2876" s="31"/>
    </row>
    <row r="2877" spans="94:94" x14ac:dyDescent="0.15">
      <c r="CP2877" s="31"/>
    </row>
    <row r="2878" spans="94:94" x14ac:dyDescent="0.15">
      <c r="CP2878" s="31"/>
    </row>
    <row r="2879" spans="94:94" x14ac:dyDescent="0.15">
      <c r="CP2879" s="31"/>
    </row>
    <row r="2880" spans="94:94" x14ac:dyDescent="0.15">
      <c r="CP2880" s="31"/>
    </row>
    <row r="2881" spans="94:94" x14ac:dyDescent="0.15">
      <c r="CP2881" s="31"/>
    </row>
    <row r="2882" spans="94:94" x14ac:dyDescent="0.15">
      <c r="CP2882" s="31"/>
    </row>
    <row r="2883" spans="94:94" x14ac:dyDescent="0.15">
      <c r="CP2883" s="31"/>
    </row>
    <row r="2884" spans="94:94" x14ac:dyDescent="0.15">
      <c r="CP2884" s="31"/>
    </row>
    <row r="2885" spans="94:94" x14ac:dyDescent="0.15">
      <c r="CP2885" s="31"/>
    </row>
    <row r="2886" spans="94:94" x14ac:dyDescent="0.15">
      <c r="CP2886" s="31"/>
    </row>
    <row r="2887" spans="94:94" x14ac:dyDescent="0.15">
      <c r="CP2887" s="31"/>
    </row>
    <row r="2888" spans="94:94" x14ac:dyDescent="0.15">
      <c r="CP2888" s="31"/>
    </row>
    <row r="2889" spans="94:94" x14ac:dyDescent="0.15">
      <c r="CP2889" s="31"/>
    </row>
    <row r="2890" spans="94:94" x14ac:dyDescent="0.15">
      <c r="CP2890" s="31"/>
    </row>
    <row r="2891" spans="94:94" x14ac:dyDescent="0.15">
      <c r="CP2891" s="31"/>
    </row>
    <row r="2892" spans="94:94" x14ac:dyDescent="0.15">
      <c r="CP2892" s="31"/>
    </row>
    <row r="2893" spans="94:94" x14ac:dyDescent="0.15">
      <c r="CP2893" s="31"/>
    </row>
    <row r="2894" spans="94:94" x14ac:dyDescent="0.15">
      <c r="CP2894" s="31"/>
    </row>
    <row r="2895" spans="94:94" x14ac:dyDescent="0.15">
      <c r="CP2895" s="31"/>
    </row>
    <row r="2896" spans="94:94" x14ac:dyDescent="0.15">
      <c r="CP2896" s="31"/>
    </row>
    <row r="2897" spans="94:94" x14ac:dyDescent="0.15">
      <c r="CP2897" s="31"/>
    </row>
    <row r="2898" spans="94:94" x14ac:dyDescent="0.15">
      <c r="CP2898" s="31"/>
    </row>
    <row r="2899" spans="94:94" x14ac:dyDescent="0.15">
      <c r="CP2899" s="31"/>
    </row>
    <row r="2900" spans="94:94" x14ac:dyDescent="0.15">
      <c r="CP2900" s="31"/>
    </row>
    <row r="2901" spans="94:94" x14ac:dyDescent="0.15">
      <c r="CP2901" s="31"/>
    </row>
    <row r="2902" spans="94:94" x14ac:dyDescent="0.15">
      <c r="CP2902" s="31"/>
    </row>
    <row r="2903" spans="94:94" x14ac:dyDescent="0.15">
      <c r="CP2903" s="31"/>
    </row>
    <row r="2904" spans="94:94" x14ac:dyDescent="0.15">
      <c r="CP2904" s="31"/>
    </row>
    <row r="2905" spans="94:94" x14ac:dyDescent="0.15">
      <c r="CP2905" s="31"/>
    </row>
    <row r="2906" spans="94:94" x14ac:dyDescent="0.15">
      <c r="CP2906" s="31"/>
    </row>
    <row r="2907" spans="94:94" x14ac:dyDescent="0.15">
      <c r="CP2907" s="31"/>
    </row>
    <row r="2908" spans="94:94" x14ac:dyDescent="0.15">
      <c r="CP2908" s="31"/>
    </row>
    <row r="2909" spans="94:94" x14ac:dyDescent="0.15">
      <c r="CP2909" s="31"/>
    </row>
    <row r="2910" spans="94:94" x14ac:dyDescent="0.15">
      <c r="CP2910" s="31"/>
    </row>
    <row r="2911" spans="94:94" x14ac:dyDescent="0.15">
      <c r="CP2911" s="31"/>
    </row>
    <row r="2912" spans="94:94" x14ac:dyDescent="0.15">
      <c r="CP2912" s="31"/>
    </row>
    <row r="2913" spans="94:94" x14ac:dyDescent="0.15">
      <c r="CP2913" s="31"/>
    </row>
    <row r="2914" spans="94:94" x14ac:dyDescent="0.15">
      <c r="CP2914" s="31"/>
    </row>
    <row r="2915" spans="94:94" x14ac:dyDescent="0.15">
      <c r="CP2915" s="31"/>
    </row>
    <row r="2916" spans="94:94" x14ac:dyDescent="0.15">
      <c r="CP2916" s="31"/>
    </row>
    <row r="2917" spans="94:94" x14ac:dyDescent="0.15">
      <c r="CP2917" s="31"/>
    </row>
    <row r="2918" spans="94:94" x14ac:dyDescent="0.15">
      <c r="CP2918" s="31"/>
    </row>
    <row r="2919" spans="94:94" x14ac:dyDescent="0.15">
      <c r="CP2919" s="31"/>
    </row>
    <row r="2920" spans="94:94" x14ac:dyDescent="0.15">
      <c r="CP2920" s="31"/>
    </row>
    <row r="2921" spans="94:94" x14ac:dyDescent="0.15">
      <c r="CP2921" s="31"/>
    </row>
    <row r="2922" spans="94:94" x14ac:dyDescent="0.15">
      <c r="CP2922" s="31"/>
    </row>
    <row r="2923" spans="94:94" x14ac:dyDescent="0.15">
      <c r="CP2923" s="31"/>
    </row>
    <row r="2924" spans="94:94" x14ac:dyDescent="0.15">
      <c r="CP2924" s="31"/>
    </row>
    <row r="2925" spans="94:94" x14ac:dyDescent="0.15">
      <c r="CP2925" s="31"/>
    </row>
    <row r="2926" spans="94:94" x14ac:dyDescent="0.15">
      <c r="CP2926" s="31"/>
    </row>
    <row r="2927" spans="94:94" x14ac:dyDescent="0.15">
      <c r="CP2927" s="31"/>
    </row>
    <row r="2928" spans="94:94" x14ac:dyDescent="0.15">
      <c r="CP2928" s="31"/>
    </row>
    <row r="2929" spans="94:94" x14ac:dyDescent="0.15">
      <c r="CP2929" s="31"/>
    </row>
    <row r="2930" spans="94:94" x14ac:dyDescent="0.15">
      <c r="CP2930" s="31"/>
    </row>
    <row r="2931" spans="94:94" x14ac:dyDescent="0.15">
      <c r="CP2931" s="31"/>
    </row>
    <row r="2932" spans="94:94" x14ac:dyDescent="0.15">
      <c r="CP2932" s="31"/>
    </row>
    <row r="2933" spans="94:94" x14ac:dyDescent="0.15">
      <c r="CP2933" s="31"/>
    </row>
    <row r="2934" spans="94:94" x14ac:dyDescent="0.15">
      <c r="CP2934" s="31"/>
    </row>
    <row r="2935" spans="94:94" x14ac:dyDescent="0.15">
      <c r="CP2935" s="31"/>
    </row>
    <row r="2936" spans="94:94" x14ac:dyDescent="0.15">
      <c r="CP2936" s="31"/>
    </row>
    <row r="2937" spans="94:94" x14ac:dyDescent="0.15">
      <c r="CP2937" s="31"/>
    </row>
    <row r="2938" spans="94:94" x14ac:dyDescent="0.15">
      <c r="CP2938" s="31"/>
    </row>
    <row r="2939" spans="94:94" x14ac:dyDescent="0.15">
      <c r="CP2939" s="31"/>
    </row>
    <row r="2940" spans="94:94" x14ac:dyDescent="0.15">
      <c r="CP2940" s="31"/>
    </row>
    <row r="2941" spans="94:94" x14ac:dyDescent="0.15">
      <c r="CP2941" s="31"/>
    </row>
    <row r="2942" spans="94:94" x14ac:dyDescent="0.15">
      <c r="CP2942" s="31"/>
    </row>
    <row r="2943" spans="94:94" x14ac:dyDescent="0.15">
      <c r="CP2943" s="31"/>
    </row>
    <row r="2944" spans="94:94" x14ac:dyDescent="0.15">
      <c r="CP2944" s="31"/>
    </row>
    <row r="2945" spans="94:94" x14ac:dyDescent="0.15">
      <c r="CP2945" s="31"/>
    </row>
    <row r="2946" spans="94:94" x14ac:dyDescent="0.15">
      <c r="CP2946" s="31"/>
    </row>
    <row r="2947" spans="94:94" x14ac:dyDescent="0.15">
      <c r="CP2947" s="31"/>
    </row>
    <row r="2948" spans="94:94" x14ac:dyDescent="0.15">
      <c r="CP2948" s="31"/>
    </row>
    <row r="2949" spans="94:94" x14ac:dyDescent="0.15">
      <c r="CP2949" s="31"/>
    </row>
    <row r="2950" spans="94:94" x14ac:dyDescent="0.15">
      <c r="CP2950" s="31"/>
    </row>
    <row r="2951" spans="94:94" x14ac:dyDescent="0.15">
      <c r="CP2951" s="31"/>
    </row>
    <row r="2952" spans="94:94" x14ac:dyDescent="0.15">
      <c r="CP2952" s="31"/>
    </row>
    <row r="2953" spans="94:94" x14ac:dyDescent="0.15">
      <c r="CP2953" s="31"/>
    </row>
    <row r="2954" spans="94:94" x14ac:dyDescent="0.15">
      <c r="CP2954" s="31"/>
    </row>
    <row r="2955" spans="94:94" x14ac:dyDescent="0.15">
      <c r="CP2955" s="31"/>
    </row>
    <row r="2956" spans="94:94" x14ac:dyDescent="0.15">
      <c r="CP2956" s="31"/>
    </row>
    <row r="2957" spans="94:94" x14ac:dyDescent="0.15">
      <c r="CP2957" s="31"/>
    </row>
    <row r="2958" spans="94:94" x14ac:dyDescent="0.15">
      <c r="CP2958" s="31"/>
    </row>
    <row r="2959" spans="94:94" x14ac:dyDescent="0.15">
      <c r="CP2959" s="31"/>
    </row>
    <row r="2960" spans="94:94" x14ac:dyDescent="0.15">
      <c r="CP2960" s="31"/>
    </row>
    <row r="2961" spans="94:94" x14ac:dyDescent="0.15">
      <c r="CP2961" s="31"/>
    </row>
    <row r="2962" spans="94:94" x14ac:dyDescent="0.15">
      <c r="CP2962" s="31"/>
    </row>
    <row r="2963" spans="94:94" x14ac:dyDescent="0.15">
      <c r="CP2963" s="31"/>
    </row>
    <row r="2964" spans="94:94" x14ac:dyDescent="0.15">
      <c r="CP2964" s="31"/>
    </row>
    <row r="2965" spans="94:94" x14ac:dyDescent="0.15">
      <c r="CP2965" s="31"/>
    </row>
    <row r="2966" spans="94:94" x14ac:dyDescent="0.15">
      <c r="CP2966" s="31"/>
    </row>
    <row r="2967" spans="94:94" x14ac:dyDescent="0.15">
      <c r="CP2967" s="31"/>
    </row>
    <row r="2968" spans="94:94" x14ac:dyDescent="0.15">
      <c r="CP2968" s="31"/>
    </row>
    <row r="2969" spans="94:94" x14ac:dyDescent="0.15">
      <c r="CP2969" s="31"/>
    </row>
    <row r="2970" spans="94:94" x14ac:dyDescent="0.15">
      <c r="CP2970" s="31"/>
    </row>
    <row r="2971" spans="94:94" x14ac:dyDescent="0.15">
      <c r="CP2971" s="31"/>
    </row>
    <row r="2972" spans="94:94" x14ac:dyDescent="0.15">
      <c r="CP2972" s="31"/>
    </row>
    <row r="2973" spans="94:94" x14ac:dyDescent="0.15">
      <c r="CP2973" s="31"/>
    </row>
    <row r="2974" spans="94:94" x14ac:dyDescent="0.15">
      <c r="CP2974" s="31"/>
    </row>
    <row r="2975" spans="94:94" x14ac:dyDescent="0.15">
      <c r="CP2975" s="31"/>
    </row>
    <row r="2976" spans="94:94" x14ac:dyDescent="0.15">
      <c r="CP2976" s="31"/>
    </row>
    <row r="2977" spans="94:94" x14ac:dyDescent="0.15">
      <c r="CP2977" s="31"/>
    </row>
    <row r="2978" spans="94:94" x14ac:dyDescent="0.15">
      <c r="CP2978" s="31"/>
    </row>
    <row r="2979" spans="94:94" x14ac:dyDescent="0.15">
      <c r="CP2979" s="31"/>
    </row>
    <row r="2980" spans="94:94" x14ac:dyDescent="0.15">
      <c r="CP2980" s="31"/>
    </row>
    <row r="2981" spans="94:94" x14ac:dyDescent="0.15">
      <c r="CP2981" s="31"/>
    </row>
    <row r="2982" spans="94:94" x14ac:dyDescent="0.15">
      <c r="CP2982" s="31"/>
    </row>
    <row r="2983" spans="94:94" x14ac:dyDescent="0.15">
      <c r="CP2983" s="31"/>
    </row>
    <row r="2984" spans="94:94" x14ac:dyDescent="0.15">
      <c r="CP2984" s="31"/>
    </row>
    <row r="2985" spans="94:94" x14ac:dyDescent="0.15">
      <c r="CP2985" s="31"/>
    </row>
    <row r="2986" spans="94:94" x14ac:dyDescent="0.15">
      <c r="CP2986" s="31"/>
    </row>
    <row r="2987" spans="94:94" x14ac:dyDescent="0.15">
      <c r="CP2987" s="31"/>
    </row>
    <row r="2988" spans="94:94" x14ac:dyDescent="0.15">
      <c r="CP2988" s="31"/>
    </row>
    <row r="2989" spans="94:94" x14ac:dyDescent="0.15">
      <c r="CP2989" s="31"/>
    </row>
    <row r="2990" spans="94:94" x14ac:dyDescent="0.15">
      <c r="CP2990" s="31"/>
    </row>
    <row r="2991" spans="94:94" x14ac:dyDescent="0.15">
      <c r="CP2991" s="31"/>
    </row>
    <row r="2992" spans="94:94" x14ac:dyDescent="0.15">
      <c r="CP2992" s="31"/>
    </row>
    <row r="2993" spans="94:94" x14ac:dyDescent="0.15">
      <c r="CP2993" s="31"/>
    </row>
    <row r="2994" spans="94:94" x14ac:dyDescent="0.15">
      <c r="CP2994" s="31"/>
    </row>
    <row r="2995" spans="94:94" x14ac:dyDescent="0.15">
      <c r="CP2995" s="31"/>
    </row>
    <row r="2996" spans="94:94" x14ac:dyDescent="0.15">
      <c r="CP2996" s="31"/>
    </row>
    <row r="2997" spans="94:94" x14ac:dyDescent="0.15">
      <c r="CP2997" s="31"/>
    </row>
    <row r="2998" spans="94:94" x14ac:dyDescent="0.15">
      <c r="CP2998" s="31"/>
    </row>
    <row r="2999" spans="94:94" x14ac:dyDescent="0.15">
      <c r="CP2999" s="31"/>
    </row>
    <row r="3000" spans="94:94" x14ac:dyDescent="0.15">
      <c r="CP3000" s="31"/>
    </row>
    <row r="3001" spans="94:94" x14ac:dyDescent="0.15">
      <c r="CP3001" s="31"/>
    </row>
    <row r="3002" spans="94:94" x14ac:dyDescent="0.15">
      <c r="CP3002" s="31"/>
    </row>
    <row r="3003" spans="94:94" x14ac:dyDescent="0.15">
      <c r="CP3003" s="31"/>
    </row>
    <row r="3004" spans="94:94" x14ac:dyDescent="0.15">
      <c r="CP3004" s="31"/>
    </row>
    <row r="3005" spans="94:94" x14ac:dyDescent="0.15">
      <c r="CP3005" s="31"/>
    </row>
    <row r="3006" spans="94:94" x14ac:dyDescent="0.15">
      <c r="CP3006" s="31"/>
    </row>
    <row r="3007" spans="94:94" x14ac:dyDescent="0.15">
      <c r="CP3007" s="31"/>
    </row>
    <row r="3008" spans="94:94" x14ac:dyDescent="0.15">
      <c r="CP3008" s="31"/>
    </row>
    <row r="3009" spans="94:94" x14ac:dyDescent="0.15">
      <c r="CP3009" s="31"/>
    </row>
    <row r="3010" spans="94:94" x14ac:dyDescent="0.15">
      <c r="CP3010" s="31"/>
    </row>
    <row r="3011" spans="94:94" x14ac:dyDescent="0.15">
      <c r="CP3011" s="31"/>
    </row>
    <row r="3012" spans="94:94" x14ac:dyDescent="0.15">
      <c r="CP3012" s="31"/>
    </row>
    <row r="3013" spans="94:94" x14ac:dyDescent="0.15">
      <c r="CP3013" s="31"/>
    </row>
    <row r="3014" spans="94:94" x14ac:dyDescent="0.15">
      <c r="CP3014" s="31"/>
    </row>
    <row r="3015" spans="94:94" x14ac:dyDescent="0.15">
      <c r="CP3015" s="31"/>
    </row>
    <row r="3016" spans="94:94" x14ac:dyDescent="0.15">
      <c r="CP3016" s="31"/>
    </row>
    <row r="3017" spans="94:94" x14ac:dyDescent="0.15">
      <c r="CP3017" s="31"/>
    </row>
    <row r="3018" spans="94:94" x14ac:dyDescent="0.15">
      <c r="CP3018" s="31"/>
    </row>
    <row r="3019" spans="94:94" x14ac:dyDescent="0.15">
      <c r="CP3019" s="31"/>
    </row>
    <row r="3020" spans="94:94" x14ac:dyDescent="0.15">
      <c r="CP3020" s="31"/>
    </row>
    <row r="3021" spans="94:94" x14ac:dyDescent="0.15">
      <c r="CP3021" s="31"/>
    </row>
    <row r="3022" spans="94:94" x14ac:dyDescent="0.15">
      <c r="CP3022" s="31"/>
    </row>
    <row r="3023" spans="94:94" x14ac:dyDescent="0.15">
      <c r="CP3023" s="31"/>
    </row>
    <row r="3024" spans="94:94" x14ac:dyDescent="0.15">
      <c r="CP3024" s="31"/>
    </row>
    <row r="3025" spans="94:94" x14ac:dyDescent="0.15">
      <c r="CP3025" s="31"/>
    </row>
    <row r="3026" spans="94:94" x14ac:dyDescent="0.15">
      <c r="CP3026" s="31"/>
    </row>
    <row r="3027" spans="94:94" x14ac:dyDescent="0.15">
      <c r="CP3027" s="31"/>
    </row>
    <row r="3028" spans="94:94" x14ac:dyDescent="0.15">
      <c r="CP3028" s="31"/>
    </row>
    <row r="3029" spans="94:94" x14ac:dyDescent="0.15">
      <c r="CP3029" s="31"/>
    </row>
    <row r="3030" spans="94:94" x14ac:dyDescent="0.15">
      <c r="CP3030" s="31"/>
    </row>
    <row r="3031" spans="94:94" x14ac:dyDescent="0.15">
      <c r="CP3031" s="31"/>
    </row>
    <row r="3032" spans="94:94" x14ac:dyDescent="0.15">
      <c r="CP3032" s="31"/>
    </row>
    <row r="3033" spans="94:94" x14ac:dyDescent="0.15">
      <c r="CP3033" s="31"/>
    </row>
    <row r="3034" spans="94:94" x14ac:dyDescent="0.15">
      <c r="CP3034" s="31"/>
    </row>
    <row r="3035" spans="94:94" x14ac:dyDescent="0.15">
      <c r="CP3035" s="31"/>
    </row>
    <row r="3036" spans="94:94" x14ac:dyDescent="0.15">
      <c r="CP3036" s="31"/>
    </row>
    <row r="3037" spans="94:94" x14ac:dyDescent="0.15">
      <c r="CP3037" s="31"/>
    </row>
    <row r="3038" spans="94:94" x14ac:dyDescent="0.15">
      <c r="CP3038" s="31"/>
    </row>
    <row r="3039" spans="94:94" x14ac:dyDescent="0.15">
      <c r="CP3039" s="31"/>
    </row>
    <row r="3040" spans="94:94" x14ac:dyDescent="0.15">
      <c r="CP3040" s="31"/>
    </row>
    <row r="3041" spans="94:94" x14ac:dyDescent="0.15">
      <c r="CP3041" s="31"/>
    </row>
    <row r="3042" spans="94:94" x14ac:dyDescent="0.15">
      <c r="CP3042" s="31"/>
    </row>
    <row r="3043" spans="94:94" x14ac:dyDescent="0.15">
      <c r="CP3043" s="31"/>
    </row>
    <row r="3044" spans="94:94" x14ac:dyDescent="0.15">
      <c r="CP3044" s="31"/>
    </row>
    <row r="3045" spans="94:94" x14ac:dyDescent="0.15">
      <c r="CP3045" s="31"/>
    </row>
    <row r="3046" spans="94:94" x14ac:dyDescent="0.15">
      <c r="CP3046" s="31"/>
    </row>
    <row r="3047" spans="94:94" x14ac:dyDescent="0.15">
      <c r="CP3047" s="31"/>
    </row>
    <row r="3048" spans="94:94" x14ac:dyDescent="0.15">
      <c r="CP3048" s="31"/>
    </row>
    <row r="3049" spans="94:94" x14ac:dyDescent="0.15">
      <c r="CP3049" s="31"/>
    </row>
    <row r="3050" spans="94:94" x14ac:dyDescent="0.15">
      <c r="CP3050" s="31"/>
    </row>
    <row r="3051" spans="94:94" x14ac:dyDescent="0.15">
      <c r="CP3051" s="31"/>
    </row>
    <row r="3052" spans="94:94" x14ac:dyDescent="0.15">
      <c r="CP3052" s="31"/>
    </row>
    <row r="3053" spans="94:94" x14ac:dyDescent="0.15">
      <c r="CP3053" s="31"/>
    </row>
    <row r="3054" spans="94:94" x14ac:dyDescent="0.15">
      <c r="CP3054" s="31"/>
    </row>
    <row r="3055" spans="94:94" x14ac:dyDescent="0.15">
      <c r="CP3055" s="31"/>
    </row>
    <row r="3056" spans="94:94" x14ac:dyDescent="0.15">
      <c r="CP3056" s="31"/>
    </row>
    <row r="3057" spans="94:94" x14ac:dyDescent="0.15">
      <c r="CP3057" s="31"/>
    </row>
    <row r="3058" spans="94:94" x14ac:dyDescent="0.15">
      <c r="CP3058" s="31"/>
    </row>
    <row r="3059" spans="94:94" x14ac:dyDescent="0.15">
      <c r="CP3059" s="31"/>
    </row>
    <row r="3060" spans="94:94" x14ac:dyDescent="0.15">
      <c r="CP3060" s="31"/>
    </row>
    <row r="3061" spans="94:94" x14ac:dyDescent="0.15">
      <c r="CP3061" s="31"/>
    </row>
    <row r="3062" spans="94:94" x14ac:dyDescent="0.15">
      <c r="CP3062" s="31"/>
    </row>
    <row r="3063" spans="94:94" x14ac:dyDescent="0.15">
      <c r="CP3063" s="31"/>
    </row>
    <row r="3064" spans="94:94" x14ac:dyDescent="0.15">
      <c r="CP3064" s="31"/>
    </row>
    <row r="3065" spans="94:94" x14ac:dyDescent="0.15">
      <c r="CP3065" s="31"/>
    </row>
    <row r="3066" spans="94:94" x14ac:dyDescent="0.15">
      <c r="CP3066" s="31"/>
    </row>
    <row r="3067" spans="94:94" x14ac:dyDescent="0.15">
      <c r="CP3067" s="31"/>
    </row>
    <row r="3068" spans="94:94" x14ac:dyDescent="0.15">
      <c r="CP3068" s="31"/>
    </row>
    <row r="3069" spans="94:94" x14ac:dyDescent="0.15">
      <c r="CP3069" s="31"/>
    </row>
    <row r="3070" spans="94:94" x14ac:dyDescent="0.15">
      <c r="CP3070" s="31"/>
    </row>
    <row r="3071" spans="94:94" x14ac:dyDescent="0.15">
      <c r="CP3071" s="31"/>
    </row>
    <row r="3072" spans="94:94" x14ac:dyDescent="0.15">
      <c r="CP3072" s="31"/>
    </row>
    <row r="3073" spans="94:94" x14ac:dyDescent="0.15">
      <c r="CP3073" s="31"/>
    </row>
    <row r="3074" spans="94:94" x14ac:dyDescent="0.15">
      <c r="CP3074" s="31"/>
    </row>
    <row r="3075" spans="94:94" x14ac:dyDescent="0.15">
      <c r="CP3075" s="31"/>
    </row>
    <row r="3076" spans="94:94" x14ac:dyDescent="0.15">
      <c r="CP3076" s="31"/>
    </row>
    <row r="3077" spans="94:94" x14ac:dyDescent="0.15">
      <c r="CP3077" s="31"/>
    </row>
    <row r="3078" spans="94:94" x14ac:dyDescent="0.15">
      <c r="CP3078" s="31"/>
    </row>
    <row r="3079" spans="94:94" x14ac:dyDescent="0.15">
      <c r="CP3079" s="31"/>
    </row>
    <row r="3080" spans="94:94" x14ac:dyDescent="0.15">
      <c r="CP3080" s="31"/>
    </row>
    <row r="3081" spans="94:94" x14ac:dyDescent="0.15">
      <c r="CP3081" s="31"/>
    </row>
    <row r="3082" spans="94:94" x14ac:dyDescent="0.15">
      <c r="CP3082" s="31"/>
    </row>
    <row r="3083" spans="94:94" x14ac:dyDescent="0.15">
      <c r="CP3083" s="31"/>
    </row>
    <row r="3084" spans="94:94" x14ac:dyDescent="0.15">
      <c r="CP3084" s="31"/>
    </row>
    <row r="3085" spans="94:94" x14ac:dyDescent="0.15">
      <c r="CP3085" s="31"/>
    </row>
    <row r="3086" spans="94:94" x14ac:dyDescent="0.15">
      <c r="CP3086" s="31"/>
    </row>
    <row r="3087" spans="94:94" x14ac:dyDescent="0.15">
      <c r="CP3087" s="31"/>
    </row>
    <row r="3088" spans="94:94" x14ac:dyDescent="0.15">
      <c r="CP3088" s="31"/>
    </row>
    <row r="3089" spans="94:94" x14ac:dyDescent="0.15">
      <c r="CP3089" s="31"/>
    </row>
    <row r="3090" spans="94:94" x14ac:dyDescent="0.15">
      <c r="CP3090" s="31"/>
    </row>
    <row r="3091" spans="94:94" x14ac:dyDescent="0.15">
      <c r="CP3091" s="31"/>
    </row>
    <row r="3092" spans="94:94" x14ac:dyDescent="0.15">
      <c r="CP3092" s="31"/>
    </row>
    <row r="3093" spans="94:94" x14ac:dyDescent="0.15">
      <c r="CP3093" s="31"/>
    </row>
    <row r="3094" spans="94:94" x14ac:dyDescent="0.15">
      <c r="CP3094" s="31"/>
    </row>
    <row r="3095" spans="94:94" x14ac:dyDescent="0.15">
      <c r="CP3095" s="31"/>
    </row>
    <row r="3096" spans="94:94" x14ac:dyDescent="0.15">
      <c r="CP3096" s="31"/>
    </row>
    <row r="3097" spans="94:94" x14ac:dyDescent="0.15">
      <c r="CP3097" s="31"/>
    </row>
    <row r="3098" spans="94:94" x14ac:dyDescent="0.15">
      <c r="CP3098" s="31"/>
    </row>
    <row r="3099" spans="94:94" x14ac:dyDescent="0.15">
      <c r="CP3099" s="31"/>
    </row>
    <row r="3100" spans="94:94" x14ac:dyDescent="0.15">
      <c r="CP3100" s="31"/>
    </row>
    <row r="3101" spans="94:94" x14ac:dyDescent="0.15">
      <c r="CP3101" s="31"/>
    </row>
    <row r="3102" spans="94:94" x14ac:dyDescent="0.15">
      <c r="CP3102" s="31"/>
    </row>
    <row r="3103" spans="94:94" x14ac:dyDescent="0.15">
      <c r="CP3103" s="31"/>
    </row>
    <row r="3104" spans="94:94" x14ac:dyDescent="0.15">
      <c r="CP3104" s="31"/>
    </row>
    <row r="3105" spans="94:94" x14ac:dyDescent="0.15">
      <c r="CP3105" s="31"/>
    </row>
    <row r="3106" spans="94:94" x14ac:dyDescent="0.15">
      <c r="CP3106" s="31"/>
    </row>
    <row r="3107" spans="94:94" x14ac:dyDescent="0.15">
      <c r="CP3107" s="31"/>
    </row>
    <row r="3108" spans="94:94" x14ac:dyDescent="0.15">
      <c r="CP3108" s="31"/>
    </row>
    <row r="3109" spans="94:94" x14ac:dyDescent="0.15">
      <c r="CP3109" s="31"/>
    </row>
    <row r="3110" spans="94:94" x14ac:dyDescent="0.15">
      <c r="CP3110" s="31"/>
    </row>
    <row r="3111" spans="94:94" x14ac:dyDescent="0.15">
      <c r="CP3111" s="31"/>
    </row>
    <row r="3112" spans="94:94" x14ac:dyDescent="0.15">
      <c r="CP3112" s="31"/>
    </row>
    <row r="3113" spans="94:94" x14ac:dyDescent="0.15">
      <c r="CP3113" s="31"/>
    </row>
    <row r="3114" spans="94:94" x14ac:dyDescent="0.15">
      <c r="CP3114" s="31"/>
    </row>
    <row r="3115" spans="94:94" x14ac:dyDescent="0.15">
      <c r="CP3115" s="31"/>
    </row>
    <row r="3116" spans="94:94" x14ac:dyDescent="0.15">
      <c r="CP3116" s="31"/>
    </row>
    <row r="3117" spans="94:94" x14ac:dyDescent="0.15">
      <c r="CP3117" s="31"/>
    </row>
    <row r="3118" spans="94:94" x14ac:dyDescent="0.15">
      <c r="CP3118" s="31"/>
    </row>
    <row r="3119" spans="94:94" x14ac:dyDescent="0.15">
      <c r="CP3119" s="31"/>
    </row>
    <row r="3120" spans="94:94" x14ac:dyDescent="0.15">
      <c r="CP3120" s="31"/>
    </row>
    <row r="3121" spans="94:94" x14ac:dyDescent="0.15">
      <c r="CP3121" s="31"/>
    </row>
    <row r="3122" spans="94:94" x14ac:dyDescent="0.15">
      <c r="CP3122" s="31"/>
    </row>
    <row r="3123" spans="94:94" x14ac:dyDescent="0.15">
      <c r="CP3123" s="31"/>
    </row>
    <row r="3124" spans="94:94" x14ac:dyDescent="0.15">
      <c r="CP3124" s="31"/>
    </row>
    <row r="3125" spans="94:94" x14ac:dyDescent="0.15">
      <c r="CP3125" s="31"/>
    </row>
    <row r="3126" spans="94:94" x14ac:dyDescent="0.15">
      <c r="CP3126" s="31"/>
    </row>
    <row r="3127" spans="94:94" x14ac:dyDescent="0.15">
      <c r="CP3127" s="31"/>
    </row>
    <row r="3128" spans="94:94" x14ac:dyDescent="0.15">
      <c r="CP3128" s="31"/>
    </row>
    <row r="3129" spans="94:94" x14ac:dyDescent="0.15">
      <c r="CP3129" s="31"/>
    </row>
    <row r="3130" spans="94:94" x14ac:dyDescent="0.15">
      <c r="CP3130" s="31"/>
    </row>
    <row r="3131" spans="94:94" x14ac:dyDescent="0.15">
      <c r="CP3131" s="31"/>
    </row>
    <row r="3132" spans="94:94" x14ac:dyDescent="0.15">
      <c r="CP3132" s="31"/>
    </row>
    <row r="3133" spans="94:94" x14ac:dyDescent="0.15">
      <c r="CP3133" s="31"/>
    </row>
    <row r="3134" spans="94:94" x14ac:dyDescent="0.15">
      <c r="CP3134" s="31"/>
    </row>
    <row r="3135" spans="94:94" x14ac:dyDescent="0.15">
      <c r="CP3135" s="31"/>
    </row>
    <row r="3136" spans="94:94" x14ac:dyDescent="0.15">
      <c r="CP3136" s="31"/>
    </row>
    <row r="3137" spans="94:94" x14ac:dyDescent="0.15">
      <c r="CP3137" s="31"/>
    </row>
    <row r="3138" spans="94:94" x14ac:dyDescent="0.15">
      <c r="CP3138" s="31"/>
    </row>
    <row r="3139" spans="94:94" x14ac:dyDescent="0.15">
      <c r="CP3139" s="31"/>
    </row>
    <row r="3140" spans="94:94" x14ac:dyDescent="0.15">
      <c r="CP3140" s="31"/>
    </row>
    <row r="3141" spans="94:94" x14ac:dyDescent="0.15">
      <c r="CP3141" s="31"/>
    </row>
    <row r="3142" spans="94:94" x14ac:dyDescent="0.15">
      <c r="CP3142" s="31"/>
    </row>
    <row r="3143" spans="94:94" x14ac:dyDescent="0.15">
      <c r="CP3143" s="31"/>
    </row>
    <row r="3144" spans="94:94" x14ac:dyDescent="0.15">
      <c r="CP3144" s="31"/>
    </row>
    <row r="3145" spans="94:94" x14ac:dyDescent="0.15">
      <c r="CP3145" s="31"/>
    </row>
    <row r="3146" spans="94:94" x14ac:dyDescent="0.15">
      <c r="CP3146" s="31"/>
    </row>
    <row r="3147" spans="94:94" x14ac:dyDescent="0.15">
      <c r="CP3147" s="31"/>
    </row>
    <row r="3148" spans="94:94" x14ac:dyDescent="0.15">
      <c r="CP3148" s="31"/>
    </row>
    <row r="3149" spans="94:94" x14ac:dyDescent="0.15">
      <c r="CP3149" s="31"/>
    </row>
    <row r="3150" spans="94:94" x14ac:dyDescent="0.15">
      <c r="CP3150" s="31"/>
    </row>
    <row r="3151" spans="94:94" x14ac:dyDescent="0.15">
      <c r="CP3151" s="31"/>
    </row>
    <row r="3152" spans="94:94" x14ac:dyDescent="0.15">
      <c r="CP3152" s="31"/>
    </row>
    <row r="3153" spans="94:94" x14ac:dyDescent="0.15">
      <c r="CP3153" s="31"/>
    </row>
    <row r="3154" spans="94:94" x14ac:dyDescent="0.15">
      <c r="CP3154" s="31"/>
    </row>
    <row r="3155" spans="94:94" x14ac:dyDescent="0.15">
      <c r="CP3155" s="31"/>
    </row>
    <row r="3156" spans="94:94" x14ac:dyDescent="0.15">
      <c r="CP3156" s="31"/>
    </row>
    <row r="3157" spans="94:94" x14ac:dyDescent="0.15">
      <c r="CP3157" s="31"/>
    </row>
    <row r="3158" spans="94:94" x14ac:dyDescent="0.15">
      <c r="CP3158" s="31"/>
    </row>
    <row r="3159" spans="94:94" x14ac:dyDescent="0.15">
      <c r="CP3159" s="31"/>
    </row>
    <row r="3160" spans="94:94" x14ac:dyDescent="0.15">
      <c r="CP3160" s="31"/>
    </row>
    <row r="3161" spans="94:94" x14ac:dyDescent="0.15">
      <c r="CP3161" s="31"/>
    </row>
    <row r="3162" spans="94:94" x14ac:dyDescent="0.15">
      <c r="CP3162" s="31"/>
    </row>
    <row r="3163" spans="94:94" x14ac:dyDescent="0.15">
      <c r="CP3163" s="31"/>
    </row>
    <row r="3164" spans="94:94" x14ac:dyDescent="0.15">
      <c r="CP3164" s="31"/>
    </row>
    <row r="3165" spans="94:94" x14ac:dyDescent="0.15">
      <c r="CP3165" s="31"/>
    </row>
    <row r="3166" spans="94:94" x14ac:dyDescent="0.15">
      <c r="CP3166" s="31"/>
    </row>
    <row r="3167" spans="94:94" x14ac:dyDescent="0.15">
      <c r="CP3167" s="31"/>
    </row>
    <row r="3168" spans="94:94" x14ac:dyDescent="0.15">
      <c r="CP3168" s="31"/>
    </row>
    <row r="3169" spans="94:94" x14ac:dyDescent="0.15">
      <c r="CP3169" s="31"/>
    </row>
    <row r="3170" spans="94:94" x14ac:dyDescent="0.15">
      <c r="CP3170" s="31"/>
    </row>
    <row r="3171" spans="94:94" x14ac:dyDescent="0.15">
      <c r="CP3171" s="31"/>
    </row>
    <row r="3172" spans="94:94" x14ac:dyDescent="0.15">
      <c r="CP3172" s="31"/>
    </row>
    <row r="3173" spans="94:94" x14ac:dyDescent="0.15">
      <c r="CP3173" s="31"/>
    </row>
    <row r="3174" spans="94:94" x14ac:dyDescent="0.15">
      <c r="CP3174" s="31"/>
    </row>
    <row r="3175" spans="94:94" x14ac:dyDescent="0.15">
      <c r="CP3175" s="31"/>
    </row>
    <row r="3176" spans="94:94" x14ac:dyDescent="0.15">
      <c r="CP3176" s="31"/>
    </row>
    <row r="3177" spans="94:94" x14ac:dyDescent="0.15">
      <c r="CP3177" s="31"/>
    </row>
    <row r="3178" spans="94:94" x14ac:dyDescent="0.15">
      <c r="CP3178" s="31"/>
    </row>
    <row r="3179" spans="94:94" x14ac:dyDescent="0.15">
      <c r="CP3179" s="31"/>
    </row>
    <row r="3180" spans="94:94" x14ac:dyDescent="0.15">
      <c r="CP3180" s="31"/>
    </row>
    <row r="3181" spans="94:94" x14ac:dyDescent="0.15">
      <c r="CP3181" s="31"/>
    </row>
    <row r="3182" spans="94:94" x14ac:dyDescent="0.15">
      <c r="CP3182" s="31"/>
    </row>
    <row r="3183" spans="94:94" x14ac:dyDescent="0.15">
      <c r="CP3183" s="31"/>
    </row>
    <row r="3184" spans="94:94" x14ac:dyDescent="0.15">
      <c r="CP3184" s="31"/>
    </row>
    <row r="3185" spans="94:94" x14ac:dyDescent="0.15">
      <c r="CP3185" s="31"/>
    </row>
    <row r="3186" spans="94:94" x14ac:dyDescent="0.15">
      <c r="CP3186" s="31"/>
    </row>
    <row r="3187" spans="94:94" x14ac:dyDescent="0.15">
      <c r="CP3187" s="31"/>
    </row>
    <row r="3188" spans="94:94" x14ac:dyDescent="0.15">
      <c r="CP3188" s="31"/>
    </row>
    <row r="3189" spans="94:94" x14ac:dyDescent="0.15">
      <c r="CP3189" s="31"/>
    </row>
    <row r="3190" spans="94:94" x14ac:dyDescent="0.15">
      <c r="CP3190" s="31"/>
    </row>
    <row r="3191" spans="94:94" x14ac:dyDescent="0.15">
      <c r="CP3191" s="31"/>
    </row>
    <row r="3192" spans="94:94" x14ac:dyDescent="0.15">
      <c r="CP3192" s="31"/>
    </row>
    <row r="3193" spans="94:94" x14ac:dyDescent="0.15">
      <c r="CP3193" s="31"/>
    </row>
    <row r="3194" spans="94:94" x14ac:dyDescent="0.15">
      <c r="CP3194" s="31"/>
    </row>
    <row r="3195" spans="94:94" x14ac:dyDescent="0.15">
      <c r="CP3195" s="31"/>
    </row>
    <row r="3196" spans="94:94" x14ac:dyDescent="0.15">
      <c r="CP3196" s="31"/>
    </row>
    <row r="3197" spans="94:94" x14ac:dyDescent="0.15">
      <c r="CP3197" s="31"/>
    </row>
    <row r="3198" spans="94:94" x14ac:dyDescent="0.15">
      <c r="CP3198" s="31"/>
    </row>
    <row r="3199" spans="94:94" x14ac:dyDescent="0.15">
      <c r="CP3199" s="31"/>
    </row>
    <row r="3200" spans="94:94" x14ac:dyDescent="0.15">
      <c r="CP3200" s="31"/>
    </row>
    <row r="3201" spans="94:94" x14ac:dyDescent="0.15">
      <c r="CP3201" s="31"/>
    </row>
    <row r="3202" spans="94:94" x14ac:dyDescent="0.15">
      <c r="CP3202" s="31"/>
    </row>
    <row r="3203" spans="94:94" x14ac:dyDescent="0.15">
      <c r="CP3203" s="31"/>
    </row>
    <row r="3204" spans="94:94" x14ac:dyDescent="0.15">
      <c r="CP3204" s="31"/>
    </row>
    <row r="3205" spans="94:94" x14ac:dyDescent="0.15">
      <c r="CP3205" s="31"/>
    </row>
    <row r="3206" spans="94:94" x14ac:dyDescent="0.15">
      <c r="CP3206" s="31"/>
    </row>
    <row r="3207" spans="94:94" x14ac:dyDescent="0.15">
      <c r="CP3207" s="31"/>
    </row>
    <row r="3208" spans="94:94" x14ac:dyDescent="0.15">
      <c r="CP3208" s="31"/>
    </row>
    <row r="3209" spans="94:94" x14ac:dyDescent="0.15">
      <c r="CP3209" s="31"/>
    </row>
    <row r="3210" spans="94:94" x14ac:dyDescent="0.15">
      <c r="CP3210" s="31"/>
    </row>
    <row r="3211" spans="94:94" x14ac:dyDescent="0.15">
      <c r="CP3211" s="31"/>
    </row>
    <row r="3212" spans="94:94" x14ac:dyDescent="0.15">
      <c r="CP3212" s="31"/>
    </row>
    <row r="3213" spans="94:94" x14ac:dyDescent="0.15">
      <c r="CP3213" s="31"/>
    </row>
    <row r="3214" spans="94:94" x14ac:dyDescent="0.15">
      <c r="CP3214" s="31"/>
    </row>
    <row r="3215" spans="94:94" x14ac:dyDescent="0.15">
      <c r="CP3215" s="31"/>
    </row>
    <row r="3216" spans="94:94" x14ac:dyDescent="0.15">
      <c r="CP3216" s="31"/>
    </row>
    <row r="3217" spans="94:94" x14ac:dyDescent="0.15">
      <c r="CP3217" s="31"/>
    </row>
    <row r="3218" spans="94:94" x14ac:dyDescent="0.15">
      <c r="CP3218" s="31"/>
    </row>
    <row r="3219" spans="94:94" x14ac:dyDescent="0.15">
      <c r="CP3219" s="31"/>
    </row>
    <row r="3220" spans="94:94" x14ac:dyDescent="0.15">
      <c r="CP3220" s="31"/>
    </row>
    <row r="3221" spans="94:94" x14ac:dyDescent="0.15">
      <c r="CP3221" s="31"/>
    </row>
    <row r="3222" spans="94:94" x14ac:dyDescent="0.15">
      <c r="CP3222" s="31"/>
    </row>
    <row r="3223" spans="94:94" x14ac:dyDescent="0.15">
      <c r="CP3223" s="31"/>
    </row>
    <row r="3224" spans="94:94" x14ac:dyDescent="0.15">
      <c r="CP3224" s="31"/>
    </row>
    <row r="3225" spans="94:94" x14ac:dyDescent="0.15">
      <c r="CP3225" s="31"/>
    </row>
    <row r="3226" spans="94:94" x14ac:dyDescent="0.15">
      <c r="CP3226" s="31"/>
    </row>
    <row r="3227" spans="94:94" x14ac:dyDescent="0.15">
      <c r="CP3227" s="31"/>
    </row>
    <row r="3228" spans="94:94" x14ac:dyDescent="0.15">
      <c r="CP3228" s="31"/>
    </row>
    <row r="3229" spans="94:94" x14ac:dyDescent="0.15">
      <c r="CP3229" s="31"/>
    </row>
    <row r="3230" spans="94:94" x14ac:dyDescent="0.15">
      <c r="CP3230" s="31"/>
    </row>
    <row r="3231" spans="94:94" x14ac:dyDescent="0.15">
      <c r="CP3231" s="31"/>
    </row>
    <row r="3232" spans="94:94" x14ac:dyDescent="0.15">
      <c r="CP3232" s="31"/>
    </row>
    <row r="3233" spans="94:94" x14ac:dyDescent="0.15">
      <c r="CP3233" s="31"/>
    </row>
    <row r="3234" spans="94:94" x14ac:dyDescent="0.15">
      <c r="CP3234" s="31"/>
    </row>
    <row r="3235" spans="94:94" x14ac:dyDescent="0.15">
      <c r="CP3235" s="31"/>
    </row>
    <row r="3236" spans="94:94" x14ac:dyDescent="0.15">
      <c r="CP3236" s="31"/>
    </row>
    <row r="3237" spans="94:94" x14ac:dyDescent="0.15">
      <c r="CP3237" s="31"/>
    </row>
    <row r="3238" spans="94:94" x14ac:dyDescent="0.15">
      <c r="CP3238" s="31"/>
    </row>
    <row r="3239" spans="94:94" x14ac:dyDescent="0.15">
      <c r="CP3239" s="31"/>
    </row>
    <row r="3240" spans="94:94" x14ac:dyDescent="0.15">
      <c r="CP3240" s="31"/>
    </row>
    <row r="3241" spans="94:94" x14ac:dyDescent="0.15">
      <c r="CP3241" s="31"/>
    </row>
    <row r="3242" spans="94:94" x14ac:dyDescent="0.15">
      <c r="CP3242" s="31"/>
    </row>
    <row r="3243" spans="94:94" x14ac:dyDescent="0.15">
      <c r="CP3243" s="31"/>
    </row>
    <row r="3244" spans="94:94" x14ac:dyDescent="0.15">
      <c r="CP3244" s="31"/>
    </row>
    <row r="3245" spans="94:94" x14ac:dyDescent="0.15">
      <c r="CP3245" s="31"/>
    </row>
    <row r="3246" spans="94:94" x14ac:dyDescent="0.15">
      <c r="CP3246" s="31"/>
    </row>
    <row r="3247" spans="94:94" x14ac:dyDescent="0.15">
      <c r="CP3247" s="31"/>
    </row>
    <row r="3248" spans="94:94" x14ac:dyDescent="0.15">
      <c r="CP3248" s="31"/>
    </row>
    <row r="3249" spans="94:94" x14ac:dyDescent="0.15">
      <c r="CP3249" s="31"/>
    </row>
    <row r="3250" spans="94:94" x14ac:dyDescent="0.15">
      <c r="CP3250" s="31"/>
    </row>
    <row r="3251" spans="94:94" x14ac:dyDescent="0.15">
      <c r="CP3251" s="31"/>
    </row>
    <row r="3252" spans="94:94" x14ac:dyDescent="0.15">
      <c r="CP3252" s="31"/>
    </row>
    <row r="3253" spans="94:94" x14ac:dyDescent="0.15">
      <c r="CP3253" s="31"/>
    </row>
    <row r="3254" spans="94:94" x14ac:dyDescent="0.15">
      <c r="CP3254" s="31"/>
    </row>
    <row r="3255" spans="94:94" x14ac:dyDescent="0.15">
      <c r="CP3255" s="31"/>
    </row>
    <row r="3256" spans="94:94" x14ac:dyDescent="0.15">
      <c r="CP3256" s="31"/>
    </row>
    <row r="3257" spans="94:94" x14ac:dyDescent="0.15">
      <c r="CP3257" s="31"/>
    </row>
    <row r="3258" spans="94:94" x14ac:dyDescent="0.15">
      <c r="CP3258" s="31"/>
    </row>
    <row r="3259" spans="94:94" x14ac:dyDescent="0.15">
      <c r="CP3259" s="31"/>
    </row>
    <row r="3260" spans="94:94" x14ac:dyDescent="0.15">
      <c r="CP3260" s="31"/>
    </row>
    <row r="3261" spans="94:94" x14ac:dyDescent="0.15">
      <c r="CP3261" s="31"/>
    </row>
    <row r="3262" spans="94:94" x14ac:dyDescent="0.15">
      <c r="CP3262" s="31"/>
    </row>
    <row r="3263" spans="94:94" x14ac:dyDescent="0.15">
      <c r="CP3263" s="31"/>
    </row>
    <row r="3264" spans="94:94" x14ac:dyDescent="0.15">
      <c r="CP3264" s="31"/>
    </row>
    <row r="3265" spans="94:94" x14ac:dyDescent="0.15">
      <c r="CP3265" s="31"/>
    </row>
    <row r="3266" spans="94:94" x14ac:dyDescent="0.15">
      <c r="CP3266" s="31"/>
    </row>
    <row r="3267" spans="94:94" x14ac:dyDescent="0.15">
      <c r="CP3267" s="31"/>
    </row>
    <row r="3268" spans="94:94" x14ac:dyDescent="0.15">
      <c r="CP3268" s="31"/>
    </row>
    <row r="3269" spans="94:94" x14ac:dyDescent="0.15">
      <c r="CP3269" s="31"/>
    </row>
    <row r="3270" spans="94:94" x14ac:dyDescent="0.15">
      <c r="CP3270" s="31"/>
    </row>
    <row r="3271" spans="94:94" x14ac:dyDescent="0.15">
      <c r="CP3271" s="31"/>
    </row>
    <row r="3272" spans="94:94" x14ac:dyDescent="0.15">
      <c r="CP3272" s="31"/>
    </row>
    <row r="3273" spans="94:94" x14ac:dyDescent="0.15">
      <c r="CP3273" s="31"/>
    </row>
    <row r="3274" spans="94:94" x14ac:dyDescent="0.15">
      <c r="CP3274" s="31"/>
    </row>
    <row r="3275" spans="94:94" x14ac:dyDescent="0.15">
      <c r="CP3275" s="31"/>
    </row>
    <row r="3276" spans="94:94" x14ac:dyDescent="0.15">
      <c r="CP3276" s="31"/>
    </row>
    <row r="3277" spans="94:94" x14ac:dyDescent="0.15">
      <c r="CP3277" s="31"/>
    </row>
    <row r="3278" spans="94:94" x14ac:dyDescent="0.15">
      <c r="CP3278" s="31"/>
    </row>
    <row r="3279" spans="94:94" x14ac:dyDescent="0.15">
      <c r="CP3279" s="31"/>
    </row>
    <row r="3280" spans="94:94" x14ac:dyDescent="0.15">
      <c r="CP3280" s="31"/>
    </row>
    <row r="3281" spans="94:94" x14ac:dyDescent="0.15">
      <c r="CP3281" s="31"/>
    </row>
    <row r="3282" spans="94:94" x14ac:dyDescent="0.15">
      <c r="CP3282" s="31"/>
    </row>
    <row r="3283" spans="94:94" x14ac:dyDescent="0.15">
      <c r="CP3283" s="31"/>
    </row>
    <row r="3284" spans="94:94" x14ac:dyDescent="0.15">
      <c r="CP3284" s="31"/>
    </row>
    <row r="3285" spans="94:94" x14ac:dyDescent="0.15">
      <c r="CP3285" s="31"/>
    </row>
    <row r="3286" spans="94:94" x14ac:dyDescent="0.15">
      <c r="CP3286" s="31"/>
    </row>
    <row r="3287" spans="94:94" x14ac:dyDescent="0.15">
      <c r="CP3287" s="31"/>
    </row>
    <row r="3288" spans="94:94" x14ac:dyDescent="0.15">
      <c r="CP3288" s="31"/>
    </row>
    <row r="3289" spans="94:94" x14ac:dyDescent="0.15">
      <c r="CP3289" s="31"/>
    </row>
    <row r="3290" spans="94:94" x14ac:dyDescent="0.15">
      <c r="CP3290" s="31"/>
    </row>
    <row r="3291" spans="94:94" x14ac:dyDescent="0.15">
      <c r="CP3291" s="31"/>
    </row>
    <row r="3292" spans="94:94" x14ac:dyDescent="0.15">
      <c r="CP3292" s="31"/>
    </row>
    <row r="3293" spans="94:94" x14ac:dyDescent="0.15">
      <c r="CP3293" s="31"/>
    </row>
    <row r="3294" spans="94:94" x14ac:dyDescent="0.15">
      <c r="CP3294" s="31"/>
    </row>
    <row r="3295" spans="94:94" x14ac:dyDescent="0.15">
      <c r="CP3295" s="31"/>
    </row>
    <row r="3296" spans="94:94" x14ac:dyDescent="0.15">
      <c r="CP3296" s="31"/>
    </row>
    <row r="3297" spans="94:94" x14ac:dyDescent="0.15">
      <c r="CP3297" s="31"/>
    </row>
    <row r="3298" spans="94:94" x14ac:dyDescent="0.15">
      <c r="CP3298" s="31"/>
    </row>
    <row r="3299" spans="94:94" x14ac:dyDescent="0.15">
      <c r="CP3299" s="31"/>
    </row>
    <row r="3300" spans="94:94" x14ac:dyDescent="0.15">
      <c r="CP3300" s="31"/>
    </row>
    <row r="3301" spans="94:94" x14ac:dyDescent="0.15">
      <c r="CP3301" s="31"/>
    </row>
    <row r="3302" spans="94:94" x14ac:dyDescent="0.15">
      <c r="CP3302" s="31"/>
    </row>
    <row r="3303" spans="94:94" x14ac:dyDescent="0.15">
      <c r="CP3303" s="31"/>
    </row>
    <row r="3304" spans="94:94" x14ac:dyDescent="0.15">
      <c r="CP3304" s="31"/>
    </row>
    <row r="3305" spans="94:94" x14ac:dyDescent="0.15">
      <c r="CP3305" s="31"/>
    </row>
    <row r="3306" spans="94:94" x14ac:dyDescent="0.15">
      <c r="CP3306" s="31"/>
    </row>
    <row r="3307" spans="94:94" x14ac:dyDescent="0.15">
      <c r="CP3307" s="31"/>
    </row>
    <row r="3308" spans="94:94" x14ac:dyDescent="0.15">
      <c r="CP3308" s="31"/>
    </row>
    <row r="3309" spans="94:94" x14ac:dyDescent="0.15">
      <c r="CP3309" s="31"/>
    </row>
    <row r="3310" spans="94:94" x14ac:dyDescent="0.15">
      <c r="CP3310" s="31"/>
    </row>
    <row r="3311" spans="94:94" x14ac:dyDescent="0.15">
      <c r="CP3311" s="31"/>
    </row>
    <row r="3312" spans="94:94" x14ac:dyDescent="0.15">
      <c r="CP3312" s="31"/>
    </row>
    <row r="3313" spans="94:94" x14ac:dyDescent="0.15">
      <c r="CP3313" s="31"/>
    </row>
    <row r="3314" spans="94:94" x14ac:dyDescent="0.15">
      <c r="CP3314" s="31"/>
    </row>
    <row r="3315" spans="94:94" x14ac:dyDescent="0.15">
      <c r="CP3315" s="31"/>
    </row>
    <row r="3316" spans="94:94" x14ac:dyDescent="0.15">
      <c r="CP3316" s="31"/>
    </row>
    <row r="3317" spans="94:94" x14ac:dyDescent="0.15">
      <c r="CP3317" s="31"/>
    </row>
    <row r="3318" spans="94:94" x14ac:dyDescent="0.15">
      <c r="CP3318" s="31"/>
    </row>
    <row r="3319" spans="94:94" x14ac:dyDescent="0.15">
      <c r="CP3319" s="31"/>
    </row>
    <row r="3320" spans="94:94" x14ac:dyDescent="0.15">
      <c r="CP3320" s="31"/>
    </row>
    <row r="3321" spans="94:94" x14ac:dyDescent="0.15">
      <c r="CP3321" s="31"/>
    </row>
    <row r="3322" spans="94:94" x14ac:dyDescent="0.15">
      <c r="CP3322" s="31"/>
    </row>
    <row r="3323" spans="94:94" x14ac:dyDescent="0.15">
      <c r="CP3323" s="31"/>
    </row>
    <row r="3324" spans="94:94" x14ac:dyDescent="0.15">
      <c r="CP3324" s="31"/>
    </row>
    <row r="3325" spans="94:94" x14ac:dyDescent="0.15">
      <c r="CP3325" s="31"/>
    </row>
    <row r="3326" spans="94:94" x14ac:dyDescent="0.15">
      <c r="CP3326" s="31"/>
    </row>
    <row r="3327" spans="94:94" x14ac:dyDescent="0.15">
      <c r="CP3327" s="31"/>
    </row>
    <row r="3328" spans="94:94" x14ac:dyDescent="0.15">
      <c r="CP3328" s="31"/>
    </row>
    <row r="3329" spans="94:94" x14ac:dyDescent="0.15">
      <c r="CP3329" s="31"/>
    </row>
    <row r="3330" spans="94:94" x14ac:dyDescent="0.15">
      <c r="CP3330" s="31"/>
    </row>
    <row r="3331" spans="94:94" x14ac:dyDescent="0.15">
      <c r="CP3331" s="31"/>
    </row>
    <row r="3332" spans="94:94" x14ac:dyDescent="0.15">
      <c r="CP3332" s="31"/>
    </row>
    <row r="3333" spans="94:94" x14ac:dyDescent="0.15">
      <c r="CP3333" s="31"/>
    </row>
    <row r="3334" spans="94:94" x14ac:dyDescent="0.15">
      <c r="CP3334" s="31"/>
    </row>
    <row r="3335" spans="94:94" x14ac:dyDescent="0.15">
      <c r="CP3335" s="31"/>
    </row>
    <row r="3336" spans="94:94" x14ac:dyDescent="0.15">
      <c r="CP3336" s="31"/>
    </row>
    <row r="3337" spans="94:94" x14ac:dyDescent="0.15">
      <c r="CP3337" s="31"/>
    </row>
    <row r="3338" spans="94:94" x14ac:dyDescent="0.15">
      <c r="CP3338" s="31"/>
    </row>
    <row r="3339" spans="94:94" x14ac:dyDescent="0.15">
      <c r="CP3339" s="31"/>
    </row>
    <row r="3340" spans="94:94" x14ac:dyDescent="0.15">
      <c r="CP3340" s="31"/>
    </row>
    <row r="3341" spans="94:94" x14ac:dyDescent="0.15">
      <c r="CP3341" s="31"/>
    </row>
    <row r="3342" spans="94:94" x14ac:dyDescent="0.15">
      <c r="CP3342" s="31"/>
    </row>
    <row r="3343" spans="94:94" x14ac:dyDescent="0.15">
      <c r="CP3343" s="31"/>
    </row>
    <row r="3344" spans="94:94" x14ac:dyDescent="0.15">
      <c r="CP3344" s="31"/>
    </row>
    <row r="3345" spans="94:94" x14ac:dyDescent="0.15">
      <c r="CP3345" s="31"/>
    </row>
    <row r="3346" spans="94:94" x14ac:dyDescent="0.15">
      <c r="CP3346" s="31"/>
    </row>
    <row r="3347" spans="94:94" x14ac:dyDescent="0.15">
      <c r="CP3347" s="31"/>
    </row>
    <row r="3348" spans="94:94" x14ac:dyDescent="0.15">
      <c r="CP3348" s="31"/>
    </row>
    <row r="3349" spans="94:94" x14ac:dyDescent="0.15">
      <c r="CP3349" s="31"/>
    </row>
    <row r="3350" spans="94:94" x14ac:dyDescent="0.15">
      <c r="CP3350" s="31"/>
    </row>
    <row r="3351" spans="94:94" x14ac:dyDescent="0.15">
      <c r="CP3351" s="31"/>
    </row>
    <row r="3352" spans="94:94" x14ac:dyDescent="0.15">
      <c r="CP3352" s="31"/>
    </row>
    <row r="3353" spans="94:94" x14ac:dyDescent="0.15">
      <c r="CP3353" s="31"/>
    </row>
    <row r="3354" spans="94:94" x14ac:dyDescent="0.15">
      <c r="CP3354" s="31"/>
    </row>
    <row r="3355" spans="94:94" x14ac:dyDescent="0.15">
      <c r="CP3355" s="31"/>
    </row>
    <row r="3356" spans="94:94" x14ac:dyDescent="0.15">
      <c r="CP3356" s="31"/>
    </row>
    <row r="3357" spans="94:94" x14ac:dyDescent="0.15">
      <c r="CP3357" s="31"/>
    </row>
    <row r="3358" spans="94:94" x14ac:dyDescent="0.15">
      <c r="CP3358" s="31"/>
    </row>
    <row r="3359" spans="94:94" x14ac:dyDescent="0.15">
      <c r="CP3359" s="31"/>
    </row>
    <row r="3360" spans="94:94" x14ac:dyDescent="0.15">
      <c r="CP3360" s="31"/>
    </row>
    <row r="3361" spans="94:94" x14ac:dyDescent="0.15">
      <c r="CP3361" s="31"/>
    </row>
    <row r="3362" spans="94:94" x14ac:dyDescent="0.15">
      <c r="CP3362" s="31"/>
    </row>
    <row r="3363" spans="94:94" x14ac:dyDescent="0.15">
      <c r="CP3363" s="31"/>
    </row>
    <row r="3364" spans="94:94" x14ac:dyDescent="0.15">
      <c r="CP3364" s="31"/>
    </row>
    <row r="3365" spans="94:94" x14ac:dyDescent="0.15">
      <c r="CP3365" s="31"/>
    </row>
    <row r="3366" spans="94:94" x14ac:dyDescent="0.15">
      <c r="CP3366" s="31"/>
    </row>
    <row r="3367" spans="94:94" x14ac:dyDescent="0.15">
      <c r="CP3367" s="31"/>
    </row>
    <row r="3368" spans="94:94" x14ac:dyDescent="0.15">
      <c r="CP3368" s="31"/>
    </row>
    <row r="3369" spans="94:94" x14ac:dyDescent="0.15">
      <c r="CP3369" s="31"/>
    </row>
    <row r="3370" spans="94:94" x14ac:dyDescent="0.15">
      <c r="CP3370" s="31"/>
    </row>
    <row r="3371" spans="94:94" x14ac:dyDescent="0.15">
      <c r="CP3371" s="31"/>
    </row>
    <row r="3372" spans="94:94" x14ac:dyDescent="0.15">
      <c r="CP3372" s="31"/>
    </row>
    <row r="3373" spans="94:94" x14ac:dyDescent="0.15">
      <c r="CP3373" s="31"/>
    </row>
    <row r="3374" spans="94:94" x14ac:dyDescent="0.15">
      <c r="CP3374" s="31"/>
    </row>
    <row r="3375" spans="94:94" x14ac:dyDescent="0.15">
      <c r="CP3375" s="31"/>
    </row>
    <row r="3376" spans="94:94" x14ac:dyDescent="0.15">
      <c r="CP3376" s="31"/>
    </row>
    <row r="3377" spans="94:94" x14ac:dyDescent="0.15">
      <c r="CP3377" s="31"/>
    </row>
    <row r="3378" spans="94:94" x14ac:dyDescent="0.15">
      <c r="CP3378" s="31"/>
    </row>
    <row r="3379" spans="94:94" x14ac:dyDescent="0.15">
      <c r="CP3379" s="31"/>
    </row>
    <row r="3380" spans="94:94" x14ac:dyDescent="0.15">
      <c r="CP3380" s="31"/>
    </row>
    <row r="3381" spans="94:94" x14ac:dyDescent="0.15">
      <c r="CP3381" s="31"/>
    </row>
    <row r="3382" spans="94:94" x14ac:dyDescent="0.15">
      <c r="CP3382" s="31"/>
    </row>
    <row r="3383" spans="94:94" x14ac:dyDescent="0.15">
      <c r="CP3383" s="31"/>
    </row>
    <row r="3384" spans="94:94" x14ac:dyDescent="0.15">
      <c r="CP3384" s="31"/>
    </row>
    <row r="3385" spans="94:94" x14ac:dyDescent="0.15">
      <c r="CP3385" s="31"/>
    </row>
    <row r="3386" spans="94:94" x14ac:dyDescent="0.15">
      <c r="CP3386" s="31"/>
    </row>
    <row r="3387" spans="94:94" x14ac:dyDescent="0.15">
      <c r="CP3387" s="31"/>
    </row>
    <row r="3388" spans="94:94" x14ac:dyDescent="0.15">
      <c r="CP3388" s="31"/>
    </row>
    <row r="3389" spans="94:94" x14ac:dyDescent="0.15">
      <c r="CP3389" s="31"/>
    </row>
    <row r="3390" spans="94:94" x14ac:dyDescent="0.15">
      <c r="CP3390" s="31"/>
    </row>
    <row r="3391" spans="94:94" x14ac:dyDescent="0.15">
      <c r="CP3391" s="31"/>
    </row>
    <row r="3392" spans="94:94" x14ac:dyDescent="0.15">
      <c r="CP3392" s="31"/>
    </row>
    <row r="3393" spans="94:94" x14ac:dyDescent="0.15">
      <c r="CP3393" s="31"/>
    </row>
    <row r="3394" spans="94:94" x14ac:dyDescent="0.15">
      <c r="CP3394" s="31"/>
    </row>
    <row r="3395" spans="94:94" x14ac:dyDescent="0.15">
      <c r="CP3395" s="31"/>
    </row>
    <row r="3396" spans="94:94" x14ac:dyDescent="0.15">
      <c r="CP3396" s="31"/>
    </row>
    <row r="3397" spans="94:94" x14ac:dyDescent="0.15">
      <c r="CP3397" s="31"/>
    </row>
    <row r="3398" spans="94:94" x14ac:dyDescent="0.15">
      <c r="CP3398" s="31"/>
    </row>
    <row r="3399" spans="94:94" x14ac:dyDescent="0.15">
      <c r="CP3399" s="31"/>
    </row>
    <row r="3400" spans="94:94" x14ac:dyDescent="0.15">
      <c r="CP3400" s="31"/>
    </row>
    <row r="3401" spans="94:94" x14ac:dyDescent="0.15">
      <c r="CP3401" s="31"/>
    </row>
    <row r="3402" spans="94:94" x14ac:dyDescent="0.15">
      <c r="CP3402" s="31"/>
    </row>
    <row r="3403" spans="94:94" x14ac:dyDescent="0.15">
      <c r="CP3403" s="31"/>
    </row>
    <row r="3404" spans="94:94" x14ac:dyDescent="0.15">
      <c r="CP3404" s="31"/>
    </row>
    <row r="3405" spans="94:94" x14ac:dyDescent="0.15">
      <c r="CP3405" s="31"/>
    </row>
    <row r="3406" spans="94:94" x14ac:dyDescent="0.15">
      <c r="CP3406" s="31"/>
    </row>
    <row r="3407" spans="94:94" x14ac:dyDescent="0.15">
      <c r="CP3407" s="31"/>
    </row>
    <row r="3408" spans="94:94" x14ac:dyDescent="0.15">
      <c r="CP3408" s="31"/>
    </row>
    <row r="3409" spans="94:94" x14ac:dyDescent="0.15">
      <c r="CP3409" s="31"/>
    </row>
    <row r="3410" spans="94:94" x14ac:dyDescent="0.15">
      <c r="CP3410" s="31"/>
    </row>
    <row r="3411" spans="94:94" x14ac:dyDescent="0.15">
      <c r="CP3411" s="31"/>
    </row>
    <row r="3412" spans="94:94" x14ac:dyDescent="0.15">
      <c r="CP3412" s="31"/>
    </row>
    <row r="3413" spans="94:94" x14ac:dyDescent="0.15">
      <c r="CP3413" s="31"/>
    </row>
    <row r="3414" spans="94:94" x14ac:dyDescent="0.15">
      <c r="CP3414" s="31"/>
    </row>
    <row r="3415" spans="94:94" x14ac:dyDescent="0.15">
      <c r="CP3415" s="31"/>
    </row>
    <row r="3416" spans="94:94" x14ac:dyDescent="0.15">
      <c r="CP3416" s="31"/>
    </row>
    <row r="3417" spans="94:94" x14ac:dyDescent="0.15">
      <c r="CP3417" s="31"/>
    </row>
    <row r="3418" spans="94:94" x14ac:dyDescent="0.15">
      <c r="CP3418" s="31"/>
    </row>
    <row r="3419" spans="94:94" x14ac:dyDescent="0.15">
      <c r="CP3419" s="31"/>
    </row>
    <row r="3420" spans="94:94" x14ac:dyDescent="0.15">
      <c r="CP3420" s="31"/>
    </row>
    <row r="3421" spans="94:94" x14ac:dyDescent="0.15">
      <c r="CP3421" s="31"/>
    </row>
    <row r="3422" spans="94:94" x14ac:dyDescent="0.15">
      <c r="CP3422" s="31"/>
    </row>
    <row r="3423" spans="94:94" x14ac:dyDescent="0.15">
      <c r="CP3423" s="31"/>
    </row>
    <row r="3424" spans="94:94" x14ac:dyDescent="0.15">
      <c r="CP3424" s="31"/>
    </row>
    <row r="3425" spans="94:94" x14ac:dyDescent="0.15">
      <c r="CP3425" s="31"/>
    </row>
    <row r="3426" spans="94:94" x14ac:dyDescent="0.15">
      <c r="CP3426" s="31"/>
    </row>
    <row r="3427" spans="94:94" x14ac:dyDescent="0.15">
      <c r="CP3427" s="31"/>
    </row>
    <row r="3428" spans="94:94" x14ac:dyDescent="0.15">
      <c r="CP3428" s="31"/>
    </row>
    <row r="3429" spans="94:94" x14ac:dyDescent="0.15">
      <c r="CP3429" s="31"/>
    </row>
    <row r="3430" spans="94:94" x14ac:dyDescent="0.15">
      <c r="CP3430" s="31"/>
    </row>
    <row r="3431" spans="94:94" x14ac:dyDescent="0.15">
      <c r="CP3431" s="31"/>
    </row>
    <row r="3432" spans="94:94" x14ac:dyDescent="0.15">
      <c r="CP3432" s="31"/>
    </row>
    <row r="3433" spans="94:94" x14ac:dyDescent="0.15">
      <c r="CP3433" s="31"/>
    </row>
    <row r="3434" spans="94:94" x14ac:dyDescent="0.15">
      <c r="CP3434" s="31"/>
    </row>
    <row r="3435" spans="94:94" x14ac:dyDescent="0.15">
      <c r="CP3435" s="31"/>
    </row>
    <row r="3436" spans="94:94" x14ac:dyDescent="0.15">
      <c r="CP3436" s="31"/>
    </row>
    <row r="3437" spans="94:94" x14ac:dyDescent="0.15">
      <c r="CP3437" s="31"/>
    </row>
    <row r="3438" spans="94:94" x14ac:dyDescent="0.15">
      <c r="CP3438" s="31"/>
    </row>
    <row r="3439" spans="94:94" x14ac:dyDescent="0.15">
      <c r="CP3439" s="31"/>
    </row>
    <row r="3440" spans="94:94" x14ac:dyDescent="0.15">
      <c r="CP3440" s="31"/>
    </row>
    <row r="3441" spans="94:94" x14ac:dyDescent="0.15">
      <c r="CP3441" s="31"/>
    </row>
    <row r="3442" spans="94:94" x14ac:dyDescent="0.15">
      <c r="CP3442" s="31"/>
    </row>
    <row r="3443" spans="94:94" x14ac:dyDescent="0.15">
      <c r="CP3443" s="31"/>
    </row>
    <row r="3444" spans="94:94" x14ac:dyDescent="0.15">
      <c r="CP3444" s="31"/>
    </row>
    <row r="3445" spans="94:94" x14ac:dyDescent="0.15">
      <c r="CP3445" s="31"/>
    </row>
    <row r="3446" spans="94:94" x14ac:dyDescent="0.15">
      <c r="CP3446" s="31"/>
    </row>
    <row r="3447" spans="94:94" x14ac:dyDescent="0.15">
      <c r="CP3447" s="31"/>
    </row>
    <row r="3448" spans="94:94" x14ac:dyDescent="0.15">
      <c r="CP3448" s="31"/>
    </row>
    <row r="3449" spans="94:94" x14ac:dyDescent="0.15">
      <c r="CP3449" s="31"/>
    </row>
    <row r="3450" spans="94:94" x14ac:dyDescent="0.15">
      <c r="CP3450" s="31"/>
    </row>
    <row r="3451" spans="94:94" x14ac:dyDescent="0.15">
      <c r="CP3451" s="31"/>
    </row>
    <row r="3452" spans="94:94" x14ac:dyDescent="0.15">
      <c r="CP3452" s="31"/>
    </row>
    <row r="3453" spans="94:94" x14ac:dyDescent="0.15">
      <c r="CP3453" s="31"/>
    </row>
    <row r="3454" spans="94:94" x14ac:dyDescent="0.15">
      <c r="CP3454" s="31"/>
    </row>
    <row r="3455" spans="94:94" x14ac:dyDescent="0.15">
      <c r="CP3455" s="31"/>
    </row>
    <row r="3456" spans="94:94" x14ac:dyDescent="0.15">
      <c r="CP3456" s="31"/>
    </row>
    <row r="3457" spans="94:94" x14ac:dyDescent="0.15">
      <c r="CP3457" s="31"/>
    </row>
    <row r="3458" spans="94:94" x14ac:dyDescent="0.15">
      <c r="CP3458" s="31"/>
    </row>
    <row r="3459" spans="94:94" x14ac:dyDescent="0.15">
      <c r="CP3459" s="31"/>
    </row>
    <row r="3460" spans="94:94" x14ac:dyDescent="0.15">
      <c r="CP3460" s="31"/>
    </row>
    <row r="3461" spans="94:94" x14ac:dyDescent="0.15">
      <c r="CP3461" s="31"/>
    </row>
    <row r="3462" spans="94:94" x14ac:dyDescent="0.15">
      <c r="CP3462" s="31"/>
    </row>
    <row r="3463" spans="94:94" x14ac:dyDescent="0.15">
      <c r="CP3463" s="31"/>
    </row>
    <row r="3464" spans="94:94" x14ac:dyDescent="0.15">
      <c r="CP3464" s="31"/>
    </row>
    <row r="3465" spans="94:94" x14ac:dyDescent="0.15">
      <c r="CP3465" s="31"/>
    </row>
    <row r="3466" spans="94:94" x14ac:dyDescent="0.15">
      <c r="CP3466" s="31"/>
    </row>
    <row r="3467" spans="94:94" x14ac:dyDescent="0.15">
      <c r="CP3467" s="31"/>
    </row>
    <row r="3468" spans="94:94" x14ac:dyDescent="0.15">
      <c r="CP3468" s="31"/>
    </row>
    <row r="3469" spans="94:94" x14ac:dyDescent="0.15">
      <c r="CP3469" s="31"/>
    </row>
    <row r="3470" spans="94:94" x14ac:dyDescent="0.15">
      <c r="CP3470" s="31"/>
    </row>
    <row r="3471" spans="94:94" x14ac:dyDescent="0.15">
      <c r="CP3471" s="31"/>
    </row>
    <row r="3472" spans="94:94" x14ac:dyDescent="0.15">
      <c r="CP3472" s="31"/>
    </row>
    <row r="3473" spans="94:94" x14ac:dyDescent="0.15">
      <c r="CP3473" s="31"/>
    </row>
    <row r="3474" spans="94:94" x14ac:dyDescent="0.15">
      <c r="CP3474" s="31"/>
    </row>
    <row r="3475" spans="94:94" x14ac:dyDescent="0.15">
      <c r="CP3475" s="31"/>
    </row>
    <row r="3476" spans="94:94" x14ac:dyDescent="0.15">
      <c r="CP3476" s="31"/>
    </row>
    <row r="3477" spans="94:94" x14ac:dyDescent="0.15">
      <c r="CP3477" s="31"/>
    </row>
    <row r="3478" spans="94:94" x14ac:dyDescent="0.15">
      <c r="CP3478" s="31"/>
    </row>
    <row r="3479" spans="94:94" x14ac:dyDescent="0.15">
      <c r="CP3479" s="31"/>
    </row>
    <row r="3480" spans="94:94" x14ac:dyDescent="0.15">
      <c r="CP3480" s="31"/>
    </row>
    <row r="3481" spans="94:94" x14ac:dyDescent="0.15">
      <c r="CP3481" s="31"/>
    </row>
    <row r="3482" spans="94:94" x14ac:dyDescent="0.15">
      <c r="CP3482" s="31"/>
    </row>
    <row r="3483" spans="94:94" x14ac:dyDescent="0.15">
      <c r="CP3483" s="31"/>
    </row>
    <row r="3484" spans="94:94" x14ac:dyDescent="0.15">
      <c r="CP3484" s="31"/>
    </row>
    <row r="3485" spans="94:94" x14ac:dyDescent="0.15">
      <c r="CP3485" s="31"/>
    </row>
    <row r="3486" spans="94:94" x14ac:dyDescent="0.15">
      <c r="CP3486" s="31"/>
    </row>
    <row r="3487" spans="94:94" x14ac:dyDescent="0.15">
      <c r="CP3487" s="31"/>
    </row>
    <row r="3488" spans="94:94" x14ac:dyDescent="0.15">
      <c r="CP3488" s="31"/>
    </row>
    <row r="3489" spans="94:94" x14ac:dyDescent="0.15">
      <c r="CP3489" s="31"/>
    </row>
    <row r="3490" spans="94:94" x14ac:dyDescent="0.15">
      <c r="CP3490" s="31"/>
    </row>
    <row r="3491" spans="94:94" x14ac:dyDescent="0.15">
      <c r="CP3491" s="31"/>
    </row>
    <row r="3492" spans="94:94" x14ac:dyDescent="0.15">
      <c r="CP3492" s="31"/>
    </row>
    <row r="3493" spans="94:94" x14ac:dyDescent="0.15">
      <c r="CP3493" s="31"/>
    </row>
    <row r="3494" spans="94:94" x14ac:dyDescent="0.15">
      <c r="CP3494" s="31"/>
    </row>
    <row r="3495" spans="94:94" x14ac:dyDescent="0.15">
      <c r="CP3495" s="31"/>
    </row>
    <row r="3496" spans="94:94" x14ac:dyDescent="0.15">
      <c r="CP3496" s="31"/>
    </row>
    <row r="3497" spans="94:94" x14ac:dyDescent="0.15">
      <c r="CP3497" s="31"/>
    </row>
    <row r="3498" spans="94:94" x14ac:dyDescent="0.15">
      <c r="CP3498" s="31"/>
    </row>
    <row r="3499" spans="94:94" x14ac:dyDescent="0.15">
      <c r="CP3499" s="31"/>
    </row>
    <row r="3500" spans="94:94" x14ac:dyDescent="0.15">
      <c r="CP3500" s="31"/>
    </row>
    <row r="3501" spans="94:94" x14ac:dyDescent="0.15">
      <c r="CP3501" s="31"/>
    </row>
    <row r="3502" spans="94:94" x14ac:dyDescent="0.15">
      <c r="CP3502" s="31"/>
    </row>
    <row r="3503" spans="94:94" x14ac:dyDescent="0.15">
      <c r="CP3503" s="31"/>
    </row>
    <row r="3504" spans="94:94" x14ac:dyDescent="0.15">
      <c r="CP3504" s="31"/>
    </row>
    <row r="3505" spans="94:94" x14ac:dyDescent="0.15">
      <c r="CP3505" s="31"/>
    </row>
    <row r="3506" spans="94:94" x14ac:dyDescent="0.15">
      <c r="CP3506" s="31"/>
    </row>
    <row r="3507" spans="94:94" x14ac:dyDescent="0.15">
      <c r="CP3507" s="31"/>
    </row>
    <row r="3508" spans="94:94" x14ac:dyDescent="0.15">
      <c r="CP3508" s="31"/>
    </row>
    <row r="3509" spans="94:94" x14ac:dyDescent="0.15">
      <c r="CP3509" s="31"/>
    </row>
    <row r="3510" spans="94:94" x14ac:dyDescent="0.15">
      <c r="CP3510" s="31"/>
    </row>
    <row r="3511" spans="94:94" x14ac:dyDescent="0.15">
      <c r="CP3511" s="31"/>
    </row>
    <row r="3512" spans="94:94" x14ac:dyDescent="0.15">
      <c r="CP3512" s="31"/>
    </row>
    <row r="3513" spans="94:94" x14ac:dyDescent="0.15">
      <c r="CP3513" s="31"/>
    </row>
    <row r="3514" spans="94:94" x14ac:dyDescent="0.15">
      <c r="CP3514" s="31"/>
    </row>
    <row r="3515" spans="94:94" x14ac:dyDescent="0.15">
      <c r="CP3515" s="31"/>
    </row>
    <row r="3516" spans="94:94" x14ac:dyDescent="0.15">
      <c r="CP3516" s="31"/>
    </row>
    <row r="3517" spans="94:94" x14ac:dyDescent="0.15">
      <c r="CP3517" s="31"/>
    </row>
    <row r="3518" spans="94:94" x14ac:dyDescent="0.15">
      <c r="CP3518" s="31"/>
    </row>
    <row r="3519" spans="94:94" x14ac:dyDescent="0.15">
      <c r="CP3519" s="31"/>
    </row>
    <row r="3520" spans="94:94" x14ac:dyDescent="0.15">
      <c r="CP3520" s="31"/>
    </row>
    <row r="3521" spans="94:94" x14ac:dyDescent="0.15">
      <c r="CP3521" s="31"/>
    </row>
    <row r="3522" spans="94:94" x14ac:dyDescent="0.15">
      <c r="CP3522" s="31"/>
    </row>
    <row r="3523" spans="94:94" x14ac:dyDescent="0.15">
      <c r="CP3523" s="31"/>
    </row>
    <row r="3524" spans="94:94" x14ac:dyDescent="0.15">
      <c r="CP3524" s="31"/>
    </row>
    <row r="3525" spans="94:94" x14ac:dyDescent="0.15">
      <c r="CP3525" s="31"/>
    </row>
    <row r="3526" spans="94:94" x14ac:dyDescent="0.15">
      <c r="CP3526" s="31"/>
    </row>
    <row r="3527" spans="94:94" x14ac:dyDescent="0.15">
      <c r="CP3527" s="31"/>
    </row>
    <row r="3528" spans="94:94" x14ac:dyDescent="0.15">
      <c r="CP3528" s="31"/>
    </row>
    <row r="3529" spans="94:94" x14ac:dyDescent="0.15">
      <c r="CP3529" s="31"/>
    </row>
    <row r="3530" spans="94:94" x14ac:dyDescent="0.15">
      <c r="CP3530" s="31"/>
    </row>
    <row r="3531" spans="94:94" x14ac:dyDescent="0.15">
      <c r="CP3531" s="31"/>
    </row>
    <row r="3532" spans="94:94" x14ac:dyDescent="0.15">
      <c r="CP3532" s="31"/>
    </row>
    <row r="3533" spans="94:94" x14ac:dyDescent="0.15">
      <c r="CP3533" s="31"/>
    </row>
    <row r="3534" spans="94:94" x14ac:dyDescent="0.15">
      <c r="CP3534" s="31"/>
    </row>
    <row r="3535" spans="94:94" x14ac:dyDescent="0.15">
      <c r="CP3535" s="31"/>
    </row>
    <row r="3536" spans="94:94" x14ac:dyDescent="0.15">
      <c r="CP3536" s="31"/>
    </row>
    <row r="3537" spans="94:94" x14ac:dyDescent="0.15">
      <c r="CP3537" s="31"/>
    </row>
    <row r="3538" spans="94:94" x14ac:dyDescent="0.15">
      <c r="CP3538" s="31"/>
    </row>
    <row r="3539" spans="94:94" x14ac:dyDescent="0.15">
      <c r="CP3539" s="31"/>
    </row>
    <row r="3540" spans="94:94" x14ac:dyDescent="0.15">
      <c r="CP3540" s="31"/>
    </row>
    <row r="3541" spans="94:94" x14ac:dyDescent="0.15">
      <c r="CP3541" s="31"/>
    </row>
    <row r="3542" spans="94:94" x14ac:dyDescent="0.15">
      <c r="CP3542" s="31"/>
    </row>
    <row r="3543" spans="94:94" x14ac:dyDescent="0.15">
      <c r="CP3543" s="31"/>
    </row>
    <row r="3544" spans="94:94" x14ac:dyDescent="0.15">
      <c r="CP3544" s="31"/>
    </row>
    <row r="3545" spans="94:94" x14ac:dyDescent="0.15">
      <c r="CP3545" s="31"/>
    </row>
    <row r="3546" spans="94:94" x14ac:dyDescent="0.15">
      <c r="CP3546" s="31"/>
    </row>
    <row r="3547" spans="94:94" x14ac:dyDescent="0.15">
      <c r="CP3547" s="31"/>
    </row>
    <row r="3548" spans="94:94" x14ac:dyDescent="0.15">
      <c r="CP3548" s="31"/>
    </row>
    <row r="3549" spans="94:94" x14ac:dyDescent="0.15">
      <c r="CP3549" s="31"/>
    </row>
    <row r="3550" spans="94:94" x14ac:dyDescent="0.15">
      <c r="CP3550" s="31"/>
    </row>
    <row r="3551" spans="94:94" x14ac:dyDescent="0.15">
      <c r="CP3551" s="31"/>
    </row>
    <row r="3552" spans="94:94" x14ac:dyDescent="0.15">
      <c r="CP3552" s="31"/>
    </row>
    <row r="3553" spans="94:94" x14ac:dyDescent="0.15">
      <c r="CP3553" s="31"/>
    </row>
    <row r="3554" spans="94:94" x14ac:dyDescent="0.15">
      <c r="CP3554" s="31"/>
    </row>
    <row r="3555" spans="94:94" x14ac:dyDescent="0.15">
      <c r="CP3555" s="31"/>
    </row>
    <row r="3556" spans="94:94" x14ac:dyDescent="0.15">
      <c r="CP3556" s="31"/>
    </row>
    <row r="3557" spans="94:94" x14ac:dyDescent="0.15">
      <c r="CP3557" s="31"/>
    </row>
    <row r="3558" spans="94:94" x14ac:dyDescent="0.15">
      <c r="CP3558" s="31"/>
    </row>
    <row r="3559" spans="94:94" x14ac:dyDescent="0.15">
      <c r="CP3559" s="31"/>
    </row>
    <row r="3560" spans="94:94" x14ac:dyDescent="0.15">
      <c r="CP3560" s="31"/>
    </row>
    <row r="3561" spans="94:94" x14ac:dyDescent="0.15">
      <c r="CP3561" s="31"/>
    </row>
    <row r="3562" spans="94:94" x14ac:dyDescent="0.15">
      <c r="CP3562" s="31"/>
    </row>
    <row r="3563" spans="94:94" x14ac:dyDescent="0.15">
      <c r="CP3563" s="31"/>
    </row>
    <row r="3564" spans="94:94" x14ac:dyDescent="0.15">
      <c r="CP3564" s="31"/>
    </row>
    <row r="3565" spans="94:94" x14ac:dyDescent="0.15">
      <c r="CP3565" s="31"/>
    </row>
    <row r="3566" spans="94:94" x14ac:dyDescent="0.15">
      <c r="CP3566" s="31"/>
    </row>
    <row r="3567" spans="94:94" x14ac:dyDescent="0.15">
      <c r="CP3567" s="31"/>
    </row>
    <row r="3568" spans="94:94" x14ac:dyDescent="0.15">
      <c r="CP3568" s="31"/>
    </row>
    <row r="3569" spans="94:94" x14ac:dyDescent="0.15">
      <c r="CP3569" s="31"/>
    </row>
    <row r="3570" spans="94:94" x14ac:dyDescent="0.15">
      <c r="CP3570" s="31"/>
    </row>
    <row r="3571" spans="94:94" x14ac:dyDescent="0.15">
      <c r="CP3571" s="31"/>
    </row>
    <row r="3572" spans="94:94" x14ac:dyDescent="0.15">
      <c r="CP3572" s="31"/>
    </row>
    <row r="3573" spans="94:94" x14ac:dyDescent="0.15">
      <c r="CP3573" s="31"/>
    </row>
    <row r="3574" spans="94:94" x14ac:dyDescent="0.15">
      <c r="CP3574" s="31"/>
    </row>
    <row r="3575" spans="94:94" x14ac:dyDescent="0.15">
      <c r="CP3575" s="31"/>
    </row>
    <row r="3576" spans="94:94" x14ac:dyDescent="0.15">
      <c r="CP3576" s="31"/>
    </row>
    <row r="3577" spans="94:94" x14ac:dyDescent="0.15">
      <c r="CP3577" s="31"/>
    </row>
    <row r="3578" spans="94:94" x14ac:dyDescent="0.15">
      <c r="CP3578" s="31"/>
    </row>
    <row r="3579" spans="94:94" x14ac:dyDescent="0.15">
      <c r="CP3579" s="31"/>
    </row>
    <row r="3580" spans="94:94" x14ac:dyDescent="0.15">
      <c r="CP3580" s="31"/>
    </row>
    <row r="3581" spans="94:94" x14ac:dyDescent="0.15">
      <c r="CP3581" s="31"/>
    </row>
    <row r="3582" spans="94:94" x14ac:dyDescent="0.15">
      <c r="CP3582" s="31"/>
    </row>
    <row r="3583" spans="94:94" x14ac:dyDescent="0.15">
      <c r="CP3583" s="31"/>
    </row>
    <row r="3584" spans="94:94" x14ac:dyDescent="0.15">
      <c r="CP3584" s="31"/>
    </row>
    <row r="3585" spans="94:94" x14ac:dyDescent="0.15">
      <c r="CP3585" s="31"/>
    </row>
    <row r="3586" spans="94:94" x14ac:dyDescent="0.15">
      <c r="CP3586" s="31"/>
    </row>
    <row r="3587" spans="94:94" x14ac:dyDescent="0.15">
      <c r="CP3587" s="31"/>
    </row>
    <row r="3588" spans="94:94" x14ac:dyDescent="0.15">
      <c r="CP3588" s="31"/>
    </row>
    <row r="3589" spans="94:94" x14ac:dyDescent="0.15">
      <c r="CP3589" s="31"/>
    </row>
    <row r="3590" spans="94:94" x14ac:dyDescent="0.15">
      <c r="CP3590" s="31"/>
    </row>
    <row r="3591" spans="94:94" x14ac:dyDescent="0.15">
      <c r="CP3591" s="31"/>
    </row>
    <row r="3592" spans="94:94" x14ac:dyDescent="0.15">
      <c r="CP3592" s="31"/>
    </row>
    <row r="3593" spans="94:94" x14ac:dyDescent="0.15">
      <c r="CP3593" s="31"/>
    </row>
    <row r="3594" spans="94:94" x14ac:dyDescent="0.15">
      <c r="CP3594" s="31"/>
    </row>
    <row r="3595" spans="94:94" x14ac:dyDescent="0.15">
      <c r="CP3595" s="31"/>
    </row>
    <row r="3596" spans="94:94" x14ac:dyDescent="0.15">
      <c r="CP3596" s="31"/>
    </row>
    <row r="3597" spans="94:94" x14ac:dyDescent="0.15">
      <c r="CP3597" s="31"/>
    </row>
    <row r="3598" spans="94:94" x14ac:dyDescent="0.15">
      <c r="CP3598" s="31"/>
    </row>
    <row r="3599" spans="94:94" x14ac:dyDescent="0.15">
      <c r="CP3599" s="31"/>
    </row>
    <row r="3600" spans="94:94" x14ac:dyDescent="0.15">
      <c r="CP3600" s="31"/>
    </row>
    <row r="3601" spans="94:94" x14ac:dyDescent="0.15">
      <c r="CP3601" s="31"/>
    </row>
    <row r="3602" spans="94:94" x14ac:dyDescent="0.15">
      <c r="CP3602" s="31"/>
    </row>
    <row r="3603" spans="94:94" x14ac:dyDescent="0.15">
      <c r="CP3603" s="31"/>
    </row>
    <row r="3604" spans="94:94" x14ac:dyDescent="0.15">
      <c r="CP3604" s="31"/>
    </row>
    <row r="3605" spans="94:94" x14ac:dyDescent="0.15">
      <c r="CP3605" s="31"/>
    </row>
    <row r="3606" spans="94:94" x14ac:dyDescent="0.15">
      <c r="CP3606" s="31"/>
    </row>
    <row r="3607" spans="94:94" x14ac:dyDescent="0.15">
      <c r="CP3607" s="31"/>
    </row>
    <row r="3608" spans="94:94" x14ac:dyDescent="0.15">
      <c r="CP3608" s="31"/>
    </row>
    <row r="3609" spans="94:94" x14ac:dyDescent="0.15">
      <c r="CP3609" s="31"/>
    </row>
    <row r="3610" spans="94:94" x14ac:dyDescent="0.15">
      <c r="CP3610" s="31"/>
    </row>
    <row r="3611" spans="94:94" x14ac:dyDescent="0.15">
      <c r="CP3611" s="31"/>
    </row>
    <row r="3612" spans="94:94" x14ac:dyDescent="0.15">
      <c r="CP3612" s="31"/>
    </row>
    <row r="3613" spans="94:94" x14ac:dyDescent="0.15">
      <c r="CP3613" s="31"/>
    </row>
    <row r="3614" spans="94:94" x14ac:dyDescent="0.15">
      <c r="CP3614" s="31"/>
    </row>
    <row r="3615" spans="94:94" x14ac:dyDescent="0.15">
      <c r="CP3615" s="31"/>
    </row>
    <row r="3616" spans="94:94" x14ac:dyDescent="0.15">
      <c r="CP3616" s="31"/>
    </row>
    <row r="3617" spans="94:94" x14ac:dyDescent="0.15">
      <c r="CP3617" s="31"/>
    </row>
    <row r="3618" spans="94:94" x14ac:dyDescent="0.15">
      <c r="CP3618" s="31"/>
    </row>
    <row r="3619" spans="94:94" x14ac:dyDescent="0.15">
      <c r="CP3619" s="31"/>
    </row>
    <row r="3620" spans="94:94" x14ac:dyDescent="0.15">
      <c r="CP3620" s="31"/>
    </row>
    <row r="3621" spans="94:94" x14ac:dyDescent="0.15">
      <c r="CP3621" s="31"/>
    </row>
    <row r="3622" spans="94:94" x14ac:dyDescent="0.15">
      <c r="CP3622" s="31"/>
    </row>
    <row r="3623" spans="94:94" x14ac:dyDescent="0.15">
      <c r="CP3623" s="31"/>
    </row>
    <row r="3624" spans="94:94" x14ac:dyDescent="0.15">
      <c r="CP3624" s="31"/>
    </row>
    <row r="3625" spans="94:94" x14ac:dyDescent="0.15">
      <c r="CP3625" s="31"/>
    </row>
    <row r="3626" spans="94:94" x14ac:dyDescent="0.15">
      <c r="CP3626" s="31"/>
    </row>
    <row r="3627" spans="94:94" x14ac:dyDescent="0.15">
      <c r="CP3627" s="31"/>
    </row>
    <row r="3628" spans="94:94" x14ac:dyDescent="0.15">
      <c r="CP3628" s="31"/>
    </row>
    <row r="3629" spans="94:94" x14ac:dyDescent="0.15">
      <c r="CP3629" s="31"/>
    </row>
    <row r="3630" spans="94:94" x14ac:dyDescent="0.15">
      <c r="CP3630" s="31"/>
    </row>
    <row r="3631" spans="94:94" x14ac:dyDescent="0.15">
      <c r="CP3631" s="31"/>
    </row>
    <row r="3632" spans="94:94" x14ac:dyDescent="0.15">
      <c r="CP3632" s="31"/>
    </row>
    <row r="3633" spans="94:94" x14ac:dyDescent="0.15">
      <c r="CP3633" s="31"/>
    </row>
    <row r="3634" spans="94:94" x14ac:dyDescent="0.15">
      <c r="CP3634" s="31"/>
    </row>
    <row r="3635" spans="94:94" x14ac:dyDescent="0.15">
      <c r="CP3635" s="31"/>
    </row>
    <row r="3636" spans="94:94" x14ac:dyDescent="0.15">
      <c r="CP3636" s="31"/>
    </row>
    <row r="3637" spans="94:94" x14ac:dyDescent="0.15">
      <c r="CP3637" s="31"/>
    </row>
    <row r="3638" spans="94:94" x14ac:dyDescent="0.15">
      <c r="CP3638" s="31"/>
    </row>
    <row r="3639" spans="94:94" x14ac:dyDescent="0.15">
      <c r="CP3639" s="31"/>
    </row>
    <row r="3640" spans="94:94" x14ac:dyDescent="0.15">
      <c r="CP3640" s="31"/>
    </row>
    <row r="3641" spans="94:94" x14ac:dyDescent="0.15">
      <c r="CP3641" s="31"/>
    </row>
    <row r="3642" spans="94:94" x14ac:dyDescent="0.15">
      <c r="CP3642" s="31"/>
    </row>
    <row r="3643" spans="94:94" x14ac:dyDescent="0.15">
      <c r="CP3643" s="31"/>
    </row>
    <row r="3644" spans="94:94" x14ac:dyDescent="0.15">
      <c r="CP3644" s="31"/>
    </row>
    <row r="3645" spans="94:94" x14ac:dyDescent="0.15">
      <c r="CP3645" s="31"/>
    </row>
    <row r="3646" spans="94:94" x14ac:dyDescent="0.15">
      <c r="CP3646" s="31"/>
    </row>
    <row r="3647" spans="94:94" x14ac:dyDescent="0.15">
      <c r="CP3647" s="31"/>
    </row>
    <row r="3648" spans="94:94" x14ac:dyDescent="0.15">
      <c r="CP3648" s="31"/>
    </row>
    <row r="3649" spans="94:94" x14ac:dyDescent="0.15">
      <c r="CP3649" s="31"/>
    </row>
    <row r="3650" spans="94:94" x14ac:dyDescent="0.15">
      <c r="CP3650" s="31"/>
    </row>
    <row r="3651" spans="94:94" x14ac:dyDescent="0.15">
      <c r="CP3651" s="31"/>
    </row>
    <row r="3652" spans="94:94" x14ac:dyDescent="0.15">
      <c r="CP3652" s="31"/>
    </row>
    <row r="3653" spans="94:94" x14ac:dyDescent="0.15">
      <c r="CP3653" s="31"/>
    </row>
    <row r="3654" spans="94:94" x14ac:dyDescent="0.15">
      <c r="CP3654" s="31"/>
    </row>
    <row r="3655" spans="94:94" x14ac:dyDescent="0.15">
      <c r="CP3655" s="31"/>
    </row>
    <row r="3656" spans="94:94" x14ac:dyDescent="0.15">
      <c r="CP3656" s="31"/>
    </row>
    <row r="3657" spans="94:94" x14ac:dyDescent="0.15">
      <c r="CP3657" s="31"/>
    </row>
    <row r="3658" spans="94:94" x14ac:dyDescent="0.15">
      <c r="CP3658" s="31"/>
    </row>
    <row r="3659" spans="94:94" x14ac:dyDescent="0.15">
      <c r="CP3659" s="31"/>
    </row>
    <row r="3660" spans="94:94" x14ac:dyDescent="0.15">
      <c r="CP3660" s="31"/>
    </row>
    <row r="3661" spans="94:94" x14ac:dyDescent="0.15">
      <c r="CP3661" s="31"/>
    </row>
    <row r="3662" spans="94:94" x14ac:dyDescent="0.15">
      <c r="CP3662" s="31"/>
    </row>
    <row r="3663" spans="94:94" x14ac:dyDescent="0.15">
      <c r="CP3663" s="31"/>
    </row>
    <row r="3664" spans="94:94" x14ac:dyDescent="0.15">
      <c r="CP3664" s="31"/>
    </row>
    <row r="3665" spans="94:94" x14ac:dyDescent="0.15">
      <c r="CP3665" s="31"/>
    </row>
    <row r="3666" spans="94:94" x14ac:dyDescent="0.15">
      <c r="CP3666" s="31"/>
    </row>
    <row r="3667" spans="94:94" x14ac:dyDescent="0.15">
      <c r="CP3667" s="31"/>
    </row>
    <row r="3668" spans="94:94" x14ac:dyDescent="0.15">
      <c r="CP3668" s="31"/>
    </row>
    <row r="3669" spans="94:94" x14ac:dyDescent="0.15">
      <c r="CP3669" s="31"/>
    </row>
    <row r="3670" spans="94:94" x14ac:dyDescent="0.15">
      <c r="CP3670" s="31"/>
    </row>
    <row r="3671" spans="94:94" x14ac:dyDescent="0.15">
      <c r="CP3671" s="31"/>
    </row>
    <row r="3672" spans="94:94" x14ac:dyDescent="0.15">
      <c r="CP3672" s="31"/>
    </row>
    <row r="3673" spans="94:94" x14ac:dyDescent="0.15">
      <c r="CP3673" s="31"/>
    </row>
    <row r="3674" spans="94:94" x14ac:dyDescent="0.15">
      <c r="CP3674" s="31"/>
    </row>
    <row r="3675" spans="94:94" x14ac:dyDescent="0.15">
      <c r="CP3675" s="31"/>
    </row>
    <row r="3676" spans="94:94" x14ac:dyDescent="0.15">
      <c r="CP3676" s="31"/>
    </row>
    <row r="3677" spans="94:94" x14ac:dyDescent="0.15">
      <c r="CP3677" s="31"/>
    </row>
    <row r="3678" spans="94:94" x14ac:dyDescent="0.15">
      <c r="CP3678" s="31"/>
    </row>
    <row r="3679" spans="94:94" x14ac:dyDescent="0.15">
      <c r="CP3679" s="31"/>
    </row>
    <row r="3680" spans="94:94" x14ac:dyDescent="0.15">
      <c r="CP3680" s="31"/>
    </row>
    <row r="3681" spans="94:94" x14ac:dyDescent="0.15">
      <c r="CP3681" s="31"/>
    </row>
    <row r="3682" spans="94:94" x14ac:dyDescent="0.15">
      <c r="CP3682" s="31"/>
    </row>
    <row r="3683" spans="94:94" x14ac:dyDescent="0.15">
      <c r="CP3683" s="31"/>
    </row>
    <row r="3684" spans="94:94" x14ac:dyDescent="0.15">
      <c r="CP3684" s="31"/>
    </row>
    <row r="3685" spans="94:94" x14ac:dyDescent="0.15">
      <c r="CP3685" s="31"/>
    </row>
    <row r="3686" spans="94:94" x14ac:dyDescent="0.15">
      <c r="CP3686" s="31"/>
    </row>
    <row r="3687" spans="94:94" x14ac:dyDescent="0.15">
      <c r="CP3687" s="31"/>
    </row>
    <row r="3688" spans="94:94" x14ac:dyDescent="0.15">
      <c r="CP3688" s="31"/>
    </row>
    <row r="3689" spans="94:94" x14ac:dyDescent="0.15">
      <c r="CP3689" s="31"/>
    </row>
    <row r="3690" spans="94:94" x14ac:dyDescent="0.15">
      <c r="CP3690" s="31"/>
    </row>
    <row r="3691" spans="94:94" x14ac:dyDescent="0.15">
      <c r="CP3691" s="31"/>
    </row>
    <row r="3692" spans="94:94" x14ac:dyDescent="0.15">
      <c r="CP3692" s="31"/>
    </row>
    <row r="3693" spans="94:94" x14ac:dyDescent="0.15">
      <c r="CP3693" s="31"/>
    </row>
    <row r="3694" spans="94:94" x14ac:dyDescent="0.15">
      <c r="CP3694" s="31"/>
    </row>
    <row r="3695" spans="94:94" x14ac:dyDescent="0.15">
      <c r="CP3695" s="31"/>
    </row>
    <row r="3696" spans="94:94" x14ac:dyDescent="0.15">
      <c r="CP3696" s="31"/>
    </row>
    <row r="3697" spans="94:94" x14ac:dyDescent="0.15">
      <c r="CP3697" s="31"/>
    </row>
    <row r="3698" spans="94:94" x14ac:dyDescent="0.15">
      <c r="CP3698" s="31"/>
    </row>
    <row r="3699" spans="94:94" x14ac:dyDescent="0.15">
      <c r="CP3699" s="31"/>
    </row>
    <row r="3700" spans="94:94" x14ac:dyDescent="0.15">
      <c r="CP3700" s="31"/>
    </row>
    <row r="3701" spans="94:94" x14ac:dyDescent="0.15">
      <c r="CP3701" s="31"/>
    </row>
    <row r="3702" spans="94:94" x14ac:dyDescent="0.15">
      <c r="CP3702" s="31"/>
    </row>
    <row r="3703" spans="94:94" x14ac:dyDescent="0.15">
      <c r="CP3703" s="31"/>
    </row>
    <row r="3704" spans="94:94" x14ac:dyDescent="0.15">
      <c r="CP3704" s="31"/>
    </row>
    <row r="3705" spans="94:94" x14ac:dyDescent="0.15">
      <c r="CP3705" s="31"/>
    </row>
    <row r="3706" spans="94:94" x14ac:dyDescent="0.15">
      <c r="CP3706" s="31"/>
    </row>
    <row r="3707" spans="94:94" x14ac:dyDescent="0.15">
      <c r="CP3707" s="31"/>
    </row>
    <row r="3708" spans="94:94" x14ac:dyDescent="0.15">
      <c r="CP3708" s="31"/>
    </row>
    <row r="3709" spans="94:94" x14ac:dyDescent="0.15">
      <c r="CP3709" s="31"/>
    </row>
    <row r="3710" spans="94:94" x14ac:dyDescent="0.15">
      <c r="CP3710" s="31"/>
    </row>
    <row r="3711" spans="94:94" x14ac:dyDescent="0.15">
      <c r="CP3711" s="31"/>
    </row>
    <row r="3712" spans="94:94" x14ac:dyDescent="0.15">
      <c r="CP3712" s="31"/>
    </row>
    <row r="3713" spans="94:94" x14ac:dyDescent="0.15">
      <c r="CP3713" s="31"/>
    </row>
    <row r="3714" spans="94:94" x14ac:dyDescent="0.15">
      <c r="CP3714" s="31"/>
    </row>
    <row r="3715" spans="94:94" x14ac:dyDescent="0.15">
      <c r="CP3715" s="31"/>
    </row>
    <row r="3716" spans="94:94" x14ac:dyDescent="0.15">
      <c r="CP3716" s="31"/>
    </row>
    <row r="3717" spans="94:94" x14ac:dyDescent="0.15">
      <c r="CP3717" s="31"/>
    </row>
    <row r="3718" spans="94:94" x14ac:dyDescent="0.15">
      <c r="CP3718" s="31"/>
    </row>
    <row r="3719" spans="94:94" x14ac:dyDescent="0.15">
      <c r="CP3719" s="31"/>
    </row>
    <row r="3720" spans="94:94" x14ac:dyDescent="0.15">
      <c r="CP3720" s="31"/>
    </row>
    <row r="3721" spans="94:94" x14ac:dyDescent="0.15">
      <c r="CP3721" s="31"/>
    </row>
    <row r="3722" spans="94:94" x14ac:dyDescent="0.15">
      <c r="CP3722" s="31"/>
    </row>
    <row r="3723" spans="94:94" x14ac:dyDescent="0.15">
      <c r="CP3723" s="31"/>
    </row>
    <row r="3724" spans="94:94" x14ac:dyDescent="0.15">
      <c r="CP3724" s="31"/>
    </row>
    <row r="3725" spans="94:94" x14ac:dyDescent="0.15">
      <c r="CP3725" s="31"/>
    </row>
    <row r="3726" spans="94:94" x14ac:dyDescent="0.15">
      <c r="CP3726" s="31"/>
    </row>
    <row r="3727" spans="94:94" x14ac:dyDescent="0.15">
      <c r="CP3727" s="31"/>
    </row>
    <row r="3728" spans="94:94" x14ac:dyDescent="0.15">
      <c r="CP3728" s="31"/>
    </row>
    <row r="3729" spans="94:94" x14ac:dyDescent="0.15">
      <c r="CP3729" s="31"/>
    </row>
    <row r="3730" spans="94:94" x14ac:dyDescent="0.15">
      <c r="CP3730" s="31"/>
    </row>
    <row r="3731" spans="94:94" x14ac:dyDescent="0.15">
      <c r="CP3731" s="31"/>
    </row>
    <row r="3732" spans="94:94" x14ac:dyDescent="0.15">
      <c r="CP3732" s="31"/>
    </row>
    <row r="3733" spans="94:94" x14ac:dyDescent="0.15">
      <c r="CP3733" s="31"/>
    </row>
    <row r="3734" spans="94:94" x14ac:dyDescent="0.15">
      <c r="CP3734" s="31"/>
    </row>
    <row r="3735" spans="94:94" x14ac:dyDescent="0.15">
      <c r="CP3735" s="31"/>
    </row>
    <row r="3736" spans="94:94" x14ac:dyDescent="0.15">
      <c r="CP3736" s="31"/>
    </row>
    <row r="3737" spans="94:94" x14ac:dyDescent="0.15">
      <c r="CP3737" s="31"/>
    </row>
    <row r="3738" spans="94:94" x14ac:dyDescent="0.15">
      <c r="CP3738" s="31"/>
    </row>
    <row r="3739" spans="94:94" x14ac:dyDescent="0.15">
      <c r="CP3739" s="31"/>
    </row>
    <row r="3740" spans="94:94" x14ac:dyDescent="0.15">
      <c r="CP3740" s="31"/>
    </row>
    <row r="3741" spans="94:94" x14ac:dyDescent="0.15">
      <c r="CP3741" s="31"/>
    </row>
    <row r="3742" spans="94:94" x14ac:dyDescent="0.15">
      <c r="CP3742" s="31"/>
    </row>
    <row r="3743" spans="94:94" x14ac:dyDescent="0.15">
      <c r="CP3743" s="31"/>
    </row>
    <row r="3744" spans="94:94" x14ac:dyDescent="0.15">
      <c r="CP3744" s="31"/>
    </row>
    <row r="3745" spans="94:94" x14ac:dyDescent="0.15">
      <c r="CP3745" s="31"/>
    </row>
    <row r="3746" spans="94:94" x14ac:dyDescent="0.15">
      <c r="CP3746" s="31"/>
    </row>
    <row r="3747" spans="94:94" x14ac:dyDescent="0.15">
      <c r="CP3747" s="31"/>
    </row>
    <row r="3748" spans="94:94" x14ac:dyDescent="0.15">
      <c r="CP3748" s="31"/>
    </row>
    <row r="3749" spans="94:94" x14ac:dyDescent="0.15">
      <c r="CP3749" s="31"/>
    </row>
    <row r="3750" spans="94:94" x14ac:dyDescent="0.15">
      <c r="CP3750" s="31"/>
    </row>
    <row r="3751" spans="94:94" x14ac:dyDescent="0.15">
      <c r="CP3751" s="31"/>
    </row>
    <row r="3752" spans="94:94" x14ac:dyDescent="0.15">
      <c r="CP3752" s="31"/>
    </row>
    <row r="3753" spans="94:94" x14ac:dyDescent="0.15">
      <c r="CP3753" s="31"/>
    </row>
    <row r="3754" spans="94:94" x14ac:dyDescent="0.15">
      <c r="CP3754" s="31"/>
    </row>
    <row r="3755" spans="94:94" x14ac:dyDescent="0.15">
      <c r="CP3755" s="31"/>
    </row>
    <row r="3756" spans="94:94" x14ac:dyDescent="0.15">
      <c r="CP3756" s="31"/>
    </row>
    <row r="3757" spans="94:94" x14ac:dyDescent="0.15">
      <c r="CP3757" s="31"/>
    </row>
    <row r="3758" spans="94:94" x14ac:dyDescent="0.15">
      <c r="CP3758" s="31"/>
    </row>
    <row r="3759" spans="94:94" x14ac:dyDescent="0.15">
      <c r="CP3759" s="31"/>
    </row>
    <row r="3760" spans="94:94" x14ac:dyDescent="0.15">
      <c r="CP3760" s="31"/>
    </row>
    <row r="3761" spans="94:94" x14ac:dyDescent="0.15">
      <c r="CP3761" s="31"/>
    </row>
    <row r="3762" spans="94:94" x14ac:dyDescent="0.15">
      <c r="CP3762" s="31"/>
    </row>
    <row r="3763" spans="94:94" x14ac:dyDescent="0.15">
      <c r="CP3763" s="31"/>
    </row>
    <row r="3764" spans="94:94" x14ac:dyDescent="0.15">
      <c r="CP3764" s="31"/>
    </row>
    <row r="3765" spans="94:94" x14ac:dyDescent="0.15">
      <c r="CP3765" s="31"/>
    </row>
    <row r="3766" spans="94:94" x14ac:dyDescent="0.15">
      <c r="CP3766" s="31"/>
    </row>
    <row r="3767" spans="94:94" x14ac:dyDescent="0.15">
      <c r="CP3767" s="31"/>
    </row>
    <row r="3768" spans="94:94" x14ac:dyDescent="0.15">
      <c r="CP3768" s="31"/>
    </row>
    <row r="3769" spans="94:94" x14ac:dyDescent="0.15">
      <c r="CP3769" s="31"/>
    </row>
    <row r="3770" spans="94:94" x14ac:dyDescent="0.15">
      <c r="CP3770" s="31"/>
    </row>
    <row r="3771" spans="94:94" x14ac:dyDescent="0.15">
      <c r="CP3771" s="31"/>
    </row>
    <row r="3772" spans="94:94" x14ac:dyDescent="0.15">
      <c r="CP3772" s="31"/>
    </row>
    <row r="3773" spans="94:94" x14ac:dyDescent="0.15">
      <c r="CP3773" s="31"/>
    </row>
    <row r="3774" spans="94:94" x14ac:dyDescent="0.15">
      <c r="CP3774" s="31"/>
    </row>
    <row r="3775" spans="94:94" x14ac:dyDescent="0.15">
      <c r="CP3775" s="31"/>
    </row>
    <row r="3776" spans="94:94" x14ac:dyDescent="0.15">
      <c r="CP3776" s="31"/>
    </row>
    <row r="3777" spans="94:94" x14ac:dyDescent="0.15">
      <c r="CP3777" s="31"/>
    </row>
    <row r="3778" spans="94:94" x14ac:dyDescent="0.15">
      <c r="CP3778" s="31"/>
    </row>
    <row r="3779" spans="94:94" x14ac:dyDescent="0.15">
      <c r="CP3779" s="31"/>
    </row>
    <row r="3780" spans="94:94" x14ac:dyDescent="0.15">
      <c r="CP3780" s="31"/>
    </row>
    <row r="3781" spans="94:94" x14ac:dyDescent="0.15">
      <c r="CP3781" s="31"/>
    </row>
    <row r="3782" spans="94:94" x14ac:dyDescent="0.15">
      <c r="CP3782" s="31"/>
    </row>
    <row r="3783" spans="94:94" x14ac:dyDescent="0.15">
      <c r="CP3783" s="31"/>
    </row>
    <row r="3784" spans="94:94" x14ac:dyDescent="0.15">
      <c r="CP3784" s="31"/>
    </row>
    <row r="3785" spans="94:94" x14ac:dyDescent="0.15">
      <c r="CP3785" s="31"/>
    </row>
    <row r="3786" spans="94:94" x14ac:dyDescent="0.15">
      <c r="CP3786" s="31"/>
    </row>
    <row r="3787" spans="94:94" x14ac:dyDescent="0.15">
      <c r="CP3787" s="31"/>
    </row>
    <row r="3788" spans="94:94" x14ac:dyDescent="0.15">
      <c r="CP3788" s="31"/>
    </row>
    <row r="3789" spans="94:94" x14ac:dyDescent="0.15">
      <c r="CP3789" s="31"/>
    </row>
    <row r="3790" spans="94:94" x14ac:dyDescent="0.15">
      <c r="CP3790" s="31"/>
    </row>
    <row r="3791" spans="94:94" x14ac:dyDescent="0.15">
      <c r="CP3791" s="31"/>
    </row>
    <row r="3792" spans="94:94" x14ac:dyDescent="0.15">
      <c r="CP3792" s="31"/>
    </row>
    <row r="3793" spans="94:94" x14ac:dyDescent="0.15">
      <c r="CP3793" s="31"/>
    </row>
    <row r="3794" spans="94:94" x14ac:dyDescent="0.15">
      <c r="CP3794" s="31"/>
    </row>
    <row r="3795" spans="94:94" x14ac:dyDescent="0.15">
      <c r="CP3795" s="31"/>
    </row>
    <row r="3796" spans="94:94" x14ac:dyDescent="0.15">
      <c r="CP3796" s="31"/>
    </row>
    <row r="3797" spans="94:94" x14ac:dyDescent="0.15">
      <c r="CP3797" s="31"/>
    </row>
    <row r="3798" spans="94:94" x14ac:dyDescent="0.15">
      <c r="CP3798" s="31"/>
    </row>
    <row r="3799" spans="94:94" x14ac:dyDescent="0.15">
      <c r="CP3799" s="31"/>
    </row>
    <row r="3800" spans="94:94" x14ac:dyDescent="0.15">
      <c r="CP3800" s="31"/>
    </row>
    <row r="3801" spans="94:94" x14ac:dyDescent="0.15">
      <c r="CP3801" s="31"/>
    </row>
    <row r="3802" spans="94:94" x14ac:dyDescent="0.15">
      <c r="CP3802" s="31"/>
    </row>
    <row r="3803" spans="94:94" x14ac:dyDescent="0.15">
      <c r="CP3803" s="31"/>
    </row>
    <row r="3804" spans="94:94" x14ac:dyDescent="0.15">
      <c r="CP3804" s="31"/>
    </row>
    <row r="3805" spans="94:94" x14ac:dyDescent="0.15">
      <c r="CP3805" s="31"/>
    </row>
    <row r="3806" spans="94:94" x14ac:dyDescent="0.15">
      <c r="CP3806" s="31"/>
    </row>
    <row r="3807" spans="94:94" x14ac:dyDescent="0.15">
      <c r="CP3807" s="31"/>
    </row>
    <row r="3808" spans="94:94" x14ac:dyDescent="0.15">
      <c r="CP3808" s="31"/>
    </row>
    <row r="3809" spans="94:94" x14ac:dyDescent="0.15">
      <c r="CP3809" s="31"/>
    </row>
    <row r="3810" spans="94:94" x14ac:dyDescent="0.15">
      <c r="CP3810" s="31"/>
    </row>
    <row r="3811" spans="94:94" x14ac:dyDescent="0.15">
      <c r="CP3811" s="31"/>
    </row>
    <row r="3812" spans="94:94" x14ac:dyDescent="0.15">
      <c r="CP3812" s="31"/>
    </row>
    <row r="3813" spans="94:94" x14ac:dyDescent="0.15">
      <c r="CP3813" s="31"/>
    </row>
    <row r="3814" spans="94:94" x14ac:dyDescent="0.15">
      <c r="CP3814" s="31"/>
    </row>
    <row r="3815" spans="94:94" x14ac:dyDescent="0.15">
      <c r="CP3815" s="31"/>
    </row>
    <row r="3816" spans="94:94" x14ac:dyDescent="0.15">
      <c r="CP3816" s="31"/>
    </row>
    <row r="3817" spans="94:94" x14ac:dyDescent="0.15">
      <c r="CP3817" s="31"/>
    </row>
    <row r="3818" spans="94:94" x14ac:dyDescent="0.15">
      <c r="CP3818" s="31"/>
    </row>
    <row r="3819" spans="94:94" x14ac:dyDescent="0.15">
      <c r="CP3819" s="31"/>
    </row>
    <row r="3820" spans="94:94" x14ac:dyDescent="0.15">
      <c r="CP3820" s="31"/>
    </row>
    <row r="3821" spans="94:94" x14ac:dyDescent="0.15">
      <c r="CP3821" s="31"/>
    </row>
    <row r="3822" spans="94:94" x14ac:dyDescent="0.15">
      <c r="CP3822" s="31"/>
    </row>
    <row r="3823" spans="94:94" x14ac:dyDescent="0.15">
      <c r="CP3823" s="31"/>
    </row>
    <row r="3824" spans="94:94" x14ac:dyDescent="0.15">
      <c r="CP3824" s="31"/>
    </row>
    <row r="3825" spans="94:94" x14ac:dyDescent="0.15">
      <c r="CP3825" s="31"/>
    </row>
    <row r="3826" spans="94:94" x14ac:dyDescent="0.15">
      <c r="CP3826" s="31"/>
    </row>
    <row r="3827" spans="94:94" x14ac:dyDescent="0.15">
      <c r="CP3827" s="31"/>
    </row>
    <row r="3828" spans="94:94" x14ac:dyDescent="0.15">
      <c r="CP3828" s="31"/>
    </row>
    <row r="3829" spans="94:94" x14ac:dyDescent="0.15">
      <c r="CP3829" s="31"/>
    </row>
    <row r="3830" spans="94:94" x14ac:dyDescent="0.15">
      <c r="CP3830" s="31"/>
    </row>
    <row r="3831" spans="94:94" x14ac:dyDescent="0.15">
      <c r="CP3831" s="31"/>
    </row>
    <row r="3832" spans="94:94" x14ac:dyDescent="0.15">
      <c r="CP3832" s="31"/>
    </row>
    <row r="3833" spans="94:94" x14ac:dyDescent="0.15">
      <c r="CP3833" s="31"/>
    </row>
    <row r="3834" spans="94:94" x14ac:dyDescent="0.15">
      <c r="CP3834" s="31"/>
    </row>
    <row r="3835" spans="94:94" x14ac:dyDescent="0.15">
      <c r="CP3835" s="31"/>
    </row>
    <row r="3836" spans="94:94" x14ac:dyDescent="0.15">
      <c r="CP3836" s="31"/>
    </row>
    <row r="3837" spans="94:94" x14ac:dyDescent="0.15">
      <c r="CP3837" s="31"/>
    </row>
    <row r="3838" spans="94:94" x14ac:dyDescent="0.15">
      <c r="CP3838" s="31"/>
    </row>
    <row r="3839" spans="94:94" x14ac:dyDescent="0.15">
      <c r="CP3839" s="31"/>
    </row>
    <row r="3840" spans="94:94" x14ac:dyDescent="0.15">
      <c r="CP3840" s="31"/>
    </row>
    <row r="3841" spans="94:94" x14ac:dyDescent="0.15">
      <c r="CP3841" s="31"/>
    </row>
    <row r="3842" spans="94:94" x14ac:dyDescent="0.15">
      <c r="CP3842" s="31"/>
    </row>
    <row r="3843" spans="94:94" x14ac:dyDescent="0.15">
      <c r="CP3843" s="31"/>
    </row>
    <row r="3844" spans="94:94" x14ac:dyDescent="0.15">
      <c r="CP3844" s="31"/>
    </row>
    <row r="3845" spans="94:94" x14ac:dyDescent="0.15">
      <c r="CP3845" s="31"/>
    </row>
    <row r="3846" spans="94:94" x14ac:dyDescent="0.15">
      <c r="CP3846" s="31"/>
    </row>
    <row r="3847" spans="94:94" x14ac:dyDescent="0.15">
      <c r="CP3847" s="31"/>
    </row>
    <row r="3848" spans="94:94" x14ac:dyDescent="0.15">
      <c r="CP3848" s="31"/>
    </row>
    <row r="3849" spans="94:94" x14ac:dyDescent="0.15">
      <c r="CP3849" s="31"/>
    </row>
    <row r="3850" spans="94:94" x14ac:dyDescent="0.15">
      <c r="CP3850" s="31"/>
    </row>
    <row r="3851" spans="94:94" x14ac:dyDescent="0.15">
      <c r="CP3851" s="31"/>
    </row>
    <row r="3852" spans="94:94" x14ac:dyDescent="0.15">
      <c r="CP3852" s="31"/>
    </row>
    <row r="3853" spans="94:94" x14ac:dyDescent="0.15">
      <c r="CP3853" s="31"/>
    </row>
    <row r="3854" spans="94:94" x14ac:dyDescent="0.15">
      <c r="CP3854" s="31"/>
    </row>
    <row r="3855" spans="94:94" x14ac:dyDescent="0.15">
      <c r="CP3855" s="31"/>
    </row>
    <row r="3856" spans="94:94" x14ac:dyDescent="0.15">
      <c r="CP3856" s="31"/>
    </row>
    <row r="3857" spans="94:94" x14ac:dyDescent="0.15">
      <c r="CP3857" s="31"/>
    </row>
    <row r="3858" spans="94:94" x14ac:dyDescent="0.15">
      <c r="CP3858" s="31"/>
    </row>
    <row r="3859" spans="94:94" x14ac:dyDescent="0.15">
      <c r="CP3859" s="31"/>
    </row>
    <row r="3860" spans="94:94" x14ac:dyDescent="0.15">
      <c r="CP3860" s="31"/>
    </row>
    <row r="3861" spans="94:94" x14ac:dyDescent="0.15">
      <c r="CP3861" s="31"/>
    </row>
    <row r="3862" spans="94:94" x14ac:dyDescent="0.15">
      <c r="CP3862" s="31"/>
    </row>
    <row r="3863" spans="94:94" x14ac:dyDescent="0.15">
      <c r="CP3863" s="31"/>
    </row>
    <row r="3864" spans="94:94" x14ac:dyDescent="0.15">
      <c r="CP3864" s="31"/>
    </row>
    <row r="3865" spans="94:94" x14ac:dyDescent="0.15">
      <c r="CP3865" s="31"/>
    </row>
    <row r="3866" spans="94:94" x14ac:dyDescent="0.15">
      <c r="CP3866" s="31"/>
    </row>
    <row r="3867" spans="94:94" x14ac:dyDescent="0.15">
      <c r="CP3867" s="31"/>
    </row>
    <row r="3868" spans="94:94" x14ac:dyDescent="0.15">
      <c r="CP3868" s="31"/>
    </row>
    <row r="3869" spans="94:94" x14ac:dyDescent="0.15">
      <c r="CP3869" s="31"/>
    </row>
    <row r="3870" spans="94:94" x14ac:dyDescent="0.15">
      <c r="CP3870" s="31"/>
    </row>
    <row r="3871" spans="94:94" x14ac:dyDescent="0.15">
      <c r="CP3871" s="31"/>
    </row>
    <row r="3872" spans="94:94" x14ac:dyDescent="0.15">
      <c r="CP3872" s="31"/>
    </row>
    <row r="3873" spans="94:94" x14ac:dyDescent="0.15">
      <c r="CP3873" s="31"/>
    </row>
    <row r="3874" spans="94:94" x14ac:dyDescent="0.15">
      <c r="CP3874" s="31"/>
    </row>
    <row r="3875" spans="94:94" x14ac:dyDescent="0.15">
      <c r="CP3875" s="31"/>
    </row>
    <row r="3876" spans="94:94" x14ac:dyDescent="0.15">
      <c r="CP3876" s="31"/>
    </row>
    <row r="3877" spans="94:94" x14ac:dyDescent="0.15">
      <c r="CP3877" s="31"/>
    </row>
    <row r="3878" spans="94:94" x14ac:dyDescent="0.15">
      <c r="CP3878" s="31"/>
    </row>
    <row r="3879" spans="94:94" x14ac:dyDescent="0.15">
      <c r="CP3879" s="31"/>
    </row>
    <row r="3880" spans="94:94" x14ac:dyDescent="0.15">
      <c r="CP3880" s="31"/>
    </row>
    <row r="3881" spans="94:94" x14ac:dyDescent="0.15">
      <c r="CP3881" s="31"/>
    </row>
    <row r="3882" spans="94:94" x14ac:dyDescent="0.15">
      <c r="CP3882" s="31"/>
    </row>
    <row r="3883" spans="94:94" x14ac:dyDescent="0.15">
      <c r="CP3883" s="31"/>
    </row>
    <row r="3884" spans="94:94" x14ac:dyDescent="0.15">
      <c r="CP3884" s="31"/>
    </row>
    <row r="3885" spans="94:94" x14ac:dyDescent="0.15">
      <c r="CP3885" s="31"/>
    </row>
    <row r="3886" spans="94:94" x14ac:dyDescent="0.15">
      <c r="CP3886" s="31"/>
    </row>
    <row r="3887" spans="94:94" x14ac:dyDescent="0.15">
      <c r="CP3887" s="31"/>
    </row>
    <row r="3888" spans="94:94" x14ac:dyDescent="0.15">
      <c r="CP3888" s="31"/>
    </row>
    <row r="3889" spans="94:94" x14ac:dyDescent="0.15">
      <c r="CP3889" s="31"/>
    </row>
    <row r="3890" spans="94:94" x14ac:dyDescent="0.15">
      <c r="CP3890" s="31"/>
    </row>
    <row r="3891" spans="94:94" x14ac:dyDescent="0.15">
      <c r="CP3891" s="31"/>
    </row>
    <row r="3892" spans="94:94" x14ac:dyDescent="0.15">
      <c r="CP3892" s="31"/>
    </row>
    <row r="3893" spans="94:94" x14ac:dyDescent="0.15">
      <c r="CP3893" s="31"/>
    </row>
    <row r="3894" spans="94:94" x14ac:dyDescent="0.15">
      <c r="CP3894" s="31"/>
    </row>
    <row r="3895" spans="94:94" x14ac:dyDescent="0.15">
      <c r="CP3895" s="31"/>
    </row>
    <row r="3896" spans="94:94" x14ac:dyDescent="0.15">
      <c r="CP3896" s="31"/>
    </row>
    <row r="3897" spans="94:94" x14ac:dyDescent="0.15">
      <c r="CP3897" s="31"/>
    </row>
    <row r="3898" spans="94:94" x14ac:dyDescent="0.15">
      <c r="CP3898" s="31"/>
    </row>
    <row r="3899" spans="94:94" x14ac:dyDescent="0.15">
      <c r="CP3899" s="31"/>
    </row>
    <row r="3900" spans="94:94" x14ac:dyDescent="0.15">
      <c r="CP3900" s="31"/>
    </row>
    <row r="3901" spans="94:94" x14ac:dyDescent="0.15">
      <c r="CP3901" s="31"/>
    </row>
    <row r="3902" spans="94:94" x14ac:dyDescent="0.15">
      <c r="CP3902" s="31"/>
    </row>
    <row r="3903" spans="94:94" x14ac:dyDescent="0.15">
      <c r="CP3903" s="31"/>
    </row>
    <row r="3904" spans="94:94" x14ac:dyDescent="0.15">
      <c r="CP3904" s="31"/>
    </row>
    <row r="3905" spans="94:94" x14ac:dyDescent="0.15">
      <c r="CP3905" s="31"/>
    </row>
    <row r="3906" spans="94:94" x14ac:dyDescent="0.15">
      <c r="CP3906" s="31"/>
    </row>
    <row r="3907" spans="94:94" x14ac:dyDescent="0.15">
      <c r="CP3907" s="31"/>
    </row>
    <row r="3908" spans="94:94" x14ac:dyDescent="0.15">
      <c r="CP3908" s="31"/>
    </row>
    <row r="3909" spans="94:94" x14ac:dyDescent="0.15">
      <c r="CP3909" s="31"/>
    </row>
    <row r="3910" spans="94:94" x14ac:dyDescent="0.15">
      <c r="CP3910" s="31"/>
    </row>
    <row r="3911" spans="94:94" x14ac:dyDescent="0.15">
      <c r="CP3911" s="31"/>
    </row>
    <row r="3912" spans="94:94" x14ac:dyDescent="0.15">
      <c r="CP3912" s="31"/>
    </row>
    <row r="3913" spans="94:94" x14ac:dyDescent="0.15">
      <c r="CP3913" s="31"/>
    </row>
    <row r="3914" spans="94:94" x14ac:dyDescent="0.15">
      <c r="CP3914" s="31"/>
    </row>
    <row r="3915" spans="94:94" x14ac:dyDescent="0.15">
      <c r="CP3915" s="31"/>
    </row>
    <row r="3916" spans="94:94" x14ac:dyDescent="0.15">
      <c r="CP3916" s="31"/>
    </row>
    <row r="3917" spans="94:94" x14ac:dyDescent="0.15">
      <c r="CP3917" s="31"/>
    </row>
    <row r="3918" spans="94:94" x14ac:dyDescent="0.15">
      <c r="CP3918" s="31"/>
    </row>
    <row r="3919" spans="94:94" x14ac:dyDescent="0.15">
      <c r="CP3919" s="31"/>
    </row>
    <row r="3920" spans="94:94" x14ac:dyDescent="0.15">
      <c r="CP3920" s="31"/>
    </row>
    <row r="3921" spans="94:94" x14ac:dyDescent="0.15">
      <c r="CP3921" s="31"/>
    </row>
    <row r="3922" spans="94:94" x14ac:dyDescent="0.15">
      <c r="CP3922" s="31"/>
    </row>
    <row r="3923" spans="94:94" x14ac:dyDescent="0.15">
      <c r="CP3923" s="31"/>
    </row>
    <row r="3924" spans="94:94" x14ac:dyDescent="0.15">
      <c r="CP3924" s="31"/>
    </row>
    <row r="3925" spans="94:94" x14ac:dyDescent="0.15">
      <c r="CP3925" s="31"/>
    </row>
    <row r="3926" spans="94:94" x14ac:dyDescent="0.15">
      <c r="CP3926" s="31"/>
    </row>
    <row r="3927" spans="94:94" x14ac:dyDescent="0.15">
      <c r="CP3927" s="31"/>
    </row>
    <row r="3928" spans="94:94" x14ac:dyDescent="0.15">
      <c r="CP3928" s="31"/>
    </row>
    <row r="3929" spans="94:94" x14ac:dyDescent="0.15">
      <c r="CP3929" s="31"/>
    </row>
    <row r="3930" spans="94:94" x14ac:dyDescent="0.15">
      <c r="CP3930" s="31"/>
    </row>
    <row r="3931" spans="94:94" x14ac:dyDescent="0.15">
      <c r="CP3931" s="31"/>
    </row>
    <row r="3932" spans="94:94" x14ac:dyDescent="0.15">
      <c r="CP3932" s="31"/>
    </row>
    <row r="3933" spans="94:94" x14ac:dyDescent="0.15">
      <c r="CP3933" s="31"/>
    </row>
    <row r="3934" spans="94:94" x14ac:dyDescent="0.15">
      <c r="CP3934" s="31"/>
    </row>
    <row r="3935" spans="94:94" x14ac:dyDescent="0.15">
      <c r="CP3935" s="31"/>
    </row>
    <row r="3936" spans="94:94" x14ac:dyDescent="0.15">
      <c r="CP3936" s="31"/>
    </row>
    <row r="3937" spans="94:94" x14ac:dyDescent="0.15">
      <c r="CP3937" s="31"/>
    </row>
    <row r="3938" spans="94:94" x14ac:dyDescent="0.15">
      <c r="CP3938" s="31"/>
    </row>
    <row r="3939" spans="94:94" x14ac:dyDescent="0.15">
      <c r="CP3939" s="31"/>
    </row>
    <row r="3940" spans="94:94" x14ac:dyDescent="0.15">
      <c r="CP3940" s="31"/>
    </row>
    <row r="3941" spans="94:94" x14ac:dyDescent="0.15">
      <c r="CP3941" s="31"/>
    </row>
    <row r="3942" spans="94:94" x14ac:dyDescent="0.15">
      <c r="CP3942" s="31"/>
    </row>
    <row r="3943" spans="94:94" x14ac:dyDescent="0.15">
      <c r="CP3943" s="31"/>
    </row>
    <row r="3944" spans="94:94" x14ac:dyDescent="0.15">
      <c r="CP3944" s="31"/>
    </row>
    <row r="3945" spans="94:94" x14ac:dyDescent="0.15">
      <c r="CP3945" s="31"/>
    </row>
    <row r="3946" spans="94:94" x14ac:dyDescent="0.15">
      <c r="CP3946" s="31"/>
    </row>
    <row r="3947" spans="94:94" x14ac:dyDescent="0.15">
      <c r="CP3947" s="31"/>
    </row>
    <row r="3948" spans="94:94" x14ac:dyDescent="0.15">
      <c r="CP3948" s="31"/>
    </row>
    <row r="3949" spans="94:94" x14ac:dyDescent="0.15">
      <c r="CP3949" s="31"/>
    </row>
    <row r="3950" spans="94:94" x14ac:dyDescent="0.15">
      <c r="CP3950" s="31"/>
    </row>
    <row r="3951" spans="94:94" x14ac:dyDescent="0.15">
      <c r="CP3951" s="31"/>
    </row>
    <row r="3952" spans="94:94" x14ac:dyDescent="0.15">
      <c r="CP3952" s="31"/>
    </row>
    <row r="3953" spans="94:94" x14ac:dyDescent="0.15">
      <c r="CP3953" s="31"/>
    </row>
    <row r="3954" spans="94:94" x14ac:dyDescent="0.15">
      <c r="CP3954" s="31"/>
    </row>
    <row r="3955" spans="94:94" x14ac:dyDescent="0.15">
      <c r="CP3955" s="31"/>
    </row>
    <row r="3956" spans="94:94" x14ac:dyDescent="0.15">
      <c r="CP3956" s="31"/>
    </row>
    <row r="3957" spans="94:94" x14ac:dyDescent="0.15">
      <c r="CP3957" s="31"/>
    </row>
    <row r="3958" spans="94:94" x14ac:dyDescent="0.15">
      <c r="CP3958" s="31"/>
    </row>
    <row r="3959" spans="94:94" x14ac:dyDescent="0.15">
      <c r="CP3959" s="31"/>
    </row>
    <row r="3960" spans="94:94" x14ac:dyDescent="0.15">
      <c r="CP3960" s="31"/>
    </row>
    <row r="3961" spans="94:94" x14ac:dyDescent="0.15">
      <c r="CP3961" s="31"/>
    </row>
    <row r="3962" spans="94:94" x14ac:dyDescent="0.15">
      <c r="CP3962" s="31"/>
    </row>
    <row r="3963" spans="94:94" x14ac:dyDescent="0.15">
      <c r="CP3963" s="31"/>
    </row>
    <row r="3964" spans="94:94" x14ac:dyDescent="0.15">
      <c r="CP3964" s="31"/>
    </row>
    <row r="3965" spans="94:94" x14ac:dyDescent="0.15">
      <c r="CP3965" s="31"/>
    </row>
    <row r="3966" spans="94:94" x14ac:dyDescent="0.15">
      <c r="CP3966" s="31"/>
    </row>
    <row r="3967" spans="94:94" x14ac:dyDescent="0.15">
      <c r="CP3967" s="31"/>
    </row>
    <row r="3968" spans="94:94" x14ac:dyDescent="0.15">
      <c r="CP3968" s="31"/>
    </row>
    <row r="3969" spans="94:94" x14ac:dyDescent="0.15">
      <c r="CP3969" s="31"/>
    </row>
    <row r="3970" spans="94:94" x14ac:dyDescent="0.15">
      <c r="CP3970" s="31"/>
    </row>
    <row r="3971" spans="94:94" x14ac:dyDescent="0.15">
      <c r="CP3971" s="31"/>
    </row>
    <row r="3972" spans="94:94" x14ac:dyDescent="0.15">
      <c r="CP3972" s="31"/>
    </row>
    <row r="3973" spans="94:94" x14ac:dyDescent="0.15">
      <c r="CP3973" s="31"/>
    </row>
    <row r="3974" spans="94:94" x14ac:dyDescent="0.15">
      <c r="CP3974" s="31"/>
    </row>
    <row r="3975" spans="94:94" x14ac:dyDescent="0.15">
      <c r="CP3975" s="31"/>
    </row>
    <row r="3976" spans="94:94" x14ac:dyDescent="0.15">
      <c r="CP3976" s="31"/>
    </row>
    <row r="3977" spans="94:94" x14ac:dyDescent="0.15">
      <c r="CP3977" s="31"/>
    </row>
    <row r="3978" spans="94:94" x14ac:dyDescent="0.15">
      <c r="CP3978" s="31"/>
    </row>
    <row r="3979" spans="94:94" x14ac:dyDescent="0.15">
      <c r="CP3979" s="31"/>
    </row>
    <row r="3980" spans="94:94" x14ac:dyDescent="0.15">
      <c r="CP3980" s="31"/>
    </row>
    <row r="3981" spans="94:94" x14ac:dyDescent="0.15">
      <c r="CP3981" s="31"/>
    </row>
    <row r="3982" spans="94:94" x14ac:dyDescent="0.15">
      <c r="CP3982" s="31"/>
    </row>
    <row r="3983" spans="94:94" x14ac:dyDescent="0.15">
      <c r="CP3983" s="31"/>
    </row>
    <row r="3984" spans="94:94" x14ac:dyDescent="0.15">
      <c r="CP3984" s="31"/>
    </row>
    <row r="3985" spans="94:94" x14ac:dyDescent="0.15">
      <c r="CP3985" s="31"/>
    </row>
    <row r="3986" spans="94:94" x14ac:dyDescent="0.15">
      <c r="CP3986" s="31"/>
    </row>
    <row r="3987" spans="94:94" x14ac:dyDescent="0.15">
      <c r="CP3987" s="31"/>
    </row>
    <row r="3988" spans="94:94" x14ac:dyDescent="0.15">
      <c r="CP3988" s="31"/>
    </row>
    <row r="3989" spans="94:94" x14ac:dyDescent="0.15">
      <c r="CP3989" s="31"/>
    </row>
    <row r="3990" spans="94:94" x14ac:dyDescent="0.15">
      <c r="CP3990" s="31"/>
    </row>
    <row r="3991" spans="94:94" x14ac:dyDescent="0.15">
      <c r="CP3991" s="31"/>
    </row>
    <row r="3992" spans="94:94" x14ac:dyDescent="0.15">
      <c r="CP3992" s="31"/>
    </row>
    <row r="3993" spans="94:94" x14ac:dyDescent="0.15">
      <c r="CP3993" s="31"/>
    </row>
    <row r="3994" spans="94:94" x14ac:dyDescent="0.15">
      <c r="CP3994" s="31"/>
    </row>
    <row r="3995" spans="94:94" x14ac:dyDescent="0.15">
      <c r="CP3995" s="31"/>
    </row>
    <row r="3996" spans="94:94" x14ac:dyDescent="0.15">
      <c r="CP3996" s="31"/>
    </row>
    <row r="3997" spans="94:94" x14ac:dyDescent="0.15">
      <c r="CP3997" s="31"/>
    </row>
    <row r="3998" spans="94:94" x14ac:dyDescent="0.15">
      <c r="CP3998" s="31"/>
    </row>
    <row r="3999" spans="94:94" x14ac:dyDescent="0.15">
      <c r="CP3999" s="31"/>
    </row>
    <row r="4000" spans="94:94" x14ac:dyDescent="0.15">
      <c r="CP4000" s="31"/>
    </row>
    <row r="4001" spans="94:94" x14ac:dyDescent="0.15">
      <c r="CP4001" s="31"/>
    </row>
    <row r="4002" spans="94:94" x14ac:dyDescent="0.15">
      <c r="CP4002" s="31"/>
    </row>
    <row r="4003" spans="94:94" x14ac:dyDescent="0.15">
      <c r="CP4003" s="31"/>
    </row>
    <row r="4004" spans="94:94" x14ac:dyDescent="0.15">
      <c r="CP4004" s="31"/>
    </row>
    <row r="4005" spans="94:94" x14ac:dyDescent="0.15">
      <c r="CP4005" s="31"/>
    </row>
    <row r="4006" spans="94:94" x14ac:dyDescent="0.15">
      <c r="CP4006" s="31"/>
    </row>
    <row r="4007" spans="94:94" x14ac:dyDescent="0.15">
      <c r="CP4007" s="31"/>
    </row>
    <row r="4008" spans="94:94" x14ac:dyDescent="0.15">
      <c r="CP4008" s="31"/>
    </row>
    <row r="4009" spans="94:94" x14ac:dyDescent="0.15">
      <c r="CP4009" s="31"/>
    </row>
    <row r="4010" spans="94:94" x14ac:dyDescent="0.15">
      <c r="CP4010" s="31"/>
    </row>
    <row r="4011" spans="94:94" x14ac:dyDescent="0.15">
      <c r="CP4011" s="31"/>
    </row>
    <row r="4012" spans="94:94" x14ac:dyDescent="0.15">
      <c r="CP4012" s="31"/>
    </row>
    <row r="4013" spans="94:94" x14ac:dyDescent="0.15">
      <c r="CP4013" s="31"/>
    </row>
    <row r="4014" spans="94:94" x14ac:dyDescent="0.15">
      <c r="CP4014" s="31"/>
    </row>
    <row r="4015" spans="94:94" x14ac:dyDescent="0.15">
      <c r="CP4015" s="31"/>
    </row>
    <row r="4016" spans="94:94" x14ac:dyDescent="0.15">
      <c r="CP4016" s="31"/>
    </row>
    <row r="4017" spans="94:94" x14ac:dyDescent="0.15">
      <c r="CP4017" s="31"/>
    </row>
    <row r="4018" spans="94:94" x14ac:dyDescent="0.15">
      <c r="CP4018" s="31"/>
    </row>
    <row r="4019" spans="94:94" x14ac:dyDescent="0.15">
      <c r="CP4019" s="31"/>
    </row>
    <row r="4020" spans="94:94" x14ac:dyDescent="0.15">
      <c r="CP4020" s="31"/>
    </row>
    <row r="4021" spans="94:94" x14ac:dyDescent="0.15">
      <c r="CP4021" s="31"/>
    </row>
    <row r="4022" spans="94:94" x14ac:dyDescent="0.15">
      <c r="CP4022" s="31"/>
    </row>
    <row r="4023" spans="94:94" x14ac:dyDescent="0.15">
      <c r="CP4023" s="31"/>
    </row>
    <row r="4024" spans="94:94" x14ac:dyDescent="0.15">
      <c r="CP4024" s="31"/>
    </row>
    <row r="4025" spans="94:94" x14ac:dyDescent="0.15">
      <c r="CP4025" s="31"/>
    </row>
    <row r="4026" spans="94:94" x14ac:dyDescent="0.15">
      <c r="CP4026" s="31"/>
    </row>
    <row r="4027" spans="94:94" x14ac:dyDescent="0.15">
      <c r="CP4027" s="31"/>
    </row>
    <row r="4028" spans="94:94" x14ac:dyDescent="0.15">
      <c r="CP4028" s="31"/>
    </row>
    <row r="4029" spans="94:94" x14ac:dyDescent="0.15">
      <c r="CP4029" s="31"/>
    </row>
    <row r="4030" spans="94:94" x14ac:dyDescent="0.15">
      <c r="CP4030" s="31"/>
    </row>
    <row r="4031" spans="94:94" x14ac:dyDescent="0.15">
      <c r="CP4031" s="31"/>
    </row>
    <row r="4032" spans="94:94" x14ac:dyDescent="0.15">
      <c r="CP4032" s="31"/>
    </row>
    <row r="4033" spans="94:94" x14ac:dyDescent="0.15">
      <c r="CP4033" s="31"/>
    </row>
    <row r="4034" spans="94:94" x14ac:dyDescent="0.15">
      <c r="CP4034" s="31"/>
    </row>
    <row r="4035" spans="94:94" x14ac:dyDescent="0.15">
      <c r="CP4035" s="31"/>
    </row>
    <row r="4036" spans="94:94" x14ac:dyDescent="0.15">
      <c r="CP4036" s="31"/>
    </row>
    <row r="4037" spans="94:94" x14ac:dyDescent="0.15">
      <c r="CP4037" s="31"/>
    </row>
    <row r="4038" spans="94:94" x14ac:dyDescent="0.15">
      <c r="CP4038" s="31"/>
    </row>
    <row r="4039" spans="94:94" x14ac:dyDescent="0.15">
      <c r="CP4039" s="31"/>
    </row>
    <row r="4040" spans="94:94" x14ac:dyDescent="0.15">
      <c r="CP4040" s="31"/>
    </row>
    <row r="4041" spans="94:94" x14ac:dyDescent="0.15">
      <c r="CP4041" s="31"/>
    </row>
    <row r="4042" spans="94:94" x14ac:dyDescent="0.15">
      <c r="CP4042" s="31"/>
    </row>
    <row r="4043" spans="94:94" x14ac:dyDescent="0.15">
      <c r="CP4043" s="31"/>
    </row>
    <row r="4044" spans="94:94" x14ac:dyDescent="0.15">
      <c r="CP4044" s="31"/>
    </row>
    <row r="4045" spans="94:94" x14ac:dyDescent="0.15">
      <c r="CP4045" s="31"/>
    </row>
    <row r="4046" spans="94:94" x14ac:dyDescent="0.15">
      <c r="CP4046" s="31"/>
    </row>
    <row r="4047" spans="94:94" x14ac:dyDescent="0.15">
      <c r="CP4047" s="31"/>
    </row>
    <row r="4048" spans="94:94" x14ac:dyDescent="0.15">
      <c r="CP4048" s="31"/>
    </row>
    <row r="4049" spans="94:94" x14ac:dyDescent="0.15">
      <c r="CP4049" s="31"/>
    </row>
    <row r="4050" spans="94:94" x14ac:dyDescent="0.15">
      <c r="CP4050" s="31"/>
    </row>
    <row r="4051" spans="94:94" x14ac:dyDescent="0.15">
      <c r="CP4051" s="31"/>
    </row>
    <row r="4052" spans="94:94" x14ac:dyDescent="0.15">
      <c r="CP4052" s="31"/>
    </row>
    <row r="4053" spans="94:94" x14ac:dyDescent="0.15">
      <c r="CP4053" s="31"/>
    </row>
    <row r="4054" spans="94:94" x14ac:dyDescent="0.15">
      <c r="CP4054" s="31"/>
    </row>
    <row r="4055" spans="94:94" x14ac:dyDescent="0.15">
      <c r="CP4055" s="31"/>
    </row>
    <row r="4056" spans="94:94" x14ac:dyDescent="0.15">
      <c r="CP4056" s="31"/>
    </row>
    <row r="4057" spans="94:94" x14ac:dyDescent="0.15">
      <c r="CP4057" s="31"/>
    </row>
    <row r="4058" spans="94:94" x14ac:dyDescent="0.15">
      <c r="CP4058" s="31"/>
    </row>
    <row r="4059" spans="94:94" x14ac:dyDescent="0.15">
      <c r="CP4059" s="31"/>
    </row>
    <row r="4060" spans="94:94" x14ac:dyDescent="0.15">
      <c r="CP4060" s="31"/>
    </row>
    <row r="4061" spans="94:94" x14ac:dyDescent="0.15">
      <c r="CP4061" s="31"/>
    </row>
    <row r="4062" spans="94:94" x14ac:dyDescent="0.15">
      <c r="CP4062" s="31"/>
    </row>
    <row r="4063" spans="94:94" x14ac:dyDescent="0.15">
      <c r="CP4063" s="31"/>
    </row>
    <row r="4064" spans="94:94" x14ac:dyDescent="0.15">
      <c r="CP4064" s="31"/>
    </row>
    <row r="4065" spans="94:94" x14ac:dyDescent="0.15">
      <c r="CP4065" s="31"/>
    </row>
    <row r="4066" spans="94:94" x14ac:dyDescent="0.15">
      <c r="CP4066" s="31"/>
    </row>
    <row r="4067" spans="94:94" x14ac:dyDescent="0.15">
      <c r="CP4067" s="31"/>
    </row>
    <row r="4068" spans="94:94" x14ac:dyDescent="0.15">
      <c r="CP4068" s="31"/>
    </row>
    <row r="4069" spans="94:94" x14ac:dyDescent="0.15">
      <c r="CP4069" s="31"/>
    </row>
    <row r="4070" spans="94:94" x14ac:dyDescent="0.15">
      <c r="CP4070" s="31"/>
    </row>
    <row r="4071" spans="94:94" x14ac:dyDescent="0.15">
      <c r="CP4071" s="31"/>
    </row>
    <row r="4072" spans="94:94" x14ac:dyDescent="0.15">
      <c r="CP4072" s="31"/>
    </row>
    <row r="4073" spans="94:94" x14ac:dyDescent="0.15">
      <c r="CP4073" s="31"/>
    </row>
    <row r="4074" spans="94:94" x14ac:dyDescent="0.15">
      <c r="CP4074" s="31"/>
    </row>
    <row r="4075" spans="94:94" x14ac:dyDescent="0.15">
      <c r="CP4075" s="31"/>
    </row>
    <row r="4076" spans="94:94" x14ac:dyDescent="0.15">
      <c r="CP4076" s="31"/>
    </row>
    <row r="4077" spans="94:94" x14ac:dyDescent="0.15">
      <c r="CP4077" s="31"/>
    </row>
    <row r="4078" spans="94:94" x14ac:dyDescent="0.15">
      <c r="CP4078" s="31"/>
    </row>
    <row r="4079" spans="94:94" x14ac:dyDescent="0.15">
      <c r="CP4079" s="31"/>
    </row>
    <row r="4080" spans="94:94" x14ac:dyDescent="0.15">
      <c r="CP4080" s="31"/>
    </row>
    <row r="4081" spans="94:94" x14ac:dyDescent="0.15">
      <c r="CP4081" s="31"/>
    </row>
    <row r="4082" spans="94:94" x14ac:dyDescent="0.15">
      <c r="CP4082" s="31"/>
    </row>
    <row r="4083" spans="94:94" x14ac:dyDescent="0.15">
      <c r="CP4083" s="31"/>
    </row>
    <row r="4084" spans="94:94" x14ac:dyDescent="0.15">
      <c r="CP4084" s="31"/>
    </row>
    <row r="4085" spans="94:94" x14ac:dyDescent="0.15">
      <c r="CP4085" s="31"/>
    </row>
    <row r="4086" spans="94:94" x14ac:dyDescent="0.15">
      <c r="CP4086" s="31"/>
    </row>
    <row r="4087" spans="94:94" x14ac:dyDescent="0.15">
      <c r="CP4087" s="31"/>
    </row>
    <row r="4088" spans="94:94" x14ac:dyDescent="0.15">
      <c r="CP4088" s="31"/>
    </row>
    <row r="4089" spans="94:94" x14ac:dyDescent="0.15">
      <c r="CP4089" s="31"/>
    </row>
    <row r="4090" spans="94:94" x14ac:dyDescent="0.15">
      <c r="CP4090" s="31"/>
    </row>
    <row r="4091" spans="94:94" x14ac:dyDescent="0.15">
      <c r="CP4091" s="31"/>
    </row>
    <row r="4092" spans="94:94" x14ac:dyDescent="0.15">
      <c r="CP4092" s="31"/>
    </row>
    <row r="4093" spans="94:94" x14ac:dyDescent="0.15">
      <c r="CP4093" s="31"/>
    </row>
    <row r="4094" spans="94:94" x14ac:dyDescent="0.15">
      <c r="CP4094" s="31"/>
    </row>
    <row r="4095" spans="94:94" x14ac:dyDescent="0.15">
      <c r="CP4095" s="31"/>
    </row>
    <row r="4096" spans="94:94" x14ac:dyDescent="0.15">
      <c r="CP4096" s="31"/>
    </row>
    <row r="4097" spans="94:94" x14ac:dyDescent="0.15">
      <c r="CP4097" s="31"/>
    </row>
    <row r="4098" spans="94:94" x14ac:dyDescent="0.15">
      <c r="CP4098" s="31"/>
    </row>
    <row r="4099" spans="94:94" x14ac:dyDescent="0.15">
      <c r="CP4099" s="31"/>
    </row>
    <row r="4100" spans="94:94" x14ac:dyDescent="0.15">
      <c r="CP4100" s="31"/>
    </row>
    <row r="4101" spans="94:94" x14ac:dyDescent="0.15">
      <c r="CP4101" s="31"/>
    </row>
    <row r="4102" spans="94:94" x14ac:dyDescent="0.15">
      <c r="CP4102" s="31"/>
    </row>
    <row r="4103" spans="94:94" x14ac:dyDescent="0.15">
      <c r="CP4103" s="31"/>
    </row>
    <row r="4104" spans="94:94" x14ac:dyDescent="0.15">
      <c r="CP4104" s="31"/>
    </row>
    <row r="4105" spans="94:94" x14ac:dyDescent="0.15">
      <c r="CP4105" s="31"/>
    </row>
    <row r="4106" spans="94:94" x14ac:dyDescent="0.15">
      <c r="CP4106" s="31"/>
    </row>
    <row r="4107" spans="94:94" x14ac:dyDescent="0.15">
      <c r="CP4107" s="31"/>
    </row>
    <row r="4108" spans="94:94" x14ac:dyDescent="0.15">
      <c r="CP4108" s="31"/>
    </row>
    <row r="4109" spans="94:94" x14ac:dyDescent="0.15">
      <c r="CP4109" s="31"/>
    </row>
    <row r="4110" spans="94:94" x14ac:dyDescent="0.15">
      <c r="CP4110" s="31"/>
    </row>
    <row r="4111" spans="94:94" x14ac:dyDescent="0.15">
      <c r="CP4111" s="31"/>
    </row>
    <row r="4112" spans="94:94" x14ac:dyDescent="0.15">
      <c r="CP4112" s="31"/>
    </row>
    <row r="4113" spans="94:94" x14ac:dyDescent="0.15">
      <c r="CP4113" s="31"/>
    </row>
    <row r="4114" spans="94:94" x14ac:dyDescent="0.15">
      <c r="CP4114" s="31"/>
    </row>
    <row r="4115" spans="94:94" x14ac:dyDescent="0.15">
      <c r="CP4115" s="31"/>
    </row>
    <row r="4116" spans="94:94" x14ac:dyDescent="0.15">
      <c r="CP4116" s="31"/>
    </row>
    <row r="4117" spans="94:94" x14ac:dyDescent="0.15">
      <c r="CP4117" s="31"/>
    </row>
    <row r="4118" spans="94:94" x14ac:dyDescent="0.15">
      <c r="CP4118" s="31"/>
    </row>
    <row r="4119" spans="94:94" x14ac:dyDescent="0.15">
      <c r="CP4119" s="31"/>
    </row>
    <row r="4120" spans="94:94" x14ac:dyDescent="0.15">
      <c r="CP4120" s="31"/>
    </row>
    <row r="4121" spans="94:94" x14ac:dyDescent="0.15">
      <c r="CP4121" s="31"/>
    </row>
    <row r="4122" spans="94:94" x14ac:dyDescent="0.15">
      <c r="CP4122" s="31"/>
    </row>
    <row r="4123" spans="94:94" x14ac:dyDescent="0.15">
      <c r="CP4123" s="31"/>
    </row>
    <row r="4124" spans="94:94" x14ac:dyDescent="0.15">
      <c r="CP4124" s="31"/>
    </row>
    <row r="4125" spans="94:94" x14ac:dyDescent="0.15">
      <c r="CP4125" s="31"/>
    </row>
    <row r="4126" spans="94:94" x14ac:dyDescent="0.15">
      <c r="CP4126" s="31"/>
    </row>
    <row r="4127" spans="94:94" x14ac:dyDescent="0.15">
      <c r="CP4127" s="31"/>
    </row>
    <row r="4128" spans="94:94" x14ac:dyDescent="0.15">
      <c r="CP4128" s="31"/>
    </row>
    <row r="4129" spans="94:94" x14ac:dyDescent="0.15">
      <c r="CP4129" s="31"/>
    </row>
    <row r="4130" spans="94:94" x14ac:dyDescent="0.15">
      <c r="CP4130" s="31"/>
    </row>
    <row r="4131" spans="94:94" x14ac:dyDescent="0.15">
      <c r="CP4131" s="31"/>
    </row>
    <row r="4132" spans="94:94" x14ac:dyDescent="0.15">
      <c r="CP4132" s="31"/>
    </row>
    <row r="4133" spans="94:94" x14ac:dyDescent="0.15">
      <c r="CP4133" s="31"/>
    </row>
    <row r="4134" spans="94:94" x14ac:dyDescent="0.15">
      <c r="CP4134" s="31"/>
    </row>
    <row r="4135" spans="94:94" x14ac:dyDescent="0.15">
      <c r="CP4135" s="31"/>
    </row>
    <row r="4136" spans="94:94" x14ac:dyDescent="0.15">
      <c r="CP4136" s="31"/>
    </row>
    <row r="4137" spans="94:94" x14ac:dyDescent="0.15">
      <c r="CP4137" s="31"/>
    </row>
    <row r="4138" spans="94:94" x14ac:dyDescent="0.15">
      <c r="CP4138" s="31"/>
    </row>
    <row r="4139" spans="94:94" x14ac:dyDescent="0.15">
      <c r="CP4139" s="31"/>
    </row>
    <row r="4140" spans="94:94" x14ac:dyDescent="0.15">
      <c r="CP4140" s="31"/>
    </row>
    <row r="4141" spans="94:94" x14ac:dyDescent="0.15">
      <c r="CP4141" s="31"/>
    </row>
    <row r="4142" spans="94:94" x14ac:dyDescent="0.15">
      <c r="CP4142" s="31"/>
    </row>
    <row r="4143" spans="94:94" x14ac:dyDescent="0.15">
      <c r="CP4143" s="31"/>
    </row>
    <row r="4144" spans="94:94" x14ac:dyDescent="0.15">
      <c r="CP4144" s="31"/>
    </row>
    <row r="4145" spans="94:94" x14ac:dyDescent="0.15">
      <c r="CP4145" s="31"/>
    </row>
    <row r="4146" spans="94:94" x14ac:dyDescent="0.15">
      <c r="CP4146" s="31"/>
    </row>
    <row r="4147" spans="94:94" x14ac:dyDescent="0.15">
      <c r="CP4147" s="31"/>
    </row>
    <row r="4148" spans="94:94" x14ac:dyDescent="0.15">
      <c r="CP4148" s="31"/>
    </row>
    <row r="4149" spans="94:94" x14ac:dyDescent="0.15">
      <c r="CP4149" s="31"/>
    </row>
    <row r="4150" spans="94:94" x14ac:dyDescent="0.15">
      <c r="CP4150" s="31"/>
    </row>
    <row r="4151" spans="94:94" x14ac:dyDescent="0.15">
      <c r="CP4151" s="31"/>
    </row>
    <row r="4152" spans="94:94" x14ac:dyDescent="0.15">
      <c r="CP4152" s="31"/>
    </row>
    <row r="4153" spans="94:94" x14ac:dyDescent="0.15">
      <c r="CP4153" s="31"/>
    </row>
    <row r="4154" spans="94:94" x14ac:dyDescent="0.15">
      <c r="CP4154" s="31"/>
    </row>
    <row r="4155" spans="94:94" x14ac:dyDescent="0.15">
      <c r="CP4155" s="31"/>
    </row>
    <row r="4156" spans="94:94" x14ac:dyDescent="0.15">
      <c r="CP4156" s="31"/>
    </row>
    <row r="4157" spans="94:94" x14ac:dyDescent="0.15">
      <c r="CP4157" s="31"/>
    </row>
    <row r="4158" spans="94:94" x14ac:dyDescent="0.15">
      <c r="CP4158" s="31"/>
    </row>
    <row r="4159" spans="94:94" x14ac:dyDescent="0.15">
      <c r="CP4159" s="31"/>
    </row>
    <row r="4160" spans="94:94" x14ac:dyDescent="0.15">
      <c r="CP4160" s="31"/>
    </row>
    <row r="4161" spans="94:94" x14ac:dyDescent="0.15">
      <c r="CP4161" s="31"/>
    </row>
    <row r="4162" spans="94:94" x14ac:dyDescent="0.15">
      <c r="CP4162" s="31"/>
    </row>
    <row r="4163" spans="94:94" x14ac:dyDescent="0.15">
      <c r="CP4163" s="31"/>
    </row>
    <row r="4164" spans="94:94" x14ac:dyDescent="0.15">
      <c r="CP4164" s="31"/>
    </row>
    <row r="4165" spans="94:94" x14ac:dyDescent="0.15">
      <c r="CP4165" s="31"/>
    </row>
    <row r="4166" spans="94:94" x14ac:dyDescent="0.15">
      <c r="CP4166" s="31"/>
    </row>
    <row r="4167" spans="94:94" x14ac:dyDescent="0.15">
      <c r="CP4167" s="31"/>
    </row>
    <row r="4168" spans="94:94" x14ac:dyDescent="0.15">
      <c r="CP4168" s="31"/>
    </row>
    <row r="4169" spans="94:94" x14ac:dyDescent="0.15">
      <c r="CP4169" s="31"/>
    </row>
    <row r="4170" spans="94:94" x14ac:dyDescent="0.15">
      <c r="CP4170" s="31"/>
    </row>
    <row r="4171" spans="94:94" x14ac:dyDescent="0.15">
      <c r="CP4171" s="31"/>
    </row>
    <row r="4172" spans="94:94" x14ac:dyDescent="0.15">
      <c r="CP4172" s="31"/>
    </row>
    <row r="4173" spans="94:94" x14ac:dyDescent="0.15">
      <c r="CP4173" s="31"/>
    </row>
    <row r="4174" spans="94:94" x14ac:dyDescent="0.15">
      <c r="CP4174" s="31"/>
    </row>
    <row r="4175" spans="94:94" x14ac:dyDescent="0.15">
      <c r="CP4175" s="31"/>
    </row>
    <row r="4176" spans="94:94" x14ac:dyDescent="0.15">
      <c r="CP4176" s="31"/>
    </row>
    <row r="4177" spans="94:94" x14ac:dyDescent="0.15">
      <c r="CP4177" s="31"/>
    </row>
    <row r="4178" spans="94:94" x14ac:dyDescent="0.15">
      <c r="CP4178" s="31"/>
    </row>
    <row r="4179" spans="94:94" x14ac:dyDescent="0.15">
      <c r="CP4179" s="31"/>
    </row>
    <row r="4180" spans="94:94" x14ac:dyDescent="0.15">
      <c r="CP4180" s="31"/>
    </row>
    <row r="4181" spans="94:94" x14ac:dyDescent="0.15">
      <c r="CP4181" s="31"/>
    </row>
    <row r="4182" spans="94:94" x14ac:dyDescent="0.15">
      <c r="CP4182" s="31"/>
    </row>
    <row r="4183" spans="94:94" x14ac:dyDescent="0.15">
      <c r="CP4183" s="31"/>
    </row>
    <row r="4184" spans="94:94" x14ac:dyDescent="0.15">
      <c r="CP4184" s="31"/>
    </row>
    <row r="4185" spans="94:94" x14ac:dyDescent="0.15">
      <c r="CP4185" s="31"/>
    </row>
    <row r="4186" spans="94:94" x14ac:dyDescent="0.15">
      <c r="CP4186" s="31"/>
    </row>
    <row r="4187" spans="94:94" x14ac:dyDescent="0.15">
      <c r="CP4187" s="31"/>
    </row>
    <row r="4188" spans="94:94" x14ac:dyDescent="0.15">
      <c r="CP4188" s="31"/>
    </row>
    <row r="4189" spans="94:94" x14ac:dyDescent="0.15">
      <c r="CP4189" s="31"/>
    </row>
    <row r="4190" spans="94:94" x14ac:dyDescent="0.15">
      <c r="CP4190" s="31"/>
    </row>
    <row r="4191" spans="94:94" x14ac:dyDescent="0.15">
      <c r="CP4191" s="31"/>
    </row>
    <row r="4192" spans="94:94" x14ac:dyDescent="0.15">
      <c r="CP4192" s="31"/>
    </row>
    <row r="4193" spans="94:94" x14ac:dyDescent="0.15">
      <c r="CP4193" s="31"/>
    </row>
    <row r="4194" spans="94:94" x14ac:dyDescent="0.15">
      <c r="CP4194" s="31"/>
    </row>
    <row r="4195" spans="94:94" x14ac:dyDescent="0.15">
      <c r="CP4195" s="31"/>
    </row>
    <row r="4196" spans="94:94" x14ac:dyDescent="0.15">
      <c r="CP4196" s="31"/>
    </row>
    <row r="4197" spans="94:94" x14ac:dyDescent="0.15">
      <c r="CP4197" s="31"/>
    </row>
    <row r="4198" spans="94:94" x14ac:dyDescent="0.15">
      <c r="CP4198" s="31"/>
    </row>
    <row r="4199" spans="94:94" x14ac:dyDescent="0.15">
      <c r="CP4199" s="31"/>
    </row>
    <row r="4200" spans="94:94" x14ac:dyDescent="0.15">
      <c r="CP4200" s="31"/>
    </row>
    <row r="4201" spans="94:94" x14ac:dyDescent="0.15">
      <c r="CP4201" s="31"/>
    </row>
    <row r="4202" spans="94:94" x14ac:dyDescent="0.15">
      <c r="CP4202" s="31"/>
    </row>
    <row r="4203" spans="94:94" x14ac:dyDescent="0.15">
      <c r="CP4203" s="31"/>
    </row>
    <row r="4204" spans="94:94" x14ac:dyDescent="0.15">
      <c r="CP4204" s="31"/>
    </row>
    <row r="4205" spans="94:94" x14ac:dyDescent="0.15">
      <c r="CP4205" s="31"/>
    </row>
    <row r="4206" spans="94:94" x14ac:dyDescent="0.15">
      <c r="CP4206" s="31"/>
    </row>
    <row r="4207" spans="94:94" x14ac:dyDescent="0.15">
      <c r="CP4207" s="31"/>
    </row>
    <row r="4208" spans="94:94" x14ac:dyDescent="0.15">
      <c r="CP4208" s="31"/>
    </row>
    <row r="4209" spans="94:94" x14ac:dyDescent="0.15">
      <c r="CP4209" s="31"/>
    </row>
    <row r="4210" spans="94:94" x14ac:dyDescent="0.15">
      <c r="CP4210" s="31"/>
    </row>
    <row r="4211" spans="94:94" x14ac:dyDescent="0.15">
      <c r="CP4211" s="31"/>
    </row>
    <row r="4212" spans="94:94" x14ac:dyDescent="0.15">
      <c r="CP4212" s="31"/>
    </row>
    <row r="4213" spans="94:94" x14ac:dyDescent="0.15">
      <c r="CP4213" s="31"/>
    </row>
    <row r="4214" spans="94:94" x14ac:dyDescent="0.15">
      <c r="CP4214" s="31"/>
    </row>
    <row r="4215" spans="94:94" x14ac:dyDescent="0.15">
      <c r="CP4215" s="31"/>
    </row>
    <row r="4216" spans="94:94" x14ac:dyDescent="0.15">
      <c r="CP4216" s="31"/>
    </row>
    <row r="4217" spans="94:94" x14ac:dyDescent="0.15">
      <c r="CP4217" s="31"/>
    </row>
    <row r="4218" spans="94:94" x14ac:dyDescent="0.15">
      <c r="CP4218" s="31"/>
    </row>
    <row r="4219" spans="94:94" x14ac:dyDescent="0.15">
      <c r="CP4219" s="31"/>
    </row>
    <row r="4220" spans="94:94" x14ac:dyDescent="0.15">
      <c r="CP4220" s="31"/>
    </row>
    <row r="4221" spans="94:94" x14ac:dyDescent="0.15">
      <c r="CP4221" s="31"/>
    </row>
    <row r="4222" spans="94:94" x14ac:dyDescent="0.15">
      <c r="CP4222" s="31"/>
    </row>
    <row r="4223" spans="94:94" x14ac:dyDescent="0.15">
      <c r="CP4223" s="31"/>
    </row>
    <row r="4224" spans="94:94" x14ac:dyDescent="0.15">
      <c r="CP4224" s="31"/>
    </row>
    <row r="4225" spans="94:94" x14ac:dyDescent="0.15">
      <c r="CP4225" s="31"/>
    </row>
    <row r="4226" spans="94:94" x14ac:dyDescent="0.15">
      <c r="CP4226" s="31"/>
    </row>
    <row r="4227" spans="94:94" x14ac:dyDescent="0.15">
      <c r="CP4227" s="31"/>
    </row>
    <row r="4228" spans="94:94" x14ac:dyDescent="0.15">
      <c r="CP4228" s="31"/>
    </row>
    <row r="4229" spans="94:94" x14ac:dyDescent="0.15">
      <c r="CP4229" s="31"/>
    </row>
    <row r="4230" spans="94:94" x14ac:dyDescent="0.15">
      <c r="CP4230" s="31"/>
    </row>
    <row r="4231" spans="94:94" x14ac:dyDescent="0.15">
      <c r="CP4231" s="31"/>
    </row>
    <row r="4232" spans="94:94" x14ac:dyDescent="0.15">
      <c r="CP4232" s="31"/>
    </row>
    <row r="4233" spans="94:94" x14ac:dyDescent="0.15">
      <c r="CP4233" s="31"/>
    </row>
    <row r="4234" spans="94:94" x14ac:dyDescent="0.15">
      <c r="CP4234" s="31"/>
    </row>
    <row r="4235" spans="94:94" x14ac:dyDescent="0.15">
      <c r="CP4235" s="31"/>
    </row>
    <row r="4236" spans="94:94" x14ac:dyDescent="0.15">
      <c r="CP4236" s="31"/>
    </row>
    <row r="4237" spans="94:94" x14ac:dyDescent="0.15">
      <c r="CP4237" s="31"/>
    </row>
    <row r="4238" spans="94:94" x14ac:dyDescent="0.15">
      <c r="CP4238" s="31"/>
    </row>
    <row r="4239" spans="94:94" x14ac:dyDescent="0.15">
      <c r="CP4239" s="31"/>
    </row>
    <row r="4240" spans="94:94" x14ac:dyDescent="0.15">
      <c r="CP4240" s="31"/>
    </row>
    <row r="4241" spans="94:94" x14ac:dyDescent="0.15">
      <c r="CP4241" s="31"/>
    </row>
    <row r="4242" spans="94:94" x14ac:dyDescent="0.15">
      <c r="CP4242" s="31"/>
    </row>
    <row r="4243" spans="94:94" x14ac:dyDescent="0.15">
      <c r="CP4243" s="31"/>
    </row>
    <row r="4244" spans="94:94" x14ac:dyDescent="0.15">
      <c r="CP4244" s="31"/>
    </row>
    <row r="4245" spans="94:94" x14ac:dyDescent="0.15">
      <c r="CP4245" s="31"/>
    </row>
    <row r="4246" spans="94:94" x14ac:dyDescent="0.15">
      <c r="CP4246" s="31"/>
    </row>
    <row r="4247" spans="94:94" x14ac:dyDescent="0.15">
      <c r="CP4247" s="31"/>
    </row>
    <row r="4248" spans="94:94" x14ac:dyDescent="0.15">
      <c r="CP4248" s="31"/>
    </row>
    <row r="4249" spans="94:94" x14ac:dyDescent="0.15">
      <c r="CP4249" s="31"/>
    </row>
    <row r="4250" spans="94:94" x14ac:dyDescent="0.15">
      <c r="CP4250" s="31"/>
    </row>
    <row r="4251" spans="94:94" x14ac:dyDescent="0.15">
      <c r="CP4251" s="31"/>
    </row>
    <row r="4252" spans="94:94" x14ac:dyDescent="0.15">
      <c r="CP4252" s="31"/>
    </row>
    <row r="4253" spans="94:94" x14ac:dyDescent="0.15">
      <c r="CP4253" s="31"/>
    </row>
    <row r="4254" spans="94:94" x14ac:dyDescent="0.15">
      <c r="CP4254" s="31"/>
    </row>
    <row r="4255" spans="94:94" x14ac:dyDescent="0.15">
      <c r="CP4255" s="31"/>
    </row>
    <row r="4256" spans="94:94" x14ac:dyDescent="0.15">
      <c r="CP4256" s="31"/>
    </row>
    <row r="4257" spans="94:94" x14ac:dyDescent="0.15">
      <c r="CP4257" s="31"/>
    </row>
    <row r="4258" spans="94:94" x14ac:dyDescent="0.15">
      <c r="CP4258" s="31"/>
    </row>
    <row r="4259" spans="94:94" x14ac:dyDescent="0.15">
      <c r="CP4259" s="31"/>
    </row>
    <row r="4260" spans="94:94" x14ac:dyDescent="0.15">
      <c r="CP4260" s="31"/>
    </row>
    <row r="4261" spans="94:94" x14ac:dyDescent="0.15">
      <c r="CP4261" s="31"/>
    </row>
    <row r="4262" spans="94:94" x14ac:dyDescent="0.15">
      <c r="CP4262" s="31"/>
    </row>
    <row r="4263" spans="94:94" x14ac:dyDescent="0.15">
      <c r="CP4263" s="31"/>
    </row>
    <row r="4264" spans="94:94" x14ac:dyDescent="0.15">
      <c r="CP4264" s="31"/>
    </row>
    <row r="4265" spans="94:94" x14ac:dyDescent="0.15">
      <c r="CP4265" s="31"/>
    </row>
    <row r="4266" spans="94:94" x14ac:dyDescent="0.15">
      <c r="CP4266" s="31"/>
    </row>
    <row r="4267" spans="94:94" x14ac:dyDescent="0.15">
      <c r="CP4267" s="31"/>
    </row>
    <row r="4268" spans="94:94" x14ac:dyDescent="0.15">
      <c r="CP4268" s="31"/>
    </row>
    <row r="4269" spans="94:94" x14ac:dyDescent="0.15">
      <c r="CP4269" s="31"/>
    </row>
    <row r="4270" spans="94:94" x14ac:dyDescent="0.15">
      <c r="CP4270" s="31"/>
    </row>
    <row r="4271" spans="94:94" x14ac:dyDescent="0.15">
      <c r="CP4271" s="31"/>
    </row>
    <row r="4272" spans="94:94" x14ac:dyDescent="0.15">
      <c r="CP4272" s="31"/>
    </row>
    <row r="4273" spans="94:94" x14ac:dyDescent="0.15">
      <c r="CP4273" s="31"/>
    </row>
    <row r="4274" spans="94:94" x14ac:dyDescent="0.15">
      <c r="CP4274" s="31"/>
    </row>
    <row r="4275" spans="94:94" x14ac:dyDescent="0.15">
      <c r="CP4275" s="31"/>
    </row>
    <row r="4276" spans="94:94" x14ac:dyDescent="0.15">
      <c r="CP4276" s="31"/>
    </row>
    <row r="4277" spans="94:94" x14ac:dyDescent="0.15">
      <c r="CP4277" s="31"/>
    </row>
    <row r="4278" spans="94:94" x14ac:dyDescent="0.15">
      <c r="CP4278" s="31"/>
    </row>
    <row r="4279" spans="94:94" x14ac:dyDescent="0.15">
      <c r="CP4279" s="31"/>
    </row>
    <row r="4280" spans="94:94" x14ac:dyDescent="0.15">
      <c r="CP4280" s="31"/>
    </row>
    <row r="4281" spans="94:94" x14ac:dyDescent="0.15">
      <c r="CP4281" s="31"/>
    </row>
    <row r="4282" spans="94:94" x14ac:dyDescent="0.15">
      <c r="CP4282" s="31"/>
    </row>
    <row r="4283" spans="94:94" x14ac:dyDescent="0.15">
      <c r="CP4283" s="31"/>
    </row>
    <row r="4284" spans="94:94" x14ac:dyDescent="0.15">
      <c r="CP4284" s="31"/>
    </row>
    <row r="4285" spans="94:94" x14ac:dyDescent="0.15">
      <c r="CP4285" s="31"/>
    </row>
    <row r="4286" spans="94:94" x14ac:dyDescent="0.15">
      <c r="CP4286" s="31"/>
    </row>
    <row r="4287" spans="94:94" x14ac:dyDescent="0.15">
      <c r="CP4287" s="31"/>
    </row>
    <row r="4288" spans="94:94" x14ac:dyDescent="0.15">
      <c r="CP4288" s="31"/>
    </row>
    <row r="4289" spans="94:94" x14ac:dyDescent="0.15">
      <c r="CP4289" s="31"/>
    </row>
    <row r="4290" spans="94:94" x14ac:dyDescent="0.15">
      <c r="CP4290" s="31"/>
    </row>
    <row r="4291" spans="94:94" x14ac:dyDescent="0.15">
      <c r="CP4291" s="31"/>
    </row>
    <row r="4292" spans="94:94" x14ac:dyDescent="0.15">
      <c r="CP4292" s="31"/>
    </row>
    <row r="4293" spans="94:94" x14ac:dyDescent="0.15">
      <c r="CP4293" s="31"/>
    </row>
    <row r="4294" spans="94:94" x14ac:dyDescent="0.15">
      <c r="CP4294" s="31"/>
    </row>
    <row r="4295" spans="94:94" x14ac:dyDescent="0.15">
      <c r="CP4295" s="31"/>
    </row>
    <row r="4296" spans="94:94" x14ac:dyDescent="0.15">
      <c r="CP4296" s="31"/>
    </row>
    <row r="4297" spans="94:94" x14ac:dyDescent="0.15">
      <c r="CP4297" s="31"/>
    </row>
    <row r="4298" spans="94:94" x14ac:dyDescent="0.15">
      <c r="CP4298" s="31"/>
    </row>
    <row r="4299" spans="94:94" x14ac:dyDescent="0.15">
      <c r="CP4299" s="31"/>
    </row>
    <row r="4300" spans="94:94" x14ac:dyDescent="0.15">
      <c r="CP4300" s="31"/>
    </row>
    <row r="4301" spans="94:94" x14ac:dyDescent="0.15">
      <c r="CP4301" s="31"/>
    </row>
    <row r="4302" spans="94:94" x14ac:dyDescent="0.15">
      <c r="CP4302" s="31"/>
    </row>
    <row r="4303" spans="94:94" x14ac:dyDescent="0.15">
      <c r="CP4303" s="31"/>
    </row>
    <row r="4304" spans="94:94" x14ac:dyDescent="0.15">
      <c r="CP4304" s="31"/>
    </row>
    <row r="4305" spans="94:94" x14ac:dyDescent="0.15">
      <c r="CP4305" s="31"/>
    </row>
    <row r="4306" spans="94:94" x14ac:dyDescent="0.15">
      <c r="CP4306" s="31"/>
    </row>
    <row r="4307" spans="94:94" x14ac:dyDescent="0.15">
      <c r="CP4307" s="31"/>
    </row>
    <row r="4308" spans="94:94" x14ac:dyDescent="0.15">
      <c r="CP4308" s="31"/>
    </row>
    <row r="4309" spans="94:94" x14ac:dyDescent="0.15">
      <c r="CP4309" s="31"/>
    </row>
    <row r="4310" spans="94:94" x14ac:dyDescent="0.15">
      <c r="CP4310" s="31"/>
    </row>
    <row r="4311" spans="94:94" x14ac:dyDescent="0.15">
      <c r="CP4311" s="31"/>
    </row>
    <row r="4312" spans="94:94" x14ac:dyDescent="0.15">
      <c r="CP4312" s="31"/>
    </row>
    <row r="4313" spans="94:94" x14ac:dyDescent="0.15">
      <c r="CP4313" s="31"/>
    </row>
    <row r="4314" spans="94:94" x14ac:dyDescent="0.15">
      <c r="CP4314" s="31"/>
    </row>
    <row r="4315" spans="94:94" x14ac:dyDescent="0.15">
      <c r="CP4315" s="31"/>
    </row>
    <row r="4316" spans="94:94" x14ac:dyDescent="0.15">
      <c r="CP4316" s="31"/>
    </row>
    <row r="4317" spans="94:94" x14ac:dyDescent="0.15">
      <c r="CP4317" s="31"/>
    </row>
    <row r="4318" spans="94:94" x14ac:dyDescent="0.15">
      <c r="CP4318" s="31"/>
    </row>
    <row r="4319" spans="94:94" x14ac:dyDescent="0.15">
      <c r="CP4319" s="31"/>
    </row>
    <row r="4320" spans="94:94" x14ac:dyDescent="0.15">
      <c r="CP4320" s="31"/>
    </row>
    <row r="4321" spans="94:94" x14ac:dyDescent="0.15">
      <c r="CP4321" s="31"/>
    </row>
    <row r="4322" spans="94:94" x14ac:dyDescent="0.15">
      <c r="CP4322" s="31"/>
    </row>
    <row r="4323" spans="94:94" x14ac:dyDescent="0.15">
      <c r="CP4323" s="31"/>
    </row>
    <row r="4324" spans="94:94" x14ac:dyDescent="0.15">
      <c r="CP4324" s="31"/>
    </row>
    <row r="4325" spans="94:94" x14ac:dyDescent="0.15">
      <c r="CP4325" s="31"/>
    </row>
    <row r="4326" spans="94:94" x14ac:dyDescent="0.15">
      <c r="CP4326" s="31"/>
    </row>
    <row r="4327" spans="94:94" x14ac:dyDescent="0.15">
      <c r="CP4327" s="31"/>
    </row>
    <row r="4328" spans="94:94" x14ac:dyDescent="0.15">
      <c r="CP4328" s="31"/>
    </row>
    <row r="4329" spans="94:94" x14ac:dyDescent="0.15">
      <c r="CP4329" s="31"/>
    </row>
    <row r="4330" spans="94:94" x14ac:dyDescent="0.15">
      <c r="CP4330" s="31"/>
    </row>
    <row r="4331" spans="94:94" x14ac:dyDescent="0.15">
      <c r="CP4331" s="31"/>
    </row>
    <row r="4332" spans="94:94" x14ac:dyDescent="0.15">
      <c r="CP4332" s="31"/>
    </row>
    <row r="4333" spans="94:94" x14ac:dyDescent="0.15">
      <c r="CP4333" s="31"/>
    </row>
    <row r="4334" spans="94:94" x14ac:dyDescent="0.15">
      <c r="CP4334" s="31"/>
    </row>
    <row r="4335" spans="94:94" x14ac:dyDescent="0.15">
      <c r="CP4335" s="31"/>
    </row>
    <row r="4336" spans="94:94" x14ac:dyDescent="0.15">
      <c r="CP4336" s="31"/>
    </row>
    <row r="4337" spans="94:94" x14ac:dyDescent="0.15">
      <c r="CP4337" s="31"/>
    </row>
    <row r="4338" spans="94:94" x14ac:dyDescent="0.15">
      <c r="CP4338" s="31"/>
    </row>
    <row r="4339" spans="94:94" x14ac:dyDescent="0.15">
      <c r="CP4339" s="31"/>
    </row>
    <row r="4340" spans="94:94" x14ac:dyDescent="0.15">
      <c r="CP4340" s="31"/>
    </row>
    <row r="4341" spans="94:94" x14ac:dyDescent="0.15">
      <c r="CP4341" s="31"/>
    </row>
    <row r="4342" spans="94:94" x14ac:dyDescent="0.15">
      <c r="CP4342" s="31"/>
    </row>
    <row r="4343" spans="94:94" x14ac:dyDescent="0.15">
      <c r="CP4343" s="31"/>
    </row>
    <row r="4344" spans="94:94" x14ac:dyDescent="0.15">
      <c r="CP4344" s="31"/>
    </row>
    <row r="4345" spans="94:94" x14ac:dyDescent="0.15">
      <c r="CP4345" s="31"/>
    </row>
    <row r="4346" spans="94:94" x14ac:dyDescent="0.15">
      <c r="CP4346" s="31"/>
    </row>
    <row r="4347" spans="94:94" x14ac:dyDescent="0.15">
      <c r="CP4347" s="31"/>
    </row>
    <row r="4348" spans="94:94" x14ac:dyDescent="0.15">
      <c r="CP4348" s="31"/>
    </row>
    <row r="4349" spans="94:94" x14ac:dyDescent="0.15">
      <c r="CP4349" s="31"/>
    </row>
    <row r="4350" spans="94:94" x14ac:dyDescent="0.15">
      <c r="CP4350" s="31"/>
    </row>
    <row r="4351" spans="94:94" x14ac:dyDescent="0.15">
      <c r="CP4351" s="31"/>
    </row>
    <row r="4352" spans="94:94" x14ac:dyDescent="0.15">
      <c r="CP4352" s="31"/>
    </row>
    <row r="4353" spans="94:94" x14ac:dyDescent="0.15">
      <c r="CP4353" s="31"/>
    </row>
    <row r="4354" spans="94:94" x14ac:dyDescent="0.15">
      <c r="CP4354" s="31"/>
    </row>
    <row r="4355" spans="94:94" x14ac:dyDescent="0.15">
      <c r="CP4355" s="31"/>
    </row>
    <row r="4356" spans="94:94" x14ac:dyDescent="0.15">
      <c r="CP4356" s="31"/>
    </row>
    <row r="4357" spans="94:94" x14ac:dyDescent="0.15">
      <c r="CP4357" s="31"/>
    </row>
    <row r="4358" spans="94:94" x14ac:dyDescent="0.15">
      <c r="CP4358" s="31"/>
    </row>
    <row r="4359" spans="94:94" x14ac:dyDescent="0.15">
      <c r="CP4359" s="31"/>
    </row>
    <row r="4360" spans="94:94" x14ac:dyDescent="0.15">
      <c r="CP4360" s="31"/>
    </row>
    <row r="4361" spans="94:94" x14ac:dyDescent="0.15">
      <c r="CP4361" s="31"/>
    </row>
    <row r="4362" spans="94:94" x14ac:dyDescent="0.15">
      <c r="CP4362" s="31"/>
    </row>
    <row r="4363" spans="94:94" x14ac:dyDescent="0.15">
      <c r="CP4363" s="31"/>
    </row>
    <row r="4364" spans="94:94" x14ac:dyDescent="0.15">
      <c r="CP4364" s="31"/>
    </row>
    <row r="4365" spans="94:94" x14ac:dyDescent="0.15">
      <c r="CP4365" s="31"/>
    </row>
    <row r="4366" spans="94:94" x14ac:dyDescent="0.15">
      <c r="CP4366" s="31"/>
    </row>
    <row r="4367" spans="94:94" x14ac:dyDescent="0.15">
      <c r="CP4367" s="31"/>
    </row>
    <row r="4368" spans="94:94" x14ac:dyDescent="0.15">
      <c r="CP4368" s="31"/>
    </row>
    <row r="4369" spans="94:94" x14ac:dyDescent="0.15">
      <c r="CP4369" s="31"/>
    </row>
    <row r="4370" spans="94:94" x14ac:dyDescent="0.15">
      <c r="CP4370" s="31"/>
    </row>
    <row r="4371" spans="94:94" x14ac:dyDescent="0.15">
      <c r="CP4371" s="31"/>
    </row>
    <row r="4372" spans="94:94" x14ac:dyDescent="0.15">
      <c r="CP4372" s="31"/>
    </row>
    <row r="4373" spans="94:94" x14ac:dyDescent="0.15">
      <c r="CP4373" s="31"/>
    </row>
    <row r="4374" spans="94:94" x14ac:dyDescent="0.15">
      <c r="CP4374" s="31"/>
    </row>
    <row r="4375" spans="94:94" x14ac:dyDescent="0.15">
      <c r="CP4375" s="31"/>
    </row>
    <row r="4376" spans="94:94" x14ac:dyDescent="0.15">
      <c r="CP4376" s="31"/>
    </row>
    <row r="4377" spans="94:94" x14ac:dyDescent="0.15">
      <c r="CP4377" s="31"/>
    </row>
    <row r="4378" spans="94:94" x14ac:dyDescent="0.15">
      <c r="CP4378" s="31"/>
    </row>
    <row r="4379" spans="94:94" x14ac:dyDescent="0.15">
      <c r="CP4379" s="31"/>
    </row>
    <row r="4380" spans="94:94" x14ac:dyDescent="0.15">
      <c r="CP4380" s="31"/>
    </row>
    <row r="4381" spans="94:94" x14ac:dyDescent="0.15">
      <c r="CP4381" s="31"/>
    </row>
    <row r="4382" spans="94:94" x14ac:dyDescent="0.15">
      <c r="CP4382" s="31"/>
    </row>
    <row r="4383" spans="94:94" x14ac:dyDescent="0.15">
      <c r="CP4383" s="31"/>
    </row>
    <row r="4384" spans="94:94" x14ac:dyDescent="0.15">
      <c r="CP4384" s="31"/>
    </row>
    <row r="4385" spans="94:94" x14ac:dyDescent="0.15">
      <c r="CP4385" s="31"/>
    </row>
    <row r="4386" spans="94:94" x14ac:dyDescent="0.15">
      <c r="CP4386" s="31"/>
    </row>
    <row r="4387" spans="94:94" x14ac:dyDescent="0.15">
      <c r="CP4387" s="31"/>
    </row>
    <row r="4388" spans="94:94" x14ac:dyDescent="0.15">
      <c r="CP4388" s="31"/>
    </row>
    <row r="4389" spans="94:94" x14ac:dyDescent="0.15">
      <c r="CP4389" s="31"/>
    </row>
    <row r="4390" spans="94:94" x14ac:dyDescent="0.15">
      <c r="CP4390" s="31"/>
    </row>
    <row r="4391" spans="94:94" x14ac:dyDescent="0.15">
      <c r="CP4391" s="31"/>
    </row>
    <row r="4392" spans="94:94" x14ac:dyDescent="0.15">
      <c r="CP4392" s="31"/>
    </row>
    <row r="4393" spans="94:94" x14ac:dyDescent="0.15">
      <c r="CP4393" s="31"/>
    </row>
    <row r="4394" spans="94:94" x14ac:dyDescent="0.15">
      <c r="CP4394" s="31"/>
    </row>
    <row r="4395" spans="94:94" x14ac:dyDescent="0.15">
      <c r="CP4395" s="31"/>
    </row>
    <row r="4396" spans="94:94" x14ac:dyDescent="0.15">
      <c r="CP4396" s="31"/>
    </row>
    <row r="4397" spans="94:94" x14ac:dyDescent="0.15">
      <c r="CP4397" s="31"/>
    </row>
    <row r="4398" spans="94:94" x14ac:dyDescent="0.15">
      <c r="CP4398" s="31"/>
    </row>
    <row r="4399" spans="94:94" x14ac:dyDescent="0.15">
      <c r="CP4399" s="31"/>
    </row>
    <row r="4400" spans="94:94" x14ac:dyDescent="0.15">
      <c r="CP4400" s="31"/>
    </row>
    <row r="4401" spans="94:94" x14ac:dyDescent="0.15">
      <c r="CP4401" s="31"/>
    </row>
    <row r="4402" spans="94:94" x14ac:dyDescent="0.15">
      <c r="CP4402" s="31"/>
    </row>
    <row r="4403" spans="94:94" x14ac:dyDescent="0.15">
      <c r="CP4403" s="31"/>
    </row>
    <row r="4404" spans="94:94" x14ac:dyDescent="0.15">
      <c r="CP4404" s="31"/>
    </row>
    <row r="4405" spans="94:94" x14ac:dyDescent="0.15">
      <c r="CP4405" s="31"/>
    </row>
    <row r="4406" spans="94:94" x14ac:dyDescent="0.15">
      <c r="CP4406" s="31"/>
    </row>
    <row r="4407" spans="94:94" x14ac:dyDescent="0.15">
      <c r="CP4407" s="31"/>
    </row>
    <row r="4408" spans="94:94" x14ac:dyDescent="0.15">
      <c r="CP4408" s="31"/>
    </row>
    <row r="4409" spans="94:94" x14ac:dyDescent="0.15">
      <c r="CP4409" s="31"/>
    </row>
    <row r="4410" spans="94:94" x14ac:dyDescent="0.15">
      <c r="CP4410" s="31"/>
    </row>
    <row r="4411" spans="94:94" x14ac:dyDescent="0.15">
      <c r="CP4411" s="31"/>
    </row>
    <row r="4412" spans="94:94" x14ac:dyDescent="0.15">
      <c r="CP4412" s="31"/>
    </row>
    <row r="4413" spans="94:94" x14ac:dyDescent="0.15">
      <c r="CP4413" s="31"/>
    </row>
    <row r="4414" spans="94:94" x14ac:dyDescent="0.15">
      <c r="CP4414" s="31"/>
    </row>
    <row r="4415" spans="94:94" x14ac:dyDescent="0.15">
      <c r="CP4415" s="31"/>
    </row>
    <row r="4416" spans="94:94" x14ac:dyDescent="0.15">
      <c r="CP4416" s="31"/>
    </row>
    <row r="4417" spans="94:94" x14ac:dyDescent="0.15">
      <c r="CP4417" s="31"/>
    </row>
    <row r="4418" spans="94:94" x14ac:dyDescent="0.15">
      <c r="CP4418" s="31"/>
    </row>
    <row r="4419" spans="94:94" x14ac:dyDescent="0.15">
      <c r="CP4419" s="31"/>
    </row>
    <row r="4420" spans="94:94" x14ac:dyDescent="0.15">
      <c r="CP4420" s="31"/>
    </row>
    <row r="4421" spans="94:94" x14ac:dyDescent="0.15">
      <c r="CP4421" s="31"/>
    </row>
    <row r="4422" spans="94:94" x14ac:dyDescent="0.15">
      <c r="CP4422" s="31"/>
    </row>
    <row r="4423" spans="94:94" x14ac:dyDescent="0.15">
      <c r="CP4423" s="31"/>
    </row>
    <row r="4424" spans="94:94" x14ac:dyDescent="0.15">
      <c r="CP4424" s="31"/>
    </row>
    <row r="4425" spans="94:94" x14ac:dyDescent="0.15">
      <c r="CP4425" s="31"/>
    </row>
    <row r="4426" spans="94:94" x14ac:dyDescent="0.15">
      <c r="CP4426" s="31"/>
    </row>
    <row r="4427" spans="94:94" x14ac:dyDescent="0.15">
      <c r="CP4427" s="31"/>
    </row>
    <row r="4428" spans="94:94" x14ac:dyDescent="0.15">
      <c r="CP4428" s="31"/>
    </row>
    <row r="4429" spans="94:94" x14ac:dyDescent="0.15">
      <c r="CP4429" s="31"/>
    </row>
    <row r="4430" spans="94:94" x14ac:dyDescent="0.15">
      <c r="CP4430" s="31"/>
    </row>
    <row r="4431" spans="94:94" x14ac:dyDescent="0.15">
      <c r="CP4431" s="31"/>
    </row>
    <row r="4432" spans="94:94" x14ac:dyDescent="0.15">
      <c r="CP4432" s="31"/>
    </row>
    <row r="4433" spans="94:94" x14ac:dyDescent="0.15">
      <c r="CP4433" s="31"/>
    </row>
    <row r="4434" spans="94:94" x14ac:dyDescent="0.15">
      <c r="CP4434" s="31"/>
    </row>
    <row r="4435" spans="94:94" x14ac:dyDescent="0.15">
      <c r="CP4435" s="31"/>
    </row>
    <row r="4436" spans="94:94" x14ac:dyDescent="0.15">
      <c r="CP4436" s="31"/>
    </row>
    <row r="4437" spans="94:94" x14ac:dyDescent="0.15">
      <c r="CP4437" s="31"/>
    </row>
    <row r="4438" spans="94:94" x14ac:dyDescent="0.15">
      <c r="CP4438" s="31"/>
    </row>
    <row r="4439" spans="94:94" x14ac:dyDescent="0.15">
      <c r="CP4439" s="31"/>
    </row>
    <row r="4440" spans="94:94" x14ac:dyDescent="0.15">
      <c r="CP4440" s="31"/>
    </row>
    <row r="4441" spans="94:94" x14ac:dyDescent="0.15">
      <c r="CP4441" s="31"/>
    </row>
    <row r="4442" spans="94:94" x14ac:dyDescent="0.15">
      <c r="CP4442" s="31"/>
    </row>
    <row r="4443" spans="94:94" x14ac:dyDescent="0.15">
      <c r="CP4443" s="31"/>
    </row>
    <row r="4444" spans="94:94" x14ac:dyDescent="0.15">
      <c r="CP4444" s="31"/>
    </row>
    <row r="4445" spans="94:94" x14ac:dyDescent="0.15">
      <c r="CP4445" s="31"/>
    </row>
    <row r="4446" spans="94:94" x14ac:dyDescent="0.15">
      <c r="CP4446" s="31"/>
    </row>
    <row r="4447" spans="94:94" x14ac:dyDescent="0.15">
      <c r="CP4447" s="31"/>
    </row>
    <row r="4448" spans="94:94" x14ac:dyDescent="0.15">
      <c r="CP4448" s="31"/>
    </row>
    <row r="4449" spans="94:94" x14ac:dyDescent="0.15">
      <c r="CP4449" s="31"/>
    </row>
    <row r="4450" spans="94:94" x14ac:dyDescent="0.15">
      <c r="CP4450" s="31"/>
    </row>
    <row r="4451" spans="94:94" x14ac:dyDescent="0.15">
      <c r="CP4451" s="31"/>
    </row>
    <row r="4452" spans="94:94" x14ac:dyDescent="0.15">
      <c r="CP4452" s="31"/>
    </row>
    <row r="4453" spans="94:94" x14ac:dyDescent="0.15">
      <c r="CP4453" s="31"/>
    </row>
    <row r="4454" spans="94:94" x14ac:dyDescent="0.15">
      <c r="CP4454" s="31"/>
    </row>
    <row r="4455" spans="94:94" x14ac:dyDescent="0.15">
      <c r="CP4455" s="31"/>
    </row>
    <row r="4456" spans="94:94" x14ac:dyDescent="0.15">
      <c r="CP4456" s="31"/>
    </row>
    <row r="4457" spans="94:94" x14ac:dyDescent="0.15">
      <c r="CP4457" s="31"/>
    </row>
    <row r="4458" spans="94:94" x14ac:dyDescent="0.15">
      <c r="CP4458" s="31"/>
    </row>
    <row r="4459" spans="94:94" x14ac:dyDescent="0.15">
      <c r="CP4459" s="31"/>
    </row>
    <row r="4460" spans="94:94" x14ac:dyDescent="0.15">
      <c r="CP4460" s="31"/>
    </row>
    <row r="4461" spans="94:94" x14ac:dyDescent="0.15">
      <c r="CP4461" s="31"/>
    </row>
    <row r="4462" spans="94:94" x14ac:dyDescent="0.15">
      <c r="CP4462" s="31"/>
    </row>
    <row r="4463" spans="94:94" x14ac:dyDescent="0.15">
      <c r="CP4463" s="31"/>
    </row>
    <row r="4464" spans="94:94" x14ac:dyDescent="0.15">
      <c r="CP4464" s="31"/>
    </row>
    <row r="4465" spans="94:94" x14ac:dyDescent="0.15">
      <c r="CP4465" s="31"/>
    </row>
    <row r="4466" spans="94:94" x14ac:dyDescent="0.15">
      <c r="CP4466" s="31"/>
    </row>
    <row r="4467" spans="94:94" x14ac:dyDescent="0.15">
      <c r="CP4467" s="31"/>
    </row>
    <row r="4468" spans="94:94" x14ac:dyDescent="0.15">
      <c r="CP4468" s="31"/>
    </row>
    <row r="4469" spans="94:94" x14ac:dyDescent="0.15">
      <c r="CP4469" s="31"/>
    </row>
    <row r="4470" spans="94:94" x14ac:dyDescent="0.15">
      <c r="CP4470" s="31"/>
    </row>
    <row r="4471" spans="94:94" x14ac:dyDescent="0.15">
      <c r="CP4471" s="31"/>
    </row>
    <row r="4472" spans="94:94" x14ac:dyDescent="0.15">
      <c r="CP4472" s="31"/>
    </row>
    <row r="4473" spans="94:94" x14ac:dyDescent="0.15">
      <c r="CP4473" s="31"/>
    </row>
    <row r="4474" spans="94:94" x14ac:dyDescent="0.15">
      <c r="CP4474" s="31"/>
    </row>
    <row r="4475" spans="94:94" x14ac:dyDescent="0.15">
      <c r="CP4475" s="31"/>
    </row>
    <row r="4476" spans="94:94" x14ac:dyDescent="0.15">
      <c r="CP4476" s="31"/>
    </row>
    <row r="4477" spans="94:94" x14ac:dyDescent="0.15">
      <c r="CP4477" s="31"/>
    </row>
    <row r="4478" spans="94:94" x14ac:dyDescent="0.15">
      <c r="CP4478" s="31"/>
    </row>
    <row r="4479" spans="94:94" x14ac:dyDescent="0.15">
      <c r="CP4479" s="31"/>
    </row>
    <row r="4480" spans="94:94" x14ac:dyDescent="0.15">
      <c r="CP4480" s="31"/>
    </row>
    <row r="4481" spans="94:94" x14ac:dyDescent="0.15">
      <c r="CP4481" s="31"/>
    </row>
    <row r="4482" spans="94:94" x14ac:dyDescent="0.15">
      <c r="CP4482" s="31"/>
    </row>
    <row r="4483" spans="94:94" x14ac:dyDescent="0.15">
      <c r="CP4483" s="31"/>
    </row>
    <row r="4484" spans="94:94" x14ac:dyDescent="0.15">
      <c r="CP4484" s="31"/>
    </row>
    <row r="4485" spans="94:94" x14ac:dyDescent="0.15">
      <c r="CP4485" s="31"/>
    </row>
    <row r="4486" spans="94:94" x14ac:dyDescent="0.15">
      <c r="CP4486" s="31"/>
    </row>
    <row r="4487" spans="94:94" x14ac:dyDescent="0.15">
      <c r="CP4487" s="31"/>
    </row>
    <row r="4488" spans="94:94" x14ac:dyDescent="0.15">
      <c r="CP4488" s="31"/>
    </row>
    <row r="4489" spans="94:94" x14ac:dyDescent="0.15">
      <c r="CP4489" s="31"/>
    </row>
    <row r="4490" spans="94:94" x14ac:dyDescent="0.15">
      <c r="CP4490" s="31"/>
    </row>
    <row r="4491" spans="94:94" x14ac:dyDescent="0.15">
      <c r="CP4491" s="31"/>
    </row>
    <row r="4492" spans="94:94" x14ac:dyDescent="0.15">
      <c r="CP4492" s="31"/>
    </row>
    <row r="4493" spans="94:94" x14ac:dyDescent="0.15">
      <c r="CP4493" s="31"/>
    </row>
    <row r="4494" spans="94:94" x14ac:dyDescent="0.15">
      <c r="CP4494" s="31"/>
    </row>
    <row r="4495" spans="94:94" x14ac:dyDescent="0.15">
      <c r="CP4495" s="31"/>
    </row>
    <row r="4496" spans="94:94" x14ac:dyDescent="0.15">
      <c r="CP4496" s="31"/>
    </row>
    <row r="4497" spans="94:94" x14ac:dyDescent="0.15">
      <c r="CP4497" s="31"/>
    </row>
    <row r="4498" spans="94:94" x14ac:dyDescent="0.15">
      <c r="CP4498" s="31"/>
    </row>
    <row r="4499" spans="94:94" x14ac:dyDescent="0.15">
      <c r="CP4499" s="31"/>
    </row>
    <row r="4500" spans="94:94" x14ac:dyDescent="0.15">
      <c r="CP4500" s="31"/>
    </row>
    <row r="4501" spans="94:94" x14ac:dyDescent="0.15">
      <c r="CP4501" s="31"/>
    </row>
    <row r="4502" spans="94:94" x14ac:dyDescent="0.15">
      <c r="CP4502" s="31"/>
    </row>
    <row r="4503" spans="94:94" x14ac:dyDescent="0.15">
      <c r="CP4503" s="31"/>
    </row>
    <row r="4504" spans="94:94" x14ac:dyDescent="0.15">
      <c r="CP4504" s="31"/>
    </row>
    <row r="4505" spans="94:94" x14ac:dyDescent="0.15">
      <c r="CP4505" s="31"/>
    </row>
    <row r="4506" spans="94:94" x14ac:dyDescent="0.15">
      <c r="CP4506" s="31"/>
    </row>
    <row r="4507" spans="94:94" x14ac:dyDescent="0.15">
      <c r="CP4507" s="31"/>
    </row>
    <row r="4508" spans="94:94" x14ac:dyDescent="0.15">
      <c r="CP4508" s="31"/>
    </row>
    <row r="4509" spans="94:94" x14ac:dyDescent="0.15">
      <c r="CP4509" s="31"/>
    </row>
    <row r="4510" spans="94:94" x14ac:dyDescent="0.15">
      <c r="CP4510" s="31"/>
    </row>
    <row r="4511" spans="94:94" x14ac:dyDescent="0.15">
      <c r="CP4511" s="31"/>
    </row>
    <row r="4512" spans="94:94" x14ac:dyDescent="0.15">
      <c r="CP4512" s="31"/>
    </row>
    <row r="4513" spans="94:94" x14ac:dyDescent="0.15">
      <c r="CP4513" s="31"/>
    </row>
    <row r="4514" spans="94:94" x14ac:dyDescent="0.15">
      <c r="CP4514" s="31"/>
    </row>
    <row r="4515" spans="94:94" x14ac:dyDescent="0.15">
      <c r="CP4515" s="31"/>
    </row>
    <row r="4516" spans="94:94" x14ac:dyDescent="0.15">
      <c r="CP4516" s="31"/>
    </row>
    <row r="4517" spans="94:94" x14ac:dyDescent="0.15">
      <c r="CP4517" s="31"/>
    </row>
    <row r="4518" spans="94:94" x14ac:dyDescent="0.15">
      <c r="CP4518" s="31"/>
    </row>
    <row r="4519" spans="94:94" x14ac:dyDescent="0.15">
      <c r="CP4519" s="31"/>
    </row>
    <row r="4520" spans="94:94" x14ac:dyDescent="0.15">
      <c r="CP4520" s="31"/>
    </row>
    <row r="4521" spans="94:94" x14ac:dyDescent="0.15">
      <c r="CP4521" s="31"/>
    </row>
    <row r="4522" spans="94:94" x14ac:dyDescent="0.15">
      <c r="CP4522" s="31"/>
    </row>
    <row r="4523" spans="94:94" x14ac:dyDescent="0.15">
      <c r="CP4523" s="31"/>
    </row>
    <row r="4524" spans="94:94" x14ac:dyDescent="0.15">
      <c r="CP4524" s="31"/>
    </row>
    <row r="4525" spans="94:94" x14ac:dyDescent="0.15">
      <c r="CP4525" s="31"/>
    </row>
    <row r="4526" spans="94:94" x14ac:dyDescent="0.15">
      <c r="CP4526" s="31"/>
    </row>
    <row r="4527" spans="94:94" x14ac:dyDescent="0.15">
      <c r="CP4527" s="31"/>
    </row>
    <row r="4528" spans="94:94" x14ac:dyDescent="0.15">
      <c r="CP4528" s="31"/>
    </row>
    <row r="4529" spans="94:94" x14ac:dyDescent="0.15">
      <c r="CP4529" s="31"/>
    </row>
    <row r="4530" spans="94:94" x14ac:dyDescent="0.15">
      <c r="CP4530" s="31"/>
    </row>
    <row r="4531" spans="94:94" x14ac:dyDescent="0.15">
      <c r="CP4531" s="31"/>
    </row>
    <row r="4532" spans="94:94" x14ac:dyDescent="0.15">
      <c r="CP4532" s="31"/>
    </row>
    <row r="4533" spans="94:94" x14ac:dyDescent="0.15">
      <c r="CP4533" s="31"/>
    </row>
    <row r="4534" spans="94:94" x14ac:dyDescent="0.15">
      <c r="CP4534" s="31"/>
    </row>
    <row r="4535" spans="94:94" x14ac:dyDescent="0.15">
      <c r="CP4535" s="31"/>
    </row>
    <row r="4536" spans="94:94" x14ac:dyDescent="0.15">
      <c r="CP4536" s="31"/>
    </row>
    <row r="4537" spans="94:94" x14ac:dyDescent="0.15">
      <c r="CP4537" s="31"/>
    </row>
    <row r="4538" spans="94:94" x14ac:dyDescent="0.15">
      <c r="CP4538" s="31"/>
    </row>
    <row r="4539" spans="94:94" x14ac:dyDescent="0.15">
      <c r="CP4539" s="31"/>
    </row>
    <row r="4540" spans="94:94" x14ac:dyDescent="0.15">
      <c r="CP4540" s="31"/>
    </row>
    <row r="4541" spans="94:94" x14ac:dyDescent="0.15">
      <c r="CP4541" s="31"/>
    </row>
    <row r="4542" spans="94:94" x14ac:dyDescent="0.15">
      <c r="CP4542" s="31"/>
    </row>
    <row r="4543" spans="94:94" x14ac:dyDescent="0.15">
      <c r="CP4543" s="31"/>
    </row>
    <row r="4544" spans="94:94" x14ac:dyDescent="0.15">
      <c r="CP4544" s="31"/>
    </row>
    <row r="4545" spans="94:94" x14ac:dyDescent="0.15">
      <c r="CP4545" s="31"/>
    </row>
    <row r="4546" spans="94:94" x14ac:dyDescent="0.15">
      <c r="CP4546" s="31"/>
    </row>
    <row r="4547" spans="94:94" x14ac:dyDescent="0.15">
      <c r="CP4547" s="31"/>
    </row>
    <row r="4548" spans="94:94" x14ac:dyDescent="0.15">
      <c r="CP4548" s="31"/>
    </row>
    <row r="4549" spans="94:94" x14ac:dyDescent="0.15">
      <c r="CP4549" s="31"/>
    </row>
    <row r="4550" spans="94:94" x14ac:dyDescent="0.15">
      <c r="CP4550" s="31"/>
    </row>
    <row r="4551" spans="94:94" x14ac:dyDescent="0.15">
      <c r="CP4551" s="31"/>
    </row>
    <row r="4552" spans="94:94" x14ac:dyDescent="0.15">
      <c r="CP4552" s="31"/>
    </row>
    <row r="4553" spans="94:94" x14ac:dyDescent="0.15">
      <c r="CP4553" s="31"/>
    </row>
    <row r="4554" spans="94:94" x14ac:dyDescent="0.15">
      <c r="CP4554" s="31"/>
    </row>
    <row r="4555" spans="94:94" x14ac:dyDescent="0.15">
      <c r="CP4555" s="31"/>
    </row>
    <row r="4556" spans="94:94" x14ac:dyDescent="0.15">
      <c r="CP4556" s="31"/>
    </row>
    <row r="4557" spans="94:94" x14ac:dyDescent="0.15">
      <c r="CP4557" s="31"/>
    </row>
    <row r="4558" spans="94:94" x14ac:dyDescent="0.15">
      <c r="CP4558" s="31"/>
    </row>
    <row r="4559" spans="94:94" x14ac:dyDescent="0.15">
      <c r="CP4559" s="31"/>
    </row>
    <row r="4560" spans="94:94" x14ac:dyDescent="0.15">
      <c r="CP4560" s="31"/>
    </row>
    <row r="4561" spans="94:94" x14ac:dyDescent="0.15">
      <c r="CP4561" s="31"/>
    </row>
    <row r="4562" spans="94:94" x14ac:dyDescent="0.15">
      <c r="CP4562" s="31"/>
    </row>
    <row r="4563" spans="94:94" x14ac:dyDescent="0.15">
      <c r="CP4563" s="31"/>
    </row>
    <row r="4564" spans="94:94" x14ac:dyDescent="0.15">
      <c r="CP4564" s="31"/>
    </row>
    <row r="4565" spans="94:94" x14ac:dyDescent="0.15">
      <c r="CP4565" s="31"/>
    </row>
    <row r="4566" spans="94:94" x14ac:dyDescent="0.15">
      <c r="CP4566" s="31"/>
    </row>
    <row r="4567" spans="94:94" x14ac:dyDescent="0.15">
      <c r="CP4567" s="31"/>
    </row>
    <row r="4568" spans="94:94" x14ac:dyDescent="0.15">
      <c r="CP4568" s="31"/>
    </row>
    <row r="4569" spans="94:94" x14ac:dyDescent="0.15">
      <c r="CP4569" s="31"/>
    </row>
    <row r="4570" spans="94:94" x14ac:dyDescent="0.15">
      <c r="CP4570" s="31"/>
    </row>
    <row r="4571" spans="94:94" x14ac:dyDescent="0.15">
      <c r="CP4571" s="31"/>
    </row>
    <row r="4572" spans="94:94" x14ac:dyDescent="0.15">
      <c r="CP4572" s="31"/>
    </row>
    <row r="4573" spans="94:94" x14ac:dyDescent="0.15">
      <c r="CP4573" s="31"/>
    </row>
    <row r="4574" spans="94:94" x14ac:dyDescent="0.15">
      <c r="CP4574" s="31"/>
    </row>
    <row r="4575" spans="94:94" x14ac:dyDescent="0.15">
      <c r="CP4575" s="31"/>
    </row>
    <row r="4576" spans="94:94" x14ac:dyDescent="0.15">
      <c r="CP4576" s="31"/>
    </row>
    <row r="4577" spans="94:94" x14ac:dyDescent="0.15">
      <c r="CP4577" s="31"/>
    </row>
    <row r="4578" spans="94:94" x14ac:dyDescent="0.15">
      <c r="CP4578" s="31"/>
    </row>
    <row r="4579" spans="94:94" x14ac:dyDescent="0.15">
      <c r="CP4579" s="31"/>
    </row>
    <row r="4580" spans="94:94" x14ac:dyDescent="0.15">
      <c r="CP4580" s="31"/>
    </row>
    <row r="4581" spans="94:94" x14ac:dyDescent="0.15">
      <c r="CP4581" s="31"/>
    </row>
    <row r="4582" spans="94:94" x14ac:dyDescent="0.15">
      <c r="CP4582" s="31"/>
    </row>
    <row r="4583" spans="94:94" x14ac:dyDescent="0.15">
      <c r="CP4583" s="31"/>
    </row>
    <row r="4584" spans="94:94" x14ac:dyDescent="0.15">
      <c r="CP4584" s="31"/>
    </row>
    <row r="4585" spans="94:94" x14ac:dyDescent="0.15">
      <c r="CP4585" s="31"/>
    </row>
    <row r="4586" spans="94:94" x14ac:dyDescent="0.15">
      <c r="CP4586" s="31"/>
    </row>
    <row r="4587" spans="94:94" x14ac:dyDescent="0.15">
      <c r="CP4587" s="31"/>
    </row>
    <row r="4588" spans="94:94" x14ac:dyDescent="0.15">
      <c r="CP4588" s="31"/>
    </row>
    <row r="4589" spans="94:94" x14ac:dyDescent="0.15">
      <c r="CP4589" s="31"/>
    </row>
    <row r="4590" spans="94:94" x14ac:dyDescent="0.15">
      <c r="CP4590" s="31"/>
    </row>
    <row r="4591" spans="94:94" x14ac:dyDescent="0.15">
      <c r="CP4591" s="31"/>
    </row>
    <row r="4592" spans="94:94" x14ac:dyDescent="0.15">
      <c r="CP4592" s="31"/>
    </row>
    <row r="4593" spans="94:94" x14ac:dyDescent="0.15">
      <c r="CP4593" s="31"/>
    </row>
    <row r="4594" spans="94:94" x14ac:dyDescent="0.15">
      <c r="CP4594" s="31"/>
    </row>
    <row r="4595" spans="94:94" x14ac:dyDescent="0.15">
      <c r="CP4595" s="31"/>
    </row>
    <row r="4596" spans="94:94" x14ac:dyDescent="0.15">
      <c r="CP4596" s="31"/>
    </row>
    <row r="4597" spans="94:94" x14ac:dyDescent="0.15">
      <c r="CP4597" s="31"/>
    </row>
    <row r="4598" spans="94:94" x14ac:dyDescent="0.15">
      <c r="CP4598" s="31"/>
    </row>
    <row r="4599" spans="94:94" x14ac:dyDescent="0.15">
      <c r="CP4599" s="31"/>
    </row>
    <row r="4600" spans="94:94" x14ac:dyDescent="0.15">
      <c r="CP4600" s="31"/>
    </row>
    <row r="4601" spans="94:94" x14ac:dyDescent="0.15">
      <c r="CP4601" s="31"/>
    </row>
    <row r="4602" spans="94:94" x14ac:dyDescent="0.15">
      <c r="CP4602" s="31"/>
    </row>
    <row r="4603" spans="94:94" x14ac:dyDescent="0.15">
      <c r="CP4603" s="31"/>
    </row>
    <row r="4604" spans="94:94" x14ac:dyDescent="0.15">
      <c r="CP4604" s="31"/>
    </row>
    <row r="4605" spans="94:94" x14ac:dyDescent="0.15">
      <c r="CP4605" s="31"/>
    </row>
    <row r="4606" spans="94:94" x14ac:dyDescent="0.15">
      <c r="CP4606" s="31"/>
    </row>
    <row r="4607" spans="94:94" x14ac:dyDescent="0.15">
      <c r="CP4607" s="31"/>
    </row>
    <row r="4608" spans="94:94" x14ac:dyDescent="0.15">
      <c r="CP4608" s="31"/>
    </row>
    <row r="4609" spans="94:94" x14ac:dyDescent="0.15">
      <c r="CP4609" s="31"/>
    </row>
    <row r="4610" spans="94:94" x14ac:dyDescent="0.15">
      <c r="CP4610" s="31"/>
    </row>
    <row r="4611" spans="94:94" x14ac:dyDescent="0.15">
      <c r="CP4611" s="31"/>
    </row>
    <row r="4612" spans="94:94" x14ac:dyDescent="0.15">
      <c r="CP4612" s="31"/>
    </row>
    <row r="4613" spans="94:94" x14ac:dyDescent="0.15">
      <c r="CP4613" s="31"/>
    </row>
    <row r="4614" spans="94:94" x14ac:dyDescent="0.15">
      <c r="CP4614" s="31"/>
    </row>
    <row r="4615" spans="94:94" x14ac:dyDescent="0.15">
      <c r="CP4615" s="31"/>
    </row>
    <row r="4616" spans="94:94" x14ac:dyDescent="0.15">
      <c r="CP4616" s="31"/>
    </row>
    <row r="4617" spans="94:94" x14ac:dyDescent="0.15">
      <c r="CP4617" s="31"/>
    </row>
    <row r="4618" spans="94:94" x14ac:dyDescent="0.15">
      <c r="CP4618" s="31"/>
    </row>
    <row r="4619" spans="94:94" x14ac:dyDescent="0.15">
      <c r="CP4619" s="31"/>
    </row>
    <row r="4620" spans="94:94" x14ac:dyDescent="0.15">
      <c r="CP4620" s="31"/>
    </row>
    <row r="4621" spans="94:94" x14ac:dyDescent="0.15">
      <c r="CP4621" s="31"/>
    </row>
    <row r="4622" spans="94:94" x14ac:dyDescent="0.15">
      <c r="CP4622" s="31"/>
    </row>
    <row r="4623" spans="94:94" x14ac:dyDescent="0.15">
      <c r="CP4623" s="31"/>
    </row>
    <row r="4624" spans="94:94" x14ac:dyDescent="0.15">
      <c r="CP4624" s="31"/>
    </row>
    <row r="4625" spans="94:94" x14ac:dyDescent="0.15">
      <c r="CP4625" s="31"/>
    </row>
    <row r="4626" spans="94:94" x14ac:dyDescent="0.15">
      <c r="CP4626" s="31"/>
    </row>
    <row r="4627" spans="94:94" x14ac:dyDescent="0.15">
      <c r="CP4627" s="31"/>
    </row>
    <row r="4628" spans="94:94" x14ac:dyDescent="0.15">
      <c r="CP4628" s="31"/>
    </row>
    <row r="4629" spans="94:94" x14ac:dyDescent="0.15">
      <c r="CP4629" s="31"/>
    </row>
    <row r="4630" spans="94:94" x14ac:dyDescent="0.15">
      <c r="CP4630" s="31"/>
    </row>
    <row r="4631" spans="94:94" x14ac:dyDescent="0.15">
      <c r="CP4631" s="31"/>
    </row>
    <row r="4632" spans="94:94" x14ac:dyDescent="0.15">
      <c r="CP4632" s="31"/>
    </row>
    <row r="4633" spans="94:94" x14ac:dyDescent="0.15">
      <c r="CP4633" s="31"/>
    </row>
    <row r="4634" spans="94:94" x14ac:dyDescent="0.15">
      <c r="CP4634" s="31"/>
    </row>
    <row r="4635" spans="94:94" x14ac:dyDescent="0.15">
      <c r="CP4635" s="31"/>
    </row>
    <row r="4636" spans="94:94" x14ac:dyDescent="0.15">
      <c r="CP4636" s="31"/>
    </row>
    <row r="4637" spans="94:94" x14ac:dyDescent="0.15">
      <c r="CP4637" s="31"/>
    </row>
    <row r="4638" spans="94:94" x14ac:dyDescent="0.15">
      <c r="CP4638" s="31"/>
    </row>
    <row r="4639" spans="94:94" x14ac:dyDescent="0.15">
      <c r="CP4639" s="31"/>
    </row>
    <row r="4640" spans="94:94" x14ac:dyDescent="0.15">
      <c r="CP4640" s="31"/>
    </row>
    <row r="4641" spans="94:94" x14ac:dyDescent="0.15">
      <c r="CP4641" s="31"/>
    </row>
    <row r="4642" spans="94:94" x14ac:dyDescent="0.15">
      <c r="CP4642" s="31"/>
    </row>
    <row r="4643" spans="94:94" x14ac:dyDescent="0.15">
      <c r="CP4643" s="31"/>
    </row>
    <row r="4644" spans="94:94" x14ac:dyDescent="0.15">
      <c r="CP4644" s="31"/>
    </row>
    <row r="4645" spans="94:94" x14ac:dyDescent="0.15">
      <c r="CP4645" s="31"/>
    </row>
    <row r="4646" spans="94:94" x14ac:dyDescent="0.15">
      <c r="CP4646" s="31"/>
    </row>
    <row r="4647" spans="94:94" x14ac:dyDescent="0.15">
      <c r="CP4647" s="31"/>
    </row>
    <row r="4648" spans="94:94" x14ac:dyDescent="0.15">
      <c r="CP4648" s="31"/>
    </row>
    <row r="4649" spans="94:94" x14ac:dyDescent="0.15">
      <c r="CP4649" s="31"/>
    </row>
    <row r="4650" spans="94:94" x14ac:dyDescent="0.15">
      <c r="CP4650" s="31"/>
    </row>
    <row r="4651" spans="94:94" x14ac:dyDescent="0.15">
      <c r="CP4651" s="31"/>
    </row>
    <row r="4652" spans="94:94" x14ac:dyDescent="0.15">
      <c r="CP4652" s="31"/>
    </row>
    <row r="4653" spans="94:94" x14ac:dyDescent="0.15">
      <c r="CP4653" s="31"/>
    </row>
    <row r="4654" spans="94:94" x14ac:dyDescent="0.15">
      <c r="CP4654" s="31"/>
    </row>
    <row r="4655" spans="94:94" x14ac:dyDescent="0.15">
      <c r="CP4655" s="31"/>
    </row>
    <row r="4656" spans="94:94" x14ac:dyDescent="0.15">
      <c r="CP4656" s="31"/>
    </row>
    <row r="4657" spans="94:94" x14ac:dyDescent="0.15">
      <c r="CP4657" s="31"/>
    </row>
    <row r="4658" spans="94:94" x14ac:dyDescent="0.15">
      <c r="CP4658" s="31"/>
    </row>
    <row r="4659" spans="94:94" x14ac:dyDescent="0.15">
      <c r="CP4659" s="31"/>
    </row>
    <row r="4660" spans="94:94" x14ac:dyDescent="0.15">
      <c r="CP4660" s="31"/>
    </row>
    <row r="4661" spans="94:94" x14ac:dyDescent="0.15">
      <c r="CP4661" s="31"/>
    </row>
    <row r="4662" spans="94:94" x14ac:dyDescent="0.15">
      <c r="CP4662" s="31"/>
    </row>
    <row r="4663" spans="94:94" x14ac:dyDescent="0.15">
      <c r="CP4663" s="31"/>
    </row>
    <row r="4664" spans="94:94" x14ac:dyDescent="0.15">
      <c r="CP4664" s="31"/>
    </row>
    <row r="4665" spans="94:94" x14ac:dyDescent="0.15">
      <c r="CP4665" s="31"/>
    </row>
    <row r="4666" spans="94:94" x14ac:dyDescent="0.15">
      <c r="CP4666" s="31"/>
    </row>
    <row r="4667" spans="94:94" x14ac:dyDescent="0.15">
      <c r="CP4667" s="31"/>
    </row>
    <row r="4668" spans="94:94" x14ac:dyDescent="0.15">
      <c r="CP4668" s="31"/>
    </row>
    <row r="4669" spans="94:94" x14ac:dyDescent="0.15">
      <c r="CP4669" s="31"/>
    </row>
    <row r="4670" spans="94:94" x14ac:dyDescent="0.15">
      <c r="CP4670" s="31"/>
    </row>
    <row r="4671" spans="94:94" x14ac:dyDescent="0.15">
      <c r="CP4671" s="31"/>
    </row>
    <row r="4672" spans="94:94" x14ac:dyDescent="0.15">
      <c r="CP4672" s="31"/>
    </row>
    <row r="4673" spans="94:94" x14ac:dyDescent="0.15">
      <c r="CP4673" s="31"/>
    </row>
    <row r="4674" spans="94:94" x14ac:dyDescent="0.15">
      <c r="CP4674" s="31"/>
    </row>
    <row r="4675" spans="94:94" x14ac:dyDescent="0.15">
      <c r="CP4675" s="31"/>
    </row>
    <row r="4676" spans="94:94" x14ac:dyDescent="0.15">
      <c r="CP4676" s="31"/>
    </row>
    <row r="4677" spans="94:94" x14ac:dyDescent="0.15">
      <c r="CP4677" s="31"/>
    </row>
    <row r="4678" spans="94:94" x14ac:dyDescent="0.15">
      <c r="CP4678" s="31"/>
    </row>
    <row r="4679" spans="94:94" x14ac:dyDescent="0.15">
      <c r="CP4679" s="31"/>
    </row>
    <row r="4680" spans="94:94" x14ac:dyDescent="0.15">
      <c r="CP4680" s="31"/>
    </row>
    <row r="4681" spans="94:94" x14ac:dyDescent="0.15">
      <c r="CP4681" s="31"/>
    </row>
    <row r="4682" spans="94:94" x14ac:dyDescent="0.15">
      <c r="CP4682" s="31"/>
    </row>
    <row r="4683" spans="94:94" x14ac:dyDescent="0.15">
      <c r="CP4683" s="31"/>
    </row>
    <row r="4684" spans="94:94" x14ac:dyDescent="0.15">
      <c r="CP4684" s="31"/>
    </row>
    <row r="4685" spans="94:94" x14ac:dyDescent="0.15">
      <c r="CP4685" s="31"/>
    </row>
    <row r="4686" spans="94:94" x14ac:dyDescent="0.15">
      <c r="CP4686" s="31"/>
    </row>
    <row r="4687" spans="94:94" x14ac:dyDescent="0.15">
      <c r="CP4687" s="31"/>
    </row>
    <row r="4688" spans="94:94" x14ac:dyDescent="0.15">
      <c r="CP4688" s="31"/>
    </row>
    <row r="4689" spans="94:94" x14ac:dyDescent="0.15">
      <c r="CP4689" s="31"/>
    </row>
    <row r="4690" spans="94:94" x14ac:dyDescent="0.15">
      <c r="CP4690" s="31"/>
    </row>
    <row r="4691" spans="94:94" x14ac:dyDescent="0.15">
      <c r="CP4691" s="31"/>
    </row>
    <row r="4692" spans="94:94" x14ac:dyDescent="0.15">
      <c r="CP4692" s="31"/>
    </row>
    <row r="4693" spans="94:94" x14ac:dyDescent="0.15">
      <c r="CP4693" s="31"/>
    </row>
    <row r="4694" spans="94:94" x14ac:dyDescent="0.15">
      <c r="CP4694" s="31"/>
    </row>
    <row r="4695" spans="94:94" x14ac:dyDescent="0.15">
      <c r="CP4695" s="31"/>
    </row>
    <row r="4696" spans="94:94" x14ac:dyDescent="0.15">
      <c r="CP4696" s="31"/>
    </row>
    <row r="4697" spans="94:94" x14ac:dyDescent="0.15">
      <c r="CP4697" s="31"/>
    </row>
    <row r="4698" spans="94:94" x14ac:dyDescent="0.15">
      <c r="CP4698" s="31"/>
    </row>
    <row r="4699" spans="94:94" x14ac:dyDescent="0.15">
      <c r="CP4699" s="31"/>
    </row>
    <row r="4700" spans="94:94" x14ac:dyDescent="0.15">
      <c r="CP4700" s="31"/>
    </row>
    <row r="4701" spans="94:94" x14ac:dyDescent="0.15">
      <c r="CP4701" s="31"/>
    </row>
    <row r="4702" spans="94:94" x14ac:dyDescent="0.15">
      <c r="CP4702" s="31"/>
    </row>
    <row r="4703" spans="94:94" x14ac:dyDescent="0.15">
      <c r="CP4703" s="31"/>
    </row>
    <row r="4704" spans="94:94" x14ac:dyDescent="0.15">
      <c r="CP4704" s="31"/>
    </row>
    <row r="4705" spans="94:94" x14ac:dyDescent="0.15">
      <c r="CP4705" s="31"/>
    </row>
    <row r="4706" spans="94:94" x14ac:dyDescent="0.15">
      <c r="CP4706" s="31"/>
    </row>
    <row r="4707" spans="94:94" x14ac:dyDescent="0.15">
      <c r="CP4707" s="31"/>
    </row>
    <row r="4708" spans="94:94" x14ac:dyDescent="0.15">
      <c r="CP4708" s="31"/>
    </row>
    <row r="4709" spans="94:94" x14ac:dyDescent="0.15">
      <c r="CP4709" s="31"/>
    </row>
    <row r="4710" spans="94:94" x14ac:dyDescent="0.15">
      <c r="CP4710" s="31"/>
    </row>
    <row r="4711" spans="94:94" x14ac:dyDescent="0.15">
      <c r="CP4711" s="31"/>
    </row>
    <row r="4712" spans="94:94" x14ac:dyDescent="0.15">
      <c r="CP4712" s="31"/>
    </row>
    <row r="4713" spans="94:94" x14ac:dyDescent="0.15">
      <c r="CP4713" s="31"/>
    </row>
    <row r="4714" spans="94:94" x14ac:dyDescent="0.15">
      <c r="CP4714" s="31"/>
    </row>
    <row r="4715" spans="94:94" x14ac:dyDescent="0.15">
      <c r="CP4715" s="31"/>
    </row>
    <row r="4716" spans="94:94" x14ac:dyDescent="0.15">
      <c r="CP4716" s="31"/>
    </row>
    <row r="4717" spans="94:94" x14ac:dyDescent="0.15">
      <c r="CP4717" s="31"/>
    </row>
    <row r="4718" spans="94:94" x14ac:dyDescent="0.15">
      <c r="CP4718" s="31"/>
    </row>
    <row r="4719" spans="94:94" x14ac:dyDescent="0.15">
      <c r="CP4719" s="31"/>
    </row>
    <row r="4720" spans="94:94" x14ac:dyDescent="0.15">
      <c r="CP4720" s="31"/>
    </row>
    <row r="4721" spans="94:94" x14ac:dyDescent="0.15">
      <c r="CP4721" s="31"/>
    </row>
    <row r="4722" spans="94:94" x14ac:dyDescent="0.15">
      <c r="CP4722" s="31"/>
    </row>
    <row r="4723" spans="94:94" x14ac:dyDescent="0.15">
      <c r="CP4723" s="31"/>
    </row>
    <row r="4724" spans="94:94" x14ac:dyDescent="0.15">
      <c r="CP4724" s="31"/>
    </row>
    <row r="4725" spans="94:94" x14ac:dyDescent="0.15">
      <c r="CP4725" s="31"/>
    </row>
    <row r="4726" spans="94:94" x14ac:dyDescent="0.15">
      <c r="CP4726" s="31"/>
    </row>
    <row r="4727" spans="94:94" x14ac:dyDescent="0.15">
      <c r="CP4727" s="31"/>
    </row>
    <row r="4728" spans="94:94" x14ac:dyDescent="0.15">
      <c r="CP4728" s="31"/>
    </row>
    <row r="4729" spans="94:94" x14ac:dyDescent="0.15">
      <c r="CP4729" s="31"/>
    </row>
    <row r="4730" spans="94:94" x14ac:dyDescent="0.15">
      <c r="CP4730" s="31"/>
    </row>
    <row r="4731" spans="94:94" x14ac:dyDescent="0.15">
      <c r="CP4731" s="31"/>
    </row>
    <row r="4732" spans="94:94" x14ac:dyDescent="0.15">
      <c r="CP4732" s="31"/>
    </row>
    <row r="4733" spans="94:94" x14ac:dyDescent="0.15">
      <c r="CP4733" s="31"/>
    </row>
    <row r="4734" spans="94:94" x14ac:dyDescent="0.15">
      <c r="CP4734" s="31"/>
    </row>
    <row r="4735" spans="94:94" x14ac:dyDescent="0.15">
      <c r="CP4735" s="31"/>
    </row>
    <row r="4736" spans="94:94" x14ac:dyDescent="0.15">
      <c r="CP4736" s="31"/>
    </row>
    <row r="4737" spans="94:94" x14ac:dyDescent="0.15">
      <c r="CP4737" s="31"/>
    </row>
    <row r="4738" spans="94:94" x14ac:dyDescent="0.15">
      <c r="CP4738" s="31"/>
    </row>
    <row r="4739" spans="94:94" x14ac:dyDescent="0.15">
      <c r="CP4739" s="31"/>
    </row>
    <row r="4740" spans="94:94" x14ac:dyDescent="0.15">
      <c r="CP4740" s="31"/>
    </row>
    <row r="4741" spans="94:94" x14ac:dyDescent="0.15">
      <c r="CP4741" s="31"/>
    </row>
    <row r="4742" spans="94:94" x14ac:dyDescent="0.15">
      <c r="CP4742" s="31"/>
    </row>
    <row r="4743" spans="94:94" x14ac:dyDescent="0.15">
      <c r="CP4743" s="31"/>
    </row>
    <row r="4744" spans="94:94" x14ac:dyDescent="0.15">
      <c r="CP4744" s="31"/>
    </row>
    <row r="4745" spans="94:94" x14ac:dyDescent="0.15">
      <c r="CP4745" s="31"/>
    </row>
    <row r="4746" spans="94:94" x14ac:dyDescent="0.15">
      <c r="CP4746" s="31"/>
    </row>
    <row r="4747" spans="94:94" x14ac:dyDescent="0.15">
      <c r="CP4747" s="31"/>
    </row>
    <row r="4748" spans="94:94" x14ac:dyDescent="0.15">
      <c r="CP4748" s="31"/>
    </row>
    <row r="4749" spans="94:94" x14ac:dyDescent="0.15">
      <c r="CP4749" s="31"/>
    </row>
    <row r="4750" spans="94:94" x14ac:dyDescent="0.15">
      <c r="CP4750" s="31"/>
    </row>
    <row r="4751" spans="94:94" x14ac:dyDescent="0.15">
      <c r="CP4751" s="31"/>
    </row>
    <row r="4752" spans="94:94" x14ac:dyDescent="0.15">
      <c r="CP4752" s="31"/>
    </row>
    <row r="4753" spans="94:94" x14ac:dyDescent="0.15">
      <c r="CP4753" s="31"/>
    </row>
    <row r="4754" spans="94:94" x14ac:dyDescent="0.15">
      <c r="CP4754" s="31"/>
    </row>
    <row r="4755" spans="94:94" x14ac:dyDescent="0.15">
      <c r="CP4755" s="31"/>
    </row>
    <row r="4756" spans="94:94" x14ac:dyDescent="0.15">
      <c r="CP4756" s="31"/>
    </row>
    <row r="4757" spans="94:94" x14ac:dyDescent="0.15">
      <c r="CP4757" s="31"/>
    </row>
    <row r="4758" spans="94:94" x14ac:dyDescent="0.15">
      <c r="CP4758" s="31"/>
    </row>
    <row r="4759" spans="94:94" x14ac:dyDescent="0.15">
      <c r="CP4759" s="31"/>
    </row>
    <row r="4760" spans="94:94" x14ac:dyDescent="0.15">
      <c r="CP4760" s="31"/>
    </row>
    <row r="4761" spans="94:94" x14ac:dyDescent="0.15">
      <c r="CP4761" s="31"/>
    </row>
    <row r="4762" spans="94:94" x14ac:dyDescent="0.15">
      <c r="CP4762" s="31"/>
    </row>
    <row r="4763" spans="94:94" x14ac:dyDescent="0.15">
      <c r="CP4763" s="31"/>
    </row>
    <row r="4764" spans="94:94" x14ac:dyDescent="0.15">
      <c r="CP4764" s="31"/>
    </row>
    <row r="4765" spans="94:94" x14ac:dyDescent="0.15">
      <c r="CP4765" s="31"/>
    </row>
    <row r="4766" spans="94:94" x14ac:dyDescent="0.15">
      <c r="CP4766" s="31"/>
    </row>
    <row r="4767" spans="94:94" x14ac:dyDescent="0.15">
      <c r="CP4767" s="31"/>
    </row>
    <row r="4768" spans="94:94" x14ac:dyDescent="0.15">
      <c r="CP4768" s="31"/>
    </row>
    <row r="4769" spans="94:94" x14ac:dyDescent="0.15">
      <c r="CP4769" s="31"/>
    </row>
    <row r="4770" spans="94:94" x14ac:dyDescent="0.15">
      <c r="CP4770" s="31"/>
    </row>
    <row r="4771" spans="94:94" x14ac:dyDescent="0.15">
      <c r="CP4771" s="31"/>
    </row>
    <row r="4772" spans="94:94" x14ac:dyDescent="0.15">
      <c r="CP4772" s="31"/>
    </row>
    <row r="4773" spans="94:94" x14ac:dyDescent="0.15">
      <c r="CP4773" s="31"/>
    </row>
    <row r="4774" spans="94:94" x14ac:dyDescent="0.15">
      <c r="CP4774" s="31"/>
    </row>
    <row r="4775" spans="94:94" x14ac:dyDescent="0.15">
      <c r="CP4775" s="31"/>
    </row>
    <row r="4776" spans="94:94" x14ac:dyDescent="0.15">
      <c r="CP4776" s="31"/>
    </row>
    <row r="4777" spans="94:94" x14ac:dyDescent="0.15">
      <c r="CP4777" s="31"/>
    </row>
    <row r="4778" spans="94:94" x14ac:dyDescent="0.15">
      <c r="CP4778" s="31"/>
    </row>
    <row r="4779" spans="94:94" x14ac:dyDescent="0.15">
      <c r="CP4779" s="31"/>
    </row>
    <row r="4780" spans="94:94" x14ac:dyDescent="0.15">
      <c r="CP4780" s="31"/>
    </row>
    <row r="4781" spans="94:94" x14ac:dyDescent="0.15">
      <c r="CP4781" s="31"/>
    </row>
    <row r="4782" spans="94:94" x14ac:dyDescent="0.15">
      <c r="CP4782" s="31"/>
    </row>
    <row r="4783" spans="94:94" x14ac:dyDescent="0.15">
      <c r="CP4783" s="31"/>
    </row>
    <row r="4784" spans="94:94" x14ac:dyDescent="0.15">
      <c r="CP4784" s="31"/>
    </row>
    <row r="4785" spans="94:94" x14ac:dyDescent="0.15">
      <c r="CP4785" s="31"/>
    </row>
    <row r="4786" spans="94:94" x14ac:dyDescent="0.15">
      <c r="CP4786" s="31"/>
    </row>
    <row r="4787" spans="94:94" x14ac:dyDescent="0.15">
      <c r="CP4787" s="31"/>
    </row>
    <row r="4788" spans="94:94" x14ac:dyDescent="0.15">
      <c r="CP4788" s="31"/>
    </row>
    <row r="4789" spans="94:94" x14ac:dyDescent="0.15">
      <c r="CP4789" s="31"/>
    </row>
    <row r="4790" spans="94:94" x14ac:dyDescent="0.15">
      <c r="CP4790" s="31"/>
    </row>
    <row r="4791" spans="94:94" x14ac:dyDescent="0.15">
      <c r="CP4791" s="31"/>
    </row>
    <row r="4792" spans="94:94" x14ac:dyDescent="0.15">
      <c r="CP4792" s="31"/>
    </row>
    <row r="4793" spans="94:94" x14ac:dyDescent="0.15">
      <c r="CP4793" s="31"/>
    </row>
    <row r="4794" spans="94:94" x14ac:dyDescent="0.15">
      <c r="CP4794" s="31"/>
    </row>
    <row r="4795" spans="94:94" x14ac:dyDescent="0.15">
      <c r="CP4795" s="31"/>
    </row>
    <row r="4796" spans="94:94" x14ac:dyDescent="0.15">
      <c r="CP4796" s="31"/>
    </row>
    <row r="4797" spans="94:94" x14ac:dyDescent="0.15">
      <c r="CP4797" s="31"/>
    </row>
    <row r="4798" spans="94:94" x14ac:dyDescent="0.15">
      <c r="CP4798" s="31"/>
    </row>
    <row r="4799" spans="94:94" x14ac:dyDescent="0.15">
      <c r="CP4799" s="31"/>
    </row>
    <row r="4800" spans="94:94" x14ac:dyDescent="0.15">
      <c r="CP4800" s="31"/>
    </row>
    <row r="4801" spans="94:94" x14ac:dyDescent="0.15">
      <c r="CP4801" s="31"/>
    </row>
    <row r="4802" spans="94:94" x14ac:dyDescent="0.15">
      <c r="CP4802" s="31"/>
    </row>
    <row r="4803" spans="94:94" x14ac:dyDescent="0.15">
      <c r="CP4803" s="31"/>
    </row>
    <row r="4804" spans="94:94" x14ac:dyDescent="0.15">
      <c r="CP4804" s="31"/>
    </row>
    <row r="4805" spans="94:94" x14ac:dyDescent="0.15">
      <c r="CP4805" s="31"/>
    </row>
    <row r="4806" spans="94:94" x14ac:dyDescent="0.15">
      <c r="CP4806" s="31"/>
    </row>
    <row r="4807" spans="94:94" x14ac:dyDescent="0.15">
      <c r="CP4807" s="31"/>
    </row>
    <row r="4808" spans="94:94" x14ac:dyDescent="0.15">
      <c r="CP4808" s="31"/>
    </row>
    <row r="4809" spans="94:94" x14ac:dyDescent="0.15">
      <c r="CP4809" s="31"/>
    </row>
    <row r="4810" spans="94:94" x14ac:dyDescent="0.15">
      <c r="CP4810" s="31"/>
    </row>
    <row r="4811" spans="94:94" x14ac:dyDescent="0.15">
      <c r="CP4811" s="31"/>
    </row>
    <row r="4812" spans="94:94" x14ac:dyDescent="0.15">
      <c r="CP4812" s="31"/>
    </row>
    <row r="4813" spans="94:94" x14ac:dyDescent="0.15">
      <c r="CP4813" s="31"/>
    </row>
    <row r="4814" spans="94:94" x14ac:dyDescent="0.15">
      <c r="CP4814" s="31"/>
    </row>
    <row r="4815" spans="94:94" x14ac:dyDescent="0.15">
      <c r="CP4815" s="31"/>
    </row>
    <row r="4816" spans="94:94" x14ac:dyDescent="0.15">
      <c r="CP4816" s="31"/>
    </row>
    <row r="4817" spans="94:94" x14ac:dyDescent="0.15">
      <c r="CP4817" s="31"/>
    </row>
    <row r="4818" spans="94:94" x14ac:dyDescent="0.15">
      <c r="CP4818" s="31"/>
    </row>
    <row r="4819" spans="94:94" x14ac:dyDescent="0.15">
      <c r="CP4819" s="31"/>
    </row>
    <row r="4820" spans="94:94" x14ac:dyDescent="0.15">
      <c r="CP4820" s="31"/>
    </row>
    <row r="4821" spans="94:94" x14ac:dyDescent="0.15">
      <c r="CP4821" s="31"/>
    </row>
    <row r="4822" spans="94:94" x14ac:dyDescent="0.15">
      <c r="CP4822" s="31"/>
    </row>
    <row r="4823" spans="94:94" x14ac:dyDescent="0.15">
      <c r="CP4823" s="31"/>
    </row>
    <row r="4824" spans="94:94" x14ac:dyDescent="0.15">
      <c r="CP4824" s="31"/>
    </row>
    <row r="4825" spans="94:94" x14ac:dyDescent="0.15">
      <c r="CP4825" s="31"/>
    </row>
    <row r="4826" spans="94:94" x14ac:dyDescent="0.15">
      <c r="CP4826" s="31"/>
    </row>
    <row r="4827" spans="94:94" x14ac:dyDescent="0.15">
      <c r="CP4827" s="31"/>
    </row>
    <row r="4828" spans="94:94" x14ac:dyDescent="0.15">
      <c r="CP4828" s="31"/>
    </row>
    <row r="4829" spans="94:94" x14ac:dyDescent="0.15">
      <c r="CP4829" s="31"/>
    </row>
    <row r="4830" spans="94:94" x14ac:dyDescent="0.15">
      <c r="CP4830" s="31"/>
    </row>
    <row r="4831" spans="94:94" x14ac:dyDescent="0.15">
      <c r="CP4831" s="31"/>
    </row>
    <row r="4832" spans="94:94" x14ac:dyDescent="0.15">
      <c r="CP4832" s="31"/>
    </row>
    <row r="4833" spans="94:94" x14ac:dyDescent="0.15">
      <c r="CP4833" s="31"/>
    </row>
    <row r="4834" spans="94:94" x14ac:dyDescent="0.15">
      <c r="CP4834" s="31"/>
    </row>
    <row r="4835" spans="94:94" x14ac:dyDescent="0.15">
      <c r="CP4835" s="31"/>
    </row>
    <row r="4836" spans="94:94" x14ac:dyDescent="0.15">
      <c r="CP4836" s="31"/>
    </row>
    <row r="4837" spans="94:94" x14ac:dyDescent="0.15">
      <c r="CP4837" s="31"/>
    </row>
    <row r="4838" spans="94:94" x14ac:dyDescent="0.15">
      <c r="CP4838" s="31"/>
    </row>
    <row r="4839" spans="94:94" x14ac:dyDescent="0.15">
      <c r="CP4839" s="31"/>
    </row>
    <row r="4840" spans="94:94" x14ac:dyDescent="0.15">
      <c r="CP4840" s="31"/>
    </row>
    <row r="4841" spans="94:94" x14ac:dyDescent="0.15">
      <c r="CP4841" s="31"/>
    </row>
    <row r="4842" spans="94:94" x14ac:dyDescent="0.15">
      <c r="CP4842" s="31"/>
    </row>
    <row r="4843" spans="94:94" x14ac:dyDescent="0.15">
      <c r="CP4843" s="31"/>
    </row>
    <row r="4844" spans="94:94" x14ac:dyDescent="0.15">
      <c r="CP4844" s="31"/>
    </row>
    <row r="4845" spans="94:94" x14ac:dyDescent="0.15">
      <c r="CP4845" s="31"/>
    </row>
    <row r="4846" spans="94:94" x14ac:dyDescent="0.15">
      <c r="CP4846" s="31"/>
    </row>
    <row r="4847" spans="94:94" x14ac:dyDescent="0.15">
      <c r="CP4847" s="31"/>
    </row>
    <row r="4848" spans="94:94" x14ac:dyDescent="0.15">
      <c r="CP4848" s="31"/>
    </row>
    <row r="4849" spans="94:94" x14ac:dyDescent="0.15">
      <c r="CP4849" s="31"/>
    </row>
    <row r="4850" spans="94:94" x14ac:dyDescent="0.15">
      <c r="CP4850" s="31"/>
    </row>
    <row r="4851" spans="94:94" x14ac:dyDescent="0.15">
      <c r="CP4851" s="31"/>
    </row>
    <row r="4852" spans="94:94" x14ac:dyDescent="0.15">
      <c r="CP4852" s="31"/>
    </row>
    <row r="4853" spans="94:94" x14ac:dyDescent="0.15">
      <c r="CP4853" s="31"/>
    </row>
    <row r="4854" spans="94:94" x14ac:dyDescent="0.15">
      <c r="CP4854" s="31"/>
    </row>
    <row r="4855" spans="94:94" x14ac:dyDescent="0.15">
      <c r="CP4855" s="31"/>
    </row>
    <row r="4856" spans="94:94" x14ac:dyDescent="0.15">
      <c r="CP4856" s="31"/>
    </row>
    <row r="4857" spans="94:94" x14ac:dyDescent="0.15">
      <c r="CP4857" s="31"/>
    </row>
    <row r="4858" spans="94:94" x14ac:dyDescent="0.15">
      <c r="CP4858" s="31"/>
    </row>
    <row r="4859" spans="94:94" x14ac:dyDescent="0.15">
      <c r="CP4859" s="31"/>
    </row>
    <row r="4860" spans="94:94" x14ac:dyDescent="0.15">
      <c r="CP4860" s="31"/>
    </row>
    <row r="4861" spans="94:94" x14ac:dyDescent="0.15">
      <c r="CP4861" s="31"/>
    </row>
    <row r="4862" spans="94:94" x14ac:dyDescent="0.15">
      <c r="CP4862" s="31"/>
    </row>
    <row r="4863" spans="94:94" x14ac:dyDescent="0.15">
      <c r="CP4863" s="31"/>
    </row>
    <row r="4864" spans="94:94" x14ac:dyDescent="0.15">
      <c r="CP4864" s="31"/>
    </row>
    <row r="4865" spans="94:94" x14ac:dyDescent="0.15">
      <c r="CP4865" s="31"/>
    </row>
    <row r="4866" spans="94:94" x14ac:dyDescent="0.15">
      <c r="CP4866" s="31"/>
    </row>
    <row r="4867" spans="94:94" x14ac:dyDescent="0.15">
      <c r="CP4867" s="31"/>
    </row>
    <row r="4868" spans="94:94" x14ac:dyDescent="0.15">
      <c r="CP4868" s="31"/>
    </row>
    <row r="4869" spans="94:94" x14ac:dyDescent="0.15">
      <c r="CP4869" s="31"/>
    </row>
    <row r="4870" spans="94:94" x14ac:dyDescent="0.15">
      <c r="CP4870" s="31"/>
    </row>
    <row r="4871" spans="94:94" x14ac:dyDescent="0.15">
      <c r="CP4871" s="31"/>
    </row>
    <row r="4872" spans="94:94" x14ac:dyDescent="0.15">
      <c r="CP4872" s="31"/>
    </row>
    <row r="4873" spans="94:94" x14ac:dyDescent="0.15">
      <c r="CP4873" s="31"/>
    </row>
    <row r="4874" spans="94:94" x14ac:dyDescent="0.15">
      <c r="CP4874" s="31"/>
    </row>
    <row r="4875" spans="94:94" x14ac:dyDescent="0.15">
      <c r="CP4875" s="31"/>
    </row>
    <row r="4876" spans="94:94" x14ac:dyDescent="0.15">
      <c r="CP4876" s="31"/>
    </row>
    <row r="4877" spans="94:94" x14ac:dyDescent="0.15">
      <c r="CP4877" s="31"/>
    </row>
    <row r="4878" spans="94:94" x14ac:dyDescent="0.15">
      <c r="CP4878" s="31"/>
    </row>
    <row r="4879" spans="94:94" x14ac:dyDescent="0.15">
      <c r="CP4879" s="31"/>
    </row>
    <row r="4880" spans="94:94" x14ac:dyDescent="0.15">
      <c r="CP4880" s="31"/>
    </row>
    <row r="4881" spans="94:94" x14ac:dyDescent="0.15">
      <c r="CP4881" s="31"/>
    </row>
    <row r="4882" spans="94:94" x14ac:dyDescent="0.15">
      <c r="CP4882" s="31"/>
    </row>
    <row r="4883" spans="94:94" x14ac:dyDescent="0.15">
      <c r="CP4883" s="31"/>
    </row>
    <row r="4884" spans="94:94" x14ac:dyDescent="0.15">
      <c r="CP4884" s="31"/>
    </row>
    <row r="4885" spans="94:94" x14ac:dyDescent="0.15">
      <c r="CP4885" s="31"/>
    </row>
    <row r="4886" spans="94:94" x14ac:dyDescent="0.15">
      <c r="CP4886" s="31"/>
    </row>
    <row r="4887" spans="94:94" x14ac:dyDescent="0.15">
      <c r="CP4887" s="31"/>
    </row>
    <row r="4888" spans="94:94" x14ac:dyDescent="0.15">
      <c r="CP4888" s="31"/>
    </row>
    <row r="4889" spans="94:94" x14ac:dyDescent="0.15">
      <c r="CP4889" s="31"/>
    </row>
    <row r="4890" spans="94:94" x14ac:dyDescent="0.15">
      <c r="CP4890" s="31"/>
    </row>
    <row r="4891" spans="94:94" x14ac:dyDescent="0.15">
      <c r="CP4891" s="31"/>
    </row>
    <row r="4892" spans="94:94" x14ac:dyDescent="0.15">
      <c r="CP4892" s="31"/>
    </row>
    <row r="4893" spans="94:94" x14ac:dyDescent="0.15">
      <c r="CP4893" s="31"/>
    </row>
    <row r="4894" spans="94:94" x14ac:dyDescent="0.15">
      <c r="CP4894" s="31"/>
    </row>
    <row r="4895" spans="94:94" x14ac:dyDescent="0.15">
      <c r="CP4895" s="31"/>
    </row>
    <row r="4896" spans="94:94" x14ac:dyDescent="0.15">
      <c r="CP4896" s="31"/>
    </row>
    <row r="4897" spans="94:94" x14ac:dyDescent="0.15">
      <c r="CP4897" s="31"/>
    </row>
    <row r="4898" spans="94:94" x14ac:dyDescent="0.15">
      <c r="CP4898" s="31"/>
    </row>
    <row r="4899" spans="94:94" x14ac:dyDescent="0.15">
      <c r="CP4899" s="31"/>
    </row>
    <row r="4900" spans="94:94" x14ac:dyDescent="0.15">
      <c r="CP4900" s="31"/>
    </row>
    <row r="4901" spans="94:94" x14ac:dyDescent="0.15">
      <c r="CP4901" s="31"/>
    </row>
    <row r="4902" spans="94:94" x14ac:dyDescent="0.15">
      <c r="CP4902" s="31"/>
    </row>
    <row r="4903" spans="94:94" x14ac:dyDescent="0.15">
      <c r="CP4903" s="31"/>
    </row>
    <row r="4904" spans="94:94" x14ac:dyDescent="0.15">
      <c r="CP4904" s="31"/>
    </row>
    <row r="4905" spans="94:94" x14ac:dyDescent="0.15">
      <c r="CP4905" s="31"/>
    </row>
    <row r="4906" spans="94:94" x14ac:dyDescent="0.15">
      <c r="CP4906" s="31"/>
    </row>
    <row r="4907" spans="94:94" x14ac:dyDescent="0.15">
      <c r="CP4907" s="31"/>
    </row>
    <row r="4908" spans="94:94" x14ac:dyDescent="0.15">
      <c r="CP4908" s="31"/>
    </row>
    <row r="4909" spans="94:94" x14ac:dyDescent="0.15">
      <c r="CP4909" s="31"/>
    </row>
    <row r="4910" spans="94:94" x14ac:dyDescent="0.15">
      <c r="CP4910" s="31"/>
    </row>
    <row r="4911" spans="94:94" x14ac:dyDescent="0.15">
      <c r="CP4911" s="31"/>
    </row>
    <row r="4912" spans="94:94" x14ac:dyDescent="0.15">
      <c r="CP4912" s="31"/>
    </row>
    <row r="4913" spans="94:94" x14ac:dyDescent="0.15">
      <c r="CP4913" s="31"/>
    </row>
    <row r="4914" spans="94:94" x14ac:dyDescent="0.15">
      <c r="CP4914" s="31"/>
    </row>
    <row r="4915" spans="94:94" x14ac:dyDescent="0.15">
      <c r="CP4915" s="31"/>
    </row>
    <row r="4916" spans="94:94" x14ac:dyDescent="0.15">
      <c r="CP4916" s="31"/>
    </row>
    <row r="4917" spans="94:94" x14ac:dyDescent="0.15">
      <c r="CP4917" s="31"/>
    </row>
    <row r="4918" spans="94:94" x14ac:dyDescent="0.15">
      <c r="CP4918" s="31"/>
    </row>
    <row r="4919" spans="94:94" x14ac:dyDescent="0.15">
      <c r="CP4919" s="31"/>
    </row>
    <row r="4920" spans="94:94" x14ac:dyDescent="0.15">
      <c r="CP4920" s="31"/>
    </row>
    <row r="4921" spans="94:94" x14ac:dyDescent="0.15">
      <c r="CP4921" s="31"/>
    </row>
    <row r="4922" spans="94:94" x14ac:dyDescent="0.15">
      <c r="CP4922" s="31"/>
    </row>
    <row r="4923" spans="94:94" x14ac:dyDescent="0.15">
      <c r="CP4923" s="31"/>
    </row>
    <row r="4924" spans="94:94" x14ac:dyDescent="0.15">
      <c r="CP4924" s="31"/>
    </row>
    <row r="4925" spans="94:94" x14ac:dyDescent="0.15">
      <c r="CP4925" s="31"/>
    </row>
    <row r="4926" spans="94:94" x14ac:dyDescent="0.15">
      <c r="CP4926" s="31"/>
    </row>
    <row r="4927" spans="94:94" x14ac:dyDescent="0.15">
      <c r="CP4927" s="31"/>
    </row>
    <row r="4928" spans="94:94" x14ac:dyDescent="0.15">
      <c r="CP4928" s="31"/>
    </row>
    <row r="4929" spans="94:94" x14ac:dyDescent="0.15">
      <c r="CP4929" s="31"/>
    </row>
    <row r="4930" spans="94:94" x14ac:dyDescent="0.15">
      <c r="CP4930" s="31"/>
    </row>
    <row r="4931" spans="94:94" x14ac:dyDescent="0.15">
      <c r="CP4931" s="31"/>
    </row>
    <row r="4932" spans="94:94" x14ac:dyDescent="0.15">
      <c r="CP4932" s="31"/>
    </row>
    <row r="4933" spans="94:94" x14ac:dyDescent="0.15">
      <c r="CP4933" s="31"/>
    </row>
    <row r="4934" spans="94:94" x14ac:dyDescent="0.15">
      <c r="CP4934" s="31"/>
    </row>
    <row r="4935" spans="94:94" x14ac:dyDescent="0.15">
      <c r="CP4935" s="31"/>
    </row>
    <row r="4936" spans="94:94" x14ac:dyDescent="0.15">
      <c r="CP4936" s="31"/>
    </row>
    <row r="4937" spans="94:94" x14ac:dyDescent="0.15">
      <c r="CP4937" s="31"/>
    </row>
    <row r="4938" spans="94:94" x14ac:dyDescent="0.15">
      <c r="CP4938" s="31"/>
    </row>
    <row r="4939" spans="94:94" x14ac:dyDescent="0.15">
      <c r="CP4939" s="31"/>
    </row>
    <row r="4940" spans="94:94" x14ac:dyDescent="0.15">
      <c r="CP4940" s="31"/>
    </row>
    <row r="4941" spans="94:94" x14ac:dyDescent="0.15">
      <c r="CP4941" s="31"/>
    </row>
    <row r="4942" spans="94:94" x14ac:dyDescent="0.15">
      <c r="CP4942" s="31"/>
    </row>
    <row r="4943" spans="94:94" x14ac:dyDescent="0.15">
      <c r="CP4943" s="31"/>
    </row>
    <row r="4944" spans="94:94" x14ac:dyDescent="0.15">
      <c r="CP4944" s="31"/>
    </row>
    <row r="4945" spans="94:94" x14ac:dyDescent="0.15">
      <c r="CP4945" s="31"/>
    </row>
    <row r="4946" spans="94:94" x14ac:dyDescent="0.15">
      <c r="CP4946" s="31"/>
    </row>
    <row r="4947" spans="94:94" x14ac:dyDescent="0.15">
      <c r="CP4947" s="31"/>
    </row>
    <row r="4948" spans="94:94" x14ac:dyDescent="0.15">
      <c r="CP4948" s="31"/>
    </row>
    <row r="4949" spans="94:94" x14ac:dyDescent="0.15">
      <c r="CP4949" s="31"/>
    </row>
    <row r="4950" spans="94:94" x14ac:dyDescent="0.15">
      <c r="CP4950" s="31"/>
    </row>
    <row r="4951" spans="94:94" x14ac:dyDescent="0.15">
      <c r="CP4951" s="31"/>
    </row>
    <row r="4952" spans="94:94" x14ac:dyDescent="0.15">
      <c r="CP4952" s="31"/>
    </row>
    <row r="4953" spans="94:94" x14ac:dyDescent="0.15">
      <c r="CP4953" s="31"/>
    </row>
    <row r="4954" spans="94:94" x14ac:dyDescent="0.15">
      <c r="CP4954" s="31"/>
    </row>
    <row r="4955" spans="94:94" x14ac:dyDescent="0.15">
      <c r="CP4955" s="31"/>
    </row>
    <row r="4956" spans="94:94" x14ac:dyDescent="0.15">
      <c r="CP4956" s="31"/>
    </row>
    <row r="4957" spans="94:94" x14ac:dyDescent="0.15">
      <c r="CP4957" s="31"/>
    </row>
    <row r="4958" spans="94:94" x14ac:dyDescent="0.15">
      <c r="CP4958" s="31"/>
    </row>
    <row r="4959" spans="94:94" x14ac:dyDescent="0.15">
      <c r="CP4959" s="31"/>
    </row>
    <row r="4960" spans="94:94" x14ac:dyDescent="0.15">
      <c r="CP4960" s="31"/>
    </row>
    <row r="4961" spans="94:94" x14ac:dyDescent="0.15">
      <c r="CP4961" s="31"/>
    </row>
    <row r="4962" spans="94:94" x14ac:dyDescent="0.15">
      <c r="CP4962" s="31"/>
    </row>
    <row r="4963" spans="94:94" x14ac:dyDescent="0.15">
      <c r="CP4963" s="31"/>
    </row>
    <row r="4964" spans="94:94" x14ac:dyDescent="0.15">
      <c r="CP4964" s="31"/>
    </row>
    <row r="4965" spans="94:94" x14ac:dyDescent="0.15">
      <c r="CP4965" s="31"/>
    </row>
    <row r="4966" spans="94:94" x14ac:dyDescent="0.15">
      <c r="CP4966" s="31"/>
    </row>
    <row r="4967" spans="94:94" x14ac:dyDescent="0.15">
      <c r="CP4967" s="31"/>
    </row>
    <row r="4968" spans="94:94" x14ac:dyDescent="0.15">
      <c r="CP4968" s="31"/>
    </row>
    <row r="4969" spans="94:94" x14ac:dyDescent="0.15">
      <c r="CP4969" s="31"/>
    </row>
    <row r="4970" spans="94:94" x14ac:dyDescent="0.15">
      <c r="CP4970" s="31"/>
    </row>
    <row r="4971" spans="94:94" x14ac:dyDescent="0.15">
      <c r="CP4971" s="31"/>
    </row>
    <row r="4972" spans="94:94" x14ac:dyDescent="0.15">
      <c r="CP4972" s="31"/>
    </row>
    <row r="4973" spans="94:94" x14ac:dyDescent="0.15">
      <c r="CP4973" s="31"/>
    </row>
    <row r="4974" spans="94:94" x14ac:dyDescent="0.15">
      <c r="CP4974" s="31"/>
    </row>
    <row r="4975" spans="94:94" x14ac:dyDescent="0.15">
      <c r="CP4975" s="31"/>
    </row>
    <row r="4976" spans="94:94" x14ac:dyDescent="0.15">
      <c r="CP4976" s="31"/>
    </row>
    <row r="4977" spans="94:94" x14ac:dyDescent="0.15">
      <c r="CP4977" s="31"/>
    </row>
    <row r="4978" spans="94:94" x14ac:dyDescent="0.15">
      <c r="CP4978" s="31"/>
    </row>
    <row r="4979" spans="94:94" x14ac:dyDescent="0.15">
      <c r="CP4979" s="31"/>
    </row>
    <row r="4980" spans="94:94" x14ac:dyDescent="0.15">
      <c r="CP4980" s="31"/>
    </row>
    <row r="4981" spans="94:94" x14ac:dyDescent="0.15">
      <c r="CP4981" s="31"/>
    </row>
    <row r="4982" spans="94:94" x14ac:dyDescent="0.15">
      <c r="CP4982" s="31"/>
    </row>
    <row r="4983" spans="94:94" x14ac:dyDescent="0.15">
      <c r="CP4983" s="31"/>
    </row>
    <row r="4984" spans="94:94" x14ac:dyDescent="0.15">
      <c r="CP4984" s="31"/>
    </row>
    <row r="4985" spans="94:94" x14ac:dyDescent="0.15">
      <c r="CP4985" s="31"/>
    </row>
    <row r="4986" spans="94:94" x14ac:dyDescent="0.15">
      <c r="CP4986" s="31"/>
    </row>
    <row r="4987" spans="94:94" x14ac:dyDescent="0.15">
      <c r="CP4987" s="31"/>
    </row>
    <row r="4988" spans="94:94" x14ac:dyDescent="0.15">
      <c r="CP4988" s="31"/>
    </row>
    <row r="4989" spans="94:94" x14ac:dyDescent="0.15">
      <c r="CP4989" s="31"/>
    </row>
    <row r="4990" spans="94:94" x14ac:dyDescent="0.15">
      <c r="CP4990" s="31"/>
    </row>
    <row r="4991" spans="94:94" x14ac:dyDescent="0.15">
      <c r="CP4991" s="31"/>
    </row>
    <row r="4992" spans="94:94" x14ac:dyDescent="0.15">
      <c r="CP4992" s="31"/>
    </row>
    <row r="4993" spans="94:94" x14ac:dyDescent="0.15">
      <c r="CP4993" s="31"/>
    </row>
    <row r="4994" spans="94:94" x14ac:dyDescent="0.15">
      <c r="CP4994" s="31"/>
    </row>
    <row r="4995" spans="94:94" x14ac:dyDescent="0.15">
      <c r="CP4995" s="31"/>
    </row>
    <row r="4996" spans="94:94" x14ac:dyDescent="0.15">
      <c r="CP4996" s="31"/>
    </row>
    <row r="4997" spans="94:94" x14ac:dyDescent="0.15">
      <c r="CP4997" s="31"/>
    </row>
    <row r="4998" spans="94:94" x14ac:dyDescent="0.15">
      <c r="CP4998" s="31"/>
    </row>
    <row r="4999" spans="94:94" x14ac:dyDescent="0.15">
      <c r="CP4999" s="31"/>
    </row>
    <row r="5000" spans="94:94" x14ac:dyDescent="0.15">
      <c r="CP5000" s="31"/>
    </row>
    <row r="5001" spans="94:94" x14ac:dyDescent="0.15">
      <c r="CP5001" s="31"/>
    </row>
    <row r="5002" spans="94:94" x14ac:dyDescent="0.15">
      <c r="CP5002" s="31"/>
    </row>
    <row r="5003" spans="94:94" x14ac:dyDescent="0.15">
      <c r="CP5003" s="31"/>
    </row>
    <row r="5004" spans="94:94" x14ac:dyDescent="0.15">
      <c r="CP5004" s="31"/>
    </row>
    <row r="5005" spans="94:94" x14ac:dyDescent="0.15">
      <c r="CP5005" s="31"/>
    </row>
    <row r="5006" spans="94:94" x14ac:dyDescent="0.15">
      <c r="CP5006" s="31"/>
    </row>
    <row r="5007" spans="94:94" x14ac:dyDescent="0.15">
      <c r="CP5007" s="31"/>
    </row>
    <row r="5008" spans="94:94" x14ac:dyDescent="0.15">
      <c r="CP5008" s="31"/>
    </row>
    <row r="5009" spans="94:94" x14ac:dyDescent="0.15">
      <c r="CP5009" s="31"/>
    </row>
    <row r="5010" spans="94:94" x14ac:dyDescent="0.15">
      <c r="CP5010" s="31"/>
    </row>
    <row r="5011" spans="94:94" x14ac:dyDescent="0.15">
      <c r="CP5011" s="31"/>
    </row>
    <row r="5012" spans="94:94" x14ac:dyDescent="0.15">
      <c r="CP5012" s="31"/>
    </row>
    <row r="5013" spans="94:94" x14ac:dyDescent="0.15">
      <c r="CP5013" s="31"/>
    </row>
    <row r="5014" spans="94:94" x14ac:dyDescent="0.15">
      <c r="CP5014" s="31"/>
    </row>
    <row r="5015" spans="94:94" x14ac:dyDescent="0.15">
      <c r="CP5015" s="31"/>
    </row>
    <row r="5016" spans="94:94" x14ac:dyDescent="0.15">
      <c r="CP5016" s="31"/>
    </row>
    <row r="5017" spans="94:94" x14ac:dyDescent="0.15">
      <c r="CP5017" s="31"/>
    </row>
    <row r="5018" spans="94:94" x14ac:dyDescent="0.15">
      <c r="CP5018" s="31"/>
    </row>
    <row r="5019" spans="94:94" x14ac:dyDescent="0.15">
      <c r="CP5019" s="31"/>
    </row>
    <row r="5020" spans="94:94" x14ac:dyDescent="0.15">
      <c r="CP5020" s="31"/>
    </row>
    <row r="5021" spans="94:94" x14ac:dyDescent="0.15">
      <c r="CP5021" s="31"/>
    </row>
    <row r="5022" spans="94:94" x14ac:dyDescent="0.15">
      <c r="CP5022" s="31"/>
    </row>
    <row r="5023" spans="94:94" x14ac:dyDescent="0.15">
      <c r="CP5023" s="31"/>
    </row>
    <row r="5024" spans="94:94" x14ac:dyDescent="0.15">
      <c r="CP5024" s="31"/>
    </row>
    <row r="5025" spans="94:94" x14ac:dyDescent="0.15">
      <c r="CP5025" s="31"/>
    </row>
    <row r="5026" spans="94:94" x14ac:dyDescent="0.15">
      <c r="CP5026" s="31"/>
    </row>
    <row r="5027" spans="94:94" x14ac:dyDescent="0.15">
      <c r="CP5027" s="31"/>
    </row>
    <row r="5028" spans="94:94" x14ac:dyDescent="0.15">
      <c r="CP5028" s="31"/>
    </row>
    <row r="5029" spans="94:94" x14ac:dyDescent="0.15">
      <c r="CP5029" s="31"/>
    </row>
    <row r="5030" spans="94:94" x14ac:dyDescent="0.15">
      <c r="CP5030" s="31"/>
    </row>
    <row r="5031" spans="94:94" x14ac:dyDescent="0.15">
      <c r="CP5031" s="31"/>
    </row>
    <row r="5032" spans="94:94" x14ac:dyDescent="0.15">
      <c r="CP5032" s="31"/>
    </row>
    <row r="5033" spans="94:94" x14ac:dyDescent="0.15">
      <c r="CP5033" s="31"/>
    </row>
    <row r="5034" spans="94:94" x14ac:dyDescent="0.15">
      <c r="CP5034" s="31"/>
    </row>
    <row r="5035" spans="94:94" x14ac:dyDescent="0.15">
      <c r="CP5035" s="31"/>
    </row>
    <row r="5036" spans="94:94" x14ac:dyDescent="0.15">
      <c r="CP5036" s="31"/>
    </row>
    <row r="5037" spans="94:94" x14ac:dyDescent="0.15">
      <c r="CP5037" s="31"/>
    </row>
    <row r="5038" spans="94:94" x14ac:dyDescent="0.15">
      <c r="CP5038" s="31"/>
    </row>
    <row r="5039" spans="94:94" x14ac:dyDescent="0.15">
      <c r="CP5039" s="31"/>
    </row>
    <row r="5040" spans="94:94" x14ac:dyDescent="0.15">
      <c r="CP5040" s="31"/>
    </row>
    <row r="5041" spans="94:94" x14ac:dyDescent="0.15">
      <c r="CP5041" s="31"/>
    </row>
    <row r="5042" spans="94:94" x14ac:dyDescent="0.15">
      <c r="CP5042" s="31"/>
    </row>
    <row r="5043" spans="94:94" x14ac:dyDescent="0.15">
      <c r="CP5043" s="31"/>
    </row>
    <row r="5044" spans="94:94" x14ac:dyDescent="0.15">
      <c r="CP5044" s="31"/>
    </row>
    <row r="5045" spans="94:94" x14ac:dyDescent="0.15">
      <c r="CP5045" s="31"/>
    </row>
    <row r="5046" spans="94:94" x14ac:dyDescent="0.15">
      <c r="CP5046" s="31"/>
    </row>
    <row r="5047" spans="94:94" x14ac:dyDescent="0.15">
      <c r="CP5047" s="31"/>
    </row>
    <row r="5048" spans="94:94" x14ac:dyDescent="0.15">
      <c r="CP5048" s="31"/>
    </row>
    <row r="5049" spans="94:94" x14ac:dyDescent="0.15">
      <c r="CP5049" s="31"/>
    </row>
    <row r="5050" spans="94:94" x14ac:dyDescent="0.15">
      <c r="CP5050" s="31"/>
    </row>
    <row r="5051" spans="94:94" x14ac:dyDescent="0.15">
      <c r="CP5051" s="31"/>
    </row>
    <row r="5052" spans="94:94" x14ac:dyDescent="0.15">
      <c r="CP5052" s="31"/>
    </row>
    <row r="5053" spans="94:94" x14ac:dyDescent="0.15">
      <c r="CP5053" s="31"/>
    </row>
    <row r="5054" spans="94:94" x14ac:dyDescent="0.15">
      <c r="CP5054" s="31"/>
    </row>
    <row r="5055" spans="94:94" x14ac:dyDescent="0.15">
      <c r="CP5055" s="31"/>
    </row>
    <row r="5056" spans="94:94" x14ac:dyDescent="0.15">
      <c r="CP5056" s="31"/>
    </row>
    <row r="5057" spans="94:94" x14ac:dyDescent="0.15">
      <c r="CP5057" s="31"/>
    </row>
    <row r="5058" spans="94:94" x14ac:dyDescent="0.15">
      <c r="CP5058" s="31"/>
    </row>
    <row r="5059" spans="94:94" x14ac:dyDescent="0.15">
      <c r="CP5059" s="31"/>
    </row>
    <row r="5060" spans="94:94" x14ac:dyDescent="0.15">
      <c r="CP5060" s="31"/>
    </row>
    <row r="5061" spans="94:94" x14ac:dyDescent="0.15">
      <c r="CP5061" s="31"/>
    </row>
    <row r="5062" spans="94:94" x14ac:dyDescent="0.15">
      <c r="CP5062" s="31"/>
    </row>
    <row r="5063" spans="94:94" x14ac:dyDescent="0.15">
      <c r="CP5063" s="31"/>
    </row>
    <row r="5064" spans="94:94" x14ac:dyDescent="0.15">
      <c r="CP5064" s="31"/>
    </row>
    <row r="5065" spans="94:94" x14ac:dyDescent="0.15">
      <c r="CP5065" s="31"/>
    </row>
    <row r="5066" spans="94:94" x14ac:dyDescent="0.15">
      <c r="CP5066" s="31"/>
    </row>
    <row r="5067" spans="94:94" x14ac:dyDescent="0.15">
      <c r="CP5067" s="31"/>
    </row>
    <row r="5068" spans="94:94" x14ac:dyDescent="0.15">
      <c r="CP5068" s="31"/>
    </row>
    <row r="5069" spans="94:94" x14ac:dyDescent="0.15">
      <c r="CP5069" s="31"/>
    </row>
    <row r="5070" spans="94:94" x14ac:dyDescent="0.15">
      <c r="CP5070" s="31"/>
    </row>
    <row r="5071" spans="94:94" x14ac:dyDescent="0.15">
      <c r="CP5071" s="31"/>
    </row>
    <row r="5072" spans="94:94" x14ac:dyDescent="0.15">
      <c r="CP5072" s="31"/>
    </row>
    <row r="5073" spans="94:94" x14ac:dyDescent="0.15">
      <c r="CP5073" s="31"/>
    </row>
    <row r="5074" spans="94:94" x14ac:dyDescent="0.15">
      <c r="CP5074" s="31"/>
    </row>
    <row r="5075" spans="94:94" x14ac:dyDescent="0.15">
      <c r="CP5075" s="31"/>
    </row>
    <row r="5076" spans="94:94" x14ac:dyDescent="0.15">
      <c r="CP5076" s="31"/>
    </row>
    <row r="5077" spans="94:94" x14ac:dyDescent="0.15">
      <c r="CP5077" s="31"/>
    </row>
    <row r="5078" spans="94:94" x14ac:dyDescent="0.15">
      <c r="CP5078" s="31"/>
    </row>
    <row r="5079" spans="94:94" x14ac:dyDescent="0.15">
      <c r="CP5079" s="31"/>
    </row>
    <row r="5080" spans="94:94" x14ac:dyDescent="0.15">
      <c r="CP5080" s="31"/>
    </row>
    <row r="5081" spans="94:94" x14ac:dyDescent="0.15">
      <c r="CP5081" s="31"/>
    </row>
    <row r="5082" spans="94:94" x14ac:dyDescent="0.15">
      <c r="CP5082" s="31"/>
    </row>
    <row r="5083" spans="94:94" x14ac:dyDescent="0.15">
      <c r="CP5083" s="31"/>
    </row>
    <row r="5084" spans="94:94" x14ac:dyDescent="0.15">
      <c r="CP5084" s="31"/>
    </row>
    <row r="5085" spans="94:94" x14ac:dyDescent="0.15">
      <c r="CP5085" s="31"/>
    </row>
    <row r="5086" spans="94:94" x14ac:dyDescent="0.15">
      <c r="CP5086" s="31"/>
    </row>
    <row r="5087" spans="94:94" x14ac:dyDescent="0.15">
      <c r="CP5087" s="31"/>
    </row>
    <row r="5088" spans="94:94" x14ac:dyDescent="0.15">
      <c r="CP5088" s="31"/>
    </row>
    <row r="5089" spans="94:94" x14ac:dyDescent="0.15">
      <c r="CP5089" s="31"/>
    </row>
    <row r="5090" spans="94:94" x14ac:dyDescent="0.15">
      <c r="CP5090" s="31"/>
    </row>
    <row r="5091" spans="94:94" x14ac:dyDescent="0.15">
      <c r="CP5091" s="31"/>
    </row>
    <row r="5092" spans="94:94" x14ac:dyDescent="0.15">
      <c r="CP5092" s="31"/>
    </row>
    <row r="5093" spans="94:94" x14ac:dyDescent="0.15">
      <c r="CP5093" s="31"/>
    </row>
    <row r="5094" spans="94:94" x14ac:dyDescent="0.15">
      <c r="CP5094" s="31"/>
    </row>
    <row r="5095" spans="94:94" x14ac:dyDescent="0.15">
      <c r="CP5095" s="31"/>
    </row>
    <row r="5096" spans="94:94" x14ac:dyDescent="0.15">
      <c r="CP5096" s="31"/>
    </row>
    <row r="5097" spans="94:94" x14ac:dyDescent="0.15">
      <c r="CP5097" s="31"/>
    </row>
    <row r="5098" spans="94:94" x14ac:dyDescent="0.15">
      <c r="CP5098" s="31"/>
    </row>
    <row r="5099" spans="94:94" x14ac:dyDescent="0.15">
      <c r="CP5099" s="31"/>
    </row>
    <row r="5100" spans="94:94" x14ac:dyDescent="0.15">
      <c r="CP5100" s="31"/>
    </row>
    <row r="5101" spans="94:94" x14ac:dyDescent="0.15">
      <c r="CP5101" s="31"/>
    </row>
    <row r="5102" spans="94:94" x14ac:dyDescent="0.15">
      <c r="CP5102" s="31"/>
    </row>
    <row r="5103" spans="94:94" x14ac:dyDescent="0.15">
      <c r="CP5103" s="31"/>
    </row>
    <row r="5104" spans="94:94" x14ac:dyDescent="0.15">
      <c r="CP5104" s="31"/>
    </row>
    <row r="5105" spans="94:94" x14ac:dyDescent="0.15">
      <c r="CP5105" s="31"/>
    </row>
    <row r="5106" spans="94:94" x14ac:dyDescent="0.15">
      <c r="CP5106" s="31"/>
    </row>
    <row r="5107" spans="94:94" x14ac:dyDescent="0.15">
      <c r="CP5107" s="31"/>
    </row>
    <row r="5108" spans="94:94" x14ac:dyDescent="0.15">
      <c r="CP5108" s="31"/>
    </row>
    <row r="5109" spans="94:94" x14ac:dyDescent="0.15">
      <c r="CP5109" s="31"/>
    </row>
    <row r="5110" spans="94:94" x14ac:dyDescent="0.15">
      <c r="CP5110" s="31"/>
    </row>
    <row r="5111" spans="94:94" x14ac:dyDescent="0.15">
      <c r="CP5111" s="31"/>
    </row>
    <row r="5112" spans="94:94" x14ac:dyDescent="0.15">
      <c r="CP5112" s="31"/>
    </row>
    <row r="5113" spans="94:94" x14ac:dyDescent="0.15">
      <c r="CP5113" s="31"/>
    </row>
    <row r="5114" spans="94:94" x14ac:dyDescent="0.15">
      <c r="CP5114" s="31"/>
    </row>
    <row r="5115" spans="94:94" x14ac:dyDescent="0.15">
      <c r="CP5115" s="31"/>
    </row>
    <row r="5116" spans="94:94" x14ac:dyDescent="0.15">
      <c r="CP5116" s="31"/>
    </row>
    <row r="5117" spans="94:94" x14ac:dyDescent="0.15">
      <c r="CP5117" s="31"/>
    </row>
    <row r="5118" spans="94:94" x14ac:dyDescent="0.15">
      <c r="CP5118" s="31"/>
    </row>
    <row r="5119" spans="94:94" x14ac:dyDescent="0.15">
      <c r="CP5119" s="31"/>
    </row>
    <row r="5120" spans="94:94" x14ac:dyDescent="0.15">
      <c r="CP5120" s="31"/>
    </row>
    <row r="5121" spans="94:94" x14ac:dyDescent="0.15">
      <c r="CP5121" s="31"/>
    </row>
    <row r="5122" spans="94:94" x14ac:dyDescent="0.15">
      <c r="CP5122" s="31"/>
    </row>
    <row r="5123" spans="94:94" x14ac:dyDescent="0.15">
      <c r="CP5123" s="31"/>
    </row>
    <row r="5124" spans="94:94" x14ac:dyDescent="0.15">
      <c r="CP5124" s="31"/>
    </row>
    <row r="5125" spans="94:94" x14ac:dyDescent="0.15">
      <c r="CP5125" s="31"/>
    </row>
    <row r="5126" spans="94:94" x14ac:dyDescent="0.15">
      <c r="CP5126" s="31"/>
    </row>
    <row r="5127" spans="94:94" x14ac:dyDescent="0.15">
      <c r="CP5127" s="31"/>
    </row>
    <row r="5128" spans="94:94" x14ac:dyDescent="0.15">
      <c r="CP5128" s="31"/>
    </row>
    <row r="5129" spans="94:94" x14ac:dyDescent="0.15">
      <c r="CP5129" s="31"/>
    </row>
    <row r="5130" spans="94:94" x14ac:dyDescent="0.15">
      <c r="CP5130" s="31"/>
    </row>
    <row r="5131" spans="94:94" x14ac:dyDescent="0.15">
      <c r="CP5131" s="31"/>
    </row>
    <row r="5132" spans="94:94" x14ac:dyDescent="0.15">
      <c r="CP5132" s="31"/>
    </row>
    <row r="5133" spans="94:94" x14ac:dyDescent="0.15">
      <c r="CP5133" s="31"/>
    </row>
    <row r="5134" spans="94:94" x14ac:dyDescent="0.15">
      <c r="CP5134" s="31"/>
    </row>
    <row r="5135" spans="94:94" x14ac:dyDescent="0.15">
      <c r="CP5135" s="31"/>
    </row>
    <row r="5136" spans="94:94" x14ac:dyDescent="0.15">
      <c r="CP5136" s="31"/>
    </row>
    <row r="5137" spans="94:94" x14ac:dyDescent="0.15">
      <c r="CP5137" s="31"/>
    </row>
    <row r="5138" spans="94:94" x14ac:dyDescent="0.15">
      <c r="CP5138" s="31"/>
    </row>
    <row r="5139" spans="94:94" x14ac:dyDescent="0.15">
      <c r="CP5139" s="31"/>
    </row>
    <row r="5140" spans="94:94" x14ac:dyDescent="0.15">
      <c r="CP5140" s="31"/>
    </row>
    <row r="5141" spans="94:94" x14ac:dyDescent="0.15">
      <c r="CP5141" s="31"/>
    </row>
    <row r="5142" spans="94:94" x14ac:dyDescent="0.15">
      <c r="CP5142" s="31"/>
    </row>
    <row r="5143" spans="94:94" x14ac:dyDescent="0.15">
      <c r="CP5143" s="31"/>
    </row>
    <row r="5144" spans="94:94" x14ac:dyDescent="0.15">
      <c r="CP5144" s="31"/>
    </row>
    <row r="5145" spans="94:94" x14ac:dyDescent="0.15">
      <c r="CP5145" s="31"/>
    </row>
    <row r="5146" spans="94:94" x14ac:dyDescent="0.15">
      <c r="CP5146" s="31"/>
    </row>
    <row r="5147" spans="94:94" x14ac:dyDescent="0.15">
      <c r="CP5147" s="31"/>
    </row>
    <row r="5148" spans="94:94" x14ac:dyDescent="0.15">
      <c r="CP5148" s="31"/>
    </row>
    <row r="5149" spans="94:94" x14ac:dyDescent="0.15">
      <c r="CP5149" s="31"/>
    </row>
    <row r="5150" spans="94:94" x14ac:dyDescent="0.15">
      <c r="CP5150" s="31"/>
    </row>
    <row r="5151" spans="94:94" x14ac:dyDescent="0.15">
      <c r="CP5151" s="31"/>
    </row>
    <row r="5152" spans="94:94" x14ac:dyDescent="0.15">
      <c r="CP5152" s="31"/>
    </row>
    <row r="5153" spans="94:94" x14ac:dyDescent="0.15">
      <c r="CP5153" s="31"/>
    </row>
    <row r="5154" spans="94:94" x14ac:dyDescent="0.15">
      <c r="CP5154" s="31"/>
    </row>
    <row r="5155" spans="94:94" x14ac:dyDescent="0.15">
      <c r="CP5155" s="31"/>
    </row>
    <row r="5156" spans="94:94" x14ac:dyDescent="0.15">
      <c r="CP5156" s="31"/>
    </row>
    <row r="5157" spans="94:94" x14ac:dyDescent="0.15">
      <c r="CP5157" s="31"/>
    </row>
    <row r="5158" spans="94:94" x14ac:dyDescent="0.15">
      <c r="CP5158" s="31"/>
    </row>
    <row r="5159" spans="94:94" x14ac:dyDescent="0.15">
      <c r="CP5159" s="31"/>
    </row>
    <row r="5160" spans="94:94" x14ac:dyDescent="0.15">
      <c r="CP5160" s="31"/>
    </row>
    <row r="5161" spans="94:94" x14ac:dyDescent="0.15">
      <c r="CP5161" s="31"/>
    </row>
    <row r="5162" spans="94:94" x14ac:dyDescent="0.15">
      <c r="CP5162" s="31"/>
    </row>
    <row r="5163" spans="94:94" x14ac:dyDescent="0.15">
      <c r="CP5163" s="31"/>
    </row>
    <row r="5164" spans="94:94" x14ac:dyDescent="0.15">
      <c r="CP5164" s="31"/>
    </row>
    <row r="5165" spans="94:94" x14ac:dyDescent="0.15">
      <c r="CP5165" s="31"/>
    </row>
    <row r="5166" spans="94:94" x14ac:dyDescent="0.15">
      <c r="CP5166" s="31"/>
    </row>
    <row r="5167" spans="94:94" x14ac:dyDescent="0.15">
      <c r="CP5167" s="31"/>
    </row>
    <row r="5168" spans="94:94" x14ac:dyDescent="0.15">
      <c r="CP5168" s="31"/>
    </row>
    <row r="5169" spans="94:94" x14ac:dyDescent="0.15">
      <c r="CP5169" s="31"/>
    </row>
    <row r="5170" spans="94:94" x14ac:dyDescent="0.15">
      <c r="CP5170" s="31"/>
    </row>
    <row r="5171" spans="94:94" x14ac:dyDescent="0.15">
      <c r="CP5171" s="31"/>
    </row>
    <row r="5172" spans="94:94" x14ac:dyDescent="0.15">
      <c r="CP5172" s="31"/>
    </row>
    <row r="5173" spans="94:94" x14ac:dyDescent="0.15">
      <c r="CP5173" s="31"/>
    </row>
    <row r="5174" spans="94:94" x14ac:dyDescent="0.15">
      <c r="CP5174" s="31"/>
    </row>
    <row r="5175" spans="94:94" x14ac:dyDescent="0.15">
      <c r="CP5175" s="31"/>
    </row>
    <row r="5176" spans="94:94" x14ac:dyDescent="0.15">
      <c r="CP5176" s="31"/>
    </row>
    <row r="5177" spans="94:94" x14ac:dyDescent="0.15">
      <c r="CP5177" s="31"/>
    </row>
    <row r="5178" spans="94:94" x14ac:dyDescent="0.15">
      <c r="CP5178" s="31"/>
    </row>
    <row r="5179" spans="94:94" x14ac:dyDescent="0.15">
      <c r="CP5179" s="31"/>
    </row>
    <row r="5180" spans="94:94" x14ac:dyDescent="0.15">
      <c r="CP5180" s="31"/>
    </row>
    <row r="5181" spans="94:94" x14ac:dyDescent="0.15">
      <c r="CP5181" s="31"/>
    </row>
    <row r="5182" spans="94:94" x14ac:dyDescent="0.15">
      <c r="CP5182" s="31"/>
    </row>
    <row r="5183" spans="94:94" x14ac:dyDescent="0.15">
      <c r="CP5183" s="31"/>
    </row>
    <row r="5184" spans="94:94" x14ac:dyDescent="0.15">
      <c r="CP5184" s="31"/>
    </row>
    <row r="5185" spans="94:94" x14ac:dyDescent="0.15">
      <c r="CP5185" s="31"/>
    </row>
    <row r="5186" spans="94:94" x14ac:dyDescent="0.15">
      <c r="CP5186" s="31"/>
    </row>
    <row r="5187" spans="94:94" x14ac:dyDescent="0.15">
      <c r="CP5187" s="31"/>
    </row>
    <row r="5188" spans="94:94" x14ac:dyDescent="0.15">
      <c r="CP5188" s="31"/>
    </row>
    <row r="5189" spans="94:94" x14ac:dyDescent="0.15">
      <c r="CP5189" s="31"/>
    </row>
    <row r="5190" spans="94:94" x14ac:dyDescent="0.15">
      <c r="CP5190" s="31"/>
    </row>
    <row r="5191" spans="94:94" x14ac:dyDescent="0.15">
      <c r="CP5191" s="31"/>
    </row>
    <row r="5192" spans="94:94" x14ac:dyDescent="0.15">
      <c r="CP5192" s="31"/>
    </row>
    <row r="5193" spans="94:94" x14ac:dyDescent="0.15">
      <c r="CP5193" s="31"/>
    </row>
    <row r="5194" spans="94:94" x14ac:dyDescent="0.15">
      <c r="CP5194" s="31"/>
    </row>
    <row r="5195" spans="94:94" x14ac:dyDescent="0.15">
      <c r="CP5195" s="31"/>
    </row>
    <row r="5196" spans="94:94" x14ac:dyDescent="0.15">
      <c r="CP5196" s="31"/>
    </row>
    <row r="5197" spans="94:94" x14ac:dyDescent="0.15">
      <c r="CP5197" s="31"/>
    </row>
    <row r="5198" spans="94:94" x14ac:dyDescent="0.15">
      <c r="CP5198" s="31"/>
    </row>
    <row r="5199" spans="94:94" x14ac:dyDescent="0.15">
      <c r="CP5199" s="31"/>
    </row>
    <row r="5200" spans="94:94" x14ac:dyDescent="0.15">
      <c r="CP5200" s="31"/>
    </row>
    <row r="5201" spans="94:94" x14ac:dyDescent="0.15">
      <c r="CP5201" s="31"/>
    </row>
    <row r="5202" spans="94:94" x14ac:dyDescent="0.15">
      <c r="CP5202" s="31"/>
    </row>
    <row r="5203" spans="94:94" x14ac:dyDescent="0.15">
      <c r="CP5203" s="31"/>
    </row>
    <row r="5204" spans="94:94" x14ac:dyDescent="0.15">
      <c r="CP5204" s="31"/>
    </row>
    <row r="5205" spans="94:94" x14ac:dyDescent="0.15">
      <c r="CP5205" s="31"/>
    </row>
    <row r="5206" spans="94:94" x14ac:dyDescent="0.15">
      <c r="CP5206" s="31"/>
    </row>
    <row r="5207" spans="94:94" x14ac:dyDescent="0.15">
      <c r="CP5207" s="31"/>
    </row>
    <row r="5208" spans="94:94" x14ac:dyDescent="0.15">
      <c r="CP5208" s="31"/>
    </row>
    <row r="5209" spans="94:94" x14ac:dyDescent="0.15">
      <c r="CP5209" s="31"/>
    </row>
    <row r="5210" spans="94:94" x14ac:dyDescent="0.15">
      <c r="CP5210" s="31"/>
    </row>
    <row r="5211" spans="94:94" x14ac:dyDescent="0.15">
      <c r="CP5211" s="31"/>
    </row>
    <row r="5212" spans="94:94" x14ac:dyDescent="0.15">
      <c r="CP5212" s="31"/>
    </row>
    <row r="5213" spans="94:94" x14ac:dyDescent="0.15">
      <c r="CP5213" s="31"/>
    </row>
    <row r="5214" spans="94:94" x14ac:dyDescent="0.15">
      <c r="CP5214" s="31"/>
    </row>
    <row r="5215" spans="94:94" x14ac:dyDescent="0.15">
      <c r="CP5215" s="31"/>
    </row>
    <row r="5216" spans="94:94" x14ac:dyDescent="0.15">
      <c r="CP5216" s="31"/>
    </row>
    <row r="5217" spans="94:94" x14ac:dyDescent="0.15">
      <c r="CP5217" s="31"/>
    </row>
    <row r="5218" spans="94:94" x14ac:dyDescent="0.15">
      <c r="CP5218" s="31"/>
    </row>
    <row r="5219" spans="94:94" x14ac:dyDescent="0.15">
      <c r="CP5219" s="31"/>
    </row>
    <row r="5220" spans="94:94" x14ac:dyDescent="0.15">
      <c r="CP5220" s="31"/>
    </row>
    <row r="5221" spans="94:94" x14ac:dyDescent="0.15">
      <c r="CP5221" s="31"/>
    </row>
    <row r="5222" spans="94:94" x14ac:dyDescent="0.15">
      <c r="CP5222" s="31"/>
    </row>
    <row r="5223" spans="94:94" x14ac:dyDescent="0.15">
      <c r="CP5223" s="31"/>
    </row>
    <row r="5224" spans="94:94" x14ac:dyDescent="0.15">
      <c r="CP5224" s="31"/>
    </row>
    <row r="5225" spans="94:94" x14ac:dyDescent="0.15">
      <c r="CP5225" s="31"/>
    </row>
    <row r="5226" spans="94:94" x14ac:dyDescent="0.15">
      <c r="CP5226" s="31"/>
    </row>
    <row r="5227" spans="94:94" x14ac:dyDescent="0.15">
      <c r="CP5227" s="31"/>
    </row>
    <row r="5228" spans="94:94" x14ac:dyDescent="0.15">
      <c r="CP5228" s="31"/>
    </row>
    <row r="5229" spans="94:94" x14ac:dyDescent="0.15">
      <c r="CP5229" s="31"/>
    </row>
    <row r="5230" spans="94:94" x14ac:dyDescent="0.15">
      <c r="CP5230" s="31"/>
    </row>
    <row r="5231" spans="94:94" x14ac:dyDescent="0.15">
      <c r="CP5231" s="31"/>
    </row>
    <row r="5232" spans="94:94" x14ac:dyDescent="0.15">
      <c r="CP5232" s="31"/>
    </row>
    <row r="5233" spans="94:94" x14ac:dyDescent="0.15">
      <c r="CP5233" s="31"/>
    </row>
    <row r="5234" spans="94:94" x14ac:dyDescent="0.15">
      <c r="CP5234" s="31"/>
    </row>
    <row r="5235" spans="94:94" x14ac:dyDescent="0.15">
      <c r="CP5235" s="31"/>
    </row>
    <row r="5236" spans="94:94" x14ac:dyDescent="0.15">
      <c r="CP5236" s="31"/>
    </row>
    <row r="5237" spans="94:94" x14ac:dyDescent="0.15">
      <c r="CP5237" s="31"/>
    </row>
    <row r="5238" spans="94:94" x14ac:dyDescent="0.15">
      <c r="CP5238" s="31"/>
    </row>
    <row r="5239" spans="94:94" x14ac:dyDescent="0.15">
      <c r="CP5239" s="31"/>
    </row>
    <row r="5240" spans="94:94" x14ac:dyDescent="0.15">
      <c r="CP5240" s="31"/>
    </row>
    <row r="5241" spans="94:94" x14ac:dyDescent="0.15">
      <c r="CP5241" s="31"/>
    </row>
    <row r="5242" spans="94:94" x14ac:dyDescent="0.15">
      <c r="CP5242" s="31"/>
    </row>
    <row r="5243" spans="94:94" x14ac:dyDescent="0.15">
      <c r="CP5243" s="31"/>
    </row>
    <row r="5244" spans="94:94" x14ac:dyDescent="0.15">
      <c r="CP5244" s="31"/>
    </row>
    <row r="5245" spans="94:94" x14ac:dyDescent="0.15">
      <c r="CP5245" s="31"/>
    </row>
    <row r="5246" spans="94:94" x14ac:dyDescent="0.15">
      <c r="CP5246" s="31"/>
    </row>
    <row r="5247" spans="94:94" x14ac:dyDescent="0.15">
      <c r="CP5247" s="31"/>
    </row>
    <row r="5248" spans="94:94" x14ac:dyDescent="0.15">
      <c r="CP5248" s="31"/>
    </row>
    <row r="5249" spans="94:94" x14ac:dyDescent="0.15">
      <c r="CP5249" s="31"/>
    </row>
    <row r="5250" spans="94:94" x14ac:dyDescent="0.15">
      <c r="CP5250" s="31"/>
    </row>
    <row r="5251" spans="94:94" x14ac:dyDescent="0.15">
      <c r="CP5251" s="31"/>
    </row>
    <row r="5252" spans="94:94" x14ac:dyDescent="0.15">
      <c r="CP5252" s="31"/>
    </row>
    <row r="5253" spans="94:94" x14ac:dyDescent="0.15">
      <c r="CP5253" s="31"/>
    </row>
    <row r="5254" spans="94:94" x14ac:dyDescent="0.15">
      <c r="CP5254" s="31"/>
    </row>
    <row r="5255" spans="94:94" x14ac:dyDescent="0.15">
      <c r="CP5255" s="31"/>
    </row>
    <row r="5256" spans="94:94" x14ac:dyDescent="0.15">
      <c r="CP5256" s="31"/>
    </row>
    <row r="5257" spans="94:94" x14ac:dyDescent="0.15">
      <c r="CP5257" s="31"/>
    </row>
    <row r="5258" spans="94:94" x14ac:dyDescent="0.15">
      <c r="CP5258" s="31"/>
    </row>
    <row r="5259" spans="94:94" x14ac:dyDescent="0.15">
      <c r="CP5259" s="31"/>
    </row>
    <row r="5260" spans="94:94" x14ac:dyDescent="0.15">
      <c r="CP5260" s="31"/>
    </row>
    <row r="5261" spans="94:94" x14ac:dyDescent="0.15">
      <c r="CP5261" s="31"/>
    </row>
    <row r="5262" spans="94:94" x14ac:dyDescent="0.15">
      <c r="CP5262" s="31"/>
    </row>
    <row r="5263" spans="94:94" x14ac:dyDescent="0.15">
      <c r="CP5263" s="31"/>
    </row>
    <row r="5264" spans="94:94" x14ac:dyDescent="0.15">
      <c r="CP5264" s="31"/>
    </row>
    <row r="5265" spans="94:94" x14ac:dyDescent="0.15">
      <c r="CP5265" s="31"/>
    </row>
    <row r="5266" spans="94:94" x14ac:dyDescent="0.15">
      <c r="CP5266" s="31"/>
    </row>
    <row r="5267" spans="94:94" x14ac:dyDescent="0.15">
      <c r="CP5267" s="31"/>
    </row>
    <row r="5268" spans="94:94" x14ac:dyDescent="0.15">
      <c r="CP5268" s="31"/>
    </row>
    <row r="5269" spans="94:94" x14ac:dyDescent="0.15">
      <c r="CP5269" s="31"/>
    </row>
    <row r="5270" spans="94:94" x14ac:dyDescent="0.15">
      <c r="CP5270" s="31"/>
    </row>
    <row r="5271" spans="94:94" x14ac:dyDescent="0.15">
      <c r="CP5271" s="31"/>
    </row>
    <row r="5272" spans="94:94" x14ac:dyDescent="0.15">
      <c r="CP5272" s="31"/>
    </row>
    <row r="5273" spans="94:94" x14ac:dyDescent="0.15">
      <c r="CP5273" s="31"/>
    </row>
    <row r="5274" spans="94:94" x14ac:dyDescent="0.15">
      <c r="CP5274" s="31"/>
    </row>
    <row r="5275" spans="94:94" x14ac:dyDescent="0.15">
      <c r="CP5275" s="31"/>
    </row>
    <row r="5276" spans="94:94" x14ac:dyDescent="0.15">
      <c r="CP5276" s="31"/>
    </row>
    <row r="5277" spans="94:94" x14ac:dyDescent="0.15">
      <c r="CP5277" s="31"/>
    </row>
    <row r="5278" spans="94:94" x14ac:dyDescent="0.15">
      <c r="CP5278" s="31"/>
    </row>
    <row r="5279" spans="94:94" x14ac:dyDescent="0.15">
      <c r="CP5279" s="31"/>
    </row>
    <row r="5280" spans="94:94" x14ac:dyDescent="0.15">
      <c r="CP5280" s="31"/>
    </row>
    <row r="5281" spans="94:94" x14ac:dyDescent="0.15">
      <c r="CP5281" s="31"/>
    </row>
    <row r="5282" spans="94:94" x14ac:dyDescent="0.15">
      <c r="CP5282" s="31"/>
    </row>
    <row r="5283" spans="94:94" x14ac:dyDescent="0.15">
      <c r="CP5283" s="31"/>
    </row>
    <row r="5284" spans="94:94" x14ac:dyDescent="0.15">
      <c r="CP5284" s="31"/>
    </row>
    <row r="5285" spans="94:94" x14ac:dyDescent="0.15">
      <c r="CP5285" s="31"/>
    </row>
    <row r="5286" spans="94:94" x14ac:dyDescent="0.15">
      <c r="CP5286" s="31"/>
    </row>
    <row r="5287" spans="94:94" x14ac:dyDescent="0.15">
      <c r="CP5287" s="31"/>
    </row>
    <row r="5288" spans="94:94" x14ac:dyDescent="0.15">
      <c r="CP5288" s="31"/>
    </row>
    <row r="5289" spans="94:94" x14ac:dyDescent="0.15">
      <c r="CP5289" s="31"/>
    </row>
    <row r="5290" spans="94:94" x14ac:dyDescent="0.15">
      <c r="CP5290" s="31"/>
    </row>
    <row r="5291" spans="94:94" x14ac:dyDescent="0.15">
      <c r="CP5291" s="31"/>
    </row>
    <row r="5292" spans="94:94" x14ac:dyDescent="0.15">
      <c r="CP5292" s="31"/>
    </row>
    <row r="5293" spans="94:94" x14ac:dyDescent="0.15">
      <c r="CP5293" s="31"/>
    </row>
    <row r="5294" spans="94:94" x14ac:dyDescent="0.15">
      <c r="CP5294" s="31"/>
    </row>
    <row r="5295" spans="94:94" x14ac:dyDescent="0.15">
      <c r="CP5295" s="31"/>
    </row>
    <row r="5296" spans="94:94" x14ac:dyDescent="0.15">
      <c r="CP5296" s="31"/>
    </row>
    <row r="5297" spans="94:94" x14ac:dyDescent="0.15">
      <c r="CP5297" s="31"/>
    </row>
    <row r="5298" spans="94:94" x14ac:dyDescent="0.15">
      <c r="CP5298" s="31"/>
    </row>
    <row r="5299" spans="94:94" x14ac:dyDescent="0.15">
      <c r="CP5299" s="31"/>
    </row>
    <row r="5300" spans="94:94" x14ac:dyDescent="0.15">
      <c r="CP5300" s="31"/>
    </row>
    <row r="5301" spans="94:94" x14ac:dyDescent="0.15">
      <c r="CP5301" s="31"/>
    </row>
    <row r="5302" spans="94:94" x14ac:dyDescent="0.15">
      <c r="CP5302" s="31"/>
    </row>
    <row r="5303" spans="94:94" x14ac:dyDescent="0.15">
      <c r="CP5303" s="31"/>
    </row>
    <row r="5304" spans="94:94" x14ac:dyDescent="0.15">
      <c r="CP5304" s="31"/>
    </row>
    <row r="5305" spans="94:94" x14ac:dyDescent="0.15">
      <c r="CP5305" s="31"/>
    </row>
    <row r="5306" spans="94:94" x14ac:dyDescent="0.15">
      <c r="CP5306" s="31"/>
    </row>
    <row r="5307" spans="94:94" x14ac:dyDescent="0.15">
      <c r="CP5307" s="31"/>
    </row>
    <row r="5308" spans="94:94" x14ac:dyDescent="0.15">
      <c r="CP5308" s="31"/>
    </row>
    <row r="5309" spans="94:94" x14ac:dyDescent="0.15">
      <c r="CP5309" s="31"/>
    </row>
    <row r="5310" spans="94:94" x14ac:dyDescent="0.15">
      <c r="CP5310" s="31"/>
    </row>
    <row r="5311" spans="94:94" x14ac:dyDescent="0.15">
      <c r="CP5311" s="31"/>
    </row>
    <row r="5312" spans="94:94" x14ac:dyDescent="0.15">
      <c r="CP5312" s="31"/>
    </row>
    <row r="5313" spans="94:94" x14ac:dyDescent="0.15">
      <c r="CP5313" s="31"/>
    </row>
    <row r="5314" spans="94:94" x14ac:dyDescent="0.15">
      <c r="CP5314" s="31"/>
    </row>
    <row r="5315" spans="94:94" x14ac:dyDescent="0.15">
      <c r="CP5315" s="31"/>
    </row>
    <row r="5316" spans="94:94" x14ac:dyDescent="0.15">
      <c r="CP5316" s="31"/>
    </row>
    <row r="5317" spans="94:94" x14ac:dyDescent="0.15">
      <c r="CP5317" s="31"/>
    </row>
    <row r="5318" spans="94:94" x14ac:dyDescent="0.15">
      <c r="CP5318" s="31"/>
    </row>
    <row r="5319" spans="94:94" x14ac:dyDescent="0.15">
      <c r="CP5319" s="31"/>
    </row>
    <row r="5320" spans="94:94" x14ac:dyDescent="0.15">
      <c r="CP5320" s="31"/>
    </row>
    <row r="5321" spans="94:94" x14ac:dyDescent="0.15">
      <c r="CP5321" s="31"/>
    </row>
    <row r="5322" spans="94:94" x14ac:dyDescent="0.15">
      <c r="CP5322" s="31"/>
    </row>
    <row r="5323" spans="94:94" x14ac:dyDescent="0.15">
      <c r="CP5323" s="31"/>
    </row>
    <row r="5324" spans="94:94" x14ac:dyDescent="0.15">
      <c r="CP5324" s="31"/>
    </row>
    <row r="5325" spans="94:94" x14ac:dyDescent="0.15">
      <c r="CP5325" s="31"/>
    </row>
    <row r="5326" spans="94:94" x14ac:dyDescent="0.15">
      <c r="CP5326" s="31"/>
    </row>
    <row r="5327" spans="94:94" x14ac:dyDescent="0.15">
      <c r="CP5327" s="31"/>
    </row>
    <row r="5328" spans="94:94" x14ac:dyDescent="0.15">
      <c r="CP5328" s="31"/>
    </row>
    <row r="5329" spans="94:94" x14ac:dyDescent="0.15">
      <c r="CP5329" s="31"/>
    </row>
    <row r="5330" spans="94:94" x14ac:dyDescent="0.15">
      <c r="CP5330" s="31"/>
    </row>
    <row r="5331" spans="94:94" x14ac:dyDescent="0.15">
      <c r="CP5331" s="31"/>
    </row>
    <row r="5332" spans="94:94" x14ac:dyDescent="0.15">
      <c r="CP5332" s="31"/>
    </row>
    <row r="5333" spans="94:94" x14ac:dyDescent="0.15">
      <c r="CP5333" s="31"/>
    </row>
    <row r="5334" spans="94:94" x14ac:dyDescent="0.15">
      <c r="CP5334" s="31"/>
    </row>
    <row r="5335" spans="94:94" x14ac:dyDescent="0.15">
      <c r="CP5335" s="31"/>
    </row>
    <row r="5336" spans="94:94" x14ac:dyDescent="0.15">
      <c r="CP5336" s="31"/>
    </row>
    <row r="5337" spans="94:94" x14ac:dyDescent="0.15">
      <c r="CP5337" s="31"/>
    </row>
    <row r="5338" spans="94:94" x14ac:dyDescent="0.15">
      <c r="CP5338" s="31"/>
    </row>
    <row r="5339" spans="94:94" x14ac:dyDescent="0.15">
      <c r="CP5339" s="31"/>
    </row>
    <row r="5340" spans="94:94" x14ac:dyDescent="0.15">
      <c r="CP5340" s="31"/>
    </row>
    <row r="5341" spans="94:94" x14ac:dyDescent="0.15">
      <c r="CP5341" s="31"/>
    </row>
    <row r="5342" spans="94:94" x14ac:dyDescent="0.15">
      <c r="CP5342" s="31"/>
    </row>
    <row r="5343" spans="94:94" x14ac:dyDescent="0.15">
      <c r="CP5343" s="31"/>
    </row>
    <row r="5344" spans="94:94" x14ac:dyDescent="0.15">
      <c r="CP5344" s="31"/>
    </row>
    <row r="5345" spans="94:94" x14ac:dyDescent="0.15">
      <c r="CP5345" s="31"/>
    </row>
    <row r="5346" spans="94:94" x14ac:dyDescent="0.15">
      <c r="CP5346" s="31"/>
    </row>
    <row r="5347" spans="94:94" x14ac:dyDescent="0.15">
      <c r="CP5347" s="31"/>
    </row>
    <row r="5348" spans="94:94" x14ac:dyDescent="0.15">
      <c r="CP5348" s="31"/>
    </row>
    <row r="5349" spans="94:94" x14ac:dyDescent="0.15">
      <c r="CP5349" s="31"/>
    </row>
    <row r="5350" spans="94:94" x14ac:dyDescent="0.15">
      <c r="CP5350" s="31"/>
    </row>
    <row r="5351" spans="94:94" x14ac:dyDescent="0.15">
      <c r="CP5351" s="31"/>
    </row>
    <row r="5352" spans="94:94" x14ac:dyDescent="0.15">
      <c r="CP5352" s="31"/>
    </row>
    <row r="5353" spans="94:94" x14ac:dyDescent="0.15">
      <c r="CP5353" s="31"/>
    </row>
    <row r="5354" spans="94:94" x14ac:dyDescent="0.15">
      <c r="CP5354" s="31"/>
    </row>
    <row r="5355" spans="94:94" x14ac:dyDescent="0.15">
      <c r="CP5355" s="31"/>
    </row>
    <row r="5356" spans="94:94" x14ac:dyDescent="0.15">
      <c r="CP5356" s="31"/>
    </row>
    <row r="5357" spans="94:94" x14ac:dyDescent="0.15">
      <c r="CP5357" s="31"/>
    </row>
    <row r="5358" spans="94:94" x14ac:dyDescent="0.15">
      <c r="CP5358" s="31"/>
    </row>
    <row r="5359" spans="94:94" x14ac:dyDescent="0.15">
      <c r="CP5359" s="31"/>
    </row>
    <row r="5360" spans="94:94" x14ac:dyDescent="0.15">
      <c r="CP5360" s="31"/>
    </row>
    <row r="5361" spans="94:94" x14ac:dyDescent="0.15">
      <c r="CP5361" s="31"/>
    </row>
    <row r="5362" spans="94:94" x14ac:dyDescent="0.15">
      <c r="CP5362" s="31"/>
    </row>
    <row r="5363" spans="94:94" x14ac:dyDescent="0.15">
      <c r="CP5363" s="31"/>
    </row>
    <row r="5364" spans="94:94" x14ac:dyDescent="0.15">
      <c r="CP5364" s="31"/>
    </row>
    <row r="5365" spans="94:94" x14ac:dyDescent="0.15">
      <c r="CP5365" s="31"/>
    </row>
    <row r="5366" spans="94:94" x14ac:dyDescent="0.15">
      <c r="CP5366" s="31"/>
    </row>
    <row r="5367" spans="94:94" x14ac:dyDescent="0.15">
      <c r="CP5367" s="31"/>
    </row>
    <row r="5368" spans="94:94" x14ac:dyDescent="0.15">
      <c r="CP5368" s="31"/>
    </row>
    <row r="5369" spans="94:94" x14ac:dyDescent="0.15">
      <c r="CP5369" s="31"/>
    </row>
    <row r="5370" spans="94:94" x14ac:dyDescent="0.15">
      <c r="CP5370" s="31"/>
    </row>
    <row r="5371" spans="94:94" x14ac:dyDescent="0.15">
      <c r="CP5371" s="31"/>
    </row>
    <row r="5372" spans="94:94" x14ac:dyDescent="0.15">
      <c r="CP5372" s="31"/>
    </row>
    <row r="5373" spans="94:94" x14ac:dyDescent="0.15">
      <c r="CP5373" s="31"/>
    </row>
    <row r="5374" spans="94:94" x14ac:dyDescent="0.15">
      <c r="CP5374" s="31"/>
    </row>
    <row r="5375" spans="94:94" x14ac:dyDescent="0.15">
      <c r="CP5375" s="31"/>
    </row>
    <row r="5376" spans="94:94" x14ac:dyDescent="0.15">
      <c r="CP5376" s="31"/>
    </row>
    <row r="5377" spans="94:94" x14ac:dyDescent="0.15">
      <c r="CP5377" s="31"/>
    </row>
    <row r="5378" spans="94:94" x14ac:dyDescent="0.15">
      <c r="CP5378" s="31"/>
    </row>
    <row r="5379" spans="94:94" x14ac:dyDescent="0.15">
      <c r="CP5379" s="31"/>
    </row>
    <row r="5380" spans="94:94" x14ac:dyDescent="0.15">
      <c r="CP5380" s="31"/>
    </row>
    <row r="5381" spans="94:94" x14ac:dyDescent="0.15">
      <c r="CP5381" s="31"/>
    </row>
    <row r="5382" spans="94:94" x14ac:dyDescent="0.15">
      <c r="CP5382" s="31"/>
    </row>
    <row r="5383" spans="94:94" x14ac:dyDescent="0.15">
      <c r="CP5383" s="31"/>
    </row>
    <row r="5384" spans="94:94" x14ac:dyDescent="0.15">
      <c r="CP5384" s="31"/>
    </row>
    <row r="5385" spans="94:94" x14ac:dyDescent="0.15">
      <c r="CP5385" s="31"/>
    </row>
    <row r="5386" spans="94:94" x14ac:dyDescent="0.15">
      <c r="CP5386" s="31"/>
    </row>
    <row r="5387" spans="94:94" x14ac:dyDescent="0.15">
      <c r="CP5387" s="31"/>
    </row>
    <row r="5388" spans="94:94" x14ac:dyDescent="0.15">
      <c r="CP5388" s="31"/>
    </row>
    <row r="5389" spans="94:94" x14ac:dyDescent="0.15">
      <c r="CP5389" s="31"/>
    </row>
    <row r="5390" spans="94:94" x14ac:dyDescent="0.15">
      <c r="CP5390" s="31"/>
    </row>
    <row r="5391" spans="94:94" x14ac:dyDescent="0.15">
      <c r="CP5391" s="31"/>
    </row>
    <row r="5392" spans="94:94" x14ac:dyDescent="0.15">
      <c r="CP5392" s="31"/>
    </row>
    <row r="5393" spans="94:94" x14ac:dyDescent="0.15">
      <c r="CP5393" s="31"/>
    </row>
    <row r="5394" spans="94:94" x14ac:dyDescent="0.15">
      <c r="CP5394" s="31"/>
    </row>
    <row r="5395" spans="94:94" x14ac:dyDescent="0.15">
      <c r="CP5395" s="31"/>
    </row>
    <row r="5396" spans="94:94" x14ac:dyDescent="0.15">
      <c r="CP5396" s="31"/>
    </row>
    <row r="5397" spans="94:94" x14ac:dyDescent="0.15">
      <c r="CP5397" s="31"/>
    </row>
    <row r="5398" spans="94:94" x14ac:dyDescent="0.15">
      <c r="CP5398" s="31"/>
    </row>
    <row r="5399" spans="94:94" x14ac:dyDescent="0.15">
      <c r="CP5399" s="31"/>
    </row>
    <row r="5400" spans="94:94" x14ac:dyDescent="0.15">
      <c r="CP5400" s="31"/>
    </row>
    <row r="5401" spans="94:94" x14ac:dyDescent="0.15">
      <c r="CP5401" s="31"/>
    </row>
    <row r="5402" spans="94:94" x14ac:dyDescent="0.15">
      <c r="CP5402" s="31"/>
    </row>
    <row r="5403" spans="94:94" x14ac:dyDescent="0.15">
      <c r="CP5403" s="31"/>
    </row>
    <row r="5404" spans="94:94" x14ac:dyDescent="0.15">
      <c r="CP5404" s="31"/>
    </row>
    <row r="5405" spans="94:94" x14ac:dyDescent="0.15">
      <c r="CP5405" s="31"/>
    </row>
    <row r="5406" spans="94:94" x14ac:dyDescent="0.15">
      <c r="CP5406" s="31"/>
    </row>
    <row r="5407" spans="94:94" x14ac:dyDescent="0.15">
      <c r="CP5407" s="31"/>
    </row>
    <row r="5408" spans="94:94" x14ac:dyDescent="0.15">
      <c r="CP5408" s="31"/>
    </row>
    <row r="5409" spans="94:94" x14ac:dyDescent="0.15">
      <c r="CP5409" s="31"/>
    </row>
    <row r="5410" spans="94:94" x14ac:dyDescent="0.15">
      <c r="CP5410" s="31"/>
    </row>
    <row r="5411" spans="94:94" x14ac:dyDescent="0.15">
      <c r="CP5411" s="31"/>
    </row>
    <row r="5412" spans="94:94" x14ac:dyDescent="0.15">
      <c r="CP5412" s="31"/>
    </row>
    <row r="5413" spans="94:94" x14ac:dyDescent="0.15">
      <c r="CP5413" s="31"/>
    </row>
    <row r="5414" spans="94:94" x14ac:dyDescent="0.15">
      <c r="CP5414" s="31"/>
    </row>
    <row r="5415" spans="94:94" x14ac:dyDescent="0.15">
      <c r="CP5415" s="31"/>
    </row>
    <row r="5416" spans="94:94" x14ac:dyDescent="0.15">
      <c r="CP5416" s="31"/>
    </row>
    <row r="5417" spans="94:94" x14ac:dyDescent="0.15">
      <c r="CP5417" s="31"/>
    </row>
    <row r="5418" spans="94:94" x14ac:dyDescent="0.15">
      <c r="CP5418" s="31"/>
    </row>
    <row r="5419" spans="94:94" x14ac:dyDescent="0.15">
      <c r="CP5419" s="31"/>
    </row>
    <row r="5420" spans="94:94" x14ac:dyDescent="0.15">
      <c r="CP5420" s="31"/>
    </row>
    <row r="5421" spans="94:94" x14ac:dyDescent="0.15">
      <c r="CP5421" s="31"/>
    </row>
    <row r="5422" spans="94:94" x14ac:dyDescent="0.15">
      <c r="CP5422" s="31"/>
    </row>
    <row r="5423" spans="94:94" x14ac:dyDescent="0.15">
      <c r="CP5423" s="31"/>
    </row>
    <row r="5424" spans="94:94" x14ac:dyDescent="0.15">
      <c r="CP5424" s="31"/>
    </row>
    <row r="5425" spans="94:94" x14ac:dyDescent="0.15">
      <c r="CP5425" s="31"/>
    </row>
    <row r="5426" spans="94:94" x14ac:dyDescent="0.15">
      <c r="CP5426" s="31"/>
    </row>
    <row r="5427" spans="94:94" x14ac:dyDescent="0.15">
      <c r="CP5427" s="31"/>
    </row>
    <row r="5428" spans="94:94" x14ac:dyDescent="0.15">
      <c r="CP5428" s="31"/>
    </row>
    <row r="5429" spans="94:94" x14ac:dyDescent="0.15">
      <c r="CP5429" s="31"/>
    </row>
    <row r="5430" spans="94:94" x14ac:dyDescent="0.15">
      <c r="CP5430" s="31"/>
    </row>
    <row r="5431" spans="94:94" x14ac:dyDescent="0.15">
      <c r="CP5431" s="31"/>
    </row>
    <row r="5432" spans="94:94" x14ac:dyDescent="0.15">
      <c r="CP5432" s="31"/>
    </row>
    <row r="5433" spans="94:94" x14ac:dyDescent="0.15">
      <c r="CP5433" s="31"/>
    </row>
    <row r="5434" spans="94:94" x14ac:dyDescent="0.15">
      <c r="CP5434" s="31"/>
    </row>
    <row r="5435" spans="94:94" x14ac:dyDescent="0.15">
      <c r="CP5435" s="31"/>
    </row>
    <row r="5436" spans="94:94" x14ac:dyDescent="0.15">
      <c r="CP5436" s="31"/>
    </row>
    <row r="5437" spans="94:94" x14ac:dyDescent="0.15">
      <c r="CP5437" s="31"/>
    </row>
    <row r="5438" spans="94:94" x14ac:dyDescent="0.15">
      <c r="CP5438" s="31"/>
    </row>
    <row r="5439" spans="94:94" x14ac:dyDescent="0.15">
      <c r="CP5439" s="31"/>
    </row>
    <row r="5440" spans="94:94" x14ac:dyDescent="0.15">
      <c r="CP5440" s="31"/>
    </row>
    <row r="5441" spans="94:94" x14ac:dyDescent="0.15">
      <c r="CP5441" s="31"/>
    </row>
    <row r="5442" spans="94:94" x14ac:dyDescent="0.15">
      <c r="CP5442" s="31"/>
    </row>
    <row r="5443" spans="94:94" x14ac:dyDescent="0.15">
      <c r="CP5443" s="31"/>
    </row>
    <row r="5444" spans="94:94" x14ac:dyDescent="0.15">
      <c r="CP5444" s="31"/>
    </row>
    <row r="5445" spans="94:94" x14ac:dyDescent="0.15">
      <c r="CP5445" s="31"/>
    </row>
    <row r="5446" spans="94:94" x14ac:dyDescent="0.15">
      <c r="CP5446" s="31"/>
    </row>
    <row r="5447" spans="94:94" x14ac:dyDescent="0.15">
      <c r="CP5447" s="31"/>
    </row>
    <row r="5448" spans="94:94" x14ac:dyDescent="0.15">
      <c r="CP5448" s="31"/>
    </row>
    <row r="5449" spans="94:94" x14ac:dyDescent="0.15">
      <c r="CP5449" s="31"/>
    </row>
    <row r="5450" spans="94:94" x14ac:dyDescent="0.15">
      <c r="CP5450" s="31"/>
    </row>
    <row r="5451" spans="94:94" x14ac:dyDescent="0.15">
      <c r="CP5451" s="31"/>
    </row>
    <row r="5452" spans="94:94" x14ac:dyDescent="0.15">
      <c r="CP5452" s="31"/>
    </row>
    <row r="5453" spans="94:94" x14ac:dyDescent="0.15">
      <c r="CP5453" s="31"/>
    </row>
    <row r="5454" spans="94:94" x14ac:dyDescent="0.15">
      <c r="CP5454" s="31"/>
    </row>
    <row r="5455" spans="94:94" x14ac:dyDescent="0.15">
      <c r="CP5455" s="31"/>
    </row>
    <row r="5456" spans="94:94" x14ac:dyDescent="0.15">
      <c r="CP5456" s="31"/>
    </row>
    <row r="5457" spans="94:94" x14ac:dyDescent="0.15">
      <c r="CP5457" s="31"/>
    </row>
    <row r="5458" spans="94:94" x14ac:dyDescent="0.15">
      <c r="CP5458" s="31"/>
    </row>
    <row r="5459" spans="94:94" x14ac:dyDescent="0.15">
      <c r="CP5459" s="31"/>
    </row>
    <row r="5460" spans="94:94" x14ac:dyDescent="0.15">
      <c r="CP5460" s="31"/>
    </row>
    <row r="5461" spans="94:94" x14ac:dyDescent="0.15">
      <c r="CP5461" s="31"/>
    </row>
    <row r="5462" spans="94:94" x14ac:dyDescent="0.15">
      <c r="CP5462" s="31"/>
    </row>
    <row r="5463" spans="94:94" x14ac:dyDescent="0.15">
      <c r="CP5463" s="31"/>
    </row>
    <row r="5464" spans="94:94" x14ac:dyDescent="0.15">
      <c r="CP5464" s="31"/>
    </row>
    <row r="5465" spans="94:94" x14ac:dyDescent="0.15">
      <c r="CP5465" s="31"/>
    </row>
    <row r="5466" spans="94:94" x14ac:dyDescent="0.15">
      <c r="CP5466" s="31"/>
    </row>
    <row r="5467" spans="94:94" x14ac:dyDescent="0.15">
      <c r="CP5467" s="31"/>
    </row>
    <row r="5468" spans="94:94" x14ac:dyDescent="0.15">
      <c r="CP5468" s="31"/>
    </row>
    <row r="5469" spans="94:94" x14ac:dyDescent="0.15">
      <c r="CP5469" s="31"/>
    </row>
    <row r="5470" spans="94:94" x14ac:dyDescent="0.15">
      <c r="CP5470" s="31"/>
    </row>
    <row r="5471" spans="94:94" x14ac:dyDescent="0.15">
      <c r="CP5471" s="31"/>
    </row>
    <row r="5472" spans="94:94" x14ac:dyDescent="0.15">
      <c r="CP5472" s="31"/>
    </row>
    <row r="5473" spans="94:94" x14ac:dyDescent="0.15">
      <c r="CP5473" s="31"/>
    </row>
    <row r="5474" spans="94:94" x14ac:dyDescent="0.15">
      <c r="CP5474" s="31"/>
    </row>
    <row r="5475" spans="94:94" x14ac:dyDescent="0.15">
      <c r="CP5475" s="31"/>
    </row>
    <row r="5476" spans="94:94" x14ac:dyDescent="0.15">
      <c r="CP5476" s="31"/>
    </row>
    <row r="5477" spans="94:94" x14ac:dyDescent="0.15">
      <c r="CP5477" s="31"/>
    </row>
    <row r="5478" spans="94:94" x14ac:dyDescent="0.15">
      <c r="CP5478" s="31"/>
    </row>
    <row r="5479" spans="94:94" x14ac:dyDescent="0.15">
      <c r="CP5479" s="31"/>
    </row>
    <row r="5480" spans="94:94" x14ac:dyDescent="0.15">
      <c r="CP5480" s="31"/>
    </row>
    <row r="5481" spans="94:94" x14ac:dyDescent="0.15">
      <c r="CP5481" s="31"/>
    </row>
    <row r="5482" spans="94:94" x14ac:dyDescent="0.15">
      <c r="CP5482" s="31"/>
    </row>
    <row r="5483" spans="94:94" x14ac:dyDescent="0.15">
      <c r="CP5483" s="31"/>
    </row>
    <row r="5484" spans="94:94" x14ac:dyDescent="0.15">
      <c r="CP5484" s="31"/>
    </row>
    <row r="5485" spans="94:94" x14ac:dyDescent="0.15">
      <c r="CP5485" s="31"/>
    </row>
    <row r="5486" spans="94:94" x14ac:dyDescent="0.15">
      <c r="CP5486" s="31"/>
    </row>
    <row r="5487" spans="94:94" x14ac:dyDescent="0.15">
      <c r="CP5487" s="31"/>
    </row>
    <row r="5488" spans="94:94" x14ac:dyDescent="0.15">
      <c r="CP5488" s="31"/>
    </row>
    <row r="5489" spans="94:94" x14ac:dyDescent="0.15">
      <c r="CP5489" s="31"/>
    </row>
    <row r="5490" spans="94:94" x14ac:dyDescent="0.15">
      <c r="CP5490" s="31"/>
    </row>
    <row r="5491" spans="94:94" x14ac:dyDescent="0.15">
      <c r="CP5491" s="31"/>
    </row>
    <row r="5492" spans="94:94" x14ac:dyDescent="0.15">
      <c r="CP5492" s="31"/>
    </row>
    <row r="5493" spans="94:94" x14ac:dyDescent="0.15">
      <c r="CP5493" s="31"/>
    </row>
    <row r="5494" spans="94:94" x14ac:dyDescent="0.15">
      <c r="CP5494" s="31"/>
    </row>
    <row r="5495" spans="94:94" x14ac:dyDescent="0.15">
      <c r="CP5495" s="31"/>
    </row>
    <row r="5496" spans="94:94" x14ac:dyDescent="0.15">
      <c r="CP5496" s="31"/>
    </row>
    <row r="5497" spans="94:94" x14ac:dyDescent="0.15">
      <c r="CP5497" s="31"/>
    </row>
    <row r="5498" spans="94:94" x14ac:dyDescent="0.15">
      <c r="CP5498" s="31"/>
    </row>
    <row r="5499" spans="94:94" x14ac:dyDescent="0.15">
      <c r="CP5499" s="31"/>
    </row>
    <row r="5500" spans="94:94" x14ac:dyDescent="0.15">
      <c r="CP5500" s="31"/>
    </row>
    <row r="5501" spans="94:94" x14ac:dyDescent="0.15">
      <c r="CP5501" s="31"/>
    </row>
    <row r="5502" spans="94:94" x14ac:dyDescent="0.15">
      <c r="CP5502" s="31"/>
    </row>
    <row r="5503" spans="94:94" x14ac:dyDescent="0.15">
      <c r="CP5503" s="31"/>
    </row>
    <row r="5504" spans="94:94" x14ac:dyDescent="0.15">
      <c r="CP5504" s="31"/>
    </row>
    <row r="5505" spans="94:94" x14ac:dyDescent="0.15">
      <c r="CP5505" s="31"/>
    </row>
    <row r="5506" spans="94:94" x14ac:dyDescent="0.15">
      <c r="CP5506" s="31"/>
    </row>
    <row r="5507" spans="94:94" x14ac:dyDescent="0.15">
      <c r="CP5507" s="31"/>
    </row>
    <row r="5508" spans="94:94" x14ac:dyDescent="0.15">
      <c r="CP5508" s="31"/>
    </row>
    <row r="5509" spans="94:94" x14ac:dyDescent="0.15">
      <c r="CP5509" s="31"/>
    </row>
    <row r="5510" spans="94:94" x14ac:dyDescent="0.15">
      <c r="CP5510" s="31"/>
    </row>
    <row r="5511" spans="94:94" x14ac:dyDescent="0.15">
      <c r="CP5511" s="31"/>
    </row>
    <row r="5512" spans="94:94" x14ac:dyDescent="0.15">
      <c r="CP5512" s="31"/>
    </row>
    <row r="5513" spans="94:94" x14ac:dyDescent="0.15">
      <c r="CP5513" s="31"/>
    </row>
    <row r="5514" spans="94:94" x14ac:dyDescent="0.15">
      <c r="CP5514" s="31"/>
    </row>
    <row r="5515" spans="94:94" x14ac:dyDescent="0.15">
      <c r="CP5515" s="31"/>
    </row>
    <row r="5516" spans="94:94" x14ac:dyDescent="0.15">
      <c r="CP5516" s="31"/>
    </row>
    <row r="5517" spans="94:94" x14ac:dyDescent="0.15">
      <c r="CP5517" s="31"/>
    </row>
    <row r="5518" spans="94:94" x14ac:dyDescent="0.15">
      <c r="CP5518" s="31"/>
    </row>
    <row r="5519" spans="94:94" x14ac:dyDescent="0.15">
      <c r="CP5519" s="31"/>
    </row>
    <row r="5520" spans="94:94" x14ac:dyDescent="0.15">
      <c r="CP5520" s="31"/>
    </row>
    <row r="5521" spans="94:94" x14ac:dyDescent="0.15">
      <c r="CP5521" s="31"/>
    </row>
    <row r="5522" spans="94:94" x14ac:dyDescent="0.15">
      <c r="CP5522" s="31"/>
    </row>
    <row r="5523" spans="94:94" x14ac:dyDescent="0.15">
      <c r="CP5523" s="31"/>
    </row>
    <row r="5524" spans="94:94" x14ac:dyDescent="0.15">
      <c r="CP5524" s="31"/>
    </row>
    <row r="5525" spans="94:94" x14ac:dyDescent="0.15">
      <c r="CP5525" s="31"/>
    </row>
    <row r="5526" spans="94:94" x14ac:dyDescent="0.15">
      <c r="CP5526" s="31"/>
    </row>
    <row r="5527" spans="94:94" x14ac:dyDescent="0.15">
      <c r="CP5527" s="31"/>
    </row>
    <row r="5528" spans="94:94" x14ac:dyDescent="0.15">
      <c r="CP5528" s="31"/>
    </row>
    <row r="5529" spans="94:94" x14ac:dyDescent="0.15">
      <c r="CP5529" s="31"/>
    </row>
    <row r="5530" spans="94:94" x14ac:dyDescent="0.15">
      <c r="CP5530" s="31"/>
    </row>
    <row r="5531" spans="94:94" x14ac:dyDescent="0.15">
      <c r="CP5531" s="31"/>
    </row>
    <row r="5532" spans="94:94" x14ac:dyDescent="0.15">
      <c r="CP5532" s="31"/>
    </row>
    <row r="5533" spans="94:94" x14ac:dyDescent="0.15">
      <c r="CP5533" s="31"/>
    </row>
    <row r="5534" spans="94:94" x14ac:dyDescent="0.15">
      <c r="CP5534" s="31"/>
    </row>
    <row r="5535" spans="94:94" x14ac:dyDescent="0.15">
      <c r="CP5535" s="31"/>
    </row>
    <row r="5536" spans="94:94" x14ac:dyDescent="0.15">
      <c r="CP5536" s="31"/>
    </row>
    <row r="5537" spans="94:94" x14ac:dyDescent="0.15">
      <c r="CP5537" s="31"/>
    </row>
    <row r="5538" spans="94:94" x14ac:dyDescent="0.15">
      <c r="CP5538" s="31"/>
    </row>
    <row r="5539" spans="94:94" x14ac:dyDescent="0.15">
      <c r="CP5539" s="31"/>
    </row>
    <row r="5540" spans="94:94" x14ac:dyDescent="0.15">
      <c r="CP5540" s="31"/>
    </row>
    <row r="5541" spans="94:94" x14ac:dyDescent="0.15">
      <c r="CP5541" s="31"/>
    </row>
    <row r="5542" spans="94:94" x14ac:dyDescent="0.15">
      <c r="CP5542" s="31"/>
    </row>
    <row r="5543" spans="94:94" x14ac:dyDescent="0.15">
      <c r="CP5543" s="31"/>
    </row>
    <row r="5544" spans="94:94" x14ac:dyDescent="0.15">
      <c r="CP5544" s="31"/>
    </row>
    <row r="5545" spans="94:94" x14ac:dyDescent="0.15">
      <c r="CP5545" s="31"/>
    </row>
    <row r="5546" spans="94:94" x14ac:dyDescent="0.15">
      <c r="CP5546" s="31"/>
    </row>
    <row r="5547" spans="94:94" x14ac:dyDescent="0.15">
      <c r="CP5547" s="31"/>
    </row>
    <row r="5548" spans="94:94" x14ac:dyDescent="0.15">
      <c r="CP5548" s="31"/>
    </row>
    <row r="5549" spans="94:94" x14ac:dyDescent="0.15">
      <c r="CP5549" s="31"/>
    </row>
    <row r="5550" spans="94:94" x14ac:dyDescent="0.15">
      <c r="CP5550" s="31"/>
    </row>
    <row r="5551" spans="94:94" x14ac:dyDescent="0.15">
      <c r="CP5551" s="31"/>
    </row>
    <row r="5552" spans="94:94" x14ac:dyDescent="0.15">
      <c r="CP5552" s="31"/>
    </row>
    <row r="5553" spans="94:94" x14ac:dyDescent="0.15">
      <c r="CP5553" s="31"/>
    </row>
    <row r="5554" spans="94:94" x14ac:dyDescent="0.15">
      <c r="CP5554" s="31"/>
    </row>
    <row r="5555" spans="94:94" x14ac:dyDescent="0.15">
      <c r="CP5555" s="31"/>
    </row>
    <row r="5556" spans="94:94" x14ac:dyDescent="0.15">
      <c r="CP5556" s="31"/>
    </row>
    <row r="5557" spans="94:94" x14ac:dyDescent="0.15">
      <c r="CP5557" s="31"/>
    </row>
    <row r="5558" spans="94:94" x14ac:dyDescent="0.15">
      <c r="CP5558" s="31"/>
    </row>
    <row r="5559" spans="94:94" x14ac:dyDescent="0.15">
      <c r="CP5559" s="31"/>
    </row>
    <row r="5560" spans="94:94" x14ac:dyDescent="0.15">
      <c r="CP5560" s="31"/>
    </row>
    <row r="5561" spans="94:94" x14ac:dyDescent="0.15">
      <c r="CP5561" s="31"/>
    </row>
    <row r="5562" spans="94:94" x14ac:dyDescent="0.15">
      <c r="CP5562" s="31"/>
    </row>
    <row r="5563" spans="94:94" x14ac:dyDescent="0.15">
      <c r="CP5563" s="31"/>
    </row>
    <row r="5564" spans="94:94" x14ac:dyDescent="0.15">
      <c r="CP5564" s="31"/>
    </row>
    <row r="5565" spans="94:94" x14ac:dyDescent="0.15">
      <c r="CP5565" s="31"/>
    </row>
    <row r="5566" spans="94:94" x14ac:dyDescent="0.15">
      <c r="CP5566" s="31"/>
    </row>
    <row r="5567" spans="94:94" x14ac:dyDescent="0.15">
      <c r="CP5567" s="31"/>
    </row>
    <row r="5568" spans="94:94" x14ac:dyDescent="0.15">
      <c r="CP5568" s="31"/>
    </row>
    <row r="5569" spans="94:94" x14ac:dyDescent="0.15">
      <c r="CP5569" s="31"/>
    </row>
    <row r="5570" spans="94:94" x14ac:dyDescent="0.15">
      <c r="CP5570" s="31"/>
    </row>
    <row r="5571" spans="94:94" x14ac:dyDescent="0.15">
      <c r="CP5571" s="31"/>
    </row>
    <row r="5572" spans="94:94" x14ac:dyDescent="0.15">
      <c r="CP5572" s="31"/>
    </row>
    <row r="5573" spans="94:94" x14ac:dyDescent="0.15">
      <c r="CP5573" s="31"/>
    </row>
    <row r="5574" spans="94:94" x14ac:dyDescent="0.15">
      <c r="CP5574" s="31"/>
    </row>
    <row r="5575" spans="94:94" x14ac:dyDescent="0.15">
      <c r="CP5575" s="31"/>
    </row>
    <row r="5576" spans="94:94" x14ac:dyDescent="0.15">
      <c r="CP5576" s="31"/>
    </row>
    <row r="5577" spans="94:94" x14ac:dyDescent="0.15">
      <c r="CP5577" s="31"/>
    </row>
    <row r="5578" spans="94:94" x14ac:dyDescent="0.15">
      <c r="CP5578" s="31"/>
    </row>
    <row r="5579" spans="94:94" x14ac:dyDescent="0.15">
      <c r="CP5579" s="31"/>
    </row>
    <row r="5580" spans="94:94" x14ac:dyDescent="0.15">
      <c r="CP5580" s="31"/>
    </row>
    <row r="5581" spans="94:94" x14ac:dyDescent="0.15">
      <c r="CP5581" s="31"/>
    </row>
    <row r="5582" spans="94:94" x14ac:dyDescent="0.15">
      <c r="CP5582" s="31"/>
    </row>
    <row r="5583" spans="94:94" x14ac:dyDescent="0.15">
      <c r="CP5583" s="31"/>
    </row>
    <row r="5584" spans="94:94" x14ac:dyDescent="0.15">
      <c r="CP5584" s="31"/>
    </row>
    <row r="5585" spans="94:94" x14ac:dyDescent="0.15">
      <c r="CP5585" s="31"/>
    </row>
    <row r="5586" spans="94:94" x14ac:dyDescent="0.15">
      <c r="CP5586" s="31"/>
    </row>
    <row r="5587" spans="94:94" x14ac:dyDescent="0.15">
      <c r="CP5587" s="31"/>
    </row>
    <row r="5588" spans="94:94" x14ac:dyDescent="0.15">
      <c r="CP5588" s="31"/>
    </row>
    <row r="5589" spans="94:94" x14ac:dyDescent="0.15">
      <c r="CP5589" s="31"/>
    </row>
    <row r="5590" spans="94:94" x14ac:dyDescent="0.15">
      <c r="CP5590" s="31"/>
    </row>
    <row r="5591" spans="94:94" x14ac:dyDescent="0.15">
      <c r="CP5591" s="31"/>
    </row>
    <row r="5592" spans="94:94" x14ac:dyDescent="0.15">
      <c r="CP5592" s="31"/>
    </row>
    <row r="5593" spans="94:94" x14ac:dyDescent="0.15">
      <c r="CP5593" s="31"/>
    </row>
    <row r="5594" spans="94:94" x14ac:dyDescent="0.15">
      <c r="CP5594" s="31"/>
    </row>
    <row r="5595" spans="94:94" x14ac:dyDescent="0.15">
      <c r="CP5595" s="31"/>
    </row>
    <row r="5596" spans="94:94" x14ac:dyDescent="0.15">
      <c r="CP5596" s="31"/>
    </row>
    <row r="5597" spans="94:94" x14ac:dyDescent="0.15">
      <c r="CP5597" s="31"/>
    </row>
    <row r="5598" spans="94:94" x14ac:dyDescent="0.15">
      <c r="CP5598" s="31"/>
    </row>
    <row r="5599" spans="94:94" x14ac:dyDescent="0.15">
      <c r="CP5599" s="31"/>
    </row>
    <row r="5600" spans="94:94" x14ac:dyDescent="0.15">
      <c r="CP5600" s="31"/>
    </row>
    <row r="5601" spans="94:94" x14ac:dyDescent="0.15">
      <c r="CP5601" s="31"/>
    </row>
    <row r="5602" spans="94:94" x14ac:dyDescent="0.15">
      <c r="CP5602" s="31"/>
    </row>
    <row r="5603" spans="94:94" x14ac:dyDescent="0.15">
      <c r="CP5603" s="31"/>
    </row>
    <row r="5604" spans="94:94" x14ac:dyDescent="0.15">
      <c r="CP5604" s="31"/>
    </row>
    <row r="5605" spans="94:94" x14ac:dyDescent="0.15">
      <c r="CP5605" s="31"/>
    </row>
    <row r="5606" spans="94:94" x14ac:dyDescent="0.15">
      <c r="CP5606" s="31"/>
    </row>
    <row r="5607" spans="94:94" x14ac:dyDescent="0.15">
      <c r="CP5607" s="31"/>
    </row>
    <row r="5608" spans="94:94" x14ac:dyDescent="0.15">
      <c r="CP5608" s="31"/>
    </row>
    <row r="5609" spans="94:94" x14ac:dyDescent="0.15">
      <c r="CP5609" s="31"/>
    </row>
    <row r="5610" spans="94:94" x14ac:dyDescent="0.15">
      <c r="CP5610" s="31"/>
    </row>
    <row r="5611" spans="94:94" x14ac:dyDescent="0.15">
      <c r="CP5611" s="31"/>
    </row>
    <row r="5612" spans="94:94" x14ac:dyDescent="0.15">
      <c r="CP5612" s="31"/>
    </row>
    <row r="5613" spans="94:94" x14ac:dyDescent="0.15">
      <c r="CP5613" s="31"/>
    </row>
    <row r="5614" spans="94:94" x14ac:dyDescent="0.15">
      <c r="CP5614" s="31"/>
    </row>
    <row r="5615" spans="94:94" x14ac:dyDescent="0.15">
      <c r="CP5615" s="31"/>
    </row>
    <row r="5616" spans="94:94" x14ac:dyDescent="0.15">
      <c r="CP5616" s="31"/>
    </row>
    <row r="5617" spans="94:94" x14ac:dyDescent="0.15">
      <c r="CP5617" s="31"/>
    </row>
    <row r="5618" spans="94:94" x14ac:dyDescent="0.15">
      <c r="CP5618" s="31"/>
    </row>
    <row r="5619" spans="94:94" x14ac:dyDescent="0.15">
      <c r="CP5619" s="31"/>
    </row>
    <row r="5620" spans="94:94" x14ac:dyDescent="0.15">
      <c r="CP5620" s="31"/>
    </row>
    <row r="5621" spans="94:94" x14ac:dyDescent="0.15">
      <c r="CP5621" s="31"/>
    </row>
    <row r="5622" spans="94:94" x14ac:dyDescent="0.15">
      <c r="CP5622" s="31"/>
    </row>
    <row r="5623" spans="94:94" x14ac:dyDescent="0.15">
      <c r="CP5623" s="31"/>
    </row>
    <row r="5624" spans="94:94" x14ac:dyDescent="0.15">
      <c r="CP5624" s="31"/>
    </row>
    <row r="5625" spans="94:94" x14ac:dyDescent="0.15">
      <c r="CP5625" s="31"/>
    </row>
    <row r="5626" spans="94:94" x14ac:dyDescent="0.15">
      <c r="CP5626" s="31"/>
    </row>
    <row r="5627" spans="94:94" x14ac:dyDescent="0.15">
      <c r="CP5627" s="31"/>
    </row>
    <row r="5628" spans="94:94" x14ac:dyDescent="0.15">
      <c r="CP5628" s="31"/>
    </row>
    <row r="5629" spans="94:94" x14ac:dyDescent="0.15">
      <c r="CP5629" s="31"/>
    </row>
    <row r="5630" spans="94:94" x14ac:dyDescent="0.15">
      <c r="CP5630" s="31"/>
    </row>
    <row r="5631" spans="94:94" x14ac:dyDescent="0.15">
      <c r="CP5631" s="31"/>
    </row>
    <row r="5632" spans="94:94" x14ac:dyDescent="0.15">
      <c r="CP5632" s="31"/>
    </row>
    <row r="5633" spans="94:94" x14ac:dyDescent="0.15">
      <c r="CP5633" s="31"/>
    </row>
    <row r="5634" spans="94:94" x14ac:dyDescent="0.15">
      <c r="CP5634" s="31"/>
    </row>
    <row r="5635" spans="94:94" x14ac:dyDescent="0.15">
      <c r="CP5635" s="31"/>
    </row>
    <row r="5636" spans="94:94" x14ac:dyDescent="0.15">
      <c r="CP5636" s="31"/>
    </row>
    <row r="5637" spans="94:94" x14ac:dyDescent="0.15">
      <c r="CP5637" s="31"/>
    </row>
    <row r="5638" spans="94:94" x14ac:dyDescent="0.15">
      <c r="CP5638" s="31"/>
    </row>
    <row r="5639" spans="94:94" x14ac:dyDescent="0.15">
      <c r="CP5639" s="31"/>
    </row>
    <row r="5640" spans="94:94" x14ac:dyDescent="0.15">
      <c r="CP5640" s="31"/>
    </row>
    <row r="5641" spans="94:94" x14ac:dyDescent="0.15">
      <c r="CP5641" s="31"/>
    </row>
    <row r="5642" spans="94:94" x14ac:dyDescent="0.15">
      <c r="CP5642" s="31"/>
    </row>
    <row r="5643" spans="94:94" x14ac:dyDescent="0.15">
      <c r="CP5643" s="31"/>
    </row>
    <row r="5644" spans="94:94" x14ac:dyDescent="0.15">
      <c r="CP5644" s="31"/>
    </row>
    <row r="5645" spans="94:94" x14ac:dyDescent="0.15">
      <c r="CP5645" s="31"/>
    </row>
    <row r="5646" spans="94:94" x14ac:dyDescent="0.15">
      <c r="CP5646" s="31"/>
    </row>
    <row r="5647" spans="94:94" x14ac:dyDescent="0.15">
      <c r="CP5647" s="31"/>
    </row>
    <row r="5648" spans="94:94" x14ac:dyDescent="0.15">
      <c r="CP5648" s="31"/>
    </row>
    <row r="5649" spans="94:94" x14ac:dyDescent="0.15">
      <c r="CP5649" s="31"/>
    </row>
    <row r="5650" spans="94:94" x14ac:dyDescent="0.15">
      <c r="CP5650" s="31"/>
    </row>
    <row r="5651" spans="94:94" x14ac:dyDescent="0.15">
      <c r="CP5651" s="31"/>
    </row>
    <row r="5652" spans="94:94" x14ac:dyDescent="0.15">
      <c r="CP5652" s="31"/>
    </row>
    <row r="5653" spans="94:94" x14ac:dyDescent="0.15">
      <c r="CP5653" s="31"/>
    </row>
    <row r="5654" spans="94:94" x14ac:dyDescent="0.15">
      <c r="CP5654" s="31"/>
    </row>
    <row r="5655" spans="94:94" x14ac:dyDescent="0.15">
      <c r="CP5655" s="31"/>
    </row>
    <row r="5656" spans="94:94" x14ac:dyDescent="0.15">
      <c r="CP5656" s="31"/>
    </row>
    <row r="5657" spans="94:94" x14ac:dyDescent="0.15">
      <c r="CP5657" s="31"/>
    </row>
    <row r="5658" spans="94:94" x14ac:dyDescent="0.15">
      <c r="CP5658" s="31"/>
    </row>
    <row r="5659" spans="94:94" x14ac:dyDescent="0.15">
      <c r="CP5659" s="31"/>
    </row>
    <row r="5660" spans="94:94" x14ac:dyDescent="0.15">
      <c r="CP5660" s="31"/>
    </row>
    <row r="5661" spans="94:94" x14ac:dyDescent="0.15">
      <c r="CP5661" s="31"/>
    </row>
    <row r="5662" spans="94:94" x14ac:dyDescent="0.15">
      <c r="CP5662" s="31"/>
    </row>
    <row r="5663" spans="94:94" x14ac:dyDescent="0.15">
      <c r="CP5663" s="31"/>
    </row>
    <row r="5664" spans="94:94" x14ac:dyDescent="0.15">
      <c r="CP5664" s="31"/>
    </row>
    <row r="5665" spans="94:94" x14ac:dyDescent="0.15">
      <c r="CP5665" s="31"/>
    </row>
    <row r="5666" spans="94:94" x14ac:dyDescent="0.15">
      <c r="CP5666" s="31"/>
    </row>
    <row r="5667" spans="94:94" x14ac:dyDescent="0.15">
      <c r="CP5667" s="31"/>
    </row>
    <row r="5668" spans="94:94" x14ac:dyDescent="0.15">
      <c r="CP5668" s="31"/>
    </row>
    <row r="5669" spans="94:94" x14ac:dyDescent="0.15">
      <c r="CP5669" s="31"/>
    </row>
    <row r="5670" spans="94:94" x14ac:dyDescent="0.15">
      <c r="CP5670" s="31"/>
    </row>
    <row r="5671" spans="94:94" x14ac:dyDescent="0.15">
      <c r="CP5671" s="31"/>
    </row>
    <row r="5672" spans="94:94" x14ac:dyDescent="0.15">
      <c r="CP5672" s="31"/>
    </row>
    <row r="5673" spans="94:94" x14ac:dyDescent="0.15">
      <c r="CP5673" s="31"/>
    </row>
    <row r="5674" spans="94:94" x14ac:dyDescent="0.15">
      <c r="CP5674" s="31"/>
    </row>
    <row r="5675" spans="94:94" x14ac:dyDescent="0.15">
      <c r="CP5675" s="31"/>
    </row>
    <row r="5676" spans="94:94" x14ac:dyDescent="0.15">
      <c r="CP5676" s="31"/>
    </row>
    <row r="5677" spans="94:94" x14ac:dyDescent="0.15">
      <c r="CP5677" s="31"/>
    </row>
    <row r="5678" spans="94:94" x14ac:dyDescent="0.15">
      <c r="CP5678" s="31"/>
    </row>
    <row r="5679" spans="94:94" x14ac:dyDescent="0.15">
      <c r="CP5679" s="31"/>
    </row>
    <row r="5680" spans="94:94" x14ac:dyDescent="0.15">
      <c r="CP5680" s="31"/>
    </row>
    <row r="5681" spans="94:94" x14ac:dyDescent="0.15">
      <c r="CP5681" s="31"/>
    </row>
    <row r="5682" spans="94:94" x14ac:dyDescent="0.15">
      <c r="CP5682" s="31"/>
    </row>
    <row r="5683" spans="94:94" x14ac:dyDescent="0.15">
      <c r="CP5683" s="31"/>
    </row>
    <row r="5684" spans="94:94" x14ac:dyDescent="0.15">
      <c r="CP5684" s="31"/>
    </row>
    <row r="5685" spans="94:94" x14ac:dyDescent="0.15">
      <c r="CP5685" s="31"/>
    </row>
    <row r="5686" spans="94:94" x14ac:dyDescent="0.15">
      <c r="CP5686" s="31"/>
    </row>
    <row r="5687" spans="94:94" x14ac:dyDescent="0.15">
      <c r="CP5687" s="31"/>
    </row>
    <row r="5688" spans="94:94" x14ac:dyDescent="0.15">
      <c r="CP5688" s="31"/>
    </row>
    <row r="5689" spans="94:94" x14ac:dyDescent="0.15">
      <c r="CP5689" s="31"/>
    </row>
    <row r="5690" spans="94:94" x14ac:dyDescent="0.15">
      <c r="CP5690" s="31"/>
    </row>
    <row r="5691" spans="94:94" x14ac:dyDescent="0.15">
      <c r="CP5691" s="31"/>
    </row>
    <row r="5692" spans="94:94" x14ac:dyDescent="0.15">
      <c r="CP5692" s="31"/>
    </row>
    <row r="5693" spans="94:94" x14ac:dyDescent="0.15">
      <c r="CP5693" s="31"/>
    </row>
    <row r="5694" spans="94:94" x14ac:dyDescent="0.15">
      <c r="CP5694" s="31"/>
    </row>
    <row r="5695" spans="94:94" x14ac:dyDescent="0.15">
      <c r="CP5695" s="31"/>
    </row>
    <row r="5696" spans="94:94" x14ac:dyDescent="0.15">
      <c r="CP5696" s="31"/>
    </row>
    <row r="5697" spans="94:94" x14ac:dyDescent="0.15">
      <c r="CP5697" s="31"/>
    </row>
    <row r="5698" spans="94:94" x14ac:dyDescent="0.15">
      <c r="CP5698" s="31"/>
    </row>
    <row r="5699" spans="94:94" x14ac:dyDescent="0.15">
      <c r="CP5699" s="31"/>
    </row>
    <row r="5700" spans="94:94" x14ac:dyDescent="0.15">
      <c r="CP5700" s="31"/>
    </row>
    <row r="5701" spans="94:94" x14ac:dyDescent="0.15">
      <c r="CP5701" s="31"/>
    </row>
    <row r="5702" spans="94:94" x14ac:dyDescent="0.15">
      <c r="CP5702" s="31"/>
    </row>
    <row r="5703" spans="94:94" x14ac:dyDescent="0.15">
      <c r="CP5703" s="31"/>
    </row>
    <row r="5704" spans="94:94" x14ac:dyDescent="0.15">
      <c r="CP5704" s="31"/>
    </row>
    <row r="5705" spans="94:94" x14ac:dyDescent="0.15">
      <c r="CP5705" s="31"/>
    </row>
    <row r="5706" spans="94:94" x14ac:dyDescent="0.15">
      <c r="CP5706" s="31"/>
    </row>
    <row r="5707" spans="94:94" x14ac:dyDescent="0.15">
      <c r="CP5707" s="31"/>
    </row>
    <row r="5708" spans="94:94" x14ac:dyDescent="0.15">
      <c r="CP5708" s="31"/>
    </row>
    <row r="5709" spans="94:94" x14ac:dyDescent="0.15">
      <c r="CP5709" s="31"/>
    </row>
    <row r="5710" spans="94:94" x14ac:dyDescent="0.15">
      <c r="CP5710" s="31"/>
    </row>
    <row r="5711" spans="94:94" x14ac:dyDescent="0.15">
      <c r="CP5711" s="31"/>
    </row>
    <row r="5712" spans="94:94" x14ac:dyDescent="0.15">
      <c r="CP5712" s="31"/>
    </row>
    <row r="5713" spans="94:94" x14ac:dyDescent="0.15">
      <c r="CP5713" s="31"/>
    </row>
    <row r="5714" spans="94:94" x14ac:dyDescent="0.15">
      <c r="CP5714" s="31"/>
    </row>
    <row r="5715" spans="94:94" x14ac:dyDescent="0.15">
      <c r="CP5715" s="31"/>
    </row>
    <row r="5716" spans="94:94" x14ac:dyDescent="0.15">
      <c r="CP5716" s="31"/>
    </row>
    <row r="5717" spans="94:94" x14ac:dyDescent="0.15">
      <c r="CP5717" s="31"/>
    </row>
    <row r="5718" spans="94:94" x14ac:dyDescent="0.15">
      <c r="CP5718" s="31"/>
    </row>
    <row r="5719" spans="94:94" x14ac:dyDescent="0.15">
      <c r="CP5719" s="31"/>
    </row>
    <row r="5720" spans="94:94" x14ac:dyDescent="0.15">
      <c r="CP5720" s="31"/>
    </row>
    <row r="5721" spans="94:94" x14ac:dyDescent="0.15">
      <c r="CP5721" s="31"/>
    </row>
    <row r="5722" spans="94:94" x14ac:dyDescent="0.15">
      <c r="CP5722" s="31"/>
    </row>
    <row r="5723" spans="94:94" x14ac:dyDescent="0.15">
      <c r="CP5723" s="31"/>
    </row>
    <row r="5724" spans="94:94" x14ac:dyDescent="0.15">
      <c r="CP5724" s="31"/>
    </row>
    <row r="5725" spans="94:94" x14ac:dyDescent="0.15">
      <c r="CP5725" s="31"/>
    </row>
    <row r="5726" spans="94:94" x14ac:dyDescent="0.15">
      <c r="CP5726" s="31"/>
    </row>
    <row r="5727" spans="94:94" x14ac:dyDescent="0.15">
      <c r="CP5727" s="31"/>
    </row>
    <row r="5728" spans="94:94" x14ac:dyDescent="0.15">
      <c r="CP5728" s="31"/>
    </row>
    <row r="5729" spans="94:94" x14ac:dyDescent="0.15">
      <c r="CP5729" s="31"/>
    </row>
    <row r="5730" spans="94:94" x14ac:dyDescent="0.15">
      <c r="CP5730" s="31"/>
    </row>
    <row r="5731" spans="94:94" x14ac:dyDescent="0.15">
      <c r="CP5731" s="31"/>
    </row>
    <row r="5732" spans="94:94" x14ac:dyDescent="0.15">
      <c r="CP5732" s="31"/>
    </row>
    <row r="5733" spans="94:94" x14ac:dyDescent="0.15">
      <c r="CP5733" s="31"/>
    </row>
    <row r="5734" spans="94:94" x14ac:dyDescent="0.15">
      <c r="CP5734" s="31"/>
    </row>
    <row r="5735" spans="94:94" x14ac:dyDescent="0.15">
      <c r="CP5735" s="31"/>
    </row>
    <row r="5736" spans="94:94" x14ac:dyDescent="0.15">
      <c r="CP5736" s="31"/>
    </row>
    <row r="5737" spans="94:94" x14ac:dyDescent="0.15">
      <c r="CP5737" s="31"/>
    </row>
    <row r="5738" spans="94:94" x14ac:dyDescent="0.15">
      <c r="CP5738" s="31"/>
    </row>
    <row r="5739" spans="94:94" x14ac:dyDescent="0.15">
      <c r="CP5739" s="31"/>
    </row>
    <row r="5740" spans="94:94" x14ac:dyDescent="0.15">
      <c r="CP5740" s="31"/>
    </row>
    <row r="5741" spans="94:94" x14ac:dyDescent="0.15">
      <c r="CP5741" s="31"/>
    </row>
    <row r="5742" spans="94:94" x14ac:dyDescent="0.15">
      <c r="CP5742" s="31"/>
    </row>
    <row r="5743" spans="94:94" x14ac:dyDescent="0.15">
      <c r="CP5743" s="31"/>
    </row>
    <row r="5744" spans="94:94" x14ac:dyDescent="0.15">
      <c r="CP5744" s="31"/>
    </row>
    <row r="5745" spans="94:94" x14ac:dyDescent="0.15">
      <c r="CP5745" s="31"/>
    </row>
    <row r="5746" spans="94:94" x14ac:dyDescent="0.15">
      <c r="CP5746" s="31"/>
    </row>
    <row r="5747" spans="94:94" x14ac:dyDescent="0.15">
      <c r="CP5747" s="31"/>
    </row>
    <row r="5748" spans="94:94" x14ac:dyDescent="0.15">
      <c r="CP5748" s="31"/>
    </row>
    <row r="5749" spans="94:94" x14ac:dyDescent="0.15">
      <c r="CP5749" s="31"/>
    </row>
    <row r="5750" spans="94:94" x14ac:dyDescent="0.15">
      <c r="CP5750" s="31"/>
    </row>
    <row r="5751" spans="94:94" x14ac:dyDescent="0.15">
      <c r="CP5751" s="31"/>
    </row>
    <row r="5752" spans="94:94" x14ac:dyDescent="0.15">
      <c r="CP5752" s="31"/>
    </row>
    <row r="5753" spans="94:94" x14ac:dyDescent="0.15">
      <c r="CP5753" s="31"/>
    </row>
    <row r="5754" spans="94:94" x14ac:dyDescent="0.15">
      <c r="CP5754" s="31"/>
    </row>
    <row r="5755" spans="94:94" x14ac:dyDescent="0.15">
      <c r="CP5755" s="31"/>
    </row>
    <row r="5756" spans="94:94" x14ac:dyDescent="0.15">
      <c r="CP5756" s="31"/>
    </row>
    <row r="5757" spans="94:94" x14ac:dyDescent="0.15">
      <c r="CP5757" s="31"/>
    </row>
    <row r="5758" spans="94:94" x14ac:dyDescent="0.15">
      <c r="CP5758" s="31"/>
    </row>
    <row r="5759" spans="94:94" x14ac:dyDescent="0.15">
      <c r="CP5759" s="31"/>
    </row>
    <row r="5760" spans="94:94" x14ac:dyDescent="0.15">
      <c r="CP5760" s="31"/>
    </row>
    <row r="5761" spans="94:94" x14ac:dyDescent="0.15">
      <c r="CP5761" s="31"/>
    </row>
    <row r="5762" spans="94:94" x14ac:dyDescent="0.15">
      <c r="CP5762" s="31"/>
    </row>
    <row r="5763" spans="94:94" x14ac:dyDescent="0.15">
      <c r="CP5763" s="31"/>
    </row>
    <row r="5764" spans="94:94" x14ac:dyDescent="0.15">
      <c r="CP5764" s="31"/>
    </row>
    <row r="5765" spans="94:94" x14ac:dyDescent="0.15">
      <c r="CP5765" s="31"/>
    </row>
    <row r="5766" spans="94:94" x14ac:dyDescent="0.15">
      <c r="CP5766" s="31"/>
    </row>
    <row r="5767" spans="94:94" x14ac:dyDescent="0.15">
      <c r="CP5767" s="31"/>
    </row>
    <row r="5768" spans="94:94" x14ac:dyDescent="0.15">
      <c r="CP5768" s="31"/>
    </row>
    <row r="5769" spans="94:94" x14ac:dyDescent="0.15">
      <c r="CP5769" s="31"/>
    </row>
    <row r="5770" spans="94:94" x14ac:dyDescent="0.15">
      <c r="CP5770" s="31"/>
    </row>
    <row r="5771" spans="94:94" x14ac:dyDescent="0.15">
      <c r="CP5771" s="31"/>
    </row>
    <row r="5772" spans="94:94" x14ac:dyDescent="0.15">
      <c r="CP5772" s="31"/>
    </row>
    <row r="5773" spans="94:94" x14ac:dyDescent="0.15">
      <c r="CP5773" s="31"/>
    </row>
    <row r="5774" spans="94:94" x14ac:dyDescent="0.15">
      <c r="CP5774" s="31"/>
    </row>
    <row r="5775" spans="94:94" x14ac:dyDescent="0.15">
      <c r="CP5775" s="31"/>
    </row>
    <row r="5776" spans="94:94" x14ac:dyDescent="0.15">
      <c r="CP5776" s="31"/>
    </row>
    <row r="5777" spans="94:94" x14ac:dyDescent="0.15">
      <c r="CP5777" s="31"/>
    </row>
    <row r="5778" spans="94:94" x14ac:dyDescent="0.15">
      <c r="CP5778" s="31"/>
    </row>
    <row r="5779" spans="94:94" x14ac:dyDescent="0.15">
      <c r="CP5779" s="31"/>
    </row>
    <row r="5780" spans="94:94" x14ac:dyDescent="0.15">
      <c r="CP5780" s="31"/>
    </row>
    <row r="5781" spans="94:94" x14ac:dyDescent="0.15">
      <c r="CP5781" s="31"/>
    </row>
    <row r="5782" spans="94:94" x14ac:dyDescent="0.15">
      <c r="CP5782" s="31"/>
    </row>
    <row r="5783" spans="94:94" x14ac:dyDescent="0.15">
      <c r="CP5783" s="31"/>
    </row>
    <row r="5784" spans="94:94" x14ac:dyDescent="0.15">
      <c r="CP5784" s="31"/>
    </row>
    <row r="5785" spans="94:94" x14ac:dyDescent="0.15">
      <c r="CP5785" s="31"/>
    </row>
    <row r="5786" spans="94:94" x14ac:dyDescent="0.15">
      <c r="CP5786" s="31"/>
    </row>
    <row r="5787" spans="94:94" x14ac:dyDescent="0.15">
      <c r="CP5787" s="31"/>
    </row>
    <row r="5788" spans="94:94" x14ac:dyDescent="0.15">
      <c r="CP5788" s="31"/>
    </row>
    <row r="5789" spans="94:94" x14ac:dyDescent="0.15">
      <c r="CP5789" s="31"/>
    </row>
    <row r="5790" spans="94:94" x14ac:dyDescent="0.15">
      <c r="CP5790" s="31"/>
    </row>
    <row r="5791" spans="94:94" x14ac:dyDescent="0.15">
      <c r="CP5791" s="31"/>
    </row>
    <row r="5792" spans="94:94" x14ac:dyDescent="0.15">
      <c r="CP5792" s="31"/>
    </row>
    <row r="5793" spans="94:94" x14ac:dyDescent="0.15">
      <c r="CP5793" s="31"/>
    </row>
    <row r="5794" spans="94:94" x14ac:dyDescent="0.15">
      <c r="CP5794" s="31"/>
    </row>
    <row r="5795" spans="94:94" x14ac:dyDescent="0.15">
      <c r="CP5795" s="31"/>
    </row>
    <row r="5796" spans="94:94" x14ac:dyDescent="0.15">
      <c r="CP5796" s="31"/>
    </row>
    <row r="5797" spans="94:94" x14ac:dyDescent="0.15">
      <c r="CP5797" s="31"/>
    </row>
    <row r="5798" spans="94:94" x14ac:dyDescent="0.15">
      <c r="CP5798" s="31"/>
    </row>
    <row r="5799" spans="94:94" x14ac:dyDescent="0.15">
      <c r="CP5799" s="31"/>
    </row>
    <row r="5800" spans="94:94" x14ac:dyDescent="0.15">
      <c r="CP5800" s="31"/>
    </row>
    <row r="5801" spans="94:94" x14ac:dyDescent="0.15">
      <c r="CP5801" s="31"/>
    </row>
    <row r="5802" spans="94:94" x14ac:dyDescent="0.15">
      <c r="CP5802" s="31"/>
    </row>
    <row r="5803" spans="94:94" x14ac:dyDescent="0.15">
      <c r="CP5803" s="31"/>
    </row>
    <row r="5804" spans="94:94" x14ac:dyDescent="0.15">
      <c r="CP5804" s="31"/>
    </row>
    <row r="5805" spans="94:94" x14ac:dyDescent="0.15">
      <c r="CP5805" s="31"/>
    </row>
    <row r="5806" spans="94:94" x14ac:dyDescent="0.15">
      <c r="CP5806" s="31"/>
    </row>
    <row r="5807" spans="94:94" x14ac:dyDescent="0.15">
      <c r="CP5807" s="31"/>
    </row>
    <row r="5808" spans="94:94" x14ac:dyDescent="0.15">
      <c r="CP5808" s="31"/>
    </row>
    <row r="5809" spans="94:94" x14ac:dyDescent="0.15">
      <c r="CP5809" s="31"/>
    </row>
    <row r="5810" spans="94:94" x14ac:dyDescent="0.15">
      <c r="CP5810" s="31"/>
    </row>
    <row r="5811" spans="94:94" x14ac:dyDescent="0.15">
      <c r="CP5811" s="31"/>
    </row>
    <row r="5812" spans="94:94" x14ac:dyDescent="0.15">
      <c r="CP5812" s="31"/>
    </row>
    <row r="5813" spans="94:94" x14ac:dyDescent="0.15">
      <c r="CP5813" s="31"/>
    </row>
    <row r="5814" spans="94:94" x14ac:dyDescent="0.15">
      <c r="CP5814" s="31"/>
    </row>
    <row r="5815" spans="94:94" x14ac:dyDescent="0.15">
      <c r="CP5815" s="31"/>
    </row>
    <row r="5816" spans="94:94" x14ac:dyDescent="0.15">
      <c r="CP5816" s="31"/>
    </row>
    <row r="5817" spans="94:94" x14ac:dyDescent="0.15">
      <c r="CP5817" s="31"/>
    </row>
    <row r="5818" spans="94:94" x14ac:dyDescent="0.15">
      <c r="CP5818" s="31"/>
    </row>
    <row r="5819" spans="94:94" x14ac:dyDescent="0.15">
      <c r="CP5819" s="31"/>
    </row>
    <row r="5820" spans="94:94" x14ac:dyDescent="0.15">
      <c r="CP5820" s="31"/>
    </row>
    <row r="5821" spans="94:94" x14ac:dyDescent="0.15">
      <c r="CP5821" s="31"/>
    </row>
    <row r="5822" spans="94:94" x14ac:dyDescent="0.15">
      <c r="CP5822" s="31"/>
    </row>
    <row r="5823" spans="94:94" x14ac:dyDescent="0.15">
      <c r="CP5823" s="31"/>
    </row>
    <row r="5824" spans="94:94" x14ac:dyDescent="0.15">
      <c r="CP5824" s="31"/>
    </row>
    <row r="5825" spans="94:94" x14ac:dyDescent="0.15">
      <c r="CP5825" s="31"/>
    </row>
    <row r="5826" spans="94:94" x14ac:dyDescent="0.15">
      <c r="CP5826" s="31"/>
    </row>
    <row r="5827" spans="94:94" x14ac:dyDescent="0.15">
      <c r="CP5827" s="31"/>
    </row>
    <row r="5828" spans="94:94" x14ac:dyDescent="0.15">
      <c r="CP5828" s="31"/>
    </row>
    <row r="5829" spans="94:94" x14ac:dyDescent="0.15">
      <c r="CP5829" s="31"/>
    </row>
    <row r="5830" spans="94:94" x14ac:dyDescent="0.15">
      <c r="CP5830" s="31"/>
    </row>
    <row r="5831" spans="94:94" x14ac:dyDescent="0.15">
      <c r="CP5831" s="31"/>
    </row>
    <row r="5832" spans="94:94" x14ac:dyDescent="0.15">
      <c r="CP5832" s="31"/>
    </row>
    <row r="5833" spans="94:94" x14ac:dyDescent="0.15">
      <c r="CP5833" s="31"/>
    </row>
    <row r="5834" spans="94:94" x14ac:dyDescent="0.15">
      <c r="CP5834" s="31"/>
    </row>
    <row r="5835" spans="94:94" x14ac:dyDescent="0.15">
      <c r="CP5835" s="31"/>
    </row>
    <row r="5836" spans="94:94" x14ac:dyDescent="0.15">
      <c r="CP5836" s="31"/>
    </row>
    <row r="5837" spans="94:94" x14ac:dyDescent="0.15">
      <c r="CP5837" s="31"/>
    </row>
    <row r="5838" spans="94:94" x14ac:dyDescent="0.15">
      <c r="CP5838" s="31"/>
    </row>
    <row r="5839" spans="94:94" x14ac:dyDescent="0.15">
      <c r="CP5839" s="31"/>
    </row>
    <row r="5840" spans="94:94" x14ac:dyDescent="0.15">
      <c r="CP5840" s="31"/>
    </row>
    <row r="5841" spans="94:94" x14ac:dyDescent="0.15">
      <c r="CP5841" s="31"/>
    </row>
    <row r="5842" spans="94:94" x14ac:dyDescent="0.15">
      <c r="CP5842" s="31"/>
    </row>
    <row r="5843" spans="94:94" x14ac:dyDescent="0.15">
      <c r="CP5843" s="31"/>
    </row>
    <row r="5844" spans="94:94" x14ac:dyDescent="0.15">
      <c r="CP5844" s="31"/>
    </row>
    <row r="5845" spans="94:94" x14ac:dyDescent="0.15">
      <c r="CP5845" s="31"/>
    </row>
    <row r="5846" spans="94:94" x14ac:dyDescent="0.15">
      <c r="CP5846" s="31"/>
    </row>
    <row r="5847" spans="94:94" x14ac:dyDescent="0.15">
      <c r="CP5847" s="31"/>
    </row>
    <row r="5848" spans="94:94" x14ac:dyDescent="0.15">
      <c r="CP5848" s="31"/>
    </row>
    <row r="5849" spans="94:94" x14ac:dyDescent="0.15">
      <c r="CP5849" s="31"/>
    </row>
    <row r="5850" spans="94:94" x14ac:dyDescent="0.15">
      <c r="CP5850" s="31"/>
    </row>
    <row r="5851" spans="94:94" x14ac:dyDescent="0.15">
      <c r="CP5851" s="31"/>
    </row>
    <row r="5852" spans="94:94" x14ac:dyDescent="0.15">
      <c r="CP5852" s="31"/>
    </row>
    <row r="5853" spans="94:94" x14ac:dyDescent="0.15">
      <c r="CP5853" s="31"/>
    </row>
    <row r="5854" spans="94:94" x14ac:dyDescent="0.15">
      <c r="CP5854" s="31"/>
    </row>
    <row r="5855" spans="94:94" x14ac:dyDescent="0.15">
      <c r="CP5855" s="31"/>
    </row>
    <row r="5856" spans="94:94" x14ac:dyDescent="0.15">
      <c r="CP5856" s="31"/>
    </row>
    <row r="5857" spans="94:94" x14ac:dyDescent="0.15">
      <c r="CP5857" s="31"/>
    </row>
    <row r="5858" spans="94:94" x14ac:dyDescent="0.15">
      <c r="CP5858" s="31"/>
    </row>
    <row r="5859" spans="94:94" x14ac:dyDescent="0.15">
      <c r="CP5859" s="31"/>
    </row>
    <row r="5860" spans="94:94" x14ac:dyDescent="0.15">
      <c r="CP5860" s="31"/>
    </row>
    <row r="5861" spans="94:94" x14ac:dyDescent="0.15">
      <c r="CP5861" s="31"/>
    </row>
    <row r="5862" spans="94:94" x14ac:dyDescent="0.15">
      <c r="CP5862" s="31"/>
    </row>
    <row r="5863" spans="94:94" x14ac:dyDescent="0.15">
      <c r="CP5863" s="31"/>
    </row>
    <row r="5864" spans="94:94" x14ac:dyDescent="0.15">
      <c r="CP5864" s="31"/>
    </row>
    <row r="5865" spans="94:94" x14ac:dyDescent="0.15">
      <c r="CP5865" s="31"/>
    </row>
    <row r="5866" spans="94:94" x14ac:dyDescent="0.15">
      <c r="CP5866" s="31"/>
    </row>
    <row r="5867" spans="94:94" x14ac:dyDescent="0.15">
      <c r="CP5867" s="31"/>
    </row>
    <row r="5868" spans="94:94" x14ac:dyDescent="0.15">
      <c r="CP5868" s="31"/>
    </row>
    <row r="5869" spans="94:94" x14ac:dyDescent="0.15">
      <c r="CP5869" s="31"/>
    </row>
    <row r="5870" spans="94:94" x14ac:dyDescent="0.15">
      <c r="CP5870" s="31"/>
    </row>
    <row r="5871" spans="94:94" x14ac:dyDescent="0.15">
      <c r="CP5871" s="31"/>
    </row>
    <row r="5872" spans="94:94" x14ac:dyDescent="0.15">
      <c r="CP5872" s="31"/>
    </row>
    <row r="5873" spans="94:94" x14ac:dyDescent="0.15">
      <c r="CP5873" s="31"/>
    </row>
    <row r="5874" spans="94:94" x14ac:dyDescent="0.15">
      <c r="CP5874" s="31"/>
    </row>
    <row r="5875" spans="94:94" x14ac:dyDescent="0.15">
      <c r="CP5875" s="31"/>
    </row>
    <row r="5876" spans="94:94" x14ac:dyDescent="0.15">
      <c r="CP5876" s="31"/>
    </row>
    <row r="5877" spans="94:94" x14ac:dyDescent="0.15">
      <c r="CP5877" s="31"/>
    </row>
    <row r="5878" spans="94:94" x14ac:dyDescent="0.15">
      <c r="CP5878" s="31"/>
    </row>
    <row r="5879" spans="94:94" x14ac:dyDescent="0.15">
      <c r="CP5879" s="31"/>
    </row>
    <row r="5880" spans="94:94" x14ac:dyDescent="0.15">
      <c r="CP5880" s="31"/>
    </row>
    <row r="5881" spans="94:94" x14ac:dyDescent="0.15">
      <c r="CP5881" s="31"/>
    </row>
    <row r="5882" spans="94:94" x14ac:dyDescent="0.15">
      <c r="CP5882" s="31"/>
    </row>
    <row r="5883" spans="94:94" x14ac:dyDescent="0.15">
      <c r="CP5883" s="31"/>
    </row>
    <row r="5884" spans="94:94" x14ac:dyDescent="0.15">
      <c r="CP5884" s="31"/>
    </row>
    <row r="5885" spans="94:94" x14ac:dyDescent="0.15">
      <c r="CP5885" s="31"/>
    </row>
    <row r="5886" spans="94:94" x14ac:dyDescent="0.15">
      <c r="CP5886" s="31"/>
    </row>
    <row r="5887" spans="94:94" x14ac:dyDescent="0.15">
      <c r="CP5887" s="31"/>
    </row>
    <row r="5888" spans="94:94" x14ac:dyDescent="0.15">
      <c r="CP5888" s="31"/>
    </row>
    <row r="5889" spans="94:94" x14ac:dyDescent="0.15">
      <c r="CP5889" s="31"/>
    </row>
    <row r="5890" spans="94:94" x14ac:dyDescent="0.15">
      <c r="CP5890" s="31"/>
    </row>
    <row r="5891" spans="94:94" x14ac:dyDescent="0.15">
      <c r="CP5891" s="31"/>
    </row>
    <row r="5892" spans="94:94" x14ac:dyDescent="0.15">
      <c r="CP5892" s="31"/>
    </row>
    <row r="5893" spans="94:94" x14ac:dyDescent="0.15">
      <c r="CP5893" s="31"/>
    </row>
    <row r="5894" spans="94:94" x14ac:dyDescent="0.15">
      <c r="CP5894" s="31"/>
    </row>
    <row r="5895" spans="94:94" x14ac:dyDescent="0.15">
      <c r="CP5895" s="31"/>
    </row>
    <row r="5896" spans="94:94" x14ac:dyDescent="0.15">
      <c r="CP5896" s="31"/>
    </row>
    <row r="5897" spans="94:94" x14ac:dyDescent="0.15">
      <c r="CP5897" s="31"/>
    </row>
    <row r="5898" spans="94:94" x14ac:dyDescent="0.15">
      <c r="CP5898" s="31"/>
    </row>
    <row r="5899" spans="94:94" x14ac:dyDescent="0.15">
      <c r="CP5899" s="31"/>
    </row>
    <row r="5900" spans="94:94" x14ac:dyDescent="0.15">
      <c r="CP5900" s="31"/>
    </row>
    <row r="5901" spans="94:94" x14ac:dyDescent="0.15">
      <c r="CP5901" s="31"/>
    </row>
    <row r="5902" spans="94:94" x14ac:dyDescent="0.15">
      <c r="CP5902" s="31"/>
    </row>
    <row r="5903" spans="94:94" x14ac:dyDescent="0.15">
      <c r="CP5903" s="31"/>
    </row>
    <row r="5904" spans="94:94" x14ac:dyDescent="0.15">
      <c r="CP5904" s="31"/>
    </row>
    <row r="5905" spans="94:94" x14ac:dyDescent="0.15">
      <c r="CP5905" s="31"/>
    </row>
    <row r="5906" spans="94:94" x14ac:dyDescent="0.15">
      <c r="CP5906" s="31"/>
    </row>
    <row r="5907" spans="94:94" x14ac:dyDescent="0.15">
      <c r="CP5907" s="31"/>
    </row>
    <row r="5908" spans="94:94" x14ac:dyDescent="0.15">
      <c r="CP5908" s="31"/>
    </row>
    <row r="5909" spans="94:94" x14ac:dyDescent="0.15">
      <c r="CP5909" s="31"/>
    </row>
    <row r="5910" spans="94:94" x14ac:dyDescent="0.15">
      <c r="CP5910" s="31"/>
    </row>
    <row r="5911" spans="94:94" x14ac:dyDescent="0.15">
      <c r="CP5911" s="31"/>
    </row>
    <row r="5912" spans="94:94" x14ac:dyDescent="0.15">
      <c r="CP5912" s="31"/>
    </row>
    <row r="5913" spans="94:94" x14ac:dyDescent="0.15">
      <c r="CP5913" s="31"/>
    </row>
    <row r="5914" spans="94:94" x14ac:dyDescent="0.15">
      <c r="CP5914" s="31"/>
    </row>
    <row r="5915" spans="94:94" x14ac:dyDescent="0.15">
      <c r="CP5915" s="31"/>
    </row>
    <row r="5916" spans="94:94" x14ac:dyDescent="0.15">
      <c r="CP5916" s="31"/>
    </row>
    <row r="5917" spans="94:94" x14ac:dyDescent="0.15">
      <c r="CP5917" s="31"/>
    </row>
    <row r="5918" spans="94:94" x14ac:dyDescent="0.15">
      <c r="CP5918" s="31"/>
    </row>
    <row r="5919" spans="94:94" x14ac:dyDescent="0.15">
      <c r="CP5919" s="31"/>
    </row>
    <row r="5920" spans="94:94" x14ac:dyDescent="0.15">
      <c r="CP5920" s="31"/>
    </row>
    <row r="5921" spans="94:94" x14ac:dyDescent="0.15">
      <c r="CP5921" s="31"/>
    </row>
    <row r="5922" spans="94:94" x14ac:dyDescent="0.15">
      <c r="CP5922" s="31"/>
    </row>
    <row r="5923" spans="94:94" x14ac:dyDescent="0.15">
      <c r="CP5923" s="31"/>
    </row>
    <row r="5924" spans="94:94" x14ac:dyDescent="0.15">
      <c r="CP5924" s="31"/>
    </row>
    <row r="5925" spans="94:94" x14ac:dyDescent="0.15">
      <c r="CP5925" s="31"/>
    </row>
    <row r="5926" spans="94:94" x14ac:dyDescent="0.15">
      <c r="CP5926" s="31"/>
    </row>
    <row r="5927" spans="94:94" x14ac:dyDescent="0.15">
      <c r="CP5927" s="31"/>
    </row>
    <row r="5928" spans="94:94" x14ac:dyDescent="0.15">
      <c r="CP5928" s="31"/>
    </row>
    <row r="5929" spans="94:94" x14ac:dyDescent="0.15">
      <c r="CP5929" s="31"/>
    </row>
    <row r="5930" spans="94:94" x14ac:dyDescent="0.15">
      <c r="CP5930" s="31"/>
    </row>
    <row r="5931" spans="94:94" x14ac:dyDescent="0.15">
      <c r="CP5931" s="31"/>
    </row>
    <row r="5932" spans="94:94" x14ac:dyDescent="0.15">
      <c r="CP5932" s="31"/>
    </row>
    <row r="5933" spans="94:94" x14ac:dyDescent="0.15">
      <c r="CP5933" s="31"/>
    </row>
    <row r="5934" spans="94:94" x14ac:dyDescent="0.15">
      <c r="CP5934" s="31"/>
    </row>
    <row r="5935" spans="94:94" x14ac:dyDescent="0.15">
      <c r="CP5935" s="31"/>
    </row>
    <row r="5936" spans="94:94" x14ac:dyDescent="0.15">
      <c r="CP5936" s="31"/>
    </row>
    <row r="5937" spans="94:94" x14ac:dyDescent="0.15">
      <c r="CP5937" s="31"/>
    </row>
    <row r="5938" spans="94:94" x14ac:dyDescent="0.15">
      <c r="CP5938" s="31"/>
    </row>
    <row r="5939" spans="94:94" x14ac:dyDescent="0.15">
      <c r="CP5939" s="31"/>
    </row>
    <row r="5940" spans="94:94" x14ac:dyDescent="0.15">
      <c r="CP5940" s="31"/>
    </row>
    <row r="5941" spans="94:94" x14ac:dyDescent="0.15">
      <c r="CP5941" s="31"/>
    </row>
    <row r="5942" spans="94:94" x14ac:dyDescent="0.15">
      <c r="CP5942" s="31"/>
    </row>
    <row r="5943" spans="94:94" x14ac:dyDescent="0.15">
      <c r="CP5943" s="31"/>
    </row>
    <row r="5944" spans="94:94" x14ac:dyDescent="0.15">
      <c r="CP5944" s="31"/>
    </row>
    <row r="5945" spans="94:94" x14ac:dyDescent="0.15">
      <c r="CP5945" s="31"/>
    </row>
    <row r="5946" spans="94:94" x14ac:dyDescent="0.15">
      <c r="CP5946" s="31"/>
    </row>
    <row r="5947" spans="94:94" x14ac:dyDescent="0.15">
      <c r="CP5947" s="31"/>
    </row>
    <row r="5948" spans="94:94" x14ac:dyDescent="0.15">
      <c r="CP5948" s="31"/>
    </row>
    <row r="5949" spans="94:94" x14ac:dyDescent="0.15">
      <c r="CP5949" s="31"/>
    </row>
    <row r="5950" spans="94:94" x14ac:dyDescent="0.15">
      <c r="CP5950" s="31"/>
    </row>
    <row r="5951" spans="94:94" x14ac:dyDescent="0.15">
      <c r="CP5951" s="31"/>
    </row>
    <row r="5952" spans="94:94" x14ac:dyDescent="0.15">
      <c r="CP5952" s="31"/>
    </row>
    <row r="5953" spans="94:94" x14ac:dyDescent="0.15">
      <c r="CP5953" s="31"/>
    </row>
    <row r="5954" spans="94:94" x14ac:dyDescent="0.15">
      <c r="CP5954" s="31"/>
    </row>
    <row r="5955" spans="94:94" x14ac:dyDescent="0.15">
      <c r="CP5955" s="31"/>
    </row>
    <row r="5956" spans="94:94" x14ac:dyDescent="0.15">
      <c r="CP5956" s="31"/>
    </row>
    <row r="5957" spans="94:94" x14ac:dyDescent="0.15">
      <c r="CP5957" s="31"/>
    </row>
    <row r="5958" spans="94:94" x14ac:dyDescent="0.15">
      <c r="CP5958" s="31"/>
    </row>
    <row r="5959" spans="94:94" x14ac:dyDescent="0.15">
      <c r="CP5959" s="31"/>
    </row>
    <row r="5960" spans="94:94" x14ac:dyDescent="0.15">
      <c r="CP5960" s="31"/>
    </row>
    <row r="5961" spans="94:94" x14ac:dyDescent="0.15">
      <c r="CP5961" s="31"/>
    </row>
    <row r="5962" spans="94:94" x14ac:dyDescent="0.15">
      <c r="CP5962" s="31"/>
    </row>
    <row r="5963" spans="94:94" x14ac:dyDescent="0.15">
      <c r="CP5963" s="31"/>
    </row>
    <row r="5964" spans="94:94" x14ac:dyDescent="0.15">
      <c r="CP5964" s="31"/>
    </row>
    <row r="5965" spans="94:94" x14ac:dyDescent="0.15">
      <c r="CP5965" s="31"/>
    </row>
    <row r="5966" spans="94:94" x14ac:dyDescent="0.15">
      <c r="CP5966" s="31"/>
    </row>
    <row r="5967" spans="94:94" x14ac:dyDescent="0.15">
      <c r="CP5967" s="31"/>
    </row>
    <row r="5968" spans="94:94" x14ac:dyDescent="0.15">
      <c r="CP5968" s="31"/>
    </row>
    <row r="5969" spans="94:94" x14ac:dyDescent="0.15">
      <c r="CP5969" s="31"/>
    </row>
    <row r="5970" spans="94:94" x14ac:dyDescent="0.15">
      <c r="CP5970" s="31"/>
    </row>
    <row r="5971" spans="94:94" x14ac:dyDescent="0.15">
      <c r="CP5971" s="31"/>
    </row>
    <row r="5972" spans="94:94" x14ac:dyDescent="0.15">
      <c r="CP5972" s="31"/>
    </row>
    <row r="5973" spans="94:94" x14ac:dyDescent="0.15">
      <c r="CP5973" s="31"/>
    </row>
    <row r="5974" spans="94:94" x14ac:dyDescent="0.15">
      <c r="CP5974" s="31"/>
    </row>
    <row r="5975" spans="94:94" x14ac:dyDescent="0.15">
      <c r="CP5975" s="31"/>
    </row>
    <row r="5976" spans="94:94" x14ac:dyDescent="0.15">
      <c r="CP5976" s="31"/>
    </row>
    <row r="5977" spans="94:94" x14ac:dyDescent="0.15">
      <c r="CP5977" s="31"/>
    </row>
    <row r="5978" spans="94:94" x14ac:dyDescent="0.15">
      <c r="CP5978" s="31"/>
    </row>
    <row r="5979" spans="94:94" x14ac:dyDescent="0.15">
      <c r="CP5979" s="31"/>
    </row>
    <row r="5980" spans="94:94" x14ac:dyDescent="0.15">
      <c r="CP5980" s="31"/>
    </row>
    <row r="5981" spans="94:94" x14ac:dyDescent="0.15">
      <c r="CP5981" s="31"/>
    </row>
    <row r="5982" spans="94:94" x14ac:dyDescent="0.15">
      <c r="CP5982" s="31"/>
    </row>
    <row r="5983" spans="94:94" x14ac:dyDescent="0.15">
      <c r="CP5983" s="31"/>
    </row>
    <row r="5984" spans="94:94" x14ac:dyDescent="0.15">
      <c r="CP5984" s="31"/>
    </row>
    <row r="5985" spans="94:94" x14ac:dyDescent="0.15">
      <c r="CP5985" s="31"/>
    </row>
    <row r="5986" spans="94:94" x14ac:dyDescent="0.15">
      <c r="CP5986" s="31"/>
    </row>
    <row r="5987" spans="94:94" x14ac:dyDescent="0.15">
      <c r="CP5987" s="31"/>
    </row>
    <row r="5988" spans="94:94" x14ac:dyDescent="0.15">
      <c r="CP5988" s="31"/>
    </row>
    <row r="5989" spans="94:94" x14ac:dyDescent="0.15">
      <c r="CP5989" s="31"/>
    </row>
    <row r="5990" spans="94:94" x14ac:dyDescent="0.15">
      <c r="CP5990" s="31"/>
    </row>
    <row r="5991" spans="94:94" x14ac:dyDescent="0.15">
      <c r="CP5991" s="31"/>
    </row>
    <row r="5992" spans="94:94" x14ac:dyDescent="0.15">
      <c r="CP5992" s="31"/>
    </row>
    <row r="5993" spans="94:94" x14ac:dyDescent="0.15">
      <c r="CP5993" s="31"/>
    </row>
    <row r="5994" spans="94:94" x14ac:dyDescent="0.15">
      <c r="CP5994" s="31"/>
    </row>
    <row r="5995" spans="94:94" x14ac:dyDescent="0.15">
      <c r="CP5995" s="31"/>
    </row>
    <row r="5996" spans="94:94" x14ac:dyDescent="0.15">
      <c r="CP5996" s="31"/>
    </row>
    <row r="5997" spans="94:94" x14ac:dyDescent="0.15">
      <c r="CP5997" s="31"/>
    </row>
    <row r="5998" spans="94:94" x14ac:dyDescent="0.15">
      <c r="CP5998" s="31"/>
    </row>
    <row r="5999" spans="94:94" x14ac:dyDescent="0.15">
      <c r="CP5999" s="31"/>
    </row>
    <row r="6000" spans="94:94" x14ac:dyDescent="0.15">
      <c r="CP6000" s="31"/>
    </row>
    <row r="6001" spans="94:94" x14ac:dyDescent="0.15">
      <c r="CP6001" s="31"/>
    </row>
    <row r="6002" spans="94:94" x14ac:dyDescent="0.15">
      <c r="CP6002" s="31"/>
    </row>
    <row r="6003" spans="94:94" x14ac:dyDescent="0.15">
      <c r="CP6003" s="31"/>
    </row>
    <row r="6004" spans="94:94" x14ac:dyDescent="0.15">
      <c r="CP6004" s="31"/>
    </row>
    <row r="6005" spans="94:94" x14ac:dyDescent="0.15">
      <c r="CP6005" s="31"/>
    </row>
    <row r="6006" spans="94:94" x14ac:dyDescent="0.15">
      <c r="CP6006" s="31"/>
    </row>
    <row r="6007" spans="94:94" x14ac:dyDescent="0.15">
      <c r="CP6007" s="31"/>
    </row>
    <row r="6008" spans="94:94" x14ac:dyDescent="0.15">
      <c r="CP6008" s="31"/>
    </row>
    <row r="6009" spans="94:94" x14ac:dyDescent="0.15">
      <c r="CP6009" s="31"/>
    </row>
    <row r="6010" spans="94:94" x14ac:dyDescent="0.15">
      <c r="CP6010" s="31"/>
    </row>
    <row r="6011" spans="94:94" x14ac:dyDescent="0.15">
      <c r="CP6011" s="31"/>
    </row>
    <row r="6012" spans="94:94" x14ac:dyDescent="0.15">
      <c r="CP6012" s="31"/>
    </row>
    <row r="6013" spans="94:94" x14ac:dyDescent="0.15">
      <c r="CP6013" s="31"/>
    </row>
    <row r="6014" spans="94:94" x14ac:dyDescent="0.15">
      <c r="CP6014" s="31"/>
    </row>
    <row r="6015" spans="94:94" x14ac:dyDescent="0.15">
      <c r="CP6015" s="31"/>
    </row>
    <row r="6016" spans="94:94" x14ac:dyDescent="0.15">
      <c r="CP6016" s="31"/>
    </row>
    <row r="6017" spans="94:94" x14ac:dyDescent="0.15">
      <c r="CP6017" s="31"/>
    </row>
    <row r="6018" spans="94:94" x14ac:dyDescent="0.15">
      <c r="CP6018" s="31"/>
    </row>
    <row r="6019" spans="94:94" x14ac:dyDescent="0.15">
      <c r="CP6019" s="31"/>
    </row>
    <row r="6020" spans="94:94" x14ac:dyDescent="0.15">
      <c r="CP6020" s="31"/>
    </row>
    <row r="6021" spans="94:94" x14ac:dyDescent="0.15">
      <c r="CP6021" s="31"/>
    </row>
    <row r="6022" spans="94:94" x14ac:dyDescent="0.15">
      <c r="CP6022" s="31"/>
    </row>
    <row r="6023" spans="94:94" x14ac:dyDescent="0.15">
      <c r="CP6023" s="31"/>
    </row>
    <row r="6024" spans="94:94" x14ac:dyDescent="0.15">
      <c r="CP6024" s="31"/>
    </row>
    <row r="6025" spans="94:94" x14ac:dyDescent="0.15">
      <c r="CP6025" s="31"/>
    </row>
    <row r="6026" spans="94:94" x14ac:dyDescent="0.15">
      <c r="CP6026" s="31"/>
    </row>
    <row r="6027" spans="94:94" x14ac:dyDescent="0.15">
      <c r="CP6027" s="31"/>
    </row>
    <row r="6028" spans="94:94" x14ac:dyDescent="0.15">
      <c r="CP6028" s="31"/>
    </row>
    <row r="6029" spans="94:94" x14ac:dyDescent="0.15">
      <c r="CP6029" s="31"/>
    </row>
    <row r="6030" spans="94:94" x14ac:dyDescent="0.15">
      <c r="CP6030" s="31"/>
    </row>
    <row r="6031" spans="94:94" x14ac:dyDescent="0.15">
      <c r="CP6031" s="31"/>
    </row>
    <row r="6032" spans="94:94" x14ac:dyDescent="0.15">
      <c r="CP6032" s="31"/>
    </row>
    <row r="6033" spans="94:94" x14ac:dyDescent="0.15">
      <c r="CP6033" s="31"/>
    </row>
    <row r="6034" spans="94:94" x14ac:dyDescent="0.15">
      <c r="CP6034" s="31"/>
    </row>
    <row r="6035" spans="94:94" x14ac:dyDescent="0.15">
      <c r="CP6035" s="31"/>
    </row>
    <row r="6036" spans="94:94" x14ac:dyDescent="0.15">
      <c r="CP6036" s="31"/>
    </row>
    <row r="6037" spans="94:94" x14ac:dyDescent="0.15">
      <c r="CP6037" s="31"/>
    </row>
    <row r="6038" spans="94:94" x14ac:dyDescent="0.15">
      <c r="CP6038" s="31"/>
    </row>
    <row r="6039" spans="94:94" x14ac:dyDescent="0.15">
      <c r="CP6039" s="31"/>
    </row>
    <row r="6040" spans="94:94" x14ac:dyDescent="0.15">
      <c r="CP6040" s="31"/>
    </row>
    <row r="6041" spans="94:94" x14ac:dyDescent="0.15">
      <c r="CP6041" s="31"/>
    </row>
    <row r="6042" spans="94:94" x14ac:dyDescent="0.15">
      <c r="CP6042" s="31"/>
    </row>
    <row r="6043" spans="94:94" x14ac:dyDescent="0.15">
      <c r="CP6043" s="31"/>
    </row>
    <row r="6044" spans="94:94" x14ac:dyDescent="0.15">
      <c r="CP6044" s="31"/>
    </row>
    <row r="6045" spans="94:94" x14ac:dyDescent="0.15">
      <c r="CP6045" s="31"/>
    </row>
    <row r="6046" spans="94:94" x14ac:dyDescent="0.15">
      <c r="CP6046" s="31"/>
    </row>
    <row r="6047" spans="94:94" x14ac:dyDescent="0.15">
      <c r="CP6047" s="31"/>
    </row>
    <row r="6048" spans="94:94" x14ac:dyDescent="0.15">
      <c r="CP6048" s="31"/>
    </row>
    <row r="6049" spans="94:94" x14ac:dyDescent="0.15">
      <c r="CP6049" s="31"/>
    </row>
    <row r="6050" spans="94:94" x14ac:dyDescent="0.15">
      <c r="CP6050" s="31"/>
    </row>
    <row r="6051" spans="94:94" x14ac:dyDescent="0.15">
      <c r="CP6051" s="31"/>
    </row>
    <row r="6052" spans="94:94" x14ac:dyDescent="0.15">
      <c r="CP6052" s="31"/>
    </row>
    <row r="6053" spans="94:94" x14ac:dyDescent="0.15">
      <c r="CP6053" s="31"/>
    </row>
    <row r="6054" spans="94:94" x14ac:dyDescent="0.15">
      <c r="CP6054" s="31"/>
    </row>
    <row r="6055" spans="94:94" x14ac:dyDescent="0.15">
      <c r="CP6055" s="31"/>
    </row>
    <row r="6056" spans="94:94" x14ac:dyDescent="0.15">
      <c r="CP6056" s="31"/>
    </row>
    <row r="6057" spans="94:94" x14ac:dyDescent="0.15">
      <c r="CP6057" s="31"/>
    </row>
    <row r="6058" spans="94:94" x14ac:dyDescent="0.15">
      <c r="CP6058" s="31"/>
    </row>
    <row r="6059" spans="94:94" x14ac:dyDescent="0.15">
      <c r="CP6059" s="31"/>
    </row>
    <row r="6060" spans="94:94" x14ac:dyDescent="0.15">
      <c r="CP6060" s="31"/>
    </row>
    <row r="6061" spans="94:94" x14ac:dyDescent="0.15">
      <c r="CP6061" s="31"/>
    </row>
    <row r="6062" spans="94:94" x14ac:dyDescent="0.15">
      <c r="CP6062" s="31"/>
    </row>
    <row r="6063" spans="94:94" x14ac:dyDescent="0.15">
      <c r="CP6063" s="31"/>
    </row>
    <row r="6064" spans="94:94" x14ac:dyDescent="0.15">
      <c r="CP6064" s="31"/>
    </row>
    <row r="6065" spans="94:94" x14ac:dyDescent="0.15">
      <c r="CP6065" s="31"/>
    </row>
    <row r="6066" spans="94:94" x14ac:dyDescent="0.15">
      <c r="CP6066" s="31"/>
    </row>
    <row r="6067" spans="94:94" x14ac:dyDescent="0.15">
      <c r="CP6067" s="31"/>
    </row>
    <row r="6068" spans="94:94" x14ac:dyDescent="0.15">
      <c r="CP6068" s="31"/>
    </row>
    <row r="6069" spans="94:94" x14ac:dyDescent="0.15">
      <c r="CP6069" s="31"/>
    </row>
    <row r="6070" spans="94:94" x14ac:dyDescent="0.15">
      <c r="CP6070" s="31"/>
    </row>
    <row r="6071" spans="94:94" x14ac:dyDescent="0.15">
      <c r="CP6071" s="31"/>
    </row>
    <row r="6072" spans="94:94" x14ac:dyDescent="0.15">
      <c r="CP6072" s="31"/>
    </row>
    <row r="6073" spans="94:94" x14ac:dyDescent="0.15">
      <c r="CP6073" s="31"/>
    </row>
    <row r="6074" spans="94:94" x14ac:dyDescent="0.15">
      <c r="CP6074" s="31"/>
    </row>
    <row r="6075" spans="94:94" x14ac:dyDescent="0.15">
      <c r="CP6075" s="31"/>
    </row>
    <row r="6076" spans="94:94" x14ac:dyDescent="0.15">
      <c r="CP6076" s="31"/>
    </row>
    <row r="6077" spans="94:94" x14ac:dyDescent="0.15">
      <c r="CP6077" s="31"/>
    </row>
    <row r="6078" spans="94:94" x14ac:dyDescent="0.15">
      <c r="CP6078" s="31"/>
    </row>
    <row r="6079" spans="94:94" x14ac:dyDescent="0.15">
      <c r="CP6079" s="31"/>
    </row>
    <row r="6080" spans="94:94" x14ac:dyDescent="0.15">
      <c r="CP6080" s="31"/>
    </row>
    <row r="6081" spans="94:94" x14ac:dyDescent="0.15">
      <c r="CP6081" s="31"/>
    </row>
    <row r="6082" spans="94:94" x14ac:dyDescent="0.15">
      <c r="CP6082" s="31"/>
    </row>
    <row r="6083" spans="94:94" x14ac:dyDescent="0.15">
      <c r="CP6083" s="31"/>
    </row>
    <row r="6084" spans="94:94" x14ac:dyDescent="0.15">
      <c r="CP6084" s="31"/>
    </row>
    <row r="6085" spans="94:94" x14ac:dyDescent="0.15">
      <c r="CP6085" s="31"/>
    </row>
    <row r="6086" spans="94:94" x14ac:dyDescent="0.15">
      <c r="CP6086" s="31"/>
    </row>
    <row r="6087" spans="94:94" x14ac:dyDescent="0.15">
      <c r="CP6087" s="31"/>
    </row>
    <row r="6088" spans="94:94" x14ac:dyDescent="0.15">
      <c r="CP6088" s="31"/>
    </row>
    <row r="6089" spans="94:94" x14ac:dyDescent="0.15">
      <c r="CP6089" s="31"/>
    </row>
    <row r="6090" spans="94:94" x14ac:dyDescent="0.15">
      <c r="CP6090" s="31"/>
    </row>
    <row r="6091" spans="94:94" x14ac:dyDescent="0.15">
      <c r="CP6091" s="31"/>
    </row>
    <row r="6092" spans="94:94" x14ac:dyDescent="0.15">
      <c r="CP6092" s="31"/>
    </row>
    <row r="6093" spans="94:94" x14ac:dyDescent="0.15">
      <c r="CP6093" s="31"/>
    </row>
    <row r="6094" spans="94:94" x14ac:dyDescent="0.15">
      <c r="CP6094" s="31"/>
    </row>
    <row r="6095" spans="94:94" x14ac:dyDescent="0.15">
      <c r="CP6095" s="31"/>
    </row>
    <row r="6096" spans="94:94" x14ac:dyDescent="0.15">
      <c r="CP6096" s="31"/>
    </row>
    <row r="6097" spans="94:94" x14ac:dyDescent="0.15">
      <c r="CP6097" s="31"/>
    </row>
    <row r="6098" spans="94:94" x14ac:dyDescent="0.15">
      <c r="CP6098" s="31"/>
    </row>
    <row r="6099" spans="94:94" x14ac:dyDescent="0.15">
      <c r="CP6099" s="31"/>
    </row>
    <row r="6100" spans="94:94" x14ac:dyDescent="0.15">
      <c r="CP6100" s="31"/>
    </row>
    <row r="6101" spans="94:94" x14ac:dyDescent="0.15">
      <c r="CP6101" s="31"/>
    </row>
    <row r="6102" spans="94:94" x14ac:dyDescent="0.15">
      <c r="CP6102" s="31"/>
    </row>
    <row r="6103" spans="94:94" x14ac:dyDescent="0.15">
      <c r="CP6103" s="31"/>
    </row>
    <row r="6104" spans="94:94" x14ac:dyDescent="0.15">
      <c r="CP6104" s="31"/>
    </row>
    <row r="6105" spans="94:94" x14ac:dyDescent="0.15">
      <c r="CP6105" s="31"/>
    </row>
    <row r="6106" spans="94:94" x14ac:dyDescent="0.15">
      <c r="CP6106" s="31"/>
    </row>
    <row r="6107" spans="94:94" x14ac:dyDescent="0.15">
      <c r="CP6107" s="31"/>
    </row>
    <row r="6108" spans="94:94" x14ac:dyDescent="0.15">
      <c r="CP6108" s="31"/>
    </row>
    <row r="6109" spans="94:94" x14ac:dyDescent="0.15">
      <c r="CP6109" s="31"/>
    </row>
    <row r="6110" spans="94:94" x14ac:dyDescent="0.15">
      <c r="CP6110" s="31"/>
    </row>
    <row r="6111" spans="94:94" x14ac:dyDescent="0.15">
      <c r="CP6111" s="31"/>
    </row>
    <row r="6112" spans="94:94" x14ac:dyDescent="0.15">
      <c r="CP6112" s="31"/>
    </row>
    <row r="6113" spans="94:94" x14ac:dyDescent="0.15">
      <c r="CP6113" s="31"/>
    </row>
    <row r="6114" spans="94:94" x14ac:dyDescent="0.15">
      <c r="CP6114" s="31"/>
    </row>
    <row r="6115" spans="94:94" x14ac:dyDescent="0.15">
      <c r="CP6115" s="31"/>
    </row>
    <row r="6116" spans="94:94" x14ac:dyDescent="0.15">
      <c r="CP6116" s="31"/>
    </row>
    <row r="6117" spans="94:94" x14ac:dyDescent="0.15">
      <c r="CP6117" s="31"/>
    </row>
    <row r="6118" spans="94:94" x14ac:dyDescent="0.15">
      <c r="CP6118" s="31"/>
    </row>
    <row r="6119" spans="94:94" x14ac:dyDescent="0.15">
      <c r="CP6119" s="31"/>
    </row>
    <row r="6120" spans="94:94" x14ac:dyDescent="0.15">
      <c r="CP6120" s="31"/>
    </row>
    <row r="6121" spans="94:94" x14ac:dyDescent="0.15">
      <c r="CP6121" s="31"/>
    </row>
    <row r="6122" spans="94:94" x14ac:dyDescent="0.15">
      <c r="CP6122" s="31"/>
    </row>
    <row r="6123" spans="94:94" x14ac:dyDescent="0.15">
      <c r="CP6123" s="31"/>
    </row>
    <row r="6124" spans="94:94" x14ac:dyDescent="0.15">
      <c r="CP6124" s="31"/>
    </row>
    <row r="6125" spans="94:94" x14ac:dyDescent="0.15">
      <c r="CP6125" s="31"/>
    </row>
    <row r="6126" spans="94:94" x14ac:dyDescent="0.15">
      <c r="CP6126" s="31"/>
    </row>
    <row r="6127" spans="94:94" x14ac:dyDescent="0.15">
      <c r="CP6127" s="31"/>
    </row>
    <row r="6128" spans="94:94" x14ac:dyDescent="0.15">
      <c r="CP6128" s="31"/>
    </row>
    <row r="6129" spans="94:94" x14ac:dyDescent="0.15">
      <c r="CP6129" s="31"/>
    </row>
    <row r="6130" spans="94:94" x14ac:dyDescent="0.15">
      <c r="CP6130" s="31"/>
    </row>
    <row r="6131" spans="94:94" x14ac:dyDescent="0.15">
      <c r="CP6131" s="31"/>
    </row>
    <row r="6132" spans="94:94" x14ac:dyDescent="0.15">
      <c r="CP6132" s="31"/>
    </row>
    <row r="6133" spans="94:94" x14ac:dyDescent="0.15">
      <c r="CP6133" s="31"/>
    </row>
    <row r="6134" spans="94:94" x14ac:dyDescent="0.15">
      <c r="CP6134" s="31"/>
    </row>
    <row r="6135" spans="94:94" x14ac:dyDescent="0.15">
      <c r="CP6135" s="31"/>
    </row>
    <row r="6136" spans="94:94" x14ac:dyDescent="0.15">
      <c r="CP6136" s="31"/>
    </row>
    <row r="6137" spans="94:94" x14ac:dyDescent="0.15">
      <c r="CP6137" s="31"/>
    </row>
    <row r="6138" spans="94:94" x14ac:dyDescent="0.15">
      <c r="CP6138" s="31"/>
    </row>
    <row r="6139" spans="94:94" x14ac:dyDescent="0.15">
      <c r="CP6139" s="31"/>
    </row>
    <row r="6140" spans="94:94" x14ac:dyDescent="0.15">
      <c r="CP6140" s="31"/>
    </row>
    <row r="6141" spans="94:94" x14ac:dyDescent="0.15">
      <c r="CP6141" s="31"/>
    </row>
    <row r="6142" spans="94:94" x14ac:dyDescent="0.15">
      <c r="CP6142" s="31"/>
    </row>
    <row r="6143" spans="94:94" x14ac:dyDescent="0.15">
      <c r="CP6143" s="31"/>
    </row>
    <row r="6144" spans="94:94" x14ac:dyDescent="0.15">
      <c r="CP6144" s="31"/>
    </row>
    <row r="6145" spans="94:94" x14ac:dyDescent="0.15">
      <c r="CP6145" s="31"/>
    </row>
    <row r="6146" spans="94:94" x14ac:dyDescent="0.15">
      <c r="CP6146" s="31"/>
    </row>
    <row r="6147" spans="94:94" x14ac:dyDescent="0.15">
      <c r="CP6147" s="31"/>
    </row>
    <row r="6148" spans="94:94" x14ac:dyDescent="0.15">
      <c r="CP6148" s="31"/>
    </row>
    <row r="6149" spans="94:94" x14ac:dyDescent="0.15">
      <c r="CP6149" s="31"/>
    </row>
    <row r="6150" spans="94:94" x14ac:dyDescent="0.15">
      <c r="CP6150" s="31"/>
    </row>
    <row r="6151" spans="94:94" x14ac:dyDescent="0.15">
      <c r="CP6151" s="31"/>
    </row>
    <row r="6152" spans="94:94" x14ac:dyDescent="0.15">
      <c r="CP6152" s="31"/>
    </row>
    <row r="6153" spans="94:94" x14ac:dyDescent="0.15">
      <c r="CP6153" s="31"/>
    </row>
    <row r="6154" spans="94:94" x14ac:dyDescent="0.15">
      <c r="CP6154" s="31"/>
    </row>
    <row r="6155" spans="94:94" x14ac:dyDescent="0.15">
      <c r="CP6155" s="31"/>
    </row>
    <row r="6156" spans="94:94" x14ac:dyDescent="0.15">
      <c r="CP6156" s="31"/>
    </row>
    <row r="6157" spans="94:94" x14ac:dyDescent="0.15">
      <c r="CP6157" s="31"/>
    </row>
    <row r="6158" spans="94:94" x14ac:dyDescent="0.15">
      <c r="CP6158" s="31"/>
    </row>
    <row r="6159" spans="94:94" x14ac:dyDescent="0.15">
      <c r="CP6159" s="31"/>
    </row>
    <row r="6160" spans="94:94" x14ac:dyDescent="0.15">
      <c r="CP6160" s="31"/>
    </row>
    <row r="6161" spans="94:94" x14ac:dyDescent="0.15">
      <c r="CP6161" s="31"/>
    </row>
    <row r="6162" spans="94:94" x14ac:dyDescent="0.15">
      <c r="CP6162" s="31"/>
    </row>
    <row r="6163" spans="94:94" x14ac:dyDescent="0.15">
      <c r="CP6163" s="31"/>
    </row>
    <row r="6164" spans="94:94" x14ac:dyDescent="0.15">
      <c r="CP6164" s="31"/>
    </row>
    <row r="6165" spans="94:94" x14ac:dyDescent="0.15">
      <c r="CP6165" s="31"/>
    </row>
    <row r="6166" spans="94:94" x14ac:dyDescent="0.15">
      <c r="CP6166" s="31"/>
    </row>
    <row r="6167" spans="94:94" x14ac:dyDescent="0.15">
      <c r="CP6167" s="31"/>
    </row>
    <row r="6168" spans="94:94" x14ac:dyDescent="0.15">
      <c r="CP6168" s="31"/>
    </row>
    <row r="6169" spans="94:94" x14ac:dyDescent="0.15">
      <c r="CP6169" s="31"/>
    </row>
    <row r="6170" spans="94:94" x14ac:dyDescent="0.15">
      <c r="CP6170" s="31"/>
    </row>
    <row r="6171" spans="94:94" x14ac:dyDescent="0.15">
      <c r="CP6171" s="31"/>
    </row>
    <row r="6172" spans="94:94" x14ac:dyDescent="0.15">
      <c r="CP6172" s="31"/>
    </row>
    <row r="6173" spans="94:94" x14ac:dyDescent="0.15">
      <c r="CP6173" s="31"/>
    </row>
    <row r="6174" spans="94:94" x14ac:dyDescent="0.15">
      <c r="CP6174" s="31"/>
    </row>
    <row r="6175" spans="94:94" x14ac:dyDescent="0.15">
      <c r="CP6175" s="31"/>
    </row>
    <row r="6176" spans="94:94" x14ac:dyDescent="0.15">
      <c r="CP6176" s="31"/>
    </row>
    <row r="6177" spans="94:94" x14ac:dyDescent="0.15">
      <c r="CP6177" s="31"/>
    </row>
    <row r="6178" spans="94:94" x14ac:dyDescent="0.15">
      <c r="CP6178" s="31"/>
    </row>
    <row r="6179" spans="94:94" x14ac:dyDescent="0.15">
      <c r="CP6179" s="31"/>
    </row>
    <row r="6180" spans="94:94" x14ac:dyDescent="0.15">
      <c r="CP6180" s="31"/>
    </row>
    <row r="6181" spans="94:94" x14ac:dyDescent="0.15">
      <c r="CP6181" s="31"/>
    </row>
    <row r="6182" spans="94:94" x14ac:dyDescent="0.15">
      <c r="CP6182" s="31"/>
    </row>
    <row r="6183" spans="94:94" x14ac:dyDescent="0.15">
      <c r="CP6183" s="31"/>
    </row>
    <row r="6184" spans="94:94" x14ac:dyDescent="0.15">
      <c r="CP6184" s="31"/>
    </row>
    <row r="6185" spans="94:94" x14ac:dyDescent="0.15">
      <c r="CP6185" s="31"/>
    </row>
    <row r="6186" spans="94:94" x14ac:dyDescent="0.15">
      <c r="CP6186" s="31"/>
    </row>
    <row r="6187" spans="94:94" x14ac:dyDescent="0.15">
      <c r="CP6187" s="31"/>
    </row>
    <row r="6188" spans="94:94" x14ac:dyDescent="0.15">
      <c r="CP6188" s="31"/>
    </row>
    <row r="6189" spans="94:94" x14ac:dyDescent="0.15">
      <c r="CP6189" s="31"/>
    </row>
    <row r="6190" spans="94:94" x14ac:dyDescent="0.15">
      <c r="CP6190" s="31"/>
    </row>
    <row r="6191" spans="94:94" x14ac:dyDescent="0.15">
      <c r="CP6191" s="31"/>
    </row>
    <row r="6192" spans="94:94" x14ac:dyDescent="0.15">
      <c r="CP6192" s="31"/>
    </row>
    <row r="6193" spans="94:94" x14ac:dyDescent="0.15">
      <c r="CP6193" s="31"/>
    </row>
    <row r="6194" spans="94:94" x14ac:dyDescent="0.15">
      <c r="CP6194" s="31"/>
    </row>
    <row r="6195" spans="94:94" x14ac:dyDescent="0.15">
      <c r="CP6195" s="31"/>
    </row>
    <row r="6196" spans="94:94" x14ac:dyDescent="0.15">
      <c r="CP6196" s="31"/>
    </row>
    <row r="6197" spans="94:94" x14ac:dyDescent="0.15">
      <c r="CP6197" s="31"/>
    </row>
    <row r="6198" spans="94:94" x14ac:dyDescent="0.15">
      <c r="CP6198" s="31"/>
    </row>
    <row r="6199" spans="94:94" x14ac:dyDescent="0.15">
      <c r="CP6199" s="31"/>
    </row>
    <row r="6200" spans="94:94" x14ac:dyDescent="0.15">
      <c r="CP6200" s="31"/>
    </row>
    <row r="6201" spans="94:94" x14ac:dyDescent="0.15">
      <c r="CP6201" s="31"/>
    </row>
    <row r="6202" spans="94:94" x14ac:dyDescent="0.15">
      <c r="CP6202" s="31"/>
    </row>
    <row r="6203" spans="94:94" x14ac:dyDescent="0.15">
      <c r="CP6203" s="31"/>
    </row>
    <row r="6204" spans="94:94" x14ac:dyDescent="0.15">
      <c r="CP6204" s="31"/>
    </row>
    <row r="6205" spans="94:94" x14ac:dyDescent="0.15">
      <c r="CP6205" s="31"/>
    </row>
    <row r="6206" spans="94:94" x14ac:dyDescent="0.15">
      <c r="CP6206" s="31"/>
    </row>
    <row r="6207" spans="94:94" x14ac:dyDescent="0.15">
      <c r="CP6207" s="31"/>
    </row>
    <row r="6208" spans="94:94" x14ac:dyDescent="0.15">
      <c r="CP6208" s="31"/>
    </row>
    <row r="6209" spans="94:94" x14ac:dyDescent="0.15">
      <c r="CP6209" s="31"/>
    </row>
    <row r="6210" spans="94:94" x14ac:dyDescent="0.15">
      <c r="CP6210" s="31"/>
    </row>
    <row r="6211" spans="94:94" x14ac:dyDescent="0.15">
      <c r="CP6211" s="31"/>
    </row>
    <row r="6212" spans="94:94" x14ac:dyDescent="0.15">
      <c r="CP6212" s="31"/>
    </row>
    <row r="6213" spans="94:94" x14ac:dyDescent="0.15">
      <c r="CP6213" s="31"/>
    </row>
    <row r="6214" spans="94:94" x14ac:dyDescent="0.15">
      <c r="CP6214" s="31"/>
    </row>
    <row r="6215" spans="94:94" x14ac:dyDescent="0.15">
      <c r="CP6215" s="31"/>
    </row>
    <row r="6216" spans="94:94" x14ac:dyDescent="0.15">
      <c r="CP6216" s="31"/>
    </row>
    <row r="6217" spans="94:94" x14ac:dyDescent="0.15">
      <c r="CP6217" s="31"/>
    </row>
    <row r="6218" spans="94:94" x14ac:dyDescent="0.15">
      <c r="CP6218" s="31"/>
    </row>
    <row r="6219" spans="94:94" x14ac:dyDescent="0.15">
      <c r="CP6219" s="31"/>
    </row>
    <row r="6220" spans="94:94" x14ac:dyDescent="0.15">
      <c r="CP6220" s="31"/>
    </row>
    <row r="6221" spans="94:94" x14ac:dyDescent="0.15">
      <c r="CP6221" s="31"/>
    </row>
    <row r="6222" spans="94:94" x14ac:dyDescent="0.15">
      <c r="CP6222" s="31"/>
    </row>
    <row r="6223" spans="94:94" x14ac:dyDescent="0.15">
      <c r="CP6223" s="31"/>
    </row>
    <row r="6224" spans="94:94" x14ac:dyDescent="0.15">
      <c r="CP6224" s="31"/>
    </row>
    <row r="6225" spans="94:94" x14ac:dyDescent="0.15">
      <c r="CP6225" s="31"/>
    </row>
    <row r="6226" spans="94:94" x14ac:dyDescent="0.15">
      <c r="CP6226" s="31"/>
    </row>
    <row r="6227" spans="94:94" x14ac:dyDescent="0.15">
      <c r="CP6227" s="31"/>
    </row>
    <row r="6228" spans="94:94" x14ac:dyDescent="0.15">
      <c r="CP6228" s="31"/>
    </row>
    <row r="6229" spans="94:94" x14ac:dyDescent="0.15">
      <c r="CP6229" s="31"/>
    </row>
    <row r="6230" spans="94:94" x14ac:dyDescent="0.15">
      <c r="CP6230" s="31"/>
    </row>
    <row r="6231" spans="94:94" x14ac:dyDescent="0.15">
      <c r="CP6231" s="31"/>
    </row>
    <row r="6232" spans="94:94" x14ac:dyDescent="0.15">
      <c r="CP6232" s="31"/>
    </row>
    <row r="6233" spans="94:94" x14ac:dyDescent="0.15">
      <c r="CP6233" s="31"/>
    </row>
    <row r="6234" spans="94:94" x14ac:dyDescent="0.15">
      <c r="CP6234" s="31"/>
    </row>
    <row r="6235" spans="94:94" x14ac:dyDescent="0.15">
      <c r="CP6235" s="31"/>
    </row>
    <row r="6236" spans="94:94" x14ac:dyDescent="0.15">
      <c r="CP6236" s="31"/>
    </row>
    <row r="6237" spans="94:94" x14ac:dyDescent="0.15">
      <c r="CP6237" s="31"/>
    </row>
    <row r="6238" spans="94:94" x14ac:dyDescent="0.15">
      <c r="CP6238" s="31"/>
    </row>
    <row r="6239" spans="94:94" x14ac:dyDescent="0.15">
      <c r="CP6239" s="31"/>
    </row>
    <row r="6240" spans="94:94" x14ac:dyDescent="0.15">
      <c r="CP6240" s="31"/>
    </row>
    <row r="6241" spans="94:94" x14ac:dyDescent="0.15">
      <c r="CP6241" s="31"/>
    </row>
    <row r="6242" spans="94:94" x14ac:dyDescent="0.15">
      <c r="CP6242" s="31"/>
    </row>
    <row r="6243" spans="94:94" x14ac:dyDescent="0.15">
      <c r="CP6243" s="31"/>
    </row>
    <row r="6244" spans="94:94" x14ac:dyDescent="0.15">
      <c r="CP6244" s="31"/>
    </row>
    <row r="6245" spans="94:94" x14ac:dyDescent="0.15">
      <c r="CP6245" s="31"/>
    </row>
    <row r="6246" spans="94:94" x14ac:dyDescent="0.15">
      <c r="CP6246" s="31"/>
    </row>
    <row r="6247" spans="94:94" x14ac:dyDescent="0.15">
      <c r="CP6247" s="31"/>
    </row>
    <row r="6248" spans="94:94" x14ac:dyDescent="0.15">
      <c r="CP6248" s="31"/>
    </row>
    <row r="6249" spans="94:94" x14ac:dyDescent="0.15">
      <c r="CP6249" s="31"/>
    </row>
    <row r="6250" spans="94:94" x14ac:dyDescent="0.15">
      <c r="CP6250" s="31"/>
    </row>
    <row r="6251" spans="94:94" x14ac:dyDescent="0.15">
      <c r="CP6251" s="31"/>
    </row>
    <row r="6252" spans="94:94" x14ac:dyDescent="0.15">
      <c r="CP6252" s="31"/>
    </row>
    <row r="6253" spans="94:94" x14ac:dyDescent="0.15">
      <c r="CP6253" s="31"/>
    </row>
    <row r="6254" spans="94:94" x14ac:dyDescent="0.15">
      <c r="CP6254" s="31"/>
    </row>
    <row r="6255" spans="94:94" x14ac:dyDescent="0.15">
      <c r="CP6255" s="31"/>
    </row>
    <row r="6256" spans="94:94" x14ac:dyDescent="0.15">
      <c r="CP6256" s="31"/>
    </row>
    <row r="6257" spans="94:94" x14ac:dyDescent="0.15">
      <c r="CP6257" s="31"/>
    </row>
    <row r="6258" spans="94:94" x14ac:dyDescent="0.15">
      <c r="CP6258" s="31"/>
    </row>
    <row r="6259" spans="94:94" x14ac:dyDescent="0.15">
      <c r="CP6259" s="31"/>
    </row>
    <row r="6260" spans="94:94" x14ac:dyDescent="0.15">
      <c r="CP6260" s="31"/>
    </row>
    <row r="6261" spans="94:94" x14ac:dyDescent="0.15">
      <c r="CP6261" s="31"/>
    </row>
    <row r="6262" spans="94:94" x14ac:dyDescent="0.15">
      <c r="CP6262" s="31"/>
    </row>
    <row r="6263" spans="94:94" x14ac:dyDescent="0.15">
      <c r="CP6263" s="31"/>
    </row>
    <row r="6264" spans="94:94" x14ac:dyDescent="0.15">
      <c r="CP6264" s="31"/>
    </row>
    <row r="6265" spans="94:94" x14ac:dyDescent="0.15">
      <c r="CP6265" s="31"/>
    </row>
    <row r="6266" spans="94:94" x14ac:dyDescent="0.15">
      <c r="CP6266" s="31"/>
    </row>
    <row r="6267" spans="94:94" x14ac:dyDescent="0.15">
      <c r="CP6267" s="31"/>
    </row>
    <row r="6268" spans="94:94" x14ac:dyDescent="0.15">
      <c r="CP6268" s="31"/>
    </row>
    <row r="6269" spans="94:94" x14ac:dyDescent="0.15">
      <c r="CP6269" s="31"/>
    </row>
    <row r="6270" spans="94:94" x14ac:dyDescent="0.15">
      <c r="CP6270" s="31"/>
    </row>
    <row r="6271" spans="94:94" x14ac:dyDescent="0.15">
      <c r="CP6271" s="31"/>
    </row>
    <row r="6272" spans="94:94" x14ac:dyDescent="0.15">
      <c r="CP6272" s="31"/>
    </row>
    <row r="6273" spans="94:94" x14ac:dyDescent="0.15">
      <c r="CP6273" s="31"/>
    </row>
    <row r="6274" spans="94:94" x14ac:dyDescent="0.15">
      <c r="CP6274" s="31"/>
    </row>
    <row r="6275" spans="94:94" x14ac:dyDescent="0.15">
      <c r="CP6275" s="31"/>
    </row>
    <row r="6276" spans="94:94" x14ac:dyDescent="0.15">
      <c r="CP6276" s="31"/>
    </row>
    <row r="6277" spans="94:94" x14ac:dyDescent="0.15">
      <c r="CP6277" s="31"/>
    </row>
    <row r="6278" spans="94:94" x14ac:dyDescent="0.15">
      <c r="CP6278" s="31"/>
    </row>
    <row r="6279" spans="94:94" x14ac:dyDescent="0.15">
      <c r="CP6279" s="31"/>
    </row>
    <row r="6280" spans="94:94" x14ac:dyDescent="0.15">
      <c r="CP6280" s="31"/>
    </row>
    <row r="6281" spans="94:94" x14ac:dyDescent="0.15">
      <c r="CP6281" s="31"/>
    </row>
    <row r="6282" spans="94:94" x14ac:dyDescent="0.15">
      <c r="CP6282" s="31"/>
    </row>
    <row r="6283" spans="94:94" x14ac:dyDescent="0.15">
      <c r="CP6283" s="31"/>
    </row>
    <row r="6284" spans="94:94" x14ac:dyDescent="0.15">
      <c r="CP6284" s="31"/>
    </row>
    <row r="6285" spans="94:94" x14ac:dyDescent="0.15">
      <c r="CP6285" s="31"/>
    </row>
    <row r="6286" spans="94:94" x14ac:dyDescent="0.15">
      <c r="CP6286" s="31"/>
    </row>
    <row r="6287" spans="94:94" x14ac:dyDescent="0.15">
      <c r="CP6287" s="31"/>
    </row>
    <row r="6288" spans="94:94" x14ac:dyDescent="0.15">
      <c r="CP6288" s="31"/>
    </row>
    <row r="6289" spans="94:94" x14ac:dyDescent="0.15">
      <c r="CP6289" s="31"/>
    </row>
    <row r="6290" spans="94:94" x14ac:dyDescent="0.15">
      <c r="CP6290" s="31"/>
    </row>
    <row r="6291" spans="94:94" x14ac:dyDescent="0.15">
      <c r="CP6291" s="31"/>
    </row>
    <row r="6292" spans="94:94" x14ac:dyDescent="0.15">
      <c r="CP6292" s="31"/>
    </row>
    <row r="6293" spans="94:94" x14ac:dyDescent="0.15">
      <c r="CP6293" s="31"/>
    </row>
    <row r="6294" spans="94:94" x14ac:dyDescent="0.15">
      <c r="CP6294" s="31"/>
    </row>
    <row r="6295" spans="94:94" x14ac:dyDescent="0.15">
      <c r="CP6295" s="31"/>
    </row>
    <row r="6296" spans="94:94" x14ac:dyDescent="0.15">
      <c r="CP6296" s="31"/>
    </row>
    <row r="6297" spans="94:94" x14ac:dyDescent="0.15">
      <c r="CP6297" s="31"/>
    </row>
    <row r="6298" spans="94:94" x14ac:dyDescent="0.15">
      <c r="CP6298" s="31"/>
    </row>
    <row r="6299" spans="94:94" x14ac:dyDescent="0.15">
      <c r="CP6299" s="31"/>
    </row>
    <row r="6300" spans="94:94" x14ac:dyDescent="0.15">
      <c r="CP6300" s="31"/>
    </row>
    <row r="6301" spans="94:94" x14ac:dyDescent="0.15">
      <c r="CP6301" s="31"/>
    </row>
    <row r="6302" spans="94:94" x14ac:dyDescent="0.15">
      <c r="CP6302" s="31"/>
    </row>
    <row r="6303" spans="94:94" x14ac:dyDescent="0.15">
      <c r="CP6303" s="31"/>
    </row>
    <row r="6304" spans="94:94" x14ac:dyDescent="0.15">
      <c r="CP6304" s="31"/>
    </row>
    <row r="6305" spans="94:94" x14ac:dyDescent="0.15">
      <c r="CP6305" s="31"/>
    </row>
    <row r="6306" spans="94:94" x14ac:dyDescent="0.15">
      <c r="CP6306" s="31"/>
    </row>
    <row r="6307" spans="94:94" x14ac:dyDescent="0.15">
      <c r="CP6307" s="31"/>
    </row>
    <row r="6308" spans="94:94" x14ac:dyDescent="0.15">
      <c r="CP6308" s="31"/>
    </row>
    <row r="6309" spans="94:94" x14ac:dyDescent="0.15">
      <c r="CP6309" s="31"/>
    </row>
    <row r="6310" spans="94:94" x14ac:dyDescent="0.15">
      <c r="CP6310" s="31"/>
    </row>
    <row r="6311" spans="94:94" x14ac:dyDescent="0.15">
      <c r="CP6311" s="31"/>
    </row>
    <row r="6312" spans="94:94" x14ac:dyDescent="0.15">
      <c r="CP6312" s="31"/>
    </row>
    <row r="6313" spans="94:94" x14ac:dyDescent="0.15">
      <c r="CP6313" s="31"/>
    </row>
    <row r="6314" spans="94:94" x14ac:dyDescent="0.15">
      <c r="CP6314" s="31"/>
    </row>
    <row r="6315" spans="94:94" x14ac:dyDescent="0.15">
      <c r="CP6315" s="31"/>
    </row>
    <row r="6316" spans="94:94" x14ac:dyDescent="0.15">
      <c r="CP6316" s="31"/>
    </row>
    <row r="6317" spans="94:94" x14ac:dyDescent="0.15">
      <c r="CP6317" s="31"/>
    </row>
    <row r="6318" spans="94:94" x14ac:dyDescent="0.15">
      <c r="CP6318" s="31"/>
    </row>
    <row r="6319" spans="94:94" x14ac:dyDescent="0.15">
      <c r="CP6319" s="31"/>
    </row>
    <row r="6320" spans="94:94" x14ac:dyDescent="0.15">
      <c r="CP6320" s="31"/>
    </row>
    <row r="6321" spans="94:94" x14ac:dyDescent="0.15">
      <c r="CP6321" s="31"/>
    </row>
    <row r="6322" spans="94:94" x14ac:dyDescent="0.15">
      <c r="CP6322" s="31"/>
    </row>
    <row r="6323" spans="94:94" x14ac:dyDescent="0.15">
      <c r="CP6323" s="31"/>
    </row>
    <row r="6324" spans="94:94" x14ac:dyDescent="0.15">
      <c r="CP6324" s="31"/>
    </row>
    <row r="6325" spans="94:94" x14ac:dyDescent="0.15">
      <c r="CP6325" s="31"/>
    </row>
    <row r="6326" spans="94:94" x14ac:dyDescent="0.15">
      <c r="CP6326" s="31"/>
    </row>
    <row r="6327" spans="94:94" x14ac:dyDescent="0.15">
      <c r="CP6327" s="31"/>
    </row>
    <row r="6328" spans="94:94" x14ac:dyDescent="0.15">
      <c r="CP6328" s="31"/>
    </row>
    <row r="6329" spans="94:94" x14ac:dyDescent="0.15">
      <c r="CP6329" s="31"/>
    </row>
    <row r="6330" spans="94:94" x14ac:dyDescent="0.15">
      <c r="CP6330" s="31"/>
    </row>
    <row r="6331" spans="94:94" x14ac:dyDescent="0.15">
      <c r="CP6331" s="31"/>
    </row>
    <row r="6332" spans="94:94" x14ac:dyDescent="0.15">
      <c r="CP6332" s="31"/>
    </row>
    <row r="6333" spans="94:94" x14ac:dyDescent="0.15">
      <c r="CP6333" s="31"/>
    </row>
    <row r="6334" spans="94:94" x14ac:dyDescent="0.15">
      <c r="CP6334" s="31"/>
    </row>
    <row r="6335" spans="94:94" x14ac:dyDescent="0.15">
      <c r="CP6335" s="31"/>
    </row>
    <row r="6336" spans="94:94" x14ac:dyDescent="0.15">
      <c r="CP6336" s="31"/>
    </row>
    <row r="6337" spans="94:94" x14ac:dyDescent="0.15">
      <c r="CP6337" s="31"/>
    </row>
    <row r="6338" spans="94:94" x14ac:dyDescent="0.15">
      <c r="CP6338" s="31"/>
    </row>
    <row r="6339" spans="94:94" x14ac:dyDescent="0.15">
      <c r="CP6339" s="31"/>
    </row>
    <row r="6340" spans="94:94" x14ac:dyDescent="0.15">
      <c r="CP6340" s="31"/>
    </row>
    <row r="6341" spans="94:94" x14ac:dyDescent="0.15">
      <c r="CP6341" s="31"/>
    </row>
    <row r="6342" spans="94:94" x14ac:dyDescent="0.15">
      <c r="CP6342" s="31"/>
    </row>
    <row r="6343" spans="94:94" x14ac:dyDescent="0.15">
      <c r="CP6343" s="31"/>
    </row>
    <row r="6344" spans="94:94" x14ac:dyDescent="0.15">
      <c r="CP6344" s="31"/>
    </row>
    <row r="6345" spans="94:94" x14ac:dyDescent="0.15">
      <c r="CP6345" s="31"/>
    </row>
    <row r="6346" spans="94:94" x14ac:dyDescent="0.15">
      <c r="CP6346" s="31"/>
    </row>
    <row r="6347" spans="94:94" x14ac:dyDescent="0.15">
      <c r="CP6347" s="31"/>
    </row>
    <row r="6348" spans="94:94" x14ac:dyDescent="0.15">
      <c r="CP6348" s="31"/>
    </row>
    <row r="6349" spans="94:94" x14ac:dyDescent="0.15">
      <c r="CP6349" s="31"/>
    </row>
    <row r="6350" spans="94:94" x14ac:dyDescent="0.15">
      <c r="CP6350" s="31"/>
    </row>
    <row r="6351" spans="94:94" x14ac:dyDescent="0.15">
      <c r="CP6351" s="31"/>
    </row>
    <row r="6352" spans="94:94" x14ac:dyDescent="0.15">
      <c r="CP6352" s="31"/>
    </row>
    <row r="6353" spans="94:94" x14ac:dyDescent="0.15">
      <c r="CP6353" s="31"/>
    </row>
    <row r="6354" spans="94:94" x14ac:dyDescent="0.15">
      <c r="CP6354" s="31"/>
    </row>
    <row r="6355" spans="94:94" x14ac:dyDescent="0.15">
      <c r="CP6355" s="31"/>
    </row>
    <row r="6356" spans="94:94" x14ac:dyDescent="0.15">
      <c r="CP6356" s="31"/>
    </row>
    <row r="6357" spans="94:94" x14ac:dyDescent="0.15">
      <c r="CP6357" s="31"/>
    </row>
    <row r="6358" spans="94:94" x14ac:dyDescent="0.15">
      <c r="CP6358" s="31"/>
    </row>
    <row r="6359" spans="94:94" x14ac:dyDescent="0.15">
      <c r="CP6359" s="31"/>
    </row>
    <row r="6360" spans="94:94" x14ac:dyDescent="0.15">
      <c r="CP6360" s="31"/>
    </row>
    <row r="6361" spans="94:94" x14ac:dyDescent="0.15">
      <c r="CP6361" s="31"/>
    </row>
    <row r="6362" spans="94:94" x14ac:dyDescent="0.15">
      <c r="CP6362" s="31"/>
    </row>
    <row r="6363" spans="94:94" x14ac:dyDescent="0.15">
      <c r="CP6363" s="31"/>
    </row>
    <row r="6364" spans="94:94" x14ac:dyDescent="0.15">
      <c r="CP6364" s="31"/>
    </row>
    <row r="6365" spans="94:94" x14ac:dyDescent="0.15">
      <c r="CP6365" s="31"/>
    </row>
    <row r="6366" spans="94:94" x14ac:dyDescent="0.15">
      <c r="CP6366" s="31"/>
    </row>
    <row r="6367" spans="94:94" x14ac:dyDescent="0.15">
      <c r="CP6367" s="31"/>
    </row>
    <row r="6368" spans="94:94" x14ac:dyDescent="0.15">
      <c r="CP6368" s="31"/>
    </row>
    <row r="6369" spans="94:94" x14ac:dyDescent="0.15">
      <c r="CP6369" s="31"/>
    </row>
    <row r="6370" spans="94:94" x14ac:dyDescent="0.15">
      <c r="CP6370" s="31"/>
    </row>
    <row r="6371" spans="94:94" x14ac:dyDescent="0.15">
      <c r="CP6371" s="31"/>
    </row>
    <row r="6372" spans="94:94" x14ac:dyDescent="0.15">
      <c r="CP6372" s="31"/>
    </row>
    <row r="6373" spans="94:94" x14ac:dyDescent="0.15">
      <c r="CP6373" s="31"/>
    </row>
    <row r="6374" spans="94:94" x14ac:dyDescent="0.15">
      <c r="CP6374" s="31"/>
    </row>
    <row r="6375" spans="94:94" x14ac:dyDescent="0.15">
      <c r="CP6375" s="31"/>
    </row>
    <row r="6376" spans="94:94" x14ac:dyDescent="0.15">
      <c r="CP6376" s="31"/>
    </row>
    <row r="6377" spans="94:94" x14ac:dyDescent="0.15">
      <c r="CP6377" s="31"/>
    </row>
    <row r="6378" spans="94:94" x14ac:dyDescent="0.15">
      <c r="CP6378" s="31"/>
    </row>
    <row r="6379" spans="94:94" x14ac:dyDescent="0.15">
      <c r="CP6379" s="31"/>
    </row>
    <row r="6380" spans="94:94" x14ac:dyDescent="0.15">
      <c r="CP6380" s="31"/>
    </row>
    <row r="6381" spans="94:94" x14ac:dyDescent="0.15">
      <c r="CP6381" s="31"/>
    </row>
    <row r="6382" spans="94:94" x14ac:dyDescent="0.15">
      <c r="CP6382" s="31"/>
    </row>
    <row r="6383" spans="94:94" x14ac:dyDescent="0.15">
      <c r="CP6383" s="31"/>
    </row>
    <row r="6384" spans="94:94" x14ac:dyDescent="0.15">
      <c r="CP6384" s="31"/>
    </row>
    <row r="6385" spans="94:94" x14ac:dyDescent="0.15">
      <c r="CP6385" s="31"/>
    </row>
    <row r="6386" spans="94:94" x14ac:dyDescent="0.15">
      <c r="CP6386" s="31"/>
    </row>
    <row r="6387" spans="94:94" x14ac:dyDescent="0.15">
      <c r="CP6387" s="31"/>
    </row>
    <row r="6388" spans="94:94" x14ac:dyDescent="0.15">
      <c r="CP6388" s="31"/>
    </row>
    <row r="6389" spans="94:94" x14ac:dyDescent="0.15">
      <c r="CP6389" s="31"/>
    </row>
    <row r="6390" spans="94:94" x14ac:dyDescent="0.15">
      <c r="CP6390" s="31"/>
    </row>
    <row r="6391" spans="94:94" x14ac:dyDescent="0.15">
      <c r="CP6391" s="31"/>
    </row>
    <row r="6392" spans="94:94" x14ac:dyDescent="0.15">
      <c r="CP6392" s="31"/>
    </row>
    <row r="6393" spans="94:94" x14ac:dyDescent="0.15">
      <c r="CP6393" s="31"/>
    </row>
    <row r="6394" spans="94:94" x14ac:dyDescent="0.15">
      <c r="CP6394" s="31"/>
    </row>
    <row r="6395" spans="94:94" x14ac:dyDescent="0.15">
      <c r="CP6395" s="31"/>
    </row>
    <row r="6396" spans="94:94" x14ac:dyDescent="0.15">
      <c r="CP6396" s="31"/>
    </row>
    <row r="6397" spans="94:94" x14ac:dyDescent="0.15">
      <c r="CP6397" s="31"/>
    </row>
    <row r="6398" spans="94:94" x14ac:dyDescent="0.15">
      <c r="CP6398" s="31"/>
    </row>
    <row r="6399" spans="94:94" x14ac:dyDescent="0.15">
      <c r="CP6399" s="31"/>
    </row>
    <row r="6400" spans="94:94" x14ac:dyDescent="0.15">
      <c r="CP6400" s="31"/>
    </row>
    <row r="6401" spans="94:94" x14ac:dyDescent="0.15">
      <c r="CP6401" s="31"/>
    </row>
    <row r="6402" spans="94:94" x14ac:dyDescent="0.15">
      <c r="CP6402" s="31"/>
    </row>
    <row r="6403" spans="94:94" x14ac:dyDescent="0.15">
      <c r="CP6403" s="31"/>
    </row>
    <row r="6404" spans="94:94" x14ac:dyDescent="0.15">
      <c r="CP6404" s="31"/>
    </row>
    <row r="6405" spans="94:94" x14ac:dyDescent="0.15">
      <c r="CP6405" s="31"/>
    </row>
    <row r="6406" spans="94:94" x14ac:dyDescent="0.15">
      <c r="CP6406" s="31"/>
    </row>
    <row r="6407" spans="94:94" x14ac:dyDescent="0.15">
      <c r="CP6407" s="31"/>
    </row>
    <row r="6408" spans="94:94" x14ac:dyDescent="0.15">
      <c r="CP6408" s="31"/>
    </row>
    <row r="6409" spans="94:94" x14ac:dyDescent="0.15">
      <c r="CP6409" s="31"/>
    </row>
    <row r="6410" spans="94:94" x14ac:dyDescent="0.15">
      <c r="CP6410" s="31"/>
    </row>
    <row r="6411" spans="94:94" x14ac:dyDescent="0.15">
      <c r="CP6411" s="31"/>
    </row>
    <row r="6412" spans="94:94" x14ac:dyDescent="0.15">
      <c r="CP6412" s="31"/>
    </row>
    <row r="6413" spans="94:94" x14ac:dyDescent="0.15">
      <c r="CP6413" s="31"/>
    </row>
    <row r="6414" spans="94:94" x14ac:dyDescent="0.15">
      <c r="CP6414" s="31"/>
    </row>
    <row r="6415" spans="94:94" x14ac:dyDescent="0.15">
      <c r="CP6415" s="31"/>
    </row>
    <row r="6416" spans="94:94" x14ac:dyDescent="0.15">
      <c r="CP6416" s="31"/>
    </row>
    <row r="6417" spans="94:94" x14ac:dyDescent="0.15">
      <c r="CP6417" s="31"/>
    </row>
    <row r="6418" spans="94:94" x14ac:dyDescent="0.15">
      <c r="CP6418" s="31"/>
    </row>
    <row r="6419" spans="94:94" x14ac:dyDescent="0.15">
      <c r="CP6419" s="31"/>
    </row>
    <row r="6420" spans="94:94" x14ac:dyDescent="0.15">
      <c r="CP6420" s="31"/>
    </row>
    <row r="6421" spans="94:94" x14ac:dyDescent="0.15">
      <c r="CP6421" s="31"/>
    </row>
    <row r="6422" spans="94:94" x14ac:dyDescent="0.15">
      <c r="CP6422" s="31"/>
    </row>
    <row r="6423" spans="94:94" x14ac:dyDescent="0.15">
      <c r="CP6423" s="31"/>
    </row>
    <row r="6424" spans="94:94" x14ac:dyDescent="0.15">
      <c r="CP6424" s="31"/>
    </row>
    <row r="6425" spans="94:94" x14ac:dyDescent="0.15">
      <c r="CP6425" s="31"/>
    </row>
    <row r="6426" spans="94:94" x14ac:dyDescent="0.15">
      <c r="CP6426" s="31"/>
    </row>
    <row r="6427" spans="94:94" x14ac:dyDescent="0.15">
      <c r="CP6427" s="31"/>
    </row>
    <row r="6428" spans="94:94" x14ac:dyDescent="0.15">
      <c r="CP6428" s="31"/>
    </row>
    <row r="6429" spans="94:94" x14ac:dyDescent="0.15">
      <c r="CP6429" s="31"/>
    </row>
    <row r="6430" spans="94:94" x14ac:dyDescent="0.15">
      <c r="CP6430" s="31"/>
    </row>
    <row r="6431" spans="94:94" x14ac:dyDescent="0.15">
      <c r="CP6431" s="31"/>
    </row>
    <row r="6432" spans="94:94" x14ac:dyDescent="0.15">
      <c r="CP6432" s="31"/>
    </row>
    <row r="6433" spans="94:94" x14ac:dyDescent="0.15">
      <c r="CP6433" s="31"/>
    </row>
    <row r="6434" spans="94:94" x14ac:dyDescent="0.15">
      <c r="CP6434" s="31"/>
    </row>
    <row r="6435" spans="94:94" x14ac:dyDescent="0.15">
      <c r="CP6435" s="31"/>
    </row>
    <row r="6436" spans="94:94" x14ac:dyDescent="0.15">
      <c r="CP6436" s="31"/>
    </row>
    <row r="6437" spans="94:94" x14ac:dyDescent="0.15">
      <c r="CP6437" s="31"/>
    </row>
    <row r="6438" spans="94:94" x14ac:dyDescent="0.15">
      <c r="CP6438" s="31"/>
    </row>
    <row r="6439" spans="94:94" x14ac:dyDescent="0.15">
      <c r="CP6439" s="31"/>
    </row>
    <row r="6440" spans="94:94" x14ac:dyDescent="0.15">
      <c r="CP6440" s="31"/>
    </row>
    <row r="6441" spans="94:94" x14ac:dyDescent="0.15">
      <c r="CP6441" s="31"/>
    </row>
    <row r="6442" spans="94:94" x14ac:dyDescent="0.15">
      <c r="CP6442" s="31"/>
    </row>
    <row r="6443" spans="94:94" x14ac:dyDescent="0.15">
      <c r="CP6443" s="31"/>
    </row>
    <row r="6444" spans="94:94" x14ac:dyDescent="0.15">
      <c r="CP6444" s="31"/>
    </row>
    <row r="6445" spans="94:94" x14ac:dyDescent="0.15">
      <c r="CP6445" s="31"/>
    </row>
    <row r="6446" spans="94:94" x14ac:dyDescent="0.15">
      <c r="CP6446" s="31"/>
    </row>
    <row r="6447" spans="94:94" x14ac:dyDescent="0.15">
      <c r="CP6447" s="31"/>
    </row>
    <row r="6448" spans="94:94" x14ac:dyDescent="0.15">
      <c r="CP6448" s="31"/>
    </row>
    <row r="6449" spans="94:94" x14ac:dyDescent="0.15">
      <c r="CP6449" s="31"/>
    </row>
    <row r="6450" spans="94:94" x14ac:dyDescent="0.15">
      <c r="CP6450" s="31"/>
    </row>
    <row r="6451" spans="94:94" x14ac:dyDescent="0.15">
      <c r="CP6451" s="31"/>
    </row>
    <row r="6452" spans="94:94" x14ac:dyDescent="0.15">
      <c r="CP6452" s="31"/>
    </row>
    <row r="6453" spans="94:94" x14ac:dyDescent="0.15">
      <c r="CP6453" s="31"/>
    </row>
    <row r="6454" spans="94:94" x14ac:dyDescent="0.15">
      <c r="CP6454" s="31"/>
    </row>
    <row r="6455" spans="94:94" x14ac:dyDescent="0.15">
      <c r="CP6455" s="31"/>
    </row>
    <row r="6456" spans="94:94" x14ac:dyDescent="0.15">
      <c r="CP6456" s="31"/>
    </row>
    <row r="6457" spans="94:94" x14ac:dyDescent="0.15">
      <c r="CP6457" s="31"/>
    </row>
    <row r="6458" spans="94:94" x14ac:dyDescent="0.15">
      <c r="CP6458" s="31"/>
    </row>
    <row r="6459" spans="94:94" x14ac:dyDescent="0.15">
      <c r="CP6459" s="31"/>
    </row>
    <row r="6460" spans="94:94" x14ac:dyDescent="0.15">
      <c r="CP6460" s="31"/>
    </row>
    <row r="6461" spans="94:94" x14ac:dyDescent="0.15">
      <c r="CP6461" s="31"/>
    </row>
    <row r="6462" spans="94:94" x14ac:dyDescent="0.15">
      <c r="CP6462" s="31"/>
    </row>
    <row r="6463" spans="94:94" x14ac:dyDescent="0.15">
      <c r="CP6463" s="31"/>
    </row>
    <row r="6464" spans="94:94" x14ac:dyDescent="0.15">
      <c r="CP6464" s="31"/>
    </row>
    <row r="6465" spans="94:94" x14ac:dyDescent="0.15">
      <c r="CP6465" s="31"/>
    </row>
    <row r="6466" spans="94:94" x14ac:dyDescent="0.15">
      <c r="CP6466" s="31"/>
    </row>
    <row r="6467" spans="94:94" x14ac:dyDescent="0.15">
      <c r="CP6467" s="31"/>
    </row>
    <row r="6468" spans="94:94" x14ac:dyDescent="0.15">
      <c r="CP6468" s="31"/>
    </row>
    <row r="6469" spans="94:94" x14ac:dyDescent="0.15">
      <c r="CP6469" s="31"/>
    </row>
    <row r="6470" spans="94:94" x14ac:dyDescent="0.15">
      <c r="CP6470" s="31"/>
    </row>
    <row r="6471" spans="94:94" x14ac:dyDescent="0.15">
      <c r="CP6471" s="31"/>
    </row>
    <row r="6472" spans="94:94" x14ac:dyDescent="0.15">
      <c r="CP6472" s="31"/>
    </row>
    <row r="6473" spans="94:94" x14ac:dyDescent="0.15">
      <c r="CP6473" s="31"/>
    </row>
    <row r="6474" spans="94:94" x14ac:dyDescent="0.15">
      <c r="CP6474" s="31"/>
    </row>
    <row r="6475" spans="94:94" x14ac:dyDescent="0.15">
      <c r="CP6475" s="31"/>
    </row>
    <row r="6476" spans="94:94" x14ac:dyDescent="0.15">
      <c r="CP6476" s="31"/>
    </row>
    <row r="6477" spans="94:94" x14ac:dyDescent="0.15">
      <c r="CP6477" s="31"/>
    </row>
    <row r="6478" spans="94:94" x14ac:dyDescent="0.15">
      <c r="CP6478" s="31"/>
    </row>
    <row r="6479" spans="94:94" x14ac:dyDescent="0.15">
      <c r="CP6479" s="31"/>
    </row>
    <row r="6480" spans="94:94" x14ac:dyDescent="0.15">
      <c r="CP6480" s="31"/>
    </row>
    <row r="6481" spans="94:94" x14ac:dyDescent="0.15">
      <c r="CP6481" s="31"/>
    </row>
    <row r="6482" spans="94:94" x14ac:dyDescent="0.15">
      <c r="CP6482" s="31"/>
    </row>
    <row r="6483" spans="94:94" x14ac:dyDescent="0.15">
      <c r="CP6483" s="31"/>
    </row>
    <row r="6484" spans="94:94" x14ac:dyDescent="0.15">
      <c r="CP6484" s="31"/>
    </row>
    <row r="6485" spans="94:94" x14ac:dyDescent="0.15">
      <c r="CP6485" s="31"/>
    </row>
    <row r="6486" spans="94:94" x14ac:dyDescent="0.15">
      <c r="CP6486" s="31"/>
    </row>
    <row r="6487" spans="94:94" x14ac:dyDescent="0.15">
      <c r="CP6487" s="31"/>
    </row>
    <row r="6488" spans="94:94" x14ac:dyDescent="0.15">
      <c r="CP6488" s="31"/>
    </row>
    <row r="6489" spans="94:94" x14ac:dyDescent="0.15">
      <c r="CP6489" s="31"/>
    </row>
    <row r="6490" spans="94:94" x14ac:dyDescent="0.15">
      <c r="CP6490" s="31"/>
    </row>
    <row r="6491" spans="94:94" x14ac:dyDescent="0.15">
      <c r="CP6491" s="31"/>
    </row>
    <row r="6492" spans="94:94" x14ac:dyDescent="0.15">
      <c r="CP6492" s="31"/>
    </row>
    <row r="6493" spans="94:94" x14ac:dyDescent="0.15">
      <c r="CP6493" s="31"/>
    </row>
    <row r="6494" spans="94:94" x14ac:dyDescent="0.15">
      <c r="CP6494" s="31"/>
    </row>
    <row r="6495" spans="94:94" x14ac:dyDescent="0.15">
      <c r="CP6495" s="31"/>
    </row>
    <row r="6496" spans="94:94" x14ac:dyDescent="0.15">
      <c r="CP6496" s="31"/>
    </row>
    <row r="6497" spans="94:94" x14ac:dyDescent="0.15">
      <c r="CP6497" s="31"/>
    </row>
    <row r="6498" spans="94:94" x14ac:dyDescent="0.15">
      <c r="CP6498" s="31"/>
    </row>
    <row r="6499" spans="94:94" x14ac:dyDescent="0.15">
      <c r="CP6499" s="31"/>
    </row>
    <row r="6500" spans="94:94" x14ac:dyDescent="0.15">
      <c r="CP6500" s="31"/>
    </row>
    <row r="6501" spans="94:94" x14ac:dyDescent="0.15">
      <c r="CP6501" s="31"/>
    </row>
    <row r="6502" spans="94:94" x14ac:dyDescent="0.15">
      <c r="CP6502" s="31"/>
    </row>
    <row r="6503" spans="94:94" x14ac:dyDescent="0.15">
      <c r="CP6503" s="31"/>
    </row>
    <row r="6504" spans="94:94" x14ac:dyDescent="0.15">
      <c r="CP6504" s="31"/>
    </row>
    <row r="6505" spans="94:94" x14ac:dyDescent="0.15">
      <c r="CP6505" s="31"/>
    </row>
    <row r="6506" spans="94:94" x14ac:dyDescent="0.15">
      <c r="CP6506" s="31"/>
    </row>
    <row r="6507" spans="94:94" x14ac:dyDescent="0.15">
      <c r="CP6507" s="31"/>
    </row>
    <row r="6508" spans="94:94" x14ac:dyDescent="0.15">
      <c r="CP6508" s="31"/>
    </row>
    <row r="6509" spans="94:94" x14ac:dyDescent="0.15">
      <c r="CP6509" s="31"/>
    </row>
    <row r="6510" spans="94:94" x14ac:dyDescent="0.15">
      <c r="CP6510" s="31"/>
    </row>
    <row r="6511" spans="94:94" x14ac:dyDescent="0.15">
      <c r="CP6511" s="31"/>
    </row>
    <row r="6512" spans="94:94" x14ac:dyDescent="0.15">
      <c r="CP6512" s="31"/>
    </row>
    <row r="6513" spans="94:94" x14ac:dyDescent="0.15">
      <c r="CP6513" s="31"/>
    </row>
    <row r="6514" spans="94:94" x14ac:dyDescent="0.15">
      <c r="CP6514" s="31"/>
    </row>
    <row r="6515" spans="94:94" x14ac:dyDescent="0.15">
      <c r="CP6515" s="31"/>
    </row>
    <row r="6516" spans="94:94" x14ac:dyDescent="0.15">
      <c r="CP6516" s="31"/>
    </row>
    <row r="6517" spans="94:94" x14ac:dyDescent="0.15">
      <c r="CP6517" s="31"/>
    </row>
    <row r="6518" spans="94:94" x14ac:dyDescent="0.15">
      <c r="CP6518" s="31"/>
    </row>
    <row r="6519" spans="94:94" x14ac:dyDescent="0.15">
      <c r="CP6519" s="31"/>
    </row>
    <row r="6520" spans="94:94" x14ac:dyDescent="0.15">
      <c r="CP6520" s="31"/>
    </row>
    <row r="6521" spans="94:94" x14ac:dyDescent="0.15">
      <c r="CP6521" s="31"/>
    </row>
    <row r="6522" spans="94:94" x14ac:dyDescent="0.15">
      <c r="CP6522" s="31"/>
    </row>
    <row r="6523" spans="94:94" x14ac:dyDescent="0.15">
      <c r="CP6523" s="31"/>
    </row>
    <row r="6524" spans="94:94" x14ac:dyDescent="0.15">
      <c r="CP6524" s="31"/>
    </row>
    <row r="6525" spans="94:94" x14ac:dyDescent="0.15">
      <c r="CP6525" s="31"/>
    </row>
    <row r="6526" spans="94:94" x14ac:dyDescent="0.15">
      <c r="CP6526" s="31"/>
    </row>
    <row r="6527" spans="94:94" x14ac:dyDescent="0.15">
      <c r="CP6527" s="31"/>
    </row>
    <row r="6528" spans="94:94" x14ac:dyDescent="0.15">
      <c r="CP6528" s="31"/>
    </row>
    <row r="6529" spans="94:94" x14ac:dyDescent="0.15">
      <c r="CP6529" s="31"/>
    </row>
    <row r="6530" spans="94:94" x14ac:dyDescent="0.15">
      <c r="CP6530" s="31"/>
    </row>
    <row r="6531" spans="94:94" x14ac:dyDescent="0.15">
      <c r="CP6531" s="31"/>
    </row>
    <row r="6532" spans="94:94" x14ac:dyDescent="0.15">
      <c r="CP6532" s="31"/>
    </row>
    <row r="6533" spans="94:94" x14ac:dyDescent="0.15">
      <c r="CP6533" s="31"/>
    </row>
    <row r="6534" spans="94:94" x14ac:dyDescent="0.15">
      <c r="CP6534" s="31"/>
    </row>
    <row r="6535" spans="94:94" x14ac:dyDescent="0.15">
      <c r="CP6535" s="31"/>
    </row>
    <row r="6536" spans="94:94" x14ac:dyDescent="0.15">
      <c r="CP6536" s="31"/>
    </row>
    <row r="6537" spans="94:94" x14ac:dyDescent="0.15">
      <c r="CP6537" s="31"/>
    </row>
    <row r="6538" spans="94:94" x14ac:dyDescent="0.15">
      <c r="CP6538" s="31"/>
    </row>
    <row r="6539" spans="94:94" x14ac:dyDescent="0.15">
      <c r="CP6539" s="31"/>
    </row>
    <row r="6540" spans="94:94" x14ac:dyDescent="0.15">
      <c r="CP6540" s="31"/>
    </row>
    <row r="6541" spans="94:94" x14ac:dyDescent="0.15">
      <c r="CP6541" s="31"/>
    </row>
    <row r="6542" spans="94:94" x14ac:dyDescent="0.15">
      <c r="CP6542" s="31"/>
    </row>
    <row r="6543" spans="94:94" x14ac:dyDescent="0.15">
      <c r="CP6543" s="31"/>
    </row>
    <row r="6544" spans="94:94" x14ac:dyDescent="0.15">
      <c r="CP6544" s="31"/>
    </row>
    <row r="6545" spans="94:94" x14ac:dyDescent="0.15">
      <c r="CP6545" s="31"/>
    </row>
    <row r="6546" spans="94:94" x14ac:dyDescent="0.15">
      <c r="CP6546" s="31"/>
    </row>
    <row r="6547" spans="94:94" x14ac:dyDescent="0.15">
      <c r="CP6547" s="31"/>
    </row>
    <row r="6548" spans="94:94" x14ac:dyDescent="0.15">
      <c r="CP6548" s="31"/>
    </row>
    <row r="6549" spans="94:94" x14ac:dyDescent="0.15">
      <c r="CP6549" s="31"/>
    </row>
    <row r="6550" spans="94:94" x14ac:dyDescent="0.15">
      <c r="CP6550" s="31"/>
    </row>
    <row r="6551" spans="94:94" x14ac:dyDescent="0.15">
      <c r="CP6551" s="31"/>
    </row>
    <row r="6552" spans="94:94" x14ac:dyDescent="0.15">
      <c r="CP6552" s="31"/>
    </row>
    <row r="6553" spans="94:94" x14ac:dyDescent="0.15">
      <c r="CP6553" s="31"/>
    </row>
    <row r="6554" spans="94:94" x14ac:dyDescent="0.15">
      <c r="CP6554" s="31"/>
    </row>
    <row r="6555" spans="94:94" x14ac:dyDescent="0.15">
      <c r="CP6555" s="31"/>
    </row>
    <row r="6556" spans="94:94" x14ac:dyDescent="0.15">
      <c r="CP6556" s="31"/>
    </row>
    <row r="6557" spans="94:94" x14ac:dyDescent="0.15">
      <c r="CP6557" s="31"/>
    </row>
    <row r="6558" spans="94:94" x14ac:dyDescent="0.15">
      <c r="CP6558" s="31"/>
    </row>
    <row r="6559" spans="94:94" x14ac:dyDescent="0.15">
      <c r="CP6559" s="31"/>
    </row>
    <row r="6560" spans="94:94" x14ac:dyDescent="0.15">
      <c r="CP6560" s="31"/>
    </row>
    <row r="6561" spans="94:94" x14ac:dyDescent="0.15">
      <c r="CP6561" s="31"/>
    </row>
    <row r="6562" spans="94:94" x14ac:dyDescent="0.15">
      <c r="CP6562" s="31"/>
    </row>
    <row r="6563" spans="94:94" x14ac:dyDescent="0.15">
      <c r="CP6563" s="31"/>
    </row>
    <row r="6564" spans="94:94" x14ac:dyDescent="0.15">
      <c r="CP6564" s="31"/>
    </row>
    <row r="6565" spans="94:94" x14ac:dyDescent="0.15">
      <c r="CP6565" s="31"/>
    </row>
    <row r="6566" spans="94:94" x14ac:dyDescent="0.15">
      <c r="CP6566" s="31"/>
    </row>
    <row r="6567" spans="94:94" x14ac:dyDescent="0.15">
      <c r="CP6567" s="31"/>
    </row>
    <row r="6568" spans="94:94" x14ac:dyDescent="0.15">
      <c r="CP6568" s="31"/>
    </row>
    <row r="6569" spans="94:94" x14ac:dyDescent="0.15">
      <c r="CP6569" s="31"/>
    </row>
    <row r="6570" spans="94:94" x14ac:dyDescent="0.15">
      <c r="CP6570" s="31"/>
    </row>
    <row r="6571" spans="94:94" x14ac:dyDescent="0.15">
      <c r="CP6571" s="31"/>
    </row>
    <row r="6572" spans="94:94" x14ac:dyDescent="0.15">
      <c r="CP6572" s="31"/>
    </row>
    <row r="6573" spans="94:94" x14ac:dyDescent="0.15">
      <c r="CP6573" s="31"/>
    </row>
    <row r="6574" spans="94:94" x14ac:dyDescent="0.15">
      <c r="CP6574" s="31"/>
    </row>
    <row r="6575" spans="94:94" x14ac:dyDescent="0.15">
      <c r="CP6575" s="31"/>
    </row>
    <row r="6576" spans="94:94" x14ac:dyDescent="0.15">
      <c r="CP6576" s="31"/>
    </row>
    <row r="6577" spans="94:94" x14ac:dyDescent="0.15">
      <c r="CP6577" s="31"/>
    </row>
    <row r="6578" spans="94:94" x14ac:dyDescent="0.15">
      <c r="CP6578" s="31"/>
    </row>
    <row r="6579" spans="94:94" x14ac:dyDescent="0.15">
      <c r="CP6579" s="31"/>
    </row>
    <row r="6580" spans="94:94" x14ac:dyDescent="0.15">
      <c r="CP6580" s="31"/>
    </row>
    <row r="6581" spans="94:94" x14ac:dyDescent="0.15">
      <c r="CP6581" s="31"/>
    </row>
    <row r="6582" spans="94:94" x14ac:dyDescent="0.15">
      <c r="CP6582" s="31"/>
    </row>
    <row r="6583" spans="94:94" x14ac:dyDescent="0.15">
      <c r="CP6583" s="31"/>
    </row>
    <row r="6584" spans="94:94" x14ac:dyDescent="0.15">
      <c r="CP6584" s="31"/>
    </row>
    <row r="6585" spans="94:94" x14ac:dyDescent="0.15">
      <c r="CP6585" s="31"/>
    </row>
    <row r="6586" spans="94:94" x14ac:dyDescent="0.15">
      <c r="CP6586" s="31"/>
    </row>
    <row r="6587" spans="94:94" x14ac:dyDescent="0.15">
      <c r="CP6587" s="31"/>
    </row>
    <row r="6588" spans="94:94" x14ac:dyDescent="0.15">
      <c r="CP6588" s="31"/>
    </row>
    <row r="6589" spans="94:94" x14ac:dyDescent="0.15">
      <c r="CP6589" s="31"/>
    </row>
    <row r="6590" spans="94:94" x14ac:dyDescent="0.15">
      <c r="CP6590" s="31"/>
    </row>
    <row r="6591" spans="94:94" x14ac:dyDescent="0.15">
      <c r="CP6591" s="31"/>
    </row>
    <row r="6592" spans="94:94" x14ac:dyDescent="0.15">
      <c r="CP6592" s="31"/>
    </row>
    <row r="6593" spans="94:94" x14ac:dyDescent="0.15">
      <c r="CP6593" s="31"/>
    </row>
    <row r="6594" spans="94:94" x14ac:dyDescent="0.15">
      <c r="CP6594" s="31"/>
    </row>
    <row r="6595" spans="94:94" x14ac:dyDescent="0.15">
      <c r="CP6595" s="31"/>
    </row>
    <row r="6596" spans="94:94" x14ac:dyDescent="0.15">
      <c r="CP6596" s="31"/>
    </row>
    <row r="6597" spans="94:94" x14ac:dyDescent="0.15">
      <c r="CP6597" s="31"/>
    </row>
    <row r="6598" spans="94:94" x14ac:dyDescent="0.15">
      <c r="CP6598" s="31"/>
    </row>
    <row r="6599" spans="94:94" x14ac:dyDescent="0.15">
      <c r="CP6599" s="31"/>
    </row>
    <row r="6600" spans="94:94" x14ac:dyDescent="0.15">
      <c r="CP6600" s="31"/>
    </row>
    <row r="6601" spans="94:94" x14ac:dyDescent="0.15">
      <c r="CP6601" s="31"/>
    </row>
    <row r="6602" spans="94:94" x14ac:dyDescent="0.15">
      <c r="CP6602" s="31"/>
    </row>
    <row r="6603" spans="94:94" x14ac:dyDescent="0.15">
      <c r="CP6603" s="31"/>
    </row>
    <row r="6604" spans="94:94" x14ac:dyDescent="0.15">
      <c r="CP6604" s="31"/>
    </row>
    <row r="6605" spans="94:94" x14ac:dyDescent="0.15">
      <c r="CP6605" s="31"/>
    </row>
    <row r="6606" spans="94:94" x14ac:dyDescent="0.15">
      <c r="CP6606" s="31"/>
    </row>
    <row r="6607" spans="94:94" x14ac:dyDescent="0.15">
      <c r="CP6607" s="31"/>
    </row>
    <row r="6608" spans="94:94" x14ac:dyDescent="0.15">
      <c r="CP6608" s="31"/>
    </row>
    <row r="6609" spans="94:94" x14ac:dyDescent="0.15">
      <c r="CP6609" s="31"/>
    </row>
    <row r="6610" spans="94:94" x14ac:dyDescent="0.15">
      <c r="CP6610" s="31"/>
    </row>
    <row r="6611" spans="94:94" x14ac:dyDescent="0.15">
      <c r="CP6611" s="31"/>
    </row>
    <row r="6612" spans="94:94" x14ac:dyDescent="0.15">
      <c r="CP6612" s="31"/>
    </row>
    <row r="6613" spans="94:94" x14ac:dyDescent="0.15">
      <c r="CP6613" s="31"/>
    </row>
    <row r="6614" spans="94:94" x14ac:dyDescent="0.15">
      <c r="CP6614" s="31"/>
    </row>
    <row r="6615" spans="94:94" x14ac:dyDescent="0.15">
      <c r="CP6615" s="31"/>
    </row>
    <row r="6616" spans="94:94" x14ac:dyDescent="0.15">
      <c r="CP6616" s="31"/>
    </row>
    <row r="6617" spans="94:94" x14ac:dyDescent="0.15">
      <c r="CP6617" s="31"/>
    </row>
    <row r="6618" spans="94:94" x14ac:dyDescent="0.15">
      <c r="CP6618" s="31"/>
    </row>
    <row r="6619" spans="94:94" x14ac:dyDescent="0.15">
      <c r="CP6619" s="31"/>
    </row>
    <row r="6620" spans="94:94" x14ac:dyDescent="0.15">
      <c r="CP6620" s="31"/>
    </row>
    <row r="6621" spans="94:94" x14ac:dyDescent="0.15">
      <c r="CP6621" s="31"/>
    </row>
    <row r="6622" spans="94:94" x14ac:dyDescent="0.15">
      <c r="CP6622" s="31"/>
    </row>
    <row r="6623" spans="94:94" x14ac:dyDescent="0.15">
      <c r="CP6623" s="31"/>
    </row>
    <row r="6624" spans="94:94" x14ac:dyDescent="0.15">
      <c r="CP6624" s="31"/>
    </row>
    <row r="6625" spans="94:94" x14ac:dyDescent="0.15">
      <c r="CP6625" s="31"/>
    </row>
    <row r="6626" spans="94:94" x14ac:dyDescent="0.15">
      <c r="CP6626" s="31"/>
    </row>
    <row r="6627" spans="94:94" x14ac:dyDescent="0.15">
      <c r="CP6627" s="31"/>
    </row>
    <row r="6628" spans="94:94" x14ac:dyDescent="0.15">
      <c r="CP6628" s="31"/>
    </row>
    <row r="6629" spans="94:94" x14ac:dyDescent="0.15">
      <c r="CP6629" s="31"/>
    </row>
    <row r="6630" spans="94:94" x14ac:dyDescent="0.15">
      <c r="CP6630" s="31"/>
    </row>
    <row r="6631" spans="94:94" x14ac:dyDescent="0.15">
      <c r="CP6631" s="31"/>
    </row>
    <row r="6632" spans="94:94" x14ac:dyDescent="0.15">
      <c r="CP6632" s="31"/>
    </row>
    <row r="6633" spans="94:94" x14ac:dyDescent="0.15">
      <c r="CP6633" s="31"/>
    </row>
    <row r="6634" spans="94:94" x14ac:dyDescent="0.15">
      <c r="CP6634" s="31"/>
    </row>
    <row r="6635" spans="94:94" x14ac:dyDescent="0.15">
      <c r="CP6635" s="31"/>
    </row>
    <row r="6636" spans="94:94" x14ac:dyDescent="0.15">
      <c r="CP6636" s="31"/>
    </row>
    <row r="6637" spans="94:94" x14ac:dyDescent="0.15">
      <c r="CP6637" s="31"/>
    </row>
    <row r="6638" spans="94:94" x14ac:dyDescent="0.15">
      <c r="CP6638" s="31"/>
    </row>
    <row r="6639" spans="94:94" x14ac:dyDescent="0.15">
      <c r="CP6639" s="31"/>
    </row>
    <row r="6640" spans="94:94" x14ac:dyDescent="0.15">
      <c r="CP6640" s="31"/>
    </row>
    <row r="6641" spans="94:94" x14ac:dyDescent="0.15">
      <c r="CP6641" s="31"/>
    </row>
    <row r="6642" spans="94:94" x14ac:dyDescent="0.15">
      <c r="CP6642" s="31"/>
    </row>
    <row r="6643" spans="94:94" x14ac:dyDescent="0.15">
      <c r="CP6643" s="31"/>
    </row>
    <row r="6644" spans="94:94" x14ac:dyDescent="0.15">
      <c r="CP6644" s="31"/>
    </row>
    <row r="6645" spans="94:94" x14ac:dyDescent="0.15">
      <c r="CP6645" s="31"/>
    </row>
    <row r="6646" spans="94:94" x14ac:dyDescent="0.15">
      <c r="CP6646" s="31"/>
    </row>
    <row r="6647" spans="94:94" x14ac:dyDescent="0.15">
      <c r="CP6647" s="31"/>
    </row>
    <row r="6648" spans="94:94" x14ac:dyDescent="0.15">
      <c r="CP6648" s="31"/>
    </row>
    <row r="6649" spans="94:94" x14ac:dyDescent="0.15">
      <c r="CP6649" s="31"/>
    </row>
    <row r="6650" spans="94:94" x14ac:dyDescent="0.15">
      <c r="CP6650" s="31"/>
    </row>
    <row r="6651" spans="94:94" x14ac:dyDescent="0.15">
      <c r="CP6651" s="31"/>
    </row>
    <row r="6652" spans="94:94" x14ac:dyDescent="0.15">
      <c r="CP6652" s="31"/>
    </row>
    <row r="6653" spans="94:94" x14ac:dyDescent="0.15">
      <c r="CP6653" s="31"/>
    </row>
    <row r="6654" spans="94:94" x14ac:dyDescent="0.15">
      <c r="CP6654" s="31"/>
    </row>
    <row r="6655" spans="94:94" x14ac:dyDescent="0.15">
      <c r="CP6655" s="31"/>
    </row>
    <row r="6656" spans="94:94" x14ac:dyDescent="0.15">
      <c r="CP6656" s="31"/>
    </row>
    <row r="6657" spans="94:94" x14ac:dyDescent="0.15">
      <c r="CP6657" s="31"/>
    </row>
    <row r="6658" spans="94:94" x14ac:dyDescent="0.15">
      <c r="CP6658" s="31"/>
    </row>
    <row r="6659" spans="94:94" x14ac:dyDescent="0.15">
      <c r="CP6659" s="31"/>
    </row>
    <row r="6660" spans="94:94" x14ac:dyDescent="0.15">
      <c r="CP6660" s="31"/>
    </row>
    <row r="6661" spans="94:94" x14ac:dyDescent="0.15">
      <c r="CP6661" s="31"/>
    </row>
    <row r="6662" spans="94:94" x14ac:dyDescent="0.15">
      <c r="CP6662" s="31"/>
    </row>
    <row r="6663" spans="94:94" x14ac:dyDescent="0.15">
      <c r="CP6663" s="31"/>
    </row>
    <row r="6664" spans="94:94" x14ac:dyDescent="0.15">
      <c r="CP6664" s="31"/>
    </row>
    <row r="6665" spans="94:94" x14ac:dyDescent="0.15">
      <c r="CP6665" s="31"/>
    </row>
    <row r="6666" spans="94:94" x14ac:dyDescent="0.15">
      <c r="CP6666" s="31"/>
    </row>
    <row r="6667" spans="94:94" x14ac:dyDescent="0.15">
      <c r="CP6667" s="31"/>
    </row>
    <row r="6668" spans="94:94" x14ac:dyDescent="0.15">
      <c r="CP6668" s="31"/>
    </row>
    <row r="6669" spans="94:94" x14ac:dyDescent="0.15">
      <c r="CP6669" s="31"/>
    </row>
    <row r="6670" spans="94:94" x14ac:dyDescent="0.15">
      <c r="CP6670" s="31"/>
    </row>
    <row r="6671" spans="94:94" x14ac:dyDescent="0.15">
      <c r="CP6671" s="31"/>
    </row>
    <row r="6672" spans="94:94" x14ac:dyDescent="0.15">
      <c r="CP6672" s="31"/>
    </row>
    <row r="6673" spans="94:94" x14ac:dyDescent="0.15">
      <c r="CP6673" s="31"/>
    </row>
    <row r="6674" spans="94:94" x14ac:dyDescent="0.15">
      <c r="CP6674" s="31"/>
    </row>
    <row r="6675" spans="94:94" x14ac:dyDescent="0.15">
      <c r="CP6675" s="31"/>
    </row>
    <row r="6676" spans="94:94" x14ac:dyDescent="0.15">
      <c r="CP6676" s="31"/>
    </row>
    <row r="6677" spans="94:94" x14ac:dyDescent="0.15">
      <c r="CP6677" s="31"/>
    </row>
    <row r="6678" spans="94:94" x14ac:dyDescent="0.15">
      <c r="CP6678" s="31"/>
    </row>
    <row r="6679" spans="94:94" x14ac:dyDescent="0.15">
      <c r="CP6679" s="31"/>
    </row>
    <row r="6680" spans="94:94" x14ac:dyDescent="0.15">
      <c r="CP6680" s="31"/>
    </row>
    <row r="6681" spans="94:94" x14ac:dyDescent="0.15">
      <c r="CP6681" s="31"/>
    </row>
    <row r="6682" spans="94:94" x14ac:dyDescent="0.15">
      <c r="CP6682" s="31"/>
    </row>
    <row r="6683" spans="94:94" x14ac:dyDescent="0.15">
      <c r="CP6683" s="31"/>
    </row>
    <row r="6684" spans="94:94" x14ac:dyDescent="0.15">
      <c r="CP6684" s="31"/>
    </row>
    <row r="6685" spans="94:94" x14ac:dyDescent="0.15">
      <c r="CP6685" s="31"/>
    </row>
    <row r="6686" spans="94:94" x14ac:dyDescent="0.15">
      <c r="CP6686" s="31"/>
    </row>
    <row r="6687" spans="94:94" x14ac:dyDescent="0.15">
      <c r="CP6687" s="31"/>
    </row>
    <row r="6688" spans="94:94" x14ac:dyDescent="0.15">
      <c r="CP6688" s="31"/>
    </row>
    <row r="6689" spans="94:94" x14ac:dyDescent="0.15">
      <c r="CP6689" s="31"/>
    </row>
    <row r="6690" spans="94:94" x14ac:dyDescent="0.15">
      <c r="CP6690" s="31"/>
    </row>
    <row r="6691" spans="94:94" x14ac:dyDescent="0.15">
      <c r="CP6691" s="31"/>
    </row>
    <row r="6692" spans="94:94" x14ac:dyDescent="0.15">
      <c r="CP6692" s="31"/>
    </row>
    <row r="6693" spans="94:94" x14ac:dyDescent="0.15">
      <c r="CP6693" s="31"/>
    </row>
    <row r="6694" spans="94:94" x14ac:dyDescent="0.15">
      <c r="CP6694" s="31"/>
    </row>
    <row r="6695" spans="94:94" x14ac:dyDescent="0.15">
      <c r="CP6695" s="31"/>
    </row>
    <row r="6696" spans="94:94" x14ac:dyDescent="0.15">
      <c r="CP6696" s="31"/>
    </row>
    <row r="6697" spans="94:94" x14ac:dyDescent="0.15">
      <c r="CP6697" s="31"/>
    </row>
    <row r="6698" spans="94:94" x14ac:dyDescent="0.15">
      <c r="CP6698" s="31"/>
    </row>
    <row r="6699" spans="94:94" x14ac:dyDescent="0.15">
      <c r="CP6699" s="31"/>
    </row>
    <row r="6700" spans="94:94" x14ac:dyDescent="0.15">
      <c r="CP6700" s="31"/>
    </row>
    <row r="6701" spans="94:94" x14ac:dyDescent="0.15">
      <c r="CP6701" s="31"/>
    </row>
    <row r="6702" spans="94:94" x14ac:dyDescent="0.15">
      <c r="CP6702" s="31"/>
    </row>
    <row r="6703" spans="94:94" x14ac:dyDescent="0.15">
      <c r="CP6703" s="31"/>
    </row>
    <row r="6704" spans="94:94" x14ac:dyDescent="0.15">
      <c r="CP6704" s="31"/>
    </row>
    <row r="6705" spans="94:94" x14ac:dyDescent="0.15">
      <c r="CP6705" s="31"/>
    </row>
    <row r="6706" spans="94:94" x14ac:dyDescent="0.15">
      <c r="CP6706" s="31"/>
    </row>
    <row r="6707" spans="94:94" x14ac:dyDescent="0.15">
      <c r="CP6707" s="31"/>
    </row>
    <row r="6708" spans="94:94" x14ac:dyDescent="0.15">
      <c r="CP6708" s="31"/>
    </row>
    <row r="6709" spans="94:94" x14ac:dyDescent="0.15">
      <c r="CP6709" s="31"/>
    </row>
    <row r="6710" spans="94:94" x14ac:dyDescent="0.15">
      <c r="CP6710" s="31"/>
    </row>
    <row r="6711" spans="94:94" x14ac:dyDescent="0.15">
      <c r="CP6711" s="31"/>
    </row>
    <row r="6712" spans="94:94" x14ac:dyDescent="0.15">
      <c r="CP6712" s="31"/>
    </row>
    <row r="6713" spans="94:94" x14ac:dyDescent="0.15">
      <c r="CP6713" s="31"/>
    </row>
    <row r="6714" spans="94:94" x14ac:dyDescent="0.15">
      <c r="CP6714" s="31"/>
    </row>
    <row r="6715" spans="94:94" x14ac:dyDescent="0.15">
      <c r="CP6715" s="31"/>
    </row>
    <row r="6716" spans="94:94" x14ac:dyDescent="0.15">
      <c r="CP6716" s="31"/>
    </row>
    <row r="6717" spans="94:94" x14ac:dyDescent="0.15">
      <c r="CP6717" s="31"/>
    </row>
    <row r="6718" spans="94:94" x14ac:dyDescent="0.15">
      <c r="CP6718" s="31"/>
    </row>
    <row r="6719" spans="94:94" x14ac:dyDescent="0.15">
      <c r="CP6719" s="31"/>
    </row>
    <row r="6720" spans="94:94" x14ac:dyDescent="0.15">
      <c r="CP6720" s="31"/>
    </row>
    <row r="6721" spans="94:94" x14ac:dyDescent="0.15">
      <c r="CP6721" s="31"/>
    </row>
    <row r="6722" spans="94:94" x14ac:dyDescent="0.15">
      <c r="CP6722" s="31"/>
    </row>
    <row r="6723" spans="94:94" x14ac:dyDescent="0.15">
      <c r="CP6723" s="31"/>
    </row>
    <row r="6724" spans="94:94" x14ac:dyDescent="0.15">
      <c r="CP6724" s="31"/>
    </row>
    <row r="6725" spans="94:94" x14ac:dyDescent="0.15">
      <c r="CP6725" s="31"/>
    </row>
    <row r="6726" spans="94:94" x14ac:dyDescent="0.15">
      <c r="CP6726" s="31"/>
    </row>
    <row r="6727" spans="94:94" x14ac:dyDescent="0.15">
      <c r="CP6727" s="31"/>
    </row>
    <row r="6728" spans="94:94" x14ac:dyDescent="0.15">
      <c r="CP6728" s="31"/>
    </row>
    <row r="6729" spans="94:94" x14ac:dyDescent="0.15">
      <c r="CP6729" s="31"/>
    </row>
    <row r="6730" spans="94:94" x14ac:dyDescent="0.15">
      <c r="CP6730" s="31"/>
    </row>
    <row r="6731" spans="94:94" x14ac:dyDescent="0.15">
      <c r="CP6731" s="31"/>
    </row>
    <row r="6732" spans="94:94" x14ac:dyDescent="0.15">
      <c r="CP6732" s="31"/>
    </row>
    <row r="6733" spans="94:94" x14ac:dyDescent="0.15">
      <c r="CP6733" s="31"/>
    </row>
    <row r="6734" spans="94:94" x14ac:dyDescent="0.15">
      <c r="CP6734" s="31"/>
    </row>
    <row r="6735" spans="94:94" x14ac:dyDescent="0.15">
      <c r="CP6735" s="31"/>
    </row>
    <row r="6736" spans="94:94" x14ac:dyDescent="0.15">
      <c r="CP6736" s="31"/>
    </row>
    <row r="6737" spans="94:94" x14ac:dyDescent="0.15">
      <c r="CP6737" s="31"/>
    </row>
    <row r="6738" spans="94:94" x14ac:dyDescent="0.15">
      <c r="CP6738" s="31"/>
    </row>
    <row r="6739" spans="94:94" x14ac:dyDescent="0.15">
      <c r="CP6739" s="31"/>
    </row>
    <row r="6740" spans="94:94" x14ac:dyDescent="0.15">
      <c r="CP6740" s="31"/>
    </row>
    <row r="6741" spans="94:94" x14ac:dyDescent="0.15">
      <c r="CP6741" s="31"/>
    </row>
    <row r="6742" spans="94:94" x14ac:dyDescent="0.15">
      <c r="CP6742" s="31"/>
    </row>
    <row r="6743" spans="94:94" x14ac:dyDescent="0.15">
      <c r="CP6743" s="31"/>
    </row>
    <row r="6744" spans="94:94" x14ac:dyDescent="0.15">
      <c r="CP6744" s="31"/>
    </row>
    <row r="6745" spans="94:94" x14ac:dyDescent="0.15">
      <c r="CP6745" s="31"/>
    </row>
    <row r="6746" spans="94:94" x14ac:dyDescent="0.15">
      <c r="CP6746" s="31"/>
    </row>
    <row r="6747" spans="94:94" x14ac:dyDescent="0.15">
      <c r="CP6747" s="31"/>
    </row>
    <row r="6748" spans="94:94" x14ac:dyDescent="0.15">
      <c r="CP6748" s="31"/>
    </row>
    <row r="6749" spans="94:94" x14ac:dyDescent="0.15">
      <c r="CP6749" s="31"/>
    </row>
    <row r="6750" spans="94:94" x14ac:dyDescent="0.15">
      <c r="CP6750" s="31"/>
    </row>
    <row r="6751" spans="94:94" x14ac:dyDescent="0.15">
      <c r="CP6751" s="31"/>
    </row>
    <row r="6752" spans="94:94" x14ac:dyDescent="0.15">
      <c r="CP6752" s="31"/>
    </row>
    <row r="6753" spans="94:94" x14ac:dyDescent="0.15">
      <c r="CP6753" s="31"/>
    </row>
    <row r="6754" spans="94:94" x14ac:dyDescent="0.15">
      <c r="CP6754" s="31"/>
    </row>
    <row r="6755" spans="94:94" x14ac:dyDescent="0.15">
      <c r="CP6755" s="31"/>
    </row>
    <row r="6756" spans="94:94" x14ac:dyDescent="0.15">
      <c r="CP6756" s="31"/>
    </row>
    <row r="6757" spans="94:94" x14ac:dyDescent="0.15">
      <c r="CP6757" s="31"/>
    </row>
    <row r="6758" spans="94:94" x14ac:dyDescent="0.15">
      <c r="CP6758" s="31"/>
    </row>
    <row r="6759" spans="94:94" x14ac:dyDescent="0.15">
      <c r="CP6759" s="31"/>
    </row>
    <row r="6760" spans="94:94" x14ac:dyDescent="0.15">
      <c r="CP6760" s="31"/>
    </row>
    <row r="6761" spans="94:94" x14ac:dyDescent="0.15">
      <c r="CP6761" s="31"/>
    </row>
    <row r="6762" spans="94:94" x14ac:dyDescent="0.15">
      <c r="CP6762" s="31"/>
    </row>
    <row r="6763" spans="94:94" x14ac:dyDescent="0.15">
      <c r="CP6763" s="31"/>
    </row>
    <row r="6764" spans="94:94" x14ac:dyDescent="0.15">
      <c r="CP6764" s="31"/>
    </row>
    <row r="6765" spans="94:94" x14ac:dyDescent="0.15">
      <c r="CP6765" s="31"/>
    </row>
    <row r="6766" spans="94:94" x14ac:dyDescent="0.15">
      <c r="CP6766" s="31"/>
    </row>
    <row r="6767" spans="94:94" x14ac:dyDescent="0.15">
      <c r="CP6767" s="31"/>
    </row>
    <row r="6768" spans="94:94" x14ac:dyDescent="0.15">
      <c r="CP6768" s="31"/>
    </row>
    <row r="6769" spans="94:94" x14ac:dyDescent="0.15">
      <c r="CP6769" s="31"/>
    </row>
    <row r="6770" spans="94:94" x14ac:dyDescent="0.15">
      <c r="CP6770" s="31"/>
    </row>
    <row r="6771" spans="94:94" x14ac:dyDescent="0.15">
      <c r="CP6771" s="31"/>
    </row>
    <row r="6772" spans="94:94" x14ac:dyDescent="0.15">
      <c r="CP6772" s="31"/>
    </row>
    <row r="6773" spans="94:94" x14ac:dyDescent="0.15">
      <c r="CP6773" s="31"/>
    </row>
    <row r="6774" spans="94:94" x14ac:dyDescent="0.15">
      <c r="CP6774" s="31"/>
    </row>
    <row r="6775" spans="94:94" x14ac:dyDescent="0.15">
      <c r="CP6775" s="31"/>
    </row>
    <row r="6776" spans="94:94" x14ac:dyDescent="0.15">
      <c r="CP6776" s="31"/>
    </row>
    <row r="6777" spans="94:94" x14ac:dyDescent="0.15">
      <c r="CP6777" s="31"/>
    </row>
    <row r="6778" spans="94:94" x14ac:dyDescent="0.15">
      <c r="CP6778" s="31"/>
    </row>
    <row r="6779" spans="94:94" x14ac:dyDescent="0.15">
      <c r="CP6779" s="31"/>
    </row>
    <row r="6780" spans="94:94" x14ac:dyDescent="0.15">
      <c r="CP6780" s="31"/>
    </row>
    <row r="6781" spans="94:94" x14ac:dyDescent="0.15">
      <c r="CP6781" s="31"/>
    </row>
    <row r="6782" spans="94:94" x14ac:dyDescent="0.15">
      <c r="CP6782" s="31"/>
    </row>
    <row r="6783" spans="94:94" x14ac:dyDescent="0.15">
      <c r="CP6783" s="31"/>
    </row>
    <row r="6784" spans="94:94" x14ac:dyDescent="0.15">
      <c r="CP6784" s="31"/>
    </row>
    <row r="6785" spans="94:94" x14ac:dyDescent="0.15">
      <c r="CP6785" s="31"/>
    </row>
    <row r="6786" spans="94:94" x14ac:dyDescent="0.15">
      <c r="CP6786" s="31"/>
    </row>
    <row r="6787" spans="94:94" x14ac:dyDescent="0.15">
      <c r="CP6787" s="31"/>
    </row>
    <row r="6788" spans="94:94" x14ac:dyDescent="0.15">
      <c r="CP6788" s="31"/>
    </row>
    <row r="6789" spans="94:94" x14ac:dyDescent="0.15">
      <c r="CP6789" s="31"/>
    </row>
    <row r="6790" spans="94:94" x14ac:dyDescent="0.15">
      <c r="CP6790" s="31"/>
    </row>
    <row r="6791" spans="94:94" x14ac:dyDescent="0.15">
      <c r="CP6791" s="31"/>
    </row>
    <row r="6792" spans="94:94" x14ac:dyDescent="0.15">
      <c r="CP6792" s="31"/>
    </row>
    <row r="6793" spans="94:94" x14ac:dyDescent="0.15">
      <c r="CP6793" s="31"/>
    </row>
    <row r="6794" spans="94:94" x14ac:dyDescent="0.15">
      <c r="CP6794" s="31"/>
    </row>
    <row r="6795" spans="94:94" x14ac:dyDescent="0.15">
      <c r="CP6795" s="31"/>
    </row>
    <row r="6796" spans="94:94" x14ac:dyDescent="0.15">
      <c r="CP6796" s="31"/>
    </row>
    <row r="6797" spans="94:94" x14ac:dyDescent="0.15">
      <c r="CP6797" s="31"/>
    </row>
    <row r="6798" spans="94:94" x14ac:dyDescent="0.15">
      <c r="CP6798" s="31"/>
    </row>
    <row r="6799" spans="94:94" x14ac:dyDescent="0.15">
      <c r="CP6799" s="31"/>
    </row>
    <row r="6800" spans="94:94" x14ac:dyDescent="0.15">
      <c r="CP6800" s="31"/>
    </row>
    <row r="6801" spans="94:94" x14ac:dyDescent="0.15">
      <c r="CP6801" s="31"/>
    </row>
    <row r="6802" spans="94:94" x14ac:dyDescent="0.15">
      <c r="CP6802" s="31"/>
    </row>
    <row r="6803" spans="94:94" x14ac:dyDescent="0.15">
      <c r="CP6803" s="31"/>
    </row>
    <row r="6804" spans="94:94" x14ac:dyDescent="0.15">
      <c r="CP6804" s="31"/>
    </row>
    <row r="6805" spans="94:94" x14ac:dyDescent="0.15">
      <c r="CP6805" s="31"/>
    </row>
    <row r="6806" spans="94:94" x14ac:dyDescent="0.15">
      <c r="CP6806" s="31"/>
    </row>
    <row r="6807" spans="94:94" x14ac:dyDescent="0.15">
      <c r="CP6807" s="31"/>
    </row>
    <row r="6808" spans="94:94" x14ac:dyDescent="0.15">
      <c r="CP6808" s="31"/>
    </row>
    <row r="6809" spans="94:94" x14ac:dyDescent="0.15">
      <c r="CP6809" s="31"/>
    </row>
    <row r="6810" spans="94:94" x14ac:dyDescent="0.15">
      <c r="CP6810" s="31"/>
    </row>
    <row r="6811" spans="94:94" x14ac:dyDescent="0.15">
      <c r="CP6811" s="31"/>
    </row>
    <row r="6812" spans="94:94" x14ac:dyDescent="0.15">
      <c r="CP6812" s="31"/>
    </row>
    <row r="6813" spans="94:94" x14ac:dyDescent="0.15">
      <c r="CP6813" s="31"/>
    </row>
    <row r="6814" spans="94:94" x14ac:dyDescent="0.15">
      <c r="CP6814" s="31"/>
    </row>
    <row r="6815" spans="94:94" x14ac:dyDescent="0.15">
      <c r="CP6815" s="31"/>
    </row>
    <row r="6816" spans="94:94" x14ac:dyDescent="0.15">
      <c r="CP6816" s="31"/>
    </row>
    <row r="6817" spans="94:94" x14ac:dyDescent="0.15">
      <c r="CP6817" s="31"/>
    </row>
    <row r="6818" spans="94:94" x14ac:dyDescent="0.15">
      <c r="CP6818" s="31"/>
    </row>
    <row r="6819" spans="94:94" x14ac:dyDescent="0.15">
      <c r="CP6819" s="31"/>
    </row>
    <row r="6820" spans="94:94" x14ac:dyDescent="0.15">
      <c r="CP6820" s="31"/>
    </row>
    <row r="6821" spans="94:94" x14ac:dyDescent="0.15">
      <c r="CP6821" s="31"/>
    </row>
    <row r="6822" spans="94:94" x14ac:dyDescent="0.15">
      <c r="CP6822" s="31"/>
    </row>
    <row r="6823" spans="94:94" x14ac:dyDescent="0.15">
      <c r="CP6823" s="31"/>
    </row>
    <row r="6824" spans="94:94" x14ac:dyDescent="0.15">
      <c r="CP6824" s="31"/>
    </row>
    <row r="6825" spans="94:94" x14ac:dyDescent="0.15">
      <c r="CP6825" s="31"/>
    </row>
    <row r="6826" spans="94:94" x14ac:dyDescent="0.15">
      <c r="CP6826" s="31"/>
    </row>
    <row r="6827" spans="94:94" x14ac:dyDescent="0.15">
      <c r="CP6827" s="31"/>
    </row>
    <row r="6828" spans="94:94" x14ac:dyDescent="0.15">
      <c r="CP6828" s="31"/>
    </row>
    <row r="6829" spans="94:94" x14ac:dyDescent="0.15">
      <c r="CP6829" s="31"/>
    </row>
    <row r="6830" spans="94:94" x14ac:dyDescent="0.15">
      <c r="CP6830" s="31"/>
    </row>
    <row r="6831" spans="94:94" x14ac:dyDescent="0.15">
      <c r="CP6831" s="31"/>
    </row>
    <row r="6832" spans="94:94" x14ac:dyDescent="0.15">
      <c r="CP6832" s="31"/>
    </row>
    <row r="6833" spans="94:94" x14ac:dyDescent="0.15">
      <c r="CP6833" s="31"/>
    </row>
    <row r="6834" spans="94:94" x14ac:dyDescent="0.15">
      <c r="CP6834" s="31"/>
    </row>
    <row r="6835" spans="94:94" x14ac:dyDescent="0.15">
      <c r="CP6835" s="31"/>
    </row>
    <row r="6836" spans="94:94" x14ac:dyDescent="0.15">
      <c r="CP6836" s="31"/>
    </row>
    <row r="6837" spans="94:94" x14ac:dyDescent="0.15">
      <c r="CP6837" s="31"/>
    </row>
    <row r="6838" spans="94:94" x14ac:dyDescent="0.15">
      <c r="CP6838" s="31"/>
    </row>
    <row r="6839" spans="94:94" x14ac:dyDescent="0.15">
      <c r="CP6839" s="31"/>
    </row>
    <row r="6840" spans="94:94" x14ac:dyDescent="0.15">
      <c r="CP6840" s="31"/>
    </row>
    <row r="6841" spans="94:94" x14ac:dyDescent="0.15">
      <c r="CP6841" s="31"/>
    </row>
    <row r="6842" spans="94:94" x14ac:dyDescent="0.15">
      <c r="CP6842" s="31"/>
    </row>
    <row r="6843" spans="94:94" x14ac:dyDescent="0.15">
      <c r="CP6843" s="31"/>
    </row>
    <row r="6844" spans="94:94" x14ac:dyDescent="0.15">
      <c r="CP6844" s="31"/>
    </row>
    <row r="6845" spans="94:94" x14ac:dyDescent="0.15">
      <c r="CP6845" s="31"/>
    </row>
    <row r="6846" spans="94:94" x14ac:dyDescent="0.15">
      <c r="CP6846" s="31"/>
    </row>
    <row r="6847" spans="94:94" x14ac:dyDescent="0.15">
      <c r="CP6847" s="31"/>
    </row>
    <row r="6848" spans="94:94" x14ac:dyDescent="0.15">
      <c r="CP6848" s="31"/>
    </row>
    <row r="6849" spans="94:94" x14ac:dyDescent="0.15">
      <c r="CP6849" s="31"/>
    </row>
    <row r="6850" spans="94:94" x14ac:dyDescent="0.15">
      <c r="CP6850" s="31"/>
    </row>
    <row r="6851" spans="94:94" x14ac:dyDescent="0.15">
      <c r="CP6851" s="31"/>
    </row>
    <row r="6852" spans="94:94" x14ac:dyDescent="0.15">
      <c r="CP6852" s="31"/>
    </row>
    <row r="6853" spans="94:94" x14ac:dyDescent="0.15">
      <c r="CP6853" s="31"/>
    </row>
    <row r="6854" spans="94:94" x14ac:dyDescent="0.15">
      <c r="CP6854" s="31"/>
    </row>
    <row r="6855" spans="94:94" x14ac:dyDescent="0.15">
      <c r="CP6855" s="31"/>
    </row>
    <row r="6856" spans="94:94" x14ac:dyDescent="0.15">
      <c r="CP6856" s="31"/>
    </row>
    <row r="6857" spans="94:94" x14ac:dyDescent="0.15">
      <c r="CP6857" s="31"/>
    </row>
    <row r="6858" spans="94:94" x14ac:dyDescent="0.15">
      <c r="CP6858" s="31"/>
    </row>
    <row r="6859" spans="94:94" x14ac:dyDescent="0.15">
      <c r="CP6859" s="31"/>
    </row>
    <row r="6860" spans="94:94" x14ac:dyDescent="0.15">
      <c r="CP6860" s="31"/>
    </row>
    <row r="6861" spans="94:94" x14ac:dyDescent="0.15">
      <c r="CP6861" s="31"/>
    </row>
    <row r="6862" spans="94:94" x14ac:dyDescent="0.15">
      <c r="CP6862" s="31"/>
    </row>
    <row r="6863" spans="94:94" x14ac:dyDescent="0.15">
      <c r="CP6863" s="31"/>
    </row>
    <row r="6864" spans="94:94" x14ac:dyDescent="0.15">
      <c r="CP6864" s="31"/>
    </row>
    <row r="6865" spans="94:94" x14ac:dyDescent="0.15">
      <c r="CP6865" s="31"/>
    </row>
    <row r="6866" spans="94:94" x14ac:dyDescent="0.15">
      <c r="CP6866" s="31"/>
    </row>
    <row r="6867" spans="94:94" x14ac:dyDescent="0.15">
      <c r="CP6867" s="31"/>
    </row>
    <row r="6868" spans="94:94" x14ac:dyDescent="0.15">
      <c r="CP6868" s="31"/>
    </row>
    <row r="6869" spans="94:94" x14ac:dyDescent="0.15">
      <c r="CP6869" s="31"/>
    </row>
    <row r="6870" spans="94:94" x14ac:dyDescent="0.15">
      <c r="CP6870" s="31"/>
    </row>
    <row r="6871" spans="94:94" x14ac:dyDescent="0.15">
      <c r="CP6871" s="31"/>
    </row>
    <row r="6872" spans="94:94" x14ac:dyDescent="0.15">
      <c r="CP6872" s="31"/>
    </row>
    <row r="6873" spans="94:94" x14ac:dyDescent="0.15">
      <c r="CP6873" s="31"/>
    </row>
    <row r="6874" spans="94:94" x14ac:dyDescent="0.15">
      <c r="CP6874" s="31"/>
    </row>
    <row r="6875" spans="94:94" x14ac:dyDescent="0.15">
      <c r="CP6875" s="31"/>
    </row>
    <row r="6876" spans="94:94" x14ac:dyDescent="0.15">
      <c r="CP6876" s="31"/>
    </row>
    <row r="6877" spans="94:94" x14ac:dyDescent="0.15">
      <c r="CP6877" s="31"/>
    </row>
    <row r="6878" spans="94:94" x14ac:dyDescent="0.15">
      <c r="CP6878" s="31"/>
    </row>
    <row r="6879" spans="94:94" x14ac:dyDescent="0.15">
      <c r="CP6879" s="31"/>
    </row>
    <row r="6880" spans="94:94" x14ac:dyDescent="0.15">
      <c r="CP6880" s="31"/>
    </row>
    <row r="6881" spans="94:94" x14ac:dyDescent="0.15">
      <c r="CP6881" s="31"/>
    </row>
    <row r="6882" spans="94:94" x14ac:dyDescent="0.15">
      <c r="CP6882" s="31"/>
    </row>
    <row r="6883" spans="94:94" x14ac:dyDescent="0.15">
      <c r="CP6883" s="31"/>
    </row>
    <row r="6884" spans="94:94" x14ac:dyDescent="0.15">
      <c r="CP6884" s="31"/>
    </row>
    <row r="6885" spans="94:94" x14ac:dyDescent="0.15">
      <c r="CP6885" s="31"/>
    </row>
    <row r="6886" spans="94:94" x14ac:dyDescent="0.15">
      <c r="CP6886" s="31"/>
    </row>
    <row r="6887" spans="94:94" x14ac:dyDescent="0.15">
      <c r="CP6887" s="31"/>
    </row>
    <row r="6888" spans="94:94" x14ac:dyDescent="0.15">
      <c r="CP6888" s="31"/>
    </row>
    <row r="6889" spans="94:94" x14ac:dyDescent="0.15">
      <c r="CP6889" s="31"/>
    </row>
    <row r="6890" spans="94:94" x14ac:dyDescent="0.15">
      <c r="CP6890" s="31"/>
    </row>
    <row r="6891" spans="94:94" x14ac:dyDescent="0.15">
      <c r="CP6891" s="31"/>
    </row>
    <row r="6892" spans="94:94" x14ac:dyDescent="0.15">
      <c r="CP6892" s="31"/>
    </row>
    <row r="6893" spans="94:94" x14ac:dyDescent="0.15">
      <c r="CP6893" s="31"/>
    </row>
    <row r="6894" spans="94:94" x14ac:dyDescent="0.15">
      <c r="CP6894" s="31"/>
    </row>
    <row r="6895" spans="94:94" x14ac:dyDescent="0.15">
      <c r="CP6895" s="31"/>
    </row>
    <row r="6896" spans="94:94" x14ac:dyDescent="0.15">
      <c r="CP6896" s="31"/>
    </row>
    <row r="6897" spans="94:94" x14ac:dyDescent="0.15">
      <c r="CP6897" s="31"/>
    </row>
    <row r="6898" spans="94:94" x14ac:dyDescent="0.15">
      <c r="CP6898" s="31"/>
    </row>
    <row r="6899" spans="94:94" x14ac:dyDescent="0.15">
      <c r="CP6899" s="31"/>
    </row>
    <row r="6900" spans="94:94" x14ac:dyDescent="0.15">
      <c r="CP6900" s="31"/>
    </row>
    <row r="6901" spans="94:94" x14ac:dyDescent="0.15">
      <c r="CP6901" s="31"/>
    </row>
    <row r="6902" spans="94:94" x14ac:dyDescent="0.15">
      <c r="CP6902" s="31"/>
    </row>
    <row r="6903" spans="94:94" x14ac:dyDescent="0.15">
      <c r="CP6903" s="31"/>
    </row>
    <row r="6904" spans="94:94" x14ac:dyDescent="0.15">
      <c r="CP6904" s="31"/>
    </row>
    <row r="6905" spans="94:94" x14ac:dyDescent="0.15">
      <c r="CP6905" s="31"/>
    </row>
    <row r="6906" spans="94:94" x14ac:dyDescent="0.15">
      <c r="CP6906" s="31"/>
    </row>
    <row r="6907" spans="94:94" x14ac:dyDescent="0.15">
      <c r="CP6907" s="31"/>
    </row>
    <row r="6908" spans="94:94" x14ac:dyDescent="0.15">
      <c r="CP6908" s="31"/>
    </row>
    <row r="6909" spans="94:94" x14ac:dyDescent="0.15">
      <c r="CP6909" s="31"/>
    </row>
    <row r="6910" spans="94:94" x14ac:dyDescent="0.15">
      <c r="CP6910" s="31"/>
    </row>
    <row r="6911" spans="94:94" x14ac:dyDescent="0.15">
      <c r="CP6911" s="31"/>
    </row>
    <row r="6912" spans="94:94" x14ac:dyDescent="0.15">
      <c r="CP6912" s="31"/>
    </row>
    <row r="6913" spans="94:94" x14ac:dyDescent="0.15">
      <c r="CP6913" s="31"/>
    </row>
    <row r="6914" spans="94:94" x14ac:dyDescent="0.15">
      <c r="CP6914" s="31"/>
    </row>
    <row r="6915" spans="94:94" x14ac:dyDescent="0.15">
      <c r="CP6915" s="31"/>
    </row>
    <row r="6916" spans="94:94" x14ac:dyDescent="0.15">
      <c r="CP6916" s="31"/>
    </row>
    <row r="6917" spans="94:94" x14ac:dyDescent="0.15">
      <c r="CP6917" s="31"/>
    </row>
    <row r="6918" spans="94:94" x14ac:dyDescent="0.15">
      <c r="CP6918" s="31"/>
    </row>
    <row r="6919" spans="94:94" x14ac:dyDescent="0.15">
      <c r="CP6919" s="31"/>
    </row>
    <row r="6920" spans="94:94" x14ac:dyDescent="0.15">
      <c r="CP6920" s="31"/>
    </row>
    <row r="6921" spans="94:94" x14ac:dyDescent="0.15">
      <c r="CP6921" s="31"/>
    </row>
    <row r="6922" spans="94:94" x14ac:dyDescent="0.15">
      <c r="CP6922" s="31"/>
    </row>
    <row r="6923" spans="94:94" x14ac:dyDescent="0.15">
      <c r="CP6923" s="31"/>
    </row>
    <row r="6924" spans="94:94" x14ac:dyDescent="0.15">
      <c r="CP6924" s="31"/>
    </row>
    <row r="6925" spans="94:94" x14ac:dyDescent="0.15">
      <c r="CP6925" s="31"/>
    </row>
    <row r="6926" spans="94:94" x14ac:dyDescent="0.15">
      <c r="CP6926" s="31"/>
    </row>
    <row r="6927" spans="94:94" x14ac:dyDescent="0.15">
      <c r="CP6927" s="31"/>
    </row>
    <row r="6928" spans="94:94" x14ac:dyDescent="0.15">
      <c r="CP6928" s="31"/>
    </row>
    <row r="6929" spans="94:94" x14ac:dyDescent="0.15">
      <c r="CP6929" s="31"/>
    </row>
    <row r="6930" spans="94:94" x14ac:dyDescent="0.15">
      <c r="CP6930" s="31"/>
    </row>
    <row r="6931" spans="94:94" x14ac:dyDescent="0.15">
      <c r="CP6931" s="31"/>
    </row>
    <row r="6932" spans="94:94" x14ac:dyDescent="0.15">
      <c r="CP6932" s="31"/>
    </row>
    <row r="6933" spans="94:94" x14ac:dyDescent="0.15">
      <c r="CP6933" s="31"/>
    </row>
    <row r="6934" spans="94:94" x14ac:dyDescent="0.15">
      <c r="CP6934" s="31"/>
    </row>
    <row r="6935" spans="94:94" x14ac:dyDescent="0.15">
      <c r="CP6935" s="31"/>
    </row>
    <row r="6936" spans="94:94" x14ac:dyDescent="0.15">
      <c r="CP6936" s="31"/>
    </row>
    <row r="6937" spans="94:94" x14ac:dyDescent="0.15">
      <c r="CP6937" s="31"/>
    </row>
    <row r="6938" spans="94:94" x14ac:dyDescent="0.15">
      <c r="CP6938" s="31"/>
    </row>
    <row r="6939" spans="94:94" x14ac:dyDescent="0.15">
      <c r="CP6939" s="31"/>
    </row>
    <row r="6940" spans="94:94" x14ac:dyDescent="0.15">
      <c r="CP6940" s="31"/>
    </row>
    <row r="6941" spans="94:94" x14ac:dyDescent="0.15">
      <c r="CP6941" s="31"/>
    </row>
    <row r="6942" spans="94:94" x14ac:dyDescent="0.15">
      <c r="CP6942" s="31"/>
    </row>
    <row r="6943" spans="94:94" x14ac:dyDescent="0.15">
      <c r="CP6943" s="31"/>
    </row>
    <row r="6944" spans="94:94" x14ac:dyDescent="0.15">
      <c r="CP6944" s="31"/>
    </row>
    <row r="6945" spans="94:94" x14ac:dyDescent="0.15">
      <c r="CP6945" s="31"/>
    </row>
    <row r="6946" spans="94:94" x14ac:dyDescent="0.15">
      <c r="CP6946" s="31"/>
    </row>
    <row r="6947" spans="94:94" x14ac:dyDescent="0.15">
      <c r="CP6947" s="31"/>
    </row>
    <row r="6948" spans="94:94" x14ac:dyDescent="0.15">
      <c r="CP6948" s="31"/>
    </row>
    <row r="6949" spans="94:94" x14ac:dyDescent="0.15">
      <c r="CP6949" s="31"/>
    </row>
    <row r="6950" spans="94:94" x14ac:dyDescent="0.15">
      <c r="CP6950" s="31"/>
    </row>
    <row r="6951" spans="94:94" x14ac:dyDescent="0.15">
      <c r="CP6951" s="31"/>
    </row>
    <row r="6952" spans="94:94" x14ac:dyDescent="0.15">
      <c r="CP6952" s="31"/>
    </row>
    <row r="6953" spans="94:94" x14ac:dyDescent="0.15">
      <c r="CP6953" s="31"/>
    </row>
    <row r="6954" spans="94:94" x14ac:dyDescent="0.15">
      <c r="CP6954" s="31"/>
    </row>
    <row r="6955" spans="94:94" x14ac:dyDescent="0.15">
      <c r="CP6955" s="31"/>
    </row>
    <row r="6956" spans="94:94" x14ac:dyDescent="0.15">
      <c r="CP6956" s="31"/>
    </row>
    <row r="6957" spans="94:94" x14ac:dyDescent="0.15">
      <c r="CP6957" s="31"/>
    </row>
    <row r="6958" spans="94:94" x14ac:dyDescent="0.15">
      <c r="CP6958" s="31"/>
    </row>
    <row r="6959" spans="94:94" x14ac:dyDescent="0.15">
      <c r="CP6959" s="31"/>
    </row>
    <row r="6960" spans="94:94" x14ac:dyDescent="0.15">
      <c r="CP6960" s="31"/>
    </row>
    <row r="6961" spans="94:94" x14ac:dyDescent="0.15">
      <c r="CP6961" s="31"/>
    </row>
    <row r="6962" spans="94:94" x14ac:dyDescent="0.15">
      <c r="CP6962" s="31"/>
    </row>
    <row r="6963" spans="94:94" x14ac:dyDescent="0.15">
      <c r="CP6963" s="31"/>
    </row>
    <row r="6964" spans="94:94" x14ac:dyDescent="0.15">
      <c r="CP6964" s="31"/>
    </row>
    <row r="6965" spans="94:94" x14ac:dyDescent="0.15">
      <c r="CP6965" s="31"/>
    </row>
    <row r="6966" spans="94:94" x14ac:dyDescent="0.15">
      <c r="CP6966" s="31"/>
    </row>
    <row r="6967" spans="94:94" x14ac:dyDescent="0.15">
      <c r="CP6967" s="31"/>
    </row>
    <row r="6968" spans="94:94" x14ac:dyDescent="0.15">
      <c r="CP6968" s="31"/>
    </row>
    <row r="6969" spans="94:94" x14ac:dyDescent="0.15">
      <c r="CP6969" s="31"/>
    </row>
    <row r="6970" spans="94:94" x14ac:dyDescent="0.15">
      <c r="CP6970" s="31"/>
    </row>
    <row r="6971" spans="94:94" x14ac:dyDescent="0.15">
      <c r="CP6971" s="31"/>
    </row>
    <row r="6972" spans="94:94" x14ac:dyDescent="0.15">
      <c r="CP6972" s="31"/>
    </row>
    <row r="6973" spans="94:94" x14ac:dyDescent="0.15">
      <c r="CP6973" s="31"/>
    </row>
    <row r="6974" spans="94:94" x14ac:dyDescent="0.15">
      <c r="CP6974" s="31"/>
    </row>
    <row r="6975" spans="94:94" x14ac:dyDescent="0.15">
      <c r="CP6975" s="31"/>
    </row>
    <row r="6976" spans="94:94" x14ac:dyDescent="0.15">
      <c r="CP6976" s="31"/>
    </row>
    <row r="6977" spans="94:94" x14ac:dyDescent="0.15">
      <c r="CP6977" s="31"/>
    </row>
    <row r="6978" spans="94:94" x14ac:dyDescent="0.15">
      <c r="CP6978" s="31"/>
    </row>
    <row r="6979" spans="94:94" x14ac:dyDescent="0.15">
      <c r="CP6979" s="31"/>
    </row>
    <row r="6980" spans="94:94" x14ac:dyDescent="0.15">
      <c r="CP6980" s="31"/>
    </row>
    <row r="6981" spans="94:94" x14ac:dyDescent="0.15">
      <c r="CP6981" s="31"/>
    </row>
    <row r="6982" spans="94:94" x14ac:dyDescent="0.15">
      <c r="CP6982" s="31"/>
    </row>
    <row r="6983" spans="94:94" x14ac:dyDescent="0.15">
      <c r="CP6983" s="31"/>
    </row>
    <row r="6984" spans="94:94" x14ac:dyDescent="0.15">
      <c r="CP6984" s="31"/>
    </row>
    <row r="6985" spans="94:94" x14ac:dyDescent="0.15">
      <c r="CP6985" s="31"/>
    </row>
    <row r="6986" spans="94:94" x14ac:dyDescent="0.15">
      <c r="CP6986" s="31"/>
    </row>
    <row r="6987" spans="94:94" x14ac:dyDescent="0.15">
      <c r="CP6987" s="31"/>
    </row>
    <row r="6988" spans="94:94" x14ac:dyDescent="0.15">
      <c r="CP6988" s="31"/>
    </row>
    <row r="6989" spans="94:94" x14ac:dyDescent="0.15">
      <c r="CP6989" s="31"/>
    </row>
    <row r="6990" spans="94:94" x14ac:dyDescent="0.15">
      <c r="CP6990" s="31"/>
    </row>
    <row r="6991" spans="94:94" x14ac:dyDescent="0.15">
      <c r="CP6991" s="31"/>
    </row>
    <row r="6992" spans="94:94" x14ac:dyDescent="0.15">
      <c r="CP6992" s="31"/>
    </row>
    <row r="6993" spans="94:94" x14ac:dyDescent="0.15">
      <c r="CP6993" s="31"/>
    </row>
    <row r="6994" spans="94:94" x14ac:dyDescent="0.15">
      <c r="CP6994" s="31"/>
    </row>
    <row r="6995" spans="94:94" x14ac:dyDescent="0.15">
      <c r="CP6995" s="31"/>
    </row>
    <row r="6996" spans="94:94" x14ac:dyDescent="0.15">
      <c r="CP6996" s="31"/>
    </row>
    <row r="6997" spans="94:94" x14ac:dyDescent="0.15">
      <c r="CP6997" s="31"/>
    </row>
    <row r="6998" spans="94:94" x14ac:dyDescent="0.15">
      <c r="CP6998" s="31"/>
    </row>
    <row r="6999" spans="94:94" x14ac:dyDescent="0.15">
      <c r="CP6999" s="31"/>
    </row>
    <row r="7000" spans="94:94" x14ac:dyDescent="0.15">
      <c r="CP7000" s="31"/>
    </row>
    <row r="7001" spans="94:94" x14ac:dyDescent="0.15">
      <c r="CP7001" s="31"/>
    </row>
    <row r="7002" spans="94:94" x14ac:dyDescent="0.15">
      <c r="CP7002" s="31"/>
    </row>
    <row r="7003" spans="94:94" x14ac:dyDescent="0.15">
      <c r="CP7003" s="31"/>
    </row>
    <row r="7004" spans="94:94" x14ac:dyDescent="0.15">
      <c r="CP7004" s="31"/>
    </row>
    <row r="7005" spans="94:94" x14ac:dyDescent="0.15">
      <c r="CP7005" s="31"/>
    </row>
    <row r="7006" spans="94:94" x14ac:dyDescent="0.15">
      <c r="CP7006" s="31"/>
    </row>
    <row r="7007" spans="94:94" x14ac:dyDescent="0.15">
      <c r="CP7007" s="31"/>
    </row>
    <row r="7008" spans="94:94" x14ac:dyDescent="0.15">
      <c r="CP7008" s="31"/>
    </row>
    <row r="7009" spans="94:94" x14ac:dyDescent="0.15">
      <c r="CP7009" s="31"/>
    </row>
    <row r="7010" spans="94:94" x14ac:dyDescent="0.15">
      <c r="CP7010" s="31"/>
    </row>
    <row r="7011" spans="94:94" x14ac:dyDescent="0.15">
      <c r="CP7011" s="31"/>
    </row>
    <row r="7012" spans="94:94" x14ac:dyDescent="0.15">
      <c r="CP7012" s="31"/>
    </row>
    <row r="7013" spans="94:94" x14ac:dyDescent="0.15">
      <c r="CP7013" s="31"/>
    </row>
    <row r="7014" spans="94:94" x14ac:dyDescent="0.15">
      <c r="CP7014" s="31"/>
    </row>
    <row r="7015" spans="94:94" x14ac:dyDescent="0.15">
      <c r="CP7015" s="31"/>
    </row>
    <row r="7016" spans="94:94" x14ac:dyDescent="0.15">
      <c r="CP7016" s="31"/>
    </row>
    <row r="7017" spans="94:94" x14ac:dyDescent="0.15">
      <c r="CP7017" s="31"/>
    </row>
    <row r="7018" spans="94:94" x14ac:dyDescent="0.15">
      <c r="CP7018" s="31"/>
    </row>
    <row r="7019" spans="94:94" x14ac:dyDescent="0.15">
      <c r="CP7019" s="31"/>
    </row>
    <row r="7020" spans="94:94" x14ac:dyDescent="0.15">
      <c r="CP7020" s="31"/>
    </row>
    <row r="7021" spans="94:94" x14ac:dyDescent="0.15">
      <c r="CP7021" s="31"/>
    </row>
    <row r="7022" spans="94:94" x14ac:dyDescent="0.15">
      <c r="CP7022" s="31"/>
    </row>
    <row r="7023" spans="94:94" x14ac:dyDescent="0.15">
      <c r="CP7023" s="31"/>
    </row>
    <row r="7024" spans="94:94" x14ac:dyDescent="0.15">
      <c r="CP7024" s="31"/>
    </row>
    <row r="7025" spans="94:94" x14ac:dyDescent="0.15">
      <c r="CP7025" s="31"/>
    </row>
    <row r="7026" spans="94:94" x14ac:dyDescent="0.15">
      <c r="CP7026" s="31"/>
    </row>
    <row r="7027" spans="94:94" x14ac:dyDescent="0.15">
      <c r="CP7027" s="31"/>
    </row>
    <row r="7028" spans="94:94" x14ac:dyDescent="0.15">
      <c r="CP7028" s="31"/>
    </row>
    <row r="7029" spans="94:94" x14ac:dyDescent="0.15">
      <c r="CP7029" s="31"/>
    </row>
    <row r="7030" spans="94:94" x14ac:dyDescent="0.15">
      <c r="CP7030" s="31"/>
    </row>
    <row r="7031" spans="94:94" x14ac:dyDescent="0.15">
      <c r="CP7031" s="31"/>
    </row>
    <row r="7032" spans="94:94" x14ac:dyDescent="0.15">
      <c r="CP7032" s="31"/>
    </row>
    <row r="7033" spans="94:94" x14ac:dyDescent="0.15">
      <c r="CP7033" s="31"/>
    </row>
    <row r="7034" spans="94:94" x14ac:dyDescent="0.15">
      <c r="CP7034" s="31"/>
    </row>
    <row r="7035" spans="94:94" x14ac:dyDescent="0.15">
      <c r="CP7035" s="31"/>
    </row>
    <row r="7036" spans="94:94" x14ac:dyDescent="0.15">
      <c r="CP7036" s="31"/>
    </row>
    <row r="7037" spans="94:94" x14ac:dyDescent="0.15">
      <c r="CP7037" s="31"/>
    </row>
    <row r="7038" spans="94:94" x14ac:dyDescent="0.15">
      <c r="CP7038" s="31"/>
    </row>
    <row r="7039" spans="94:94" x14ac:dyDescent="0.15">
      <c r="CP7039" s="31"/>
    </row>
    <row r="7040" spans="94:94" x14ac:dyDescent="0.15">
      <c r="CP7040" s="31"/>
    </row>
    <row r="7041" spans="94:94" x14ac:dyDescent="0.15">
      <c r="CP7041" s="31"/>
    </row>
    <row r="7042" spans="94:94" x14ac:dyDescent="0.15">
      <c r="CP7042" s="31"/>
    </row>
    <row r="7043" spans="94:94" x14ac:dyDescent="0.15">
      <c r="CP7043" s="31"/>
    </row>
    <row r="7044" spans="94:94" x14ac:dyDescent="0.15">
      <c r="CP7044" s="31"/>
    </row>
    <row r="7045" spans="94:94" x14ac:dyDescent="0.15">
      <c r="CP7045" s="31"/>
    </row>
    <row r="7046" spans="94:94" x14ac:dyDescent="0.15">
      <c r="CP7046" s="31"/>
    </row>
    <row r="7047" spans="94:94" x14ac:dyDescent="0.15">
      <c r="CP7047" s="31"/>
    </row>
    <row r="7048" spans="94:94" x14ac:dyDescent="0.15">
      <c r="CP7048" s="31"/>
    </row>
    <row r="7049" spans="94:94" x14ac:dyDescent="0.15">
      <c r="CP7049" s="31"/>
    </row>
    <row r="7050" spans="94:94" x14ac:dyDescent="0.15">
      <c r="CP7050" s="31"/>
    </row>
    <row r="7051" spans="94:94" x14ac:dyDescent="0.15">
      <c r="CP7051" s="31"/>
    </row>
    <row r="7052" spans="94:94" x14ac:dyDescent="0.15">
      <c r="CP7052" s="31"/>
    </row>
    <row r="7053" spans="94:94" x14ac:dyDescent="0.15">
      <c r="CP7053" s="31"/>
    </row>
    <row r="7054" spans="94:94" x14ac:dyDescent="0.15">
      <c r="CP7054" s="31"/>
    </row>
    <row r="7055" spans="94:94" x14ac:dyDescent="0.15">
      <c r="CP7055" s="31"/>
    </row>
    <row r="7056" spans="94:94" x14ac:dyDescent="0.15">
      <c r="CP7056" s="31"/>
    </row>
    <row r="7057" spans="94:94" x14ac:dyDescent="0.15">
      <c r="CP7057" s="31"/>
    </row>
    <row r="7058" spans="94:94" x14ac:dyDescent="0.15">
      <c r="CP7058" s="31"/>
    </row>
    <row r="7059" spans="94:94" x14ac:dyDescent="0.15">
      <c r="CP7059" s="31"/>
    </row>
    <row r="7060" spans="94:94" x14ac:dyDescent="0.15">
      <c r="CP7060" s="31"/>
    </row>
    <row r="7061" spans="94:94" x14ac:dyDescent="0.15">
      <c r="CP7061" s="31"/>
    </row>
    <row r="7062" spans="94:94" x14ac:dyDescent="0.15">
      <c r="CP7062" s="31"/>
    </row>
    <row r="7063" spans="94:94" x14ac:dyDescent="0.15">
      <c r="CP7063" s="31"/>
    </row>
    <row r="7064" spans="94:94" x14ac:dyDescent="0.15">
      <c r="CP7064" s="31"/>
    </row>
    <row r="7065" spans="94:94" x14ac:dyDescent="0.15">
      <c r="CP7065" s="31"/>
    </row>
    <row r="7066" spans="94:94" x14ac:dyDescent="0.15">
      <c r="CP7066" s="31"/>
    </row>
    <row r="7067" spans="94:94" x14ac:dyDescent="0.15">
      <c r="CP7067" s="31"/>
    </row>
    <row r="7068" spans="94:94" x14ac:dyDescent="0.15">
      <c r="CP7068" s="31"/>
    </row>
    <row r="7069" spans="94:94" x14ac:dyDescent="0.15">
      <c r="CP7069" s="31"/>
    </row>
    <row r="7070" spans="94:94" x14ac:dyDescent="0.15">
      <c r="CP7070" s="31"/>
    </row>
    <row r="7071" spans="94:94" x14ac:dyDescent="0.15">
      <c r="CP7071" s="31"/>
    </row>
    <row r="7072" spans="94:94" x14ac:dyDescent="0.15">
      <c r="CP7072" s="31"/>
    </row>
    <row r="7073" spans="94:94" x14ac:dyDescent="0.15">
      <c r="CP7073" s="31"/>
    </row>
    <row r="7074" spans="94:94" x14ac:dyDescent="0.15">
      <c r="CP7074" s="31"/>
    </row>
    <row r="7075" spans="94:94" x14ac:dyDescent="0.15">
      <c r="CP7075" s="31"/>
    </row>
    <row r="7076" spans="94:94" x14ac:dyDescent="0.15">
      <c r="CP7076" s="31"/>
    </row>
    <row r="7077" spans="94:94" x14ac:dyDescent="0.15">
      <c r="CP7077" s="31"/>
    </row>
    <row r="7078" spans="94:94" x14ac:dyDescent="0.15">
      <c r="CP7078" s="31"/>
    </row>
    <row r="7079" spans="94:94" x14ac:dyDescent="0.15">
      <c r="CP7079" s="31"/>
    </row>
    <row r="7080" spans="94:94" x14ac:dyDescent="0.15">
      <c r="CP7080" s="31"/>
    </row>
    <row r="7081" spans="94:94" x14ac:dyDescent="0.15">
      <c r="CP7081" s="31"/>
    </row>
    <row r="7082" spans="94:94" x14ac:dyDescent="0.15">
      <c r="CP7082" s="31"/>
    </row>
    <row r="7083" spans="94:94" x14ac:dyDescent="0.15">
      <c r="CP7083" s="31"/>
    </row>
    <row r="7084" spans="94:94" x14ac:dyDescent="0.15">
      <c r="CP7084" s="31"/>
    </row>
    <row r="7085" spans="94:94" x14ac:dyDescent="0.15">
      <c r="CP7085" s="31"/>
    </row>
    <row r="7086" spans="94:94" x14ac:dyDescent="0.15">
      <c r="CP7086" s="31"/>
    </row>
    <row r="7087" spans="94:94" x14ac:dyDescent="0.15">
      <c r="CP7087" s="31"/>
    </row>
    <row r="7088" spans="94:94" x14ac:dyDescent="0.15">
      <c r="CP7088" s="31"/>
    </row>
    <row r="7089" spans="94:94" x14ac:dyDescent="0.15">
      <c r="CP7089" s="31"/>
    </row>
    <row r="7090" spans="94:94" x14ac:dyDescent="0.15">
      <c r="CP7090" s="31"/>
    </row>
    <row r="7091" spans="94:94" x14ac:dyDescent="0.15">
      <c r="CP7091" s="31"/>
    </row>
    <row r="7092" spans="94:94" x14ac:dyDescent="0.15">
      <c r="CP7092" s="31"/>
    </row>
    <row r="7093" spans="94:94" x14ac:dyDescent="0.15">
      <c r="CP7093" s="31"/>
    </row>
    <row r="7094" spans="94:94" x14ac:dyDescent="0.15">
      <c r="CP7094" s="31"/>
    </row>
    <row r="7095" spans="94:94" x14ac:dyDescent="0.15">
      <c r="CP7095" s="31"/>
    </row>
    <row r="7096" spans="94:94" x14ac:dyDescent="0.15">
      <c r="CP7096" s="31"/>
    </row>
    <row r="7097" spans="94:94" x14ac:dyDescent="0.15">
      <c r="CP7097" s="31"/>
    </row>
    <row r="7098" spans="94:94" x14ac:dyDescent="0.15">
      <c r="CP7098" s="31"/>
    </row>
    <row r="7099" spans="94:94" x14ac:dyDescent="0.15">
      <c r="CP7099" s="31"/>
    </row>
    <row r="7100" spans="94:94" x14ac:dyDescent="0.15">
      <c r="CP7100" s="31"/>
    </row>
    <row r="7101" spans="94:94" x14ac:dyDescent="0.15">
      <c r="CP7101" s="31"/>
    </row>
    <row r="7102" spans="94:94" x14ac:dyDescent="0.15">
      <c r="CP7102" s="31"/>
    </row>
    <row r="7103" spans="94:94" x14ac:dyDescent="0.15">
      <c r="CP7103" s="31"/>
    </row>
    <row r="7104" spans="94:94" x14ac:dyDescent="0.15">
      <c r="CP7104" s="31"/>
    </row>
    <row r="7105" spans="94:94" x14ac:dyDescent="0.15">
      <c r="CP7105" s="31"/>
    </row>
    <row r="7106" spans="94:94" x14ac:dyDescent="0.15">
      <c r="CP7106" s="31"/>
    </row>
    <row r="7107" spans="94:94" x14ac:dyDescent="0.15">
      <c r="CP7107" s="31"/>
    </row>
    <row r="7108" spans="94:94" x14ac:dyDescent="0.15">
      <c r="CP7108" s="31"/>
    </row>
    <row r="7109" spans="94:94" x14ac:dyDescent="0.15">
      <c r="CP7109" s="31"/>
    </row>
    <row r="7110" spans="94:94" x14ac:dyDescent="0.15">
      <c r="CP7110" s="31"/>
    </row>
    <row r="7111" spans="94:94" x14ac:dyDescent="0.15">
      <c r="CP7111" s="31"/>
    </row>
    <row r="7112" spans="94:94" x14ac:dyDescent="0.15">
      <c r="CP7112" s="31"/>
    </row>
    <row r="7113" spans="94:94" x14ac:dyDescent="0.15">
      <c r="CP7113" s="31"/>
    </row>
    <row r="7114" spans="94:94" x14ac:dyDescent="0.15">
      <c r="CP7114" s="31"/>
    </row>
    <row r="7115" spans="94:94" x14ac:dyDescent="0.15">
      <c r="CP7115" s="31"/>
    </row>
    <row r="7116" spans="94:94" x14ac:dyDescent="0.15">
      <c r="CP7116" s="31"/>
    </row>
    <row r="7117" spans="94:94" x14ac:dyDescent="0.15">
      <c r="CP7117" s="31"/>
    </row>
    <row r="7118" spans="94:94" x14ac:dyDescent="0.15">
      <c r="CP7118" s="31"/>
    </row>
    <row r="7119" spans="94:94" x14ac:dyDescent="0.15">
      <c r="CP7119" s="31"/>
    </row>
    <row r="7120" spans="94:94" x14ac:dyDescent="0.15">
      <c r="CP7120" s="31"/>
    </row>
    <row r="7121" spans="94:94" x14ac:dyDescent="0.15">
      <c r="CP7121" s="31"/>
    </row>
    <row r="7122" spans="94:94" x14ac:dyDescent="0.15">
      <c r="CP7122" s="31"/>
    </row>
    <row r="7123" spans="94:94" x14ac:dyDescent="0.15">
      <c r="CP7123" s="31"/>
    </row>
    <row r="7124" spans="94:94" x14ac:dyDescent="0.15">
      <c r="CP7124" s="31"/>
    </row>
    <row r="7125" spans="94:94" x14ac:dyDescent="0.15">
      <c r="CP7125" s="31"/>
    </row>
    <row r="7126" spans="94:94" x14ac:dyDescent="0.15">
      <c r="CP7126" s="31"/>
    </row>
    <row r="7127" spans="94:94" x14ac:dyDescent="0.15">
      <c r="CP7127" s="31"/>
    </row>
    <row r="7128" spans="94:94" x14ac:dyDescent="0.15">
      <c r="CP7128" s="31"/>
    </row>
    <row r="7129" spans="94:94" x14ac:dyDescent="0.15">
      <c r="CP7129" s="31"/>
    </row>
    <row r="7130" spans="94:94" x14ac:dyDescent="0.15">
      <c r="CP7130" s="31"/>
    </row>
    <row r="7131" spans="94:94" x14ac:dyDescent="0.15">
      <c r="CP7131" s="31"/>
    </row>
    <row r="7132" spans="94:94" x14ac:dyDescent="0.15">
      <c r="CP7132" s="31"/>
    </row>
    <row r="7133" spans="94:94" x14ac:dyDescent="0.15">
      <c r="CP7133" s="31"/>
    </row>
    <row r="7134" spans="94:94" x14ac:dyDescent="0.15">
      <c r="CP7134" s="31"/>
    </row>
    <row r="7135" spans="94:94" x14ac:dyDescent="0.15">
      <c r="CP7135" s="31"/>
    </row>
    <row r="7136" spans="94:94" x14ac:dyDescent="0.15">
      <c r="CP7136" s="31"/>
    </row>
    <row r="7137" spans="94:94" x14ac:dyDescent="0.15">
      <c r="CP7137" s="31"/>
    </row>
    <row r="7138" spans="94:94" x14ac:dyDescent="0.15">
      <c r="CP7138" s="31"/>
    </row>
    <row r="7139" spans="94:94" x14ac:dyDescent="0.15">
      <c r="CP7139" s="31"/>
    </row>
    <row r="7140" spans="94:94" x14ac:dyDescent="0.15">
      <c r="CP7140" s="31"/>
    </row>
    <row r="7141" spans="94:94" x14ac:dyDescent="0.15">
      <c r="CP7141" s="31"/>
    </row>
    <row r="7142" spans="94:94" x14ac:dyDescent="0.15">
      <c r="CP7142" s="31"/>
    </row>
    <row r="7143" spans="94:94" x14ac:dyDescent="0.15">
      <c r="CP7143" s="31"/>
    </row>
    <row r="7144" spans="94:94" x14ac:dyDescent="0.15">
      <c r="CP7144" s="31"/>
    </row>
    <row r="7145" spans="94:94" x14ac:dyDescent="0.15">
      <c r="CP7145" s="31"/>
    </row>
    <row r="7146" spans="94:94" x14ac:dyDescent="0.15">
      <c r="CP7146" s="31"/>
    </row>
    <row r="7147" spans="94:94" x14ac:dyDescent="0.15">
      <c r="CP7147" s="31"/>
    </row>
    <row r="7148" spans="94:94" x14ac:dyDescent="0.15">
      <c r="CP7148" s="31"/>
    </row>
    <row r="7149" spans="94:94" x14ac:dyDescent="0.15">
      <c r="CP7149" s="31"/>
    </row>
    <row r="7150" spans="94:94" x14ac:dyDescent="0.15">
      <c r="CP7150" s="31"/>
    </row>
    <row r="7151" spans="94:94" x14ac:dyDescent="0.15">
      <c r="CP7151" s="31"/>
    </row>
    <row r="7152" spans="94:94" x14ac:dyDescent="0.15">
      <c r="CP7152" s="31"/>
    </row>
    <row r="7153" spans="94:94" x14ac:dyDescent="0.15">
      <c r="CP7153" s="31"/>
    </row>
    <row r="7154" spans="94:94" x14ac:dyDescent="0.15">
      <c r="CP7154" s="31"/>
    </row>
    <row r="7155" spans="94:94" x14ac:dyDescent="0.15">
      <c r="CP7155" s="31"/>
    </row>
    <row r="7156" spans="94:94" x14ac:dyDescent="0.15">
      <c r="CP7156" s="31"/>
    </row>
    <row r="7157" spans="94:94" x14ac:dyDescent="0.15">
      <c r="CP7157" s="31"/>
    </row>
    <row r="7158" spans="94:94" x14ac:dyDescent="0.15">
      <c r="CP7158" s="31"/>
    </row>
    <row r="7159" spans="94:94" x14ac:dyDescent="0.15">
      <c r="CP7159" s="31"/>
    </row>
    <row r="7160" spans="94:94" x14ac:dyDescent="0.15">
      <c r="CP7160" s="31"/>
    </row>
    <row r="7161" spans="94:94" x14ac:dyDescent="0.15">
      <c r="CP7161" s="31"/>
    </row>
    <row r="7162" spans="94:94" x14ac:dyDescent="0.15">
      <c r="CP7162" s="31"/>
    </row>
    <row r="7163" spans="94:94" x14ac:dyDescent="0.15">
      <c r="CP7163" s="31"/>
    </row>
    <row r="7164" spans="94:94" x14ac:dyDescent="0.15">
      <c r="CP7164" s="31"/>
    </row>
    <row r="7165" spans="94:94" x14ac:dyDescent="0.15">
      <c r="CP7165" s="31"/>
    </row>
    <row r="7166" spans="94:94" x14ac:dyDescent="0.15">
      <c r="CP7166" s="31"/>
    </row>
    <row r="7167" spans="94:94" x14ac:dyDescent="0.15">
      <c r="CP7167" s="31"/>
    </row>
    <row r="7168" spans="94:94" x14ac:dyDescent="0.15">
      <c r="CP7168" s="31"/>
    </row>
    <row r="7169" spans="94:94" x14ac:dyDescent="0.15">
      <c r="CP7169" s="31"/>
    </row>
    <row r="7170" spans="94:94" x14ac:dyDescent="0.15">
      <c r="CP7170" s="31"/>
    </row>
    <row r="7171" spans="94:94" x14ac:dyDescent="0.15">
      <c r="CP7171" s="31"/>
    </row>
    <row r="7172" spans="94:94" x14ac:dyDescent="0.15">
      <c r="CP7172" s="31"/>
    </row>
    <row r="7173" spans="94:94" x14ac:dyDescent="0.15">
      <c r="CP7173" s="31"/>
    </row>
    <row r="7174" spans="94:94" x14ac:dyDescent="0.15">
      <c r="CP7174" s="31"/>
    </row>
    <row r="7175" spans="94:94" x14ac:dyDescent="0.15">
      <c r="CP7175" s="31"/>
    </row>
    <row r="7176" spans="94:94" x14ac:dyDescent="0.15">
      <c r="CP7176" s="31"/>
    </row>
    <row r="7177" spans="94:94" x14ac:dyDescent="0.15">
      <c r="CP7177" s="31"/>
    </row>
    <row r="7178" spans="94:94" x14ac:dyDescent="0.15">
      <c r="CP7178" s="31"/>
    </row>
    <row r="7179" spans="94:94" x14ac:dyDescent="0.15">
      <c r="CP7179" s="31"/>
    </row>
    <row r="7180" spans="94:94" x14ac:dyDescent="0.15">
      <c r="CP7180" s="31"/>
    </row>
    <row r="7181" spans="94:94" x14ac:dyDescent="0.15">
      <c r="CP7181" s="31"/>
    </row>
    <row r="7182" spans="94:94" x14ac:dyDescent="0.15">
      <c r="CP7182" s="31"/>
    </row>
    <row r="7183" spans="94:94" x14ac:dyDescent="0.15">
      <c r="CP7183" s="31"/>
    </row>
    <row r="7184" spans="94:94" x14ac:dyDescent="0.15">
      <c r="CP7184" s="31"/>
    </row>
    <row r="7185" spans="94:94" x14ac:dyDescent="0.15">
      <c r="CP7185" s="31"/>
    </row>
    <row r="7186" spans="94:94" x14ac:dyDescent="0.15">
      <c r="CP7186" s="31"/>
    </row>
    <row r="7187" spans="94:94" x14ac:dyDescent="0.15">
      <c r="CP7187" s="31"/>
    </row>
    <row r="7188" spans="94:94" x14ac:dyDescent="0.15">
      <c r="CP7188" s="31"/>
    </row>
    <row r="7189" spans="94:94" x14ac:dyDescent="0.15">
      <c r="CP7189" s="31"/>
    </row>
    <row r="7190" spans="94:94" x14ac:dyDescent="0.15">
      <c r="CP7190" s="31"/>
    </row>
    <row r="7191" spans="94:94" x14ac:dyDescent="0.15">
      <c r="CP7191" s="31"/>
    </row>
    <row r="7192" spans="94:94" x14ac:dyDescent="0.15">
      <c r="CP7192" s="31"/>
    </row>
    <row r="7193" spans="94:94" x14ac:dyDescent="0.15">
      <c r="CP7193" s="31"/>
    </row>
    <row r="7194" spans="94:94" x14ac:dyDescent="0.15">
      <c r="CP7194" s="31"/>
    </row>
    <row r="7195" spans="94:94" x14ac:dyDescent="0.15">
      <c r="CP7195" s="31"/>
    </row>
    <row r="7196" spans="94:94" x14ac:dyDescent="0.15">
      <c r="CP7196" s="31"/>
    </row>
    <row r="7197" spans="94:94" x14ac:dyDescent="0.15">
      <c r="CP7197" s="31"/>
    </row>
    <row r="7198" spans="94:94" x14ac:dyDescent="0.15">
      <c r="CP7198" s="31"/>
    </row>
    <row r="7199" spans="94:94" x14ac:dyDescent="0.15">
      <c r="CP7199" s="31"/>
    </row>
    <row r="7200" spans="94:94" x14ac:dyDescent="0.15">
      <c r="CP7200" s="31"/>
    </row>
    <row r="7201" spans="94:94" x14ac:dyDescent="0.15">
      <c r="CP7201" s="31"/>
    </row>
    <row r="7202" spans="94:94" x14ac:dyDescent="0.15">
      <c r="CP7202" s="31"/>
    </row>
    <row r="7203" spans="94:94" x14ac:dyDescent="0.15">
      <c r="CP7203" s="31"/>
    </row>
    <row r="7204" spans="94:94" x14ac:dyDescent="0.15">
      <c r="CP7204" s="31"/>
    </row>
    <row r="7205" spans="94:94" x14ac:dyDescent="0.15">
      <c r="CP7205" s="31"/>
    </row>
    <row r="7206" spans="94:94" x14ac:dyDescent="0.15">
      <c r="CP7206" s="31"/>
    </row>
    <row r="7207" spans="94:94" x14ac:dyDescent="0.15">
      <c r="CP7207" s="31"/>
    </row>
    <row r="7208" spans="94:94" x14ac:dyDescent="0.15">
      <c r="CP7208" s="31"/>
    </row>
    <row r="7209" spans="94:94" x14ac:dyDescent="0.15">
      <c r="CP7209" s="31"/>
    </row>
    <row r="7210" spans="94:94" x14ac:dyDescent="0.15">
      <c r="CP7210" s="31"/>
    </row>
    <row r="7211" spans="94:94" x14ac:dyDescent="0.15">
      <c r="CP7211" s="31"/>
    </row>
    <row r="7212" spans="94:94" x14ac:dyDescent="0.15">
      <c r="CP7212" s="31"/>
    </row>
    <row r="7213" spans="94:94" x14ac:dyDescent="0.15">
      <c r="CP7213" s="31"/>
    </row>
    <row r="7214" spans="94:94" x14ac:dyDescent="0.15">
      <c r="CP7214" s="31"/>
    </row>
    <row r="7215" spans="94:94" x14ac:dyDescent="0.15">
      <c r="CP7215" s="31"/>
    </row>
    <row r="7216" spans="94:94" x14ac:dyDescent="0.15">
      <c r="CP7216" s="31"/>
    </row>
    <row r="7217" spans="94:94" x14ac:dyDescent="0.15">
      <c r="CP7217" s="31"/>
    </row>
    <row r="7218" spans="94:94" x14ac:dyDescent="0.15">
      <c r="CP7218" s="31"/>
    </row>
    <row r="7219" spans="94:94" x14ac:dyDescent="0.15">
      <c r="CP7219" s="31"/>
    </row>
    <row r="7220" spans="94:94" x14ac:dyDescent="0.15">
      <c r="CP7220" s="31"/>
    </row>
    <row r="7221" spans="94:94" x14ac:dyDescent="0.15">
      <c r="CP7221" s="31"/>
    </row>
    <row r="7222" spans="94:94" x14ac:dyDescent="0.15">
      <c r="CP7222" s="31"/>
    </row>
    <row r="7223" spans="94:94" x14ac:dyDescent="0.15">
      <c r="CP7223" s="31"/>
    </row>
    <row r="7224" spans="94:94" x14ac:dyDescent="0.15">
      <c r="CP7224" s="31"/>
    </row>
    <row r="7225" spans="94:94" x14ac:dyDescent="0.15">
      <c r="CP7225" s="31"/>
    </row>
    <row r="7226" spans="94:94" x14ac:dyDescent="0.15">
      <c r="CP7226" s="31"/>
    </row>
    <row r="7227" spans="94:94" x14ac:dyDescent="0.15">
      <c r="CP7227" s="31"/>
    </row>
    <row r="7228" spans="94:94" x14ac:dyDescent="0.15">
      <c r="CP7228" s="31"/>
    </row>
    <row r="7229" spans="94:94" x14ac:dyDescent="0.15">
      <c r="CP7229" s="31"/>
    </row>
    <row r="7230" spans="94:94" x14ac:dyDescent="0.15">
      <c r="CP7230" s="31"/>
    </row>
    <row r="7231" spans="94:94" x14ac:dyDescent="0.15">
      <c r="CP7231" s="31"/>
    </row>
    <row r="7232" spans="94:94" x14ac:dyDescent="0.15">
      <c r="CP7232" s="31"/>
    </row>
    <row r="7233" spans="94:94" x14ac:dyDescent="0.15">
      <c r="CP7233" s="31"/>
    </row>
    <row r="7234" spans="94:94" x14ac:dyDescent="0.15">
      <c r="CP7234" s="31"/>
    </row>
    <row r="7235" spans="94:94" x14ac:dyDescent="0.15">
      <c r="CP7235" s="31"/>
    </row>
    <row r="7236" spans="94:94" x14ac:dyDescent="0.15">
      <c r="CP7236" s="31"/>
    </row>
    <row r="7237" spans="94:94" x14ac:dyDescent="0.15">
      <c r="CP7237" s="31"/>
    </row>
    <row r="7238" spans="94:94" x14ac:dyDescent="0.15">
      <c r="CP7238" s="31"/>
    </row>
    <row r="7239" spans="94:94" x14ac:dyDescent="0.15">
      <c r="CP7239" s="31"/>
    </row>
    <row r="7240" spans="94:94" x14ac:dyDescent="0.15">
      <c r="CP7240" s="31"/>
    </row>
    <row r="7241" spans="94:94" x14ac:dyDescent="0.15">
      <c r="CP7241" s="31"/>
    </row>
    <row r="7242" spans="94:94" x14ac:dyDescent="0.15">
      <c r="CP7242" s="31"/>
    </row>
    <row r="7243" spans="94:94" x14ac:dyDescent="0.15">
      <c r="CP7243" s="31"/>
    </row>
    <row r="7244" spans="94:94" x14ac:dyDescent="0.15">
      <c r="CP7244" s="31"/>
    </row>
    <row r="7245" spans="94:94" x14ac:dyDescent="0.15">
      <c r="CP7245" s="31"/>
    </row>
    <row r="7246" spans="94:94" x14ac:dyDescent="0.15">
      <c r="CP7246" s="31"/>
    </row>
    <row r="7247" spans="94:94" x14ac:dyDescent="0.15">
      <c r="CP7247" s="31"/>
    </row>
    <row r="7248" spans="94:94" x14ac:dyDescent="0.15">
      <c r="CP7248" s="31"/>
    </row>
    <row r="7249" spans="94:94" x14ac:dyDescent="0.15">
      <c r="CP7249" s="31"/>
    </row>
    <row r="7250" spans="94:94" x14ac:dyDescent="0.15">
      <c r="CP7250" s="31"/>
    </row>
    <row r="7251" spans="94:94" x14ac:dyDescent="0.15">
      <c r="CP7251" s="31"/>
    </row>
    <row r="7252" spans="94:94" x14ac:dyDescent="0.15">
      <c r="CP7252" s="31"/>
    </row>
    <row r="7253" spans="94:94" x14ac:dyDescent="0.15">
      <c r="CP7253" s="31"/>
    </row>
    <row r="7254" spans="94:94" x14ac:dyDescent="0.15">
      <c r="CP7254" s="31"/>
    </row>
    <row r="7255" spans="94:94" x14ac:dyDescent="0.15">
      <c r="CP7255" s="31"/>
    </row>
    <row r="7256" spans="94:94" x14ac:dyDescent="0.15">
      <c r="CP7256" s="31"/>
    </row>
    <row r="7257" spans="94:94" x14ac:dyDescent="0.15">
      <c r="CP7257" s="31"/>
    </row>
    <row r="7258" spans="94:94" x14ac:dyDescent="0.15">
      <c r="CP7258" s="31"/>
    </row>
    <row r="7259" spans="94:94" x14ac:dyDescent="0.15">
      <c r="CP7259" s="31"/>
    </row>
    <row r="7260" spans="94:94" x14ac:dyDescent="0.15">
      <c r="CP7260" s="31"/>
    </row>
    <row r="7261" spans="94:94" x14ac:dyDescent="0.15">
      <c r="CP7261" s="31"/>
    </row>
    <row r="7262" spans="94:94" x14ac:dyDescent="0.15">
      <c r="CP7262" s="31"/>
    </row>
    <row r="7263" spans="94:94" x14ac:dyDescent="0.15">
      <c r="CP7263" s="31"/>
    </row>
    <row r="7264" spans="94:94" x14ac:dyDescent="0.15">
      <c r="CP7264" s="31"/>
    </row>
    <row r="7265" spans="94:94" x14ac:dyDescent="0.15">
      <c r="CP7265" s="31"/>
    </row>
    <row r="7266" spans="94:94" x14ac:dyDescent="0.15">
      <c r="CP7266" s="31"/>
    </row>
    <row r="7267" spans="94:94" x14ac:dyDescent="0.15">
      <c r="CP7267" s="31"/>
    </row>
    <row r="7268" spans="94:94" x14ac:dyDescent="0.15">
      <c r="CP7268" s="31"/>
    </row>
    <row r="7269" spans="94:94" x14ac:dyDescent="0.15">
      <c r="CP7269" s="31"/>
    </row>
    <row r="7270" spans="94:94" x14ac:dyDescent="0.15">
      <c r="CP7270" s="31"/>
    </row>
    <row r="7271" spans="94:94" x14ac:dyDescent="0.15">
      <c r="CP7271" s="31"/>
    </row>
    <row r="7272" spans="94:94" x14ac:dyDescent="0.15">
      <c r="CP7272" s="31"/>
    </row>
    <row r="7273" spans="94:94" x14ac:dyDescent="0.15">
      <c r="CP7273" s="31"/>
    </row>
    <row r="7274" spans="94:94" x14ac:dyDescent="0.15">
      <c r="CP7274" s="31"/>
    </row>
    <row r="7275" spans="94:94" x14ac:dyDescent="0.15">
      <c r="CP7275" s="31"/>
    </row>
    <row r="7276" spans="94:94" x14ac:dyDescent="0.15">
      <c r="CP7276" s="31"/>
    </row>
    <row r="7277" spans="94:94" x14ac:dyDescent="0.15">
      <c r="CP7277" s="31"/>
    </row>
    <row r="7278" spans="94:94" x14ac:dyDescent="0.15">
      <c r="CP7278" s="31"/>
    </row>
    <row r="7279" spans="94:94" x14ac:dyDescent="0.15">
      <c r="CP7279" s="31"/>
    </row>
    <row r="7280" spans="94:94" x14ac:dyDescent="0.15">
      <c r="CP7280" s="31"/>
    </row>
    <row r="7281" spans="94:94" x14ac:dyDescent="0.15">
      <c r="CP7281" s="31"/>
    </row>
    <row r="7282" spans="94:94" x14ac:dyDescent="0.15">
      <c r="CP7282" s="31"/>
    </row>
    <row r="7283" spans="94:94" x14ac:dyDescent="0.15">
      <c r="CP7283" s="31"/>
    </row>
    <row r="7284" spans="94:94" x14ac:dyDescent="0.15">
      <c r="CP7284" s="31"/>
    </row>
    <row r="7285" spans="94:94" x14ac:dyDescent="0.15">
      <c r="CP7285" s="31"/>
    </row>
    <row r="7286" spans="94:94" x14ac:dyDescent="0.15">
      <c r="CP7286" s="31"/>
    </row>
    <row r="7287" spans="94:94" x14ac:dyDescent="0.15">
      <c r="CP7287" s="31"/>
    </row>
    <row r="7288" spans="94:94" x14ac:dyDescent="0.15">
      <c r="CP7288" s="31"/>
    </row>
    <row r="7289" spans="94:94" x14ac:dyDescent="0.15">
      <c r="CP7289" s="31"/>
    </row>
    <row r="7290" spans="94:94" x14ac:dyDescent="0.15">
      <c r="CP7290" s="31"/>
    </row>
    <row r="7291" spans="94:94" x14ac:dyDescent="0.15">
      <c r="CP7291" s="31"/>
    </row>
    <row r="7292" spans="94:94" x14ac:dyDescent="0.15">
      <c r="CP7292" s="31"/>
    </row>
    <row r="7293" spans="94:94" x14ac:dyDescent="0.15">
      <c r="CP7293" s="31"/>
    </row>
    <row r="7294" spans="94:94" x14ac:dyDescent="0.15">
      <c r="CP7294" s="31"/>
    </row>
    <row r="7295" spans="94:94" x14ac:dyDescent="0.15">
      <c r="CP7295" s="31"/>
    </row>
    <row r="7296" spans="94:94" x14ac:dyDescent="0.15">
      <c r="CP7296" s="31"/>
    </row>
    <row r="7297" spans="94:94" x14ac:dyDescent="0.15">
      <c r="CP7297" s="31"/>
    </row>
    <row r="7298" spans="94:94" x14ac:dyDescent="0.15">
      <c r="CP7298" s="31"/>
    </row>
    <row r="7299" spans="94:94" x14ac:dyDescent="0.15">
      <c r="CP7299" s="31"/>
    </row>
    <row r="7300" spans="94:94" x14ac:dyDescent="0.15">
      <c r="CP7300" s="31"/>
    </row>
    <row r="7301" spans="94:94" x14ac:dyDescent="0.15">
      <c r="CP7301" s="31"/>
    </row>
    <row r="7302" spans="94:94" x14ac:dyDescent="0.15">
      <c r="CP7302" s="31"/>
    </row>
    <row r="7303" spans="94:94" x14ac:dyDescent="0.15">
      <c r="CP7303" s="31"/>
    </row>
    <row r="7304" spans="94:94" x14ac:dyDescent="0.15">
      <c r="CP7304" s="31"/>
    </row>
    <row r="7305" spans="94:94" x14ac:dyDescent="0.15">
      <c r="CP7305" s="31"/>
    </row>
    <row r="7306" spans="94:94" x14ac:dyDescent="0.15">
      <c r="CP7306" s="31"/>
    </row>
    <row r="7307" spans="94:94" x14ac:dyDescent="0.15">
      <c r="CP7307" s="31"/>
    </row>
    <row r="7308" spans="94:94" x14ac:dyDescent="0.15">
      <c r="CP7308" s="31"/>
    </row>
    <row r="7309" spans="94:94" x14ac:dyDescent="0.15">
      <c r="CP7309" s="31"/>
    </row>
    <row r="7310" spans="94:94" x14ac:dyDescent="0.15">
      <c r="CP7310" s="31"/>
    </row>
    <row r="7311" spans="94:94" x14ac:dyDescent="0.15">
      <c r="CP7311" s="31"/>
    </row>
    <row r="7312" spans="94:94" x14ac:dyDescent="0.15">
      <c r="CP7312" s="31"/>
    </row>
    <row r="7313" spans="94:94" x14ac:dyDescent="0.15">
      <c r="CP7313" s="31"/>
    </row>
    <row r="7314" spans="94:94" x14ac:dyDescent="0.15">
      <c r="CP7314" s="31"/>
    </row>
    <row r="7315" spans="94:94" x14ac:dyDescent="0.15">
      <c r="CP7315" s="31"/>
    </row>
    <row r="7316" spans="94:94" x14ac:dyDescent="0.15">
      <c r="CP7316" s="31"/>
    </row>
    <row r="7317" spans="94:94" x14ac:dyDescent="0.15">
      <c r="CP7317" s="31"/>
    </row>
    <row r="7318" spans="94:94" x14ac:dyDescent="0.15">
      <c r="CP7318" s="31"/>
    </row>
    <row r="7319" spans="94:94" x14ac:dyDescent="0.15">
      <c r="CP7319" s="31"/>
    </row>
    <row r="7320" spans="94:94" x14ac:dyDescent="0.15">
      <c r="CP7320" s="31"/>
    </row>
    <row r="7321" spans="94:94" x14ac:dyDescent="0.15">
      <c r="CP7321" s="31"/>
    </row>
    <row r="7322" spans="94:94" x14ac:dyDescent="0.15">
      <c r="CP7322" s="31"/>
    </row>
    <row r="7323" spans="94:94" x14ac:dyDescent="0.15">
      <c r="CP7323" s="31"/>
    </row>
    <row r="7324" spans="94:94" x14ac:dyDescent="0.15">
      <c r="CP7324" s="31"/>
    </row>
    <row r="7325" spans="94:94" x14ac:dyDescent="0.15">
      <c r="CP7325" s="31"/>
    </row>
    <row r="7326" spans="94:94" x14ac:dyDescent="0.15">
      <c r="CP7326" s="31"/>
    </row>
    <row r="7327" spans="94:94" x14ac:dyDescent="0.15">
      <c r="CP7327" s="31"/>
    </row>
    <row r="7328" spans="94:94" x14ac:dyDescent="0.15">
      <c r="CP7328" s="31"/>
    </row>
    <row r="7329" spans="94:94" x14ac:dyDescent="0.15">
      <c r="CP7329" s="31"/>
    </row>
    <row r="7330" spans="94:94" x14ac:dyDescent="0.15">
      <c r="CP7330" s="31"/>
    </row>
    <row r="7331" spans="94:94" x14ac:dyDescent="0.15">
      <c r="CP7331" s="31"/>
    </row>
    <row r="7332" spans="94:94" x14ac:dyDescent="0.15">
      <c r="CP7332" s="31"/>
    </row>
    <row r="7333" spans="94:94" x14ac:dyDescent="0.15">
      <c r="CP7333" s="31"/>
    </row>
    <row r="7334" spans="94:94" x14ac:dyDescent="0.15">
      <c r="CP7334" s="31"/>
    </row>
    <row r="7335" spans="94:94" x14ac:dyDescent="0.15">
      <c r="CP7335" s="31"/>
    </row>
    <row r="7336" spans="94:94" x14ac:dyDescent="0.15">
      <c r="CP7336" s="31"/>
    </row>
    <row r="7337" spans="94:94" x14ac:dyDescent="0.15">
      <c r="CP7337" s="31"/>
    </row>
    <row r="7338" spans="94:94" x14ac:dyDescent="0.15">
      <c r="CP7338" s="31"/>
    </row>
    <row r="7339" spans="94:94" x14ac:dyDescent="0.15">
      <c r="CP7339" s="31"/>
    </row>
    <row r="7340" spans="94:94" x14ac:dyDescent="0.15">
      <c r="CP7340" s="31"/>
    </row>
    <row r="7341" spans="94:94" x14ac:dyDescent="0.15">
      <c r="CP7341" s="31"/>
    </row>
    <row r="7342" spans="94:94" x14ac:dyDescent="0.15">
      <c r="CP7342" s="31"/>
    </row>
    <row r="7343" spans="94:94" x14ac:dyDescent="0.15">
      <c r="CP7343" s="31"/>
    </row>
    <row r="7344" spans="94:94" x14ac:dyDescent="0.15">
      <c r="CP7344" s="31"/>
    </row>
    <row r="7345" spans="94:94" x14ac:dyDescent="0.15">
      <c r="CP7345" s="31"/>
    </row>
    <row r="7346" spans="94:94" x14ac:dyDescent="0.15">
      <c r="CP7346" s="31"/>
    </row>
    <row r="7347" spans="94:94" x14ac:dyDescent="0.15">
      <c r="CP7347" s="31"/>
    </row>
    <row r="7348" spans="94:94" x14ac:dyDescent="0.15">
      <c r="CP7348" s="31"/>
    </row>
    <row r="7349" spans="94:94" x14ac:dyDescent="0.15">
      <c r="CP7349" s="31"/>
    </row>
    <row r="7350" spans="94:94" x14ac:dyDescent="0.15">
      <c r="CP7350" s="31"/>
    </row>
    <row r="7351" spans="94:94" x14ac:dyDescent="0.15">
      <c r="CP7351" s="31"/>
    </row>
    <row r="7352" spans="94:94" x14ac:dyDescent="0.15">
      <c r="CP7352" s="31"/>
    </row>
    <row r="7353" spans="94:94" x14ac:dyDescent="0.15">
      <c r="CP7353" s="31"/>
    </row>
    <row r="7354" spans="94:94" x14ac:dyDescent="0.15">
      <c r="CP7354" s="31"/>
    </row>
    <row r="7355" spans="94:94" x14ac:dyDescent="0.15">
      <c r="CP7355" s="31"/>
    </row>
    <row r="7356" spans="94:94" x14ac:dyDescent="0.15">
      <c r="CP7356" s="31"/>
    </row>
    <row r="7357" spans="94:94" x14ac:dyDescent="0.15">
      <c r="CP7357" s="31"/>
    </row>
    <row r="7358" spans="94:94" x14ac:dyDescent="0.15">
      <c r="CP7358" s="31"/>
    </row>
    <row r="7359" spans="94:94" x14ac:dyDescent="0.15">
      <c r="CP7359" s="31"/>
    </row>
    <row r="7360" spans="94:94" x14ac:dyDescent="0.15">
      <c r="CP7360" s="31"/>
    </row>
    <row r="7361" spans="94:94" x14ac:dyDescent="0.15">
      <c r="CP7361" s="31"/>
    </row>
    <row r="7362" spans="94:94" x14ac:dyDescent="0.15">
      <c r="CP7362" s="31"/>
    </row>
    <row r="7363" spans="94:94" x14ac:dyDescent="0.15">
      <c r="CP7363" s="31"/>
    </row>
    <row r="7364" spans="94:94" x14ac:dyDescent="0.15">
      <c r="CP7364" s="31"/>
    </row>
    <row r="7365" spans="94:94" x14ac:dyDescent="0.15">
      <c r="CP7365" s="31"/>
    </row>
    <row r="7366" spans="94:94" x14ac:dyDescent="0.15">
      <c r="CP7366" s="31"/>
    </row>
    <row r="7367" spans="94:94" x14ac:dyDescent="0.15">
      <c r="CP7367" s="31"/>
    </row>
    <row r="7368" spans="94:94" x14ac:dyDescent="0.15">
      <c r="CP7368" s="31"/>
    </row>
    <row r="7369" spans="94:94" x14ac:dyDescent="0.15">
      <c r="CP7369" s="31"/>
    </row>
    <row r="7370" spans="94:94" x14ac:dyDescent="0.15">
      <c r="CP7370" s="31"/>
    </row>
    <row r="7371" spans="94:94" x14ac:dyDescent="0.15">
      <c r="CP7371" s="31"/>
    </row>
    <row r="7372" spans="94:94" x14ac:dyDescent="0.15">
      <c r="CP7372" s="31"/>
    </row>
    <row r="7373" spans="94:94" x14ac:dyDescent="0.15">
      <c r="CP7373" s="31"/>
    </row>
    <row r="7374" spans="94:94" x14ac:dyDescent="0.15">
      <c r="CP7374" s="31"/>
    </row>
    <row r="7375" spans="94:94" x14ac:dyDescent="0.15">
      <c r="CP7375" s="31"/>
    </row>
    <row r="7376" spans="94:94" x14ac:dyDescent="0.15">
      <c r="CP7376" s="31"/>
    </row>
    <row r="7377" spans="94:94" x14ac:dyDescent="0.15">
      <c r="CP7377" s="31"/>
    </row>
    <row r="7378" spans="94:94" x14ac:dyDescent="0.15">
      <c r="CP7378" s="31"/>
    </row>
    <row r="7379" spans="94:94" x14ac:dyDescent="0.15">
      <c r="CP7379" s="31"/>
    </row>
    <row r="7380" spans="94:94" x14ac:dyDescent="0.15">
      <c r="CP7380" s="31"/>
    </row>
    <row r="7381" spans="94:94" x14ac:dyDescent="0.15">
      <c r="CP7381" s="31"/>
    </row>
    <row r="7382" spans="94:94" x14ac:dyDescent="0.15">
      <c r="CP7382" s="31"/>
    </row>
    <row r="7383" spans="94:94" x14ac:dyDescent="0.15">
      <c r="CP7383" s="31"/>
    </row>
    <row r="7384" spans="94:94" x14ac:dyDescent="0.15">
      <c r="CP7384" s="31"/>
    </row>
    <row r="7385" spans="94:94" x14ac:dyDescent="0.15">
      <c r="CP7385" s="31"/>
    </row>
    <row r="7386" spans="94:94" x14ac:dyDescent="0.15">
      <c r="CP7386" s="31"/>
    </row>
    <row r="7387" spans="94:94" x14ac:dyDescent="0.15">
      <c r="CP7387" s="31"/>
    </row>
    <row r="7388" spans="94:94" x14ac:dyDescent="0.15">
      <c r="CP7388" s="31"/>
    </row>
    <row r="7389" spans="94:94" x14ac:dyDescent="0.15">
      <c r="CP7389" s="31"/>
    </row>
    <row r="7390" spans="94:94" x14ac:dyDescent="0.15">
      <c r="CP7390" s="31"/>
    </row>
    <row r="7391" spans="94:94" x14ac:dyDescent="0.15">
      <c r="CP7391" s="31"/>
    </row>
    <row r="7392" spans="94:94" x14ac:dyDescent="0.15">
      <c r="CP7392" s="31"/>
    </row>
    <row r="7393" spans="94:94" x14ac:dyDescent="0.15">
      <c r="CP7393" s="31"/>
    </row>
    <row r="7394" spans="94:94" x14ac:dyDescent="0.15">
      <c r="CP7394" s="31"/>
    </row>
    <row r="7395" spans="94:94" x14ac:dyDescent="0.15">
      <c r="CP7395" s="31"/>
    </row>
    <row r="7396" spans="94:94" x14ac:dyDescent="0.15">
      <c r="CP7396" s="31"/>
    </row>
    <row r="7397" spans="94:94" x14ac:dyDescent="0.15">
      <c r="CP7397" s="31"/>
    </row>
    <row r="7398" spans="94:94" x14ac:dyDescent="0.15">
      <c r="CP7398" s="31"/>
    </row>
    <row r="7399" spans="94:94" x14ac:dyDescent="0.15">
      <c r="CP7399" s="31"/>
    </row>
    <row r="7400" spans="94:94" x14ac:dyDescent="0.15">
      <c r="CP7400" s="31"/>
    </row>
    <row r="7401" spans="94:94" x14ac:dyDescent="0.15">
      <c r="CP7401" s="31"/>
    </row>
    <row r="7402" spans="94:94" x14ac:dyDescent="0.15">
      <c r="CP7402" s="31"/>
    </row>
    <row r="7403" spans="94:94" x14ac:dyDescent="0.15">
      <c r="CP7403" s="31"/>
    </row>
    <row r="7404" spans="94:94" x14ac:dyDescent="0.15">
      <c r="CP7404" s="31"/>
    </row>
    <row r="7405" spans="94:94" x14ac:dyDescent="0.15">
      <c r="CP7405" s="31"/>
    </row>
    <row r="7406" spans="94:94" x14ac:dyDescent="0.15">
      <c r="CP7406" s="31"/>
    </row>
    <row r="7407" spans="94:94" x14ac:dyDescent="0.15">
      <c r="CP7407" s="31"/>
    </row>
    <row r="7408" spans="94:94" x14ac:dyDescent="0.15">
      <c r="CP7408" s="31"/>
    </row>
    <row r="7409" spans="94:94" x14ac:dyDescent="0.15">
      <c r="CP7409" s="31"/>
    </row>
    <row r="7410" spans="94:94" x14ac:dyDescent="0.15">
      <c r="CP7410" s="31"/>
    </row>
    <row r="7411" spans="94:94" x14ac:dyDescent="0.15">
      <c r="CP7411" s="31"/>
    </row>
    <row r="7412" spans="94:94" x14ac:dyDescent="0.15">
      <c r="CP7412" s="31"/>
    </row>
    <row r="7413" spans="94:94" x14ac:dyDescent="0.15">
      <c r="CP7413" s="31"/>
    </row>
    <row r="7414" spans="94:94" x14ac:dyDescent="0.15">
      <c r="CP7414" s="31"/>
    </row>
    <row r="7415" spans="94:94" x14ac:dyDescent="0.15">
      <c r="CP7415" s="31"/>
    </row>
    <row r="7416" spans="94:94" x14ac:dyDescent="0.15">
      <c r="CP7416" s="31"/>
    </row>
    <row r="7417" spans="94:94" x14ac:dyDescent="0.15">
      <c r="CP7417" s="31"/>
    </row>
    <row r="7418" spans="94:94" x14ac:dyDescent="0.15">
      <c r="CP7418" s="31"/>
    </row>
    <row r="7419" spans="94:94" x14ac:dyDescent="0.15">
      <c r="CP7419" s="31"/>
    </row>
    <row r="7420" spans="94:94" x14ac:dyDescent="0.15">
      <c r="CP7420" s="31"/>
    </row>
    <row r="7421" spans="94:94" x14ac:dyDescent="0.15">
      <c r="CP7421" s="31"/>
    </row>
    <row r="7422" spans="94:94" x14ac:dyDescent="0.15">
      <c r="CP7422" s="31"/>
    </row>
    <row r="7423" spans="94:94" x14ac:dyDescent="0.15">
      <c r="CP7423" s="31"/>
    </row>
    <row r="7424" spans="94:94" x14ac:dyDescent="0.15">
      <c r="CP7424" s="31"/>
    </row>
    <row r="7425" spans="94:94" x14ac:dyDescent="0.15">
      <c r="CP7425" s="31"/>
    </row>
    <row r="7426" spans="94:94" x14ac:dyDescent="0.15">
      <c r="CP7426" s="31"/>
    </row>
    <row r="7427" spans="94:94" x14ac:dyDescent="0.15">
      <c r="CP7427" s="31"/>
    </row>
    <row r="7428" spans="94:94" x14ac:dyDescent="0.15">
      <c r="CP7428" s="31"/>
    </row>
    <row r="7429" spans="94:94" x14ac:dyDescent="0.15">
      <c r="CP7429" s="31"/>
    </row>
    <row r="7430" spans="94:94" x14ac:dyDescent="0.15">
      <c r="CP7430" s="31"/>
    </row>
    <row r="7431" spans="94:94" x14ac:dyDescent="0.15">
      <c r="CP7431" s="31"/>
    </row>
    <row r="7432" spans="94:94" x14ac:dyDescent="0.15">
      <c r="CP7432" s="31"/>
    </row>
    <row r="7433" spans="94:94" x14ac:dyDescent="0.15">
      <c r="CP7433" s="31"/>
    </row>
    <row r="7434" spans="94:94" x14ac:dyDescent="0.15">
      <c r="CP7434" s="31"/>
    </row>
    <row r="7435" spans="94:94" x14ac:dyDescent="0.15">
      <c r="CP7435" s="31"/>
    </row>
    <row r="7436" spans="94:94" x14ac:dyDescent="0.15">
      <c r="CP7436" s="31"/>
    </row>
    <row r="7437" spans="94:94" x14ac:dyDescent="0.15">
      <c r="CP7437" s="31"/>
    </row>
    <row r="7438" spans="94:94" x14ac:dyDescent="0.15">
      <c r="CP7438" s="31"/>
    </row>
    <row r="7439" spans="94:94" x14ac:dyDescent="0.15">
      <c r="CP7439" s="31"/>
    </row>
    <row r="7440" spans="94:94" x14ac:dyDescent="0.15">
      <c r="CP7440" s="31"/>
    </row>
    <row r="7441" spans="94:94" x14ac:dyDescent="0.15">
      <c r="CP7441" s="31"/>
    </row>
    <row r="7442" spans="94:94" x14ac:dyDescent="0.15">
      <c r="CP7442" s="31"/>
    </row>
    <row r="7443" spans="94:94" x14ac:dyDescent="0.15">
      <c r="CP7443" s="31"/>
    </row>
    <row r="7444" spans="94:94" x14ac:dyDescent="0.15">
      <c r="CP7444" s="31"/>
    </row>
    <row r="7445" spans="94:94" x14ac:dyDescent="0.15">
      <c r="CP7445" s="31"/>
    </row>
    <row r="7446" spans="94:94" x14ac:dyDescent="0.15">
      <c r="CP7446" s="31"/>
    </row>
    <row r="7447" spans="94:94" x14ac:dyDescent="0.15">
      <c r="CP7447" s="31"/>
    </row>
    <row r="7448" spans="94:94" x14ac:dyDescent="0.15">
      <c r="CP7448" s="31"/>
    </row>
    <row r="7449" spans="94:94" x14ac:dyDescent="0.15">
      <c r="CP7449" s="31"/>
    </row>
    <row r="7450" spans="94:94" x14ac:dyDescent="0.15">
      <c r="CP7450" s="31"/>
    </row>
    <row r="7451" spans="94:94" x14ac:dyDescent="0.15">
      <c r="CP7451" s="31"/>
    </row>
    <row r="7452" spans="94:94" x14ac:dyDescent="0.15">
      <c r="CP7452" s="31"/>
    </row>
    <row r="7453" spans="94:94" x14ac:dyDescent="0.15">
      <c r="CP7453" s="31"/>
    </row>
    <row r="7454" spans="94:94" x14ac:dyDescent="0.15">
      <c r="CP7454" s="31"/>
    </row>
    <row r="7455" spans="94:94" x14ac:dyDescent="0.15">
      <c r="CP7455" s="31"/>
    </row>
    <row r="7456" spans="94:94" x14ac:dyDescent="0.15">
      <c r="CP7456" s="31"/>
    </row>
    <row r="7457" spans="94:94" x14ac:dyDescent="0.15">
      <c r="CP7457" s="31"/>
    </row>
    <row r="7458" spans="94:94" x14ac:dyDescent="0.15">
      <c r="CP7458" s="31"/>
    </row>
    <row r="7459" spans="94:94" x14ac:dyDescent="0.15">
      <c r="CP7459" s="31"/>
    </row>
    <row r="7460" spans="94:94" x14ac:dyDescent="0.15">
      <c r="CP7460" s="31"/>
    </row>
    <row r="7461" spans="94:94" x14ac:dyDescent="0.15">
      <c r="CP7461" s="31"/>
    </row>
    <row r="7462" spans="94:94" x14ac:dyDescent="0.15">
      <c r="CP7462" s="31"/>
    </row>
    <row r="7463" spans="94:94" x14ac:dyDescent="0.15">
      <c r="CP7463" s="31"/>
    </row>
    <row r="7464" spans="94:94" x14ac:dyDescent="0.15">
      <c r="CP7464" s="31"/>
    </row>
    <row r="7465" spans="94:94" x14ac:dyDescent="0.15">
      <c r="CP7465" s="31"/>
    </row>
    <row r="7466" spans="94:94" x14ac:dyDescent="0.15">
      <c r="CP7466" s="31"/>
    </row>
    <row r="7467" spans="94:94" x14ac:dyDescent="0.15">
      <c r="CP7467" s="31"/>
    </row>
    <row r="7468" spans="94:94" x14ac:dyDescent="0.15">
      <c r="CP7468" s="31"/>
    </row>
    <row r="7469" spans="94:94" x14ac:dyDescent="0.15">
      <c r="CP7469" s="31"/>
    </row>
    <row r="7470" spans="94:94" x14ac:dyDescent="0.15">
      <c r="CP7470" s="31"/>
    </row>
    <row r="7471" spans="94:94" x14ac:dyDescent="0.15">
      <c r="CP7471" s="31"/>
    </row>
    <row r="7472" spans="94:94" x14ac:dyDescent="0.15">
      <c r="CP7472" s="31"/>
    </row>
    <row r="7473" spans="94:94" x14ac:dyDescent="0.15">
      <c r="CP7473" s="31"/>
    </row>
    <row r="7474" spans="94:94" x14ac:dyDescent="0.15">
      <c r="CP7474" s="31"/>
    </row>
    <row r="7475" spans="94:94" x14ac:dyDescent="0.15">
      <c r="CP7475" s="31"/>
    </row>
    <row r="7476" spans="94:94" x14ac:dyDescent="0.15">
      <c r="CP7476" s="31"/>
    </row>
    <row r="7477" spans="94:94" x14ac:dyDescent="0.15">
      <c r="CP7477" s="31"/>
    </row>
    <row r="7478" spans="94:94" x14ac:dyDescent="0.15">
      <c r="CP7478" s="31"/>
    </row>
    <row r="7479" spans="94:94" x14ac:dyDescent="0.15">
      <c r="CP7479" s="31"/>
    </row>
    <row r="7480" spans="94:94" x14ac:dyDescent="0.15">
      <c r="CP7480" s="31"/>
    </row>
    <row r="7481" spans="94:94" x14ac:dyDescent="0.15">
      <c r="CP7481" s="31"/>
    </row>
    <row r="7482" spans="94:94" x14ac:dyDescent="0.15">
      <c r="CP7482" s="31"/>
    </row>
    <row r="7483" spans="94:94" x14ac:dyDescent="0.15">
      <c r="CP7483" s="31"/>
    </row>
    <row r="7484" spans="94:94" x14ac:dyDescent="0.15">
      <c r="CP7484" s="31"/>
    </row>
    <row r="7485" spans="94:94" x14ac:dyDescent="0.15">
      <c r="CP7485" s="31"/>
    </row>
    <row r="7486" spans="94:94" x14ac:dyDescent="0.15">
      <c r="CP7486" s="31"/>
    </row>
    <row r="7487" spans="94:94" x14ac:dyDescent="0.15">
      <c r="CP7487" s="31"/>
    </row>
    <row r="7488" spans="94:94" x14ac:dyDescent="0.15">
      <c r="CP7488" s="31"/>
    </row>
    <row r="7489" spans="94:94" x14ac:dyDescent="0.15">
      <c r="CP7489" s="31"/>
    </row>
    <row r="7490" spans="94:94" x14ac:dyDescent="0.15">
      <c r="CP7490" s="31"/>
    </row>
    <row r="7491" spans="94:94" x14ac:dyDescent="0.15">
      <c r="CP7491" s="31"/>
    </row>
    <row r="7492" spans="94:94" x14ac:dyDescent="0.15">
      <c r="CP7492" s="31"/>
    </row>
    <row r="7493" spans="94:94" x14ac:dyDescent="0.15">
      <c r="CP7493" s="31"/>
    </row>
    <row r="7494" spans="94:94" x14ac:dyDescent="0.15">
      <c r="CP7494" s="31"/>
    </row>
    <row r="7495" spans="94:94" x14ac:dyDescent="0.15">
      <c r="CP7495" s="31"/>
    </row>
    <row r="7496" spans="94:94" x14ac:dyDescent="0.15">
      <c r="CP7496" s="31"/>
    </row>
    <row r="7497" spans="94:94" x14ac:dyDescent="0.15">
      <c r="CP7497" s="31"/>
    </row>
    <row r="7498" spans="94:94" x14ac:dyDescent="0.15">
      <c r="CP7498" s="31"/>
    </row>
    <row r="7499" spans="94:94" x14ac:dyDescent="0.15">
      <c r="CP7499" s="31"/>
    </row>
    <row r="7500" spans="94:94" x14ac:dyDescent="0.15">
      <c r="CP7500" s="31"/>
    </row>
    <row r="7501" spans="94:94" x14ac:dyDescent="0.15">
      <c r="CP7501" s="31"/>
    </row>
    <row r="7502" spans="94:94" x14ac:dyDescent="0.15">
      <c r="CP7502" s="31"/>
    </row>
    <row r="7503" spans="94:94" x14ac:dyDescent="0.15">
      <c r="CP7503" s="31"/>
    </row>
    <row r="7504" spans="94:94" x14ac:dyDescent="0.15">
      <c r="CP7504" s="31"/>
    </row>
    <row r="7505" spans="94:94" x14ac:dyDescent="0.15">
      <c r="CP7505" s="31"/>
    </row>
    <row r="7506" spans="94:94" x14ac:dyDescent="0.15">
      <c r="CP7506" s="31"/>
    </row>
    <row r="7507" spans="94:94" x14ac:dyDescent="0.15">
      <c r="CP7507" s="31"/>
    </row>
    <row r="7508" spans="94:94" x14ac:dyDescent="0.15">
      <c r="CP7508" s="31"/>
    </row>
    <row r="7509" spans="94:94" x14ac:dyDescent="0.15">
      <c r="CP7509" s="31"/>
    </row>
    <row r="7510" spans="94:94" x14ac:dyDescent="0.15">
      <c r="CP7510" s="31"/>
    </row>
    <row r="7511" spans="94:94" x14ac:dyDescent="0.15">
      <c r="CP7511" s="31"/>
    </row>
    <row r="7512" spans="94:94" x14ac:dyDescent="0.15">
      <c r="CP7512" s="31"/>
    </row>
    <row r="7513" spans="94:94" x14ac:dyDescent="0.15">
      <c r="CP7513" s="31"/>
    </row>
    <row r="7514" spans="94:94" x14ac:dyDescent="0.15">
      <c r="CP7514" s="31"/>
    </row>
    <row r="7515" spans="94:94" x14ac:dyDescent="0.15">
      <c r="CP7515" s="31"/>
    </row>
    <row r="7516" spans="94:94" x14ac:dyDescent="0.15">
      <c r="CP7516" s="31"/>
    </row>
    <row r="7517" spans="94:94" x14ac:dyDescent="0.15">
      <c r="CP7517" s="31"/>
    </row>
    <row r="7518" spans="94:94" x14ac:dyDescent="0.15">
      <c r="CP7518" s="31"/>
    </row>
    <row r="7519" spans="94:94" x14ac:dyDescent="0.15">
      <c r="CP7519" s="31"/>
    </row>
    <row r="7520" spans="94:94" x14ac:dyDescent="0.15">
      <c r="CP7520" s="31"/>
    </row>
    <row r="7521" spans="94:94" x14ac:dyDescent="0.15">
      <c r="CP7521" s="31"/>
    </row>
    <row r="7522" spans="94:94" x14ac:dyDescent="0.15">
      <c r="CP7522" s="31"/>
    </row>
    <row r="7523" spans="94:94" x14ac:dyDescent="0.15">
      <c r="CP7523" s="31"/>
    </row>
    <row r="7524" spans="94:94" x14ac:dyDescent="0.15">
      <c r="CP7524" s="31"/>
    </row>
    <row r="7525" spans="94:94" x14ac:dyDescent="0.15">
      <c r="CP7525" s="31"/>
    </row>
    <row r="7526" spans="94:94" x14ac:dyDescent="0.15">
      <c r="CP7526" s="31"/>
    </row>
    <row r="7527" spans="94:94" x14ac:dyDescent="0.15">
      <c r="CP7527" s="31"/>
    </row>
    <row r="7528" spans="94:94" x14ac:dyDescent="0.15">
      <c r="CP7528" s="31"/>
    </row>
    <row r="7529" spans="94:94" x14ac:dyDescent="0.15">
      <c r="CP7529" s="31"/>
    </row>
    <row r="7530" spans="94:94" x14ac:dyDescent="0.15">
      <c r="CP7530" s="31"/>
    </row>
    <row r="7531" spans="94:94" x14ac:dyDescent="0.15">
      <c r="CP7531" s="31"/>
    </row>
    <row r="7532" spans="94:94" x14ac:dyDescent="0.15">
      <c r="CP7532" s="31"/>
    </row>
    <row r="7533" spans="94:94" x14ac:dyDescent="0.15">
      <c r="CP7533" s="31"/>
    </row>
    <row r="7534" spans="94:94" x14ac:dyDescent="0.15">
      <c r="CP7534" s="31"/>
    </row>
    <row r="7535" spans="94:94" x14ac:dyDescent="0.15">
      <c r="CP7535" s="31"/>
    </row>
    <row r="7536" spans="94:94" x14ac:dyDescent="0.15">
      <c r="CP7536" s="31"/>
    </row>
    <row r="7537" spans="94:94" x14ac:dyDescent="0.15">
      <c r="CP7537" s="31"/>
    </row>
    <row r="7538" spans="94:94" x14ac:dyDescent="0.15">
      <c r="CP7538" s="31"/>
    </row>
    <row r="7539" spans="94:94" x14ac:dyDescent="0.15">
      <c r="CP7539" s="31"/>
    </row>
    <row r="7540" spans="94:94" x14ac:dyDescent="0.15">
      <c r="CP7540" s="31"/>
    </row>
    <row r="7541" spans="94:94" x14ac:dyDescent="0.15">
      <c r="CP7541" s="31"/>
    </row>
    <row r="7542" spans="94:94" x14ac:dyDescent="0.15">
      <c r="CP7542" s="31"/>
    </row>
    <row r="7543" spans="94:94" x14ac:dyDescent="0.15">
      <c r="CP7543" s="31"/>
    </row>
    <row r="7544" spans="94:94" x14ac:dyDescent="0.15">
      <c r="CP7544" s="31"/>
    </row>
    <row r="7545" spans="94:94" x14ac:dyDescent="0.15">
      <c r="CP7545" s="31"/>
    </row>
    <row r="7546" spans="94:94" x14ac:dyDescent="0.15">
      <c r="CP7546" s="31"/>
    </row>
    <row r="7547" spans="94:94" x14ac:dyDescent="0.15">
      <c r="CP7547" s="31"/>
    </row>
    <row r="7548" spans="94:94" x14ac:dyDescent="0.15">
      <c r="CP7548" s="31"/>
    </row>
    <row r="7549" spans="94:94" x14ac:dyDescent="0.15">
      <c r="CP7549" s="31"/>
    </row>
    <row r="7550" spans="94:94" x14ac:dyDescent="0.15">
      <c r="CP7550" s="31"/>
    </row>
    <row r="7551" spans="94:94" x14ac:dyDescent="0.15">
      <c r="CP7551" s="31"/>
    </row>
    <row r="7552" spans="94:94" x14ac:dyDescent="0.15">
      <c r="CP7552" s="31"/>
    </row>
    <row r="7553" spans="94:94" x14ac:dyDescent="0.15">
      <c r="CP7553" s="31"/>
    </row>
    <row r="7554" spans="94:94" x14ac:dyDescent="0.15">
      <c r="CP7554" s="31"/>
    </row>
    <row r="7555" spans="94:94" x14ac:dyDescent="0.15">
      <c r="CP7555" s="31"/>
    </row>
    <row r="7556" spans="94:94" x14ac:dyDescent="0.15">
      <c r="CP7556" s="31"/>
    </row>
    <row r="7557" spans="94:94" x14ac:dyDescent="0.15">
      <c r="CP7557" s="31"/>
    </row>
    <row r="7558" spans="94:94" x14ac:dyDescent="0.15">
      <c r="CP7558" s="31"/>
    </row>
    <row r="7559" spans="94:94" x14ac:dyDescent="0.15">
      <c r="CP7559" s="31"/>
    </row>
    <row r="7560" spans="94:94" x14ac:dyDescent="0.15">
      <c r="CP7560" s="31"/>
    </row>
    <row r="7561" spans="94:94" x14ac:dyDescent="0.15">
      <c r="CP7561" s="31"/>
    </row>
    <row r="7562" spans="94:94" x14ac:dyDescent="0.15">
      <c r="CP7562" s="31"/>
    </row>
    <row r="7563" spans="94:94" x14ac:dyDescent="0.15">
      <c r="CP7563" s="31"/>
    </row>
    <row r="7564" spans="94:94" x14ac:dyDescent="0.15">
      <c r="CP7564" s="31"/>
    </row>
    <row r="7565" spans="94:94" x14ac:dyDescent="0.15">
      <c r="CP7565" s="31"/>
    </row>
    <row r="7566" spans="94:94" x14ac:dyDescent="0.15">
      <c r="CP7566" s="31"/>
    </row>
    <row r="7567" spans="94:94" x14ac:dyDescent="0.15">
      <c r="CP7567" s="31"/>
    </row>
    <row r="7568" spans="94:94" x14ac:dyDescent="0.15">
      <c r="CP7568" s="31"/>
    </row>
    <row r="7569" spans="94:94" x14ac:dyDescent="0.15">
      <c r="CP7569" s="31"/>
    </row>
    <row r="7570" spans="94:94" x14ac:dyDescent="0.15">
      <c r="CP7570" s="31"/>
    </row>
    <row r="7571" spans="94:94" x14ac:dyDescent="0.15">
      <c r="CP7571" s="31"/>
    </row>
    <row r="7572" spans="94:94" x14ac:dyDescent="0.15">
      <c r="CP7572" s="31"/>
    </row>
    <row r="7573" spans="94:94" x14ac:dyDescent="0.15">
      <c r="CP7573" s="31"/>
    </row>
    <row r="7574" spans="94:94" x14ac:dyDescent="0.15">
      <c r="CP7574" s="31"/>
    </row>
    <row r="7575" spans="94:94" x14ac:dyDescent="0.15">
      <c r="CP7575" s="31"/>
    </row>
    <row r="7576" spans="94:94" x14ac:dyDescent="0.15">
      <c r="CP7576" s="31"/>
    </row>
    <row r="7577" spans="94:94" x14ac:dyDescent="0.15">
      <c r="CP7577" s="31"/>
    </row>
    <row r="7578" spans="94:94" x14ac:dyDescent="0.15">
      <c r="CP7578" s="31"/>
    </row>
    <row r="7579" spans="94:94" x14ac:dyDescent="0.15">
      <c r="CP7579" s="31"/>
    </row>
    <row r="7580" spans="94:94" x14ac:dyDescent="0.15">
      <c r="CP7580" s="31"/>
    </row>
    <row r="7581" spans="94:94" x14ac:dyDescent="0.15">
      <c r="CP7581" s="31"/>
    </row>
    <row r="7582" spans="94:94" x14ac:dyDescent="0.15">
      <c r="CP7582" s="31"/>
    </row>
    <row r="7583" spans="94:94" x14ac:dyDescent="0.15">
      <c r="CP7583" s="31"/>
    </row>
    <row r="7584" spans="94:94" x14ac:dyDescent="0.15">
      <c r="CP7584" s="31"/>
    </row>
    <row r="7585" spans="94:94" x14ac:dyDescent="0.15">
      <c r="CP7585" s="31"/>
    </row>
    <row r="7586" spans="94:94" x14ac:dyDescent="0.15">
      <c r="CP7586" s="31"/>
    </row>
    <row r="7587" spans="94:94" x14ac:dyDescent="0.15">
      <c r="CP7587" s="31"/>
    </row>
    <row r="7588" spans="94:94" x14ac:dyDescent="0.15">
      <c r="CP7588" s="31"/>
    </row>
    <row r="7589" spans="94:94" x14ac:dyDescent="0.15">
      <c r="CP7589" s="31"/>
    </row>
    <row r="7590" spans="94:94" x14ac:dyDescent="0.15">
      <c r="CP7590" s="31"/>
    </row>
    <row r="7591" spans="94:94" x14ac:dyDescent="0.15">
      <c r="CP7591" s="31"/>
    </row>
    <row r="7592" spans="94:94" x14ac:dyDescent="0.15">
      <c r="CP7592" s="31"/>
    </row>
    <row r="7593" spans="94:94" x14ac:dyDescent="0.15">
      <c r="CP7593" s="31"/>
    </row>
    <row r="7594" spans="94:94" x14ac:dyDescent="0.15">
      <c r="CP7594" s="31"/>
    </row>
    <row r="7595" spans="94:94" x14ac:dyDescent="0.15">
      <c r="CP7595" s="31"/>
    </row>
    <row r="7596" spans="94:94" x14ac:dyDescent="0.15">
      <c r="CP7596" s="31"/>
    </row>
    <row r="7597" spans="94:94" x14ac:dyDescent="0.15">
      <c r="CP7597" s="31"/>
    </row>
    <row r="7598" spans="94:94" x14ac:dyDescent="0.15">
      <c r="CP7598" s="31"/>
    </row>
    <row r="7599" spans="94:94" x14ac:dyDescent="0.15">
      <c r="CP7599" s="31"/>
    </row>
    <row r="7600" spans="94:94" x14ac:dyDescent="0.15">
      <c r="CP7600" s="31"/>
    </row>
    <row r="7601" spans="94:94" x14ac:dyDescent="0.15">
      <c r="CP7601" s="31"/>
    </row>
    <row r="7602" spans="94:94" x14ac:dyDescent="0.15">
      <c r="CP7602" s="31"/>
    </row>
    <row r="7603" spans="94:94" x14ac:dyDescent="0.15">
      <c r="CP7603" s="31"/>
    </row>
    <row r="7604" spans="94:94" x14ac:dyDescent="0.15">
      <c r="CP7604" s="31"/>
    </row>
    <row r="7605" spans="94:94" x14ac:dyDescent="0.15">
      <c r="CP7605" s="31"/>
    </row>
    <row r="7606" spans="94:94" x14ac:dyDescent="0.15">
      <c r="CP7606" s="31"/>
    </row>
    <row r="7607" spans="94:94" x14ac:dyDescent="0.15">
      <c r="CP7607" s="31"/>
    </row>
    <row r="7608" spans="94:94" x14ac:dyDescent="0.15">
      <c r="CP7608" s="31"/>
    </row>
    <row r="7609" spans="94:94" x14ac:dyDescent="0.15">
      <c r="CP7609" s="31"/>
    </row>
    <row r="7610" spans="94:94" x14ac:dyDescent="0.15">
      <c r="CP7610" s="31"/>
    </row>
    <row r="7611" spans="94:94" x14ac:dyDescent="0.15">
      <c r="CP7611" s="31"/>
    </row>
    <row r="7612" spans="94:94" x14ac:dyDescent="0.15">
      <c r="CP7612" s="31"/>
    </row>
    <row r="7613" spans="94:94" x14ac:dyDescent="0.15">
      <c r="CP7613" s="31"/>
    </row>
    <row r="7614" spans="94:94" x14ac:dyDescent="0.15">
      <c r="CP7614" s="31"/>
    </row>
    <row r="7615" spans="94:94" x14ac:dyDescent="0.15">
      <c r="CP7615" s="31"/>
    </row>
    <row r="7616" spans="94:94" x14ac:dyDescent="0.15">
      <c r="CP7616" s="31"/>
    </row>
    <row r="7617" spans="94:94" x14ac:dyDescent="0.15">
      <c r="CP7617" s="31"/>
    </row>
    <row r="7618" spans="94:94" x14ac:dyDescent="0.15">
      <c r="CP7618" s="31"/>
    </row>
    <row r="7619" spans="94:94" x14ac:dyDescent="0.15">
      <c r="CP7619" s="31"/>
    </row>
    <row r="7620" spans="94:94" x14ac:dyDescent="0.15">
      <c r="CP7620" s="31"/>
    </row>
    <row r="7621" spans="94:94" x14ac:dyDescent="0.15">
      <c r="CP7621" s="31"/>
    </row>
    <row r="7622" spans="94:94" x14ac:dyDescent="0.15">
      <c r="CP7622" s="31"/>
    </row>
    <row r="7623" spans="94:94" x14ac:dyDescent="0.15">
      <c r="CP7623" s="31"/>
    </row>
    <row r="7624" spans="94:94" x14ac:dyDescent="0.15">
      <c r="CP7624" s="31"/>
    </row>
    <row r="7625" spans="94:94" x14ac:dyDescent="0.15">
      <c r="CP7625" s="31"/>
    </row>
    <row r="7626" spans="94:94" x14ac:dyDescent="0.15">
      <c r="CP7626" s="31"/>
    </row>
    <row r="7627" spans="94:94" x14ac:dyDescent="0.15">
      <c r="CP7627" s="31"/>
    </row>
    <row r="7628" spans="94:94" x14ac:dyDescent="0.15">
      <c r="CP7628" s="31"/>
    </row>
    <row r="7629" spans="94:94" x14ac:dyDescent="0.15">
      <c r="CP7629" s="31"/>
    </row>
    <row r="7630" spans="94:94" x14ac:dyDescent="0.15">
      <c r="CP7630" s="31"/>
    </row>
    <row r="7631" spans="94:94" x14ac:dyDescent="0.15">
      <c r="CP7631" s="31"/>
    </row>
    <row r="7632" spans="94:94" x14ac:dyDescent="0.15">
      <c r="CP7632" s="31"/>
    </row>
    <row r="7633" spans="94:94" x14ac:dyDescent="0.15">
      <c r="CP7633" s="31"/>
    </row>
    <row r="7634" spans="94:94" x14ac:dyDescent="0.15">
      <c r="CP7634" s="31"/>
    </row>
    <row r="7635" spans="94:94" x14ac:dyDescent="0.15">
      <c r="CP7635" s="31"/>
    </row>
    <row r="7636" spans="94:94" x14ac:dyDescent="0.15">
      <c r="CP7636" s="31"/>
    </row>
    <row r="7637" spans="94:94" x14ac:dyDescent="0.15">
      <c r="CP7637" s="31"/>
    </row>
    <row r="7638" spans="94:94" x14ac:dyDescent="0.15">
      <c r="CP7638" s="31"/>
    </row>
    <row r="7639" spans="94:94" x14ac:dyDescent="0.15">
      <c r="CP7639" s="31"/>
    </row>
    <row r="7640" spans="94:94" x14ac:dyDescent="0.15">
      <c r="CP7640" s="31"/>
    </row>
    <row r="7641" spans="94:94" x14ac:dyDescent="0.15">
      <c r="CP7641" s="31"/>
    </row>
    <row r="7642" spans="94:94" x14ac:dyDescent="0.15">
      <c r="CP7642" s="31"/>
    </row>
    <row r="7643" spans="94:94" x14ac:dyDescent="0.15">
      <c r="CP7643" s="31"/>
    </row>
    <row r="7644" spans="94:94" x14ac:dyDescent="0.15">
      <c r="CP7644" s="31"/>
    </row>
    <row r="7645" spans="94:94" x14ac:dyDescent="0.15">
      <c r="CP7645" s="31"/>
    </row>
    <row r="7646" spans="94:94" x14ac:dyDescent="0.15">
      <c r="CP7646" s="31"/>
    </row>
    <row r="7647" spans="94:94" x14ac:dyDescent="0.15">
      <c r="CP7647" s="31"/>
    </row>
    <row r="7648" spans="94:94" x14ac:dyDescent="0.15">
      <c r="CP7648" s="31"/>
    </row>
    <row r="7649" spans="94:94" x14ac:dyDescent="0.15">
      <c r="CP7649" s="31"/>
    </row>
    <row r="7650" spans="94:94" x14ac:dyDescent="0.15">
      <c r="CP7650" s="31"/>
    </row>
    <row r="7651" spans="94:94" x14ac:dyDescent="0.15">
      <c r="CP7651" s="31"/>
    </row>
    <row r="7652" spans="94:94" x14ac:dyDescent="0.15">
      <c r="CP7652" s="31"/>
    </row>
    <row r="7653" spans="94:94" x14ac:dyDescent="0.15">
      <c r="CP7653" s="31"/>
    </row>
    <row r="7654" spans="94:94" x14ac:dyDescent="0.15">
      <c r="CP7654" s="31"/>
    </row>
    <row r="7655" spans="94:94" x14ac:dyDescent="0.15">
      <c r="CP7655" s="31"/>
    </row>
    <row r="7656" spans="94:94" x14ac:dyDescent="0.15">
      <c r="CP7656" s="31"/>
    </row>
    <row r="7657" spans="94:94" x14ac:dyDescent="0.15">
      <c r="CP7657" s="31"/>
    </row>
    <row r="7658" spans="94:94" x14ac:dyDescent="0.15">
      <c r="CP7658" s="31"/>
    </row>
    <row r="7659" spans="94:94" x14ac:dyDescent="0.15">
      <c r="CP7659" s="31"/>
    </row>
    <row r="7660" spans="94:94" x14ac:dyDescent="0.15">
      <c r="CP7660" s="31"/>
    </row>
    <row r="7661" spans="94:94" x14ac:dyDescent="0.15">
      <c r="CP7661" s="31"/>
    </row>
    <row r="7662" spans="94:94" x14ac:dyDescent="0.15">
      <c r="CP7662" s="31"/>
    </row>
    <row r="7663" spans="94:94" x14ac:dyDescent="0.15">
      <c r="CP7663" s="31"/>
    </row>
    <row r="7664" spans="94:94" x14ac:dyDescent="0.15">
      <c r="CP7664" s="31"/>
    </row>
    <row r="7665" spans="94:94" x14ac:dyDescent="0.15">
      <c r="CP7665" s="31"/>
    </row>
    <row r="7666" spans="94:94" x14ac:dyDescent="0.15">
      <c r="CP7666" s="31"/>
    </row>
    <row r="7667" spans="94:94" x14ac:dyDescent="0.15">
      <c r="CP7667" s="31"/>
    </row>
    <row r="7668" spans="94:94" x14ac:dyDescent="0.15">
      <c r="CP7668" s="31"/>
    </row>
    <row r="7669" spans="94:94" x14ac:dyDescent="0.15">
      <c r="CP7669" s="31"/>
    </row>
    <row r="7670" spans="94:94" x14ac:dyDescent="0.15">
      <c r="CP7670" s="31"/>
    </row>
    <row r="7671" spans="94:94" x14ac:dyDescent="0.15">
      <c r="CP7671" s="31"/>
    </row>
    <row r="7672" spans="94:94" x14ac:dyDescent="0.15">
      <c r="CP7672" s="31"/>
    </row>
    <row r="7673" spans="94:94" x14ac:dyDescent="0.15">
      <c r="CP7673" s="31"/>
    </row>
    <row r="7674" spans="94:94" x14ac:dyDescent="0.15">
      <c r="CP7674" s="31"/>
    </row>
    <row r="7675" spans="94:94" x14ac:dyDescent="0.15">
      <c r="CP7675" s="31"/>
    </row>
    <row r="7676" spans="94:94" x14ac:dyDescent="0.15">
      <c r="CP7676" s="31"/>
    </row>
    <row r="7677" spans="94:94" x14ac:dyDescent="0.15">
      <c r="CP7677" s="31"/>
    </row>
    <row r="7678" spans="94:94" x14ac:dyDescent="0.15">
      <c r="CP7678" s="31"/>
    </row>
    <row r="7679" spans="94:94" x14ac:dyDescent="0.15">
      <c r="CP7679" s="31"/>
    </row>
    <row r="7680" spans="94:94" x14ac:dyDescent="0.15">
      <c r="CP7680" s="31"/>
    </row>
    <row r="7681" spans="94:94" x14ac:dyDescent="0.15">
      <c r="CP7681" s="31"/>
    </row>
    <row r="7682" spans="94:94" x14ac:dyDescent="0.15">
      <c r="CP7682" s="31"/>
    </row>
    <row r="7683" spans="94:94" x14ac:dyDescent="0.15">
      <c r="CP7683" s="31"/>
    </row>
    <row r="7684" spans="94:94" x14ac:dyDescent="0.15">
      <c r="CP7684" s="31"/>
    </row>
    <row r="7685" spans="94:94" x14ac:dyDescent="0.15">
      <c r="CP7685" s="31"/>
    </row>
    <row r="7686" spans="94:94" x14ac:dyDescent="0.15">
      <c r="CP7686" s="31"/>
    </row>
    <row r="7687" spans="94:94" x14ac:dyDescent="0.15">
      <c r="CP7687" s="31"/>
    </row>
    <row r="7688" spans="94:94" x14ac:dyDescent="0.15">
      <c r="CP7688" s="31"/>
    </row>
    <row r="7689" spans="94:94" x14ac:dyDescent="0.15">
      <c r="CP7689" s="31"/>
    </row>
    <row r="7690" spans="94:94" x14ac:dyDescent="0.15">
      <c r="CP7690" s="31"/>
    </row>
    <row r="7691" spans="94:94" x14ac:dyDescent="0.15">
      <c r="CP7691" s="31"/>
    </row>
    <row r="7692" spans="94:94" x14ac:dyDescent="0.15">
      <c r="CP7692" s="31"/>
    </row>
    <row r="7693" spans="94:94" x14ac:dyDescent="0.15">
      <c r="CP7693" s="31"/>
    </row>
    <row r="7694" spans="94:94" x14ac:dyDescent="0.15">
      <c r="CP7694" s="31"/>
    </row>
    <row r="7695" spans="94:94" x14ac:dyDescent="0.15">
      <c r="CP7695" s="31"/>
    </row>
    <row r="7696" spans="94:94" x14ac:dyDescent="0.15">
      <c r="CP7696" s="31"/>
    </row>
    <row r="7697" spans="94:94" x14ac:dyDescent="0.15">
      <c r="CP7697" s="31"/>
    </row>
    <row r="7698" spans="94:94" x14ac:dyDescent="0.15">
      <c r="CP7698" s="31"/>
    </row>
    <row r="7699" spans="94:94" x14ac:dyDescent="0.15">
      <c r="CP7699" s="31"/>
    </row>
    <row r="7700" spans="94:94" x14ac:dyDescent="0.15">
      <c r="CP7700" s="31"/>
    </row>
    <row r="7701" spans="94:94" x14ac:dyDescent="0.15">
      <c r="CP7701" s="31"/>
    </row>
    <row r="7702" spans="94:94" x14ac:dyDescent="0.15">
      <c r="CP7702" s="31"/>
    </row>
    <row r="7703" spans="94:94" x14ac:dyDescent="0.15">
      <c r="CP7703" s="31"/>
    </row>
    <row r="7704" spans="94:94" x14ac:dyDescent="0.15">
      <c r="CP7704" s="31"/>
    </row>
    <row r="7705" spans="94:94" x14ac:dyDescent="0.15">
      <c r="CP7705" s="31"/>
    </row>
    <row r="7706" spans="94:94" x14ac:dyDescent="0.15">
      <c r="CP7706" s="31"/>
    </row>
    <row r="7707" spans="94:94" x14ac:dyDescent="0.15">
      <c r="CP7707" s="31"/>
    </row>
    <row r="7708" spans="94:94" x14ac:dyDescent="0.15">
      <c r="CP7708" s="31"/>
    </row>
    <row r="7709" spans="94:94" x14ac:dyDescent="0.15">
      <c r="CP7709" s="31"/>
    </row>
    <row r="7710" spans="94:94" x14ac:dyDescent="0.15">
      <c r="CP7710" s="31"/>
    </row>
    <row r="7711" spans="94:94" x14ac:dyDescent="0.15">
      <c r="CP7711" s="31"/>
    </row>
    <row r="7712" spans="94:94" x14ac:dyDescent="0.15">
      <c r="CP7712" s="31"/>
    </row>
    <row r="7713" spans="94:94" x14ac:dyDescent="0.15">
      <c r="CP7713" s="31"/>
    </row>
    <row r="7714" spans="94:94" x14ac:dyDescent="0.15">
      <c r="CP7714" s="31"/>
    </row>
    <row r="7715" spans="94:94" x14ac:dyDescent="0.15">
      <c r="CP7715" s="31"/>
    </row>
    <row r="7716" spans="94:94" x14ac:dyDescent="0.15">
      <c r="CP7716" s="31"/>
    </row>
    <row r="7717" spans="94:94" x14ac:dyDescent="0.15">
      <c r="CP7717" s="31"/>
    </row>
    <row r="7718" spans="94:94" x14ac:dyDescent="0.15">
      <c r="CP7718" s="31"/>
    </row>
    <row r="7719" spans="94:94" x14ac:dyDescent="0.15">
      <c r="CP7719" s="31"/>
    </row>
    <row r="7720" spans="94:94" x14ac:dyDescent="0.15">
      <c r="CP7720" s="31"/>
    </row>
    <row r="7721" spans="94:94" x14ac:dyDescent="0.15">
      <c r="CP7721" s="31"/>
    </row>
    <row r="7722" spans="94:94" x14ac:dyDescent="0.15">
      <c r="CP7722" s="31"/>
    </row>
    <row r="7723" spans="94:94" x14ac:dyDescent="0.15">
      <c r="CP7723" s="31"/>
    </row>
    <row r="7724" spans="94:94" x14ac:dyDescent="0.15">
      <c r="CP7724" s="31"/>
    </row>
    <row r="7725" spans="94:94" x14ac:dyDescent="0.15">
      <c r="CP7725" s="31"/>
    </row>
    <row r="7726" spans="94:94" x14ac:dyDescent="0.15">
      <c r="CP7726" s="31"/>
    </row>
    <row r="7727" spans="94:94" x14ac:dyDescent="0.15">
      <c r="CP7727" s="31"/>
    </row>
    <row r="7728" spans="94:94" x14ac:dyDescent="0.15">
      <c r="CP7728" s="31"/>
    </row>
    <row r="7729" spans="94:94" x14ac:dyDescent="0.15">
      <c r="CP7729" s="31"/>
    </row>
    <row r="7730" spans="94:94" x14ac:dyDescent="0.15">
      <c r="CP7730" s="31"/>
    </row>
    <row r="7731" spans="94:94" x14ac:dyDescent="0.15">
      <c r="CP7731" s="31"/>
    </row>
    <row r="7732" spans="94:94" x14ac:dyDescent="0.15">
      <c r="CP7732" s="31"/>
    </row>
    <row r="7733" spans="94:94" x14ac:dyDescent="0.15">
      <c r="CP7733" s="31"/>
    </row>
    <row r="7734" spans="94:94" x14ac:dyDescent="0.15">
      <c r="CP7734" s="31"/>
    </row>
    <row r="7735" spans="94:94" x14ac:dyDescent="0.15">
      <c r="CP7735" s="31"/>
    </row>
    <row r="7736" spans="94:94" x14ac:dyDescent="0.15">
      <c r="CP7736" s="31"/>
    </row>
    <row r="7737" spans="94:94" x14ac:dyDescent="0.15">
      <c r="CP7737" s="31"/>
    </row>
    <row r="7738" spans="94:94" x14ac:dyDescent="0.15">
      <c r="CP7738" s="31"/>
    </row>
    <row r="7739" spans="94:94" x14ac:dyDescent="0.15">
      <c r="CP7739" s="31"/>
    </row>
    <row r="7740" spans="94:94" x14ac:dyDescent="0.15">
      <c r="CP7740" s="31"/>
    </row>
    <row r="7741" spans="94:94" x14ac:dyDescent="0.15">
      <c r="CP7741" s="31"/>
    </row>
    <row r="7742" spans="94:94" x14ac:dyDescent="0.15">
      <c r="CP7742" s="31"/>
    </row>
    <row r="7743" spans="94:94" x14ac:dyDescent="0.15">
      <c r="CP7743" s="31"/>
    </row>
    <row r="7744" spans="94:94" x14ac:dyDescent="0.15">
      <c r="CP7744" s="31"/>
    </row>
    <row r="7745" spans="94:94" x14ac:dyDescent="0.15">
      <c r="CP7745" s="31"/>
    </row>
    <row r="7746" spans="94:94" x14ac:dyDescent="0.15">
      <c r="CP7746" s="31"/>
    </row>
    <row r="7747" spans="94:94" x14ac:dyDescent="0.15">
      <c r="CP7747" s="31"/>
    </row>
    <row r="7748" spans="94:94" x14ac:dyDescent="0.15">
      <c r="CP7748" s="31"/>
    </row>
    <row r="7749" spans="94:94" x14ac:dyDescent="0.15">
      <c r="CP7749" s="31"/>
    </row>
    <row r="7750" spans="94:94" x14ac:dyDescent="0.15">
      <c r="CP7750" s="31"/>
    </row>
    <row r="7751" spans="94:94" x14ac:dyDescent="0.15">
      <c r="CP7751" s="31"/>
    </row>
    <row r="7752" spans="94:94" x14ac:dyDescent="0.15">
      <c r="CP7752" s="31"/>
    </row>
    <row r="7753" spans="94:94" x14ac:dyDescent="0.15">
      <c r="CP7753" s="31"/>
    </row>
    <row r="7754" spans="94:94" x14ac:dyDescent="0.15">
      <c r="CP7754" s="31"/>
    </row>
    <row r="7755" spans="94:94" x14ac:dyDescent="0.15">
      <c r="CP7755" s="31"/>
    </row>
    <row r="7756" spans="94:94" x14ac:dyDescent="0.15">
      <c r="CP7756" s="31"/>
    </row>
    <row r="7757" spans="94:94" x14ac:dyDescent="0.15">
      <c r="CP7757" s="31"/>
    </row>
    <row r="7758" spans="94:94" x14ac:dyDescent="0.15">
      <c r="CP7758" s="31"/>
    </row>
    <row r="7759" spans="94:94" x14ac:dyDescent="0.15">
      <c r="CP7759" s="31"/>
    </row>
    <row r="7760" spans="94:94" x14ac:dyDescent="0.15">
      <c r="CP7760" s="31"/>
    </row>
    <row r="7761" spans="94:94" x14ac:dyDescent="0.15">
      <c r="CP7761" s="31"/>
    </row>
    <row r="7762" spans="94:94" x14ac:dyDescent="0.15">
      <c r="CP7762" s="31"/>
    </row>
    <row r="7763" spans="94:94" x14ac:dyDescent="0.15">
      <c r="CP7763" s="31"/>
    </row>
    <row r="7764" spans="94:94" x14ac:dyDescent="0.15">
      <c r="CP7764" s="31"/>
    </row>
    <row r="7765" spans="94:94" x14ac:dyDescent="0.15">
      <c r="CP7765" s="31"/>
    </row>
    <row r="7766" spans="94:94" x14ac:dyDescent="0.15">
      <c r="CP7766" s="31"/>
    </row>
    <row r="7767" spans="94:94" x14ac:dyDescent="0.15">
      <c r="CP7767" s="31"/>
    </row>
    <row r="7768" spans="94:94" x14ac:dyDescent="0.15">
      <c r="CP7768" s="31"/>
    </row>
    <row r="7769" spans="94:94" x14ac:dyDescent="0.15">
      <c r="CP7769" s="31"/>
    </row>
    <row r="7770" spans="94:94" x14ac:dyDescent="0.15">
      <c r="CP7770" s="31"/>
    </row>
    <row r="7771" spans="94:94" x14ac:dyDescent="0.15">
      <c r="CP7771" s="31"/>
    </row>
    <row r="7772" spans="94:94" x14ac:dyDescent="0.15">
      <c r="CP7772" s="31"/>
    </row>
    <row r="7773" spans="94:94" x14ac:dyDescent="0.15">
      <c r="CP7773" s="31"/>
    </row>
    <row r="7774" spans="94:94" x14ac:dyDescent="0.15">
      <c r="CP7774" s="31"/>
    </row>
    <row r="7775" spans="94:94" x14ac:dyDescent="0.15">
      <c r="CP7775" s="31"/>
    </row>
    <row r="7776" spans="94:94" x14ac:dyDescent="0.15">
      <c r="CP7776" s="31"/>
    </row>
    <row r="7777" spans="94:94" x14ac:dyDescent="0.15">
      <c r="CP7777" s="31"/>
    </row>
    <row r="7778" spans="94:94" x14ac:dyDescent="0.15">
      <c r="CP7778" s="31"/>
    </row>
    <row r="7779" spans="94:94" x14ac:dyDescent="0.15">
      <c r="CP7779" s="31"/>
    </row>
    <row r="7780" spans="94:94" x14ac:dyDescent="0.15">
      <c r="CP7780" s="31"/>
    </row>
    <row r="7781" spans="94:94" x14ac:dyDescent="0.15">
      <c r="CP7781" s="31"/>
    </row>
    <row r="7782" spans="94:94" x14ac:dyDescent="0.15">
      <c r="CP7782" s="31"/>
    </row>
    <row r="7783" spans="94:94" x14ac:dyDescent="0.15">
      <c r="CP7783" s="31"/>
    </row>
    <row r="7784" spans="94:94" x14ac:dyDescent="0.15">
      <c r="CP7784" s="31"/>
    </row>
    <row r="7785" spans="94:94" x14ac:dyDescent="0.15">
      <c r="CP7785" s="31"/>
    </row>
    <row r="7786" spans="94:94" x14ac:dyDescent="0.15">
      <c r="CP7786" s="31"/>
    </row>
    <row r="7787" spans="94:94" x14ac:dyDescent="0.15">
      <c r="CP7787" s="31"/>
    </row>
    <row r="7788" spans="94:94" x14ac:dyDescent="0.15">
      <c r="CP7788" s="31"/>
    </row>
    <row r="7789" spans="94:94" x14ac:dyDescent="0.15">
      <c r="CP7789" s="31"/>
    </row>
    <row r="7790" spans="94:94" x14ac:dyDescent="0.15">
      <c r="CP7790" s="31"/>
    </row>
    <row r="7791" spans="94:94" x14ac:dyDescent="0.15">
      <c r="CP7791" s="31"/>
    </row>
    <row r="7792" spans="94:94" x14ac:dyDescent="0.15">
      <c r="CP7792" s="31"/>
    </row>
    <row r="7793" spans="94:94" x14ac:dyDescent="0.15">
      <c r="CP7793" s="31"/>
    </row>
    <row r="7794" spans="94:94" x14ac:dyDescent="0.15">
      <c r="CP7794" s="31"/>
    </row>
    <row r="7795" spans="94:94" x14ac:dyDescent="0.15">
      <c r="CP7795" s="31"/>
    </row>
    <row r="7796" spans="94:94" x14ac:dyDescent="0.15">
      <c r="CP7796" s="31"/>
    </row>
    <row r="7797" spans="94:94" x14ac:dyDescent="0.15">
      <c r="CP7797" s="31"/>
    </row>
    <row r="7798" spans="94:94" x14ac:dyDescent="0.15">
      <c r="CP7798" s="31"/>
    </row>
    <row r="7799" spans="94:94" x14ac:dyDescent="0.15">
      <c r="CP7799" s="31"/>
    </row>
    <row r="7800" spans="94:94" x14ac:dyDescent="0.15">
      <c r="CP7800" s="31"/>
    </row>
    <row r="7801" spans="94:94" x14ac:dyDescent="0.15">
      <c r="CP7801" s="31"/>
    </row>
    <row r="7802" spans="94:94" x14ac:dyDescent="0.15">
      <c r="CP7802" s="31"/>
    </row>
    <row r="7803" spans="94:94" x14ac:dyDescent="0.15">
      <c r="CP7803" s="31"/>
    </row>
    <row r="7804" spans="94:94" x14ac:dyDescent="0.15">
      <c r="CP7804" s="31"/>
    </row>
    <row r="7805" spans="94:94" x14ac:dyDescent="0.15">
      <c r="CP7805" s="31"/>
    </row>
    <row r="7806" spans="94:94" x14ac:dyDescent="0.15">
      <c r="CP7806" s="31"/>
    </row>
    <row r="7807" spans="94:94" x14ac:dyDescent="0.15">
      <c r="CP7807" s="31"/>
    </row>
    <row r="7808" spans="94:94" x14ac:dyDescent="0.15">
      <c r="CP7808" s="31"/>
    </row>
    <row r="7809" spans="94:94" x14ac:dyDescent="0.15">
      <c r="CP7809" s="31"/>
    </row>
    <row r="7810" spans="94:94" x14ac:dyDescent="0.15">
      <c r="CP7810" s="31"/>
    </row>
    <row r="7811" spans="94:94" x14ac:dyDescent="0.15">
      <c r="CP7811" s="31"/>
    </row>
    <row r="7812" spans="94:94" x14ac:dyDescent="0.15">
      <c r="CP7812" s="31"/>
    </row>
    <row r="7813" spans="94:94" x14ac:dyDescent="0.15">
      <c r="CP7813" s="31"/>
    </row>
    <row r="7814" spans="94:94" x14ac:dyDescent="0.15">
      <c r="CP7814" s="31"/>
    </row>
    <row r="7815" spans="94:94" x14ac:dyDescent="0.15">
      <c r="CP7815" s="31"/>
    </row>
    <row r="7816" spans="94:94" x14ac:dyDescent="0.15">
      <c r="CP7816" s="31"/>
    </row>
    <row r="7817" spans="94:94" x14ac:dyDescent="0.15">
      <c r="CP7817" s="31"/>
    </row>
    <row r="7818" spans="94:94" x14ac:dyDescent="0.15">
      <c r="CP7818" s="31"/>
    </row>
    <row r="7819" spans="94:94" x14ac:dyDescent="0.15">
      <c r="CP7819" s="31"/>
    </row>
    <row r="7820" spans="94:94" x14ac:dyDescent="0.15">
      <c r="CP7820" s="31"/>
    </row>
    <row r="7821" spans="94:94" x14ac:dyDescent="0.15">
      <c r="CP7821" s="31"/>
    </row>
    <row r="7822" spans="94:94" x14ac:dyDescent="0.15">
      <c r="CP7822" s="31"/>
    </row>
    <row r="7823" spans="94:94" x14ac:dyDescent="0.15">
      <c r="CP7823" s="31"/>
    </row>
    <row r="7824" spans="94:94" x14ac:dyDescent="0.15">
      <c r="CP7824" s="31"/>
    </row>
    <row r="7825" spans="94:94" x14ac:dyDescent="0.15">
      <c r="CP7825" s="31"/>
    </row>
    <row r="7826" spans="94:94" x14ac:dyDescent="0.15">
      <c r="CP7826" s="31"/>
    </row>
    <row r="7827" spans="94:94" x14ac:dyDescent="0.15">
      <c r="CP7827" s="31"/>
    </row>
    <row r="7828" spans="94:94" x14ac:dyDescent="0.15">
      <c r="CP7828" s="31"/>
    </row>
    <row r="7829" spans="94:94" x14ac:dyDescent="0.15">
      <c r="CP7829" s="31"/>
    </row>
    <row r="7830" spans="94:94" x14ac:dyDescent="0.15">
      <c r="CP7830" s="31"/>
    </row>
    <row r="7831" spans="94:94" x14ac:dyDescent="0.15">
      <c r="CP7831" s="31"/>
    </row>
    <row r="7832" spans="94:94" x14ac:dyDescent="0.15">
      <c r="CP7832" s="31"/>
    </row>
    <row r="7833" spans="94:94" x14ac:dyDescent="0.15">
      <c r="CP7833" s="31"/>
    </row>
    <row r="7834" spans="94:94" x14ac:dyDescent="0.15">
      <c r="CP7834" s="31"/>
    </row>
    <row r="7835" spans="94:94" x14ac:dyDescent="0.15">
      <c r="CP7835" s="31"/>
    </row>
    <row r="7836" spans="94:94" x14ac:dyDescent="0.15">
      <c r="CP7836" s="31"/>
    </row>
    <row r="7837" spans="94:94" x14ac:dyDescent="0.15">
      <c r="CP7837" s="31"/>
    </row>
    <row r="7838" spans="94:94" x14ac:dyDescent="0.15">
      <c r="CP7838" s="31"/>
    </row>
    <row r="7839" spans="94:94" x14ac:dyDescent="0.15">
      <c r="CP7839" s="31"/>
    </row>
    <row r="7840" spans="94:94" x14ac:dyDescent="0.15">
      <c r="CP7840" s="31"/>
    </row>
    <row r="7841" spans="94:94" x14ac:dyDescent="0.15">
      <c r="CP7841" s="31"/>
    </row>
    <row r="7842" spans="94:94" x14ac:dyDescent="0.15">
      <c r="CP7842" s="31"/>
    </row>
    <row r="7843" spans="94:94" x14ac:dyDescent="0.15">
      <c r="CP7843" s="31"/>
    </row>
    <row r="7844" spans="94:94" x14ac:dyDescent="0.15">
      <c r="CP7844" s="31"/>
    </row>
    <row r="7845" spans="94:94" x14ac:dyDescent="0.15">
      <c r="CP7845" s="31"/>
    </row>
    <row r="7846" spans="94:94" x14ac:dyDescent="0.15">
      <c r="CP7846" s="31"/>
    </row>
    <row r="7847" spans="94:94" x14ac:dyDescent="0.15">
      <c r="CP7847" s="31"/>
    </row>
    <row r="7848" spans="94:94" x14ac:dyDescent="0.15">
      <c r="CP7848" s="31"/>
    </row>
    <row r="7849" spans="94:94" x14ac:dyDescent="0.15">
      <c r="CP7849" s="31"/>
    </row>
    <row r="7850" spans="94:94" x14ac:dyDescent="0.15">
      <c r="CP7850" s="31"/>
    </row>
    <row r="7851" spans="94:94" x14ac:dyDescent="0.15">
      <c r="CP7851" s="31"/>
    </row>
    <row r="7852" spans="94:94" x14ac:dyDescent="0.15">
      <c r="CP7852" s="31"/>
    </row>
    <row r="7853" spans="94:94" x14ac:dyDescent="0.15">
      <c r="CP7853" s="31"/>
    </row>
    <row r="7854" spans="94:94" x14ac:dyDescent="0.15">
      <c r="CP7854" s="31"/>
    </row>
    <row r="7855" spans="94:94" x14ac:dyDescent="0.15">
      <c r="CP7855" s="31"/>
    </row>
    <row r="7856" spans="94:94" x14ac:dyDescent="0.15">
      <c r="CP7856" s="31"/>
    </row>
    <row r="7857" spans="94:94" x14ac:dyDescent="0.15">
      <c r="CP7857" s="31"/>
    </row>
    <row r="7858" spans="94:94" x14ac:dyDescent="0.15">
      <c r="CP7858" s="31"/>
    </row>
    <row r="7859" spans="94:94" x14ac:dyDescent="0.15">
      <c r="CP7859" s="31"/>
    </row>
    <row r="7860" spans="94:94" x14ac:dyDescent="0.15">
      <c r="CP7860" s="31"/>
    </row>
    <row r="7861" spans="94:94" x14ac:dyDescent="0.15">
      <c r="CP7861" s="31"/>
    </row>
    <row r="7862" spans="94:94" x14ac:dyDescent="0.15">
      <c r="CP7862" s="31"/>
    </row>
    <row r="7863" spans="94:94" x14ac:dyDescent="0.15">
      <c r="CP7863" s="31"/>
    </row>
    <row r="7864" spans="94:94" x14ac:dyDescent="0.15">
      <c r="CP7864" s="31"/>
    </row>
    <row r="7865" spans="94:94" x14ac:dyDescent="0.15">
      <c r="CP7865" s="31"/>
    </row>
    <row r="7866" spans="94:94" x14ac:dyDescent="0.15">
      <c r="CP7866" s="31"/>
    </row>
    <row r="7867" spans="94:94" x14ac:dyDescent="0.15">
      <c r="CP7867" s="31"/>
    </row>
    <row r="7868" spans="94:94" x14ac:dyDescent="0.15">
      <c r="CP7868" s="31"/>
    </row>
    <row r="7869" spans="94:94" x14ac:dyDescent="0.15">
      <c r="CP7869" s="31"/>
    </row>
    <row r="7870" spans="94:94" x14ac:dyDescent="0.15">
      <c r="CP7870" s="31"/>
    </row>
    <row r="7871" spans="94:94" x14ac:dyDescent="0.15">
      <c r="CP7871" s="31"/>
    </row>
    <row r="7872" spans="94:94" x14ac:dyDescent="0.15">
      <c r="CP7872" s="31"/>
    </row>
    <row r="7873" spans="94:94" x14ac:dyDescent="0.15">
      <c r="CP7873" s="31"/>
    </row>
    <row r="7874" spans="94:94" x14ac:dyDescent="0.15">
      <c r="CP7874" s="31"/>
    </row>
    <row r="7875" spans="94:94" x14ac:dyDescent="0.15">
      <c r="CP7875" s="31"/>
    </row>
    <row r="7876" spans="94:94" x14ac:dyDescent="0.15">
      <c r="CP7876" s="31"/>
    </row>
    <row r="7877" spans="94:94" x14ac:dyDescent="0.15">
      <c r="CP7877" s="31"/>
    </row>
    <row r="7878" spans="94:94" x14ac:dyDescent="0.15">
      <c r="CP7878" s="31"/>
    </row>
    <row r="7879" spans="94:94" x14ac:dyDescent="0.15">
      <c r="CP7879" s="31"/>
    </row>
    <row r="7880" spans="94:94" x14ac:dyDescent="0.15">
      <c r="CP7880" s="31"/>
    </row>
    <row r="7881" spans="94:94" x14ac:dyDescent="0.15">
      <c r="CP7881" s="31"/>
    </row>
    <row r="7882" spans="94:94" x14ac:dyDescent="0.15">
      <c r="CP7882" s="31"/>
    </row>
    <row r="7883" spans="94:94" x14ac:dyDescent="0.15">
      <c r="CP7883" s="31"/>
    </row>
    <row r="7884" spans="94:94" x14ac:dyDescent="0.15">
      <c r="CP7884" s="31"/>
    </row>
    <row r="7885" spans="94:94" x14ac:dyDescent="0.15">
      <c r="CP7885" s="31"/>
    </row>
    <row r="7886" spans="94:94" x14ac:dyDescent="0.15">
      <c r="CP7886" s="31"/>
    </row>
    <row r="7887" spans="94:94" x14ac:dyDescent="0.15">
      <c r="CP7887" s="31"/>
    </row>
    <row r="7888" spans="94:94" x14ac:dyDescent="0.15">
      <c r="CP7888" s="31"/>
    </row>
    <row r="7889" spans="94:94" x14ac:dyDescent="0.15">
      <c r="CP7889" s="31"/>
    </row>
    <row r="7890" spans="94:94" x14ac:dyDescent="0.15">
      <c r="CP7890" s="31"/>
    </row>
    <row r="7891" spans="94:94" x14ac:dyDescent="0.15">
      <c r="CP7891" s="31"/>
    </row>
    <row r="7892" spans="94:94" x14ac:dyDescent="0.15">
      <c r="CP7892" s="31"/>
    </row>
    <row r="7893" spans="94:94" x14ac:dyDescent="0.15">
      <c r="CP7893" s="31"/>
    </row>
    <row r="7894" spans="94:94" x14ac:dyDescent="0.15">
      <c r="CP7894" s="31"/>
    </row>
    <row r="7895" spans="94:94" x14ac:dyDescent="0.15">
      <c r="CP7895" s="31"/>
    </row>
    <row r="7896" spans="94:94" x14ac:dyDescent="0.15">
      <c r="CP7896" s="31"/>
    </row>
    <row r="7897" spans="94:94" x14ac:dyDescent="0.15">
      <c r="CP7897" s="31"/>
    </row>
    <row r="7898" spans="94:94" x14ac:dyDescent="0.15">
      <c r="CP7898" s="31"/>
    </row>
    <row r="7899" spans="94:94" x14ac:dyDescent="0.15">
      <c r="CP7899" s="31"/>
    </row>
    <row r="7900" spans="94:94" x14ac:dyDescent="0.15">
      <c r="CP7900" s="31"/>
    </row>
    <row r="7901" spans="94:94" x14ac:dyDescent="0.15">
      <c r="CP7901" s="31"/>
    </row>
    <row r="7902" spans="94:94" x14ac:dyDescent="0.15">
      <c r="CP7902" s="31"/>
    </row>
    <row r="7903" spans="94:94" x14ac:dyDescent="0.15">
      <c r="CP7903" s="31"/>
    </row>
    <row r="7904" spans="94:94" x14ac:dyDescent="0.15">
      <c r="CP7904" s="31"/>
    </row>
    <row r="7905" spans="94:94" x14ac:dyDescent="0.15">
      <c r="CP7905" s="31"/>
    </row>
    <row r="7906" spans="94:94" x14ac:dyDescent="0.15">
      <c r="CP7906" s="31"/>
    </row>
    <row r="7907" spans="94:94" x14ac:dyDescent="0.15">
      <c r="CP7907" s="31"/>
    </row>
    <row r="7908" spans="94:94" x14ac:dyDescent="0.15">
      <c r="CP7908" s="31"/>
    </row>
    <row r="7909" spans="94:94" x14ac:dyDescent="0.15">
      <c r="CP7909" s="31"/>
    </row>
    <row r="7910" spans="94:94" x14ac:dyDescent="0.15">
      <c r="CP7910" s="31"/>
    </row>
    <row r="7911" spans="94:94" x14ac:dyDescent="0.15">
      <c r="CP7911" s="31"/>
    </row>
    <row r="7912" spans="94:94" x14ac:dyDescent="0.15">
      <c r="CP7912" s="31"/>
    </row>
    <row r="7913" spans="94:94" x14ac:dyDescent="0.15">
      <c r="CP7913" s="31"/>
    </row>
    <row r="7914" spans="94:94" x14ac:dyDescent="0.15">
      <c r="CP7914" s="31"/>
    </row>
    <row r="7915" spans="94:94" x14ac:dyDescent="0.15">
      <c r="CP7915" s="31"/>
    </row>
    <row r="7916" spans="94:94" x14ac:dyDescent="0.15">
      <c r="CP7916" s="31"/>
    </row>
    <row r="7917" spans="94:94" x14ac:dyDescent="0.15">
      <c r="CP7917" s="31"/>
    </row>
    <row r="7918" spans="94:94" x14ac:dyDescent="0.15">
      <c r="CP7918" s="31"/>
    </row>
    <row r="7919" spans="94:94" x14ac:dyDescent="0.15">
      <c r="CP7919" s="31"/>
    </row>
    <row r="7920" spans="94:94" x14ac:dyDescent="0.15">
      <c r="CP7920" s="31"/>
    </row>
    <row r="7921" spans="94:94" x14ac:dyDescent="0.15">
      <c r="CP7921" s="31"/>
    </row>
    <row r="7922" spans="94:94" x14ac:dyDescent="0.15">
      <c r="CP7922" s="31"/>
    </row>
    <row r="7923" spans="94:94" x14ac:dyDescent="0.15">
      <c r="CP7923" s="31"/>
    </row>
    <row r="7924" spans="94:94" x14ac:dyDescent="0.15">
      <c r="CP7924" s="31"/>
    </row>
    <row r="7925" spans="94:94" x14ac:dyDescent="0.15">
      <c r="CP7925" s="31"/>
    </row>
    <row r="7926" spans="94:94" x14ac:dyDescent="0.15">
      <c r="CP7926" s="31"/>
    </row>
    <row r="7927" spans="94:94" x14ac:dyDescent="0.15">
      <c r="CP7927" s="31"/>
    </row>
    <row r="7928" spans="94:94" x14ac:dyDescent="0.15">
      <c r="CP7928" s="31"/>
    </row>
    <row r="7929" spans="94:94" x14ac:dyDescent="0.15">
      <c r="CP7929" s="31"/>
    </row>
    <row r="7930" spans="94:94" x14ac:dyDescent="0.15">
      <c r="CP7930" s="31"/>
    </row>
    <row r="7931" spans="94:94" x14ac:dyDescent="0.15">
      <c r="CP7931" s="31"/>
    </row>
    <row r="7932" spans="94:94" x14ac:dyDescent="0.15">
      <c r="CP7932" s="31"/>
    </row>
    <row r="7933" spans="94:94" x14ac:dyDescent="0.15">
      <c r="CP7933" s="31"/>
    </row>
    <row r="7934" spans="94:94" x14ac:dyDescent="0.15">
      <c r="CP7934" s="31"/>
    </row>
    <row r="7935" spans="94:94" x14ac:dyDescent="0.15">
      <c r="CP7935" s="31"/>
    </row>
    <row r="7936" spans="94:94" x14ac:dyDescent="0.15">
      <c r="CP7936" s="31"/>
    </row>
    <row r="7937" spans="94:94" x14ac:dyDescent="0.15">
      <c r="CP7937" s="31"/>
    </row>
    <row r="7938" spans="94:94" x14ac:dyDescent="0.15">
      <c r="CP7938" s="31"/>
    </row>
    <row r="7939" spans="94:94" x14ac:dyDescent="0.15">
      <c r="CP7939" s="31"/>
    </row>
    <row r="7940" spans="94:94" x14ac:dyDescent="0.15">
      <c r="CP7940" s="31"/>
    </row>
    <row r="7941" spans="94:94" x14ac:dyDescent="0.15">
      <c r="CP7941" s="31"/>
    </row>
    <row r="7942" spans="94:94" x14ac:dyDescent="0.15">
      <c r="CP7942" s="31"/>
    </row>
    <row r="7943" spans="94:94" x14ac:dyDescent="0.15">
      <c r="CP7943" s="31"/>
    </row>
    <row r="7944" spans="94:94" x14ac:dyDescent="0.15">
      <c r="CP7944" s="31"/>
    </row>
    <row r="7945" spans="94:94" x14ac:dyDescent="0.15">
      <c r="CP7945" s="31"/>
    </row>
    <row r="7946" spans="94:94" x14ac:dyDescent="0.15">
      <c r="CP7946" s="31"/>
    </row>
    <row r="7947" spans="94:94" x14ac:dyDescent="0.15">
      <c r="CP7947" s="31"/>
    </row>
    <row r="7948" spans="94:94" x14ac:dyDescent="0.15">
      <c r="CP7948" s="31"/>
    </row>
    <row r="7949" spans="94:94" x14ac:dyDescent="0.15">
      <c r="CP7949" s="31"/>
    </row>
    <row r="7950" spans="94:94" x14ac:dyDescent="0.15">
      <c r="CP7950" s="31"/>
    </row>
    <row r="7951" spans="94:94" x14ac:dyDescent="0.15">
      <c r="CP7951" s="31"/>
    </row>
    <row r="7952" spans="94:94" x14ac:dyDescent="0.15">
      <c r="CP7952" s="31"/>
    </row>
    <row r="7953" spans="94:94" x14ac:dyDescent="0.15">
      <c r="CP7953" s="31"/>
    </row>
    <row r="7954" spans="94:94" x14ac:dyDescent="0.15">
      <c r="CP7954" s="31"/>
    </row>
    <row r="7955" spans="94:94" x14ac:dyDescent="0.15">
      <c r="CP7955" s="31"/>
    </row>
    <row r="7956" spans="94:94" x14ac:dyDescent="0.15">
      <c r="CP7956" s="31"/>
    </row>
    <row r="7957" spans="94:94" x14ac:dyDescent="0.15">
      <c r="CP7957" s="31"/>
    </row>
    <row r="7958" spans="94:94" x14ac:dyDescent="0.15">
      <c r="CP7958" s="31"/>
    </row>
    <row r="7959" spans="94:94" x14ac:dyDescent="0.15">
      <c r="CP7959" s="31"/>
    </row>
    <row r="7960" spans="94:94" x14ac:dyDescent="0.15">
      <c r="CP7960" s="31"/>
    </row>
    <row r="7961" spans="94:94" x14ac:dyDescent="0.15">
      <c r="CP7961" s="31"/>
    </row>
    <row r="7962" spans="94:94" x14ac:dyDescent="0.15">
      <c r="CP7962" s="31"/>
    </row>
    <row r="7963" spans="94:94" x14ac:dyDescent="0.15">
      <c r="CP7963" s="31"/>
    </row>
    <row r="7964" spans="94:94" x14ac:dyDescent="0.15">
      <c r="CP7964" s="31"/>
    </row>
    <row r="7965" spans="94:94" x14ac:dyDescent="0.15">
      <c r="CP7965" s="31"/>
    </row>
    <row r="7966" spans="94:94" x14ac:dyDescent="0.15">
      <c r="CP7966" s="31"/>
    </row>
    <row r="7967" spans="94:94" x14ac:dyDescent="0.15">
      <c r="CP7967" s="31"/>
    </row>
    <row r="7968" spans="94:94" x14ac:dyDescent="0.15">
      <c r="CP7968" s="31"/>
    </row>
    <row r="7969" spans="94:94" x14ac:dyDescent="0.15">
      <c r="CP7969" s="31"/>
    </row>
    <row r="7970" spans="94:94" x14ac:dyDescent="0.15">
      <c r="CP7970" s="31"/>
    </row>
    <row r="7971" spans="94:94" x14ac:dyDescent="0.15">
      <c r="CP7971" s="31"/>
    </row>
    <row r="7972" spans="94:94" x14ac:dyDescent="0.15">
      <c r="CP7972" s="31"/>
    </row>
    <row r="7973" spans="94:94" x14ac:dyDescent="0.15">
      <c r="CP7973" s="31"/>
    </row>
    <row r="7974" spans="94:94" x14ac:dyDescent="0.15">
      <c r="CP7974" s="31"/>
    </row>
    <row r="7975" spans="94:94" x14ac:dyDescent="0.15">
      <c r="CP7975" s="31"/>
    </row>
    <row r="7976" spans="94:94" x14ac:dyDescent="0.15">
      <c r="CP7976" s="31"/>
    </row>
    <row r="7977" spans="94:94" x14ac:dyDescent="0.15">
      <c r="CP7977" s="31"/>
    </row>
    <row r="7978" spans="94:94" x14ac:dyDescent="0.15">
      <c r="CP7978" s="31"/>
    </row>
    <row r="7979" spans="94:94" x14ac:dyDescent="0.15">
      <c r="CP7979" s="31"/>
    </row>
    <row r="7980" spans="94:94" x14ac:dyDescent="0.15">
      <c r="CP7980" s="31"/>
    </row>
    <row r="7981" spans="94:94" x14ac:dyDescent="0.15">
      <c r="CP7981" s="31"/>
    </row>
    <row r="7982" spans="94:94" x14ac:dyDescent="0.15">
      <c r="CP7982" s="31"/>
    </row>
    <row r="7983" spans="94:94" x14ac:dyDescent="0.15">
      <c r="CP7983" s="31"/>
    </row>
    <row r="7984" spans="94:94" x14ac:dyDescent="0.15">
      <c r="CP7984" s="31"/>
    </row>
    <row r="7985" spans="94:94" x14ac:dyDescent="0.15">
      <c r="CP7985" s="31"/>
    </row>
    <row r="7986" spans="94:94" x14ac:dyDescent="0.15">
      <c r="CP7986" s="31"/>
    </row>
    <row r="7987" spans="94:94" x14ac:dyDescent="0.15">
      <c r="CP7987" s="31"/>
    </row>
    <row r="7988" spans="94:94" x14ac:dyDescent="0.15">
      <c r="CP7988" s="31"/>
    </row>
    <row r="7989" spans="94:94" x14ac:dyDescent="0.15">
      <c r="CP7989" s="31"/>
    </row>
    <row r="7990" spans="94:94" x14ac:dyDescent="0.15">
      <c r="CP7990" s="31"/>
    </row>
    <row r="7991" spans="94:94" x14ac:dyDescent="0.15">
      <c r="CP7991" s="31"/>
    </row>
    <row r="7992" spans="94:94" x14ac:dyDescent="0.15">
      <c r="CP7992" s="31"/>
    </row>
    <row r="7993" spans="94:94" x14ac:dyDescent="0.15">
      <c r="CP7993" s="31"/>
    </row>
    <row r="7994" spans="94:94" x14ac:dyDescent="0.15">
      <c r="CP7994" s="31"/>
    </row>
    <row r="7995" spans="94:94" x14ac:dyDescent="0.15">
      <c r="CP7995" s="31"/>
    </row>
    <row r="7996" spans="94:94" x14ac:dyDescent="0.15">
      <c r="CP7996" s="31"/>
    </row>
    <row r="7997" spans="94:94" x14ac:dyDescent="0.15">
      <c r="CP7997" s="31"/>
    </row>
    <row r="7998" spans="94:94" x14ac:dyDescent="0.15">
      <c r="CP7998" s="31"/>
    </row>
    <row r="7999" spans="94:94" x14ac:dyDescent="0.15">
      <c r="CP7999" s="31"/>
    </row>
    <row r="8000" spans="94:94" x14ac:dyDescent="0.15">
      <c r="CP8000" s="31"/>
    </row>
    <row r="8001" spans="94:94" x14ac:dyDescent="0.15">
      <c r="CP8001" s="31"/>
    </row>
    <row r="8002" spans="94:94" x14ac:dyDescent="0.15">
      <c r="CP8002" s="31"/>
    </row>
    <row r="8003" spans="94:94" x14ac:dyDescent="0.15">
      <c r="CP8003" s="31"/>
    </row>
    <row r="8004" spans="94:94" x14ac:dyDescent="0.15">
      <c r="CP8004" s="31"/>
    </row>
    <row r="8005" spans="94:94" x14ac:dyDescent="0.15">
      <c r="CP8005" s="31"/>
    </row>
    <row r="8006" spans="94:94" x14ac:dyDescent="0.15">
      <c r="CP8006" s="31"/>
    </row>
    <row r="8007" spans="94:94" x14ac:dyDescent="0.15">
      <c r="CP8007" s="31"/>
    </row>
    <row r="8008" spans="94:94" x14ac:dyDescent="0.15">
      <c r="CP8008" s="31"/>
    </row>
    <row r="8009" spans="94:94" x14ac:dyDescent="0.15">
      <c r="CP8009" s="31"/>
    </row>
    <row r="8010" spans="94:94" x14ac:dyDescent="0.15">
      <c r="CP8010" s="31"/>
    </row>
    <row r="8011" spans="94:94" x14ac:dyDescent="0.15">
      <c r="CP8011" s="31"/>
    </row>
    <row r="8012" spans="94:94" x14ac:dyDescent="0.15">
      <c r="CP8012" s="31"/>
    </row>
    <row r="8013" spans="94:94" x14ac:dyDescent="0.15">
      <c r="CP8013" s="31"/>
    </row>
    <row r="8014" spans="94:94" x14ac:dyDescent="0.15">
      <c r="CP8014" s="31"/>
    </row>
    <row r="8015" spans="94:94" x14ac:dyDescent="0.15">
      <c r="CP8015" s="31"/>
    </row>
    <row r="8016" spans="94:94" x14ac:dyDescent="0.15">
      <c r="CP8016" s="31"/>
    </row>
    <row r="8017" spans="94:94" x14ac:dyDescent="0.15">
      <c r="CP8017" s="31"/>
    </row>
    <row r="8018" spans="94:94" x14ac:dyDescent="0.15">
      <c r="CP8018" s="31"/>
    </row>
    <row r="8019" spans="94:94" x14ac:dyDescent="0.15">
      <c r="CP8019" s="31"/>
    </row>
    <row r="8020" spans="94:94" x14ac:dyDescent="0.15">
      <c r="CP8020" s="31"/>
    </row>
    <row r="8021" spans="94:94" x14ac:dyDescent="0.15">
      <c r="CP8021" s="31"/>
    </row>
    <row r="8022" spans="94:94" x14ac:dyDescent="0.15">
      <c r="CP8022" s="31"/>
    </row>
    <row r="8023" spans="94:94" x14ac:dyDescent="0.15">
      <c r="CP8023" s="31"/>
    </row>
    <row r="8024" spans="94:94" x14ac:dyDescent="0.15">
      <c r="CP8024" s="31"/>
    </row>
    <row r="8025" spans="94:94" x14ac:dyDescent="0.15">
      <c r="CP8025" s="31"/>
    </row>
    <row r="8026" spans="94:94" x14ac:dyDescent="0.15">
      <c r="CP8026" s="31"/>
    </row>
    <row r="8027" spans="94:94" x14ac:dyDescent="0.15">
      <c r="CP8027" s="31"/>
    </row>
    <row r="8028" spans="94:94" x14ac:dyDescent="0.15">
      <c r="CP8028" s="31"/>
    </row>
    <row r="8029" spans="94:94" x14ac:dyDescent="0.15">
      <c r="CP8029" s="31"/>
    </row>
    <row r="8030" spans="94:94" x14ac:dyDescent="0.15">
      <c r="CP8030" s="31"/>
    </row>
    <row r="8031" spans="94:94" x14ac:dyDescent="0.15">
      <c r="CP8031" s="31"/>
    </row>
    <row r="8032" spans="94:94" x14ac:dyDescent="0.15">
      <c r="CP8032" s="31"/>
    </row>
    <row r="8033" spans="94:94" x14ac:dyDescent="0.15">
      <c r="CP8033" s="31"/>
    </row>
    <row r="8034" spans="94:94" x14ac:dyDescent="0.15">
      <c r="CP8034" s="31"/>
    </row>
    <row r="8035" spans="94:94" x14ac:dyDescent="0.15">
      <c r="CP8035" s="31"/>
    </row>
    <row r="8036" spans="94:94" x14ac:dyDescent="0.15">
      <c r="CP8036" s="31"/>
    </row>
    <row r="8037" spans="94:94" x14ac:dyDescent="0.15">
      <c r="CP8037" s="31"/>
    </row>
    <row r="8038" spans="94:94" x14ac:dyDescent="0.15">
      <c r="CP8038" s="31"/>
    </row>
    <row r="8039" spans="94:94" x14ac:dyDescent="0.15">
      <c r="CP8039" s="31"/>
    </row>
    <row r="8040" spans="94:94" x14ac:dyDescent="0.15">
      <c r="CP8040" s="31"/>
    </row>
    <row r="8041" spans="94:94" x14ac:dyDescent="0.15">
      <c r="CP8041" s="31"/>
    </row>
    <row r="8042" spans="94:94" x14ac:dyDescent="0.15">
      <c r="CP8042" s="31"/>
    </row>
    <row r="8043" spans="94:94" x14ac:dyDescent="0.15">
      <c r="CP8043" s="31"/>
    </row>
    <row r="8044" spans="94:94" x14ac:dyDescent="0.15">
      <c r="CP8044" s="31"/>
    </row>
    <row r="8045" spans="94:94" x14ac:dyDescent="0.15">
      <c r="CP8045" s="31"/>
    </row>
    <row r="8046" spans="94:94" x14ac:dyDescent="0.15">
      <c r="CP8046" s="31"/>
    </row>
    <row r="8047" spans="94:94" x14ac:dyDescent="0.15">
      <c r="CP8047" s="31"/>
    </row>
    <row r="8048" spans="94:94" x14ac:dyDescent="0.15">
      <c r="CP8048" s="31"/>
    </row>
    <row r="8049" spans="94:94" x14ac:dyDescent="0.15">
      <c r="CP8049" s="31"/>
    </row>
    <row r="8050" spans="94:94" x14ac:dyDescent="0.15">
      <c r="CP8050" s="31"/>
    </row>
    <row r="8051" spans="94:94" x14ac:dyDescent="0.15">
      <c r="CP8051" s="31"/>
    </row>
    <row r="8052" spans="94:94" x14ac:dyDescent="0.15">
      <c r="CP8052" s="31"/>
    </row>
    <row r="8053" spans="94:94" x14ac:dyDescent="0.15">
      <c r="CP8053" s="31"/>
    </row>
    <row r="8054" spans="94:94" x14ac:dyDescent="0.15">
      <c r="CP8054" s="31"/>
    </row>
    <row r="8055" spans="94:94" x14ac:dyDescent="0.15">
      <c r="CP8055" s="31"/>
    </row>
    <row r="8056" spans="94:94" x14ac:dyDescent="0.15">
      <c r="CP8056" s="31"/>
    </row>
    <row r="8057" spans="94:94" x14ac:dyDescent="0.15">
      <c r="CP8057" s="31"/>
    </row>
    <row r="8058" spans="94:94" x14ac:dyDescent="0.15">
      <c r="CP8058" s="31"/>
    </row>
    <row r="8059" spans="94:94" x14ac:dyDescent="0.15">
      <c r="CP8059" s="31"/>
    </row>
    <row r="8060" spans="94:94" x14ac:dyDescent="0.15">
      <c r="CP8060" s="31"/>
    </row>
    <row r="8061" spans="94:94" x14ac:dyDescent="0.15">
      <c r="CP8061" s="31"/>
    </row>
    <row r="8062" spans="94:94" x14ac:dyDescent="0.15">
      <c r="CP8062" s="31"/>
    </row>
    <row r="8063" spans="94:94" x14ac:dyDescent="0.15">
      <c r="CP8063" s="31"/>
    </row>
    <row r="8064" spans="94:94" x14ac:dyDescent="0.15">
      <c r="CP8064" s="31"/>
    </row>
    <row r="8065" spans="94:94" x14ac:dyDescent="0.15">
      <c r="CP8065" s="31"/>
    </row>
    <row r="8066" spans="94:94" x14ac:dyDescent="0.15">
      <c r="CP8066" s="31"/>
    </row>
    <row r="8067" spans="94:94" x14ac:dyDescent="0.15">
      <c r="CP8067" s="31"/>
    </row>
    <row r="8068" spans="94:94" x14ac:dyDescent="0.15">
      <c r="CP8068" s="31"/>
    </row>
    <row r="8069" spans="94:94" x14ac:dyDescent="0.15">
      <c r="CP8069" s="31"/>
    </row>
    <row r="8070" spans="94:94" x14ac:dyDescent="0.15">
      <c r="CP8070" s="31"/>
    </row>
    <row r="8071" spans="94:94" x14ac:dyDescent="0.15">
      <c r="CP8071" s="31"/>
    </row>
    <row r="8072" spans="94:94" x14ac:dyDescent="0.15">
      <c r="CP8072" s="31"/>
    </row>
    <row r="8073" spans="94:94" x14ac:dyDescent="0.15">
      <c r="CP8073" s="31"/>
    </row>
    <row r="8074" spans="94:94" x14ac:dyDescent="0.15">
      <c r="CP8074" s="31"/>
    </row>
    <row r="8075" spans="94:94" x14ac:dyDescent="0.15">
      <c r="CP8075" s="31"/>
    </row>
    <row r="8076" spans="94:94" x14ac:dyDescent="0.15">
      <c r="CP8076" s="31"/>
    </row>
    <row r="8077" spans="94:94" x14ac:dyDescent="0.15">
      <c r="CP8077" s="31"/>
    </row>
    <row r="8078" spans="94:94" x14ac:dyDescent="0.15">
      <c r="CP8078" s="31"/>
    </row>
    <row r="8079" spans="94:94" x14ac:dyDescent="0.15">
      <c r="CP8079" s="31"/>
    </row>
    <row r="8080" spans="94:94" x14ac:dyDescent="0.15">
      <c r="CP8080" s="31"/>
    </row>
    <row r="8081" spans="94:94" x14ac:dyDescent="0.15">
      <c r="CP8081" s="31"/>
    </row>
    <row r="8082" spans="94:94" x14ac:dyDescent="0.15">
      <c r="CP8082" s="31"/>
    </row>
    <row r="8083" spans="94:94" x14ac:dyDescent="0.15">
      <c r="CP8083" s="31"/>
    </row>
    <row r="8084" spans="94:94" x14ac:dyDescent="0.15">
      <c r="CP8084" s="31"/>
    </row>
    <row r="8085" spans="94:94" x14ac:dyDescent="0.15">
      <c r="CP8085" s="31"/>
    </row>
    <row r="8086" spans="94:94" x14ac:dyDescent="0.15">
      <c r="CP8086" s="31"/>
    </row>
    <row r="8087" spans="94:94" x14ac:dyDescent="0.15">
      <c r="CP8087" s="31"/>
    </row>
    <row r="8088" spans="94:94" x14ac:dyDescent="0.15">
      <c r="CP8088" s="31"/>
    </row>
    <row r="8089" spans="94:94" x14ac:dyDescent="0.15">
      <c r="CP8089" s="31"/>
    </row>
    <row r="8090" spans="94:94" x14ac:dyDescent="0.15">
      <c r="CP8090" s="31"/>
    </row>
    <row r="8091" spans="94:94" x14ac:dyDescent="0.15">
      <c r="CP8091" s="31"/>
    </row>
    <row r="8092" spans="94:94" x14ac:dyDescent="0.15">
      <c r="CP8092" s="31"/>
    </row>
    <row r="8093" spans="94:94" x14ac:dyDescent="0.15">
      <c r="CP8093" s="31"/>
    </row>
    <row r="8094" spans="94:94" x14ac:dyDescent="0.15">
      <c r="CP8094" s="31"/>
    </row>
    <row r="8095" spans="94:94" x14ac:dyDescent="0.15">
      <c r="CP8095" s="31"/>
    </row>
    <row r="8096" spans="94:94" x14ac:dyDescent="0.15">
      <c r="CP8096" s="31"/>
    </row>
    <row r="8097" spans="94:94" x14ac:dyDescent="0.15">
      <c r="CP8097" s="31"/>
    </row>
    <row r="8098" spans="94:94" x14ac:dyDescent="0.15">
      <c r="CP8098" s="31"/>
    </row>
    <row r="8099" spans="94:94" x14ac:dyDescent="0.15">
      <c r="CP8099" s="31"/>
    </row>
    <row r="8100" spans="94:94" x14ac:dyDescent="0.15">
      <c r="CP8100" s="31"/>
    </row>
    <row r="8101" spans="94:94" x14ac:dyDescent="0.15">
      <c r="CP8101" s="31"/>
    </row>
    <row r="8102" spans="94:94" x14ac:dyDescent="0.15">
      <c r="CP8102" s="31"/>
    </row>
    <row r="8103" spans="94:94" x14ac:dyDescent="0.15">
      <c r="CP8103" s="31"/>
    </row>
    <row r="8104" spans="94:94" x14ac:dyDescent="0.15">
      <c r="CP8104" s="31"/>
    </row>
    <row r="8105" spans="94:94" x14ac:dyDescent="0.15">
      <c r="CP8105" s="31"/>
    </row>
    <row r="8106" spans="94:94" x14ac:dyDescent="0.15">
      <c r="CP8106" s="31"/>
    </row>
    <row r="8107" spans="94:94" x14ac:dyDescent="0.15">
      <c r="CP8107" s="31"/>
    </row>
    <row r="8108" spans="94:94" x14ac:dyDescent="0.15">
      <c r="CP8108" s="31"/>
    </row>
    <row r="8109" spans="94:94" x14ac:dyDescent="0.15">
      <c r="CP8109" s="31"/>
    </row>
    <row r="8110" spans="94:94" x14ac:dyDescent="0.15">
      <c r="CP8110" s="31"/>
    </row>
    <row r="8111" spans="94:94" x14ac:dyDescent="0.15">
      <c r="CP8111" s="31"/>
    </row>
    <row r="8112" spans="94:94" x14ac:dyDescent="0.15">
      <c r="CP8112" s="31"/>
    </row>
    <row r="8113" spans="94:94" x14ac:dyDescent="0.15">
      <c r="CP8113" s="31"/>
    </row>
    <row r="8114" spans="94:94" x14ac:dyDescent="0.15">
      <c r="CP8114" s="31"/>
    </row>
    <row r="8115" spans="94:94" x14ac:dyDescent="0.15">
      <c r="CP8115" s="31"/>
    </row>
    <row r="8116" spans="94:94" x14ac:dyDescent="0.15">
      <c r="CP8116" s="31"/>
    </row>
    <row r="8117" spans="94:94" x14ac:dyDescent="0.15">
      <c r="CP8117" s="31"/>
    </row>
    <row r="8118" spans="94:94" x14ac:dyDescent="0.15">
      <c r="CP8118" s="31"/>
    </row>
    <row r="8119" spans="94:94" x14ac:dyDescent="0.15">
      <c r="CP8119" s="31"/>
    </row>
    <row r="8120" spans="94:94" x14ac:dyDescent="0.15">
      <c r="CP8120" s="31"/>
    </row>
    <row r="8121" spans="94:94" x14ac:dyDescent="0.15">
      <c r="CP8121" s="31"/>
    </row>
    <row r="8122" spans="94:94" x14ac:dyDescent="0.15">
      <c r="CP8122" s="31"/>
    </row>
    <row r="8123" spans="94:94" x14ac:dyDescent="0.15">
      <c r="CP8123" s="31"/>
    </row>
    <row r="8124" spans="94:94" x14ac:dyDescent="0.15">
      <c r="CP8124" s="31"/>
    </row>
    <row r="8125" spans="94:94" x14ac:dyDescent="0.15">
      <c r="CP8125" s="31"/>
    </row>
    <row r="8126" spans="94:94" x14ac:dyDescent="0.15">
      <c r="CP8126" s="31"/>
    </row>
    <row r="8127" spans="94:94" x14ac:dyDescent="0.15">
      <c r="CP8127" s="31"/>
    </row>
    <row r="8128" spans="94:94" x14ac:dyDescent="0.15">
      <c r="CP8128" s="31"/>
    </row>
    <row r="8129" spans="94:94" x14ac:dyDescent="0.15">
      <c r="CP8129" s="31"/>
    </row>
    <row r="8130" spans="94:94" x14ac:dyDescent="0.15">
      <c r="CP8130" s="31"/>
    </row>
    <row r="8131" spans="94:94" x14ac:dyDescent="0.15">
      <c r="CP8131" s="31"/>
    </row>
    <row r="8132" spans="94:94" x14ac:dyDescent="0.15">
      <c r="CP8132" s="31"/>
    </row>
    <row r="8133" spans="94:94" x14ac:dyDescent="0.15">
      <c r="CP8133" s="31"/>
    </row>
    <row r="8134" spans="94:94" x14ac:dyDescent="0.15">
      <c r="CP8134" s="31"/>
    </row>
    <row r="8135" spans="94:94" x14ac:dyDescent="0.15">
      <c r="CP8135" s="31"/>
    </row>
    <row r="8136" spans="94:94" x14ac:dyDescent="0.15">
      <c r="CP8136" s="31"/>
    </row>
    <row r="8137" spans="94:94" x14ac:dyDescent="0.15">
      <c r="CP8137" s="31"/>
    </row>
    <row r="8138" spans="94:94" x14ac:dyDescent="0.15">
      <c r="CP8138" s="31"/>
    </row>
    <row r="8139" spans="94:94" x14ac:dyDescent="0.15">
      <c r="CP8139" s="31"/>
    </row>
    <row r="8140" spans="94:94" x14ac:dyDescent="0.15">
      <c r="CP8140" s="31"/>
    </row>
    <row r="8141" spans="94:94" x14ac:dyDescent="0.15">
      <c r="CP8141" s="31"/>
    </row>
    <row r="8142" spans="94:94" x14ac:dyDescent="0.15">
      <c r="CP8142" s="31"/>
    </row>
    <row r="8143" spans="94:94" x14ac:dyDescent="0.15">
      <c r="CP8143" s="31"/>
    </row>
    <row r="8144" spans="94:94" x14ac:dyDescent="0.15">
      <c r="CP8144" s="31"/>
    </row>
    <row r="8145" spans="94:94" x14ac:dyDescent="0.15">
      <c r="CP8145" s="31"/>
    </row>
    <row r="8146" spans="94:94" x14ac:dyDescent="0.15">
      <c r="CP8146" s="31"/>
    </row>
    <row r="8147" spans="94:94" x14ac:dyDescent="0.15">
      <c r="CP8147" s="31"/>
    </row>
    <row r="8148" spans="94:94" x14ac:dyDescent="0.15">
      <c r="CP8148" s="31"/>
    </row>
    <row r="8149" spans="94:94" x14ac:dyDescent="0.15">
      <c r="CP8149" s="31"/>
    </row>
    <row r="8150" spans="94:94" x14ac:dyDescent="0.15">
      <c r="CP8150" s="31"/>
    </row>
    <row r="8151" spans="94:94" x14ac:dyDescent="0.15">
      <c r="CP8151" s="31"/>
    </row>
    <row r="8152" spans="94:94" x14ac:dyDescent="0.15">
      <c r="CP8152" s="31"/>
    </row>
    <row r="8153" spans="94:94" x14ac:dyDescent="0.15">
      <c r="CP8153" s="31"/>
    </row>
    <row r="8154" spans="94:94" x14ac:dyDescent="0.15">
      <c r="CP8154" s="31"/>
    </row>
    <row r="8155" spans="94:94" x14ac:dyDescent="0.15">
      <c r="CP8155" s="31"/>
    </row>
    <row r="8156" spans="94:94" x14ac:dyDescent="0.15">
      <c r="CP8156" s="31"/>
    </row>
    <row r="8157" spans="94:94" x14ac:dyDescent="0.15">
      <c r="CP8157" s="31"/>
    </row>
    <row r="8158" spans="94:94" x14ac:dyDescent="0.15">
      <c r="CP8158" s="31"/>
    </row>
    <row r="8159" spans="94:94" x14ac:dyDescent="0.15">
      <c r="CP8159" s="31"/>
    </row>
    <row r="8160" spans="94:94" x14ac:dyDescent="0.15">
      <c r="CP8160" s="31"/>
    </row>
    <row r="8161" spans="94:94" x14ac:dyDescent="0.15">
      <c r="CP8161" s="31"/>
    </row>
    <row r="8162" spans="94:94" x14ac:dyDescent="0.15">
      <c r="CP8162" s="31"/>
    </row>
    <row r="8163" spans="94:94" x14ac:dyDescent="0.15">
      <c r="CP8163" s="31"/>
    </row>
    <row r="8164" spans="94:94" x14ac:dyDescent="0.15">
      <c r="CP8164" s="31"/>
    </row>
    <row r="8165" spans="94:94" x14ac:dyDescent="0.15">
      <c r="CP8165" s="31"/>
    </row>
    <row r="8166" spans="94:94" x14ac:dyDescent="0.15">
      <c r="CP8166" s="31"/>
    </row>
    <row r="8167" spans="94:94" x14ac:dyDescent="0.15">
      <c r="CP8167" s="31"/>
    </row>
    <row r="8168" spans="94:94" x14ac:dyDescent="0.15">
      <c r="CP8168" s="31"/>
    </row>
    <row r="8169" spans="94:94" x14ac:dyDescent="0.15">
      <c r="CP8169" s="31"/>
    </row>
    <row r="8170" spans="94:94" x14ac:dyDescent="0.15">
      <c r="CP8170" s="31"/>
    </row>
    <row r="8171" spans="94:94" x14ac:dyDescent="0.15">
      <c r="CP8171" s="31"/>
    </row>
    <row r="8172" spans="94:94" x14ac:dyDescent="0.15">
      <c r="CP8172" s="31"/>
    </row>
    <row r="8173" spans="94:94" x14ac:dyDescent="0.15">
      <c r="CP8173" s="31"/>
    </row>
    <row r="8174" spans="94:94" x14ac:dyDescent="0.15">
      <c r="CP8174" s="31"/>
    </row>
    <row r="8175" spans="94:94" x14ac:dyDescent="0.15">
      <c r="CP8175" s="31"/>
    </row>
    <row r="8176" spans="94:94" x14ac:dyDescent="0.15">
      <c r="CP8176" s="31"/>
    </row>
    <row r="8177" spans="94:94" x14ac:dyDescent="0.15">
      <c r="CP8177" s="31"/>
    </row>
    <row r="8178" spans="94:94" x14ac:dyDescent="0.15">
      <c r="CP8178" s="31"/>
    </row>
    <row r="8179" spans="94:94" x14ac:dyDescent="0.15">
      <c r="CP8179" s="31"/>
    </row>
    <row r="8180" spans="94:94" x14ac:dyDescent="0.15">
      <c r="CP8180" s="31"/>
    </row>
    <row r="8181" spans="94:94" x14ac:dyDescent="0.15">
      <c r="CP8181" s="31"/>
    </row>
    <row r="8182" spans="94:94" x14ac:dyDescent="0.15">
      <c r="CP8182" s="31"/>
    </row>
    <row r="8183" spans="94:94" x14ac:dyDescent="0.15">
      <c r="CP8183" s="31"/>
    </row>
    <row r="8184" spans="94:94" x14ac:dyDescent="0.15">
      <c r="CP8184" s="31"/>
    </row>
    <row r="8185" spans="94:94" x14ac:dyDescent="0.15">
      <c r="CP8185" s="31"/>
    </row>
    <row r="8186" spans="94:94" x14ac:dyDescent="0.15">
      <c r="CP8186" s="31"/>
    </row>
    <row r="8187" spans="94:94" x14ac:dyDescent="0.15">
      <c r="CP8187" s="31"/>
    </row>
    <row r="8188" spans="94:94" x14ac:dyDescent="0.15">
      <c r="CP8188" s="31"/>
    </row>
    <row r="8189" spans="94:94" x14ac:dyDescent="0.15">
      <c r="CP8189" s="31"/>
    </row>
    <row r="8190" spans="94:94" x14ac:dyDescent="0.15">
      <c r="CP8190" s="31"/>
    </row>
    <row r="8191" spans="94:94" x14ac:dyDescent="0.15">
      <c r="CP8191" s="31"/>
    </row>
    <row r="8192" spans="94:94" x14ac:dyDescent="0.15">
      <c r="CP8192" s="31"/>
    </row>
    <row r="8193" spans="94:94" x14ac:dyDescent="0.15">
      <c r="CP8193" s="31"/>
    </row>
    <row r="8194" spans="94:94" x14ac:dyDescent="0.15">
      <c r="CP8194" s="31"/>
    </row>
    <row r="8195" spans="94:94" x14ac:dyDescent="0.15">
      <c r="CP8195" s="31"/>
    </row>
    <row r="8196" spans="94:94" x14ac:dyDescent="0.15">
      <c r="CP8196" s="31"/>
    </row>
    <row r="8197" spans="94:94" x14ac:dyDescent="0.15">
      <c r="CP8197" s="31"/>
    </row>
    <row r="8198" spans="94:94" x14ac:dyDescent="0.15">
      <c r="CP8198" s="31"/>
    </row>
    <row r="8199" spans="94:94" x14ac:dyDescent="0.15">
      <c r="CP8199" s="31"/>
    </row>
    <row r="8200" spans="94:94" x14ac:dyDescent="0.15">
      <c r="CP8200" s="31"/>
    </row>
    <row r="8201" spans="94:94" x14ac:dyDescent="0.15">
      <c r="CP8201" s="31"/>
    </row>
    <row r="8202" spans="94:94" x14ac:dyDescent="0.15">
      <c r="CP8202" s="31"/>
    </row>
    <row r="8203" spans="94:94" x14ac:dyDescent="0.15">
      <c r="CP8203" s="31"/>
    </row>
    <row r="8204" spans="94:94" x14ac:dyDescent="0.15">
      <c r="CP8204" s="31"/>
    </row>
    <row r="8205" spans="94:94" x14ac:dyDescent="0.15">
      <c r="CP8205" s="31"/>
    </row>
    <row r="8206" spans="94:94" x14ac:dyDescent="0.15">
      <c r="CP8206" s="31"/>
    </row>
    <row r="8207" spans="94:94" x14ac:dyDescent="0.15">
      <c r="CP8207" s="31"/>
    </row>
    <row r="8208" spans="94:94" x14ac:dyDescent="0.15">
      <c r="CP8208" s="31"/>
    </row>
    <row r="8209" spans="94:94" x14ac:dyDescent="0.15">
      <c r="CP8209" s="31"/>
    </row>
    <row r="8210" spans="94:94" x14ac:dyDescent="0.15">
      <c r="CP8210" s="31"/>
    </row>
    <row r="8211" spans="94:94" x14ac:dyDescent="0.15">
      <c r="CP8211" s="31"/>
    </row>
    <row r="8212" spans="94:94" x14ac:dyDescent="0.15">
      <c r="CP8212" s="31"/>
    </row>
    <row r="8213" spans="94:94" x14ac:dyDescent="0.15">
      <c r="CP8213" s="31"/>
    </row>
    <row r="8214" spans="94:94" x14ac:dyDescent="0.15">
      <c r="CP8214" s="31"/>
    </row>
    <row r="8215" spans="94:94" x14ac:dyDescent="0.15">
      <c r="CP8215" s="31"/>
    </row>
    <row r="8216" spans="94:94" x14ac:dyDescent="0.15">
      <c r="CP8216" s="31"/>
    </row>
    <row r="8217" spans="94:94" x14ac:dyDescent="0.15">
      <c r="CP8217" s="31"/>
    </row>
    <row r="8218" spans="94:94" x14ac:dyDescent="0.15">
      <c r="CP8218" s="31"/>
    </row>
    <row r="8219" spans="94:94" x14ac:dyDescent="0.15">
      <c r="CP8219" s="31"/>
    </row>
    <row r="8220" spans="94:94" x14ac:dyDescent="0.15">
      <c r="CP8220" s="31"/>
    </row>
    <row r="8221" spans="94:94" x14ac:dyDescent="0.15">
      <c r="CP8221" s="31"/>
    </row>
    <row r="8222" spans="94:94" x14ac:dyDescent="0.15">
      <c r="CP8222" s="31"/>
    </row>
    <row r="8223" spans="94:94" x14ac:dyDescent="0.15">
      <c r="CP8223" s="31"/>
    </row>
    <row r="8224" spans="94:94" x14ac:dyDescent="0.15">
      <c r="CP8224" s="31"/>
    </row>
    <row r="8225" spans="94:94" x14ac:dyDescent="0.15">
      <c r="CP8225" s="31"/>
    </row>
    <row r="8226" spans="94:94" x14ac:dyDescent="0.15">
      <c r="CP8226" s="31"/>
    </row>
    <row r="8227" spans="94:94" x14ac:dyDescent="0.15">
      <c r="CP8227" s="31"/>
    </row>
    <row r="8228" spans="94:94" x14ac:dyDescent="0.15">
      <c r="CP8228" s="31"/>
    </row>
    <row r="8229" spans="94:94" x14ac:dyDescent="0.15">
      <c r="CP8229" s="31"/>
    </row>
    <row r="8230" spans="94:94" x14ac:dyDescent="0.15">
      <c r="CP8230" s="31"/>
    </row>
    <row r="8231" spans="94:94" x14ac:dyDescent="0.15">
      <c r="CP8231" s="31"/>
    </row>
    <row r="8232" spans="94:94" x14ac:dyDescent="0.15">
      <c r="CP8232" s="31"/>
    </row>
    <row r="8233" spans="94:94" x14ac:dyDescent="0.15">
      <c r="CP8233" s="31"/>
    </row>
    <row r="8234" spans="94:94" x14ac:dyDescent="0.15">
      <c r="CP8234" s="31"/>
    </row>
    <row r="8235" spans="94:94" x14ac:dyDescent="0.15">
      <c r="CP8235" s="31"/>
    </row>
    <row r="8236" spans="94:94" x14ac:dyDescent="0.15">
      <c r="CP8236" s="31"/>
    </row>
    <row r="8237" spans="94:94" x14ac:dyDescent="0.15">
      <c r="CP8237" s="31"/>
    </row>
    <row r="8238" spans="94:94" x14ac:dyDescent="0.15">
      <c r="CP8238" s="31"/>
    </row>
    <row r="8239" spans="94:94" x14ac:dyDescent="0.15">
      <c r="CP8239" s="31"/>
    </row>
    <row r="8240" spans="94:94" x14ac:dyDescent="0.15">
      <c r="CP8240" s="31"/>
    </row>
    <row r="8241" spans="94:94" x14ac:dyDescent="0.15">
      <c r="CP8241" s="31"/>
    </row>
    <row r="8242" spans="94:94" x14ac:dyDescent="0.15">
      <c r="CP8242" s="31"/>
    </row>
    <row r="8243" spans="94:94" x14ac:dyDescent="0.15">
      <c r="CP8243" s="31"/>
    </row>
    <row r="8244" spans="94:94" x14ac:dyDescent="0.15">
      <c r="CP8244" s="31"/>
    </row>
    <row r="8245" spans="94:94" x14ac:dyDescent="0.15">
      <c r="CP8245" s="31"/>
    </row>
    <row r="8246" spans="94:94" x14ac:dyDescent="0.15">
      <c r="CP8246" s="31"/>
    </row>
    <row r="8247" spans="94:94" x14ac:dyDescent="0.15">
      <c r="CP8247" s="31"/>
    </row>
    <row r="8248" spans="94:94" x14ac:dyDescent="0.15">
      <c r="CP8248" s="31"/>
    </row>
    <row r="8249" spans="94:94" x14ac:dyDescent="0.15">
      <c r="CP8249" s="31"/>
    </row>
    <row r="8250" spans="94:94" x14ac:dyDescent="0.15">
      <c r="CP8250" s="31"/>
    </row>
    <row r="8251" spans="94:94" x14ac:dyDescent="0.15">
      <c r="CP8251" s="31"/>
    </row>
    <row r="8252" spans="94:94" x14ac:dyDescent="0.15">
      <c r="CP8252" s="31"/>
    </row>
    <row r="8253" spans="94:94" x14ac:dyDescent="0.15">
      <c r="CP8253" s="31"/>
    </row>
    <row r="8254" spans="94:94" x14ac:dyDescent="0.15">
      <c r="CP8254" s="31"/>
    </row>
    <row r="8255" spans="94:94" x14ac:dyDescent="0.15">
      <c r="CP8255" s="31"/>
    </row>
    <row r="8256" spans="94:94" x14ac:dyDescent="0.15">
      <c r="CP8256" s="31"/>
    </row>
    <row r="8257" spans="94:94" x14ac:dyDescent="0.15">
      <c r="CP8257" s="31"/>
    </row>
    <row r="8258" spans="94:94" x14ac:dyDescent="0.15">
      <c r="CP8258" s="31"/>
    </row>
    <row r="8259" spans="94:94" x14ac:dyDescent="0.15">
      <c r="CP8259" s="31"/>
    </row>
    <row r="8260" spans="94:94" x14ac:dyDescent="0.15">
      <c r="CP8260" s="31"/>
    </row>
    <row r="8261" spans="94:94" x14ac:dyDescent="0.15">
      <c r="CP8261" s="31"/>
    </row>
    <row r="8262" spans="94:94" x14ac:dyDescent="0.15">
      <c r="CP8262" s="31"/>
    </row>
    <row r="8263" spans="94:94" x14ac:dyDescent="0.15">
      <c r="CP8263" s="31"/>
    </row>
    <row r="8264" spans="94:94" x14ac:dyDescent="0.15">
      <c r="CP8264" s="31"/>
    </row>
    <row r="8265" spans="94:94" x14ac:dyDescent="0.15">
      <c r="CP8265" s="31"/>
    </row>
    <row r="8266" spans="94:94" x14ac:dyDescent="0.15">
      <c r="CP8266" s="31"/>
    </row>
    <row r="8267" spans="94:94" x14ac:dyDescent="0.15">
      <c r="CP8267" s="31"/>
    </row>
    <row r="8268" spans="94:94" x14ac:dyDescent="0.15">
      <c r="CP8268" s="31"/>
    </row>
    <row r="8269" spans="94:94" x14ac:dyDescent="0.15">
      <c r="CP8269" s="31"/>
    </row>
    <row r="8270" spans="94:94" x14ac:dyDescent="0.15">
      <c r="CP8270" s="31"/>
    </row>
    <row r="8271" spans="94:94" x14ac:dyDescent="0.15">
      <c r="CP8271" s="31"/>
    </row>
    <row r="8272" spans="94:94" x14ac:dyDescent="0.15">
      <c r="CP8272" s="31"/>
    </row>
    <row r="8273" spans="94:94" x14ac:dyDescent="0.15">
      <c r="CP8273" s="31"/>
    </row>
    <row r="8274" spans="94:94" x14ac:dyDescent="0.15">
      <c r="CP8274" s="31"/>
    </row>
    <row r="8275" spans="94:94" x14ac:dyDescent="0.15">
      <c r="CP8275" s="31"/>
    </row>
    <row r="8276" spans="94:94" x14ac:dyDescent="0.15">
      <c r="CP8276" s="31"/>
    </row>
    <row r="8277" spans="94:94" x14ac:dyDescent="0.15">
      <c r="CP8277" s="31"/>
    </row>
    <row r="8278" spans="94:94" x14ac:dyDescent="0.15">
      <c r="CP8278" s="31"/>
    </row>
    <row r="8279" spans="94:94" x14ac:dyDescent="0.15">
      <c r="CP8279" s="31"/>
    </row>
    <row r="8280" spans="94:94" x14ac:dyDescent="0.15">
      <c r="CP8280" s="31"/>
    </row>
    <row r="8281" spans="94:94" x14ac:dyDescent="0.15">
      <c r="CP8281" s="31"/>
    </row>
    <row r="8282" spans="94:94" x14ac:dyDescent="0.15">
      <c r="CP8282" s="31"/>
    </row>
    <row r="8283" spans="94:94" x14ac:dyDescent="0.15">
      <c r="CP8283" s="31"/>
    </row>
    <row r="8284" spans="94:94" x14ac:dyDescent="0.15">
      <c r="CP8284" s="31"/>
    </row>
    <row r="8285" spans="94:94" x14ac:dyDescent="0.15">
      <c r="CP8285" s="31"/>
    </row>
    <row r="8286" spans="94:94" x14ac:dyDescent="0.15">
      <c r="CP8286" s="31"/>
    </row>
    <row r="8287" spans="94:94" x14ac:dyDescent="0.15">
      <c r="CP8287" s="31"/>
    </row>
    <row r="8288" spans="94:94" x14ac:dyDescent="0.15">
      <c r="CP8288" s="31"/>
    </row>
    <row r="8289" spans="94:94" x14ac:dyDescent="0.15">
      <c r="CP8289" s="31"/>
    </row>
    <row r="8290" spans="94:94" x14ac:dyDescent="0.15">
      <c r="CP8290" s="31"/>
    </row>
    <row r="8291" spans="94:94" x14ac:dyDescent="0.15">
      <c r="CP8291" s="31"/>
    </row>
    <row r="8292" spans="94:94" x14ac:dyDescent="0.15">
      <c r="CP8292" s="31"/>
    </row>
    <row r="8293" spans="94:94" x14ac:dyDescent="0.15">
      <c r="CP8293" s="31"/>
    </row>
    <row r="8294" spans="94:94" x14ac:dyDescent="0.15">
      <c r="CP8294" s="31"/>
    </row>
    <row r="8295" spans="94:94" x14ac:dyDescent="0.15">
      <c r="CP8295" s="31"/>
    </row>
    <row r="8296" spans="94:94" x14ac:dyDescent="0.15">
      <c r="CP8296" s="31"/>
    </row>
    <row r="8297" spans="94:94" x14ac:dyDescent="0.15">
      <c r="CP8297" s="31"/>
    </row>
    <row r="8298" spans="94:94" x14ac:dyDescent="0.15">
      <c r="CP8298" s="31"/>
    </row>
    <row r="8299" spans="94:94" x14ac:dyDescent="0.15">
      <c r="CP8299" s="31"/>
    </row>
    <row r="8300" spans="94:94" x14ac:dyDescent="0.15">
      <c r="CP8300" s="31"/>
    </row>
    <row r="8301" spans="94:94" x14ac:dyDescent="0.15">
      <c r="CP8301" s="31"/>
    </row>
    <row r="8302" spans="94:94" x14ac:dyDescent="0.15">
      <c r="CP8302" s="31"/>
    </row>
    <row r="8303" spans="94:94" x14ac:dyDescent="0.15">
      <c r="CP8303" s="31"/>
    </row>
    <row r="8304" spans="94:94" x14ac:dyDescent="0.15">
      <c r="CP8304" s="31"/>
    </row>
    <row r="8305" spans="94:94" x14ac:dyDescent="0.15">
      <c r="CP8305" s="31"/>
    </row>
    <row r="8306" spans="94:94" x14ac:dyDescent="0.15">
      <c r="CP8306" s="31"/>
    </row>
    <row r="8307" spans="94:94" x14ac:dyDescent="0.15">
      <c r="CP8307" s="31"/>
    </row>
    <row r="8308" spans="94:94" x14ac:dyDescent="0.15">
      <c r="CP8308" s="31"/>
    </row>
    <row r="8309" spans="94:94" x14ac:dyDescent="0.15">
      <c r="CP8309" s="31"/>
    </row>
    <row r="8310" spans="94:94" x14ac:dyDescent="0.15">
      <c r="CP8310" s="31"/>
    </row>
    <row r="8311" spans="94:94" x14ac:dyDescent="0.15">
      <c r="CP8311" s="31"/>
    </row>
    <row r="8312" spans="94:94" x14ac:dyDescent="0.15">
      <c r="CP8312" s="31"/>
    </row>
    <row r="8313" spans="94:94" x14ac:dyDescent="0.15">
      <c r="CP8313" s="31"/>
    </row>
    <row r="8314" spans="94:94" x14ac:dyDescent="0.15">
      <c r="CP8314" s="31"/>
    </row>
    <row r="8315" spans="94:94" x14ac:dyDescent="0.15">
      <c r="CP8315" s="31"/>
    </row>
    <row r="8316" spans="94:94" x14ac:dyDescent="0.15">
      <c r="CP8316" s="31"/>
    </row>
    <row r="8317" spans="94:94" x14ac:dyDescent="0.15">
      <c r="CP8317" s="31"/>
    </row>
    <row r="8318" spans="94:94" x14ac:dyDescent="0.15">
      <c r="CP8318" s="31"/>
    </row>
    <row r="8319" spans="94:94" x14ac:dyDescent="0.15">
      <c r="CP8319" s="31"/>
    </row>
    <row r="8320" spans="94:94" x14ac:dyDescent="0.15">
      <c r="CP8320" s="31"/>
    </row>
    <row r="8321" spans="94:94" x14ac:dyDescent="0.15">
      <c r="CP8321" s="31"/>
    </row>
    <row r="8322" spans="94:94" x14ac:dyDescent="0.15">
      <c r="CP8322" s="31"/>
    </row>
    <row r="8323" spans="94:94" x14ac:dyDescent="0.15">
      <c r="CP8323" s="31"/>
    </row>
    <row r="8324" spans="94:94" x14ac:dyDescent="0.15">
      <c r="CP8324" s="31"/>
    </row>
    <row r="8325" spans="94:94" x14ac:dyDescent="0.15">
      <c r="CP8325" s="31"/>
    </row>
    <row r="8326" spans="94:94" x14ac:dyDescent="0.15">
      <c r="CP8326" s="31"/>
    </row>
    <row r="8327" spans="94:94" x14ac:dyDescent="0.15">
      <c r="CP8327" s="31"/>
    </row>
    <row r="8328" spans="94:94" x14ac:dyDescent="0.15">
      <c r="CP8328" s="31"/>
    </row>
    <row r="8329" spans="94:94" x14ac:dyDescent="0.15">
      <c r="CP8329" s="31"/>
    </row>
    <row r="8330" spans="94:94" x14ac:dyDescent="0.15">
      <c r="CP8330" s="31"/>
    </row>
    <row r="8331" spans="94:94" x14ac:dyDescent="0.15">
      <c r="CP8331" s="31"/>
    </row>
    <row r="8332" spans="94:94" x14ac:dyDescent="0.15">
      <c r="CP8332" s="31"/>
    </row>
    <row r="8333" spans="94:94" x14ac:dyDescent="0.15">
      <c r="CP8333" s="31"/>
    </row>
    <row r="8334" spans="94:94" x14ac:dyDescent="0.15">
      <c r="CP8334" s="31"/>
    </row>
    <row r="8335" spans="94:94" x14ac:dyDescent="0.15">
      <c r="CP8335" s="31"/>
    </row>
    <row r="8336" spans="94:94" x14ac:dyDescent="0.15">
      <c r="CP8336" s="31"/>
    </row>
    <row r="8337" spans="94:94" x14ac:dyDescent="0.15">
      <c r="CP8337" s="31"/>
    </row>
    <row r="8338" spans="94:94" x14ac:dyDescent="0.15">
      <c r="CP8338" s="31"/>
    </row>
    <row r="8339" spans="94:94" x14ac:dyDescent="0.15">
      <c r="CP8339" s="31"/>
    </row>
    <row r="8340" spans="94:94" x14ac:dyDescent="0.15">
      <c r="CP8340" s="31"/>
    </row>
    <row r="8341" spans="94:94" x14ac:dyDescent="0.15">
      <c r="CP8341" s="31"/>
    </row>
    <row r="8342" spans="94:94" x14ac:dyDescent="0.15">
      <c r="CP8342" s="31"/>
    </row>
    <row r="8343" spans="94:94" x14ac:dyDescent="0.15">
      <c r="CP8343" s="31"/>
    </row>
    <row r="8344" spans="94:94" x14ac:dyDescent="0.15">
      <c r="CP8344" s="31"/>
    </row>
    <row r="8345" spans="94:94" x14ac:dyDescent="0.15">
      <c r="CP8345" s="31"/>
    </row>
    <row r="8346" spans="94:94" x14ac:dyDescent="0.15">
      <c r="CP8346" s="31"/>
    </row>
    <row r="8347" spans="94:94" x14ac:dyDescent="0.15">
      <c r="CP8347" s="31"/>
    </row>
    <row r="8348" spans="94:94" x14ac:dyDescent="0.15">
      <c r="CP8348" s="31"/>
    </row>
    <row r="8349" spans="94:94" x14ac:dyDescent="0.15">
      <c r="CP8349" s="31"/>
    </row>
    <row r="8350" spans="94:94" x14ac:dyDescent="0.15">
      <c r="CP8350" s="31"/>
    </row>
    <row r="8351" spans="94:94" x14ac:dyDescent="0.15">
      <c r="CP8351" s="31"/>
    </row>
    <row r="8352" spans="94:94" x14ac:dyDescent="0.15">
      <c r="CP8352" s="31"/>
    </row>
    <row r="8353" spans="94:94" x14ac:dyDescent="0.15">
      <c r="CP8353" s="31"/>
    </row>
    <row r="8354" spans="94:94" x14ac:dyDescent="0.15">
      <c r="CP8354" s="31"/>
    </row>
    <row r="8355" spans="94:94" x14ac:dyDescent="0.15">
      <c r="CP8355" s="31"/>
    </row>
    <row r="8356" spans="94:94" x14ac:dyDescent="0.15">
      <c r="CP8356" s="31"/>
    </row>
    <row r="8357" spans="94:94" x14ac:dyDescent="0.15">
      <c r="CP8357" s="31"/>
    </row>
    <row r="8358" spans="94:94" x14ac:dyDescent="0.15">
      <c r="CP8358" s="31"/>
    </row>
    <row r="8359" spans="94:94" x14ac:dyDescent="0.15">
      <c r="CP8359" s="31"/>
    </row>
    <row r="8360" spans="94:94" x14ac:dyDescent="0.15">
      <c r="CP8360" s="31"/>
    </row>
    <row r="8361" spans="94:94" x14ac:dyDescent="0.15">
      <c r="CP8361" s="31"/>
    </row>
    <row r="8362" spans="94:94" x14ac:dyDescent="0.15">
      <c r="CP8362" s="31"/>
    </row>
    <row r="8363" spans="94:94" x14ac:dyDescent="0.15">
      <c r="CP8363" s="31"/>
    </row>
    <row r="8364" spans="94:94" x14ac:dyDescent="0.15">
      <c r="CP8364" s="31"/>
    </row>
    <row r="8365" spans="94:94" x14ac:dyDescent="0.15">
      <c r="CP8365" s="31"/>
    </row>
    <row r="8366" spans="94:94" x14ac:dyDescent="0.15">
      <c r="CP8366" s="31"/>
    </row>
    <row r="8367" spans="94:94" x14ac:dyDescent="0.15">
      <c r="CP8367" s="31"/>
    </row>
    <row r="8368" spans="94:94" x14ac:dyDescent="0.15">
      <c r="CP8368" s="31"/>
    </row>
    <row r="8369" spans="94:94" x14ac:dyDescent="0.15">
      <c r="CP8369" s="31"/>
    </row>
    <row r="8370" spans="94:94" x14ac:dyDescent="0.15">
      <c r="CP8370" s="31"/>
    </row>
    <row r="8371" spans="94:94" x14ac:dyDescent="0.15">
      <c r="CP8371" s="31"/>
    </row>
    <row r="8372" spans="94:94" x14ac:dyDescent="0.15">
      <c r="CP8372" s="31"/>
    </row>
    <row r="8373" spans="94:94" x14ac:dyDescent="0.15">
      <c r="CP8373" s="31"/>
    </row>
    <row r="8374" spans="94:94" x14ac:dyDescent="0.15">
      <c r="CP8374" s="31"/>
    </row>
    <row r="8375" spans="94:94" x14ac:dyDescent="0.15">
      <c r="CP8375" s="31"/>
    </row>
    <row r="8376" spans="94:94" x14ac:dyDescent="0.15">
      <c r="CP8376" s="31"/>
    </row>
    <row r="8377" spans="94:94" x14ac:dyDescent="0.15">
      <c r="CP8377" s="31"/>
    </row>
    <row r="8378" spans="94:94" x14ac:dyDescent="0.15">
      <c r="CP8378" s="31"/>
    </row>
    <row r="8379" spans="94:94" x14ac:dyDescent="0.15">
      <c r="CP8379" s="31"/>
    </row>
    <row r="8380" spans="94:94" x14ac:dyDescent="0.15">
      <c r="CP8380" s="31"/>
    </row>
    <row r="8381" spans="94:94" x14ac:dyDescent="0.15">
      <c r="CP8381" s="31"/>
    </row>
    <row r="8382" spans="94:94" x14ac:dyDescent="0.15">
      <c r="CP8382" s="31"/>
    </row>
    <row r="8383" spans="94:94" x14ac:dyDescent="0.15">
      <c r="CP8383" s="31"/>
    </row>
    <row r="8384" spans="94:94" x14ac:dyDescent="0.15">
      <c r="CP8384" s="31"/>
    </row>
    <row r="8385" spans="94:94" x14ac:dyDescent="0.15">
      <c r="CP8385" s="31"/>
    </row>
    <row r="8386" spans="94:94" x14ac:dyDescent="0.15">
      <c r="CP8386" s="31"/>
    </row>
    <row r="8387" spans="94:94" x14ac:dyDescent="0.15">
      <c r="CP8387" s="31"/>
    </row>
    <row r="8388" spans="94:94" x14ac:dyDescent="0.15">
      <c r="CP8388" s="31"/>
    </row>
    <row r="8389" spans="94:94" x14ac:dyDescent="0.15">
      <c r="CP8389" s="31"/>
    </row>
    <row r="8390" spans="94:94" x14ac:dyDescent="0.15">
      <c r="CP8390" s="31"/>
    </row>
    <row r="8391" spans="94:94" x14ac:dyDescent="0.15">
      <c r="CP8391" s="31"/>
    </row>
    <row r="8392" spans="94:94" x14ac:dyDescent="0.15">
      <c r="CP8392" s="31"/>
    </row>
    <row r="8393" spans="94:94" x14ac:dyDescent="0.15">
      <c r="CP8393" s="31"/>
    </row>
    <row r="8394" spans="94:94" x14ac:dyDescent="0.15">
      <c r="CP8394" s="31"/>
    </row>
    <row r="8395" spans="94:94" x14ac:dyDescent="0.15">
      <c r="CP8395" s="31"/>
    </row>
    <row r="8396" spans="94:94" x14ac:dyDescent="0.15">
      <c r="CP8396" s="31"/>
    </row>
    <row r="8397" spans="94:94" x14ac:dyDescent="0.15">
      <c r="CP8397" s="31"/>
    </row>
    <row r="8398" spans="94:94" x14ac:dyDescent="0.15">
      <c r="CP8398" s="31"/>
    </row>
    <row r="8399" spans="94:94" x14ac:dyDescent="0.15">
      <c r="CP8399" s="31"/>
    </row>
    <row r="8400" spans="94:94" x14ac:dyDescent="0.15">
      <c r="CP8400" s="31"/>
    </row>
    <row r="8401" spans="94:94" x14ac:dyDescent="0.15">
      <c r="CP8401" s="31"/>
    </row>
    <row r="8402" spans="94:94" x14ac:dyDescent="0.15">
      <c r="CP8402" s="31"/>
    </row>
    <row r="8403" spans="94:94" x14ac:dyDescent="0.15">
      <c r="CP8403" s="31"/>
    </row>
    <row r="8404" spans="94:94" x14ac:dyDescent="0.15">
      <c r="CP8404" s="31"/>
    </row>
    <row r="8405" spans="94:94" x14ac:dyDescent="0.15">
      <c r="CP8405" s="31"/>
    </row>
    <row r="8406" spans="94:94" x14ac:dyDescent="0.15">
      <c r="CP8406" s="31"/>
    </row>
    <row r="8407" spans="94:94" x14ac:dyDescent="0.15">
      <c r="CP8407" s="31"/>
    </row>
    <row r="8408" spans="94:94" x14ac:dyDescent="0.15">
      <c r="CP8408" s="31"/>
    </row>
    <row r="8409" spans="94:94" x14ac:dyDescent="0.15">
      <c r="CP8409" s="31"/>
    </row>
    <row r="8410" spans="94:94" x14ac:dyDescent="0.15">
      <c r="CP8410" s="31"/>
    </row>
    <row r="8411" spans="94:94" x14ac:dyDescent="0.15">
      <c r="CP8411" s="31"/>
    </row>
    <row r="8412" spans="94:94" x14ac:dyDescent="0.15">
      <c r="CP8412" s="31"/>
    </row>
    <row r="8413" spans="94:94" x14ac:dyDescent="0.15">
      <c r="CP8413" s="31"/>
    </row>
    <row r="8414" spans="94:94" x14ac:dyDescent="0.15">
      <c r="CP8414" s="31"/>
    </row>
    <row r="8415" spans="94:94" x14ac:dyDescent="0.15">
      <c r="CP8415" s="31"/>
    </row>
    <row r="8416" spans="94:94" x14ac:dyDescent="0.15">
      <c r="CP8416" s="31"/>
    </row>
    <row r="8417" spans="94:94" x14ac:dyDescent="0.15">
      <c r="CP8417" s="31"/>
    </row>
    <row r="8418" spans="94:94" x14ac:dyDescent="0.15">
      <c r="CP8418" s="31"/>
    </row>
    <row r="8419" spans="94:94" x14ac:dyDescent="0.15">
      <c r="CP8419" s="31"/>
    </row>
    <row r="8420" spans="94:94" x14ac:dyDescent="0.15">
      <c r="CP8420" s="31"/>
    </row>
    <row r="8421" spans="94:94" x14ac:dyDescent="0.15">
      <c r="CP8421" s="31"/>
    </row>
    <row r="8422" spans="94:94" x14ac:dyDescent="0.15">
      <c r="CP8422" s="31"/>
    </row>
    <row r="8423" spans="94:94" x14ac:dyDescent="0.15">
      <c r="CP8423" s="31"/>
    </row>
    <row r="8424" spans="94:94" x14ac:dyDescent="0.15">
      <c r="CP8424" s="31"/>
    </row>
    <row r="8425" spans="94:94" x14ac:dyDescent="0.15">
      <c r="CP8425" s="31"/>
    </row>
    <row r="8426" spans="94:94" x14ac:dyDescent="0.15">
      <c r="CP8426" s="31"/>
    </row>
    <row r="8427" spans="94:94" x14ac:dyDescent="0.15">
      <c r="CP8427" s="31"/>
    </row>
    <row r="8428" spans="94:94" x14ac:dyDescent="0.15">
      <c r="CP8428" s="31"/>
    </row>
    <row r="8429" spans="94:94" x14ac:dyDescent="0.15">
      <c r="CP8429" s="31"/>
    </row>
    <row r="8430" spans="94:94" x14ac:dyDescent="0.15">
      <c r="CP8430" s="31"/>
    </row>
    <row r="8431" spans="94:94" x14ac:dyDescent="0.15">
      <c r="CP8431" s="31"/>
    </row>
    <row r="8432" spans="94:94" x14ac:dyDescent="0.15">
      <c r="CP8432" s="31"/>
    </row>
    <row r="8433" spans="94:94" x14ac:dyDescent="0.15">
      <c r="CP8433" s="31"/>
    </row>
    <row r="8434" spans="94:94" x14ac:dyDescent="0.15">
      <c r="CP8434" s="31"/>
    </row>
    <row r="8435" spans="94:94" x14ac:dyDescent="0.15">
      <c r="CP8435" s="31"/>
    </row>
    <row r="8436" spans="94:94" x14ac:dyDescent="0.15">
      <c r="CP8436" s="31"/>
    </row>
    <row r="8437" spans="94:94" x14ac:dyDescent="0.15">
      <c r="CP8437" s="31"/>
    </row>
    <row r="8438" spans="94:94" x14ac:dyDescent="0.15">
      <c r="CP8438" s="31"/>
    </row>
    <row r="8439" spans="94:94" x14ac:dyDescent="0.15">
      <c r="CP8439" s="31"/>
    </row>
    <row r="8440" spans="94:94" x14ac:dyDescent="0.15">
      <c r="CP8440" s="31"/>
    </row>
    <row r="8441" spans="94:94" x14ac:dyDescent="0.15">
      <c r="CP8441" s="31"/>
    </row>
    <row r="8442" spans="94:94" x14ac:dyDescent="0.15">
      <c r="CP8442" s="31"/>
    </row>
    <row r="8443" spans="94:94" x14ac:dyDescent="0.15">
      <c r="CP8443" s="31"/>
    </row>
    <row r="8444" spans="94:94" x14ac:dyDescent="0.15">
      <c r="CP8444" s="31"/>
    </row>
    <row r="8445" spans="94:94" x14ac:dyDescent="0.15">
      <c r="CP8445" s="31"/>
    </row>
    <row r="8446" spans="94:94" x14ac:dyDescent="0.15">
      <c r="CP8446" s="31"/>
    </row>
    <row r="8447" spans="94:94" x14ac:dyDescent="0.15">
      <c r="CP8447" s="31"/>
    </row>
    <row r="8448" spans="94:94" x14ac:dyDescent="0.15">
      <c r="CP8448" s="31"/>
    </row>
    <row r="8449" spans="94:94" x14ac:dyDescent="0.15">
      <c r="CP8449" s="31"/>
    </row>
    <row r="8450" spans="94:94" x14ac:dyDescent="0.15">
      <c r="CP8450" s="31"/>
    </row>
    <row r="8451" spans="94:94" x14ac:dyDescent="0.15">
      <c r="CP8451" s="31"/>
    </row>
    <row r="8452" spans="94:94" x14ac:dyDescent="0.15">
      <c r="CP8452" s="31"/>
    </row>
    <row r="8453" spans="94:94" x14ac:dyDescent="0.15">
      <c r="CP8453" s="31"/>
    </row>
    <row r="8454" spans="94:94" x14ac:dyDescent="0.15">
      <c r="CP8454" s="31"/>
    </row>
    <row r="8455" spans="94:94" x14ac:dyDescent="0.15">
      <c r="CP8455" s="31"/>
    </row>
    <row r="8456" spans="94:94" x14ac:dyDescent="0.15">
      <c r="CP8456" s="31"/>
    </row>
    <row r="8457" spans="94:94" x14ac:dyDescent="0.15">
      <c r="CP8457" s="31"/>
    </row>
    <row r="8458" spans="94:94" x14ac:dyDescent="0.15">
      <c r="CP8458" s="31"/>
    </row>
    <row r="8459" spans="94:94" x14ac:dyDescent="0.15">
      <c r="CP8459" s="31"/>
    </row>
    <row r="8460" spans="94:94" x14ac:dyDescent="0.15">
      <c r="CP8460" s="31"/>
    </row>
    <row r="8461" spans="94:94" x14ac:dyDescent="0.15">
      <c r="CP8461" s="31"/>
    </row>
    <row r="8462" spans="94:94" x14ac:dyDescent="0.15">
      <c r="CP8462" s="31"/>
    </row>
    <row r="8463" spans="94:94" x14ac:dyDescent="0.15">
      <c r="CP8463" s="31"/>
    </row>
    <row r="8464" spans="94:94" x14ac:dyDescent="0.15">
      <c r="CP8464" s="31"/>
    </row>
    <row r="8465" spans="94:94" x14ac:dyDescent="0.15">
      <c r="CP8465" s="31"/>
    </row>
    <row r="8466" spans="94:94" x14ac:dyDescent="0.15">
      <c r="CP8466" s="31"/>
    </row>
    <row r="8467" spans="94:94" x14ac:dyDescent="0.15">
      <c r="CP8467" s="31"/>
    </row>
    <row r="8468" spans="94:94" x14ac:dyDescent="0.15">
      <c r="CP8468" s="31"/>
    </row>
    <row r="8469" spans="94:94" x14ac:dyDescent="0.15">
      <c r="CP8469" s="31"/>
    </row>
    <row r="8470" spans="94:94" x14ac:dyDescent="0.15">
      <c r="CP8470" s="31"/>
    </row>
    <row r="8471" spans="94:94" x14ac:dyDescent="0.15">
      <c r="CP8471" s="31"/>
    </row>
    <row r="8472" spans="94:94" x14ac:dyDescent="0.15">
      <c r="CP8472" s="31"/>
    </row>
    <row r="8473" spans="94:94" x14ac:dyDescent="0.15">
      <c r="CP8473" s="31"/>
    </row>
    <row r="8474" spans="94:94" x14ac:dyDescent="0.15">
      <c r="CP8474" s="31"/>
    </row>
    <row r="8475" spans="94:94" x14ac:dyDescent="0.15">
      <c r="CP8475" s="31"/>
    </row>
    <row r="8476" spans="94:94" x14ac:dyDescent="0.15">
      <c r="CP8476" s="31"/>
    </row>
    <row r="8477" spans="94:94" x14ac:dyDescent="0.15">
      <c r="CP8477" s="31"/>
    </row>
    <row r="8478" spans="94:94" x14ac:dyDescent="0.15">
      <c r="CP8478" s="31"/>
    </row>
    <row r="8479" spans="94:94" x14ac:dyDescent="0.15">
      <c r="CP8479" s="31"/>
    </row>
    <row r="8480" spans="94:94" x14ac:dyDescent="0.15">
      <c r="CP8480" s="31"/>
    </row>
    <row r="8481" spans="94:94" x14ac:dyDescent="0.15">
      <c r="CP8481" s="31"/>
    </row>
    <row r="8482" spans="94:94" x14ac:dyDescent="0.15">
      <c r="CP8482" s="31"/>
    </row>
    <row r="8483" spans="94:94" x14ac:dyDescent="0.15">
      <c r="CP8483" s="31"/>
    </row>
    <row r="8484" spans="94:94" x14ac:dyDescent="0.15">
      <c r="CP8484" s="31"/>
    </row>
    <row r="8485" spans="94:94" x14ac:dyDescent="0.15">
      <c r="CP8485" s="31"/>
    </row>
    <row r="8486" spans="94:94" x14ac:dyDescent="0.15">
      <c r="CP8486" s="31"/>
    </row>
    <row r="8487" spans="94:94" x14ac:dyDescent="0.15">
      <c r="CP8487" s="31"/>
    </row>
    <row r="8488" spans="94:94" x14ac:dyDescent="0.15">
      <c r="CP8488" s="31"/>
    </row>
    <row r="8489" spans="94:94" x14ac:dyDescent="0.15">
      <c r="CP8489" s="31"/>
    </row>
    <row r="8490" spans="94:94" x14ac:dyDescent="0.15">
      <c r="CP8490" s="31"/>
    </row>
    <row r="8491" spans="94:94" x14ac:dyDescent="0.15">
      <c r="CP8491" s="31"/>
    </row>
    <row r="8492" spans="94:94" x14ac:dyDescent="0.15">
      <c r="CP8492" s="31"/>
    </row>
    <row r="8493" spans="94:94" x14ac:dyDescent="0.15">
      <c r="CP8493" s="31"/>
    </row>
    <row r="8494" spans="94:94" x14ac:dyDescent="0.15">
      <c r="CP8494" s="31"/>
    </row>
    <row r="8495" spans="94:94" x14ac:dyDescent="0.15">
      <c r="CP8495" s="31"/>
    </row>
    <row r="8496" spans="94:94" x14ac:dyDescent="0.15">
      <c r="CP8496" s="31"/>
    </row>
    <row r="8497" spans="94:94" x14ac:dyDescent="0.15">
      <c r="CP8497" s="31"/>
    </row>
    <row r="8498" spans="94:94" x14ac:dyDescent="0.15">
      <c r="CP8498" s="31"/>
    </row>
    <row r="8499" spans="94:94" x14ac:dyDescent="0.15">
      <c r="CP8499" s="31"/>
    </row>
    <row r="8500" spans="94:94" x14ac:dyDescent="0.15">
      <c r="CP8500" s="31"/>
    </row>
    <row r="8501" spans="94:94" x14ac:dyDescent="0.15">
      <c r="CP8501" s="31"/>
    </row>
    <row r="8502" spans="94:94" x14ac:dyDescent="0.15">
      <c r="CP8502" s="31"/>
    </row>
    <row r="8503" spans="94:94" x14ac:dyDescent="0.15">
      <c r="CP8503" s="31"/>
    </row>
    <row r="8504" spans="94:94" x14ac:dyDescent="0.15">
      <c r="CP8504" s="31"/>
    </row>
    <row r="8505" spans="94:94" x14ac:dyDescent="0.15">
      <c r="CP8505" s="31"/>
    </row>
    <row r="8506" spans="94:94" x14ac:dyDescent="0.15">
      <c r="CP8506" s="31"/>
    </row>
    <row r="8507" spans="94:94" x14ac:dyDescent="0.15">
      <c r="CP8507" s="31"/>
    </row>
    <row r="8508" spans="94:94" x14ac:dyDescent="0.15">
      <c r="CP8508" s="31"/>
    </row>
    <row r="8509" spans="94:94" x14ac:dyDescent="0.15">
      <c r="CP8509" s="31"/>
    </row>
    <row r="8510" spans="94:94" x14ac:dyDescent="0.15">
      <c r="CP8510" s="31"/>
    </row>
    <row r="8511" spans="94:94" x14ac:dyDescent="0.15">
      <c r="CP8511" s="31"/>
    </row>
    <row r="8512" spans="94:94" x14ac:dyDescent="0.15">
      <c r="CP8512" s="31"/>
    </row>
    <row r="8513" spans="94:94" x14ac:dyDescent="0.15">
      <c r="CP8513" s="31"/>
    </row>
    <row r="8514" spans="94:94" x14ac:dyDescent="0.15">
      <c r="CP8514" s="31"/>
    </row>
    <row r="8515" spans="94:94" x14ac:dyDescent="0.15">
      <c r="CP8515" s="31"/>
    </row>
    <row r="8516" spans="94:94" x14ac:dyDescent="0.15">
      <c r="CP8516" s="31"/>
    </row>
    <row r="8517" spans="94:94" x14ac:dyDescent="0.15">
      <c r="CP8517" s="31"/>
    </row>
    <row r="8518" spans="94:94" x14ac:dyDescent="0.15">
      <c r="CP8518" s="31"/>
    </row>
    <row r="8519" spans="94:94" x14ac:dyDescent="0.15">
      <c r="CP8519" s="31"/>
    </row>
    <row r="8520" spans="94:94" x14ac:dyDescent="0.15">
      <c r="CP8520" s="31"/>
    </row>
    <row r="8521" spans="94:94" x14ac:dyDescent="0.15">
      <c r="CP8521" s="31"/>
    </row>
    <row r="8522" spans="94:94" x14ac:dyDescent="0.15">
      <c r="CP8522" s="31"/>
    </row>
    <row r="8523" spans="94:94" x14ac:dyDescent="0.15">
      <c r="CP8523" s="31"/>
    </row>
    <row r="8524" spans="94:94" x14ac:dyDescent="0.15">
      <c r="CP8524" s="31"/>
    </row>
    <row r="8525" spans="94:94" x14ac:dyDescent="0.15">
      <c r="CP8525" s="31"/>
    </row>
    <row r="8526" spans="94:94" x14ac:dyDescent="0.15">
      <c r="CP8526" s="31"/>
    </row>
    <row r="8527" spans="94:94" x14ac:dyDescent="0.15">
      <c r="CP8527" s="31"/>
    </row>
    <row r="8528" spans="94:94" x14ac:dyDescent="0.15">
      <c r="CP8528" s="31"/>
    </row>
    <row r="8529" spans="94:94" x14ac:dyDescent="0.15">
      <c r="CP8529" s="31"/>
    </row>
    <row r="8530" spans="94:94" x14ac:dyDescent="0.15">
      <c r="CP8530" s="31"/>
    </row>
    <row r="8531" spans="94:94" x14ac:dyDescent="0.15">
      <c r="CP8531" s="31"/>
    </row>
    <row r="8532" spans="94:94" x14ac:dyDescent="0.15">
      <c r="CP8532" s="31"/>
    </row>
    <row r="8533" spans="94:94" x14ac:dyDescent="0.15">
      <c r="CP8533" s="31"/>
    </row>
    <row r="8534" spans="94:94" x14ac:dyDescent="0.15">
      <c r="CP8534" s="31"/>
    </row>
    <row r="8535" spans="94:94" x14ac:dyDescent="0.15">
      <c r="CP8535" s="31"/>
    </row>
    <row r="8536" spans="94:94" x14ac:dyDescent="0.15">
      <c r="CP8536" s="31"/>
    </row>
    <row r="8537" spans="94:94" x14ac:dyDescent="0.15">
      <c r="CP8537" s="31"/>
    </row>
    <row r="8538" spans="94:94" x14ac:dyDescent="0.15">
      <c r="CP8538" s="31"/>
    </row>
    <row r="8539" spans="94:94" x14ac:dyDescent="0.15">
      <c r="CP8539" s="31"/>
    </row>
    <row r="8540" spans="94:94" x14ac:dyDescent="0.15">
      <c r="CP8540" s="31"/>
    </row>
    <row r="8541" spans="94:94" x14ac:dyDescent="0.15">
      <c r="CP8541" s="31"/>
    </row>
    <row r="8542" spans="94:94" x14ac:dyDescent="0.15">
      <c r="CP8542" s="31"/>
    </row>
    <row r="8543" spans="94:94" x14ac:dyDescent="0.15">
      <c r="CP8543" s="31"/>
    </row>
    <row r="8544" spans="94:94" x14ac:dyDescent="0.15">
      <c r="CP8544" s="31"/>
    </row>
    <row r="8545" spans="94:94" x14ac:dyDescent="0.15">
      <c r="CP8545" s="31"/>
    </row>
    <row r="8546" spans="94:94" x14ac:dyDescent="0.15">
      <c r="CP8546" s="31"/>
    </row>
    <row r="8547" spans="94:94" x14ac:dyDescent="0.15">
      <c r="CP8547" s="31"/>
    </row>
    <row r="8548" spans="94:94" x14ac:dyDescent="0.15">
      <c r="CP8548" s="31"/>
    </row>
    <row r="8549" spans="94:94" x14ac:dyDescent="0.15">
      <c r="CP8549" s="31"/>
    </row>
    <row r="8550" spans="94:94" x14ac:dyDescent="0.15">
      <c r="CP8550" s="31"/>
    </row>
    <row r="8551" spans="94:94" x14ac:dyDescent="0.15">
      <c r="CP8551" s="31"/>
    </row>
    <row r="8552" spans="94:94" x14ac:dyDescent="0.15">
      <c r="CP8552" s="31"/>
    </row>
    <row r="8553" spans="94:94" x14ac:dyDescent="0.15">
      <c r="CP8553" s="31"/>
    </row>
    <row r="8554" spans="94:94" x14ac:dyDescent="0.15">
      <c r="CP8554" s="31"/>
    </row>
    <row r="8555" spans="94:94" x14ac:dyDescent="0.15">
      <c r="CP8555" s="31"/>
    </row>
    <row r="8556" spans="94:94" x14ac:dyDescent="0.15">
      <c r="CP8556" s="31"/>
    </row>
    <row r="8557" spans="94:94" x14ac:dyDescent="0.15">
      <c r="CP8557" s="31"/>
    </row>
    <row r="8558" spans="94:94" x14ac:dyDescent="0.15">
      <c r="CP8558" s="31"/>
    </row>
    <row r="8559" spans="94:94" x14ac:dyDescent="0.15">
      <c r="CP8559" s="31"/>
    </row>
    <row r="8560" spans="94:94" x14ac:dyDescent="0.15">
      <c r="CP8560" s="31"/>
    </row>
    <row r="8561" spans="94:94" x14ac:dyDescent="0.15">
      <c r="CP8561" s="31"/>
    </row>
    <row r="8562" spans="94:94" x14ac:dyDescent="0.15">
      <c r="CP8562" s="31"/>
    </row>
    <row r="8563" spans="94:94" x14ac:dyDescent="0.15">
      <c r="CP8563" s="31"/>
    </row>
    <row r="8564" spans="94:94" x14ac:dyDescent="0.15">
      <c r="CP8564" s="31"/>
    </row>
    <row r="8565" spans="94:94" x14ac:dyDescent="0.15">
      <c r="CP8565" s="31"/>
    </row>
    <row r="8566" spans="94:94" x14ac:dyDescent="0.15">
      <c r="CP8566" s="31"/>
    </row>
    <row r="8567" spans="94:94" x14ac:dyDescent="0.15">
      <c r="CP8567" s="31"/>
    </row>
    <row r="8568" spans="94:94" x14ac:dyDescent="0.15">
      <c r="CP8568" s="31"/>
    </row>
    <row r="8569" spans="94:94" x14ac:dyDescent="0.15">
      <c r="CP8569" s="31"/>
    </row>
    <row r="8570" spans="94:94" x14ac:dyDescent="0.15">
      <c r="CP8570" s="31"/>
    </row>
    <row r="8571" spans="94:94" x14ac:dyDescent="0.15">
      <c r="CP8571" s="31"/>
    </row>
    <row r="8572" spans="94:94" x14ac:dyDescent="0.15">
      <c r="CP8572" s="31"/>
    </row>
    <row r="8573" spans="94:94" x14ac:dyDescent="0.15">
      <c r="CP8573" s="31"/>
    </row>
    <row r="8574" spans="94:94" x14ac:dyDescent="0.15">
      <c r="CP8574" s="31"/>
    </row>
    <row r="8575" spans="94:94" x14ac:dyDescent="0.15">
      <c r="CP8575" s="31"/>
    </row>
    <row r="8576" spans="94:94" x14ac:dyDescent="0.15">
      <c r="CP8576" s="31"/>
    </row>
    <row r="8577" spans="94:94" x14ac:dyDescent="0.15">
      <c r="CP8577" s="31"/>
    </row>
    <row r="8578" spans="94:94" x14ac:dyDescent="0.15">
      <c r="CP8578" s="31"/>
    </row>
    <row r="8579" spans="94:94" x14ac:dyDescent="0.15">
      <c r="CP8579" s="31"/>
    </row>
    <row r="8580" spans="94:94" x14ac:dyDescent="0.15">
      <c r="CP8580" s="31"/>
    </row>
    <row r="8581" spans="94:94" x14ac:dyDescent="0.15">
      <c r="CP8581" s="31"/>
    </row>
    <row r="8582" spans="94:94" x14ac:dyDescent="0.15">
      <c r="CP8582" s="31"/>
    </row>
    <row r="8583" spans="94:94" x14ac:dyDescent="0.15">
      <c r="CP8583" s="31"/>
    </row>
    <row r="8584" spans="94:94" x14ac:dyDescent="0.15">
      <c r="CP8584" s="31"/>
    </row>
    <row r="8585" spans="94:94" x14ac:dyDescent="0.15">
      <c r="CP8585" s="31"/>
    </row>
    <row r="8586" spans="94:94" x14ac:dyDescent="0.15">
      <c r="CP8586" s="31"/>
    </row>
    <row r="8587" spans="94:94" x14ac:dyDescent="0.15">
      <c r="CP8587" s="31"/>
    </row>
    <row r="8588" spans="94:94" x14ac:dyDescent="0.15">
      <c r="CP8588" s="31"/>
    </row>
    <row r="8589" spans="94:94" x14ac:dyDescent="0.15">
      <c r="CP8589" s="31"/>
    </row>
    <row r="8590" spans="94:94" x14ac:dyDescent="0.15">
      <c r="CP8590" s="31"/>
    </row>
    <row r="8591" spans="94:94" x14ac:dyDescent="0.15">
      <c r="CP8591" s="31"/>
    </row>
    <row r="8592" spans="94:94" x14ac:dyDescent="0.15">
      <c r="CP8592" s="31"/>
    </row>
    <row r="8593" spans="94:94" x14ac:dyDescent="0.15">
      <c r="CP8593" s="31"/>
    </row>
    <row r="8594" spans="94:94" x14ac:dyDescent="0.15">
      <c r="CP8594" s="31"/>
    </row>
    <row r="8595" spans="94:94" x14ac:dyDescent="0.15">
      <c r="CP8595" s="31"/>
    </row>
    <row r="8596" spans="94:94" x14ac:dyDescent="0.15">
      <c r="CP8596" s="31"/>
    </row>
    <row r="8597" spans="94:94" x14ac:dyDescent="0.15">
      <c r="CP8597" s="31"/>
    </row>
    <row r="8598" spans="94:94" x14ac:dyDescent="0.15">
      <c r="CP8598" s="31"/>
    </row>
    <row r="8599" spans="94:94" x14ac:dyDescent="0.15">
      <c r="CP8599" s="31"/>
    </row>
    <row r="8600" spans="94:94" x14ac:dyDescent="0.15">
      <c r="CP8600" s="31"/>
    </row>
    <row r="8601" spans="94:94" x14ac:dyDescent="0.15">
      <c r="CP8601" s="31"/>
    </row>
    <row r="8602" spans="94:94" x14ac:dyDescent="0.15">
      <c r="CP8602" s="31"/>
    </row>
    <row r="8603" spans="94:94" x14ac:dyDescent="0.15">
      <c r="CP8603" s="31"/>
    </row>
    <row r="8604" spans="94:94" x14ac:dyDescent="0.15">
      <c r="CP8604" s="31"/>
    </row>
    <row r="8605" spans="94:94" x14ac:dyDescent="0.15">
      <c r="CP8605" s="31"/>
    </row>
    <row r="8606" spans="94:94" x14ac:dyDescent="0.15">
      <c r="CP8606" s="31"/>
    </row>
    <row r="8607" spans="94:94" x14ac:dyDescent="0.15">
      <c r="CP8607" s="31"/>
    </row>
    <row r="8608" spans="94:94" x14ac:dyDescent="0.15">
      <c r="CP8608" s="31"/>
    </row>
    <row r="8609" spans="94:94" x14ac:dyDescent="0.15">
      <c r="CP8609" s="31"/>
    </row>
    <row r="8610" spans="94:94" x14ac:dyDescent="0.15">
      <c r="CP8610" s="31"/>
    </row>
    <row r="8611" spans="94:94" x14ac:dyDescent="0.15">
      <c r="CP8611" s="31"/>
    </row>
    <row r="8612" spans="94:94" x14ac:dyDescent="0.15">
      <c r="CP8612" s="31"/>
    </row>
    <row r="8613" spans="94:94" x14ac:dyDescent="0.15">
      <c r="CP8613" s="31"/>
    </row>
    <row r="8614" spans="94:94" x14ac:dyDescent="0.15">
      <c r="CP8614" s="31"/>
    </row>
    <row r="8615" spans="94:94" x14ac:dyDescent="0.15">
      <c r="CP8615" s="31"/>
    </row>
    <row r="8616" spans="94:94" x14ac:dyDescent="0.15">
      <c r="CP8616" s="31"/>
    </row>
    <row r="8617" spans="94:94" x14ac:dyDescent="0.15">
      <c r="CP8617" s="31"/>
    </row>
    <row r="8618" spans="94:94" x14ac:dyDescent="0.15">
      <c r="CP8618" s="31"/>
    </row>
    <row r="8619" spans="94:94" x14ac:dyDescent="0.15">
      <c r="CP8619" s="31"/>
    </row>
    <row r="8620" spans="94:94" x14ac:dyDescent="0.15">
      <c r="CP8620" s="31"/>
    </row>
    <row r="8621" spans="94:94" x14ac:dyDescent="0.15">
      <c r="CP8621" s="31"/>
    </row>
    <row r="8622" spans="94:94" x14ac:dyDescent="0.15">
      <c r="CP8622" s="31"/>
    </row>
    <row r="8623" spans="94:94" x14ac:dyDescent="0.15">
      <c r="CP8623" s="31"/>
    </row>
    <row r="8624" spans="94:94" x14ac:dyDescent="0.15">
      <c r="CP8624" s="31"/>
    </row>
    <row r="8625" spans="94:94" x14ac:dyDescent="0.15">
      <c r="CP8625" s="31"/>
    </row>
    <row r="8626" spans="94:94" x14ac:dyDescent="0.15">
      <c r="CP8626" s="31"/>
    </row>
    <row r="8627" spans="94:94" x14ac:dyDescent="0.15">
      <c r="CP8627" s="31"/>
    </row>
    <row r="8628" spans="94:94" x14ac:dyDescent="0.15">
      <c r="CP8628" s="31"/>
    </row>
    <row r="8629" spans="94:94" x14ac:dyDescent="0.15">
      <c r="CP8629" s="31"/>
    </row>
    <row r="8630" spans="94:94" x14ac:dyDescent="0.15">
      <c r="CP8630" s="31"/>
    </row>
    <row r="8631" spans="94:94" x14ac:dyDescent="0.15">
      <c r="CP8631" s="31"/>
    </row>
    <row r="8632" spans="94:94" x14ac:dyDescent="0.15">
      <c r="CP8632" s="31"/>
    </row>
    <row r="8633" spans="94:94" x14ac:dyDescent="0.15">
      <c r="CP8633" s="31"/>
    </row>
    <row r="8634" spans="94:94" x14ac:dyDescent="0.15">
      <c r="CP8634" s="31"/>
    </row>
    <row r="8635" spans="94:94" x14ac:dyDescent="0.15">
      <c r="CP8635" s="31"/>
    </row>
    <row r="8636" spans="94:94" x14ac:dyDescent="0.15">
      <c r="CP8636" s="31"/>
    </row>
    <row r="8637" spans="94:94" x14ac:dyDescent="0.15">
      <c r="CP8637" s="31"/>
    </row>
    <row r="8638" spans="94:94" x14ac:dyDescent="0.15">
      <c r="CP8638" s="31"/>
    </row>
    <row r="8639" spans="94:94" x14ac:dyDescent="0.15">
      <c r="CP8639" s="31"/>
    </row>
    <row r="8640" spans="94:94" x14ac:dyDescent="0.15">
      <c r="CP8640" s="31"/>
    </row>
    <row r="8641" spans="94:94" x14ac:dyDescent="0.15">
      <c r="CP8641" s="31"/>
    </row>
    <row r="8642" spans="94:94" x14ac:dyDescent="0.15">
      <c r="CP8642" s="31"/>
    </row>
    <row r="8643" spans="94:94" x14ac:dyDescent="0.15">
      <c r="CP8643" s="31"/>
    </row>
    <row r="8644" spans="94:94" x14ac:dyDescent="0.15">
      <c r="CP8644" s="31"/>
    </row>
    <row r="8645" spans="94:94" x14ac:dyDescent="0.15">
      <c r="CP8645" s="31"/>
    </row>
    <row r="8646" spans="94:94" x14ac:dyDescent="0.15">
      <c r="CP8646" s="31"/>
    </row>
    <row r="8647" spans="94:94" x14ac:dyDescent="0.15">
      <c r="CP8647" s="31"/>
    </row>
    <row r="8648" spans="94:94" x14ac:dyDescent="0.15">
      <c r="CP8648" s="31"/>
    </row>
    <row r="8649" spans="94:94" x14ac:dyDescent="0.15">
      <c r="CP8649" s="31"/>
    </row>
    <row r="8650" spans="94:94" x14ac:dyDescent="0.15">
      <c r="CP8650" s="31"/>
    </row>
    <row r="8651" spans="94:94" x14ac:dyDescent="0.15">
      <c r="CP8651" s="31"/>
    </row>
    <row r="8652" spans="94:94" x14ac:dyDescent="0.15">
      <c r="CP8652" s="31"/>
    </row>
    <row r="8653" spans="94:94" x14ac:dyDescent="0.15">
      <c r="CP8653" s="31"/>
    </row>
    <row r="8654" spans="94:94" x14ac:dyDescent="0.15">
      <c r="CP8654" s="31"/>
    </row>
    <row r="8655" spans="94:94" x14ac:dyDescent="0.15">
      <c r="CP8655" s="31"/>
    </row>
    <row r="8656" spans="94:94" x14ac:dyDescent="0.15">
      <c r="CP8656" s="31"/>
    </row>
    <row r="8657" spans="94:94" x14ac:dyDescent="0.15">
      <c r="CP8657" s="31"/>
    </row>
    <row r="8658" spans="94:94" x14ac:dyDescent="0.15">
      <c r="CP8658" s="31"/>
    </row>
    <row r="8659" spans="94:94" x14ac:dyDescent="0.15">
      <c r="CP8659" s="31"/>
    </row>
    <row r="8660" spans="94:94" x14ac:dyDescent="0.15">
      <c r="CP8660" s="31"/>
    </row>
    <row r="8661" spans="94:94" x14ac:dyDescent="0.15">
      <c r="CP8661" s="31"/>
    </row>
    <row r="8662" spans="94:94" x14ac:dyDescent="0.15">
      <c r="CP8662" s="31"/>
    </row>
    <row r="8663" spans="94:94" x14ac:dyDescent="0.15">
      <c r="CP8663" s="31"/>
    </row>
    <row r="8664" spans="94:94" x14ac:dyDescent="0.15">
      <c r="CP8664" s="31"/>
    </row>
    <row r="8665" spans="94:94" x14ac:dyDescent="0.15">
      <c r="CP8665" s="31"/>
    </row>
    <row r="8666" spans="94:94" x14ac:dyDescent="0.15">
      <c r="CP8666" s="31"/>
    </row>
    <row r="8667" spans="94:94" x14ac:dyDescent="0.15">
      <c r="CP8667" s="31"/>
    </row>
    <row r="8668" spans="94:94" x14ac:dyDescent="0.15">
      <c r="CP8668" s="31"/>
    </row>
    <row r="8669" spans="94:94" x14ac:dyDescent="0.15">
      <c r="CP8669" s="31"/>
    </row>
    <row r="8670" spans="94:94" x14ac:dyDescent="0.15">
      <c r="CP8670" s="31"/>
    </row>
    <row r="8671" spans="94:94" x14ac:dyDescent="0.15">
      <c r="CP8671" s="31"/>
    </row>
    <row r="8672" spans="94:94" x14ac:dyDescent="0.15">
      <c r="CP8672" s="31"/>
    </row>
    <row r="8673" spans="94:94" x14ac:dyDescent="0.15">
      <c r="CP8673" s="31"/>
    </row>
    <row r="8674" spans="94:94" x14ac:dyDescent="0.15">
      <c r="CP8674" s="31"/>
    </row>
    <row r="8675" spans="94:94" x14ac:dyDescent="0.15">
      <c r="CP8675" s="31"/>
    </row>
    <row r="8676" spans="94:94" x14ac:dyDescent="0.15">
      <c r="CP8676" s="31"/>
    </row>
    <row r="8677" spans="94:94" x14ac:dyDescent="0.15">
      <c r="CP8677" s="31"/>
    </row>
    <row r="8678" spans="94:94" x14ac:dyDescent="0.15">
      <c r="CP8678" s="31"/>
    </row>
    <row r="8679" spans="94:94" x14ac:dyDescent="0.15">
      <c r="CP8679" s="31"/>
    </row>
    <row r="8680" spans="94:94" x14ac:dyDescent="0.15">
      <c r="CP8680" s="31"/>
    </row>
    <row r="8681" spans="94:94" x14ac:dyDescent="0.15">
      <c r="CP8681" s="31"/>
    </row>
    <row r="8682" spans="94:94" x14ac:dyDescent="0.15">
      <c r="CP8682" s="31"/>
    </row>
    <row r="8683" spans="94:94" x14ac:dyDescent="0.15">
      <c r="CP8683" s="31"/>
    </row>
    <row r="8684" spans="94:94" x14ac:dyDescent="0.15">
      <c r="CP8684" s="31"/>
    </row>
    <row r="8685" spans="94:94" x14ac:dyDescent="0.15">
      <c r="CP8685" s="31"/>
    </row>
    <row r="8686" spans="94:94" x14ac:dyDescent="0.15">
      <c r="CP8686" s="31"/>
    </row>
    <row r="8687" spans="94:94" x14ac:dyDescent="0.15">
      <c r="CP8687" s="31"/>
    </row>
    <row r="8688" spans="94:94" x14ac:dyDescent="0.15">
      <c r="CP8688" s="31"/>
    </row>
    <row r="8689" spans="94:94" x14ac:dyDescent="0.15">
      <c r="CP8689" s="31"/>
    </row>
    <row r="8690" spans="94:94" x14ac:dyDescent="0.15">
      <c r="CP8690" s="31"/>
    </row>
    <row r="8691" spans="94:94" x14ac:dyDescent="0.15">
      <c r="CP8691" s="31"/>
    </row>
    <row r="8692" spans="94:94" x14ac:dyDescent="0.15">
      <c r="CP8692" s="31"/>
    </row>
    <row r="8693" spans="94:94" x14ac:dyDescent="0.15">
      <c r="CP8693" s="31"/>
    </row>
    <row r="8694" spans="94:94" x14ac:dyDescent="0.15">
      <c r="CP8694" s="31"/>
    </row>
    <row r="8695" spans="94:94" x14ac:dyDescent="0.15">
      <c r="CP8695" s="31"/>
    </row>
    <row r="8696" spans="94:94" x14ac:dyDescent="0.15">
      <c r="CP8696" s="31"/>
    </row>
    <row r="8697" spans="94:94" x14ac:dyDescent="0.15">
      <c r="CP8697" s="31"/>
    </row>
    <row r="8698" spans="94:94" x14ac:dyDescent="0.15">
      <c r="CP8698" s="31"/>
    </row>
    <row r="8699" spans="94:94" x14ac:dyDescent="0.15">
      <c r="CP8699" s="31"/>
    </row>
    <row r="8700" spans="94:94" x14ac:dyDescent="0.15">
      <c r="CP8700" s="31"/>
    </row>
    <row r="8701" spans="94:94" x14ac:dyDescent="0.15">
      <c r="CP8701" s="31"/>
    </row>
    <row r="8702" spans="94:94" x14ac:dyDescent="0.15">
      <c r="CP8702" s="31"/>
    </row>
    <row r="8703" spans="94:94" x14ac:dyDescent="0.15">
      <c r="CP8703" s="31"/>
    </row>
    <row r="8704" spans="94:94" x14ac:dyDescent="0.15">
      <c r="CP8704" s="31"/>
    </row>
    <row r="8705" spans="94:94" x14ac:dyDescent="0.15">
      <c r="CP8705" s="31"/>
    </row>
    <row r="8706" spans="94:94" x14ac:dyDescent="0.15">
      <c r="CP8706" s="31"/>
    </row>
    <row r="8707" spans="94:94" x14ac:dyDescent="0.15">
      <c r="CP8707" s="31"/>
    </row>
    <row r="8708" spans="94:94" x14ac:dyDescent="0.15">
      <c r="CP8708" s="31"/>
    </row>
    <row r="8709" spans="94:94" x14ac:dyDescent="0.15">
      <c r="CP8709" s="31"/>
    </row>
    <row r="8710" spans="94:94" x14ac:dyDescent="0.15">
      <c r="CP8710" s="31"/>
    </row>
    <row r="8711" spans="94:94" x14ac:dyDescent="0.15">
      <c r="CP8711" s="31"/>
    </row>
    <row r="8712" spans="94:94" x14ac:dyDescent="0.15">
      <c r="CP8712" s="31"/>
    </row>
    <row r="8713" spans="94:94" x14ac:dyDescent="0.15">
      <c r="CP8713" s="31"/>
    </row>
    <row r="8714" spans="94:94" x14ac:dyDescent="0.15">
      <c r="CP8714" s="31"/>
    </row>
    <row r="8715" spans="94:94" x14ac:dyDescent="0.15">
      <c r="CP8715" s="31"/>
    </row>
    <row r="8716" spans="94:94" x14ac:dyDescent="0.15">
      <c r="CP8716" s="31"/>
    </row>
    <row r="8717" spans="94:94" x14ac:dyDescent="0.15">
      <c r="CP8717" s="31"/>
    </row>
    <row r="8718" spans="94:94" x14ac:dyDescent="0.15">
      <c r="CP8718" s="31"/>
    </row>
    <row r="8719" spans="94:94" x14ac:dyDescent="0.15">
      <c r="CP8719" s="31"/>
    </row>
    <row r="8720" spans="94:94" x14ac:dyDescent="0.15">
      <c r="CP8720" s="31"/>
    </row>
    <row r="8721" spans="94:94" x14ac:dyDescent="0.15">
      <c r="CP8721" s="31"/>
    </row>
    <row r="8722" spans="94:94" x14ac:dyDescent="0.15">
      <c r="CP8722" s="31"/>
    </row>
    <row r="8723" spans="94:94" x14ac:dyDescent="0.15">
      <c r="CP8723" s="31"/>
    </row>
    <row r="8724" spans="94:94" x14ac:dyDescent="0.15">
      <c r="CP8724" s="31"/>
    </row>
    <row r="8725" spans="94:94" x14ac:dyDescent="0.15">
      <c r="CP8725" s="31"/>
    </row>
    <row r="8726" spans="94:94" x14ac:dyDescent="0.15">
      <c r="CP8726" s="31"/>
    </row>
    <row r="8727" spans="94:94" x14ac:dyDescent="0.15">
      <c r="CP8727" s="31"/>
    </row>
    <row r="8728" spans="94:94" x14ac:dyDescent="0.15">
      <c r="CP8728" s="31"/>
    </row>
    <row r="8729" spans="94:94" x14ac:dyDescent="0.15">
      <c r="CP8729" s="31"/>
    </row>
    <row r="8730" spans="94:94" x14ac:dyDescent="0.15">
      <c r="CP8730" s="31"/>
    </row>
    <row r="8731" spans="94:94" x14ac:dyDescent="0.15">
      <c r="CP8731" s="31"/>
    </row>
    <row r="8732" spans="94:94" x14ac:dyDescent="0.15">
      <c r="CP8732" s="31"/>
    </row>
    <row r="8733" spans="94:94" x14ac:dyDescent="0.15">
      <c r="CP8733" s="31"/>
    </row>
    <row r="8734" spans="94:94" x14ac:dyDescent="0.15">
      <c r="CP8734" s="31"/>
    </row>
    <row r="8735" spans="94:94" x14ac:dyDescent="0.15">
      <c r="CP8735" s="31"/>
    </row>
    <row r="8736" spans="94:94" x14ac:dyDescent="0.15">
      <c r="CP8736" s="31"/>
    </row>
    <row r="8737" spans="94:94" x14ac:dyDescent="0.15">
      <c r="CP8737" s="31"/>
    </row>
    <row r="8738" spans="94:94" x14ac:dyDescent="0.15">
      <c r="CP8738" s="31"/>
    </row>
    <row r="8739" spans="94:94" x14ac:dyDescent="0.15">
      <c r="CP8739" s="31"/>
    </row>
    <row r="8740" spans="94:94" x14ac:dyDescent="0.15">
      <c r="CP8740" s="31"/>
    </row>
    <row r="8741" spans="94:94" x14ac:dyDescent="0.15">
      <c r="CP8741" s="31"/>
    </row>
    <row r="8742" spans="94:94" x14ac:dyDescent="0.15">
      <c r="CP8742" s="31"/>
    </row>
    <row r="8743" spans="94:94" x14ac:dyDescent="0.15">
      <c r="CP8743" s="31"/>
    </row>
    <row r="8744" spans="94:94" x14ac:dyDescent="0.15">
      <c r="CP8744" s="31"/>
    </row>
    <row r="8745" spans="94:94" x14ac:dyDescent="0.15">
      <c r="CP8745" s="31"/>
    </row>
    <row r="8746" spans="94:94" x14ac:dyDescent="0.15">
      <c r="CP8746" s="31"/>
    </row>
    <row r="8747" spans="94:94" x14ac:dyDescent="0.15">
      <c r="CP8747" s="31"/>
    </row>
    <row r="8748" spans="94:94" x14ac:dyDescent="0.15">
      <c r="CP8748" s="31"/>
    </row>
    <row r="8749" spans="94:94" x14ac:dyDescent="0.15">
      <c r="CP8749" s="31"/>
    </row>
    <row r="8750" spans="94:94" x14ac:dyDescent="0.15">
      <c r="CP8750" s="31"/>
    </row>
    <row r="8751" spans="94:94" x14ac:dyDescent="0.15">
      <c r="CP8751" s="31"/>
    </row>
    <row r="8752" spans="94:94" x14ac:dyDescent="0.15">
      <c r="CP8752" s="31"/>
    </row>
    <row r="8753" spans="94:94" x14ac:dyDescent="0.15">
      <c r="CP8753" s="31"/>
    </row>
    <row r="8754" spans="94:94" x14ac:dyDescent="0.15">
      <c r="CP8754" s="31"/>
    </row>
    <row r="8755" spans="94:94" x14ac:dyDescent="0.15">
      <c r="CP8755" s="31"/>
    </row>
    <row r="8756" spans="94:94" x14ac:dyDescent="0.15">
      <c r="CP8756" s="31"/>
    </row>
    <row r="8757" spans="94:94" x14ac:dyDescent="0.15">
      <c r="CP8757" s="31"/>
    </row>
    <row r="8758" spans="94:94" x14ac:dyDescent="0.15">
      <c r="CP8758" s="31"/>
    </row>
    <row r="8759" spans="94:94" x14ac:dyDescent="0.15">
      <c r="CP8759" s="31"/>
    </row>
    <row r="8760" spans="94:94" x14ac:dyDescent="0.15">
      <c r="CP8760" s="31"/>
    </row>
    <row r="8761" spans="94:94" x14ac:dyDescent="0.15">
      <c r="CP8761" s="31"/>
    </row>
    <row r="8762" spans="94:94" x14ac:dyDescent="0.15">
      <c r="CP8762" s="31"/>
    </row>
    <row r="8763" spans="94:94" x14ac:dyDescent="0.15">
      <c r="CP8763" s="31"/>
    </row>
    <row r="8764" spans="94:94" x14ac:dyDescent="0.15">
      <c r="CP8764" s="31"/>
    </row>
    <row r="8765" spans="94:94" x14ac:dyDescent="0.15">
      <c r="CP8765" s="31"/>
    </row>
    <row r="8766" spans="94:94" x14ac:dyDescent="0.15">
      <c r="CP8766" s="31"/>
    </row>
    <row r="8767" spans="94:94" x14ac:dyDescent="0.15">
      <c r="CP8767" s="31"/>
    </row>
    <row r="8768" spans="94:94" x14ac:dyDescent="0.15">
      <c r="CP8768" s="31"/>
    </row>
    <row r="8769" spans="94:94" x14ac:dyDescent="0.15">
      <c r="CP8769" s="31"/>
    </row>
    <row r="8770" spans="94:94" x14ac:dyDescent="0.15">
      <c r="CP8770" s="31"/>
    </row>
    <row r="8771" spans="94:94" x14ac:dyDescent="0.15">
      <c r="CP8771" s="31"/>
    </row>
    <row r="8772" spans="94:94" x14ac:dyDescent="0.15">
      <c r="CP8772" s="31"/>
    </row>
    <row r="8773" spans="94:94" x14ac:dyDescent="0.15">
      <c r="CP8773" s="31"/>
    </row>
    <row r="8774" spans="94:94" x14ac:dyDescent="0.15">
      <c r="CP8774" s="31"/>
    </row>
    <row r="8775" spans="94:94" x14ac:dyDescent="0.15">
      <c r="CP8775" s="31"/>
    </row>
    <row r="8776" spans="94:94" x14ac:dyDescent="0.15">
      <c r="CP8776" s="31"/>
    </row>
    <row r="8777" spans="94:94" x14ac:dyDescent="0.15">
      <c r="CP8777" s="31"/>
    </row>
    <row r="8778" spans="94:94" x14ac:dyDescent="0.15">
      <c r="CP8778" s="31"/>
    </row>
    <row r="8779" spans="94:94" x14ac:dyDescent="0.15">
      <c r="CP8779" s="31"/>
    </row>
    <row r="8780" spans="94:94" x14ac:dyDescent="0.15">
      <c r="CP8780" s="31"/>
    </row>
    <row r="8781" spans="94:94" x14ac:dyDescent="0.15">
      <c r="CP8781" s="31"/>
    </row>
    <row r="8782" spans="94:94" x14ac:dyDescent="0.15">
      <c r="CP8782" s="31"/>
    </row>
    <row r="8783" spans="94:94" x14ac:dyDescent="0.15">
      <c r="CP8783" s="31"/>
    </row>
    <row r="8784" spans="94:94" x14ac:dyDescent="0.15">
      <c r="CP8784" s="31"/>
    </row>
    <row r="8785" spans="94:94" x14ac:dyDescent="0.15">
      <c r="CP8785" s="31"/>
    </row>
    <row r="8786" spans="94:94" x14ac:dyDescent="0.15">
      <c r="CP8786" s="31"/>
    </row>
    <row r="8787" spans="94:94" x14ac:dyDescent="0.15">
      <c r="CP8787" s="31"/>
    </row>
    <row r="8788" spans="94:94" x14ac:dyDescent="0.15">
      <c r="CP8788" s="31"/>
    </row>
    <row r="8789" spans="94:94" x14ac:dyDescent="0.15">
      <c r="CP8789" s="31"/>
    </row>
    <row r="8790" spans="94:94" x14ac:dyDescent="0.15">
      <c r="CP8790" s="31"/>
    </row>
    <row r="8791" spans="94:94" x14ac:dyDescent="0.15">
      <c r="CP8791" s="31"/>
    </row>
    <row r="8792" spans="94:94" x14ac:dyDescent="0.15">
      <c r="CP8792" s="31"/>
    </row>
    <row r="8793" spans="94:94" x14ac:dyDescent="0.15">
      <c r="CP8793" s="31"/>
    </row>
    <row r="8794" spans="94:94" x14ac:dyDescent="0.15">
      <c r="CP8794" s="31"/>
    </row>
    <row r="8795" spans="94:94" x14ac:dyDescent="0.15">
      <c r="CP8795" s="31"/>
    </row>
    <row r="8796" spans="94:94" x14ac:dyDescent="0.15">
      <c r="CP8796" s="31"/>
    </row>
    <row r="8797" spans="94:94" x14ac:dyDescent="0.15">
      <c r="CP8797" s="31"/>
    </row>
    <row r="8798" spans="94:94" x14ac:dyDescent="0.15">
      <c r="CP8798" s="31"/>
    </row>
    <row r="8799" spans="94:94" x14ac:dyDescent="0.15">
      <c r="CP8799" s="31"/>
    </row>
    <row r="8800" spans="94:94" x14ac:dyDescent="0.15">
      <c r="CP8800" s="31"/>
    </row>
    <row r="8801" spans="94:94" x14ac:dyDescent="0.15">
      <c r="CP8801" s="31"/>
    </row>
    <row r="8802" spans="94:94" x14ac:dyDescent="0.15">
      <c r="CP8802" s="31"/>
    </row>
    <row r="8803" spans="94:94" x14ac:dyDescent="0.15">
      <c r="CP8803" s="31"/>
    </row>
    <row r="8804" spans="94:94" x14ac:dyDescent="0.15">
      <c r="CP8804" s="31"/>
    </row>
    <row r="8805" spans="94:94" x14ac:dyDescent="0.15">
      <c r="CP8805" s="31"/>
    </row>
    <row r="8806" spans="94:94" x14ac:dyDescent="0.15">
      <c r="CP8806" s="31"/>
    </row>
    <row r="8807" spans="94:94" x14ac:dyDescent="0.15">
      <c r="CP8807" s="31"/>
    </row>
    <row r="8808" spans="94:94" x14ac:dyDescent="0.15">
      <c r="CP8808" s="31"/>
    </row>
    <row r="8809" spans="94:94" x14ac:dyDescent="0.15">
      <c r="CP8809" s="31"/>
    </row>
    <row r="8810" spans="94:94" x14ac:dyDescent="0.15">
      <c r="CP8810" s="31"/>
    </row>
    <row r="8811" spans="94:94" x14ac:dyDescent="0.15">
      <c r="CP8811" s="31"/>
    </row>
    <row r="8812" spans="94:94" x14ac:dyDescent="0.15">
      <c r="CP8812" s="31"/>
    </row>
    <row r="8813" spans="94:94" x14ac:dyDescent="0.15">
      <c r="CP8813" s="31"/>
    </row>
    <row r="8814" spans="94:94" x14ac:dyDescent="0.15">
      <c r="CP8814" s="31"/>
    </row>
    <row r="8815" spans="94:94" x14ac:dyDescent="0.15">
      <c r="CP8815" s="31"/>
    </row>
    <row r="8816" spans="94:94" x14ac:dyDescent="0.15">
      <c r="CP8816" s="31"/>
    </row>
    <row r="8817" spans="94:94" x14ac:dyDescent="0.15">
      <c r="CP8817" s="31"/>
    </row>
    <row r="8818" spans="94:94" x14ac:dyDescent="0.15">
      <c r="CP8818" s="31"/>
    </row>
    <row r="8819" spans="94:94" x14ac:dyDescent="0.15">
      <c r="CP8819" s="31"/>
    </row>
    <row r="8820" spans="94:94" x14ac:dyDescent="0.15">
      <c r="CP8820" s="31"/>
    </row>
    <row r="8821" spans="94:94" x14ac:dyDescent="0.15">
      <c r="CP8821" s="31"/>
    </row>
    <row r="8822" spans="94:94" x14ac:dyDescent="0.15">
      <c r="CP8822" s="31"/>
    </row>
    <row r="8823" spans="94:94" x14ac:dyDescent="0.15">
      <c r="CP8823" s="31"/>
    </row>
    <row r="8824" spans="94:94" x14ac:dyDescent="0.15">
      <c r="CP8824" s="31"/>
    </row>
    <row r="8825" spans="94:94" x14ac:dyDescent="0.15">
      <c r="CP8825" s="31"/>
    </row>
    <row r="8826" spans="94:94" x14ac:dyDescent="0.15">
      <c r="CP8826" s="31"/>
    </row>
    <row r="8827" spans="94:94" x14ac:dyDescent="0.15">
      <c r="CP8827" s="31"/>
    </row>
    <row r="8828" spans="94:94" x14ac:dyDescent="0.15">
      <c r="CP8828" s="31"/>
    </row>
    <row r="8829" spans="94:94" x14ac:dyDescent="0.15">
      <c r="CP8829" s="31"/>
    </row>
    <row r="8830" spans="94:94" x14ac:dyDescent="0.15">
      <c r="CP8830" s="31"/>
    </row>
    <row r="8831" spans="94:94" x14ac:dyDescent="0.15">
      <c r="CP8831" s="31"/>
    </row>
    <row r="8832" spans="94:94" x14ac:dyDescent="0.15">
      <c r="CP8832" s="31"/>
    </row>
    <row r="8833" spans="94:94" x14ac:dyDescent="0.15">
      <c r="CP8833" s="31"/>
    </row>
    <row r="8834" spans="94:94" x14ac:dyDescent="0.15">
      <c r="CP8834" s="31"/>
    </row>
    <row r="8835" spans="94:94" x14ac:dyDescent="0.15">
      <c r="CP8835" s="31"/>
    </row>
    <row r="8836" spans="94:94" x14ac:dyDescent="0.15">
      <c r="CP8836" s="31"/>
    </row>
    <row r="8837" spans="94:94" x14ac:dyDescent="0.15">
      <c r="CP8837" s="31"/>
    </row>
    <row r="8838" spans="94:94" x14ac:dyDescent="0.15">
      <c r="CP8838" s="31"/>
    </row>
    <row r="8839" spans="94:94" x14ac:dyDescent="0.15">
      <c r="CP8839" s="31"/>
    </row>
    <row r="8840" spans="94:94" x14ac:dyDescent="0.15">
      <c r="CP8840" s="31"/>
    </row>
    <row r="8841" spans="94:94" x14ac:dyDescent="0.15">
      <c r="CP8841" s="31"/>
    </row>
    <row r="8842" spans="94:94" x14ac:dyDescent="0.15">
      <c r="CP8842" s="31"/>
    </row>
    <row r="8843" spans="94:94" x14ac:dyDescent="0.15">
      <c r="CP8843" s="31"/>
    </row>
    <row r="8844" spans="94:94" x14ac:dyDescent="0.15">
      <c r="CP8844" s="31"/>
    </row>
    <row r="8845" spans="94:94" x14ac:dyDescent="0.15">
      <c r="CP8845" s="31"/>
    </row>
    <row r="8846" spans="94:94" x14ac:dyDescent="0.15">
      <c r="CP8846" s="31"/>
    </row>
    <row r="8847" spans="94:94" x14ac:dyDescent="0.15">
      <c r="CP8847" s="31"/>
    </row>
    <row r="8848" spans="94:94" x14ac:dyDescent="0.15">
      <c r="CP8848" s="31"/>
    </row>
    <row r="8849" spans="94:94" x14ac:dyDescent="0.15">
      <c r="CP8849" s="31"/>
    </row>
    <row r="8850" spans="94:94" x14ac:dyDescent="0.15">
      <c r="CP8850" s="31"/>
    </row>
    <row r="8851" spans="94:94" x14ac:dyDescent="0.15">
      <c r="CP8851" s="31"/>
    </row>
    <row r="8852" spans="94:94" x14ac:dyDescent="0.15">
      <c r="CP8852" s="31"/>
    </row>
    <row r="8853" spans="94:94" x14ac:dyDescent="0.15">
      <c r="CP8853" s="31"/>
    </row>
    <row r="8854" spans="94:94" x14ac:dyDescent="0.15">
      <c r="CP8854" s="31"/>
    </row>
    <row r="8855" spans="94:94" x14ac:dyDescent="0.15">
      <c r="CP8855" s="31"/>
    </row>
    <row r="8856" spans="94:94" x14ac:dyDescent="0.15">
      <c r="CP8856" s="31"/>
    </row>
    <row r="8857" spans="94:94" x14ac:dyDescent="0.15">
      <c r="CP8857" s="31"/>
    </row>
    <row r="8858" spans="94:94" x14ac:dyDescent="0.15">
      <c r="CP8858" s="31"/>
    </row>
    <row r="8859" spans="94:94" x14ac:dyDescent="0.15">
      <c r="CP8859" s="31"/>
    </row>
    <row r="8860" spans="94:94" x14ac:dyDescent="0.15">
      <c r="CP8860" s="31"/>
    </row>
    <row r="8861" spans="94:94" x14ac:dyDescent="0.15">
      <c r="CP8861" s="31"/>
    </row>
    <row r="8862" spans="94:94" x14ac:dyDescent="0.15">
      <c r="CP8862" s="31"/>
    </row>
    <row r="8863" spans="94:94" x14ac:dyDescent="0.15">
      <c r="CP8863" s="31"/>
    </row>
    <row r="8864" spans="94:94" x14ac:dyDescent="0.15">
      <c r="CP8864" s="31"/>
    </row>
    <row r="8865" spans="94:94" x14ac:dyDescent="0.15">
      <c r="CP8865" s="31"/>
    </row>
    <row r="8866" spans="94:94" x14ac:dyDescent="0.15">
      <c r="CP8866" s="31"/>
    </row>
    <row r="8867" spans="94:94" x14ac:dyDescent="0.15">
      <c r="CP8867" s="31"/>
    </row>
    <row r="8868" spans="94:94" x14ac:dyDescent="0.15">
      <c r="CP8868" s="31"/>
    </row>
    <row r="8869" spans="94:94" x14ac:dyDescent="0.15">
      <c r="CP8869" s="31"/>
    </row>
    <row r="8870" spans="94:94" x14ac:dyDescent="0.15">
      <c r="CP8870" s="31"/>
    </row>
    <row r="8871" spans="94:94" x14ac:dyDescent="0.15">
      <c r="CP8871" s="31"/>
    </row>
    <row r="8872" spans="94:94" x14ac:dyDescent="0.15">
      <c r="CP8872" s="31"/>
    </row>
    <row r="8873" spans="94:94" x14ac:dyDescent="0.15">
      <c r="CP8873" s="31"/>
    </row>
    <row r="8874" spans="94:94" x14ac:dyDescent="0.15">
      <c r="CP8874" s="31"/>
    </row>
    <row r="8875" spans="94:94" x14ac:dyDescent="0.15">
      <c r="CP8875" s="31"/>
    </row>
    <row r="8876" spans="94:94" x14ac:dyDescent="0.15">
      <c r="CP8876" s="31"/>
    </row>
    <row r="8877" spans="94:94" x14ac:dyDescent="0.15">
      <c r="CP8877" s="31"/>
    </row>
    <row r="8878" spans="94:94" x14ac:dyDescent="0.15">
      <c r="CP8878" s="31"/>
    </row>
    <row r="8879" spans="94:94" x14ac:dyDescent="0.15">
      <c r="CP8879" s="31"/>
    </row>
    <row r="8880" spans="94:94" x14ac:dyDescent="0.15">
      <c r="CP8880" s="31"/>
    </row>
    <row r="8881" spans="94:94" x14ac:dyDescent="0.15">
      <c r="CP8881" s="31"/>
    </row>
    <row r="8882" spans="94:94" x14ac:dyDescent="0.15">
      <c r="CP8882" s="31"/>
    </row>
    <row r="8883" spans="94:94" x14ac:dyDescent="0.15">
      <c r="CP8883" s="31"/>
    </row>
    <row r="8884" spans="94:94" x14ac:dyDescent="0.15">
      <c r="CP8884" s="31"/>
    </row>
    <row r="8885" spans="94:94" x14ac:dyDescent="0.15">
      <c r="CP8885" s="31"/>
    </row>
    <row r="8886" spans="94:94" x14ac:dyDescent="0.15">
      <c r="CP8886" s="31"/>
    </row>
    <row r="8887" spans="94:94" x14ac:dyDescent="0.15">
      <c r="CP8887" s="31"/>
    </row>
    <row r="8888" spans="94:94" x14ac:dyDescent="0.15">
      <c r="CP8888" s="31"/>
    </row>
    <row r="8889" spans="94:94" x14ac:dyDescent="0.15">
      <c r="CP8889" s="31"/>
    </row>
    <row r="8890" spans="94:94" x14ac:dyDescent="0.15">
      <c r="CP8890" s="31"/>
    </row>
    <row r="8891" spans="94:94" x14ac:dyDescent="0.15">
      <c r="CP8891" s="31"/>
    </row>
    <row r="8892" spans="94:94" x14ac:dyDescent="0.15">
      <c r="CP8892" s="31"/>
    </row>
    <row r="8893" spans="94:94" x14ac:dyDescent="0.15">
      <c r="CP8893" s="31"/>
    </row>
    <row r="8894" spans="94:94" x14ac:dyDescent="0.15">
      <c r="CP8894" s="31"/>
    </row>
    <row r="8895" spans="94:94" x14ac:dyDescent="0.15">
      <c r="CP8895" s="31"/>
    </row>
    <row r="8896" spans="94:94" x14ac:dyDescent="0.15">
      <c r="CP8896" s="31"/>
    </row>
    <row r="8897" spans="94:94" x14ac:dyDescent="0.15">
      <c r="CP8897" s="31"/>
    </row>
    <row r="8898" spans="94:94" x14ac:dyDescent="0.15">
      <c r="CP8898" s="31"/>
    </row>
    <row r="8899" spans="94:94" x14ac:dyDescent="0.15">
      <c r="CP8899" s="31"/>
    </row>
    <row r="8900" spans="94:94" x14ac:dyDescent="0.15">
      <c r="CP8900" s="31"/>
    </row>
    <row r="8901" spans="94:94" x14ac:dyDescent="0.15">
      <c r="CP8901" s="31"/>
    </row>
    <row r="8902" spans="94:94" x14ac:dyDescent="0.15">
      <c r="CP8902" s="31"/>
    </row>
    <row r="8903" spans="94:94" x14ac:dyDescent="0.15">
      <c r="CP8903" s="31"/>
    </row>
    <row r="8904" spans="94:94" x14ac:dyDescent="0.15">
      <c r="CP8904" s="31"/>
    </row>
    <row r="8905" spans="94:94" x14ac:dyDescent="0.15">
      <c r="CP8905" s="31"/>
    </row>
    <row r="8906" spans="94:94" x14ac:dyDescent="0.15">
      <c r="CP8906" s="31"/>
    </row>
    <row r="8907" spans="94:94" x14ac:dyDescent="0.15">
      <c r="CP8907" s="31"/>
    </row>
    <row r="8908" spans="94:94" x14ac:dyDescent="0.15">
      <c r="CP8908" s="31"/>
    </row>
    <row r="8909" spans="94:94" x14ac:dyDescent="0.15">
      <c r="CP8909" s="31"/>
    </row>
    <row r="8910" spans="94:94" x14ac:dyDescent="0.15">
      <c r="CP8910" s="31"/>
    </row>
    <row r="8911" spans="94:94" x14ac:dyDescent="0.15">
      <c r="CP8911" s="31"/>
    </row>
    <row r="8912" spans="94:94" x14ac:dyDescent="0.15">
      <c r="CP8912" s="31"/>
    </row>
    <row r="8913" spans="94:94" x14ac:dyDescent="0.15">
      <c r="CP8913" s="31"/>
    </row>
    <row r="8914" spans="94:94" x14ac:dyDescent="0.15">
      <c r="CP8914" s="31"/>
    </row>
    <row r="8915" spans="94:94" x14ac:dyDescent="0.15">
      <c r="CP8915" s="31"/>
    </row>
    <row r="8916" spans="94:94" x14ac:dyDescent="0.15">
      <c r="CP8916" s="31"/>
    </row>
    <row r="8917" spans="94:94" x14ac:dyDescent="0.15">
      <c r="CP8917" s="31"/>
    </row>
    <row r="8918" spans="94:94" x14ac:dyDescent="0.15">
      <c r="CP8918" s="31"/>
    </row>
    <row r="8919" spans="94:94" x14ac:dyDescent="0.15">
      <c r="CP8919" s="31"/>
    </row>
    <row r="8920" spans="94:94" x14ac:dyDescent="0.15">
      <c r="CP8920" s="31"/>
    </row>
    <row r="8921" spans="94:94" x14ac:dyDescent="0.15">
      <c r="CP8921" s="31"/>
    </row>
    <row r="8922" spans="94:94" x14ac:dyDescent="0.15">
      <c r="CP8922" s="31"/>
    </row>
    <row r="8923" spans="94:94" x14ac:dyDescent="0.15">
      <c r="CP8923" s="31"/>
    </row>
    <row r="8924" spans="94:94" x14ac:dyDescent="0.15">
      <c r="CP8924" s="31"/>
    </row>
    <row r="8925" spans="94:94" x14ac:dyDescent="0.15">
      <c r="CP8925" s="31"/>
    </row>
    <row r="8926" spans="94:94" x14ac:dyDescent="0.15">
      <c r="CP8926" s="31"/>
    </row>
    <row r="8927" spans="94:94" x14ac:dyDescent="0.15">
      <c r="CP8927" s="31"/>
    </row>
    <row r="8928" spans="94:94" x14ac:dyDescent="0.15">
      <c r="CP8928" s="31"/>
    </row>
    <row r="8929" spans="94:94" x14ac:dyDescent="0.15">
      <c r="CP8929" s="31"/>
    </row>
    <row r="8930" spans="94:94" x14ac:dyDescent="0.15">
      <c r="CP8930" s="31"/>
    </row>
    <row r="8931" spans="94:94" x14ac:dyDescent="0.15">
      <c r="CP8931" s="31"/>
    </row>
    <row r="8932" spans="94:94" x14ac:dyDescent="0.15">
      <c r="CP8932" s="31"/>
    </row>
    <row r="8933" spans="94:94" x14ac:dyDescent="0.15">
      <c r="CP8933" s="31"/>
    </row>
    <row r="8934" spans="94:94" x14ac:dyDescent="0.15">
      <c r="CP8934" s="31"/>
    </row>
    <row r="8935" spans="94:94" x14ac:dyDescent="0.15">
      <c r="CP8935" s="31"/>
    </row>
    <row r="8936" spans="94:94" x14ac:dyDescent="0.15">
      <c r="CP8936" s="31"/>
    </row>
    <row r="8937" spans="94:94" x14ac:dyDescent="0.15">
      <c r="CP8937" s="31"/>
    </row>
    <row r="8938" spans="94:94" x14ac:dyDescent="0.15">
      <c r="CP8938" s="31"/>
    </row>
    <row r="8939" spans="94:94" x14ac:dyDescent="0.15">
      <c r="CP8939" s="31"/>
    </row>
    <row r="8940" spans="94:94" x14ac:dyDescent="0.15">
      <c r="CP8940" s="31"/>
    </row>
    <row r="8941" spans="94:94" x14ac:dyDescent="0.15">
      <c r="CP8941" s="31"/>
    </row>
    <row r="8942" spans="94:94" x14ac:dyDescent="0.15">
      <c r="CP8942" s="31"/>
    </row>
    <row r="8943" spans="94:94" x14ac:dyDescent="0.15">
      <c r="CP8943" s="31"/>
    </row>
    <row r="8944" spans="94:94" x14ac:dyDescent="0.15">
      <c r="CP8944" s="31"/>
    </row>
    <row r="8945" spans="94:94" x14ac:dyDescent="0.15">
      <c r="CP8945" s="31"/>
    </row>
    <row r="8946" spans="94:94" x14ac:dyDescent="0.15">
      <c r="CP8946" s="31"/>
    </row>
    <row r="8947" spans="94:94" x14ac:dyDescent="0.15">
      <c r="CP8947" s="31"/>
    </row>
    <row r="8948" spans="94:94" x14ac:dyDescent="0.15">
      <c r="CP8948" s="31"/>
    </row>
    <row r="8949" spans="94:94" x14ac:dyDescent="0.15">
      <c r="CP8949" s="31"/>
    </row>
    <row r="8950" spans="94:94" x14ac:dyDescent="0.15">
      <c r="CP8950" s="31"/>
    </row>
    <row r="8951" spans="94:94" x14ac:dyDescent="0.15">
      <c r="CP8951" s="31"/>
    </row>
    <row r="8952" spans="94:94" x14ac:dyDescent="0.15">
      <c r="CP8952" s="31"/>
    </row>
    <row r="8953" spans="94:94" x14ac:dyDescent="0.15">
      <c r="CP8953" s="31"/>
    </row>
    <row r="8954" spans="94:94" x14ac:dyDescent="0.15">
      <c r="CP8954" s="31"/>
    </row>
    <row r="8955" spans="94:94" x14ac:dyDescent="0.15">
      <c r="CP8955" s="31"/>
    </row>
    <row r="8956" spans="94:94" x14ac:dyDescent="0.15">
      <c r="CP8956" s="31"/>
    </row>
    <row r="8957" spans="94:94" x14ac:dyDescent="0.15">
      <c r="CP8957" s="31"/>
    </row>
    <row r="8958" spans="94:94" x14ac:dyDescent="0.15">
      <c r="CP8958" s="31"/>
    </row>
    <row r="8959" spans="94:94" x14ac:dyDescent="0.15">
      <c r="CP8959" s="31"/>
    </row>
    <row r="8960" spans="94:94" x14ac:dyDescent="0.15">
      <c r="CP8960" s="31"/>
    </row>
    <row r="8961" spans="94:94" x14ac:dyDescent="0.15">
      <c r="CP8961" s="31"/>
    </row>
    <row r="8962" spans="94:94" x14ac:dyDescent="0.15">
      <c r="CP8962" s="31"/>
    </row>
    <row r="8963" spans="94:94" x14ac:dyDescent="0.15">
      <c r="CP8963" s="31"/>
    </row>
    <row r="8964" spans="94:94" x14ac:dyDescent="0.15">
      <c r="CP8964" s="31"/>
    </row>
    <row r="8965" spans="94:94" x14ac:dyDescent="0.15">
      <c r="CP8965" s="31"/>
    </row>
    <row r="8966" spans="94:94" x14ac:dyDescent="0.15">
      <c r="CP8966" s="31"/>
    </row>
    <row r="8967" spans="94:94" x14ac:dyDescent="0.15">
      <c r="CP8967" s="31"/>
    </row>
    <row r="8968" spans="94:94" x14ac:dyDescent="0.15">
      <c r="CP8968" s="31"/>
    </row>
    <row r="8969" spans="94:94" x14ac:dyDescent="0.15">
      <c r="CP8969" s="31"/>
    </row>
    <row r="8970" spans="94:94" x14ac:dyDescent="0.15">
      <c r="CP8970" s="31"/>
    </row>
    <row r="8971" spans="94:94" x14ac:dyDescent="0.15">
      <c r="CP8971" s="31"/>
    </row>
    <row r="8972" spans="94:94" x14ac:dyDescent="0.15">
      <c r="CP8972" s="31"/>
    </row>
    <row r="8973" spans="94:94" x14ac:dyDescent="0.15">
      <c r="CP8973" s="31"/>
    </row>
    <row r="8974" spans="94:94" x14ac:dyDescent="0.15">
      <c r="CP8974" s="31"/>
    </row>
    <row r="8975" spans="94:94" x14ac:dyDescent="0.15">
      <c r="CP8975" s="31"/>
    </row>
    <row r="8976" spans="94:94" x14ac:dyDescent="0.15">
      <c r="CP8976" s="31"/>
    </row>
    <row r="8977" spans="94:94" x14ac:dyDescent="0.15">
      <c r="CP8977" s="31"/>
    </row>
    <row r="8978" spans="94:94" x14ac:dyDescent="0.15">
      <c r="CP8978" s="31"/>
    </row>
    <row r="8979" spans="94:94" x14ac:dyDescent="0.15">
      <c r="CP8979" s="31"/>
    </row>
    <row r="8980" spans="94:94" x14ac:dyDescent="0.15">
      <c r="CP8980" s="31"/>
    </row>
    <row r="8981" spans="94:94" x14ac:dyDescent="0.15">
      <c r="CP8981" s="31"/>
    </row>
    <row r="8982" spans="94:94" x14ac:dyDescent="0.15">
      <c r="CP8982" s="31"/>
    </row>
    <row r="8983" spans="94:94" x14ac:dyDescent="0.15">
      <c r="CP8983" s="31"/>
    </row>
    <row r="8984" spans="94:94" x14ac:dyDescent="0.15">
      <c r="CP8984" s="31"/>
    </row>
    <row r="8985" spans="94:94" x14ac:dyDescent="0.15">
      <c r="CP8985" s="31"/>
    </row>
    <row r="8986" spans="94:94" x14ac:dyDescent="0.15">
      <c r="CP8986" s="31"/>
    </row>
    <row r="8987" spans="94:94" x14ac:dyDescent="0.15">
      <c r="CP8987" s="31"/>
    </row>
    <row r="8988" spans="94:94" x14ac:dyDescent="0.15">
      <c r="CP8988" s="31"/>
    </row>
    <row r="8989" spans="94:94" x14ac:dyDescent="0.15">
      <c r="CP8989" s="31"/>
    </row>
    <row r="8990" spans="94:94" x14ac:dyDescent="0.15">
      <c r="CP8990" s="31"/>
    </row>
    <row r="8991" spans="94:94" x14ac:dyDescent="0.15">
      <c r="CP8991" s="31"/>
    </row>
    <row r="8992" spans="94:94" x14ac:dyDescent="0.15">
      <c r="CP8992" s="31"/>
    </row>
    <row r="8993" spans="94:94" x14ac:dyDescent="0.15">
      <c r="CP8993" s="31"/>
    </row>
    <row r="8994" spans="94:94" x14ac:dyDescent="0.15">
      <c r="CP8994" s="31"/>
    </row>
    <row r="8995" spans="94:94" x14ac:dyDescent="0.15">
      <c r="CP8995" s="31"/>
    </row>
    <row r="8996" spans="94:94" x14ac:dyDescent="0.15">
      <c r="CP8996" s="31"/>
    </row>
    <row r="8997" spans="94:94" x14ac:dyDescent="0.15">
      <c r="CP8997" s="31"/>
    </row>
    <row r="8998" spans="94:94" x14ac:dyDescent="0.15">
      <c r="CP8998" s="31"/>
    </row>
    <row r="8999" spans="94:94" x14ac:dyDescent="0.15">
      <c r="CP8999" s="31"/>
    </row>
    <row r="9000" spans="94:94" x14ac:dyDescent="0.15">
      <c r="CP9000" s="31"/>
    </row>
    <row r="9001" spans="94:94" x14ac:dyDescent="0.15">
      <c r="CP9001" s="31"/>
    </row>
    <row r="9002" spans="94:94" x14ac:dyDescent="0.15">
      <c r="CP9002" s="31"/>
    </row>
    <row r="9003" spans="94:94" x14ac:dyDescent="0.15">
      <c r="CP9003" s="31"/>
    </row>
    <row r="9004" spans="94:94" x14ac:dyDescent="0.15">
      <c r="CP9004" s="31"/>
    </row>
    <row r="9005" spans="94:94" x14ac:dyDescent="0.15">
      <c r="CP9005" s="31"/>
    </row>
    <row r="9006" spans="94:94" x14ac:dyDescent="0.15">
      <c r="CP9006" s="31"/>
    </row>
    <row r="9007" spans="94:94" x14ac:dyDescent="0.15">
      <c r="CP9007" s="31"/>
    </row>
    <row r="9008" spans="94:94" x14ac:dyDescent="0.15">
      <c r="CP9008" s="31"/>
    </row>
    <row r="9009" spans="94:94" x14ac:dyDescent="0.15">
      <c r="CP9009" s="31"/>
    </row>
    <row r="9010" spans="94:94" x14ac:dyDescent="0.15">
      <c r="CP9010" s="31"/>
    </row>
    <row r="9011" spans="94:94" x14ac:dyDescent="0.15">
      <c r="CP9011" s="31"/>
    </row>
    <row r="9012" spans="94:94" x14ac:dyDescent="0.15">
      <c r="CP9012" s="31"/>
    </row>
    <row r="9013" spans="94:94" x14ac:dyDescent="0.15">
      <c r="CP9013" s="31"/>
    </row>
    <row r="9014" spans="94:94" x14ac:dyDescent="0.15">
      <c r="CP9014" s="31"/>
    </row>
    <row r="9015" spans="94:94" x14ac:dyDescent="0.15">
      <c r="CP9015" s="31"/>
    </row>
    <row r="9016" spans="94:94" x14ac:dyDescent="0.15">
      <c r="CP9016" s="31"/>
    </row>
    <row r="9017" spans="94:94" x14ac:dyDescent="0.15">
      <c r="CP9017" s="31"/>
    </row>
    <row r="9018" spans="94:94" x14ac:dyDescent="0.15">
      <c r="CP9018" s="31"/>
    </row>
    <row r="9019" spans="94:94" x14ac:dyDescent="0.15">
      <c r="CP9019" s="31"/>
    </row>
    <row r="9020" spans="94:94" x14ac:dyDescent="0.15">
      <c r="CP9020" s="31"/>
    </row>
    <row r="9021" spans="94:94" x14ac:dyDescent="0.15">
      <c r="CP9021" s="31"/>
    </row>
    <row r="9022" spans="94:94" x14ac:dyDescent="0.15">
      <c r="CP9022" s="31"/>
    </row>
    <row r="9023" spans="94:94" x14ac:dyDescent="0.15">
      <c r="CP9023" s="31"/>
    </row>
    <row r="9024" spans="94:94" x14ac:dyDescent="0.15">
      <c r="CP9024" s="31"/>
    </row>
    <row r="9025" spans="94:94" x14ac:dyDescent="0.15">
      <c r="CP9025" s="31"/>
    </row>
    <row r="9026" spans="94:94" x14ac:dyDescent="0.15">
      <c r="CP9026" s="31"/>
    </row>
    <row r="9027" spans="94:94" x14ac:dyDescent="0.15">
      <c r="CP9027" s="31"/>
    </row>
    <row r="9028" spans="94:94" x14ac:dyDescent="0.15">
      <c r="CP9028" s="31"/>
    </row>
    <row r="9029" spans="94:94" x14ac:dyDescent="0.15">
      <c r="CP9029" s="31"/>
    </row>
    <row r="9030" spans="94:94" x14ac:dyDescent="0.15">
      <c r="CP9030" s="31"/>
    </row>
    <row r="9031" spans="94:94" x14ac:dyDescent="0.15">
      <c r="CP9031" s="31"/>
    </row>
    <row r="9032" spans="94:94" x14ac:dyDescent="0.15">
      <c r="CP9032" s="31"/>
    </row>
    <row r="9033" spans="94:94" x14ac:dyDescent="0.15">
      <c r="CP9033" s="31"/>
    </row>
    <row r="9034" spans="94:94" x14ac:dyDescent="0.15">
      <c r="CP9034" s="31"/>
    </row>
    <row r="9035" spans="94:94" x14ac:dyDescent="0.15">
      <c r="CP9035" s="31"/>
    </row>
    <row r="9036" spans="94:94" x14ac:dyDescent="0.15">
      <c r="CP9036" s="31"/>
    </row>
    <row r="9037" spans="94:94" x14ac:dyDescent="0.15">
      <c r="CP9037" s="31"/>
    </row>
    <row r="9038" spans="94:94" x14ac:dyDescent="0.15">
      <c r="CP9038" s="31"/>
    </row>
    <row r="9039" spans="94:94" x14ac:dyDescent="0.15">
      <c r="CP9039" s="31"/>
    </row>
    <row r="9040" spans="94:94" x14ac:dyDescent="0.15">
      <c r="CP9040" s="31"/>
    </row>
    <row r="9041" spans="94:94" x14ac:dyDescent="0.15">
      <c r="CP9041" s="31"/>
    </row>
    <row r="9042" spans="94:94" x14ac:dyDescent="0.15">
      <c r="CP9042" s="31"/>
    </row>
    <row r="9043" spans="94:94" x14ac:dyDescent="0.15">
      <c r="CP9043" s="31"/>
    </row>
    <row r="9044" spans="94:94" x14ac:dyDescent="0.15">
      <c r="CP9044" s="31"/>
    </row>
    <row r="9045" spans="94:94" x14ac:dyDescent="0.15">
      <c r="CP9045" s="31"/>
    </row>
    <row r="9046" spans="94:94" x14ac:dyDescent="0.15">
      <c r="CP9046" s="31"/>
    </row>
    <row r="9047" spans="94:94" x14ac:dyDescent="0.15">
      <c r="CP9047" s="31"/>
    </row>
    <row r="9048" spans="94:94" x14ac:dyDescent="0.15">
      <c r="CP9048" s="31"/>
    </row>
    <row r="9049" spans="94:94" x14ac:dyDescent="0.15">
      <c r="CP9049" s="31"/>
    </row>
    <row r="9050" spans="94:94" x14ac:dyDescent="0.15">
      <c r="CP9050" s="31"/>
    </row>
    <row r="9051" spans="94:94" x14ac:dyDescent="0.15">
      <c r="CP9051" s="31"/>
    </row>
    <row r="9052" spans="94:94" x14ac:dyDescent="0.15">
      <c r="CP9052" s="31"/>
    </row>
    <row r="9053" spans="94:94" x14ac:dyDescent="0.15">
      <c r="CP9053" s="31"/>
    </row>
    <row r="9054" spans="94:94" x14ac:dyDescent="0.15">
      <c r="CP9054" s="31"/>
    </row>
    <row r="9055" spans="94:94" x14ac:dyDescent="0.15">
      <c r="CP9055" s="31"/>
    </row>
    <row r="9056" spans="94:94" x14ac:dyDescent="0.15">
      <c r="CP9056" s="31"/>
    </row>
    <row r="9057" spans="94:94" x14ac:dyDescent="0.15">
      <c r="CP9057" s="31"/>
    </row>
    <row r="9058" spans="94:94" x14ac:dyDescent="0.15">
      <c r="CP9058" s="31"/>
    </row>
    <row r="9059" spans="94:94" x14ac:dyDescent="0.15">
      <c r="CP9059" s="31"/>
    </row>
    <row r="9060" spans="94:94" x14ac:dyDescent="0.15">
      <c r="CP9060" s="31"/>
    </row>
    <row r="9061" spans="94:94" x14ac:dyDescent="0.15">
      <c r="CP9061" s="31"/>
    </row>
    <row r="9062" spans="94:94" x14ac:dyDescent="0.15">
      <c r="CP9062" s="31"/>
    </row>
    <row r="9063" spans="94:94" x14ac:dyDescent="0.15">
      <c r="CP9063" s="31"/>
    </row>
    <row r="9064" spans="94:94" x14ac:dyDescent="0.15">
      <c r="CP9064" s="31"/>
    </row>
    <row r="9065" spans="94:94" x14ac:dyDescent="0.15">
      <c r="CP9065" s="31"/>
    </row>
    <row r="9066" spans="94:94" x14ac:dyDescent="0.15">
      <c r="CP9066" s="31"/>
    </row>
    <row r="9067" spans="94:94" x14ac:dyDescent="0.15">
      <c r="CP9067" s="31"/>
    </row>
    <row r="9068" spans="94:94" x14ac:dyDescent="0.15">
      <c r="CP9068" s="31"/>
    </row>
    <row r="9069" spans="94:94" x14ac:dyDescent="0.15">
      <c r="CP9069" s="31"/>
    </row>
    <row r="9070" spans="94:94" x14ac:dyDescent="0.15">
      <c r="CP9070" s="31"/>
    </row>
    <row r="9071" spans="94:94" x14ac:dyDescent="0.15">
      <c r="CP9071" s="31"/>
    </row>
    <row r="9072" spans="94:94" x14ac:dyDescent="0.15">
      <c r="CP9072" s="31"/>
    </row>
    <row r="9073" spans="94:94" x14ac:dyDescent="0.15">
      <c r="CP9073" s="31"/>
    </row>
    <row r="9074" spans="94:94" x14ac:dyDescent="0.15">
      <c r="CP9074" s="31"/>
    </row>
    <row r="9075" spans="94:94" x14ac:dyDescent="0.15">
      <c r="CP9075" s="31"/>
    </row>
    <row r="9076" spans="94:94" x14ac:dyDescent="0.15">
      <c r="CP9076" s="31"/>
    </row>
    <row r="9077" spans="94:94" x14ac:dyDescent="0.15">
      <c r="CP9077" s="31"/>
    </row>
    <row r="9078" spans="94:94" x14ac:dyDescent="0.15">
      <c r="CP9078" s="31"/>
    </row>
    <row r="9079" spans="94:94" x14ac:dyDescent="0.15">
      <c r="CP9079" s="31"/>
    </row>
    <row r="9080" spans="94:94" x14ac:dyDescent="0.15">
      <c r="CP9080" s="31"/>
    </row>
    <row r="9081" spans="94:94" x14ac:dyDescent="0.15">
      <c r="CP9081" s="31"/>
    </row>
    <row r="9082" spans="94:94" x14ac:dyDescent="0.15">
      <c r="CP9082" s="31"/>
    </row>
    <row r="9083" spans="94:94" x14ac:dyDescent="0.15">
      <c r="CP9083" s="31"/>
    </row>
    <row r="9084" spans="94:94" x14ac:dyDescent="0.15">
      <c r="CP9084" s="31"/>
    </row>
    <row r="9085" spans="94:94" x14ac:dyDescent="0.15">
      <c r="CP9085" s="31"/>
    </row>
    <row r="9086" spans="94:94" x14ac:dyDescent="0.15">
      <c r="CP9086" s="31"/>
    </row>
    <row r="9087" spans="94:94" x14ac:dyDescent="0.15">
      <c r="CP9087" s="31"/>
    </row>
    <row r="9088" spans="94:94" x14ac:dyDescent="0.15">
      <c r="CP9088" s="31"/>
    </row>
    <row r="9089" spans="94:94" x14ac:dyDescent="0.15">
      <c r="CP9089" s="31"/>
    </row>
    <row r="9090" spans="94:94" x14ac:dyDescent="0.15">
      <c r="CP9090" s="31"/>
    </row>
    <row r="9091" spans="94:94" x14ac:dyDescent="0.15">
      <c r="CP9091" s="31"/>
    </row>
    <row r="9092" spans="94:94" x14ac:dyDescent="0.15">
      <c r="CP9092" s="31"/>
    </row>
    <row r="9093" spans="94:94" x14ac:dyDescent="0.15">
      <c r="CP9093" s="31"/>
    </row>
    <row r="9094" spans="94:94" x14ac:dyDescent="0.15">
      <c r="CP9094" s="31"/>
    </row>
    <row r="9095" spans="94:94" x14ac:dyDescent="0.15">
      <c r="CP9095" s="31"/>
    </row>
    <row r="9096" spans="94:94" x14ac:dyDescent="0.15">
      <c r="CP9096" s="31"/>
    </row>
    <row r="9097" spans="94:94" x14ac:dyDescent="0.15">
      <c r="CP9097" s="31"/>
    </row>
    <row r="9098" spans="94:94" x14ac:dyDescent="0.15">
      <c r="CP9098" s="31"/>
    </row>
    <row r="9099" spans="94:94" x14ac:dyDescent="0.15">
      <c r="CP9099" s="31"/>
    </row>
    <row r="9100" spans="94:94" x14ac:dyDescent="0.15">
      <c r="CP9100" s="31"/>
    </row>
    <row r="9101" spans="94:94" x14ac:dyDescent="0.15">
      <c r="CP9101" s="31"/>
    </row>
    <row r="9102" spans="94:94" x14ac:dyDescent="0.15">
      <c r="CP9102" s="31"/>
    </row>
    <row r="9103" spans="94:94" x14ac:dyDescent="0.15">
      <c r="CP9103" s="31"/>
    </row>
    <row r="9104" spans="94:94" x14ac:dyDescent="0.15">
      <c r="CP9104" s="31"/>
    </row>
    <row r="9105" spans="94:94" x14ac:dyDescent="0.15">
      <c r="CP9105" s="31"/>
    </row>
    <row r="9106" spans="94:94" x14ac:dyDescent="0.15">
      <c r="CP9106" s="31"/>
    </row>
    <row r="9107" spans="94:94" x14ac:dyDescent="0.15">
      <c r="CP9107" s="31"/>
    </row>
    <row r="9108" spans="94:94" x14ac:dyDescent="0.15">
      <c r="CP9108" s="31"/>
    </row>
    <row r="9109" spans="94:94" x14ac:dyDescent="0.15">
      <c r="CP9109" s="31"/>
    </row>
    <row r="9110" spans="94:94" x14ac:dyDescent="0.15">
      <c r="CP9110" s="31"/>
    </row>
    <row r="9111" spans="94:94" x14ac:dyDescent="0.15">
      <c r="CP9111" s="31"/>
    </row>
    <row r="9112" spans="94:94" x14ac:dyDescent="0.15">
      <c r="CP9112" s="31"/>
    </row>
    <row r="9113" spans="94:94" x14ac:dyDescent="0.15">
      <c r="CP9113" s="31"/>
    </row>
    <row r="9114" spans="94:94" x14ac:dyDescent="0.15">
      <c r="CP9114" s="31"/>
    </row>
    <row r="9115" spans="94:94" x14ac:dyDescent="0.15">
      <c r="CP9115" s="31"/>
    </row>
    <row r="9116" spans="94:94" x14ac:dyDescent="0.15">
      <c r="CP9116" s="31"/>
    </row>
    <row r="9117" spans="94:94" x14ac:dyDescent="0.15">
      <c r="CP9117" s="31"/>
    </row>
    <row r="9118" spans="94:94" x14ac:dyDescent="0.15">
      <c r="CP9118" s="31"/>
    </row>
    <row r="9119" spans="94:94" x14ac:dyDescent="0.15">
      <c r="CP9119" s="31"/>
    </row>
    <row r="9120" spans="94:94" x14ac:dyDescent="0.15">
      <c r="CP9120" s="31"/>
    </row>
    <row r="9121" spans="94:94" x14ac:dyDescent="0.15">
      <c r="CP9121" s="31"/>
    </row>
    <row r="9122" spans="94:94" x14ac:dyDescent="0.15">
      <c r="CP9122" s="31"/>
    </row>
    <row r="9123" spans="94:94" x14ac:dyDescent="0.15">
      <c r="CP9123" s="31"/>
    </row>
    <row r="9124" spans="94:94" x14ac:dyDescent="0.15">
      <c r="CP9124" s="31"/>
    </row>
    <row r="9125" spans="94:94" x14ac:dyDescent="0.15">
      <c r="CP9125" s="31"/>
    </row>
    <row r="9126" spans="94:94" x14ac:dyDescent="0.15">
      <c r="CP9126" s="31"/>
    </row>
    <row r="9127" spans="94:94" x14ac:dyDescent="0.15">
      <c r="CP9127" s="31"/>
    </row>
    <row r="9128" spans="94:94" x14ac:dyDescent="0.15">
      <c r="CP9128" s="31"/>
    </row>
    <row r="9129" spans="94:94" x14ac:dyDescent="0.15">
      <c r="CP9129" s="31"/>
    </row>
    <row r="9130" spans="94:94" x14ac:dyDescent="0.15">
      <c r="CP9130" s="31"/>
    </row>
    <row r="9131" spans="94:94" x14ac:dyDescent="0.15">
      <c r="CP9131" s="31"/>
    </row>
    <row r="9132" spans="94:94" x14ac:dyDescent="0.15">
      <c r="CP9132" s="31"/>
    </row>
    <row r="9133" spans="94:94" x14ac:dyDescent="0.15">
      <c r="CP9133" s="31"/>
    </row>
    <row r="9134" spans="94:94" x14ac:dyDescent="0.15">
      <c r="CP9134" s="31"/>
    </row>
    <row r="9135" spans="94:94" x14ac:dyDescent="0.15">
      <c r="CP9135" s="31"/>
    </row>
    <row r="9136" spans="94:94" x14ac:dyDescent="0.15">
      <c r="CP9136" s="31"/>
    </row>
    <row r="9137" spans="94:94" x14ac:dyDescent="0.15">
      <c r="CP9137" s="31"/>
    </row>
    <row r="9138" spans="94:94" x14ac:dyDescent="0.15">
      <c r="CP9138" s="31"/>
    </row>
    <row r="9139" spans="94:94" x14ac:dyDescent="0.15">
      <c r="CP9139" s="31"/>
    </row>
    <row r="9140" spans="94:94" x14ac:dyDescent="0.15">
      <c r="CP9140" s="31"/>
    </row>
    <row r="9141" spans="94:94" x14ac:dyDescent="0.15">
      <c r="CP9141" s="31"/>
    </row>
    <row r="9142" spans="94:94" x14ac:dyDescent="0.15">
      <c r="CP9142" s="31"/>
    </row>
    <row r="9143" spans="94:94" x14ac:dyDescent="0.15">
      <c r="CP9143" s="31"/>
    </row>
    <row r="9144" spans="94:94" x14ac:dyDescent="0.15">
      <c r="CP9144" s="31"/>
    </row>
    <row r="9145" spans="94:94" x14ac:dyDescent="0.15">
      <c r="CP9145" s="31"/>
    </row>
    <row r="9146" spans="94:94" x14ac:dyDescent="0.15">
      <c r="CP9146" s="31"/>
    </row>
    <row r="9147" spans="94:94" x14ac:dyDescent="0.15">
      <c r="CP9147" s="31"/>
    </row>
    <row r="9148" spans="94:94" x14ac:dyDescent="0.15">
      <c r="CP9148" s="31"/>
    </row>
    <row r="9149" spans="94:94" x14ac:dyDescent="0.15">
      <c r="CP9149" s="31"/>
    </row>
    <row r="9150" spans="94:94" x14ac:dyDescent="0.15">
      <c r="CP9150" s="31"/>
    </row>
    <row r="9151" spans="94:94" x14ac:dyDescent="0.15">
      <c r="CP9151" s="31"/>
    </row>
    <row r="9152" spans="94:94" x14ac:dyDescent="0.15">
      <c r="CP9152" s="31"/>
    </row>
    <row r="9153" spans="94:94" x14ac:dyDescent="0.15">
      <c r="CP9153" s="31"/>
    </row>
    <row r="9154" spans="94:94" x14ac:dyDescent="0.15">
      <c r="CP9154" s="31"/>
    </row>
    <row r="9155" spans="94:94" x14ac:dyDescent="0.15">
      <c r="CP9155" s="31"/>
    </row>
    <row r="9156" spans="94:94" x14ac:dyDescent="0.15">
      <c r="CP9156" s="31"/>
    </row>
    <row r="9157" spans="94:94" x14ac:dyDescent="0.15">
      <c r="CP9157" s="31"/>
    </row>
    <row r="9158" spans="94:94" x14ac:dyDescent="0.15">
      <c r="CP9158" s="31"/>
    </row>
    <row r="9159" spans="94:94" x14ac:dyDescent="0.15">
      <c r="CP9159" s="31"/>
    </row>
    <row r="9160" spans="94:94" x14ac:dyDescent="0.15">
      <c r="CP9160" s="31"/>
    </row>
    <row r="9161" spans="94:94" x14ac:dyDescent="0.15">
      <c r="CP9161" s="31"/>
    </row>
    <row r="9162" spans="94:94" x14ac:dyDescent="0.15">
      <c r="CP9162" s="31"/>
    </row>
    <row r="9163" spans="94:94" x14ac:dyDescent="0.15">
      <c r="CP9163" s="31"/>
    </row>
    <row r="9164" spans="94:94" x14ac:dyDescent="0.15">
      <c r="CP9164" s="31"/>
    </row>
    <row r="9165" spans="94:94" x14ac:dyDescent="0.15">
      <c r="CP9165" s="31"/>
    </row>
    <row r="9166" spans="94:94" x14ac:dyDescent="0.15">
      <c r="CP9166" s="31"/>
    </row>
    <row r="9167" spans="94:94" x14ac:dyDescent="0.15">
      <c r="CP9167" s="31"/>
    </row>
    <row r="9168" spans="94:94" x14ac:dyDescent="0.15">
      <c r="CP9168" s="31"/>
    </row>
    <row r="9169" spans="94:94" x14ac:dyDescent="0.15">
      <c r="CP9169" s="31"/>
    </row>
    <row r="9170" spans="94:94" x14ac:dyDescent="0.15">
      <c r="CP9170" s="31"/>
    </row>
    <row r="9171" spans="94:94" x14ac:dyDescent="0.15">
      <c r="CP9171" s="31"/>
    </row>
    <row r="9172" spans="94:94" x14ac:dyDescent="0.15">
      <c r="CP9172" s="31"/>
    </row>
    <row r="9173" spans="94:94" x14ac:dyDescent="0.15">
      <c r="CP9173" s="31"/>
    </row>
    <row r="9174" spans="94:94" x14ac:dyDescent="0.15">
      <c r="CP9174" s="31"/>
    </row>
    <row r="9175" spans="94:94" x14ac:dyDescent="0.15">
      <c r="CP9175" s="31"/>
    </row>
    <row r="9176" spans="94:94" x14ac:dyDescent="0.15">
      <c r="CP9176" s="31"/>
    </row>
    <row r="9177" spans="94:94" x14ac:dyDescent="0.15">
      <c r="CP9177" s="31"/>
    </row>
    <row r="9178" spans="94:94" x14ac:dyDescent="0.15">
      <c r="CP9178" s="31"/>
    </row>
    <row r="9179" spans="94:94" x14ac:dyDescent="0.15">
      <c r="CP9179" s="31"/>
    </row>
    <row r="9180" spans="94:94" x14ac:dyDescent="0.15">
      <c r="CP9180" s="31"/>
    </row>
    <row r="9181" spans="94:94" x14ac:dyDescent="0.15">
      <c r="CP9181" s="31"/>
    </row>
    <row r="9182" spans="94:94" x14ac:dyDescent="0.15">
      <c r="CP9182" s="31"/>
    </row>
    <row r="9183" spans="94:94" x14ac:dyDescent="0.15">
      <c r="CP9183" s="31"/>
    </row>
    <row r="9184" spans="94:94" x14ac:dyDescent="0.15">
      <c r="CP9184" s="31"/>
    </row>
    <row r="9185" spans="94:94" x14ac:dyDescent="0.15">
      <c r="CP9185" s="31"/>
    </row>
    <row r="9186" spans="94:94" x14ac:dyDescent="0.15">
      <c r="CP9186" s="31"/>
    </row>
    <row r="9187" spans="94:94" x14ac:dyDescent="0.15">
      <c r="CP9187" s="31"/>
    </row>
    <row r="9188" spans="94:94" x14ac:dyDescent="0.15">
      <c r="CP9188" s="31"/>
    </row>
    <row r="9189" spans="94:94" x14ac:dyDescent="0.15">
      <c r="CP9189" s="31"/>
    </row>
    <row r="9190" spans="94:94" x14ac:dyDescent="0.15">
      <c r="CP9190" s="31"/>
    </row>
    <row r="9191" spans="94:94" x14ac:dyDescent="0.15">
      <c r="CP9191" s="31"/>
    </row>
    <row r="9192" spans="94:94" x14ac:dyDescent="0.15">
      <c r="CP9192" s="31"/>
    </row>
    <row r="9193" spans="94:94" x14ac:dyDescent="0.15">
      <c r="CP9193" s="31"/>
    </row>
    <row r="9194" spans="94:94" x14ac:dyDescent="0.15">
      <c r="CP9194" s="31"/>
    </row>
    <row r="9195" spans="94:94" x14ac:dyDescent="0.15">
      <c r="CP9195" s="31"/>
    </row>
    <row r="9196" spans="94:94" x14ac:dyDescent="0.15">
      <c r="CP9196" s="31"/>
    </row>
    <row r="9197" spans="94:94" x14ac:dyDescent="0.15">
      <c r="CP9197" s="31"/>
    </row>
    <row r="9198" spans="94:94" x14ac:dyDescent="0.15">
      <c r="CP9198" s="31"/>
    </row>
    <row r="9199" spans="94:94" x14ac:dyDescent="0.15">
      <c r="CP9199" s="31"/>
    </row>
    <row r="9200" spans="94:94" x14ac:dyDescent="0.15">
      <c r="CP9200" s="31"/>
    </row>
    <row r="9201" spans="94:94" x14ac:dyDescent="0.15">
      <c r="CP9201" s="31"/>
    </row>
    <row r="9202" spans="94:94" x14ac:dyDescent="0.15">
      <c r="CP9202" s="31"/>
    </row>
    <row r="9203" spans="94:94" x14ac:dyDescent="0.15">
      <c r="CP9203" s="31"/>
    </row>
    <row r="9204" spans="94:94" x14ac:dyDescent="0.15">
      <c r="CP9204" s="31"/>
    </row>
    <row r="9205" spans="94:94" x14ac:dyDescent="0.15">
      <c r="CP9205" s="31"/>
    </row>
    <row r="9206" spans="94:94" x14ac:dyDescent="0.15">
      <c r="CP9206" s="31"/>
    </row>
    <row r="9207" spans="94:94" x14ac:dyDescent="0.15">
      <c r="CP9207" s="31"/>
    </row>
    <row r="9208" spans="94:94" x14ac:dyDescent="0.15">
      <c r="CP9208" s="31"/>
    </row>
    <row r="9209" spans="94:94" x14ac:dyDescent="0.15">
      <c r="CP9209" s="31"/>
    </row>
    <row r="9210" spans="94:94" x14ac:dyDescent="0.15">
      <c r="CP9210" s="31"/>
    </row>
    <row r="9211" spans="94:94" x14ac:dyDescent="0.15">
      <c r="CP9211" s="31"/>
    </row>
    <row r="9212" spans="94:94" x14ac:dyDescent="0.15">
      <c r="CP9212" s="31"/>
    </row>
    <row r="9213" spans="94:94" x14ac:dyDescent="0.15">
      <c r="CP9213" s="31"/>
    </row>
    <row r="9214" spans="94:94" x14ac:dyDescent="0.15">
      <c r="CP9214" s="31"/>
    </row>
    <row r="9215" spans="94:94" x14ac:dyDescent="0.15">
      <c r="CP9215" s="31"/>
    </row>
    <row r="9216" spans="94:94" x14ac:dyDescent="0.15">
      <c r="CP9216" s="31"/>
    </row>
    <row r="9217" spans="94:94" x14ac:dyDescent="0.15">
      <c r="CP9217" s="31"/>
    </row>
    <row r="9218" spans="94:94" x14ac:dyDescent="0.15">
      <c r="CP9218" s="31"/>
    </row>
    <row r="9219" spans="94:94" x14ac:dyDescent="0.15">
      <c r="CP9219" s="31"/>
    </row>
    <row r="9220" spans="94:94" x14ac:dyDescent="0.15">
      <c r="CP9220" s="31"/>
    </row>
    <row r="9221" spans="94:94" x14ac:dyDescent="0.15">
      <c r="CP9221" s="31"/>
    </row>
    <row r="9222" spans="94:94" x14ac:dyDescent="0.15">
      <c r="CP9222" s="31"/>
    </row>
    <row r="9223" spans="94:94" x14ac:dyDescent="0.15">
      <c r="CP9223" s="31"/>
    </row>
    <row r="9224" spans="94:94" x14ac:dyDescent="0.15">
      <c r="CP9224" s="31"/>
    </row>
    <row r="9225" spans="94:94" x14ac:dyDescent="0.15">
      <c r="CP9225" s="31"/>
    </row>
    <row r="9226" spans="94:94" x14ac:dyDescent="0.15">
      <c r="CP9226" s="31"/>
    </row>
    <row r="9227" spans="94:94" x14ac:dyDescent="0.15">
      <c r="CP9227" s="31"/>
    </row>
    <row r="9228" spans="94:94" x14ac:dyDescent="0.15">
      <c r="CP9228" s="31"/>
    </row>
    <row r="9229" spans="94:94" x14ac:dyDescent="0.15">
      <c r="CP9229" s="31"/>
    </row>
    <row r="9230" spans="94:94" x14ac:dyDescent="0.15">
      <c r="CP9230" s="31"/>
    </row>
    <row r="9231" spans="94:94" x14ac:dyDescent="0.15">
      <c r="CP9231" s="31"/>
    </row>
    <row r="9232" spans="94:94" x14ac:dyDescent="0.15">
      <c r="CP9232" s="31"/>
    </row>
    <row r="9233" spans="94:94" x14ac:dyDescent="0.15">
      <c r="CP9233" s="31"/>
    </row>
    <row r="9234" spans="94:94" x14ac:dyDescent="0.15">
      <c r="CP9234" s="31"/>
    </row>
    <row r="9235" spans="94:94" x14ac:dyDescent="0.15">
      <c r="CP9235" s="31"/>
    </row>
    <row r="9236" spans="94:94" x14ac:dyDescent="0.15">
      <c r="CP9236" s="31"/>
    </row>
    <row r="9237" spans="94:94" x14ac:dyDescent="0.15">
      <c r="CP9237" s="31"/>
    </row>
    <row r="9238" spans="94:94" x14ac:dyDescent="0.15">
      <c r="CP9238" s="31"/>
    </row>
    <row r="9239" spans="94:94" x14ac:dyDescent="0.15">
      <c r="CP9239" s="31"/>
    </row>
    <row r="9240" spans="94:94" x14ac:dyDescent="0.15">
      <c r="CP9240" s="31"/>
    </row>
    <row r="9241" spans="94:94" x14ac:dyDescent="0.15">
      <c r="CP9241" s="31"/>
    </row>
    <row r="9242" spans="94:94" x14ac:dyDescent="0.15">
      <c r="CP9242" s="31"/>
    </row>
    <row r="9243" spans="94:94" x14ac:dyDescent="0.15">
      <c r="CP9243" s="31"/>
    </row>
    <row r="9244" spans="94:94" x14ac:dyDescent="0.15">
      <c r="CP9244" s="31"/>
    </row>
    <row r="9245" spans="94:94" x14ac:dyDescent="0.15">
      <c r="CP9245" s="31"/>
    </row>
    <row r="9246" spans="94:94" x14ac:dyDescent="0.15">
      <c r="CP9246" s="31"/>
    </row>
    <row r="9247" spans="94:94" x14ac:dyDescent="0.15">
      <c r="CP9247" s="31"/>
    </row>
    <row r="9248" spans="94:94" x14ac:dyDescent="0.15">
      <c r="CP9248" s="31"/>
    </row>
    <row r="9249" spans="94:94" x14ac:dyDescent="0.15">
      <c r="CP9249" s="31"/>
    </row>
    <row r="9250" spans="94:94" x14ac:dyDescent="0.15">
      <c r="CP9250" s="31"/>
    </row>
    <row r="9251" spans="94:94" x14ac:dyDescent="0.15">
      <c r="CP9251" s="31"/>
    </row>
    <row r="9252" spans="94:94" x14ac:dyDescent="0.15">
      <c r="CP9252" s="31"/>
    </row>
    <row r="9253" spans="94:94" x14ac:dyDescent="0.15">
      <c r="CP9253" s="31"/>
    </row>
    <row r="9254" spans="94:94" x14ac:dyDescent="0.15">
      <c r="CP9254" s="31"/>
    </row>
    <row r="9255" spans="94:94" x14ac:dyDescent="0.15">
      <c r="CP9255" s="31"/>
    </row>
    <row r="9256" spans="94:94" x14ac:dyDescent="0.15">
      <c r="CP9256" s="31"/>
    </row>
    <row r="9257" spans="94:94" x14ac:dyDescent="0.15">
      <c r="CP9257" s="31"/>
    </row>
    <row r="9258" spans="94:94" x14ac:dyDescent="0.15">
      <c r="CP9258" s="31"/>
    </row>
    <row r="9259" spans="94:94" x14ac:dyDescent="0.15">
      <c r="CP9259" s="31"/>
    </row>
    <row r="9260" spans="94:94" x14ac:dyDescent="0.15">
      <c r="CP9260" s="31"/>
    </row>
    <row r="9261" spans="94:94" x14ac:dyDescent="0.15">
      <c r="CP9261" s="31"/>
    </row>
    <row r="9262" spans="94:94" x14ac:dyDescent="0.15">
      <c r="CP9262" s="31"/>
    </row>
    <row r="9263" spans="94:94" x14ac:dyDescent="0.15">
      <c r="CP9263" s="31"/>
    </row>
    <row r="9264" spans="94:94" x14ac:dyDescent="0.15">
      <c r="CP9264" s="31"/>
    </row>
    <row r="9265" spans="94:94" x14ac:dyDescent="0.15">
      <c r="CP9265" s="31"/>
    </row>
    <row r="9266" spans="94:94" x14ac:dyDescent="0.15">
      <c r="CP9266" s="31"/>
    </row>
    <row r="9267" spans="94:94" x14ac:dyDescent="0.15">
      <c r="CP9267" s="31"/>
    </row>
    <row r="9268" spans="94:94" x14ac:dyDescent="0.15">
      <c r="CP9268" s="31"/>
    </row>
    <row r="9269" spans="94:94" x14ac:dyDescent="0.15">
      <c r="CP9269" s="31"/>
    </row>
    <row r="9270" spans="94:94" x14ac:dyDescent="0.15">
      <c r="CP9270" s="31"/>
    </row>
    <row r="9271" spans="94:94" x14ac:dyDescent="0.15">
      <c r="CP9271" s="31"/>
    </row>
    <row r="9272" spans="94:94" x14ac:dyDescent="0.15">
      <c r="CP9272" s="31"/>
    </row>
    <row r="9273" spans="94:94" x14ac:dyDescent="0.15">
      <c r="CP9273" s="31"/>
    </row>
    <row r="9274" spans="94:94" x14ac:dyDescent="0.15">
      <c r="CP9274" s="31"/>
    </row>
    <row r="9275" spans="94:94" x14ac:dyDescent="0.15">
      <c r="CP9275" s="31"/>
    </row>
    <row r="9276" spans="94:94" x14ac:dyDescent="0.15">
      <c r="CP9276" s="31"/>
    </row>
    <row r="9277" spans="94:94" x14ac:dyDescent="0.15">
      <c r="CP9277" s="31"/>
    </row>
    <row r="9278" spans="94:94" x14ac:dyDescent="0.15">
      <c r="CP9278" s="31"/>
    </row>
    <row r="9279" spans="94:94" x14ac:dyDescent="0.15">
      <c r="CP9279" s="31"/>
    </row>
    <row r="9280" spans="94:94" x14ac:dyDescent="0.15">
      <c r="CP9280" s="31"/>
    </row>
    <row r="9281" spans="94:94" x14ac:dyDescent="0.15">
      <c r="CP9281" s="31"/>
    </row>
    <row r="9282" spans="94:94" x14ac:dyDescent="0.15">
      <c r="CP9282" s="31"/>
    </row>
    <row r="9283" spans="94:94" x14ac:dyDescent="0.15">
      <c r="CP9283" s="31"/>
    </row>
    <row r="9284" spans="94:94" x14ac:dyDescent="0.15">
      <c r="CP9284" s="31"/>
    </row>
    <row r="9285" spans="94:94" x14ac:dyDescent="0.15">
      <c r="CP9285" s="31"/>
    </row>
    <row r="9286" spans="94:94" x14ac:dyDescent="0.15">
      <c r="CP9286" s="31"/>
    </row>
    <row r="9287" spans="94:94" x14ac:dyDescent="0.15">
      <c r="CP9287" s="31"/>
    </row>
    <row r="9288" spans="94:94" x14ac:dyDescent="0.15">
      <c r="CP9288" s="31"/>
    </row>
    <row r="9289" spans="94:94" x14ac:dyDescent="0.15">
      <c r="CP9289" s="31"/>
    </row>
    <row r="9290" spans="94:94" x14ac:dyDescent="0.15">
      <c r="CP9290" s="31"/>
    </row>
    <row r="9291" spans="94:94" x14ac:dyDescent="0.15">
      <c r="CP9291" s="31"/>
    </row>
    <row r="9292" spans="94:94" x14ac:dyDescent="0.15">
      <c r="CP9292" s="31"/>
    </row>
    <row r="9293" spans="94:94" x14ac:dyDescent="0.15">
      <c r="CP9293" s="31"/>
    </row>
    <row r="9294" spans="94:94" x14ac:dyDescent="0.15">
      <c r="CP9294" s="31"/>
    </row>
    <row r="9295" spans="94:94" x14ac:dyDescent="0.15">
      <c r="CP9295" s="31"/>
    </row>
    <row r="9296" spans="94:94" x14ac:dyDescent="0.15">
      <c r="CP9296" s="31"/>
    </row>
    <row r="9297" spans="94:94" x14ac:dyDescent="0.15">
      <c r="CP9297" s="31"/>
    </row>
    <row r="9298" spans="94:94" x14ac:dyDescent="0.15">
      <c r="CP9298" s="31"/>
    </row>
    <row r="9299" spans="94:94" x14ac:dyDescent="0.15">
      <c r="CP9299" s="31"/>
    </row>
    <row r="9300" spans="94:94" x14ac:dyDescent="0.15">
      <c r="CP9300" s="31"/>
    </row>
    <row r="9301" spans="94:94" x14ac:dyDescent="0.15">
      <c r="CP9301" s="31"/>
    </row>
    <row r="9302" spans="94:94" x14ac:dyDescent="0.15">
      <c r="CP9302" s="31"/>
    </row>
    <row r="9303" spans="94:94" x14ac:dyDescent="0.15">
      <c r="CP9303" s="31"/>
    </row>
    <row r="9304" spans="94:94" x14ac:dyDescent="0.15">
      <c r="CP9304" s="31"/>
    </row>
    <row r="9305" spans="94:94" x14ac:dyDescent="0.15">
      <c r="CP9305" s="31"/>
    </row>
    <row r="9306" spans="94:94" x14ac:dyDescent="0.15">
      <c r="CP9306" s="31"/>
    </row>
    <row r="9307" spans="94:94" x14ac:dyDescent="0.15">
      <c r="CP9307" s="31"/>
    </row>
    <row r="9308" spans="94:94" x14ac:dyDescent="0.15">
      <c r="CP9308" s="31"/>
    </row>
    <row r="9309" spans="94:94" x14ac:dyDescent="0.15">
      <c r="CP9309" s="31"/>
    </row>
    <row r="9310" spans="94:94" x14ac:dyDescent="0.15">
      <c r="CP9310" s="31"/>
    </row>
    <row r="9311" spans="94:94" x14ac:dyDescent="0.15">
      <c r="CP9311" s="31"/>
    </row>
    <row r="9312" spans="94:94" x14ac:dyDescent="0.15">
      <c r="CP9312" s="31"/>
    </row>
    <row r="9313" spans="94:94" x14ac:dyDescent="0.15">
      <c r="CP9313" s="31"/>
    </row>
    <row r="9314" spans="94:94" x14ac:dyDescent="0.15">
      <c r="CP9314" s="31"/>
    </row>
    <row r="9315" spans="94:94" x14ac:dyDescent="0.15">
      <c r="CP9315" s="31"/>
    </row>
    <row r="9316" spans="94:94" x14ac:dyDescent="0.15">
      <c r="CP9316" s="31"/>
    </row>
    <row r="9317" spans="94:94" x14ac:dyDescent="0.15">
      <c r="CP9317" s="31"/>
    </row>
    <row r="9318" spans="94:94" x14ac:dyDescent="0.15">
      <c r="CP9318" s="31"/>
    </row>
    <row r="9319" spans="94:94" x14ac:dyDescent="0.15">
      <c r="CP9319" s="31"/>
    </row>
    <row r="9320" spans="94:94" x14ac:dyDescent="0.15">
      <c r="CP9320" s="31"/>
    </row>
    <row r="9321" spans="94:94" x14ac:dyDescent="0.15">
      <c r="CP9321" s="31"/>
    </row>
    <row r="9322" spans="94:94" x14ac:dyDescent="0.15">
      <c r="CP9322" s="31"/>
    </row>
    <row r="9323" spans="94:94" x14ac:dyDescent="0.15">
      <c r="CP9323" s="31"/>
    </row>
    <row r="9324" spans="94:94" x14ac:dyDescent="0.15">
      <c r="CP9324" s="31"/>
    </row>
    <row r="9325" spans="94:94" x14ac:dyDescent="0.15">
      <c r="CP9325" s="31"/>
    </row>
    <row r="9326" spans="94:94" x14ac:dyDescent="0.15">
      <c r="CP9326" s="31"/>
    </row>
    <row r="9327" spans="94:94" x14ac:dyDescent="0.15">
      <c r="CP9327" s="31"/>
    </row>
    <row r="9328" spans="94:94" x14ac:dyDescent="0.15">
      <c r="CP9328" s="31"/>
    </row>
    <row r="9329" spans="94:94" x14ac:dyDescent="0.15">
      <c r="CP9329" s="31"/>
    </row>
    <row r="9330" spans="94:94" x14ac:dyDescent="0.15">
      <c r="CP9330" s="31"/>
    </row>
    <row r="9331" spans="94:94" x14ac:dyDescent="0.15">
      <c r="CP9331" s="31"/>
    </row>
    <row r="9332" spans="94:94" x14ac:dyDescent="0.15">
      <c r="CP9332" s="31"/>
    </row>
    <row r="9333" spans="94:94" x14ac:dyDescent="0.15">
      <c r="CP9333" s="31"/>
    </row>
    <row r="9334" spans="94:94" x14ac:dyDescent="0.15">
      <c r="CP9334" s="31"/>
    </row>
    <row r="9335" spans="94:94" x14ac:dyDescent="0.15">
      <c r="CP9335" s="31"/>
    </row>
    <row r="9336" spans="94:94" x14ac:dyDescent="0.15">
      <c r="CP9336" s="31"/>
    </row>
    <row r="9337" spans="94:94" x14ac:dyDescent="0.15">
      <c r="CP9337" s="31"/>
    </row>
    <row r="9338" spans="94:94" x14ac:dyDescent="0.15">
      <c r="CP9338" s="31"/>
    </row>
    <row r="9339" spans="94:94" x14ac:dyDescent="0.15">
      <c r="CP9339" s="31"/>
    </row>
    <row r="9340" spans="94:94" x14ac:dyDescent="0.15">
      <c r="CP9340" s="31"/>
    </row>
    <row r="9341" spans="94:94" x14ac:dyDescent="0.15">
      <c r="CP9341" s="31"/>
    </row>
    <row r="9342" spans="94:94" x14ac:dyDescent="0.15">
      <c r="CP9342" s="31"/>
    </row>
    <row r="9343" spans="94:94" x14ac:dyDescent="0.15">
      <c r="CP9343" s="31"/>
    </row>
    <row r="9344" spans="94:94" x14ac:dyDescent="0.15">
      <c r="CP9344" s="31"/>
    </row>
    <row r="9345" spans="94:94" x14ac:dyDescent="0.15">
      <c r="CP9345" s="31"/>
    </row>
    <row r="9346" spans="94:94" x14ac:dyDescent="0.15">
      <c r="CP9346" s="31"/>
    </row>
    <row r="9347" spans="94:94" x14ac:dyDescent="0.15">
      <c r="CP9347" s="31"/>
    </row>
    <row r="9348" spans="94:94" x14ac:dyDescent="0.15">
      <c r="CP9348" s="31"/>
    </row>
    <row r="9349" spans="94:94" x14ac:dyDescent="0.15">
      <c r="CP9349" s="31"/>
    </row>
    <row r="9350" spans="94:94" x14ac:dyDescent="0.15">
      <c r="CP9350" s="31"/>
    </row>
    <row r="9351" spans="94:94" x14ac:dyDescent="0.15">
      <c r="CP9351" s="31"/>
    </row>
    <row r="9352" spans="94:94" x14ac:dyDescent="0.15">
      <c r="CP9352" s="31"/>
    </row>
    <row r="9353" spans="94:94" x14ac:dyDescent="0.15">
      <c r="CP9353" s="31"/>
    </row>
    <row r="9354" spans="94:94" x14ac:dyDescent="0.15">
      <c r="CP9354" s="31"/>
    </row>
    <row r="9355" spans="94:94" x14ac:dyDescent="0.15">
      <c r="CP9355" s="31"/>
    </row>
    <row r="9356" spans="94:94" x14ac:dyDescent="0.15">
      <c r="CP9356" s="31"/>
    </row>
    <row r="9357" spans="94:94" x14ac:dyDescent="0.15">
      <c r="CP9357" s="31"/>
    </row>
    <row r="9358" spans="94:94" x14ac:dyDescent="0.15">
      <c r="CP9358" s="31"/>
    </row>
    <row r="9359" spans="94:94" x14ac:dyDescent="0.15">
      <c r="CP9359" s="31"/>
    </row>
    <row r="9360" spans="94:94" x14ac:dyDescent="0.15">
      <c r="CP9360" s="31"/>
    </row>
    <row r="9361" spans="94:94" x14ac:dyDescent="0.15">
      <c r="CP9361" s="31"/>
    </row>
    <row r="9362" spans="94:94" x14ac:dyDescent="0.15">
      <c r="CP9362" s="31"/>
    </row>
    <row r="9363" spans="94:94" x14ac:dyDescent="0.15">
      <c r="CP9363" s="31"/>
    </row>
    <row r="9364" spans="94:94" x14ac:dyDescent="0.15">
      <c r="CP9364" s="31"/>
    </row>
    <row r="9365" spans="94:94" x14ac:dyDescent="0.15">
      <c r="CP9365" s="31"/>
    </row>
    <row r="9366" spans="94:94" x14ac:dyDescent="0.15">
      <c r="CP9366" s="31"/>
    </row>
    <row r="9367" spans="94:94" x14ac:dyDescent="0.15">
      <c r="CP9367" s="31"/>
    </row>
    <row r="9368" spans="94:94" x14ac:dyDescent="0.15">
      <c r="CP9368" s="31"/>
    </row>
    <row r="9369" spans="94:94" x14ac:dyDescent="0.15">
      <c r="CP9369" s="31"/>
    </row>
    <row r="9370" spans="94:94" x14ac:dyDescent="0.15">
      <c r="CP9370" s="31"/>
    </row>
    <row r="9371" spans="94:94" x14ac:dyDescent="0.15">
      <c r="CP9371" s="31"/>
    </row>
    <row r="9372" spans="94:94" x14ac:dyDescent="0.15">
      <c r="CP9372" s="31"/>
    </row>
    <row r="9373" spans="94:94" x14ac:dyDescent="0.15">
      <c r="CP9373" s="31"/>
    </row>
    <row r="9374" spans="94:94" x14ac:dyDescent="0.15">
      <c r="CP9374" s="31"/>
    </row>
    <row r="9375" spans="94:94" x14ac:dyDescent="0.15">
      <c r="CP9375" s="31"/>
    </row>
    <row r="9376" spans="94:94" x14ac:dyDescent="0.15">
      <c r="CP9376" s="31"/>
    </row>
    <row r="9377" spans="94:94" x14ac:dyDescent="0.15">
      <c r="CP9377" s="31"/>
    </row>
    <row r="9378" spans="94:94" x14ac:dyDescent="0.15">
      <c r="CP9378" s="31"/>
    </row>
    <row r="9379" spans="94:94" x14ac:dyDescent="0.15">
      <c r="CP9379" s="31"/>
    </row>
    <row r="9380" spans="94:94" x14ac:dyDescent="0.15">
      <c r="CP9380" s="31"/>
    </row>
    <row r="9381" spans="94:94" x14ac:dyDescent="0.15">
      <c r="CP9381" s="31"/>
    </row>
    <row r="9382" spans="94:94" x14ac:dyDescent="0.15">
      <c r="CP9382" s="31"/>
    </row>
    <row r="9383" spans="94:94" x14ac:dyDescent="0.15">
      <c r="CP9383" s="31"/>
    </row>
    <row r="9384" spans="94:94" x14ac:dyDescent="0.15">
      <c r="CP9384" s="31"/>
    </row>
    <row r="9385" spans="94:94" x14ac:dyDescent="0.15">
      <c r="CP9385" s="31"/>
    </row>
    <row r="9386" spans="94:94" x14ac:dyDescent="0.15">
      <c r="CP9386" s="31"/>
    </row>
    <row r="9387" spans="94:94" x14ac:dyDescent="0.15">
      <c r="CP9387" s="31"/>
    </row>
    <row r="9388" spans="94:94" x14ac:dyDescent="0.15">
      <c r="CP9388" s="31"/>
    </row>
    <row r="9389" spans="94:94" x14ac:dyDescent="0.15">
      <c r="CP9389" s="31"/>
    </row>
    <row r="9390" spans="94:94" x14ac:dyDescent="0.15">
      <c r="CP9390" s="31"/>
    </row>
    <row r="9391" spans="94:94" x14ac:dyDescent="0.15">
      <c r="CP9391" s="31"/>
    </row>
    <row r="9392" spans="94:94" x14ac:dyDescent="0.15">
      <c r="CP9392" s="31"/>
    </row>
    <row r="9393" spans="94:94" x14ac:dyDescent="0.15">
      <c r="CP9393" s="31"/>
    </row>
    <row r="9394" spans="94:94" x14ac:dyDescent="0.15">
      <c r="CP9394" s="31"/>
    </row>
    <row r="9395" spans="94:94" x14ac:dyDescent="0.15">
      <c r="CP9395" s="31"/>
    </row>
    <row r="9396" spans="94:94" x14ac:dyDescent="0.15">
      <c r="CP9396" s="31"/>
    </row>
    <row r="9397" spans="94:94" x14ac:dyDescent="0.15">
      <c r="CP9397" s="31"/>
    </row>
    <row r="9398" spans="94:94" x14ac:dyDescent="0.15">
      <c r="CP9398" s="31"/>
    </row>
    <row r="9399" spans="94:94" x14ac:dyDescent="0.15">
      <c r="CP9399" s="31"/>
    </row>
    <row r="9400" spans="94:94" x14ac:dyDescent="0.15">
      <c r="CP9400" s="31"/>
    </row>
    <row r="9401" spans="94:94" x14ac:dyDescent="0.15">
      <c r="CP9401" s="31"/>
    </row>
    <row r="9402" spans="94:94" x14ac:dyDescent="0.15">
      <c r="CP9402" s="31"/>
    </row>
    <row r="9403" spans="94:94" x14ac:dyDescent="0.15">
      <c r="CP9403" s="31"/>
    </row>
    <row r="9404" spans="94:94" x14ac:dyDescent="0.15">
      <c r="CP9404" s="31"/>
    </row>
    <row r="9405" spans="94:94" x14ac:dyDescent="0.15">
      <c r="CP9405" s="31"/>
    </row>
    <row r="9406" spans="94:94" x14ac:dyDescent="0.15">
      <c r="CP9406" s="31"/>
    </row>
    <row r="9407" spans="94:94" x14ac:dyDescent="0.15">
      <c r="CP9407" s="31"/>
    </row>
    <row r="9408" spans="94:94" x14ac:dyDescent="0.15">
      <c r="CP9408" s="31"/>
    </row>
    <row r="9409" spans="94:94" x14ac:dyDescent="0.15">
      <c r="CP9409" s="31"/>
    </row>
    <row r="9410" spans="94:94" x14ac:dyDescent="0.15">
      <c r="CP9410" s="31"/>
    </row>
    <row r="9411" spans="94:94" x14ac:dyDescent="0.15">
      <c r="CP9411" s="31"/>
    </row>
    <row r="9412" spans="94:94" x14ac:dyDescent="0.15">
      <c r="CP9412" s="31"/>
    </row>
    <row r="9413" spans="94:94" x14ac:dyDescent="0.15">
      <c r="CP9413" s="31"/>
    </row>
    <row r="9414" spans="94:94" x14ac:dyDescent="0.15">
      <c r="CP9414" s="31"/>
    </row>
    <row r="9415" spans="94:94" x14ac:dyDescent="0.15">
      <c r="CP9415" s="31"/>
    </row>
    <row r="9416" spans="94:94" x14ac:dyDescent="0.15">
      <c r="CP9416" s="31"/>
    </row>
    <row r="9417" spans="94:94" x14ac:dyDescent="0.15">
      <c r="CP9417" s="31"/>
    </row>
    <row r="9418" spans="94:94" x14ac:dyDescent="0.15">
      <c r="CP9418" s="31"/>
    </row>
    <row r="9419" spans="94:94" x14ac:dyDescent="0.15">
      <c r="CP9419" s="31"/>
    </row>
    <row r="9420" spans="94:94" x14ac:dyDescent="0.15">
      <c r="CP9420" s="31"/>
    </row>
    <row r="9421" spans="94:94" x14ac:dyDescent="0.15">
      <c r="CP9421" s="31"/>
    </row>
    <row r="9422" spans="94:94" x14ac:dyDescent="0.15">
      <c r="CP9422" s="31"/>
    </row>
    <row r="9423" spans="94:94" x14ac:dyDescent="0.15">
      <c r="CP9423" s="31"/>
    </row>
    <row r="9424" spans="94:94" x14ac:dyDescent="0.15">
      <c r="CP9424" s="31"/>
    </row>
    <row r="9425" spans="94:94" x14ac:dyDescent="0.15">
      <c r="CP9425" s="31"/>
    </row>
    <row r="9426" spans="94:94" x14ac:dyDescent="0.15">
      <c r="CP9426" s="31"/>
    </row>
    <row r="9427" spans="94:94" x14ac:dyDescent="0.15">
      <c r="CP9427" s="31"/>
    </row>
    <row r="9428" spans="94:94" x14ac:dyDescent="0.15">
      <c r="CP9428" s="31"/>
    </row>
    <row r="9429" spans="94:94" x14ac:dyDescent="0.15">
      <c r="CP9429" s="31"/>
    </row>
    <row r="9430" spans="94:94" x14ac:dyDescent="0.15">
      <c r="CP9430" s="31"/>
    </row>
    <row r="9431" spans="94:94" x14ac:dyDescent="0.15">
      <c r="CP9431" s="31"/>
    </row>
    <row r="9432" spans="94:94" x14ac:dyDescent="0.15">
      <c r="CP9432" s="31"/>
    </row>
    <row r="9433" spans="94:94" x14ac:dyDescent="0.15">
      <c r="CP9433" s="31"/>
    </row>
    <row r="9434" spans="94:94" x14ac:dyDescent="0.15">
      <c r="CP9434" s="31"/>
    </row>
    <row r="9435" spans="94:94" x14ac:dyDescent="0.15">
      <c r="CP9435" s="31"/>
    </row>
    <row r="9436" spans="94:94" x14ac:dyDescent="0.15">
      <c r="CP9436" s="31"/>
    </row>
    <row r="9437" spans="94:94" x14ac:dyDescent="0.15">
      <c r="CP9437" s="31"/>
    </row>
    <row r="9438" spans="94:94" x14ac:dyDescent="0.15">
      <c r="CP9438" s="31"/>
    </row>
    <row r="9439" spans="94:94" x14ac:dyDescent="0.15">
      <c r="CP9439" s="31"/>
    </row>
    <row r="9440" spans="94:94" x14ac:dyDescent="0.15">
      <c r="CP9440" s="31"/>
    </row>
    <row r="9441" spans="94:94" x14ac:dyDescent="0.15">
      <c r="CP9441" s="31"/>
    </row>
    <row r="9442" spans="94:94" x14ac:dyDescent="0.15">
      <c r="CP9442" s="31"/>
    </row>
    <row r="9443" spans="94:94" x14ac:dyDescent="0.15">
      <c r="CP9443" s="31"/>
    </row>
    <row r="9444" spans="94:94" x14ac:dyDescent="0.15">
      <c r="CP9444" s="31"/>
    </row>
    <row r="9445" spans="94:94" x14ac:dyDescent="0.15">
      <c r="CP9445" s="31"/>
    </row>
    <row r="9446" spans="94:94" x14ac:dyDescent="0.15">
      <c r="CP9446" s="31"/>
    </row>
    <row r="9447" spans="94:94" x14ac:dyDescent="0.15">
      <c r="CP9447" s="31"/>
    </row>
    <row r="9448" spans="94:94" x14ac:dyDescent="0.15">
      <c r="CP9448" s="31"/>
    </row>
    <row r="9449" spans="94:94" x14ac:dyDescent="0.15">
      <c r="CP9449" s="31"/>
    </row>
    <row r="9450" spans="94:94" x14ac:dyDescent="0.15">
      <c r="CP9450" s="31"/>
    </row>
    <row r="9451" spans="94:94" x14ac:dyDescent="0.15">
      <c r="CP9451" s="31"/>
    </row>
    <row r="9452" spans="94:94" x14ac:dyDescent="0.15">
      <c r="CP9452" s="31"/>
    </row>
    <row r="9453" spans="94:94" x14ac:dyDescent="0.15">
      <c r="CP9453" s="31"/>
    </row>
    <row r="9454" spans="94:94" x14ac:dyDescent="0.15">
      <c r="CP9454" s="31"/>
    </row>
    <row r="9455" spans="94:94" x14ac:dyDescent="0.15">
      <c r="CP9455" s="31"/>
    </row>
    <row r="9456" spans="94:94" x14ac:dyDescent="0.15">
      <c r="CP9456" s="31"/>
    </row>
    <row r="9457" spans="94:94" x14ac:dyDescent="0.15">
      <c r="CP9457" s="31"/>
    </row>
    <row r="9458" spans="94:94" x14ac:dyDescent="0.15">
      <c r="CP9458" s="31"/>
    </row>
    <row r="9459" spans="94:94" x14ac:dyDescent="0.15">
      <c r="CP9459" s="31"/>
    </row>
    <row r="9460" spans="94:94" x14ac:dyDescent="0.15">
      <c r="CP9460" s="31"/>
    </row>
    <row r="9461" spans="94:94" x14ac:dyDescent="0.15">
      <c r="CP9461" s="31"/>
    </row>
    <row r="9462" spans="94:94" x14ac:dyDescent="0.15">
      <c r="CP9462" s="31"/>
    </row>
    <row r="9463" spans="94:94" x14ac:dyDescent="0.15">
      <c r="CP9463" s="31"/>
    </row>
    <row r="9464" spans="94:94" x14ac:dyDescent="0.15">
      <c r="CP9464" s="31"/>
    </row>
    <row r="9465" spans="94:94" x14ac:dyDescent="0.15">
      <c r="CP9465" s="31"/>
    </row>
    <row r="9466" spans="94:94" x14ac:dyDescent="0.15">
      <c r="CP9466" s="31"/>
    </row>
    <row r="9467" spans="94:94" x14ac:dyDescent="0.15">
      <c r="CP9467" s="31"/>
    </row>
    <row r="9468" spans="94:94" x14ac:dyDescent="0.15">
      <c r="CP9468" s="31"/>
    </row>
    <row r="9469" spans="94:94" x14ac:dyDescent="0.15">
      <c r="CP9469" s="31"/>
    </row>
    <row r="9470" spans="94:94" x14ac:dyDescent="0.15">
      <c r="CP9470" s="31"/>
    </row>
    <row r="9471" spans="94:94" x14ac:dyDescent="0.15">
      <c r="CP9471" s="31"/>
    </row>
    <row r="9472" spans="94:94" x14ac:dyDescent="0.15">
      <c r="CP9472" s="31"/>
    </row>
    <row r="9473" spans="94:94" x14ac:dyDescent="0.15">
      <c r="CP9473" s="31"/>
    </row>
    <row r="9474" spans="94:94" x14ac:dyDescent="0.15">
      <c r="CP9474" s="31"/>
    </row>
    <row r="9475" spans="94:94" x14ac:dyDescent="0.15">
      <c r="CP9475" s="31"/>
    </row>
    <row r="9476" spans="94:94" x14ac:dyDescent="0.15">
      <c r="CP9476" s="31"/>
    </row>
    <row r="9477" spans="94:94" x14ac:dyDescent="0.15">
      <c r="CP9477" s="31"/>
    </row>
    <row r="9478" spans="94:94" x14ac:dyDescent="0.15">
      <c r="CP9478" s="31"/>
    </row>
    <row r="9479" spans="94:94" x14ac:dyDescent="0.15">
      <c r="CP9479" s="31"/>
    </row>
    <row r="9480" spans="94:94" x14ac:dyDescent="0.15">
      <c r="CP9480" s="31"/>
    </row>
    <row r="9481" spans="94:94" x14ac:dyDescent="0.15">
      <c r="CP9481" s="31"/>
    </row>
    <row r="9482" spans="94:94" x14ac:dyDescent="0.15">
      <c r="CP9482" s="31"/>
    </row>
    <row r="9483" spans="94:94" x14ac:dyDescent="0.15">
      <c r="CP9483" s="31"/>
    </row>
    <row r="9484" spans="94:94" x14ac:dyDescent="0.15">
      <c r="CP9484" s="31"/>
    </row>
    <row r="9485" spans="94:94" x14ac:dyDescent="0.15">
      <c r="CP9485" s="31"/>
    </row>
    <row r="9486" spans="94:94" x14ac:dyDescent="0.15">
      <c r="CP9486" s="31"/>
    </row>
    <row r="9487" spans="94:94" x14ac:dyDescent="0.15">
      <c r="CP9487" s="31"/>
    </row>
    <row r="9488" spans="94:94" x14ac:dyDescent="0.15">
      <c r="CP9488" s="31"/>
    </row>
    <row r="9489" spans="94:94" x14ac:dyDescent="0.15">
      <c r="CP9489" s="31"/>
    </row>
    <row r="9490" spans="94:94" x14ac:dyDescent="0.15">
      <c r="CP9490" s="31"/>
    </row>
    <row r="9491" spans="94:94" x14ac:dyDescent="0.15">
      <c r="CP9491" s="31"/>
    </row>
    <row r="9492" spans="94:94" x14ac:dyDescent="0.15">
      <c r="CP9492" s="31"/>
    </row>
    <row r="9493" spans="94:94" x14ac:dyDescent="0.15">
      <c r="CP9493" s="31"/>
    </row>
    <row r="9494" spans="94:94" x14ac:dyDescent="0.15">
      <c r="CP9494" s="31"/>
    </row>
    <row r="9495" spans="94:94" x14ac:dyDescent="0.15">
      <c r="CP9495" s="31"/>
    </row>
    <row r="9496" spans="94:94" x14ac:dyDescent="0.15">
      <c r="CP9496" s="31"/>
    </row>
    <row r="9497" spans="94:94" x14ac:dyDescent="0.15">
      <c r="CP9497" s="31"/>
    </row>
    <row r="9498" spans="94:94" x14ac:dyDescent="0.15">
      <c r="CP9498" s="31"/>
    </row>
    <row r="9499" spans="94:94" x14ac:dyDescent="0.15">
      <c r="CP9499" s="31"/>
    </row>
    <row r="9500" spans="94:94" x14ac:dyDescent="0.15">
      <c r="CP9500" s="31"/>
    </row>
    <row r="9501" spans="94:94" x14ac:dyDescent="0.15">
      <c r="CP9501" s="31"/>
    </row>
    <row r="9502" spans="94:94" x14ac:dyDescent="0.15">
      <c r="CP9502" s="31"/>
    </row>
    <row r="9503" spans="94:94" x14ac:dyDescent="0.15">
      <c r="CP9503" s="31"/>
    </row>
    <row r="9504" spans="94:94" x14ac:dyDescent="0.15">
      <c r="CP9504" s="31"/>
    </row>
    <row r="9505" spans="94:94" x14ac:dyDescent="0.15">
      <c r="CP9505" s="31"/>
    </row>
    <row r="9506" spans="94:94" x14ac:dyDescent="0.15">
      <c r="CP9506" s="31"/>
    </row>
    <row r="9507" spans="94:94" x14ac:dyDescent="0.15">
      <c r="CP9507" s="31"/>
    </row>
    <row r="9508" spans="94:94" x14ac:dyDescent="0.15">
      <c r="CP9508" s="31"/>
    </row>
    <row r="9509" spans="94:94" x14ac:dyDescent="0.15">
      <c r="CP9509" s="31"/>
    </row>
    <row r="9510" spans="94:94" x14ac:dyDescent="0.15">
      <c r="CP9510" s="31"/>
    </row>
    <row r="9511" spans="94:94" x14ac:dyDescent="0.15">
      <c r="CP9511" s="31"/>
    </row>
    <row r="9512" spans="94:94" x14ac:dyDescent="0.15">
      <c r="CP9512" s="31"/>
    </row>
    <row r="9513" spans="94:94" x14ac:dyDescent="0.15">
      <c r="CP9513" s="31"/>
    </row>
    <row r="9514" spans="94:94" x14ac:dyDescent="0.15">
      <c r="CP9514" s="31"/>
    </row>
    <row r="9515" spans="94:94" x14ac:dyDescent="0.15">
      <c r="CP9515" s="31"/>
    </row>
    <row r="9516" spans="94:94" x14ac:dyDescent="0.15">
      <c r="CP9516" s="31"/>
    </row>
    <row r="9517" spans="94:94" x14ac:dyDescent="0.15">
      <c r="CP9517" s="31"/>
    </row>
    <row r="9518" spans="94:94" x14ac:dyDescent="0.15">
      <c r="CP9518" s="31"/>
    </row>
    <row r="9519" spans="94:94" x14ac:dyDescent="0.15">
      <c r="CP9519" s="31"/>
    </row>
    <row r="9520" spans="94:94" x14ac:dyDescent="0.15">
      <c r="CP9520" s="31"/>
    </row>
    <row r="9521" spans="94:94" x14ac:dyDescent="0.15">
      <c r="CP9521" s="31"/>
    </row>
    <row r="9522" spans="94:94" x14ac:dyDescent="0.15">
      <c r="CP9522" s="31"/>
    </row>
    <row r="9523" spans="94:94" x14ac:dyDescent="0.15">
      <c r="CP9523" s="31"/>
    </row>
    <row r="9524" spans="94:94" x14ac:dyDescent="0.15">
      <c r="CP9524" s="31"/>
    </row>
    <row r="9525" spans="94:94" x14ac:dyDescent="0.15">
      <c r="CP9525" s="31"/>
    </row>
    <row r="9526" spans="94:94" x14ac:dyDescent="0.15">
      <c r="CP9526" s="31"/>
    </row>
    <row r="9527" spans="94:94" x14ac:dyDescent="0.15">
      <c r="CP9527" s="31"/>
    </row>
    <row r="9528" spans="94:94" x14ac:dyDescent="0.15">
      <c r="CP9528" s="31"/>
    </row>
    <row r="9529" spans="94:94" x14ac:dyDescent="0.15">
      <c r="CP9529" s="31"/>
    </row>
    <row r="9530" spans="94:94" x14ac:dyDescent="0.15">
      <c r="CP9530" s="31"/>
    </row>
    <row r="9531" spans="94:94" x14ac:dyDescent="0.15">
      <c r="CP9531" s="31"/>
    </row>
    <row r="9532" spans="94:94" x14ac:dyDescent="0.15">
      <c r="CP9532" s="31"/>
    </row>
    <row r="9533" spans="94:94" x14ac:dyDescent="0.15">
      <c r="CP9533" s="31"/>
    </row>
    <row r="9534" spans="94:94" x14ac:dyDescent="0.15">
      <c r="CP9534" s="31"/>
    </row>
    <row r="9535" spans="94:94" x14ac:dyDescent="0.15">
      <c r="CP9535" s="31"/>
    </row>
    <row r="9536" spans="94:94" x14ac:dyDescent="0.15">
      <c r="CP9536" s="31"/>
    </row>
    <row r="9537" spans="94:94" x14ac:dyDescent="0.15">
      <c r="CP9537" s="31"/>
    </row>
    <row r="9538" spans="94:94" x14ac:dyDescent="0.15">
      <c r="CP9538" s="31"/>
    </row>
    <row r="9539" spans="94:94" x14ac:dyDescent="0.15">
      <c r="CP9539" s="31"/>
    </row>
    <row r="9540" spans="94:94" x14ac:dyDescent="0.15">
      <c r="CP9540" s="31"/>
    </row>
    <row r="9541" spans="94:94" x14ac:dyDescent="0.15">
      <c r="CP9541" s="31"/>
    </row>
    <row r="9542" spans="94:94" x14ac:dyDescent="0.15">
      <c r="CP9542" s="31"/>
    </row>
    <row r="9543" spans="94:94" x14ac:dyDescent="0.15">
      <c r="CP9543" s="31"/>
    </row>
    <row r="9544" spans="94:94" x14ac:dyDescent="0.15">
      <c r="CP9544" s="31"/>
    </row>
    <row r="9545" spans="94:94" x14ac:dyDescent="0.15">
      <c r="CP9545" s="31"/>
    </row>
    <row r="9546" spans="94:94" x14ac:dyDescent="0.15">
      <c r="CP9546" s="31"/>
    </row>
    <row r="9547" spans="94:94" x14ac:dyDescent="0.15">
      <c r="CP9547" s="31"/>
    </row>
    <row r="9548" spans="94:94" x14ac:dyDescent="0.15">
      <c r="CP9548" s="31"/>
    </row>
    <row r="9549" spans="94:94" x14ac:dyDescent="0.15">
      <c r="CP9549" s="31"/>
    </row>
    <row r="9550" spans="94:94" x14ac:dyDescent="0.15">
      <c r="CP9550" s="31"/>
    </row>
    <row r="9551" spans="94:94" x14ac:dyDescent="0.15">
      <c r="CP9551" s="31"/>
    </row>
    <row r="9552" spans="94:94" x14ac:dyDescent="0.15">
      <c r="CP9552" s="31"/>
    </row>
    <row r="9553" spans="94:94" x14ac:dyDescent="0.15">
      <c r="CP9553" s="31"/>
    </row>
    <row r="9554" spans="94:94" x14ac:dyDescent="0.15">
      <c r="CP9554" s="31"/>
    </row>
    <row r="9555" spans="94:94" x14ac:dyDescent="0.15">
      <c r="CP9555" s="31"/>
    </row>
    <row r="9556" spans="94:94" x14ac:dyDescent="0.15">
      <c r="CP9556" s="31"/>
    </row>
    <row r="9557" spans="94:94" x14ac:dyDescent="0.15">
      <c r="CP9557" s="31"/>
    </row>
    <row r="9558" spans="94:94" x14ac:dyDescent="0.15">
      <c r="CP9558" s="31"/>
    </row>
    <row r="9559" spans="94:94" x14ac:dyDescent="0.15">
      <c r="CP9559" s="31"/>
    </row>
    <row r="9560" spans="94:94" x14ac:dyDescent="0.15">
      <c r="CP9560" s="31"/>
    </row>
    <row r="9561" spans="94:94" x14ac:dyDescent="0.15">
      <c r="CP9561" s="31"/>
    </row>
    <row r="9562" spans="94:94" x14ac:dyDescent="0.15">
      <c r="CP9562" s="31"/>
    </row>
    <row r="9563" spans="94:94" x14ac:dyDescent="0.15">
      <c r="CP9563" s="31"/>
    </row>
    <row r="9564" spans="94:94" x14ac:dyDescent="0.15">
      <c r="CP9564" s="31"/>
    </row>
    <row r="9565" spans="94:94" x14ac:dyDescent="0.15">
      <c r="CP9565" s="31"/>
    </row>
    <row r="9566" spans="94:94" x14ac:dyDescent="0.15">
      <c r="CP9566" s="31"/>
    </row>
    <row r="9567" spans="94:94" x14ac:dyDescent="0.15">
      <c r="CP9567" s="31"/>
    </row>
    <row r="9568" spans="94:94" x14ac:dyDescent="0.15">
      <c r="CP9568" s="31"/>
    </row>
    <row r="9569" spans="94:94" x14ac:dyDescent="0.15">
      <c r="CP9569" s="31"/>
    </row>
    <row r="9570" spans="94:94" x14ac:dyDescent="0.15">
      <c r="CP9570" s="31"/>
    </row>
    <row r="9571" spans="94:94" x14ac:dyDescent="0.15">
      <c r="CP9571" s="31"/>
    </row>
    <row r="9572" spans="94:94" x14ac:dyDescent="0.15">
      <c r="CP9572" s="31"/>
    </row>
    <row r="9573" spans="94:94" x14ac:dyDescent="0.15">
      <c r="CP9573" s="31"/>
    </row>
    <row r="9574" spans="94:94" x14ac:dyDescent="0.15">
      <c r="CP9574" s="31"/>
    </row>
    <row r="9575" spans="94:94" x14ac:dyDescent="0.15">
      <c r="CP9575" s="31"/>
    </row>
    <row r="9576" spans="94:94" x14ac:dyDescent="0.15">
      <c r="CP9576" s="31"/>
    </row>
    <row r="9577" spans="94:94" x14ac:dyDescent="0.15">
      <c r="CP9577" s="31"/>
    </row>
    <row r="9578" spans="94:94" x14ac:dyDescent="0.15">
      <c r="CP9578" s="31"/>
    </row>
    <row r="9579" spans="94:94" x14ac:dyDescent="0.15">
      <c r="CP9579" s="31"/>
    </row>
    <row r="9580" spans="94:94" x14ac:dyDescent="0.15">
      <c r="CP9580" s="31"/>
    </row>
    <row r="9581" spans="94:94" x14ac:dyDescent="0.15">
      <c r="CP9581" s="31"/>
    </row>
    <row r="9582" spans="94:94" x14ac:dyDescent="0.15">
      <c r="CP9582" s="31"/>
    </row>
    <row r="9583" spans="94:94" x14ac:dyDescent="0.15">
      <c r="CP9583" s="31"/>
    </row>
    <row r="9584" spans="94:94" x14ac:dyDescent="0.15">
      <c r="CP9584" s="31"/>
    </row>
    <row r="9585" spans="94:94" x14ac:dyDescent="0.15">
      <c r="CP9585" s="31"/>
    </row>
    <row r="9586" spans="94:94" x14ac:dyDescent="0.15">
      <c r="CP9586" s="31"/>
    </row>
    <row r="9587" spans="94:94" x14ac:dyDescent="0.15">
      <c r="CP9587" s="31"/>
    </row>
    <row r="9588" spans="94:94" x14ac:dyDescent="0.15">
      <c r="CP9588" s="31"/>
    </row>
    <row r="9589" spans="94:94" x14ac:dyDescent="0.15">
      <c r="CP9589" s="31"/>
    </row>
    <row r="9590" spans="94:94" x14ac:dyDescent="0.15">
      <c r="CP9590" s="31"/>
    </row>
    <row r="9591" spans="94:94" x14ac:dyDescent="0.15">
      <c r="CP9591" s="31"/>
    </row>
    <row r="9592" spans="94:94" x14ac:dyDescent="0.15">
      <c r="CP9592" s="31"/>
    </row>
    <row r="9593" spans="94:94" x14ac:dyDescent="0.15">
      <c r="CP9593" s="31"/>
    </row>
    <row r="9594" spans="94:94" x14ac:dyDescent="0.15">
      <c r="CP9594" s="31"/>
    </row>
    <row r="9595" spans="94:94" x14ac:dyDescent="0.15">
      <c r="CP9595" s="31"/>
    </row>
    <row r="9596" spans="94:94" x14ac:dyDescent="0.15">
      <c r="CP9596" s="31"/>
    </row>
    <row r="9597" spans="94:94" x14ac:dyDescent="0.15">
      <c r="CP9597" s="31"/>
    </row>
    <row r="9598" spans="94:94" x14ac:dyDescent="0.15">
      <c r="CP9598" s="31"/>
    </row>
    <row r="9599" spans="94:94" x14ac:dyDescent="0.15">
      <c r="CP9599" s="31"/>
    </row>
    <row r="9600" spans="94:94" x14ac:dyDescent="0.15">
      <c r="CP9600" s="31"/>
    </row>
    <row r="9601" spans="94:94" x14ac:dyDescent="0.15">
      <c r="CP9601" s="31"/>
    </row>
    <row r="9602" spans="94:94" x14ac:dyDescent="0.15">
      <c r="CP9602" s="31"/>
    </row>
    <row r="9603" spans="94:94" x14ac:dyDescent="0.15">
      <c r="CP9603" s="31"/>
    </row>
    <row r="9604" spans="94:94" x14ac:dyDescent="0.15">
      <c r="CP9604" s="31"/>
    </row>
    <row r="9605" spans="94:94" x14ac:dyDescent="0.15">
      <c r="CP9605" s="31"/>
    </row>
    <row r="9606" spans="94:94" x14ac:dyDescent="0.15">
      <c r="CP9606" s="31"/>
    </row>
    <row r="9607" spans="94:94" x14ac:dyDescent="0.15">
      <c r="CP9607" s="31"/>
    </row>
    <row r="9608" spans="94:94" x14ac:dyDescent="0.15">
      <c r="CP9608" s="31"/>
    </row>
    <row r="9609" spans="94:94" x14ac:dyDescent="0.15">
      <c r="CP9609" s="31"/>
    </row>
    <row r="9610" spans="94:94" x14ac:dyDescent="0.15">
      <c r="CP9610" s="31"/>
    </row>
    <row r="9611" spans="94:94" x14ac:dyDescent="0.15">
      <c r="CP9611" s="31"/>
    </row>
    <row r="9612" spans="94:94" x14ac:dyDescent="0.15">
      <c r="CP9612" s="31"/>
    </row>
    <row r="9613" spans="94:94" x14ac:dyDescent="0.15">
      <c r="CP9613" s="31"/>
    </row>
    <row r="9614" spans="94:94" x14ac:dyDescent="0.15">
      <c r="CP9614" s="31"/>
    </row>
    <row r="9615" spans="94:94" x14ac:dyDescent="0.15">
      <c r="CP9615" s="31"/>
    </row>
    <row r="9616" spans="94:94" x14ac:dyDescent="0.15">
      <c r="CP9616" s="31"/>
    </row>
    <row r="9617" spans="94:94" x14ac:dyDescent="0.15">
      <c r="CP9617" s="31"/>
    </row>
    <row r="9618" spans="94:94" x14ac:dyDescent="0.15">
      <c r="CP9618" s="31"/>
    </row>
    <row r="9619" spans="94:94" x14ac:dyDescent="0.15">
      <c r="CP9619" s="31"/>
    </row>
    <row r="9620" spans="94:94" x14ac:dyDescent="0.15">
      <c r="CP9620" s="31"/>
    </row>
    <row r="9621" spans="94:94" x14ac:dyDescent="0.15">
      <c r="CP9621" s="31"/>
    </row>
    <row r="9622" spans="94:94" x14ac:dyDescent="0.15">
      <c r="CP9622" s="31"/>
    </row>
    <row r="9623" spans="94:94" x14ac:dyDescent="0.15">
      <c r="CP9623" s="31"/>
    </row>
    <row r="9624" spans="94:94" x14ac:dyDescent="0.15">
      <c r="CP9624" s="31"/>
    </row>
    <row r="9625" spans="94:94" x14ac:dyDescent="0.15">
      <c r="CP9625" s="31"/>
    </row>
    <row r="9626" spans="94:94" x14ac:dyDescent="0.15">
      <c r="CP9626" s="31"/>
    </row>
    <row r="9627" spans="94:94" x14ac:dyDescent="0.15">
      <c r="CP9627" s="31"/>
    </row>
    <row r="9628" spans="94:94" x14ac:dyDescent="0.15">
      <c r="CP9628" s="31"/>
    </row>
    <row r="9629" spans="94:94" x14ac:dyDescent="0.15">
      <c r="CP9629" s="31"/>
    </row>
    <row r="9630" spans="94:94" x14ac:dyDescent="0.15">
      <c r="CP9630" s="31"/>
    </row>
    <row r="9631" spans="94:94" x14ac:dyDescent="0.15">
      <c r="CP9631" s="31"/>
    </row>
    <row r="9632" spans="94:94" x14ac:dyDescent="0.15">
      <c r="CP9632" s="31"/>
    </row>
    <row r="9633" spans="94:94" x14ac:dyDescent="0.15">
      <c r="CP9633" s="31"/>
    </row>
    <row r="9634" spans="94:94" x14ac:dyDescent="0.15">
      <c r="CP9634" s="31"/>
    </row>
    <row r="9635" spans="94:94" x14ac:dyDescent="0.15">
      <c r="CP9635" s="31"/>
    </row>
    <row r="9636" spans="94:94" x14ac:dyDescent="0.15">
      <c r="CP9636" s="31"/>
    </row>
    <row r="9637" spans="94:94" x14ac:dyDescent="0.15">
      <c r="CP9637" s="31"/>
    </row>
    <row r="9638" spans="94:94" x14ac:dyDescent="0.15">
      <c r="CP9638" s="31"/>
    </row>
    <row r="9639" spans="94:94" x14ac:dyDescent="0.15">
      <c r="CP9639" s="31"/>
    </row>
    <row r="9640" spans="94:94" x14ac:dyDescent="0.15">
      <c r="CP9640" s="31"/>
    </row>
    <row r="9641" spans="94:94" x14ac:dyDescent="0.15">
      <c r="CP9641" s="31"/>
    </row>
    <row r="9642" spans="94:94" x14ac:dyDescent="0.15">
      <c r="CP9642" s="31"/>
    </row>
    <row r="9643" spans="94:94" x14ac:dyDescent="0.15">
      <c r="CP9643" s="31"/>
    </row>
    <row r="9644" spans="94:94" x14ac:dyDescent="0.15">
      <c r="CP9644" s="31"/>
    </row>
    <row r="9645" spans="94:94" x14ac:dyDescent="0.15">
      <c r="CP9645" s="31"/>
    </row>
    <row r="9646" spans="94:94" x14ac:dyDescent="0.15">
      <c r="CP9646" s="31"/>
    </row>
    <row r="9647" spans="94:94" x14ac:dyDescent="0.15">
      <c r="CP9647" s="31"/>
    </row>
    <row r="9648" spans="94:94" x14ac:dyDescent="0.15">
      <c r="CP9648" s="31"/>
    </row>
    <row r="9649" spans="94:94" x14ac:dyDescent="0.15">
      <c r="CP9649" s="31"/>
    </row>
    <row r="9650" spans="94:94" x14ac:dyDescent="0.15">
      <c r="CP9650" s="31"/>
    </row>
    <row r="9651" spans="94:94" x14ac:dyDescent="0.15">
      <c r="CP9651" s="31"/>
    </row>
    <row r="9652" spans="94:94" x14ac:dyDescent="0.15">
      <c r="CP9652" s="31"/>
    </row>
    <row r="9653" spans="94:94" x14ac:dyDescent="0.15">
      <c r="CP9653" s="31"/>
    </row>
    <row r="9654" spans="94:94" x14ac:dyDescent="0.15">
      <c r="CP9654" s="31"/>
    </row>
    <row r="9655" spans="94:94" x14ac:dyDescent="0.15">
      <c r="CP9655" s="31"/>
    </row>
    <row r="9656" spans="94:94" x14ac:dyDescent="0.15">
      <c r="CP9656" s="31"/>
    </row>
    <row r="9657" spans="94:94" x14ac:dyDescent="0.15">
      <c r="CP9657" s="31"/>
    </row>
    <row r="9658" spans="94:94" x14ac:dyDescent="0.15">
      <c r="CP9658" s="31"/>
    </row>
    <row r="9659" spans="94:94" x14ac:dyDescent="0.15">
      <c r="CP9659" s="31"/>
    </row>
    <row r="9660" spans="94:94" x14ac:dyDescent="0.15">
      <c r="CP9660" s="31"/>
    </row>
    <row r="9661" spans="94:94" x14ac:dyDescent="0.15">
      <c r="CP9661" s="31"/>
    </row>
    <row r="9662" spans="94:94" x14ac:dyDescent="0.15">
      <c r="CP9662" s="31"/>
    </row>
    <row r="9663" spans="94:94" x14ac:dyDescent="0.15">
      <c r="CP9663" s="31"/>
    </row>
    <row r="9664" spans="94:94" x14ac:dyDescent="0.15">
      <c r="CP9664" s="31"/>
    </row>
    <row r="9665" spans="94:94" x14ac:dyDescent="0.15">
      <c r="CP9665" s="31"/>
    </row>
    <row r="9666" spans="94:94" x14ac:dyDescent="0.15">
      <c r="CP9666" s="31"/>
    </row>
    <row r="9667" spans="94:94" x14ac:dyDescent="0.15">
      <c r="CP9667" s="31"/>
    </row>
    <row r="9668" spans="94:94" x14ac:dyDescent="0.15">
      <c r="CP9668" s="31"/>
    </row>
    <row r="9669" spans="94:94" x14ac:dyDescent="0.15">
      <c r="CP9669" s="31"/>
    </row>
    <row r="9670" spans="94:94" x14ac:dyDescent="0.15">
      <c r="CP9670" s="31"/>
    </row>
    <row r="9671" spans="94:94" x14ac:dyDescent="0.15">
      <c r="CP9671" s="31"/>
    </row>
    <row r="9672" spans="94:94" x14ac:dyDescent="0.15">
      <c r="CP9672" s="31"/>
    </row>
    <row r="9673" spans="94:94" x14ac:dyDescent="0.15">
      <c r="CP9673" s="31"/>
    </row>
    <row r="9674" spans="94:94" x14ac:dyDescent="0.15">
      <c r="CP9674" s="31"/>
    </row>
    <row r="9675" spans="94:94" x14ac:dyDescent="0.15">
      <c r="CP9675" s="31"/>
    </row>
    <row r="9676" spans="94:94" x14ac:dyDescent="0.15">
      <c r="CP9676" s="31"/>
    </row>
    <row r="9677" spans="94:94" x14ac:dyDescent="0.15">
      <c r="CP9677" s="31"/>
    </row>
    <row r="9678" spans="94:94" x14ac:dyDescent="0.15">
      <c r="CP9678" s="31"/>
    </row>
    <row r="9679" spans="94:94" x14ac:dyDescent="0.15">
      <c r="CP9679" s="31"/>
    </row>
    <row r="9680" spans="94:94" x14ac:dyDescent="0.15">
      <c r="CP9680" s="31"/>
    </row>
    <row r="9681" spans="94:94" x14ac:dyDescent="0.15">
      <c r="CP9681" s="31"/>
    </row>
    <row r="9682" spans="94:94" x14ac:dyDescent="0.15">
      <c r="CP9682" s="31"/>
    </row>
    <row r="9683" spans="94:94" x14ac:dyDescent="0.15">
      <c r="CP9683" s="31"/>
    </row>
    <row r="9684" spans="94:94" x14ac:dyDescent="0.15">
      <c r="CP9684" s="31"/>
    </row>
    <row r="9685" spans="94:94" x14ac:dyDescent="0.15">
      <c r="CP9685" s="31"/>
    </row>
    <row r="9686" spans="94:94" x14ac:dyDescent="0.15">
      <c r="CP9686" s="31"/>
    </row>
    <row r="9687" spans="94:94" x14ac:dyDescent="0.15">
      <c r="CP9687" s="31"/>
    </row>
    <row r="9688" spans="94:94" x14ac:dyDescent="0.15">
      <c r="CP9688" s="31"/>
    </row>
    <row r="9689" spans="94:94" x14ac:dyDescent="0.15">
      <c r="CP9689" s="31"/>
    </row>
    <row r="9690" spans="94:94" x14ac:dyDescent="0.15">
      <c r="CP9690" s="31"/>
    </row>
    <row r="9691" spans="94:94" x14ac:dyDescent="0.15">
      <c r="CP9691" s="31"/>
    </row>
    <row r="9692" spans="94:94" x14ac:dyDescent="0.15">
      <c r="CP9692" s="31"/>
    </row>
    <row r="9693" spans="94:94" x14ac:dyDescent="0.15">
      <c r="CP9693" s="31"/>
    </row>
    <row r="9694" spans="94:94" x14ac:dyDescent="0.15">
      <c r="CP9694" s="31"/>
    </row>
    <row r="9695" spans="94:94" x14ac:dyDescent="0.15">
      <c r="CP9695" s="31"/>
    </row>
    <row r="9696" spans="94:94" x14ac:dyDescent="0.15">
      <c r="CP9696" s="31"/>
    </row>
    <row r="9697" spans="94:94" x14ac:dyDescent="0.15">
      <c r="CP9697" s="31"/>
    </row>
    <row r="9698" spans="94:94" x14ac:dyDescent="0.15">
      <c r="CP9698" s="31"/>
    </row>
    <row r="9699" spans="94:94" x14ac:dyDescent="0.15">
      <c r="CP9699" s="31"/>
    </row>
    <row r="9700" spans="94:94" x14ac:dyDescent="0.15">
      <c r="CP9700" s="31"/>
    </row>
    <row r="9701" spans="94:94" x14ac:dyDescent="0.15">
      <c r="CP9701" s="31"/>
    </row>
    <row r="9702" spans="94:94" x14ac:dyDescent="0.15">
      <c r="CP9702" s="31"/>
    </row>
    <row r="9703" spans="94:94" x14ac:dyDescent="0.15">
      <c r="CP9703" s="31"/>
    </row>
    <row r="9704" spans="94:94" x14ac:dyDescent="0.15">
      <c r="CP9704" s="31"/>
    </row>
    <row r="9705" spans="94:94" x14ac:dyDescent="0.15">
      <c r="CP9705" s="31"/>
    </row>
    <row r="9706" spans="94:94" x14ac:dyDescent="0.15">
      <c r="CP9706" s="31"/>
    </row>
    <row r="9707" spans="94:94" x14ac:dyDescent="0.15">
      <c r="CP9707" s="31"/>
    </row>
    <row r="9708" spans="94:94" x14ac:dyDescent="0.15">
      <c r="CP9708" s="31"/>
    </row>
    <row r="9709" spans="94:94" x14ac:dyDescent="0.15">
      <c r="CP9709" s="31"/>
    </row>
    <row r="9710" spans="94:94" x14ac:dyDescent="0.15">
      <c r="CP9710" s="31"/>
    </row>
    <row r="9711" spans="94:94" x14ac:dyDescent="0.15">
      <c r="CP9711" s="31"/>
    </row>
    <row r="9712" spans="94:94" x14ac:dyDescent="0.15">
      <c r="CP9712" s="31"/>
    </row>
    <row r="9713" spans="94:94" x14ac:dyDescent="0.15">
      <c r="CP9713" s="31"/>
    </row>
    <row r="9714" spans="94:94" x14ac:dyDescent="0.15">
      <c r="CP9714" s="31"/>
    </row>
    <row r="9715" spans="94:94" x14ac:dyDescent="0.15">
      <c r="CP9715" s="31"/>
    </row>
    <row r="9716" spans="94:94" x14ac:dyDescent="0.15">
      <c r="CP9716" s="31"/>
    </row>
    <row r="9717" spans="94:94" x14ac:dyDescent="0.15">
      <c r="CP9717" s="31"/>
    </row>
    <row r="9718" spans="94:94" x14ac:dyDescent="0.15">
      <c r="CP9718" s="31"/>
    </row>
    <row r="9719" spans="94:94" x14ac:dyDescent="0.15">
      <c r="CP9719" s="31"/>
    </row>
    <row r="9720" spans="94:94" x14ac:dyDescent="0.15">
      <c r="CP9720" s="31"/>
    </row>
    <row r="9721" spans="94:94" x14ac:dyDescent="0.15">
      <c r="CP9721" s="31"/>
    </row>
    <row r="9722" spans="94:94" x14ac:dyDescent="0.15">
      <c r="CP9722" s="31"/>
    </row>
    <row r="9723" spans="94:94" x14ac:dyDescent="0.15">
      <c r="CP9723" s="31"/>
    </row>
    <row r="9724" spans="94:94" x14ac:dyDescent="0.15">
      <c r="CP9724" s="31"/>
    </row>
    <row r="9725" spans="94:94" x14ac:dyDescent="0.15">
      <c r="CP9725" s="31"/>
    </row>
    <row r="9726" spans="94:94" x14ac:dyDescent="0.15">
      <c r="CP9726" s="31"/>
    </row>
    <row r="9727" spans="94:94" x14ac:dyDescent="0.15">
      <c r="CP9727" s="31"/>
    </row>
    <row r="9728" spans="94:94" x14ac:dyDescent="0.15">
      <c r="CP9728" s="31"/>
    </row>
    <row r="9729" spans="94:94" x14ac:dyDescent="0.15">
      <c r="CP9729" s="31"/>
    </row>
    <row r="9730" spans="94:94" x14ac:dyDescent="0.15">
      <c r="CP9730" s="31"/>
    </row>
    <row r="9731" spans="94:94" x14ac:dyDescent="0.15">
      <c r="CP9731" s="31"/>
    </row>
    <row r="9732" spans="94:94" x14ac:dyDescent="0.15">
      <c r="CP9732" s="31"/>
    </row>
    <row r="9733" spans="94:94" x14ac:dyDescent="0.15">
      <c r="CP9733" s="31"/>
    </row>
    <row r="9734" spans="94:94" x14ac:dyDescent="0.15">
      <c r="CP9734" s="31"/>
    </row>
    <row r="9735" spans="94:94" x14ac:dyDescent="0.15">
      <c r="CP9735" s="31"/>
    </row>
    <row r="9736" spans="94:94" x14ac:dyDescent="0.15">
      <c r="CP9736" s="31"/>
    </row>
    <row r="9737" spans="94:94" x14ac:dyDescent="0.15">
      <c r="CP9737" s="31"/>
    </row>
    <row r="9738" spans="94:94" x14ac:dyDescent="0.15">
      <c r="CP9738" s="31"/>
    </row>
    <row r="9739" spans="94:94" x14ac:dyDescent="0.15">
      <c r="CP9739" s="31"/>
    </row>
    <row r="9740" spans="94:94" x14ac:dyDescent="0.15">
      <c r="CP9740" s="31"/>
    </row>
    <row r="9741" spans="94:94" x14ac:dyDescent="0.15">
      <c r="CP9741" s="31"/>
    </row>
    <row r="9742" spans="94:94" x14ac:dyDescent="0.15">
      <c r="CP9742" s="31"/>
    </row>
    <row r="9743" spans="94:94" x14ac:dyDescent="0.15">
      <c r="CP9743" s="31"/>
    </row>
    <row r="9744" spans="94:94" x14ac:dyDescent="0.15">
      <c r="CP9744" s="31"/>
    </row>
    <row r="9745" spans="94:94" x14ac:dyDescent="0.15">
      <c r="CP9745" s="31"/>
    </row>
    <row r="9746" spans="94:94" x14ac:dyDescent="0.15">
      <c r="CP9746" s="31"/>
    </row>
    <row r="9747" spans="94:94" x14ac:dyDescent="0.15">
      <c r="CP9747" s="31"/>
    </row>
    <row r="9748" spans="94:94" x14ac:dyDescent="0.15">
      <c r="CP9748" s="31"/>
    </row>
    <row r="9749" spans="94:94" x14ac:dyDescent="0.15">
      <c r="CP9749" s="31"/>
    </row>
    <row r="9750" spans="94:94" x14ac:dyDescent="0.15">
      <c r="CP9750" s="31"/>
    </row>
    <row r="9751" spans="94:94" x14ac:dyDescent="0.15">
      <c r="CP9751" s="31"/>
    </row>
    <row r="9752" spans="94:94" x14ac:dyDescent="0.15">
      <c r="CP9752" s="31"/>
    </row>
    <row r="9753" spans="94:94" x14ac:dyDescent="0.15">
      <c r="CP9753" s="31"/>
    </row>
    <row r="9754" spans="94:94" x14ac:dyDescent="0.15">
      <c r="CP9754" s="31"/>
    </row>
    <row r="9755" spans="94:94" x14ac:dyDescent="0.15">
      <c r="CP9755" s="31"/>
    </row>
    <row r="9756" spans="94:94" x14ac:dyDescent="0.15">
      <c r="CP9756" s="31"/>
    </row>
    <row r="9757" spans="94:94" x14ac:dyDescent="0.15">
      <c r="CP9757" s="31"/>
    </row>
    <row r="9758" spans="94:94" x14ac:dyDescent="0.15">
      <c r="CP9758" s="31"/>
    </row>
    <row r="9759" spans="94:94" x14ac:dyDescent="0.15">
      <c r="CP9759" s="31"/>
    </row>
    <row r="9760" spans="94:94" x14ac:dyDescent="0.15">
      <c r="CP9760" s="31"/>
    </row>
    <row r="9761" spans="94:94" x14ac:dyDescent="0.15">
      <c r="CP9761" s="31"/>
    </row>
    <row r="9762" spans="94:94" x14ac:dyDescent="0.15">
      <c r="CP9762" s="31"/>
    </row>
    <row r="9763" spans="94:94" x14ac:dyDescent="0.15">
      <c r="CP9763" s="31"/>
    </row>
    <row r="9764" spans="94:94" x14ac:dyDescent="0.15">
      <c r="CP9764" s="31"/>
    </row>
    <row r="9765" spans="94:94" x14ac:dyDescent="0.15">
      <c r="CP9765" s="31"/>
    </row>
    <row r="9766" spans="94:94" x14ac:dyDescent="0.15">
      <c r="CP9766" s="31"/>
    </row>
    <row r="9767" spans="94:94" x14ac:dyDescent="0.15">
      <c r="CP9767" s="31"/>
    </row>
    <row r="9768" spans="94:94" x14ac:dyDescent="0.15">
      <c r="CP9768" s="31"/>
    </row>
    <row r="9769" spans="94:94" x14ac:dyDescent="0.15">
      <c r="CP9769" s="31"/>
    </row>
    <row r="9770" spans="94:94" x14ac:dyDescent="0.15">
      <c r="CP9770" s="31"/>
    </row>
    <row r="9771" spans="94:94" x14ac:dyDescent="0.15">
      <c r="CP9771" s="31"/>
    </row>
    <row r="9772" spans="94:94" x14ac:dyDescent="0.15">
      <c r="CP9772" s="31"/>
    </row>
    <row r="9773" spans="94:94" x14ac:dyDescent="0.15">
      <c r="CP9773" s="31"/>
    </row>
    <row r="9774" spans="94:94" x14ac:dyDescent="0.15">
      <c r="CP9774" s="31"/>
    </row>
    <row r="9775" spans="94:94" x14ac:dyDescent="0.15">
      <c r="CP9775" s="31"/>
    </row>
    <row r="9776" spans="94:94" x14ac:dyDescent="0.15">
      <c r="CP9776" s="31"/>
    </row>
    <row r="9777" spans="94:94" x14ac:dyDescent="0.15">
      <c r="CP9777" s="31"/>
    </row>
    <row r="9778" spans="94:94" x14ac:dyDescent="0.15">
      <c r="CP9778" s="31"/>
    </row>
    <row r="9779" spans="94:94" x14ac:dyDescent="0.15">
      <c r="CP9779" s="31"/>
    </row>
    <row r="9780" spans="94:94" x14ac:dyDescent="0.15">
      <c r="CP9780" s="31"/>
    </row>
    <row r="9781" spans="94:94" x14ac:dyDescent="0.15">
      <c r="CP9781" s="31"/>
    </row>
    <row r="9782" spans="94:94" x14ac:dyDescent="0.15">
      <c r="CP9782" s="31"/>
    </row>
    <row r="9783" spans="94:94" x14ac:dyDescent="0.15">
      <c r="CP9783" s="31"/>
    </row>
    <row r="9784" spans="94:94" x14ac:dyDescent="0.15">
      <c r="CP9784" s="31"/>
    </row>
    <row r="9785" spans="94:94" x14ac:dyDescent="0.15">
      <c r="CP9785" s="31"/>
    </row>
    <row r="9786" spans="94:94" x14ac:dyDescent="0.15">
      <c r="CP9786" s="31"/>
    </row>
    <row r="9787" spans="94:94" x14ac:dyDescent="0.15">
      <c r="CP9787" s="31"/>
    </row>
    <row r="9788" spans="94:94" x14ac:dyDescent="0.15">
      <c r="CP9788" s="31"/>
    </row>
    <row r="9789" spans="94:94" x14ac:dyDescent="0.15">
      <c r="CP9789" s="31"/>
    </row>
    <row r="9790" spans="94:94" x14ac:dyDescent="0.15">
      <c r="CP9790" s="31"/>
    </row>
    <row r="9791" spans="94:94" x14ac:dyDescent="0.15">
      <c r="CP9791" s="31"/>
    </row>
    <row r="9792" spans="94:94" x14ac:dyDescent="0.15">
      <c r="CP9792" s="31"/>
    </row>
    <row r="9793" spans="94:94" x14ac:dyDescent="0.15">
      <c r="CP9793" s="31"/>
    </row>
    <row r="9794" spans="94:94" x14ac:dyDescent="0.15">
      <c r="CP9794" s="31"/>
    </row>
    <row r="9795" spans="94:94" x14ac:dyDescent="0.15">
      <c r="CP9795" s="31"/>
    </row>
    <row r="9796" spans="94:94" x14ac:dyDescent="0.15">
      <c r="CP9796" s="31"/>
    </row>
    <row r="9797" spans="94:94" x14ac:dyDescent="0.15">
      <c r="CP9797" s="31"/>
    </row>
    <row r="9798" spans="94:94" x14ac:dyDescent="0.15">
      <c r="CP9798" s="31"/>
    </row>
    <row r="9799" spans="94:94" x14ac:dyDescent="0.15">
      <c r="CP9799" s="31"/>
    </row>
    <row r="9800" spans="94:94" x14ac:dyDescent="0.15">
      <c r="CP9800" s="31"/>
    </row>
    <row r="9801" spans="94:94" x14ac:dyDescent="0.15">
      <c r="CP9801" s="31"/>
    </row>
    <row r="9802" spans="94:94" x14ac:dyDescent="0.15">
      <c r="CP9802" s="31"/>
    </row>
    <row r="9803" spans="94:94" x14ac:dyDescent="0.15">
      <c r="CP9803" s="31"/>
    </row>
    <row r="9804" spans="94:94" x14ac:dyDescent="0.15">
      <c r="CP9804" s="31"/>
    </row>
    <row r="9805" spans="94:94" x14ac:dyDescent="0.15">
      <c r="CP9805" s="31"/>
    </row>
    <row r="9806" spans="94:94" x14ac:dyDescent="0.15">
      <c r="CP9806" s="31"/>
    </row>
    <row r="9807" spans="94:94" x14ac:dyDescent="0.15">
      <c r="CP9807" s="31"/>
    </row>
    <row r="9808" spans="94:94" x14ac:dyDescent="0.15">
      <c r="CP9808" s="31"/>
    </row>
    <row r="9809" spans="94:94" x14ac:dyDescent="0.15">
      <c r="CP9809" s="31"/>
    </row>
    <row r="9810" spans="94:94" x14ac:dyDescent="0.15">
      <c r="CP9810" s="31"/>
    </row>
    <row r="9811" spans="94:94" x14ac:dyDescent="0.15">
      <c r="CP9811" s="31"/>
    </row>
    <row r="9812" spans="94:94" x14ac:dyDescent="0.15">
      <c r="CP9812" s="31"/>
    </row>
    <row r="9813" spans="94:94" x14ac:dyDescent="0.15">
      <c r="CP9813" s="31"/>
    </row>
    <row r="9814" spans="94:94" x14ac:dyDescent="0.15">
      <c r="CP9814" s="31"/>
    </row>
    <row r="9815" spans="94:94" x14ac:dyDescent="0.15">
      <c r="CP9815" s="31"/>
    </row>
    <row r="9816" spans="94:94" x14ac:dyDescent="0.15">
      <c r="CP9816" s="31"/>
    </row>
    <row r="9817" spans="94:94" x14ac:dyDescent="0.15">
      <c r="CP9817" s="31"/>
    </row>
    <row r="9818" spans="94:94" x14ac:dyDescent="0.15">
      <c r="CP9818" s="31"/>
    </row>
    <row r="9819" spans="94:94" x14ac:dyDescent="0.15">
      <c r="CP9819" s="31"/>
    </row>
    <row r="9820" spans="94:94" x14ac:dyDescent="0.15">
      <c r="CP9820" s="31"/>
    </row>
    <row r="9821" spans="94:94" x14ac:dyDescent="0.15">
      <c r="CP9821" s="31"/>
    </row>
    <row r="9822" spans="94:94" x14ac:dyDescent="0.15">
      <c r="CP9822" s="31"/>
    </row>
    <row r="9823" spans="94:94" x14ac:dyDescent="0.15">
      <c r="CP9823" s="31"/>
    </row>
    <row r="9824" spans="94:94" x14ac:dyDescent="0.15">
      <c r="CP9824" s="31"/>
    </row>
    <row r="9825" spans="94:94" x14ac:dyDescent="0.15">
      <c r="CP9825" s="31"/>
    </row>
    <row r="9826" spans="94:94" x14ac:dyDescent="0.15">
      <c r="CP9826" s="31"/>
    </row>
    <row r="9827" spans="94:94" x14ac:dyDescent="0.15">
      <c r="CP9827" s="31"/>
    </row>
    <row r="9828" spans="94:94" x14ac:dyDescent="0.15">
      <c r="CP9828" s="31"/>
    </row>
    <row r="9829" spans="94:94" x14ac:dyDescent="0.15">
      <c r="CP9829" s="31"/>
    </row>
    <row r="9830" spans="94:94" x14ac:dyDescent="0.15">
      <c r="CP9830" s="31"/>
    </row>
    <row r="9831" spans="94:94" x14ac:dyDescent="0.15">
      <c r="CP9831" s="31"/>
    </row>
    <row r="9832" spans="94:94" x14ac:dyDescent="0.15">
      <c r="CP9832" s="31"/>
    </row>
    <row r="9833" spans="94:94" x14ac:dyDescent="0.15">
      <c r="CP9833" s="31"/>
    </row>
    <row r="9834" spans="94:94" x14ac:dyDescent="0.15">
      <c r="CP9834" s="31"/>
    </row>
    <row r="9835" spans="94:94" x14ac:dyDescent="0.15">
      <c r="CP9835" s="31"/>
    </row>
    <row r="9836" spans="94:94" x14ac:dyDescent="0.15">
      <c r="CP9836" s="31"/>
    </row>
    <row r="9837" spans="94:94" x14ac:dyDescent="0.15">
      <c r="CP9837" s="31"/>
    </row>
    <row r="9838" spans="94:94" x14ac:dyDescent="0.15">
      <c r="CP9838" s="31"/>
    </row>
    <row r="9839" spans="94:94" x14ac:dyDescent="0.15">
      <c r="CP9839" s="31"/>
    </row>
    <row r="9840" spans="94:94" x14ac:dyDescent="0.15">
      <c r="CP9840" s="31"/>
    </row>
    <row r="9841" spans="94:94" x14ac:dyDescent="0.15">
      <c r="CP9841" s="31"/>
    </row>
    <row r="9842" spans="94:94" x14ac:dyDescent="0.15">
      <c r="CP9842" s="31"/>
    </row>
    <row r="9843" spans="94:94" x14ac:dyDescent="0.15">
      <c r="CP9843" s="31"/>
    </row>
    <row r="9844" spans="94:94" x14ac:dyDescent="0.15">
      <c r="CP9844" s="31"/>
    </row>
    <row r="9845" spans="94:94" x14ac:dyDescent="0.15">
      <c r="CP9845" s="31"/>
    </row>
    <row r="9846" spans="94:94" x14ac:dyDescent="0.15">
      <c r="CP9846" s="31"/>
    </row>
    <row r="9847" spans="94:94" x14ac:dyDescent="0.15">
      <c r="CP9847" s="31"/>
    </row>
    <row r="9848" spans="94:94" x14ac:dyDescent="0.15">
      <c r="CP9848" s="31"/>
    </row>
    <row r="9849" spans="94:94" x14ac:dyDescent="0.15">
      <c r="CP9849" s="31"/>
    </row>
    <row r="9850" spans="94:94" x14ac:dyDescent="0.15">
      <c r="CP9850" s="31"/>
    </row>
    <row r="9851" spans="94:94" x14ac:dyDescent="0.15">
      <c r="CP9851" s="31"/>
    </row>
    <row r="9852" spans="94:94" x14ac:dyDescent="0.15">
      <c r="CP9852" s="31"/>
    </row>
    <row r="9853" spans="94:94" x14ac:dyDescent="0.15">
      <c r="CP9853" s="31"/>
    </row>
    <row r="9854" spans="94:94" x14ac:dyDescent="0.15">
      <c r="CP9854" s="31"/>
    </row>
    <row r="9855" spans="94:94" x14ac:dyDescent="0.15">
      <c r="CP9855" s="31"/>
    </row>
    <row r="9856" spans="94:94" x14ac:dyDescent="0.15">
      <c r="CP9856" s="31"/>
    </row>
    <row r="9857" spans="94:94" x14ac:dyDescent="0.15">
      <c r="CP9857" s="31"/>
    </row>
    <row r="9858" spans="94:94" x14ac:dyDescent="0.15">
      <c r="CP9858" s="31"/>
    </row>
    <row r="9859" spans="94:94" x14ac:dyDescent="0.15">
      <c r="CP9859" s="31"/>
    </row>
    <row r="9860" spans="94:94" x14ac:dyDescent="0.15">
      <c r="CP9860" s="31"/>
    </row>
    <row r="9861" spans="94:94" x14ac:dyDescent="0.15">
      <c r="CP9861" s="31"/>
    </row>
    <row r="9862" spans="94:94" x14ac:dyDescent="0.15">
      <c r="CP9862" s="31"/>
    </row>
    <row r="9863" spans="94:94" x14ac:dyDescent="0.15">
      <c r="CP9863" s="31"/>
    </row>
    <row r="9864" spans="94:94" x14ac:dyDescent="0.15">
      <c r="CP9864" s="31"/>
    </row>
    <row r="9865" spans="94:94" x14ac:dyDescent="0.15">
      <c r="CP9865" s="31"/>
    </row>
    <row r="9866" spans="94:94" x14ac:dyDescent="0.15">
      <c r="CP9866" s="31"/>
    </row>
    <row r="9867" spans="94:94" x14ac:dyDescent="0.15">
      <c r="CP9867" s="31"/>
    </row>
    <row r="9868" spans="94:94" x14ac:dyDescent="0.15">
      <c r="CP9868" s="31"/>
    </row>
    <row r="9869" spans="94:94" x14ac:dyDescent="0.15">
      <c r="CP9869" s="31"/>
    </row>
    <row r="9870" spans="94:94" x14ac:dyDescent="0.15">
      <c r="CP9870" s="31"/>
    </row>
    <row r="9871" spans="94:94" x14ac:dyDescent="0.15">
      <c r="CP9871" s="31"/>
    </row>
    <row r="9872" spans="94:94" x14ac:dyDescent="0.15">
      <c r="CP9872" s="31"/>
    </row>
    <row r="9873" spans="94:94" x14ac:dyDescent="0.15">
      <c r="CP9873" s="31"/>
    </row>
    <row r="9874" spans="94:94" x14ac:dyDescent="0.15">
      <c r="CP9874" s="31"/>
    </row>
    <row r="9875" spans="94:94" x14ac:dyDescent="0.15">
      <c r="CP9875" s="31"/>
    </row>
    <row r="9876" spans="94:94" x14ac:dyDescent="0.15">
      <c r="CP9876" s="31"/>
    </row>
    <row r="9877" spans="94:94" x14ac:dyDescent="0.15">
      <c r="CP9877" s="31"/>
    </row>
    <row r="9878" spans="94:94" x14ac:dyDescent="0.15">
      <c r="CP9878" s="31"/>
    </row>
    <row r="9879" spans="94:94" x14ac:dyDescent="0.15">
      <c r="CP9879" s="31"/>
    </row>
    <row r="9880" spans="94:94" x14ac:dyDescent="0.15">
      <c r="CP9880" s="31"/>
    </row>
    <row r="9881" spans="94:94" x14ac:dyDescent="0.15">
      <c r="CP9881" s="31"/>
    </row>
    <row r="9882" spans="94:94" x14ac:dyDescent="0.15">
      <c r="CP9882" s="31"/>
    </row>
    <row r="9883" spans="94:94" x14ac:dyDescent="0.15">
      <c r="CP9883" s="31"/>
    </row>
    <row r="9884" spans="94:94" x14ac:dyDescent="0.15">
      <c r="CP9884" s="31"/>
    </row>
    <row r="9885" spans="94:94" x14ac:dyDescent="0.15">
      <c r="CP9885" s="31"/>
    </row>
    <row r="9886" spans="94:94" x14ac:dyDescent="0.15">
      <c r="CP9886" s="31"/>
    </row>
    <row r="9887" spans="94:94" x14ac:dyDescent="0.15">
      <c r="CP9887" s="31"/>
    </row>
    <row r="9888" spans="94:94" x14ac:dyDescent="0.15">
      <c r="CP9888" s="31"/>
    </row>
    <row r="9889" spans="94:94" x14ac:dyDescent="0.15">
      <c r="CP9889" s="31"/>
    </row>
    <row r="9890" spans="94:94" x14ac:dyDescent="0.15">
      <c r="CP9890" s="31"/>
    </row>
    <row r="9891" spans="94:94" x14ac:dyDescent="0.15">
      <c r="CP9891" s="31"/>
    </row>
    <row r="9892" spans="94:94" x14ac:dyDescent="0.15">
      <c r="CP9892" s="31"/>
    </row>
    <row r="9893" spans="94:94" x14ac:dyDescent="0.15">
      <c r="CP9893" s="31"/>
    </row>
    <row r="9894" spans="94:94" x14ac:dyDescent="0.15">
      <c r="CP9894" s="31"/>
    </row>
    <row r="9895" spans="94:94" x14ac:dyDescent="0.15">
      <c r="CP9895" s="31"/>
    </row>
    <row r="9896" spans="94:94" x14ac:dyDescent="0.15">
      <c r="CP9896" s="31"/>
    </row>
    <row r="9897" spans="94:94" x14ac:dyDescent="0.15">
      <c r="CP9897" s="31"/>
    </row>
    <row r="9898" spans="94:94" x14ac:dyDescent="0.15">
      <c r="CP9898" s="31"/>
    </row>
    <row r="9899" spans="94:94" x14ac:dyDescent="0.15">
      <c r="CP9899" s="31"/>
    </row>
    <row r="9900" spans="94:94" x14ac:dyDescent="0.15">
      <c r="CP9900" s="31"/>
    </row>
    <row r="9901" spans="94:94" x14ac:dyDescent="0.15">
      <c r="CP9901" s="31"/>
    </row>
    <row r="9902" spans="94:94" x14ac:dyDescent="0.15">
      <c r="CP9902" s="31"/>
    </row>
    <row r="9903" spans="94:94" x14ac:dyDescent="0.15">
      <c r="CP9903" s="31"/>
    </row>
    <row r="9904" spans="94:94" x14ac:dyDescent="0.15">
      <c r="CP9904" s="31"/>
    </row>
    <row r="9905" spans="94:94" x14ac:dyDescent="0.15">
      <c r="CP9905" s="31"/>
    </row>
    <row r="9906" spans="94:94" x14ac:dyDescent="0.15">
      <c r="CP9906" s="31"/>
    </row>
    <row r="9907" spans="94:94" x14ac:dyDescent="0.15">
      <c r="CP9907" s="31"/>
    </row>
    <row r="9908" spans="94:94" x14ac:dyDescent="0.15">
      <c r="CP9908" s="31"/>
    </row>
    <row r="9909" spans="94:94" x14ac:dyDescent="0.15">
      <c r="CP9909" s="31"/>
    </row>
    <row r="9910" spans="94:94" x14ac:dyDescent="0.15">
      <c r="CP9910" s="31"/>
    </row>
    <row r="9911" spans="94:94" x14ac:dyDescent="0.15">
      <c r="CP9911" s="31"/>
    </row>
    <row r="9912" spans="94:94" x14ac:dyDescent="0.15">
      <c r="CP9912" s="31"/>
    </row>
    <row r="9913" spans="94:94" x14ac:dyDescent="0.15">
      <c r="CP9913" s="31"/>
    </row>
    <row r="9914" spans="94:94" x14ac:dyDescent="0.15">
      <c r="CP9914" s="31"/>
    </row>
    <row r="9915" spans="94:94" x14ac:dyDescent="0.15">
      <c r="CP9915" s="31"/>
    </row>
    <row r="9916" spans="94:94" x14ac:dyDescent="0.15">
      <c r="CP9916" s="31"/>
    </row>
    <row r="9917" spans="94:94" x14ac:dyDescent="0.15">
      <c r="CP9917" s="31"/>
    </row>
    <row r="9918" spans="94:94" x14ac:dyDescent="0.15">
      <c r="CP9918" s="31"/>
    </row>
    <row r="9919" spans="94:94" x14ac:dyDescent="0.15">
      <c r="CP9919" s="31"/>
    </row>
    <row r="9920" spans="94:94" x14ac:dyDescent="0.15">
      <c r="CP9920" s="31"/>
    </row>
    <row r="9921" spans="94:94" x14ac:dyDescent="0.15">
      <c r="CP9921" s="31"/>
    </row>
    <row r="9922" spans="94:94" x14ac:dyDescent="0.15">
      <c r="CP9922" s="31"/>
    </row>
    <row r="9923" spans="94:94" x14ac:dyDescent="0.15">
      <c r="CP9923" s="31"/>
    </row>
    <row r="9924" spans="94:94" x14ac:dyDescent="0.15">
      <c r="CP9924" s="31"/>
    </row>
    <row r="9925" spans="94:94" x14ac:dyDescent="0.15">
      <c r="CP9925" s="31"/>
    </row>
    <row r="9926" spans="94:94" x14ac:dyDescent="0.15">
      <c r="CP9926" s="31"/>
    </row>
    <row r="9927" spans="94:94" x14ac:dyDescent="0.15">
      <c r="CP9927" s="31"/>
    </row>
    <row r="9928" spans="94:94" x14ac:dyDescent="0.15">
      <c r="CP9928" s="31"/>
    </row>
    <row r="9929" spans="94:94" x14ac:dyDescent="0.15">
      <c r="CP9929" s="31"/>
    </row>
    <row r="9930" spans="94:94" x14ac:dyDescent="0.15">
      <c r="CP9930" s="31"/>
    </row>
    <row r="9931" spans="94:94" x14ac:dyDescent="0.15">
      <c r="CP9931" s="31"/>
    </row>
    <row r="9932" spans="94:94" x14ac:dyDescent="0.15">
      <c r="CP9932" s="31"/>
    </row>
    <row r="9933" spans="94:94" x14ac:dyDescent="0.15">
      <c r="CP9933" s="31"/>
    </row>
    <row r="9934" spans="94:94" x14ac:dyDescent="0.15">
      <c r="CP9934" s="31"/>
    </row>
    <row r="9935" spans="94:94" x14ac:dyDescent="0.15">
      <c r="CP9935" s="31"/>
    </row>
    <row r="9936" spans="94:94" x14ac:dyDescent="0.15">
      <c r="CP9936" s="31"/>
    </row>
    <row r="9937" spans="94:94" x14ac:dyDescent="0.15">
      <c r="CP9937" s="31"/>
    </row>
    <row r="9938" spans="94:94" x14ac:dyDescent="0.15">
      <c r="CP9938" s="31"/>
    </row>
    <row r="9939" spans="94:94" x14ac:dyDescent="0.15">
      <c r="CP9939" s="31"/>
    </row>
    <row r="9940" spans="94:94" x14ac:dyDescent="0.15">
      <c r="CP9940" s="31"/>
    </row>
    <row r="9941" spans="94:94" x14ac:dyDescent="0.15">
      <c r="CP9941" s="31"/>
    </row>
    <row r="9942" spans="94:94" x14ac:dyDescent="0.15">
      <c r="CP9942" s="31"/>
    </row>
    <row r="9943" spans="94:94" x14ac:dyDescent="0.15">
      <c r="CP9943" s="31"/>
    </row>
    <row r="9944" spans="94:94" x14ac:dyDescent="0.15">
      <c r="CP9944" s="31"/>
    </row>
    <row r="9945" spans="94:94" x14ac:dyDescent="0.15">
      <c r="CP9945" s="31"/>
    </row>
    <row r="9946" spans="94:94" x14ac:dyDescent="0.15">
      <c r="CP9946" s="31"/>
    </row>
    <row r="9947" spans="94:94" x14ac:dyDescent="0.15">
      <c r="CP9947" s="31"/>
    </row>
    <row r="9948" spans="94:94" x14ac:dyDescent="0.15">
      <c r="CP9948" s="31"/>
    </row>
    <row r="9949" spans="94:94" x14ac:dyDescent="0.15">
      <c r="CP9949" s="31"/>
    </row>
    <row r="9950" spans="94:94" x14ac:dyDescent="0.15">
      <c r="CP9950" s="31"/>
    </row>
    <row r="9951" spans="94:94" x14ac:dyDescent="0.15">
      <c r="CP9951" s="31"/>
    </row>
    <row r="9952" spans="94:94" x14ac:dyDescent="0.15">
      <c r="CP9952" s="31"/>
    </row>
    <row r="9953" spans="94:94" x14ac:dyDescent="0.15">
      <c r="CP9953" s="31"/>
    </row>
    <row r="9954" spans="94:94" x14ac:dyDescent="0.15">
      <c r="CP9954" s="31"/>
    </row>
    <row r="9955" spans="94:94" x14ac:dyDescent="0.15">
      <c r="CP9955" s="31"/>
    </row>
    <row r="9956" spans="94:94" x14ac:dyDescent="0.15">
      <c r="CP9956" s="31"/>
    </row>
    <row r="9957" spans="94:94" x14ac:dyDescent="0.15">
      <c r="CP9957" s="31"/>
    </row>
    <row r="9958" spans="94:94" x14ac:dyDescent="0.15">
      <c r="CP9958" s="31"/>
    </row>
    <row r="9959" spans="94:94" x14ac:dyDescent="0.15">
      <c r="CP9959" s="31"/>
    </row>
    <row r="9960" spans="94:94" x14ac:dyDescent="0.15">
      <c r="CP9960" s="31"/>
    </row>
    <row r="9961" spans="94:94" x14ac:dyDescent="0.15">
      <c r="CP9961" s="31"/>
    </row>
    <row r="9962" spans="94:94" x14ac:dyDescent="0.15">
      <c r="CP9962" s="31"/>
    </row>
    <row r="9963" spans="94:94" x14ac:dyDescent="0.15">
      <c r="CP9963" s="31"/>
    </row>
    <row r="9964" spans="94:94" x14ac:dyDescent="0.15">
      <c r="CP9964" s="31"/>
    </row>
    <row r="9965" spans="94:94" x14ac:dyDescent="0.15">
      <c r="CP9965" s="31"/>
    </row>
    <row r="9966" spans="94:94" x14ac:dyDescent="0.15">
      <c r="CP9966" s="31"/>
    </row>
    <row r="9967" spans="94:94" x14ac:dyDescent="0.15">
      <c r="CP9967" s="31"/>
    </row>
    <row r="9968" spans="94:94" x14ac:dyDescent="0.15">
      <c r="CP9968" s="31"/>
    </row>
    <row r="9969" spans="94:94" x14ac:dyDescent="0.15">
      <c r="CP9969" s="31"/>
    </row>
    <row r="9970" spans="94:94" x14ac:dyDescent="0.15">
      <c r="CP9970" s="31"/>
    </row>
    <row r="9971" spans="94:94" x14ac:dyDescent="0.15">
      <c r="CP9971" s="31"/>
    </row>
    <row r="9972" spans="94:94" x14ac:dyDescent="0.15">
      <c r="CP9972" s="31"/>
    </row>
    <row r="9973" spans="94:94" x14ac:dyDescent="0.15">
      <c r="CP9973" s="31"/>
    </row>
    <row r="9974" spans="94:94" x14ac:dyDescent="0.15">
      <c r="CP9974" s="31"/>
    </row>
    <row r="9975" spans="94:94" x14ac:dyDescent="0.15">
      <c r="CP9975" s="31"/>
    </row>
    <row r="9976" spans="94:94" x14ac:dyDescent="0.15">
      <c r="CP9976" s="31"/>
    </row>
    <row r="9977" spans="94:94" x14ac:dyDescent="0.15">
      <c r="CP9977" s="31"/>
    </row>
    <row r="9978" spans="94:94" x14ac:dyDescent="0.15">
      <c r="CP9978" s="31"/>
    </row>
    <row r="9979" spans="94:94" x14ac:dyDescent="0.15">
      <c r="CP9979" s="31"/>
    </row>
    <row r="9980" spans="94:94" x14ac:dyDescent="0.15">
      <c r="CP9980" s="31"/>
    </row>
    <row r="9981" spans="94:94" x14ac:dyDescent="0.15">
      <c r="CP9981" s="31"/>
    </row>
    <row r="9982" spans="94:94" x14ac:dyDescent="0.15">
      <c r="CP9982" s="31"/>
    </row>
    <row r="9983" spans="94:94" x14ac:dyDescent="0.15">
      <c r="CP9983" s="31"/>
    </row>
    <row r="9984" spans="94:94" x14ac:dyDescent="0.15">
      <c r="CP9984" s="31"/>
    </row>
    <row r="9985" spans="94:94" x14ac:dyDescent="0.15">
      <c r="CP9985" s="31"/>
    </row>
    <row r="9986" spans="94:94" x14ac:dyDescent="0.15">
      <c r="CP9986" s="31"/>
    </row>
    <row r="9987" spans="94:94" x14ac:dyDescent="0.15">
      <c r="CP9987" s="31"/>
    </row>
    <row r="9988" spans="94:94" x14ac:dyDescent="0.15">
      <c r="CP9988" s="31"/>
    </row>
    <row r="9989" spans="94:94" x14ac:dyDescent="0.15">
      <c r="CP9989" s="31"/>
    </row>
    <row r="9990" spans="94:94" x14ac:dyDescent="0.15">
      <c r="CP9990" s="31"/>
    </row>
    <row r="9991" spans="94:94" x14ac:dyDescent="0.15">
      <c r="CP9991" s="31"/>
    </row>
    <row r="9992" spans="94:94" x14ac:dyDescent="0.15">
      <c r="CP9992" s="31"/>
    </row>
    <row r="9993" spans="94:94" x14ac:dyDescent="0.15">
      <c r="CP9993" s="31"/>
    </row>
    <row r="9994" spans="94:94" x14ac:dyDescent="0.15">
      <c r="CP9994" s="31"/>
    </row>
    <row r="9995" spans="94:94" x14ac:dyDescent="0.15">
      <c r="CP9995" s="31"/>
    </row>
    <row r="9996" spans="94:94" x14ac:dyDescent="0.15">
      <c r="CP9996" s="31"/>
    </row>
    <row r="9997" spans="94:94" x14ac:dyDescent="0.15">
      <c r="CP9997" s="31"/>
    </row>
    <row r="9998" spans="94:94" x14ac:dyDescent="0.15">
      <c r="CP9998" s="31"/>
    </row>
    <row r="9999" spans="94:94" x14ac:dyDescent="0.15">
      <c r="CP9999" s="31"/>
    </row>
    <row r="10000" spans="94:94" x14ac:dyDescent="0.15">
      <c r="CP10000" s="31"/>
    </row>
    <row r="10001" spans="94:94" x14ac:dyDescent="0.15">
      <c r="CP10001" s="31"/>
    </row>
    <row r="10002" spans="94:94" x14ac:dyDescent="0.15">
      <c r="CP10002" s="31"/>
    </row>
    <row r="10003" spans="94:94" x14ac:dyDescent="0.15">
      <c r="CP10003" s="31"/>
    </row>
    <row r="10004" spans="94:94" x14ac:dyDescent="0.15">
      <c r="CP10004" s="31"/>
    </row>
    <row r="10005" spans="94:94" x14ac:dyDescent="0.15">
      <c r="CP10005" s="31"/>
    </row>
    <row r="10006" spans="94:94" x14ac:dyDescent="0.15">
      <c r="CP10006" s="31"/>
    </row>
    <row r="10007" spans="94:94" x14ac:dyDescent="0.15">
      <c r="CP10007" s="31"/>
    </row>
    <row r="10008" spans="94:94" x14ac:dyDescent="0.15">
      <c r="CP10008" s="31"/>
    </row>
    <row r="10009" spans="94:94" x14ac:dyDescent="0.15">
      <c r="CP10009" s="31"/>
    </row>
    <row r="10010" spans="94:94" x14ac:dyDescent="0.15">
      <c r="CP10010" s="31"/>
    </row>
  </sheetData>
  <sortState ref="CC5:CD32">
    <sortCondition ref="CC5:CC32"/>
  </sortState>
  <mergeCells count="10">
    <mergeCell ref="AE5:AE6"/>
    <mergeCell ref="AF5:AF6"/>
    <mergeCell ref="AG5:AG6"/>
    <mergeCell ref="K3:AG3"/>
    <mergeCell ref="Q5:R5"/>
    <mergeCell ref="U5:V5"/>
    <mergeCell ref="W5:Y5"/>
    <mergeCell ref="Z5:AB5"/>
    <mergeCell ref="AD5:AD6"/>
    <mergeCell ref="S5:T5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28</xdr:col>
                    <xdr:colOff>0</xdr:colOff>
                    <xdr:row>6</xdr:row>
                    <xdr:rowOff>19050</xdr:rowOff>
                  </from>
                  <to>
                    <xdr:col>28</xdr:col>
                    <xdr:colOff>733425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Drop Down 13">
              <controlPr defaultSize="0" autoLine="0" autoPict="0">
                <anchor moveWithCells="1">
                  <from>
                    <xdr:col>28</xdr:col>
                    <xdr:colOff>0</xdr:colOff>
                    <xdr:row>5</xdr:row>
                    <xdr:rowOff>9525</xdr:rowOff>
                  </from>
                  <to>
                    <xdr:col>28</xdr:col>
                    <xdr:colOff>733425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11</xdr:col>
                    <xdr:colOff>19050</xdr:colOff>
                    <xdr:row>4</xdr:row>
                    <xdr:rowOff>0</xdr:rowOff>
                  </from>
                  <to>
                    <xdr:col>12</xdr:col>
                    <xdr:colOff>9525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12</xdr:col>
                    <xdr:colOff>19050</xdr:colOff>
                    <xdr:row>4</xdr:row>
                    <xdr:rowOff>0</xdr:rowOff>
                  </from>
                  <to>
                    <xdr:col>15</xdr:col>
                    <xdr:colOff>9525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25</xdr:col>
                    <xdr:colOff>295275</xdr:colOff>
                    <xdr:row>24</xdr:row>
                    <xdr:rowOff>85725</xdr:rowOff>
                  </from>
                  <to>
                    <xdr:col>26</xdr:col>
                    <xdr:colOff>190500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9" name="Drop Down 22">
              <controlPr defaultSize="0" autoLine="0" autoPict="0">
                <anchor moveWithCells="1">
                  <from>
                    <xdr:col>28</xdr:col>
                    <xdr:colOff>0</xdr:colOff>
                    <xdr:row>7</xdr:row>
                    <xdr:rowOff>19050</xdr:rowOff>
                  </from>
                  <to>
                    <xdr:col>28</xdr:col>
                    <xdr:colOff>733425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0" name="Drop Down 23">
              <controlPr defaultSize="0" autoLine="0" autoPict="0">
                <anchor moveWithCells="1">
                  <from>
                    <xdr:col>28</xdr:col>
                    <xdr:colOff>0</xdr:colOff>
                    <xdr:row>8</xdr:row>
                    <xdr:rowOff>19050</xdr:rowOff>
                  </from>
                  <to>
                    <xdr:col>28</xdr:col>
                    <xdr:colOff>733425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1" name="Drop Down 24">
              <controlPr defaultSize="0" autoLine="0" autoPict="0">
                <anchor moveWithCells="1">
                  <from>
                    <xdr:col>28</xdr:col>
                    <xdr:colOff>0</xdr:colOff>
                    <xdr:row>9</xdr:row>
                    <xdr:rowOff>19050</xdr:rowOff>
                  </from>
                  <to>
                    <xdr:col>28</xdr:col>
                    <xdr:colOff>733425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2" name="Drop Down 25">
              <controlPr defaultSize="0" autoLine="0" autoPict="0">
                <anchor moveWithCells="1">
                  <from>
                    <xdr:col>28</xdr:col>
                    <xdr:colOff>0</xdr:colOff>
                    <xdr:row>10</xdr:row>
                    <xdr:rowOff>19050</xdr:rowOff>
                  </from>
                  <to>
                    <xdr:col>28</xdr:col>
                    <xdr:colOff>733425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3" name="Drop Down 26">
              <controlPr defaultSize="0" autoLine="0" autoPict="0">
                <anchor moveWithCells="1">
                  <from>
                    <xdr:col>28</xdr:col>
                    <xdr:colOff>0</xdr:colOff>
                    <xdr:row>11</xdr:row>
                    <xdr:rowOff>19050</xdr:rowOff>
                  </from>
                  <to>
                    <xdr:col>28</xdr:col>
                    <xdr:colOff>733425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28</xdr:col>
                    <xdr:colOff>0</xdr:colOff>
                    <xdr:row>12</xdr:row>
                    <xdr:rowOff>19050</xdr:rowOff>
                  </from>
                  <to>
                    <xdr:col>28</xdr:col>
                    <xdr:colOff>733425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28</xdr:col>
                    <xdr:colOff>0</xdr:colOff>
                    <xdr:row>13</xdr:row>
                    <xdr:rowOff>19050</xdr:rowOff>
                  </from>
                  <to>
                    <xdr:col>28</xdr:col>
                    <xdr:colOff>733425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28</xdr:col>
                    <xdr:colOff>0</xdr:colOff>
                    <xdr:row>14</xdr:row>
                    <xdr:rowOff>19050</xdr:rowOff>
                  </from>
                  <to>
                    <xdr:col>28</xdr:col>
                    <xdr:colOff>733425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7" name="Drop Down 30">
              <controlPr defaultSize="0" autoLine="0" autoPict="0">
                <anchor moveWithCells="1">
                  <from>
                    <xdr:col>28</xdr:col>
                    <xdr:colOff>0</xdr:colOff>
                    <xdr:row>15</xdr:row>
                    <xdr:rowOff>19050</xdr:rowOff>
                  </from>
                  <to>
                    <xdr:col>28</xdr:col>
                    <xdr:colOff>733425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8" name="Drop Down 31">
              <controlPr defaultSize="0" autoLine="0" autoPict="0">
                <anchor moveWithCells="1">
                  <from>
                    <xdr:col>28</xdr:col>
                    <xdr:colOff>0</xdr:colOff>
                    <xdr:row>16</xdr:row>
                    <xdr:rowOff>19050</xdr:rowOff>
                  </from>
                  <to>
                    <xdr:col>28</xdr:col>
                    <xdr:colOff>733425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9" name="Drop Down 32">
              <controlPr defaultSize="0" autoLine="0" autoPict="0">
                <anchor moveWithCells="1">
                  <from>
                    <xdr:col>28</xdr:col>
                    <xdr:colOff>0</xdr:colOff>
                    <xdr:row>17</xdr:row>
                    <xdr:rowOff>19050</xdr:rowOff>
                  </from>
                  <to>
                    <xdr:col>28</xdr:col>
                    <xdr:colOff>733425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0" name="Drop Down 33">
              <controlPr defaultSize="0" autoLine="0" autoPict="0">
                <anchor moveWithCells="1">
                  <from>
                    <xdr:col>28</xdr:col>
                    <xdr:colOff>0</xdr:colOff>
                    <xdr:row>18</xdr:row>
                    <xdr:rowOff>19050</xdr:rowOff>
                  </from>
                  <to>
                    <xdr:col>28</xdr:col>
                    <xdr:colOff>733425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" name="Drop Down 34">
              <controlPr defaultSize="0" autoLine="0" autoPict="0">
                <anchor moveWithCells="1">
                  <from>
                    <xdr:col>28</xdr:col>
                    <xdr:colOff>0</xdr:colOff>
                    <xdr:row>19</xdr:row>
                    <xdr:rowOff>19050</xdr:rowOff>
                  </from>
                  <to>
                    <xdr:col>28</xdr:col>
                    <xdr:colOff>733425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2" name="Drop Down 35">
              <controlPr defaultSize="0" autoLine="0" autoPict="0">
                <anchor moveWithCells="1">
                  <from>
                    <xdr:col>28</xdr:col>
                    <xdr:colOff>0</xdr:colOff>
                    <xdr:row>20</xdr:row>
                    <xdr:rowOff>19050</xdr:rowOff>
                  </from>
                  <to>
                    <xdr:col>28</xdr:col>
                    <xdr:colOff>733425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3" name="Drop Down 36">
              <controlPr defaultSize="0" autoLine="0" autoPict="0">
                <anchor moveWithCells="1">
                  <from>
                    <xdr:col>28</xdr:col>
                    <xdr:colOff>0</xdr:colOff>
                    <xdr:row>21</xdr:row>
                    <xdr:rowOff>19050</xdr:rowOff>
                  </from>
                  <to>
                    <xdr:col>28</xdr:col>
                    <xdr:colOff>733425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4" name="Drop Down 37">
              <controlPr defaultSize="0" autoLine="0" autoPict="0">
                <anchor moveWithCells="1">
                  <from>
                    <xdr:col>28</xdr:col>
                    <xdr:colOff>0</xdr:colOff>
                    <xdr:row>22</xdr:row>
                    <xdr:rowOff>19050</xdr:rowOff>
                  </from>
                  <to>
                    <xdr:col>28</xdr:col>
                    <xdr:colOff>733425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5" name="Drop Down 38">
              <controlPr defaultSize="0" autoLine="0" autoPict="0">
                <anchor moveWithCells="1">
                  <from>
                    <xdr:col>28</xdr:col>
                    <xdr:colOff>0</xdr:colOff>
                    <xdr:row>23</xdr:row>
                    <xdr:rowOff>19050</xdr:rowOff>
                  </from>
                  <to>
                    <xdr:col>28</xdr:col>
                    <xdr:colOff>733425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6" name="Drop Down 39">
              <controlPr defaultSize="0" autoLine="0" autoPict="0">
                <anchor moveWithCells="1">
                  <from>
                    <xdr:col>23</xdr:col>
                    <xdr:colOff>180975</xdr:colOff>
                    <xdr:row>24</xdr:row>
                    <xdr:rowOff>95250</xdr:rowOff>
                  </from>
                  <to>
                    <xdr:col>24</xdr:col>
                    <xdr:colOff>190500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7" name="Drop Down 40">
              <controlPr defaultSize="0" autoLine="0" autoPict="0">
                <anchor moveWithCells="1">
                  <from>
                    <xdr:col>24</xdr:col>
                    <xdr:colOff>247650</xdr:colOff>
                    <xdr:row>24</xdr:row>
                    <xdr:rowOff>95250</xdr:rowOff>
                  </from>
                  <to>
                    <xdr:col>25</xdr:col>
                    <xdr:colOff>238125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8" name="Check Box 41">
              <controlPr defaultSize="0" autoFill="0" autoLine="0" autoPict="0">
                <anchor moveWithCells="1">
                  <from>
                    <xdr:col>29</xdr:col>
                    <xdr:colOff>552450</xdr:colOff>
                    <xdr:row>24</xdr:row>
                    <xdr:rowOff>57150</xdr:rowOff>
                  </from>
                  <to>
                    <xdr:col>30</xdr:col>
                    <xdr:colOff>476250</xdr:colOff>
                    <xdr:row>25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9" name="Check Box 42">
              <controlPr defaultSize="0" autoFill="0" autoLine="0" autoPict="0">
                <anchor moveWithCells="1">
                  <from>
                    <xdr:col>30</xdr:col>
                    <xdr:colOff>352425</xdr:colOff>
                    <xdr:row>24</xdr:row>
                    <xdr:rowOff>57150</xdr:rowOff>
                  </from>
                  <to>
                    <xdr:col>31</xdr:col>
                    <xdr:colOff>276225</xdr:colOff>
                    <xdr:row>25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0" name="Check Box 43">
              <controlPr defaultSize="0" autoFill="0" autoLine="0" autoPict="0">
                <anchor moveWithCells="1">
                  <from>
                    <xdr:col>31</xdr:col>
                    <xdr:colOff>190500</xdr:colOff>
                    <xdr:row>24</xdr:row>
                    <xdr:rowOff>47625</xdr:rowOff>
                  </from>
                  <to>
                    <xdr:col>32</xdr:col>
                    <xdr:colOff>114300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1" name="Check Box 44">
              <controlPr defaultSize="0" autoFill="0" autoLine="0" autoPict="0">
                <anchor moveWithCells="1">
                  <from>
                    <xdr:col>32</xdr:col>
                    <xdr:colOff>19050</xdr:colOff>
                    <xdr:row>24</xdr:row>
                    <xdr:rowOff>57150</xdr:rowOff>
                  </from>
                  <to>
                    <xdr:col>32</xdr:col>
                    <xdr:colOff>619125</xdr:colOff>
                    <xdr:row>25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FX Forward &amp; SwapPoint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2016-09-27T06:16:52Z</dcterms:created>
  <dcterms:modified xsi:type="dcterms:W3CDTF">2019-09-18T01:46:43Z</dcterms:modified>
</cp:coreProperties>
</file>