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\0승환\"/>
    </mc:Choice>
  </mc:AlternateContent>
  <xr:revisionPtr revIDLastSave="0" documentId="13_ncr:1_{9889A8F6-84AF-4FEF-B7D2-5E941AFDEB7B}" xr6:coauthVersionLast="47" xr6:coauthVersionMax="47" xr10:uidLastSave="{00000000-0000-0000-0000-000000000000}"/>
  <bookViews>
    <workbookView xWindow="660" yWindow="750" windowWidth="27615" windowHeight="13995" xr2:uid="{E156009F-A972-4730-B80D-A26CE08EEC63}"/>
  </bookViews>
  <sheets>
    <sheet name="cal" sheetId="1" r:id="rId1"/>
    <sheet name="option" sheetId="2" state="hidden" r:id="rId2"/>
    <sheet name="history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6" i="3" l="1"/>
  <c r="U106" i="3"/>
  <c r="T106" i="3"/>
  <c r="V105" i="3"/>
  <c r="U105" i="3"/>
  <c r="T105" i="3"/>
  <c r="V104" i="3"/>
  <c r="U104" i="3"/>
  <c r="T104" i="3"/>
  <c r="V103" i="3"/>
  <c r="U103" i="3"/>
  <c r="T103" i="3"/>
  <c r="V102" i="3"/>
  <c r="U102" i="3"/>
  <c r="T102" i="3"/>
  <c r="V101" i="3"/>
  <c r="U101" i="3"/>
  <c r="T101" i="3"/>
  <c r="V100" i="3"/>
  <c r="U100" i="3"/>
  <c r="T100" i="3"/>
  <c r="V99" i="3"/>
  <c r="U99" i="3"/>
  <c r="T99" i="3"/>
  <c r="V98" i="3"/>
  <c r="U98" i="3"/>
  <c r="T98" i="3"/>
  <c r="V97" i="3"/>
  <c r="U97" i="3"/>
  <c r="T97" i="3"/>
  <c r="V96" i="3"/>
  <c r="U96" i="3"/>
  <c r="T96" i="3"/>
  <c r="V95" i="3"/>
  <c r="U95" i="3"/>
  <c r="T95" i="3"/>
  <c r="V94" i="3"/>
  <c r="U94" i="3"/>
  <c r="T94" i="3"/>
  <c r="V93" i="3"/>
  <c r="U93" i="3"/>
  <c r="T93" i="3"/>
  <c r="V92" i="3"/>
  <c r="U92" i="3"/>
  <c r="T92" i="3"/>
  <c r="V91" i="3"/>
  <c r="U91" i="3"/>
  <c r="T91" i="3"/>
  <c r="V90" i="3"/>
  <c r="U90" i="3"/>
  <c r="T90" i="3"/>
  <c r="V89" i="3"/>
  <c r="U89" i="3"/>
  <c r="T89" i="3"/>
  <c r="V88" i="3"/>
  <c r="U88" i="3"/>
  <c r="T88" i="3"/>
  <c r="V87" i="3"/>
  <c r="U87" i="3"/>
  <c r="T87" i="3"/>
  <c r="V86" i="3"/>
  <c r="U86" i="3"/>
  <c r="T86" i="3"/>
  <c r="V85" i="3"/>
  <c r="U85" i="3"/>
  <c r="T85" i="3"/>
  <c r="V84" i="3"/>
  <c r="U84" i="3"/>
  <c r="T84" i="3"/>
  <c r="V83" i="3"/>
  <c r="U83" i="3"/>
  <c r="T83" i="3"/>
  <c r="V82" i="3"/>
  <c r="U82" i="3"/>
  <c r="T82" i="3"/>
  <c r="V81" i="3"/>
  <c r="U81" i="3"/>
  <c r="T81" i="3"/>
  <c r="V80" i="3"/>
  <c r="U80" i="3"/>
  <c r="T80" i="3"/>
  <c r="V79" i="3"/>
  <c r="U79" i="3"/>
  <c r="T79" i="3"/>
  <c r="V78" i="3"/>
  <c r="U78" i="3"/>
  <c r="T78" i="3"/>
  <c r="V77" i="3"/>
  <c r="U77" i="3"/>
  <c r="T77" i="3"/>
  <c r="V76" i="3"/>
  <c r="U76" i="3"/>
  <c r="T76" i="3"/>
  <c r="V75" i="3"/>
  <c r="U75" i="3"/>
  <c r="T75" i="3"/>
  <c r="V74" i="3"/>
  <c r="U74" i="3"/>
  <c r="T74" i="3"/>
  <c r="V73" i="3"/>
  <c r="U73" i="3"/>
  <c r="T73" i="3"/>
  <c r="V72" i="3"/>
  <c r="U72" i="3"/>
  <c r="T72" i="3"/>
  <c r="V71" i="3"/>
  <c r="U71" i="3"/>
  <c r="T71" i="3"/>
  <c r="V70" i="3"/>
  <c r="U70" i="3"/>
  <c r="T70" i="3"/>
  <c r="V69" i="3"/>
  <c r="U69" i="3"/>
  <c r="T69" i="3"/>
  <c r="V68" i="3"/>
  <c r="U68" i="3"/>
  <c r="T68" i="3"/>
  <c r="V67" i="3"/>
  <c r="U67" i="3"/>
  <c r="T67" i="3"/>
  <c r="V66" i="3"/>
  <c r="U66" i="3"/>
  <c r="T66" i="3"/>
  <c r="V65" i="3"/>
  <c r="U65" i="3"/>
  <c r="T65" i="3"/>
  <c r="V64" i="3"/>
  <c r="U64" i="3"/>
  <c r="T64" i="3"/>
  <c r="V63" i="3"/>
  <c r="U63" i="3"/>
  <c r="T63" i="3"/>
  <c r="V62" i="3"/>
  <c r="U62" i="3"/>
  <c r="T62" i="3"/>
  <c r="V61" i="3"/>
  <c r="U61" i="3"/>
  <c r="T61" i="3"/>
  <c r="V60" i="3"/>
  <c r="U60" i="3"/>
  <c r="T60" i="3"/>
  <c r="V59" i="3"/>
  <c r="U59" i="3"/>
  <c r="T59" i="3"/>
  <c r="V58" i="3"/>
  <c r="U58" i="3"/>
  <c r="T58" i="3"/>
  <c r="V57" i="3"/>
  <c r="U57" i="3"/>
  <c r="T57" i="3"/>
  <c r="V56" i="3"/>
  <c r="U56" i="3"/>
  <c r="T56" i="3"/>
  <c r="V55" i="3"/>
  <c r="U55" i="3"/>
  <c r="T55" i="3"/>
  <c r="V54" i="3"/>
  <c r="U54" i="3"/>
  <c r="T54" i="3"/>
  <c r="V53" i="3"/>
  <c r="U53" i="3"/>
  <c r="T53" i="3"/>
  <c r="V52" i="3"/>
  <c r="U52" i="3"/>
  <c r="T52" i="3"/>
  <c r="V51" i="3"/>
  <c r="U51" i="3"/>
  <c r="T51" i="3"/>
  <c r="V50" i="3"/>
  <c r="U50" i="3"/>
  <c r="T50" i="3"/>
  <c r="V49" i="3"/>
  <c r="U49" i="3"/>
  <c r="T49" i="3"/>
  <c r="V48" i="3"/>
  <c r="U48" i="3"/>
  <c r="T48" i="3"/>
  <c r="V47" i="3"/>
  <c r="U47" i="3"/>
  <c r="T47" i="3"/>
  <c r="V46" i="3"/>
  <c r="U46" i="3"/>
  <c r="T46" i="3"/>
  <c r="V45" i="3"/>
  <c r="U45" i="3"/>
  <c r="T45" i="3"/>
  <c r="V44" i="3"/>
  <c r="U44" i="3"/>
  <c r="T44" i="3"/>
  <c r="V43" i="3"/>
  <c r="U43" i="3"/>
  <c r="T43" i="3"/>
  <c r="V42" i="3"/>
  <c r="U42" i="3"/>
  <c r="T42" i="3"/>
  <c r="V41" i="3"/>
  <c r="U41" i="3"/>
  <c r="T41" i="3"/>
  <c r="V40" i="3"/>
  <c r="U40" i="3"/>
  <c r="T40" i="3"/>
  <c r="V39" i="3"/>
  <c r="U39" i="3"/>
  <c r="T39" i="3"/>
  <c r="V38" i="3"/>
  <c r="U38" i="3"/>
  <c r="T38" i="3"/>
  <c r="V37" i="3"/>
  <c r="U37" i="3"/>
  <c r="T37" i="3"/>
  <c r="V36" i="3"/>
  <c r="U36" i="3"/>
  <c r="T36" i="3"/>
  <c r="V35" i="3"/>
  <c r="U35" i="3"/>
  <c r="T35" i="3"/>
  <c r="V34" i="3"/>
  <c r="U34" i="3"/>
  <c r="T34" i="3"/>
  <c r="V33" i="3"/>
  <c r="U33" i="3"/>
  <c r="T33" i="3"/>
  <c r="V32" i="3"/>
  <c r="U32" i="3"/>
  <c r="T32" i="3"/>
  <c r="V31" i="3"/>
  <c r="U31" i="3"/>
  <c r="T31" i="3"/>
  <c r="V30" i="3"/>
  <c r="U30" i="3"/>
  <c r="T30" i="3"/>
  <c r="V29" i="3"/>
  <c r="U29" i="3"/>
  <c r="T29" i="3"/>
  <c r="V28" i="3"/>
  <c r="U28" i="3"/>
  <c r="T28" i="3"/>
  <c r="V27" i="3"/>
  <c r="U27" i="3"/>
  <c r="T27" i="3"/>
  <c r="V26" i="3"/>
  <c r="U26" i="3"/>
  <c r="T26" i="3"/>
  <c r="V25" i="3"/>
  <c r="U25" i="3"/>
  <c r="T25" i="3"/>
  <c r="V24" i="3"/>
  <c r="U24" i="3"/>
  <c r="T24" i="3"/>
  <c r="V23" i="3"/>
  <c r="U23" i="3"/>
  <c r="T23" i="3"/>
  <c r="V22" i="3"/>
  <c r="U22" i="3"/>
  <c r="T22" i="3"/>
  <c r="V21" i="3"/>
  <c r="U21" i="3"/>
  <c r="T21" i="3"/>
  <c r="V20" i="3"/>
  <c r="U20" i="3"/>
  <c r="T20" i="3"/>
  <c r="V19" i="3"/>
  <c r="U19" i="3"/>
  <c r="T19" i="3"/>
  <c r="V18" i="3"/>
  <c r="U18" i="3"/>
  <c r="T18" i="3"/>
  <c r="V17" i="3"/>
  <c r="U17" i="3"/>
  <c r="T17" i="3"/>
  <c r="V16" i="3"/>
  <c r="U16" i="3"/>
  <c r="T16" i="3"/>
  <c r="V15" i="3"/>
  <c r="U15" i="3"/>
  <c r="T15" i="3"/>
  <c r="V14" i="3"/>
  <c r="U14" i="3"/>
  <c r="T14" i="3"/>
  <c r="V13" i="3"/>
  <c r="U13" i="3"/>
  <c r="T13" i="3"/>
  <c r="V12" i="3"/>
  <c r="U12" i="3"/>
  <c r="T12" i="3"/>
  <c r="V11" i="3"/>
  <c r="U11" i="3"/>
  <c r="T11" i="3"/>
  <c r="V10" i="3"/>
  <c r="U10" i="3"/>
  <c r="T10" i="3"/>
  <c r="V9" i="3"/>
  <c r="U9" i="3"/>
  <c r="T9" i="3"/>
  <c r="V8" i="3"/>
  <c r="U8" i="3"/>
  <c r="T8" i="3"/>
  <c r="T7" i="3"/>
  <c r="V7" i="3"/>
  <c r="U7" i="3"/>
  <c r="W5" i="3"/>
  <c r="AI3" i="3"/>
  <c r="AI6" i="3"/>
  <c r="AJ6" i="3"/>
  <c r="AB106" i="3"/>
  <c r="K106" i="3" s="1"/>
  <c r="AB105" i="3"/>
  <c r="K105" i="3" s="1"/>
  <c r="AB104" i="3"/>
  <c r="K104" i="3" s="1"/>
  <c r="AB103" i="3"/>
  <c r="K103" i="3" s="1"/>
  <c r="AB102" i="3"/>
  <c r="K102" i="3" s="1"/>
  <c r="AB101" i="3"/>
  <c r="K101" i="3" s="1"/>
  <c r="AB100" i="3"/>
  <c r="K100" i="3" s="1"/>
  <c r="AB99" i="3"/>
  <c r="K99" i="3" s="1"/>
  <c r="AB98" i="3"/>
  <c r="K98" i="3" s="1"/>
  <c r="AB97" i="3"/>
  <c r="K97" i="3" s="1"/>
  <c r="AB96" i="3"/>
  <c r="K96" i="3" s="1"/>
  <c r="AB95" i="3"/>
  <c r="K95" i="3" s="1"/>
  <c r="AB94" i="3"/>
  <c r="K94" i="3" s="1"/>
  <c r="AB93" i="3"/>
  <c r="K93" i="3" s="1"/>
  <c r="AB92" i="3"/>
  <c r="K92" i="3" s="1"/>
  <c r="AB91" i="3"/>
  <c r="K91" i="3" s="1"/>
  <c r="AB90" i="3"/>
  <c r="K90" i="3" s="1"/>
  <c r="AB89" i="3"/>
  <c r="K89" i="3" s="1"/>
  <c r="AB88" i="3"/>
  <c r="K88" i="3" s="1"/>
  <c r="AB87" i="3"/>
  <c r="K87" i="3" s="1"/>
  <c r="AB86" i="3"/>
  <c r="K86" i="3" s="1"/>
  <c r="AB85" i="3"/>
  <c r="K85" i="3" s="1"/>
  <c r="AB84" i="3"/>
  <c r="K84" i="3" s="1"/>
  <c r="AB83" i="3"/>
  <c r="K83" i="3" s="1"/>
  <c r="AB82" i="3"/>
  <c r="K82" i="3" s="1"/>
  <c r="AB81" i="3"/>
  <c r="K81" i="3" s="1"/>
  <c r="AB80" i="3"/>
  <c r="K80" i="3" s="1"/>
  <c r="AB79" i="3"/>
  <c r="K79" i="3" s="1"/>
  <c r="AB78" i="3"/>
  <c r="K78" i="3" s="1"/>
  <c r="AB77" i="3"/>
  <c r="K77" i="3" s="1"/>
  <c r="AB76" i="3"/>
  <c r="K76" i="3" s="1"/>
  <c r="AB75" i="3"/>
  <c r="K75" i="3" s="1"/>
  <c r="AB74" i="3"/>
  <c r="K74" i="3" s="1"/>
  <c r="AB73" i="3"/>
  <c r="K73" i="3" s="1"/>
  <c r="AB72" i="3"/>
  <c r="K72" i="3" s="1"/>
  <c r="AB71" i="3"/>
  <c r="K71" i="3" s="1"/>
  <c r="AB70" i="3"/>
  <c r="K70" i="3" s="1"/>
  <c r="AB69" i="3"/>
  <c r="K69" i="3" s="1"/>
  <c r="AB68" i="3"/>
  <c r="K68" i="3" s="1"/>
  <c r="AB67" i="3"/>
  <c r="K67" i="3" s="1"/>
  <c r="AB66" i="3"/>
  <c r="K66" i="3" s="1"/>
  <c r="AB65" i="3"/>
  <c r="K65" i="3" s="1"/>
  <c r="AB64" i="3"/>
  <c r="K64" i="3" s="1"/>
  <c r="AB63" i="3"/>
  <c r="K63" i="3" s="1"/>
  <c r="AB62" i="3"/>
  <c r="K62" i="3" s="1"/>
  <c r="AB61" i="3"/>
  <c r="K61" i="3" s="1"/>
  <c r="AB60" i="3"/>
  <c r="K60" i="3" s="1"/>
  <c r="AB59" i="3"/>
  <c r="K59" i="3" s="1"/>
  <c r="AB58" i="3"/>
  <c r="K58" i="3" s="1"/>
  <c r="AB57" i="3"/>
  <c r="K57" i="3" s="1"/>
  <c r="AB56" i="3"/>
  <c r="K56" i="3" s="1"/>
  <c r="AB55" i="3"/>
  <c r="K55" i="3" s="1"/>
  <c r="AB54" i="3"/>
  <c r="K54" i="3" s="1"/>
  <c r="AB53" i="3"/>
  <c r="K53" i="3" s="1"/>
  <c r="AB52" i="3"/>
  <c r="K52" i="3" s="1"/>
  <c r="AB51" i="3"/>
  <c r="K51" i="3" s="1"/>
  <c r="AB50" i="3"/>
  <c r="K50" i="3" s="1"/>
  <c r="AB49" i="3"/>
  <c r="K49" i="3" s="1"/>
  <c r="AB48" i="3"/>
  <c r="K48" i="3" s="1"/>
  <c r="AB47" i="3"/>
  <c r="K47" i="3" s="1"/>
  <c r="AB46" i="3"/>
  <c r="K46" i="3" s="1"/>
  <c r="AB45" i="3"/>
  <c r="K45" i="3" s="1"/>
  <c r="AB44" i="3"/>
  <c r="K44" i="3" s="1"/>
  <c r="AB43" i="3"/>
  <c r="K43" i="3" s="1"/>
  <c r="AB42" i="3"/>
  <c r="K42" i="3" s="1"/>
  <c r="AB41" i="3"/>
  <c r="K41" i="3" s="1"/>
  <c r="AB40" i="3"/>
  <c r="K40" i="3" s="1"/>
  <c r="AB39" i="3"/>
  <c r="K39" i="3" s="1"/>
  <c r="AB38" i="3"/>
  <c r="K38" i="3" s="1"/>
  <c r="AB37" i="3"/>
  <c r="K37" i="3" s="1"/>
  <c r="AB36" i="3"/>
  <c r="K36" i="3" s="1"/>
  <c r="AB35" i="3"/>
  <c r="K35" i="3" s="1"/>
  <c r="AB34" i="3"/>
  <c r="K34" i="3" s="1"/>
  <c r="AB33" i="3"/>
  <c r="K33" i="3" s="1"/>
  <c r="AB32" i="3"/>
  <c r="K32" i="3" s="1"/>
  <c r="AB31" i="3"/>
  <c r="K31" i="3" s="1"/>
  <c r="AB30" i="3"/>
  <c r="K30" i="3" s="1"/>
  <c r="AB29" i="3"/>
  <c r="K29" i="3" s="1"/>
  <c r="AB28" i="3"/>
  <c r="K28" i="3" s="1"/>
  <c r="AB27" i="3"/>
  <c r="K27" i="3" s="1"/>
  <c r="AB26" i="3"/>
  <c r="K26" i="3" s="1"/>
  <c r="AB25" i="3"/>
  <c r="K25" i="3" s="1"/>
  <c r="AB24" i="3"/>
  <c r="K24" i="3" s="1"/>
  <c r="AB23" i="3"/>
  <c r="K23" i="3" s="1"/>
  <c r="AB22" i="3"/>
  <c r="K22" i="3" s="1"/>
  <c r="AB21" i="3"/>
  <c r="K21" i="3" s="1"/>
  <c r="AB20" i="3"/>
  <c r="K20" i="3" s="1"/>
  <c r="AB19" i="3"/>
  <c r="K19" i="3" s="1"/>
  <c r="AB18" i="3"/>
  <c r="K18" i="3" s="1"/>
  <c r="AB17" i="3"/>
  <c r="K17" i="3" s="1"/>
  <c r="AB16" i="3"/>
  <c r="K16" i="3" s="1"/>
  <c r="AB15" i="3"/>
  <c r="K15" i="3" s="1"/>
  <c r="AB14" i="3"/>
  <c r="K14" i="3" s="1"/>
  <c r="AB13" i="3"/>
  <c r="K13" i="3" s="1"/>
  <c r="AB12" i="3"/>
  <c r="K12" i="3" s="1"/>
  <c r="AB11" i="3"/>
  <c r="K11" i="3" s="1"/>
  <c r="AB10" i="3"/>
  <c r="K10" i="3" s="1"/>
  <c r="AB9" i="3"/>
  <c r="K9" i="3" s="1"/>
  <c r="AB8" i="3"/>
  <c r="K8" i="3" s="1"/>
  <c r="AB7" i="3"/>
  <c r="K7" i="3" s="1"/>
  <c r="R106" i="3"/>
  <c r="Q106" i="3"/>
  <c r="P106" i="3"/>
  <c r="S106" i="3" s="1"/>
  <c r="R105" i="3"/>
  <c r="Q105" i="3"/>
  <c r="P105" i="3"/>
  <c r="S105" i="3" s="1"/>
  <c r="R104" i="3"/>
  <c r="Q104" i="3"/>
  <c r="P104" i="3"/>
  <c r="S104" i="3" s="1"/>
  <c r="R103" i="3"/>
  <c r="Q103" i="3"/>
  <c r="P103" i="3"/>
  <c r="S103" i="3" s="1"/>
  <c r="R102" i="3"/>
  <c r="Q102" i="3"/>
  <c r="P102" i="3"/>
  <c r="S102" i="3" s="1"/>
  <c r="R101" i="3"/>
  <c r="Q101" i="3"/>
  <c r="P101" i="3"/>
  <c r="S101" i="3" s="1"/>
  <c r="R100" i="3"/>
  <c r="Q100" i="3"/>
  <c r="P100" i="3"/>
  <c r="S100" i="3" s="1"/>
  <c r="R99" i="3"/>
  <c r="Q99" i="3"/>
  <c r="P99" i="3"/>
  <c r="S99" i="3" s="1"/>
  <c r="R98" i="3"/>
  <c r="Q98" i="3"/>
  <c r="P98" i="3"/>
  <c r="S98" i="3" s="1"/>
  <c r="R97" i="3"/>
  <c r="Q97" i="3"/>
  <c r="P97" i="3"/>
  <c r="S97" i="3" s="1"/>
  <c r="R96" i="3"/>
  <c r="Q96" i="3"/>
  <c r="P96" i="3"/>
  <c r="S96" i="3" s="1"/>
  <c r="R95" i="3"/>
  <c r="Q95" i="3"/>
  <c r="P95" i="3"/>
  <c r="S95" i="3" s="1"/>
  <c r="R94" i="3"/>
  <c r="Q94" i="3"/>
  <c r="P94" i="3"/>
  <c r="S94" i="3" s="1"/>
  <c r="R93" i="3"/>
  <c r="Q93" i="3"/>
  <c r="P93" i="3"/>
  <c r="S93" i="3" s="1"/>
  <c r="R92" i="3"/>
  <c r="Q92" i="3"/>
  <c r="P92" i="3"/>
  <c r="S92" i="3" s="1"/>
  <c r="R91" i="3"/>
  <c r="Q91" i="3"/>
  <c r="P91" i="3"/>
  <c r="S91" i="3" s="1"/>
  <c r="R90" i="3"/>
  <c r="Q90" i="3"/>
  <c r="P90" i="3"/>
  <c r="S90" i="3" s="1"/>
  <c r="R89" i="3"/>
  <c r="Q89" i="3"/>
  <c r="P89" i="3"/>
  <c r="S89" i="3" s="1"/>
  <c r="R88" i="3"/>
  <c r="Q88" i="3"/>
  <c r="P88" i="3"/>
  <c r="S88" i="3" s="1"/>
  <c r="R87" i="3"/>
  <c r="Q87" i="3"/>
  <c r="P87" i="3"/>
  <c r="S87" i="3" s="1"/>
  <c r="R86" i="3"/>
  <c r="Q86" i="3"/>
  <c r="P86" i="3"/>
  <c r="S86" i="3" s="1"/>
  <c r="R85" i="3"/>
  <c r="Q85" i="3"/>
  <c r="P85" i="3"/>
  <c r="S85" i="3" s="1"/>
  <c r="R84" i="3"/>
  <c r="Q84" i="3"/>
  <c r="P84" i="3"/>
  <c r="S84" i="3" s="1"/>
  <c r="R83" i="3"/>
  <c r="Q83" i="3"/>
  <c r="P83" i="3"/>
  <c r="S83" i="3" s="1"/>
  <c r="R82" i="3"/>
  <c r="Q82" i="3"/>
  <c r="P82" i="3"/>
  <c r="S82" i="3" s="1"/>
  <c r="R81" i="3"/>
  <c r="Q81" i="3"/>
  <c r="P81" i="3"/>
  <c r="S81" i="3" s="1"/>
  <c r="R80" i="3"/>
  <c r="Q80" i="3"/>
  <c r="P80" i="3"/>
  <c r="S80" i="3" s="1"/>
  <c r="R79" i="3"/>
  <c r="Q79" i="3"/>
  <c r="P79" i="3"/>
  <c r="S79" i="3" s="1"/>
  <c r="R78" i="3"/>
  <c r="Q78" i="3"/>
  <c r="P78" i="3"/>
  <c r="S78" i="3" s="1"/>
  <c r="R77" i="3"/>
  <c r="Q77" i="3"/>
  <c r="P77" i="3"/>
  <c r="S77" i="3" s="1"/>
  <c r="R76" i="3"/>
  <c r="Q76" i="3"/>
  <c r="P76" i="3"/>
  <c r="S76" i="3" s="1"/>
  <c r="R75" i="3"/>
  <c r="Q75" i="3"/>
  <c r="P75" i="3"/>
  <c r="S75" i="3" s="1"/>
  <c r="R74" i="3"/>
  <c r="Q74" i="3"/>
  <c r="P74" i="3"/>
  <c r="S74" i="3" s="1"/>
  <c r="R73" i="3"/>
  <c r="Q73" i="3"/>
  <c r="P73" i="3"/>
  <c r="S73" i="3" s="1"/>
  <c r="R72" i="3"/>
  <c r="Q72" i="3"/>
  <c r="P72" i="3"/>
  <c r="S72" i="3" s="1"/>
  <c r="R71" i="3"/>
  <c r="Q71" i="3"/>
  <c r="P71" i="3"/>
  <c r="S71" i="3" s="1"/>
  <c r="R70" i="3"/>
  <c r="Q70" i="3"/>
  <c r="P70" i="3"/>
  <c r="S70" i="3" s="1"/>
  <c r="R69" i="3"/>
  <c r="Q69" i="3"/>
  <c r="P69" i="3"/>
  <c r="S69" i="3" s="1"/>
  <c r="R68" i="3"/>
  <c r="Q68" i="3"/>
  <c r="P68" i="3"/>
  <c r="S68" i="3" s="1"/>
  <c r="R67" i="3"/>
  <c r="Q67" i="3"/>
  <c r="P67" i="3"/>
  <c r="S67" i="3" s="1"/>
  <c r="R66" i="3"/>
  <c r="Q66" i="3"/>
  <c r="P66" i="3"/>
  <c r="S66" i="3" s="1"/>
  <c r="R65" i="3"/>
  <c r="Q65" i="3"/>
  <c r="P65" i="3"/>
  <c r="S65" i="3" s="1"/>
  <c r="R64" i="3"/>
  <c r="Q64" i="3"/>
  <c r="P64" i="3"/>
  <c r="S64" i="3" s="1"/>
  <c r="R63" i="3"/>
  <c r="Q63" i="3"/>
  <c r="P63" i="3"/>
  <c r="S63" i="3" s="1"/>
  <c r="R62" i="3"/>
  <c r="Q62" i="3"/>
  <c r="P62" i="3"/>
  <c r="S62" i="3" s="1"/>
  <c r="R61" i="3"/>
  <c r="Q61" i="3"/>
  <c r="P61" i="3"/>
  <c r="S61" i="3" s="1"/>
  <c r="R60" i="3"/>
  <c r="Q60" i="3"/>
  <c r="P60" i="3"/>
  <c r="S60" i="3" s="1"/>
  <c r="R59" i="3"/>
  <c r="Q59" i="3"/>
  <c r="P59" i="3"/>
  <c r="S59" i="3" s="1"/>
  <c r="R58" i="3"/>
  <c r="Q58" i="3"/>
  <c r="P58" i="3"/>
  <c r="S58" i="3" s="1"/>
  <c r="R57" i="3"/>
  <c r="Q57" i="3"/>
  <c r="P57" i="3"/>
  <c r="S57" i="3" s="1"/>
  <c r="R56" i="3"/>
  <c r="Q56" i="3"/>
  <c r="P56" i="3"/>
  <c r="S56" i="3" s="1"/>
  <c r="R55" i="3"/>
  <c r="Q55" i="3"/>
  <c r="P55" i="3"/>
  <c r="S55" i="3" s="1"/>
  <c r="R54" i="3"/>
  <c r="Q54" i="3"/>
  <c r="P54" i="3"/>
  <c r="S54" i="3" s="1"/>
  <c r="R53" i="3"/>
  <c r="Q53" i="3"/>
  <c r="P53" i="3"/>
  <c r="S53" i="3" s="1"/>
  <c r="R52" i="3"/>
  <c r="Q52" i="3"/>
  <c r="P52" i="3"/>
  <c r="S52" i="3" s="1"/>
  <c r="R51" i="3"/>
  <c r="Q51" i="3"/>
  <c r="P51" i="3"/>
  <c r="S51" i="3" s="1"/>
  <c r="R50" i="3"/>
  <c r="Q50" i="3"/>
  <c r="P50" i="3"/>
  <c r="S50" i="3" s="1"/>
  <c r="R49" i="3"/>
  <c r="Q49" i="3"/>
  <c r="P49" i="3"/>
  <c r="S49" i="3" s="1"/>
  <c r="R48" i="3"/>
  <c r="Q48" i="3"/>
  <c r="P48" i="3"/>
  <c r="S48" i="3" s="1"/>
  <c r="R47" i="3"/>
  <c r="Q47" i="3"/>
  <c r="P47" i="3"/>
  <c r="S47" i="3" s="1"/>
  <c r="R46" i="3"/>
  <c r="Q46" i="3"/>
  <c r="P46" i="3"/>
  <c r="S46" i="3" s="1"/>
  <c r="R45" i="3"/>
  <c r="Q45" i="3"/>
  <c r="P45" i="3"/>
  <c r="S45" i="3" s="1"/>
  <c r="R44" i="3"/>
  <c r="Q44" i="3"/>
  <c r="P44" i="3"/>
  <c r="S44" i="3" s="1"/>
  <c r="R43" i="3"/>
  <c r="Q43" i="3"/>
  <c r="P43" i="3"/>
  <c r="S43" i="3" s="1"/>
  <c r="R42" i="3"/>
  <c r="Q42" i="3"/>
  <c r="P42" i="3"/>
  <c r="S42" i="3" s="1"/>
  <c r="R41" i="3"/>
  <c r="Q41" i="3"/>
  <c r="P41" i="3"/>
  <c r="S41" i="3" s="1"/>
  <c r="R40" i="3"/>
  <c r="Q40" i="3"/>
  <c r="P40" i="3"/>
  <c r="S40" i="3" s="1"/>
  <c r="R39" i="3"/>
  <c r="Q39" i="3"/>
  <c r="P39" i="3"/>
  <c r="S39" i="3" s="1"/>
  <c r="R38" i="3"/>
  <c r="Q38" i="3"/>
  <c r="P38" i="3"/>
  <c r="S38" i="3" s="1"/>
  <c r="R37" i="3"/>
  <c r="Q37" i="3"/>
  <c r="P37" i="3"/>
  <c r="S37" i="3" s="1"/>
  <c r="R36" i="3"/>
  <c r="Q36" i="3"/>
  <c r="P36" i="3"/>
  <c r="S36" i="3" s="1"/>
  <c r="R35" i="3"/>
  <c r="Q35" i="3"/>
  <c r="P35" i="3"/>
  <c r="S35" i="3" s="1"/>
  <c r="R34" i="3"/>
  <c r="Q34" i="3"/>
  <c r="P34" i="3"/>
  <c r="S34" i="3" s="1"/>
  <c r="R33" i="3"/>
  <c r="Q33" i="3"/>
  <c r="P33" i="3"/>
  <c r="S33" i="3" s="1"/>
  <c r="R32" i="3"/>
  <c r="Q32" i="3"/>
  <c r="P32" i="3"/>
  <c r="S32" i="3" s="1"/>
  <c r="R31" i="3"/>
  <c r="Q31" i="3"/>
  <c r="P31" i="3"/>
  <c r="S31" i="3" s="1"/>
  <c r="R30" i="3"/>
  <c r="Q30" i="3"/>
  <c r="P30" i="3"/>
  <c r="S30" i="3" s="1"/>
  <c r="R29" i="3"/>
  <c r="Q29" i="3"/>
  <c r="P29" i="3"/>
  <c r="S29" i="3" s="1"/>
  <c r="R28" i="3"/>
  <c r="Q28" i="3"/>
  <c r="P28" i="3"/>
  <c r="S28" i="3" s="1"/>
  <c r="R27" i="3"/>
  <c r="Q27" i="3"/>
  <c r="P27" i="3"/>
  <c r="S27" i="3" s="1"/>
  <c r="R26" i="3"/>
  <c r="Q26" i="3"/>
  <c r="P26" i="3"/>
  <c r="S26" i="3" s="1"/>
  <c r="R25" i="3"/>
  <c r="Q25" i="3"/>
  <c r="P25" i="3"/>
  <c r="S25" i="3" s="1"/>
  <c r="R24" i="3"/>
  <c r="Q24" i="3"/>
  <c r="P24" i="3"/>
  <c r="S24" i="3" s="1"/>
  <c r="R23" i="3"/>
  <c r="Q23" i="3"/>
  <c r="P23" i="3"/>
  <c r="S23" i="3" s="1"/>
  <c r="R22" i="3"/>
  <c r="Q22" i="3"/>
  <c r="P22" i="3"/>
  <c r="S22" i="3" s="1"/>
  <c r="R21" i="3"/>
  <c r="Q21" i="3"/>
  <c r="P21" i="3"/>
  <c r="S21" i="3" s="1"/>
  <c r="R20" i="3"/>
  <c r="Q20" i="3"/>
  <c r="P20" i="3"/>
  <c r="S20" i="3" s="1"/>
  <c r="R19" i="3"/>
  <c r="Q19" i="3"/>
  <c r="P19" i="3"/>
  <c r="S19" i="3" s="1"/>
  <c r="R18" i="3"/>
  <c r="Q18" i="3"/>
  <c r="P18" i="3"/>
  <c r="S18" i="3" s="1"/>
  <c r="R17" i="3"/>
  <c r="Q17" i="3"/>
  <c r="P17" i="3"/>
  <c r="S17" i="3" s="1"/>
  <c r="R16" i="3"/>
  <c r="Q16" i="3"/>
  <c r="P16" i="3"/>
  <c r="S16" i="3" s="1"/>
  <c r="R15" i="3"/>
  <c r="Q15" i="3"/>
  <c r="P15" i="3"/>
  <c r="S15" i="3" s="1"/>
  <c r="R14" i="3"/>
  <c r="Q14" i="3"/>
  <c r="P14" i="3"/>
  <c r="S14" i="3" s="1"/>
  <c r="R13" i="3"/>
  <c r="Q13" i="3"/>
  <c r="P13" i="3"/>
  <c r="S13" i="3" s="1"/>
  <c r="R12" i="3"/>
  <c r="Q12" i="3"/>
  <c r="P12" i="3"/>
  <c r="S12" i="3" s="1"/>
  <c r="R11" i="3"/>
  <c r="Q11" i="3"/>
  <c r="P11" i="3"/>
  <c r="S11" i="3" s="1"/>
  <c r="R10" i="3"/>
  <c r="Q10" i="3"/>
  <c r="P10" i="3"/>
  <c r="S10" i="3" s="1"/>
  <c r="R9" i="3"/>
  <c r="Q9" i="3"/>
  <c r="P9" i="3"/>
  <c r="S9" i="3" s="1"/>
  <c r="R8" i="3"/>
  <c r="Q8" i="3"/>
  <c r="P8" i="3"/>
  <c r="S8" i="3" s="1"/>
  <c r="R7" i="3"/>
  <c r="Q7" i="3"/>
  <c r="P7" i="3"/>
  <c r="S7" i="3" s="1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H8" i="2" a="1"/>
  <c r="H8" i="2" s="1"/>
  <c r="AH4" i="3" s="1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AJ3" i="3"/>
  <c r="E16" i="1"/>
  <c r="C16" i="1" s="1"/>
  <c r="B93" i="1" s="1"/>
  <c r="G93" i="1" s="1"/>
  <c r="S14" i="1" a="1"/>
  <c r="S14" i="1" s="1"/>
  <c r="S13" i="1" a="1"/>
  <c r="S13" i="1" s="1"/>
  <c r="S12" i="1" a="1"/>
  <c r="S12" i="1" s="1"/>
  <c r="S11" i="1" a="1"/>
  <c r="S11" i="1" s="1"/>
  <c r="S10" i="1" a="1"/>
  <c r="S10" i="1" s="1"/>
  <c r="S9" i="1" a="1"/>
  <c r="S9" i="1" s="1"/>
  <c r="H2" i="2" a="1"/>
  <c r="H2" i="2" s="1"/>
  <c r="AG4" i="3" s="1"/>
  <c r="H17" i="2" a="1"/>
  <c r="G11" i="1" a="1"/>
  <c r="G14" i="1" a="1"/>
  <c r="G10" i="1" a="1"/>
  <c r="G12" i="1" a="1"/>
  <c r="D13" i="2" a="1"/>
  <c r="M8" i="1" a="1"/>
  <c r="M9" i="1" a="1"/>
  <c r="G13" i="1" a="1"/>
  <c r="C36" i="1" l="1"/>
  <c r="C96" i="1"/>
  <c r="C116" i="1"/>
  <c r="AI4" i="3" a="1"/>
  <c r="AI4" i="3" s="1"/>
  <c r="B1" i="3"/>
  <c r="C56" i="1"/>
  <c r="C76" i="1"/>
  <c r="B34" i="1"/>
  <c r="E63" i="1"/>
  <c r="B112" i="1"/>
  <c r="G112" i="1" s="1"/>
  <c r="B102" i="1"/>
  <c r="G102" i="1" s="1"/>
  <c r="B92" i="1"/>
  <c r="G92" i="1" s="1"/>
  <c r="B82" i="1"/>
  <c r="G82" i="1" s="1"/>
  <c r="B72" i="1"/>
  <c r="B62" i="1"/>
  <c r="B52" i="1"/>
  <c r="B42" i="1"/>
  <c r="B32" i="1"/>
  <c r="B22" i="1"/>
  <c r="B81" i="1"/>
  <c r="D81" i="1" s="1"/>
  <c r="E110" i="1"/>
  <c r="E90" i="1"/>
  <c r="E80" i="1"/>
  <c r="E60" i="1"/>
  <c r="E40" i="1"/>
  <c r="E20" i="1"/>
  <c r="B100" i="1"/>
  <c r="F100" i="1" s="1"/>
  <c r="B70" i="1"/>
  <c r="B40" i="1"/>
  <c r="B20" i="1"/>
  <c r="E69" i="1"/>
  <c r="B89" i="1"/>
  <c r="G89" i="1" s="1"/>
  <c r="B39" i="1"/>
  <c r="E111" i="1"/>
  <c r="E101" i="1"/>
  <c r="E91" i="1"/>
  <c r="E81" i="1"/>
  <c r="E71" i="1"/>
  <c r="E61" i="1"/>
  <c r="E51" i="1"/>
  <c r="E41" i="1"/>
  <c r="E31" i="1"/>
  <c r="E21" i="1"/>
  <c r="B91" i="1"/>
  <c r="D91" i="1" s="1"/>
  <c r="B61" i="1"/>
  <c r="B51" i="1"/>
  <c r="B31" i="1"/>
  <c r="B21" i="1"/>
  <c r="E100" i="1"/>
  <c r="E70" i="1"/>
  <c r="E30" i="1"/>
  <c r="B110" i="1"/>
  <c r="D110" i="1" s="1"/>
  <c r="B80" i="1"/>
  <c r="D80" i="1" s="1"/>
  <c r="B60" i="1"/>
  <c r="B30" i="1"/>
  <c r="E99" i="1"/>
  <c r="E79" i="1"/>
  <c r="E59" i="1"/>
  <c r="E39" i="1"/>
  <c r="E19" i="1"/>
  <c r="B99" i="1"/>
  <c r="D99" i="1" s="1"/>
  <c r="B69" i="1"/>
  <c r="B49" i="1"/>
  <c r="B19" i="1"/>
  <c r="B111" i="1"/>
  <c r="D111" i="1" s="1"/>
  <c r="B101" i="1"/>
  <c r="D101" i="1" s="1"/>
  <c r="B71" i="1"/>
  <c r="B41" i="1"/>
  <c r="E50" i="1"/>
  <c r="B90" i="1"/>
  <c r="D90" i="1" s="1"/>
  <c r="B50" i="1"/>
  <c r="E109" i="1"/>
  <c r="E89" i="1"/>
  <c r="E49" i="1"/>
  <c r="E29" i="1"/>
  <c r="B109" i="1"/>
  <c r="D109" i="1" s="1"/>
  <c r="B79" i="1"/>
  <c r="F79" i="1" s="1"/>
  <c r="B59" i="1"/>
  <c r="B29" i="1"/>
  <c r="E117" i="1"/>
  <c r="E107" i="1"/>
  <c r="E97" i="1"/>
  <c r="E87" i="1"/>
  <c r="E77" i="1"/>
  <c r="E67" i="1"/>
  <c r="E57" i="1"/>
  <c r="E47" i="1"/>
  <c r="E37" i="1"/>
  <c r="E27" i="1"/>
  <c r="B117" i="1"/>
  <c r="G117" i="1" s="1"/>
  <c r="B107" i="1"/>
  <c r="G107" i="1" s="1"/>
  <c r="B97" i="1"/>
  <c r="G97" i="1" s="1"/>
  <c r="B87" i="1"/>
  <c r="G87" i="1" s="1"/>
  <c r="B77" i="1"/>
  <c r="B67" i="1"/>
  <c r="B57" i="1"/>
  <c r="B47" i="1"/>
  <c r="B37" i="1"/>
  <c r="B27" i="1"/>
  <c r="E116" i="1"/>
  <c r="E106" i="1"/>
  <c r="E96" i="1"/>
  <c r="E86" i="1"/>
  <c r="E76" i="1"/>
  <c r="E66" i="1"/>
  <c r="E56" i="1"/>
  <c r="E46" i="1"/>
  <c r="E36" i="1"/>
  <c r="E26" i="1"/>
  <c r="B116" i="1"/>
  <c r="D116" i="1" s="1"/>
  <c r="B106" i="1"/>
  <c r="D106" i="1" s="1"/>
  <c r="B96" i="1"/>
  <c r="D96" i="1" s="1"/>
  <c r="B86" i="1"/>
  <c r="D86" i="1" s="1"/>
  <c r="B76" i="1"/>
  <c r="B66" i="1"/>
  <c r="B56" i="1"/>
  <c r="B46" i="1"/>
  <c r="B36" i="1"/>
  <c r="B26" i="1"/>
  <c r="E115" i="1"/>
  <c r="E105" i="1"/>
  <c r="E95" i="1"/>
  <c r="E85" i="1"/>
  <c r="E75" i="1"/>
  <c r="E65" i="1"/>
  <c r="E55" i="1"/>
  <c r="E45" i="1"/>
  <c r="E35" i="1"/>
  <c r="E25" i="1"/>
  <c r="B115" i="1"/>
  <c r="D115" i="1" s="1"/>
  <c r="B105" i="1"/>
  <c r="D105" i="1" s="1"/>
  <c r="B95" i="1"/>
  <c r="D95" i="1" s="1"/>
  <c r="B85" i="1"/>
  <c r="D85" i="1" s="1"/>
  <c r="B75" i="1"/>
  <c r="B65" i="1"/>
  <c r="B55" i="1"/>
  <c r="B45" i="1"/>
  <c r="B35" i="1"/>
  <c r="C37" i="1"/>
  <c r="C77" i="1"/>
  <c r="E34" i="1"/>
  <c r="C38" i="1"/>
  <c r="C78" i="1"/>
  <c r="C98" i="1"/>
  <c r="C118" i="1"/>
  <c r="B38" i="1"/>
  <c r="E64" i="1"/>
  <c r="B94" i="1"/>
  <c r="D94" i="1" s="1"/>
  <c r="E38" i="1"/>
  <c r="B68" i="1"/>
  <c r="E94" i="1"/>
  <c r="E42" i="1"/>
  <c r="E68" i="1"/>
  <c r="B98" i="1"/>
  <c r="D98" i="1" s="1"/>
  <c r="B43" i="1"/>
  <c r="E72" i="1"/>
  <c r="E98" i="1"/>
  <c r="E43" i="1"/>
  <c r="B73" i="1"/>
  <c r="E102" i="1"/>
  <c r="B44" i="1"/>
  <c r="E73" i="1"/>
  <c r="B103" i="1"/>
  <c r="D103" i="1" s="1"/>
  <c r="C24" i="1"/>
  <c r="C44" i="1"/>
  <c r="C64" i="1"/>
  <c r="C84" i="1"/>
  <c r="C104" i="1"/>
  <c r="E44" i="1"/>
  <c r="B74" i="1"/>
  <c r="E103" i="1"/>
  <c r="C25" i="1"/>
  <c r="C45" i="1"/>
  <c r="C65" i="1"/>
  <c r="C85" i="1"/>
  <c r="C105" i="1"/>
  <c r="E22" i="1"/>
  <c r="B48" i="1"/>
  <c r="E74" i="1"/>
  <c r="B104" i="1"/>
  <c r="F104" i="1" s="1"/>
  <c r="C117" i="1"/>
  <c r="B64" i="1"/>
  <c r="B23" i="1"/>
  <c r="B108" i="1"/>
  <c r="G108" i="1" s="1"/>
  <c r="C97" i="1"/>
  <c r="E93" i="1"/>
  <c r="C58" i="1"/>
  <c r="E48" i="1"/>
  <c r="B78" i="1"/>
  <c r="D78" i="1" s="1"/>
  <c r="E104" i="1"/>
  <c r="E23" i="1"/>
  <c r="E52" i="1"/>
  <c r="E78" i="1"/>
  <c r="E82" i="1"/>
  <c r="E54" i="1"/>
  <c r="B84" i="1"/>
  <c r="D84" i="1" s="1"/>
  <c r="E28" i="1"/>
  <c r="E84" i="1"/>
  <c r="B114" i="1"/>
  <c r="D114" i="1" s="1"/>
  <c r="C33" i="1"/>
  <c r="C93" i="1"/>
  <c r="C34" i="1"/>
  <c r="C54" i="1"/>
  <c r="C74" i="1"/>
  <c r="C94" i="1"/>
  <c r="C114" i="1"/>
  <c r="B33" i="1"/>
  <c r="E62" i="1"/>
  <c r="E88" i="1"/>
  <c r="B118" i="1"/>
  <c r="D118" i="1" s="1"/>
  <c r="C57" i="1"/>
  <c r="B24" i="1"/>
  <c r="B53" i="1"/>
  <c r="E108" i="1"/>
  <c r="E24" i="1"/>
  <c r="E53" i="1"/>
  <c r="B83" i="1"/>
  <c r="D83" i="1" s="1"/>
  <c r="E112" i="1"/>
  <c r="B25" i="1"/>
  <c r="B54" i="1"/>
  <c r="E83" i="1"/>
  <c r="B113" i="1"/>
  <c r="G113" i="1" s="1"/>
  <c r="B28" i="1"/>
  <c r="E113" i="1"/>
  <c r="B58" i="1"/>
  <c r="C53" i="1"/>
  <c r="C73" i="1"/>
  <c r="C113" i="1"/>
  <c r="E32" i="1"/>
  <c r="E58" i="1"/>
  <c r="B88" i="1"/>
  <c r="G88" i="1" s="1"/>
  <c r="E114" i="1"/>
  <c r="C35" i="1"/>
  <c r="C55" i="1"/>
  <c r="C75" i="1"/>
  <c r="C95" i="1"/>
  <c r="C115" i="1"/>
  <c r="E33" i="1"/>
  <c r="B63" i="1"/>
  <c r="E92" i="1"/>
  <c r="E118" i="1"/>
  <c r="C19" i="1"/>
  <c r="C39" i="1"/>
  <c r="C59" i="1"/>
  <c r="C79" i="1"/>
  <c r="C99" i="1"/>
  <c r="C20" i="1"/>
  <c r="C40" i="1"/>
  <c r="C60" i="1"/>
  <c r="C80" i="1"/>
  <c r="C100" i="1"/>
  <c r="C21" i="1"/>
  <c r="C41" i="1"/>
  <c r="C61" i="1"/>
  <c r="C81" i="1"/>
  <c r="C101" i="1"/>
  <c r="C22" i="1"/>
  <c r="C42" i="1"/>
  <c r="C62" i="1"/>
  <c r="C82" i="1"/>
  <c r="C102" i="1"/>
  <c r="C23" i="1"/>
  <c r="C43" i="1"/>
  <c r="C63" i="1"/>
  <c r="C83" i="1"/>
  <c r="C103" i="1"/>
  <c r="C66" i="1"/>
  <c r="C87" i="1"/>
  <c r="C68" i="1"/>
  <c r="C69" i="1"/>
  <c r="C70" i="1"/>
  <c r="C46" i="1"/>
  <c r="C106" i="1"/>
  <c r="C27" i="1"/>
  <c r="C47" i="1"/>
  <c r="C107" i="1"/>
  <c r="C28" i="1"/>
  <c r="C88" i="1"/>
  <c r="C29" i="1"/>
  <c r="C89" i="1"/>
  <c r="C50" i="1"/>
  <c r="C110" i="1"/>
  <c r="C31" i="1"/>
  <c r="C51" i="1"/>
  <c r="C71" i="1"/>
  <c r="C91" i="1"/>
  <c r="C111" i="1"/>
  <c r="C26" i="1"/>
  <c r="C86" i="1"/>
  <c r="C67" i="1"/>
  <c r="C48" i="1"/>
  <c r="C108" i="1"/>
  <c r="C49" i="1"/>
  <c r="C109" i="1"/>
  <c r="C30" i="1"/>
  <c r="C90" i="1"/>
  <c r="C32" i="1"/>
  <c r="C52" i="1"/>
  <c r="C72" i="1"/>
  <c r="C92" i="1"/>
  <c r="C112" i="1"/>
  <c r="F93" i="1"/>
  <c r="D93" i="1"/>
  <c r="H17" i="2"/>
  <c r="D13" i="2"/>
  <c r="J53" i="3"/>
  <c r="J82" i="3"/>
  <c r="J102" i="3"/>
  <c r="J95" i="3"/>
  <c r="J96" i="3"/>
  <c r="J97" i="3"/>
  <c r="J78" i="3"/>
  <c r="J98" i="3"/>
  <c r="J99" i="3"/>
  <c r="J60" i="3"/>
  <c r="J100" i="3"/>
  <c r="J101" i="3"/>
  <c r="W101" i="3" s="1"/>
  <c r="J83" i="3"/>
  <c r="J103" i="3"/>
  <c r="J84" i="3"/>
  <c r="J104" i="3"/>
  <c r="J105" i="3"/>
  <c r="W105" i="3" s="1"/>
  <c r="J42" i="3"/>
  <c r="J85" i="3"/>
  <c r="W85" i="3" s="1"/>
  <c r="J66" i="3"/>
  <c r="W66" i="3" s="1"/>
  <c r="J86" i="3"/>
  <c r="W86" i="3" s="1"/>
  <c r="J106" i="3"/>
  <c r="W106" i="3" s="1"/>
  <c r="J34" i="3"/>
  <c r="J62" i="3"/>
  <c r="J31" i="3"/>
  <c r="J32" i="3"/>
  <c r="J51" i="3"/>
  <c r="J7" i="3"/>
  <c r="J27" i="3"/>
  <c r="J47" i="3"/>
  <c r="J67" i="3"/>
  <c r="J87" i="3"/>
  <c r="J88" i="3"/>
  <c r="J89" i="3"/>
  <c r="J10" i="3"/>
  <c r="J90" i="3"/>
  <c r="J52" i="3"/>
  <c r="J73" i="3"/>
  <c r="J74" i="3"/>
  <c r="J15" i="3"/>
  <c r="J35" i="3"/>
  <c r="J55" i="3"/>
  <c r="J75" i="3"/>
  <c r="J16" i="3"/>
  <c r="J36" i="3"/>
  <c r="J56" i="3"/>
  <c r="J76" i="3"/>
  <c r="J71" i="3"/>
  <c r="J28" i="3"/>
  <c r="J30" i="3"/>
  <c r="J72" i="3"/>
  <c r="J33" i="3"/>
  <c r="J94" i="3"/>
  <c r="J19" i="3"/>
  <c r="J39" i="3"/>
  <c r="J59" i="3"/>
  <c r="J79" i="3"/>
  <c r="J20" i="3"/>
  <c r="J40" i="3"/>
  <c r="J80" i="3"/>
  <c r="J48" i="3"/>
  <c r="J29" i="3"/>
  <c r="J93" i="3"/>
  <c r="J18" i="3"/>
  <c r="J21" i="3"/>
  <c r="J41" i="3"/>
  <c r="J61" i="3"/>
  <c r="J81" i="3"/>
  <c r="W81" i="3" s="1"/>
  <c r="J22" i="3"/>
  <c r="J9" i="3"/>
  <c r="J92" i="3"/>
  <c r="J23" i="3"/>
  <c r="J43" i="3"/>
  <c r="J63" i="3"/>
  <c r="J50" i="3"/>
  <c r="J91" i="3"/>
  <c r="J14" i="3"/>
  <c r="J57" i="3"/>
  <c r="J38" i="3"/>
  <c r="J24" i="3"/>
  <c r="J44" i="3"/>
  <c r="J64" i="3"/>
  <c r="J69" i="3"/>
  <c r="J11" i="3"/>
  <c r="J12" i="3"/>
  <c r="J54" i="3"/>
  <c r="J17" i="3"/>
  <c r="J37" i="3"/>
  <c r="J77" i="3"/>
  <c r="J58" i="3"/>
  <c r="J25" i="3"/>
  <c r="J45" i="3"/>
  <c r="J65" i="3"/>
  <c r="W65" i="3" s="1"/>
  <c r="J8" i="3"/>
  <c r="J68" i="3"/>
  <c r="J49" i="3"/>
  <c r="J70" i="3"/>
  <c r="J13" i="3"/>
  <c r="J26" i="3"/>
  <c r="J46" i="3"/>
  <c r="D1" i="3"/>
  <c r="G10" i="1"/>
  <c r="N15" i="2" s="1"/>
  <c r="AK4" i="3"/>
  <c r="G11" i="1"/>
  <c r="G13" i="1"/>
  <c r="G12" i="1"/>
  <c r="G14" i="1"/>
  <c r="M9" i="1"/>
  <c r="M8" i="1"/>
  <c r="R7" i="1" a="1"/>
  <c r="R7" i="1" s="1"/>
  <c r="C4" i="3" s="1"/>
  <c r="R14" i="1"/>
  <c r="C20" i="2" s="1"/>
  <c r="R13" i="1"/>
  <c r="C19" i="2" s="1"/>
  <c r="R12" i="1"/>
  <c r="C18" i="2" s="1"/>
  <c r="R11" i="1"/>
  <c r="C17" i="2" s="1"/>
  <c r="R10" i="1"/>
  <c r="C16" i="2" s="1"/>
  <c r="R9" i="1"/>
  <c r="C15" i="2" s="1"/>
  <c r="C14" i="1" a="1"/>
  <c r="C10" i="1" a="1"/>
  <c r="C9" i="1" a="1"/>
  <c r="M7" i="1" a="1"/>
  <c r="E10" i="1" a="1"/>
  <c r="E11" i="1" a="1"/>
  <c r="C12" i="1" a="1"/>
  <c r="E9" i="1" a="1"/>
  <c r="C13" i="1" a="1"/>
  <c r="E12" i="1" a="1"/>
  <c r="E13" i="1" a="1"/>
  <c r="C11" i="1" a="1"/>
  <c r="C7" i="1" a="1"/>
  <c r="E14" i="1" a="1"/>
  <c r="E7" i="1" a="1"/>
  <c r="G79" i="1" l="1"/>
  <c r="G80" i="1"/>
  <c r="G99" i="1"/>
  <c r="H99" i="1" s="1"/>
  <c r="F102" i="1"/>
  <c r="D102" i="1"/>
  <c r="H15" i="2"/>
  <c r="F12" i="1"/>
  <c r="H16" i="2"/>
  <c r="F14" i="1"/>
  <c r="H4" i="3" a="1"/>
  <c r="H4" i="3" s="1"/>
  <c r="D77" i="1"/>
  <c r="D70" i="1"/>
  <c r="D117" i="1"/>
  <c r="H117" i="1" s="1"/>
  <c r="G77" i="1"/>
  <c r="F117" i="1"/>
  <c r="D97" i="1"/>
  <c r="H97" i="1" s="1"/>
  <c r="F107" i="1"/>
  <c r="F106" i="1"/>
  <c r="F95" i="1"/>
  <c r="F109" i="1"/>
  <c r="F115" i="1"/>
  <c r="G98" i="1"/>
  <c r="H98" i="1" s="1"/>
  <c r="G78" i="1"/>
  <c r="H78" i="1" s="1"/>
  <c r="F89" i="1"/>
  <c r="G116" i="1"/>
  <c r="H116" i="1" s="1"/>
  <c r="G101" i="1"/>
  <c r="H101" i="1" s="1"/>
  <c r="F105" i="1"/>
  <c r="D89" i="1"/>
  <c r="H89" i="1" s="1"/>
  <c r="F92" i="1"/>
  <c r="G118" i="1"/>
  <c r="H118" i="1" s="1"/>
  <c r="G96" i="1"/>
  <c r="H96" i="1" s="1"/>
  <c r="G115" i="1"/>
  <c r="H115" i="1" s="1"/>
  <c r="G95" i="1"/>
  <c r="H95" i="1" s="1"/>
  <c r="F78" i="1"/>
  <c r="G106" i="1"/>
  <c r="H106" i="1" s="1"/>
  <c r="F80" i="1"/>
  <c r="D107" i="1"/>
  <c r="H107" i="1" s="1"/>
  <c r="D88" i="1"/>
  <c r="H88" i="1" s="1"/>
  <c r="F88" i="1"/>
  <c r="G90" i="1"/>
  <c r="H90" i="1" s="1"/>
  <c r="F97" i="1"/>
  <c r="G110" i="1"/>
  <c r="H110" i="1" s="1"/>
  <c r="H80" i="1"/>
  <c r="F86" i="1"/>
  <c r="F90" i="1"/>
  <c r="G105" i="1"/>
  <c r="H105" i="1" s="1"/>
  <c r="D112" i="1"/>
  <c r="H112" i="1" s="1"/>
  <c r="G83" i="1"/>
  <c r="H83" i="1" s="1"/>
  <c r="F116" i="1"/>
  <c r="F118" i="1"/>
  <c r="F112" i="1"/>
  <c r="G81" i="1"/>
  <c r="H81" i="1" s="1"/>
  <c r="F99" i="1"/>
  <c r="H102" i="1"/>
  <c r="F103" i="1"/>
  <c r="D82" i="1"/>
  <c r="H82" i="1" s="1"/>
  <c r="G109" i="1"/>
  <c r="H109" i="1" s="1"/>
  <c r="F98" i="1"/>
  <c r="G114" i="1"/>
  <c r="H114" i="1" s="1"/>
  <c r="F110" i="1"/>
  <c r="F85" i="1"/>
  <c r="F96" i="1"/>
  <c r="G86" i="1"/>
  <c r="H86" i="1" s="1"/>
  <c r="F81" i="1"/>
  <c r="D104" i="1"/>
  <c r="F87" i="1"/>
  <c r="G94" i="1"/>
  <c r="H94" i="1" s="1"/>
  <c r="G111" i="1"/>
  <c r="H111" i="1" s="1"/>
  <c r="G100" i="1"/>
  <c r="D92" i="1"/>
  <c r="H92" i="1" s="1"/>
  <c r="F113" i="1"/>
  <c r="F82" i="1"/>
  <c r="F101" i="1"/>
  <c r="G104" i="1"/>
  <c r="F94" i="1"/>
  <c r="G91" i="1"/>
  <c r="H91" i="1" s="1"/>
  <c r="F91" i="1"/>
  <c r="D113" i="1"/>
  <c r="H113" i="1" s="1"/>
  <c r="D108" i="1"/>
  <c r="H108" i="1" s="1"/>
  <c r="F114" i="1"/>
  <c r="D79" i="1"/>
  <c r="H79" i="1" s="1"/>
  <c r="I79" i="1" s="1"/>
  <c r="G85" i="1"/>
  <c r="H85" i="1" s="1"/>
  <c r="F83" i="1"/>
  <c r="G84" i="1"/>
  <c r="H84" i="1" s="1"/>
  <c r="F84" i="1"/>
  <c r="F108" i="1"/>
  <c r="F111" i="1"/>
  <c r="D100" i="1"/>
  <c r="D87" i="1"/>
  <c r="H87" i="1" s="1"/>
  <c r="G103" i="1"/>
  <c r="H103" i="1" s="1"/>
  <c r="F49" i="1"/>
  <c r="W37" i="3"/>
  <c r="G49" i="1" s="1"/>
  <c r="W71" i="3"/>
  <c r="F19" i="1"/>
  <c r="W7" i="3"/>
  <c r="G19" i="1" s="1"/>
  <c r="W98" i="3"/>
  <c r="W78" i="3"/>
  <c r="W97" i="3"/>
  <c r="F23" i="1"/>
  <c r="W11" i="3"/>
  <c r="G23" i="1" s="1"/>
  <c r="F30" i="1"/>
  <c r="W18" i="3"/>
  <c r="G30" i="1" s="1"/>
  <c r="F28" i="1"/>
  <c r="W16" i="3"/>
  <c r="G28" i="1" s="1"/>
  <c r="F74" i="1"/>
  <c r="W62" i="3"/>
  <c r="G74" i="1" s="1"/>
  <c r="W95" i="3"/>
  <c r="F46" i="1"/>
  <c r="W34" i="3"/>
  <c r="G46" i="1" s="1"/>
  <c r="F29" i="1"/>
  <c r="W17" i="3"/>
  <c r="G29" i="1" s="1"/>
  <c r="D73" i="1"/>
  <c r="W61" i="3"/>
  <c r="G73" i="1" s="1"/>
  <c r="W76" i="3"/>
  <c r="F63" i="1"/>
  <c r="W51" i="3"/>
  <c r="G63" i="1" s="1"/>
  <c r="F66" i="1"/>
  <c r="W54" i="3"/>
  <c r="G66" i="1" s="1"/>
  <c r="D53" i="1"/>
  <c r="W41" i="3"/>
  <c r="G53" i="1" s="1"/>
  <c r="F68" i="1"/>
  <c r="W56" i="3"/>
  <c r="G68" i="1" s="1"/>
  <c r="F44" i="1"/>
  <c r="W32" i="3"/>
  <c r="G44" i="1" s="1"/>
  <c r="W102" i="3"/>
  <c r="F60" i="1"/>
  <c r="W48" i="3"/>
  <c r="G60" i="1" s="1"/>
  <c r="F36" i="1"/>
  <c r="W24" i="3"/>
  <c r="G36" i="1" s="1"/>
  <c r="F27" i="1"/>
  <c r="W15" i="3"/>
  <c r="G27" i="1" s="1"/>
  <c r="F48" i="1"/>
  <c r="W36" i="3"/>
  <c r="G48" i="1" s="1"/>
  <c r="F76" i="1"/>
  <c r="W64" i="3"/>
  <c r="G76" i="1" s="1"/>
  <c r="F47" i="1"/>
  <c r="W35" i="3"/>
  <c r="G47" i="1" s="1"/>
  <c r="D58" i="1"/>
  <c r="W46" i="3"/>
  <c r="G58" i="1" s="1"/>
  <c r="W80" i="3"/>
  <c r="D38" i="1"/>
  <c r="W26" i="3"/>
  <c r="G38" i="1" s="1"/>
  <c r="F50" i="1"/>
  <c r="W38" i="3"/>
  <c r="G50" i="1" s="1"/>
  <c r="F52" i="1"/>
  <c r="W40" i="3"/>
  <c r="G52" i="1" s="1"/>
  <c r="W74" i="3"/>
  <c r="F24" i="1"/>
  <c r="W12" i="3"/>
  <c r="G24" i="1" s="1"/>
  <c r="F43" i="1"/>
  <c r="W31" i="3"/>
  <c r="G43" i="1" s="1"/>
  <c r="F26" i="1"/>
  <c r="W14" i="3"/>
  <c r="G26" i="1" s="1"/>
  <c r="W69" i="3"/>
  <c r="F56" i="1"/>
  <c r="W44" i="3"/>
  <c r="G56" i="1" s="1"/>
  <c r="F64" i="1"/>
  <c r="W52" i="3"/>
  <c r="G64" i="1" s="1"/>
  <c r="W90" i="3"/>
  <c r="W89" i="3"/>
  <c r="F67" i="1"/>
  <c r="W55" i="3"/>
  <c r="G67" i="1" s="1"/>
  <c r="F54" i="1"/>
  <c r="W42" i="3"/>
  <c r="G54" i="1" s="1"/>
  <c r="W91" i="3"/>
  <c r="W93" i="3"/>
  <c r="W79" i="3"/>
  <c r="W68" i="3"/>
  <c r="F51" i="1"/>
  <c r="W39" i="3"/>
  <c r="G51" i="1" s="1"/>
  <c r="F22" i="1"/>
  <c r="W10" i="3"/>
  <c r="G22" i="1" s="1"/>
  <c r="W84" i="3"/>
  <c r="F20" i="1"/>
  <c r="W8" i="3"/>
  <c r="G20" i="1" s="1"/>
  <c r="W83" i="3"/>
  <c r="W87" i="3"/>
  <c r="W96" i="3"/>
  <c r="W82" i="3"/>
  <c r="F25" i="1"/>
  <c r="W13" i="3"/>
  <c r="G25" i="1" s="1"/>
  <c r="F69" i="1"/>
  <c r="W57" i="3"/>
  <c r="G69" i="1" s="1"/>
  <c r="F32" i="1"/>
  <c r="W20" i="3"/>
  <c r="G32" i="1" s="1"/>
  <c r="W73" i="3"/>
  <c r="F71" i="1"/>
  <c r="W59" i="3"/>
  <c r="G71" i="1" s="1"/>
  <c r="F75" i="1"/>
  <c r="W63" i="3"/>
  <c r="G75" i="1" s="1"/>
  <c r="F31" i="1"/>
  <c r="W19" i="3"/>
  <c r="G31" i="1" s="1"/>
  <c r="W103" i="3"/>
  <c r="W94" i="3"/>
  <c r="F45" i="1"/>
  <c r="W33" i="3"/>
  <c r="G45" i="1" s="1"/>
  <c r="D37" i="1"/>
  <c r="W25" i="3"/>
  <c r="G37" i="1" s="1"/>
  <c r="W72" i="3"/>
  <c r="F72" i="1"/>
  <c r="W60" i="3"/>
  <c r="G72" i="1" s="1"/>
  <c r="D33" i="1"/>
  <c r="W21" i="3"/>
  <c r="G33" i="1" s="1"/>
  <c r="W75" i="3"/>
  <c r="F41" i="1"/>
  <c r="W29" i="3"/>
  <c r="G41" i="1" s="1"/>
  <c r="F65" i="1"/>
  <c r="W53" i="3"/>
  <c r="G65" i="1" s="1"/>
  <c r="W70" i="3"/>
  <c r="F61" i="1"/>
  <c r="W49" i="3"/>
  <c r="G61" i="1" s="1"/>
  <c r="W104" i="3"/>
  <c r="F62" i="1"/>
  <c r="W50" i="3"/>
  <c r="G62" i="1" s="1"/>
  <c r="F55" i="1"/>
  <c r="W43" i="3"/>
  <c r="G55" i="1" s="1"/>
  <c r="W88" i="3"/>
  <c r="D57" i="1"/>
  <c r="W45" i="3"/>
  <c r="G57" i="1" s="1"/>
  <c r="F35" i="1"/>
  <c r="W23" i="3"/>
  <c r="G35" i="1" s="1"/>
  <c r="D19" i="1"/>
  <c r="W92" i="3"/>
  <c r="W67" i="3"/>
  <c r="W100" i="3"/>
  <c r="F70" i="1"/>
  <c r="W58" i="3"/>
  <c r="G70" i="1" s="1"/>
  <c r="F21" i="1"/>
  <c r="W9" i="3"/>
  <c r="G21" i="1" s="1"/>
  <c r="F42" i="1"/>
  <c r="W30" i="3"/>
  <c r="G42" i="1" s="1"/>
  <c r="F59" i="1"/>
  <c r="W47" i="3"/>
  <c r="G59" i="1" s="1"/>
  <c r="W77" i="3"/>
  <c r="F34" i="1"/>
  <c r="W22" i="3"/>
  <c r="G34" i="1" s="1"/>
  <c r="F40" i="1"/>
  <c r="W28" i="3"/>
  <c r="G40" i="1" s="1"/>
  <c r="F39" i="1"/>
  <c r="W27" i="3"/>
  <c r="G39" i="1" s="1"/>
  <c r="W99" i="3"/>
  <c r="D20" i="1"/>
  <c r="D75" i="1"/>
  <c r="D35" i="1"/>
  <c r="D63" i="1"/>
  <c r="D29" i="1"/>
  <c r="D49" i="1"/>
  <c r="D71" i="1"/>
  <c r="D21" i="1"/>
  <c r="D41" i="1"/>
  <c r="D25" i="1"/>
  <c r="D59" i="1"/>
  <c r="D55" i="1"/>
  <c r="D34" i="1"/>
  <c r="D72" i="1"/>
  <c r="D39" i="1"/>
  <c r="K14" i="2"/>
  <c r="B8" i="1"/>
  <c r="D52" i="1"/>
  <c r="D61" i="1"/>
  <c r="D40" i="1"/>
  <c r="D54" i="1"/>
  <c r="D76" i="1"/>
  <c r="D64" i="1"/>
  <c r="D74" i="1"/>
  <c r="D48" i="1"/>
  <c r="D66" i="1"/>
  <c r="D27" i="1"/>
  <c r="D46" i="1"/>
  <c r="D28" i="1"/>
  <c r="D56" i="1"/>
  <c r="D32" i="1"/>
  <c r="D44" i="1"/>
  <c r="D22" i="1"/>
  <c r="D67" i="1"/>
  <c r="D23" i="1"/>
  <c r="D47" i="1"/>
  <c r="D36" i="1"/>
  <c r="D68" i="1"/>
  <c r="D43" i="1"/>
  <c r="D60" i="1"/>
  <c r="D65" i="1"/>
  <c r="D26" i="1"/>
  <c r="D62" i="1"/>
  <c r="D24" i="1"/>
  <c r="D50" i="1"/>
  <c r="D31" i="1"/>
  <c r="D69" i="1"/>
  <c r="D51" i="1"/>
  <c r="D42" i="1"/>
  <c r="D30" i="1"/>
  <c r="D45" i="1"/>
  <c r="H93" i="1"/>
  <c r="I93" i="1" s="1"/>
  <c r="F37" i="1"/>
  <c r="F33" i="1"/>
  <c r="F73" i="1"/>
  <c r="F53" i="1"/>
  <c r="F58" i="1"/>
  <c r="F38" i="1"/>
  <c r="F77" i="1"/>
  <c r="F57" i="1"/>
  <c r="F1" i="3"/>
  <c r="S8" i="1" a="1"/>
  <c r="S8" i="1" s="1"/>
  <c r="D14" i="2"/>
  <c r="R8" i="1" s="1"/>
  <c r="D1" i="2" a="1"/>
  <c r="D1" i="2" s="1"/>
  <c r="E7" i="1"/>
  <c r="M7" i="1"/>
  <c r="E11" i="1"/>
  <c r="E12" i="1"/>
  <c r="E13" i="1"/>
  <c r="E14" i="1"/>
  <c r="E9" i="1"/>
  <c r="E10" i="1"/>
  <c r="C13" i="1"/>
  <c r="C9" i="1"/>
  <c r="C10" i="1"/>
  <c r="C11" i="1"/>
  <c r="C12" i="1"/>
  <c r="C14" i="1"/>
  <c r="C7" i="1"/>
  <c r="G8" i="1" a="1"/>
  <c r="AI5" i="3" a="1"/>
  <c r="C8" i="1" a="1"/>
  <c r="E8" i="1" a="1"/>
  <c r="AH5" i="3" a="1"/>
  <c r="A5" i="3" a="1"/>
  <c r="X5" i="3" a="1"/>
  <c r="AG5" i="3" a="1"/>
  <c r="AD5" i="3" a="1"/>
  <c r="AK5" i="3" a="1"/>
  <c r="AF5" i="3" a="1"/>
  <c r="Z5" i="3" a="1"/>
  <c r="F5" i="3" a="1"/>
  <c r="I107" i="1" l="1"/>
  <c r="I102" i="1"/>
  <c r="I117" i="1"/>
  <c r="I106" i="1"/>
  <c r="I115" i="1"/>
  <c r="I92" i="1"/>
  <c r="I95" i="1"/>
  <c r="I109" i="1"/>
  <c r="I78" i="1"/>
  <c r="I103" i="1"/>
  <c r="I111" i="1"/>
  <c r="I89" i="1"/>
  <c r="I98" i="1"/>
  <c r="I80" i="1"/>
  <c r="I105" i="1"/>
  <c r="I101" i="1"/>
  <c r="I88" i="1"/>
  <c r="I82" i="1"/>
  <c r="I116" i="1"/>
  <c r="I90" i="1"/>
  <c r="H100" i="1"/>
  <c r="I100" i="1" s="1"/>
  <c r="I118" i="1"/>
  <c r="I114" i="1"/>
  <c r="I86" i="1"/>
  <c r="I112" i="1"/>
  <c r="I99" i="1"/>
  <c r="I97" i="1"/>
  <c r="I81" i="1"/>
  <c r="I110" i="1"/>
  <c r="I96" i="1"/>
  <c r="I83" i="1"/>
  <c r="I87" i="1"/>
  <c r="I85" i="1"/>
  <c r="I94" i="1"/>
  <c r="I108" i="1"/>
  <c r="I113" i="1"/>
  <c r="H104" i="1"/>
  <c r="I104" i="1" s="1"/>
  <c r="H58" i="1"/>
  <c r="I58" i="1" s="1"/>
  <c r="I84" i="1"/>
  <c r="H20" i="1"/>
  <c r="I20" i="1" s="1"/>
  <c r="I91" i="1"/>
  <c r="H35" i="1"/>
  <c r="I35" i="1" s="1"/>
  <c r="H34" i="1"/>
  <c r="I34" i="1" s="1"/>
  <c r="H63" i="1"/>
  <c r="I63" i="1" s="1"/>
  <c r="H64" i="1"/>
  <c r="I64" i="1" s="1"/>
  <c r="H59" i="1"/>
  <c r="I59" i="1" s="1"/>
  <c r="H76" i="1"/>
  <c r="I76" i="1" s="1"/>
  <c r="H68" i="1"/>
  <c r="I68" i="1" s="1"/>
  <c r="H53" i="1"/>
  <c r="I53" i="1" s="1"/>
  <c r="H70" i="1"/>
  <c r="I70" i="1" s="1"/>
  <c r="H24" i="1"/>
  <c r="I24" i="1" s="1"/>
  <c r="H47" i="1"/>
  <c r="I47" i="1" s="1"/>
  <c r="H39" i="1"/>
  <c r="I39" i="1" s="1"/>
  <c r="H66" i="1"/>
  <c r="I66" i="1" s="1"/>
  <c r="H72" i="1"/>
  <c r="I72" i="1" s="1"/>
  <c r="H75" i="1"/>
  <c r="I75" i="1" s="1"/>
  <c r="H71" i="1"/>
  <c r="I71" i="1" s="1"/>
  <c r="H74" i="1"/>
  <c r="I74" i="1" s="1"/>
  <c r="H73" i="1"/>
  <c r="I73" i="1" s="1"/>
  <c r="H77" i="1"/>
  <c r="I77" i="1" s="1"/>
  <c r="H48" i="1"/>
  <c r="I48" i="1" s="1"/>
  <c r="H38" i="1"/>
  <c r="I38" i="1" s="1"/>
  <c r="H40" i="1"/>
  <c r="I40" i="1" s="1"/>
  <c r="H67" i="1"/>
  <c r="I67" i="1" s="1"/>
  <c r="H52" i="1"/>
  <c r="I52" i="1" s="1"/>
  <c r="H57" i="1"/>
  <c r="I57" i="1" s="1"/>
  <c r="H37" i="1"/>
  <c r="I37" i="1" s="1"/>
  <c r="H62" i="1"/>
  <c r="I62" i="1" s="1"/>
  <c r="H41" i="1"/>
  <c r="I41" i="1" s="1"/>
  <c r="H26" i="1"/>
  <c r="I26" i="1" s="1"/>
  <c r="H33" i="1"/>
  <c r="I33" i="1" s="1"/>
  <c r="H69" i="1"/>
  <c r="I69" i="1" s="1"/>
  <c r="H42" i="1"/>
  <c r="I42" i="1" s="1"/>
  <c r="H54" i="1"/>
  <c r="I54" i="1" s="1"/>
  <c r="H56" i="1"/>
  <c r="I56" i="1" s="1"/>
  <c r="H49" i="1"/>
  <c r="I49" i="1" s="1"/>
  <c r="H61" i="1"/>
  <c r="I61" i="1" s="1"/>
  <c r="H60" i="1"/>
  <c r="I60" i="1" s="1"/>
  <c r="H21" i="1"/>
  <c r="I21" i="1" s="1"/>
  <c r="H55" i="1"/>
  <c r="I55" i="1" s="1"/>
  <c r="H32" i="1"/>
  <c r="I32" i="1" s="1"/>
  <c r="H44" i="1"/>
  <c r="I44" i="1" s="1"/>
  <c r="H50" i="1"/>
  <c r="I50" i="1" s="1"/>
  <c r="H36" i="1"/>
  <c r="I36" i="1" s="1"/>
  <c r="H25" i="1"/>
  <c r="I25" i="1" s="1"/>
  <c r="H43" i="1"/>
  <c r="I43" i="1" s="1"/>
  <c r="H29" i="1"/>
  <c r="I29" i="1" s="1"/>
  <c r="H31" i="1"/>
  <c r="I31" i="1" s="1"/>
  <c r="H65" i="1"/>
  <c r="I65" i="1" s="1"/>
  <c r="H23" i="1"/>
  <c r="I23" i="1" s="1"/>
  <c r="H27" i="1"/>
  <c r="I27" i="1" s="1"/>
  <c r="H45" i="1"/>
  <c r="I45" i="1" s="1"/>
  <c r="H19" i="1"/>
  <c r="I19" i="1" s="1"/>
  <c r="H46" i="1"/>
  <c r="I46" i="1" s="1"/>
  <c r="H30" i="1"/>
  <c r="I30" i="1" s="1"/>
  <c r="H28" i="1"/>
  <c r="I28" i="1" s="1"/>
  <c r="H51" i="1"/>
  <c r="I51" i="1" s="1"/>
  <c r="H22" i="1"/>
  <c r="I22" i="1" s="1"/>
  <c r="AI5" i="3"/>
  <c r="D14" i="1"/>
  <c r="D12" i="1"/>
  <c r="H12" i="1" s="1"/>
  <c r="D11" i="1"/>
  <c r="D10" i="1"/>
  <c r="M15" i="2" s="1"/>
  <c r="D9" i="1"/>
  <c r="D13" i="1"/>
  <c r="H13" i="1" s="1"/>
  <c r="F8" i="1"/>
  <c r="H14" i="2"/>
  <c r="F5" i="3"/>
  <c r="AK5" i="3"/>
  <c r="X5" i="3"/>
  <c r="Z5" i="3"/>
  <c r="AD5" i="3"/>
  <c r="AF5" i="3"/>
  <c r="AG5" i="3"/>
  <c r="AH5" i="3"/>
  <c r="A5" i="3"/>
  <c r="E14" i="2"/>
  <c r="G8" i="1"/>
  <c r="N14" i="2" s="1"/>
  <c r="AJ4" i="3"/>
  <c r="E8" i="1"/>
  <c r="C8" i="1"/>
  <c r="D8" i="1" s="1"/>
  <c r="AJ5" i="3" a="1"/>
  <c r="H8" i="1" l="1"/>
  <c r="I8" i="1" s="1"/>
  <c r="H14" i="1"/>
  <c r="I14" i="1" s="1"/>
  <c r="AJ5" i="3"/>
  <c r="M14" i="2"/>
  <c r="H11" i="1"/>
  <c r="H10" i="1"/>
  <c r="G9" i="1" a="1"/>
  <c r="G9" i="1" l="1"/>
  <c r="H9" i="1" s="1"/>
  <c r="F13" i="1" l="1"/>
  <c r="I13" i="1" s="1"/>
  <c r="F9" i="1"/>
  <c r="I9" i="1" s="1"/>
  <c r="F10" i="1"/>
  <c r="I10" i="1" s="1"/>
  <c r="I12" i="1"/>
  <c r="F11" i="1"/>
  <c r="I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<sst xmlns="http://schemas.openxmlformats.org/spreadsheetml/2006/main" count="142" uniqueCount="97">
  <si>
    <t>ON</t>
  </si>
  <si>
    <t>1W</t>
  </si>
  <si>
    <t>1M</t>
  </si>
  <si>
    <t>2M</t>
  </si>
  <si>
    <t>3M</t>
  </si>
  <si>
    <t>6M</t>
  </si>
  <si>
    <t>1Y</t>
  </si>
  <si>
    <t>CD91 (금투협)</t>
  </si>
  <si>
    <t>MID</t>
  </si>
  <si>
    <t>서울외환 (15:30)</t>
  </si>
  <si>
    <t>서울외환 (익일 02:00</t>
  </si>
  <si>
    <t>한국자금 (15:30)</t>
  </si>
  <si>
    <t>한국자금 (익일 02:00</t>
  </si>
  <si>
    <t>USDSP_SMBCC</t>
  </si>
  <si>
    <t>USDSP_SMBCC_EXT</t>
  </si>
  <si>
    <t>USDSP_KMBCC</t>
  </si>
  <si>
    <t>USDSP_KMBCC_EXT</t>
  </si>
  <si>
    <t>USDON_SMBCC</t>
  </si>
  <si>
    <t>USD1W_SMBCC</t>
  </si>
  <si>
    <t>USD1M_SMBCC</t>
  </si>
  <si>
    <t>USD2M_SMBCC</t>
  </si>
  <si>
    <t>USD3M_SMBCC</t>
  </si>
  <si>
    <t>USD6M_SMBCC</t>
  </si>
  <si>
    <t>USD1Y_SMBCC</t>
  </si>
  <si>
    <t>USD1W_KMBCC</t>
  </si>
  <si>
    <t>USD1M_KMBCC</t>
  </si>
  <si>
    <t>USD2M_KMBCC</t>
  </si>
  <si>
    <t>USD3M_KMBCC</t>
  </si>
  <si>
    <t>USD6M_KMBCC</t>
  </si>
  <si>
    <t>USD1Y_KMBCC</t>
  </si>
  <si>
    <t>BONDKSDCAL02</t>
  </si>
  <si>
    <t>BONDKSDCAL10</t>
  </si>
  <si>
    <t>결제일</t>
  </si>
  <si>
    <t>일수</t>
  </si>
  <si>
    <t>SPOT</t>
  </si>
  <si>
    <t>콜 거래 종합</t>
  </si>
  <si>
    <t>국고 (금투협)</t>
  </si>
  <si>
    <t>통안 (금투협)</t>
  </si>
  <si>
    <t>IRSTA6USD01W</t>
  </si>
  <si>
    <t>IRSTA6USD01M</t>
  </si>
  <si>
    <t>IRSTA6USD02M</t>
  </si>
  <si>
    <t>IRSTA6USD03M</t>
  </si>
  <si>
    <t>IRSTA6USD06M</t>
  </si>
  <si>
    <t>IRSTA6USD01Y</t>
  </si>
  <si>
    <t>미국</t>
  </si>
  <si>
    <t>미국 금리</t>
  </si>
  <si>
    <t>시장 금리</t>
  </si>
  <si>
    <t>US01M</t>
  </si>
  <si>
    <t>US02M</t>
  </si>
  <si>
    <t>US03M</t>
  </si>
  <si>
    <t>US06M</t>
  </si>
  <si>
    <t>US01Y</t>
  </si>
  <si>
    <t>761212</t>
  </si>
  <si>
    <t>SOFR</t>
  </si>
  <si>
    <t>OIS</t>
  </si>
  <si>
    <t>유통</t>
  </si>
  <si>
    <t>내재 금리</t>
  </si>
  <si>
    <t>시장-내재</t>
  </si>
  <si>
    <t xml:space="preserve">ON </t>
  </si>
  <si>
    <t xml:space="preserve">3M </t>
  </si>
  <si>
    <t xml:space="preserve">1Y </t>
  </si>
  <si>
    <t>~</t>
  </si>
  <si>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</si>
  <si>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</si>
  <si>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</si>
  <si>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</si>
  <si>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</si>
  <si>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</si>
  <si>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</si>
  <si>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</si>
  <si>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</si>
  <si>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</si>
  <si>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선택</t>
  </si>
  <si>
    <t>일자</t>
  </si>
  <si>
    <t>중간값</t>
  </si>
  <si>
    <t>스팟 고정</t>
  </si>
  <si>
    <t>FX</t>
  </si>
  <si>
    <t>IR</t>
  </si>
  <si>
    <t>BONDKSDCAL08</t>
  </si>
  <si>
    <t>CALLALLX00</t>
  </si>
  <si>
    <t>최종이율</t>
  </si>
  <si>
    <t>대표수익률</t>
  </si>
  <si>
    <t>day</t>
  </si>
  <si>
    <t>USDTN_SMBCC</t>
  </si>
  <si>
    <t>국내1</t>
  </si>
  <si>
    <t>국내2</t>
  </si>
  <si>
    <t>국내3</t>
  </si>
  <si>
    <t>BONDKSDCAL19</t>
  </si>
  <si>
    <t>BONDKSDCAL03</t>
  </si>
  <si>
    <t>국내4</t>
  </si>
  <si>
    <t>미국2</t>
  </si>
  <si>
    <t>미국1</t>
  </si>
  <si>
    <t>ON_day</t>
  </si>
  <si>
    <t>현재가</t>
  </si>
  <si>
    <t>시장</t>
  </si>
  <si>
    <t xml:space="preserve">일자 </t>
  </si>
  <si>
    <t xml:space="preserve"> [2311] 스왑포인트 vs. 내재금리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</si>
</sst>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_ ;\-#,##0\ "/>
    <numFmt numFmtId="165" formatCode="#,##0.00_ ;\-#,##0.00\ "/>
    <numFmt numFmtId="166" formatCode="#,##0.000_ ;\-#,##0.000\ "/>
  </numFmts>
  <fonts count="11" x14ac:knownFonts="1">
    <font>
      <sz val="11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12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dashed">
        <color theme="0" tint="-0.24994659260841701"/>
      </bottom>
      <diagonal/>
    </border>
    <border>
      <left/>
      <right/>
      <top style="thin">
        <color indexed="64"/>
      </top>
      <bottom style="dashed">
        <color theme="0" tint="-0.24994659260841701"/>
      </bottom>
      <diagonal/>
    </border>
    <border>
      <left/>
      <right style="medium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/>
      <top style="dashed">
        <color theme="0" tint="-0.24994659260841701"/>
      </top>
      <bottom style="dashed">
        <color theme="0" tint="-0.24994659260841701"/>
      </bottom>
      <diagonal/>
    </border>
    <border>
      <left/>
      <right style="medium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dashed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 style="dashed">
        <color theme="0" tint="-0.24994659260841701"/>
      </top>
      <bottom style="medium">
        <color indexed="64"/>
      </bottom>
      <diagonal/>
    </border>
    <border>
      <left/>
      <right/>
      <top style="dashed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dashed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theme="0" tint="-0.24994659260841701"/>
      </bottom>
      <diagonal/>
    </border>
    <border>
      <left/>
      <right style="thin">
        <color indexed="64"/>
      </right>
      <top style="medium">
        <color indexed="64"/>
      </top>
      <bottom style="dashed">
        <color theme="0" tint="-0.24994659260841701"/>
      </bottom>
      <diagonal/>
    </border>
    <border>
      <left/>
      <right/>
      <top style="medium">
        <color indexed="64"/>
      </top>
      <bottom style="dashed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dashed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3" fillId="3" borderId="0" xfId="0" applyFont="1" applyFill="1"/>
    <xf numFmtId="0" fontId="0" fillId="3" borderId="0" xfId="0" applyFill="1"/>
    <xf numFmtId="0" fontId="3" fillId="3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64" fontId="1" fillId="0" borderId="14" xfId="0" applyNumberFormat="1" applyFont="1" applyBorder="1" applyAlignment="1">
      <alignment horizontal="right" vertical="center"/>
    </xf>
    <xf numFmtId="165" fontId="0" fillId="0" borderId="14" xfId="0" applyNumberFormat="1" applyBorder="1" applyAlignment="1">
      <alignment vertical="center"/>
    </xf>
    <xf numFmtId="166" fontId="0" fillId="0" borderId="15" xfId="0" applyNumberFormat="1" applyBorder="1" applyAlignment="1">
      <alignment vertical="center"/>
    </xf>
    <xf numFmtId="0" fontId="0" fillId="0" borderId="14" xfId="0" applyBorder="1"/>
    <xf numFmtId="166" fontId="0" fillId="0" borderId="14" xfId="0" applyNumberFormat="1" applyBorder="1" applyAlignment="1">
      <alignment vertical="center"/>
    </xf>
    <xf numFmtId="0" fontId="0" fillId="0" borderId="16" xfId="0" applyBorder="1"/>
    <xf numFmtId="14" fontId="1" fillId="0" borderId="18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right" vertical="center"/>
    </xf>
    <xf numFmtId="164" fontId="0" fillId="0" borderId="19" xfId="0" applyNumberFormat="1" applyBorder="1" applyAlignment="1">
      <alignment vertical="center"/>
    </xf>
    <xf numFmtId="166" fontId="0" fillId="0" borderId="19" xfId="0" applyNumberFormat="1" applyBorder="1" applyAlignment="1">
      <alignment vertical="center"/>
    </xf>
    <xf numFmtId="166" fontId="0" fillId="0" borderId="19" xfId="1" applyNumberFormat="1" applyFont="1" applyBorder="1" applyAlignment="1">
      <alignment vertical="center"/>
    </xf>
    <xf numFmtId="166" fontId="0" fillId="0" borderId="21" xfId="1" applyNumberFormat="1" applyFont="1" applyBorder="1" applyAlignment="1">
      <alignment vertical="center"/>
    </xf>
    <xf numFmtId="14" fontId="1" fillId="0" borderId="23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right" vertical="center"/>
    </xf>
    <xf numFmtId="164" fontId="0" fillId="0" borderId="24" xfId="0" applyNumberFormat="1" applyBorder="1" applyAlignment="1">
      <alignment vertical="center"/>
    </xf>
    <xf numFmtId="166" fontId="0" fillId="0" borderId="25" xfId="0" applyNumberFormat="1" applyBorder="1" applyAlignment="1">
      <alignment vertical="center"/>
    </xf>
    <xf numFmtId="166" fontId="0" fillId="0" borderId="24" xfId="0" applyNumberFormat="1" applyBorder="1" applyAlignment="1">
      <alignment vertical="center"/>
    </xf>
    <xf numFmtId="166" fontId="0" fillId="0" borderId="24" xfId="1" applyNumberFormat="1" applyFont="1" applyBorder="1" applyAlignment="1">
      <alignment vertical="center"/>
    </xf>
    <xf numFmtId="166" fontId="0" fillId="0" borderId="26" xfId="1" applyNumberFormat="1" applyFont="1" applyBorder="1" applyAlignment="1">
      <alignment vertical="center"/>
    </xf>
    <xf numFmtId="14" fontId="1" fillId="0" borderId="28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right" vertical="center"/>
    </xf>
    <xf numFmtId="164" fontId="0" fillId="0" borderId="29" xfId="0" applyNumberFormat="1" applyBorder="1" applyAlignment="1">
      <alignment vertical="center"/>
    </xf>
    <xf numFmtId="166" fontId="0" fillId="0" borderId="30" xfId="0" applyNumberFormat="1" applyBorder="1" applyAlignment="1">
      <alignment vertical="center"/>
    </xf>
    <xf numFmtId="166" fontId="0" fillId="0" borderId="29" xfId="0" applyNumberFormat="1" applyBorder="1" applyAlignment="1">
      <alignment vertical="center"/>
    </xf>
    <xf numFmtId="166" fontId="0" fillId="0" borderId="29" xfId="1" applyNumberFormat="1" applyFont="1" applyBorder="1" applyAlignment="1">
      <alignment vertical="center"/>
    </xf>
    <xf numFmtId="166" fontId="0" fillId="0" borderId="31" xfId="1" applyNumberFormat="1" applyFont="1" applyBorder="1" applyAlignment="1">
      <alignment vertical="center"/>
    </xf>
    <xf numFmtId="14" fontId="1" fillId="0" borderId="32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right" vertical="center"/>
    </xf>
    <xf numFmtId="164" fontId="0" fillId="0" borderId="33" xfId="0" applyNumberFormat="1" applyBorder="1" applyAlignment="1">
      <alignment vertical="center"/>
    </xf>
    <xf numFmtId="166" fontId="0" fillId="0" borderId="34" xfId="0" applyNumberFormat="1" applyBorder="1" applyAlignment="1">
      <alignment vertical="center"/>
    </xf>
    <xf numFmtId="166" fontId="0" fillId="0" borderId="33" xfId="0" applyNumberFormat="1" applyBorder="1" applyAlignment="1">
      <alignment vertical="center"/>
    </xf>
    <xf numFmtId="166" fontId="0" fillId="0" borderId="33" xfId="1" applyNumberFormat="1" applyFont="1" applyBorder="1" applyAlignment="1">
      <alignment vertical="center"/>
    </xf>
    <xf numFmtId="166" fontId="0" fillId="0" borderId="35" xfId="1" applyNumberFormat="1" applyFont="1" applyBorder="1" applyAlignment="1">
      <alignment vertical="center"/>
    </xf>
    <xf numFmtId="0" fontId="3" fillId="4" borderId="8" xfId="0" applyFont="1" applyFill="1" applyBorder="1" applyAlignment="1">
      <alignment horizontal="right" vertical="center"/>
    </xf>
    <xf numFmtId="166" fontId="0" fillId="5" borderId="25" xfId="0" applyNumberFormat="1" applyFill="1" applyBorder="1" applyAlignment="1">
      <alignment vertical="center"/>
    </xf>
    <xf numFmtId="166" fontId="0" fillId="5" borderId="30" xfId="0" applyNumberFormat="1" applyFill="1" applyBorder="1" applyAlignment="1">
      <alignment vertical="center"/>
    </xf>
    <xf numFmtId="166" fontId="0" fillId="5" borderId="20" xfId="0" applyNumberFormat="1" applyFill="1" applyBorder="1" applyAlignment="1">
      <alignment vertical="center"/>
    </xf>
    <xf numFmtId="0" fontId="6" fillId="0" borderId="0" xfId="0" applyFont="1"/>
    <xf numFmtId="0" fontId="7" fillId="0" borderId="36" xfId="0" applyFont="1" applyBorder="1" applyAlignment="1">
      <alignment horizontal="right" vertical="center"/>
    </xf>
    <xf numFmtId="166" fontId="6" fillId="0" borderId="32" xfId="0" applyNumberFormat="1" applyFont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7" fillId="0" borderId="22" xfId="0" applyFont="1" applyBorder="1" applyAlignment="1">
      <alignment horizontal="right" vertical="center"/>
    </xf>
    <xf numFmtId="166" fontId="6" fillId="0" borderId="23" xfId="0" applyNumberFormat="1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7" fillId="0" borderId="27" xfId="0" applyFont="1" applyBorder="1" applyAlignment="1">
      <alignment horizontal="right" vertical="center"/>
    </xf>
    <xf numFmtId="166" fontId="6" fillId="0" borderId="28" xfId="0" applyNumberFormat="1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4" fontId="9" fillId="3" borderId="7" xfId="0" applyNumberFormat="1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10" fillId="6" borderId="0" xfId="0" applyFont="1" applyFill="1" applyAlignment="1">
      <alignment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14" fontId="1" fillId="8" borderId="32" xfId="0" applyNumberFormat="1" applyFont="1" applyFill="1" applyBorder="1" applyAlignment="1">
      <alignment horizontal="center" vertical="center"/>
    </xf>
    <xf numFmtId="14" fontId="1" fillId="8" borderId="23" xfId="0" applyNumberFormat="1" applyFont="1" applyFill="1" applyBorder="1" applyAlignment="1">
      <alignment horizontal="center" vertical="center"/>
    </xf>
    <xf numFmtId="14" fontId="1" fillId="8" borderId="28" xfId="0" applyNumberFormat="1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right" vertical="center"/>
    </xf>
    <xf numFmtId="14" fontId="6" fillId="3" borderId="40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4" fontId="6" fillId="3" borderId="37" xfId="0" applyNumberFormat="1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1" defaultTableStyle="TableStyleMedium2" defaultPivotStyle="PivotStyleLight16">
    <tableStyle name="Invisible" pivot="0" table="0" count="0" xr9:uid="{296C28AA-4807-49D1-BE4E-6B20FE5027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-20</v>
        <stp/>
        <stp>P</stp>
        <stp>0</stp>
        <stp>FX</stp>
        <stp>USD1W_SMBCC</stp>
        <stp>중간값</stp>
        <stp>45624</stp>
        <stp>DtFmt=1</stp>
        <tr r="E9" s="1"/>
      </tp>
      <tp>
        <v>-2590</v>
        <stp/>
        <stp>P</stp>
        <stp>0</stp>
        <stp>FX</stp>
        <stp>USD1Y_SMBCC</stp>
        <stp>중간값</stp>
        <stp>45624</stp>
        <stp>DtFmt=1</stp>
        <tr r="E14" s="1"/>
      </tp>
      <tp>
        <v>-145</v>
        <stp/>
        <stp>P</stp>
        <stp>0</stp>
        <stp>FX</stp>
        <stp>USD1M_SMBCC</stp>
        <stp>중간값</stp>
        <stp>45624</stp>
        <stp>DtFmt=1</stp>
        <tr r="E10" s="1"/>
      </tp>
      <tp>
        <v>-535</v>
        <stp/>
        <stp>P</stp>
        <stp>0</stp>
        <stp>FX</stp>
        <stp>USD3M_SMBCC</stp>
        <stp>중간값</stp>
        <stp>45624</stp>
        <stp>DtFmt=1</stp>
        <tr r="E12" s="1"/>
      </tp>
      <tp>
        <v>-335</v>
        <stp/>
        <stp>P</stp>
        <stp>0</stp>
        <stp>FX</stp>
        <stp>USD2M_SMBCC</stp>
        <stp>중간값</stp>
        <stp>45624</stp>
        <stp>DtFmt=1</stp>
        <tr r="E11" s="1"/>
      </tp>
      <tp>
        <v>-1240</v>
        <stp/>
        <stp>P</stp>
        <stp>0</stp>
        <stp>FX</stp>
        <stp>USD6M_SMBCC</stp>
        <stp>중간값</stp>
        <stp>45624</stp>
        <stp>DtFmt=1</stp>
        <tr r="E13" s="1"/>
      </tp>
      <tp>
        <v>13</v>
        <stp/>
        <stp>P</stp>
        <stp>0</stp>
        <stp>FX</stp>
        <stp>USDTN_SMBCC</stp>
        <stp>중간값</stp>
        <stp>45624</stp>
        <stp>DtFmt=1</stp>
        <tr r="E8" s="1"/>
      </tp>
      <tp>
        <v>0</v>
        <stp/>
        <stp>H</stp>
        <stp>x8.rqDQ</stp>
        <stp>108</stp>
        <stp>77128</stp>
        <tr r="Z5" s="3"/>
      </tp>
      <tp>
        <v>0</v>
        <stp/>
        <stp>H</stp>
        <stp>x6.rqDQ</stp>
        <stp>116</stp>
        <stp>77128</stp>
        <tr r="AK5" s="3"/>
      </tp>
      <tp>
        <v>0</v>
        <stp/>
        <stp>H</stp>
        <stp>x7.rqDQ</stp>
        <stp>107</stp>
        <stp>77128</stp>
        <tr r="AF5" s="3"/>
      </tp>
      <tp>
        <v>0</v>
        <stp/>
        <stp>H</stp>
        <stp>x4.rqDQ</stp>
        <stp>114</stp>
        <stp>77128</stp>
        <tr r="AG5" s="3"/>
      </tp>
      <tp>
        <v>0</v>
        <stp/>
        <stp>H</stp>
        <stp>x5.rqDQ</stp>
        <stp>105</stp>
        <stp>77128</stp>
        <tr r="AD5" s="3"/>
      </tp>
      <tp>
        <v>0</v>
        <stp/>
        <stp>H</stp>
        <stp>x1.twDQ</stp>
        <stp>115</stp>
        <stp>77128</stp>
        <tr r="AI5" s="3"/>
      </tp>
      <tp>
        <v>0</v>
        <stp/>
        <stp>H</stp>
        <stp>x9.rqDQ</stp>
        <stp>112</stp>
        <stp>77128</stp>
        <tr r="F5" s="3"/>
      </tp>
      <tp>
        <v>0</v>
        <stp/>
        <stp>H</stp>
        <stp>x2.rqDQ</stp>
        <stp>102</stp>
        <stp>77128</stp>
        <tr r="A5" s="3"/>
      </tp>
      <tp>
        <v>0</v>
        <stp/>
        <stp>H</stp>
        <stp>x3.rqDQ</stp>
        <stp>103</stp>
        <stp>77128</stp>
        <tr r="X5" s="3"/>
      </tp>
      <tp>
        <v>0</v>
        <stp/>
        <stp>H</stp>
        <stp>x1.rqDQ</stp>
        <stp>113</stp>
        <stp>77128</stp>
        <tr r="AH5" s="3"/>
      </tp>
      <tp>
        <v>1395.6</v>
        <stp/>
        <stp>P</stp>
        <stp>0</stp>
        <stp>FX</stp>
        <stp>USDSP_SMBCC</stp>
        <stp>현재가</stp>
        <stp>45624</stp>
        <stp>DtFmt=1</stp>
        <tr r="E7" s="1"/>
      </tp>
      <tp>
        <v>4.5940000000000003</v>
        <stp/>
        <stp>P</stp>
        <stp>0</stp>
        <stp>IR</stp>
        <stp>IRSTA6USD01W</stp>
        <stp>MID</stp>
        <stp>45624</stp>
        <stp>fill=true</stp>
        <tr r="G9" s="1"/>
      </tp>
      <tp>
        <v>4.2649999999999997</v>
        <stp/>
        <stp>P</stp>
        <stp>0</stp>
        <stp>IR</stp>
        <stp>IRSTA6USD01Y</stp>
        <stp>MID</stp>
        <stp>45624</stp>
        <stp>fill=true</stp>
        <tr r="G14" s="1"/>
      </tp>
      <tp>
        <v>4.54</v>
        <stp/>
        <stp>P</stp>
        <stp>0</stp>
        <stp>IR</stp>
        <stp>IRSTA6USD01M</stp>
        <stp>MID</stp>
        <stp>45624</stp>
        <stp>fill=true</stp>
        <tr r="G10" s="1"/>
      </tp>
      <tp>
        <v>4.58</v>
        <stp/>
        <stp>P</stp>
        <stp>0</stp>
        <stp>IR</stp>
        <stp>IRSTA6USD00D</stp>
        <stp>MID</stp>
        <stp>45624</stp>
        <stp>fill=true</stp>
        <tr r="G8" s="1"/>
      </tp>
      <tp>
        <v>4.4690000000000003</v>
        <stp/>
        <stp>P</stp>
        <stp>0</stp>
        <stp>IR</stp>
        <stp>IRSTA6USD03M</stp>
        <stp>MID</stp>
        <stp>45624</stp>
        <stp>fill=true</stp>
        <tr r="G12" s="1"/>
      </tp>
      <tp>
        <v>4.4969999999999999</v>
        <stp/>
        <stp>P</stp>
        <stp>0</stp>
        <stp>IR</stp>
        <stp>IRSTA6USD02M</stp>
        <stp>MID</stp>
        <stp>45624</stp>
        <stp>fill=true</stp>
        <tr r="G11" s="1"/>
      </tp>
      <tp>
        <v>4.3920000000000003</v>
        <stp/>
        <stp>P</stp>
        <stp>0</stp>
        <stp>IR</stp>
        <stp>IRSTA6USD06M</stp>
        <stp>MID</stp>
        <stp>45624</stp>
        <stp>fill=true</stp>
        <tr r="G13" s="1"/>
      </tp>
      <tp t="s">
        <v/>
        <stp/>
        <stp>P</stp>
        <stp>0</stp>
        <stp>FX</stp>
        <stp>USDON_SMBCC</stp>
        <stp>매수호가</stp>
        <stp>45624</stp>
        <stp/>
        <tr r="D13" s="2"/>
      </tp>
      <tp>
        <v>0</v>
        <stp/>
        <stp>H</stp>
        <stp>x10.rqDQ</stp>
        <stp>117</stp>
        <stp>77128</stp>
        <tr r="AJ5" s="3"/>
      </tp>
      <tp>
        <v>45628</v>
        <stp/>
        <stp>P</stp>
        <stp>0</stp>
        <stp>FX</stp>
        <stp>USDTN_SMBCC</stp>
        <stp>결제일</stp>
        <stp>45624</stp>
        <stp>DtFmt=1</stp>
        <tr r="C8" s="1"/>
      </tp>
      <tp>
        <v>45628</v>
        <stp/>
        <stp>P</stp>
        <stp>0</stp>
        <stp>FX</stp>
        <stp>USDSP_SMBCC</stp>
        <stp>결제일</stp>
        <stp>45624</stp>
        <stp>DtFmt=1</stp>
        <tr r="C7" s="1"/>
      </tp>
      <tp>
        <v>45810</v>
        <stp/>
        <stp>P</stp>
        <stp>0</stp>
        <stp>FX</stp>
        <stp>USD6M_SMBCC</stp>
        <stp>결제일</stp>
        <stp>45624</stp>
        <stp>DtFmt=1</stp>
        <tr r="C13" s="1"/>
      </tp>
      <tp>
        <v>45635</v>
        <stp/>
        <stp>P</stp>
        <stp>0</stp>
        <stp>FX</stp>
        <stp>USD1W_SMBCC</stp>
        <stp>결제일</stp>
        <stp>45624</stp>
        <stp>DtFmt=1</stp>
        <tr r="C9" s="1"/>
      </tp>
      <tp>
        <v>45993</v>
        <stp/>
        <stp>P</stp>
        <stp>0</stp>
        <stp>FX</stp>
        <stp>USD1Y_SMBCC</stp>
        <stp>결제일</stp>
        <stp>45624</stp>
        <stp>DtFmt=1</stp>
        <tr r="C14" s="1"/>
      </tp>
      <tp>
        <v>45659</v>
        <stp/>
        <stp>P</stp>
        <stp>0</stp>
        <stp>FX</stp>
        <stp>USD1M_SMBCC</stp>
        <stp>결제일</stp>
        <stp>45624</stp>
        <stp>DtFmt=1</stp>
        <tr r="C10" s="1"/>
      </tp>
      <tp>
        <v>45691</v>
        <stp/>
        <stp>P</stp>
        <stp>0</stp>
        <stp>FX</stp>
        <stp>USD2M_SMBCC</stp>
        <stp>결제일</stp>
        <stp>45624</stp>
        <stp>DtFmt=1</stp>
        <tr r="C11" s="1"/>
      </tp>
      <tp>
        <v>45720</v>
        <stp/>
        <stp>P</stp>
        <stp>0</stp>
        <stp>FX</stp>
        <stp>USD3M_SMBCC</stp>
        <stp>결제일</stp>
        <stp>45624</stp>
        <stp>DtFmt=1</stp>
        <tr r="C12" s="1"/>
      </tp>
      <tp>
        <v>2.7189999999999999</v>
        <stp/>
        <stp>P</stp>
        <stp>0</stp>
        <stp>IR</stp>
        <stp>BONDKSDCAL03</stp>
        <stp>대표수익률</stp>
        <stp>45624</stp>
        <stp/>
        <tr r="H17" s="2"/>
      </tp>
      <tp>
        <v>2.7559999999999998</v>
        <stp/>
        <stp>P</stp>
        <stp>0</stp>
        <stp>IR</stp>
        <stp>BONDKSDCAL02</stp>
        <stp>대표수익률</stp>
        <stp>45624</stp>
        <stp/>
        <tr r="M9" s="1"/>
      </tp>
      <tp>
        <v>3.29</v>
        <stp/>
        <stp>P</stp>
        <stp>0</stp>
        <stp>IR</stp>
        <stp>BONDKSDCAL08</stp>
        <stp>대표수익률</stp>
        <stp>45624</stp>
        <stp/>
        <tr r="M8" s="1"/>
      </tp>
      <tp>
        <v>3.0569999999999999</v>
        <stp/>
        <stp>P</stp>
        <stp>0</stp>
        <stp>IR</stp>
        <stp>CALLALLX00</stp>
        <stp>최종이율</stp>
        <stp>45624</stp>
        <stp/>
        <tr r="M7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MID(좌)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accent1"/>
                </a:solidFill>
              </a:ln>
              <a:effectLst/>
            </c:spPr>
          </c:marker>
          <c:cat>
            <c:strRef>
              <c:f>cal!$B$8:$B$14</c:f>
              <c:strCache>
                <c:ptCount val="7"/>
                <c:pt idx="0">
                  <c:v>TN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1Y</c:v>
                </c:pt>
              </c:strCache>
            </c:strRef>
          </c:cat>
          <c:val>
            <c:numRef>
              <c:f>cal!$E$8:$E$14</c:f>
              <c:numCache>
                <c:formatCode>#,##0_ ;\-#,##0\ </c:formatCode>
                <c:ptCount val="7"/>
                <c:pt idx="0">
                  <c:v>13</c:v>
                </c:pt>
                <c:pt idx="1">
                  <c:v>-20</c:v>
                </c:pt>
                <c:pt idx="2">
                  <c:v>-145</c:v>
                </c:pt>
                <c:pt idx="3">
                  <c:v>-335</c:v>
                </c:pt>
                <c:pt idx="4">
                  <c:v>-535</c:v>
                </c:pt>
                <c:pt idx="5">
                  <c:v>-1240</c:v>
                </c:pt>
                <c:pt idx="6">
                  <c:v>-2590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A-4FAE-B585-DE701A422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851903"/>
        <c:axId val="70857183"/>
      </c:lineChart>
      <c:lineChart>
        <c:grouping val="standard"/>
        <c:varyColors val="0"/>
        <c:ser>
          <c:idx val="1"/>
          <c:order val="1"/>
          <c:tx>
            <c:v>시장-내재(우)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2225">
                <a:solidFill>
                  <a:schemeClr val="accent2"/>
                </a:solidFill>
              </a:ln>
              <a:effectLst/>
            </c:spPr>
          </c:marker>
          <c:cat>
            <c:strRef>
              <c:f>cal!$B$8:$B$14</c:f>
              <c:strCache>
                <c:ptCount val="7"/>
                <c:pt idx="0">
                  <c:v>TN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1Y</c:v>
                </c:pt>
              </c:strCache>
            </c:strRef>
          </c:cat>
          <c:val>
            <c:numRef>
              <c:f>cal!$I$8:$I$14</c:f>
              <c:numCache>
                <c:formatCode>#,##0.000_ ;\-#,##0.000\ </c:formatCode>
                <c:ptCount val="7"/>
                <c:pt idx="0">
                  <c:v>0</c:v>
                </c:pt>
                <c:pt idx="1">
                  <c:v>-77.422021864635752</c:v>
                </c:pt>
                <c:pt idx="2">
                  <c:v>-18.20185837516992</c:v>
                </c:pt>
                <c:pt idx="3">
                  <c:v>11.121977826001928</c:v>
                </c:pt>
                <c:pt idx="4">
                  <c:v>34.189018904133526</c:v>
                </c:pt>
                <c:pt idx="5">
                  <c:v>50.254501108492455</c:v>
                </c:pt>
                <c:pt idx="6">
                  <c:v>34.683261679564396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FA-4FAE-B585-DE701A422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848063"/>
        <c:axId val="70851423"/>
      </c:lineChart>
      <c:catAx>
        <c:axId val="7085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57183"/>
        <c:crosses val="autoZero"/>
        <c:auto val="1"/>
        <c:lblAlgn val="ctr"/>
        <c:lblOffset val="100"/>
        <c:noMultiLvlLbl val="0"/>
      </c:catAx>
      <c:valAx>
        <c:axId val="7085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51903"/>
        <c:crosses val="autoZero"/>
        <c:crossBetween val="between"/>
      </c:valAx>
      <c:valAx>
        <c:axId val="70851423"/>
        <c:scaling>
          <c:orientation val="minMax"/>
        </c:scaling>
        <c:delete val="0"/>
        <c:axPos val="r"/>
        <c:numFmt formatCode="#,##0.000_ ;\-#,##0.000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8063"/>
        <c:crosses val="max"/>
        <c:crossBetween val="between"/>
      </c:valAx>
      <c:catAx>
        <c:axId val="70848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8514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1"/>
          <c:order val="2"/>
          <c:tx>
            <c:v>시장-내재(우)</c:v>
          </c:tx>
          <c:spPr>
            <a:solidFill>
              <a:schemeClr val="accent1">
                <a:alpha val="30000"/>
              </a:schemeClr>
            </a:solidFill>
            <a:ln>
              <a:noFill/>
            </a:ln>
            <a:effectLst/>
          </c:spPr>
          <c:cat>
            <c:strRef>
              <c:f>cal!$B$19:$B$118</c:f>
              <c:strCache>
                <c:ptCount val="59"/>
                <c:pt idx="0">
                  <c:v>2024-11-28</c:v>
                </c:pt>
                <c:pt idx="1">
                  <c:v>2024-11-27</c:v>
                </c:pt>
                <c:pt idx="2">
                  <c:v>2024-11-26</c:v>
                </c:pt>
                <c:pt idx="3">
                  <c:v>2024-11-25</c:v>
                </c:pt>
                <c:pt idx="4">
                  <c:v>2024-11-22</c:v>
                </c:pt>
                <c:pt idx="5">
                  <c:v>2024-11-21</c:v>
                </c:pt>
                <c:pt idx="6">
                  <c:v>2024-11-20</c:v>
                </c:pt>
                <c:pt idx="7">
                  <c:v>2024-11-19</c:v>
                </c:pt>
                <c:pt idx="8">
                  <c:v>2024-11-18</c:v>
                </c:pt>
                <c:pt idx="9">
                  <c:v>2024-11-15</c:v>
                </c:pt>
                <c:pt idx="10">
                  <c:v>2024-11-14</c:v>
                </c:pt>
                <c:pt idx="11">
                  <c:v>2024-11-13</c:v>
                </c:pt>
                <c:pt idx="12">
                  <c:v>2024-11-12</c:v>
                </c:pt>
                <c:pt idx="13">
                  <c:v>2024-11-11</c:v>
                </c:pt>
                <c:pt idx="14">
                  <c:v>2024-11-08</c:v>
                </c:pt>
                <c:pt idx="15">
                  <c:v>2024-11-07</c:v>
                </c:pt>
                <c:pt idx="16">
                  <c:v>2024-11-06</c:v>
                </c:pt>
                <c:pt idx="17">
                  <c:v>2024-11-05</c:v>
                </c:pt>
                <c:pt idx="18">
                  <c:v>2024-11-04</c:v>
                </c:pt>
                <c:pt idx="19">
                  <c:v>2024-11-01</c:v>
                </c:pt>
                <c:pt idx="20">
                  <c:v>2024-10-31</c:v>
                </c:pt>
                <c:pt idx="21">
                  <c:v>2024-10-30</c:v>
                </c:pt>
                <c:pt idx="22">
                  <c:v>2024-10-29</c:v>
                </c:pt>
                <c:pt idx="23">
                  <c:v>2024-10-28</c:v>
                </c:pt>
                <c:pt idx="24">
                  <c:v>2024-10-25</c:v>
                </c:pt>
                <c:pt idx="25">
                  <c:v>2024-10-24</c:v>
                </c:pt>
                <c:pt idx="26">
                  <c:v>2024-10-23</c:v>
                </c:pt>
                <c:pt idx="27">
                  <c:v>2024-10-22</c:v>
                </c:pt>
                <c:pt idx="28">
                  <c:v>2024-10-21</c:v>
                </c:pt>
                <c:pt idx="29">
                  <c:v>2024-10-18</c:v>
                </c:pt>
                <c:pt idx="30">
                  <c:v>2024-10-17</c:v>
                </c:pt>
                <c:pt idx="31">
                  <c:v>2024-10-16</c:v>
                </c:pt>
                <c:pt idx="32">
                  <c:v>2024-10-15</c:v>
                </c:pt>
                <c:pt idx="33">
                  <c:v>2024-10-14</c:v>
                </c:pt>
                <c:pt idx="34">
                  <c:v>2024-10-11</c:v>
                </c:pt>
                <c:pt idx="35">
                  <c:v>2024-10-10</c:v>
                </c:pt>
                <c:pt idx="36">
                  <c:v>2024-10-08</c:v>
                </c:pt>
                <c:pt idx="37">
                  <c:v>2024-10-07</c:v>
                </c:pt>
                <c:pt idx="38">
                  <c:v>2024-10-04</c:v>
                </c:pt>
                <c:pt idx="39">
                  <c:v>2024-10-02</c:v>
                </c:pt>
                <c:pt idx="40">
                  <c:v>2024-09-30</c:v>
                </c:pt>
                <c:pt idx="41">
                  <c:v>2024-09-27</c:v>
                </c:pt>
                <c:pt idx="42">
                  <c:v>2024-09-26</c:v>
                </c:pt>
                <c:pt idx="43">
                  <c:v>2024-09-25</c:v>
                </c:pt>
                <c:pt idx="44">
                  <c:v>2024-09-24</c:v>
                </c:pt>
                <c:pt idx="45">
                  <c:v>2024-09-23</c:v>
                </c:pt>
                <c:pt idx="46">
                  <c:v>2024-09-20</c:v>
                </c:pt>
                <c:pt idx="47">
                  <c:v>2024-09-19</c:v>
                </c:pt>
                <c:pt idx="48">
                  <c:v>2024-09-13</c:v>
                </c:pt>
                <c:pt idx="49">
                  <c:v>2024-09-12</c:v>
                </c:pt>
                <c:pt idx="50">
                  <c:v>2024-09-11</c:v>
                </c:pt>
                <c:pt idx="51">
                  <c:v>2024-09-10</c:v>
                </c:pt>
                <c:pt idx="52">
                  <c:v>2024-09-09</c:v>
                </c:pt>
                <c:pt idx="53">
                  <c:v>2024-09-06</c:v>
                </c:pt>
                <c:pt idx="54">
                  <c:v>2024-09-05</c:v>
                </c:pt>
                <c:pt idx="55">
                  <c:v>2024-09-04</c:v>
                </c:pt>
                <c:pt idx="56">
                  <c:v>2024-09-03</c:v>
                </c:pt>
                <c:pt idx="57">
                  <c:v>2024-09-02</c:v>
                </c:pt>
                <c:pt idx="58">
                  <c:v>2024-08-30</c:v>
                </c:pt>
              </c:strCache>
            </c:strRef>
          </c:cat>
          <c:val>
            <c:numRef>
              <c:f>cal!$I$19:$I$118</c:f>
              <c:numCache>
                <c:formatCode>#,##0.000_ ;\-#,##0.000\ </c:formatCode>
                <c:ptCount val="100"/>
                <c:pt idx="0">
                  <c:v>34.189018904133526</c:v>
                </c:pt>
                <c:pt idx="1">
                  <c:v>39.221657869689338</c:v>
                </c:pt>
                <c:pt idx="2">
                  <c:v>39.234022707374194</c:v>
                </c:pt>
                <c:pt idx="3">
                  <c:v>43.973152747545761</c:v>
                </c:pt>
                <c:pt idx="4">
                  <c:v>49.791876903608355</c:v>
                </c:pt>
                <c:pt idx="5">
                  <c:v>49.460084000933335</c:v>
                </c:pt>
                <c:pt idx="6">
                  <c:v>47.935328571887446</c:v>
                </c:pt>
                <c:pt idx="7">
                  <c:v>51.633922671276352</c:v>
                </c:pt>
                <c:pt idx="8">
                  <c:v>48.3980230355006</c:v>
                </c:pt>
                <c:pt idx="9">
                  <c:v>43.841088634979016</c:v>
                </c:pt>
                <c:pt idx="10">
                  <c:v>33.27825437149761</c:v>
                </c:pt>
                <c:pt idx="11">
                  <c:v>45.731614868252677</c:v>
                </c:pt>
                <c:pt idx="12">
                  <c:v>53.84007837548981</c:v>
                </c:pt>
                <c:pt idx="13">
                  <c:v>61.277190980762562</c:v>
                </c:pt>
                <c:pt idx="14">
                  <c:v>59.437339120399415</c:v>
                </c:pt>
                <c:pt idx="15">
                  <c:v>58.283868899003146</c:v>
                </c:pt>
                <c:pt idx="16">
                  <c:v>54.694639248781662</c:v>
                </c:pt>
                <c:pt idx="17">
                  <c:v>73.003969370312703</c:v>
                </c:pt>
                <c:pt idx="18">
                  <c:v>72.822308099724964</c:v>
                </c:pt>
                <c:pt idx="19">
                  <c:v>73.774991647282079</c:v>
                </c:pt>
                <c:pt idx="20">
                  <c:v>71.608292976491626</c:v>
                </c:pt>
                <c:pt idx="21">
                  <c:v>71.385268912529526</c:v>
                </c:pt>
                <c:pt idx="22">
                  <c:v>76.747430972577263</c:v>
                </c:pt>
                <c:pt idx="23">
                  <c:v>81.678735297542815</c:v>
                </c:pt>
                <c:pt idx="24">
                  <c:v>85.017121630669394</c:v>
                </c:pt>
                <c:pt idx="25">
                  <c:v>89.571676111013645</c:v>
                </c:pt>
                <c:pt idx="26">
                  <c:v>90.704835030186231</c:v>
                </c:pt>
                <c:pt idx="27">
                  <c:v>91.266112726551057</c:v>
                </c:pt>
                <c:pt idx="28">
                  <c:v>87.886733945418214</c:v>
                </c:pt>
                <c:pt idx="29">
                  <c:v>88.995715024870535</c:v>
                </c:pt>
                <c:pt idx="30">
                  <c:v>87.666828050244931</c:v>
                </c:pt>
                <c:pt idx="31">
                  <c:v>89.586355033334058</c:v>
                </c:pt>
                <c:pt idx="32">
                  <c:v>92.166610241489224</c:v>
                </c:pt>
                <c:pt idx="33">
                  <c:v>91.625522915951805</c:v>
                </c:pt>
                <c:pt idx="34">
                  <c:v>89.712497382283246</c:v>
                </c:pt>
                <c:pt idx="35">
                  <c:v>100.47041984118295</c:v>
                </c:pt>
                <c:pt idx="36">
                  <c:v>93.915149150559827</c:v>
                </c:pt>
                <c:pt idx="37">
                  <c:v>99.83171520722145</c:v>
                </c:pt>
                <c:pt idx="38">
                  <c:v>102.76759358567693</c:v>
                </c:pt>
                <c:pt idx="39">
                  <c:v>100.49999670444465</c:v>
                </c:pt>
                <c:pt idx="40">
                  <c:v>104.3746353304071</c:v>
                </c:pt>
                <c:pt idx="41">
                  <c:v>100.10215709678909</c:v>
                </c:pt>
                <c:pt idx="42">
                  <c:v>84.709477946379465</c:v>
                </c:pt>
                <c:pt idx="43">
                  <c:v>87.885259368730402</c:v>
                </c:pt>
                <c:pt idx="44">
                  <c:v>92.1180075224798</c:v>
                </c:pt>
                <c:pt idx="45">
                  <c:v>84.99346638156328</c:v>
                </c:pt>
                <c:pt idx="46">
                  <c:v>89.903075947451811</c:v>
                </c:pt>
                <c:pt idx="47">
                  <c:v>78.564252226328961</c:v>
                </c:pt>
                <c:pt idx="48">
                  <c:v>64.416415739206244</c:v>
                </c:pt>
                <c:pt idx="49">
                  <c:v>73.328930888339229</c:v>
                </c:pt>
                <c:pt idx="50">
                  <c:v>67.179024858636453</c:v>
                </c:pt>
                <c:pt idx="51">
                  <c:v>70.629868486800845</c:v>
                </c:pt>
                <c:pt idx="52">
                  <c:v>71.447998799230334</c:v>
                </c:pt>
                <c:pt idx="53">
                  <c:v>66.886314228103856</c:v>
                </c:pt>
                <c:pt idx="54">
                  <c:v>67.973572329310002</c:v>
                </c:pt>
                <c:pt idx="55">
                  <c:v>71.456760018405063</c:v>
                </c:pt>
                <c:pt idx="56">
                  <c:v>71.276123682490095</c:v>
                </c:pt>
                <c:pt idx="57">
                  <c:v>69.370321131349172</c:v>
                </c:pt>
                <c:pt idx="58">
                  <c:v>74.266677633743456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AA-4468-9062-E4C58B790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411280"/>
        <c:axId val="1475410800"/>
      </c:areaChart>
      <c:lineChart>
        <c:grouping val="standard"/>
        <c:varyColors val="0"/>
        <c:ser>
          <c:idx val="0"/>
          <c:order val="0"/>
          <c:tx>
            <c:v>시장(좌)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cal!$B$19:$B$118</c:f>
              <c:strCache>
                <c:ptCount val="59"/>
                <c:pt idx="0">
                  <c:v>2024-11-28</c:v>
                </c:pt>
                <c:pt idx="1">
                  <c:v>2024-11-27</c:v>
                </c:pt>
                <c:pt idx="2">
                  <c:v>2024-11-26</c:v>
                </c:pt>
                <c:pt idx="3">
                  <c:v>2024-11-25</c:v>
                </c:pt>
                <c:pt idx="4">
                  <c:v>2024-11-22</c:v>
                </c:pt>
                <c:pt idx="5">
                  <c:v>2024-11-21</c:v>
                </c:pt>
                <c:pt idx="6">
                  <c:v>2024-11-20</c:v>
                </c:pt>
                <c:pt idx="7">
                  <c:v>2024-11-19</c:v>
                </c:pt>
                <c:pt idx="8">
                  <c:v>2024-11-18</c:v>
                </c:pt>
                <c:pt idx="9">
                  <c:v>2024-11-15</c:v>
                </c:pt>
                <c:pt idx="10">
                  <c:v>2024-11-14</c:v>
                </c:pt>
                <c:pt idx="11">
                  <c:v>2024-11-13</c:v>
                </c:pt>
                <c:pt idx="12">
                  <c:v>2024-11-12</c:v>
                </c:pt>
                <c:pt idx="13">
                  <c:v>2024-11-11</c:v>
                </c:pt>
                <c:pt idx="14">
                  <c:v>2024-11-08</c:v>
                </c:pt>
                <c:pt idx="15">
                  <c:v>2024-11-07</c:v>
                </c:pt>
                <c:pt idx="16">
                  <c:v>2024-11-06</c:v>
                </c:pt>
                <c:pt idx="17">
                  <c:v>2024-11-05</c:v>
                </c:pt>
                <c:pt idx="18">
                  <c:v>2024-11-04</c:v>
                </c:pt>
                <c:pt idx="19">
                  <c:v>2024-11-01</c:v>
                </c:pt>
                <c:pt idx="20">
                  <c:v>2024-10-31</c:v>
                </c:pt>
                <c:pt idx="21">
                  <c:v>2024-10-30</c:v>
                </c:pt>
                <c:pt idx="22">
                  <c:v>2024-10-29</c:v>
                </c:pt>
                <c:pt idx="23">
                  <c:v>2024-10-28</c:v>
                </c:pt>
                <c:pt idx="24">
                  <c:v>2024-10-25</c:v>
                </c:pt>
                <c:pt idx="25">
                  <c:v>2024-10-24</c:v>
                </c:pt>
                <c:pt idx="26">
                  <c:v>2024-10-23</c:v>
                </c:pt>
                <c:pt idx="27">
                  <c:v>2024-10-22</c:v>
                </c:pt>
                <c:pt idx="28">
                  <c:v>2024-10-21</c:v>
                </c:pt>
                <c:pt idx="29">
                  <c:v>2024-10-18</c:v>
                </c:pt>
                <c:pt idx="30">
                  <c:v>2024-10-17</c:v>
                </c:pt>
                <c:pt idx="31">
                  <c:v>2024-10-16</c:v>
                </c:pt>
                <c:pt idx="32">
                  <c:v>2024-10-15</c:v>
                </c:pt>
                <c:pt idx="33">
                  <c:v>2024-10-14</c:v>
                </c:pt>
                <c:pt idx="34">
                  <c:v>2024-10-11</c:v>
                </c:pt>
                <c:pt idx="35">
                  <c:v>2024-10-10</c:v>
                </c:pt>
                <c:pt idx="36">
                  <c:v>2024-10-08</c:v>
                </c:pt>
                <c:pt idx="37">
                  <c:v>2024-10-07</c:v>
                </c:pt>
                <c:pt idx="38">
                  <c:v>2024-10-04</c:v>
                </c:pt>
                <c:pt idx="39">
                  <c:v>2024-10-02</c:v>
                </c:pt>
                <c:pt idx="40">
                  <c:v>2024-09-30</c:v>
                </c:pt>
                <c:pt idx="41">
                  <c:v>2024-09-27</c:v>
                </c:pt>
                <c:pt idx="42">
                  <c:v>2024-09-26</c:v>
                </c:pt>
                <c:pt idx="43">
                  <c:v>2024-09-25</c:v>
                </c:pt>
                <c:pt idx="44">
                  <c:v>2024-09-24</c:v>
                </c:pt>
                <c:pt idx="45">
                  <c:v>2024-09-23</c:v>
                </c:pt>
                <c:pt idx="46">
                  <c:v>2024-09-20</c:v>
                </c:pt>
                <c:pt idx="47">
                  <c:v>2024-09-19</c:v>
                </c:pt>
                <c:pt idx="48">
                  <c:v>2024-09-13</c:v>
                </c:pt>
                <c:pt idx="49">
                  <c:v>2024-09-12</c:v>
                </c:pt>
                <c:pt idx="50">
                  <c:v>2024-09-11</c:v>
                </c:pt>
                <c:pt idx="51">
                  <c:v>2024-09-10</c:v>
                </c:pt>
                <c:pt idx="52">
                  <c:v>2024-09-09</c:v>
                </c:pt>
                <c:pt idx="53">
                  <c:v>2024-09-06</c:v>
                </c:pt>
                <c:pt idx="54">
                  <c:v>2024-09-05</c:v>
                </c:pt>
                <c:pt idx="55">
                  <c:v>2024-09-04</c:v>
                </c:pt>
                <c:pt idx="56">
                  <c:v>2024-09-03</c:v>
                </c:pt>
                <c:pt idx="57">
                  <c:v>2024-09-02</c:v>
                </c:pt>
                <c:pt idx="58">
                  <c:v>2024-08-30</c:v>
                </c:pt>
              </c:strCache>
            </c:strRef>
          </c:cat>
          <c:val>
            <c:numRef>
              <c:f>cal!$F$19:$F$118</c:f>
              <c:numCache>
                <c:formatCode>#,##0.000_ ;\-#,##0.000\ </c:formatCode>
                <c:ptCount val="100"/>
                <c:pt idx="0">
                  <c:v>3.29</c:v>
                </c:pt>
                <c:pt idx="1">
                  <c:v>3.44</c:v>
                </c:pt>
                <c:pt idx="2">
                  <c:v>3.44</c:v>
                </c:pt>
                <c:pt idx="3">
                  <c:v>3.44</c:v>
                </c:pt>
                <c:pt idx="4">
                  <c:v>3.44</c:v>
                </c:pt>
                <c:pt idx="5">
                  <c:v>3.44</c:v>
                </c:pt>
                <c:pt idx="6">
                  <c:v>3.44</c:v>
                </c:pt>
                <c:pt idx="7">
                  <c:v>3.44</c:v>
                </c:pt>
                <c:pt idx="8">
                  <c:v>3.44</c:v>
                </c:pt>
                <c:pt idx="9">
                  <c:v>3.44</c:v>
                </c:pt>
                <c:pt idx="10">
                  <c:v>3.44</c:v>
                </c:pt>
                <c:pt idx="11">
                  <c:v>3.44</c:v>
                </c:pt>
                <c:pt idx="12">
                  <c:v>3.44</c:v>
                </c:pt>
                <c:pt idx="13">
                  <c:v>3.43</c:v>
                </c:pt>
                <c:pt idx="14">
                  <c:v>3.43</c:v>
                </c:pt>
                <c:pt idx="15">
                  <c:v>3.43</c:v>
                </c:pt>
                <c:pt idx="16">
                  <c:v>3.44</c:v>
                </c:pt>
                <c:pt idx="17">
                  <c:v>3.44</c:v>
                </c:pt>
                <c:pt idx="18">
                  <c:v>3.43</c:v>
                </c:pt>
                <c:pt idx="19">
                  <c:v>3.43</c:v>
                </c:pt>
                <c:pt idx="20">
                  <c:v>3.43</c:v>
                </c:pt>
                <c:pt idx="21">
                  <c:v>3.43</c:v>
                </c:pt>
                <c:pt idx="22">
                  <c:v>3.41</c:v>
                </c:pt>
                <c:pt idx="23">
                  <c:v>3.41</c:v>
                </c:pt>
                <c:pt idx="24">
                  <c:v>3.4</c:v>
                </c:pt>
                <c:pt idx="25">
                  <c:v>3.4</c:v>
                </c:pt>
                <c:pt idx="26">
                  <c:v>3.4</c:v>
                </c:pt>
                <c:pt idx="27">
                  <c:v>3.4</c:v>
                </c:pt>
                <c:pt idx="28">
                  <c:v>3.39</c:v>
                </c:pt>
                <c:pt idx="29">
                  <c:v>3.39</c:v>
                </c:pt>
                <c:pt idx="30">
                  <c:v>3.39</c:v>
                </c:pt>
                <c:pt idx="31">
                  <c:v>3.4</c:v>
                </c:pt>
                <c:pt idx="32">
                  <c:v>3.4</c:v>
                </c:pt>
                <c:pt idx="33">
                  <c:v>3.4</c:v>
                </c:pt>
                <c:pt idx="34">
                  <c:v>3.4</c:v>
                </c:pt>
                <c:pt idx="35">
                  <c:v>3.5</c:v>
                </c:pt>
                <c:pt idx="36">
                  <c:v>3.51</c:v>
                </c:pt>
                <c:pt idx="37">
                  <c:v>3.51</c:v>
                </c:pt>
                <c:pt idx="38">
                  <c:v>3.52</c:v>
                </c:pt>
                <c:pt idx="39">
                  <c:v>3.52</c:v>
                </c:pt>
                <c:pt idx="40">
                  <c:v>3.53</c:v>
                </c:pt>
                <c:pt idx="41">
                  <c:v>3.53</c:v>
                </c:pt>
                <c:pt idx="42">
                  <c:v>3.53</c:v>
                </c:pt>
                <c:pt idx="43">
                  <c:v>3.53</c:v>
                </c:pt>
                <c:pt idx="44">
                  <c:v>3.53</c:v>
                </c:pt>
                <c:pt idx="45">
                  <c:v>3.53</c:v>
                </c:pt>
                <c:pt idx="46">
                  <c:v>3.53</c:v>
                </c:pt>
                <c:pt idx="47">
                  <c:v>3.53</c:v>
                </c:pt>
                <c:pt idx="48">
                  <c:v>3.53</c:v>
                </c:pt>
                <c:pt idx="49">
                  <c:v>3.51</c:v>
                </c:pt>
                <c:pt idx="50">
                  <c:v>3.51</c:v>
                </c:pt>
                <c:pt idx="51">
                  <c:v>3.51</c:v>
                </c:pt>
                <c:pt idx="52">
                  <c:v>3.51</c:v>
                </c:pt>
                <c:pt idx="53">
                  <c:v>3.51</c:v>
                </c:pt>
                <c:pt idx="54">
                  <c:v>3.51</c:v>
                </c:pt>
                <c:pt idx="55">
                  <c:v>3.51</c:v>
                </c:pt>
                <c:pt idx="56">
                  <c:v>3.51</c:v>
                </c:pt>
                <c:pt idx="57">
                  <c:v>3.52</c:v>
                </c:pt>
                <c:pt idx="58">
                  <c:v>3.52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AA-4468-9062-E4C58B790AF8}"/>
            </c:ext>
          </c:extLst>
        </c:ser>
        <c:ser>
          <c:idx val="2"/>
          <c:order val="1"/>
          <c:tx>
            <c:v>내재(좌)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cal!$B$19:$B$118</c:f>
              <c:strCache>
                <c:ptCount val="59"/>
                <c:pt idx="0">
                  <c:v>2024-11-28</c:v>
                </c:pt>
                <c:pt idx="1">
                  <c:v>2024-11-27</c:v>
                </c:pt>
                <c:pt idx="2">
                  <c:v>2024-11-26</c:v>
                </c:pt>
                <c:pt idx="3">
                  <c:v>2024-11-25</c:v>
                </c:pt>
                <c:pt idx="4">
                  <c:v>2024-11-22</c:v>
                </c:pt>
                <c:pt idx="5">
                  <c:v>2024-11-21</c:v>
                </c:pt>
                <c:pt idx="6">
                  <c:v>2024-11-20</c:v>
                </c:pt>
                <c:pt idx="7">
                  <c:v>2024-11-19</c:v>
                </c:pt>
                <c:pt idx="8">
                  <c:v>2024-11-18</c:v>
                </c:pt>
                <c:pt idx="9">
                  <c:v>2024-11-15</c:v>
                </c:pt>
                <c:pt idx="10">
                  <c:v>2024-11-14</c:v>
                </c:pt>
                <c:pt idx="11">
                  <c:v>2024-11-13</c:v>
                </c:pt>
                <c:pt idx="12">
                  <c:v>2024-11-12</c:v>
                </c:pt>
                <c:pt idx="13">
                  <c:v>2024-11-11</c:v>
                </c:pt>
                <c:pt idx="14">
                  <c:v>2024-11-08</c:v>
                </c:pt>
                <c:pt idx="15">
                  <c:v>2024-11-07</c:v>
                </c:pt>
                <c:pt idx="16">
                  <c:v>2024-11-06</c:v>
                </c:pt>
                <c:pt idx="17">
                  <c:v>2024-11-05</c:v>
                </c:pt>
                <c:pt idx="18">
                  <c:v>2024-11-04</c:v>
                </c:pt>
                <c:pt idx="19">
                  <c:v>2024-11-01</c:v>
                </c:pt>
                <c:pt idx="20">
                  <c:v>2024-10-31</c:v>
                </c:pt>
                <c:pt idx="21">
                  <c:v>2024-10-30</c:v>
                </c:pt>
                <c:pt idx="22">
                  <c:v>2024-10-29</c:v>
                </c:pt>
                <c:pt idx="23">
                  <c:v>2024-10-28</c:v>
                </c:pt>
                <c:pt idx="24">
                  <c:v>2024-10-25</c:v>
                </c:pt>
                <c:pt idx="25">
                  <c:v>2024-10-24</c:v>
                </c:pt>
                <c:pt idx="26">
                  <c:v>2024-10-23</c:v>
                </c:pt>
                <c:pt idx="27">
                  <c:v>2024-10-22</c:v>
                </c:pt>
                <c:pt idx="28">
                  <c:v>2024-10-21</c:v>
                </c:pt>
                <c:pt idx="29">
                  <c:v>2024-10-18</c:v>
                </c:pt>
                <c:pt idx="30">
                  <c:v>2024-10-17</c:v>
                </c:pt>
                <c:pt idx="31">
                  <c:v>2024-10-16</c:v>
                </c:pt>
                <c:pt idx="32">
                  <c:v>2024-10-15</c:v>
                </c:pt>
                <c:pt idx="33">
                  <c:v>2024-10-14</c:v>
                </c:pt>
                <c:pt idx="34">
                  <c:v>2024-10-11</c:v>
                </c:pt>
                <c:pt idx="35">
                  <c:v>2024-10-10</c:v>
                </c:pt>
                <c:pt idx="36">
                  <c:v>2024-10-08</c:v>
                </c:pt>
                <c:pt idx="37">
                  <c:v>2024-10-07</c:v>
                </c:pt>
                <c:pt idx="38">
                  <c:v>2024-10-04</c:v>
                </c:pt>
                <c:pt idx="39">
                  <c:v>2024-10-02</c:v>
                </c:pt>
                <c:pt idx="40">
                  <c:v>2024-09-30</c:v>
                </c:pt>
                <c:pt idx="41">
                  <c:v>2024-09-27</c:v>
                </c:pt>
                <c:pt idx="42">
                  <c:v>2024-09-26</c:v>
                </c:pt>
                <c:pt idx="43">
                  <c:v>2024-09-25</c:v>
                </c:pt>
                <c:pt idx="44">
                  <c:v>2024-09-24</c:v>
                </c:pt>
                <c:pt idx="45">
                  <c:v>2024-09-23</c:v>
                </c:pt>
                <c:pt idx="46">
                  <c:v>2024-09-20</c:v>
                </c:pt>
                <c:pt idx="47">
                  <c:v>2024-09-19</c:v>
                </c:pt>
                <c:pt idx="48">
                  <c:v>2024-09-13</c:v>
                </c:pt>
                <c:pt idx="49">
                  <c:v>2024-09-12</c:v>
                </c:pt>
                <c:pt idx="50">
                  <c:v>2024-09-11</c:v>
                </c:pt>
                <c:pt idx="51">
                  <c:v>2024-09-10</c:v>
                </c:pt>
                <c:pt idx="52">
                  <c:v>2024-09-09</c:v>
                </c:pt>
                <c:pt idx="53">
                  <c:v>2024-09-06</c:v>
                </c:pt>
                <c:pt idx="54">
                  <c:v>2024-09-05</c:v>
                </c:pt>
                <c:pt idx="55">
                  <c:v>2024-09-04</c:v>
                </c:pt>
                <c:pt idx="56">
                  <c:v>2024-09-03</c:v>
                </c:pt>
                <c:pt idx="57">
                  <c:v>2024-09-02</c:v>
                </c:pt>
                <c:pt idx="58">
                  <c:v>2024-08-30</c:v>
                </c:pt>
              </c:strCache>
            </c:strRef>
          </c:cat>
          <c:val>
            <c:numRef>
              <c:f>cal!$H$19:$H$118</c:f>
              <c:numCache>
                <c:formatCode>#,##0.000_ ;\-#,##0.000\ </c:formatCode>
                <c:ptCount val="100"/>
                <c:pt idx="0">
                  <c:v>2.9481098109586648</c:v>
                </c:pt>
                <c:pt idx="1">
                  <c:v>3.0477834213031065</c:v>
                </c:pt>
                <c:pt idx="2">
                  <c:v>3.047659772926258</c:v>
                </c:pt>
                <c:pt idx="3">
                  <c:v>3.0002684725245423</c:v>
                </c:pt>
                <c:pt idx="4">
                  <c:v>2.9420812309639164</c:v>
                </c:pt>
                <c:pt idx="5">
                  <c:v>2.9453991599906666</c:v>
                </c:pt>
                <c:pt idx="6">
                  <c:v>2.9606467142811255</c:v>
                </c:pt>
                <c:pt idx="7">
                  <c:v>2.9236607732872364</c:v>
                </c:pt>
                <c:pt idx="8">
                  <c:v>2.9560197696449939</c:v>
                </c:pt>
                <c:pt idx="9">
                  <c:v>3.0015891136502098</c:v>
                </c:pt>
                <c:pt idx="10">
                  <c:v>3.1072174562850239</c:v>
                </c:pt>
                <c:pt idx="11">
                  <c:v>2.9826838513174732</c:v>
                </c:pt>
                <c:pt idx="12">
                  <c:v>2.9015992162451019</c:v>
                </c:pt>
                <c:pt idx="13">
                  <c:v>2.8172280901923745</c:v>
                </c:pt>
                <c:pt idx="14">
                  <c:v>2.835626608796006</c:v>
                </c:pt>
                <c:pt idx="15">
                  <c:v>2.8471613110099687</c:v>
                </c:pt>
                <c:pt idx="16">
                  <c:v>2.8930536075121833</c:v>
                </c:pt>
                <c:pt idx="17">
                  <c:v>2.7099603062968729</c:v>
                </c:pt>
                <c:pt idx="18">
                  <c:v>2.7017769190027505</c:v>
                </c:pt>
                <c:pt idx="19">
                  <c:v>2.6922500835271794</c:v>
                </c:pt>
                <c:pt idx="20">
                  <c:v>2.7139170702350839</c:v>
                </c:pt>
                <c:pt idx="21">
                  <c:v>2.716147310874705</c:v>
                </c:pt>
                <c:pt idx="22">
                  <c:v>2.6425256902742276</c:v>
                </c:pt>
                <c:pt idx="23">
                  <c:v>2.593212647024572</c:v>
                </c:pt>
                <c:pt idx="24">
                  <c:v>2.549828783693306</c:v>
                </c:pt>
                <c:pt idx="25">
                  <c:v>2.5042832388898635</c:v>
                </c:pt>
                <c:pt idx="26">
                  <c:v>2.4929516496981377</c:v>
                </c:pt>
                <c:pt idx="27">
                  <c:v>2.4873388727344894</c:v>
                </c:pt>
                <c:pt idx="28">
                  <c:v>2.511132660545818</c:v>
                </c:pt>
                <c:pt idx="29">
                  <c:v>2.5000428497512948</c:v>
                </c:pt>
                <c:pt idx="30">
                  <c:v>2.5133317194975509</c:v>
                </c:pt>
                <c:pt idx="31">
                  <c:v>2.5041364496666594</c:v>
                </c:pt>
                <c:pt idx="32">
                  <c:v>2.4783338975851077</c:v>
                </c:pt>
                <c:pt idx="33">
                  <c:v>2.4837447708404818</c:v>
                </c:pt>
                <c:pt idx="34">
                  <c:v>2.5028750261771675</c:v>
                </c:pt>
                <c:pt idx="35">
                  <c:v>2.4952958015881705</c:v>
                </c:pt>
                <c:pt idx="36">
                  <c:v>2.5708485084944015</c:v>
                </c:pt>
                <c:pt idx="37">
                  <c:v>2.5116828479277853</c:v>
                </c:pt>
                <c:pt idx="38">
                  <c:v>2.4923240641432307</c:v>
                </c:pt>
                <c:pt idx="39">
                  <c:v>2.5150000329555535</c:v>
                </c:pt>
                <c:pt idx="40">
                  <c:v>2.4862536466959289</c:v>
                </c:pt>
                <c:pt idx="41">
                  <c:v>2.5289784290321089</c:v>
                </c:pt>
                <c:pt idx="42">
                  <c:v>2.6829052205362052</c:v>
                </c:pt>
                <c:pt idx="43">
                  <c:v>2.6511474063126959</c:v>
                </c:pt>
                <c:pt idx="44">
                  <c:v>2.6088199247752017</c:v>
                </c:pt>
                <c:pt idx="45">
                  <c:v>2.6800653361843669</c:v>
                </c:pt>
                <c:pt idx="46">
                  <c:v>2.6309692405254816</c:v>
                </c:pt>
                <c:pt idx="47">
                  <c:v>2.7443574777367101</c:v>
                </c:pt>
                <c:pt idx="48">
                  <c:v>2.8858358426079374</c:v>
                </c:pt>
                <c:pt idx="49">
                  <c:v>2.7767106911166075</c:v>
                </c:pt>
                <c:pt idx="50">
                  <c:v>2.8382097514136353</c:v>
                </c:pt>
                <c:pt idx="51">
                  <c:v>2.8037013151319914</c:v>
                </c:pt>
                <c:pt idx="52">
                  <c:v>2.7955200120076964</c:v>
                </c:pt>
                <c:pt idx="53">
                  <c:v>2.8411368577189613</c:v>
                </c:pt>
                <c:pt idx="54">
                  <c:v>2.8302642767068997</c:v>
                </c:pt>
                <c:pt idx="55">
                  <c:v>2.7954323998159492</c:v>
                </c:pt>
                <c:pt idx="56">
                  <c:v>2.7972387631750988</c:v>
                </c:pt>
                <c:pt idx="57">
                  <c:v>2.8262967886865082</c:v>
                </c:pt>
                <c:pt idx="58">
                  <c:v>2.7773332236625654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AA-4468-9062-E4C58B790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0363264"/>
        <c:axId val="1300360384"/>
      </c:lineChart>
      <c:dateAx>
        <c:axId val="130036326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360384"/>
        <c:crosses val="autoZero"/>
        <c:auto val="1"/>
        <c:lblOffset val="100"/>
        <c:baseTimeUnit val="days"/>
      </c:dateAx>
      <c:valAx>
        <c:axId val="130036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_ ;\-#,##0.0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363264"/>
        <c:crosses val="autoZero"/>
        <c:crossBetween val="between"/>
      </c:valAx>
      <c:valAx>
        <c:axId val="1475410800"/>
        <c:scaling>
          <c:orientation val="minMax"/>
        </c:scaling>
        <c:delete val="0"/>
        <c:axPos val="r"/>
        <c:numFmt formatCode="#,##0.000_ ;\-#,##0.000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411280"/>
        <c:crosses val="max"/>
        <c:crossBetween val="between"/>
      </c:valAx>
      <c:dateAx>
        <c:axId val="147541128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75410800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option!$B$2" fmlaRange="option!$B$3:$B$6" noThreeD="1" sel="1" val="0"/>
</file>

<file path=xl/ctrlProps/ctrlProp2.xml><?xml version="1.0" encoding="utf-8"?>
<formControlPr xmlns="http://schemas.microsoft.com/office/spreadsheetml/2009/9/main" objectType="Drop" dropStyle="combo" dx="22" fmlaLink="option!$D$2" fmlaRange="option!$D$3:$D$9" noThreeD="1" sel="5" val="0"/>
</file>

<file path=xl/ctrlProps/ctrlProp3.xml><?xml version="1.0" encoding="utf-8"?>
<formControlPr xmlns="http://schemas.microsoft.com/office/spreadsheetml/2009/9/main" objectType="Drop" dropStyle="combo" dx="22" fmlaLink="option!$G$2" fmlaRange="option!$G$3:$G$4" noThreeD="1" sel="2" val="0"/>
</file>

<file path=xl/ctrlProps/ctrlProp4.xml><?xml version="1.0" encoding="utf-8"?>
<formControlPr xmlns="http://schemas.microsoft.com/office/spreadsheetml/2009/9/main" objectType="Drop" dropStyle="combo" dx="22" fmlaLink="option!$J$11" fmlaRange="option!$J$12:$J$13" noThreeD="1" sel="2" val="0"/>
</file>

<file path=xl/ctrlProps/ctrlProp5.xml><?xml version="1.0" encoding="utf-8"?>
<formControlPr xmlns="http://schemas.microsoft.com/office/spreadsheetml/2009/9/main" objectType="Drop" dropStyle="combo" dx="22" fmlaLink="option!$K$11" fmlaRange="option!$K$12:$K$13" noThreeD="1" sel="2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6</xdr:row>
          <xdr:rowOff>19050</xdr:rowOff>
        </xdr:from>
        <xdr:to>
          <xdr:col>4</xdr:col>
          <xdr:colOff>19050</xdr:colOff>
          <xdr:row>6</xdr:row>
          <xdr:rowOff>200025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17</xdr:row>
          <xdr:rowOff>19050</xdr:rowOff>
        </xdr:from>
        <xdr:to>
          <xdr:col>1</xdr:col>
          <xdr:colOff>704850</xdr:colOff>
          <xdr:row>17</xdr:row>
          <xdr:rowOff>200025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8</xdr:row>
          <xdr:rowOff>28575</xdr:rowOff>
        </xdr:from>
        <xdr:to>
          <xdr:col>13</xdr:col>
          <xdr:colOff>919050</xdr:colOff>
          <xdr:row>8</xdr:row>
          <xdr:rowOff>208575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6</xdr:row>
          <xdr:rowOff>28575</xdr:rowOff>
        </xdr:from>
        <xdr:to>
          <xdr:col>14</xdr:col>
          <xdr:colOff>595050</xdr:colOff>
          <xdr:row>6</xdr:row>
          <xdr:rowOff>208575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7</xdr:row>
          <xdr:rowOff>123825</xdr:rowOff>
        </xdr:from>
        <xdr:to>
          <xdr:col>14</xdr:col>
          <xdr:colOff>595050</xdr:colOff>
          <xdr:row>8</xdr:row>
          <xdr:rowOff>76200</xdr:rowOff>
        </xdr:to>
        <xdr:sp macro="" textlink="">
          <xdr:nvSpPr>
            <xdr:cNvPr id="2053" name="Drop Dow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23809</xdr:colOff>
      <xdr:row>9</xdr:row>
      <xdr:rowOff>47625</xdr:rowOff>
    </xdr:from>
    <xdr:to>
      <xdr:col>16</xdr:col>
      <xdr:colOff>158434</xdr:colOff>
      <xdr:row>19</xdr:row>
      <xdr:rowOff>138750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FAF04D3-91EE-3ED1-44F9-46E385FA0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47624</xdr:colOff>
      <xdr:row>22</xdr:row>
      <xdr:rowOff>133350</xdr:rowOff>
    </xdr:from>
    <xdr:to>
      <xdr:col>16</xdr:col>
      <xdr:colOff>182249</xdr:colOff>
      <xdr:row>38</xdr:row>
      <xdr:rowOff>28575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B8F0C3C-7415-46DD-ABD7-1E0AA12FA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AE29-1F33-481C-8306-5CB4BD91E5D7}">
  <dimension ref="B1:S128"/>
  <sheetViews>
    <sheetView showGridLines="0" showRowColHeaders="0" tabSelected="1" workbookViewId="0">
      <selection activeCell="Q69" sqref="Q69"/>
    </sheetView>
  </sheetViews>
  <sheetFormatPr defaultColWidth="0" defaultRowHeight="16.5" zeroHeight="1" x14ac:dyDescent="0.3"/>
  <cols>
    <col min="1" max="1" width="1.25" customWidth="1"/>
    <col min="2" max="2" width="9.75" customWidth="1"/>
    <col min="3" max="3" width="10.375" bestFit="1" customWidth="1"/>
    <col min="4" max="4" width="4.5" customWidth="1"/>
    <col min="5" max="5" width="11.25" customWidth="1"/>
    <col min="6" max="7" width="9.875" customWidth="1"/>
    <col min="8" max="9" width="9.5" customWidth="1"/>
    <col min="10" max="10" width="6.375" customWidth="1"/>
    <col min="11" max="11" width="13.375" customWidth="1"/>
    <col min="12" max="12" width="4.75" customWidth="1"/>
    <col min="13" max="13" width="6.75" customWidth="1"/>
    <col min="14" max="14" width="12.5" customWidth="1"/>
    <col min="15" max="15" width="8" customWidth="1"/>
    <col min="16" max="16" width="12.625" customWidth="1"/>
    <col min="17" max="17" width="3.5" customWidth="1"/>
    <col min="20" max="16384" width="9" hidden="1"/>
  </cols>
  <sheetData>
    <row r="1" spans="2:19" ht="9" customHeight="1" x14ac:dyDescent="0.3"/>
    <row r="2" spans="2:19" ht="29.25" customHeight="1" x14ac:dyDescent="0.3">
      <c r="B2" s="72" t="s">
        <v>96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</row>
    <row r="3" spans="2:19" ht="17.25" thickBot="1" x14ac:dyDescent="0.35">
      <c r="B3" s="71"/>
      <c r="C3" s="71"/>
      <c r="D3" s="71"/>
      <c r="E3" s="71"/>
      <c r="F3" s="71"/>
    </row>
    <row r="4" spans="2:19" s="54" customFormat="1" ht="14.25" thickBot="1" x14ac:dyDescent="0.3">
      <c r="B4" s="81" t="s">
        <v>95</v>
      </c>
      <c r="C4" s="68">
        <v>45624</v>
      </c>
    </row>
    <row r="5" spans="2:19" ht="6" customHeight="1" thickBot="1" x14ac:dyDescent="0.35">
      <c r="I5" s="7"/>
    </row>
    <row r="6" spans="2:19" ht="17.25" thickBot="1" x14ac:dyDescent="0.35">
      <c r="C6" s="14" t="s">
        <v>32</v>
      </c>
      <c r="D6" s="50" t="s">
        <v>33</v>
      </c>
      <c r="E6" s="15" t="s">
        <v>8</v>
      </c>
      <c r="F6" s="12" t="s">
        <v>46</v>
      </c>
      <c r="G6" s="15" t="s">
        <v>45</v>
      </c>
      <c r="H6" s="15" t="s">
        <v>56</v>
      </c>
      <c r="I6" s="13" t="s">
        <v>57</v>
      </c>
      <c r="L6" s="54"/>
      <c r="M6" s="65" t="s">
        <v>46</v>
      </c>
      <c r="N6" s="66"/>
      <c r="O6" s="67" t="s">
        <v>44</v>
      </c>
    </row>
    <row r="7" spans="2:19" ht="18" customHeight="1" x14ac:dyDescent="0.3">
      <c r="B7" s="73" t="s">
        <v>34</v>
      </c>
      <c r="C7" s="16" cm="1">
        <f t="array" ref="C7">_xll.IMDP("FX", $R7, C$6, $C$4, "DtFmt=1")</f>
        <v>45628</v>
      </c>
      <c r="D7" s="17"/>
      <c r="E7" s="18" cm="1">
        <f t="array" aca="1" ref="E7" ca="1">IF( $C$4=TODAY(), _xll.IMDP("FX", $R7, "중간값", $C$4, "DtFmt=1"), _xll.IMDP("FX", $R7, "현재가", $C$4, "DtFmt=1") )</f>
        <v>1395.6</v>
      </c>
      <c r="F7" s="19"/>
      <c r="G7" s="20"/>
      <c r="H7" s="21"/>
      <c r="I7" s="22"/>
      <c r="L7" s="55" t="s">
        <v>58</v>
      </c>
      <c r="M7" s="56" cm="1">
        <f t="array" ref="M7">_xll.IMDP("IR", "CALLALLX00", "최종이율", $C$4)</f>
        <v>3.0569999999999999</v>
      </c>
      <c r="N7" s="57" t="s">
        <v>35</v>
      </c>
      <c r="O7" s="64"/>
      <c r="R7" s="3" t="str" cm="1">
        <f t="array" ref="R7">INDEX(option!$B$14:$B$17, option!$B$2, 0)</f>
        <v>USDSP_SMBCC</v>
      </c>
      <c r="S7" s="3" t="e">
        <v>#N/A</v>
      </c>
    </row>
    <row r="8" spans="2:19" ht="18" customHeight="1" x14ac:dyDescent="0.3">
      <c r="B8" s="74" t="str">
        <f>IF(option!$D$13, "TN", "ON")</f>
        <v>TN</v>
      </c>
      <c r="C8" s="23" cm="1">
        <f t="array" ref="C8">_xll.IMDP("FX", $R8, C$6, $C$4, "DtFmt=1")</f>
        <v>45628</v>
      </c>
      <c r="D8" s="24">
        <f>IFERROR( C8-IF(option!$D$13, $C$7, $C$4), "")</f>
        <v>0</v>
      </c>
      <c r="E8" s="25" cm="1">
        <f t="array" ref="E8">_xll.IMDP("FX", $R8, "중간값", $C$4, "DtFmt=1")</f>
        <v>13</v>
      </c>
      <c r="F8" s="53">
        <f>$M$7</f>
        <v>3.0569999999999999</v>
      </c>
      <c r="G8" s="26" cm="1">
        <f t="array" ref="G8">IF(option!$J$11=1, _xll.IMDP("ECO", cal!$S8, "현재가", $C$4, "fill=true"), _xll.IMDP("IR", $S8, "MID", $C$4, "fill=true"))</f>
        <v>4.58</v>
      </c>
      <c r="H8" s="27" t="str">
        <f ca="1">IFERROR( ( $E8/100/$E$7 * (365/$D8) + $G8/100 ) *100, "")</f>
        <v/>
      </c>
      <c r="I8" s="28" t="str">
        <f ca="1">IFERROR( (F8-H8) * 100, "")</f>
        <v/>
      </c>
      <c r="L8" s="58" t="s">
        <v>59</v>
      </c>
      <c r="M8" s="59" cm="1">
        <f t="array" ref="M8">_xll.IMDP("IR", "BONDKSDCAL08", "대표수익률", $C$4)</f>
        <v>3.29</v>
      </c>
      <c r="N8" s="60" t="s">
        <v>7</v>
      </c>
      <c r="O8" s="69"/>
      <c r="R8" s="4" t="str">
        <f>IF(option!$B$2&gt;2, option!$E14, option!$D14)</f>
        <v>USDTN_SMBCC</v>
      </c>
      <c r="S8" s="4" t="str" cm="1">
        <f t="array" ref="S8">INDEX(option!$J14:$K14, 1, option!$J$11)</f>
        <v>IRSTA6USD00D</v>
      </c>
    </row>
    <row r="9" spans="2:19" ht="18" customHeight="1" thickBot="1" x14ac:dyDescent="0.35">
      <c r="B9" s="75" t="s">
        <v>1</v>
      </c>
      <c r="C9" s="29" cm="1">
        <f t="array" ref="C9">_xll.IMDP("FX", $R9, C$6, $C$4, "DtFmt=1")</f>
        <v>45635</v>
      </c>
      <c r="D9" s="30">
        <f>IFERROR( C9-$C$7, "")</f>
        <v>7</v>
      </c>
      <c r="E9" s="31" cm="1">
        <f t="array" ref="E9">_xll.IMDP("FX", $R9, "중간값", $C$4, "DtFmt=1")</f>
        <v>-20</v>
      </c>
      <c r="F9" s="32">
        <f>IFERROR( FORECAST( $D9, option!$H$14:$H$15, option!$G$14:$G$15), "")</f>
        <v>3.0725333333333333</v>
      </c>
      <c r="G9" s="33" cm="1">
        <f t="array" ref="G9">IF(ISNA($S9), FORECAST($D9, option!$N$14:$N$15, option!$M$14:$M$15),_xll.IMDP("IR", $S9, "MID", $C$4, "fill=true"))</f>
        <v>4.5940000000000003</v>
      </c>
      <c r="H9" s="34">
        <f t="shared" ref="H9:H13" ca="1" si="0">IFERROR( ( $E9/100/$E$7 * (365/$D9) + $G9/100 ) *100, "")</f>
        <v>3.8467535519796909</v>
      </c>
      <c r="I9" s="35">
        <f t="shared" ref="I9:I14" ca="1" si="1">IFERROR( (F9-H9) * 100, "")</f>
        <v>-77.422021864635752</v>
      </c>
      <c r="L9" s="61" t="s">
        <v>60</v>
      </c>
      <c r="M9" s="62" cm="1">
        <f t="array" ref="M9">_xll.IMDP("IR", option!$H$2, "대표수익률", $C$4)</f>
        <v>2.7559999999999998</v>
      </c>
      <c r="N9" s="63"/>
      <c r="O9" s="70"/>
      <c r="R9" s="4" t="str">
        <f>IF(option!$B$2&gt;2, option!$E15, option!$D15)</f>
        <v>USD1W_SMBCC</v>
      </c>
      <c r="S9" s="4" t="str" cm="1">
        <f t="array" ref="S9">INDEX(option!$J15:$K15, 1, option!$K$11)</f>
        <v>IRSTA6USD01W</v>
      </c>
    </row>
    <row r="10" spans="2:19" ht="18" customHeight="1" x14ac:dyDescent="0.3">
      <c r="B10" s="75" t="s">
        <v>2</v>
      </c>
      <c r="C10" s="29" cm="1">
        <f t="array" ref="C10">_xll.IMDP("FX", $R10, C$6, $C$4, "DtFmt=1")</f>
        <v>45659</v>
      </c>
      <c r="D10" s="30">
        <f t="shared" ref="D10:D14" si="2">IFERROR( C10-$C$7, "")</f>
        <v>31</v>
      </c>
      <c r="E10" s="31" cm="1">
        <f t="array" ref="E10">_xll.IMDP("FX", $R10, "중간값", $C$4, "DtFmt=1")</f>
        <v>-145</v>
      </c>
      <c r="F10" s="32">
        <f>IFERROR( FORECAST( $D10, option!$H$14:$H$15, option!$G$14:$G$15), "")</f>
        <v>3.1346666666666665</v>
      </c>
      <c r="G10" s="33" cm="1">
        <f t="array" ref="G10">_xll.IMDP("IR", $S10, "MID", $C$4, "fill=true")</f>
        <v>4.54</v>
      </c>
      <c r="H10" s="34">
        <f t="shared" ca="1" si="0"/>
        <v>3.3166852504183657</v>
      </c>
      <c r="I10" s="35">
        <f t="shared" ca="1" si="1"/>
        <v>-18.20185837516992</v>
      </c>
      <c r="R10" s="4" t="str">
        <f>IF(option!$B$2&gt;2, option!$E16, option!$D16)</f>
        <v>USD1M_SMBCC</v>
      </c>
      <c r="S10" s="4" t="str" cm="1">
        <f t="array" ref="S10">INDEX(option!$J16:$K16, 1, option!$K$11)</f>
        <v>IRSTA6USD01M</v>
      </c>
    </row>
    <row r="11" spans="2:19" ht="18" customHeight="1" x14ac:dyDescent="0.3">
      <c r="B11" s="75" t="s">
        <v>3</v>
      </c>
      <c r="C11" s="29" cm="1">
        <f t="array" ref="C11">_xll.IMDP("FX", $R11, C$6, $C$4, "DtFmt=1")</f>
        <v>45691</v>
      </c>
      <c r="D11" s="30">
        <f t="shared" si="2"/>
        <v>63</v>
      </c>
      <c r="E11" s="31" cm="1">
        <f t="array" ref="E11">_xll.IMDP("FX", $R11, "중간값", $C$4, "DtFmt=1")</f>
        <v>-335</v>
      </c>
      <c r="F11" s="32">
        <f>IFERROR( FORECAST( $D11, option!$H$14:$H$15, option!$G$14:$G$15), "")</f>
        <v>3.217511111111111</v>
      </c>
      <c r="G11" s="33" cm="1">
        <f t="array" ref="G11">_xll.IMDP("IR", $S11, "MID", $C$4, "fill=true")</f>
        <v>4.4969999999999999</v>
      </c>
      <c r="H11" s="34">
        <f t="shared" ca="1" si="0"/>
        <v>3.1062913328510917</v>
      </c>
      <c r="I11" s="35">
        <f t="shared" ca="1" si="1"/>
        <v>11.121977826001928</v>
      </c>
      <c r="R11" s="4" t="str">
        <f>IF(option!$B$2&gt;2, option!$E17, option!$D17)</f>
        <v>USD2M_SMBCC</v>
      </c>
      <c r="S11" s="4" t="str" cm="1">
        <f t="array" ref="S11">INDEX(option!$J17:$K17, 1, option!$K$11)</f>
        <v>IRSTA6USD02M</v>
      </c>
    </row>
    <row r="12" spans="2:19" ht="18" customHeight="1" x14ac:dyDescent="0.3">
      <c r="B12" s="75" t="s">
        <v>4</v>
      </c>
      <c r="C12" s="29" cm="1">
        <f t="array" ref="C12">_xll.IMDP("FX", $R12, C$6, $C$4, "DtFmt=1")</f>
        <v>45720</v>
      </c>
      <c r="D12" s="30">
        <f t="shared" si="2"/>
        <v>92</v>
      </c>
      <c r="E12" s="31" cm="1">
        <f t="array" ref="E12">_xll.IMDP("FX", $R12, "중간값", $C$4, "DtFmt=1")</f>
        <v>-535</v>
      </c>
      <c r="F12" s="51">
        <f>$M$8</f>
        <v>3.29</v>
      </c>
      <c r="G12" s="33" cm="1">
        <f t="array" ref="G12">_xll.IMDP("IR", $S12, "MID", $C$4, "fill=true")</f>
        <v>4.4690000000000003</v>
      </c>
      <c r="H12" s="34">
        <f t="shared" ca="1" si="0"/>
        <v>2.9481098109586648</v>
      </c>
      <c r="I12" s="35">
        <f t="shared" ca="1" si="1"/>
        <v>34.189018904133526</v>
      </c>
      <c r="R12" s="4" t="str">
        <f>IF(option!$B$2&gt;2, option!$E18, option!$D18)</f>
        <v>USD3M_SMBCC</v>
      </c>
      <c r="S12" s="4" t="str" cm="1">
        <f t="array" ref="S12">INDEX(option!$J18:$K18, 1, option!$K$11)</f>
        <v>IRSTA6USD03M</v>
      </c>
    </row>
    <row r="13" spans="2:19" ht="18" customHeight="1" x14ac:dyDescent="0.3">
      <c r="B13" s="75" t="s">
        <v>5</v>
      </c>
      <c r="C13" s="29" cm="1">
        <f t="array" ref="C13">_xll.IMDP("FX", $R13, C$6, $C$4, "DtFmt=1")</f>
        <v>45810</v>
      </c>
      <c r="D13" s="30">
        <f t="shared" si="2"/>
        <v>182</v>
      </c>
      <c r="E13" s="31" cm="1">
        <f t="array" ref="E13">_xll.IMDP("FX", $R13, "중간값", $C$4, "DtFmt=1")</f>
        <v>-1240</v>
      </c>
      <c r="F13" s="32">
        <f>IFERROR( FORECAST( $D13, option!$H$15:$H$16, option!$G$15:$G$16), "")</f>
        <v>3.1126496350364961</v>
      </c>
      <c r="G13" s="33" cm="1">
        <f t="array" ref="G13">_xll.IMDP("IR", $S13, "MID", $C$4, "fill=true")</f>
        <v>4.3920000000000003</v>
      </c>
      <c r="H13" s="34">
        <f t="shared" ca="1" si="0"/>
        <v>2.6101046239515715</v>
      </c>
      <c r="I13" s="35">
        <f t="shared" ca="1" si="1"/>
        <v>50.254501108492455</v>
      </c>
      <c r="R13" s="4" t="str">
        <f>IF(option!$B$2&gt;2, option!$E19, option!$D19)</f>
        <v>USD6M_SMBCC</v>
      </c>
      <c r="S13" s="4" t="str" cm="1">
        <f t="array" ref="S13">INDEX(option!$J19:$K19, 1, option!$K$11)</f>
        <v>IRSTA6USD06M</v>
      </c>
    </row>
    <row r="14" spans="2:19" ht="18" customHeight="1" thickBot="1" x14ac:dyDescent="0.35">
      <c r="B14" s="76" t="s">
        <v>6</v>
      </c>
      <c r="C14" s="36" cm="1">
        <f t="array" ref="C14">_xll.IMDP("FX", $R14, C$6, $C$4, "DtFmt=1")</f>
        <v>45993</v>
      </c>
      <c r="D14" s="37">
        <f t="shared" si="2"/>
        <v>365</v>
      </c>
      <c r="E14" s="38" cm="1">
        <f t="array" ref="E14">_xll.IMDP("FX", $R14, "중간값", $C$4, "DtFmt=1")</f>
        <v>-2590</v>
      </c>
      <c r="F14" s="52">
        <f>$M$9</f>
        <v>2.7559999999999998</v>
      </c>
      <c r="G14" s="40" cm="1">
        <f t="array" ref="G14">_xll.IMDP("IR", $S14, "MID", $C$4, "fill=true")</f>
        <v>4.2649999999999997</v>
      </c>
      <c r="H14" s="41">
        <f ca="1">IFERROR( ( $E14/100/$E$7 * (365/$D14) + $G14/100 ) *100, "")</f>
        <v>2.4091673832043559</v>
      </c>
      <c r="I14" s="42">
        <f t="shared" ca="1" si="1"/>
        <v>34.683261679564396</v>
      </c>
      <c r="R14" s="5" t="str">
        <f>IF(option!$B$2&gt;2, option!$E20, option!$D20)</f>
        <v>USD1Y_SMBCC</v>
      </c>
      <c r="S14" s="5" t="str" cm="1">
        <f t="array" ref="S14">INDEX(option!$J20:$K20, 1, option!$K$11)</f>
        <v>IRSTA6USD01Y</v>
      </c>
    </row>
    <row r="15" spans="2:19" ht="27.75" customHeight="1" thickBot="1" x14ac:dyDescent="0.35"/>
    <row r="16" spans="2:19" ht="18" thickBot="1" x14ac:dyDescent="0.35">
      <c r="B16" s="81" t="s">
        <v>95</v>
      </c>
      <c r="C16" s="82">
        <f>$E$16-90</f>
        <v>45534</v>
      </c>
      <c r="D16" s="83" t="s">
        <v>61</v>
      </c>
      <c r="E16" s="84">
        <f>$C$4</f>
        <v>45624</v>
      </c>
    </row>
    <row r="17" spans="2:9" ht="8.25" customHeight="1" thickBot="1" x14ac:dyDescent="0.35"/>
    <row r="18" spans="2:9" ht="17.25" thickBot="1" x14ac:dyDescent="0.35">
      <c r="B18" s="77" t="s">
        <v>73</v>
      </c>
      <c r="C18" s="15" t="s">
        <v>32</v>
      </c>
      <c r="D18" s="50" t="s">
        <v>33</v>
      </c>
      <c r="E18" s="15" t="s">
        <v>8</v>
      </c>
      <c r="F18" s="12" t="s">
        <v>46</v>
      </c>
      <c r="G18" s="15" t="s">
        <v>45</v>
      </c>
      <c r="H18" s="15" t="s">
        <v>56</v>
      </c>
      <c r="I18" s="13" t="s">
        <v>57</v>
      </c>
    </row>
    <row r="19" spans="2:9" x14ac:dyDescent="0.3">
      <c r="B19" s="78">
        <f>IF( OR(history!$F7 ="",history!$F7 &lt;$C$16), "", history!$F7 )</f>
        <v>45624</v>
      </c>
      <c r="C19" s="43">
        <f>IF( OR(history!$I7 ="",history!$F7 &lt;$C$16), "", history!$I7 )</f>
        <v>45720</v>
      </c>
      <c r="D19" s="44">
        <f>IF($B19="", "", history!J7)</f>
        <v>92</v>
      </c>
      <c r="E19" s="45">
        <f>IF( OR(history!$H7 ="",history!$F7 &lt;$C$16), "", history!$H7 )</f>
        <v>-535</v>
      </c>
      <c r="F19" s="46">
        <f>IFERROR( VLOOKUP($B19, history!$F$7:$S$73, 14, 0), "")</f>
        <v>3.29</v>
      </c>
      <c r="G19" s="47">
        <f>IFERROR( VLOOKUP($B19, history!$F$7:$W$73, 18, 0), "")</f>
        <v>4.4690000000000003</v>
      </c>
      <c r="H19" s="48">
        <f>IFERROR( ( $E19/100/VLOOKUP($B19, history!$A$7:$C$106, 3, 0) * (365/$D19) + $G19/100 ) * 100, "")</f>
        <v>2.9481098109586648</v>
      </c>
      <c r="I19" s="49">
        <f t="shared" ref="I19" si="3">IFERROR( (F19-H19) * 100, "")</f>
        <v>34.189018904133526</v>
      </c>
    </row>
    <row r="20" spans="2:9" x14ac:dyDescent="0.3">
      <c r="B20" s="79">
        <f>IF( OR(history!$F8 ="",history!$F8 &lt;$C$16), "", history!$F8 )</f>
        <v>45623</v>
      </c>
      <c r="C20" s="29">
        <f>IF( OR(history!$I8 ="",history!$F8 &lt;$C$16), "", history!$I8 )</f>
        <v>45716</v>
      </c>
      <c r="D20" s="30">
        <f>IF($B20="", "", history!J8)</f>
        <v>91</v>
      </c>
      <c r="E20" s="31">
        <f>IF( OR(history!$H8 ="",history!$F8 &lt;$C$16), "", history!$H8 )</f>
        <v>-495</v>
      </c>
      <c r="F20" s="32">
        <f>IFERROR( VLOOKUP($B20, history!$F$7:$S$73, 14, 0), "")</f>
        <v>3.44</v>
      </c>
      <c r="G20" s="33">
        <f>IFERROR( VLOOKUP($B20, history!$F$7:$W$73, 18, 0), "")</f>
        <v>4.4690000000000003</v>
      </c>
      <c r="H20" s="34">
        <f>IFERROR( ( $E20/100/VLOOKUP($B20, history!$A$7:$C$106, 3, 0) * (365/$D20) + $G20/100 ) * 100, "")</f>
        <v>3.0477834213031065</v>
      </c>
      <c r="I20" s="35">
        <f t="shared" ref="I20:I83" si="4">IFERROR( (F20-H20) * 100, "")</f>
        <v>39.221657869689338</v>
      </c>
    </row>
    <row r="21" spans="2:9" x14ac:dyDescent="0.3">
      <c r="B21" s="79">
        <f>IF( OR(history!$F9 ="",history!$F9 &lt;$C$16), "", history!$F9 )</f>
        <v>45622</v>
      </c>
      <c r="C21" s="29">
        <f>IF( OR(history!$I9 ="",history!$F9 &lt;$C$16), "", history!$I9 )</f>
        <v>45716</v>
      </c>
      <c r="D21" s="30">
        <f>IF($B21="", "", history!J9)</f>
        <v>91</v>
      </c>
      <c r="E21" s="31">
        <f>IF( OR(history!$H9 ="",history!$F9 &lt;$C$16), "", history!$H9 )</f>
        <v>-500</v>
      </c>
      <c r="F21" s="32">
        <f>IFERROR( VLOOKUP($B21, history!$F$7:$S$73, 14, 0), "")</f>
        <v>3.44</v>
      </c>
      <c r="G21" s="33">
        <f>IFERROR( VLOOKUP($B21, history!$F$7:$W$73, 18, 0), "")</f>
        <v>4.4820000000000002</v>
      </c>
      <c r="H21" s="34">
        <f>IFERROR( ( $E21/100/VLOOKUP($B21, history!$A$7:$C$106, 3, 0) * (365/$D21) + $G21/100 ) * 100, "")</f>
        <v>3.047659772926258</v>
      </c>
      <c r="I21" s="35">
        <f t="shared" si="4"/>
        <v>39.234022707374194</v>
      </c>
    </row>
    <row r="22" spans="2:9" x14ac:dyDescent="0.3">
      <c r="B22" s="79">
        <f>IF( OR(history!$F10 ="",history!$F10 &lt;$C$16), "", history!$F10 )</f>
        <v>45621</v>
      </c>
      <c r="C22" s="29">
        <f>IF( OR(history!$I10 ="",history!$F10 &lt;$C$16), "", history!$I10 )</f>
        <v>45715</v>
      </c>
      <c r="D22" s="30">
        <f>IF($B22="", "", history!J10)</f>
        <v>92</v>
      </c>
      <c r="E22" s="31">
        <f>IF( OR(history!$H10 ="",history!$F10 &lt;$C$16), "", history!$H10 )</f>
        <v>-535</v>
      </c>
      <c r="F22" s="32">
        <f>IFERROR( VLOOKUP($B22, history!$F$7:$S$73, 14, 0), "")</f>
        <v>3.44</v>
      </c>
      <c r="G22" s="33">
        <f>IFERROR( VLOOKUP($B22, history!$F$7:$W$73, 18, 0), "")</f>
        <v>4.5140000000000002</v>
      </c>
      <c r="H22" s="34">
        <f>IFERROR( ( $E22/100/VLOOKUP($B22, history!$A$7:$C$106, 3, 0) * (365/$D22) + $G22/100 ) * 100, "")</f>
        <v>3.0002684725245423</v>
      </c>
      <c r="I22" s="35">
        <f t="shared" si="4"/>
        <v>43.973152747545761</v>
      </c>
    </row>
    <row r="23" spans="2:9" x14ac:dyDescent="0.3">
      <c r="B23" s="79">
        <f>IF( OR(history!$F11 ="",history!$F11 &lt;$C$16), "", history!$F11 )</f>
        <v>45618</v>
      </c>
      <c r="C23" s="29">
        <f>IF( OR(history!$I11 ="",history!$F11 &lt;$C$16), "", history!$I11 )</f>
        <v>45714</v>
      </c>
      <c r="D23" s="30">
        <f>IF($B23="", "", history!J11)</f>
        <v>92</v>
      </c>
      <c r="E23" s="31">
        <f>IF( OR(history!$H11 ="",history!$F11 &lt;$C$16), "", history!$H11 )</f>
        <v>-560</v>
      </c>
      <c r="F23" s="32">
        <f>IFERROR( VLOOKUP($B23, history!$F$7:$S$73, 14, 0), "")</f>
        <v>3.44</v>
      </c>
      <c r="G23" s="33">
        <f>IFERROR( VLOOKUP($B23, history!$F$7:$W$73, 18, 0), "")</f>
        <v>4.5270000000000001</v>
      </c>
      <c r="H23" s="34">
        <f>IFERROR( ( $E23/100/VLOOKUP($B23, history!$A$7:$C$106, 3, 0) * (365/$D23) + $G23/100 ) * 100, "")</f>
        <v>2.9420812309639164</v>
      </c>
      <c r="I23" s="35">
        <f t="shared" si="4"/>
        <v>49.791876903608355</v>
      </c>
    </row>
    <row r="24" spans="2:9" x14ac:dyDescent="0.3">
      <c r="B24" s="79">
        <f>IF( OR(history!$F12 ="",history!$F12 &lt;$C$16), "", history!$F12 )</f>
        <v>45617</v>
      </c>
      <c r="C24" s="29">
        <f>IF( OR(history!$I12 ="",history!$F12 &lt;$C$16), "", history!$I12 )</f>
        <v>45713</v>
      </c>
      <c r="D24" s="30">
        <f>IF($B24="", "", history!J12)</f>
        <v>92</v>
      </c>
      <c r="E24" s="31">
        <f>IF( OR(history!$H12 ="",history!$F12 &lt;$C$16), "", history!$H12 )</f>
        <v>-555</v>
      </c>
      <c r="F24" s="32">
        <f>IFERROR( VLOOKUP($B24, history!$F$7:$S$73, 14, 0), "")</f>
        <v>3.44</v>
      </c>
      <c r="G24" s="33">
        <f>IFERROR( VLOOKUP($B24, history!$F$7:$W$73, 18, 0), "")</f>
        <v>4.5209999999999999</v>
      </c>
      <c r="H24" s="34">
        <f>IFERROR( ( $E24/100/VLOOKUP($B24, history!$A$7:$C$106, 3, 0) * (365/$D24) + $G24/100 ) * 100, "")</f>
        <v>2.9453991599906666</v>
      </c>
      <c r="I24" s="35">
        <f t="shared" si="4"/>
        <v>49.460084000933335</v>
      </c>
    </row>
    <row r="25" spans="2:9" x14ac:dyDescent="0.3">
      <c r="B25" s="79">
        <f>IF( OR(history!$F13 ="",history!$F13 &lt;$C$16), "", history!$F13 )</f>
        <v>45616</v>
      </c>
      <c r="C25" s="29">
        <f>IF( OR(history!$I13 ="",history!$F13 &lt;$C$16), "", history!$I13 )</f>
        <v>45712</v>
      </c>
      <c r="D25" s="30">
        <f>IF($B25="", "", history!J13)</f>
        <v>94</v>
      </c>
      <c r="E25" s="31">
        <f>IF( OR(history!$H13 ="",history!$F13 &lt;$C$16), "", history!$H13 )</f>
        <v>-560</v>
      </c>
      <c r="F25" s="32">
        <f>IFERROR( VLOOKUP($B25, history!$F$7:$S$73, 14, 0), "")</f>
        <v>3.44</v>
      </c>
      <c r="G25" s="33">
        <f>IFERROR( VLOOKUP($B25, history!$F$7:$W$73, 18, 0), "")</f>
        <v>4.524</v>
      </c>
      <c r="H25" s="34">
        <f>IFERROR( ( $E25/100/VLOOKUP($B25, history!$A$7:$C$106, 3, 0) * (365/$D25) + $G25/100 ) * 100, "")</f>
        <v>2.9606467142811255</v>
      </c>
      <c r="I25" s="35">
        <f t="shared" si="4"/>
        <v>47.935328571887446</v>
      </c>
    </row>
    <row r="26" spans="2:9" x14ac:dyDescent="0.3">
      <c r="B26" s="79">
        <f>IF( OR(history!$F14 ="",history!$F14 &lt;$C$16), "", history!$F14 )</f>
        <v>45615</v>
      </c>
      <c r="C26" s="29">
        <f>IF( OR(history!$I14 ="",history!$F14 &lt;$C$16), "", history!$I14 )</f>
        <v>45709</v>
      </c>
      <c r="D26" s="30">
        <f>IF($B26="", "", history!J14)</f>
        <v>92</v>
      </c>
      <c r="E26" s="31">
        <f>IF( OR(history!$H14 ="",history!$F14 &lt;$C$16), "", history!$H14 )</f>
        <v>-560</v>
      </c>
      <c r="F26" s="32">
        <f>IFERROR( VLOOKUP($B26, history!$F$7:$S$73, 14, 0), "")</f>
        <v>3.44</v>
      </c>
      <c r="G26" s="33">
        <f>IFERROR( VLOOKUP($B26, history!$F$7:$W$73, 18, 0), "")</f>
        <v>4.5209999999999999</v>
      </c>
      <c r="H26" s="34">
        <f>IFERROR( ( $E26/100/VLOOKUP($B26, history!$A$7:$C$106, 3, 0) * (365/$D26) + $G26/100 ) * 100, "")</f>
        <v>2.9236607732872364</v>
      </c>
      <c r="I26" s="35">
        <f t="shared" si="4"/>
        <v>51.633922671276352</v>
      </c>
    </row>
    <row r="27" spans="2:9" x14ac:dyDescent="0.3">
      <c r="B27" s="79">
        <f>IF( OR(history!$F15 ="",history!$F15 &lt;$C$16), "", history!$F15 )</f>
        <v>45614</v>
      </c>
      <c r="C27" s="29">
        <f>IF( OR(history!$I15 ="",history!$F15 &lt;$C$16), "", history!$I15 )</f>
        <v>45708</v>
      </c>
      <c r="D27" s="30">
        <f>IF($B27="", "", history!J15)</f>
        <v>92</v>
      </c>
      <c r="E27" s="31">
        <f>IF( OR(history!$H15 ="",history!$F15 &lt;$C$16), "", history!$H15 )</f>
        <v>-550</v>
      </c>
      <c r="F27" s="32">
        <f>IFERROR( VLOOKUP($B27, history!$F$7:$S$73, 14, 0), "")</f>
        <v>3.44</v>
      </c>
      <c r="G27" s="33">
        <f>IFERROR( VLOOKUP($B27, history!$F$7:$W$73, 18, 0), "")</f>
        <v>4.5199999999999996</v>
      </c>
      <c r="H27" s="34">
        <f>IFERROR( ( $E27/100/VLOOKUP($B27, history!$A$7:$C$106, 3, 0) * (365/$D27) + $G27/100 ) * 100, "")</f>
        <v>2.9560197696449939</v>
      </c>
      <c r="I27" s="35">
        <f t="shared" si="4"/>
        <v>48.3980230355006</v>
      </c>
    </row>
    <row r="28" spans="2:9" x14ac:dyDescent="0.3">
      <c r="B28" s="79">
        <f>IF( OR(history!$F16 ="",history!$F16 &lt;$C$16), "", history!$F16 )</f>
        <v>45611</v>
      </c>
      <c r="C28" s="29">
        <f>IF( OR(history!$I16 ="",history!$F16 &lt;$C$16), "", history!$I16 )</f>
        <v>45707</v>
      </c>
      <c r="D28" s="30">
        <f>IF($B28="", "", history!J16)</f>
        <v>92</v>
      </c>
      <c r="E28" s="31">
        <f>IF( OR(history!$H16 ="",history!$F16 &lt;$C$16), "", history!$H16 )</f>
        <v>-535</v>
      </c>
      <c r="F28" s="32">
        <f>IFERROR( VLOOKUP($B28, history!$F$7:$S$73, 14, 0), "")</f>
        <v>3.44</v>
      </c>
      <c r="G28" s="33">
        <f>IFERROR( VLOOKUP($B28, history!$F$7:$W$73, 18, 0), "")</f>
        <v>4.5190000000000001</v>
      </c>
      <c r="H28" s="34">
        <f>IFERROR( ( $E28/100/VLOOKUP($B28, history!$A$7:$C$106, 3, 0) * (365/$D28) + $G28/100 ) * 100, "")</f>
        <v>3.0015891136502098</v>
      </c>
      <c r="I28" s="35">
        <f t="shared" si="4"/>
        <v>43.841088634979016</v>
      </c>
    </row>
    <row r="29" spans="2:9" x14ac:dyDescent="0.3">
      <c r="B29" s="79">
        <f>IF( OR(history!$F17 ="",history!$F17 &lt;$C$16), "", history!$F17 )</f>
        <v>45610</v>
      </c>
      <c r="C29" s="29">
        <f>IF( OR(history!$I17 ="",history!$F17 &lt;$C$16), "", history!$I17 )</f>
        <v>45706</v>
      </c>
      <c r="D29" s="30">
        <f>IF($B29="", "", history!J17)</f>
        <v>92</v>
      </c>
      <c r="E29" s="31">
        <f>IF( OR(history!$H17 ="",history!$F17 &lt;$C$16), "", history!$H17 )</f>
        <v>-500</v>
      </c>
      <c r="F29" s="32">
        <f>IFERROR( VLOOKUP($B29, history!$F$7:$S$73, 14, 0), "")</f>
        <v>3.44</v>
      </c>
      <c r="G29" s="33">
        <f>IFERROR( VLOOKUP($B29, history!$F$7:$W$73, 18, 0), "")</f>
        <v>4.5190000000000001</v>
      </c>
      <c r="H29" s="34">
        <f>IFERROR( ( $E29/100/VLOOKUP($B29, history!$A$7:$C$106, 3, 0) * (365/$D29) + $G29/100 ) * 100, "")</f>
        <v>3.1072174562850239</v>
      </c>
      <c r="I29" s="35">
        <f t="shared" si="4"/>
        <v>33.27825437149761</v>
      </c>
    </row>
    <row r="30" spans="2:9" x14ac:dyDescent="0.3">
      <c r="B30" s="79">
        <f>IF( OR(history!$F18 ="",history!$F18 &lt;$C$16), "", history!$F18 )</f>
        <v>45609</v>
      </c>
      <c r="C30" s="29">
        <f>IF( OR(history!$I18 ="",history!$F18 &lt;$C$16), "", history!$I18 )</f>
        <v>45706</v>
      </c>
      <c r="D30" s="30">
        <f>IF($B30="", "", history!J18)</f>
        <v>95</v>
      </c>
      <c r="E30" s="31">
        <f>IF( OR(history!$H18 ="",history!$F18 &lt;$C$16), "", history!$H18 )</f>
        <v>-550</v>
      </c>
      <c r="F30" s="32">
        <f>IFERROR( VLOOKUP($B30, history!$F$7:$S$73, 14, 0), "")</f>
        <v>3.44</v>
      </c>
      <c r="G30" s="33">
        <f>IFERROR( VLOOKUP($B30, history!$F$7:$W$73, 18, 0), "")</f>
        <v>4.4850000000000003</v>
      </c>
      <c r="H30" s="34">
        <f>IFERROR( ( $E30/100/VLOOKUP($B30, history!$A$7:$C$106, 3, 0) * (365/$D30) + $G30/100 ) * 100, "")</f>
        <v>2.9826838513174732</v>
      </c>
      <c r="I30" s="35">
        <f t="shared" si="4"/>
        <v>45.731614868252677</v>
      </c>
    </row>
    <row r="31" spans="2:9" x14ac:dyDescent="0.3">
      <c r="B31" s="79">
        <f>IF( OR(history!$F19 ="",history!$F19 &lt;$C$16), "", history!$F19 )</f>
        <v>45608</v>
      </c>
      <c r="C31" s="29">
        <f>IF( OR(history!$I19 ="",history!$F19 &lt;$C$16), "", history!$I19 )</f>
        <v>45702</v>
      </c>
      <c r="D31" s="30">
        <f>IF($B31="", "", history!J19)</f>
        <v>92</v>
      </c>
      <c r="E31" s="31">
        <f>IF( OR(history!$H19 ="",history!$F19 &lt;$C$16), "", history!$H19 )</f>
        <v>-575</v>
      </c>
      <c r="F31" s="32">
        <f>IFERROR( VLOOKUP($B31, history!$F$7:$S$73, 14, 0), "")</f>
        <v>3.44</v>
      </c>
      <c r="G31" s="33">
        <f>IFERROR( VLOOKUP($B31, history!$F$7:$W$73, 18, 0), "")</f>
        <v>4.5270000000000001</v>
      </c>
      <c r="H31" s="34">
        <f>IFERROR( ( $E31/100/VLOOKUP($B31, history!$A$7:$C$106, 3, 0) * (365/$D31) + $G31/100 ) * 100, "")</f>
        <v>2.9015992162451019</v>
      </c>
      <c r="I31" s="35">
        <f t="shared" si="4"/>
        <v>53.84007837548981</v>
      </c>
    </row>
    <row r="32" spans="2:9" x14ac:dyDescent="0.3">
      <c r="B32" s="79">
        <f>IF( OR(history!$F20 ="",history!$F20 &lt;$C$16), "", history!$F20 )</f>
        <v>45607</v>
      </c>
      <c r="C32" s="29">
        <f>IF( OR(history!$I20 ="",history!$F20 &lt;$C$16), "", history!$I20 )</f>
        <v>45701</v>
      </c>
      <c r="D32" s="30">
        <f>IF($B32="", "", history!J20)</f>
        <v>92</v>
      </c>
      <c r="E32" s="31">
        <f>IF( OR(history!$H20 ="",history!$F20 &lt;$C$16), "", history!$H20 )</f>
        <v>-600</v>
      </c>
      <c r="F32" s="32">
        <f>IFERROR( VLOOKUP($B32, history!$F$7:$S$73, 14, 0), "")</f>
        <v>3.43</v>
      </c>
      <c r="G32" s="33">
        <f>IFERROR( VLOOKUP($B32, history!$F$7:$W$73, 18, 0), "")</f>
        <v>4.524</v>
      </c>
      <c r="H32" s="34">
        <f>IFERROR( ( $E32/100/VLOOKUP($B32, history!$A$7:$C$106, 3, 0) * (365/$D32) + $G32/100 ) * 100, "")</f>
        <v>2.8172280901923745</v>
      </c>
      <c r="I32" s="35">
        <f t="shared" si="4"/>
        <v>61.277190980762562</v>
      </c>
    </row>
    <row r="33" spans="2:9" x14ac:dyDescent="0.3">
      <c r="B33" s="79">
        <f>IF( OR(history!$F21 ="",history!$F21 &lt;$C$16), "", history!$F21 )</f>
        <v>45604</v>
      </c>
      <c r="C33" s="29">
        <f>IF( OR(history!$I21 ="",history!$F21 &lt;$C$16), "", history!$I21 )</f>
        <v>45700</v>
      </c>
      <c r="D33" s="30">
        <f>IF($B33="", "", history!J21)</f>
        <v>92</v>
      </c>
      <c r="E33" s="31">
        <f>IF( OR(history!$H21 ="",history!$F21 &lt;$C$16), "", history!$H21 )</f>
        <v>-590</v>
      </c>
      <c r="F33" s="32">
        <f>IFERROR( VLOOKUP($B33, history!$F$7:$S$73, 14, 0), "")</f>
        <v>3.43</v>
      </c>
      <c r="G33" s="33">
        <f>IFERROR( VLOOKUP($B33, history!$F$7:$W$73, 18, 0), "")</f>
        <v>4.524</v>
      </c>
      <c r="H33" s="34">
        <f>IFERROR( ( $E33/100/VLOOKUP($B33, history!$A$7:$C$106, 3, 0) * (365/$D33) + $G33/100 ) * 100, "")</f>
        <v>2.835626608796006</v>
      </c>
      <c r="I33" s="35">
        <f t="shared" si="4"/>
        <v>59.437339120399415</v>
      </c>
    </row>
    <row r="34" spans="2:9" x14ac:dyDescent="0.3">
      <c r="B34" s="79">
        <f>IF( OR(history!$F22 ="",history!$F22 &lt;$C$16), "", history!$F22 )</f>
        <v>45603</v>
      </c>
      <c r="C34" s="29">
        <f>IF( OR(history!$I22 ="",history!$F22 &lt;$C$16), "", history!$I22 )</f>
        <v>45700</v>
      </c>
      <c r="D34" s="30">
        <f>IF($B34="", "", history!J22)</f>
        <v>92</v>
      </c>
      <c r="E34" s="31">
        <f>IF( OR(history!$H22 ="",history!$F22 &lt;$C$16), "", history!$H22 )</f>
        <v>-585</v>
      </c>
      <c r="F34" s="32">
        <f>IFERROR( VLOOKUP($B34, history!$F$7:$S$73, 14, 0), "")</f>
        <v>3.43</v>
      </c>
      <c r="G34" s="33">
        <f>IFERROR( VLOOKUP($B34, history!$F$7:$W$73, 18, 0), "")</f>
        <v>4.5090000000000003</v>
      </c>
      <c r="H34" s="34">
        <f>IFERROR( ( $E34/100/VLOOKUP($B34, history!$A$7:$C$106, 3, 0) * (365/$D34) + $G34/100 ) * 100, "")</f>
        <v>2.8471613110099687</v>
      </c>
      <c r="I34" s="35">
        <f t="shared" si="4"/>
        <v>58.283868899003146</v>
      </c>
    </row>
    <row r="35" spans="2:9" x14ac:dyDescent="0.3">
      <c r="B35" s="79">
        <f>IF( OR(history!$F23 ="",history!$F23 &lt;$C$16), "", history!$F23 )</f>
        <v>45602</v>
      </c>
      <c r="C35" s="29">
        <f>IF( OR(history!$I23 ="",history!$F23 &lt;$C$16), "", history!$I23 )</f>
        <v>45698</v>
      </c>
      <c r="D35" s="30">
        <f>IF($B35="", "", history!J23)</f>
        <v>94</v>
      </c>
      <c r="E35" s="31">
        <f>IF( OR(history!$H23 ="",history!$F23 &lt;$C$16), "", history!$H23 )</f>
        <v>-585</v>
      </c>
      <c r="F35" s="32">
        <f>IFERROR( VLOOKUP($B35, history!$F$7:$S$73, 14, 0), "")</f>
        <v>3.44</v>
      </c>
      <c r="G35" s="33">
        <f>IFERROR( VLOOKUP($B35, history!$F$7:$W$73, 18, 0), "")</f>
        <v>4.5199999999999996</v>
      </c>
      <c r="H35" s="34">
        <f>IFERROR( ( $E35/100/VLOOKUP($B35, history!$A$7:$C$106, 3, 0) * (365/$D35) + $G35/100 ) * 100, "")</f>
        <v>2.8930536075121833</v>
      </c>
      <c r="I35" s="35">
        <f t="shared" si="4"/>
        <v>54.694639248781662</v>
      </c>
    </row>
    <row r="36" spans="2:9" x14ac:dyDescent="0.3">
      <c r="B36" s="79">
        <f>IF( OR(history!$F24 ="",history!$F24 &lt;$C$16), "", history!$F24 )</f>
        <v>45601</v>
      </c>
      <c r="C36" s="29">
        <f>IF( OR(history!$I24 ="",history!$F24 &lt;$C$16), "", history!$I24 )</f>
        <v>45695</v>
      </c>
      <c r="D36" s="30">
        <f>IF($B36="", "", history!J24)</f>
        <v>92</v>
      </c>
      <c r="E36" s="31">
        <f>IF( OR(history!$H24 ="",history!$F24 &lt;$C$16), "", history!$H24 )</f>
        <v>-630</v>
      </c>
      <c r="F36" s="32">
        <f>IFERROR( VLOOKUP($B36, history!$F$7:$S$73, 14, 0), "")</f>
        <v>3.44</v>
      </c>
      <c r="G36" s="33">
        <f>IFERROR( VLOOKUP($B36, history!$F$7:$W$73, 18, 0), "")</f>
        <v>4.5229999999999997</v>
      </c>
      <c r="H36" s="34">
        <f>IFERROR( ( $E36/100/VLOOKUP($B36, history!$A$7:$C$106, 3, 0) * (365/$D36) + $G36/100 ) * 100, "")</f>
        <v>2.7099603062968729</v>
      </c>
      <c r="I36" s="35">
        <f t="shared" si="4"/>
        <v>73.003969370312703</v>
      </c>
    </row>
    <row r="37" spans="2:9" x14ac:dyDescent="0.3">
      <c r="B37" s="79">
        <f>IF( OR(history!$F25 ="",history!$F25 &lt;$C$16), "", history!$F25 )</f>
        <v>45600</v>
      </c>
      <c r="C37" s="29">
        <f>IF( OR(history!$I25 ="",history!$F25 &lt;$C$16), "", history!$I25 )</f>
        <v>45694</v>
      </c>
      <c r="D37" s="30">
        <f>IF($B37="", "", history!J25)</f>
        <v>92</v>
      </c>
      <c r="E37" s="31">
        <f>IF( OR(history!$H25 ="",history!$F25 &lt;$C$16), "", history!$H25 )</f>
        <v>-630</v>
      </c>
      <c r="F37" s="32">
        <f>IFERROR( VLOOKUP($B37, history!$F$7:$S$73, 14, 0), "")</f>
        <v>3.43</v>
      </c>
      <c r="G37" s="33">
        <f>IFERROR( VLOOKUP($B37, history!$F$7:$W$73, 18, 0), "")</f>
        <v>4.5250000000000004</v>
      </c>
      <c r="H37" s="34">
        <f>IFERROR( ( $E37/100/VLOOKUP($B37, history!$A$7:$C$106, 3, 0) * (365/$D37) + $G37/100 ) * 100, "")</f>
        <v>2.7017769190027505</v>
      </c>
      <c r="I37" s="35">
        <f t="shared" si="4"/>
        <v>72.822308099724964</v>
      </c>
    </row>
    <row r="38" spans="2:9" x14ac:dyDescent="0.3">
      <c r="B38" s="79">
        <f>IF( OR(history!$F26 ="",history!$F26 &lt;$C$16), "", history!$F26 )</f>
        <v>45597</v>
      </c>
      <c r="C38" s="29">
        <f>IF( OR(history!$I26 ="",history!$F26 &lt;$C$16), "", history!$I26 )</f>
        <v>45693</v>
      </c>
      <c r="D38" s="30">
        <f>IF($B38="", "", history!J26)</f>
        <v>92</v>
      </c>
      <c r="E38" s="31">
        <f>IF( OR(history!$H26 ="",history!$F26 &lt;$C$16), "", history!$H26 )</f>
        <v>-640</v>
      </c>
      <c r="F38" s="32">
        <f>IFERROR( VLOOKUP($B38, history!$F$7:$S$73, 14, 0), "")</f>
        <v>3.43</v>
      </c>
      <c r="G38" s="33">
        <f>IFERROR( VLOOKUP($B38, history!$F$7:$W$73, 18, 0), "")</f>
        <v>4.5330000000000004</v>
      </c>
      <c r="H38" s="34">
        <f>IFERROR( ( $E38/100/VLOOKUP($B38, history!$A$7:$C$106, 3, 0) * (365/$D38) + $G38/100 ) * 100, "")</f>
        <v>2.6922500835271794</v>
      </c>
      <c r="I38" s="35">
        <f t="shared" si="4"/>
        <v>73.774991647282079</v>
      </c>
    </row>
    <row r="39" spans="2:9" x14ac:dyDescent="0.3">
      <c r="B39" s="79">
        <f>IF( OR(history!$F27 ="",history!$F27 &lt;$C$16), "", history!$F27 )</f>
        <v>45596</v>
      </c>
      <c r="C39" s="29">
        <f>IF( OR(history!$I27 ="",history!$F27 &lt;$C$16), "", history!$I27 )</f>
        <v>45692</v>
      </c>
      <c r="D39" s="30">
        <f>IF($B39="", "", history!J27)</f>
        <v>92</v>
      </c>
      <c r="E39" s="31">
        <f>IF( OR(history!$H27 ="",history!$F27 &lt;$C$16), "", history!$H27 )</f>
        <v>-640</v>
      </c>
      <c r="F39" s="32">
        <f>IFERROR( VLOOKUP($B39, history!$F$7:$S$73, 14, 0), "")</f>
        <v>3.43</v>
      </c>
      <c r="G39" s="33">
        <f>IFERROR( VLOOKUP($B39, history!$F$7:$W$73, 18, 0), "")</f>
        <v>4.5540000000000003</v>
      </c>
      <c r="H39" s="34">
        <f>IFERROR( ( $E39/100/VLOOKUP($B39, history!$A$7:$C$106, 3, 0) * (365/$D39) + $G39/100 ) * 100, "")</f>
        <v>2.7139170702350839</v>
      </c>
      <c r="I39" s="35">
        <f t="shared" si="4"/>
        <v>71.608292976491626</v>
      </c>
    </row>
    <row r="40" spans="2:9" x14ac:dyDescent="0.3">
      <c r="B40" s="79">
        <f>IF( OR(history!$F28 ="",history!$F28 &lt;$C$16), "", history!$F28 )</f>
        <v>45595</v>
      </c>
      <c r="C40" s="29">
        <f>IF( OR(history!$I28 ="",history!$F28 &lt;$C$16), "", history!$I28 )</f>
        <v>45691</v>
      </c>
      <c r="D40" s="30">
        <f>IF($B40="", "", history!J28)</f>
        <v>94</v>
      </c>
      <c r="E40" s="31">
        <f>IF( OR(history!$H28 ="",history!$F28 &lt;$C$16), "", history!$H28 )</f>
        <v>-660</v>
      </c>
      <c r="F40" s="32">
        <f>IFERROR( VLOOKUP($B40, history!$F$7:$S$73, 14, 0), "")</f>
        <v>3.43</v>
      </c>
      <c r="G40" s="33">
        <f>IFERROR( VLOOKUP($B40, history!$F$7:$W$73, 18, 0), "")</f>
        <v>4.57</v>
      </c>
      <c r="H40" s="34">
        <f>IFERROR( ( $E40/100/VLOOKUP($B40, history!$A$7:$C$106, 3, 0) * (365/$D40) + $G40/100 ) * 100, "")</f>
        <v>2.716147310874705</v>
      </c>
      <c r="I40" s="35">
        <f t="shared" si="4"/>
        <v>71.385268912529526</v>
      </c>
    </row>
    <row r="41" spans="2:9" x14ac:dyDescent="0.3">
      <c r="B41" s="79">
        <f>IF( OR(history!$F29 ="",history!$F29 &lt;$C$16), "", history!$F29 )</f>
        <v>45594</v>
      </c>
      <c r="C41" s="29">
        <f>IF( OR(history!$I29 ="",history!$F29 &lt;$C$16), "", history!$I29 )</f>
        <v>45688</v>
      </c>
      <c r="D41" s="30">
        <f>IF($B41="", "", history!J29)</f>
        <v>92</v>
      </c>
      <c r="E41" s="31">
        <f>IF( OR(history!$H29 ="",history!$F29 &lt;$C$16), "", history!$H29 )</f>
        <v>-675</v>
      </c>
      <c r="F41" s="32">
        <f>IFERROR( VLOOKUP($B41, history!$F$7:$S$73, 14, 0), "")</f>
        <v>3.41</v>
      </c>
      <c r="G41" s="33">
        <f>IFERROR( VLOOKUP($B41, history!$F$7:$W$73, 18, 0), "")</f>
        <v>4.5739999999999998</v>
      </c>
      <c r="H41" s="34">
        <f>IFERROR( ( $E41/100/VLOOKUP($B41, history!$A$7:$C$106, 3, 0) * (365/$D41) + $G41/100 ) * 100, "")</f>
        <v>2.6425256902742276</v>
      </c>
      <c r="I41" s="35">
        <f t="shared" si="4"/>
        <v>76.747430972577263</v>
      </c>
    </row>
    <row r="42" spans="2:9" x14ac:dyDescent="0.3">
      <c r="B42" s="79">
        <f>IF( OR(history!$F30 ="",history!$F30 &lt;$C$16), "", history!$F30 )</f>
        <v>45593</v>
      </c>
      <c r="C42" s="29">
        <f>IF( OR(history!$I30 ="",history!$F30 &lt;$C$16), "", history!$I30 )</f>
        <v>45688</v>
      </c>
      <c r="D42" s="30">
        <f>IF($B42="", "", history!J30)</f>
        <v>93</v>
      </c>
      <c r="E42" s="31">
        <f>IF( OR(history!$H30 ="",history!$F30 &lt;$C$16), "", history!$H30 )</f>
        <v>-705</v>
      </c>
      <c r="F42" s="32">
        <f>IFERROR( VLOOKUP($B42, history!$F$7:$S$73, 14, 0), "")</f>
        <v>3.41</v>
      </c>
      <c r="G42" s="33">
        <f>IFERROR( VLOOKUP($B42, history!$F$7:$W$73, 18, 0), "")</f>
        <v>4.5910000000000002</v>
      </c>
      <c r="H42" s="34">
        <f>IFERROR( ( $E42/100/VLOOKUP($B42, history!$A$7:$C$106, 3, 0) * (365/$D42) + $G42/100 ) * 100, "")</f>
        <v>2.593212647024572</v>
      </c>
      <c r="I42" s="35">
        <f t="shared" si="4"/>
        <v>81.678735297542815</v>
      </c>
    </row>
    <row r="43" spans="2:9" x14ac:dyDescent="0.3">
      <c r="B43" s="79">
        <f>IF( OR(history!$F31 ="",history!$F31 &lt;$C$16), "", history!$F31 )</f>
        <v>45590</v>
      </c>
      <c r="C43" s="29">
        <f>IF( OR(history!$I31 ="",history!$F31 &lt;$C$16), "", history!$I31 )</f>
        <v>45688</v>
      </c>
      <c r="D43" s="30">
        <f>IF($B43="", "", history!J31)</f>
        <v>94</v>
      </c>
      <c r="E43" s="31">
        <f>IF( OR(history!$H31 ="",history!$F31 &lt;$C$16), "", history!$H31 )</f>
        <v>-730</v>
      </c>
      <c r="F43" s="32">
        <f>IFERROR( VLOOKUP($B43, history!$F$7:$S$73, 14, 0), "")</f>
        <v>3.4</v>
      </c>
      <c r="G43" s="33">
        <f>IFERROR( VLOOKUP($B43, history!$F$7:$W$73, 18, 0), "")</f>
        <v>4.5910000000000002</v>
      </c>
      <c r="H43" s="34">
        <f>IFERROR( ( $E43/100/VLOOKUP($B43, history!$A$7:$C$106, 3, 0) * (365/$D43) + $G43/100 ) * 100, "")</f>
        <v>2.549828783693306</v>
      </c>
      <c r="I43" s="35">
        <f t="shared" si="4"/>
        <v>85.017121630669394</v>
      </c>
    </row>
    <row r="44" spans="2:9" x14ac:dyDescent="0.3">
      <c r="B44" s="79">
        <f>IF( OR(history!$F32 ="",history!$F32 &lt;$C$16), "", history!$F32 )</f>
        <v>45589</v>
      </c>
      <c r="C44" s="29">
        <f>IF( OR(history!$I32 ="",history!$F32 &lt;$C$16), "", history!$I32 )</f>
        <v>45688</v>
      </c>
      <c r="D44" s="30">
        <f>IF($B44="", "", history!J32)</f>
        <v>95</v>
      </c>
      <c r="E44" s="31">
        <f>IF( OR(history!$H32 ="",history!$F32 &lt;$C$16), "", history!$H32 )</f>
        <v>-755</v>
      </c>
      <c r="F44" s="32">
        <f>IFERROR( VLOOKUP($B44, history!$F$7:$S$73, 14, 0), "")</f>
        <v>3.4</v>
      </c>
      <c r="G44" s="33">
        <f>IFERROR( VLOOKUP($B44, history!$F$7:$W$73, 18, 0), "")</f>
        <v>4.6059999999999999</v>
      </c>
      <c r="H44" s="34">
        <f>IFERROR( ( $E44/100/VLOOKUP($B44, history!$A$7:$C$106, 3, 0) * (365/$D44) + $G44/100 ) * 100, "")</f>
        <v>2.5042832388898635</v>
      </c>
      <c r="I44" s="35">
        <f t="shared" si="4"/>
        <v>89.571676111013645</v>
      </c>
    </row>
    <row r="45" spans="2:9" x14ac:dyDescent="0.3">
      <c r="B45" s="79">
        <f>IF( OR(history!$F33 ="",history!$F33 &lt;$C$16), "", history!$F33 )</f>
        <v>45588</v>
      </c>
      <c r="C45" s="29">
        <f>IF( OR(history!$I33 ="",history!$F33 &lt;$C$16), "", history!$I33 )</f>
        <v>45684</v>
      </c>
      <c r="D45" s="30">
        <f>IF($B45="", "", history!J33)</f>
        <v>94</v>
      </c>
      <c r="E45" s="31">
        <f>IF( OR(history!$H33 ="",history!$F33 &lt;$C$16), "", history!$H33 )</f>
        <v>-760</v>
      </c>
      <c r="F45" s="32">
        <f>IFERROR( VLOOKUP($B45, history!$F$7:$S$73, 14, 0), "")</f>
        <v>3.4</v>
      </c>
      <c r="G45" s="33">
        <f>IFERROR( VLOOKUP($B45, history!$F$7:$W$73, 18, 0), "")</f>
        <v>4.6280000000000001</v>
      </c>
      <c r="H45" s="34">
        <f>IFERROR( ( $E45/100/VLOOKUP($B45, history!$A$7:$C$106, 3, 0) * (365/$D45) + $G45/100 ) * 100, "")</f>
        <v>2.4929516496981377</v>
      </c>
      <c r="I45" s="35">
        <f t="shared" si="4"/>
        <v>90.704835030186231</v>
      </c>
    </row>
    <row r="46" spans="2:9" x14ac:dyDescent="0.3">
      <c r="B46" s="79">
        <f>IF( OR(history!$F34 ="",history!$F34 &lt;$C$16), "", history!$F34 )</f>
        <v>45587</v>
      </c>
      <c r="C46" s="29">
        <f>IF( OR(history!$I34 ="",history!$F34 &lt;$C$16), "", history!$I34 )</f>
        <v>45681</v>
      </c>
      <c r="D46" s="30">
        <f>IF($B46="", "", history!J34)</f>
        <v>92</v>
      </c>
      <c r="E46" s="31">
        <f>IF( OR(history!$H34 ="",history!$F34 &lt;$C$16), "", history!$H34 )</f>
        <v>-745</v>
      </c>
      <c r="F46" s="32">
        <f>IFERROR( VLOOKUP($B46, history!$F$7:$S$73, 14, 0), "")</f>
        <v>3.4</v>
      </c>
      <c r="G46" s="33">
        <f>IFERROR( VLOOKUP($B46, history!$F$7:$W$73, 18, 0), "")</f>
        <v>4.6289999999999996</v>
      </c>
      <c r="H46" s="34">
        <f>IFERROR( ( $E46/100/VLOOKUP($B46, history!$A$7:$C$106, 3, 0) * (365/$D46) + $G46/100 ) * 100, "")</f>
        <v>2.4873388727344894</v>
      </c>
      <c r="I46" s="35">
        <f t="shared" si="4"/>
        <v>91.266112726551057</v>
      </c>
    </row>
    <row r="47" spans="2:9" x14ac:dyDescent="0.3">
      <c r="B47" s="79">
        <f>IF( OR(history!$F35 ="",history!$F35 &lt;$C$16), "", history!$F35 )</f>
        <v>45586</v>
      </c>
      <c r="C47" s="29">
        <f>IF( OR(history!$I35 ="",history!$F35 &lt;$C$16), "", history!$I35 )</f>
        <v>45680</v>
      </c>
      <c r="D47" s="30">
        <f>IF($B47="", "", history!J35)</f>
        <v>92</v>
      </c>
      <c r="E47" s="31">
        <f>IF( OR(history!$H35 ="",history!$F35 &lt;$C$16), "", history!$H35 )</f>
        <v>-740</v>
      </c>
      <c r="F47" s="32">
        <f>IFERROR( VLOOKUP($B47, history!$F$7:$S$73, 14, 0), "")</f>
        <v>3.39</v>
      </c>
      <c r="G47" s="33">
        <f>IFERROR( VLOOKUP($B47, history!$F$7:$W$73, 18, 0), "")</f>
        <v>4.6459999999999999</v>
      </c>
      <c r="H47" s="34">
        <f>IFERROR( ( $E47/100/VLOOKUP($B47, history!$A$7:$C$106, 3, 0) * (365/$D47) + $G47/100 ) * 100, "")</f>
        <v>2.511132660545818</v>
      </c>
      <c r="I47" s="35">
        <f t="shared" si="4"/>
        <v>87.886733945418214</v>
      </c>
    </row>
    <row r="48" spans="2:9" x14ac:dyDescent="0.3">
      <c r="B48" s="79">
        <f>IF( OR(history!$F36 ="",history!$F36 &lt;$C$16), "", history!$F36 )</f>
        <v>45583</v>
      </c>
      <c r="C48" s="29">
        <f>IF( OR(history!$I36 ="",history!$F36 &lt;$C$16), "", history!$I36 )</f>
        <v>45679</v>
      </c>
      <c r="D48" s="30">
        <f>IF($B48="", "", history!J36)</f>
        <v>92</v>
      </c>
      <c r="E48" s="31">
        <f>IF( OR(history!$H36 ="",history!$F36 &lt;$C$16), "", history!$H36 )</f>
        <v>-735</v>
      </c>
      <c r="F48" s="32">
        <f>IFERROR( VLOOKUP($B48, history!$F$7:$S$73, 14, 0), "")</f>
        <v>3.39</v>
      </c>
      <c r="G48" s="33">
        <f>IFERROR( VLOOKUP($B48, history!$F$7:$W$73, 18, 0), "")</f>
        <v>4.6289999999999996</v>
      </c>
      <c r="H48" s="34">
        <f>IFERROR( ( $E48/100/VLOOKUP($B48, history!$A$7:$C$106, 3, 0) * (365/$D48) + $G48/100 ) * 100, "")</f>
        <v>2.5000428497512948</v>
      </c>
      <c r="I48" s="35">
        <f t="shared" si="4"/>
        <v>88.995715024870535</v>
      </c>
    </row>
    <row r="49" spans="2:9" x14ac:dyDescent="0.3">
      <c r="B49" s="79">
        <f>IF( OR(history!$F37 ="",history!$F37 &lt;$C$16), "", history!$F37 )</f>
        <v>45582</v>
      </c>
      <c r="C49" s="29">
        <f>IF( OR(history!$I37 ="",history!$F37 &lt;$C$16), "", history!$I37 )</f>
        <v>45678</v>
      </c>
      <c r="D49" s="30">
        <f>IF($B49="", "", history!J37)</f>
        <v>92</v>
      </c>
      <c r="E49" s="31">
        <f>IF( OR(history!$H37 ="",history!$F37 &lt;$C$16), "", history!$H37 )</f>
        <v>-735</v>
      </c>
      <c r="F49" s="32">
        <f>IFERROR( VLOOKUP($B49, history!$F$7:$S$73, 14, 0), "")</f>
        <v>3.39</v>
      </c>
      <c r="G49" s="33">
        <f>IFERROR( VLOOKUP($B49, history!$F$7:$W$73, 18, 0), "")</f>
        <v>4.6440000000000001</v>
      </c>
      <c r="H49" s="34">
        <f>IFERROR( ( $E49/100/VLOOKUP($B49, history!$A$7:$C$106, 3, 0) * (365/$D49) + $G49/100 ) * 100, "")</f>
        <v>2.5133317194975509</v>
      </c>
      <c r="I49" s="35">
        <f t="shared" si="4"/>
        <v>87.666828050244931</v>
      </c>
    </row>
    <row r="50" spans="2:9" x14ac:dyDescent="0.3">
      <c r="B50" s="79">
        <f>IF( OR(history!$F38 ="",history!$F38 &lt;$C$16), "", history!$F38 )</f>
        <v>45581</v>
      </c>
      <c r="C50" s="29">
        <f>IF( OR(history!$I38 ="",history!$F38 &lt;$C$16), "", history!$I38 )</f>
        <v>45678</v>
      </c>
      <c r="D50" s="30">
        <f>IF($B50="", "", history!J38)</f>
        <v>95</v>
      </c>
      <c r="E50" s="31">
        <f>IF( OR(history!$H38 ="",history!$F38 &lt;$C$16), "", history!$H38 )</f>
        <v>-755</v>
      </c>
      <c r="F50" s="32">
        <f>IFERROR( VLOOKUP($B50, history!$F$7:$S$73, 14, 0), "")</f>
        <v>3.4</v>
      </c>
      <c r="G50" s="33">
        <f>IFERROR( VLOOKUP($B50, history!$F$7:$W$73, 18, 0), "")</f>
        <v>4.633</v>
      </c>
      <c r="H50" s="34">
        <f>IFERROR( ( $E50/100/VLOOKUP($B50, history!$A$7:$C$106, 3, 0) * (365/$D50) + $G50/100 ) * 100, "")</f>
        <v>2.5041364496666594</v>
      </c>
      <c r="I50" s="35">
        <f t="shared" si="4"/>
        <v>89.586355033334058</v>
      </c>
    </row>
    <row r="51" spans="2:9" x14ac:dyDescent="0.3">
      <c r="B51" s="79">
        <f>IF( OR(history!$F39 ="",history!$F39 &lt;$C$16), "", history!$F39 )</f>
        <v>45580</v>
      </c>
      <c r="C51" s="29">
        <f>IF( OR(history!$I39 ="",history!$F39 &lt;$C$16), "", history!$I39 )</f>
        <v>45674</v>
      </c>
      <c r="D51" s="30">
        <f>IF($B51="", "", history!J39)</f>
        <v>92</v>
      </c>
      <c r="E51" s="31">
        <f>IF( OR(history!$H39 ="",history!$F39 &lt;$C$16), "", history!$H39 )</f>
        <v>-740</v>
      </c>
      <c r="F51" s="32">
        <f>IFERROR( VLOOKUP($B51, history!$F$7:$S$73, 14, 0), "")</f>
        <v>3.4</v>
      </c>
      <c r="G51" s="33">
        <f>IFERROR( VLOOKUP($B51, history!$F$7:$W$73, 18, 0), "")</f>
        <v>4.6349999999999998</v>
      </c>
      <c r="H51" s="34">
        <f>IFERROR( ( $E51/100/VLOOKUP($B51, history!$A$7:$C$106, 3, 0) * (365/$D51) + $G51/100 ) * 100, "")</f>
        <v>2.4783338975851077</v>
      </c>
      <c r="I51" s="35">
        <f t="shared" si="4"/>
        <v>92.166610241489224</v>
      </c>
    </row>
    <row r="52" spans="2:9" x14ac:dyDescent="0.3">
      <c r="B52" s="79">
        <f>IF( OR(history!$F40 ="",history!$F40 &lt;$C$16), "", history!$F40 )</f>
        <v>45579</v>
      </c>
      <c r="C52" s="29">
        <f>IF( OR(history!$I40 ="",history!$F40 &lt;$C$16), "", history!$I40 )</f>
        <v>45673</v>
      </c>
      <c r="D52" s="30">
        <f>IF($B52="", "", history!J40)</f>
        <v>92</v>
      </c>
      <c r="E52" s="31">
        <f>IF( OR(history!$H40 ="",history!$F40 &lt;$C$16), "", history!$H40 )</f>
        <v>-740</v>
      </c>
      <c r="F52" s="32">
        <f>IFERROR( VLOOKUP($B52, history!$F$7:$S$73, 14, 0), "")</f>
        <v>3.4</v>
      </c>
      <c r="G52" s="33">
        <f>IFERROR( VLOOKUP($B52, history!$F$7:$W$73, 18, 0), "")</f>
        <v>4.649</v>
      </c>
      <c r="H52" s="34">
        <f>IFERROR( ( $E52/100/VLOOKUP($B52, history!$A$7:$C$106, 3, 0) * (365/$D52) + $G52/100 ) * 100, "")</f>
        <v>2.4837447708404818</v>
      </c>
      <c r="I52" s="35">
        <f t="shared" si="4"/>
        <v>91.625522915951805</v>
      </c>
    </row>
    <row r="53" spans="2:9" x14ac:dyDescent="0.3">
      <c r="B53" s="79">
        <f>IF( OR(history!$F41 ="",history!$F41 &lt;$C$16), "", history!$F41 )</f>
        <v>45576</v>
      </c>
      <c r="C53" s="29">
        <f>IF( OR(history!$I41 ="",history!$F41 &lt;$C$16), "", history!$I41 )</f>
        <v>45672</v>
      </c>
      <c r="D53" s="30">
        <f>IF($B53="", "", history!J41)</f>
        <v>92</v>
      </c>
      <c r="E53" s="31">
        <f>IF( OR(history!$H41 ="",history!$F41 &lt;$C$16), "", history!$H41 )</f>
        <v>-730</v>
      </c>
      <c r="F53" s="32">
        <f>IFERROR( VLOOKUP($B53, history!$F$7:$S$73, 14, 0), "")</f>
        <v>3.4</v>
      </c>
      <c r="G53" s="33">
        <f>IFERROR( VLOOKUP($B53, history!$F$7:$W$73, 18, 0), "")</f>
        <v>4.649</v>
      </c>
      <c r="H53" s="34">
        <f>IFERROR( ( $E53/100/VLOOKUP($B53, history!$A$7:$C$106, 3, 0) * (365/$D53) + $G53/100 ) * 100, "")</f>
        <v>2.5028750261771675</v>
      </c>
      <c r="I53" s="35">
        <f t="shared" si="4"/>
        <v>89.712497382283246</v>
      </c>
    </row>
    <row r="54" spans="2:9" x14ac:dyDescent="0.3">
      <c r="B54" s="79">
        <f>IF( OR(history!$F42 ="",history!$F42 &lt;$C$16), "", history!$F42 )</f>
        <v>45575</v>
      </c>
      <c r="C54" s="29">
        <f>IF( OR(history!$I42 ="",history!$F42 &lt;$C$16), "", history!$I42 )</f>
        <v>45672</v>
      </c>
      <c r="D54" s="30">
        <f>IF($B54="", "", history!J42)</f>
        <v>92</v>
      </c>
      <c r="E54" s="31">
        <f>IF( OR(history!$H42 ="",history!$F42 &lt;$C$16), "", history!$H42 )</f>
        <v>-735</v>
      </c>
      <c r="F54" s="32">
        <f>IFERROR( VLOOKUP($B54, history!$F$7:$S$73, 14, 0), "")</f>
        <v>3.5</v>
      </c>
      <c r="G54" s="33">
        <f>IFERROR( VLOOKUP($B54, history!$F$7:$W$73, 18, 0), "")</f>
        <v>4.6550000000000002</v>
      </c>
      <c r="H54" s="34">
        <f>IFERROR( ( $E54/100/VLOOKUP($B54, history!$A$7:$C$106, 3, 0) * (365/$D54) + $G54/100 ) * 100, "")</f>
        <v>2.4952958015881705</v>
      </c>
      <c r="I54" s="35">
        <f t="shared" si="4"/>
        <v>100.47041984118295</v>
      </c>
    </row>
    <row r="55" spans="2:9" x14ac:dyDescent="0.3">
      <c r="B55" s="79">
        <f>IF( OR(history!$F43 ="",history!$F43 &lt;$C$16), "", history!$F43 )</f>
        <v>45573</v>
      </c>
      <c r="C55" s="29">
        <f>IF( OR(history!$I43 ="",history!$F43 &lt;$C$16), "", history!$I43 )</f>
        <v>45670</v>
      </c>
      <c r="D55" s="30">
        <f>IF($B55="", "", history!J43)</f>
        <v>94</v>
      </c>
      <c r="E55" s="31">
        <f>IF( OR(history!$H43 ="",history!$F43 &lt;$C$16), "", history!$H43 )</f>
        <v>-730</v>
      </c>
      <c r="F55" s="32">
        <f>IFERROR( VLOOKUP($B55, history!$F$7:$S$73, 14, 0), "")</f>
        <v>3.51</v>
      </c>
      <c r="G55" s="33">
        <f>IFERROR( VLOOKUP($B55, history!$F$7:$W$73, 18, 0), "")</f>
        <v>4.6710000000000003</v>
      </c>
      <c r="H55" s="34">
        <f>IFERROR( ( $E55/100/VLOOKUP($B55, history!$A$7:$C$106, 3, 0) * (365/$D55) + $G55/100 ) * 100, "")</f>
        <v>2.5708485084944015</v>
      </c>
      <c r="I55" s="35">
        <f t="shared" si="4"/>
        <v>93.915149150559827</v>
      </c>
    </row>
    <row r="56" spans="2:9" x14ac:dyDescent="0.3">
      <c r="B56" s="79">
        <f>IF( OR(history!$F44 ="",history!$F44 &lt;$C$16), "", history!$F44 )</f>
        <v>45572</v>
      </c>
      <c r="C56" s="29">
        <f>IF( OR(history!$I44 ="",history!$F44 &lt;$C$16), "", history!$I44 )</f>
        <v>45667</v>
      </c>
      <c r="D56" s="30">
        <f>IF($B56="", "", history!J44)</f>
        <v>92</v>
      </c>
      <c r="E56" s="31">
        <f>IF( OR(history!$H44 ="",history!$F44 &lt;$C$16), "", history!$H44 )</f>
        <v>-735</v>
      </c>
      <c r="F56" s="32">
        <f>IFERROR( VLOOKUP($B56, history!$F$7:$S$73, 14, 0), "")</f>
        <v>3.51</v>
      </c>
      <c r="G56" s="33">
        <f>IFERROR( VLOOKUP($B56, history!$F$7:$W$73, 18, 0), "")</f>
        <v>4.6769999999999996</v>
      </c>
      <c r="H56" s="34">
        <f>IFERROR( ( $E56/100/VLOOKUP($B56, history!$A$7:$C$106, 3, 0) * (365/$D56) + $G56/100 ) * 100, "")</f>
        <v>2.5116828479277853</v>
      </c>
      <c r="I56" s="35">
        <f t="shared" si="4"/>
        <v>99.83171520722145</v>
      </c>
    </row>
    <row r="57" spans="2:9" x14ac:dyDescent="0.3">
      <c r="B57" s="79">
        <f>IF( OR(history!$F45 ="",history!$F45 &lt;$C$16), "", history!$F45 )</f>
        <v>45569</v>
      </c>
      <c r="C57" s="29">
        <f>IF( OR(history!$I45 ="",history!$F45 &lt;$C$16), "", history!$I45 )</f>
        <v>45665</v>
      </c>
      <c r="D57" s="30">
        <f>IF($B57="", "", history!J45)</f>
        <v>92</v>
      </c>
      <c r="E57" s="31">
        <f>IF( OR(history!$H45 ="",history!$F45 &lt;$C$16), "", history!$H45 )</f>
        <v>-725</v>
      </c>
      <c r="F57" s="32">
        <f>IFERROR( VLOOKUP($B57, history!$F$7:$S$73, 14, 0), "")</f>
        <v>3.52</v>
      </c>
      <c r="G57" s="33">
        <f>IFERROR( VLOOKUP($B57, history!$F$7:$W$73, 18, 0), "")</f>
        <v>4.649</v>
      </c>
      <c r="H57" s="34">
        <f>IFERROR( ( $E57/100/VLOOKUP($B57, history!$A$7:$C$106, 3, 0) * (365/$D57) + $G57/100 ) * 100, "")</f>
        <v>2.4923240641432307</v>
      </c>
      <c r="I57" s="35">
        <f t="shared" si="4"/>
        <v>102.76759358567693</v>
      </c>
    </row>
    <row r="58" spans="2:9" x14ac:dyDescent="0.3">
      <c r="B58" s="79">
        <f>IF( OR(history!$F46 ="",history!$F46 &lt;$C$16), "", history!$F46 )</f>
        <v>45567</v>
      </c>
      <c r="C58" s="29">
        <f>IF( OR(history!$I46 ="",history!$F46 &lt;$C$16), "", history!$I46 )</f>
        <v>45664</v>
      </c>
      <c r="D58" s="30">
        <f>IF($B58="", "", history!J46)</f>
        <v>92</v>
      </c>
      <c r="E58" s="31">
        <f>IF( OR(history!$H46 ="",history!$F46 &lt;$C$16), "", history!$H46 )</f>
        <v>-695</v>
      </c>
      <c r="F58" s="32">
        <f>IFERROR( VLOOKUP($B58, history!$F$7:$S$73, 14, 0), "")</f>
        <v>3.52</v>
      </c>
      <c r="G58" s="33">
        <f>IFERROR( VLOOKUP($B58, history!$F$7:$W$73, 18, 0), "")</f>
        <v>4.6050000000000004</v>
      </c>
      <c r="H58" s="34">
        <f>IFERROR( ( $E58/100/VLOOKUP($B58, history!$A$7:$C$106, 3, 0) * (365/$D58) + $G58/100 ) * 100, "")</f>
        <v>2.5150000329555535</v>
      </c>
      <c r="I58" s="35">
        <f t="shared" si="4"/>
        <v>100.49999670444465</v>
      </c>
    </row>
    <row r="59" spans="2:9" x14ac:dyDescent="0.3">
      <c r="B59" s="79">
        <f>IF( OR(history!$F47 ="",history!$F47 &lt;$C$16), "", history!$F47 )</f>
        <v>45565</v>
      </c>
      <c r="C59" s="29">
        <f>IF( OR(history!$I47 ="",history!$F47 &lt;$C$16), "", history!$I47 )</f>
        <v>45663</v>
      </c>
      <c r="D59" s="30">
        <f>IF($B59="", "", history!J47)</f>
        <v>94</v>
      </c>
      <c r="E59" s="31">
        <f>IF( OR(history!$H47 ="",history!$F47 &lt;$C$16), "", history!$H47 )</f>
        <v>-720</v>
      </c>
      <c r="F59" s="32">
        <f>IFERROR( VLOOKUP($B59, history!$F$7:$S$73, 14, 0), "")</f>
        <v>3.53</v>
      </c>
      <c r="G59" s="33">
        <f>IFERROR( VLOOKUP($B59, history!$F$7:$W$73, 18, 0), "")</f>
        <v>4.6239999999999997</v>
      </c>
      <c r="H59" s="34">
        <f>IFERROR( ( $E59/100/VLOOKUP($B59, history!$A$7:$C$106, 3, 0) * (365/$D59) + $G59/100 ) * 100, "")</f>
        <v>2.4862536466959289</v>
      </c>
      <c r="I59" s="35">
        <f t="shared" si="4"/>
        <v>104.3746353304071</v>
      </c>
    </row>
    <row r="60" spans="2:9" x14ac:dyDescent="0.3">
      <c r="B60" s="79">
        <f>IF( OR(history!$F48 ="",history!$F48 &lt;$C$16), "", history!$F48 )</f>
        <v>45562</v>
      </c>
      <c r="C60" s="29">
        <f>IF( OR(history!$I48 ="",history!$F48 &lt;$C$16), "", history!$I48 )</f>
        <v>45659</v>
      </c>
      <c r="D60" s="30">
        <f>IF($B60="", "", history!J48)</f>
        <v>92</v>
      </c>
      <c r="E60" s="31">
        <f>IF( OR(history!$H48 ="",history!$F48 &lt;$C$16), "", history!$H48 )</f>
        <v>-685</v>
      </c>
      <c r="F60" s="32">
        <f>IFERROR( VLOOKUP($B60, history!$F$7:$S$73, 14, 0), "")</f>
        <v>3.53</v>
      </c>
      <c r="G60" s="33">
        <f>IFERROR( VLOOKUP($B60, history!$F$7:$W$73, 18, 0), "")</f>
        <v>4.59</v>
      </c>
      <c r="H60" s="34">
        <f>IFERROR( ( $E60/100/VLOOKUP($B60, history!$A$7:$C$106, 3, 0) * (365/$D60) + $G60/100 ) * 100, "")</f>
        <v>2.5289784290321089</v>
      </c>
      <c r="I60" s="35">
        <f t="shared" si="4"/>
        <v>100.10215709678909</v>
      </c>
    </row>
    <row r="61" spans="2:9" x14ac:dyDescent="0.3">
      <c r="B61" s="79">
        <f>IF( OR(history!$F49 ="",history!$F49 &lt;$C$16), "", history!$F49 )</f>
        <v>45561</v>
      </c>
      <c r="C61" s="29">
        <f>IF( OR(history!$I49 ="",history!$F49 &lt;$C$16), "", history!$I49 )</f>
        <v>45657</v>
      </c>
      <c r="D61" s="30">
        <f>IF($B61="", "", history!J49)</f>
        <v>92</v>
      </c>
      <c r="E61" s="31">
        <f>IF( OR(history!$H49 ="",history!$F49 &lt;$C$16), "", history!$H49 )</f>
        <v>-645</v>
      </c>
      <c r="F61" s="32">
        <f>IFERROR( VLOOKUP($B61, history!$F$7:$S$73, 14, 0), "")</f>
        <v>3.53</v>
      </c>
      <c r="G61" s="33">
        <f>IFERROR( VLOOKUP($B61, history!$F$7:$W$73, 18, 0), "")</f>
        <v>4.6109999999999998</v>
      </c>
      <c r="H61" s="34">
        <f>IFERROR( ( $E61/100/VLOOKUP($B61, history!$A$7:$C$106, 3, 0) * (365/$D61) + $G61/100 ) * 100, "")</f>
        <v>2.6829052205362052</v>
      </c>
      <c r="I61" s="35">
        <f t="shared" si="4"/>
        <v>84.709477946379465</v>
      </c>
    </row>
    <row r="62" spans="2:9" x14ac:dyDescent="0.3">
      <c r="B62" s="79">
        <f>IF( OR(history!$F50 ="",history!$F50 &lt;$C$16), "", history!$F50 )</f>
        <v>45560</v>
      </c>
      <c r="C62" s="29">
        <f>IF( OR(history!$I50 ="",history!$F50 &lt;$C$16), "", history!$I50 )</f>
        <v>45653</v>
      </c>
      <c r="D62" s="30">
        <f>IF($B62="", "", history!J50)</f>
        <v>91</v>
      </c>
      <c r="E62" s="31">
        <f>IF( OR(history!$H50 ="",history!$F50 &lt;$C$16), "", history!$H50 )</f>
        <v>-655</v>
      </c>
      <c r="F62" s="32">
        <f>IFERROR( VLOOKUP($B62, history!$F$7:$S$73, 14, 0), "")</f>
        <v>3.53</v>
      </c>
      <c r="G62" s="33">
        <f>IFERROR( VLOOKUP($B62, history!$F$7:$W$73, 18, 0), "")</f>
        <v>4.625</v>
      </c>
      <c r="H62" s="34">
        <f>IFERROR( ( $E62/100/VLOOKUP($B62, history!$A$7:$C$106, 3, 0) * (365/$D62) + $G62/100 ) * 100, "")</f>
        <v>2.6511474063126959</v>
      </c>
      <c r="I62" s="35">
        <f t="shared" si="4"/>
        <v>87.885259368730402</v>
      </c>
    </row>
    <row r="63" spans="2:9" x14ac:dyDescent="0.3">
      <c r="B63" s="79">
        <f>IF( OR(history!$F51 ="",history!$F51 &lt;$C$16), "", history!$F51 )</f>
        <v>45559</v>
      </c>
      <c r="C63" s="29">
        <f>IF( OR(history!$I51 ="",history!$F51 &lt;$C$16), "", history!$I51 )</f>
        <v>45652</v>
      </c>
      <c r="D63" s="30">
        <f>IF($B63="", "", history!J51)</f>
        <v>91</v>
      </c>
      <c r="E63" s="31">
        <f>IF( OR(history!$H51 ="",history!$F51 &lt;$C$16), "", history!$H51 )</f>
        <v>-675</v>
      </c>
      <c r="F63" s="32">
        <f>IFERROR( VLOOKUP($B63, history!$F$7:$S$73, 14, 0), "")</f>
        <v>3.53</v>
      </c>
      <c r="G63" s="33">
        <f>IFERROR( VLOOKUP($B63, history!$F$7:$W$73, 18, 0), "")</f>
        <v>4.6369999999999996</v>
      </c>
      <c r="H63" s="34">
        <f>IFERROR( ( $E63/100/VLOOKUP($B63, history!$A$7:$C$106, 3, 0) * (365/$D63) + $G63/100 ) * 100, "")</f>
        <v>2.6088199247752017</v>
      </c>
      <c r="I63" s="35">
        <f t="shared" si="4"/>
        <v>92.1180075224798</v>
      </c>
    </row>
    <row r="64" spans="2:9" x14ac:dyDescent="0.3">
      <c r="B64" s="79">
        <f>IF( OR(history!$F52 ="",history!$F52 &lt;$C$16), "", history!$F52 )</f>
        <v>45558</v>
      </c>
      <c r="C64" s="29">
        <f>IF( OR(history!$I52 ="",history!$F52 &lt;$C$16), "", history!$I52 )</f>
        <v>45652</v>
      </c>
      <c r="D64" s="30">
        <f>IF($B64="", "", history!J52)</f>
        <v>92</v>
      </c>
      <c r="E64" s="31">
        <f>IF( OR(history!$H52 ="",history!$F52 &lt;$C$16), "", history!$H52 )</f>
        <v>-665</v>
      </c>
      <c r="F64" s="32">
        <f>IFERROR( VLOOKUP($B64, history!$F$7:$S$73, 14, 0), "")</f>
        <v>3.53</v>
      </c>
      <c r="G64" s="33">
        <f>IFERROR( VLOOKUP($B64, history!$F$7:$W$73, 18, 0), "")</f>
        <v>4.6550000000000002</v>
      </c>
      <c r="H64" s="34">
        <f>IFERROR( ( $E64/100/VLOOKUP($B64, history!$A$7:$C$106, 3, 0) * (365/$D64) + $G64/100 ) * 100, "")</f>
        <v>2.6800653361843669</v>
      </c>
      <c r="I64" s="35">
        <f t="shared" si="4"/>
        <v>84.99346638156328</v>
      </c>
    </row>
    <row r="65" spans="2:9" x14ac:dyDescent="0.3">
      <c r="B65" s="79">
        <f>IF( OR(history!$F53 ="",history!$F53 &lt;$C$16), "", history!$F53 )</f>
        <v>45555</v>
      </c>
      <c r="C65" s="29">
        <f>IF( OR(history!$I53 ="",history!$F53 &lt;$C$16), "", history!$I53 )</f>
        <v>45650</v>
      </c>
      <c r="D65" s="30">
        <f>IF($B65="", "", history!J53)</f>
        <v>91</v>
      </c>
      <c r="E65" s="31">
        <f>IF( OR(history!$H53 ="",history!$F53 &lt;$C$16), "", history!$H53 )</f>
        <v>-675</v>
      </c>
      <c r="F65" s="32">
        <f>IFERROR( VLOOKUP($B65, history!$F$7:$S$73, 14, 0), "")</f>
        <v>3.53</v>
      </c>
      <c r="G65" s="33">
        <f>IFERROR( VLOOKUP($B65, history!$F$7:$W$73, 18, 0), "")</f>
        <v>4.6680000000000001</v>
      </c>
      <c r="H65" s="34">
        <f>IFERROR( ( $E65/100/VLOOKUP($B65, history!$A$7:$C$106, 3, 0) * (365/$D65) + $G65/100 ) * 100, "")</f>
        <v>2.6309692405254816</v>
      </c>
      <c r="I65" s="35">
        <f t="shared" si="4"/>
        <v>89.903075947451811</v>
      </c>
    </row>
    <row r="66" spans="2:9" x14ac:dyDescent="0.3">
      <c r="B66" s="79">
        <f>IF( OR(history!$F54 ="",history!$F54 &lt;$C$16), "", history!$F54 )</f>
        <v>45554</v>
      </c>
      <c r="C66" s="29">
        <f>IF( OR(history!$I54 ="",history!$F54 &lt;$C$16), "", history!$I54 )</f>
        <v>45649</v>
      </c>
      <c r="D66" s="30">
        <f>IF($B66="", "", history!J54)</f>
        <v>91</v>
      </c>
      <c r="E66" s="31">
        <f>IF( OR(history!$H54 ="",history!$F54 &lt;$C$16), "", history!$H54 )</f>
        <v>-645</v>
      </c>
      <c r="F66" s="32">
        <f>IFERROR( VLOOKUP($B66, history!$F$7:$S$73, 14, 0), "")</f>
        <v>3.53</v>
      </c>
      <c r="G66" s="33">
        <f>IFERROR( VLOOKUP($B66, history!$F$7:$W$73, 18, 0), "")</f>
        <v>4.6909999999999998</v>
      </c>
      <c r="H66" s="34">
        <f>IFERROR( ( $E66/100/VLOOKUP($B66, history!$A$7:$C$106, 3, 0) * (365/$D66) + $G66/100 ) * 100, "")</f>
        <v>2.7443574777367101</v>
      </c>
      <c r="I66" s="35">
        <f t="shared" si="4"/>
        <v>78.564252226328961</v>
      </c>
    </row>
    <row r="67" spans="2:9" x14ac:dyDescent="0.3">
      <c r="B67" s="79">
        <f>IF( OR(history!$F55 ="",history!$F55 &lt;$C$16), "", history!$F55 )</f>
        <v>45548</v>
      </c>
      <c r="C67" s="29">
        <f>IF( OR(history!$I55 ="",history!$F55 &lt;$C$16), "", history!$I55 )</f>
        <v>45646</v>
      </c>
      <c r="D67" s="30">
        <f>IF($B67="", "", history!J55)</f>
        <v>91</v>
      </c>
      <c r="E67" s="31">
        <f>IF( OR(history!$H55 ="",history!$F55 &lt;$C$16), "", history!$H55 )</f>
        <v>-660</v>
      </c>
      <c r="F67" s="32">
        <f>IFERROR( VLOOKUP($B67, history!$F$7:$S$73, 14, 0), "")</f>
        <v>3.53</v>
      </c>
      <c r="G67" s="33">
        <f>IFERROR( VLOOKUP($B67, history!$F$7:$W$73, 18, 0), "")</f>
        <v>4.8769999999999998</v>
      </c>
      <c r="H67" s="34">
        <f>IFERROR( ( $E67/100/VLOOKUP($B67, history!$A$7:$C$106, 3, 0) * (365/$D67) + $G67/100 ) * 100, "")</f>
        <v>2.8858358426079374</v>
      </c>
      <c r="I67" s="35">
        <f t="shared" si="4"/>
        <v>64.416415739206244</v>
      </c>
    </row>
    <row r="68" spans="2:9" x14ac:dyDescent="0.3">
      <c r="B68" s="79">
        <f>IF( OR(history!$F56 ="",history!$F56 &lt;$C$16), "", history!$F56 )</f>
        <v>45547</v>
      </c>
      <c r="C68" s="29">
        <f>IF( OR(history!$I56 ="",history!$F56 &lt;$C$16), "", history!$I56 )</f>
        <v>45645</v>
      </c>
      <c r="D68" s="30">
        <f>IF($B68="", "", history!J56)</f>
        <v>91</v>
      </c>
      <c r="E68" s="31">
        <f>IF( OR(history!$H56 ="",history!$F56 &lt;$C$16), "", history!$H56 )</f>
        <v>-710</v>
      </c>
      <c r="F68" s="32">
        <f>IFERROR( VLOOKUP($B68, history!$F$7:$S$73, 14, 0), "")</f>
        <v>3.51</v>
      </c>
      <c r="G68" s="33">
        <f>IFERROR( VLOOKUP($B68, history!$F$7:$W$73, 18, 0), "")</f>
        <v>4.9039999999999999</v>
      </c>
      <c r="H68" s="34">
        <f>IFERROR( ( $E68/100/VLOOKUP($B68, history!$A$7:$C$106, 3, 0) * (365/$D68) + $G68/100 ) * 100, "")</f>
        <v>2.7767106911166075</v>
      </c>
      <c r="I68" s="35">
        <f t="shared" si="4"/>
        <v>73.328930888339229</v>
      </c>
    </row>
    <row r="69" spans="2:9" x14ac:dyDescent="0.3">
      <c r="B69" s="79">
        <f>IF( OR(history!$F57 ="",history!$F57 &lt;$C$16), "", history!$F57 )</f>
        <v>45546</v>
      </c>
      <c r="C69" s="29">
        <f>IF( OR(history!$I57 ="",history!$F57 &lt;$C$16), "", history!$I57 )</f>
        <v>45639</v>
      </c>
      <c r="D69" s="30">
        <f>IF($B69="", "", history!J57)</f>
        <v>91</v>
      </c>
      <c r="E69" s="31">
        <f>IF( OR(history!$H57 ="",history!$F57 &lt;$C$16), "", history!$H57 )</f>
        <v>-715</v>
      </c>
      <c r="F69" s="32">
        <f>IFERROR( VLOOKUP($B69, history!$F$7:$S$73, 14, 0), "")</f>
        <v>3.51</v>
      </c>
      <c r="G69" s="33">
        <f>IFERROR( VLOOKUP($B69, history!$F$7:$W$73, 18, 0), "")</f>
        <v>4.9800000000000004</v>
      </c>
      <c r="H69" s="34">
        <f>IFERROR( ( $E69/100/VLOOKUP($B69, history!$A$7:$C$106, 3, 0) * (365/$D69) + $G69/100 ) * 100, "")</f>
        <v>2.8382097514136353</v>
      </c>
      <c r="I69" s="35">
        <f t="shared" si="4"/>
        <v>67.179024858636453</v>
      </c>
    </row>
    <row r="70" spans="2:9" x14ac:dyDescent="0.3">
      <c r="B70" s="79">
        <f>IF( OR(history!$F58 ="",history!$F58 &lt;$C$16), "", history!$F58 )</f>
        <v>45545</v>
      </c>
      <c r="C70" s="29">
        <f>IF( OR(history!$I58 ="",history!$F58 &lt;$C$16), "", history!$I58 )</f>
        <v>45638</v>
      </c>
      <c r="D70" s="30">
        <f>IF($B70="", "", history!J58)</f>
        <v>91</v>
      </c>
      <c r="E70" s="31">
        <f>IF( OR(history!$H58 ="",history!$F58 &lt;$C$16), "", history!$H58 )</f>
        <v>-715</v>
      </c>
      <c r="F70" s="32">
        <f>IFERROR( VLOOKUP($B70, history!$F$7:$S$73, 14, 0), "")</f>
        <v>3.51</v>
      </c>
      <c r="G70" s="33">
        <f>IFERROR( VLOOKUP($B70, history!$F$7:$W$73, 18, 0), "")</f>
        <v>4.9379999999999997</v>
      </c>
      <c r="H70" s="34">
        <f>IFERROR( ( $E70/100/VLOOKUP($B70, history!$A$7:$C$106, 3, 0) * (365/$D70) + $G70/100 ) * 100, "")</f>
        <v>2.8037013151319914</v>
      </c>
      <c r="I70" s="35">
        <f t="shared" si="4"/>
        <v>70.629868486800845</v>
      </c>
    </row>
    <row r="71" spans="2:9" x14ac:dyDescent="0.3">
      <c r="B71" s="79">
        <f>IF( OR(history!$F59 ="",history!$F59 &lt;$C$16), "", history!$F59 )</f>
        <v>45544</v>
      </c>
      <c r="C71" s="29">
        <f>IF( OR(history!$I59 ="",history!$F59 &lt;$C$16), "", history!$I59 )</f>
        <v>45637</v>
      </c>
      <c r="D71" s="30">
        <f>IF($B71="", "", history!J59)</f>
        <v>91</v>
      </c>
      <c r="E71" s="31">
        <f>IF( OR(history!$H59 ="",history!$F59 &lt;$C$16), "", history!$H59 )</f>
        <v>-720</v>
      </c>
      <c r="F71" s="32">
        <f>IFERROR( VLOOKUP($B71, history!$F$7:$S$73, 14, 0), "")</f>
        <v>3.51</v>
      </c>
      <c r="G71" s="33">
        <f>IFERROR( VLOOKUP($B71, history!$F$7:$W$73, 18, 0), "")</f>
        <v>4.9509999999999996</v>
      </c>
      <c r="H71" s="34">
        <f>IFERROR( ( $E71/100/VLOOKUP($B71, history!$A$7:$C$106, 3, 0) * (365/$D71) + $G71/100 ) * 100, "")</f>
        <v>2.7955200120076964</v>
      </c>
      <c r="I71" s="35">
        <f t="shared" si="4"/>
        <v>71.447998799230334</v>
      </c>
    </row>
    <row r="72" spans="2:9" x14ac:dyDescent="0.3">
      <c r="B72" s="79">
        <f>IF( OR(history!$F60 ="",history!$F60 &lt;$C$16), "", history!$F60 )</f>
        <v>45541</v>
      </c>
      <c r="C72" s="29">
        <f>IF( OR(history!$I60 ="",history!$F60 &lt;$C$16), "", history!$I60 )</f>
        <v>45636</v>
      </c>
      <c r="D72" s="30">
        <f>IF($B72="", "", history!J60)</f>
        <v>91</v>
      </c>
      <c r="E72" s="31">
        <f>IF( OR(history!$H60 ="",history!$F60 &lt;$C$16), "", history!$H60 )</f>
        <v>-700</v>
      </c>
      <c r="F72" s="32">
        <f>IFERROR( VLOOKUP($B72, history!$F$7:$S$73, 14, 0), "")</f>
        <v>3.51</v>
      </c>
      <c r="G72" s="33">
        <f>IFERROR( VLOOKUP($B72, history!$F$7:$W$73, 18, 0), "")</f>
        <v>4.9560000000000004</v>
      </c>
      <c r="H72" s="34">
        <f>IFERROR( ( $E72/100/VLOOKUP($B72, history!$A$7:$C$106, 3, 0) * (365/$D72) + $G72/100 ) * 100, "")</f>
        <v>2.8411368577189613</v>
      </c>
      <c r="I72" s="35">
        <f t="shared" si="4"/>
        <v>66.886314228103856</v>
      </c>
    </row>
    <row r="73" spans="2:9" x14ac:dyDescent="0.3">
      <c r="B73" s="79">
        <f>IF( OR(history!$F61 ="",history!$F61 &lt;$C$16), "", history!$F61 )</f>
        <v>45540</v>
      </c>
      <c r="C73" s="29">
        <f>IF( OR(history!$I61 ="",history!$F61 &lt;$C$16), "", history!$I61 )</f>
        <v>45635</v>
      </c>
      <c r="D73" s="30">
        <f>IF($B73="", "", history!J61)</f>
        <v>91</v>
      </c>
      <c r="E73" s="31">
        <f>IF( OR(history!$H61 ="",history!$F61 &lt;$C$16), "", history!$H61 )</f>
        <v>-705</v>
      </c>
      <c r="F73" s="32">
        <f>IFERROR( VLOOKUP($B73, history!$F$7:$S$73, 14, 0), "")</f>
        <v>3.51</v>
      </c>
      <c r="G73" s="33">
        <f>IFERROR( VLOOKUP($B73, history!$F$7:$W$73, 18, 0), "")</f>
        <v>4.9470000000000001</v>
      </c>
      <c r="H73" s="34">
        <f>IFERROR( ( $E73/100/VLOOKUP($B73, history!$A$7:$C$106, 3, 0) * (365/$D73) + $G73/100 ) * 100, "")</f>
        <v>2.8302642767068997</v>
      </c>
      <c r="I73" s="35">
        <f t="shared" si="4"/>
        <v>67.973572329310002</v>
      </c>
    </row>
    <row r="74" spans="2:9" x14ac:dyDescent="0.3">
      <c r="B74" s="79">
        <f>IF( OR(history!$F62 ="",history!$F62 &lt;$C$16), "", history!$F62 )</f>
        <v>45539</v>
      </c>
      <c r="C74" s="29">
        <f>IF( OR(history!$I62 ="",history!$F62 &lt;$C$16), "", history!$I62 )</f>
        <v>45632</v>
      </c>
      <c r="D74" s="30">
        <f>IF($B74="", "", history!J62)</f>
        <v>91</v>
      </c>
      <c r="E74" s="31">
        <f>IF( OR(history!$H62 ="",history!$F62 &lt;$C$16), "", history!$H62 )</f>
        <v>-725</v>
      </c>
      <c r="F74" s="32">
        <f>IFERROR( VLOOKUP($B74, history!$F$7:$S$73, 14, 0), "")</f>
        <v>3.51</v>
      </c>
      <c r="G74" s="33">
        <f>IFERROR( VLOOKUP($B74, history!$F$7:$W$73, 18, 0), "")</f>
        <v>4.9619999999999997</v>
      </c>
      <c r="H74" s="34">
        <f>IFERROR( ( $E74/100/VLOOKUP($B74, history!$A$7:$C$106, 3, 0) * (365/$D74) + $G74/100 ) * 100, "")</f>
        <v>2.7954323998159492</v>
      </c>
      <c r="I74" s="35">
        <f t="shared" si="4"/>
        <v>71.456760018405063</v>
      </c>
    </row>
    <row r="75" spans="2:9" x14ac:dyDescent="0.3">
      <c r="B75" s="79">
        <f>IF( OR(history!$F63 ="",history!$F63 &lt;$C$16), "", history!$F63 )</f>
        <v>45538</v>
      </c>
      <c r="C75" s="29">
        <f>IF( OR(history!$I63 ="",history!$F63 &lt;$C$16), "", history!$I63 )</f>
        <v>45631</v>
      </c>
      <c r="D75" s="30">
        <f>IF($B75="", "", history!J63)</f>
        <v>91</v>
      </c>
      <c r="E75" s="31">
        <f>IF( OR(history!$H63 ="",history!$F63 &lt;$C$16), "", history!$H63 )</f>
        <v>-735</v>
      </c>
      <c r="F75" s="32">
        <f>IFERROR( VLOOKUP($B75, history!$F$7:$S$73, 14, 0), "")</f>
        <v>3.51</v>
      </c>
      <c r="G75" s="33">
        <f>IFERROR( VLOOKUP($B75, history!$F$7:$W$73, 18, 0), "")</f>
        <v>4.9950000000000001</v>
      </c>
      <c r="H75" s="34">
        <f>IFERROR( ( $E75/100/VLOOKUP($B75, history!$A$7:$C$106, 3, 0) * (365/$D75) + $G75/100 ) * 100, "")</f>
        <v>2.7972387631750988</v>
      </c>
      <c r="I75" s="35">
        <f t="shared" si="4"/>
        <v>71.276123682490095</v>
      </c>
    </row>
    <row r="76" spans="2:9" x14ac:dyDescent="0.3">
      <c r="B76" s="79">
        <f>IF( OR(history!$F64 ="",history!$F64 &lt;$C$16), "", history!$F64 )</f>
        <v>45537</v>
      </c>
      <c r="C76" s="29">
        <f>IF( OR(history!$I64 ="",history!$F64 &lt;$C$16), "", history!$I64 )</f>
        <v>45630</v>
      </c>
      <c r="D76" s="30">
        <f>IF($B76="", "", history!J64)</f>
        <v>91</v>
      </c>
      <c r="E76" s="31">
        <f>IF( OR(history!$H64 ="",history!$F64 &lt;$C$16), "", history!$H64 )</f>
        <v>-730</v>
      </c>
      <c r="F76" s="32">
        <f>IFERROR( VLOOKUP($B76, history!$F$7:$S$73, 14, 0), "")</f>
        <v>3.52</v>
      </c>
      <c r="G76" s="33">
        <f>IFERROR( VLOOKUP($B76, history!$F$7:$W$73, 18, 0), "")</f>
        <v>5.0140000000000002</v>
      </c>
      <c r="H76" s="34">
        <f>IFERROR( ( $E76/100/VLOOKUP($B76, history!$A$7:$C$106, 3, 0) * (365/$D76) + $G76/100 ) * 100, "")</f>
        <v>2.8262967886865082</v>
      </c>
      <c r="I76" s="35">
        <f t="shared" si="4"/>
        <v>69.370321131349172</v>
      </c>
    </row>
    <row r="77" spans="2:9" x14ac:dyDescent="0.3">
      <c r="B77" s="79">
        <f>IF( OR(history!$F65 ="",history!$F65 &lt;$C$16), "", history!$F65 )</f>
        <v>45534</v>
      </c>
      <c r="C77" s="29">
        <f>IF( OR(history!$I65 ="",history!$F65 &lt;$C$16), "", history!$I65 )</f>
        <v>45629</v>
      </c>
      <c r="D77" s="30">
        <f>IF($B77="", "", history!J65)</f>
        <v>91</v>
      </c>
      <c r="E77" s="31">
        <f>IF( OR(history!$H65 ="",history!$F65 &lt;$C$16), "", history!$H65 )</f>
        <v>-745</v>
      </c>
      <c r="F77" s="32">
        <f>IFERROR( VLOOKUP($B77, history!$F$7:$S$73, 14, 0), "")</f>
        <v>3.52</v>
      </c>
      <c r="G77" s="33">
        <f>IFERROR( VLOOKUP($B77, history!$F$7:$W$73, 18, 0), "")</f>
        <v>5.0140000000000002</v>
      </c>
      <c r="H77" s="34">
        <f>IFERROR( ( $E77/100/VLOOKUP($B77, history!$A$7:$C$106, 3, 0) * (365/$D77) + $G77/100 ) * 100, "")</f>
        <v>2.7773332236625654</v>
      </c>
      <c r="I77" s="35">
        <f t="shared" si="4"/>
        <v>74.266677633743456</v>
      </c>
    </row>
    <row r="78" spans="2:9" x14ac:dyDescent="0.3">
      <c r="B78" s="79" t="str">
        <f>IF( OR(history!$F66 ="",history!$F66 &lt;$C$16), "", history!$F66 )</f>
        <v/>
      </c>
      <c r="C78" s="29" t="str">
        <f>IF( OR(history!$I66 ="",history!$F66 &lt;$C$16), "", history!$I66 )</f>
        <v/>
      </c>
      <c r="D78" s="30" t="str">
        <f>IF($B78="", "", history!J66)</f>
        <v/>
      </c>
      <c r="E78" s="31" t="str">
        <f>IF( OR(history!$H66 ="",history!$F66 &lt;$C$16), "", history!$H66 )</f>
        <v/>
      </c>
      <c r="F78" s="32" t="str">
        <f>IFERROR( VLOOKUP($B78, history!$F$7:$S$73, 14, 0), "")</f>
        <v/>
      </c>
      <c r="G78" s="33" t="str">
        <f>IFERROR( VLOOKUP($B78, history!$F$7:$W$73, 18, 0), "")</f>
        <v/>
      </c>
      <c r="H78" s="34" t="str">
        <f>IFERROR( ( $E78/100/VLOOKUP($B78, history!$A$7:$C$106, 3, 0) * (365/$D78) + $G78/100 ) * 100, "")</f>
        <v/>
      </c>
      <c r="I78" s="35" t="str">
        <f t="shared" si="4"/>
        <v/>
      </c>
    </row>
    <row r="79" spans="2:9" x14ac:dyDescent="0.3">
      <c r="B79" s="79" t="str">
        <f>IF( OR(history!$F67 ="",history!$F67 &lt;$C$16), "", history!$F67 )</f>
        <v/>
      </c>
      <c r="C79" s="29" t="str">
        <f>IF( OR(history!$I67 ="",history!$F67 &lt;$C$16), "", history!$I67 )</f>
        <v/>
      </c>
      <c r="D79" s="30" t="str">
        <f>IF($B79="", "", history!J67)</f>
        <v/>
      </c>
      <c r="E79" s="31" t="str">
        <f>IF( OR(history!$H67 ="",history!$F67 &lt;$C$16), "", history!$H67 )</f>
        <v/>
      </c>
      <c r="F79" s="32" t="str">
        <f>IFERROR( VLOOKUP($B79, history!$F$7:$S$73, 14, 0), "")</f>
        <v/>
      </c>
      <c r="G79" s="33" t="str">
        <f>IFERROR( VLOOKUP($B79, history!$F$7:$W$73, 18, 0), "")</f>
        <v/>
      </c>
      <c r="H79" s="34" t="str">
        <f>IFERROR( ( $E79/100/VLOOKUP($B79, history!$A$7:$C$106, 3, 0) * (365/$D79) + $G79/100 ) * 100, "")</f>
        <v/>
      </c>
      <c r="I79" s="35" t="str">
        <f t="shared" si="4"/>
        <v/>
      </c>
    </row>
    <row r="80" spans="2:9" x14ac:dyDescent="0.3">
      <c r="B80" s="79" t="str">
        <f>IF( OR(history!$F68 ="",history!$F68 &lt;$C$16), "", history!$F68 )</f>
        <v/>
      </c>
      <c r="C80" s="29" t="str">
        <f>IF( OR(history!$I68 ="",history!$F68 &lt;$C$16), "", history!$I68 )</f>
        <v/>
      </c>
      <c r="D80" s="30" t="str">
        <f>IF($B80="", "", history!J68)</f>
        <v/>
      </c>
      <c r="E80" s="31" t="str">
        <f>IF( OR(history!$H68 ="",history!$F68 &lt;$C$16), "", history!$H68 )</f>
        <v/>
      </c>
      <c r="F80" s="32" t="str">
        <f>IFERROR( VLOOKUP($B80, history!$F$7:$S$73, 14, 0), "")</f>
        <v/>
      </c>
      <c r="G80" s="33" t="str">
        <f>IFERROR( VLOOKUP($B80, history!$F$7:$W$73, 18, 0), "")</f>
        <v/>
      </c>
      <c r="H80" s="34" t="str">
        <f>IFERROR( ( $E80/100/VLOOKUP($B80, history!$A$7:$C$106, 3, 0) * (365/$D80) + $G80/100 ) * 100, "")</f>
        <v/>
      </c>
      <c r="I80" s="35" t="str">
        <f t="shared" si="4"/>
        <v/>
      </c>
    </row>
    <row r="81" spans="2:9" x14ac:dyDescent="0.3">
      <c r="B81" s="79" t="str">
        <f>IF( OR(history!$F69 ="",history!$F69 &lt;$C$16), "", history!$F69 )</f>
        <v/>
      </c>
      <c r="C81" s="29" t="str">
        <f>IF( OR(history!$I69 ="",history!$F69 &lt;$C$16), "", history!$I69 )</f>
        <v/>
      </c>
      <c r="D81" s="30" t="str">
        <f>IF($B81="", "", history!J69)</f>
        <v/>
      </c>
      <c r="E81" s="31" t="str">
        <f>IF( OR(history!$H69 ="",history!$F69 &lt;$C$16), "", history!$H69 )</f>
        <v/>
      </c>
      <c r="F81" s="32" t="str">
        <f>IFERROR( VLOOKUP($B81, history!$F$7:$S$73, 14, 0), "")</f>
        <v/>
      </c>
      <c r="G81" s="33" t="str">
        <f>IFERROR( VLOOKUP($B81, history!$F$7:$W$73, 18, 0), "")</f>
        <v/>
      </c>
      <c r="H81" s="34" t="str">
        <f>IFERROR( ( $E81/100/VLOOKUP($B81, history!$A$7:$C$106, 3, 0) * (365/$D81) + $G81/100 ) * 100, "")</f>
        <v/>
      </c>
      <c r="I81" s="35" t="str">
        <f t="shared" si="4"/>
        <v/>
      </c>
    </row>
    <row r="82" spans="2:9" x14ac:dyDescent="0.3">
      <c r="B82" s="79" t="str">
        <f>IF( OR(history!$F70 ="",history!$F70 &lt;$C$16), "", history!$F70 )</f>
        <v/>
      </c>
      <c r="C82" s="29" t="str">
        <f>IF( OR(history!$I70 ="",history!$F70 &lt;$C$16), "", history!$I70 )</f>
        <v/>
      </c>
      <c r="D82" s="30" t="str">
        <f>IF($B82="", "", history!J70)</f>
        <v/>
      </c>
      <c r="E82" s="31" t="str">
        <f>IF( OR(history!$H70 ="",history!$F70 &lt;$C$16), "", history!$H70 )</f>
        <v/>
      </c>
      <c r="F82" s="32" t="str">
        <f>IFERROR( VLOOKUP($B82, history!$F$7:$S$73, 14, 0), "")</f>
        <v/>
      </c>
      <c r="G82" s="33" t="str">
        <f>IFERROR( VLOOKUP($B82, history!$F$7:$W$73, 18, 0), "")</f>
        <v/>
      </c>
      <c r="H82" s="34" t="str">
        <f>IFERROR( ( $E82/100/VLOOKUP($B82, history!$A$7:$C$106, 3, 0) * (365/$D82) + $G82/100 ) * 100, "")</f>
        <v/>
      </c>
      <c r="I82" s="35" t="str">
        <f t="shared" si="4"/>
        <v/>
      </c>
    </row>
    <row r="83" spans="2:9" x14ac:dyDescent="0.3">
      <c r="B83" s="79" t="str">
        <f>IF( OR(history!$F71 ="",history!$F71 &lt;$C$16), "", history!$F71 )</f>
        <v/>
      </c>
      <c r="C83" s="29" t="str">
        <f>IF( OR(history!$I71 ="",history!$F71 &lt;$C$16), "", history!$I71 )</f>
        <v/>
      </c>
      <c r="D83" s="30" t="str">
        <f>IF($B83="", "", history!J71)</f>
        <v/>
      </c>
      <c r="E83" s="31" t="str">
        <f>IF( OR(history!$H71 ="",history!$F71 &lt;$C$16), "", history!$H71 )</f>
        <v/>
      </c>
      <c r="F83" s="32" t="str">
        <f>IFERROR( VLOOKUP($B83, history!$F$7:$S$73, 14, 0), "")</f>
        <v/>
      </c>
      <c r="G83" s="33" t="str">
        <f>IFERROR( VLOOKUP($B83, history!$F$7:$W$73, 18, 0), "")</f>
        <v/>
      </c>
      <c r="H83" s="34" t="str">
        <f>IFERROR( ( $E83/100/VLOOKUP($B83, history!$A$7:$C$106, 3, 0) * (365/$D83) + $G83/100 ) * 100, "")</f>
        <v/>
      </c>
      <c r="I83" s="35" t="str">
        <f t="shared" si="4"/>
        <v/>
      </c>
    </row>
    <row r="84" spans="2:9" x14ac:dyDescent="0.3">
      <c r="B84" s="79" t="str">
        <f>IF( OR(history!$F72 ="",history!$F72 &lt;$C$16), "", history!$F72 )</f>
        <v/>
      </c>
      <c r="C84" s="29" t="str">
        <f>IF( OR(history!$I72 ="",history!$F72 &lt;$C$16), "", history!$I72 )</f>
        <v/>
      </c>
      <c r="D84" s="30" t="str">
        <f>IF($B84="", "", history!J72)</f>
        <v/>
      </c>
      <c r="E84" s="31" t="str">
        <f>IF( OR(history!$H72 ="",history!$F72 &lt;$C$16), "", history!$H72 )</f>
        <v/>
      </c>
      <c r="F84" s="32" t="str">
        <f>IFERROR( VLOOKUP($B84, history!$F$7:$S$73, 14, 0), "")</f>
        <v/>
      </c>
      <c r="G84" s="33" t="str">
        <f>IFERROR( VLOOKUP($B84, history!$F$7:$W$73, 18, 0), "")</f>
        <v/>
      </c>
      <c r="H84" s="34" t="str">
        <f>IFERROR( ( $E84/100/VLOOKUP($B84, history!$A$7:$C$106, 3, 0) * (365/$D84) + $G84/100 ) * 100, "")</f>
        <v/>
      </c>
      <c r="I84" s="35" t="str">
        <f t="shared" ref="I84:I118" si="5">IFERROR( (F84-H84) * 100, "")</f>
        <v/>
      </c>
    </row>
    <row r="85" spans="2:9" x14ac:dyDescent="0.3">
      <c r="B85" s="79" t="str">
        <f>IF( OR(history!$F73 ="",history!$F73 &lt;$C$16), "", history!$F73 )</f>
        <v/>
      </c>
      <c r="C85" s="29" t="str">
        <f>IF( OR(history!$I73 ="",history!$F73 &lt;$C$16), "", history!$I73 )</f>
        <v/>
      </c>
      <c r="D85" s="30" t="str">
        <f>IF($B85="", "", history!J73)</f>
        <v/>
      </c>
      <c r="E85" s="31" t="str">
        <f>IF( OR(history!$H73 ="",history!$F73 &lt;$C$16), "", history!$H73 )</f>
        <v/>
      </c>
      <c r="F85" s="32" t="str">
        <f>IFERROR( VLOOKUP($B85, history!$F$7:$S$73, 14, 0), "")</f>
        <v/>
      </c>
      <c r="G85" s="33" t="str">
        <f>IFERROR( VLOOKUP($B85, history!$F$7:$W$73, 18, 0), "")</f>
        <v/>
      </c>
      <c r="H85" s="34" t="str">
        <f>IFERROR( ( $E85/100/VLOOKUP($B85, history!$A$7:$C$106, 3, 0) * (365/$D85) + $G85/100 ) * 100, "")</f>
        <v/>
      </c>
      <c r="I85" s="35" t="str">
        <f t="shared" si="5"/>
        <v/>
      </c>
    </row>
    <row r="86" spans="2:9" x14ac:dyDescent="0.3">
      <c r="B86" s="79" t="str">
        <f>IF( OR(history!$F74 ="",history!$F74 &lt;$C$16), "", history!$F74 )</f>
        <v/>
      </c>
      <c r="C86" s="29" t="str">
        <f>IF( OR(history!$I74 ="",history!$F74 &lt;$C$16), "", history!$I74 )</f>
        <v/>
      </c>
      <c r="D86" s="30" t="str">
        <f>IF($B86="", "", history!J74)</f>
        <v/>
      </c>
      <c r="E86" s="31" t="str">
        <f>IF( OR(history!$H74 ="",history!$F74 &lt;$C$16), "", history!$H74 )</f>
        <v/>
      </c>
      <c r="F86" s="32" t="str">
        <f>IFERROR( VLOOKUP($B86, history!$F$7:$S$73, 14, 0), "")</f>
        <v/>
      </c>
      <c r="G86" s="33" t="str">
        <f>IFERROR( VLOOKUP($B86, history!$F$7:$W$73, 18, 0), "")</f>
        <v/>
      </c>
      <c r="H86" s="34" t="str">
        <f>IFERROR( ( $E86/100/VLOOKUP($B86, history!$A$7:$C$106, 3, 0) * (365/$D86) + $G86/100 ) * 100, "")</f>
        <v/>
      </c>
      <c r="I86" s="35" t="str">
        <f t="shared" si="5"/>
        <v/>
      </c>
    </row>
    <row r="87" spans="2:9" x14ac:dyDescent="0.3">
      <c r="B87" s="79" t="str">
        <f>IF( OR(history!$F75 ="",history!$F75 &lt;$C$16), "", history!$F75 )</f>
        <v/>
      </c>
      <c r="C87" s="29" t="str">
        <f>IF( OR(history!$I75 ="",history!$F75 &lt;$C$16), "", history!$I75 )</f>
        <v/>
      </c>
      <c r="D87" s="30" t="str">
        <f>IF($B87="", "", history!J75)</f>
        <v/>
      </c>
      <c r="E87" s="31" t="str">
        <f>IF( OR(history!$H75 ="",history!$F75 &lt;$C$16), "", history!$H75 )</f>
        <v/>
      </c>
      <c r="F87" s="32" t="str">
        <f>IFERROR( VLOOKUP($B87, history!$F$7:$S$73, 14, 0), "")</f>
        <v/>
      </c>
      <c r="G87" s="33" t="str">
        <f>IFERROR( VLOOKUP($B87, history!$F$7:$W$73, 18, 0), "")</f>
        <v/>
      </c>
      <c r="H87" s="34" t="str">
        <f>IFERROR( ( $E87/100/VLOOKUP($B87, history!$A$7:$C$106, 3, 0) * (365/$D87) + $G87/100 ) * 100, "")</f>
        <v/>
      </c>
      <c r="I87" s="35" t="str">
        <f t="shared" si="5"/>
        <v/>
      </c>
    </row>
    <row r="88" spans="2:9" x14ac:dyDescent="0.3">
      <c r="B88" s="79" t="str">
        <f>IF( OR(history!$F76 ="",history!$F76 &lt;$C$16), "", history!$F76 )</f>
        <v/>
      </c>
      <c r="C88" s="29" t="str">
        <f>IF( OR(history!$I76 ="",history!$F76 &lt;$C$16), "", history!$I76 )</f>
        <v/>
      </c>
      <c r="D88" s="30" t="str">
        <f>IF($B88="", "", history!J76)</f>
        <v/>
      </c>
      <c r="E88" s="31" t="str">
        <f>IF( OR(history!$H76 ="",history!$F76 &lt;$C$16), "", history!$H76 )</f>
        <v/>
      </c>
      <c r="F88" s="32" t="str">
        <f>IFERROR( VLOOKUP($B88, history!$F$7:$S$73, 14, 0), "")</f>
        <v/>
      </c>
      <c r="G88" s="33" t="str">
        <f>IFERROR( VLOOKUP($B88, history!$F$7:$W$73, 18, 0), "")</f>
        <v/>
      </c>
      <c r="H88" s="34" t="str">
        <f>IFERROR( ( $E88/100/VLOOKUP($B88, history!$A$7:$C$106, 3, 0) * (365/$D88) + $G88/100 ) * 100, "")</f>
        <v/>
      </c>
      <c r="I88" s="35" t="str">
        <f t="shared" si="5"/>
        <v/>
      </c>
    </row>
    <row r="89" spans="2:9" x14ac:dyDescent="0.3">
      <c r="B89" s="79" t="str">
        <f>IF( OR(history!$F77 ="",history!$F77 &lt;$C$16), "", history!$F77 )</f>
        <v/>
      </c>
      <c r="C89" s="29" t="str">
        <f>IF( OR(history!$I77 ="",history!$F77 &lt;$C$16), "", history!$I77 )</f>
        <v/>
      </c>
      <c r="D89" s="30" t="str">
        <f>IF($B89="", "", history!J77)</f>
        <v/>
      </c>
      <c r="E89" s="31" t="str">
        <f>IF( OR(history!$H77 ="",history!$F77 &lt;$C$16), "", history!$H77 )</f>
        <v/>
      </c>
      <c r="F89" s="32" t="str">
        <f>IFERROR( VLOOKUP($B89, history!$F$7:$S$73, 14, 0), "")</f>
        <v/>
      </c>
      <c r="G89" s="33" t="str">
        <f>IFERROR( VLOOKUP($B89, history!$F$7:$W$73, 18, 0), "")</f>
        <v/>
      </c>
      <c r="H89" s="34" t="str">
        <f>IFERROR( ( $E89/100/VLOOKUP($B89, history!$A$7:$C$106, 3, 0) * (365/$D89) + $G89/100 ) * 100, "")</f>
        <v/>
      </c>
      <c r="I89" s="35" t="str">
        <f t="shared" si="5"/>
        <v/>
      </c>
    </row>
    <row r="90" spans="2:9" x14ac:dyDescent="0.3">
      <c r="B90" s="79" t="str">
        <f>IF( OR(history!$F78 ="",history!$F78 &lt;$C$16), "", history!$F78 )</f>
        <v/>
      </c>
      <c r="C90" s="29" t="str">
        <f>IF( OR(history!$I78 ="",history!$F78 &lt;$C$16), "", history!$I78 )</f>
        <v/>
      </c>
      <c r="D90" s="30" t="str">
        <f>IF($B90="", "", history!J78)</f>
        <v/>
      </c>
      <c r="E90" s="31" t="str">
        <f>IF( OR(history!$H78 ="",history!$F78 &lt;$C$16), "", history!$H78 )</f>
        <v/>
      </c>
      <c r="F90" s="32" t="str">
        <f>IFERROR( VLOOKUP($B90, history!$F$7:$S$73, 14, 0), "")</f>
        <v/>
      </c>
      <c r="G90" s="33" t="str">
        <f>IFERROR( VLOOKUP($B90, history!$F$7:$W$73, 18, 0), "")</f>
        <v/>
      </c>
      <c r="H90" s="34" t="str">
        <f>IFERROR( ( $E90/100/VLOOKUP($B90, history!$A$7:$C$106, 3, 0) * (365/$D90) + $G90/100 ) * 100, "")</f>
        <v/>
      </c>
      <c r="I90" s="35" t="str">
        <f t="shared" si="5"/>
        <v/>
      </c>
    </row>
    <row r="91" spans="2:9" x14ac:dyDescent="0.3">
      <c r="B91" s="79" t="str">
        <f>IF( OR(history!$F79 ="",history!$F79 &lt;$C$16), "", history!$F79 )</f>
        <v/>
      </c>
      <c r="C91" s="29" t="str">
        <f>IF( OR(history!$I79 ="",history!$F79 &lt;$C$16), "", history!$I79 )</f>
        <v/>
      </c>
      <c r="D91" s="30" t="str">
        <f>IF($B91="", "", history!J79)</f>
        <v/>
      </c>
      <c r="E91" s="31" t="str">
        <f>IF( OR(history!$H79 ="",history!$F79 &lt;$C$16), "", history!$H79 )</f>
        <v/>
      </c>
      <c r="F91" s="32" t="str">
        <f>IFERROR( VLOOKUP($B91, history!$F$7:$S$73, 14, 0), "")</f>
        <v/>
      </c>
      <c r="G91" s="33" t="str">
        <f>IFERROR( VLOOKUP($B91, history!$F$7:$W$73, 18, 0), "")</f>
        <v/>
      </c>
      <c r="H91" s="34" t="str">
        <f>IFERROR( ( $E91/100/VLOOKUP($B91, history!$A$7:$C$106, 3, 0) * (365/$D91) + $G91/100 ) * 100, "")</f>
        <v/>
      </c>
      <c r="I91" s="35" t="str">
        <f t="shared" si="5"/>
        <v/>
      </c>
    </row>
    <row r="92" spans="2:9" x14ac:dyDescent="0.3">
      <c r="B92" s="79" t="str">
        <f>IF( OR(history!$F80 ="",history!$F80 &lt;$C$16), "", history!$F80 )</f>
        <v/>
      </c>
      <c r="C92" s="29" t="str">
        <f>IF( OR(history!$I80 ="",history!$F80 &lt;$C$16), "", history!$I80 )</f>
        <v/>
      </c>
      <c r="D92" s="30" t="str">
        <f>IF($B92="", "", history!J80)</f>
        <v/>
      </c>
      <c r="E92" s="31" t="str">
        <f>IF( OR(history!$H80 ="",history!$F80 &lt;$C$16), "", history!$H80 )</f>
        <v/>
      </c>
      <c r="F92" s="32" t="str">
        <f>IFERROR( VLOOKUP($B92, history!$F$7:$S$73, 14, 0), "")</f>
        <v/>
      </c>
      <c r="G92" s="33" t="str">
        <f>IFERROR( VLOOKUP($B92, history!$F$7:$W$73, 18, 0), "")</f>
        <v/>
      </c>
      <c r="H92" s="34" t="str">
        <f>IFERROR( ( $E92/100/VLOOKUP($B92, history!$A$7:$C$106, 3, 0) * (365/$D92) + $G92/100 ) * 100, "")</f>
        <v/>
      </c>
      <c r="I92" s="35" t="str">
        <f t="shared" si="5"/>
        <v/>
      </c>
    </row>
    <row r="93" spans="2:9" x14ac:dyDescent="0.3">
      <c r="B93" s="79" t="str">
        <f>IF( OR(history!$F81 ="",history!$F81 &lt;$C$16), "", history!$F81 )</f>
        <v/>
      </c>
      <c r="C93" s="29" t="str">
        <f>IF( OR(history!$I81 ="",history!$F81 &lt;$C$16), "", history!$I81 )</f>
        <v/>
      </c>
      <c r="D93" s="30" t="str">
        <f>IF($B93="", "", history!J81)</f>
        <v/>
      </c>
      <c r="E93" s="31" t="str">
        <f>IF( OR(history!$H81 ="",history!$F81 &lt;$C$16), "", history!$H81 )</f>
        <v/>
      </c>
      <c r="F93" s="32" t="str">
        <f>IFERROR( VLOOKUP($B93, history!$F$7:$S$73, 14, 0), "")</f>
        <v/>
      </c>
      <c r="G93" s="33" t="str">
        <f>IFERROR( VLOOKUP($B93, history!$F$7:$W$73, 18, 0), "")</f>
        <v/>
      </c>
      <c r="H93" s="34" t="str">
        <f>IFERROR( ( $E93/100/VLOOKUP($B93, history!$A$7:$C$106, 3, 0) * (365/$D93) + $G93/100 ) * 100, "")</f>
        <v/>
      </c>
      <c r="I93" s="35" t="str">
        <f t="shared" si="5"/>
        <v/>
      </c>
    </row>
    <row r="94" spans="2:9" x14ac:dyDescent="0.3">
      <c r="B94" s="79" t="str">
        <f>IF( OR(history!$F82 ="",history!$F82 &lt;$C$16), "", history!$F82 )</f>
        <v/>
      </c>
      <c r="C94" s="29" t="str">
        <f>IF( OR(history!$I82 ="",history!$F82 &lt;$C$16), "", history!$I82 )</f>
        <v/>
      </c>
      <c r="D94" s="30" t="str">
        <f>IF($B94="", "", history!J82)</f>
        <v/>
      </c>
      <c r="E94" s="31" t="str">
        <f>IF( OR(history!$H82 ="",history!$F82 &lt;$C$16), "", history!$H82 )</f>
        <v/>
      </c>
      <c r="F94" s="32" t="str">
        <f>IFERROR( VLOOKUP($B94, history!$F$7:$S$73, 14, 0), "")</f>
        <v/>
      </c>
      <c r="G94" s="33" t="str">
        <f>IFERROR( VLOOKUP($B94, history!$F$7:$W$73, 18, 0), "")</f>
        <v/>
      </c>
      <c r="H94" s="34" t="str">
        <f>IFERROR( ( $E94/100/VLOOKUP($B94, history!$A$7:$C$106, 3, 0) * (365/$D94) + $G94/100 ) * 100, "")</f>
        <v/>
      </c>
      <c r="I94" s="35" t="str">
        <f t="shared" si="5"/>
        <v/>
      </c>
    </row>
    <row r="95" spans="2:9" x14ac:dyDescent="0.3">
      <c r="B95" s="79" t="str">
        <f>IF( OR(history!$F83 ="",history!$F83 &lt;$C$16), "", history!$F83 )</f>
        <v/>
      </c>
      <c r="C95" s="29" t="str">
        <f>IF( OR(history!$I83 ="",history!$F83 &lt;$C$16), "", history!$I83 )</f>
        <v/>
      </c>
      <c r="D95" s="30" t="str">
        <f>IF($B95="", "", history!J83)</f>
        <v/>
      </c>
      <c r="E95" s="31" t="str">
        <f>IF( OR(history!$H83 ="",history!$F83 &lt;$C$16), "", history!$H83 )</f>
        <v/>
      </c>
      <c r="F95" s="32" t="str">
        <f>IFERROR( VLOOKUP($B95, history!$F$7:$S$73, 14, 0), "")</f>
        <v/>
      </c>
      <c r="G95" s="33" t="str">
        <f>IFERROR( VLOOKUP($B95, history!$F$7:$W$73, 18, 0), "")</f>
        <v/>
      </c>
      <c r="H95" s="34" t="str">
        <f>IFERROR( ( $E95/100/VLOOKUP($B95, history!$A$7:$C$106, 3, 0) * (365/$D95) + $G95/100 ) * 100, "")</f>
        <v/>
      </c>
      <c r="I95" s="35" t="str">
        <f t="shared" si="5"/>
        <v/>
      </c>
    </row>
    <row r="96" spans="2:9" x14ac:dyDescent="0.3">
      <c r="B96" s="79" t="str">
        <f>IF( OR(history!$F84 ="",history!$F84 &lt;$C$16), "", history!$F84 )</f>
        <v/>
      </c>
      <c r="C96" s="29" t="str">
        <f>IF( OR(history!$I84 ="",history!$F84 &lt;$C$16), "", history!$I84 )</f>
        <v/>
      </c>
      <c r="D96" s="30" t="str">
        <f>IF($B96="", "", history!J84)</f>
        <v/>
      </c>
      <c r="E96" s="31" t="str">
        <f>IF( OR(history!$H84 ="",history!$F84 &lt;$C$16), "", history!$H84 )</f>
        <v/>
      </c>
      <c r="F96" s="32" t="str">
        <f>IFERROR( VLOOKUP($B96, history!$F$7:$S$73, 14, 0), "")</f>
        <v/>
      </c>
      <c r="G96" s="33" t="str">
        <f>IFERROR( VLOOKUP($B96, history!$F$7:$W$73, 18, 0), "")</f>
        <v/>
      </c>
      <c r="H96" s="34" t="str">
        <f>IFERROR( ( $E96/100/VLOOKUP($B96, history!$A$7:$C$106, 3, 0) * (365/$D96) + $G96/100 ) * 100, "")</f>
        <v/>
      </c>
      <c r="I96" s="35" t="str">
        <f t="shared" si="5"/>
        <v/>
      </c>
    </row>
    <row r="97" spans="2:9" x14ac:dyDescent="0.3">
      <c r="B97" s="79" t="str">
        <f>IF( OR(history!$F85 ="",history!$F85 &lt;$C$16), "", history!$F85 )</f>
        <v/>
      </c>
      <c r="C97" s="29" t="str">
        <f>IF( OR(history!$I85 ="",history!$F85 &lt;$C$16), "", history!$I85 )</f>
        <v/>
      </c>
      <c r="D97" s="30" t="str">
        <f>IF($B97="", "", history!J85)</f>
        <v/>
      </c>
      <c r="E97" s="31" t="str">
        <f>IF( OR(history!$H85 ="",history!$F85 &lt;$C$16), "", history!$H85 )</f>
        <v/>
      </c>
      <c r="F97" s="32" t="str">
        <f>IFERROR( VLOOKUP($B97, history!$F$7:$S$73, 14, 0), "")</f>
        <v/>
      </c>
      <c r="G97" s="33" t="str">
        <f>IFERROR( VLOOKUP($B97, history!$F$7:$W$73, 18, 0), "")</f>
        <v/>
      </c>
      <c r="H97" s="34" t="str">
        <f>IFERROR( ( $E97/100/VLOOKUP($B97, history!$A$7:$C$106, 3, 0) * (365/$D97) + $G97/100 ) * 100, "")</f>
        <v/>
      </c>
      <c r="I97" s="35" t="str">
        <f t="shared" si="5"/>
        <v/>
      </c>
    </row>
    <row r="98" spans="2:9" x14ac:dyDescent="0.3">
      <c r="B98" s="79" t="str">
        <f>IF( OR(history!$F86 ="",history!$F86 &lt;$C$16), "", history!$F86 )</f>
        <v/>
      </c>
      <c r="C98" s="29" t="str">
        <f>IF( OR(history!$I86 ="",history!$F86 &lt;$C$16), "", history!$I86 )</f>
        <v/>
      </c>
      <c r="D98" s="30" t="str">
        <f>IF($B98="", "", history!J86)</f>
        <v/>
      </c>
      <c r="E98" s="31" t="str">
        <f>IF( OR(history!$H86 ="",history!$F86 &lt;$C$16), "", history!$H86 )</f>
        <v/>
      </c>
      <c r="F98" s="32" t="str">
        <f>IFERROR( VLOOKUP($B98, history!$F$7:$S$73, 14, 0), "")</f>
        <v/>
      </c>
      <c r="G98" s="33" t="str">
        <f>IFERROR( VLOOKUP($B98, history!$F$7:$W$73, 18, 0), "")</f>
        <v/>
      </c>
      <c r="H98" s="34" t="str">
        <f>IFERROR( ( $E98/100/VLOOKUP($B98, history!$A$7:$C$106, 3, 0) * (365/$D98) + $G98/100 ) * 100, "")</f>
        <v/>
      </c>
      <c r="I98" s="35" t="str">
        <f t="shared" si="5"/>
        <v/>
      </c>
    </row>
    <row r="99" spans="2:9" x14ac:dyDescent="0.3">
      <c r="B99" s="79" t="str">
        <f>IF( OR(history!$F87 ="",history!$F87 &lt;$C$16), "", history!$F87 )</f>
        <v/>
      </c>
      <c r="C99" s="29" t="str">
        <f>IF( OR(history!$I87 ="",history!$F87 &lt;$C$16), "", history!$I87 )</f>
        <v/>
      </c>
      <c r="D99" s="30" t="str">
        <f>IF($B99="", "", history!J87)</f>
        <v/>
      </c>
      <c r="E99" s="31" t="str">
        <f>IF( OR(history!$H87 ="",history!$F87 &lt;$C$16), "", history!$H87 )</f>
        <v/>
      </c>
      <c r="F99" s="32" t="str">
        <f>IFERROR( VLOOKUP($B99, history!$F$7:$S$73, 14, 0), "")</f>
        <v/>
      </c>
      <c r="G99" s="33" t="str">
        <f>IFERROR( VLOOKUP($B99, history!$F$7:$W$73, 18, 0), "")</f>
        <v/>
      </c>
      <c r="H99" s="34" t="str">
        <f>IFERROR( ( $E99/100/VLOOKUP($B99, history!$A$7:$C$106, 3, 0) * (365/$D99) + $G99/100 ) * 100, "")</f>
        <v/>
      </c>
      <c r="I99" s="35" t="str">
        <f t="shared" si="5"/>
        <v/>
      </c>
    </row>
    <row r="100" spans="2:9" x14ac:dyDescent="0.3">
      <c r="B100" s="79" t="str">
        <f>IF( OR(history!$F88 ="",history!$F88 &lt;$C$16), "", history!$F88 )</f>
        <v/>
      </c>
      <c r="C100" s="29" t="str">
        <f>IF( OR(history!$I88 ="",history!$F88 &lt;$C$16), "", history!$I88 )</f>
        <v/>
      </c>
      <c r="D100" s="30" t="str">
        <f>IF($B100="", "", history!J88)</f>
        <v/>
      </c>
      <c r="E100" s="31" t="str">
        <f>IF( OR(history!$H88 ="",history!$F88 &lt;$C$16), "", history!$H88 )</f>
        <v/>
      </c>
      <c r="F100" s="32" t="str">
        <f>IFERROR( VLOOKUP($B100, history!$F$7:$S$73, 14, 0), "")</f>
        <v/>
      </c>
      <c r="G100" s="33" t="str">
        <f>IFERROR( VLOOKUP($B100, history!$F$7:$W$73, 18, 0), "")</f>
        <v/>
      </c>
      <c r="H100" s="34" t="str">
        <f>IFERROR( ( $E100/100/VLOOKUP($B100, history!$A$7:$C$106, 3, 0) * (365/$D100) + $G100/100 ) * 100, "")</f>
        <v/>
      </c>
      <c r="I100" s="35" t="str">
        <f t="shared" si="5"/>
        <v/>
      </c>
    </row>
    <row r="101" spans="2:9" x14ac:dyDescent="0.3">
      <c r="B101" s="79" t="str">
        <f>IF( OR(history!$F89 ="",history!$F89 &lt;$C$16), "", history!$F89 )</f>
        <v/>
      </c>
      <c r="C101" s="29" t="str">
        <f>IF( OR(history!$I89 ="",history!$F89 &lt;$C$16), "", history!$I89 )</f>
        <v/>
      </c>
      <c r="D101" s="30" t="str">
        <f>IF($B101="", "", history!J89)</f>
        <v/>
      </c>
      <c r="E101" s="31" t="str">
        <f>IF( OR(history!$H89 ="",history!$F89 &lt;$C$16), "", history!$H89 )</f>
        <v/>
      </c>
      <c r="F101" s="32" t="str">
        <f>IFERROR( VLOOKUP($B101, history!$F$7:$S$73, 14, 0), "")</f>
        <v/>
      </c>
      <c r="G101" s="33" t="str">
        <f>IFERROR( VLOOKUP($B101, history!$F$7:$W$73, 18, 0), "")</f>
        <v/>
      </c>
      <c r="H101" s="34" t="str">
        <f>IFERROR( ( $E101/100/VLOOKUP($B101, history!$A$7:$C$106, 3, 0) * (365/$D101) + $G101/100 ) * 100, "")</f>
        <v/>
      </c>
      <c r="I101" s="35" t="str">
        <f t="shared" si="5"/>
        <v/>
      </c>
    </row>
    <row r="102" spans="2:9" x14ac:dyDescent="0.3">
      <c r="B102" s="79" t="str">
        <f>IF( OR(history!$F90 ="",history!$F90 &lt;$C$16), "", history!$F90 )</f>
        <v/>
      </c>
      <c r="C102" s="29" t="str">
        <f>IF( OR(history!$I90 ="",history!$F90 &lt;$C$16), "", history!$I90 )</f>
        <v/>
      </c>
      <c r="D102" s="30" t="str">
        <f>IF($B102="", "", history!J90)</f>
        <v/>
      </c>
      <c r="E102" s="31" t="str">
        <f>IF( OR(history!$H90 ="",history!$F90 &lt;$C$16), "", history!$H90 )</f>
        <v/>
      </c>
      <c r="F102" s="32" t="str">
        <f>IFERROR( VLOOKUP($B102, history!$F$7:$S$73, 14, 0), "")</f>
        <v/>
      </c>
      <c r="G102" s="33" t="str">
        <f>IFERROR( VLOOKUP($B102, history!$F$7:$W$73, 18, 0), "")</f>
        <v/>
      </c>
      <c r="H102" s="34" t="str">
        <f>IFERROR( ( $E102/100/VLOOKUP($B102, history!$A$7:$C$106, 3, 0) * (365/$D102) + $G102/100 ) * 100, "")</f>
        <v/>
      </c>
      <c r="I102" s="35" t="str">
        <f t="shared" si="5"/>
        <v/>
      </c>
    </row>
    <row r="103" spans="2:9" x14ac:dyDescent="0.3">
      <c r="B103" s="79" t="str">
        <f>IF( OR(history!$F91 ="",history!$F91 &lt;$C$16), "", history!$F91 )</f>
        <v/>
      </c>
      <c r="C103" s="29" t="str">
        <f>IF( OR(history!$I91 ="",history!$F91 &lt;$C$16), "", history!$I91 )</f>
        <v/>
      </c>
      <c r="D103" s="30" t="str">
        <f>IF($B103="", "", history!J91)</f>
        <v/>
      </c>
      <c r="E103" s="31" t="str">
        <f>IF( OR(history!$H91 ="",history!$F91 &lt;$C$16), "", history!$H91 )</f>
        <v/>
      </c>
      <c r="F103" s="32" t="str">
        <f>IFERROR( VLOOKUP($B103, history!$F$7:$S$73, 14, 0), "")</f>
        <v/>
      </c>
      <c r="G103" s="33" t="str">
        <f>IFERROR( VLOOKUP($B103, history!$F$7:$W$73, 18, 0), "")</f>
        <v/>
      </c>
      <c r="H103" s="34" t="str">
        <f>IFERROR( ( $E103/100/VLOOKUP($B103, history!$A$7:$C$106, 3, 0) * (365/$D103) + $G103/100 ) * 100, "")</f>
        <v/>
      </c>
      <c r="I103" s="35" t="str">
        <f t="shared" si="5"/>
        <v/>
      </c>
    </row>
    <row r="104" spans="2:9" x14ac:dyDescent="0.3">
      <c r="B104" s="79" t="str">
        <f>IF( OR(history!$F92 ="",history!$F92 &lt;$C$16), "", history!$F92 )</f>
        <v/>
      </c>
      <c r="C104" s="29" t="str">
        <f>IF( OR(history!$I92 ="",history!$F92 &lt;$C$16), "", history!$I92 )</f>
        <v/>
      </c>
      <c r="D104" s="30" t="str">
        <f>IF($B104="", "", history!J92)</f>
        <v/>
      </c>
      <c r="E104" s="31" t="str">
        <f>IF( OR(history!$H92 ="",history!$F92 &lt;$C$16), "", history!$H92 )</f>
        <v/>
      </c>
      <c r="F104" s="32" t="str">
        <f>IFERROR( VLOOKUP($B104, history!$F$7:$S$73, 14, 0), "")</f>
        <v/>
      </c>
      <c r="G104" s="33" t="str">
        <f>IFERROR( VLOOKUP($B104, history!$F$7:$W$73, 18, 0), "")</f>
        <v/>
      </c>
      <c r="H104" s="34" t="str">
        <f>IFERROR( ( $E104/100/VLOOKUP($B104, history!$A$7:$C$106, 3, 0) * (365/$D104) + $G104/100 ) * 100, "")</f>
        <v/>
      </c>
      <c r="I104" s="35" t="str">
        <f t="shared" si="5"/>
        <v/>
      </c>
    </row>
    <row r="105" spans="2:9" x14ac:dyDescent="0.3">
      <c r="B105" s="79" t="str">
        <f>IF( OR(history!$F93 ="",history!$F93 &lt;$C$16), "", history!$F93 )</f>
        <v/>
      </c>
      <c r="C105" s="29" t="str">
        <f>IF( OR(history!$I93 ="",history!$F93 &lt;$C$16), "", history!$I93 )</f>
        <v/>
      </c>
      <c r="D105" s="30" t="str">
        <f>IF($B105="", "", history!J93)</f>
        <v/>
      </c>
      <c r="E105" s="31" t="str">
        <f>IF( OR(history!$H93 ="",history!$F93 &lt;$C$16), "", history!$H93 )</f>
        <v/>
      </c>
      <c r="F105" s="32" t="str">
        <f>IFERROR( VLOOKUP($B105, history!$F$7:$S$73, 14, 0), "")</f>
        <v/>
      </c>
      <c r="G105" s="33" t="str">
        <f>IFERROR( VLOOKUP($B105, history!$F$7:$W$73, 18, 0), "")</f>
        <v/>
      </c>
      <c r="H105" s="34" t="str">
        <f>IFERROR( ( $E105/100/VLOOKUP($B105, history!$A$7:$C$106, 3, 0) * (365/$D105) + $G105/100 ) * 100, "")</f>
        <v/>
      </c>
      <c r="I105" s="35" t="str">
        <f t="shared" si="5"/>
        <v/>
      </c>
    </row>
    <row r="106" spans="2:9" x14ac:dyDescent="0.3">
      <c r="B106" s="79" t="str">
        <f>IF( OR(history!$F94 ="",history!$F94 &lt;$C$16), "", history!$F94 )</f>
        <v/>
      </c>
      <c r="C106" s="29" t="str">
        <f>IF( OR(history!$I94 ="",history!$F94 &lt;$C$16), "", history!$I94 )</f>
        <v/>
      </c>
      <c r="D106" s="30" t="str">
        <f>IF($B106="", "", history!J94)</f>
        <v/>
      </c>
      <c r="E106" s="31" t="str">
        <f>IF( OR(history!$H94 ="",history!$F94 &lt;$C$16), "", history!$H94 )</f>
        <v/>
      </c>
      <c r="F106" s="32" t="str">
        <f>IFERROR( VLOOKUP($B106, history!$F$7:$S$73, 14, 0), "")</f>
        <v/>
      </c>
      <c r="G106" s="33" t="str">
        <f>IFERROR( VLOOKUP($B106, history!$F$7:$W$73, 18, 0), "")</f>
        <v/>
      </c>
      <c r="H106" s="34" t="str">
        <f>IFERROR( ( $E106/100/VLOOKUP($B106, history!$A$7:$C$106, 3, 0) * (365/$D106) + $G106/100 ) * 100, "")</f>
        <v/>
      </c>
      <c r="I106" s="35" t="str">
        <f t="shared" si="5"/>
        <v/>
      </c>
    </row>
    <row r="107" spans="2:9" x14ac:dyDescent="0.3">
      <c r="B107" s="79" t="str">
        <f>IF( OR(history!$F95 ="",history!$F95 &lt;$C$16), "", history!$F95 )</f>
        <v/>
      </c>
      <c r="C107" s="29" t="str">
        <f>IF( OR(history!$I95 ="",history!$F95 &lt;$C$16), "", history!$I95 )</f>
        <v/>
      </c>
      <c r="D107" s="30" t="str">
        <f>IF($B107="", "", history!J95)</f>
        <v/>
      </c>
      <c r="E107" s="31" t="str">
        <f>IF( OR(history!$H95 ="",history!$F95 &lt;$C$16), "", history!$H95 )</f>
        <v/>
      </c>
      <c r="F107" s="32" t="str">
        <f>IFERROR( VLOOKUP($B107, history!$F$7:$S$73, 14, 0), "")</f>
        <v/>
      </c>
      <c r="G107" s="33" t="str">
        <f>IFERROR( VLOOKUP($B107, history!$F$7:$W$73, 18, 0), "")</f>
        <v/>
      </c>
      <c r="H107" s="34" t="str">
        <f>IFERROR( ( $E107/100/VLOOKUP($B107, history!$A$7:$C$106, 3, 0) * (365/$D107) + $G107/100 ) * 100, "")</f>
        <v/>
      </c>
      <c r="I107" s="35" t="str">
        <f t="shared" si="5"/>
        <v/>
      </c>
    </row>
    <row r="108" spans="2:9" x14ac:dyDescent="0.3">
      <c r="B108" s="79" t="str">
        <f>IF( OR(history!$F96 ="",history!$F96 &lt;$C$16), "", history!$F96 )</f>
        <v/>
      </c>
      <c r="C108" s="29" t="str">
        <f>IF( OR(history!$I96 ="",history!$F96 &lt;$C$16), "", history!$I96 )</f>
        <v/>
      </c>
      <c r="D108" s="30" t="str">
        <f>IF($B108="", "", history!J96)</f>
        <v/>
      </c>
      <c r="E108" s="31" t="str">
        <f>IF( OR(history!$H96 ="",history!$F96 &lt;$C$16), "", history!$H96 )</f>
        <v/>
      </c>
      <c r="F108" s="32" t="str">
        <f>IFERROR( VLOOKUP($B108, history!$F$7:$S$73, 14, 0), "")</f>
        <v/>
      </c>
      <c r="G108" s="33" t="str">
        <f>IFERROR( VLOOKUP($B108, history!$F$7:$W$73, 18, 0), "")</f>
        <v/>
      </c>
      <c r="H108" s="34" t="str">
        <f>IFERROR( ( $E108/100/VLOOKUP($B108, history!$A$7:$C$106, 3, 0) * (365/$D108) + $G108/100 ) * 100, "")</f>
        <v/>
      </c>
      <c r="I108" s="35" t="str">
        <f t="shared" si="5"/>
        <v/>
      </c>
    </row>
    <row r="109" spans="2:9" x14ac:dyDescent="0.3">
      <c r="B109" s="79" t="str">
        <f>IF( OR(history!$F97 ="",history!$F97 &lt;$C$16), "", history!$F97 )</f>
        <v/>
      </c>
      <c r="C109" s="29" t="str">
        <f>IF( OR(history!$I97 ="",history!$F97 &lt;$C$16), "", history!$I97 )</f>
        <v/>
      </c>
      <c r="D109" s="30" t="str">
        <f>IF($B109="", "", history!J97)</f>
        <v/>
      </c>
      <c r="E109" s="31" t="str">
        <f>IF( OR(history!$H97 ="",history!$F97 &lt;$C$16), "", history!$H97 )</f>
        <v/>
      </c>
      <c r="F109" s="32" t="str">
        <f>IFERROR( VLOOKUP($B109, history!$F$7:$S$73, 14, 0), "")</f>
        <v/>
      </c>
      <c r="G109" s="33" t="str">
        <f>IFERROR( VLOOKUP($B109, history!$F$7:$W$73, 18, 0), "")</f>
        <v/>
      </c>
      <c r="H109" s="34" t="str">
        <f>IFERROR( ( $E109/100/VLOOKUP($B109, history!$A$7:$C$106, 3, 0) * (365/$D109) + $G109/100 ) * 100, "")</f>
        <v/>
      </c>
      <c r="I109" s="35" t="str">
        <f t="shared" si="5"/>
        <v/>
      </c>
    </row>
    <row r="110" spans="2:9" x14ac:dyDescent="0.3">
      <c r="B110" s="79" t="str">
        <f>IF( OR(history!$F98 ="",history!$F98 &lt;$C$16), "", history!$F98 )</f>
        <v/>
      </c>
      <c r="C110" s="29" t="str">
        <f>IF( OR(history!$I98 ="",history!$F98 &lt;$C$16), "", history!$I98 )</f>
        <v/>
      </c>
      <c r="D110" s="30" t="str">
        <f>IF($B110="", "", history!J98)</f>
        <v/>
      </c>
      <c r="E110" s="31" t="str">
        <f>IF( OR(history!$H98 ="",history!$F98 &lt;$C$16), "", history!$H98 )</f>
        <v/>
      </c>
      <c r="F110" s="32" t="str">
        <f>IFERROR( VLOOKUP($B110, history!$F$7:$S$73, 14, 0), "")</f>
        <v/>
      </c>
      <c r="G110" s="33" t="str">
        <f>IFERROR( VLOOKUP($B110, history!$F$7:$W$73, 18, 0), "")</f>
        <v/>
      </c>
      <c r="H110" s="34" t="str">
        <f>IFERROR( ( $E110/100/VLOOKUP($B110, history!$A$7:$C$106, 3, 0) * (365/$D110) + $G110/100 ) * 100, "")</f>
        <v/>
      </c>
      <c r="I110" s="35" t="str">
        <f t="shared" si="5"/>
        <v/>
      </c>
    </row>
    <row r="111" spans="2:9" x14ac:dyDescent="0.3">
      <c r="B111" s="79" t="str">
        <f>IF( OR(history!$F99 ="",history!$F99 &lt;$C$16), "", history!$F99 )</f>
        <v/>
      </c>
      <c r="C111" s="29" t="str">
        <f>IF( OR(history!$I99 ="",history!$F99 &lt;$C$16), "", history!$I99 )</f>
        <v/>
      </c>
      <c r="D111" s="30" t="str">
        <f>IF($B111="", "", history!J99)</f>
        <v/>
      </c>
      <c r="E111" s="31" t="str">
        <f>IF( OR(history!$H99 ="",history!$F99 &lt;$C$16), "", history!$H99 )</f>
        <v/>
      </c>
      <c r="F111" s="32" t="str">
        <f>IFERROR( VLOOKUP($B111, history!$F$7:$S$73, 14, 0), "")</f>
        <v/>
      </c>
      <c r="G111" s="33" t="str">
        <f>IFERROR( VLOOKUP($B111, history!$F$7:$W$73, 18, 0), "")</f>
        <v/>
      </c>
      <c r="H111" s="34" t="str">
        <f>IFERROR( ( $E111/100/VLOOKUP($B111, history!$A$7:$C$106, 3, 0) * (365/$D111) + $G111/100 ) * 100, "")</f>
        <v/>
      </c>
      <c r="I111" s="35" t="str">
        <f t="shared" si="5"/>
        <v/>
      </c>
    </row>
    <row r="112" spans="2:9" x14ac:dyDescent="0.3">
      <c r="B112" s="79" t="str">
        <f>IF( OR(history!$F100 ="",history!$F100 &lt;$C$16), "", history!$F100 )</f>
        <v/>
      </c>
      <c r="C112" s="29" t="str">
        <f>IF( OR(history!$I100 ="",history!$F100 &lt;$C$16), "", history!$I100 )</f>
        <v/>
      </c>
      <c r="D112" s="30" t="str">
        <f>IF($B112="", "", history!J100)</f>
        <v/>
      </c>
      <c r="E112" s="31" t="str">
        <f>IF( OR(history!$H100 ="",history!$F100 &lt;$C$16), "", history!$H100 )</f>
        <v/>
      </c>
      <c r="F112" s="32" t="str">
        <f>IFERROR( VLOOKUP($B112, history!$F$7:$S$73, 14, 0), "")</f>
        <v/>
      </c>
      <c r="G112" s="33" t="str">
        <f>IFERROR( VLOOKUP($B112, history!$F$7:$W$73, 18, 0), "")</f>
        <v/>
      </c>
      <c r="H112" s="34" t="str">
        <f>IFERROR( ( $E112/100/VLOOKUP($B112, history!$A$7:$C$106, 3, 0) * (365/$D112) + $G112/100 ) * 100, "")</f>
        <v/>
      </c>
      <c r="I112" s="35" t="str">
        <f t="shared" si="5"/>
        <v/>
      </c>
    </row>
    <row r="113" spans="2:9" x14ac:dyDescent="0.3">
      <c r="B113" s="79" t="str">
        <f>IF( OR(history!$F101 ="",history!$F101 &lt;$C$16), "", history!$F101 )</f>
        <v/>
      </c>
      <c r="C113" s="29" t="str">
        <f>IF( OR(history!$I101 ="",history!$F101 &lt;$C$16), "", history!$I101 )</f>
        <v/>
      </c>
      <c r="D113" s="30" t="str">
        <f>IF($B113="", "", history!J101)</f>
        <v/>
      </c>
      <c r="E113" s="31" t="str">
        <f>IF( OR(history!$H101 ="",history!$F101 &lt;$C$16), "", history!$H101 )</f>
        <v/>
      </c>
      <c r="F113" s="32" t="str">
        <f>IFERROR( VLOOKUP($B113, history!$F$7:$S$73, 14, 0), "")</f>
        <v/>
      </c>
      <c r="G113" s="33" t="str">
        <f>IFERROR( VLOOKUP($B113, history!$F$7:$W$73, 18, 0), "")</f>
        <v/>
      </c>
      <c r="H113" s="34" t="str">
        <f>IFERROR( ( $E113/100/VLOOKUP($B113, history!$A$7:$C$106, 3, 0) * (365/$D113) + $G113/100 ) * 100, "")</f>
        <v/>
      </c>
      <c r="I113" s="35" t="str">
        <f t="shared" si="5"/>
        <v/>
      </c>
    </row>
    <row r="114" spans="2:9" x14ac:dyDescent="0.3">
      <c r="B114" s="79" t="str">
        <f>IF( OR(history!$F102 ="",history!$F102 &lt;$C$16), "", history!$F102 )</f>
        <v/>
      </c>
      <c r="C114" s="29" t="str">
        <f>IF( OR(history!$I102 ="",history!$F102 &lt;$C$16), "", history!$I102 )</f>
        <v/>
      </c>
      <c r="D114" s="30" t="str">
        <f>IF($B114="", "", history!J102)</f>
        <v/>
      </c>
      <c r="E114" s="31" t="str">
        <f>IF( OR(history!$H102 ="",history!$F102 &lt;$C$16), "", history!$H102 )</f>
        <v/>
      </c>
      <c r="F114" s="32" t="str">
        <f>IFERROR( VLOOKUP($B114, history!$F$7:$S$73, 14, 0), "")</f>
        <v/>
      </c>
      <c r="G114" s="33" t="str">
        <f>IFERROR( VLOOKUP($B114, history!$F$7:$W$73, 18, 0), "")</f>
        <v/>
      </c>
      <c r="H114" s="34" t="str">
        <f>IFERROR( ( $E114/100/VLOOKUP($B114, history!$A$7:$C$106, 3, 0) * (365/$D114) + $G114/100 ) * 100, "")</f>
        <v/>
      </c>
      <c r="I114" s="35" t="str">
        <f t="shared" si="5"/>
        <v/>
      </c>
    </row>
    <row r="115" spans="2:9" x14ac:dyDescent="0.3">
      <c r="B115" s="79" t="str">
        <f>IF( OR(history!$F103 ="",history!$F103 &lt;$C$16), "", history!$F103 )</f>
        <v/>
      </c>
      <c r="C115" s="29" t="str">
        <f>IF( OR(history!$I103 ="",history!$F103 &lt;$C$16), "", history!$I103 )</f>
        <v/>
      </c>
      <c r="D115" s="30" t="str">
        <f>IF($B115="", "", history!J103)</f>
        <v/>
      </c>
      <c r="E115" s="31" t="str">
        <f>IF( OR(history!$H103 ="",history!$F103 &lt;$C$16), "", history!$H103 )</f>
        <v/>
      </c>
      <c r="F115" s="32" t="str">
        <f>IFERROR( VLOOKUP($B115, history!$F$7:$S$73, 14, 0), "")</f>
        <v/>
      </c>
      <c r="G115" s="33" t="str">
        <f>IFERROR( VLOOKUP($B115, history!$F$7:$W$73, 18, 0), "")</f>
        <v/>
      </c>
      <c r="H115" s="34" t="str">
        <f>IFERROR( ( $E115/100/VLOOKUP($B115, history!$A$7:$C$106, 3, 0) * (365/$D115) + $G115/100 ) * 100, "")</f>
        <v/>
      </c>
      <c r="I115" s="35" t="str">
        <f t="shared" si="5"/>
        <v/>
      </c>
    </row>
    <row r="116" spans="2:9" x14ac:dyDescent="0.3">
      <c r="B116" s="79" t="str">
        <f>IF( OR(history!$F104 ="",history!$F104 &lt;$C$16), "", history!$F104 )</f>
        <v/>
      </c>
      <c r="C116" s="29" t="str">
        <f>IF( OR(history!$I104 ="",history!$F104 &lt;$C$16), "", history!$I104 )</f>
        <v/>
      </c>
      <c r="D116" s="30" t="str">
        <f>IF($B116="", "", history!J104)</f>
        <v/>
      </c>
      <c r="E116" s="31" t="str">
        <f>IF( OR(history!$H104 ="",history!$F104 &lt;$C$16), "", history!$H104 )</f>
        <v/>
      </c>
      <c r="F116" s="32" t="str">
        <f>IFERROR( VLOOKUP($B116, history!$F$7:$S$73, 14, 0), "")</f>
        <v/>
      </c>
      <c r="G116" s="33" t="str">
        <f>IFERROR( VLOOKUP($B116, history!$F$7:$W$73, 18, 0), "")</f>
        <v/>
      </c>
      <c r="H116" s="34" t="str">
        <f>IFERROR( ( $E116/100/VLOOKUP($B116, history!$A$7:$C$106, 3, 0) * (365/$D116) + $G116/100 ) * 100, "")</f>
        <v/>
      </c>
      <c r="I116" s="35" t="str">
        <f t="shared" si="5"/>
        <v/>
      </c>
    </row>
    <row r="117" spans="2:9" x14ac:dyDescent="0.3">
      <c r="B117" s="79" t="str">
        <f>IF( OR(history!$F105 ="",history!$F105 &lt;$C$16), "", history!$F105 )</f>
        <v/>
      </c>
      <c r="C117" s="29" t="str">
        <f>IF( OR(history!$I105 ="",history!$F105 &lt;$C$16), "", history!$I105 )</f>
        <v/>
      </c>
      <c r="D117" s="30" t="str">
        <f>IF($B117="", "", history!J105)</f>
        <v/>
      </c>
      <c r="E117" s="31" t="str">
        <f>IF( OR(history!$H105 ="",history!$F105 &lt;$C$16), "", history!$H105 )</f>
        <v/>
      </c>
      <c r="F117" s="32" t="str">
        <f>IFERROR( VLOOKUP($B117, history!$F$7:$S$73, 14, 0), "")</f>
        <v/>
      </c>
      <c r="G117" s="33" t="str">
        <f>IFERROR( VLOOKUP($B117, history!$F$7:$W$73, 18, 0), "")</f>
        <v/>
      </c>
      <c r="H117" s="34" t="str">
        <f>IFERROR( ( $E117/100/VLOOKUP($B117, history!$A$7:$C$106, 3, 0) * (365/$D117) + $G117/100 ) * 100, "")</f>
        <v/>
      </c>
      <c r="I117" s="35" t="str">
        <f t="shared" si="5"/>
        <v/>
      </c>
    </row>
    <row r="118" spans="2:9" ht="17.25" thickBot="1" x14ac:dyDescent="0.35">
      <c r="B118" s="80" t="str">
        <f>IF( OR(history!$F106 ="",history!$F106 &lt;$C$16), "", history!$F106 )</f>
        <v/>
      </c>
      <c r="C118" s="36" t="str">
        <f>IF( OR(history!$I106 ="",history!$F106 &lt;$C$16), "", history!$I106 )</f>
        <v/>
      </c>
      <c r="D118" s="37" t="str">
        <f>IF($B118="", "", history!J106)</f>
        <v/>
      </c>
      <c r="E118" s="38" t="str">
        <f>IF( OR(history!$H106 ="",history!$F106 &lt;$C$16), "", history!$H106 )</f>
        <v/>
      </c>
      <c r="F118" s="39" t="str">
        <f>IFERROR( VLOOKUP($B118, history!$F$7:$S$73, 14, 0), "")</f>
        <v/>
      </c>
      <c r="G118" s="40" t="str">
        <f>IFERROR( VLOOKUP($B118, history!$F$7:$W$73, 18, 0), "")</f>
        <v/>
      </c>
      <c r="H118" s="41" t="str">
        <f>IFERROR( ( $E118/100/VLOOKUP($B118, history!$A$7:$C$106, 3, 0) * (365/$D118) + $G118/100 ) * 100, "")</f>
        <v/>
      </c>
      <c r="I118" s="42" t="str">
        <f t="shared" si="5"/>
        <v/>
      </c>
    </row>
    <row r="119" spans="2:9" x14ac:dyDescent="0.3"/>
    <row r="120" spans="2:9" x14ac:dyDescent="0.3"/>
    <row r="121" spans="2:9" x14ac:dyDescent="0.3"/>
    <row r="122" spans="2:9" x14ac:dyDescent="0.3"/>
    <row r="123" spans="2:9" x14ac:dyDescent="0.3"/>
    <row r="125" spans="2:9" x14ac:dyDescent="0.3"/>
    <row r="126" spans="2:9" x14ac:dyDescent="0.3"/>
    <row r="127" spans="2:9" x14ac:dyDescent="0.3"/>
    <row r="128" spans="2:9" x14ac:dyDescent="0.3"/>
  </sheetData>
  <mergeCells count="2">
    <mergeCell ref="M6:N6"/>
    <mergeCell ref="O8:O9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 Down 1">
              <controlPr defaultSize="0" autoLine="0" autoPict="0">
                <anchor moveWithCells="1">
                  <from>
                    <xdr:col>2</xdr:col>
                    <xdr:colOff>38100</xdr:colOff>
                    <xdr:row>6</xdr:row>
                    <xdr:rowOff>19050</xdr:rowOff>
                  </from>
                  <to>
                    <xdr:col>4</xdr:col>
                    <xdr:colOff>19050</xdr:colOff>
                    <xdr:row>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Drop Down 2">
              <controlPr defaultSize="0" autoLine="0" autoPict="0">
                <anchor moveWithCells="1">
                  <from>
                    <xdr:col>1</xdr:col>
                    <xdr:colOff>57150</xdr:colOff>
                    <xdr:row>17</xdr:row>
                    <xdr:rowOff>19050</xdr:rowOff>
                  </from>
                  <to>
                    <xdr:col>1</xdr:col>
                    <xdr:colOff>704850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Drop Down 3">
              <controlPr defaultSize="0" autoLine="0" autoPict="0">
                <anchor moveWithCells="1">
                  <from>
                    <xdr:col>13</xdr:col>
                    <xdr:colOff>19050</xdr:colOff>
                    <xdr:row>8</xdr:row>
                    <xdr:rowOff>28575</xdr:rowOff>
                  </from>
                  <to>
                    <xdr:col>13</xdr:col>
                    <xdr:colOff>914400</xdr:colOff>
                    <xdr:row>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Drop Down 4">
              <controlPr defaultSize="0" autoLine="0" autoPict="0">
                <anchor moveWithCells="1">
                  <from>
                    <xdr:col>14</xdr:col>
                    <xdr:colOff>19050</xdr:colOff>
                    <xdr:row>6</xdr:row>
                    <xdr:rowOff>28575</xdr:rowOff>
                  </from>
                  <to>
                    <xdr:col>14</xdr:col>
                    <xdr:colOff>590550</xdr:colOff>
                    <xdr:row>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Drop Down 5">
              <controlPr defaultSize="0" autoLine="0" autoPict="0">
                <anchor moveWithCells="1">
                  <from>
                    <xdr:col>14</xdr:col>
                    <xdr:colOff>19050</xdr:colOff>
                    <xdr:row>7</xdr:row>
                    <xdr:rowOff>123825</xdr:rowOff>
                  </from>
                  <to>
                    <xdr:col>14</xdr:col>
                    <xdr:colOff>590550</xdr:colOff>
                    <xdr:row>8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20C2-C6C4-46C1-AFEA-5895E5C032C5}">
  <dimension ref="B1:N23"/>
  <sheetViews>
    <sheetView topLeftCell="A24" workbookViewId="0">
      <selection activeCell="C23" sqref="A1:XFD23"/>
    </sheetView>
  </sheetViews>
  <sheetFormatPr defaultRowHeight="16.5" x14ac:dyDescent="0.3"/>
  <cols>
    <col min="2" max="2" width="18.625" bestFit="1" customWidth="1"/>
  </cols>
  <sheetData>
    <row r="1" spans="2:14" hidden="1" x14ac:dyDescent="0.3">
      <c r="D1" t="str" cm="1">
        <f t="array" ref="D1">INDEX(cal!$R$8:$R$14, $D$2)</f>
        <v>USD3M_SMBCC</v>
      </c>
    </row>
    <row r="2" spans="2:14" hidden="1" x14ac:dyDescent="0.3">
      <c r="B2">
        <v>1</v>
      </c>
      <c r="D2">
        <v>5</v>
      </c>
      <c r="G2">
        <v>2</v>
      </c>
      <c r="H2" t="str" cm="1">
        <f t="array" ref="H2">INDEX($H$3:$H$4, $G$2)</f>
        <v>BONDKSDCAL02</v>
      </c>
    </row>
    <row r="3" spans="2:14" hidden="1" x14ac:dyDescent="0.3">
      <c r="B3" t="s">
        <v>9</v>
      </c>
      <c r="D3" t="s">
        <v>0</v>
      </c>
      <c r="G3" t="s">
        <v>36</v>
      </c>
      <c r="H3" t="s">
        <v>31</v>
      </c>
    </row>
    <row r="4" spans="2:14" hidden="1" x14ac:dyDescent="0.3">
      <c r="B4" t="s">
        <v>10</v>
      </c>
      <c r="D4" t="s">
        <v>1</v>
      </c>
      <c r="G4" t="s">
        <v>37</v>
      </c>
      <c r="H4" t="s">
        <v>30</v>
      </c>
    </row>
    <row r="5" spans="2:14" hidden="1" x14ac:dyDescent="0.3">
      <c r="B5" t="s">
        <v>11</v>
      </c>
      <c r="D5" t="s">
        <v>2</v>
      </c>
    </row>
    <row r="6" spans="2:14" hidden="1" x14ac:dyDescent="0.3">
      <c r="B6" t="s">
        <v>12</v>
      </c>
      <c r="D6" t="s">
        <v>3</v>
      </c>
      <c r="H6" t="s">
        <v>87</v>
      </c>
    </row>
    <row r="7" spans="2:14" hidden="1" x14ac:dyDescent="0.3">
      <c r="D7" t="s">
        <v>4</v>
      </c>
      <c r="H7" t="s">
        <v>88</v>
      </c>
    </row>
    <row r="8" spans="2:14" hidden="1" x14ac:dyDescent="0.3">
      <c r="D8" t="s">
        <v>5</v>
      </c>
      <c r="H8" t="str" cm="1">
        <f t="array" ref="H8">INDEX($H$6:$H$7,$G$2)</f>
        <v>BONDKSDCAL03</v>
      </c>
    </row>
    <row r="9" spans="2:14" hidden="1" x14ac:dyDescent="0.3">
      <c r="D9" t="s">
        <v>6</v>
      </c>
    </row>
    <row r="10" spans="2:14" hidden="1" x14ac:dyDescent="0.3"/>
    <row r="11" spans="2:14" hidden="1" x14ac:dyDescent="0.3">
      <c r="J11">
        <v>2</v>
      </c>
      <c r="K11">
        <v>2</v>
      </c>
    </row>
    <row r="12" spans="2:14" hidden="1" x14ac:dyDescent="0.3">
      <c r="J12" t="s">
        <v>53</v>
      </c>
      <c r="K12" t="s">
        <v>55</v>
      </c>
    </row>
    <row r="13" spans="2:14" hidden="1" x14ac:dyDescent="0.3">
      <c r="D13" t="b" cm="1">
        <f t="array" ref="D13">_xll.IMDP("FX", "USDON_SMBCC", "매수호가", cal!$C$4) =""</f>
        <v>1</v>
      </c>
      <c r="J13" t="s">
        <v>54</v>
      </c>
      <c r="K13" t="s">
        <v>54</v>
      </c>
    </row>
    <row r="14" spans="2:14" hidden="1" x14ac:dyDescent="0.3">
      <c r="B14" t="s">
        <v>13</v>
      </c>
      <c r="C14" t="s">
        <v>17</v>
      </c>
      <c r="D14" t="str">
        <f>IF( $D$13, "USDTN_SMBCC", "USDON_SMBCC" )</f>
        <v>USDTN_SMBCC</v>
      </c>
      <c r="E14" t="str">
        <f>$D$14</f>
        <v>USDTN_SMBCC</v>
      </c>
      <c r="G14">
        <v>1</v>
      </c>
      <c r="H14">
        <f>cal!M7</f>
        <v>3.0569999999999999</v>
      </c>
      <c r="J14" t="s">
        <v>52</v>
      </c>
      <c r="K14" s="1" t="str">
        <f>IF( $D$13, "IRSTA6USD00D", "IRSTA6USD01D" )</f>
        <v>IRSTA6USD00D</v>
      </c>
      <c r="M14">
        <f>cal!D8</f>
        <v>0</v>
      </c>
      <c r="N14">
        <f>cal!G8</f>
        <v>4.58</v>
      </c>
    </row>
    <row r="15" spans="2:14" hidden="1" x14ac:dyDescent="0.3">
      <c r="B15" t="s">
        <v>14</v>
      </c>
      <c r="C15" t="str">
        <f>cal!R9</f>
        <v>USD1W_SMBCC</v>
      </c>
      <c r="D15" t="s">
        <v>18</v>
      </c>
      <c r="E15" t="s">
        <v>24</v>
      </c>
      <c r="G15">
        <v>91</v>
      </c>
      <c r="H15">
        <f>cal!M8</f>
        <v>3.29</v>
      </c>
      <c r="J15" t="e">
        <v>#N/A</v>
      </c>
      <c r="K15" t="s">
        <v>38</v>
      </c>
      <c r="M15">
        <f>cal!D10</f>
        <v>31</v>
      </c>
      <c r="N15">
        <f>cal!G10</f>
        <v>4.54</v>
      </c>
    </row>
    <row r="16" spans="2:14" hidden="1" x14ac:dyDescent="0.3">
      <c r="B16" t="s">
        <v>15</v>
      </c>
      <c r="C16" t="str">
        <f>cal!R10</f>
        <v>USD1M_SMBCC</v>
      </c>
      <c r="D16" t="s">
        <v>19</v>
      </c>
      <c r="E16" t="s">
        <v>25</v>
      </c>
      <c r="G16">
        <v>365</v>
      </c>
      <c r="H16">
        <f>cal!M9</f>
        <v>2.7559999999999998</v>
      </c>
      <c r="J16" t="s">
        <v>47</v>
      </c>
      <c r="K16" t="s">
        <v>39</v>
      </c>
    </row>
    <row r="17" spans="2:11" hidden="1" x14ac:dyDescent="0.3">
      <c r="B17" t="s">
        <v>16</v>
      </c>
      <c r="C17" t="str">
        <f>cal!R11</f>
        <v>USD2M_SMBCC</v>
      </c>
      <c r="D17" t="s">
        <v>20</v>
      </c>
      <c r="E17" t="s">
        <v>26</v>
      </c>
      <c r="G17">
        <v>730</v>
      </c>
      <c r="H17" cm="1">
        <f t="array" ref="H17">_xll.IMDP("IR", $H$8, "대표수익률", cal!$C$4)</f>
        <v>2.7189999999999999</v>
      </c>
      <c r="J17" t="s">
        <v>48</v>
      </c>
      <c r="K17" t="s">
        <v>40</v>
      </c>
    </row>
    <row r="18" spans="2:11" hidden="1" x14ac:dyDescent="0.3">
      <c r="C18" t="str">
        <f>cal!R12</f>
        <v>USD3M_SMBCC</v>
      </c>
      <c r="D18" t="s">
        <v>21</v>
      </c>
      <c r="E18" t="s">
        <v>27</v>
      </c>
      <c r="J18" t="s">
        <v>49</v>
      </c>
      <c r="K18" t="s">
        <v>41</v>
      </c>
    </row>
    <row r="19" spans="2:11" hidden="1" x14ac:dyDescent="0.3">
      <c r="C19" t="str">
        <f>cal!R13</f>
        <v>USD6M_SMBCC</v>
      </c>
      <c r="D19" t="s">
        <v>22</v>
      </c>
      <c r="E19" t="s">
        <v>28</v>
      </c>
      <c r="J19" t="s">
        <v>50</v>
      </c>
      <c r="K19" t="s">
        <v>42</v>
      </c>
    </row>
    <row r="20" spans="2:11" hidden="1" x14ac:dyDescent="0.3">
      <c r="C20" t="str">
        <f>cal!R14</f>
        <v>USD1Y_SMBCC</v>
      </c>
      <c r="D20" t="s">
        <v>23</v>
      </c>
      <c r="E20" t="s">
        <v>29</v>
      </c>
      <c r="J20" t="s">
        <v>51</v>
      </c>
      <c r="K20" t="s">
        <v>43</v>
      </c>
    </row>
    <row r="21" spans="2:11" hidden="1" x14ac:dyDescent="0.3"/>
    <row r="22" spans="2:11" hidden="1" x14ac:dyDescent="0.3"/>
    <row r="23" spans="2:11" hidden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4298-EE07-4BD7-A9D1-FC317BCFCB95}">
  <dimension ref="A1:AL126"/>
  <sheetViews>
    <sheetView workbookViewId="0">
      <pane ySplit="6" topLeftCell="A7" activePane="bottomLeft" state="frozen"/>
      <selection pane="bottomLeft" activeCell="C27" sqref="C27"/>
    </sheetView>
  </sheetViews>
  <sheetFormatPr defaultRowHeight="16.5" x14ac:dyDescent="0.3"/>
  <cols>
    <col min="1" max="1" width="10.75" customWidth="1"/>
    <col min="2" max="2" width="10.375" bestFit="1" customWidth="1"/>
    <col min="4" max="4" width="10.375" bestFit="1" customWidth="1"/>
    <col min="5" max="5" width="10.375" customWidth="1"/>
    <col min="6" max="6" width="10.25" customWidth="1"/>
    <col min="9" max="9" width="10.375" customWidth="1"/>
    <col min="10" max="10" width="8.25" bestFit="1" customWidth="1"/>
    <col min="11" max="29" width="10.375" customWidth="1"/>
    <col min="30" max="30" width="10.75" customWidth="1"/>
  </cols>
  <sheetData>
    <row r="1" spans="1:38" x14ac:dyDescent="0.3">
      <c r="A1" s="8" t="s">
        <v>62</v>
      </c>
      <c r="B1" s="2">
        <f>MAX( cal!$C$16-10, $A$3)</f>
        <v>45524</v>
      </c>
      <c r="C1" s="8" t="s">
        <v>63</v>
      </c>
      <c r="D1" s="2">
        <f>cal!$E$16</f>
        <v>45624</v>
      </c>
      <c r="E1" s="8" t="s">
        <v>64</v>
      </c>
      <c r="F1">
        <f>D1-B1+20</f>
        <v>120</v>
      </c>
      <c r="G1" s="8" t="s">
        <v>65</v>
      </c>
      <c r="H1" t="s">
        <v>66</v>
      </c>
      <c r="I1" s="8" t="s">
        <v>67</v>
      </c>
      <c r="J1" t="s">
        <v>68</v>
      </c>
      <c r="K1" s="8" t="s">
        <v>69</v>
      </c>
      <c r="L1">
        <v>0</v>
      </c>
      <c r="M1" s="8" t="s">
        <v>70</v>
      </c>
      <c r="N1" t="s">
        <v>71</v>
      </c>
    </row>
    <row r="2" spans="1:38" x14ac:dyDescent="0.3">
      <c r="C2" s="8" t="s">
        <v>75</v>
      </c>
      <c r="H2" s="9" t="s">
        <v>72</v>
      </c>
      <c r="AE2" s="6" t="s">
        <v>84</v>
      </c>
      <c r="AF2" s="6" t="s">
        <v>85</v>
      </c>
      <c r="AG2" s="6" t="s">
        <v>86</v>
      </c>
      <c r="AH2" s="6" t="s">
        <v>89</v>
      </c>
      <c r="AI2" s="11" t="s">
        <v>72</v>
      </c>
      <c r="AJ2" s="6" t="s">
        <v>91</v>
      </c>
      <c r="AK2" s="8" t="s">
        <v>90</v>
      </c>
      <c r="AL2" s="8"/>
    </row>
    <row r="3" spans="1:38" x14ac:dyDescent="0.3">
      <c r="A3" s="2">
        <v>43831</v>
      </c>
      <c r="C3" t="s">
        <v>76</v>
      </c>
      <c r="H3" s="10" t="s">
        <v>76</v>
      </c>
      <c r="Y3" t="s">
        <v>76</v>
      </c>
      <c r="AA3" t="s">
        <v>76</v>
      </c>
      <c r="AE3" t="s">
        <v>77</v>
      </c>
      <c r="AF3" t="s">
        <v>77</v>
      </c>
      <c r="AG3" t="s">
        <v>77</v>
      </c>
      <c r="AH3" t="s">
        <v>77</v>
      </c>
      <c r="AI3" s="10" t="str">
        <f>IF(AND( option!$J$11=1, option!$D$2=1), "ECO", "IR")</f>
        <v>IR</v>
      </c>
      <c r="AJ3" t="str">
        <f>IF( option!$J$11=1, "ECO", "IR")</f>
        <v>IR</v>
      </c>
      <c r="AK3" t="s">
        <v>77</v>
      </c>
    </row>
    <row r="4" spans="1:38" x14ac:dyDescent="0.3">
      <c r="C4" t="str">
        <f>cal!$R$7</f>
        <v>USDSP_SMBCC</v>
      </c>
      <c r="H4" s="10" t="str" cm="1">
        <f t="array" ref="H4">INDEX(option!$C$14:$C$20, option!$D$2, 0)</f>
        <v>USD3M_SMBCC</v>
      </c>
      <c r="Y4" t="s">
        <v>17</v>
      </c>
      <c r="AA4" t="s">
        <v>83</v>
      </c>
      <c r="AE4" t="s">
        <v>79</v>
      </c>
      <c r="AF4" t="s">
        <v>78</v>
      </c>
      <c r="AG4" t="str">
        <f>option!$H$2</f>
        <v>BONDKSDCAL02</v>
      </c>
      <c r="AH4" t="str">
        <f>option!$H$8</f>
        <v>BONDKSDCAL03</v>
      </c>
      <c r="AI4" s="10" t="str" cm="1">
        <f t="array" ref="AI4">INDEX(cal!$S$8:$S$14, option!$D$2)</f>
        <v>IRSTA6USD03M</v>
      </c>
      <c r="AJ4" t="str">
        <f>cal!$S$8</f>
        <v>IRSTA6USD00D</v>
      </c>
      <c r="AK4" t="str">
        <f>cal!$S$10</f>
        <v>IRSTA6USD01M</v>
      </c>
    </row>
    <row r="5" spans="1:38" x14ac:dyDescent="0.3">
      <c r="A5" t="str" cm="1">
        <f t="array" ref="A5">_xll.IMDH(C3, C4, A6:C6, $B$1, $D$1, $F$1, "Per="&amp;$H$1&amp;", sort="&amp;$J$1&amp;", real=true, Bizday="&amp;$L$1&amp;", Quote="&amp;$N$1&amp;", Pos=20, Orient=V, DtFmt=1, TmFmt=1, unit=true")</f>
        <v>조회[USDSP_SMBCC]</v>
      </c>
      <c r="F5" t="str" cm="1">
        <f t="array" ref="F5">_xll.IMDH(H3, H4, F6:H6, $B$1, $D$1, $F$1, "Per="&amp;$H$1&amp;", sort="&amp;$J$1&amp;", real=true, Bizday="&amp;$L$1&amp;", Quote="&amp;$N$1&amp;", Pos=20, Orient=V, DtFmt=1, TmFmt=1, unit=true")</f>
        <v>조회[USD3M_SMBCC]</v>
      </c>
      <c r="H5" s="10"/>
      <c r="U5">
        <v>0</v>
      </c>
      <c r="V5">
        <v>30</v>
      </c>
      <c r="W5" s="10" t="b">
        <f>AND(option!$D$2=2, option!$K$11=1)</f>
        <v>0</v>
      </c>
      <c r="X5" t="str" cm="1">
        <f t="array" ref="X5">_xll.IMDH(Y3, Y4, X6:Y6, $B$1-20, $D$1, $F$1, "Per="&amp;$H$1&amp;", sort="&amp;$J$1&amp;", real=true, Bizday="&amp;$L$1&amp;", Quote="&amp;$N$1&amp;", Pos=20, Orient=V, DtFmt=1, TmFmt=1, unit=true")</f>
        <v>조회[USDON_SMBCC]</v>
      </c>
      <c r="Z5" t="str" cm="1">
        <f t="array" ref="Z5">_xll.IMDH(AA3, AA4, Z6:AA6, $B$1-20, $D$1, $F$1, "Per="&amp;$H$1&amp;", sort="&amp;$J$1&amp;", real=true, Bizday="&amp;$L$1&amp;", Quote="&amp;$N$1&amp;", Pos=20, Orient=V, DtFmt=1, TmFmt=1, unit=true")</f>
        <v>조회[USDTN_SMBCC]</v>
      </c>
      <c r="AD5" t="str" cm="1">
        <f t="array" ref="AD5">_xll.IMDH(AE3, AE4, AD6:AE6, $B$1-20, $D$1, $F$1, "Per="&amp;$H$1&amp;", sort="&amp;$J$1&amp;", real=true, Bizday=2, Quote="&amp;$N$1&amp;", Pos=20, Orient=V, DtFmt=1, TmFmt=1, unit=true")</f>
        <v>조회[CALLALLX00]</v>
      </c>
      <c r="AF5" t="str" cm="1">
        <f t="array" ref="AF5">_xll.IMDH(AF3, AF4, AF6:AF6, $B$1-20, $D$1, $F$1, "Per="&amp;$H$1&amp;", sort="&amp;$J$1&amp;", real=true, Bizday=2, Quote="&amp;$N$1&amp;", Pos=20, Orient=V, DtFmt=1, TmFmt=1, unit=true")</f>
        <v>조회[BONDKSDCAL08]</v>
      </c>
      <c r="AG5" t="str" cm="1">
        <f t="array" ref="AG5">_xll.IMDH(AG3, AG4, AG6:AG6, $B$1-20, $D$1, $F$1, "Per="&amp;$H$1&amp;", sort="&amp;$J$1&amp;", real=true, Bizday=2, Quote="&amp;$N$1&amp;", Pos=20, Orient=V, DtFmt=1, TmFmt=1, unit=true")</f>
        <v>조회[BONDKSDCAL02]</v>
      </c>
      <c r="AH5" t="str" cm="1">
        <f t="array" ref="AH5">_xll.IMDH(AH3, AH4, AH6:AH6, $B$1-20, $D$1, $F$1, "Per="&amp;$H$1&amp;", sort="&amp;$J$1&amp;", real=true, Bizday=2, Quote="&amp;$N$1&amp;", Pos=20, Orient=V, DtFmt=1, TmFmt=1, unit=true")</f>
        <v>조회[BONDKSDCAL03]</v>
      </c>
      <c r="AI5" s="10" t="str" cm="1">
        <f t="array" ref="AI5">_xll.IMDH(AI3, AI4, AI6:AI6, $B$1-20, $D$1, $F$1, "Per="&amp;$H$1&amp;", sort="&amp;$J$1&amp;", real=true, Bizday=2, Quote="&amp;$N$1&amp;", Pos=20, Orient=V, DtFmt=1, TmFmt=1, unit=true")</f>
        <v>조회[IRSTA6USD03M]</v>
      </c>
      <c r="AJ5" t="str" cm="1">
        <f t="array" ref="AJ5">_xll.IMDH(AJ3, AJ4, AJ6:AJ6, $B$1-20, $D$1, $F$1, "Per="&amp;$H$1&amp;", sort="&amp;$J$1&amp;", real=true, Bizday=2, Quote="&amp;$N$1&amp;", Pos=20, Orient=V, DtFmt=1, TmFmt=1, unit=true")</f>
        <v>조회[IRSTA6USD00D]</v>
      </c>
      <c r="AK5" t="str" cm="1">
        <f t="array" ref="AK5">_xll.IMDH(AK3, AK4, AK6:AK6, $B$1-20, $D$1, $F$1, "Per="&amp;$H$1&amp;", sort="&amp;$J$1&amp;", real=true, Bizday=2, Quote="&amp;$N$1&amp;", Pos=20, Orient=V, DtFmt=1, TmFmt=1, unit=true")</f>
        <v>조회[IRSTA6USD01M]</v>
      </c>
    </row>
    <row r="6" spans="1:38" x14ac:dyDescent="0.3">
      <c r="A6" t="s">
        <v>73</v>
      </c>
      <c r="B6" t="s">
        <v>32</v>
      </c>
      <c r="C6" t="s">
        <v>93</v>
      </c>
      <c r="F6" t="s">
        <v>73</v>
      </c>
      <c r="G6" t="s">
        <v>32</v>
      </c>
      <c r="H6" s="10" t="s">
        <v>74</v>
      </c>
      <c r="I6" s="6" t="s">
        <v>72</v>
      </c>
      <c r="J6" s="6" t="s">
        <v>82</v>
      </c>
      <c r="K6" s="6" t="s">
        <v>92</v>
      </c>
      <c r="O6" s="6" t="s">
        <v>84</v>
      </c>
      <c r="P6" s="6" t="s">
        <v>85</v>
      </c>
      <c r="Q6" s="6" t="s">
        <v>86</v>
      </c>
      <c r="R6" s="6" t="s">
        <v>89</v>
      </c>
      <c r="S6" s="11" t="s">
        <v>94</v>
      </c>
      <c r="T6" s="6" t="s">
        <v>44</v>
      </c>
      <c r="U6" s="6" t="s">
        <v>91</v>
      </c>
      <c r="V6" s="6" t="s">
        <v>90</v>
      </c>
      <c r="W6" s="6"/>
      <c r="X6" t="s">
        <v>73</v>
      </c>
      <c r="Y6" t="s">
        <v>32</v>
      </c>
      <c r="Z6" t="s">
        <v>73</v>
      </c>
      <c r="AA6" t="s">
        <v>32</v>
      </c>
      <c r="AC6" s="6"/>
      <c r="AD6" t="s">
        <v>73</v>
      </c>
      <c r="AE6" t="s">
        <v>80</v>
      </c>
      <c r="AF6" t="s">
        <v>81</v>
      </c>
      <c r="AG6" t="s">
        <v>81</v>
      </c>
      <c r="AH6" t="s">
        <v>81</v>
      </c>
      <c r="AI6" s="10" t="str">
        <f>IF(AND( option!$J$11=1, option!$D$2=1), "현재가", "MID")</f>
        <v>MID</v>
      </c>
      <c r="AJ6" t="str">
        <f>IF(option!$J$11=1, "현재가", "MID")</f>
        <v>MID</v>
      </c>
      <c r="AK6" t="s">
        <v>8</v>
      </c>
    </row>
    <row r="7" spans="1:38" x14ac:dyDescent="0.3">
      <c r="A7" s="2">
        <v>45624</v>
      </c>
      <c r="B7">
        <v>20241202</v>
      </c>
      <c r="C7">
        <v>1395.6</v>
      </c>
      <c r="D7" s="2">
        <f>IF(B7="", "", DATE(LEFT(B7,4), MID(B7,5,2), RIGHT(B7,2)))</f>
        <v>45628</v>
      </c>
      <c r="F7" s="2">
        <v>45624</v>
      </c>
      <c r="G7">
        <v>20250304</v>
      </c>
      <c r="H7">
        <v>-535</v>
      </c>
      <c r="I7" s="2">
        <f>IF(G7="", "", DATE(LEFT(G7,4), MID(G7,5,2), RIGHT(G7,2)))</f>
        <v>45720</v>
      </c>
      <c r="J7">
        <f>I7-D7</f>
        <v>92</v>
      </c>
      <c r="K7">
        <f>IF(AB7="", "", DATE(LEFT(AB7,4), MID(AB7,5,2), RIGHT(AB7,2)))-$F7</f>
        <v>4</v>
      </c>
      <c r="L7">
        <v>91</v>
      </c>
      <c r="M7">
        <v>365</v>
      </c>
      <c r="N7">
        <v>730</v>
      </c>
      <c r="O7">
        <f t="shared" ref="O7:O38" si="0">VLOOKUP($F7, $AD$7:$AK$106, 2, 0)</f>
        <v>3.0569999999999999</v>
      </c>
      <c r="P7">
        <f t="shared" ref="P7:P38" si="1">VLOOKUP($F7, $AD$7:$AK$106, 3, 0)</f>
        <v>3.29</v>
      </c>
      <c r="Q7">
        <f t="shared" ref="Q7:Q38" si="2">VLOOKUP($F7, $AD$7:$AK$106, 4, 0)</f>
        <v>2.7559999999999998</v>
      </c>
      <c r="R7">
        <f t="shared" ref="R7:R38" si="3">VLOOKUP($F7, $AD$7:$AK$106, 5, 0)</f>
        <v>2.7189999999999999</v>
      </c>
      <c r="S7" s="10">
        <f>CHOOSE(option!$D$2,
history!$O7,
FORECAST(history!$J7, history!$O7:$P7, history!$K7:$L7),
FORECAST(history!$J7, history!$O7:$P7, history!$K7:$L7),
FORECAST(history!$J7, history!$O7:$P7, history!$K7:$L7),
history!$P7,
history!$Q7
)</f>
        <v>3.29</v>
      </c>
      <c r="T7">
        <f>VLOOKUP($F7, $AD$7:$AK$126, 6, 0)</f>
        <v>4.4690000000000003</v>
      </c>
      <c r="U7">
        <f>VLOOKUP($F7, $AD$7:$AK$126, 7, 0)</f>
        <v>4.58</v>
      </c>
      <c r="V7">
        <f>VLOOKUP($F7, $AD$7:$AK$126, 8, 0)</f>
        <v>4.54</v>
      </c>
      <c r="W7" s="10">
        <f>IF($W$5, FORECAST($J7,$U7:$V7,$U$5:$V$5), $T7)</f>
        <v>4.4690000000000003</v>
      </c>
      <c r="X7" s="2">
        <v>45623</v>
      </c>
      <c r="Y7">
        <v>20241129</v>
      </c>
      <c r="Z7" s="2">
        <v>45624</v>
      </c>
      <c r="AA7">
        <v>20241202</v>
      </c>
      <c r="AB7">
        <f t="shared" ref="AB7:AB38" si="4">IFERROR( VLOOKUP($F7, $X$7:$Y$106, 2, 0), VLOOKUP($F7, $Z$7:$AA$106, 2, 0))</f>
        <v>20241202</v>
      </c>
      <c r="AD7" s="2">
        <v>45624</v>
      </c>
      <c r="AE7">
        <v>3.0569999999999999</v>
      </c>
      <c r="AF7">
        <v>3.29</v>
      </c>
      <c r="AG7">
        <v>2.7559999999999998</v>
      </c>
      <c r="AH7">
        <v>2.7189999999999999</v>
      </c>
      <c r="AI7">
        <v>4.4690000000000003</v>
      </c>
      <c r="AJ7">
        <v>4.58</v>
      </c>
      <c r="AK7">
        <v>4.54</v>
      </c>
    </row>
    <row r="8" spans="1:38" x14ac:dyDescent="0.3">
      <c r="A8" s="2">
        <v>45623</v>
      </c>
      <c r="B8">
        <v>20241129</v>
      </c>
      <c r="C8">
        <v>1397</v>
      </c>
      <c r="D8" s="2">
        <f t="shared" ref="D8:D71" si="5">IF(B8="", "", DATE(LEFT(B8,4), MID(B8,5,2), RIGHT(B8,2)))</f>
        <v>45625</v>
      </c>
      <c r="F8" s="2">
        <v>45623</v>
      </c>
      <c r="G8">
        <v>20250228</v>
      </c>
      <c r="H8">
        <v>-495</v>
      </c>
      <c r="I8" s="2">
        <f t="shared" ref="I8:I71" si="6">IF(G8="", "", DATE(LEFT(G8,4), MID(G8,5,2), RIGHT(G8,2)))</f>
        <v>45716</v>
      </c>
      <c r="J8">
        <f t="shared" ref="J8:J71" si="7">I8-D8</f>
        <v>91</v>
      </c>
      <c r="K8">
        <f t="shared" ref="K8:K71" si="8">IF(AB8="", "", DATE(LEFT(AB8,4), MID(AB8,5,2), RIGHT(AB8,2)))-$F8</f>
        <v>2</v>
      </c>
      <c r="L8">
        <v>91</v>
      </c>
      <c r="M8">
        <v>365</v>
      </c>
      <c r="N8">
        <v>730</v>
      </c>
      <c r="O8">
        <f t="shared" si="0"/>
        <v>3.2629999999999999</v>
      </c>
      <c r="P8">
        <f t="shared" si="1"/>
        <v>3.44</v>
      </c>
      <c r="Q8">
        <f t="shared" si="2"/>
        <v>2.8</v>
      </c>
      <c r="R8">
        <f t="shared" si="3"/>
        <v>2.8170000000000002</v>
      </c>
      <c r="S8" s="10">
        <f>CHOOSE(option!$D$2,
history!$O8,
FORECAST(history!$J8, history!$O8:$P8, history!$K8:$L8),
FORECAST(history!$J8, history!$O8:$P8, history!$K8:$L8),
FORECAST(history!$J8, history!$O8:$P8, history!$K8:$L8),
history!$P8,
history!$Q8
)</f>
        <v>3.44</v>
      </c>
      <c r="T8">
        <f t="shared" ref="T8:T71" si="9">VLOOKUP($F8, $AD$7:$AK$126, 6, 0)</f>
        <v>4.4690000000000003</v>
      </c>
      <c r="U8">
        <f t="shared" ref="U8:U71" si="10">VLOOKUP($F8, $AD$7:$AK$126, 7, 0)</f>
        <v>4.58</v>
      </c>
      <c r="V8">
        <f t="shared" ref="V8:V71" si="11">VLOOKUP($F8, $AD$7:$AK$126, 8, 0)</f>
        <v>4.54</v>
      </c>
      <c r="W8" s="10">
        <f t="shared" ref="W8:W71" si="12">IF($W$5, FORECAST($J8,$U8:$V8,$U$5:$V$5), $T8)</f>
        <v>4.4690000000000003</v>
      </c>
      <c r="X8" s="2">
        <v>45622</v>
      </c>
      <c r="Y8">
        <v>20241127</v>
      </c>
      <c r="Z8" s="2">
        <v>45622</v>
      </c>
      <c r="AA8">
        <v>20241129</v>
      </c>
      <c r="AB8">
        <f t="shared" si="4"/>
        <v>20241129</v>
      </c>
      <c r="AD8" s="2">
        <v>45623</v>
      </c>
      <c r="AE8">
        <v>3.2629999999999999</v>
      </c>
      <c r="AF8">
        <v>3.44</v>
      </c>
      <c r="AG8">
        <v>2.8</v>
      </c>
      <c r="AH8">
        <v>2.8170000000000002</v>
      </c>
      <c r="AI8">
        <v>4.4690000000000003</v>
      </c>
      <c r="AJ8">
        <v>4.58</v>
      </c>
      <c r="AK8">
        <v>4.54</v>
      </c>
    </row>
    <row r="9" spans="1:38" x14ac:dyDescent="0.3">
      <c r="A9" s="2">
        <v>45622</v>
      </c>
      <c r="B9">
        <v>20241129</v>
      </c>
      <c r="C9">
        <v>1398.2</v>
      </c>
      <c r="D9" s="2">
        <f t="shared" si="5"/>
        <v>45625</v>
      </c>
      <c r="F9" s="2">
        <v>45622</v>
      </c>
      <c r="G9">
        <v>20250228</v>
      </c>
      <c r="H9">
        <v>-500</v>
      </c>
      <c r="I9" s="2">
        <f t="shared" si="6"/>
        <v>45716</v>
      </c>
      <c r="J9">
        <f t="shared" si="7"/>
        <v>91</v>
      </c>
      <c r="K9">
        <f t="shared" si="8"/>
        <v>1</v>
      </c>
      <c r="L9">
        <v>91</v>
      </c>
      <c r="M9">
        <v>365</v>
      </c>
      <c r="N9">
        <v>730</v>
      </c>
      <c r="O9">
        <f t="shared" si="0"/>
        <v>3.2669999999999999</v>
      </c>
      <c r="P9">
        <f t="shared" si="1"/>
        <v>3.44</v>
      </c>
      <c r="Q9">
        <f t="shared" si="2"/>
        <v>2.8029999999999999</v>
      </c>
      <c r="R9">
        <f t="shared" si="3"/>
        <v>2.8420000000000001</v>
      </c>
      <c r="S9" s="10">
        <f>CHOOSE(option!$D$2,
history!$O9,
FORECAST(history!$J9, history!$O9:$P9, history!$K9:$L9),
FORECAST(history!$J9, history!$O9:$P9, history!$K9:$L9),
FORECAST(history!$J9, history!$O9:$P9, history!$K9:$L9),
history!$P9,
history!$Q9
)</f>
        <v>3.44</v>
      </c>
      <c r="T9">
        <f t="shared" si="9"/>
        <v>4.4820000000000002</v>
      </c>
      <c r="U9">
        <f t="shared" si="10"/>
        <v>4.58</v>
      </c>
      <c r="V9">
        <f t="shared" si="11"/>
        <v>4.5490000000000004</v>
      </c>
      <c r="W9" s="10">
        <f t="shared" si="12"/>
        <v>4.4820000000000002</v>
      </c>
      <c r="X9" s="2">
        <v>45621</v>
      </c>
      <c r="Y9">
        <v>20241126</v>
      </c>
      <c r="Z9" s="2">
        <v>45621</v>
      </c>
      <c r="AA9">
        <v>20241127</v>
      </c>
      <c r="AB9">
        <f t="shared" si="4"/>
        <v>20241127</v>
      </c>
      <c r="AD9" s="2">
        <v>45622</v>
      </c>
      <c r="AE9">
        <v>3.2669999999999999</v>
      </c>
      <c r="AF9">
        <v>3.44</v>
      </c>
      <c r="AG9">
        <v>2.8029999999999999</v>
      </c>
      <c r="AH9">
        <v>2.8420000000000001</v>
      </c>
      <c r="AI9">
        <v>4.4820000000000002</v>
      </c>
      <c r="AJ9">
        <v>4.58</v>
      </c>
      <c r="AK9">
        <v>4.5490000000000004</v>
      </c>
    </row>
    <row r="10" spans="1:38" x14ac:dyDescent="0.3">
      <c r="A10" s="2">
        <v>45621</v>
      </c>
      <c r="B10">
        <v>20241127</v>
      </c>
      <c r="C10">
        <v>1402.2</v>
      </c>
      <c r="D10" s="2">
        <f t="shared" si="5"/>
        <v>45623</v>
      </c>
      <c r="F10" s="2">
        <v>45621</v>
      </c>
      <c r="G10">
        <v>20250227</v>
      </c>
      <c r="H10">
        <v>-535</v>
      </c>
      <c r="I10" s="2">
        <f t="shared" si="6"/>
        <v>45715</v>
      </c>
      <c r="J10">
        <f t="shared" si="7"/>
        <v>92</v>
      </c>
      <c r="K10">
        <f t="shared" si="8"/>
        <v>1</v>
      </c>
      <c r="L10">
        <v>91</v>
      </c>
      <c r="M10">
        <v>365</v>
      </c>
      <c r="N10">
        <v>730</v>
      </c>
      <c r="O10">
        <f t="shared" si="0"/>
        <v>3.29</v>
      </c>
      <c r="P10">
        <f t="shared" si="1"/>
        <v>3.44</v>
      </c>
      <c r="Q10">
        <f t="shared" si="2"/>
        <v>2.8010000000000002</v>
      </c>
      <c r="R10">
        <f t="shared" si="3"/>
        <v>2.8450000000000002</v>
      </c>
      <c r="S10" s="10">
        <f>CHOOSE(option!$D$2,
history!$O10,
FORECAST(history!$J10, history!$O10:$P10, history!$K10:$L10),
FORECAST(history!$J10, history!$O10:$P10, history!$K10:$L10),
FORECAST(history!$J10, history!$O10:$P10, history!$K10:$L10),
history!$P10,
history!$Q10
)</f>
        <v>3.44</v>
      </c>
      <c r="T10">
        <f t="shared" si="9"/>
        <v>4.5140000000000002</v>
      </c>
      <c r="U10">
        <f t="shared" si="10"/>
        <v>4.57</v>
      </c>
      <c r="V10">
        <f t="shared" si="11"/>
        <v>4.5720000000000001</v>
      </c>
      <c r="W10" s="10">
        <f t="shared" si="12"/>
        <v>4.5140000000000002</v>
      </c>
      <c r="X10" s="2">
        <v>45618</v>
      </c>
      <c r="Y10">
        <v>20241125</v>
      </c>
      <c r="Z10" s="2">
        <v>45618</v>
      </c>
      <c r="AA10">
        <v>20241126</v>
      </c>
      <c r="AB10">
        <f t="shared" si="4"/>
        <v>20241126</v>
      </c>
      <c r="AD10" s="2">
        <v>45621</v>
      </c>
      <c r="AE10">
        <v>3.29</v>
      </c>
      <c r="AF10">
        <v>3.44</v>
      </c>
      <c r="AG10">
        <v>2.8010000000000002</v>
      </c>
      <c r="AH10">
        <v>2.8450000000000002</v>
      </c>
      <c r="AI10">
        <v>4.5140000000000002</v>
      </c>
      <c r="AJ10">
        <v>4.57</v>
      </c>
      <c r="AK10">
        <v>4.5720000000000001</v>
      </c>
    </row>
    <row r="11" spans="1:38" x14ac:dyDescent="0.3">
      <c r="A11" s="2">
        <v>45618</v>
      </c>
      <c r="B11">
        <v>20241126</v>
      </c>
      <c r="C11">
        <v>1401.8</v>
      </c>
      <c r="D11" s="2">
        <f t="shared" si="5"/>
        <v>45622</v>
      </c>
      <c r="F11" s="2">
        <v>45618</v>
      </c>
      <c r="G11">
        <v>20250226</v>
      </c>
      <c r="H11">
        <v>-560</v>
      </c>
      <c r="I11" s="2">
        <f t="shared" si="6"/>
        <v>45714</v>
      </c>
      <c r="J11">
        <f t="shared" si="7"/>
        <v>92</v>
      </c>
      <c r="K11">
        <f t="shared" si="8"/>
        <v>3</v>
      </c>
      <c r="L11">
        <v>91</v>
      </c>
      <c r="M11">
        <v>365</v>
      </c>
      <c r="N11">
        <v>730</v>
      </c>
      <c r="O11">
        <f t="shared" si="0"/>
        <v>3.2850000000000001</v>
      </c>
      <c r="P11">
        <f t="shared" si="1"/>
        <v>3.44</v>
      </c>
      <c r="Q11">
        <f t="shared" si="2"/>
        <v>2.8119999999999998</v>
      </c>
      <c r="R11">
        <f t="shared" si="3"/>
        <v>2.88</v>
      </c>
      <c r="S11" s="10">
        <f>CHOOSE(option!$D$2,
history!$O11,
FORECAST(history!$J11, history!$O11:$P11, history!$K11:$L11),
FORECAST(history!$J11, history!$O11:$P11, history!$K11:$L11),
FORECAST(history!$J11, history!$O11:$P11, history!$K11:$L11),
history!$P11,
history!$Q11
)</f>
        <v>3.44</v>
      </c>
      <c r="T11">
        <f t="shared" si="9"/>
        <v>4.5270000000000001</v>
      </c>
      <c r="U11">
        <f t="shared" si="10"/>
        <v>4.57</v>
      </c>
      <c r="V11">
        <f t="shared" si="11"/>
        <v>4.5810000000000004</v>
      </c>
      <c r="W11" s="10">
        <f t="shared" si="12"/>
        <v>4.5270000000000001</v>
      </c>
      <c r="X11" s="2">
        <v>45617</v>
      </c>
      <c r="Y11">
        <v>20241122</v>
      </c>
      <c r="Z11" s="2">
        <v>45617</v>
      </c>
      <c r="AA11">
        <v>20241125</v>
      </c>
      <c r="AB11">
        <f t="shared" si="4"/>
        <v>20241125</v>
      </c>
      <c r="AD11" s="2">
        <v>45620</v>
      </c>
      <c r="AE11">
        <v>3.2850000000000001</v>
      </c>
      <c r="AF11">
        <v>3.44</v>
      </c>
      <c r="AG11">
        <v>2.8119999999999998</v>
      </c>
      <c r="AH11">
        <v>2.88</v>
      </c>
      <c r="AI11">
        <v>4.5270000000000001</v>
      </c>
      <c r="AJ11">
        <v>4.57</v>
      </c>
      <c r="AK11">
        <v>4.5810000000000004</v>
      </c>
    </row>
    <row r="12" spans="1:38" x14ac:dyDescent="0.3">
      <c r="A12" s="2">
        <v>45617</v>
      </c>
      <c r="B12">
        <v>20241125</v>
      </c>
      <c r="C12">
        <v>1397.5</v>
      </c>
      <c r="D12" s="2">
        <f t="shared" si="5"/>
        <v>45621</v>
      </c>
      <c r="F12" s="2">
        <v>45617</v>
      </c>
      <c r="G12">
        <v>20250225</v>
      </c>
      <c r="H12">
        <v>-555</v>
      </c>
      <c r="I12" s="2">
        <f t="shared" si="6"/>
        <v>45713</v>
      </c>
      <c r="J12">
        <f t="shared" si="7"/>
        <v>92</v>
      </c>
      <c r="K12">
        <f t="shared" si="8"/>
        <v>1</v>
      </c>
      <c r="L12">
        <v>91</v>
      </c>
      <c r="M12">
        <v>365</v>
      </c>
      <c r="N12">
        <v>730</v>
      </c>
      <c r="O12">
        <f t="shared" si="0"/>
        <v>3.2709999999999999</v>
      </c>
      <c r="P12">
        <f t="shared" si="1"/>
        <v>3.44</v>
      </c>
      <c r="Q12">
        <f t="shared" si="2"/>
        <v>2.8170000000000002</v>
      </c>
      <c r="R12">
        <f t="shared" si="3"/>
        <v>2.8919999999999999</v>
      </c>
      <c r="S12" s="10">
        <f>CHOOSE(option!$D$2,
history!$O12,
FORECAST(history!$J12, history!$O12:$P12, history!$K12:$L12),
FORECAST(history!$J12, history!$O12:$P12, history!$K12:$L12),
FORECAST(history!$J12, history!$O12:$P12, history!$K12:$L12),
history!$P12,
history!$Q12
)</f>
        <v>3.44</v>
      </c>
      <c r="T12">
        <f t="shared" si="9"/>
        <v>4.5209999999999999</v>
      </c>
      <c r="U12">
        <f t="shared" si="10"/>
        <v>4.57</v>
      </c>
      <c r="V12">
        <f t="shared" si="11"/>
        <v>4.5780000000000003</v>
      </c>
      <c r="W12" s="10">
        <f t="shared" si="12"/>
        <v>4.5209999999999999</v>
      </c>
      <c r="X12" s="2">
        <v>45616</v>
      </c>
      <c r="Y12">
        <v>20241121</v>
      </c>
      <c r="Z12" s="2">
        <v>45616</v>
      </c>
      <c r="AA12">
        <v>20241122</v>
      </c>
      <c r="AB12">
        <f t="shared" si="4"/>
        <v>20241122</v>
      </c>
      <c r="AD12" s="2">
        <v>45619</v>
      </c>
      <c r="AE12">
        <v>3.2850000000000001</v>
      </c>
      <c r="AF12">
        <v>3.44</v>
      </c>
      <c r="AG12">
        <v>2.8119999999999998</v>
      </c>
      <c r="AH12">
        <v>2.88</v>
      </c>
      <c r="AI12">
        <v>4.5270000000000001</v>
      </c>
      <c r="AJ12">
        <v>4.57</v>
      </c>
      <c r="AK12">
        <v>4.5810000000000004</v>
      </c>
    </row>
    <row r="13" spans="1:38" x14ac:dyDescent="0.3">
      <c r="A13" s="2">
        <v>45616</v>
      </c>
      <c r="B13">
        <v>20241122</v>
      </c>
      <c r="C13">
        <v>1390.9</v>
      </c>
      <c r="D13" s="2">
        <f t="shared" si="5"/>
        <v>45618</v>
      </c>
      <c r="F13" s="2">
        <v>45616</v>
      </c>
      <c r="G13">
        <v>20250224</v>
      </c>
      <c r="H13">
        <v>-560</v>
      </c>
      <c r="I13" s="2">
        <f t="shared" si="6"/>
        <v>45712</v>
      </c>
      <c r="J13">
        <f t="shared" si="7"/>
        <v>94</v>
      </c>
      <c r="K13">
        <f t="shared" si="8"/>
        <v>1</v>
      </c>
      <c r="L13">
        <v>91</v>
      </c>
      <c r="M13">
        <v>365</v>
      </c>
      <c r="N13">
        <v>730</v>
      </c>
      <c r="O13">
        <f t="shared" si="0"/>
        <v>3.266</v>
      </c>
      <c r="P13">
        <f t="shared" si="1"/>
        <v>3.44</v>
      </c>
      <c r="Q13">
        <f t="shared" si="2"/>
        <v>2.8359999999999999</v>
      </c>
      <c r="R13">
        <f t="shared" si="3"/>
        <v>2.93</v>
      </c>
      <c r="S13" s="10">
        <f>CHOOSE(option!$D$2,
history!$O13,
FORECAST(history!$J13, history!$O13:$P13, history!$K13:$L13),
FORECAST(history!$J13, history!$O13:$P13, history!$K13:$L13),
FORECAST(history!$J13, history!$O13:$P13, history!$K13:$L13),
history!$P13,
history!$Q13
)</f>
        <v>3.44</v>
      </c>
      <c r="T13">
        <f t="shared" si="9"/>
        <v>4.524</v>
      </c>
      <c r="U13">
        <f t="shared" si="10"/>
        <v>4.57</v>
      </c>
      <c r="V13">
        <f t="shared" si="11"/>
        <v>4.5890000000000004</v>
      </c>
      <c r="W13" s="10">
        <f t="shared" si="12"/>
        <v>4.524</v>
      </c>
      <c r="X13" s="2">
        <v>45615</v>
      </c>
      <c r="Y13">
        <v>20241120</v>
      </c>
      <c r="Z13" s="2">
        <v>45615</v>
      </c>
      <c r="AA13">
        <v>20241121</v>
      </c>
      <c r="AB13">
        <f t="shared" si="4"/>
        <v>20241121</v>
      </c>
      <c r="AD13" s="2">
        <v>45618</v>
      </c>
      <c r="AE13">
        <v>3.2850000000000001</v>
      </c>
      <c r="AF13">
        <v>3.44</v>
      </c>
      <c r="AG13">
        <v>2.8119999999999998</v>
      </c>
      <c r="AH13">
        <v>2.88</v>
      </c>
      <c r="AI13">
        <v>4.5270000000000001</v>
      </c>
      <c r="AJ13">
        <v>4.57</v>
      </c>
      <c r="AK13">
        <v>4.5810000000000004</v>
      </c>
    </row>
    <row r="14" spans="1:38" x14ac:dyDescent="0.3">
      <c r="A14" s="2">
        <v>45615</v>
      </c>
      <c r="B14">
        <v>20241121</v>
      </c>
      <c r="C14">
        <v>1390.9</v>
      </c>
      <c r="D14" s="2">
        <f t="shared" si="5"/>
        <v>45617</v>
      </c>
      <c r="F14" s="2">
        <v>45615</v>
      </c>
      <c r="G14">
        <v>20250221</v>
      </c>
      <c r="H14">
        <v>-560</v>
      </c>
      <c r="I14" s="2">
        <f t="shared" si="6"/>
        <v>45709</v>
      </c>
      <c r="J14">
        <f t="shared" si="7"/>
        <v>92</v>
      </c>
      <c r="K14">
        <f t="shared" si="8"/>
        <v>1</v>
      </c>
      <c r="L14">
        <v>91</v>
      </c>
      <c r="M14">
        <v>365</v>
      </c>
      <c r="N14">
        <v>730</v>
      </c>
      <c r="O14">
        <f t="shared" si="0"/>
        <v>3.262</v>
      </c>
      <c r="P14">
        <f t="shared" si="1"/>
        <v>3.44</v>
      </c>
      <c r="Q14">
        <f t="shared" si="2"/>
        <v>2.8420000000000001</v>
      </c>
      <c r="R14">
        <f t="shared" si="3"/>
        <v>2.9409999999999998</v>
      </c>
      <c r="S14" s="10">
        <f>CHOOSE(option!$D$2,
history!$O14,
FORECAST(history!$J14, history!$O14:$P14, history!$K14:$L14),
FORECAST(history!$J14, history!$O14:$P14, history!$K14:$L14),
FORECAST(history!$J14, history!$O14:$P14, history!$K14:$L14),
history!$P14,
history!$Q14
)</f>
        <v>3.44</v>
      </c>
      <c r="T14">
        <f t="shared" si="9"/>
        <v>4.5209999999999999</v>
      </c>
      <c r="U14">
        <f t="shared" si="10"/>
        <v>4.58</v>
      </c>
      <c r="V14">
        <f t="shared" si="11"/>
        <v>4.5890000000000004</v>
      </c>
      <c r="W14" s="10">
        <f t="shared" si="12"/>
        <v>4.5209999999999999</v>
      </c>
      <c r="X14" s="2">
        <v>45614</v>
      </c>
      <c r="Y14">
        <v>20241119</v>
      </c>
      <c r="Z14" s="2">
        <v>45614</v>
      </c>
      <c r="AA14">
        <v>20241120</v>
      </c>
      <c r="AB14">
        <f t="shared" si="4"/>
        <v>20241120</v>
      </c>
      <c r="AD14" s="2">
        <v>45617</v>
      </c>
      <c r="AE14">
        <v>3.2709999999999999</v>
      </c>
      <c r="AF14">
        <v>3.44</v>
      </c>
      <c r="AG14">
        <v>2.8170000000000002</v>
      </c>
      <c r="AH14">
        <v>2.8919999999999999</v>
      </c>
      <c r="AI14">
        <v>4.5209999999999999</v>
      </c>
      <c r="AJ14">
        <v>4.57</v>
      </c>
      <c r="AK14">
        <v>4.5780000000000003</v>
      </c>
    </row>
    <row r="15" spans="1:38" x14ac:dyDescent="0.3">
      <c r="A15" s="2">
        <v>45614</v>
      </c>
      <c r="B15">
        <v>20241120</v>
      </c>
      <c r="C15">
        <v>1395.2</v>
      </c>
      <c r="D15" s="2">
        <f t="shared" si="5"/>
        <v>45616</v>
      </c>
      <c r="F15" s="2">
        <v>45614</v>
      </c>
      <c r="G15">
        <v>20250220</v>
      </c>
      <c r="H15">
        <v>-550</v>
      </c>
      <c r="I15" s="2">
        <f t="shared" si="6"/>
        <v>45708</v>
      </c>
      <c r="J15">
        <f t="shared" si="7"/>
        <v>92</v>
      </c>
      <c r="K15">
        <f t="shared" si="8"/>
        <v>1</v>
      </c>
      <c r="L15">
        <v>91</v>
      </c>
      <c r="M15">
        <v>365</v>
      </c>
      <c r="N15">
        <v>730</v>
      </c>
      <c r="O15">
        <f t="shared" si="0"/>
        <v>3.2669999999999999</v>
      </c>
      <c r="P15">
        <f t="shared" si="1"/>
        <v>3.44</v>
      </c>
      <c r="Q15">
        <f t="shared" si="2"/>
        <v>2.851</v>
      </c>
      <c r="R15">
        <f t="shared" si="3"/>
        <v>2.9609999999999999</v>
      </c>
      <c r="S15" s="10">
        <f>CHOOSE(option!$D$2,
history!$O15,
FORECAST(history!$J15, history!$O15:$P15, history!$K15:$L15),
FORECAST(history!$J15, history!$O15:$P15, history!$K15:$L15),
FORECAST(history!$J15, history!$O15:$P15, history!$K15:$L15),
history!$P15,
history!$Q15
)</f>
        <v>3.44</v>
      </c>
      <c r="T15">
        <f t="shared" si="9"/>
        <v>4.5199999999999996</v>
      </c>
      <c r="U15">
        <f t="shared" si="10"/>
        <v>4.57</v>
      </c>
      <c r="V15">
        <f t="shared" si="11"/>
        <v>4.5999999999999996</v>
      </c>
      <c r="W15" s="10">
        <f t="shared" si="12"/>
        <v>4.5199999999999996</v>
      </c>
      <c r="X15" s="2">
        <v>45611</v>
      </c>
      <c r="Y15">
        <v>20241118</v>
      </c>
      <c r="Z15" s="2">
        <v>45611</v>
      </c>
      <c r="AA15">
        <v>20241119</v>
      </c>
      <c r="AB15">
        <f t="shared" si="4"/>
        <v>20241119</v>
      </c>
      <c r="AD15" s="2">
        <v>45616</v>
      </c>
      <c r="AE15">
        <v>3.266</v>
      </c>
      <c r="AF15">
        <v>3.44</v>
      </c>
      <c r="AG15">
        <v>2.8359999999999999</v>
      </c>
      <c r="AH15">
        <v>2.93</v>
      </c>
      <c r="AI15">
        <v>4.524</v>
      </c>
      <c r="AJ15">
        <v>4.57</v>
      </c>
      <c r="AK15">
        <v>4.5890000000000004</v>
      </c>
    </row>
    <row r="16" spans="1:38" x14ac:dyDescent="0.3">
      <c r="A16" s="2">
        <v>45611</v>
      </c>
      <c r="B16">
        <v>20241119</v>
      </c>
      <c r="C16">
        <v>1398.8</v>
      </c>
      <c r="D16" s="2">
        <f t="shared" si="5"/>
        <v>45615</v>
      </c>
      <c r="F16" s="2">
        <v>45611</v>
      </c>
      <c r="G16">
        <v>20250219</v>
      </c>
      <c r="H16">
        <v>-535</v>
      </c>
      <c r="I16" s="2">
        <f t="shared" si="6"/>
        <v>45707</v>
      </c>
      <c r="J16">
        <f t="shared" si="7"/>
        <v>92</v>
      </c>
      <c r="K16">
        <f t="shared" si="8"/>
        <v>3</v>
      </c>
      <c r="L16">
        <v>91</v>
      </c>
      <c r="M16">
        <v>365</v>
      </c>
      <c r="N16">
        <v>730</v>
      </c>
      <c r="O16">
        <f t="shared" si="0"/>
        <v>3.2639999999999998</v>
      </c>
      <c r="P16">
        <f t="shared" si="1"/>
        <v>3.44</v>
      </c>
      <c r="Q16">
        <f t="shared" si="2"/>
        <v>2.859</v>
      </c>
      <c r="R16">
        <f t="shared" si="3"/>
        <v>2.9769999999999999</v>
      </c>
      <c r="S16" s="10">
        <f>CHOOSE(option!$D$2,
history!$O16,
FORECAST(history!$J16, history!$O16:$P16, history!$K16:$L16),
FORECAST(history!$J16, history!$O16:$P16, history!$K16:$L16),
FORECAST(history!$J16, history!$O16:$P16, history!$K16:$L16),
history!$P16,
history!$Q16
)</f>
        <v>3.44</v>
      </c>
      <c r="T16">
        <f t="shared" si="9"/>
        <v>4.5190000000000001</v>
      </c>
      <c r="U16">
        <f t="shared" si="10"/>
        <v>4.59</v>
      </c>
      <c r="V16">
        <f t="shared" si="11"/>
        <v>4.6029999999999998</v>
      </c>
      <c r="W16" s="10">
        <f t="shared" si="12"/>
        <v>4.5190000000000001</v>
      </c>
      <c r="X16" s="2">
        <v>45610</v>
      </c>
      <c r="Y16">
        <v>20241115</v>
      </c>
      <c r="Z16" s="2">
        <v>45610</v>
      </c>
      <c r="AA16">
        <v>20241118</v>
      </c>
      <c r="AB16">
        <f t="shared" si="4"/>
        <v>20241118</v>
      </c>
      <c r="AD16" s="2">
        <v>45615</v>
      </c>
      <c r="AE16">
        <v>3.262</v>
      </c>
      <c r="AF16">
        <v>3.44</v>
      </c>
      <c r="AG16">
        <v>2.8420000000000001</v>
      </c>
      <c r="AH16">
        <v>2.9409999999999998</v>
      </c>
      <c r="AI16">
        <v>4.5209999999999999</v>
      </c>
      <c r="AJ16">
        <v>4.58</v>
      </c>
      <c r="AK16">
        <v>4.5890000000000004</v>
      </c>
    </row>
    <row r="17" spans="1:37" x14ac:dyDescent="0.3">
      <c r="A17" s="2">
        <v>45610</v>
      </c>
      <c r="B17">
        <v>20241118</v>
      </c>
      <c r="C17">
        <v>1405.1</v>
      </c>
      <c r="D17" s="2">
        <f t="shared" si="5"/>
        <v>45614</v>
      </c>
      <c r="F17" s="2">
        <v>45610</v>
      </c>
      <c r="G17">
        <v>20250218</v>
      </c>
      <c r="H17">
        <v>-500</v>
      </c>
      <c r="I17" s="2">
        <f t="shared" si="6"/>
        <v>45706</v>
      </c>
      <c r="J17">
        <f t="shared" si="7"/>
        <v>92</v>
      </c>
      <c r="K17">
        <f t="shared" si="8"/>
        <v>1</v>
      </c>
      <c r="L17">
        <v>91</v>
      </c>
      <c r="M17">
        <v>365</v>
      </c>
      <c r="N17">
        <v>730</v>
      </c>
      <c r="O17">
        <f t="shared" si="0"/>
        <v>3.266</v>
      </c>
      <c r="P17">
        <f t="shared" si="1"/>
        <v>3.44</v>
      </c>
      <c r="Q17">
        <f t="shared" si="2"/>
        <v>2.84</v>
      </c>
      <c r="R17">
        <f t="shared" si="3"/>
        <v>2.9649999999999999</v>
      </c>
      <c r="S17" s="10">
        <f>CHOOSE(option!$D$2,
history!$O17,
FORECAST(history!$J17, history!$O17:$P17, history!$K17:$L17),
FORECAST(history!$J17, history!$O17:$P17, history!$K17:$L17),
FORECAST(history!$J17, history!$O17:$P17, history!$K17:$L17),
history!$P17,
history!$Q17
)</f>
        <v>3.44</v>
      </c>
      <c r="T17">
        <f t="shared" si="9"/>
        <v>4.5190000000000001</v>
      </c>
      <c r="U17">
        <f t="shared" si="10"/>
        <v>4.59</v>
      </c>
      <c r="V17">
        <f t="shared" si="11"/>
        <v>4.6050000000000004</v>
      </c>
      <c r="W17" s="10">
        <f t="shared" si="12"/>
        <v>4.5190000000000001</v>
      </c>
      <c r="X17" s="2">
        <v>45609</v>
      </c>
      <c r="Y17">
        <v>20241114</v>
      </c>
      <c r="Z17" s="2">
        <v>45609</v>
      </c>
      <c r="AA17">
        <v>20241115</v>
      </c>
      <c r="AB17">
        <f t="shared" si="4"/>
        <v>20241115</v>
      </c>
      <c r="AD17" s="2">
        <v>45614</v>
      </c>
      <c r="AE17">
        <v>3.2669999999999999</v>
      </c>
      <c r="AF17">
        <v>3.44</v>
      </c>
      <c r="AG17">
        <v>2.851</v>
      </c>
      <c r="AH17">
        <v>2.9609999999999999</v>
      </c>
      <c r="AI17">
        <v>4.5199999999999996</v>
      </c>
      <c r="AJ17">
        <v>4.57</v>
      </c>
      <c r="AK17">
        <v>4.5999999999999996</v>
      </c>
    </row>
    <row r="18" spans="1:37" x14ac:dyDescent="0.3">
      <c r="A18" s="2">
        <v>45609</v>
      </c>
      <c r="B18">
        <v>20241115</v>
      </c>
      <c r="C18">
        <v>1406.6</v>
      </c>
      <c r="D18" s="2">
        <f t="shared" si="5"/>
        <v>45611</v>
      </c>
      <c r="F18" s="2">
        <v>45609</v>
      </c>
      <c r="G18">
        <v>20250218</v>
      </c>
      <c r="H18">
        <v>-550</v>
      </c>
      <c r="I18" s="2">
        <f t="shared" si="6"/>
        <v>45706</v>
      </c>
      <c r="J18">
        <f t="shared" si="7"/>
        <v>95</v>
      </c>
      <c r="K18">
        <f t="shared" si="8"/>
        <v>1</v>
      </c>
      <c r="L18">
        <v>91</v>
      </c>
      <c r="M18">
        <v>365</v>
      </c>
      <c r="N18">
        <v>730</v>
      </c>
      <c r="O18">
        <f t="shared" si="0"/>
        <v>3.2759999999999998</v>
      </c>
      <c r="P18">
        <f t="shared" si="1"/>
        <v>3.44</v>
      </c>
      <c r="Q18">
        <f t="shared" si="2"/>
        <v>2.8450000000000002</v>
      </c>
      <c r="R18">
        <f t="shared" si="3"/>
        <v>2.9790000000000001</v>
      </c>
      <c r="S18" s="10">
        <f>CHOOSE(option!$D$2,
history!$O18,
FORECAST(history!$J18, history!$O18:$P18, history!$K18:$L18),
FORECAST(history!$J18, history!$O18:$P18, history!$K18:$L18),
FORECAST(history!$J18, history!$O18:$P18, history!$K18:$L18),
history!$P18,
history!$Q18
)</f>
        <v>3.44</v>
      </c>
      <c r="T18">
        <f t="shared" si="9"/>
        <v>4.4850000000000003</v>
      </c>
      <c r="U18">
        <f t="shared" si="10"/>
        <v>4.59</v>
      </c>
      <c r="V18">
        <f t="shared" si="11"/>
        <v>4.6059999999999999</v>
      </c>
      <c r="W18" s="10">
        <f t="shared" si="12"/>
        <v>4.4850000000000003</v>
      </c>
      <c r="X18" s="2">
        <v>45608</v>
      </c>
      <c r="Y18">
        <v>20241113</v>
      </c>
      <c r="Z18" s="2">
        <v>45608</v>
      </c>
      <c r="AA18">
        <v>20241114</v>
      </c>
      <c r="AB18">
        <f t="shared" si="4"/>
        <v>20241114</v>
      </c>
      <c r="AD18" s="2">
        <v>45613</v>
      </c>
      <c r="AE18">
        <v>3.2639999999999998</v>
      </c>
      <c r="AF18">
        <v>3.44</v>
      </c>
      <c r="AG18">
        <v>2.859</v>
      </c>
      <c r="AH18">
        <v>2.9769999999999999</v>
      </c>
      <c r="AI18">
        <v>4.5190000000000001</v>
      </c>
      <c r="AJ18">
        <v>4.59</v>
      </c>
      <c r="AK18">
        <v>4.6029999999999998</v>
      </c>
    </row>
    <row r="19" spans="1:37" x14ac:dyDescent="0.3">
      <c r="A19" s="2">
        <v>45608</v>
      </c>
      <c r="B19">
        <v>20241114</v>
      </c>
      <c r="C19">
        <v>1403.5</v>
      </c>
      <c r="D19" s="2">
        <f t="shared" si="5"/>
        <v>45610</v>
      </c>
      <c r="F19" s="2">
        <v>45608</v>
      </c>
      <c r="G19">
        <v>20250214</v>
      </c>
      <c r="H19">
        <v>-575</v>
      </c>
      <c r="I19" s="2">
        <f t="shared" si="6"/>
        <v>45702</v>
      </c>
      <c r="J19">
        <f t="shared" si="7"/>
        <v>92</v>
      </c>
      <c r="K19">
        <f t="shared" si="8"/>
        <v>1</v>
      </c>
      <c r="L19">
        <v>91</v>
      </c>
      <c r="M19">
        <v>365</v>
      </c>
      <c r="N19">
        <v>730</v>
      </c>
      <c r="O19">
        <f t="shared" si="0"/>
        <v>3.2730000000000001</v>
      </c>
      <c r="P19">
        <f t="shared" si="1"/>
        <v>3.44</v>
      </c>
      <c r="Q19">
        <f t="shared" si="2"/>
        <v>2.831</v>
      </c>
      <c r="R19">
        <f t="shared" si="3"/>
        <v>2.944</v>
      </c>
      <c r="S19" s="10">
        <f>CHOOSE(option!$D$2,
history!$O19,
FORECAST(history!$J19, history!$O19:$P19, history!$K19:$L19),
FORECAST(history!$J19, history!$O19:$P19, history!$K19:$L19),
FORECAST(history!$J19, history!$O19:$P19, history!$K19:$L19),
history!$P19,
history!$Q19
)</f>
        <v>3.44</v>
      </c>
      <c r="T19">
        <f t="shared" si="9"/>
        <v>4.5270000000000001</v>
      </c>
      <c r="U19">
        <f t="shared" si="10"/>
        <v>4.59</v>
      </c>
      <c r="V19">
        <f t="shared" si="11"/>
        <v>4.6059999999999999</v>
      </c>
      <c r="W19" s="10">
        <f t="shared" si="12"/>
        <v>4.5270000000000001</v>
      </c>
      <c r="X19" s="2">
        <v>45604</v>
      </c>
      <c r="Y19">
        <v>20241112</v>
      </c>
      <c r="Z19" s="2">
        <v>45607</v>
      </c>
      <c r="AA19">
        <v>20241113</v>
      </c>
      <c r="AB19">
        <f t="shared" si="4"/>
        <v>20241113</v>
      </c>
      <c r="AD19" s="2">
        <v>45612</v>
      </c>
      <c r="AE19">
        <v>3.2639999999999998</v>
      </c>
      <c r="AF19">
        <v>3.44</v>
      </c>
      <c r="AG19">
        <v>2.859</v>
      </c>
      <c r="AH19">
        <v>2.9769999999999999</v>
      </c>
      <c r="AI19">
        <v>4.5190000000000001</v>
      </c>
      <c r="AJ19">
        <v>4.59</v>
      </c>
      <c r="AK19">
        <v>4.6029999999999998</v>
      </c>
    </row>
    <row r="20" spans="1:37" x14ac:dyDescent="0.3">
      <c r="A20" s="2">
        <v>45607</v>
      </c>
      <c r="B20">
        <v>20241113</v>
      </c>
      <c r="C20">
        <v>1394.7</v>
      </c>
      <c r="D20" s="2">
        <f t="shared" si="5"/>
        <v>45609</v>
      </c>
      <c r="F20" s="2">
        <v>45607</v>
      </c>
      <c r="G20">
        <v>20250213</v>
      </c>
      <c r="H20">
        <v>-600</v>
      </c>
      <c r="I20" s="2">
        <f t="shared" si="6"/>
        <v>45701</v>
      </c>
      <c r="J20">
        <f t="shared" si="7"/>
        <v>92</v>
      </c>
      <c r="K20">
        <f t="shared" si="8"/>
        <v>2</v>
      </c>
      <c r="L20">
        <v>91</v>
      </c>
      <c r="M20">
        <v>365</v>
      </c>
      <c r="N20">
        <v>730</v>
      </c>
      <c r="O20">
        <f t="shared" si="0"/>
        <v>3.2770000000000001</v>
      </c>
      <c r="P20">
        <f t="shared" si="1"/>
        <v>3.43</v>
      </c>
      <c r="Q20">
        <f t="shared" si="2"/>
        <v>2.8359999999999999</v>
      </c>
      <c r="R20">
        <f t="shared" si="3"/>
        <v>2.9430000000000001</v>
      </c>
      <c r="S20" s="10">
        <f>CHOOSE(option!$D$2,
history!$O20,
FORECAST(history!$J20, history!$O20:$P20, history!$K20:$L20),
FORECAST(history!$J20, history!$O20:$P20, history!$K20:$L20),
FORECAST(history!$J20, history!$O20:$P20, history!$K20:$L20),
history!$P20,
history!$Q20
)</f>
        <v>3.43</v>
      </c>
      <c r="T20">
        <f t="shared" si="9"/>
        <v>4.524</v>
      </c>
      <c r="U20">
        <f t="shared" si="10"/>
        <v>4.57</v>
      </c>
      <c r="V20">
        <f t="shared" si="11"/>
        <v>4.6020000000000003</v>
      </c>
      <c r="W20" s="10">
        <f t="shared" si="12"/>
        <v>4.524</v>
      </c>
      <c r="X20" s="2">
        <v>45603</v>
      </c>
      <c r="Y20">
        <v>20241108</v>
      </c>
      <c r="Z20" s="2">
        <v>45603</v>
      </c>
      <c r="AA20">
        <v>20241112</v>
      </c>
      <c r="AB20">
        <f t="shared" si="4"/>
        <v>20241113</v>
      </c>
      <c r="AD20" s="2">
        <v>45611</v>
      </c>
      <c r="AE20">
        <v>3.2639999999999998</v>
      </c>
      <c r="AF20">
        <v>3.44</v>
      </c>
      <c r="AG20">
        <v>2.859</v>
      </c>
      <c r="AH20">
        <v>2.9769999999999999</v>
      </c>
      <c r="AI20">
        <v>4.5190000000000001</v>
      </c>
      <c r="AJ20">
        <v>4.59</v>
      </c>
      <c r="AK20">
        <v>4.6029999999999998</v>
      </c>
    </row>
    <row r="21" spans="1:37" x14ac:dyDescent="0.3">
      <c r="A21" s="2">
        <v>45604</v>
      </c>
      <c r="B21">
        <v>20241112</v>
      </c>
      <c r="C21">
        <v>1386.4</v>
      </c>
      <c r="D21" s="2">
        <f t="shared" si="5"/>
        <v>45608</v>
      </c>
      <c r="F21" s="2">
        <v>45604</v>
      </c>
      <c r="G21">
        <v>20250212</v>
      </c>
      <c r="H21">
        <v>-590</v>
      </c>
      <c r="I21" s="2">
        <f t="shared" si="6"/>
        <v>45700</v>
      </c>
      <c r="J21">
        <f t="shared" si="7"/>
        <v>92</v>
      </c>
      <c r="K21">
        <f t="shared" si="8"/>
        <v>4</v>
      </c>
      <c r="L21">
        <v>91</v>
      </c>
      <c r="M21">
        <v>365</v>
      </c>
      <c r="N21">
        <v>730</v>
      </c>
      <c r="O21">
        <f t="shared" si="0"/>
        <v>3.2730000000000001</v>
      </c>
      <c r="P21">
        <f t="shared" si="1"/>
        <v>3.43</v>
      </c>
      <c r="Q21">
        <f t="shared" si="2"/>
        <v>2.8290000000000002</v>
      </c>
      <c r="R21">
        <f t="shared" si="3"/>
        <v>2.9260000000000002</v>
      </c>
      <c r="S21" s="10">
        <f>CHOOSE(option!$D$2,
history!$O21,
FORECAST(history!$J21, history!$O21:$P21, history!$K21:$L21),
FORECAST(history!$J21, history!$O21:$P21, history!$K21:$L21),
FORECAST(history!$J21, history!$O21:$P21, history!$K21:$L21),
history!$P21,
history!$Q21
)</f>
        <v>3.43</v>
      </c>
      <c r="T21">
        <f t="shared" si="9"/>
        <v>4.524</v>
      </c>
      <c r="U21">
        <f t="shared" si="10"/>
        <v>4.57</v>
      </c>
      <c r="V21">
        <f t="shared" si="11"/>
        <v>4.6020000000000003</v>
      </c>
      <c r="W21" s="10">
        <f t="shared" si="12"/>
        <v>4.524</v>
      </c>
      <c r="X21" s="2">
        <v>45602</v>
      </c>
      <c r="Y21">
        <v>20241107</v>
      </c>
      <c r="Z21" s="2">
        <v>45602</v>
      </c>
      <c r="AA21">
        <v>20241108</v>
      </c>
      <c r="AB21">
        <f t="shared" si="4"/>
        <v>20241112</v>
      </c>
      <c r="AD21" s="2">
        <v>45610</v>
      </c>
      <c r="AE21">
        <v>3.266</v>
      </c>
      <c r="AF21">
        <v>3.44</v>
      </c>
      <c r="AG21">
        <v>2.84</v>
      </c>
      <c r="AH21">
        <v>2.9649999999999999</v>
      </c>
      <c r="AI21">
        <v>4.5190000000000001</v>
      </c>
      <c r="AJ21">
        <v>4.59</v>
      </c>
      <c r="AK21">
        <v>4.6050000000000004</v>
      </c>
    </row>
    <row r="22" spans="1:37" x14ac:dyDescent="0.3">
      <c r="A22" s="2">
        <v>45603</v>
      </c>
      <c r="B22">
        <v>20241112</v>
      </c>
      <c r="C22">
        <v>1396.6</v>
      </c>
      <c r="D22" s="2">
        <f t="shared" si="5"/>
        <v>45608</v>
      </c>
      <c r="F22" s="2">
        <v>45603</v>
      </c>
      <c r="G22">
        <v>20250212</v>
      </c>
      <c r="H22">
        <v>-585</v>
      </c>
      <c r="I22" s="2">
        <f t="shared" si="6"/>
        <v>45700</v>
      </c>
      <c r="J22">
        <f t="shared" si="7"/>
        <v>92</v>
      </c>
      <c r="K22">
        <f t="shared" si="8"/>
        <v>1</v>
      </c>
      <c r="L22">
        <v>91</v>
      </c>
      <c r="M22">
        <v>365</v>
      </c>
      <c r="N22">
        <v>730</v>
      </c>
      <c r="O22">
        <f t="shared" si="0"/>
        <v>3.258</v>
      </c>
      <c r="P22">
        <f t="shared" si="1"/>
        <v>3.43</v>
      </c>
      <c r="Q22">
        <f t="shared" si="2"/>
        <v>2.8439999999999999</v>
      </c>
      <c r="R22">
        <f t="shared" si="3"/>
        <v>2.9510000000000001</v>
      </c>
      <c r="S22" s="10">
        <f>CHOOSE(option!$D$2,
history!$O22,
FORECAST(history!$J22, history!$O22:$P22, history!$K22:$L22),
FORECAST(history!$J22, history!$O22:$P22, history!$K22:$L22),
FORECAST(history!$J22, history!$O22:$P22, history!$K22:$L22),
history!$P22,
history!$Q22
)</f>
        <v>3.43</v>
      </c>
      <c r="T22">
        <f t="shared" si="9"/>
        <v>4.5090000000000003</v>
      </c>
      <c r="U22">
        <f t="shared" si="10"/>
        <v>4.8099999999999996</v>
      </c>
      <c r="V22">
        <f t="shared" si="11"/>
        <v>4.5979999999999999</v>
      </c>
      <c r="W22" s="10">
        <f t="shared" si="12"/>
        <v>4.5090000000000003</v>
      </c>
      <c r="X22" s="2">
        <v>45601</v>
      </c>
      <c r="Y22">
        <v>20241106</v>
      </c>
      <c r="Z22" s="2">
        <v>45601</v>
      </c>
      <c r="AA22">
        <v>20241107</v>
      </c>
      <c r="AB22">
        <f t="shared" si="4"/>
        <v>20241108</v>
      </c>
      <c r="AD22" s="2">
        <v>45609</v>
      </c>
      <c r="AE22">
        <v>3.2759999999999998</v>
      </c>
      <c r="AF22">
        <v>3.44</v>
      </c>
      <c r="AG22">
        <v>2.8450000000000002</v>
      </c>
      <c r="AH22">
        <v>2.9790000000000001</v>
      </c>
      <c r="AI22">
        <v>4.4850000000000003</v>
      </c>
      <c r="AJ22">
        <v>4.59</v>
      </c>
      <c r="AK22">
        <v>4.6059999999999999</v>
      </c>
    </row>
    <row r="23" spans="1:37" x14ac:dyDescent="0.3">
      <c r="A23" s="2">
        <v>45602</v>
      </c>
      <c r="B23">
        <v>20241108</v>
      </c>
      <c r="C23">
        <v>1396.2</v>
      </c>
      <c r="D23" s="2">
        <f t="shared" si="5"/>
        <v>45604</v>
      </c>
      <c r="F23" s="2">
        <v>45602</v>
      </c>
      <c r="G23">
        <v>20250210</v>
      </c>
      <c r="H23">
        <v>-585</v>
      </c>
      <c r="I23" s="2">
        <f t="shared" si="6"/>
        <v>45698</v>
      </c>
      <c r="J23">
        <f t="shared" si="7"/>
        <v>94</v>
      </c>
      <c r="K23">
        <f t="shared" si="8"/>
        <v>1</v>
      </c>
      <c r="L23">
        <v>91</v>
      </c>
      <c r="M23">
        <v>365</v>
      </c>
      <c r="N23">
        <v>730</v>
      </c>
      <c r="O23">
        <f t="shared" si="0"/>
        <v>3.2360000000000002</v>
      </c>
      <c r="P23">
        <f t="shared" si="1"/>
        <v>3.44</v>
      </c>
      <c r="Q23">
        <f t="shared" si="2"/>
        <v>2.8559999999999999</v>
      </c>
      <c r="R23">
        <f t="shared" si="3"/>
        <v>2.9820000000000002</v>
      </c>
      <c r="S23" s="10">
        <f>CHOOSE(option!$D$2,
history!$O23,
FORECAST(history!$J23, history!$O23:$P23, history!$K23:$L23),
FORECAST(history!$J23, history!$O23:$P23, history!$K23:$L23),
FORECAST(history!$J23, history!$O23:$P23, history!$K23:$L23),
history!$P23,
history!$Q23
)</f>
        <v>3.44</v>
      </c>
      <c r="T23">
        <f t="shared" si="9"/>
        <v>4.5199999999999996</v>
      </c>
      <c r="U23">
        <f t="shared" si="10"/>
        <v>4.83</v>
      </c>
      <c r="V23">
        <f t="shared" si="11"/>
        <v>4.5990000000000002</v>
      </c>
      <c r="W23" s="10">
        <f t="shared" si="12"/>
        <v>4.5199999999999996</v>
      </c>
      <c r="X23" s="2">
        <v>45600</v>
      </c>
      <c r="Y23">
        <v>20241105</v>
      </c>
      <c r="Z23" s="2">
        <v>45600</v>
      </c>
      <c r="AA23">
        <v>20241106</v>
      </c>
      <c r="AB23">
        <f t="shared" si="4"/>
        <v>20241107</v>
      </c>
      <c r="AD23" s="2">
        <v>45608</v>
      </c>
      <c r="AE23">
        <v>3.2730000000000001</v>
      </c>
      <c r="AF23">
        <v>3.44</v>
      </c>
      <c r="AG23">
        <v>2.831</v>
      </c>
      <c r="AH23">
        <v>2.944</v>
      </c>
      <c r="AI23">
        <v>4.5270000000000001</v>
      </c>
      <c r="AJ23">
        <v>4.59</v>
      </c>
      <c r="AK23">
        <v>4.6059999999999999</v>
      </c>
    </row>
    <row r="24" spans="1:37" x14ac:dyDescent="0.3">
      <c r="A24" s="2">
        <v>45601</v>
      </c>
      <c r="B24">
        <v>20241107</v>
      </c>
      <c r="C24">
        <v>1378.6</v>
      </c>
      <c r="D24" s="2">
        <f t="shared" si="5"/>
        <v>45603</v>
      </c>
      <c r="F24" s="2">
        <v>45601</v>
      </c>
      <c r="G24">
        <v>20250207</v>
      </c>
      <c r="H24">
        <v>-630</v>
      </c>
      <c r="I24" s="2">
        <f t="shared" si="6"/>
        <v>45695</v>
      </c>
      <c r="J24">
        <f t="shared" si="7"/>
        <v>92</v>
      </c>
      <c r="K24">
        <f t="shared" si="8"/>
        <v>1</v>
      </c>
      <c r="L24">
        <v>91</v>
      </c>
      <c r="M24">
        <v>365</v>
      </c>
      <c r="N24">
        <v>730</v>
      </c>
      <c r="O24">
        <f t="shared" si="0"/>
        <v>3.1920000000000002</v>
      </c>
      <c r="P24">
        <f t="shared" si="1"/>
        <v>3.44</v>
      </c>
      <c r="Q24">
        <f t="shared" si="2"/>
        <v>2.8380000000000001</v>
      </c>
      <c r="R24">
        <f t="shared" si="3"/>
        <v>2.94</v>
      </c>
      <c r="S24" s="10">
        <f>CHOOSE(option!$D$2,
history!$O24,
FORECAST(history!$J24, history!$O24:$P24, history!$K24:$L24),
FORECAST(history!$J24, history!$O24:$P24, history!$K24:$L24),
FORECAST(history!$J24, history!$O24:$P24, history!$K24:$L24),
history!$P24,
history!$Q24
)</f>
        <v>3.44</v>
      </c>
      <c r="T24">
        <f t="shared" si="9"/>
        <v>4.5229999999999997</v>
      </c>
      <c r="U24">
        <f t="shared" si="10"/>
        <v>4.83</v>
      </c>
      <c r="V24">
        <f t="shared" si="11"/>
        <v>4.617</v>
      </c>
      <c r="W24" s="10">
        <f t="shared" si="12"/>
        <v>4.5229999999999997</v>
      </c>
      <c r="X24" s="2">
        <v>45597</v>
      </c>
      <c r="Y24">
        <v>20241104</v>
      </c>
      <c r="Z24" s="2">
        <v>45597</v>
      </c>
      <c r="AA24">
        <v>20241105</v>
      </c>
      <c r="AB24">
        <f t="shared" si="4"/>
        <v>20241106</v>
      </c>
      <c r="AD24" s="2">
        <v>45607</v>
      </c>
      <c r="AE24">
        <v>3.2770000000000001</v>
      </c>
      <c r="AF24">
        <v>3.43</v>
      </c>
      <c r="AG24">
        <v>2.8359999999999999</v>
      </c>
      <c r="AH24">
        <v>2.9430000000000001</v>
      </c>
      <c r="AI24">
        <v>4.524</v>
      </c>
      <c r="AJ24">
        <v>4.57</v>
      </c>
      <c r="AK24">
        <v>4.6020000000000003</v>
      </c>
    </row>
    <row r="25" spans="1:37" x14ac:dyDescent="0.3">
      <c r="A25" s="2">
        <v>45600</v>
      </c>
      <c r="B25">
        <v>20241106</v>
      </c>
      <c r="C25">
        <v>1370.9</v>
      </c>
      <c r="D25" s="2">
        <f t="shared" si="5"/>
        <v>45602</v>
      </c>
      <c r="F25" s="2">
        <v>45600</v>
      </c>
      <c r="G25">
        <v>20250206</v>
      </c>
      <c r="H25">
        <v>-630</v>
      </c>
      <c r="I25" s="2">
        <f t="shared" si="6"/>
        <v>45694</v>
      </c>
      <c r="J25">
        <f t="shared" si="7"/>
        <v>92</v>
      </c>
      <c r="K25">
        <f t="shared" si="8"/>
        <v>1</v>
      </c>
      <c r="L25">
        <v>91</v>
      </c>
      <c r="M25">
        <v>365</v>
      </c>
      <c r="N25">
        <v>730</v>
      </c>
      <c r="O25">
        <f t="shared" si="0"/>
        <v>3.2280000000000002</v>
      </c>
      <c r="P25">
        <f t="shared" si="1"/>
        <v>3.43</v>
      </c>
      <c r="Q25">
        <f t="shared" si="2"/>
        <v>2.843</v>
      </c>
      <c r="R25">
        <f t="shared" si="3"/>
        <v>2.95</v>
      </c>
      <c r="S25" s="10">
        <f>CHOOSE(option!$D$2,
history!$O25,
FORECAST(history!$J25, history!$O25:$P25, history!$K25:$L25),
FORECAST(history!$J25, history!$O25:$P25, history!$K25:$L25),
FORECAST(history!$J25, history!$O25:$P25, history!$K25:$L25),
history!$P25,
history!$Q25
)</f>
        <v>3.43</v>
      </c>
      <c r="T25">
        <f t="shared" si="9"/>
        <v>4.5250000000000004</v>
      </c>
      <c r="U25">
        <f t="shared" si="10"/>
        <v>4.83</v>
      </c>
      <c r="V25">
        <f t="shared" si="11"/>
        <v>4.6260000000000003</v>
      </c>
      <c r="W25" s="10">
        <f t="shared" si="12"/>
        <v>4.5250000000000004</v>
      </c>
      <c r="X25" s="2">
        <v>45596</v>
      </c>
      <c r="Y25">
        <v>20241101</v>
      </c>
      <c r="Z25" s="2">
        <v>45596</v>
      </c>
      <c r="AA25">
        <v>20241104</v>
      </c>
      <c r="AB25">
        <f t="shared" si="4"/>
        <v>20241105</v>
      </c>
      <c r="AD25" s="2">
        <v>45606</v>
      </c>
      <c r="AE25">
        <v>3.2730000000000001</v>
      </c>
      <c r="AF25">
        <v>3.43</v>
      </c>
      <c r="AG25">
        <v>2.8290000000000002</v>
      </c>
      <c r="AH25">
        <v>2.9260000000000002</v>
      </c>
      <c r="AI25">
        <v>4.524</v>
      </c>
      <c r="AJ25">
        <v>4.57</v>
      </c>
      <c r="AK25">
        <v>4.6020000000000003</v>
      </c>
    </row>
    <row r="26" spans="1:37" x14ac:dyDescent="0.3">
      <c r="A26" s="2">
        <v>45597</v>
      </c>
      <c r="B26">
        <v>20241105</v>
      </c>
      <c r="C26">
        <v>1379.4</v>
      </c>
      <c r="D26" s="2">
        <f t="shared" si="5"/>
        <v>45601</v>
      </c>
      <c r="F26" s="2">
        <v>45597</v>
      </c>
      <c r="G26">
        <v>20250205</v>
      </c>
      <c r="H26">
        <v>-640</v>
      </c>
      <c r="I26" s="2">
        <f t="shared" si="6"/>
        <v>45693</v>
      </c>
      <c r="J26">
        <f t="shared" si="7"/>
        <v>92</v>
      </c>
      <c r="K26">
        <f t="shared" si="8"/>
        <v>3</v>
      </c>
      <c r="L26">
        <v>91</v>
      </c>
      <c r="M26">
        <v>365</v>
      </c>
      <c r="N26">
        <v>730</v>
      </c>
      <c r="O26">
        <f t="shared" si="0"/>
        <v>3.2320000000000002</v>
      </c>
      <c r="P26">
        <f t="shared" si="1"/>
        <v>3.43</v>
      </c>
      <c r="Q26">
        <f t="shared" si="2"/>
        <v>2.8439999999999999</v>
      </c>
      <c r="R26">
        <f t="shared" si="3"/>
        <v>2.948</v>
      </c>
      <c r="S26" s="10">
        <f>CHOOSE(option!$D$2,
history!$O26,
FORECAST(history!$J26, history!$O26:$P26, history!$K26:$L26),
FORECAST(history!$J26, history!$O26:$P26, history!$K26:$L26),
FORECAST(history!$J26, history!$O26:$P26, history!$K26:$L26),
history!$P26,
history!$Q26
)</f>
        <v>3.43</v>
      </c>
      <c r="T26">
        <f t="shared" si="9"/>
        <v>4.5330000000000004</v>
      </c>
      <c r="U26">
        <f t="shared" si="10"/>
        <v>4.83</v>
      </c>
      <c r="V26">
        <f t="shared" si="11"/>
        <v>4.6379999999999999</v>
      </c>
      <c r="W26" s="10">
        <f t="shared" si="12"/>
        <v>4.5330000000000004</v>
      </c>
      <c r="X26" s="2">
        <v>45595</v>
      </c>
      <c r="Y26">
        <v>20241031</v>
      </c>
      <c r="Z26" s="2">
        <v>45595</v>
      </c>
      <c r="AA26">
        <v>20241101</v>
      </c>
      <c r="AB26">
        <f t="shared" si="4"/>
        <v>20241104</v>
      </c>
      <c r="AD26" s="2">
        <v>45605</v>
      </c>
      <c r="AE26">
        <v>3.2730000000000001</v>
      </c>
      <c r="AF26">
        <v>3.43</v>
      </c>
      <c r="AG26">
        <v>2.8290000000000002</v>
      </c>
      <c r="AH26">
        <v>2.9260000000000002</v>
      </c>
      <c r="AI26">
        <v>4.524</v>
      </c>
      <c r="AJ26">
        <v>4.57</v>
      </c>
      <c r="AK26">
        <v>4.6020000000000003</v>
      </c>
    </row>
    <row r="27" spans="1:37" x14ac:dyDescent="0.3">
      <c r="A27" s="2">
        <v>45596</v>
      </c>
      <c r="B27">
        <v>20241104</v>
      </c>
      <c r="C27">
        <v>1379.9</v>
      </c>
      <c r="D27" s="2">
        <f t="shared" si="5"/>
        <v>45600</v>
      </c>
      <c r="F27" s="2">
        <v>45596</v>
      </c>
      <c r="G27">
        <v>20250204</v>
      </c>
      <c r="H27">
        <v>-640</v>
      </c>
      <c r="I27" s="2">
        <f t="shared" si="6"/>
        <v>45692</v>
      </c>
      <c r="J27">
        <f t="shared" si="7"/>
        <v>92</v>
      </c>
      <c r="K27">
        <f t="shared" si="8"/>
        <v>1</v>
      </c>
      <c r="L27">
        <v>91</v>
      </c>
      <c r="M27">
        <v>365</v>
      </c>
      <c r="N27">
        <v>730</v>
      </c>
      <c r="O27">
        <f t="shared" si="0"/>
        <v>3.2850000000000001</v>
      </c>
      <c r="P27">
        <f t="shared" si="1"/>
        <v>3.43</v>
      </c>
      <c r="Q27">
        <f t="shared" si="2"/>
        <v>2.8490000000000002</v>
      </c>
      <c r="R27">
        <f t="shared" si="3"/>
        <v>2.9489999999999998</v>
      </c>
      <c r="S27" s="10">
        <f>CHOOSE(option!$D$2,
history!$O27,
FORECAST(history!$J27, history!$O27:$P27, history!$K27:$L27),
FORECAST(history!$J27, history!$O27:$P27, history!$K27:$L27),
FORECAST(history!$J27, history!$O27:$P27, history!$K27:$L27),
history!$P27,
history!$Q27
)</f>
        <v>3.43</v>
      </c>
      <c r="T27">
        <f t="shared" si="9"/>
        <v>4.5540000000000003</v>
      </c>
      <c r="U27">
        <f t="shared" si="10"/>
        <v>4.83</v>
      </c>
      <c r="V27">
        <f t="shared" si="11"/>
        <v>4.649</v>
      </c>
      <c r="W27" s="10">
        <f t="shared" si="12"/>
        <v>4.5540000000000003</v>
      </c>
      <c r="X27" s="2">
        <v>45594</v>
      </c>
      <c r="Y27">
        <v>20241030</v>
      </c>
      <c r="Z27" s="2">
        <v>45594</v>
      </c>
      <c r="AA27">
        <v>20241031</v>
      </c>
      <c r="AB27">
        <f t="shared" si="4"/>
        <v>20241101</v>
      </c>
      <c r="AD27" s="2">
        <v>45604</v>
      </c>
      <c r="AE27">
        <v>3.2730000000000001</v>
      </c>
      <c r="AF27">
        <v>3.43</v>
      </c>
      <c r="AG27">
        <v>2.8290000000000002</v>
      </c>
      <c r="AH27">
        <v>2.9260000000000002</v>
      </c>
      <c r="AI27">
        <v>4.524</v>
      </c>
      <c r="AJ27">
        <v>4.57</v>
      </c>
      <c r="AK27">
        <v>4.6020000000000003</v>
      </c>
    </row>
    <row r="28" spans="1:37" x14ac:dyDescent="0.3">
      <c r="A28" s="2">
        <v>45595</v>
      </c>
      <c r="B28">
        <v>20241101</v>
      </c>
      <c r="C28">
        <v>1382.4</v>
      </c>
      <c r="D28" s="2">
        <f t="shared" si="5"/>
        <v>45597</v>
      </c>
      <c r="F28" s="2">
        <v>45595</v>
      </c>
      <c r="G28">
        <v>20250203</v>
      </c>
      <c r="H28">
        <v>-660</v>
      </c>
      <c r="I28" s="2">
        <f t="shared" si="6"/>
        <v>45691</v>
      </c>
      <c r="J28">
        <f t="shared" si="7"/>
        <v>94</v>
      </c>
      <c r="K28">
        <f t="shared" si="8"/>
        <v>1</v>
      </c>
      <c r="L28">
        <v>91</v>
      </c>
      <c r="M28">
        <v>365</v>
      </c>
      <c r="N28">
        <v>730</v>
      </c>
      <c r="O28">
        <f t="shared" si="0"/>
        <v>3.2650000000000001</v>
      </c>
      <c r="P28">
        <f t="shared" si="1"/>
        <v>3.43</v>
      </c>
      <c r="Q28">
        <f t="shared" si="2"/>
        <v>2.8479999999999999</v>
      </c>
      <c r="R28">
        <f t="shared" si="3"/>
        <v>2.95</v>
      </c>
      <c r="S28" s="10">
        <f>CHOOSE(option!$D$2,
history!$O28,
FORECAST(history!$J28, history!$O28:$P28, history!$K28:$L28),
FORECAST(history!$J28, history!$O28:$P28, history!$K28:$L28),
FORECAST(history!$J28, history!$O28:$P28, history!$K28:$L28),
history!$P28,
history!$Q28
)</f>
        <v>3.43</v>
      </c>
      <c r="T28">
        <f t="shared" si="9"/>
        <v>4.57</v>
      </c>
      <c r="U28">
        <f t="shared" si="10"/>
        <v>4.83</v>
      </c>
      <c r="V28">
        <f t="shared" si="11"/>
        <v>4.67</v>
      </c>
      <c r="W28" s="10">
        <f t="shared" si="12"/>
        <v>4.57</v>
      </c>
      <c r="X28" s="2">
        <v>45593</v>
      </c>
      <c r="Y28">
        <v>20241029</v>
      </c>
      <c r="Z28" s="2">
        <v>45593</v>
      </c>
      <c r="AA28">
        <v>20241030</v>
      </c>
      <c r="AB28">
        <f t="shared" si="4"/>
        <v>20241031</v>
      </c>
      <c r="AD28" s="2">
        <v>45603</v>
      </c>
      <c r="AE28">
        <v>3.258</v>
      </c>
      <c r="AF28">
        <v>3.43</v>
      </c>
      <c r="AG28">
        <v>2.8439999999999999</v>
      </c>
      <c r="AH28">
        <v>2.9510000000000001</v>
      </c>
      <c r="AI28">
        <v>4.5090000000000003</v>
      </c>
      <c r="AJ28">
        <v>4.8099999999999996</v>
      </c>
      <c r="AK28">
        <v>4.5979999999999999</v>
      </c>
    </row>
    <row r="29" spans="1:37" x14ac:dyDescent="0.3">
      <c r="A29" s="2">
        <v>45594</v>
      </c>
      <c r="B29">
        <v>20241031</v>
      </c>
      <c r="C29">
        <v>1386.5</v>
      </c>
      <c r="D29" s="2">
        <f t="shared" si="5"/>
        <v>45596</v>
      </c>
      <c r="F29" s="2">
        <v>45594</v>
      </c>
      <c r="G29">
        <v>20250131</v>
      </c>
      <c r="H29">
        <v>-675</v>
      </c>
      <c r="I29" s="2">
        <f t="shared" si="6"/>
        <v>45688</v>
      </c>
      <c r="J29">
        <f t="shared" si="7"/>
        <v>92</v>
      </c>
      <c r="K29">
        <f t="shared" si="8"/>
        <v>1</v>
      </c>
      <c r="L29">
        <v>91</v>
      </c>
      <c r="M29">
        <v>365</v>
      </c>
      <c r="N29">
        <v>730</v>
      </c>
      <c r="O29">
        <f t="shared" si="0"/>
        <v>3.2629999999999999</v>
      </c>
      <c r="P29">
        <f t="shared" si="1"/>
        <v>3.41</v>
      </c>
      <c r="Q29">
        <f t="shared" si="2"/>
        <v>2.85</v>
      </c>
      <c r="R29">
        <f t="shared" si="3"/>
        <v>2.9430000000000001</v>
      </c>
      <c r="S29" s="10">
        <f>CHOOSE(option!$D$2,
history!$O29,
FORECAST(history!$J29, history!$O29:$P29, history!$K29:$L29),
FORECAST(history!$J29, history!$O29:$P29, history!$K29:$L29),
FORECAST(history!$J29, history!$O29:$P29, history!$K29:$L29),
history!$P29,
history!$Q29
)</f>
        <v>3.41</v>
      </c>
      <c r="T29">
        <f t="shared" si="9"/>
        <v>4.5739999999999998</v>
      </c>
      <c r="U29">
        <f t="shared" si="10"/>
        <v>4.84</v>
      </c>
      <c r="V29">
        <f t="shared" si="11"/>
        <v>4.6829999999999998</v>
      </c>
      <c r="W29" s="10">
        <f t="shared" si="12"/>
        <v>4.5739999999999998</v>
      </c>
      <c r="X29" s="2">
        <v>45590</v>
      </c>
      <c r="Y29">
        <v>20241028</v>
      </c>
      <c r="Z29" s="2">
        <v>45590</v>
      </c>
      <c r="AA29">
        <v>20241029</v>
      </c>
      <c r="AB29">
        <f t="shared" si="4"/>
        <v>20241030</v>
      </c>
      <c r="AD29" s="2">
        <v>45602</v>
      </c>
      <c r="AE29">
        <v>3.2360000000000002</v>
      </c>
      <c r="AF29">
        <v>3.44</v>
      </c>
      <c r="AG29">
        <v>2.8559999999999999</v>
      </c>
      <c r="AH29">
        <v>2.9820000000000002</v>
      </c>
      <c r="AI29">
        <v>4.5199999999999996</v>
      </c>
      <c r="AJ29">
        <v>4.83</v>
      </c>
      <c r="AK29">
        <v>4.5990000000000002</v>
      </c>
    </row>
    <row r="30" spans="1:37" x14ac:dyDescent="0.3">
      <c r="A30" s="2">
        <v>45593</v>
      </c>
      <c r="B30">
        <v>20241030</v>
      </c>
      <c r="C30">
        <v>1385</v>
      </c>
      <c r="D30" s="2">
        <f t="shared" si="5"/>
        <v>45595</v>
      </c>
      <c r="F30" s="2">
        <v>45593</v>
      </c>
      <c r="G30">
        <v>20250131</v>
      </c>
      <c r="H30">
        <v>-705</v>
      </c>
      <c r="I30" s="2">
        <f t="shared" si="6"/>
        <v>45688</v>
      </c>
      <c r="J30">
        <f t="shared" si="7"/>
        <v>93</v>
      </c>
      <c r="K30">
        <f t="shared" si="8"/>
        <v>1</v>
      </c>
      <c r="L30">
        <v>91</v>
      </c>
      <c r="M30">
        <v>365</v>
      </c>
      <c r="N30">
        <v>730</v>
      </c>
      <c r="O30">
        <f t="shared" si="0"/>
        <v>3.2770000000000001</v>
      </c>
      <c r="P30">
        <f t="shared" si="1"/>
        <v>3.41</v>
      </c>
      <c r="Q30">
        <f t="shared" si="2"/>
        <v>2.859</v>
      </c>
      <c r="R30">
        <f t="shared" si="3"/>
        <v>2.9260000000000002</v>
      </c>
      <c r="S30" s="10">
        <f>CHOOSE(option!$D$2,
history!$O30,
FORECAST(history!$J30, history!$O30:$P30, history!$K30:$L30),
FORECAST(history!$J30, history!$O30:$P30, history!$K30:$L30),
FORECAST(history!$J30, history!$O30:$P30, history!$K30:$L30),
history!$P30,
history!$Q30
)</f>
        <v>3.41</v>
      </c>
      <c r="T30">
        <f t="shared" si="9"/>
        <v>4.5910000000000002</v>
      </c>
      <c r="U30">
        <f t="shared" si="10"/>
        <v>4.83</v>
      </c>
      <c r="V30">
        <f t="shared" si="11"/>
        <v>4.6929999999999996</v>
      </c>
      <c r="W30" s="10">
        <f t="shared" si="12"/>
        <v>4.5910000000000002</v>
      </c>
      <c r="X30" s="2">
        <v>45589</v>
      </c>
      <c r="Y30">
        <v>20241025</v>
      </c>
      <c r="Z30" s="2">
        <v>45589</v>
      </c>
      <c r="AA30">
        <v>20241028</v>
      </c>
      <c r="AB30">
        <f t="shared" si="4"/>
        <v>20241029</v>
      </c>
      <c r="AD30" s="2">
        <v>45601</v>
      </c>
      <c r="AE30">
        <v>3.1920000000000002</v>
      </c>
      <c r="AF30">
        <v>3.44</v>
      </c>
      <c r="AG30">
        <v>2.8380000000000001</v>
      </c>
      <c r="AH30">
        <v>2.94</v>
      </c>
      <c r="AI30">
        <v>4.5229999999999997</v>
      </c>
      <c r="AJ30">
        <v>4.83</v>
      </c>
      <c r="AK30">
        <v>4.617</v>
      </c>
    </row>
    <row r="31" spans="1:37" x14ac:dyDescent="0.3">
      <c r="A31" s="2">
        <v>45590</v>
      </c>
      <c r="B31">
        <v>20241029</v>
      </c>
      <c r="C31">
        <v>1388.7</v>
      </c>
      <c r="D31" s="2">
        <f t="shared" si="5"/>
        <v>45594</v>
      </c>
      <c r="F31" s="2">
        <v>45590</v>
      </c>
      <c r="G31">
        <v>20250131</v>
      </c>
      <c r="H31">
        <v>-730</v>
      </c>
      <c r="I31" s="2">
        <f t="shared" si="6"/>
        <v>45688</v>
      </c>
      <c r="J31">
        <f t="shared" si="7"/>
        <v>94</v>
      </c>
      <c r="K31">
        <f t="shared" si="8"/>
        <v>3</v>
      </c>
      <c r="L31">
        <v>91</v>
      </c>
      <c r="M31">
        <v>365</v>
      </c>
      <c r="N31">
        <v>730</v>
      </c>
      <c r="O31">
        <f t="shared" si="0"/>
        <v>3.2829999999999999</v>
      </c>
      <c r="P31">
        <f t="shared" si="1"/>
        <v>3.4</v>
      </c>
      <c r="Q31">
        <f t="shared" si="2"/>
        <v>2.8340000000000001</v>
      </c>
      <c r="R31">
        <f t="shared" si="3"/>
        <v>2.88</v>
      </c>
      <c r="S31" s="10">
        <f>CHOOSE(option!$D$2,
history!$O31,
FORECAST(history!$J31, history!$O31:$P31, history!$K31:$L31),
FORECAST(history!$J31, history!$O31:$P31, history!$K31:$L31),
FORECAST(history!$J31, history!$O31:$P31, history!$K31:$L31),
history!$P31,
history!$Q31
)</f>
        <v>3.4</v>
      </c>
      <c r="T31">
        <f t="shared" si="9"/>
        <v>4.5910000000000002</v>
      </c>
      <c r="U31">
        <f t="shared" si="10"/>
        <v>4.84</v>
      </c>
      <c r="V31">
        <f t="shared" si="11"/>
        <v>4.6989999999999998</v>
      </c>
      <c r="W31" s="10">
        <f t="shared" si="12"/>
        <v>4.5910000000000002</v>
      </c>
      <c r="X31" s="2">
        <v>45588</v>
      </c>
      <c r="Y31">
        <v>20241024</v>
      </c>
      <c r="Z31" s="2">
        <v>45588</v>
      </c>
      <c r="AA31">
        <v>20241025</v>
      </c>
      <c r="AB31">
        <f t="shared" si="4"/>
        <v>20241028</v>
      </c>
      <c r="AD31" s="2">
        <v>45600</v>
      </c>
      <c r="AE31">
        <v>3.2280000000000002</v>
      </c>
      <c r="AF31">
        <v>3.43</v>
      </c>
      <c r="AG31">
        <v>2.843</v>
      </c>
      <c r="AH31">
        <v>2.95</v>
      </c>
      <c r="AI31">
        <v>4.5250000000000004</v>
      </c>
      <c r="AJ31">
        <v>4.83</v>
      </c>
      <c r="AK31">
        <v>4.6260000000000003</v>
      </c>
    </row>
    <row r="32" spans="1:37" x14ac:dyDescent="0.3">
      <c r="A32" s="2">
        <v>45589</v>
      </c>
      <c r="B32">
        <v>20241028</v>
      </c>
      <c r="C32">
        <v>1380.2</v>
      </c>
      <c r="D32" s="2">
        <f t="shared" si="5"/>
        <v>45593</v>
      </c>
      <c r="F32" s="2">
        <v>45589</v>
      </c>
      <c r="G32">
        <v>20250131</v>
      </c>
      <c r="H32">
        <v>-755</v>
      </c>
      <c r="I32" s="2">
        <f t="shared" si="6"/>
        <v>45688</v>
      </c>
      <c r="J32">
        <f t="shared" si="7"/>
        <v>95</v>
      </c>
      <c r="K32">
        <f t="shared" si="8"/>
        <v>1</v>
      </c>
      <c r="L32">
        <v>91</v>
      </c>
      <c r="M32">
        <v>365</v>
      </c>
      <c r="N32">
        <v>730</v>
      </c>
      <c r="O32">
        <f t="shared" si="0"/>
        <v>3.2759999999999998</v>
      </c>
      <c r="P32">
        <f t="shared" si="1"/>
        <v>3.4</v>
      </c>
      <c r="Q32">
        <f t="shared" si="2"/>
        <v>2.84</v>
      </c>
      <c r="R32">
        <f t="shared" si="3"/>
        <v>2.8839999999999999</v>
      </c>
      <c r="S32" s="10">
        <f>CHOOSE(option!$D$2,
history!$O32,
FORECAST(history!$J32, history!$O32:$P32, history!$K32:$L32),
FORECAST(history!$J32, history!$O32:$P32, history!$K32:$L32),
FORECAST(history!$J32, history!$O32:$P32, history!$K32:$L32),
history!$P32,
history!$Q32
)</f>
        <v>3.4</v>
      </c>
      <c r="T32">
        <f t="shared" si="9"/>
        <v>4.6059999999999999</v>
      </c>
      <c r="U32">
        <f t="shared" si="10"/>
        <v>4.8499999999999996</v>
      </c>
      <c r="V32">
        <f t="shared" si="11"/>
        <v>4.7119999999999997</v>
      </c>
      <c r="W32" s="10">
        <f t="shared" si="12"/>
        <v>4.6059999999999999</v>
      </c>
      <c r="X32" s="2">
        <v>45587</v>
      </c>
      <c r="Y32">
        <v>20241023</v>
      </c>
      <c r="Z32" s="2">
        <v>45587</v>
      </c>
      <c r="AA32">
        <v>20241024</v>
      </c>
      <c r="AB32">
        <f t="shared" si="4"/>
        <v>20241025</v>
      </c>
      <c r="AD32" s="2">
        <v>45599</v>
      </c>
      <c r="AE32">
        <v>3.2320000000000002</v>
      </c>
      <c r="AF32">
        <v>3.43</v>
      </c>
      <c r="AG32">
        <v>2.8439999999999999</v>
      </c>
      <c r="AH32">
        <v>2.948</v>
      </c>
      <c r="AI32">
        <v>4.5330000000000004</v>
      </c>
      <c r="AJ32">
        <v>4.83</v>
      </c>
      <c r="AK32">
        <v>4.6379999999999999</v>
      </c>
    </row>
    <row r="33" spans="1:37" x14ac:dyDescent="0.3">
      <c r="A33" s="2">
        <v>45588</v>
      </c>
      <c r="B33">
        <v>20241025</v>
      </c>
      <c r="C33">
        <v>1382.2</v>
      </c>
      <c r="D33" s="2">
        <f t="shared" si="5"/>
        <v>45590</v>
      </c>
      <c r="F33" s="2">
        <v>45588</v>
      </c>
      <c r="G33">
        <v>20250127</v>
      </c>
      <c r="H33">
        <v>-760</v>
      </c>
      <c r="I33" s="2">
        <f t="shared" si="6"/>
        <v>45684</v>
      </c>
      <c r="J33">
        <f t="shared" si="7"/>
        <v>94</v>
      </c>
      <c r="K33">
        <f t="shared" si="8"/>
        <v>1</v>
      </c>
      <c r="L33">
        <v>91</v>
      </c>
      <c r="M33">
        <v>365</v>
      </c>
      <c r="N33">
        <v>730</v>
      </c>
      <c r="O33">
        <f t="shared" si="0"/>
        <v>3.2690000000000001</v>
      </c>
      <c r="P33">
        <f t="shared" si="1"/>
        <v>3.4</v>
      </c>
      <c r="Q33">
        <f t="shared" si="2"/>
        <v>2.8769999999999998</v>
      </c>
      <c r="R33">
        <f t="shared" si="3"/>
        <v>2.923</v>
      </c>
      <c r="S33" s="10">
        <f>CHOOSE(option!$D$2,
history!$O33,
FORECAST(history!$J33, history!$O33:$P33, history!$K33:$L33),
FORECAST(history!$J33, history!$O33:$P33, history!$K33:$L33),
FORECAST(history!$J33, history!$O33:$P33, history!$K33:$L33),
history!$P33,
history!$Q33
)</f>
        <v>3.4</v>
      </c>
      <c r="T33">
        <f t="shared" si="9"/>
        <v>4.6280000000000001</v>
      </c>
      <c r="U33">
        <f t="shared" si="10"/>
        <v>4.83</v>
      </c>
      <c r="V33">
        <f t="shared" si="11"/>
        <v>4.7430000000000003</v>
      </c>
      <c r="W33" s="10">
        <f t="shared" si="12"/>
        <v>4.6280000000000001</v>
      </c>
      <c r="X33" s="2">
        <v>45586</v>
      </c>
      <c r="Y33">
        <v>20241022</v>
      </c>
      <c r="Z33" s="2">
        <v>45586</v>
      </c>
      <c r="AA33">
        <v>20241023</v>
      </c>
      <c r="AB33">
        <f t="shared" si="4"/>
        <v>20241024</v>
      </c>
      <c r="AD33" s="2">
        <v>45598</v>
      </c>
      <c r="AE33">
        <v>3.2320000000000002</v>
      </c>
      <c r="AF33">
        <v>3.43</v>
      </c>
      <c r="AG33">
        <v>2.8439999999999999</v>
      </c>
      <c r="AH33">
        <v>2.948</v>
      </c>
      <c r="AI33">
        <v>4.5330000000000004</v>
      </c>
      <c r="AJ33">
        <v>4.83</v>
      </c>
      <c r="AK33">
        <v>4.6379999999999999</v>
      </c>
    </row>
    <row r="34" spans="1:37" x14ac:dyDescent="0.3">
      <c r="A34" s="2">
        <v>45587</v>
      </c>
      <c r="B34">
        <v>20241024</v>
      </c>
      <c r="C34">
        <v>1380.1</v>
      </c>
      <c r="D34" s="2">
        <f t="shared" si="5"/>
        <v>45589</v>
      </c>
      <c r="F34" s="2">
        <v>45587</v>
      </c>
      <c r="G34">
        <v>20250124</v>
      </c>
      <c r="H34">
        <v>-745</v>
      </c>
      <c r="I34" s="2">
        <f t="shared" si="6"/>
        <v>45681</v>
      </c>
      <c r="J34">
        <f t="shared" si="7"/>
        <v>92</v>
      </c>
      <c r="K34">
        <f t="shared" si="8"/>
        <v>1</v>
      </c>
      <c r="L34">
        <v>91</v>
      </c>
      <c r="M34">
        <v>365</v>
      </c>
      <c r="N34">
        <v>730</v>
      </c>
      <c r="O34">
        <f t="shared" si="0"/>
        <v>3.266</v>
      </c>
      <c r="P34">
        <f t="shared" si="1"/>
        <v>3.4</v>
      </c>
      <c r="Q34">
        <f t="shared" si="2"/>
        <v>2.8769999999999998</v>
      </c>
      <c r="R34">
        <f t="shared" si="3"/>
        <v>2.9249999999999998</v>
      </c>
      <c r="S34" s="10">
        <f>CHOOSE(option!$D$2,
history!$O34,
FORECAST(history!$J34, history!$O34:$P34, history!$K34:$L34),
FORECAST(history!$J34, history!$O34:$P34, history!$K34:$L34),
FORECAST(history!$J34, history!$O34:$P34, history!$K34:$L34),
history!$P34,
history!$Q34
)</f>
        <v>3.4</v>
      </c>
      <c r="T34">
        <f t="shared" si="9"/>
        <v>4.6289999999999996</v>
      </c>
      <c r="U34">
        <f t="shared" si="10"/>
        <v>4.83</v>
      </c>
      <c r="V34">
        <f t="shared" si="11"/>
        <v>4.742</v>
      </c>
      <c r="W34" s="10">
        <f t="shared" si="12"/>
        <v>4.6289999999999996</v>
      </c>
      <c r="X34" s="2">
        <v>45583</v>
      </c>
      <c r="Y34">
        <v>20241021</v>
      </c>
      <c r="Z34" s="2">
        <v>45583</v>
      </c>
      <c r="AA34">
        <v>20241022</v>
      </c>
      <c r="AB34">
        <f t="shared" si="4"/>
        <v>20241023</v>
      </c>
      <c r="AD34" s="2">
        <v>45597</v>
      </c>
      <c r="AE34">
        <v>3.2320000000000002</v>
      </c>
      <c r="AF34">
        <v>3.43</v>
      </c>
      <c r="AG34">
        <v>2.8439999999999999</v>
      </c>
      <c r="AH34">
        <v>2.948</v>
      </c>
      <c r="AI34">
        <v>4.5330000000000004</v>
      </c>
      <c r="AJ34">
        <v>4.83</v>
      </c>
      <c r="AK34">
        <v>4.6379999999999999</v>
      </c>
    </row>
    <row r="35" spans="1:37" x14ac:dyDescent="0.3">
      <c r="A35" s="2">
        <v>45586</v>
      </c>
      <c r="B35">
        <v>20241023</v>
      </c>
      <c r="C35">
        <v>1375.2</v>
      </c>
      <c r="D35" s="2">
        <f t="shared" si="5"/>
        <v>45588</v>
      </c>
      <c r="F35" s="2">
        <v>45586</v>
      </c>
      <c r="G35">
        <v>20250123</v>
      </c>
      <c r="H35">
        <v>-740</v>
      </c>
      <c r="I35" s="2">
        <f t="shared" si="6"/>
        <v>45680</v>
      </c>
      <c r="J35">
        <f t="shared" si="7"/>
        <v>92</v>
      </c>
      <c r="K35">
        <f t="shared" si="8"/>
        <v>1</v>
      </c>
      <c r="L35">
        <v>91</v>
      </c>
      <c r="M35">
        <v>365</v>
      </c>
      <c r="N35">
        <v>730</v>
      </c>
      <c r="O35">
        <f t="shared" si="0"/>
        <v>3.2639999999999998</v>
      </c>
      <c r="P35">
        <f t="shared" si="1"/>
        <v>3.39</v>
      </c>
      <c r="Q35">
        <f t="shared" si="2"/>
        <v>2.875</v>
      </c>
      <c r="R35">
        <f t="shared" si="3"/>
        <v>2.9020000000000001</v>
      </c>
      <c r="S35" s="10">
        <f>CHOOSE(option!$D$2,
history!$O35,
FORECAST(history!$J35, history!$O35:$P35, history!$K35:$L35),
FORECAST(history!$J35, history!$O35:$P35, history!$K35:$L35),
FORECAST(history!$J35, history!$O35:$P35, history!$K35:$L35),
history!$P35,
history!$Q35
)</f>
        <v>3.39</v>
      </c>
      <c r="T35">
        <f t="shared" si="9"/>
        <v>4.6459999999999999</v>
      </c>
      <c r="U35">
        <f t="shared" si="10"/>
        <v>4.83</v>
      </c>
      <c r="V35">
        <f t="shared" si="11"/>
        <v>4.7519999999999998</v>
      </c>
      <c r="W35" s="10">
        <f t="shared" si="12"/>
        <v>4.6459999999999999</v>
      </c>
      <c r="X35" s="2">
        <v>45582</v>
      </c>
      <c r="Y35">
        <v>20241018</v>
      </c>
      <c r="Z35" s="2">
        <v>45582</v>
      </c>
      <c r="AA35">
        <v>20241021</v>
      </c>
      <c r="AB35">
        <f t="shared" si="4"/>
        <v>20241022</v>
      </c>
      <c r="AD35" s="2">
        <v>45596</v>
      </c>
      <c r="AE35">
        <v>3.2850000000000001</v>
      </c>
      <c r="AF35">
        <v>3.43</v>
      </c>
      <c r="AG35">
        <v>2.8490000000000002</v>
      </c>
      <c r="AH35">
        <v>2.9489999999999998</v>
      </c>
      <c r="AI35">
        <v>4.5540000000000003</v>
      </c>
      <c r="AJ35">
        <v>4.83</v>
      </c>
      <c r="AK35">
        <v>4.649</v>
      </c>
    </row>
    <row r="36" spans="1:37" x14ac:dyDescent="0.3">
      <c r="A36" s="2">
        <v>45583</v>
      </c>
      <c r="B36">
        <v>20241022</v>
      </c>
      <c r="C36">
        <v>1369.7</v>
      </c>
      <c r="D36" s="2">
        <f t="shared" si="5"/>
        <v>45587</v>
      </c>
      <c r="F36" s="2">
        <v>45583</v>
      </c>
      <c r="G36">
        <v>20250122</v>
      </c>
      <c r="H36">
        <v>-735</v>
      </c>
      <c r="I36" s="2">
        <f t="shared" si="6"/>
        <v>45679</v>
      </c>
      <c r="J36">
        <f t="shared" si="7"/>
        <v>92</v>
      </c>
      <c r="K36">
        <f t="shared" si="8"/>
        <v>3</v>
      </c>
      <c r="L36">
        <v>91</v>
      </c>
      <c r="M36">
        <v>365</v>
      </c>
      <c r="N36">
        <v>730</v>
      </c>
      <c r="O36">
        <f t="shared" si="0"/>
        <v>3.278</v>
      </c>
      <c r="P36">
        <f t="shared" si="1"/>
        <v>3.39</v>
      </c>
      <c r="Q36">
        <f t="shared" si="2"/>
        <v>2.8740000000000001</v>
      </c>
      <c r="R36">
        <f t="shared" si="3"/>
        <v>2.915</v>
      </c>
      <c r="S36" s="10">
        <f>CHOOSE(option!$D$2,
history!$O36,
FORECAST(history!$J36, history!$O36:$P36, history!$K36:$L36),
FORECAST(history!$J36, history!$O36:$P36, history!$K36:$L36),
FORECAST(history!$J36, history!$O36:$P36, history!$K36:$L36),
history!$P36,
history!$Q36
)</f>
        <v>3.39</v>
      </c>
      <c r="T36">
        <f t="shared" si="9"/>
        <v>4.6289999999999996</v>
      </c>
      <c r="U36">
        <f t="shared" si="10"/>
        <v>4.84</v>
      </c>
      <c r="V36">
        <f t="shared" si="11"/>
        <v>4.7549999999999999</v>
      </c>
      <c r="W36" s="10">
        <f t="shared" si="12"/>
        <v>4.6289999999999996</v>
      </c>
      <c r="X36" s="2">
        <v>45581</v>
      </c>
      <c r="Y36">
        <v>20241017</v>
      </c>
      <c r="Z36" s="2">
        <v>45581</v>
      </c>
      <c r="AA36">
        <v>20241018</v>
      </c>
      <c r="AB36">
        <f t="shared" si="4"/>
        <v>20241021</v>
      </c>
      <c r="AD36" s="2">
        <v>45595</v>
      </c>
      <c r="AE36">
        <v>3.2650000000000001</v>
      </c>
      <c r="AF36">
        <v>3.43</v>
      </c>
      <c r="AG36">
        <v>2.8479999999999999</v>
      </c>
      <c r="AH36">
        <v>2.95</v>
      </c>
      <c r="AI36">
        <v>4.57</v>
      </c>
      <c r="AJ36">
        <v>4.83</v>
      </c>
      <c r="AK36">
        <v>4.67</v>
      </c>
    </row>
    <row r="37" spans="1:37" x14ac:dyDescent="0.3">
      <c r="A37" s="2">
        <v>45582</v>
      </c>
      <c r="B37">
        <v>20241021</v>
      </c>
      <c r="C37">
        <v>1368.6</v>
      </c>
      <c r="D37" s="2">
        <f t="shared" si="5"/>
        <v>45586</v>
      </c>
      <c r="F37" s="2">
        <v>45582</v>
      </c>
      <c r="G37">
        <v>20250121</v>
      </c>
      <c r="H37">
        <v>-735</v>
      </c>
      <c r="I37" s="2">
        <f t="shared" si="6"/>
        <v>45678</v>
      </c>
      <c r="J37">
        <f t="shared" si="7"/>
        <v>92</v>
      </c>
      <c r="K37">
        <f t="shared" si="8"/>
        <v>1</v>
      </c>
      <c r="L37">
        <v>91</v>
      </c>
      <c r="M37">
        <v>365</v>
      </c>
      <c r="N37">
        <v>730</v>
      </c>
      <c r="O37">
        <f t="shared" si="0"/>
        <v>3.278</v>
      </c>
      <c r="P37">
        <f t="shared" si="1"/>
        <v>3.39</v>
      </c>
      <c r="Q37">
        <f t="shared" si="2"/>
        <v>2.8570000000000002</v>
      </c>
      <c r="R37">
        <f t="shared" si="3"/>
        <v>2.899</v>
      </c>
      <c r="S37" s="10">
        <f>CHOOSE(option!$D$2,
history!$O37,
FORECAST(history!$J37, history!$O37:$P37, history!$K37:$L37),
FORECAST(history!$J37, history!$O37:$P37, history!$K37:$L37),
FORECAST(history!$J37, history!$O37:$P37, history!$K37:$L37),
history!$P37,
history!$Q37
)</f>
        <v>3.39</v>
      </c>
      <c r="T37">
        <f t="shared" si="9"/>
        <v>4.6440000000000001</v>
      </c>
      <c r="U37">
        <f t="shared" si="10"/>
        <v>4.84</v>
      </c>
      <c r="V37">
        <f t="shared" si="11"/>
        <v>4.7679999999999998</v>
      </c>
      <c r="W37" s="10">
        <f t="shared" si="12"/>
        <v>4.6440000000000001</v>
      </c>
      <c r="X37" s="2">
        <v>45580</v>
      </c>
      <c r="Y37">
        <v>20241016</v>
      </c>
      <c r="Z37" s="2">
        <v>45580</v>
      </c>
      <c r="AA37">
        <v>20241017</v>
      </c>
      <c r="AB37">
        <f t="shared" si="4"/>
        <v>20241018</v>
      </c>
      <c r="AD37" s="2">
        <v>45594</v>
      </c>
      <c r="AE37">
        <v>3.2629999999999999</v>
      </c>
      <c r="AF37">
        <v>3.41</v>
      </c>
      <c r="AG37">
        <v>2.85</v>
      </c>
      <c r="AH37">
        <v>2.9430000000000001</v>
      </c>
      <c r="AI37">
        <v>4.5739999999999998</v>
      </c>
      <c r="AJ37">
        <v>4.84</v>
      </c>
      <c r="AK37">
        <v>4.6829999999999998</v>
      </c>
    </row>
    <row r="38" spans="1:37" x14ac:dyDescent="0.3">
      <c r="A38" s="2">
        <v>45581</v>
      </c>
      <c r="B38">
        <v>20241018</v>
      </c>
      <c r="C38">
        <v>1362.6</v>
      </c>
      <c r="D38" s="2">
        <f t="shared" si="5"/>
        <v>45583</v>
      </c>
      <c r="F38" s="2">
        <v>45581</v>
      </c>
      <c r="G38">
        <v>20250121</v>
      </c>
      <c r="H38">
        <v>-755</v>
      </c>
      <c r="I38" s="2">
        <f t="shared" si="6"/>
        <v>45678</v>
      </c>
      <c r="J38">
        <f t="shared" si="7"/>
        <v>95</v>
      </c>
      <c r="K38">
        <f t="shared" si="8"/>
        <v>1</v>
      </c>
      <c r="L38">
        <v>91</v>
      </c>
      <c r="M38">
        <v>365</v>
      </c>
      <c r="N38">
        <v>730</v>
      </c>
      <c r="O38">
        <f t="shared" si="0"/>
        <v>3.282</v>
      </c>
      <c r="P38">
        <f t="shared" si="1"/>
        <v>3.4</v>
      </c>
      <c r="Q38">
        <f t="shared" si="2"/>
        <v>2.8450000000000002</v>
      </c>
      <c r="R38">
        <f t="shared" si="3"/>
        <v>2.8820000000000001</v>
      </c>
      <c r="S38" s="10">
        <f>CHOOSE(option!$D$2,
history!$O38,
FORECAST(history!$J38, history!$O38:$P38, history!$K38:$L38),
FORECAST(history!$J38, history!$O38:$P38, history!$K38:$L38),
FORECAST(history!$J38, history!$O38:$P38, history!$K38:$L38),
history!$P38,
history!$Q38
)</f>
        <v>3.4</v>
      </c>
      <c r="T38">
        <f t="shared" si="9"/>
        <v>4.633</v>
      </c>
      <c r="U38">
        <f t="shared" si="10"/>
        <v>4.84</v>
      </c>
      <c r="V38">
        <f t="shared" si="11"/>
        <v>4.7830000000000004</v>
      </c>
      <c r="W38" s="10">
        <f t="shared" si="12"/>
        <v>4.633</v>
      </c>
      <c r="X38" s="2">
        <v>45576</v>
      </c>
      <c r="Y38">
        <v>20241015</v>
      </c>
      <c r="Z38" s="2">
        <v>45579</v>
      </c>
      <c r="AA38">
        <v>20241016</v>
      </c>
      <c r="AB38">
        <f t="shared" si="4"/>
        <v>20241017</v>
      </c>
      <c r="AD38" s="2">
        <v>45593</v>
      </c>
      <c r="AE38">
        <v>3.2770000000000001</v>
      </c>
      <c r="AF38">
        <v>3.41</v>
      </c>
      <c r="AG38">
        <v>2.859</v>
      </c>
      <c r="AH38">
        <v>2.9260000000000002</v>
      </c>
      <c r="AI38">
        <v>4.5910000000000002</v>
      </c>
      <c r="AJ38">
        <v>4.83</v>
      </c>
      <c r="AK38">
        <v>4.6929999999999996</v>
      </c>
    </row>
    <row r="39" spans="1:37" x14ac:dyDescent="0.3">
      <c r="A39" s="2">
        <v>45580</v>
      </c>
      <c r="B39">
        <v>20241017</v>
      </c>
      <c r="C39">
        <v>1361.3</v>
      </c>
      <c r="D39" s="2">
        <f t="shared" si="5"/>
        <v>45582</v>
      </c>
      <c r="F39" s="2">
        <v>45580</v>
      </c>
      <c r="G39">
        <v>20250117</v>
      </c>
      <c r="H39">
        <v>-740</v>
      </c>
      <c r="I39" s="2">
        <f t="shared" si="6"/>
        <v>45674</v>
      </c>
      <c r="J39">
        <f t="shared" si="7"/>
        <v>92</v>
      </c>
      <c r="K39">
        <f t="shared" si="8"/>
        <v>1</v>
      </c>
      <c r="L39">
        <v>91</v>
      </c>
      <c r="M39">
        <v>365</v>
      </c>
      <c r="N39">
        <v>730</v>
      </c>
      <c r="O39">
        <f t="shared" ref="O39:O70" si="13">VLOOKUP($F39, $AD$7:$AK$106, 2, 0)</f>
        <v>3.2909999999999999</v>
      </c>
      <c r="P39">
        <f t="shared" ref="P39:P70" si="14">VLOOKUP($F39, $AD$7:$AK$106, 3, 0)</f>
        <v>3.4</v>
      </c>
      <c r="Q39">
        <f t="shared" ref="Q39:Q70" si="15">VLOOKUP($F39, $AD$7:$AK$106, 4, 0)</f>
        <v>2.851</v>
      </c>
      <c r="R39">
        <f t="shared" ref="R39:R70" si="16">VLOOKUP($F39, $AD$7:$AK$106, 5, 0)</f>
        <v>2.9060000000000001</v>
      </c>
      <c r="S39" s="10">
        <f>CHOOSE(option!$D$2,
history!$O39,
FORECAST(history!$J39, history!$O39:$P39, history!$K39:$L39),
FORECAST(history!$J39, history!$O39:$P39, history!$K39:$L39),
FORECAST(history!$J39, history!$O39:$P39, history!$K39:$L39),
history!$P39,
history!$Q39
)</f>
        <v>3.4</v>
      </c>
      <c r="T39">
        <f t="shared" si="9"/>
        <v>4.6349999999999998</v>
      </c>
      <c r="U39">
        <f t="shared" si="10"/>
        <v>4.82</v>
      </c>
      <c r="V39">
        <f t="shared" si="11"/>
        <v>4.7770000000000001</v>
      </c>
      <c r="W39" s="10">
        <f t="shared" si="12"/>
        <v>4.6349999999999998</v>
      </c>
      <c r="X39" s="2">
        <v>45575</v>
      </c>
      <c r="Y39">
        <v>20241011</v>
      </c>
      <c r="Z39" s="2">
        <v>45575</v>
      </c>
      <c r="AA39">
        <v>20241015</v>
      </c>
      <c r="AB39">
        <f t="shared" ref="AB39:AB70" si="17">IFERROR( VLOOKUP($F39, $X$7:$Y$106, 2, 0), VLOOKUP($F39, $Z$7:$AA$106, 2, 0))</f>
        <v>20241016</v>
      </c>
      <c r="AD39" s="2">
        <v>45592</v>
      </c>
      <c r="AE39">
        <v>3.2829999999999999</v>
      </c>
      <c r="AF39">
        <v>3.4</v>
      </c>
      <c r="AG39">
        <v>2.8340000000000001</v>
      </c>
      <c r="AH39">
        <v>2.88</v>
      </c>
      <c r="AI39">
        <v>4.5910000000000002</v>
      </c>
      <c r="AJ39">
        <v>4.84</v>
      </c>
      <c r="AK39">
        <v>4.6989999999999998</v>
      </c>
    </row>
    <row r="40" spans="1:37" x14ac:dyDescent="0.3">
      <c r="A40" s="2">
        <v>45579</v>
      </c>
      <c r="B40">
        <v>20241016</v>
      </c>
      <c r="C40">
        <v>1355.9</v>
      </c>
      <c r="D40" s="2">
        <f t="shared" si="5"/>
        <v>45581</v>
      </c>
      <c r="F40" s="2">
        <v>45579</v>
      </c>
      <c r="G40">
        <v>20250116</v>
      </c>
      <c r="H40">
        <v>-740</v>
      </c>
      <c r="I40" s="2">
        <f t="shared" si="6"/>
        <v>45673</v>
      </c>
      <c r="J40">
        <f t="shared" si="7"/>
        <v>92</v>
      </c>
      <c r="K40">
        <f t="shared" si="8"/>
        <v>2</v>
      </c>
      <c r="L40">
        <v>91</v>
      </c>
      <c r="M40">
        <v>365</v>
      </c>
      <c r="N40">
        <v>730</v>
      </c>
      <c r="O40">
        <f t="shared" si="13"/>
        <v>3.306</v>
      </c>
      <c r="P40">
        <f t="shared" si="14"/>
        <v>3.4</v>
      </c>
      <c r="Q40">
        <f t="shared" si="15"/>
        <v>2.8610000000000002</v>
      </c>
      <c r="R40">
        <f t="shared" si="16"/>
        <v>2.9279999999999999</v>
      </c>
      <c r="S40" s="10">
        <f>CHOOSE(option!$D$2,
history!$O40,
FORECAST(history!$J40, history!$O40:$P40, history!$K40:$L40),
FORECAST(history!$J40, history!$O40:$P40, history!$K40:$L40),
FORECAST(history!$J40, history!$O40:$P40, history!$K40:$L40),
history!$P40,
history!$Q40
)</f>
        <v>3.4</v>
      </c>
      <c r="T40">
        <f t="shared" si="9"/>
        <v>4.649</v>
      </c>
      <c r="U40">
        <f t="shared" si="10"/>
        <v>4.82</v>
      </c>
      <c r="V40">
        <f t="shared" si="11"/>
        <v>4.7850000000000001</v>
      </c>
      <c r="W40" s="10">
        <f t="shared" si="12"/>
        <v>4.649</v>
      </c>
      <c r="X40" s="2">
        <v>45573</v>
      </c>
      <c r="Y40">
        <v>20241010</v>
      </c>
      <c r="Z40" s="2">
        <v>45573</v>
      </c>
      <c r="AA40">
        <v>20241011</v>
      </c>
      <c r="AB40">
        <f t="shared" si="17"/>
        <v>20241016</v>
      </c>
      <c r="AD40" s="2">
        <v>45591</v>
      </c>
      <c r="AE40">
        <v>3.2829999999999999</v>
      </c>
      <c r="AF40">
        <v>3.4</v>
      </c>
      <c r="AG40">
        <v>2.8340000000000001</v>
      </c>
      <c r="AH40">
        <v>2.88</v>
      </c>
      <c r="AI40">
        <v>4.5910000000000002</v>
      </c>
      <c r="AJ40">
        <v>4.84</v>
      </c>
      <c r="AK40">
        <v>4.6989999999999998</v>
      </c>
    </row>
    <row r="41" spans="1:37" x14ac:dyDescent="0.3">
      <c r="A41" s="2">
        <v>45576</v>
      </c>
      <c r="B41">
        <v>20241015</v>
      </c>
      <c r="C41">
        <v>1349.5</v>
      </c>
      <c r="D41" s="2">
        <f t="shared" si="5"/>
        <v>45580</v>
      </c>
      <c r="F41" s="2">
        <v>45576</v>
      </c>
      <c r="G41">
        <v>20250115</v>
      </c>
      <c r="H41">
        <v>-730</v>
      </c>
      <c r="I41" s="2">
        <f t="shared" si="6"/>
        <v>45672</v>
      </c>
      <c r="J41">
        <f t="shared" si="7"/>
        <v>92</v>
      </c>
      <c r="K41">
        <f t="shared" si="8"/>
        <v>4</v>
      </c>
      <c r="L41">
        <v>91</v>
      </c>
      <c r="M41">
        <v>365</v>
      </c>
      <c r="N41">
        <v>730</v>
      </c>
      <c r="O41">
        <f t="shared" si="13"/>
        <v>3.3119999999999998</v>
      </c>
      <c r="P41">
        <f t="shared" si="14"/>
        <v>3.4</v>
      </c>
      <c r="Q41">
        <f t="shared" si="15"/>
        <v>2.8719999999999999</v>
      </c>
      <c r="R41">
        <f t="shared" si="16"/>
        <v>2.944</v>
      </c>
      <c r="S41" s="10">
        <f>CHOOSE(option!$D$2,
history!$O41,
FORECAST(history!$J41, history!$O41:$P41, history!$K41:$L41),
FORECAST(history!$J41, history!$O41:$P41, history!$K41:$L41),
FORECAST(history!$J41, history!$O41:$P41, history!$K41:$L41),
history!$P41,
history!$Q41
)</f>
        <v>3.4</v>
      </c>
      <c r="T41">
        <f t="shared" si="9"/>
        <v>4.649</v>
      </c>
      <c r="U41">
        <f t="shared" si="10"/>
        <v>4.82</v>
      </c>
      <c r="V41">
        <f t="shared" si="11"/>
        <v>4.7850000000000001</v>
      </c>
      <c r="W41" s="10">
        <f t="shared" si="12"/>
        <v>4.649</v>
      </c>
      <c r="X41" s="2">
        <v>45572</v>
      </c>
      <c r="Y41">
        <v>20241008</v>
      </c>
      <c r="Z41" s="2">
        <v>45572</v>
      </c>
      <c r="AA41">
        <v>20241010</v>
      </c>
      <c r="AB41">
        <f t="shared" si="17"/>
        <v>20241015</v>
      </c>
      <c r="AD41" s="2">
        <v>45590</v>
      </c>
      <c r="AE41">
        <v>3.2829999999999999</v>
      </c>
      <c r="AF41">
        <v>3.4</v>
      </c>
      <c r="AG41">
        <v>2.8340000000000001</v>
      </c>
      <c r="AH41">
        <v>2.88</v>
      </c>
      <c r="AI41">
        <v>4.5910000000000002</v>
      </c>
      <c r="AJ41">
        <v>4.84</v>
      </c>
      <c r="AK41">
        <v>4.6989999999999998</v>
      </c>
    </row>
    <row r="42" spans="1:37" x14ac:dyDescent="0.3">
      <c r="A42" s="2">
        <v>45575</v>
      </c>
      <c r="B42">
        <v>20241015</v>
      </c>
      <c r="C42">
        <v>1350.2</v>
      </c>
      <c r="D42" s="2">
        <f t="shared" si="5"/>
        <v>45580</v>
      </c>
      <c r="F42" s="2">
        <v>45575</v>
      </c>
      <c r="G42">
        <v>20250115</v>
      </c>
      <c r="H42">
        <v>-735</v>
      </c>
      <c r="I42" s="2">
        <f t="shared" si="6"/>
        <v>45672</v>
      </c>
      <c r="J42">
        <f t="shared" si="7"/>
        <v>92</v>
      </c>
      <c r="K42">
        <f t="shared" si="8"/>
        <v>1</v>
      </c>
      <c r="L42">
        <v>91</v>
      </c>
      <c r="M42">
        <v>365</v>
      </c>
      <c r="N42">
        <v>730</v>
      </c>
      <c r="O42">
        <f t="shared" si="13"/>
        <v>3.5169999999999999</v>
      </c>
      <c r="P42">
        <f t="shared" si="14"/>
        <v>3.5</v>
      </c>
      <c r="Q42">
        <f t="shared" si="15"/>
        <v>2.883</v>
      </c>
      <c r="R42">
        <f t="shared" si="16"/>
        <v>2.9569999999999999</v>
      </c>
      <c r="S42" s="10">
        <f>CHOOSE(option!$D$2,
history!$O42,
FORECAST(history!$J42, history!$O42:$P42, history!$K42:$L42),
FORECAST(history!$J42, history!$O42:$P42, history!$K42:$L42),
FORECAST(history!$J42, history!$O42:$P42, history!$K42:$L42),
history!$P42,
history!$Q42
)</f>
        <v>3.5</v>
      </c>
      <c r="T42">
        <f t="shared" si="9"/>
        <v>4.6550000000000002</v>
      </c>
      <c r="U42">
        <f t="shared" si="10"/>
        <v>4.84</v>
      </c>
      <c r="V42">
        <f t="shared" si="11"/>
        <v>4.8040000000000003</v>
      </c>
      <c r="W42" s="10">
        <f t="shared" si="12"/>
        <v>4.6550000000000002</v>
      </c>
      <c r="X42" s="2">
        <v>45569</v>
      </c>
      <c r="Y42">
        <v>20241007</v>
      </c>
      <c r="Z42" s="2">
        <v>45569</v>
      </c>
      <c r="AA42">
        <v>20241008</v>
      </c>
      <c r="AB42">
        <f t="shared" si="17"/>
        <v>20241011</v>
      </c>
      <c r="AD42" s="2">
        <v>45589</v>
      </c>
      <c r="AE42">
        <v>3.2759999999999998</v>
      </c>
      <c r="AF42">
        <v>3.4</v>
      </c>
      <c r="AG42">
        <v>2.84</v>
      </c>
      <c r="AH42">
        <v>2.8839999999999999</v>
      </c>
      <c r="AI42">
        <v>4.6059999999999999</v>
      </c>
      <c r="AJ42">
        <v>4.8499999999999996</v>
      </c>
      <c r="AK42">
        <v>4.7119999999999997</v>
      </c>
    </row>
    <row r="43" spans="1:37" x14ac:dyDescent="0.3">
      <c r="A43" s="2">
        <v>45573</v>
      </c>
      <c r="B43">
        <v>20241011</v>
      </c>
      <c r="C43">
        <v>1349.7</v>
      </c>
      <c r="D43" s="2">
        <f t="shared" si="5"/>
        <v>45576</v>
      </c>
      <c r="F43" s="2">
        <v>45573</v>
      </c>
      <c r="G43">
        <v>20250113</v>
      </c>
      <c r="H43">
        <v>-730</v>
      </c>
      <c r="I43" s="2">
        <f t="shared" si="6"/>
        <v>45670</v>
      </c>
      <c r="J43">
        <f t="shared" si="7"/>
        <v>94</v>
      </c>
      <c r="K43">
        <f t="shared" si="8"/>
        <v>2</v>
      </c>
      <c r="L43">
        <v>91</v>
      </c>
      <c r="M43">
        <v>365</v>
      </c>
      <c r="N43">
        <v>730</v>
      </c>
      <c r="O43">
        <f t="shared" si="13"/>
        <v>3.4830000000000001</v>
      </c>
      <c r="P43">
        <f t="shared" si="14"/>
        <v>3.51</v>
      </c>
      <c r="Q43">
        <f t="shared" si="15"/>
        <v>2.8780000000000001</v>
      </c>
      <c r="R43">
        <f t="shared" si="16"/>
        <v>2.9430000000000001</v>
      </c>
      <c r="S43" s="10">
        <f>CHOOSE(option!$D$2,
history!$O43,
FORECAST(history!$J43, history!$O43:$P43, history!$K43:$L43),
FORECAST(history!$J43, history!$O43:$P43, history!$K43:$L43),
FORECAST(history!$J43, history!$O43:$P43, history!$K43:$L43),
history!$P43,
history!$Q43
)</f>
        <v>3.51</v>
      </c>
      <c r="T43">
        <f t="shared" si="9"/>
        <v>4.6710000000000003</v>
      </c>
      <c r="U43">
        <f t="shared" si="10"/>
        <v>4.83</v>
      </c>
      <c r="V43">
        <f t="shared" si="11"/>
        <v>4.8259999999999996</v>
      </c>
      <c r="W43" s="10">
        <f t="shared" si="12"/>
        <v>4.6710000000000003</v>
      </c>
      <c r="X43" s="2">
        <v>45567</v>
      </c>
      <c r="Y43">
        <v>20241004</v>
      </c>
      <c r="Z43" s="2">
        <v>45567</v>
      </c>
      <c r="AA43">
        <v>20241007</v>
      </c>
      <c r="AB43">
        <f t="shared" si="17"/>
        <v>20241010</v>
      </c>
      <c r="AD43" s="2">
        <v>45588</v>
      </c>
      <c r="AE43">
        <v>3.2690000000000001</v>
      </c>
      <c r="AF43">
        <v>3.4</v>
      </c>
      <c r="AG43">
        <v>2.8769999999999998</v>
      </c>
      <c r="AH43">
        <v>2.923</v>
      </c>
      <c r="AI43">
        <v>4.6280000000000001</v>
      </c>
      <c r="AJ43">
        <v>4.83</v>
      </c>
      <c r="AK43">
        <v>4.7430000000000003</v>
      </c>
    </row>
    <row r="44" spans="1:37" x14ac:dyDescent="0.3">
      <c r="A44" s="2">
        <v>45572</v>
      </c>
      <c r="B44">
        <v>20241010</v>
      </c>
      <c r="C44">
        <v>1346.7</v>
      </c>
      <c r="D44" s="2">
        <f t="shared" si="5"/>
        <v>45575</v>
      </c>
      <c r="F44" s="2">
        <v>45572</v>
      </c>
      <c r="G44">
        <v>20250110</v>
      </c>
      <c r="H44">
        <v>-735</v>
      </c>
      <c r="I44" s="2">
        <f t="shared" si="6"/>
        <v>45667</v>
      </c>
      <c r="J44">
        <f t="shared" si="7"/>
        <v>92</v>
      </c>
      <c r="K44">
        <f t="shared" si="8"/>
        <v>1</v>
      </c>
      <c r="L44">
        <v>91</v>
      </c>
      <c r="M44">
        <v>365</v>
      </c>
      <c r="N44">
        <v>730</v>
      </c>
      <c r="O44">
        <f t="shared" si="13"/>
        <v>3.4729999999999999</v>
      </c>
      <c r="P44">
        <f t="shared" si="14"/>
        <v>3.51</v>
      </c>
      <c r="Q44">
        <f t="shared" si="15"/>
        <v>2.89</v>
      </c>
      <c r="R44">
        <f t="shared" si="16"/>
        <v>2.9620000000000002</v>
      </c>
      <c r="S44" s="10">
        <f>CHOOSE(option!$D$2,
history!$O44,
FORECAST(history!$J44, history!$O44:$P44, history!$K44:$L44),
FORECAST(history!$J44, history!$O44:$P44, history!$K44:$L44),
FORECAST(history!$J44, history!$O44:$P44, history!$K44:$L44),
history!$P44,
history!$Q44
)</f>
        <v>3.51</v>
      </c>
      <c r="T44">
        <f t="shared" si="9"/>
        <v>4.6769999999999996</v>
      </c>
      <c r="U44">
        <f t="shared" si="10"/>
        <v>4.83</v>
      </c>
      <c r="V44">
        <f t="shared" si="11"/>
        <v>4.8259999999999996</v>
      </c>
      <c r="W44" s="10">
        <f t="shared" si="12"/>
        <v>4.6769999999999996</v>
      </c>
      <c r="X44" s="2">
        <v>45565</v>
      </c>
      <c r="Y44">
        <v>20241002</v>
      </c>
      <c r="Z44" s="2">
        <v>45565</v>
      </c>
      <c r="AA44">
        <v>20241004</v>
      </c>
      <c r="AB44">
        <f t="shared" si="17"/>
        <v>20241008</v>
      </c>
      <c r="AD44" s="2">
        <v>45587</v>
      </c>
      <c r="AE44">
        <v>3.266</v>
      </c>
      <c r="AF44">
        <v>3.4</v>
      </c>
      <c r="AG44">
        <v>2.8769999999999998</v>
      </c>
      <c r="AH44">
        <v>2.9249999999999998</v>
      </c>
      <c r="AI44">
        <v>4.6289999999999996</v>
      </c>
      <c r="AJ44">
        <v>4.83</v>
      </c>
      <c r="AK44">
        <v>4.742</v>
      </c>
    </row>
    <row r="45" spans="1:37" x14ac:dyDescent="0.3">
      <c r="A45" s="2">
        <v>45569</v>
      </c>
      <c r="B45">
        <v>20241008</v>
      </c>
      <c r="C45">
        <v>1333.7</v>
      </c>
      <c r="D45" s="2">
        <f t="shared" si="5"/>
        <v>45573</v>
      </c>
      <c r="F45" s="2">
        <v>45569</v>
      </c>
      <c r="G45">
        <v>20250108</v>
      </c>
      <c r="H45">
        <v>-725</v>
      </c>
      <c r="I45" s="2">
        <f t="shared" si="6"/>
        <v>45665</v>
      </c>
      <c r="J45">
        <f t="shared" si="7"/>
        <v>92</v>
      </c>
      <c r="K45">
        <f t="shared" si="8"/>
        <v>3</v>
      </c>
      <c r="L45">
        <v>91</v>
      </c>
      <c r="M45">
        <v>365</v>
      </c>
      <c r="N45">
        <v>730</v>
      </c>
      <c r="O45">
        <f t="shared" si="13"/>
        <v>3.4940000000000002</v>
      </c>
      <c r="P45">
        <f t="shared" si="14"/>
        <v>3.52</v>
      </c>
      <c r="Q45">
        <f t="shared" si="15"/>
        <v>2.8540000000000001</v>
      </c>
      <c r="R45">
        <f t="shared" si="16"/>
        <v>2.8530000000000002</v>
      </c>
      <c r="S45" s="10">
        <f>CHOOSE(option!$D$2,
history!$O45,
FORECAST(history!$J45, history!$O45:$P45, history!$K45:$L45),
FORECAST(history!$J45, history!$O45:$P45, history!$K45:$L45),
FORECAST(history!$J45, history!$O45:$P45, history!$K45:$L45),
history!$P45,
history!$Q45
)</f>
        <v>3.52</v>
      </c>
      <c r="T45">
        <f t="shared" si="9"/>
        <v>4.649</v>
      </c>
      <c r="U45">
        <f t="shared" si="10"/>
        <v>4.84</v>
      </c>
      <c r="V45">
        <f t="shared" si="11"/>
        <v>4.8449999999999998</v>
      </c>
      <c r="W45" s="10">
        <f t="shared" si="12"/>
        <v>4.649</v>
      </c>
      <c r="X45" s="2">
        <v>45562</v>
      </c>
      <c r="Y45">
        <v>20240930</v>
      </c>
      <c r="Z45" s="2">
        <v>45562</v>
      </c>
      <c r="AA45">
        <v>20241002</v>
      </c>
      <c r="AB45">
        <f t="shared" si="17"/>
        <v>20241007</v>
      </c>
      <c r="AD45" s="2">
        <v>45586</v>
      </c>
      <c r="AE45">
        <v>3.2639999999999998</v>
      </c>
      <c r="AF45">
        <v>3.39</v>
      </c>
      <c r="AG45">
        <v>2.875</v>
      </c>
      <c r="AH45">
        <v>2.9020000000000001</v>
      </c>
      <c r="AI45">
        <v>4.6459999999999999</v>
      </c>
      <c r="AJ45">
        <v>4.83</v>
      </c>
      <c r="AK45">
        <v>4.7519999999999998</v>
      </c>
    </row>
    <row r="46" spans="1:37" x14ac:dyDescent="0.3">
      <c r="A46" s="2">
        <v>45567</v>
      </c>
      <c r="B46">
        <v>20241007</v>
      </c>
      <c r="C46">
        <v>1319.3</v>
      </c>
      <c r="D46" s="2">
        <f t="shared" si="5"/>
        <v>45572</v>
      </c>
      <c r="F46" s="2">
        <v>45567</v>
      </c>
      <c r="G46">
        <v>20250107</v>
      </c>
      <c r="H46">
        <v>-695</v>
      </c>
      <c r="I46" s="2">
        <f t="shared" si="6"/>
        <v>45664</v>
      </c>
      <c r="J46">
        <f t="shared" si="7"/>
        <v>92</v>
      </c>
      <c r="K46">
        <f t="shared" si="8"/>
        <v>2</v>
      </c>
      <c r="L46">
        <v>91</v>
      </c>
      <c r="M46">
        <v>365</v>
      </c>
      <c r="N46">
        <v>730</v>
      </c>
      <c r="O46">
        <f t="shared" si="13"/>
        <v>3.51</v>
      </c>
      <c r="P46">
        <f t="shared" si="14"/>
        <v>3.52</v>
      </c>
      <c r="Q46">
        <f t="shared" si="15"/>
        <v>2.835</v>
      </c>
      <c r="R46">
        <f t="shared" si="16"/>
        <v>2.8330000000000002</v>
      </c>
      <c r="S46" s="10">
        <f>CHOOSE(option!$D$2,
history!$O46,
FORECAST(history!$J46, history!$O46:$P46, history!$K46:$L46),
FORECAST(history!$J46, history!$O46:$P46, history!$K46:$L46),
FORECAST(history!$J46, history!$O46:$P46, history!$K46:$L46),
history!$P46,
history!$Q46
)</f>
        <v>3.52</v>
      </c>
      <c r="T46">
        <f t="shared" si="9"/>
        <v>4.6050000000000004</v>
      </c>
      <c r="U46">
        <f t="shared" si="10"/>
        <v>4.9000000000000004</v>
      </c>
      <c r="V46">
        <f t="shared" si="11"/>
        <v>4.8520000000000003</v>
      </c>
      <c r="W46" s="10">
        <f t="shared" si="12"/>
        <v>4.6050000000000004</v>
      </c>
      <c r="X46" s="2">
        <v>45561</v>
      </c>
      <c r="Y46">
        <v>20240927</v>
      </c>
      <c r="Z46" s="2">
        <v>45561</v>
      </c>
      <c r="AA46">
        <v>20240930</v>
      </c>
      <c r="AB46">
        <f t="shared" si="17"/>
        <v>20241004</v>
      </c>
      <c r="AD46" s="2">
        <v>45585</v>
      </c>
      <c r="AE46">
        <v>3.278</v>
      </c>
      <c r="AF46">
        <v>3.39</v>
      </c>
      <c r="AG46">
        <v>2.8740000000000001</v>
      </c>
      <c r="AH46">
        <v>2.915</v>
      </c>
      <c r="AI46">
        <v>4.6289999999999996</v>
      </c>
      <c r="AJ46">
        <v>4.84</v>
      </c>
      <c r="AK46">
        <v>4.7549999999999999</v>
      </c>
    </row>
    <row r="47" spans="1:37" x14ac:dyDescent="0.3">
      <c r="A47" s="2">
        <v>45565</v>
      </c>
      <c r="B47">
        <v>20241004</v>
      </c>
      <c r="C47">
        <v>1307.8</v>
      </c>
      <c r="D47" s="2">
        <f t="shared" si="5"/>
        <v>45569</v>
      </c>
      <c r="F47" s="2">
        <v>45565</v>
      </c>
      <c r="G47">
        <v>20250106</v>
      </c>
      <c r="H47">
        <v>-720</v>
      </c>
      <c r="I47" s="2">
        <f t="shared" si="6"/>
        <v>45663</v>
      </c>
      <c r="J47">
        <f t="shared" si="7"/>
        <v>94</v>
      </c>
      <c r="K47">
        <f t="shared" si="8"/>
        <v>2</v>
      </c>
      <c r="L47">
        <v>91</v>
      </c>
      <c r="M47">
        <v>365</v>
      </c>
      <c r="N47">
        <v>730</v>
      </c>
      <c r="O47">
        <f t="shared" si="13"/>
        <v>3.6019999999999999</v>
      </c>
      <c r="P47">
        <f t="shared" si="14"/>
        <v>3.53</v>
      </c>
      <c r="Q47">
        <f t="shared" si="15"/>
        <v>2.8439999999999999</v>
      </c>
      <c r="R47">
        <f t="shared" si="16"/>
        <v>2.8570000000000002</v>
      </c>
      <c r="S47" s="10">
        <f>CHOOSE(option!$D$2,
history!$O47,
FORECAST(history!$J47, history!$O47:$P47, history!$K47:$L47),
FORECAST(history!$J47, history!$O47:$P47, history!$K47:$L47),
FORECAST(history!$J47, history!$O47:$P47, history!$K47:$L47),
history!$P47,
history!$Q47
)</f>
        <v>3.53</v>
      </c>
      <c r="T47">
        <f t="shared" si="9"/>
        <v>4.6239999999999997</v>
      </c>
      <c r="U47">
        <f t="shared" si="10"/>
        <v>4.87</v>
      </c>
      <c r="V47">
        <f t="shared" si="11"/>
        <v>4.8520000000000003</v>
      </c>
      <c r="W47" s="10">
        <f t="shared" si="12"/>
        <v>4.6239999999999997</v>
      </c>
      <c r="X47" s="2">
        <v>45560</v>
      </c>
      <c r="Y47">
        <v>20240926</v>
      </c>
      <c r="Z47" s="2">
        <v>45560</v>
      </c>
      <c r="AA47">
        <v>20240927</v>
      </c>
      <c r="AB47">
        <f t="shared" si="17"/>
        <v>20241002</v>
      </c>
      <c r="AD47" s="2">
        <v>45584</v>
      </c>
      <c r="AE47">
        <v>3.278</v>
      </c>
      <c r="AF47">
        <v>3.39</v>
      </c>
      <c r="AG47">
        <v>2.8740000000000001</v>
      </c>
      <c r="AH47">
        <v>2.915</v>
      </c>
      <c r="AI47">
        <v>4.6289999999999996</v>
      </c>
      <c r="AJ47">
        <v>4.84</v>
      </c>
      <c r="AK47">
        <v>4.7549999999999999</v>
      </c>
    </row>
    <row r="48" spans="1:37" x14ac:dyDescent="0.3">
      <c r="A48" s="2">
        <v>45562</v>
      </c>
      <c r="B48">
        <v>20241002</v>
      </c>
      <c r="C48">
        <v>1318.6</v>
      </c>
      <c r="D48" s="2">
        <f t="shared" si="5"/>
        <v>45567</v>
      </c>
      <c r="F48" s="2">
        <v>45562</v>
      </c>
      <c r="G48">
        <v>20250102</v>
      </c>
      <c r="H48">
        <v>-685</v>
      </c>
      <c r="I48" s="2">
        <f t="shared" si="6"/>
        <v>45659</v>
      </c>
      <c r="J48">
        <f t="shared" si="7"/>
        <v>92</v>
      </c>
      <c r="K48">
        <f t="shared" si="8"/>
        <v>3</v>
      </c>
      <c r="L48">
        <v>91</v>
      </c>
      <c r="M48">
        <v>365</v>
      </c>
      <c r="N48">
        <v>730</v>
      </c>
      <c r="O48">
        <f t="shared" si="13"/>
        <v>3.5350000000000001</v>
      </c>
      <c r="P48">
        <f t="shared" si="14"/>
        <v>3.53</v>
      </c>
      <c r="Q48">
        <f t="shared" si="15"/>
        <v>2.855</v>
      </c>
      <c r="R48">
        <f t="shared" si="16"/>
        <v>2.8769999999999998</v>
      </c>
      <c r="S48" s="10">
        <f>CHOOSE(option!$D$2,
history!$O48,
FORECAST(history!$J48, history!$O48:$P48, history!$K48:$L48),
FORECAST(history!$J48, history!$O48:$P48, history!$K48:$L48),
FORECAST(history!$J48, history!$O48:$P48, history!$K48:$L48),
history!$P48,
history!$Q48
)</f>
        <v>3.53</v>
      </c>
      <c r="T48">
        <f t="shared" si="9"/>
        <v>4.59</v>
      </c>
      <c r="U48">
        <f t="shared" si="10"/>
        <v>4.84</v>
      </c>
      <c r="V48">
        <f t="shared" si="11"/>
        <v>4.8470000000000004</v>
      </c>
      <c r="W48" s="10">
        <f t="shared" si="12"/>
        <v>4.59</v>
      </c>
      <c r="X48" s="2">
        <v>45559</v>
      </c>
      <c r="Y48">
        <v>20240925</v>
      </c>
      <c r="Z48" s="2">
        <v>45559</v>
      </c>
      <c r="AA48">
        <v>20240926</v>
      </c>
      <c r="AB48">
        <f t="shared" si="17"/>
        <v>20240930</v>
      </c>
      <c r="AD48" s="2">
        <v>45583</v>
      </c>
      <c r="AE48">
        <v>3.278</v>
      </c>
      <c r="AF48">
        <v>3.39</v>
      </c>
      <c r="AG48">
        <v>2.8740000000000001</v>
      </c>
      <c r="AH48">
        <v>2.915</v>
      </c>
      <c r="AI48">
        <v>4.6289999999999996</v>
      </c>
      <c r="AJ48">
        <v>4.84</v>
      </c>
      <c r="AK48">
        <v>4.7549999999999999</v>
      </c>
    </row>
    <row r="49" spans="1:37" x14ac:dyDescent="0.3">
      <c r="A49" s="2">
        <v>45561</v>
      </c>
      <c r="B49">
        <v>20240930</v>
      </c>
      <c r="C49">
        <v>1327.2</v>
      </c>
      <c r="D49" s="2">
        <f t="shared" si="5"/>
        <v>45565</v>
      </c>
      <c r="F49" s="2">
        <v>45561</v>
      </c>
      <c r="G49">
        <v>20241231</v>
      </c>
      <c r="H49">
        <v>-645</v>
      </c>
      <c r="I49" s="2">
        <f t="shared" si="6"/>
        <v>45657</v>
      </c>
      <c r="J49">
        <f t="shared" si="7"/>
        <v>92</v>
      </c>
      <c r="K49">
        <f t="shared" si="8"/>
        <v>1</v>
      </c>
      <c r="L49">
        <v>91</v>
      </c>
      <c r="M49">
        <v>365</v>
      </c>
      <c r="N49">
        <v>730</v>
      </c>
      <c r="O49">
        <f t="shared" si="13"/>
        <v>3.5310000000000001</v>
      </c>
      <c r="P49">
        <f t="shared" si="14"/>
        <v>3.53</v>
      </c>
      <c r="Q49">
        <f t="shared" si="15"/>
        <v>2.8420000000000001</v>
      </c>
      <c r="R49">
        <f t="shared" si="16"/>
        <v>2.8719999999999999</v>
      </c>
      <c r="S49" s="10">
        <f>CHOOSE(option!$D$2,
history!$O49,
FORECAST(history!$J49, history!$O49:$P49, history!$K49:$L49),
FORECAST(history!$J49, history!$O49:$P49, history!$K49:$L49),
FORECAST(history!$J49, history!$O49:$P49, history!$K49:$L49),
history!$P49,
history!$Q49
)</f>
        <v>3.53</v>
      </c>
      <c r="T49">
        <f t="shared" si="9"/>
        <v>4.6109999999999998</v>
      </c>
      <c r="U49">
        <f t="shared" si="10"/>
        <v>4.83</v>
      </c>
      <c r="V49">
        <f t="shared" si="11"/>
        <v>4.8479999999999999</v>
      </c>
      <c r="W49" s="10">
        <f t="shared" si="12"/>
        <v>4.6109999999999998</v>
      </c>
      <c r="X49" s="2">
        <v>45558</v>
      </c>
      <c r="Y49">
        <v>20240924</v>
      </c>
      <c r="Z49" s="2">
        <v>45558</v>
      </c>
      <c r="AA49">
        <v>20240925</v>
      </c>
      <c r="AB49">
        <f t="shared" si="17"/>
        <v>20240927</v>
      </c>
      <c r="AD49" s="2">
        <v>45582</v>
      </c>
      <c r="AE49">
        <v>3.278</v>
      </c>
      <c r="AF49">
        <v>3.39</v>
      </c>
      <c r="AG49">
        <v>2.8570000000000002</v>
      </c>
      <c r="AH49">
        <v>2.899</v>
      </c>
      <c r="AI49">
        <v>4.6440000000000001</v>
      </c>
      <c r="AJ49">
        <v>4.84</v>
      </c>
      <c r="AK49">
        <v>4.7679999999999998</v>
      </c>
    </row>
    <row r="50" spans="1:37" x14ac:dyDescent="0.3">
      <c r="A50" s="2">
        <v>45560</v>
      </c>
      <c r="B50">
        <v>20240927</v>
      </c>
      <c r="C50">
        <v>1331</v>
      </c>
      <c r="D50" s="2">
        <f t="shared" si="5"/>
        <v>45562</v>
      </c>
      <c r="F50" s="2">
        <v>45560</v>
      </c>
      <c r="G50">
        <v>20241227</v>
      </c>
      <c r="H50">
        <v>-655</v>
      </c>
      <c r="I50" s="2">
        <f t="shared" si="6"/>
        <v>45653</v>
      </c>
      <c r="J50">
        <f t="shared" si="7"/>
        <v>91</v>
      </c>
      <c r="K50">
        <f t="shared" si="8"/>
        <v>1</v>
      </c>
      <c r="L50">
        <v>91</v>
      </c>
      <c r="M50">
        <v>365</v>
      </c>
      <c r="N50">
        <v>730</v>
      </c>
      <c r="O50">
        <f t="shared" si="13"/>
        <v>3.5089999999999999</v>
      </c>
      <c r="P50">
        <f t="shared" si="14"/>
        <v>3.53</v>
      </c>
      <c r="Q50">
        <f t="shared" si="15"/>
        <v>2.85</v>
      </c>
      <c r="R50">
        <f t="shared" si="16"/>
        <v>2.88</v>
      </c>
      <c r="S50" s="10">
        <f>CHOOSE(option!$D$2,
history!$O50,
FORECAST(history!$J50, history!$O50:$P50, history!$K50:$L50),
FORECAST(history!$J50, history!$O50:$P50, history!$K50:$L50),
FORECAST(history!$J50, history!$O50:$P50, history!$K50:$L50),
history!$P50,
history!$Q50
)</f>
        <v>3.53</v>
      </c>
      <c r="T50">
        <f t="shared" si="9"/>
        <v>4.625</v>
      </c>
      <c r="U50">
        <f t="shared" si="10"/>
        <v>4.83</v>
      </c>
      <c r="V50">
        <f t="shared" si="11"/>
        <v>4.8499999999999996</v>
      </c>
      <c r="W50" s="10">
        <f t="shared" si="12"/>
        <v>4.625</v>
      </c>
      <c r="X50" s="2">
        <v>45555</v>
      </c>
      <c r="Y50">
        <v>20240923</v>
      </c>
      <c r="Z50" s="2">
        <v>45555</v>
      </c>
      <c r="AA50">
        <v>20240924</v>
      </c>
      <c r="AB50">
        <f t="shared" si="17"/>
        <v>20240926</v>
      </c>
      <c r="AD50" s="2">
        <v>45581</v>
      </c>
      <c r="AE50">
        <v>3.282</v>
      </c>
      <c r="AF50">
        <v>3.4</v>
      </c>
      <c r="AG50">
        <v>2.8450000000000002</v>
      </c>
      <c r="AH50">
        <v>2.8820000000000001</v>
      </c>
      <c r="AI50">
        <v>4.633</v>
      </c>
      <c r="AJ50">
        <v>4.84</v>
      </c>
      <c r="AK50">
        <v>4.7830000000000004</v>
      </c>
    </row>
    <row r="51" spans="1:37" x14ac:dyDescent="0.3">
      <c r="A51" s="2">
        <v>45559</v>
      </c>
      <c r="B51">
        <v>20240926</v>
      </c>
      <c r="C51">
        <v>1334.9</v>
      </c>
      <c r="D51" s="2">
        <f t="shared" si="5"/>
        <v>45561</v>
      </c>
      <c r="F51" s="2">
        <v>45559</v>
      </c>
      <c r="G51">
        <v>20241226</v>
      </c>
      <c r="H51">
        <v>-675</v>
      </c>
      <c r="I51" s="2">
        <f t="shared" si="6"/>
        <v>45652</v>
      </c>
      <c r="J51">
        <f t="shared" si="7"/>
        <v>91</v>
      </c>
      <c r="K51">
        <f t="shared" si="8"/>
        <v>1</v>
      </c>
      <c r="L51">
        <v>91</v>
      </c>
      <c r="M51">
        <v>365</v>
      </c>
      <c r="N51">
        <v>730</v>
      </c>
      <c r="O51">
        <f t="shared" si="13"/>
        <v>3.5089999999999999</v>
      </c>
      <c r="P51">
        <f t="shared" si="14"/>
        <v>3.53</v>
      </c>
      <c r="Q51">
        <f t="shared" si="15"/>
        <v>2.8679999999999999</v>
      </c>
      <c r="R51">
        <f t="shared" si="16"/>
        <v>2.9169999999999998</v>
      </c>
      <c r="S51" s="10">
        <f>CHOOSE(option!$D$2,
history!$O51,
FORECAST(history!$J51, history!$O51:$P51, history!$K51:$L51),
FORECAST(history!$J51, history!$O51:$P51, history!$K51:$L51),
FORECAST(history!$J51, history!$O51:$P51, history!$K51:$L51),
history!$P51,
history!$Q51
)</f>
        <v>3.53</v>
      </c>
      <c r="T51">
        <f t="shared" si="9"/>
        <v>4.6369999999999996</v>
      </c>
      <c r="U51">
        <f t="shared" si="10"/>
        <v>4.83</v>
      </c>
      <c r="V51">
        <f t="shared" si="11"/>
        <v>4.8579999999999997</v>
      </c>
      <c r="W51" s="10">
        <f t="shared" si="12"/>
        <v>4.6369999999999996</v>
      </c>
      <c r="X51" s="2">
        <v>45554</v>
      </c>
      <c r="Y51">
        <v>20240920</v>
      </c>
      <c r="Z51" s="2">
        <v>45554</v>
      </c>
      <c r="AA51">
        <v>20240923</v>
      </c>
      <c r="AB51">
        <f t="shared" si="17"/>
        <v>20240925</v>
      </c>
      <c r="AD51" s="2">
        <v>45580</v>
      </c>
      <c r="AE51">
        <v>3.2909999999999999</v>
      </c>
      <c r="AF51">
        <v>3.4</v>
      </c>
      <c r="AG51">
        <v>2.851</v>
      </c>
      <c r="AH51">
        <v>2.9060000000000001</v>
      </c>
      <c r="AI51">
        <v>4.6349999999999998</v>
      </c>
      <c r="AJ51">
        <v>4.82</v>
      </c>
      <c r="AK51">
        <v>4.7770000000000001</v>
      </c>
    </row>
    <row r="52" spans="1:37" x14ac:dyDescent="0.3">
      <c r="A52" s="2">
        <v>45558</v>
      </c>
      <c r="B52">
        <v>20240925</v>
      </c>
      <c r="C52">
        <v>1335.9</v>
      </c>
      <c r="D52" s="2">
        <f t="shared" si="5"/>
        <v>45560</v>
      </c>
      <c r="F52" s="2">
        <v>45558</v>
      </c>
      <c r="G52">
        <v>20241226</v>
      </c>
      <c r="H52">
        <v>-665</v>
      </c>
      <c r="I52" s="2">
        <f t="shared" si="6"/>
        <v>45652</v>
      </c>
      <c r="J52">
        <f t="shared" si="7"/>
        <v>92</v>
      </c>
      <c r="K52">
        <f t="shared" si="8"/>
        <v>1</v>
      </c>
      <c r="L52">
        <v>91</v>
      </c>
      <c r="M52">
        <v>365</v>
      </c>
      <c r="N52">
        <v>730</v>
      </c>
      <c r="O52">
        <f t="shared" si="13"/>
        <v>3.4990000000000001</v>
      </c>
      <c r="P52">
        <f t="shared" si="14"/>
        <v>3.53</v>
      </c>
      <c r="Q52">
        <f t="shared" si="15"/>
        <v>2.879</v>
      </c>
      <c r="R52">
        <f t="shared" si="16"/>
        <v>2.92</v>
      </c>
      <c r="S52" s="10">
        <f>CHOOSE(option!$D$2,
history!$O52,
FORECAST(history!$J52, history!$O52:$P52, history!$K52:$L52),
FORECAST(history!$J52, history!$O52:$P52, history!$K52:$L52),
FORECAST(history!$J52, history!$O52:$P52, history!$K52:$L52),
history!$P52,
history!$Q52
)</f>
        <v>3.53</v>
      </c>
      <c r="T52">
        <f t="shared" si="9"/>
        <v>4.6550000000000002</v>
      </c>
      <c r="U52">
        <f t="shared" si="10"/>
        <v>4.83</v>
      </c>
      <c r="V52">
        <f t="shared" si="11"/>
        <v>4.8570000000000002</v>
      </c>
      <c r="W52" s="10">
        <f t="shared" si="12"/>
        <v>4.6550000000000002</v>
      </c>
      <c r="X52" s="2">
        <v>45548</v>
      </c>
      <c r="Y52">
        <v>20240919</v>
      </c>
      <c r="Z52" s="2">
        <v>45548</v>
      </c>
      <c r="AA52">
        <v>20240920</v>
      </c>
      <c r="AB52">
        <f t="shared" si="17"/>
        <v>20240924</v>
      </c>
      <c r="AD52" s="2">
        <v>45579</v>
      </c>
      <c r="AE52">
        <v>3.306</v>
      </c>
      <c r="AF52">
        <v>3.4</v>
      </c>
      <c r="AG52">
        <v>2.8610000000000002</v>
      </c>
      <c r="AH52">
        <v>2.9279999999999999</v>
      </c>
      <c r="AI52">
        <v>4.649</v>
      </c>
      <c r="AJ52">
        <v>4.82</v>
      </c>
      <c r="AK52">
        <v>4.7850000000000001</v>
      </c>
    </row>
    <row r="53" spans="1:37" x14ac:dyDescent="0.3">
      <c r="A53" s="2">
        <v>45555</v>
      </c>
      <c r="B53">
        <v>20240924</v>
      </c>
      <c r="C53">
        <v>1329.1</v>
      </c>
      <c r="D53" s="2">
        <f t="shared" si="5"/>
        <v>45559</v>
      </c>
      <c r="F53" s="2">
        <v>45555</v>
      </c>
      <c r="G53">
        <v>20241224</v>
      </c>
      <c r="H53">
        <v>-675</v>
      </c>
      <c r="I53" s="2">
        <f t="shared" si="6"/>
        <v>45650</v>
      </c>
      <c r="J53">
        <f t="shared" si="7"/>
        <v>91</v>
      </c>
      <c r="K53">
        <f t="shared" si="8"/>
        <v>3</v>
      </c>
      <c r="L53">
        <v>91</v>
      </c>
      <c r="M53">
        <v>365</v>
      </c>
      <c r="N53">
        <v>730</v>
      </c>
      <c r="O53">
        <f t="shared" si="13"/>
        <v>3.5049999999999999</v>
      </c>
      <c r="P53">
        <f t="shared" si="14"/>
        <v>3.53</v>
      </c>
      <c r="Q53">
        <f t="shared" si="15"/>
        <v>2.879</v>
      </c>
      <c r="R53">
        <f t="shared" si="16"/>
        <v>2.9049999999999998</v>
      </c>
      <c r="S53" s="10">
        <f>CHOOSE(option!$D$2,
history!$O53,
FORECAST(history!$J53, history!$O53:$P53, history!$K53:$L53),
FORECAST(history!$J53, history!$O53:$P53, history!$K53:$L53),
FORECAST(history!$J53, history!$O53:$P53, history!$K53:$L53),
history!$P53,
history!$Q53
)</f>
        <v>3.53</v>
      </c>
      <c r="T53">
        <f t="shared" si="9"/>
        <v>4.6680000000000001</v>
      </c>
      <c r="U53">
        <f t="shared" si="10"/>
        <v>4.83</v>
      </c>
      <c r="V53">
        <f t="shared" si="11"/>
        <v>4.8559999999999999</v>
      </c>
      <c r="W53" s="10">
        <f t="shared" si="12"/>
        <v>4.6680000000000001</v>
      </c>
      <c r="X53" s="2">
        <v>45547</v>
      </c>
      <c r="Y53">
        <v>20240913</v>
      </c>
      <c r="Z53" s="2">
        <v>45547</v>
      </c>
      <c r="AA53">
        <v>20240919</v>
      </c>
      <c r="AB53">
        <f t="shared" si="17"/>
        <v>20240923</v>
      </c>
      <c r="AD53" s="2">
        <v>45578</v>
      </c>
      <c r="AE53">
        <v>3.3119999999999998</v>
      </c>
      <c r="AF53">
        <v>3.4</v>
      </c>
      <c r="AG53">
        <v>2.8719999999999999</v>
      </c>
      <c r="AH53">
        <v>2.944</v>
      </c>
      <c r="AI53">
        <v>4.649</v>
      </c>
      <c r="AJ53">
        <v>4.82</v>
      </c>
      <c r="AK53">
        <v>4.7850000000000001</v>
      </c>
    </row>
    <row r="54" spans="1:37" x14ac:dyDescent="0.3">
      <c r="A54" s="2">
        <v>45554</v>
      </c>
      <c r="B54">
        <v>20240923</v>
      </c>
      <c r="C54">
        <v>1329</v>
      </c>
      <c r="D54" s="2">
        <f t="shared" si="5"/>
        <v>45558</v>
      </c>
      <c r="F54" s="2">
        <v>45554</v>
      </c>
      <c r="G54">
        <v>20241223</v>
      </c>
      <c r="H54">
        <v>-645</v>
      </c>
      <c r="I54" s="2">
        <f t="shared" si="6"/>
        <v>45649</v>
      </c>
      <c r="J54">
        <f t="shared" si="7"/>
        <v>91</v>
      </c>
      <c r="K54">
        <f t="shared" si="8"/>
        <v>1</v>
      </c>
      <c r="L54">
        <v>91</v>
      </c>
      <c r="M54">
        <v>365</v>
      </c>
      <c r="N54">
        <v>730</v>
      </c>
      <c r="O54">
        <f t="shared" si="13"/>
        <v>3.5169999999999999</v>
      </c>
      <c r="P54">
        <f t="shared" si="14"/>
        <v>3.53</v>
      </c>
      <c r="Q54">
        <f t="shared" si="15"/>
        <v>2.887</v>
      </c>
      <c r="R54">
        <f t="shared" si="16"/>
        <v>2.9209999999999998</v>
      </c>
      <c r="S54" s="10">
        <f>CHOOSE(option!$D$2,
history!$O54,
FORECAST(history!$J54, history!$O54:$P54, history!$K54:$L54),
FORECAST(history!$J54, history!$O54:$P54, history!$K54:$L54),
FORECAST(history!$J54, history!$O54:$P54, history!$K54:$L54),
history!$P54,
history!$Q54
)</f>
        <v>3.53</v>
      </c>
      <c r="T54">
        <f t="shared" si="9"/>
        <v>4.6909999999999998</v>
      </c>
      <c r="U54">
        <f t="shared" si="10"/>
        <v>4.83</v>
      </c>
      <c r="V54">
        <f t="shared" si="11"/>
        <v>4.8600000000000003</v>
      </c>
      <c r="W54" s="10">
        <f t="shared" si="12"/>
        <v>4.6909999999999998</v>
      </c>
      <c r="X54" s="2">
        <v>45546</v>
      </c>
      <c r="Y54">
        <v>20240912</v>
      </c>
      <c r="Z54" s="2">
        <v>45546</v>
      </c>
      <c r="AA54">
        <v>20240913</v>
      </c>
      <c r="AB54">
        <f t="shared" si="17"/>
        <v>20240920</v>
      </c>
      <c r="AD54" s="2">
        <v>45577</v>
      </c>
      <c r="AE54">
        <v>3.3119999999999998</v>
      </c>
      <c r="AF54">
        <v>3.4</v>
      </c>
      <c r="AG54">
        <v>2.8719999999999999</v>
      </c>
      <c r="AH54">
        <v>2.944</v>
      </c>
      <c r="AI54">
        <v>4.649</v>
      </c>
      <c r="AJ54">
        <v>4.82</v>
      </c>
      <c r="AK54">
        <v>4.7850000000000001</v>
      </c>
    </row>
    <row r="55" spans="1:37" x14ac:dyDescent="0.3">
      <c r="A55" s="2">
        <v>45548</v>
      </c>
      <c r="B55">
        <v>20240920</v>
      </c>
      <c r="C55">
        <v>1329.5</v>
      </c>
      <c r="D55" s="2">
        <f t="shared" si="5"/>
        <v>45555</v>
      </c>
      <c r="F55" s="2">
        <v>45548</v>
      </c>
      <c r="G55">
        <v>20241220</v>
      </c>
      <c r="H55">
        <v>-660</v>
      </c>
      <c r="I55" s="2">
        <f t="shared" si="6"/>
        <v>45646</v>
      </c>
      <c r="J55">
        <f t="shared" si="7"/>
        <v>91</v>
      </c>
      <c r="K55">
        <f t="shared" si="8"/>
        <v>6</v>
      </c>
      <c r="L55">
        <v>91</v>
      </c>
      <c r="M55">
        <v>365</v>
      </c>
      <c r="N55">
        <v>730</v>
      </c>
      <c r="O55">
        <f t="shared" si="13"/>
        <v>3.5379999999999998</v>
      </c>
      <c r="P55">
        <f t="shared" si="14"/>
        <v>3.53</v>
      </c>
      <c r="Q55">
        <f t="shared" si="15"/>
        <v>2.8839999999999999</v>
      </c>
      <c r="R55">
        <f t="shared" si="16"/>
        <v>2.9140000000000001</v>
      </c>
      <c r="S55" s="10">
        <f>CHOOSE(option!$D$2,
history!$O55,
FORECAST(history!$J55, history!$O55:$P55, history!$K55:$L55),
FORECAST(history!$J55, history!$O55:$P55, history!$K55:$L55),
FORECAST(history!$J55, history!$O55:$P55, history!$K55:$L55),
history!$P55,
history!$Q55
)</f>
        <v>3.53</v>
      </c>
      <c r="T55">
        <f t="shared" si="9"/>
        <v>4.8769999999999998</v>
      </c>
      <c r="U55">
        <f t="shared" si="10"/>
        <v>5.33</v>
      </c>
      <c r="V55">
        <f t="shared" si="11"/>
        <v>5.0289999999999999</v>
      </c>
      <c r="W55" s="10">
        <f t="shared" si="12"/>
        <v>4.8769999999999998</v>
      </c>
      <c r="X55" s="2">
        <v>45545</v>
      </c>
      <c r="Y55">
        <v>20240911</v>
      </c>
      <c r="Z55" s="2">
        <v>45545</v>
      </c>
      <c r="AA55">
        <v>20240912</v>
      </c>
      <c r="AB55">
        <f t="shared" si="17"/>
        <v>20240919</v>
      </c>
      <c r="AD55" s="2">
        <v>45576</v>
      </c>
      <c r="AE55">
        <v>3.3119999999999998</v>
      </c>
      <c r="AF55">
        <v>3.4</v>
      </c>
      <c r="AG55">
        <v>2.8719999999999999</v>
      </c>
      <c r="AH55">
        <v>2.944</v>
      </c>
      <c r="AI55">
        <v>4.649</v>
      </c>
      <c r="AJ55">
        <v>4.82</v>
      </c>
      <c r="AK55">
        <v>4.7850000000000001</v>
      </c>
    </row>
    <row r="56" spans="1:37" x14ac:dyDescent="0.3">
      <c r="A56" s="2">
        <v>45547</v>
      </c>
      <c r="B56">
        <v>20240919</v>
      </c>
      <c r="C56">
        <v>1338.7</v>
      </c>
      <c r="D56" s="2">
        <f t="shared" si="5"/>
        <v>45554</v>
      </c>
      <c r="F56" s="2">
        <v>45547</v>
      </c>
      <c r="G56">
        <v>20241219</v>
      </c>
      <c r="H56">
        <v>-710</v>
      </c>
      <c r="I56" s="2">
        <f t="shared" si="6"/>
        <v>45645</v>
      </c>
      <c r="J56">
        <f t="shared" si="7"/>
        <v>91</v>
      </c>
      <c r="K56">
        <f t="shared" si="8"/>
        <v>1</v>
      </c>
      <c r="L56">
        <v>91</v>
      </c>
      <c r="M56">
        <v>365</v>
      </c>
      <c r="N56">
        <v>730</v>
      </c>
      <c r="O56">
        <f t="shared" si="13"/>
        <v>3.5779999999999998</v>
      </c>
      <c r="P56">
        <f t="shared" si="14"/>
        <v>3.51</v>
      </c>
      <c r="Q56">
        <f t="shared" si="15"/>
        <v>2.9119999999999999</v>
      </c>
      <c r="R56">
        <f t="shared" si="16"/>
        <v>2.96</v>
      </c>
      <c r="S56" s="10">
        <f>CHOOSE(option!$D$2,
history!$O56,
FORECAST(history!$J56, history!$O56:$P56, history!$K56:$L56),
FORECAST(history!$J56, history!$O56:$P56, history!$K56:$L56),
FORECAST(history!$J56, history!$O56:$P56, history!$K56:$L56),
history!$P56,
history!$Q56
)</f>
        <v>3.51</v>
      </c>
      <c r="T56">
        <f t="shared" si="9"/>
        <v>4.9039999999999999</v>
      </c>
      <c r="U56">
        <f t="shared" si="10"/>
        <v>5.33</v>
      </c>
      <c r="V56">
        <f t="shared" si="11"/>
        <v>5.0579999999999998</v>
      </c>
      <c r="W56" s="10">
        <f t="shared" si="12"/>
        <v>4.9039999999999999</v>
      </c>
      <c r="X56" s="2">
        <v>45544</v>
      </c>
      <c r="Y56">
        <v>20240910</v>
      </c>
      <c r="Z56" s="2">
        <v>45544</v>
      </c>
      <c r="AA56">
        <v>20240911</v>
      </c>
      <c r="AB56">
        <f t="shared" si="17"/>
        <v>20240913</v>
      </c>
      <c r="AD56" s="2">
        <v>45575</v>
      </c>
      <c r="AE56">
        <v>3.5169999999999999</v>
      </c>
      <c r="AF56">
        <v>3.5</v>
      </c>
      <c r="AG56">
        <v>2.883</v>
      </c>
      <c r="AH56">
        <v>2.9569999999999999</v>
      </c>
      <c r="AI56">
        <v>4.6550000000000002</v>
      </c>
      <c r="AJ56">
        <v>4.84</v>
      </c>
      <c r="AK56">
        <v>4.8040000000000003</v>
      </c>
    </row>
    <row r="57" spans="1:37" x14ac:dyDescent="0.3">
      <c r="A57" s="2">
        <v>45546</v>
      </c>
      <c r="B57">
        <v>20240913</v>
      </c>
      <c r="C57">
        <v>1339</v>
      </c>
      <c r="D57" s="2">
        <f t="shared" si="5"/>
        <v>45548</v>
      </c>
      <c r="F57" s="2">
        <v>45546</v>
      </c>
      <c r="G57">
        <v>20241213</v>
      </c>
      <c r="H57">
        <v>-715</v>
      </c>
      <c r="I57" s="2">
        <f t="shared" si="6"/>
        <v>45639</v>
      </c>
      <c r="J57">
        <f t="shared" si="7"/>
        <v>91</v>
      </c>
      <c r="K57">
        <f t="shared" si="8"/>
        <v>1</v>
      </c>
      <c r="L57">
        <v>91</v>
      </c>
      <c r="M57">
        <v>365</v>
      </c>
      <c r="N57">
        <v>730</v>
      </c>
      <c r="O57">
        <f t="shared" si="13"/>
        <v>3.48</v>
      </c>
      <c r="P57">
        <f t="shared" si="14"/>
        <v>3.51</v>
      </c>
      <c r="Q57">
        <f t="shared" si="15"/>
        <v>2.915</v>
      </c>
      <c r="R57">
        <f t="shared" si="16"/>
        <v>2.92</v>
      </c>
      <c r="S57" s="10">
        <f>CHOOSE(option!$D$2,
history!$O57,
FORECAST(history!$J57, history!$O57:$P57, history!$K57:$L57),
FORECAST(history!$J57, history!$O57:$P57, history!$K57:$L57),
FORECAST(history!$J57, history!$O57:$P57, history!$K57:$L57),
history!$P57,
history!$Q57
)</f>
        <v>3.51</v>
      </c>
      <c r="T57">
        <f t="shared" si="9"/>
        <v>4.9800000000000004</v>
      </c>
      <c r="U57">
        <f t="shared" si="10"/>
        <v>5.33</v>
      </c>
      <c r="V57">
        <f t="shared" si="11"/>
        <v>5.1280000000000001</v>
      </c>
      <c r="W57" s="10">
        <f t="shared" si="12"/>
        <v>4.9800000000000004</v>
      </c>
      <c r="X57" s="2">
        <v>45541</v>
      </c>
      <c r="Y57">
        <v>20240909</v>
      </c>
      <c r="Z57" s="2">
        <v>45541</v>
      </c>
      <c r="AA57">
        <v>20240910</v>
      </c>
      <c r="AB57">
        <f t="shared" si="17"/>
        <v>20240912</v>
      </c>
      <c r="AD57" s="2">
        <v>45574</v>
      </c>
      <c r="AE57">
        <v>0</v>
      </c>
      <c r="AF57">
        <v>3.51</v>
      </c>
      <c r="AG57">
        <v>2.8780000000000001</v>
      </c>
      <c r="AH57">
        <v>2.9430000000000001</v>
      </c>
      <c r="AI57">
        <v>4.6749999999999998</v>
      </c>
      <c r="AJ57">
        <v>4.83</v>
      </c>
      <c r="AK57">
        <v>4.8250000000000002</v>
      </c>
    </row>
    <row r="58" spans="1:37" x14ac:dyDescent="0.3">
      <c r="A58" s="2">
        <v>45545</v>
      </c>
      <c r="B58">
        <v>20240912</v>
      </c>
      <c r="C58">
        <v>1343.7</v>
      </c>
      <c r="D58" s="2">
        <f t="shared" si="5"/>
        <v>45547</v>
      </c>
      <c r="F58" s="2">
        <v>45545</v>
      </c>
      <c r="G58">
        <v>20241212</v>
      </c>
      <c r="H58">
        <v>-715</v>
      </c>
      <c r="I58" s="2">
        <f t="shared" si="6"/>
        <v>45638</v>
      </c>
      <c r="J58">
        <f t="shared" si="7"/>
        <v>91</v>
      </c>
      <c r="K58">
        <f t="shared" si="8"/>
        <v>1</v>
      </c>
      <c r="L58">
        <v>91</v>
      </c>
      <c r="M58">
        <v>365</v>
      </c>
      <c r="N58">
        <v>730</v>
      </c>
      <c r="O58">
        <f t="shared" si="13"/>
        <v>3.42</v>
      </c>
      <c r="P58">
        <f t="shared" si="14"/>
        <v>3.51</v>
      </c>
      <c r="Q58">
        <f t="shared" si="15"/>
        <v>2.9590000000000001</v>
      </c>
      <c r="R58">
        <f t="shared" si="16"/>
        <v>2.9529999999999998</v>
      </c>
      <c r="S58" s="10">
        <f>CHOOSE(option!$D$2,
history!$O58,
FORECAST(history!$J58, history!$O58:$P58, history!$K58:$L58),
FORECAST(history!$J58, history!$O58:$P58, history!$K58:$L58),
FORECAST(history!$J58, history!$O58:$P58, history!$K58:$L58),
history!$P58,
history!$Q58
)</f>
        <v>3.51</v>
      </c>
      <c r="T58">
        <f t="shared" si="9"/>
        <v>4.9379999999999997</v>
      </c>
      <c r="U58">
        <f t="shared" si="10"/>
        <v>5.33</v>
      </c>
      <c r="V58">
        <f t="shared" si="11"/>
        <v>5.1040000000000001</v>
      </c>
      <c r="W58" s="10">
        <f t="shared" si="12"/>
        <v>4.9379999999999997</v>
      </c>
      <c r="X58" s="2">
        <v>45540</v>
      </c>
      <c r="Y58">
        <v>20240906</v>
      </c>
      <c r="Z58" s="2">
        <v>45540</v>
      </c>
      <c r="AA58">
        <v>20240909</v>
      </c>
      <c r="AB58">
        <f t="shared" si="17"/>
        <v>20240911</v>
      </c>
      <c r="AD58" s="2">
        <v>45573</v>
      </c>
      <c r="AE58">
        <v>3.4830000000000001</v>
      </c>
      <c r="AF58">
        <v>3.51</v>
      </c>
      <c r="AG58">
        <v>2.8780000000000001</v>
      </c>
      <c r="AH58">
        <v>2.9430000000000001</v>
      </c>
      <c r="AI58">
        <v>4.6710000000000003</v>
      </c>
      <c r="AJ58">
        <v>4.83</v>
      </c>
      <c r="AK58">
        <v>4.8259999999999996</v>
      </c>
    </row>
    <row r="59" spans="1:37" x14ac:dyDescent="0.3">
      <c r="A59" s="2">
        <v>45544</v>
      </c>
      <c r="B59">
        <v>20240911</v>
      </c>
      <c r="C59">
        <v>1339.8</v>
      </c>
      <c r="D59" s="2">
        <f t="shared" si="5"/>
        <v>45546</v>
      </c>
      <c r="F59" s="2">
        <v>45544</v>
      </c>
      <c r="G59">
        <v>20241211</v>
      </c>
      <c r="H59">
        <v>-720</v>
      </c>
      <c r="I59" s="2">
        <f t="shared" si="6"/>
        <v>45637</v>
      </c>
      <c r="J59">
        <f t="shared" si="7"/>
        <v>91</v>
      </c>
      <c r="K59">
        <f t="shared" si="8"/>
        <v>1</v>
      </c>
      <c r="L59">
        <v>91</v>
      </c>
      <c r="M59">
        <v>365</v>
      </c>
      <c r="N59">
        <v>730</v>
      </c>
      <c r="O59">
        <f t="shared" si="13"/>
        <v>3.5619999999999998</v>
      </c>
      <c r="P59">
        <f t="shared" si="14"/>
        <v>3.51</v>
      </c>
      <c r="Q59">
        <f t="shared" si="15"/>
        <v>2.9740000000000002</v>
      </c>
      <c r="R59">
        <f t="shared" si="16"/>
        <v>2.9609999999999999</v>
      </c>
      <c r="S59" s="10">
        <f>CHOOSE(option!$D$2,
history!$O59,
FORECAST(history!$J59, history!$O59:$P59, history!$K59:$L59),
FORECAST(history!$J59, history!$O59:$P59, history!$K59:$L59),
FORECAST(history!$J59, history!$O59:$P59, history!$K59:$L59),
history!$P59,
history!$Q59
)</f>
        <v>3.51</v>
      </c>
      <c r="T59">
        <f t="shared" si="9"/>
        <v>4.9509999999999996</v>
      </c>
      <c r="U59">
        <f t="shared" si="10"/>
        <v>5.33</v>
      </c>
      <c r="V59">
        <f t="shared" si="11"/>
        <v>5.1239999999999997</v>
      </c>
      <c r="W59" s="10">
        <f t="shared" si="12"/>
        <v>4.9509999999999996</v>
      </c>
      <c r="X59" s="2">
        <v>45539</v>
      </c>
      <c r="Y59">
        <v>20240905</v>
      </c>
      <c r="Z59" s="2">
        <v>45539</v>
      </c>
      <c r="AA59">
        <v>20240906</v>
      </c>
      <c r="AB59">
        <f t="shared" si="17"/>
        <v>20240910</v>
      </c>
      <c r="AD59" s="2">
        <v>45572</v>
      </c>
      <c r="AE59">
        <v>3.4729999999999999</v>
      </c>
      <c r="AF59">
        <v>3.51</v>
      </c>
      <c r="AG59">
        <v>2.89</v>
      </c>
      <c r="AH59">
        <v>2.9620000000000002</v>
      </c>
      <c r="AI59">
        <v>4.6769999999999996</v>
      </c>
      <c r="AJ59">
        <v>4.83</v>
      </c>
      <c r="AK59">
        <v>4.8259999999999996</v>
      </c>
    </row>
    <row r="60" spans="1:37" x14ac:dyDescent="0.3">
      <c r="A60" s="2">
        <v>45541</v>
      </c>
      <c r="B60">
        <v>20240910</v>
      </c>
      <c r="C60">
        <v>1327.6</v>
      </c>
      <c r="D60" s="2">
        <f t="shared" si="5"/>
        <v>45545</v>
      </c>
      <c r="F60" s="2">
        <v>45541</v>
      </c>
      <c r="G60">
        <v>20241210</v>
      </c>
      <c r="H60">
        <v>-700</v>
      </c>
      <c r="I60" s="2">
        <f t="shared" si="6"/>
        <v>45636</v>
      </c>
      <c r="J60">
        <f t="shared" si="7"/>
        <v>91</v>
      </c>
      <c r="K60">
        <f t="shared" si="8"/>
        <v>3</v>
      </c>
      <c r="L60">
        <v>91</v>
      </c>
      <c r="M60">
        <v>365</v>
      </c>
      <c r="N60">
        <v>730</v>
      </c>
      <c r="O60">
        <f t="shared" si="13"/>
        <v>3.5550000000000002</v>
      </c>
      <c r="P60">
        <f t="shared" si="14"/>
        <v>3.51</v>
      </c>
      <c r="Q60">
        <f t="shared" si="15"/>
        <v>2.9790000000000001</v>
      </c>
      <c r="R60">
        <f t="shared" si="16"/>
        <v>2.9470000000000001</v>
      </c>
      <c r="S60" s="10">
        <f>CHOOSE(option!$D$2,
history!$O60,
FORECAST(history!$J60, history!$O60:$P60, history!$K60:$L60),
FORECAST(history!$J60, history!$O60:$P60, history!$K60:$L60),
FORECAST(history!$J60, history!$O60:$P60, history!$K60:$L60),
history!$P60,
history!$Q60
)</f>
        <v>3.51</v>
      </c>
      <c r="T60">
        <f t="shared" si="9"/>
        <v>4.9560000000000004</v>
      </c>
      <c r="U60">
        <f t="shared" si="10"/>
        <v>5.34</v>
      </c>
      <c r="V60">
        <f t="shared" si="11"/>
        <v>5.1310000000000002</v>
      </c>
      <c r="W60" s="10">
        <f t="shared" si="12"/>
        <v>4.9560000000000004</v>
      </c>
      <c r="X60" s="2">
        <v>45538</v>
      </c>
      <c r="Y60">
        <v>20240904</v>
      </c>
      <c r="Z60" s="2">
        <v>45538</v>
      </c>
      <c r="AA60">
        <v>20240905</v>
      </c>
      <c r="AB60">
        <f t="shared" si="17"/>
        <v>20240909</v>
      </c>
      <c r="AD60" s="2">
        <v>45571</v>
      </c>
      <c r="AE60">
        <v>3.4940000000000002</v>
      </c>
      <c r="AF60">
        <v>3.52</v>
      </c>
      <c r="AG60">
        <v>2.8540000000000001</v>
      </c>
      <c r="AH60">
        <v>2.8530000000000002</v>
      </c>
      <c r="AI60">
        <v>4.649</v>
      </c>
      <c r="AJ60">
        <v>4.84</v>
      </c>
      <c r="AK60">
        <v>4.8449999999999998</v>
      </c>
    </row>
    <row r="61" spans="1:37" x14ac:dyDescent="0.3">
      <c r="A61" s="2">
        <v>45540</v>
      </c>
      <c r="B61">
        <v>20240909</v>
      </c>
      <c r="C61">
        <v>1335.9</v>
      </c>
      <c r="D61" s="2">
        <f t="shared" si="5"/>
        <v>45544</v>
      </c>
      <c r="F61" s="2">
        <v>45540</v>
      </c>
      <c r="G61">
        <v>20241209</v>
      </c>
      <c r="H61">
        <v>-705</v>
      </c>
      <c r="I61" s="2">
        <f t="shared" si="6"/>
        <v>45635</v>
      </c>
      <c r="J61">
        <f t="shared" si="7"/>
        <v>91</v>
      </c>
      <c r="K61">
        <f t="shared" si="8"/>
        <v>1</v>
      </c>
      <c r="L61">
        <v>91</v>
      </c>
      <c r="M61">
        <v>365</v>
      </c>
      <c r="N61">
        <v>730</v>
      </c>
      <c r="O61">
        <f t="shared" si="13"/>
        <v>3.5459999999999998</v>
      </c>
      <c r="P61">
        <f t="shared" si="14"/>
        <v>3.51</v>
      </c>
      <c r="Q61">
        <f t="shared" si="15"/>
        <v>2.9830000000000001</v>
      </c>
      <c r="R61">
        <f t="shared" si="16"/>
        <v>2.97</v>
      </c>
      <c r="S61" s="10">
        <f>CHOOSE(option!$D$2,
history!$O61,
FORECAST(history!$J61, history!$O61:$P61, history!$K61:$L61),
FORECAST(history!$J61, history!$O61:$P61, history!$K61:$L61),
FORECAST(history!$J61, history!$O61:$P61, history!$K61:$L61),
history!$P61,
history!$Q61
)</f>
        <v>3.51</v>
      </c>
      <c r="T61">
        <f t="shared" si="9"/>
        <v>4.9470000000000001</v>
      </c>
      <c r="U61">
        <f t="shared" si="10"/>
        <v>5.33</v>
      </c>
      <c r="V61">
        <f t="shared" si="11"/>
        <v>5.1230000000000002</v>
      </c>
      <c r="W61" s="10">
        <f t="shared" si="12"/>
        <v>4.9470000000000001</v>
      </c>
      <c r="X61" s="2">
        <v>45534</v>
      </c>
      <c r="Y61">
        <v>20240903</v>
      </c>
      <c r="Z61" s="2">
        <v>45537</v>
      </c>
      <c r="AA61">
        <v>20240904</v>
      </c>
      <c r="AB61">
        <f t="shared" si="17"/>
        <v>20240906</v>
      </c>
      <c r="AD61" s="2">
        <v>45570</v>
      </c>
      <c r="AE61">
        <v>3.4940000000000002</v>
      </c>
      <c r="AF61">
        <v>3.52</v>
      </c>
      <c r="AG61">
        <v>2.8540000000000001</v>
      </c>
      <c r="AH61">
        <v>2.8530000000000002</v>
      </c>
      <c r="AI61">
        <v>4.649</v>
      </c>
      <c r="AJ61">
        <v>4.84</v>
      </c>
      <c r="AK61">
        <v>4.8449999999999998</v>
      </c>
    </row>
    <row r="62" spans="1:37" x14ac:dyDescent="0.3">
      <c r="A62" s="2">
        <v>45539</v>
      </c>
      <c r="B62">
        <v>20240906</v>
      </c>
      <c r="C62">
        <v>1342.2</v>
      </c>
      <c r="D62" s="2">
        <f t="shared" si="5"/>
        <v>45541</v>
      </c>
      <c r="F62" s="2">
        <v>45539</v>
      </c>
      <c r="G62">
        <v>20241206</v>
      </c>
      <c r="H62">
        <v>-725</v>
      </c>
      <c r="I62" s="2">
        <f t="shared" si="6"/>
        <v>45632</v>
      </c>
      <c r="J62">
        <f t="shared" si="7"/>
        <v>91</v>
      </c>
      <c r="K62">
        <f t="shared" si="8"/>
        <v>1</v>
      </c>
      <c r="L62">
        <v>91</v>
      </c>
      <c r="M62">
        <v>365</v>
      </c>
      <c r="N62">
        <v>730</v>
      </c>
      <c r="O62">
        <f t="shared" si="13"/>
        <v>3.5209999999999999</v>
      </c>
      <c r="P62">
        <f t="shared" si="14"/>
        <v>3.51</v>
      </c>
      <c r="Q62">
        <f t="shared" si="15"/>
        <v>2.9980000000000002</v>
      </c>
      <c r="R62">
        <f t="shared" si="16"/>
        <v>2.9910000000000001</v>
      </c>
      <c r="S62" s="10">
        <f>CHOOSE(option!$D$2,
history!$O62,
FORECAST(history!$J62, history!$O62:$P62, history!$K62:$L62),
FORECAST(history!$J62, history!$O62:$P62, history!$K62:$L62),
FORECAST(history!$J62, history!$O62:$P62, history!$K62:$L62),
history!$P62,
history!$Q62
)</f>
        <v>3.51</v>
      </c>
      <c r="T62">
        <f t="shared" si="9"/>
        <v>4.9619999999999997</v>
      </c>
      <c r="U62">
        <f t="shared" si="10"/>
        <v>5.34</v>
      </c>
      <c r="V62">
        <f t="shared" si="11"/>
        <v>5.149</v>
      </c>
      <c r="W62" s="10">
        <f t="shared" si="12"/>
        <v>4.9619999999999997</v>
      </c>
      <c r="X62" s="2">
        <v>45533</v>
      </c>
      <c r="Y62">
        <v>20240830</v>
      </c>
      <c r="Z62" s="2">
        <v>45533</v>
      </c>
      <c r="AA62">
        <v>20240903</v>
      </c>
      <c r="AB62">
        <f t="shared" si="17"/>
        <v>20240905</v>
      </c>
      <c r="AD62" s="2">
        <v>45569</v>
      </c>
      <c r="AE62">
        <v>3.4940000000000002</v>
      </c>
      <c r="AF62">
        <v>3.52</v>
      </c>
      <c r="AG62">
        <v>2.8540000000000001</v>
      </c>
      <c r="AH62">
        <v>2.8530000000000002</v>
      </c>
      <c r="AI62">
        <v>4.649</v>
      </c>
      <c r="AJ62">
        <v>4.84</v>
      </c>
      <c r="AK62">
        <v>4.8449999999999998</v>
      </c>
    </row>
    <row r="63" spans="1:37" x14ac:dyDescent="0.3">
      <c r="A63" s="2">
        <v>45538</v>
      </c>
      <c r="B63">
        <v>20240905</v>
      </c>
      <c r="C63">
        <v>1341.4</v>
      </c>
      <c r="D63" s="2">
        <f t="shared" si="5"/>
        <v>45540</v>
      </c>
      <c r="F63" s="2">
        <v>45538</v>
      </c>
      <c r="G63">
        <v>20241205</v>
      </c>
      <c r="H63">
        <v>-735</v>
      </c>
      <c r="I63" s="2">
        <f t="shared" si="6"/>
        <v>45631</v>
      </c>
      <c r="J63">
        <f t="shared" si="7"/>
        <v>91</v>
      </c>
      <c r="K63">
        <f t="shared" si="8"/>
        <v>1</v>
      </c>
      <c r="L63">
        <v>91</v>
      </c>
      <c r="M63">
        <v>365</v>
      </c>
      <c r="N63">
        <v>730</v>
      </c>
      <c r="O63">
        <f t="shared" si="13"/>
        <v>3.5070000000000001</v>
      </c>
      <c r="P63">
        <f t="shared" si="14"/>
        <v>3.51</v>
      </c>
      <c r="Q63">
        <f t="shared" si="15"/>
        <v>3.0310000000000001</v>
      </c>
      <c r="R63">
        <f t="shared" si="16"/>
        <v>3.0409999999999999</v>
      </c>
      <c r="S63" s="10">
        <f>CHOOSE(option!$D$2,
history!$O63,
FORECAST(history!$J63, history!$O63:$P63, history!$K63:$L63),
FORECAST(history!$J63, history!$O63:$P63, history!$K63:$L63),
FORECAST(history!$J63, history!$O63:$P63, history!$K63:$L63),
history!$P63,
history!$Q63
)</f>
        <v>3.51</v>
      </c>
      <c r="T63">
        <f t="shared" si="9"/>
        <v>4.9950000000000001</v>
      </c>
      <c r="U63">
        <f t="shared" si="10"/>
        <v>5.32</v>
      </c>
      <c r="V63">
        <f t="shared" si="11"/>
        <v>5.1669999999999998</v>
      </c>
      <c r="W63" s="10">
        <f t="shared" si="12"/>
        <v>4.9950000000000001</v>
      </c>
      <c r="X63" s="2">
        <v>45532</v>
      </c>
      <c r="Y63">
        <v>20240829</v>
      </c>
      <c r="Z63" s="2">
        <v>45532</v>
      </c>
      <c r="AA63">
        <v>20240830</v>
      </c>
      <c r="AB63">
        <f t="shared" si="17"/>
        <v>20240904</v>
      </c>
      <c r="AD63" s="2">
        <v>45568</v>
      </c>
      <c r="AE63">
        <v>0</v>
      </c>
      <c r="AF63">
        <v>3.52</v>
      </c>
      <c r="AG63">
        <v>2.835</v>
      </c>
      <c r="AH63">
        <v>2.8330000000000002</v>
      </c>
      <c r="AI63">
        <v>4.5949999999999998</v>
      </c>
      <c r="AJ63">
        <v>4.88</v>
      </c>
      <c r="AK63">
        <v>4.8460000000000001</v>
      </c>
    </row>
    <row r="64" spans="1:37" x14ac:dyDescent="0.3">
      <c r="A64" s="2">
        <v>45537</v>
      </c>
      <c r="B64">
        <v>20240904</v>
      </c>
      <c r="C64">
        <v>1338.4</v>
      </c>
      <c r="D64" s="2">
        <f t="shared" si="5"/>
        <v>45539</v>
      </c>
      <c r="F64" s="2">
        <v>45537</v>
      </c>
      <c r="G64">
        <v>20241204</v>
      </c>
      <c r="H64">
        <v>-730</v>
      </c>
      <c r="I64" s="2">
        <f t="shared" si="6"/>
        <v>45630</v>
      </c>
      <c r="J64">
        <f t="shared" si="7"/>
        <v>91</v>
      </c>
      <c r="K64">
        <f t="shared" si="8"/>
        <v>2</v>
      </c>
      <c r="L64">
        <v>91</v>
      </c>
      <c r="M64">
        <v>365</v>
      </c>
      <c r="N64">
        <v>730</v>
      </c>
      <c r="O64">
        <f t="shared" si="13"/>
        <v>3.5209999999999999</v>
      </c>
      <c r="P64">
        <f t="shared" si="14"/>
        <v>3.52</v>
      </c>
      <c r="Q64">
        <f t="shared" si="15"/>
        <v>3.0430000000000001</v>
      </c>
      <c r="R64">
        <f t="shared" si="16"/>
        <v>3.0510000000000002</v>
      </c>
      <c r="S64" s="10">
        <f>CHOOSE(option!$D$2,
history!$O64,
FORECAST(history!$J64, history!$O64:$P64, history!$K64:$L64),
FORECAST(history!$J64, history!$O64:$P64, history!$K64:$L64),
FORECAST(history!$J64, history!$O64:$P64, history!$K64:$L64),
history!$P64,
history!$Q64
)</f>
        <v>3.52</v>
      </c>
      <c r="T64">
        <f t="shared" si="9"/>
        <v>5.0140000000000002</v>
      </c>
      <c r="U64">
        <f t="shared" si="10"/>
        <v>5.35</v>
      </c>
      <c r="V64">
        <f t="shared" si="11"/>
        <v>5.1929999999999996</v>
      </c>
      <c r="W64" s="10">
        <f t="shared" si="12"/>
        <v>5.0140000000000002</v>
      </c>
      <c r="X64" s="2">
        <v>45531</v>
      </c>
      <c r="Y64">
        <v>20240828</v>
      </c>
      <c r="Z64" s="2">
        <v>45531</v>
      </c>
      <c r="AA64">
        <v>20240829</v>
      </c>
      <c r="AB64">
        <f t="shared" si="17"/>
        <v>20240904</v>
      </c>
      <c r="AD64" s="2">
        <v>45567</v>
      </c>
      <c r="AE64">
        <v>3.51</v>
      </c>
      <c r="AF64">
        <v>3.52</v>
      </c>
      <c r="AG64">
        <v>2.835</v>
      </c>
      <c r="AH64">
        <v>2.8330000000000002</v>
      </c>
      <c r="AI64">
        <v>4.6050000000000004</v>
      </c>
      <c r="AJ64">
        <v>4.9000000000000004</v>
      </c>
      <c r="AK64">
        <v>4.8520000000000003</v>
      </c>
    </row>
    <row r="65" spans="1:37" x14ac:dyDescent="0.3">
      <c r="A65" s="2">
        <v>45534</v>
      </c>
      <c r="B65">
        <v>20240903</v>
      </c>
      <c r="C65">
        <v>1336</v>
      </c>
      <c r="D65" s="2">
        <f t="shared" si="5"/>
        <v>45538</v>
      </c>
      <c r="F65" s="2">
        <v>45534</v>
      </c>
      <c r="G65">
        <v>20241203</v>
      </c>
      <c r="H65">
        <v>-745</v>
      </c>
      <c r="I65" s="2">
        <f t="shared" si="6"/>
        <v>45629</v>
      </c>
      <c r="J65">
        <f t="shared" si="7"/>
        <v>91</v>
      </c>
      <c r="K65">
        <f t="shared" si="8"/>
        <v>4</v>
      </c>
      <c r="L65">
        <v>91</v>
      </c>
      <c r="M65">
        <v>365</v>
      </c>
      <c r="N65">
        <v>730</v>
      </c>
      <c r="O65">
        <f t="shared" si="13"/>
        <v>3.5430000000000001</v>
      </c>
      <c r="P65">
        <f t="shared" si="14"/>
        <v>3.52</v>
      </c>
      <c r="Q65">
        <f t="shared" si="15"/>
        <v>3.0430000000000001</v>
      </c>
      <c r="R65">
        <f t="shared" si="16"/>
        <v>3.0219999999999998</v>
      </c>
      <c r="S65" s="10">
        <f>CHOOSE(option!$D$2,
history!$O65,
FORECAST(history!$J65, history!$O65:$P65, history!$K65:$L65),
FORECAST(history!$J65, history!$O65:$P65, history!$K65:$L65),
FORECAST(history!$J65, history!$O65:$P65, history!$K65:$L65),
history!$P65,
history!$Q65
)</f>
        <v>3.52</v>
      </c>
      <c r="T65">
        <f t="shared" si="9"/>
        <v>5.0140000000000002</v>
      </c>
      <c r="U65">
        <f t="shared" si="10"/>
        <v>5.35</v>
      </c>
      <c r="V65">
        <f t="shared" si="11"/>
        <v>5.1929999999999996</v>
      </c>
      <c r="W65" s="10">
        <f t="shared" si="12"/>
        <v>5.0140000000000002</v>
      </c>
      <c r="X65" s="2">
        <v>45530</v>
      </c>
      <c r="Y65">
        <v>20240827</v>
      </c>
      <c r="Z65" s="2">
        <v>45530</v>
      </c>
      <c r="AA65">
        <v>20240828</v>
      </c>
      <c r="AB65">
        <f t="shared" si="17"/>
        <v>20240903</v>
      </c>
      <c r="AD65" s="2">
        <v>45566</v>
      </c>
      <c r="AE65">
        <v>0</v>
      </c>
      <c r="AF65">
        <v>3.53</v>
      </c>
      <c r="AG65">
        <v>2.8439999999999999</v>
      </c>
      <c r="AH65">
        <v>2.8570000000000002</v>
      </c>
      <c r="AI65">
        <v>4.6150000000000002</v>
      </c>
      <c r="AJ65">
        <v>4.88</v>
      </c>
      <c r="AK65">
        <v>4.8579999999999997</v>
      </c>
    </row>
    <row r="66" spans="1:37" x14ac:dyDescent="0.3">
      <c r="A66" s="2">
        <v>45533</v>
      </c>
      <c r="B66">
        <v>20240903</v>
      </c>
      <c r="C66">
        <v>1333.2</v>
      </c>
      <c r="D66" s="2">
        <f t="shared" si="5"/>
        <v>45538</v>
      </c>
      <c r="F66" s="2">
        <v>45533</v>
      </c>
      <c r="G66">
        <v>20241203</v>
      </c>
      <c r="H66">
        <v>-750</v>
      </c>
      <c r="I66" s="2">
        <f t="shared" si="6"/>
        <v>45629</v>
      </c>
      <c r="J66">
        <f t="shared" si="7"/>
        <v>91</v>
      </c>
      <c r="K66">
        <f t="shared" si="8"/>
        <v>1</v>
      </c>
      <c r="L66">
        <v>91</v>
      </c>
      <c r="M66">
        <v>365</v>
      </c>
      <c r="N66">
        <v>730</v>
      </c>
      <c r="O66">
        <f t="shared" si="13"/>
        <v>3.5030000000000001</v>
      </c>
      <c r="P66">
        <f t="shared" si="14"/>
        <v>3.52</v>
      </c>
      <c r="Q66">
        <f t="shared" si="15"/>
        <v>3.048</v>
      </c>
      <c r="R66">
        <f t="shared" si="16"/>
        <v>3.0129999999999999</v>
      </c>
      <c r="S66" s="10">
        <f>CHOOSE(option!$D$2,
history!$O66,
FORECAST(history!$J66, history!$O66:$P66, history!$K66:$L66),
FORECAST(history!$J66, history!$O66:$P66, history!$K66:$L66),
FORECAST(history!$J66, history!$O66:$P66, history!$K66:$L66),
history!$P66,
history!$Q66
)</f>
        <v>3.52</v>
      </c>
      <c r="T66">
        <f t="shared" si="9"/>
        <v>5.0279999999999996</v>
      </c>
      <c r="U66">
        <f t="shared" si="10"/>
        <v>5.35</v>
      </c>
      <c r="V66">
        <f t="shared" si="11"/>
        <v>5.2069999999999999</v>
      </c>
      <c r="W66" s="10">
        <f t="shared" si="12"/>
        <v>5.0279999999999996</v>
      </c>
      <c r="X66" s="2">
        <v>45527</v>
      </c>
      <c r="Y66">
        <v>20240826</v>
      </c>
      <c r="Z66" s="2">
        <v>45527</v>
      </c>
      <c r="AA66">
        <v>20240827</v>
      </c>
      <c r="AB66">
        <f t="shared" si="17"/>
        <v>20240830</v>
      </c>
      <c r="AD66" s="2">
        <v>45565</v>
      </c>
      <c r="AE66">
        <v>3.6019999999999999</v>
      </c>
      <c r="AF66">
        <v>3.53</v>
      </c>
      <c r="AG66">
        <v>2.8439999999999999</v>
      </c>
      <c r="AH66">
        <v>2.8570000000000002</v>
      </c>
      <c r="AI66">
        <v>4.6239999999999997</v>
      </c>
      <c r="AJ66">
        <v>4.87</v>
      </c>
      <c r="AK66">
        <v>4.8520000000000003</v>
      </c>
    </row>
    <row r="67" spans="1:37" x14ac:dyDescent="0.3">
      <c r="A67" s="2">
        <v>45532</v>
      </c>
      <c r="B67">
        <v>20240830</v>
      </c>
      <c r="C67">
        <v>1339</v>
      </c>
      <c r="D67" s="2">
        <f t="shared" si="5"/>
        <v>45534</v>
      </c>
      <c r="F67" s="2">
        <v>45532</v>
      </c>
      <c r="G67">
        <v>20241129</v>
      </c>
      <c r="H67">
        <v>-765</v>
      </c>
      <c r="I67" s="2">
        <f t="shared" si="6"/>
        <v>45625</v>
      </c>
      <c r="J67">
        <f t="shared" si="7"/>
        <v>91</v>
      </c>
      <c r="K67">
        <f t="shared" si="8"/>
        <v>1</v>
      </c>
      <c r="L67">
        <v>91</v>
      </c>
      <c r="M67">
        <v>365</v>
      </c>
      <c r="N67">
        <v>730</v>
      </c>
      <c r="O67">
        <f t="shared" si="13"/>
        <v>3.5049999999999999</v>
      </c>
      <c r="P67">
        <f t="shared" si="14"/>
        <v>3.52</v>
      </c>
      <c r="Q67">
        <f t="shared" si="15"/>
        <v>3.0379999999999998</v>
      </c>
      <c r="R67">
        <f t="shared" si="16"/>
        <v>2.992</v>
      </c>
      <c r="S67" s="10">
        <f>CHOOSE(option!$D$2,
history!$O67,
FORECAST(history!$J67, history!$O67:$P67, history!$K67:$L67),
FORECAST(history!$J67, history!$O67:$P67, history!$K67:$L67),
FORECAST(history!$J67, history!$O67:$P67, history!$K67:$L67),
history!$P67,
history!$Q67
)</f>
        <v>3.52</v>
      </c>
      <c r="T67">
        <f t="shared" si="9"/>
        <v>5.0449999999999999</v>
      </c>
      <c r="U67">
        <f t="shared" si="10"/>
        <v>5.34</v>
      </c>
      <c r="V67">
        <f t="shared" si="11"/>
        <v>5.2380000000000004</v>
      </c>
      <c r="W67" s="10">
        <f t="shared" si="12"/>
        <v>5.0449999999999999</v>
      </c>
      <c r="X67" s="2">
        <v>45526</v>
      </c>
      <c r="Y67">
        <v>20240823</v>
      </c>
      <c r="Z67" s="2">
        <v>45526</v>
      </c>
      <c r="AA67">
        <v>20240826</v>
      </c>
      <c r="AB67">
        <f t="shared" si="17"/>
        <v>20240829</v>
      </c>
      <c r="AD67" s="2">
        <v>45564</v>
      </c>
      <c r="AE67">
        <v>3.5350000000000001</v>
      </c>
      <c r="AF67">
        <v>3.53</v>
      </c>
      <c r="AG67">
        <v>2.855</v>
      </c>
      <c r="AH67">
        <v>2.8769999999999998</v>
      </c>
      <c r="AI67">
        <v>4.59</v>
      </c>
      <c r="AJ67">
        <v>4.84</v>
      </c>
      <c r="AK67">
        <v>4.8470000000000004</v>
      </c>
    </row>
    <row r="68" spans="1:37" x14ac:dyDescent="0.3">
      <c r="A68" s="2">
        <v>45531</v>
      </c>
      <c r="B68">
        <v>20240829</v>
      </c>
      <c r="C68">
        <v>1331</v>
      </c>
      <c r="D68" s="2">
        <f t="shared" si="5"/>
        <v>45533</v>
      </c>
      <c r="F68" s="2">
        <v>45531</v>
      </c>
      <c r="G68">
        <v>20241129</v>
      </c>
      <c r="H68">
        <v>-770</v>
      </c>
      <c r="I68" s="2">
        <f t="shared" si="6"/>
        <v>45625</v>
      </c>
      <c r="J68">
        <f t="shared" si="7"/>
        <v>92</v>
      </c>
      <c r="K68">
        <f t="shared" si="8"/>
        <v>1</v>
      </c>
      <c r="L68">
        <v>91</v>
      </c>
      <c r="M68">
        <v>365</v>
      </c>
      <c r="N68">
        <v>730</v>
      </c>
      <c r="O68">
        <f t="shared" si="13"/>
        <v>3.5089999999999999</v>
      </c>
      <c r="P68">
        <f t="shared" si="14"/>
        <v>3.52</v>
      </c>
      <c r="Q68">
        <f t="shared" si="15"/>
        <v>3.05</v>
      </c>
      <c r="R68">
        <f t="shared" si="16"/>
        <v>3.008</v>
      </c>
      <c r="S68" s="10">
        <f>CHOOSE(option!$D$2,
history!$O68,
FORECAST(history!$J68, history!$O68:$P68, history!$K68:$L68),
FORECAST(history!$J68, history!$O68:$P68, history!$K68:$L68),
FORECAST(history!$J68, history!$O68:$P68, history!$K68:$L68),
history!$P68,
history!$Q68
)</f>
        <v>3.52</v>
      </c>
      <c r="T68">
        <f t="shared" si="9"/>
        <v>5.056</v>
      </c>
      <c r="U68">
        <f t="shared" si="10"/>
        <v>5.33</v>
      </c>
      <c r="V68">
        <f t="shared" si="11"/>
        <v>5.2469999999999999</v>
      </c>
      <c r="W68" s="10">
        <f t="shared" si="12"/>
        <v>5.056</v>
      </c>
      <c r="X68" s="2">
        <v>45525</v>
      </c>
      <c r="Y68">
        <v>20240822</v>
      </c>
      <c r="Z68" s="2">
        <v>45525</v>
      </c>
      <c r="AA68">
        <v>20240823</v>
      </c>
      <c r="AB68">
        <f t="shared" si="17"/>
        <v>20240828</v>
      </c>
      <c r="AD68" s="2">
        <v>45563</v>
      </c>
      <c r="AE68">
        <v>3.5350000000000001</v>
      </c>
      <c r="AF68">
        <v>3.53</v>
      </c>
      <c r="AG68">
        <v>2.855</v>
      </c>
      <c r="AH68">
        <v>2.8769999999999998</v>
      </c>
      <c r="AI68">
        <v>4.59</v>
      </c>
      <c r="AJ68">
        <v>4.84</v>
      </c>
      <c r="AK68">
        <v>4.8470000000000004</v>
      </c>
    </row>
    <row r="69" spans="1:37" x14ac:dyDescent="0.3">
      <c r="A69" s="2">
        <v>45530</v>
      </c>
      <c r="B69">
        <v>20240828</v>
      </c>
      <c r="C69">
        <v>1326.8</v>
      </c>
      <c r="D69" s="2">
        <f t="shared" si="5"/>
        <v>45532</v>
      </c>
      <c r="F69" s="2">
        <v>45530</v>
      </c>
      <c r="G69">
        <v>20241129</v>
      </c>
      <c r="H69">
        <v>-755</v>
      </c>
      <c r="I69" s="2">
        <f t="shared" si="6"/>
        <v>45625</v>
      </c>
      <c r="J69">
        <f t="shared" si="7"/>
        <v>93</v>
      </c>
      <c r="K69">
        <f t="shared" si="8"/>
        <v>1</v>
      </c>
      <c r="L69">
        <v>91</v>
      </c>
      <c r="M69">
        <v>365</v>
      </c>
      <c r="N69">
        <v>730</v>
      </c>
      <c r="O69">
        <f t="shared" si="13"/>
        <v>3.528</v>
      </c>
      <c r="P69">
        <f t="shared" si="14"/>
        <v>3.51</v>
      </c>
      <c r="Q69">
        <f t="shared" si="15"/>
        <v>3.02</v>
      </c>
      <c r="R69">
        <f t="shared" si="16"/>
        <v>2.9670000000000001</v>
      </c>
      <c r="S69" s="10">
        <f>CHOOSE(option!$D$2,
history!$O69,
FORECAST(history!$J69, history!$O69:$P69, history!$K69:$L69),
FORECAST(history!$J69, history!$O69:$P69, history!$K69:$L69),
FORECAST(history!$J69, history!$O69:$P69, history!$K69:$L69),
history!$P69,
history!$Q69
)</f>
        <v>3.51</v>
      </c>
      <c r="T69">
        <f t="shared" si="9"/>
        <v>5.0679999999999996</v>
      </c>
      <c r="U69">
        <f t="shared" si="10"/>
        <v>5.33</v>
      </c>
      <c r="V69">
        <f t="shared" si="11"/>
        <v>5.2519999999999998</v>
      </c>
      <c r="W69" s="10">
        <f t="shared" si="12"/>
        <v>5.0679999999999996</v>
      </c>
      <c r="X69" s="2">
        <v>45524</v>
      </c>
      <c r="Y69">
        <v>20240821</v>
      </c>
      <c r="Z69" s="2">
        <v>45524</v>
      </c>
      <c r="AA69">
        <v>20240822</v>
      </c>
      <c r="AB69">
        <f t="shared" si="17"/>
        <v>20240827</v>
      </c>
      <c r="AD69" s="2">
        <v>45562</v>
      </c>
      <c r="AE69">
        <v>3.5350000000000001</v>
      </c>
      <c r="AF69">
        <v>3.53</v>
      </c>
      <c r="AG69">
        <v>2.855</v>
      </c>
      <c r="AH69">
        <v>2.8769999999999998</v>
      </c>
      <c r="AI69">
        <v>4.59</v>
      </c>
      <c r="AJ69">
        <v>4.84</v>
      </c>
      <c r="AK69">
        <v>4.8470000000000004</v>
      </c>
    </row>
    <row r="70" spans="1:37" x14ac:dyDescent="0.3">
      <c r="A70" s="2">
        <v>45527</v>
      </c>
      <c r="B70">
        <v>20240827</v>
      </c>
      <c r="C70">
        <v>1338.8</v>
      </c>
      <c r="D70" s="2">
        <f t="shared" si="5"/>
        <v>45531</v>
      </c>
      <c r="F70" s="2">
        <v>45527</v>
      </c>
      <c r="G70">
        <v>20241127</v>
      </c>
      <c r="H70">
        <v>-765</v>
      </c>
      <c r="I70" s="2">
        <f t="shared" si="6"/>
        <v>45623</v>
      </c>
      <c r="J70">
        <f t="shared" si="7"/>
        <v>92</v>
      </c>
      <c r="K70">
        <f t="shared" si="8"/>
        <v>3</v>
      </c>
      <c r="L70">
        <v>91</v>
      </c>
      <c r="M70">
        <v>365</v>
      </c>
      <c r="N70">
        <v>730</v>
      </c>
      <c r="O70">
        <f t="shared" si="13"/>
        <v>3.5230000000000001</v>
      </c>
      <c r="P70">
        <f t="shared" si="14"/>
        <v>3.51</v>
      </c>
      <c r="Q70">
        <f t="shared" si="15"/>
        <v>3.0230000000000001</v>
      </c>
      <c r="R70">
        <f t="shared" si="16"/>
        <v>2.9910000000000001</v>
      </c>
      <c r="S70" s="10">
        <f>CHOOSE(option!$D$2,
history!$O70,
FORECAST(history!$J70, history!$O70:$P70, history!$K70:$L70),
FORECAST(history!$J70, history!$O70:$P70, history!$K70:$L70),
FORECAST(history!$J70, history!$O70:$P70, history!$K70:$L70),
history!$P70,
history!$Q70
)</f>
        <v>3.51</v>
      </c>
      <c r="T70">
        <f t="shared" si="9"/>
        <v>5.0609999999999999</v>
      </c>
      <c r="U70">
        <f t="shared" si="10"/>
        <v>5.32</v>
      </c>
      <c r="V70">
        <f t="shared" si="11"/>
        <v>5.27</v>
      </c>
      <c r="W70" s="10">
        <f t="shared" si="12"/>
        <v>5.0609999999999999</v>
      </c>
      <c r="X70" s="2">
        <v>45523</v>
      </c>
      <c r="Y70">
        <v>20240820</v>
      </c>
      <c r="Z70" s="2">
        <v>45523</v>
      </c>
      <c r="AA70">
        <v>20240821</v>
      </c>
      <c r="AB70">
        <f t="shared" si="17"/>
        <v>20240826</v>
      </c>
      <c r="AD70" s="2">
        <v>45561</v>
      </c>
      <c r="AE70">
        <v>3.5310000000000001</v>
      </c>
      <c r="AF70">
        <v>3.53</v>
      </c>
      <c r="AG70">
        <v>2.8420000000000001</v>
      </c>
      <c r="AH70">
        <v>2.8719999999999999</v>
      </c>
      <c r="AI70">
        <v>4.6109999999999998</v>
      </c>
      <c r="AJ70">
        <v>4.83</v>
      </c>
      <c r="AK70">
        <v>4.8479999999999999</v>
      </c>
    </row>
    <row r="71" spans="1:37" x14ac:dyDescent="0.3">
      <c r="A71" s="2">
        <v>45526</v>
      </c>
      <c r="B71">
        <v>20240826</v>
      </c>
      <c r="C71">
        <v>1334.7</v>
      </c>
      <c r="D71" s="2">
        <f t="shared" si="5"/>
        <v>45530</v>
      </c>
      <c r="F71" s="2">
        <v>45526</v>
      </c>
      <c r="G71">
        <v>20241126</v>
      </c>
      <c r="H71">
        <v>-765</v>
      </c>
      <c r="I71" s="2">
        <f t="shared" si="6"/>
        <v>45622</v>
      </c>
      <c r="J71">
        <f t="shared" si="7"/>
        <v>92</v>
      </c>
      <c r="K71">
        <f t="shared" si="8"/>
        <v>1</v>
      </c>
      <c r="L71">
        <v>91</v>
      </c>
      <c r="M71">
        <v>365</v>
      </c>
      <c r="N71">
        <v>730</v>
      </c>
      <c r="O71">
        <f t="shared" ref="O71:O106" si="18">VLOOKUP($F71, $AD$7:$AK$106, 2, 0)</f>
        <v>3.5379999999999998</v>
      </c>
      <c r="P71">
        <f t="shared" ref="P71:P106" si="19">VLOOKUP($F71, $AD$7:$AK$106, 3, 0)</f>
        <v>3.51</v>
      </c>
      <c r="Q71">
        <f t="shared" ref="Q71:Q106" si="20">VLOOKUP($F71, $AD$7:$AK$106, 4, 0)</f>
        <v>3.0059999999999998</v>
      </c>
      <c r="R71">
        <f t="shared" ref="R71:R106" si="21">VLOOKUP($F71, $AD$7:$AK$106, 5, 0)</f>
        <v>2.98</v>
      </c>
      <c r="S71" s="10">
        <f>CHOOSE(option!$D$2,
history!$O71,
FORECAST(history!$J71, history!$O71:$P71, history!$K71:$L71),
FORECAST(history!$J71, history!$O71:$P71, history!$K71:$L71),
FORECAST(history!$J71, history!$O71:$P71, history!$K71:$L71),
history!$P71,
history!$Q71
)</f>
        <v>3.51</v>
      </c>
      <c r="T71">
        <f t="shared" si="9"/>
        <v>5.0910000000000002</v>
      </c>
      <c r="U71">
        <f t="shared" si="10"/>
        <v>5.32</v>
      </c>
      <c r="V71">
        <f t="shared" si="11"/>
        <v>5.2839999999999998</v>
      </c>
      <c r="W71" s="10">
        <f t="shared" si="12"/>
        <v>5.0910000000000002</v>
      </c>
      <c r="X71" s="2">
        <v>45520</v>
      </c>
      <c r="Y71">
        <v>20240819</v>
      </c>
      <c r="Z71" s="2">
        <v>45520</v>
      </c>
      <c r="AA71">
        <v>20240820</v>
      </c>
      <c r="AB71">
        <f t="shared" ref="AB71:AB106" si="22">IFERROR( VLOOKUP($F71, $X$7:$Y$106, 2, 0), VLOOKUP($F71, $Z$7:$AA$106, 2, 0))</f>
        <v>20240823</v>
      </c>
      <c r="AD71" s="2">
        <v>45560</v>
      </c>
      <c r="AE71">
        <v>3.5089999999999999</v>
      </c>
      <c r="AF71">
        <v>3.53</v>
      </c>
      <c r="AG71">
        <v>2.85</v>
      </c>
      <c r="AH71">
        <v>2.88</v>
      </c>
      <c r="AI71">
        <v>4.625</v>
      </c>
      <c r="AJ71">
        <v>4.83</v>
      </c>
      <c r="AK71">
        <v>4.8499999999999996</v>
      </c>
    </row>
    <row r="72" spans="1:37" x14ac:dyDescent="0.3">
      <c r="A72" s="2">
        <v>45525</v>
      </c>
      <c r="B72">
        <v>20240823</v>
      </c>
      <c r="C72">
        <v>1336.6</v>
      </c>
      <c r="D72" s="2">
        <f t="shared" ref="D72:D106" si="23">IF(B72="", "", DATE(LEFT(B72,4), MID(B72,5,2), RIGHT(B72,2)))</f>
        <v>45527</v>
      </c>
      <c r="F72" s="2">
        <v>45525</v>
      </c>
      <c r="G72">
        <v>20241125</v>
      </c>
      <c r="H72">
        <v>-780</v>
      </c>
      <c r="I72" s="2">
        <f t="shared" ref="I72:I106" si="24">IF(G72="", "", DATE(LEFT(G72,4), MID(G72,5,2), RIGHT(G72,2)))</f>
        <v>45621</v>
      </c>
      <c r="J72">
        <f t="shared" ref="J72:J106" si="25">I72-D72</f>
        <v>94</v>
      </c>
      <c r="K72">
        <f t="shared" ref="K72:K106" si="26">IF(AB72="", "", DATE(LEFT(AB72,4), MID(AB72,5,2), RIGHT(AB72,2)))-$F72</f>
        <v>1</v>
      </c>
      <c r="L72">
        <v>91</v>
      </c>
      <c r="M72">
        <v>365</v>
      </c>
      <c r="N72">
        <v>730</v>
      </c>
      <c r="O72">
        <f t="shared" si="18"/>
        <v>3.536</v>
      </c>
      <c r="P72">
        <f t="shared" si="19"/>
        <v>3.52</v>
      </c>
      <c r="Q72">
        <f t="shared" si="20"/>
        <v>3.0219999999999998</v>
      </c>
      <c r="R72">
        <f t="shared" si="21"/>
        <v>3.004</v>
      </c>
      <c r="S72" s="10">
        <f>CHOOSE(option!$D$2,
history!$O72,
FORECAST(history!$J72, history!$O72:$P72, history!$K72:$L72),
FORECAST(history!$J72, history!$O72:$P72, history!$K72:$L72),
FORECAST(history!$J72, history!$O72:$P72, history!$K72:$L72),
history!$P72,
history!$Q72
)</f>
        <v>3.52</v>
      </c>
      <c r="T72">
        <f t="shared" ref="T72:T106" si="27">VLOOKUP($F72, $AD$7:$AK$126, 6, 0)</f>
        <v>5.0750000000000002</v>
      </c>
      <c r="U72">
        <f t="shared" ref="U72:U106" si="28">VLOOKUP($F72, $AD$7:$AK$126, 7, 0)</f>
        <v>5.32</v>
      </c>
      <c r="V72">
        <f t="shared" ref="V72:V106" si="29">VLOOKUP($F72, $AD$7:$AK$126, 8, 0)</f>
        <v>5.306</v>
      </c>
      <c r="W72" s="10">
        <f t="shared" ref="W72:W106" si="30">IF($W$5, FORECAST($J72,$U72:$V72,$U$5:$V$5), $T72)</f>
        <v>5.0750000000000002</v>
      </c>
      <c r="X72" s="2">
        <v>45518</v>
      </c>
      <c r="Y72">
        <v>20240816</v>
      </c>
      <c r="Z72" s="2">
        <v>45518</v>
      </c>
      <c r="AA72">
        <v>20240819</v>
      </c>
      <c r="AB72">
        <f t="shared" si="22"/>
        <v>20240822</v>
      </c>
      <c r="AD72" s="2">
        <v>45559</v>
      </c>
      <c r="AE72">
        <v>3.5089999999999999</v>
      </c>
      <c r="AF72">
        <v>3.53</v>
      </c>
      <c r="AG72">
        <v>2.8679999999999999</v>
      </c>
      <c r="AH72">
        <v>2.9169999999999998</v>
      </c>
      <c r="AI72">
        <v>4.6369999999999996</v>
      </c>
      <c r="AJ72">
        <v>4.83</v>
      </c>
      <c r="AK72">
        <v>4.8579999999999997</v>
      </c>
    </row>
    <row r="73" spans="1:37" x14ac:dyDescent="0.3">
      <c r="A73" s="2">
        <v>45524</v>
      </c>
      <c r="B73">
        <v>20240822</v>
      </c>
      <c r="C73">
        <v>1333.2</v>
      </c>
      <c r="D73" s="2">
        <f t="shared" si="23"/>
        <v>45526</v>
      </c>
      <c r="F73" s="2">
        <v>45524</v>
      </c>
      <c r="G73">
        <v>20241122</v>
      </c>
      <c r="H73">
        <v>-765</v>
      </c>
      <c r="I73" s="2">
        <f t="shared" si="24"/>
        <v>45618</v>
      </c>
      <c r="J73">
        <f t="shared" si="25"/>
        <v>92</v>
      </c>
      <c r="K73">
        <f t="shared" si="26"/>
        <v>1</v>
      </c>
      <c r="L73">
        <v>91</v>
      </c>
      <c r="M73">
        <v>365</v>
      </c>
      <c r="N73">
        <v>730</v>
      </c>
      <c r="O73" t="e">
        <f t="shared" si="18"/>
        <v>#N/A</v>
      </c>
      <c r="P73" t="e">
        <f t="shared" si="19"/>
        <v>#N/A</v>
      </c>
      <c r="Q73" t="e">
        <f t="shared" si="20"/>
        <v>#N/A</v>
      </c>
      <c r="R73" t="e">
        <f t="shared" si="21"/>
        <v>#N/A</v>
      </c>
      <c r="S73" s="10" t="e">
        <f>CHOOSE(option!$D$2,
history!$O73,
FORECAST(history!$J73, history!$O73:$P73, history!$K73:$L73),
FORECAST(history!$J73, history!$O73:$P73, history!$K73:$L73),
FORECAST(history!$J73, history!$O73:$P73, history!$K73:$L73),
history!$P73,
history!$Q73
)</f>
        <v>#N/A</v>
      </c>
      <c r="T73">
        <f t="shared" si="27"/>
        <v>5.1029999999999998</v>
      </c>
      <c r="U73">
        <f t="shared" si="28"/>
        <v>5.33</v>
      </c>
      <c r="V73">
        <f t="shared" si="29"/>
        <v>5.3070000000000004</v>
      </c>
      <c r="W73" s="10">
        <f t="shared" si="30"/>
        <v>5.1029999999999998</v>
      </c>
      <c r="X73" s="2">
        <v>45517</v>
      </c>
      <c r="Y73">
        <v>20240814</v>
      </c>
      <c r="Z73" s="2">
        <v>45517</v>
      </c>
      <c r="AA73">
        <v>20240816</v>
      </c>
      <c r="AB73">
        <f t="shared" si="22"/>
        <v>20240821</v>
      </c>
      <c r="AD73" s="2">
        <v>45558</v>
      </c>
      <c r="AE73">
        <v>3.4990000000000001</v>
      </c>
      <c r="AF73">
        <v>3.53</v>
      </c>
      <c r="AG73">
        <v>2.879</v>
      </c>
      <c r="AH73">
        <v>2.92</v>
      </c>
      <c r="AI73">
        <v>4.6550000000000002</v>
      </c>
      <c r="AJ73">
        <v>4.83</v>
      </c>
      <c r="AK73">
        <v>4.8570000000000002</v>
      </c>
    </row>
    <row r="74" spans="1:37" x14ac:dyDescent="0.3">
      <c r="A74" s="2"/>
      <c r="D74" s="2" t="str">
        <f t="shared" si="23"/>
        <v/>
      </c>
      <c r="F74" s="2"/>
      <c r="I74" s="2" t="str">
        <f t="shared" si="24"/>
        <v/>
      </c>
      <c r="J74" t="e">
        <f t="shared" si="25"/>
        <v>#VALUE!</v>
      </c>
      <c r="K74" t="e">
        <f t="shared" si="26"/>
        <v>#N/A</v>
      </c>
      <c r="L74">
        <v>91</v>
      </c>
      <c r="M74">
        <v>365</v>
      </c>
      <c r="N74">
        <v>730</v>
      </c>
      <c r="O74" t="e">
        <f t="shared" si="18"/>
        <v>#N/A</v>
      </c>
      <c r="P74" t="e">
        <f t="shared" si="19"/>
        <v>#N/A</v>
      </c>
      <c r="Q74" t="e">
        <f t="shared" si="20"/>
        <v>#N/A</v>
      </c>
      <c r="R74" t="e">
        <f t="shared" si="21"/>
        <v>#N/A</v>
      </c>
      <c r="S74" s="10" t="e">
        <f>CHOOSE(option!$D$2,
history!$O74,
FORECAST(history!$J74, history!$O74:$P74, history!$K74:$L74),
FORECAST(history!$J74, history!$O74:$P74, history!$K74:$L74),
FORECAST(history!$J74, history!$O74:$P74, history!$K74:$L74),
history!$P74,
history!$Q74
)</f>
        <v>#N/A</v>
      </c>
      <c r="T74" t="e">
        <f t="shared" si="27"/>
        <v>#N/A</v>
      </c>
      <c r="U74" t="e">
        <f t="shared" si="28"/>
        <v>#N/A</v>
      </c>
      <c r="V74" t="e">
        <f t="shared" si="29"/>
        <v>#N/A</v>
      </c>
      <c r="W74" s="10" t="e">
        <f t="shared" si="30"/>
        <v>#N/A</v>
      </c>
      <c r="X74" s="2">
        <v>45516</v>
      </c>
      <c r="Y74">
        <v>20240813</v>
      </c>
      <c r="Z74" s="2">
        <v>45516</v>
      </c>
      <c r="AA74">
        <v>20240814</v>
      </c>
      <c r="AB74" t="e">
        <f t="shared" si="22"/>
        <v>#N/A</v>
      </c>
      <c r="AD74" s="2">
        <v>45557</v>
      </c>
      <c r="AE74">
        <v>3.5049999999999999</v>
      </c>
      <c r="AF74">
        <v>3.53</v>
      </c>
      <c r="AG74">
        <v>2.879</v>
      </c>
      <c r="AH74">
        <v>2.9049999999999998</v>
      </c>
      <c r="AI74">
        <v>4.6680000000000001</v>
      </c>
      <c r="AJ74">
        <v>4.83</v>
      </c>
      <c r="AK74">
        <v>4.8559999999999999</v>
      </c>
    </row>
    <row r="75" spans="1:37" x14ac:dyDescent="0.3">
      <c r="A75" s="2"/>
      <c r="D75" s="2" t="str">
        <f t="shared" si="23"/>
        <v/>
      </c>
      <c r="F75" s="2"/>
      <c r="I75" s="2" t="str">
        <f t="shared" si="24"/>
        <v/>
      </c>
      <c r="J75" t="e">
        <f t="shared" si="25"/>
        <v>#VALUE!</v>
      </c>
      <c r="K75" t="e">
        <f t="shared" si="26"/>
        <v>#N/A</v>
      </c>
      <c r="L75">
        <v>91</v>
      </c>
      <c r="M75">
        <v>365</v>
      </c>
      <c r="N75">
        <v>730</v>
      </c>
      <c r="O75" t="e">
        <f t="shared" si="18"/>
        <v>#N/A</v>
      </c>
      <c r="P75" t="e">
        <f t="shared" si="19"/>
        <v>#N/A</v>
      </c>
      <c r="Q75" t="e">
        <f t="shared" si="20"/>
        <v>#N/A</v>
      </c>
      <c r="R75" t="e">
        <f t="shared" si="21"/>
        <v>#N/A</v>
      </c>
      <c r="S75" s="10" t="e">
        <f>CHOOSE(option!$D$2,
history!$O75,
FORECAST(history!$J75, history!$O75:$P75, history!$K75:$L75),
FORECAST(history!$J75, history!$O75:$P75, history!$K75:$L75),
FORECAST(history!$J75, history!$O75:$P75, history!$K75:$L75),
history!$P75,
history!$Q75
)</f>
        <v>#N/A</v>
      </c>
      <c r="T75" t="e">
        <f t="shared" si="27"/>
        <v>#N/A</v>
      </c>
      <c r="U75" t="e">
        <f t="shared" si="28"/>
        <v>#N/A</v>
      </c>
      <c r="V75" t="e">
        <f t="shared" si="29"/>
        <v>#N/A</v>
      </c>
      <c r="W75" s="10" t="e">
        <f t="shared" si="30"/>
        <v>#N/A</v>
      </c>
      <c r="X75" s="2">
        <v>45513</v>
      </c>
      <c r="Y75">
        <v>20240812</v>
      </c>
      <c r="Z75" s="2">
        <v>45513</v>
      </c>
      <c r="AA75">
        <v>20240813</v>
      </c>
      <c r="AB75" t="e">
        <f t="shared" si="22"/>
        <v>#N/A</v>
      </c>
      <c r="AD75" s="2">
        <v>45556</v>
      </c>
      <c r="AE75">
        <v>3.5049999999999999</v>
      </c>
      <c r="AF75">
        <v>3.53</v>
      </c>
      <c r="AG75">
        <v>2.879</v>
      </c>
      <c r="AH75">
        <v>2.9049999999999998</v>
      </c>
      <c r="AI75">
        <v>4.6680000000000001</v>
      </c>
      <c r="AJ75">
        <v>4.83</v>
      </c>
      <c r="AK75">
        <v>4.8559999999999999</v>
      </c>
    </row>
    <row r="76" spans="1:37" x14ac:dyDescent="0.3">
      <c r="A76" s="2"/>
      <c r="D76" s="2" t="str">
        <f t="shared" si="23"/>
        <v/>
      </c>
      <c r="F76" s="2"/>
      <c r="I76" s="2" t="str">
        <f t="shared" si="24"/>
        <v/>
      </c>
      <c r="J76" t="e">
        <f t="shared" si="25"/>
        <v>#VALUE!</v>
      </c>
      <c r="K76" t="e">
        <f t="shared" si="26"/>
        <v>#N/A</v>
      </c>
      <c r="L76">
        <v>91</v>
      </c>
      <c r="M76">
        <v>365</v>
      </c>
      <c r="N76">
        <v>730</v>
      </c>
      <c r="O76" t="e">
        <f t="shared" si="18"/>
        <v>#N/A</v>
      </c>
      <c r="P76" t="e">
        <f t="shared" si="19"/>
        <v>#N/A</v>
      </c>
      <c r="Q76" t="e">
        <f t="shared" si="20"/>
        <v>#N/A</v>
      </c>
      <c r="R76" t="e">
        <f t="shared" si="21"/>
        <v>#N/A</v>
      </c>
      <c r="S76" s="10" t="e">
        <f>CHOOSE(option!$D$2,
history!$O76,
FORECAST(history!$J76, history!$O76:$P76, history!$K76:$L76),
FORECAST(history!$J76, history!$O76:$P76, history!$K76:$L76),
FORECAST(history!$J76, history!$O76:$P76, history!$K76:$L76),
history!$P76,
history!$Q76
)</f>
        <v>#N/A</v>
      </c>
      <c r="T76" t="e">
        <f t="shared" si="27"/>
        <v>#N/A</v>
      </c>
      <c r="U76" t="e">
        <f t="shared" si="28"/>
        <v>#N/A</v>
      </c>
      <c r="V76" t="e">
        <f t="shared" si="29"/>
        <v>#N/A</v>
      </c>
      <c r="W76" s="10" t="e">
        <f t="shared" si="30"/>
        <v>#N/A</v>
      </c>
      <c r="X76" s="2">
        <v>45512</v>
      </c>
      <c r="Y76">
        <v>20240809</v>
      </c>
      <c r="Z76" s="2">
        <v>45512</v>
      </c>
      <c r="AA76">
        <v>20240812</v>
      </c>
      <c r="AB76" t="e">
        <f t="shared" si="22"/>
        <v>#N/A</v>
      </c>
      <c r="AD76" s="2">
        <v>45555</v>
      </c>
      <c r="AE76">
        <v>3.5049999999999999</v>
      </c>
      <c r="AF76">
        <v>3.53</v>
      </c>
      <c r="AG76">
        <v>2.879</v>
      </c>
      <c r="AH76">
        <v>2.9049999999999998</v>
      </c>
      <c r="AI76">
        <v>4.6680000000000001</v>
      </c>
      <c r="AJ76">
        <v>4.83</v>
      </c>
      <c r="AK76">
        <v>4.8559999999999999</v>
      </c>
    </row>
    <row r="77" spans="1:37" x14ac:dyDescent="0.3">
      <c r="A77" s="2"/>
      <c r="D77" s="2" t="str">
        <f t="shared" si="23"/>
        <v/>
      </c>
      <c r="F77" s="2"/>
      <c r="I77" s="2" t="str">
        <f t="shared" si="24"/>
        <v/>
      </c>
      <c r="J77" t="e">
        <f t="shared" si="25"/>
        <v>#VALUE!</v>
      </c>
      <c r="K77" t="e">
        <f t="shared" si="26"/>
        <v>#N/A</v>
      </c>
      <c r="L77">
        <v>91</v>
      </c>
      <c r="M77">
        <v>365</v>
      </c>
      <c r="N77">
        <v>730</v>
      </c>
      <c r="O77" t="e">
        <f t="shared" si="18"/>
        <v>#N/A</v>
      </c>
      <c r="P77" t="e">
        <f t="shared" si="19"/>
        <v>#N/A</v>
      </c>
      <c r="Q77" t="e">
        <f t="shared" si="20"/>
        <v>#N/A</v>
      </c>
      <c r="R77" t="e">
        <f t="shared" si="21"/>
        <v>#N/A</v>
      </c>
      <c r="S77" s="10" t="e">
        <f>CHOOSE(option!$D$2,
history!$O77,
FORECAST(history!$J77, history!$O77:$P77, history!$K77:$L77),
FORECAST(history!$J77, history!$O77:$P77, history!$K77:$L77),
FORECAST(history!$J77, history!$O77:$P77, history!$K77:$L77),
history!$P77,
history!$Q77
)</f>
        <v>#N/A</v>
      </c>
      <c r="T77" t="e">
        <f t="shared" si="27"/>
        <v>#N/A</v>
      </c>
      <c r="U77" t="e">
        <f t="shared" si="28"/>
        <v>#N/A</v>
      </c>
      <c r="V77" t="e">
        <f t="shared" si="29"/>
        <v>#N/A</v>
      </c>
      <c r="W77" s="10" t="e">
        <f t="shared" si="30"/>
        <v>#N/A</v>
      </c>
      <c r="X77" s="2">
        <v>45511</v>
      </c>
      <c r="Y77">
        <v>20240808</v>
      </c>
      <c r="Z77" s="2">
        <v>45511</v>
      </c>
      <c r="AA77">
        <v>20240809</v>
      </c>
      <c r="AB77" t="e">
        <f t="shared" si="22"/>
        <v>#N/A</v>
      </c>
      <c r="AD77" s="2">
        <v>45554</v>
      </c>
      <c r="AE77">
        <v>3.5169999999999999</v>
      </c>
      <c r="AF77">
        <v>3.53</v>
      </c>
      <c r="AG77">
        <v>2.887</v>
      </c>
      <c r="AH77">
        <v>2.9209999999999998</v>
      </c>
      <c r="AI77">
        <v>4.6909999999999998</v>
      </c>
      <c r="AJ77">
        <v>4.83</v>
      </c>
      <c r="AK77">
        <v>4.8600000000000003</v>
      </c>
    </row>
    <row r="78" spans="1:37" x14ac:dyDescent="0.3">
      <c r="A78" s="2"/>
      <c r="D78" s="2" t="str">
        <f t="shared" si="23"/>
        <v/>
      </c>
      <c r="F78" s="2"/>
      <c r="I78" s="2" t="str">
        <f t="shared" si="24"/>
        <v/>
      </c>
      <c r="J78" t="e">
        <f t="shared" si="25"/>
        <v>#VALUE!</v>
      </c>
      <c r="K78" t="e">
        <f t="shared" si="26"/>
        <v>#N/A</v>
      </c>
      <c r="L78">
        <v>91</v>
      </c>
      <c r="M78">
        <v>365</v>
      </c>
      <c r="N78">
        <v>730</v>
      </c>
      <c r="O78" t="e">
        <f t="shared" si="18"/>
        <v>#N/A</v>
      </c>
      <c r="P78" t="e">
        <f t="shared" si="19"/>
        <v>#N/A</v>
      </c>
      <c r="Q78" t="e">
        <f t="shared" si="20"/>
        <v>#N/A</v>
      </c>
      <c r="R78" t="e">
        <f t="shared" si="21"/>
        <v>#N/A</v>
      </c>
      <c r="S78" s="10" t="e">
        <f>CHOOSE(option!$D$2,
history!$O78,
FORECAST(history!$J78, history!$O78:$P78, history!$K78:$L78),
FORECAST(history!$J78, history!$O78:$P78, history!$K78:$L78),
FORECAST(history!$J78, history!$O78:$P78, history!$K78:$L78),
history!$P78,
history!$Q78
)</f>
        <v>#N/A</v>
      </c>
      <c r="T78" t="e">
        <f t="shared" si="27"/>
        <v>#N/A</v>
      </c>
      <c r="U78" t="e">
        <f t="shared" si="28"/>
        <v>#N/A</v>
      </c>
      <c r="V78" t="e">
        <f t="shared" si="29"/>
        <v>#N/A</v>
      </c>
      <c r="W78" s="10" t="e">
        <f t="shared" si="30"/>
        <v>#N/A</v>
      </c>
      <c r="X78" s="2">
        <v>45510</v>
      </c>
      <c r="Y78">
        <v>20240807</v>
      </c>
      <c r="Z78" s="2">
        <v>45510</v>
      </c>
      <c r="AA78">
        <v>20240808</v>
      </c>
      <c r="AB78" t="e">
        <f t="shared" si="22"/>
        <v>#N/A</v>
      </c>
      <c r="AD78" s="2">
        <v>45553</v>
      </c>
      <c r="AE78">
        <v>0</v>
      </c>
      <c r="AF78">
        <v>3.53</v>
      </c>
      <c r="AG78">
        <v>2.8839999999999999</v>
      </c>
      <c r="AH78">
        <v>2.9140000000000001</v>
      </c>
      <c r="AI78">
        <v>4.726</v>
      </c>
      <c r="AJ78">
        <v>5.34</v>
      </c>
      <c r="AK78">
        <v>4.8620000000000001</v>
      </c>
    </row>
    <row r="79" spans="1:37" x14ac:dyDescent="0.3">
      <c r="A79" s="2"/>
      <c r="D79" s="2" t="str">
        <f t="shared" si="23"/>
        <v/>
      </c>
      <c r="F79" s="2"/>
      <c r="I79" s="2" t="str">
        <f t="shared" si="24"/>
        <v/>
      </c>
      <c r="J79" t="e">
        <f t="shared" si="25"/>
        <v>#VALUE!</v>
      </c>
      <c r="K79" t="e">
        <f t="shared" si="26"/>
        <v>#N/A</v>
      </c>
      <c r="L79">
        <v>91</v>
      </c>
      <c r="M79">
        <v>365</v>
      </c>
      <c r="N79">
        <v>730</v>
      </c>
      <c r="O79" t="e">
        <f t="shared" si="18"/>
        <v>#N/A</v>
      </c>
      <c r="P79" t="e">
        <f t="shared" si="19"/>
        <v>#N/A</v>
      </c>
      <c r="Q79" t="e">
        <f t="shared" si="20"/>
        <v>#N/A</v>
      </c>
      <c r="R79" t="e">
        <f t="shared" si="21"/>
        <v>#N/A</v>
      </c>
      <c r="S79" s="10" t="e">
        <f>CHOOSE(option!$D$2,
history!$O79,
FORECAST(history!$J79, history!$O79:$P79, history!$K79:$L79),
FORECAST(history!$J79, history!$O79:$P79, history!$K79:$L79),
FORECAST(history!$J79, history!$O79:$P79, history!$K79:$L79),
history!$P79,
history!$Q79
)</f>
        <v>#N/A</v>
      </c>
      <c r="T79" t="e">
        <f t="shared" si="27"/>
        <v>#N/A</v>
      </c>
      <c r="U79" t="e">
        <f t="shared" si="28"/>
        <v>#N/A</v>
      </c>
      <c r="V79" t="e">
        <f t="shared" si="29"/>
        <v>#N/A</v>
      </c>
      <c r="W79" s="10" t="e">
        <f t="shared" si="30"/>
        <v>#N/A</v>
      </c>
      <c r="X79" s="2">
        <v>45509</v>
      </c>
      <c r="Y79">
        <v>20240806</v>
      </c>
      <c r="Z79" s="2">
        <v>45509</v>
      </c>
      <c r="AA79">
        <v>20240807</v>
      </c>
      <c r="AB79" t="e">
        <f t="shared" si="22"/>
        <v>#N/A</v>
      </c>
      <c r="AD79" s="2">
        <v>45552</v>
      </c>
      <c r="AE79">
        <v>0</v>
      </c>
      <c r="AF79">
        <v>3.53</v>
      </c>
      <c r="AG79">
        <v>2.8839999999999999</v>
      </c>
      <c r="AH79">
        <v>2.9140000000000001</v>
      </c>
      <c r="AI79">
        <v>4.8209999999999997</v>
      </c>
      <c r="AJ79">
        <v>5.34</v>
      </c>
      <c r="AK79">
        <v>4.9640000000000004</v>
      </c>
    </row>
    <row r="80" spans="1:37" x14ac:dyDescent="0.3">
      <c r="A80" s="2"/>
      <c r="D80" s="2" t="str">
        <f t="shared" si="23"/>
        <v/>
      </c>
      <c r="F80" s="2"/>
      <c r="I80" s="2" t="str">
        <f t="shared" si="24"/>
        <v/>
      </c>
      <c r="J80" t="e">
        <f t="shared" si="25"/>
        <v>#VALUE!</v>
      </c>
      <c r="K80" t="e">
        <f t="shared" si="26"/>
        <v>#N/A</v>
      </c>
      <c r="L80">
        <v>91</v>
      </c>
      <c r="M80">
        <v>365</v>
      </c>
      <c r="N80">
        <v>730</v>
      </c>
      <c r="O80" t="e">
        <f t="shared" si="18"/>
        <v>#N/A</v>
      </c>
      <c r="P80" t="e">
        <f t="shared" si="19"/>
        <v>#N/A</v>
      </c>
      <c r="Q80" t="e">
        <f t="shared" si="20"/>
        <v>#N/A</v>
      </c>
      <c r="R80" t="e">
        <f t="shared" si="21"/>
        <v>#N/A</v>
      </c>
      <c r="S80" s="10" t="e">
        <f>CHOOSE(option!$D$2,
history!$O80,
FORECAST(history!$J80, history!$O80:$P80, history!$K80:$L80),
FORECAST(history!$J80, history!$O80:$P80, history!$K80:$L80),
FORECAST(history!$J80, history!$O80:$P80, history!$K80:$L80),
history!$P80,
history!$Q80
)</f>
        <v>#N/A</v>
      </c>
      <c r="T80" t="e">
        <f t="shared" si="27"/>
        <v>#N/A</v>
      </c>
      <c r="U80" t="e">
        <f t="shared" si="28"/>
        <v>#N/A</v>
      </c>
      <c r="V80" t="e">
        <f t="shared" si="29"/>
        <v>#N/A</v>
      </c>
      <c r="W80" s="10" t="e">
        <f t="shared" si="30"/>
        <v>#N/A</v>
      </c>
      <c r="X80" s="2">
        <v>45506</v>
      </c>
      <c r="Y80">
        <v>20240805</v>
      </c>
      <c r="Z80" s="2">
        <v>45506</v>
      </c>
      <c r="AA80">
        <v>20240806</v>
      </c>
      <c r="AB80" t="e">
        <f t="shared" si="22"/>
        <v>#N/A</v>
      </c>
      <c r="AD80" s="2">
        <v>45551</v>
      </c>
      <c r="AE80">
        <v>0</v>
      </c>
      <c r="AF80">
        <v>3.53</v>
      </c>
      <c r="AG80">
        <v>2.8839999999999999</v>
      </c>
      <c r="AH80">
        <v>2.9140000000000001</v>
      </c>
      <c r="AI80">
        <v>4.8140000000000001</v>
      </c>
      <c r="AJ80">
        <v>5.34</v>
      </c>
      <c r="AK80">
        <v>4.9660000000000002</v>
      </c>
    </row>
    <row r="81" spans="1:37" x14ac:dyDescent="0.3">
      <c r="A81" s="2"/>
      <c r="D81" s="2" t="str">
        <f t="shared" si="23"/>
        <v/>
      </c>
      <c r="F81" s="2"/>
      <c r="I81" s="2" t="str">
        <f t="shared" si="24"/>
        <v/>
      </c>
      <c r="J81" t="e">
        <f t="shared" si="25"/>
        <v>#VALUE!</v>
      </c>
      <c r="K81" t="e">
        <f t="shared" si="26"/>
        <v>#N/A</v>
      </c>
      <c r="L81">
        <v>91</v>
      </c>
      <c r="M81">
        <v>365</v>
      </c>
      <c r="N81">
        <v>730</v>
      </c>
      <c r="O81" t="e">
        <f t="shared" si="18"/>
        <v>#N/A</v>
      </c>
      <c r="P81" t="e">
        <f t="shared" si="19"/>
        <v>#N/A</v>
      </c>
      <c r="Q81" t="e">
        <f t="shared" si="20"/>
        <v>#N/A</v>
      </c>
      <c r="R81" t="e">
        <f t="shared" si="21"/>
        <v>#N/A</v>
      </c>
      <c r="S81" s="10" t="e">
        <f>CHOOSE(option!$D$2,
history!$O81,
FORECAST(history!$J81, history!$O81:$P81, history!$K81:$L81),
FORECAST(history!$J81, history!$O81:$P81, history!$K81:$L81),
FORECAST(history!$J81, history!$O81:$P81, history!$K81:$L81),
history!$P81,
history!$Q81
)</f>
        <v>#N/A</v>
      </c>
      <c r="T81" t="e">
        <f t="shared" si="27"/>
        <v>#N/A</v>
      </c>
      <c r="U81" t="e">
        <f t="shared" si="28"/>
        <v>#N/A</v>
      </c>
      <c r="V81" t="e">
        <f t="shared" si="29"/>
        <v>#N/A</v>
      </c>
      <c r="W81" s="10" t="e">
        <f t="shared" si="30"/>
        <v>#N/A</v>
      </c>
      <c r="X81" s="2">
        <v>45505</v>
      </c>
      <c r="Y81">
        <v>20240802</v>
      </c>
      <c r="Z81" s="2">
        <v>45505</v>
      </c>
      <c r="AA81">
        <v>20240805</v>
      </c>
      <c r="AB81" t="e">
        <f t="shared" si="22"/>
        <v>#N/A</v>
      </c>
      <c r="AD81" s="2">
        <v>45550</v>
      </c>
      <c r="AE81">
        <v>3.5379999999999998</v>
      </c>
      <c r="AF81">
        <v>3.53</v>
      </c>
      <c r="AG81">
        <v>2.8839999999999999</v>
      </c>
      <c r="AH81">
        <v>2.9140000000000001</v>
      </c>
      <c r="AI81">
        <v>4.8769999999999998</v>
      </c>
      <c r="AJ81">
        <v>5.33</v>
      </c>
      <c r="AK81">
        <v>5.0289999999999999</v>
      </c>
    </row>
    <row r="82" spans="1:37" x14ac:dyDescent="0.3">
      <c r="A82" s="2"/>
      <c r="D82" s="2" t="str">
        <f t="shared" si="23"/>
        <v/>
      </c>
      <c r="F82" s="2"/>
      <c r="I82" s="2" t="str">
        <f t="shared" si="24"/>
        <v/>
      </c>
      <c r="J82" t="e">
        <f t="shared" si="25"/>
        <v>#VALUE!</v>
      </c>
      <c r="K82" t="e">
        <f t="shared" si="26"/>
        <v>#N/A</v>
      </c>
      <c r="L82">
        <v>91</v>
      </c>
      <c r="M82">
        <v>365</v>
      </c>
      <c r="N82">
        <v>730</v>
      </c>
      <c r="O82" t="e">
        <f t="shared" si="18"/>
        <v>#N/A</v>
      </c>
      <c r="P82" t="e">
        <f t="shared" si="19"/>
        <v>#N/A</v>
      </c>
      <c r="Q82" t="e">
        <f t="shared" si="20"/>
        <v>#N/A</v>
      </c>
      <c r="R82" t="e">
        <f t="shared" si="21"/>
        <v>#N/A</v>
      </c>
      <c r="S82" s="10" t="e">
        <f>CHOOSE(option!$D$2,
history!$O82,
FORECAST(history!$J82, history!$O82:$P82, history!$K82:$L82),
FORECAST(history!$J82, history!$O82:$P82, history!$K82:$L82),
FORECAST(history!$J82, history!$O82:$P82, history!$K82:$L82),
history!$P82,
history!$Q82
)</f>
        <v>#N/A</v>
      </c>
      <c r="T82" t="e">
        <f t="shared" si="27"/>
        <v>#N/A</v>
      </c>
      <c r="U82" t="e">
        <f t="shared" si="28"/>
        <v>#N/A</v>
      </c>
      <c r="V82" t="e">
        <f t="shared" si="29"/>
        <v>#N/A</v>
      </c>
      <c r="W82" s="10" t="e">
        <f t="shared" si="30"/>
        <v>#N/A</v>
      </c>
      <c r="X82" s="2">
        <v>45504</v>
      </c>
      <c r="Y82">
        <v>20240801</v>
      </c>
      <c r="Z82" s="2">
        <v>45504</v>
      </c>
      <c r="AA82">
        <v>20240802</v>
      </c>
      <c r="AB82" t="e">
        <f t="shared" si="22"/>
        <v>#N/A</v>
      </c>
      <c r="AD82" s="2">
        <v>45549</v>
      </c>
      <c r="AE82">
        <v>3.5379999999999998</v>
      </c>
      <c r="AF82">
        <v>3.53</v>
      </c>
      <c r="AG82">
        <v>2.8839999999999999</v>
      </c>
      <c r="AH82">
        <v>2.9140000000000001</v>
      </c>
      <c r="AI82">
        <v>4.8769999999999998</v>
      </c>
      <c r="AJ82">
        <v>5.33</v>
      </c>
      <c r="AK82">
        <v>5.0289999999999999</v>
      </c>
    </row>
    <row r="83" spans="1:37" x14ac:dyDescent="0.3">
      <c r="A83" s="2"/>
      <c r="D83" s="2" t="str">
        <f t="shared" si="23"/>
        <v/>
      </c>
      <c r="F83" s="2"/>
      <c r="I83" s="2" t="str">
        <f t="shared" si="24"/>
        <v/>
      </c>
      <c r="J83" t="e">
        <f t="shared" si="25"/>
        <v>#VALUE!</v>
      </c>
      <c r="K83" t="e">
        <f t="shared" si="26"/>
        <v>#N/A</v>
      </c>
      <c r="L83">
        <v>91</v>
      </c>
      <c r="M83">
        <v>365</v>
      </c>
      <c r="N83">
        <v>730</v>
      </c>
      <c r="O83" t="e">
        <f t="shared" si="18"/>
        <v>#N/A</v>
      </c>
      <c r="P83" t="e">
        <f t="shared" si="19"/>
        <v>#N/A</v>
      </c>
      <c r="Q83" t="e">
        <f t="shared" si="20"/>
        <v>#N/A</v>
      </c>
      <c r="R83" t="e">
        <f t="shared" si="21"/>
        <v>#N/A</v>
      </c>
      <c r="S83" s="10" t="e">
        <f>CHOOSE(option!$D$2,
history!$O83,
FORECAST(history!$J83, history!$O83:$P83, history!$K83:$L83),
FORECAST(history!$J83, history!$O83:$P83, history!$K83:$L83),
FORECAST(history!$J83, history!$O83:$P83, history!$K83:$L83),
history!$P83,
history!$Q83
)</f>
        <v>#N/A</v>
      </c>
      <c r="T83" t="e">
        <f t="shared" si="27"/>
        <v>#N/A</v>
      </c>
      <c r="U83" t="e">
        <f t="shared" si="28"/>
        <v>#N/A</v>
      </c>
      <c r="V83" t="e">
        <f t="shared" si="29"/>
        <v>#N/A</v>
      </c>
      <c r="W83" s="10" t="e">
        <f t="shared" si="30"/>
        <v>#N/A</v>
      </c>
      <c r="X83" s="2"/>
      <c r="Z83" s="2"/>
      <c r="AB83" t="e">
        <f t="shared" si="22"/>
        <v>#N/A</v>
      </c>
      <c r="AD83" s="2">
        <v>45548</v>
      </c>
      <c r="AE83">
        <v>3.5379999999999998</v>
      </c>
      <c r="AF83">
        <v>3.53</v>
      </c>
      <c r="AG83">
        <v>2.8839999999999999</v>
      </c>
      <c r="AH83">
        <v>2.9140000000000001</v>
      </c>
      <c r="AI83">
        <v>4.8769999999999998</v>
      </c>
      <c r="AJ83">
        <v>5.33</v>
      </c>
      <c r="AK83">
        <v>5.0289999999999999</v>
      </c>
    </row>
    <row r="84" spans="1:37" x14ac:dyDescent="0.3">
      <c r="A84" s="2"/>
      <c r="D84" s="2" t="str">
        <f t="shared" si="23"/>
        <v/>
      </c>
      <c r="F84" s="2"/>
      <c r="I84" s="2" t="str">
        <f t="shared" si="24"/>
        <v/>
      </c>
      <c r="J84" t="e">
        <f t="shared" si="25"/>
        <v>#VALUE!</v>
      </c>
      <c r="K84" t="e">
        <f t="shared" si="26"/>
        <v>#N/A</v>
      </c>
      <c r="L84">
        <v>91</v>
      </c>
      <c r="M84">
        <v>365</v>
      </c>
      <c r="N84">
        <v>730</v>
      </c>
      <c r="O84" t="e">
        <f t="shared" si="18"/>
        <v>#N/A</v>
      </c>
      <c r="P84" t="e">
        <f t="shared" si="19"/>
        <v>#N/A</v>
      </c>
      <c r="Q84" t="e">
        <f t="shared" si="20"/>
        <v>#N/A</v>
      </c>
      <c r="R84" t="e">
        <f t="shared" si="21"/>
        <v>#N/A</v>
      </c>
      <c r="S84" s="10" t="e">
        <f>CHOOSE(option!$D$2,
history!$O84,
FORECAST(history!$J84, history!$O84:$P84, history!$K84:$L84),
FORECAST(history!$J84, history!$O84:$P84, history!$K84:$L84),
FORECAST(history!$J84, history!$O84:$P84, history!$K84:$L84),
history!$P84,
history!$Q84
)</f>
        <v>#N/A</v>
      </c>
      <c r="T84" t="e">
        <f t="shared" si="27"/>
        <v>#N/A</v>
      </c>
      <c r="U84" t="e">
        <f t="shared" si="28"/>
        <v>#N/A</v>
      </c>
      <c r="V84" t="e">
        <f t="shared" si="29"/>
        <v>#N/A</v>
      </c>
      <c r="W84" s="10" t="e">
        <f t="shared" si="30"/>
        <v>#N/A</v>
      </c>
      <c r="X84" s="2"/>
      <c r="Z84" s="2"/>
      <c r="AB84" t="e">
        <f t="shared" si="22"/>
        <v>#N/A</v>
      </c>
      <c r="AD84" s="2">
        <v>45547</v>
      </c>
      <c r="AE84">
        <v>3.5779999999999998</v>
      </c>
      <c r="AF84">
        <v>3.51</v>
      </c>
      <c r="AG84">
        <v>2.9119999999999999</v>
      </c>
      <c r="AH84">
        <v>2.96</v>
      </c>
      <c r="AI84">
        <v>4.9039999999999999</v>
      </c>
      <c r="AJ84">
        <v>5.33</v>
      </c>
      <c r="AK84">
        <v>5.0579999999999998</v>
      </c>
    </row>
    <row r="85" spans="1:37" x14ac:dyDescent="0.3">
      <c r="A85" s="2"/>
      <c r="D85" s="2" t="str">
        <f t="shared" si="23"/>
        <v/>
      </c>
      <c r="F85" s="2"/>
      <c r="I85" s="2" t="str">
        <f t="shared" si="24"/>
        <v/>
      </c>
      <c r="J85" t="e">
        <f t="shared" si="25"/>
        <v>#VALUE!</v>
      </c>
      <c r="K85" t="e">
        <f t="shared" si="26"/>
        <v>#N/A</v>
      </c>
      <c r="L85">
        <v>91</v>
      </c>
      <c r="M85">
        <v>365</v>
      </c>
      <c r="N85">
        <v>730</v>
      </c>
      <c r="O85" t="e">
        <f t="shared" si="18"/>
        <v>#N/A</v>
      </c>
      <c r="P85" t="e">
        <f t="shared" si="19"/>
        <v>#N/A</v>
      </c>
      <c r="Q85" t="e">
        <f t="shared" si="20"/>
        <v>#N/A</v>
      </c>
      <c r="R85" t="e">
        <f t="shared" si="21"/>
        <v>#N/A</v>
      </c>
      <c r="S85" s="10" t="e">
        <f>CHOOSE(option!$D$2,
history!$O85,
FORECAST(history!$J85, history!$O85:$P85, history!$K85:$L85),
FORECAST(history!$J85, history!$O85:$P85, history!$K85:$L85),
FORECAST(history!$J85, history!$O85:$P85, history!$K85:$L85),
history!$P85,
history!$Q85
)</f>
        <v>#N/A</v>
      </c>
      <c r="T85" t="e">
        <f t="shared" si="27"/>
        <v>#N/A</v>
      </c>
      <c r="U85" t="e">
        <f t="shared" si="28"/>
        <v>#N/A</v>
      </c>
      <c r="V85" t="e">
        <f t="shared" si="29"/>
        <v>#N/A</v>
      </c>
      <c r="W85" s="10" t="e">
        <f t="shared" si="30"/>
        <v>#N/A</v>
      </c>
      <c r="X85" s="2"/>
      <c r="Z85" s="2"/>
      <c r="AB85" t="e">
        <f t="shared" si="22"/>
        <v>#N/A</v>
      </c>
      <c r="AD85" s="2">
        <v>45546</v>
      </c>
      <c r="AE85">
        <v>3.48</v>
      </c>
      <c r="AF85">
        <v>3.51</v>
      </c>
      <c r="AG85">
        <v>2.915</v>
      </c>
      <c r="AH85">
        <v>2.92</v>
      </c>
      <c r="AI85">
        <v>4.9800000000000004</v>
      </c>
      <c r="AJ85">
        <v>5.33</v>
      </c>
      <c r="AK85">
        <v>5.1280000000000001</v>
      </c>
    </row>
    <row r="86" spans="1:37" x14ac:dyDescent="0.3">
      <c r="A86" s="2"/>
      <c r="D86" s="2" t="str">
        <f t="shared" si="23"/>
        <v/>
      </c>
      <c r="F86" s="2"/>
      <c r="I86" s="2" t="str">
        <f t="shared" si="24"/>
        <v/>
      </c>
      <c r="J86" t="e">
        <f t="shared" si="25"/>
        <v>#VALUE!</v>
      </c>
      <c r="K86" t="e">
        <f t="shared" si="26"/>
        <v>#N/A</v>
      </c>
      <c r="L86">
        <v>91</v>
      </c>
      <c r="M86">
        <v>365</v>
      </c>
      <c r="N86">
        <v>730</v>
      </c>
      <c r="O86" t="e">
        <f t="shared" si="18"/>
        <v>#N/A</v>
      </c>
      <c r="P86" t="e">
        <f t="shared" si="19"/>
        <v>#N/A</v>
      </c>
      <c r="Q86" t="e">
        <f t="shared" si="20"/>
        <v>#N/A</v>
      </c>
      <c r="R86" t="e">
        <f t="shared" si="21"/>
        <v>#N/A</v>
      </c>
      <c r="S86" s="10" t="e">
        <f>CHOOSE(option!$D$2,
history!$O86,
FORECAST(history!$J86, history!$O86:$P86, history!$K86:$L86),
FORECAST(history!$J86, history!$O86:$P86, history!$K86:$L86),
FORECAST(history!$J86, history!$O86:$P86, history!$K86:$L86),
history!$P86,
history!$Q86
)</f>
        <v>#N/A</v>
      </c>
      <c r="T86" t="e">
        <f t="shared" si="27"/>
        <v>#N/A</v>
      </c>
      <c r="U86" t="e">
        <f t="shared" si="28"/>
        <v>#N/A</v>
      </c>
      <c r="V86" t="e">
        <f t="shared" si="29"/>
        <v>#N/A</v>
      </c>
      <c r="W86" s="10" t="e">
        <f t="shared" si="30"/>
        <v>#N/A</v>
      </c>
      <c r="X86" s="2"/>
      <c r="Z86" s="2"/>
      <c r="AB86" t="e">
        <f t="shared" si="22"/>
        <v>#N/A</v>
      </c>
      <c r="AD86" s="2">
        <v>45545</v>
      </c>
      <c r="AE86">
        <v>3.42</v>
      </c>
      <c r="AF86">
        <v>3.51</v>
      </c>
      <c r="AG86">
        <v>2.9590000000000001</v>
      </c>
      <c r="AH86">
        <v>2.9529999999999998</v>
      </c>
      <c r="AI86">
        <v>4.9379999999999997</v>
      </c>
      <c r="AJ86">
        <v>5.33</v>
      </c>
      <c r="AK86">
        <v>5.1040000000000001</v>
      </c>
    </row>
    <row r="87" spans="1:37" x14ac:dyDescent="0.3">
      <c r="A87" s="2"/>
      <c r="D87" s="2" t="str">
        <f t="shared" si="23"/>
        <v/>
      </c>
      <c r="F87" s="2"/>
      <c r="I87" s="2" t="str">
        <f t="shared" si="24"/>
        <v/>
      </c>
      <c r="J87" t="e">
        <f t="shared" si="25"/>
        <v>#VALUE!</v>
      </c>
      <c r="K87" t="e">
        <f t="shared" si="26"/>
        <v>#N/A</v>
      </c>
      <c r="L87">
        <v>91</v>
      </c>
      <c r="M87">
        <v>365</v>
      </c>
      <c r="N87">
        <v>730</v>
      </c>
      <c r="O87" t="e">
        <f t="shared" si="18"/>
        <v>#N/A</v>
      </c>
      <c r="P87" t="e">
        <f t="shared" si="19"/>
        <v>#N/A</v>
      </c>
      <c r="Q87" t="e">
        <f t="shared" si="20"/>
        <v>#N/A</v>
      </c>
      <c r="R87" t="e">
        <f t="shared" si="21"/>
        <v>#N/A</v>
      </c>
      <c r="S87" s="10" t="e">
        <f>CHOOSE(option!$D$2,
history!$O87,
FORECAST(history!$J87, history!$O87:$P87, history!$K87:$L87),
FORECAST(history!$J87, history!$O87:$P87, history!$K87:$L87),
FORECAST(history!$J87, history!$O87:$P87, history!$K87:$L87),
history!$P87,
history!$Q87
)</f>
        <v>#N/A</v>
      </c>
      <c r="T87" t="e">
        <f t="shared" si="27"/>
        <v>#N/A</v>
      </c>
      <c r="U87" t="e">
        <f t="shared" si="28"/>
        <v>#N/A</v>
      </c>
      <c r="V87" t="e">
        <f t="shared" si="29"/>
        <v>#N/A</v>
      </c>
      <c r="W87" s="10" t="e">
        <f t="shared" si="30"/>
        <v>#N/A</v>
      </c>
      <c r="X87" s="2"/>
      <c r="Z87" s="2"/>
      <c r="AB87" t="e">
        <f t="shared" si="22"/>
        <v>#N/A</v>
      </c>
      <c r="AD87" s="2">
        <v>45544</v>
      </c>
      <c r="AE87">
        <v>3.5619999999999998</v>
      </c>
      <c r="AF87">
        <v>3.51</v>
      </c>
      <c r="AG87">
        <v>2.9740000000000002</v>
      </c>
      <c r="AH87">
        <v>2.9609999999999999</v>
      </c>
      <c r="AI87">
        <v>4.9509999999999996</v>
      </c>
      <c r="AJ87">
        <v>5.33</v>
      </c>
      <c r="AK87">
        <v>5.1239999999999997</v>
      </c>
    </row>
    <row r="88" spans="1:37" x14ac:dyDescent="0.3">
      <c r="A88" s="2"/>
      <c r="D88" s="2" t="str">
        <f t="shared" si="23"/>
        <v/>
      </c>
      <c r="F88" s="2"/>
      <c r="I88" s="2" t="str">
        <f t="shared" si="24"/>
        <v/>
      </c>
      <c r="J88" t="e">
        <f t="shared" si="25"/>
        <v>#VALUE!</v>
      </c>
      <c r="K88" t="e">
        <f t="shared" si="26"/>
        <v>#N/A</v>
      </c>
      <c r="L88">
        <v>91</v>
      </c>
      <c r="M88">
        <v>365</v>
      </c>
      <c r="N88">
        <v>730</v>
      </c>
      <c r="O88" t="e">
        <f t="shared" si="18"/>
        <v>#N/A</v>
      </c>
      <c r="P88" t="e">
        <f t="shared" si="19"/>
        <v>#N/A</v>
      </c>
      <c r="Q88" t="e">
        <f t="shared" si="20"/>
        <v>#N/A</v>
      </c>
      <c r="R88" t="e">
        <f t="shared" si="21"/>
        <v>#N/A</v>
      </c>
      <c r="S88" s="10" t="e">
        <f>CHOOSE(option!$D$2,
history!$O88,
FORECAST(history!$J88, history!$O88:$P88, history!$K88:$L88),
FORECAST(history!$J88, history!$O88:$P88, history!$K88:$L88),
FORECAST(history!$J88, history!$O88:$P88, history!$K88:$L88),
history!$P88,
history!$Q88
)</f>
        <v>#N/A</v>
      </c>
      <c r="T88" t="e">
        <f t="shared" si="27"/>
        <v>#N/A</v>
      </c>
      <c r="U88" t="e">
        <f t="shared" si="28"/>
        <v>#N/A</v>
      </c>
      <c r="V88" t="e">
        <f t="shared" si="29"/>
        <v>#N/A</v>
      </c>
      <c r="W88" s="10" t="e">
        <f t="shared" si="30"/>
        <v>#N/A</v>
      </c>
      <c r="X88" s="2"/>
      <c r="Z88" s="2"/>
      <c r="AB88" t="e">
        <f t="shared" si="22"/>
        <v>#N/A</v>
      </c>
      <c r="AD88" s="2">
        <v>45543</v>
      </c>
      <c r="AE88">
        <v>3.5550000000000002</v>
      </c>
      <c r="AF88">
        <v>3.51</v>
      </c>
      <c r="AG88">
        <v>2.9790000000000001</v>
      </c>
      <c r="AH88">
        <v>2.9470000000000001</v>
      </c>
      <c r="AI88">
        <v>4.9560000000000004</v>
      </c>
      <c r="AJ88">
        <v>5.34</v>
      </c>
      <c r="AK88">
        <v>5.1310000000000002</v>
      </c>
    </row>
    <row r="89" spans="1:37" x14ac:dyDescent="0.3">
      <c r="A89" s="2"/>
      <c r="D89" s="2" t="str">
        <f t="shared" si="23"/>
        <v/>
      </c>
      <c r="F89" s="2"/>
      <c r="I89" s="2" t="str">
        <f t="shared" si="24"/>
        <v/>
      </c>
      <c r="J89" t="e">
        <f t="shared" si="25"/>
        <v>#VALUE!</v>
      </c>
      <c r="K89" t="e">
        <f t="shared" si="26"/>
        <v>#N/A</v>
      </c>
      <c r="L89">
        <v>91</v>
      </c>
      <c r="M89">
        <v>365</v>
      </c>
      <c r="N89">
        <v>730</v>
      </c>
      <c r="O89" t="e">
        <f t="shared" si="18"/>
        <v>#N/A</v>
      </c>
      <c r="P89" t="e">
        <f t="shared" si="19"/>
        <v>#N/A</v>
      </c>
      <c r="Q89" t="e">
        <f t="shared" si="20"/>
        <v>#N/A</v>
      </c>
      <c r="R89" t="e">
        <f t="shared" si="21"/>
        <v>#N/A</v>
      </c>
      <c r="S89" s="10" t="e">
        <f>CHOOSE(option!$D$2,
history!$O89,
FORECAST(history!$J89, history!$O89:$P89, history!$K89:$L89),
FORECAST(history!$J89, history!$O89:$P89, history!$K89:$L89),
FORECAST(history!$J89, history!$O89:$P89, history!$K89:$L89),
history!$P89,
history!$Q89
)</f>
        <v>#N/A</v>
      </c>
      <c r="T89" t="e">
        <f t="shared" si="27"/>
        <v>#N/A</v>
      </c>
      <c r="U89" t="e">
        <f t="shared" si="28"/>
        <v>#N/A</v>
      </c>
      <c r="V89" t="e">
        <f t="shared" si="29"/>
        <v>#N/A</v>
      </c>
      <c r="W89" s="10" t="e">
        <f t="shared" si="30"/>
        <v>#N/A</v>
      </c>
      <c r="X89" s="2"/>
      <c r="Z89" s="2"/>
      <c r="AB89" t="e">
        <f t="shared" si="22"/>
        <v>#N/A</v>
      </c>
      <c r="AD89" s="2">
        <v>45542</v>
      </c>
      <c r="AE89">
        <v>3.5550000000000002</v>
      </c>
      <c r="AF89">
        <v>3.51</v>
      </c>
      <c r="AG89">
        <v>2.9790000000000001</v>
      </c>
      <c r="AH89">
        <v>2.9470000000000001</v>
      </c>
      <c r="AI89">
        <v>4.9560000000000004</v>
      </c>
      <c r="AJ89">
        <v>5.34</v>
      </c>
      <c r="AK89">
        <v>5.1310000000000002</v>
      </c>
    </row>
    <row r="90" spans="1:37" x14ac:dyDescent="0.3">
      <c r="A90" s="2"/>
      <c r="D90" s="2" t="str">
        <f t="shared" si="23"/>
        <v/>
      </c>
      <c r="F90" s="2"/>
      <c r="I90" s="2" t="str">
        <f t="shared" si="24"/>
        <v/>
      </c>
      <c r="J90" t="e">
        <f t="shared" si="25"/>
        <v>#VALUE!</v>
      </c>
      <c r="K90" t="e">
        <f t="shared" si="26"/>
        <v>#N/A</v>
      </c>
      <c r="L90">
        <v>91</v>
      </c>
      <c r="M90">
        <v>365</v>
      </c>
      <c r="N90">
        <v>730</v>
      </c>
      <c r="O90" t="e">
        <f t="shared" si="18"/>
        <v>#N/A</v>
      </c>
      <c r="P90" t="e">
        <f t="shared" si="19"/>
        <v>#N/A</v>
      </c>
      <c r="Q90" t="e">
        <f t="shared" si="20"/>
        <v>#N/A</v>
      </c>
      <c r="R90" t="e">
        <f t="shared" si="21"/>
        <v>#N/A</v>
      </c>
      <c r="S90" s="10" t="e">
        <f>CHOOSE(option!$D$2,
history!$O90,
FORECAST(history!$J90, history!$O90:$P90, history!$K90:$L90),
FORECAST(history!$J90, history!$O90:$P90, history!$K90:$L90),
FORECAST(history!$J90, history!$O90:$P90, history!$K90:$L90),
history!$P90,
history!$Q90
)</f>
        <v>#N/A</v>
      </c>
      <c r="T90" t="e">
        <f t="shared" si="27"/>
        <v>#N/A</v>
      </c>
      <c r="U90" t="e">
        <f t="shared" si="28"/>
        <v>#N/A</v>
      </c>
      <c r="V90" t="e">
        <f t="shared" si="29"/>
        <v>#N/A</v>
      </c>
      <c r="W90" s="10" t="e">
        <f t="shared" si="30"/>
        <v>#N/A</v>
      </c>
      <c r="X90" s="2"/>
      <c r="Z90" s="2"/>
      <c r="AB90" t="e">
        <f t="shared" si="22"/>
        <v>#N/A</v>
      </c>
      <c r="AD90" s="2">
        <v>45541</v>
      </c>
      <c r="AE90">
        <v>3.5550000000000002</v>
      </c>
      <c r="AF90">
        <v>3.51</v>
      </c>
      <c r="AG90">
        <v>2.9790000000000001</v>
      </c>
      <c r="AH90">
        <v>2.9470000000000001</v>
      </c>
      <c r="AI90">
        <v>4.9560000000000004</v>
      </c>
      <c r="AJ90">
        <v>5.34</v>
      </c>
      <c r="AK90">
        <v>5.1310000000000002</v>
      </c>
    </row>
    <row r="91" spans="1:37" x14ac:dyDescent="0.3">
      <c r="A91" s="2"/>
      <c r="D91" s="2" t="str">
        <f t="shared" si="23"/>
        <v/>
      </c>
      <c r="F91" s="2"/>
      <c r="I91" s="2" t="str">
        <f t="shared" si="24"/>
        <v/>
      </c>
      <c r="J91" t="e">
        <f t="shared" si="25"/>
        <v>#VALUE!</v>
      </c>
      <c r="K91" t="e">
        <f t="shared" si="26"/>
        <v>#N/A</v>
      </c>
      <c r="L91">
        <v>91</v>
      </c>
      <c r="M91">
        <v>365</v>
      </c>
      <c r="N91">
        <v>730</v>
      </c>
      <c r="O91" t="e">
        <f t="shared" si="18"/>
        <v>#N/A</v>
      </c>
      <c r="P91" t="e">
        <f t="shared" si="19"/>
        <v>#N/A</v>
      </c>
      <c r="Q91" t="e">
        <f t="shared" si="20"/>
        <v>#N/A</v>
      </c>
      <c r="R91" t="e">
        <f t="shared" si="21"/>
        <v>#N/A</v>
      </c>
      <c r="S91" s="10" t="e">
        <f>CHOOSE(option!$D$2,
history!$O91,
FORECAST(history!$J91, history!$O91:$P91, history!$K91:$L91),
FORECAST(history!$J91, history!$O91:$P91, history!$K91:$L91),
FORECAST(history!$J91, history!$O91:$P91, history!$K91:$L91),
history!$P91,
history!$Q91
)</f>
        <v>#N/A</v>
      </c>
      <c r="T91" t="e">
        <f t="shared" si="27"/>
        <v>#N/A</v>
      </c>
      <c r="U91" t="e">
        <f t="shared" si="28"/>
        <v>#N/A</v>
      </c>
      <c r="V91" t="e">
        <f t="shared" si="29"/>
        <v>#N/A</v>
      </c>
      <c r="W91" s="10" t="e">
        <f t="shared" si="30"/>
        <v>#N/A</v>
      </c>
      <c r="X91" s="2"/>
      <c r="Z91" s="2"/>
      <c r="AB91" t="e">
        <f t="shared" si="22"/>
        <v>#N/A</v>
      </c>
      <c r="AD91" s="2">
        <v>45540</v>
      </c>
      <c r="AE91">
        <v>3.5459999999999998</v>
      </c>
      <c r="AF91">
        <v>3.51</v>
      </c>
      <c r="AG91">
        <v>2.9830000000000001</v>
      </c>
      <c r="AH91">
        <v>2.97</v>
      </c>
      <c r="AI91">
        <v>4.9470000000000001</v>
      </c>
      <c r="AJ91">
        <v>5.33</v>
      </c>
      <c r="AK91">
        <v>5.1230000000000002</v>
      </c>
    </row>
    <row r="92" spans="1:37" x14ac:dyDescent="0.3">
      <c r="A92" s="2"/>
      <c r="D92" s="2" t="str">
        <f t="shared" si="23"/>
        <v/>
      </c>
      <c r="F92" s="2"/>
      <c r="I92" s="2" t="str">
        <f t="shared" si="24"/>
        <v/>
      </c>
      <c r="J92" t="e">
        <f t="shared" si="25"/>
        <v>#VALUE!</v>
      </c>
      <c r="K92" t="e">
        <f t="shared" si="26"/>
        <v>#N/A</v>
      </c>
      <c r="L92">
        <v>91</v>
      </c>
      <c r="M92">
        <v>365</v>
      </c>
      <c r="N92">
        <v>730</v>
      </c>
      <c r="O92" t="e">
        <f t="shared" si="18"/>
        <v>#N/A</v>
      </c>
      <c r="P92" t="e">
        <f t="shared" si="19"/>
        <v>#N/A</v>
      </c>
      <c r="Q92" t="e">
        <f t="shared" si="20"/>
        <v>#N/A</v>
      </c>
      <c r="R92" t="e">
        <f t="shared" si="21"/>
        <v>#N/A</v>
      </c>
      <c r="S92" s="10" t="e">
        <f>CHOOSE(option!$D$2,
history!$O92,
FORECAST(history!$J92, history!$O92:$P92, history!$K92:$L92),
FORECAST(history!$J92, history!$O92:$P92, history!$K92:$L92),
FORECAST(history!$J92, history!$O92:$P92, history!$K92:$L92),
history!$P92,
history!$Q92
)</f>
        <v>#N/A</v>
      </c>
      <c r="T92" t="e">
        <f t="shared" si="27"/>
        <v>#N/A</v>
      </c>
      <c r="U92" t="e">
        <f t="shared" si="28"/>
        <v>#N/A</v>
      </c>
      <c r="V92" t="e">
        <f t="shared" si="29"/>
        <v>#N/A</v>
      </c>
      <c r="W92" s="10" t="e">
        <f t="shared" si="30"/>
        <v>#N/A</v>
      </c>
      <c r="X92" s="2"/>
      <c r="Z92" s="2"/>
      <c r="AB92" t="e">
        <f t="shared" si="22"/>
        <v>#N/A</v>
      </c>
      <c r="AD92" s="2">
        <v>45539</v>
      </c>
      <c r="AE92">
        <v>3.5209999999999999</v>
      </c>
      <c r="AF92">
        <v>3.51</v>
      </c>
      <c r="AG92">
        <v>2.9980000000000002</v>
      </c>
      <c r="AH92">
        <v>2.9910000000000001</v>
      </c>
      <c r="AI92">
        <v>4.9619999999999997</v>
      </c>
      <c r="AJ92">
        <v>5.34</v>
      </c>
      <c r="AK92">
        <v>5.149</v>
      </c>
    </row>
    <row r="93" spans="1:37" x14ac:dyDescent="0.3">
      <c r="A93" s="2"/>
      <c r="D93" s="2" t="str">
        <f t="shared" si="23"/>
        <v/>
      </c>
      <c r="F93" s="2"/>
      <c r="I93" s="2" t="str">
        <f t="shared" si="24"/>
        <v/>
      </c>
      <c r="J93" t="e">
        <f t="shared" si="25"/>
        <v>#VALUE!</v>
      </c>
      <c r="K93" t="e">
        <f t="shared" si="26"/>
        <v>#N/A</v>
      </c>
      <c r="L93">
        <v>91</v>
      </c>
      <c r="M93">
        <v>365</v>
      </c>
      <c r="N93">
        <v>730</v>
      </c>
      <c r="O93" t="e">
        <f t="shared" si="18"/>
        <v>#N/A</v>
      </c>
      <c r="P93" t="e">
        <f t="shared" si="19"/>
        <v>#N/A</v>
      </c>
      <c r="Q93" t="e">
        <f t="shared" si="20"/>
        <v>#N/A</v>
      </c>
      <c r="R93" t="e">
        <f t="shared" si="21"/>
        <v>#N/A</v>
      </c>
      <c r="S93" s="10" t="e">
        <f>CHOOSE(option!$D$2,
history!$O93,
FORECAST(history!$J93, history!$O93:$P93, history!$K93:$L93),
FORECAST(history!$J93, history!$O93:$P93, history!$K93:$L93),
FORECAST(history!$J93, history!$O93:$P93, history!$K93:$L93),
history!$P93,
history!$Q93
)</f>
        <v>#N/A</v>
      </c>
      <c r="T93" t="e">
        <f t="shared" si="27"/>
        <v>#N/A</v>
      </c>
      <c r="U93" t="e">
        <f t="shared" si="28"/>
        <v>#N/A</v>
      </c>
      <c r="V93" t="e">
        <f t="shared" si="29"/>
        <v>#N/A</v>
      </c>
      <c r="W93" s="10" t="e">
        <f t="shared" si="30"/>
        <v>#N/A</v>
      </c>
      <c r="X93" s="2"/>
      <c r="Z93" s="2"/>
      <c r="AB93" t="e">
        <f t="shared" si="22"/>
        <v>#N/A</v>
      </c>
      <c r="AD93" s="2">
        <v>45538</v>
      </c>
      <c r="AE93">
        <v>3.5070000000000001</v>
      </c>
      <c r="AF93">
        <v>3.51</v>
      </c>
      <c r="AG93">
        <v>3.0310000000000001</v>
      </c>
      <c r="AH93">
        <v>3.0409999999999999</v>
      </c>
      <c r="AI93">
        <v>4.9950000000000001</v>
      </c>
      <c r="AJ93">
        <v>5.32</v>
      </c>
      <c r="AK93">
        <v>5.1669999999999998</v>
      </c>
    </row>
    <row r="94" spans="1:37" x14ac:dyDescent="0.3">
      <c r="A94" s="2"/>
      <c r="D94" s="2" t="str">
        <f t="shared" si="23"/>
        <v/>
      </c>
      <c r="F94" s="2"/>
      <c r="I94" s="2" t="str">
        <f t="shared" si="24"/>
        <v/>
      </c>
      <c r="J94" t="e">
        <f t="shared" si="25"/>
        <v>#VALUE!</v>
      </c>
      <c r="K94" t="e">
        <f t="shared" si="26"/>
        <v>#N/A</v>
      </c>
      <c r="L94">
        <v>91</v>
      </c>
      <c r="M94">
        <v>365</v>
      </c>
      <c r="N94">
        <v>730</v>
      </c>
      <c r="O94" t="e">
        <f t="shared" si="18"/>
        <v>#N/A</v>
      </c>
      <c r="P94" t="e">
        <f t="shared" si="19"/>
        <v>#N/A</v>
      </c>
      <c r="Q94" t="e">
        <f t="shared" si="20"/>
        <v>#N/A</v>
      </c>
      <c r="R94" t="e">
        <f t="shared" si="21"/>
        <v>#N/A</v>
      </c>
      <c r="S94" s="10" t="e">
        <f>CHOOSE(option!$D$2,
history!$O94,
FORECAST(history!$J94, history!$O94:$P94, history!$K94:$L94),
FORECAST(history!$J94, history!$O94:$P94, history!$K94:$L94),
FORECAST(history!$J94, history!$O94:$P94, history!$K94:$L94),
history!$P94,
history!$Q94
)</f>
        <v>#N/A</v>
      </c>
      <c r="T94" t="e">
        <f t="shared" si="27"/>
        <v>#N/A</v>
      </c>
      <c r="U94" t="e">
        <f t="shared" si="28"/>
        <v>#N/A</v>
      </c>
      <c r="V94" t="e">
        <f t="shared" si="29"/>
        <v>#N/A</v>
      </c>
      <c r="W94" s="10" t="e">
        <f t="shared" si="30"/>
        <v>#N/A</v>
      </c>
      <c r="X94" s="2"/>
      <c r="Z94" s="2"/>
      <c r="AB94" t="e">
        <f t="shared" si="22"/>
        <v>#N/A</v>
      </c>
      <c r="AD94" s="2">
        <v>45537</v>
      </c>
      <c r="AE94">
        <v>3.5209999999999999</v>
      </c>
      <c r="AF94">
        <v>3.52</v>
      </c>
      <c r="AG94">
        <v>3.0430000000000001</v>
      </c>
      <c r="AH94">
        <v>3.0510000000000002</v>
      </c>
      <c r="AI94">
        <v>5.0140000000000002</v>
      </c>
      <c r="AJ94">
        <v>5.35</v>
      </c>
      <c r="AK94">
        <v>5.1929999999999996</v>
      </c>
    </row>
    <row r="95" spans="1:37" x14ac:dyDescent="0.3">
      <c r="A95" s="2"/>
      <c r="D95" s="2" t="str">
        <f t="shared" si="23"/>
        <v/>
      </c>
      <c r="F95" s="2"/>
      <c r="I95" s="2" t="str">
        <f t="shared" si="24"/>
        <v/>
      </c>
      <c r="J95" t="e">
        <f t="shared" si="25"/>
        <v>#VALUE!</v>
      </c>
      <c r="K95" t="e">
        <f t="shared" si="26"/>
        <v>#N/A</v>
      </c>
      <c r="L95">
        <v>91</v>
      </c>
      <c r="M95">
        <v>365</v>
      </c>
      <c r="N95">
        <v>730</v>
      </c>
      <c r="O95" t="e">
        <f t="shared" si="18"/>
        <v>#N/A</v>
      </c>
      <c r="P95" t="e">
        <f t="shared" si="19"/>
        <v>#N/A</v>
      </c>
      <c r="Q95" t="e">
        <f t="shared" si="20"/>
        <v>#N/A</v>
      </c>
      <c r="R95" t="e">
        <f t="shared" si="21"/>
        <v>#N/A</v>
      </c>
      <c r="S95" s="10" t="e">
        <f>CHOOSE(option!$D$2,
history!$O95,
FORECAST(history!$J95, history!$O95:$P95, history!$K95:$L95),
FORECAST(history!$J95, history!$O95:$P95, history!$K95:$L95),
FORECAST(history!$J95, history!$O95:$P95, history!$K95:$L95),
history!$P95,
history!$Q95
)</f>
        <v>#N/A</v>
      </c>
      <c r="T95" t="e">
        <f t="shared" si="27"/>
        <v>#N/A</v>
      </c>
      <c r="U95" t="e">
        <f t="shared" si="28"/>
        <v>#N/A</v>
      </c>
      <c r="V95" t="e">
        <f t="shared" si="29"/>
        <v>#N/A</v>
      </c>
      <c r="W95" s="10" t="e">
        <f t="shared" si="30"/>
        <v>#N/A</v>
      </c>
      <c r="X95" s="2"/>
      <c r="Z95" s="2"/>
      <c r="AB95" t="e">
        <f t="shared" si="22"/>
        <v>#N/A</v>
      </c>
      <c r="AD95" s="2">
        <v>45536</v>
      </c>
      <c r="AE95">
        <v>3.5430000000000001</v>
      </c>
      <c r="AF95">
        <v>3.52</v>
      </c>
      <c r="AG95">
        <v>3.0430000000000001</v>
      </c>
      <c r="AH95">
        <v>3.0219999999999998</v>
      </c>
      <c r="AI95">
        <v>5.0140000000000002</v>
      </c>
      <c r="AJ95">
        <v>5.35</v>
      </c>
      <c r="AK95">
        <v>5.1929999999999996</v>
      </c>
    </row>
    <row r="96" spans="1:37" x14ac:dyDescent="0.3">
      <c r="A96" s="2"/>
      <c r="D96" s="2" t="str">
        <f t="shared" si="23"/>
        <v/>
      </c>
      <c r="F96" s="2"/>
      <c r="I96" s="2" t="str">
        <f t="shared" si="24"/>
        <v/>
      </c>
      <c r="J96" t="e">
        <f t="shared" si="25"/>
        <v>#VALUE!</v>
      </c>
      <c r="K96" t="e">
        <f t="shared" si="26"/>
        <v>#N/A</v>
      </c>
      <c r="L96">
        <v>91</v>
      </c>
      <c r="M96">
        <v>365</v>
      </c>
      <c r="N96">
        <v>730</v>
      </c>
      <c r="O96" t="e">
        <f t="shared" si="18"/>
        <v>#N/A</v>
      </c>
      <c r="P96" t="e">
        <f t="shared" si="19"/>
        <v>#N/A</v>
      </c>
      <c r="Q96" t="e">
        <f t="shared" si="20"/>
        <v>#N/A</v>
      </c>
      <c r="R96" t="e">
        <f t="shared" si="21"/>
        <v>#N/A</v>
      </c>
      <c r="S96" s="10" t="e">
        <f>CHOOSE(option!$D$2,
history!$O96,
FORECAST(history!$J96, history!$O96:$P96, history!$K96:$L96),
FORECAST(history!$J96, history!$O96:$P96, history!$K96:$L96),
FORECAST(history!$J96, history!$O96:$P96, history!$K96:$L96),
history!$P96,
history!$Q96
)</f>
        <v>#N/A</v>
      </c>
      <c r="T96" t="e">
        <f t="shared" si="27"/>
        <v>#N/A</v>
      </c>
      <c r="U96" t="e">
        <f t="shared" si="28"/>
        <v>#N/A</v>
      </c>
      <c r="V96" t="e">
        <f t="shared" si="29"/>
        <v>#N/A</v>
      </c>
      <c r="W96" s="10" t="e">
        <f t="shared" si="30"/>
        <v>#N/A</v>
      </c>
      <c r="X96" s="2"/>
      <c r="Z96" s="2"/>
      <c r="AB96" t="e">
        <f t="shared" si="22"/>
        <v>#N/A</v>
      </c>
      <c r="AD96" s="2">
        <v>45535</v>
      </c>
      <c r="AE96">
        <v>3.5430000000000001</v>
      </c>
      <c r="AF96">
        <v>3.52</v>
      </c>
      <c r="AG96">
        <v>3.0430000000000001</v>
      </c>
      <c r="AH96">
        <v>3.0219999999999998</v>
      </c>
      <c r="AI96">
        <v>5.0140000000000002</v>
      </c>
      <c r="AJ96">
        <v>5.35</v>
      </c>
      <c r="AK96">
        <v>5.1929999999999996</v>
      </c>
    </row>
    <row r="97" spans="1:37" x14ac:dyDescent="0.3">
      <c r="A97" s="2"/>
      <c r="D97" s="2" t="str">
        <f t="shared" si="23"/>
        <v/>
      </c>
      <c r="F97" s="2"/>
      <c r="I97" s="2" t="str">
        <f t="shared" si="24"/>
        <v/>
      </c>
      <c r="J97" t="e">
        <f t="shared" si="25"/>
        <v>#VALUE!</v>
      </c>
      <c r="K97" t="e">
        <f t="shared" si="26"/>
        <v>#N/A</v>
      </c>
      <c r="L97">
        <v>91</v>
      </c>
      <c r="M97">
        <v>365</v>
      </c>
      <c r="N97">
        <v>730</v>
      </c>
      <c r="O97" t="e">
        <f t="shared" si="18"/>
        <v>#N/A</v>
      </c>
      <c r="P97" t="e">
        <f t="shared" si="19"/>
        <v>#N/A</v>
      </c>
      <c r="Q97" t="e">
        <f t="shared" si="20"/>
        <v>#N/A</v>
      </c>
      <c r="R97" t="e">
        <f t="shared" si="21"/>
        <v>#N/A</v>
      </c>
      <c r="S97" s="10" t="e">
        <f>CHOOSE(option!$D$2,
history!$O97,
FORECAST(history!$J97, history!$O97:$P97, history!$K97:$L97),
FORECAST(history!$J97, history!$O97:$P97, history!$K97:$L97),
FORECAST(history!$J97, history!$O97:$P97, history!$K97:$L97),
history!$P97,
history!$Q97
)</f>
        <v>#N/A</v>
      </c>
      <c r="T97" t="e">
        <f t="shared" si="27"/>
        <v>#N/A</v>
      </c>
      <c r="U97" t="e">
        <f t="shared" si="28"/>
        <v>#N/A</v>
      </c>
      <c r="V97" t="e">
        <f t="shared" si="29"/>
        <v>#N/A</v>
      </c>
      <c r="W97" s="10" t="e">
        <f t="shared" si="30"/>
        <v>#N/A</v>
      </c>
      <c r="X97" s="2"/>
      <c r="Z97" s="2"/>
      <c r="AB97" t="e">
        <f t="shared" si="22"/>
        <v>#N/A</v>
      </c>
      <c r="AD97" s="2">
        <v>45534</v>
      </c>
      <c r="AE97">
        <v>3.5430000000000001</v>
      </c>
      <c r="AF97">
        <v>3.52</v>
      </c>
      <c r="AG97">
        <v>3.0430000000000001</v>
      </c>
      <c r="AH97">
        <v>3.0219999999999998</v>
      </c>
      <c r="AI97">
        <v>5.0140000000000002</v>
      </c>
      <c r="AJ97">
        <v>5.35</v>
      </c>
      <c r="AK97">
        <v>5.1929999999999996</v>
      </c>
    </row>
    <row r="98" spans="1:37" x14ac:dyDescent="0.3">
      <c r="A98" s="2"/>
      <c r="D98" s="2" t="str">
        <f t="shared" si="23"/>
        <v/>
      </c>
      <c r="F98" s="2"/>
      <c r="I98" s="2" t="str">
        <f t="shared" si="24"/>
        <v/>
      </c>
      <c r="J98" t="e">
        <f t="shared" si="25"/>
        <v>#VALUE!</v>
      </c>
      <c r="K98" t="e">
        <f t="shared" si="26"/>
        <v>#N/A</v>
      </c>
      <c r="L98">
        <v>91</v>
      </c>
      <c r="M98">
        <v>365</v>
      </c>
      <c r="N98">
        <v>730</v>
      </c>
      <c r="O98" t="e">
        <f t="shared" si="18"/>
        <v>#N/A</v>
      </c>
      <c r="P98" t="e">
        <f t="shared" si="19"/>
        <v>#N/A</v>
      </c>
      <c r="Q98" t="e">
        <f t="shared" si="20"/>
        <v>#N/A</v>
      </c>
      <c r="R98" t="e">
        <f t="shared" si="21"/>
        <v>#N/A</v>
      </c>
      <c r="S98" s="10" t="e">
        <f>CHOOSE(option!$D$2,
history!$O98,
FORECAST(history!$J98, history!$O98:$P98, history!$K98:$L98),
FORECAST(history!$J98, history!$O98:$P98, history!$K98:$L98),
FORECAST(history!$J98, history!$O98:$P98, history!$K98:$L98),
history!$P98,
history!$Q98
)</f>
        <v>#N/A</v>
      </c>
      <c r="T98" t="e">
        <f t="shared" si="27"/>
        <v>#N/A</v>
      </c>
      <c r="U98" t="e">
        <f t="shared" si="28"/>
        <v>#N/A</v>
      </c>
      <c r="V98" t="e">
        <f t="shared" si="29"/>
        <v>#N/A</v>
      </c>
      <c r="W98" s="10" t="e">
        <f t="shared" si="30"/>
        <v>#N/A</v>
      </c>
      <c r="X98" s="2"/>
      <c r="Z98" s="2"/>
      <c r="AB98" t="e">
        <f t="shared" si="22"/>
        <v>#N/A</v>
      </c>
      <c r="AD98" s="2">
        <v>45533</v>
      </c>
      <c r="AE98">
        <v>3.5030000000000001</v>
      </c>
      <c r="AF98">
        <v>3.52</v>
      </c>
      <c r="AG98">
        <v>3.048</v>
      </c>
      <c r="AH98">
        <v>3.0129999999999999</v>
      </c>
      <c r="AI98">
        <v>5.0279999999999996</v>
      </c>
      <c r="AJ98">
        <v>5.35</v>
      </c>
      <c r="AK98">
        <v>5.2069999999999999</v>
      </c>
    </row>
    <row r="99" spans="1:37" x14ac:dyDescent="0.3">
      <c r="A99" s="2"/>
      <c r="D99" s="2" t="str">
        <f t="shared" si="23"/>
        <v/>
      </c>
      <c r="F99" s="2"/>
      <c r="I99" s="2" t="str">
        <f t="shared" si="24"/>
        <v/>
      </c>
      <c r="J99" t="e">
        <f t="shared" si="25"/>
        <v>#VALUE!</v>
      </c>
      <c r="K99" t="e">
        <f t="shared" si="26"/>
        <v>#N/A</v>
      </c>
      <c r="L99">
        <v>91</v>
      </c>
      <c r="M99">
        <v>365</v>
      </c>
      <c r="N99">
        <v>730</v>
      </c>
      <c r="O99" t="e">
        <f t="shared" si="18"/>
        <v>#N/A</v>
      </c>
      <c r="P99" t="e">
        <f t="shared" si="19"/>
        <v>#N/A</v>
      </c>
      <c r="Q99" t="e">
        <f t="shared" si="20"/>
        <v>#N/A</v>
      </c>
      <c r="R99" t="e">
        <f t="shared" si="21"/>
        <v>#N/A</v>
      </c>
      <c r="S99" s="10" t="e">
        <f>CHOOSE(option!$D$2,
history!$O99,
FORECAST(history!$J99, history!$O99:$P99, history!$K99:$L99),
FORECAST(history!$J99, history!$O99:$P99, history!$K99:$L99),
FORECAST(history!$J99, history!$O99:$P99, history!$K99:$L99),
history!$P99,
history!$Q99
)</f>
        <v>#N/A</v>
      </c>
      <c r="T99" t="e">
        <f t="shared" si="27"/>
        <v>#N/A</v>
      </c>
      <c r="U99" t="e">
        <f t="shared" si="28"/>
        <v>#N/A</v>
      </c>
      <c r="V99" t="e">
        <f t="shared" si="29"/>
        <v>#N/A</v>
      </c>
      <c r="W99" s="10" t="e">
        <f t="shared" si="30"/>
        <v>#N/A</v>
      </c>
      <c r="X99" s="2"/>
      <c r="Z99" s="2"/>
      <c r="AB99" t="e">
        <f t="shared" si="22"/>
        <v>#N/A</v>
      </c>
      <c r="AD99" s="2">
        <v>45532</v>
      </c>
      <c r="AE99">
        <v>3.5049999999999999</v>
      </c>
      <c r="AF99">
        <v>3.52</v>
      </c>
      <c r="AG99">
        <v>3.0379999999999998</v>
      </c>
      <c r="AH99">
        <v>2.992</v>
      </c>
      <c r="AI99">
        <v>5.0449999999999999</v>
      </c>
      <c r="AJ99">
        <v>5.34</v>
      </c>
      <c r="AK99">
        <v>5.2380000000000004</v>
      </c>
    </row>
    <row r="100" spans="1:37" x14ac:dyDescent="0.3">
      <c r="A100" s="2"/>
      <c r="D100" s="2" t="str">
        <f t="shared" si="23"/>
        <v/>
      </c>
      <c r="F100" s="2"/>
      <c r="I100" s="2" t="str">
        <f t="shared" si="24"/>
        <v/>
      </c>
      <c r="J100" t="e">
        <f t="shared" si="25"/>
        <v>#VALUE!</v>
      </c>
      <c r="K100" t="e">
        <f t="shared" si="26"/>
        <v>#N/A</v>
      </c>
      <c r="L100">
        <v>91</v>
      </c>
      <c r="M100">
        <v>365</v>
      </c>
      <c r="N100">
        <v>730</v>
      </c>
      <c r="O100" t="e">
        <f t="shared" si="18"/>
        <v>#N/A</v>
      </c>
      <c r="P100" t="e">
        <f t="shared" si="19"/>
        <v>#N/A</v>
      </c>
      <c r="Q100" t="e">
        <f t="shared" si="20"/>
        <v>#N/A</v>
      </c>
      <c r="R100" t="e">
        <f t="shared" si="21"/>
        <v>#N/A</v>
      </c>
      <c r="S100" s="10" t="e">
        <f>CHOOSE(option!$D$2,
history!$O100,
FORECAST(history!$J100, history!$O100:$P100, history!$K100:$L100),
FORECAST(history!$J100, history!$O100:$P100, history!$K100:$L100),
FORECAST(history!$J100, history!$O100:$P100, history!$K100:$L100),
history!$P100,
history!$Q100
)</f>
        <v>#N/A</v>
      </c>
      <c r="T100" t="e">
        <f t="shared" si="27"/>
        <v>#N/A</v>
      </c>
      <c r="U100" t="e">
        <f t="shared" si="28"/>
        <v>#N/A</v>
      </c>
      <c r="V100" t="e">
        <f t="shared" si="29"/>
        <v>#N/A</v>
      </c>
      <c r="W100" s="10" t="e">
        <f t="shared" si="30"/>
        <v>#N/A</v>
      </c>
      <c r="X100" s="2"/>
      <c r="Z100" s="2"/>
      <c r="AB100" t="e">
        <f t="shared" si="22"/>
        <v>#N/A</v>
      </c>
      <c r="AD100" s="2">
        <v>45531</v>
      </c>
      <c r="AE100">
        <v>3.5089999999999999</v>
      </c>
      <c r="AF100">
        <v>3.52</v>
      </c>
      <c r="AG100">
        <v>3.05</v>
      </c>
      <c r="AH100">
        <v>3.008</v>
      </c>
      <c r="AI100">
        <v>5.056</v>
      </c>
      <c r="AJ100">
        <v>5.33</v>
      </c>
      <c r="AK100">
        <v>5.2469999999999999</v>
      </c>
    </row>
    <row r="101" spans="1:37" x14ac:dyDescent="0.3">
      <c r="A101" s="2"/>
      <c r="D101" s="2" t="str">
        <f t="shared" si="23"/>
        <v/>
      </c>
      <c r="F101" s="2"/>
      <c r="I101" s="2" t="str">
        <f t="shared" si="24"/>
        <v/>
      </c>
      <c r="J101" t="e">
        <f t="shared" si="25"/>
        <v>#VALUE!</v>
      </c>
      <c r="K101" t="e">
        <f t="shared" si="26"/>
        <v>#N/A</v>
      </c>
      <c r="L101">
        <v>91</v>
      </c>
      <c r="M101">
        <v>365</v>
      </c>
      <c r="N101">
        <v>730</v>
      </c>
      <c r="O101" t="e">
        <f t="shared" si="18"/>
        <v>#N/A</v>
      </c>
      <c r="P101" t="e">
        <f t="shared" si="19"/>
        <v>#N/A</v>
      </c>
      <c r="Q101" t="e">
        <f t="shared" si="20"/>
        <v>#N/A</v>
      </c>
      <c r="R101" t="e">
        <f t="shared" si="21"/>
        <v>#N/A</v>
      </c>
      <c r="S101" s="10" t="e">
        <f>CHOOSE(option!$D$2,
history!$O101,
FORECAST(history!$J101, history!$O101:$P101, history!$K101:$L101),
FORECAST(history!$J101, history!$O101:$P101, history!$K101:$L101),
FORECAST(history!$J101, history!$O101:$P101, history!$K101:$L101),
history!$P101,
history!$Q101
)</f>
        <v>#N/A</v>
      </c>
      <c r="T101" t="e">
        <f t="shared" si="27"/>
        <v>#N/A</v>
      </c>
      <c r="U101" t="e">
        <f t="shared" si="28"/>
        <v>#N/A</v>
      </c>
      <c r="V101" t="e">
        <f t="shared" si="29"/>
        <v>#N/A</v>
      </c>
      <c r="W101" s="10" t="e">
        <f t="shared" si="30"/>
        <v>#N/A</v>
      </c>
      <c r="X101" s="2"/>
      <c r="Z101" s="2"/>
      <c r="AB101" t="e">
        <f t="shared" si="22"/>
        <v>#N/A</v>
      </c>
      <c r="AD101" s="2">
        <v>45530</v>
      </c>
      <c r="AE101">
        <v>3.528</v>
      </c>
      <c r="AF101">
        <v>3.51</v>
      </c>
      <c r="AG101">
        <v>3.02</v>
      </c>
      <c r="AH101">
        <v>2.9670000000000001</v>
      </c>
      <c r="AI101">
        <v>5.0679999999999996</v>
      </c>
      <c r="AJ101">
        <v>5.33</v>
      </c>
      <c r="AK101">
        <v>5.2519999999999998</v>
      </c>
    </row>
    <row r="102" spans="1:37" x14ac:dyDescent="0.3">
      <c r="A102" s="2"/>
      <c r="D102" s="2" t="str">
        <f t="shared" si="23"/>
        <v/>
      </c>
      <c r="F102" s="2"/>
      <c r="I102" s="2" t="str">
        <f t="shared" si="24"/>
        <v/>
      </c>
      <c r="J102" t="e">
        <f t="shared" si="25"/>
        <v>#VALUE!</v>
      </c>
      <c r="K102" t="e">
        <f t="shared" si="26"/>
        <v>#N/A</v>
      </c>
      <c r="L102">
        <v>91</v>
      </c>
      <c r="M102">
        <v>365</v>
      </c>
      <c r="N102">
        <v>730</v>
      </c>
      <c r="O102" t="e">
        <f t="shared" si="18"/>
        <v>#N/A</v>
      </c>
      <c r="P102" t="e">
        <f t="shared" si="19"/>
        <v>#N/A</v>
      </c>
      <c r="Q102" t="e">
        <f t="shared" si="20"/>
        <v>#N/A</v>
      </c>
      <c r="R102" t="e">
        <f t="shared" si="21"/>
        <v>#N/A</v>
      </c>
      <c r="S102" s="10" t="e">
        <f>CHOOSE(option!$D$2,
history!$O102,
FORECAST(history!$J102, history!$O102:$P102, history!$K102:$L102),
FORECAST(history!$J102, history!$O102:$P102, history!$K102:$L102),
FORECAST(history!$J102, history!$O102:$P102, history!$K102:$L102),
history!$P102,
history!$Q102
)</f>
        <v>#N/A</v>
      </c>
      <c r="T102" t="e">
        <f t="shared" si="27"/>
        <v>#N/A</v>
      </c>
      <c r="U102" t="e">
        <f t="shared" si="28"/>
        <v>#N/A</v>
      </c>
      <c r="V102" t="e">
        <f t="shared" si="29"/>
        <v>#N/A</v>
      </c>
      <c r="W102" s="10" t="e">
        <f t="shared" si="30"/>
        <v>#N/A</v>
      </c>
      <c r="X102" s="2"/>
      <c r="Z102" s="2"/>
      <c r="AB102" t="e">
        <f t="shared" si="22"/>
        <v>#N/A</v>
      </c>
      <c r="AD102" s="2">
        <v>45529</v>
      </c>
      <c r="AE102">
        <v>3.5230000000000001</v>
      </c>
      <c r="AF102">
        <v>3.51</v>
      </c>
      <c r="AG102">
        <v>3.0230000000000001</v>
      </c>
      <c r="AH102">
        <v>2.9910000000000001</v>
      </c>
      <c r="AI102">
        <v>5.0609999999999999</v>
      </c>
      <c r="AJ102">
        <v>5.32</v>
      </c>
      <c r="AK102">
        <v>5.27</v>
      </c>
    </row>
    <row r="103" spans="1:37" x14ac:dyDescent="0.3">
      <c r="A103" s="2"/>
      <c r="D103" s="2" t="str">
        <f t="shared" si="23"/>
        <v/>
      </c>
      <c r="F103" s="2"/>
      <c r="I103" s="2" t="str">
        <f t="shared" si="24"/>
        <v/>
      </c>
      <c r="J103" t="e">
        <f t="shared" si="25"/>
        <v>#VALUE!</v>
      </c>
      <c r="K103" t="e">
        <f t="shared" si="26"/>
        <v>#N/A</v>
      </c>
      <c r="L103">
        <v>91</v>
      </c>
      <c r="M103">
        <v>365</v>
      </c>
      <c r="N103">
        <v>730</v>
      </c>
      <c r="O103" t="e">
        <f t="shared" si="18"/>
        <v>#N/A</v>
      </c>
      <c r="P103" t="e">
        <f t="shared" si="19"/>
        <v>#N/A</v>
      </c>
      <c r="Q103" t="e">
        <f t="shared" si="20"/>
        <v>#N/A</v>
      </c>
      <c r="R103" t="e">
        <f t="shared" si="21"/>
        <v>#N/A</v>
      </c>
      <c r="S103" s="10" t="e">
        <f>CHOOSE(option!$D$2,
history!$O103,
FORECAST(history!$J103, history!$O103:$P103, history!$K103:$L103),
FORECAST(history!$J103, history!$O103:$P103, history!$K103:$L103),
FORECAST(history!$J103, history!$O103:$P103, history!$K103:$L103),
history!$P103,
history!$Q103
)</f>
        <v>#N/A</v>
      </c>
      <c r="T103" t="e">
        <f t="shared" si="27"/>
        <v>#N/A</v>
      </c>
      <c r="U103" t="e">
        <f t="shared" si="28"/>
        <v>#N/A</v>
      </c>
      <c r="V103" t="e">
        <f t="shared" si="29"/>
        <v>#N/A</v>
      </c>
      <c r="W103" s="10" t="e">
        <f t="shared" si="30"/>
        <v>#N/A</v>
      </c>
      <c r="X103" s="2"/>
      <c r="Z103" s="2"/>
      <c r="AB103" t="e">
        <f t="shared" si="22"/>
        <v>#N/A</v>
      </c>
      <c r="AD103" s="2">
        <v>45528</v>
      </c>
      <c r="AE103">
        <v>3.5230000000000001</v>
      </c>
      <c r="AF103">
        <v>3.51</v>
      </c>
      <c r="AG103">
        <v>3.0230000000000001</v>
      </c>
      <c r="AH103">
        <v>2.9910000000000001</v>
      </c>
      <c r="AI103">
        <v>5.0609999999999999</v>
      </c>
      <c r="AJ103">
        <v>5.32</v>
      </c>
      <c r="AK103">
        <v>5.27</v>
      </c>
    </row>
    <row r="104" spans="1:37" x14ac:dyDescent="0.3">
      <c r="A104" s="2"/>
      <c r="D104" s="2" t="str">
        <f t="shared" si="23"/>
        <v/>
      </c>
      <c r="F104" s="2"/>
      <c r="I104" s="2" t="str">
        <f t="shared" si="24"/>
        <v/>
      </c>
      <c r="J104" t="e">
        <f t="shared" si="25"/>
        <v>#VALUE!</v>
      </c>
      <c r="K104" t="e">
        <f t="shared" si="26"/>
        <v>#N/A</v>
      </c>
      <c r="L104">
        <v>91</v>
      </c>
      <c r="M104">
        <v>365</v>
      </c>
      <c r="N104">
        <v>730</v>
      </c>
      <c r="O104" t="e">
        <f t="shared" si="18"/>
        <v>#N/A</v>
      </c>
      <c r="P104" t="e">
        <f t="shared" si="19"/>
        <v>#N/A</v>
      </c>
      <c r="Q104" t="e">
        <f t="shared" si="20"/>
        <v>#N/A</v>
      </c>
      <c r="R104" t="e">
        <f t="shared" si="21"/>
        <v>#N/A</v>
      </c>
      <c r="S104" s="10" t="e">
        <f>CHOOSE(option!$D$2,
history!$O104,
FORECAST(history!$J104, history!$O104:$P104, history!$K104:$L104),
FORECAST(history!$J104, history!$O104:$P104, history!$K104:$L104),
FORECAST(history!$J104, history!$O104:$P104, history!$K104:$L104),
history!$P104,
history!$Q104
)</f>
        <v>#N/A</v>
      </c>
      <c r="T104" t="e">
        <f t="shared" si="27"/>
        <v>#N/A</v>
      </c>
      <c r="U104" t="e">
        <f t="shared" si="28"/>
        <v>#N/A</v>
      </c>
      <c r="V104" t="e">
        <f t="shared" si="29"/>
        <v>#N/A</v>
      </c>
      <c r="W104" s="10" t="e">
        <f t="shared" si="30"/>
        <v>#N/A</v>
      </c>
      <c r="X104" s="2"/>
      <c r="Z104" s="2"/>
      <c r="AB104" t="e">
        <f t="shared" si="22"/>
        <v>#N/A</v>
      </c>
      <c r="AD104" s="2">
        <v>45527</v>
      </c>
      <c r="AE104">
        <v>3.5230000000000001</v>
      </c>
      <c r="AF104">
        <v>3.51</v>
      </c>
      <c r="AG104">
        <v>3.0230000000000001</v>
      </c>
      <c r="AH104">
        <v>2.9910000000000001</v>
      </c>
      <c r="AI104">
        <v>5.0609999999999999</v>
      </c>
      <c r="AJ104">
        <v>5.32</v>
      </c>
      <c r="AK104">
        <v>5.27</v>
      </c>
    </row>
    <row r="105" spans="1:37" x14ac:dyDescent="0.3">
      <c r="A105" s="2"/>
      <c r="D105" s="2" t="str">
        <f t="shared" si="23"/>
        <v/>
      </c>
      <c r="F105" s="2"/>
      <c r="I105" s="2" t="str">
        <f t="shared" si="24"/>
        <v/>
      </c>
      <c r="J105" t="e">
        <f t="shared" si="25"/>
        <v>#VALUE!</v>
      </c>
      <c r="K105" t="e">
        <f t="shared" si="26"/>
        <v>#N/A</v>
      </c>
      <c r="L105">
        <v>91</v>
      </c>
      <c r="M105">
        <v>365</v>
      </c>
      <c r="N105">
        <v>730</v>
      </c>
      <c r="O105" t="e">
        <f t="shared" si="18"/>
        <v>#N/A</v>
      </c>
      <c r="P105" t="e">
        <f t="shared" si="19"/>
        <v>#N/A</v>
      </c>
      <c r="Q105" t="e">
        <f t="shared" si="20"/>
        <v>#N/A</v>
      </c>
      <c r="R105" t="e">
        <f t="shared" si="21"/>
        <v>#N/A</v>
      </c>
      <c r="S105" s="10" t="e">
        <f>CHOOSE(option!$D$2,
history!$O105,
FORECAST(history!$J105, history!$O105:$P105, history!$K105:$L105),
FORECAST(history!$J105, history!$O105:$P105, history!$K105:$L105),
FORECAST(history!$J105, history!$O105:$P105, history!$K105:$L105),
history!$P105,
history!$Q105
)</f>
        <v>#N/A</v>
      </c>
      <c r="T105" t="e">
        <f t="shared" si="27"/>
        <v>#N/A</v>
      </c>
      <c r="U105" t="e">
        <f t="shared" si="28"/>
        <v>#N/A</v>
      </c>
      <c r="V105" t="e">
        <f t="shared" si="29"/>
        <v>#N/A</v>
      </c>
      <c r="W105" s="10" t="e">
        <f t="shared" si="30"/>
        <v>#N/A</v>
      </c>
      <c r="X105" s="2"/>
      <c r="Z105" s="2"/>
      <c r="AB105" t="e">
        <f t="shared" si="22"/>
        <v>#N/A</v>
      </c>
      <c r="AD105" s="2">
        <v>45526</v>
      </c>
      <c r="AE105">
        <v>3.5379999999999998</v>
      </c>
      <c r="AF105">
        <v>3.51</v>
      </c>
      <c r="AG105">
        <v>3.0059999999999998</v>
      </c>
      <c r="AH105">
        <v>2.98</v>
      </c>
      <c r="AI105">
        <v>5.0910000000000002</v>
      </c>
      <c r="AJ105">
        <v>5.32</v>
      </c>
      <c r="AK105">
        <v>5.2839999999999998</v>
      </c>
    </row>
    <row r="106" spans="1:37" x14ac:dyDescent="0.3">
      <c r="A106" s="2"/>
      <c r="D106" s="2" t="str">
        <f t="shared" si="23"/>
        <v/>
      </c>
      <c r="F106" s="2"/>
      <c r="I106" s="2" t="str">
        <f t="shared" si="24"/>
        <v/>
      </c>
      <c r="J106" t="e">
        <f t="shared" si="25"/>
        <v>#VALUE!</v>
      </c>
      <c r="K106" t="e">
        <f t="shared" si="26"/>
        <v>#N/A</v>
      </c>
      <c r="L106">
        <v>91</v>
      </c>
      <c r="M106">
        <v>365</v>
      </c>
      <c r="N106">
        <v>730</v>
      </c>
      <c r="O106" t="e">
        <f t="shared" si="18"/>
        <v>#N/A</v>
      </c>
      <c r="P106" t="e">
        <f t="shared" si="19"/>
        <v>#N/A</v>
      </c>
      <c r="Q106" t="e">
        <f t="shared" si="20"/>
        <v>#N/A</v>
      </c>
      <c r="R106" t="e">
        <f t="shared" si="21"/>
        <v>#N/A</v>
      </c>
      <c r="S106" s="10" t="e">
        <f>CHOOSE(option!$D$2,
history!$O106,
FORECAST(history!$J106, history!$O106:$P106, history!$K106:$L106),
FORECAST(history!$J106, history!$O106:$P106, history!$K106:$L106),
FORECAST(history!$J106, history!$O106:$P106, history!$K106:$L106),
history!$P106,
history!$Q106
)</f>
        <v>#N/A</v>
      </c>
      <c r="T106" t="e">
        <f t="shared" si="27"/>
        <v>#N/A</v>
      </c>
      <c r="U106" t="e">
        <f t="shared" si="28"/>
        <v>#N/A</v>
      </c>
      <c r="V106" t="e">
        <f t="shared" si="29"/>
        <v>#N/A</v>
      </c>
      <c r="W106" s="10" t="e">
        <f t="shared" si="30"/>
        <v>#N/A</v>
      </c>
      <c r="X106" s="2"/>
      <c r="Z106" s="2"/>
      <c r="AB106" t="e">
        <f t="shared" si="22"/>
        <v>#N/A</v>
      </c>
      <c r="AD106" s="2">
        <v>45525</v>
      </c>
      <c r="AE106">
        <v>3.536</v>
      </c>
      <c r="AF106">
        <v>3.52</v>
      </c>
      <c r="AG106">
        <v>3.0219999999999998</v>
      </c>
      <c r="AH106">
        <v>3.004</v>
      </c>
      <c r="AI106">
        <v>5.0750000000000002</v>
      </c>
      <c r="AJ106">
        <v>5.32</v>
      </c>
      <c r="AK106">
        <v>5.306</v>
      </c>
    </row>
    <row r="107" spans="1:37" x14ac:dyDescent="0.3">
      <c r="A107" s="2"/>
      <c r="F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U107" s="2"/>
      <c r="V107" s="2"/>
      <c r="W107" s="10"/>
      <c r="X107" s="2"/>
      <c r="Y107" s="2"/>
      <c r="Z107" s="2"/>
      <c r="AA107" s="2"/>
      <c r="AB107" s="2"/>
      <c r="AC107" s="2"/>
      <c r="AD107" s="2">
        <v>45524</v>
      </c>
      <c r="AE107">
        <v>3.5230000000000001</v>
      </c>
      <c r="AF107">
        <v>3.51</v>
      </c>
      <c r="AG107">
        <v>3.0350000000000001</v>
      </c>
      <c r="AH107">
        <v>3.0059999999999998</v>
      </c>
      <c r="AI107">
        <v>5.1029999999999998</v>
      </c>
      <c r="AJ107">
        <v>5.33</v>
      </c>
      <c r="AK107">
        <v>5.3070000000000004</v>
      </c>
    </row>
    <row r="108" spans="1:37" x14ac:dyDescent="0.3">
      <c r="A108" s="2"/>
      <c r="F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U108" s="2"/>
      <c r="V108" s="2"/>
      <c r="W108" s="10"/>
      <c r="X108" s="2"/>
      <c r="Y108" s="2"/>
      <c r="Z108" s="2"/>
      <c r="AA108" s="2"/>
      <c r="AB108" s="2"/>
      <c r="AC108" s="2"/>
      <c r="AD108" s="2">
        <v>45523</v>
      </c>
      <c r="AE108">
        <v>3.5379999999999998</v>
      </c>
      <c r="AF108">
        <v>3.51</v>
      </c>
      <c r="AG108">
        <v>3.032</v>
      </c>
      <c r="AH108">
        <v>2.9910000000000001</v>
      </c>
      <c r="AI108">
        <v>5.1289999999999996</v>
      </c>
      <c r="AJ108">
        <v>5.33</v>
      </c>
      <c r="AK108">
        <v>5.3109999999999999</v>
      </c>
    </row>
    <row r="109" spans="1:37" x14ac:dyDescent="0.3">
      <c r="A109" s="2"/>
      <c r="F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U109" s="2"/>
      <c r="V109" s="2"/>
      <c r="W109" s="10"/>
      <c r="X109" s="2"/>
      <c r="Y109" s="2"/>
      <c r="Z109" s="2"/>
      <c r="AA109" s="2"/>
      <c r="AB109" s="2"/>
      <c r="AC109" s="2"/>
      <c r="AD109" s="2">
        <v>45522</v>
      </c>
      <c r="AE109">
        <v>3.5539999999999998</v>
      </c>
      <c r="AF109">
        <v>3.51</v>
      </c>
      <c r="AG109">
        <v>3.0409999999999999</v>
      </c>
      <c r="AH109">
        <v>2.988</v>
      </c>
      <c r="AI109">
        <v>5.1239999999999997</v>
      </c>
      <c r="AJ109">
        <v>5.34</v>
      </c>
      <c r="AK109">
        <v>5.3339999999999996</v>
      </c>
    </row>
    <row r="110" spans="1:37" x14ac:dyDescent="0.3">
      <c r="A110" s="2"/>
      <c r="F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U110" s="2"/>
      <c r="V110" s="2"/>
      <c r="W110" s="10"/>
      <c r="X110" s="2"/>
      <c r="Y110" s="2"/>
      <c r="Z110" s="2"/>
      <c r="AA110" s="2"/>
      <c r="AB110" s="2"/>
      <c r="AC110" s="2"/>
      <c r="AD110" s="2">
        <v>45521</v>
      </c>
      <c r="AE110">
        <v>3.5539999999999998</v>
      </c>
      <c r="AF110">
        <v>3.51</v>
      </c>
      <c r="AG110">
        <v>3.0409999999999999</v>
      </c>
      <c r="AH110">
        <v>2.988</v>
      </c>
      <c r="AI110">
        <v>5.1239999999999997</v>
      </c>
      <c r="AJ110">
        <v>5.34</v>
      </c>
      <c r="AK110">
        <v>5.3339999999999996</v>
      </c>
    </row>
    <row r="111" spans="1:37" x14ac:dyDescent="0.3">
      <c r="A111" s="2"/>
      <c r="F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U111" s="2"/>
      <c r="V111" s="2"/>
      <c r="W111" s="10"/>
      <c r="X111" s="2"/>
      <c r="Y111" s="2"/>
      <c r="Z111" s="2"/>
      <c r="AA111" s="2"/>
      <c r="AB111" s="2"/>
      <c r="AC111" s="2"/>
      <c r="AD111" s="2">
        <v>45520</v>
      </c>
      <c r="AE111">
        <v>3.5539999999999998</v>
      </c>
      <c r="AF111">
        <v>3.51</v>
      </c>
      <c r="AG111">
        <v>3.0409999999999999</v>
      </c>
      <c r="AH111">
        <v>2.988</v>
      </c>
      <c r="AI111">
        <v>5.1239999999999997</v>
      </c>
      <c r="AJ111">
        <v>5.34</v>
      </c>
      <c r="AK111">
        <v>5.3339999999999996</v>
      </c>
    </row>
    <row r="112" spans="1:37" x14ac:dyDescent="0.3">
      <c r="A112" s="2"/>
      <c r="F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U112" s="2"/>
      <c r="V112" s="2"/>
      <c r="W112" s="10"/>
      <c r="X112" s="2"/>
      <c r="Y112" s="2"/>
      <c r="Z112" s="2"/>
      <c r="AA112" s="2"/>
      <c r="AB112" s="2"/>
      <c r="AC112" s="2"/>
      <c r="AD112" s="2">
        <v>45519</v>
      </c>
      <c r="AE112">
        <v>0</v>
      </c>
      <c r="AF112">
        <v>3.49</v>
      </c>
      <c r="AG112">
        <v>3.0190000000000001</v>
      </c>
      <c r="AH112">
        <v>2.9529999999999998</v>
      </c>
      <c r="AI112">
        <v>5.1360000000000001</v>
      </c>
      <c r="AJ112">
        <v>5.34</v>
      </c>
      <c r="AK112">
        <v>5.343</v>
      </c>
    </row>
    <row r="113" spans="1:37" x14ac:dyDescent="0.3">
      <c r="A113" s="2"/>
      <c r="F113" s="2"/>
      <c r="W113" s="10"/>
      <c r="X113" s="2"/>
      <c r="Z113" s="2"/>
      <c r="AD113" s="2">
        <v>45518</v>
      </c>
      <c r="AE113">
        <v>3.5609999999999999</v>
      </c>
      <c r="AF113">
        <v>3.49</v>
      </c>
      <c r="AG113">
        <v>3.0190000000000001</v>
      </c>
      <c r="AH113">
        <v>2.9529999999999998</v>
      </c>
      <c r="AI113">
        <v>5.1239999999999997</v>
      </c>
      <c r="AJ113">
        <v>5.34</v>
      </c>
      <c r="AK113">
        <v>5.343</v>
      </c>
    </row>
    <row r="114" spans="1:37" x14ac:dyDescent="0.3">
      <c r="A114" s="2"/>
      <c r="F114" s="2"/>
      <c r="W114" s="10"/>
      <c r="X114" s="2"/>
      <c r="Z114" s="2"/>
      <c r="AD114" s="2">
        <v>45517</v>
      </c>
      <c r="AE114">
        <v>3.5790000000000002</v>
      </c>
      <c r="AF114">
        <v>3.49</v>
      </c>
      <c r="AG114">
        <v>3.0390000000000001</v>
      </c>
      <c r="AH114">
        <v>2.976</v>
      </c>
      <c r="AI114">
        <v>5.1109999999999998</v>
      </c>
      <c r="AJ114">
        <v>5.34</v>
      </c>
      <c r="AK114">
        <v>5.3390000000000004</v>
      </c>
    </row>
    <row r="115" spans="1:37" x14ac:dyDescent="0.3">
      <c r="A115" s="2"/>
      <c r="F115" s="2"/>
      <c r="W115" s="10"/>
      <c r="X115" s="2"/>
      <c r="Z115" s="2"/>
      <c r="AD115" s="2">
        <v>45516</v>
      </c>
      <c r="AE115">
        <v>3.5339999999999998</v>
      </c>
      <c r="AF115">
        <v>3.46</v>
      </c>
      <c r="AG115">
        <v>3.0510000000000002</v>
      </c>
      <c r="AH115">
        <v>2.9969999999999999</v>
      </c>
      <c r="AI115">
        <v>5.1269999999999998</v>
      </c>
      <c r="AJ115">
        <v>5.33</v>
      </c>
      <c r="AK115">
        <v>5.3369999999999997</v>
      </c>
    </row>
    <row r="116" spans="1:37" x14ac:dyDescent="0.3">
      <c r="A116" s="2"/>
      <c r="F116" s="2"/>
      <c r="W116" s="10"/>
      <c r="X116" s="2"/>
      <c r="Z116" s="2"/>
      <c r="AD116" s="2">
        <v>45515</v>
      </c>
      <c r="AE116">
        <v>3.5310000000000001</v>
      </c>
      <c r="AF116">
        <v>3.47</v>
      </c>
      <c r="AG116">
        <v>3.0609999999999999</v>
      </c>
      <c r="AH116">
        <v>2.99</v>
      </c>
      <c r="AI116">
        <v>5.1349999999999998</v>
      </c>
      <c r="AJ116">
        <v>5.32</v>
      </c>
      <c r="AK116">
        <v>5.3390000000000004</v>
      </c>
    </row>
    <row r="117" spans="1:37" x14ac:dyDescent="0.3">
      <c r="A117" s="2"/>
      <c r="F117" s="2"/>
      <c r="W117" s="10"/>
      <c r="X117" s="2"/>
      <c r="Z117" s="2"/>
      <c r="AD117" s="2">
        <v>45514</v>
      </c>
      <c r="AE117">
        <v>3.5310000000000001</v>
      </c>
      <c r="AF117">
        <v>3.47</v>
      </c>
      <c r="AG117">
        <v>3.0609999999999999</v>
      </c>
      <c r="AH117">
        <v>2.99</v>
      </c>
      <c r="AI117">
        <v>5.1349999999999998</v>
      </c>
      <c r="AJ117">
        <v>5.32</v>
      </c>
      <c r="AK117">
        <v>5.3390000000000004</v>
      </c>
    </row>
    <row r="118" spans="1:37" x14ac:dyDescent="0.3">
      <c r="A118" s="2"/>
      <c r="F118" s="2"/>
      <c r="W118" s="10"/>
      <c r="X118" s="2"/>
      <c r="Z118" s="2"/>
      <c r="AD118" s="2">
        <v>45513</v>
      </c>
      <c r="AE118">
        <v>3.5310000000000001</v>
      </c>
      <c r="AF118">
        <v>3.47</v>
      </c>
      <c r="AG118">
        <v>3.0609999999999999</v>
      </c>
      <c r="AH118">
        <v>2.99</v>
      </c>
      <c r="AI118">
        <v>5.1349999999999998</v>
      </c>
      <c r="AJ118">
        <v>5.32</v>
      </c>
      <c r="AK118">
        <v>5.3390000000000004</v>
      </c>
    </row>
    <row r="119" spans="1:37" x14ac:dyDescent="0.3">
      <c r="A119" s="2"/>
      <c r="F119" s="2"/>
      <c r="W119" s="10"/>
      <c r="X119" s="2"/>
      <c r="Z119" s="2"/>
      <c r="AD119" s="2">
        <v>45512</v>
      </c>
      <c r="AE119">
        <v>3.5310000000000001</v>
      </c>
      <c r="AF119">
        <v>3.47</v>
      </c>
      <c r="AG119">
        <v>3.0609999999999999</v>
      </c>
      <c r="AH119">
        <v>2.97</v>
      </c>
      <c r="AI119">
        <v>5.1289999999999996</v>
      </c>
      <c r="AJ119">
        <v>5.35</v>
      </c>
      <c r="AK119">
        <v>5.3369999999999997</v>
      </c>
    </row>
    <row r="120" spans="1:37" x14ac:dyDescent="0.3">
      <c r="A120" s="2"/>
      <c r="F120" s="2"/>
      <c r="W120" s="10"/>
      <c r="X120" s="2"/>
      <c r="Z120" s="2"/>
      <c r="AD120" s="2">
        <v>45511</v>
      </c>
      <c r="AE120">
        <v>3.4870000000000001</v>
      </c>
      <c r="AF120">
        <v>3.48</v>
      </c>
      <c r="AG120">
        <v>3.0710000000000002</v>
      </c>
      <c r="AH120">
        <v>2.9889999999999999</v>
      </c>
      <c r="AI120">
        <v>5.1020000000000003</v>
      </c>
      <c r="AJ120">
        <v>5.35</v>
      </c>
      <c r="AK120">
        <v>5.3250000000000002</v>
      </c>
    </row>
    <row r="121" spans="1:37" x14ac:dyDescent="0.3">
      <c r="A121" s="2"/>
      <c r="F121" s="2"/>
      <c r="W121" s="10"/>
      <c r="X121" s="2"/>
      <c r="Z121" s="2"/>
      <c r="AD121" s="2">
        <v>45510</v>
      </c>
      <c r="AE121">
        <v>3.5350000000000001</v>
      </c>
      <c r="AF121">
        <v>3.47</v>
      </c>
      <c r="AG121">
        <v>3.0830000000000002</v>
      </c>
      <c r="AH121">
        <v>2.9990000000000001</v>
      </c>
      <c r="AI121">
        <v>5.1289999999999996</v>
      </c>
      <c r="AJ121">
        <v>5.38</v>
      </c>
      <c r="AK121">
        <v>5.3310000000000004</v>
      </c>
    </row>
    <row r="122" spans="1:37" x14ac:dyDescent="0.3">
      <c r="A122" s="2"/>
      <c r="F122" s="2"/>
      <c r="W122" s="10"/>
      <c r="X122" s="2"/>
      <c r="Z122" s="2"/>
      <c r="AD122" s="2">
        <v>45509</v>
      </c>
      <c r="AE122">
        <v>3.5449999999999999</v>
      </c>
      <c r="AF122">
        <v>3.48</v>
      </c>
      <c r="AG122">
        <v>3.04</v>
      </c>
      <c r="AH122">
        <v>2.899</v>
      </c>
      <c r="AI122">
        <v>5.101</v>
      </c>
      <c r="AJ122">
        <v>5.34</v>
      </c>
      <c r="AK122">
        <v>5.32</v>
      </c>
    </row>
    <row r="123" spans="1:37" x14ac:dyDescent="0.3">
      <c r="A123" s="2"/>
      <c r="F123" s="2"/>
      <c r="W123" s="10"/>
      <c r="X123" s="2"/>
      <c r="Z123" s="2"/>
      <c r="AD123" s="2">
        <v>45508</v>
      </c>
      <c r="AE123">
        <v>3.5419999999999998</v>
      </c>
      <c r="AF123">
        <v>3.48</v>
      </c>
      <c r="AG123">
        <v>3.1</v>
      </c>
      <c r="AH123">
        <v>3.004</v>
      </c>
      <c r="AI123">
        <v>5.1360000000000001</v>
      </c>
      <c r="AJ123">
        <v>5.35</v>
      </c>
      <c r="AK123">
        <v>5.3289999999999997</v>
      </c>
    </row>
    <row r="124" spans="1:37" x14ac:dyDescent="0.3">
      <c r="A124" s="2"/>
      <c r="F124" s="2"/>
      <c r="W124" s="10"/>
      <c r="X124" s="2"/>
      <c r="Z124" s="2"/>
      <c r="AD124" s="2">
        <v>45507</v>
      </c>
      <c r="AE124">
        <v>3.5419999999999998</v>
      </c>
      <c r="AF124">
        <v>3.48</v>
      </c>
      <c r="AG124">
        <v>3.1</v>
      </c>
      <c r="AH124">
        <v>3.004</v>
      </c>
      <c r="AI124">
        <v>5.1360000000000001</v>
      </c>
      <c r="AJ124">
        <v>5.35</v>
      </c>
      <c r="AK124">
        <v>5.3289999999999997</v>
      </c>
    </row>
    <row r="125" spans="1:37" x14ac:dyDescent="0.3">
      <c r="A125" s="2"/>
      <c r="F125" s="2"/>
      <c r="W125" s="10"/>
      <c r="X125" s="2"/>
      <c r="Z125" s="2"/>
      <c r="AD125" s="2">
        <v>45506</v>
      </c>
      <c r="AE125">
        <v>3.5419999999999998</v>
      </c>
      <c r="AF125">
        <v>3.48</v>
      </c>
      <c r="AG125">
        <v>3.1</v>
      </c>
      <c r="AH125">
        <v>3.004</v>
      </c>
      <c r="AI125">
        <v>5.1360000000000001</v>
      </c>
      <c r="AJ125">
        <v>5.35</v>
      </c>
      <c r="AK125">
        <v>5.3289999999999997</v>
      </c>
    </row>
    <row r="126" spans="1:37" x14ac:dyDescent="0.3">
      <c r="A126" s="2"/>
      <c r="F126" s="2"/>
      <c r="W126" s="10"/>
      <c r="X126" s="2"/>
      <c r="Z126" s="2"/>
      <c r="AD126" s="2">
        <v>45505</v>
      </c>
      <c r="AE126">
        <v>3.512</v>
      </c>
      <c r="AF126">
        <v>3.49</v>
      </c>
      <c r="AG126">
        <v>3.1280000000000001</v>
      </c>
      <c r="AH126">
        <v>3.0430000000000001</v>
      </c>
      <c r="AI126">
        <v>5.2089999999999996</v>
      </c>
      <c r="AJ126">
        <v>5.36</v>
      </c>
      <c r="AK126">
        <v>5.3449999999999998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cal</vt:lpstr>
      <vt:lpstr>option</vt:lpstr>
      <vt:lpstr>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Snow Jung</dc:creator>
  <cp:lastModifiedBy>Snow Jung</cp:lastModifiedBy>
  <dcterms:created xsi:type="dcterms:W3CDTF">2025-01-21T04:06:22Z</dcterms:created>
  <dcterms:modified xsi:type="dcterms:W3CDTF">2025-01-22T23:34:53Z</dcterms:modified>
</cp:coreProperties>
</file>