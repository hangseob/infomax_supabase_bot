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-105" yWindow="3990" windowWidth="16080" windowHeight="940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S1" i="1" l="1"/>
  <c r="G9" i="1"/>
  <c r="G12" i="1"/>
  <c r="F12" i="1"/>
  <c r="E12" i="1"/>
  <c r="D12" i="1"/>
  <c r="C12" i="1"/>
  <c r="G10" i="1"/>
  <c r="F10" i="1"/>
  <c r="E10" i="1"/>
  <c r="D10" i="1"/>
  <c r="C10" i="1"/>
  <c r="E13" i="1"/>
  <c r="E22" i="1" s="1"/>
  <c r="E14" i="1" s="1"/>
  <c r="E9" i="1"/>
  <c r="E11" i="1"/>
  <c r="D13" i="1"/>
  <c r="D22" i="1" s="1"/>
  <c r="D14" i="1" s="1"/>
  <c r="D9" i="1"/>
  <c r="D11" i="1"/>
  <c r="F13" i="1"/>
  <c r="F22" i="1" s="1"/>
  <c r="F14" i="1" s="1"/>
  <c r="F9" i="1"/>
  <c r="F11" i="1"/>
  <c r="G13" i="1"/>
  <c r="G22" i="1" s="1"/>
  <c r="G14" i="1" s="1"/>
  <c r="G11" i="1"/>
  <c r="U1" i="1"/>
  <c r="C11" i="1"/>
  <c r="C2" i="1"/>
  <c r="C13" i="1"/>
  <c r="C22" i="1" s="1"/>
  <c r="C14" i="1" s="1"/>
  <c r="C3" i="1"/>
  <c r="C9" i="1"/>
  <c r="F8" i="1"/>
  <c r="D8" i="1"/>
  <c r="E8" i="1"/>
  <c r="G8" i="1"/>
  <c r="C8" i="1"/>
  <c r="AB3" i="1"/>
  <c r="AN3" i="1"/>
  <c r="P3" i="1"/>
  <c r="AH3" i="1"/>
  <c r="V3" i="1"/>
  <c r="BA5" i="1" l="1"/>
  <c r="BA4" i="1" s="1"/>
  <c r="AY5" i="1"/>
  <c r="AY3" i="1" s="1"/>
  <c r="AX5" i="1"/>
  <c r="AX4" i="1" s="1"/>
  <c r="AW5" i="1"/>
  <c r="AW3" i="1" s="1"/>
  <c r="AZ5" i="1"/>
  <c r="AZ3" i="1" s="1"/>
  <c r="AZ2" i="1"/>
  <c r="F16" i="1" s="1"/>
  <c r="AY2" i="1"/>
  <c r="E16" i="1" s="1"/>
  <c r="AX2" i="1"/>
  <c r="D16" i="1" s="1"/>
  <c r="AW2" i="1"/>
  <c r="C16" i="1" s="1"/>
  <c r="BA2" i="1"/>
  <c r="G16" i="1" s="1"/>
  <c r="G15" i="1" l="1"/>
  <c r="AY4" i="1"/>
  <c r="E15" i="1" s="1"/>
  <c r="BA3" i="1"/>
  <c r="AZ4" i="1"/>
  <c r="F15" i="1" s="1"/>
  <c r="AW4" i="1"/>
  <c r="C15" i="1" s="1"/>
  <c r="AX3" i="1"/>
  <c r="D15" i="1" s="1"/>
  <c r="C18" i="1" l="1"/>
  <c r="D19" i="1"/>
  <c r="C19" i="1"/>
  <c r="D18" i="1"/>
</calcChain>
</file>

<file path=xl/comments1.xml><?xml version="1.0" encoding="utf-8"?>
<comments xmlns="http://schemas.openxmlformats.org/spreadsheetml/2006/main">
  <authors>
    <author>infomax</author>
  </authors>
  <commentList>
    <comment ref="X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0:거래일자 기준
1:토/일요일 제외
2:모든일자</t>
        </r>
      </text>
    </comment>
  </commentList>
</comments>
</file>

<file path=xl/sharedStrings.xml><?xml version="1.0" encoding="utf-8"?>
<sst xmlns="http://schemas.openxmlformats.org/spreadsheetml/2006/main" count="71" uniqueCount="47">
  <si>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</si>
  <si>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</si>
  <si>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</si>
  <si>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</si>
  <si>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</si>
  <si>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</si>
  <si>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</si>
  <si>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</si>
  <si>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일자</t>
  </si>
  <si>
    <t>뉴욕시가</t>
  </si>
  <si>
    <t>뉴욕고가</t>
  </si>
  <si>
    <t>뉴욕저가</t>
  </si>
  <si>
    <t>뉴욕종가</t>
  </si>
  <si>
    <t>뉴욕전일대비</t>
  </si>
  <si>
    <t>Max. Inc</t>
    <phoneticPr fontId="2" type="noConversion"/>
  </si>
  <si>
    <t>저가</t>
    <phoneticPr fontId="2" type="noConversion"/>
  </si>
  <si>
    <t>등락률</t>
    <phoneticPr fontId="2" type="noConversion"/>
  </si>
  <si>
    <t>방향</t>
    <phoneticPr fontId="2" type="noConversion"/>
  </si>
  <si>
    <t>평균</t>
    <phoneticPr fontId="2" type="noConversion"/>
  </si>
  <si>
    <t>현재가</t>
    <phoneticPr fontId="2" type="noConversion"/>
  </si>
  <si>
    <t>금일흐름</t>
    <phoneticPr fontId="2" type="noConversion"/>
  </si>
  <si>
    <t>변화</t>
    <phoneticPr fontId="2" type="noConversion"/>
  </si>
  <si>
    <t>상승</t>
    <phoneticPr fontId="2" type="noConversion"/>
  </si>
  <si>
    <t>시작일</t>
    <phoneticPr fontId="2" type="noConversion"/>
  </si>
  <si>
    <t>종료일</t>
    <phoneticPr fontId="2" type="noConversion"/>
  </si>
  <si>
    <t>Days</t>
    <phoneticPr fontId="2" type="noConversion"/>
  </si>
  <si>
    <t>* 노란색 부분을 사용자가 결정하여 해당 정보를 확인하게 됩니다.</t>
    <phoneticPr fontId="2" type="noConversion"/>
  </si>
  <si>
    <t>하락</t>
    <phoneticPr fontId="2" type="noConversion"/>
  </si>
  <si>
    <t>* 아래 통화쌍을 직접 입력하여 비교 통화를 결정합니다.</t>
    <phoneticPr fontId="2" type="noConversion"/>
  </si>
  <si>
    <t>변동폭</t>
    <phoneticPr fontId="2" type="noConversion"/>
  </si>
  <si>
    <t>통화</t>
    <phoneticPr fontId="2" type="noConversion"/>
  </si>
  <si>
    <t>DOLLAR</t>
    <phoneticPr fontId="2" type="noConversion"/>
  </si>
  <si>
    <t>EURUSD</t>
    <phoneticPr fontId="2" type="noConversion"/>
  </si>
  <si>
    <t>GBPUSD</t>
    <phoneticPr fontId="2" type="noConversion"/>
  </si>
  <si>
    <t>USDCHF</t>
    <phoneticPr fontId="2" type="noConversion"/>
  </si>
  <si>
    <t>USDJPY</t>
    <phoneticPr fontId="2" type="noConversion"/>
  </si>
  <si>
    <t>현재가-SPOT-를 표시합니다. (Bid가격입니다.)</t>
    <phoneticPr fontId="2" type="noConversion"/>
  </si>
  <si>
    <t>고가</t>
    <phoneticPr fontId="2" type="noConversion"/>
  </si>
  <si>
    <t>선택된 날 중 최고가를 표시하고 그 해당되는 날짜를 아래에 표시합니다.</t>
    <phoneticPr fontId="2" type="noConversion"/>
  </si>
  <si>
    <t>선택된 날 중 최저가를 표시하고 그 해당되는 날짜를 아래에 표시합니다.</t>
    <phoneticPr fontId="2" type="noConversion"/>
  </si>
  <si>
    <t>선택된 날의 평균값을 표시합니다.</t>
    <phoneticPr fontId="2" type="noConversion"/>
  </si>
  <si>
    <t>선택된 날의 평균을 기준으로 전일 종가를 대비하여 상승 +1/하락 -1 흐름을 표시합니다.</t>
    <phoneticPr fontId="2" type="noConversion"/>
  </si>
  <si>
    <t>최고/최저의 변화를 %로 표시합니다. 상승에서 하락은 -로 표시합니다.</t>
    <phoneticPr fontId="2" type="noConversion"/>
  </si>
  <si>
    <t>당일의 흐름이 전일까지와 다른 방향으로 갈 경우 'Change'표시를 합니다.</t>
    <phoneticPr fontId="2" type="noConversion"/>
  </si>
  <si>
    <t>선택된 날 기준으로, 최고 상승 통화를 표시합니다.</t>
    <phoneticPr fontId="2" type="noConversion"/>
  </si>
  <si>
    <t>Max. Dec</t>
    <phoneticPr fontId="2" type="noConversion"/>
  </si>
  <si>
    <t>선택된 날 기준으로 , 최고 하락 통화를 표시합니다.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</si>
</sst>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%"/>
    <numFmt numFmtId="177" formatCode="0.000_ "/>
  </numFmts>
  <fonts count="10" x14ac:knownFonts="1"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8"/>
      <name val="맑은 고딕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61"/>
      <name val="굴림"/>
      <family val="3"/>
      <charset val="129"/>
    </font>
    <font>
      <sz val="9"/>
      <color indexed="10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indexed="8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B9"/>
        <bgColor indexed="64"/>
      </patternFill>
    </fill>
  </fills>
  <borders count="21">
    <border>
      <left/>
      <right/>
      <top/>
      <bottom/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3"/>
      </left>
      <right style="thin">
        <color indexed="50"/>
      </right>
      <top style="thin">
        <color indexed="13"/>
      </top>
      <bottom style="thin">
        <color indexed="50"/>
      </bottom>
      <diagonal/>
    </border>
    <border>
      <left style="thin">
        <color indexed="13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 style="thin">
        <color indexed="13"/>
      </right>
      <top style="thin">
        <color indexed="50"/>
      </top>
      <bottom style="thin">
        <color indexed="50"/>
      </bottom>
      <diagonal/>
    </border>
    <border>
      <left style="thin">
        <color indexed="13"/>
      </left>
      <right style="thin">
        <color indexed="50"/>
      </right>
      <top style="thin">
        <color indexed="50"/>
      </top>
      <bottom style="thin">
        <color indexed="13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13"/>
      </bottom>
      <diagonal/>
    </border>
    <border>
      <left style="thin">
        <color indexed="50"/>
      </left>
      <right style="thin">
        <color indexed="13"/>
      </right>
      <top style="thin">
        <color indexed="50"/>
      </top>
      <bottom style="thin">
        <color indexed="13"/>
      </bottom>
      <diagonal/>
    </border>
    <border>
      <left style="medium">
        <color indexed="13"/>
      </left>
      <right style="thin">
        <color indexed="50"/>
      </right>
      <top style="medium">
        <color indexed="13"/>
      </top>
      <bottom style="thin">
        <color indexed="50"/>
      </bottom>
      <diagonal/>
    </border>
    <border>
      <left style="thin">
        <color indexed="50"/>
      </left>
      <right style="thin">
        <color indexed="50"/>
      </right>
      <top style="medium">
        <color indexed="13"/>
      </top>
      <bottom style="thin">
        <color indexed="50"/>
      </bottom>
      <diagonal/>
    </border>
    <border>
      <left style="thin">
        <color indexed="50"/>
      </left>
      <right style="medium">
        <color indexed="13"/>
      </right>
      <top style="medium">
        <color indexed="13"/>
      </top>
      <bottom style="thin">
        <color indexed="50"/>
      </bottom>
      <diagonal/>
    </border>
    <border>
      <left style="medium">
        <color indexed="13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 style="medium">
        <color indexed="13"/>
      </right>
      <top style="thin">
        <color indexed="50"/>
      </top>
      <bottom style="thin">
        <color indexed="50"/>
      </bottom>
      <diagonal/>
    </border>
    <border>
      <left style="medium">
        <color indexed="13"/>
      </left>
      <right style="thin">
        <color indexed="50"/>
      </right>
      <top style="thin">
        <color indexed="50"/>
      </top>
      <bottom style="medium">
        <color indexed="13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medium">
        <color indexed="13"/>
      </bottom>
      <diagonal/>
    </border>
    <border>
      <left style="thin">
        <color indexed="50"/>
      </left>
      <right style="medium">
        <color indexed="13"/>
      </right>
      <top style="thin">
        <color indexed="50"/>
      </top>
      <bottom style="medium">
        <color indexed="13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50"/>
      </left>
      <right style="thin">
        <color indexed="50"/>
      </right>
      <top style="thin">
        <color indexed="13"/>
      </top>
      <bottom style="thin">
        <color indexed="50"/>
      </bottom>
      <diagonal/>
    </border>
    <border>
      <left style="thin">
        <color indexed="50"/>
      </left>
      <right style="thin">
        <color indexed="13"/>
      </right>
      <top style="thin">
        <color indexed="13"/>
      </top>
      <bottom style="thin">
        <color indexed="5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 applyProtection="1">
      <alignment vertical="center"/>
    </xf>
    <xf numFmtId="0" fontId="3" fillId="2" borderId="0" xfId="0" applyFont="1" applyFill="1" applyProtection="1">
      <alignment vertical="center"/>
    </xf>
    <xf numFmtId="14" fontId="3" fillId="0" borderId="0" xfId="0" applyNumberFormat="1" applyFont="1" applyProtection="1">
      <alignment vertical="center"/>
    </xf>
    <xf numFmtId="0" fontId="4" fillId="3" borderId="1" xfId="0" applyFont="1" applyFill="1" applyBorder="1" applyProtection="1">
      <alignment vertical="center"/>
    </xf>
    <xf numFmtId="14" fontId="3" fillId="4" borderId="1" xfId="0" applyNumberFormat="1" applyFont="1" applyFill="1" applyBorder="1" applyProtection="1">
      <alignment vertical="center"/>
    </xf>
    <xf numFmtId="49" fontId="3" fillId="0" borderId="0" xfId="0" applyNumberFormat="1" applyFont="1" applyProtection="1">
      <alignment vertical="center"/>
    </xf>
    <xf numFmtId="0" fontId="3" fillId="5" borderId="2" xfId="0" applyFont="1" applyFill="1" applyBorder="1" applyProtection="1">
      <alignment vertical="center"/>
    </xf>
    <xf numFmtId="0" fontId="3" fillId="0" borderId="2" xfId="0" applyFont="1" applyBorder="1" applyAlignment="1" applyProtection="1">
      <alignment horizontal="right" vertical="center"/>
    </xf>
    <xf numFmtId="0" fontId="3" fillId="0" borderId="2" xfId="0" applyFont="1" applyBorder="1" applyProtection="1">
      <alignment vertical="center"/>
    </xf>
    <xf numFmtId="0" fontId="3" fillId="4" borderId="1" xfId="0" applyFont="1" applyFill="1" applyBorder="1" applyProtection="1">
      <alignment vertical="center"/>
    </xf>
    <xf numFmtId="0" fontId="5" fillId="0" borderId="0" xfId="0" applyFont="1" applyProtection="1">
      <alignment vertical="center"/>
    </xf>
    <xf numFmtId="49" fontId="3" fillId="5" borderId="2" xfId="0" applyNumberFormat="1" applyFont="1" applyFill="1" applyBorder="1" applyProtection="1">
      <alignment vertical="center"/>
    </xf>
    <xf numFmtId="0" fontId="3" fillId="5" borderId="0" xfId="0" applyFont="1" applyFill="1" applyProtection="1">
      <alignment vertical="center"/>
    </xf>
    <xf numFmtId="0" fontId="3" fillId="0" borderId="2" xfId="0" applyFont="1" applyBorder="1" applyAlignment="1" applyProtection="1">
      <alignment horizontal="center" vertical="center" wrapText="1"/>
    </xf>
    <xf numFmtId="0" fontId="4" fillId="6" borderId="3" xfId="0" applyFont="1" applyFill="1" applyBorder="1" applyAlignment="1" applyProtection="1">
      <alignment horizontal="center" vertical="center" wrapText="1"/>
    </xf>
    <xf numFmtId="0" fontId="3" fillId="7" borderId="4" xfId="0" applyFont="1" applyFill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right" vertical="center"/>
    </xf>
    <xf numFmtId="0" fontId="6" fillId="0" borderId="6" xfId="0" applyFont="1" applyBorder="1" applyAlignment="1" applyProtection="1">
      <alignment horizontal="right" vertical="center"/>
    </xf>
    <xf numFmtId="0" fontId="3" fillId="0" borderId="5" xfId="0" applyFont="1" applyBorder="1" applyProtection="1">
      <alignment vertical="center"/>
    </xf>
    <xf numFmtId="0" fontId="3" fillId="0" borderId="6" xfId="0" applyFont="1" applyBorder="1" applyProtection="1">
      <alignment vertical="center"/>
    </xf>
    <xf numFmtId="14" fontId="3" fillId="0" borderId="5" xfId="0" applyNumberFormat="1" applyFont="1" applyBorder="1" applyAlignment="1" applyProtection="1">
      <alignment vertical="center"/>
    </xf>
    <xf numFmtId="14" fontId="3" fillId="0" borderId="6" xfId="0" applyNumberFormat="1" applyFont="1" applyBorder="1" applyAlignment="1" applyProtection="1">
      <alignment vertical="center"/>
    </xf>
    <xf numFmtId="177" fontId="3" fillId="0" borderId="5" xfId="0" applyNumberFormat="1" applyFont="1" applyBorder="1" applyProtection="1">
      <alignment vertical="center"/>
    </xf>
    <xf numFmtId="177" fontId="3" fillId="0" borderId="6" xfId="0" applyNumberFormat="1" applyFont="1" applyBorder="1" applyProtection="1">
      <alignment vertical="center"/>
    </xf>
    <xf numFmtId="0" fontId="3" fillId="7" borderId="4" xfId="0" applyFont="1" applyFill="1" applyBorder="1" applyAlignment="1" applyProtection="1">
      <alignment horizontal="center" vertical="center"/>
    </xf>
    <xf numFmtId="176" fontId="3" fillId="0" borderId="5" xfId="0" applyNumberFormat="1" applyFont="1" applyBorder="1" applyProtection="1">
      <alignment vertical="center"/>
    </xf>
    <xf numFmtId="176" fontId="3" fillId="0" borderId="6" xfId="0" applyNumberFormat="1" applyFont="1" applyBorder="1" applyProtection="1">
      <alignment vertical="center"/>
    </xf>
    <xf numFmtId="0" fontId="3" fillId="7" borderId="7" xfId="0" applyFont="1" applyFill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right" vertical="center"/>
    </xf>
    <xf numFmtId="0" fontId="3" fillId="0" borderId="9" xfId="0" applyFont="1" applyBorder="1" applyAlignment="1" applyProtection="1">
      <alignment horizontal="right" vertical="center"/>
    </xf>
    <xf numFmtId="0" fontId="6" fillId="0" borderId="0" xfId="0" applyFont="1" applyProtection="1">
      <alignment vertical="center"/>
    </xf>
    <xf numFmtId="0" fontId="3" fillId="0" borderId="5" xfId="0" applyFont="1" applyBorder="1" applyProtection="1">
      <alignment vertical="center"/>
    </xf>
    <xf numFmtId="0" fontId="7" fillId="6" borderId="10" xfId="0" applyFont="1" applyFill="1" applyBorder="1" applyProtection="1">
      <alignment vertical="center"/>
    </xf>
    <xf numFmtId="49" fontId="7" fillId="6" borderId="11" xfId="0" applyNumberFormat="1" applyFont="1" applyFill="1" applyBorder="1" applyProtection="1">
      <alignment vertical="center"/>
    </xf>
    <xf numFmtId="49" fontId="7" fillId="6" borderId="12" xfId="0" applyNumberFormat="1" applyFont="1" applyFill="1" applyBorder="1" applyProtection="1">
      <alignment vertical="center"/>
    </xf>
    <xf numFmtId="0" fontId="3" fillId="0" borderId="14" xfId="0" applyFont="1" applyBorder="1" applyProtection="1">
      <alignment vertical="center"/>
    </xf>
    <xf numFmtId="0" fontId="3" fillId="0" borderId="16" xfId="0" applyFont="1" applyBorder="1" applyProtection="1">
      <alignment vertical="center"/>
    </xf>
    <xf numFmtId="0" fontId="3" fillId="0" borderId="17" xfId="0" applyFont="1" applyBorder="1" applyProtection="1">
      <alignment vertical="center"/>
    </xf>
    <xf numFmtId="0" fontId="3" fillId="8" borderId="0" xfId="0" applyFont="1" applyFill="1" applyProtection="1">
      <alignment vertical="center"/>
    </xf>
    <xf numFmtId="14" fontId="3" fillId="8" borderId="0" xfId="0" applyNumberFormat="1" applyFont="1" applyFill="1" applyProtection="1">
      <alignment vertical="center"/>
    </xf>
    <xf numFmtId="0" fontId="7" fillId="9" borderId="18" xfId="0" applyFont="1" applyFill="1" applyBorder="1" applyProtection="1">
      <alignment vertical="center"/>
    </xf>
    <xf numFmtId="0" fontId="3" fillId="10" borderId="18" xfId="0" applyFont="1" applyFill="1" applyBorder="1" applyAlignment="1" applyProtection="1">
      <alignment horizontal="center" vertical="center"/>
    </xf>
    <xf numFmtId="176" fontId="3" fillId="10" borderId="18" xfId="0" applyNumberFormat="1" applyFont="1" applyFill="1" applyBorder="1" applyProtection="1">
      <alignment vertical="center"/>
    </xf>
    <xf numFmtId="14" fontId="3" fillId="0" borderId="13" xfId="0" applyNumberFormat="1" applyFont="1" applyBorder="1" applyProtection="1">
      <alignment vertical="center"/>
    </xf>
    <xf numFmtId="14" fontId="3" fillId="0" borderId="15" xfId="0" applyNumberFormat="1" applyFont="1" applyBorder="1" applyProtection="1">
      <alignment vertical="center"/>
    </xf>
    <xf numFmtId="0" fontId="8" fillId="11" borderId="19" xfId="0" applyFont="1" applyFill="1" applyBorder="1" applyAlignment="1" applyProtection="1">
      <alignment horizontal="center" vertical="center"/>
    </xf>
    <xf numFmtId="0" fontId="8" fillId="11" borderId="20" xfId="0" applyFont="1" applyFill="1" applyBorder="1" applyAlignment="1" applyProtection="1">
      <alignment horizontal="center" vertical="center"/>
    </xf>
    <xf numFmtId="0" fontId="9" fillId="0" borderId="0" xfId="0" applyFont="1" applyProtection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7" borderId="4" xfId="0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7391A8"/>
      <rgbColor rgb="00FF00FF"/>
      <rgbColor rgb="0000FFFF"/>
      <rgbColor rgb="00800000"/>
      <rgbColor rgb="00EBF1DE"/>
      <rgbColor rgb="00000F7E"/>
      <rgbColor rgb="00CEE2F2"/>
      <rgbColor rgb="00B1A0C7"/>
      <rgbColor rgb="00D4FAFA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D1E8FF"/>
      <rgbColor rgb="003065D0"/>
      <rgbColor rgb="0099CCFF"/>
      <rgbColor rgb="00FF99CC"/>
      <rgbColor rgb="00EAEAEA"/>
      <rgbColor rgb="00FFCC99"/>
      <rgbColor rgb="003366FF"/>
      <rgbColor rgb="0092CDDC"/>
      <rgbColor rgb="00B7C6D2"/>
      <rgbColor rgb="00FFCC00"/>
      <rgbColor rgb="00E7BCBB"/>
      <rgbColor rgb="00F7EAE9"/>
      <rgbColor rgb="00E4DFEC"/>
      <rgbColor rgb="00969696"/>
      <rgbColor rgb="004BACC6"/>
      <rgbColor rgb="00C4D79B"/>
      <rgbColor rgb="009BBB59"/>
      <rgbColor rgb="002E6AB8"/>
      <rgbColor rgb="00C0504D"/>
      <rgbColor rgb="00993366"/>
      <rgbColor rgb="008064A2"/>
      <rgbColor rgb="00333333"/>
    </indexedColors>
    <mruColors>
      <color rgb="FFFFFF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1.23891</v>
        <stp/>
        <stp>P</stp>
        <stp>0</stp>
        <stp>FX</stp>
        <stp>GBPUSD</stp>
        <stp>BidPrice</stp>
        <stp/>
        <stp/>
        <tr r="E8" s="1"/>
      </tp>
      <tp>
        <v>1.08348</v>
        <stp/>
        <stp>P</stp>
        <stp>0</stp>
        <stp>FX</stp>
        <stp>EURUSD</stp>
        <stp>BidPrice</stp>
        <stp/>
        <stp/>
        <tr r="D8" s="1"/>
      </tp>
      <tp>
        <v>0</v>
        <stp/>
        <stp>H</stp>
        <stp>x1.bhYD</stp>
        <stp>25</stp>
        <stp>727234</stp>
        <tr r="AB3" s="1"/>
      </tp>
      <tp>
        <v>0</v>
        <stp/>
        <stp>H</stp>
        <stp>x2.bhYD</stp>
        <stp>26</stp>
        <stp>727234</stp>
        <tr r="AN3" s="1"/>
      </tp>
      <tp>
        <v>0</v>
        <stp/>
        <stp>H</stp>
        <stp>x3.bhYD</stp>
        <stp>27</stp>
        <stp>727234</stp>
        <tr r="P3" s="1"/>
      </tp>
      <tp>
        <v>0</v>
        <stp/>
        <stp>H</stp>
        <stp>x4.bhYD</stp>
        <stp>28</stp>
        <stp>727234</stp>
        <tr r="AH3" s="1"/>
      </tp>
      <tp>
        <v>0</v>
        <stp/>
        <stp>H</stp>
        <stp>x5.bhYD</stp>
        <stp>29</stp>
        <stp>727234</stp>
        <tr r="V3" s="1"/>
      </tp>
      <tp>
        <v>102.063</v>
        <stp/>
        <stp>P</stp>
        <stp>0</stp>
        <stp>FX</stp>
        <stp>DOLLAR</stp>
        <stp>BidPrice</stp>
        <stp/>
        <stp/>
        <tr r="C8" s="1"/>
      </tp>
      <tp>
        <v>0.91569999999999996</v>
        <stp/>
        <stp>P</stp>
        <stp>0</stp>
        <stp>FX</stp>
        <stp>USDCHF</stp>
        <stp>BidPrice</stp>
        <stp/>
        <stp/>
        <tr r="F8" s="1"/>
      </tp>
      <tp>
        <v>128.59399999999999</v>
        <stp/>
        <stp>P</stp>
        <stp>0</stp>
        <stp>FX</stp>
        <stp>USDJPY</stp>
        <stp>BidPrice</stp>
        <stp/>
        <stp/>
        <tr r="G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BA987"/>
  <sheetViews>
    <sheetView showGridLines="0" tabSelected="1" zoomScaleNormal="70" workbookViewId="0"/>
  </sheetViews>
  <sheetFormatPr defaultRowHeight="15" customHeight="1" x14ac:dyDescent="0.3"/>
  <cols>
    <col min="1" max="1" width="3.25" style="1" customWidth="1"/>
    <col min="2" max="2" width="11.25" style="1" bestFit="1" customWidth="1"/>
    <col min="3" max="7" width="12.125" style="1" customWidth="1"/>
    <col min="8" max="8" width="3.5" style="1" customWidth="1"/>
    <col min="9" max="14" width="9" style="1"/>
    <col min="15" max="15" width="11.125" style="1" customWidth="1"/>
    <col min="16" max="16" width="12.25" style="1" hidden="1" customWidth="1"/>
    <col min="17" max="17" width="11.25" style="1" hidden="1" customWidth="1"/>
    <col min="18" max="18" width="9.125" style="1" hidden="1" customWidth="1"/>
    <col min="19" max="19" width="11.625" style="1" hidden="1" customWidth="1"/>
    <col min="20" max="20" width="9.125" style="1" hidden="1" customWidth="1"/>
    <col min="21" max="21" width="13.125" style="1" hidden="1" customWidth="1"/>
    <col min="22" max="22" width="13.625" style="1" hidden="1" customWidth="1"/>
    <col min="23" max="27" width="9.125" style="1" hidden="1" customWidth="1"/>
    <col min="28" max="28" width="13.75" style="1" hidden="1" customWidth="1"/>
    <col min="29" max="33" width="9.125" style="1" hidden="1" customWidth="1"/>
    <col min="34" max="34" width="11.125" style="1" hidden="1" customWidth="1"/>
    <col min="35" max="39" width="9.125" style="1" hidden="1" customWidth="1"/>
    <col min="40" max="40" width="11.125" style="1" hidden="1" customWidth="1"/>
    <col min="41" max="45" width="9.125" style="1" hidden="1" customWidth="1"/>
    <col min="46" max="54" width="0" style="1" hidden="1" customWidth="1"/>
    <col min="55" max="16384" width="9" style="1"/>
  </cols>
  <sheetData>
    <row r="1" spans="2:53" ht="15" customHeight="1" x14ac:dyDescent="0.3">
      <c r="P1" s="2" t="s">
        <v>0</v>
      </c>
      <c r="Q1" s="39">
        <v>20100101</v>
      </c>
      <c r="R1" s="2" t="s">
        <v>1</v>
      </c>
      <c r="S1" s="40">
        <f ca="1">TODAY()</f>
        <v>44946</v>
      </c>
      <c r="T1" s="2" t="s">
        <v>2</v>
      </c>
      <c r="U1" s="39">
        <f>+C4</f>
        <v>15</v>
      </c>
      <c r="V1" s="2" t="s">
        <v>3</v>
      </c>
      <c r="W1" s="39" t="s">
        <v>4</v>
      </c>
      <c r="X1" s="2" t="s">
        <v>5</v>
      </c>
      <c r="Y1" s="39" t="s">
        <v>6</v>
      </c>
      <c r="Z1" s="2" t="s">
        <v>7</v>
      </c>
      <c r="AA1" s="39">
        <v>0</v>
      </c>
    </row>
    <row r="2" spans="2:53" ht="15" customHeight="1" x14ac:dyDescent="0.3">
      <c r="B2" s="4" t="s">
        <v>23</v>
      </c>
      <c r="C2" s="5">
        <f>MIN(P5:P988)</f>
        <v>44928</v>
      </c>
      <c r="P2" s="6"/>
      <c r="V2" s="6"/>
      <c r="AB2" s="6"/>
      <c r="AH2" s="6"/>
      <c r="AN2" s="6"/>
      <c r="AV2" s="7" t="s">
        <v>21</v>
      </c>
      <c r="AW2" s="8">
        <f>IF(C8-C13&gt;0,1,-1)</f>
        <v>-1</v>
      </c>
      <c r="AX2" s="8">
        <f>IF(D8-D13&gt;0,1,-1)</f>
        <v>1</v>
      </c>
      <c r="AY2" s="8">
        <f>IF(E8-E13&gt;0,1,-1)</f>
        <v>1</v>
      </c>
      <c r="AZ2" s="8">
        <f>IF(F8-F13&gt;0,1,-1)</f>
        <v>-1</v>
      </c>
      <c r="BA2" s="8">
        <f>IF(G8-G13&gt;0,1,-1)</f>
        <v>-1</v>
      </c>
    </row>
    <row r="3" spans="2:53" ht="15" customHeight="1" thickBot="1" x14ac:dyDescent="0.35">
      <c r="B3" s="4" t="s">
        <v>24</v>
      </c>
      <c r="C3" s="5">
        <f>MAX(P5:P989)</f>
        <v>44946</v>
      </c>
      <c r="P3" s="1" t="str">
        <f ca="1">_xll.IMDH("FX",C7,P4:U4,$Q$1,$S$1,$U$1,"Per="&amp;$W$1&amp;",sort="&amp;$Y$1&amp;",real=true,Bizday="&amp;$AA$1&amp;",Pos=20,Orient=V,Title='C7',DtFmt=1,TmFmt=1")</f>
        <v>'C7'</v>
      </c>
      <c r="V3" s="1" t="str">
        <f ca="1">_xll.IMDH("FX",D7,V4:AA4,$Q$1,$S$1,$U$1,"Per="&amp;$W$1&amp;",sort="&amp;$Y$1&amp;",real=true,Bizday="&amp;$AA$1&amp;",Pos=20,Orient=V,Title='D7',DtFmt=1,TmFmt=1")</f>
        <v>'D7'</v>
      </c>
      <c r="AB3" s="1" t="str">
        <f ca="1">_xll.IMDH("FX",E7,AB4:AG4,$Q$1,$S$1,$U$1,"Per="&amp;$W$1&amp;",sort="&amp;$Y$1&amp;",real=true,Bizday="&amp;$AA$1&amp;",Pos=20,Orient=V,Title='E7',DtFmt=1,TmFmt=1")</f>
        <v>'E7'</v>
      </c>
      <c r="AH3" s="1" t="str">
        <f ca="1">_xll.IMDH("FX",F7,AH4:AM4,$Q$1,$S$1,$U$1,"Per="&amp;$W$1&amp;",sort="&amp;$Y$1&amp;",real=true,Bizday="&amp;$AA$1&amp;",Pos=20,Orient=V,Title='F7',DtFmt=1,TmFmt=1")</f>
        <v>'F7'</v>
      </c>
      <c r="AN3" s="1" t="str">
        <f ca="1">_xll.IMDH("FX",G7,AN4:AS4,$Q$1,$S$1,$U$1,"Per="&amp;$W$1&amp;",sort="&amp;$Y$1&amp;",real=true,Bizday="&amp;$AA$1&amp;",Pos=20,Orient=V,Title='G7',DtFmt=1,TmFmt=1")</f>
        <v>'G7'</v>
      </c>
      <c r="AV3" s="7" t="s">
        <v>22</v>
      </c>
      <c r="AW3" s="9">
        <f>+AW5/C11</f>
        <v>4.0781941255874865E-2</v>
      </c>
      <c r="AX3" s="9">
        <f>+AX5/D11</f>
        <v>3.8648310865603906E-2</v>
      </c>
      <c r="AY3" s="9">
        <f>+AY5/E11</f>
        <v>5.0164682036990225E-2</v>
      </c>
      <c r="AZ3" s="9">
        <f>+AZ5/F11</f>
        <v>3.5219018269865759E-2</v>
      </c>
      <c r="BA3" s="9">
        <f>+BA5/G11</f>
        <v>5.934601477755079E-2</v>
      </c>
    </row>
    <row r="4" spans="2:53" ht="15" customHeight="1" x14ac:dyDescent="0.3">
      <c r="B4" s="4" t="s">
        <v>25</v>
      </c>
      <c r="C4" s="10">
        <v>15</v>
      </c>
      <c r="I4" s="11" t="s">
        <v>26</v>
      </c>
      <c r="P4" s="33" t="s">
        <v>8</v>
      </c>
      <c r="Q4" s="34" t="s">
        <v>9</v>
      </c>
      <c r="R4" s="34" t="s">
        <v>10</v>
      </c>
      <c r="S4" s="34" t="s">
        <v>11</v>
      </c>
      <c r="T4" s="34" t="s">
        <v>12</v>
      </c>
      <c r="U4" s="35" t="s">
        <v>13</v>
      </c>
      <c r="V4" s="33" t="s">
        <v>8</v>
      </c>
      <c r="W4" s="34" t="s">
        <v>9</v>
      </c>
      <c r="X4" s="34" t="s">
        <v>10</v>
      </c>
      <c r="Y4" s="34" t="s">
        <v>11</v>
      </c>
      <c r="Z4" s="34" t="s">
        <v>12</v>
      </c>
      <c r="AA4" s="35" t="s">
        <v>13</v>
      </c>
      <c r="AB4" s="33" t="s">
        <v>8</v>
      </c>
      <c r="AC4" s="34" t="s">
        <v>9</v>
      </c>
      <c r="AD4" s="34" t="s">
        <v>10</v>
      </c>
      <c r="AE4" s="34" t="s">
        <v>11</v>
      </c>
      <c r="AF4" s="34" t="s">
        <v>12</v>
      </c>
      <c r="AG4" s="35" t="s">
        <v>13</v>
      </c>
      <c r="AH4" s="33" t="s">
        <v>8</v>
      </c>
      <c r="AI4" s="34" t="s">
        <v>9</v>
      </c>
      <c r="AJ4" s="34" t="s">
        <v>10</v>
      </c>
      <c r="AK4" s="34" t="s">
        <v>11</v>
      </c>
      <c r="AL4" s="34" t="s">
        <v>12</v>
      </c>
      <c r="AM4" s="35" t="s">
        <v>13</v>
      </c>
      <c r="AN4" s="33" t="s">
        <v>8</v>
      </c>
      <c r="AO4" s="34" t="s">
        <v>9</v>
      </c>
      <c r="AP4" s="34" t="s">
        <v>10</v>
      </c>
      <c r="AQ4" s="34" t="s">
        <v>11</v>
      </c>
      <c r="AR4" s="34" t="s">
        <v>12</v>
      </c>
      <c r="AS4" s="35" t="s">
        <v>13</v>
      </c>
      <c r="AV4" s="12" t="s">
        <v>27</v>
      </c>
      <c r="AW4" s="9">
        <f>-AW5/C9</f>
        <v>-3.9183943955315687E-2</v>
      </c>
      <c r="AX4" s="9">
        <f>-AX5/D9</f>
        <v>-3.7210199507660691E-2</v>
      </c>
      <c r="AY4" s="9">
        <f>-AY5/E9</f>
        <v>-4.7768395657418673E-2</v>
      </c>
      <c r="AZ4" s="9">
        <f>-AZ5/F9</f>
        <v>-3.4020837763129946E-2</v>
      </c>
      <c r="BA4" s="9">
        <f>-BA5/G9</f>
        <v>-5.6021369741040369E-2</v>
      </c>
    </row>
    <row r="5" spans="2:53" ht="15" customHeight="1" x14ac:dyDescent="0.3">
      <c r="I5" s="11" t="s">
        <v>28</v>
      </c>
      <c r="P5" s="44">
        <v>44946</v>
      </c>
      <c r="Q5" s="32">
        <v>102.07</v>
      </c>
      <c r="R5" s="32">
        <v>102.08499999999999</v>
      </c>
      <c r="S5" s="32">
        <v>101.995</v>
      </c>
      <c r="T5" s="32">
        <v>102.078</v>
      </c>
      <c r="U5" s="36">
        <v>1.7999999999999999E-2</v>
      </c>
      <c r="V5" s="44">
        <v>44946</v>
      </c>
      <c r="W5" s="32">
        <v>1.0829</v>
      </c>
      <c r="X5" s="32">
        <v>1.0840000000000001</v>
      </c>
      <c r="Y5" s="32">
        <v>1.0826</v>
      </c>
      <c r="Z5" s="32">
        <v>1.08348</v>
      </c>
      <c r="AA5" s="36">
        <v>5.0999999999999993E-4</v>
      </c>
      <c r="AB5" s="44">
        <v>44946</v>
      </c>
      <c r="AC5" s="32">
        <v>1.2384999999999999</v>
      </c>
      <c r="AD5" s="32">
        <v>1.2398</v>
      </c>
      <c r="AE5" s="32">
        <v>1.23837</v>
      </c>
      <c r="AF5" s="32">
        <v>1.2391000000000001</v>
      </c>
      <c r="AG5" s="36">
        <v>3.5000000000000005E-4</v>
      </c>
      <c r="AH5" s="44">
        <v>44946</v>
      </c>
      <c r="AI5" s="32">
        <v>0.9153</v>
      </c>
      <c r="AJ5" s="32">
        <v>0.9163</v>
      </c>
      <c r="AK5" s="32">
        <v>0.91459999999999997</v>
      </c>
      <c r="AL5" s="32">
        <v>0.91569999999999996</v>
      </c>
      <c r="AM5" s="36">
        <v>1E-4</v>
      </c>
      <c r="AN5" s="44">
        <v>44946</v>
      </c>
      <c r="AO5" s="32">
        <v>128.44</v>
      </c>
      <c r="AP5" s="32">
        <v>128.62</v>
      </c>
      <c r="AQ5" s="32">
        <v>128.33000000000001</v>
      </c>
      <c r="AR5" s="32">
        <v>128.59399999999999</v>
      </c>
      <c r="AS5" s="36">
        <v>0.16400000000000001</v>
      </c>
      <c r="AU5" s="13"/>
      <c r="AV5" s="14" t="s">
        <v>29</v>
      </c>
      <c r="AW5" s="9">
        <f>+C9-C11</f>
        <v>4.1389999999999958</v>
      </c>
      <c r="AX5" s="9">
        <f>+D9-D11</f>
        <v>4.0510000000000046E-2</v>
      </c>
      <c r="AY5" s="9">
        <f>+E9-E11</f>
        <v>5.9400000000000119E-2</v>
      </c>
      <c r="AZ5" s="9">
        <f>+F9-F11</f>
        <v>3.2000000000000028E-2</v>
      </c>
      <c r="BA5" s="9">
        <f>+G9-G11</f>
        <v>7.5500000000000114</v>
      </c>
    </row>
    <row r="6" spans="2:53" ht="15" customHeight="1" x14ac:dyDescent="0.3">
      <c r="I6" s="11"/>
      <c r="P6" s="44">
        <v>44945</v>
      </c>
      <c r="Q6" s="32">
        <v>102.42700000000001</v>
      </c>
      <c r="R6" s="32">
        <v>102.48</v>
      </c>
      <c r="S6" s="32">
        <v>101.97</v>
      </c>
      <c r="T6" s="32">
        <v>102.084</v>
      </c>
      <c r="U6" s="36">
        <v>-0.34899999999999998</v>
      </c>
      <c r="V6" s="44">
        <v>44945</v>
      </c>
      <c r="W6" s="32">
        <v>1.0787</v>
      </c>
      <c r="X6" s="32">
        <v>1.0839799999999999</v>
      </c>
      <c r="Y6" s="32">
        <v>1.0781000000000001</v>
      </c>
      <c r="Z6" s="32">
        <v>1.083</v>
      </c>
      <c r="AA6" s="36">
        <v>4.2700000000000004E-3</v>
      </c>
      <c r="AB6" s="44">
        <v>44945</v>
      </c>
      <c r="AC6" s="32">
        <v>1.2337400000000001</v>
      </c>
      <c r="AD6" s="32">
        <v>1.2397199999999999</v>
      </c>
      <c r="AE6" s="32">
        <v>1.2312000000000001</v>
      </c>
      <c r="AF6" s="32">
        <v>1.2386999999999999</v>
      </c>
      <c r="AG6" s="36">
        <v>4.9099999999999994E-3</v>
      </c>
      <c r="AH6" s="44">
        <v>44945</v>
      </c>
      <c r="AI6" s="32">
        <v>0.91669999999999996</v>
      </c>
      <c r="AJ6" s="32">
        <v>0.91890000000000005</v>
      </c>
      <c r="AK6" s="32">
        <v>0.91459999999999997</v>
      </c>
      <c r="AL6" s="32">
        <v>0.91590000000000005</v>
      </c>
      <c r="AM6" s="36">
        <v>-1.0999999999999998E-3</v>
      </c>
      <c r="AN6" s="44">
        <v>44945</v>
      </c>
      <c r="AO6" s="32">
        <v>128.864</v>
      </c>
      <c r="AP6" s="32">
        <v>128.92599999999999</v>
      </c>
      <c r="AQ6" s="32">
        <v>127.75</v>
      </c>
      <c r="AR6" s="32">
        <v>128.44999999999999</v>
      </c>
      <c r="AS6" s="36">
        <v>-0.434</v>
      </c>
    </row>
    <row r="7" spans="2:53" ht="15" customHeight="1" x14ac:dyDescent="0.3">
      <c r="B7" s="15" t="s">
        <v>30</v>
      </c>
      <c r="C7" s="46" t="s">
        <v>31</v>
      </c>
      <c r="D7" s="46" t="s">
        <v>32</v>
      </c>
      <c r="E7" s="46" t="s">
        <v>33</v>
      </c>
      <c r="F7" s="46" t="s">
        <v>34</v>
      </c>
      <c r="G7" s="47" t="s">
        <v>35</v>
      </c>
      <c r="I7" s="11"/>
      <c r="P7" s="44">
        <v>44944</v>
      </c>
      <c r="Q7" s="32">
        <v>102.366</v>
      </c>
      <c r="R7" s="32">
        <v>102.898</v>
      </c>
      <c r="S7" s="32">
        <v>101.491</v>
      </c>
      <c r="T7" s="32">
        <v>102.44</v>
      </c>
      <c r="U7" s="36">
        <v>6.0999999999999999E-2</v>
      </c>
      <c r="V7" s="44">
        <v>44944</v>
      </c>
      <c r="W7" s="32">
        <v>1.07934</v>
      </c>
      <c r="X7" s="32">
        <v>1.0886800000000001</v>
      </c>
      <c r="Y7" s="32">
        <v>1.0766</v>
      </c>
      <c r="Z7" s="32">
        <v>1.0788500000000001</v>
      </c>
      <c r="AA7" s="36">
        <v>-6.4000000000000005E-4</v>
      </c>
      <c r="AB7" s="44">
        <v>44944</v>
      </c>
      <c r="AC7" s="32">
        <v>1.2278800000000001</v>
      </c>
      <c r="AD7" s="32">
        <v>1.2435</v>
      </c>
      <c r="AE7" s="32">
        <v>1.22546</v>
      </c>
      <c r="AF7" s="32">
        <v>1.2338</v>
      </c>
      <c r="AG7" s="36">
        <v>5.8599999999999998E-3</v>
      </c>
      <c r="AH7" s="44">
        <v>44944</v>
      </c>
      <c r="AI7" s="32">
        <v>0.92190000000000005</v>
      </c>
      <c r="AJ7" s="32">
        <v>0.9244</v>
      </c>
      <c r="AK7" s="32">
        <v>0.90859999999999996</v>
      </c>
      <c r="AL7" s="32">
        <v>0.91679999999999995</v>
      </c>
      <c r="AM7" s="36">
        <v>-5.1999999999999998E-3</v>
      </c>
      <c r="AN7" s="44">
        <v>44944</v>
      </c>
      <c r="AO7" s="32">
        <v>128.19900000000001</v>
      </c>
      <c r="AP7" s="32">
        <v>131.572</v>
      </c>
      <c r="AQ7" s="32">
        <v>127.56399999999999</v>
      </c>
      <c r="AR7" s="32">
        <v>128.86699999999999</v>
      </c>
      <c r="AS7" s="36">
        <v>0.66500000000000004</v>
      </c>
    </row>
    <row r="8" spans="2:53" ht="15" customHeight="1" x14ac:dyDescent="0.3">
      <c r="B8" s="16" t="s">
        <v>19</v>
      </c>
      <c r="C8" s="17">
        <f>_xll.IMDP("FX",C7,"BidPrice")</f>
        <v>102.063</v>
      </c>
      <c r="D8" s="17">
        <f>_xll.IMDP("FX",D7,"BidPrice")</f>
        <v>1.08348</v>
      </c>
      <c r="E8" s="17">
        <f>_xll.IMDP("FX",E7,"BidPrice")</f>
        <v>1.23891</v>
      </c>
      <c r="F8" s="17">
        <f>_xll.IMDP("FX",F7,"BidPrice")</f>
        <v>0.91569999999999996</v>
      </c>
      <c r="G8" s="18">
        <f>_xll.IMDP("FX",G7,"BidPrice")</f>
        <v>128.59399999999999</v>
      </c>
      <c r="I8" s="11" t="s">
        <v>36</v>
      </c>
      <c r="P8" s="44">
        <v>44943</v>
      </c>
      <c r="Q8" s="32">
        <v>102.378</v>
      </c>
      <c r="R8" s="32">
        <v>102.56</v>
      </c>
      <c r="S8" s="32">
        <v>101.907</v>
      </c>
      <c r="T8" s="32">
        <v>102.371</v>
      </c>
      <c r="U8" s="36">
        <v>-1.2E-2</v>
      </c>
      <c r="V8" s="44">
        <v>44943</v>
      </c>
      <c r="W8" s="32">
        <v>1.08202</v>
      </c>
      <c r="X8" s="32">
        <v>1.08697</v>
      </c>
      <c r="Y8" s="32">
        <v>1.0772900000000001</v>
      </c>
      <c r="Z8" s="32">
        <v>1.07938</v>
      </c>
      <c r="AA8" s="36">
        <v>-2.6800000000000001E-3</v>
      </c>
      <c r="AB8" s="44">
        <v>44943</v>
      </c>
      <c r="AC8" s="32">
        <v>1.21946</v>
      </c>
      <c r="AD8" s="32">
        <v>1.2297899999999999</v>
      </c>
      <c r="AE8" s="32">
        <v>1.21692</v>
      </c>
      <c r="AF8" s="32">
        <v>1.2279199999999999</v>
      </c>
      <c r="AG8" s="36">
        <v>8.4200000000000004E-3</v>
      </c>
      <c r="AH8" s="44">
        <v>44943</v>
      </c>
      <c r="AI8" s="32">
        <v>0.92620000000000002</v>
      </c>
      <c r="AJ8" s="32">
        <v>0.92749999999999999</v>
      </c>
      <c r="AK8" s="32">
        <v>0.91859999999999997</v>
      </c>
      <c r="AL8" s="32">
        <v>0.92200000000000004</v>
      </c>
      <c r="AM8" s="36">
        <v>-4.3E-3</v>
      </c>
      <c r="AN8" s="44">
        <v>44943</v>
      </c>
      <c r="AO8" s="32">
        <v>128.53800000000001</v>
      </c>
      <c r="AP8" s="32">
        <v>129.15100000000001</v>
      </c>
      <c r="AQ8" s="32">
        <v>127.99</v>
      </c>
      <c r="AR8" s="32">
        <v>128.22</v>
      </c>
      <c r="AS8" s="36">
        <v>-0.33900000000000002</v>
      </c>
    </row>
    <row r="9" spans="2:53" ht="15" customHeight="1" x14ac:dyDescent="0.3">
      <c r="B9" s="51" t="s">
        <v>37</v>
      </c>
      <c r="C9" s="19">
        <f>MAX(R5:R986)</f>
        <v>105.63</v>
      </c>
      <c r="D9" s="19">
        <f>MAX(X5:X986)</f>
        <v>1.0886800000000001</v>
      </c>
      <c r="E9" s="19">
        <f>MAX(AD5:AD986)</f>
        <v>1.2435</v>
      </c>
      <c r="F9" s="19">
        <f>MAX(AJ5:AJ986)</f>
        <v>0.94059999999999999</v>
      </c>
      <c r="G9" s="20">
        <f>MAX(AP5:AP986)</f>
        <v>134.77000000000001</v>
      </c>
      <c r="I9" s="11" t="s">
        <v>38</v>
      </c>
      <c r="P9" s="44">
        <v>44942</v>
      </c>
      <c r="Q9" s="32">
        <v>102.158</v>
      </c>
      <c r="R9" s="32">
        <v>102.556</v>
      </c>
      <c r="S9" s="32">
        <v>101.753</v>
      </c>
      <c r="T9" s="32">
        <v>102.384</v>
      </c>
      <c r="U9" s="36">
        <v>0.22</v>
      </c>
      <c r="V9" s="44">
        <v>44942</v>
      </c>
      <c r="W9" s="32">
        <v>1.0831</v>
      </c>
      <c r="X9" s="32">
        <v>1.08741</v>
      </c>
      <c r="Y9" s="32">
        <v>1.08</v>
      </c>
      <c r="Z9" s="32">
        <v>1.0820700000000001</v>
      </c>
      <c r="AA9" s="36">
        <v>-1.08E-3</v>
      </c>
      <c r="AB9" s="44">
        <v>44942</v>
      </c>
      <c r="AC9" s="32">
        <v>1.22342</v>
      </c>
      <c r="AD9" s="32">
        <v>1.2288600000000001</v>
      </c>
      <c r="AE9" s="32">
        <v>1.2171000000000001</v>
      </c>
      <c r="AF9" s="32">
        <v>1.21953</v>
      </c>
      <c r="AG9" s="36">
        <v>-3.96E-3</v>
      </c>
      <c r="AH9" s="44">
        <v>44942</v>
      </c>
      <c r="AI9" s="32">
        <v>0.92589999999999995</v>
      </c>
      <c r="AJ9" s="32">
        <v>0.92879999999999996</v>
      </c>
      <c r="AK9" s="32">
        <v>0.92130000000000001</v>
      </c>
      <c r="AL9" s="32">
        <v>0.92630000000000001</v>
      </c>
      <c r="AM9" s="36">
        <v>3.0000000000000003E-4</v>
      </c>
      <c r="AN9" s="44">
        <v>44942</v>
      </c>
      <c r="AO9" s="32">
        <v>127.887</v>
      </c>
      <c r="AP9" s="32">
        <v>128.86000000000001</v>
      </c>
      <c r="AQ9" s="32">
        <v>127.22</v>
      </c>
      <c r="AR9" s="32">
        <v>128.54300000000001</v>
      </c>
      <c r="AS9" s="36">
        <v>0.65100000000000002</v>
      </c>
    </row>
    <row r="10" spans="2:53" ht="15" customHeight="1" x14ac:dyDescent="0.3">
      <c r="B10" s="51"/>
      <c r="C10" s="21">
        <f>INDEX($P$5:$P$1116,MATCH(MAX($R$5:$R$1116),$R$5:$R$1116,0))</f>
        <v>44932</v>
      </c>
      <c r="D10" s="21">
        <f>INDEX($P$5:$P$1116,MATCH(MAX($X$5:$X$1116),$X$5:$X$1116,0))</f>
        <v>44944</v>
      </c>
      <c r="E10" s="21">
        <f>INDEX($P$5:$P$1116,MATCH(MAX($AD$5:$AD$1116),$AD$5:$AD$1116,0))</f>
        <v>44944</v>
      </c>
      <c r="F10" s="21">
        <f>INDEX($P$5:$P$1116,MATCH(MAX($AJ$5:$AJ$1116),$AJ$5:$AJ$1116,0))</f>
        <v>44932</v>
      </c>
      <c r="G10" s="22">
        <f>INDEX($P$5:$P$1116,MATCH(MAX($AP$5:$AP$1116),$AP$5:$AP$1116,0))</f>
        <v>44932</v>
      </c>
      <c r="I10" s="11"/>
      <c r="P10" s="44">
        <v>44939</v>
      </c>
      <c r="Q10" s="32">
        <v>102.212</v>
      </c>
      <c r="R10" s="32">
        <v>102.664</v>
      </c>
      <c r="S10" s="32">
        <v>101.965</v>
      </c>
      <c r="T10" s="32">
        <v>102.17100000000001</v>
      </c>
      <c r="U10" s="36">
        <v>-5.3999999999999999E-2</v>
      </c>
      <c r="V10" s="44">
        <v>44939</v>
      </c>
      <c r="W10" s="32">
        <v>1.0851</v>
      </c>
      <c r="X10" s="32">
        <v>1.0867599999999999</v>
      </c>
      <c r="Y10" s="32">
        <v>1.0779000000000001</v>
      </c>
      <c r="Z10" s="32">
        <v>1.0832999999999999</v>
      </c>
      <c r="AA10" s="36">
        <v>-2E-3</v>
      </c>
      <c r="AB10" s="44">
        <v>44939</v>
      </c>
      <c r="AC10" s="32">
        <v>1.2214400000000001</v>
      </c>
      <c r="AD10" s="32">
        <v>1.2247399999999999</v>
      </c>
      <c r="AE10" s="32">
        <v>1.21505</v>
      </c>
      <c r="AF10" s="32">
        <v>1.2234499999999999</v>
      </c>
      <c r="AG10" s="36">
        <v>1.98E-3</v>
      </c>
      <c r="AH10" s="44">
        <v>44939</v>
      </c>
      <c r="AI10" s="32">
        <v>0.92789999999999995</v>
      </c>
      <c r="AJ10" s="32">
        <v>0.93159999999999998</v>
      </c>
      <c r="AK10" s="32">
        <v>0.9254</v>
      </c>
      <c r="AL10" s="32">
        <v>0.92600000000000005</v>
      </c>
      <c r="AM10" s="36">
        <v>-2E-3</v>
      </c>
      <c r="AN10" s="44">
        <v>44939</v>
      </c>
      <c r="AO10" s="32">
        <v>129.19</v>
      </c>
      <c r="AP10" s="32">
        <v>129.43</v>
      </c>
      <c r="AQ10" s="32">
        <v>127.43</v>
      </c>
      <c r="AR10" s="32">
        <v>127.889</v>
      </c>
      <c r="AS10" s="36">
        <v>-1.3029999999999999</v>
      </c>
    </row>
    <row r="11" spans="2:53" ht="15" customHeight="1" x14ac:dyDescent="0.3">
      <c r="B11" s="51" t="s">
        <v>15</v>
      </c>
      <c r="C11" s="19">
        <f>MIN(S5:S986)</f>
        <v>101.491</v>
      </c>
      <c r="D11" s="19">
        <f>MIN(Y5:Y986)</f>
        <v>1.04817</v>
      </c>
      <c r="E11" s="19">
        <f>MIN(AE5:AE986)</f>
        <v>1.1840999999999999</v>
      </c>
      <c r="F11" s="19">
        <f>MIN(AK5:AK986)</f>
        <v>0.90859999999999996</v>
      </c>
      <c r="G11" s="20">
        <f>MIN(AQ5:AQ986)</f>
        <v>127.22</v>
      </c>
      <c r="I11" s="11" t="s">
        <v>39</v>
      </c>
      <c r="P11" s="44">
        <v>44938</v>
      </c>
      <c r="Q11" s="32">
        <v>103.253</v>
      </c>
      <c r="R11" s="32">
        <v>103.33499999999999</v>
      </c>
      <c r="S11" s="32">
        <v>102.054</v>
      </c>
      <c r="T11" s="32">
        <v>102.22499999999999</v>
      </c>
      <c r="U11" s="36">
        <v>-1.0409999999999999</v>
      </c>
      <c r="V11" s="44">
        <v>44938</v>
      </c>
      <c r="W11" s="32">
        <v>1.0752900000000001</v>
      </c>
      <c r="X11" s="32">
        <v>1.0867</v>
      </c>
      <c r="Y11" s="32">
        <v>1.07297</v>
      </c>
      <c r="Z11" s="32">
        <v>1.0852999999999999</v>
      </c>
      <c r="AA11" s="36">
        <v>9.810000000000001E-3</v>
      </c>
      <c r="AB11" s="44">
        <v>44938</v>
      </c>
      <c r="AC11" s="32">
        <v>1.21461</v>
      </c>
      <c r="AD11" s="32">
        <v>1.22465</v>
      </c>
      <c r="AE11" s="32">
        <v>1.2089300000000001</v>
      </c>
      <c r="AF11" s="32">
        <v>1.22146</v>
      </c>
      <c r="AG11" s="36">
        <v>6.8300000000000001E-3</v>
      </c>
      <c r="AH11" s="44">
        <v>44938</v>
      </c>
      <c r="AI11" s="32">
        <v>0.93110000000000004</v>
      </c>
      <c r="AJ11" s="32">
        <v>0.93569999999999998</v>
      </c>
      <c r="AK11" s="32">
        <v>0.92649999999999999</v>
      </c>
      <c r="AL11" s="32">
        <v>0.92800000000000005</v>
      </c>
      <c r="AM11" s="36">
        <v>-3.2000000000000002E-3</v>
      </c>
      <c r="AN11" s="44">
        <v>44938</v>
      </c>
      <c r="AO11" s="32">
        <v>132.529</v>
      </c>
      <c r="AP11" s="32">
        <v>132.553</v>
      </c>
      <c r="AQ11" s="32">
        <v>128.85</v>
      </c>
      <c r="AR11" s="32">
        <v>129.21</v>
      </c>
      <c r="AS11" s="36">
        <v>-3.339</v>
      </c>
    </row>
    <row r="12" spans="2:53" ht="15" customHeight="1" x14ac:dyDescent="0.3">
      <c r="B12" s="51"/>
      <c r="C12" s="21">
        <f>INDEX($P$5:$P$1116,MATCH(MIN($S$5:$S$1116),$S$5:$S$1116,0))</f>
        <v>44944</v>
      </c>
      <c r="D12" s="21">
        <f>INDEX($P$5:$P$1116,MATCH(MAX($Y$5:$Y$1116),$Y$5:$Y$1116,0))</f>
        <v>44946</v>
      </c>
      <c r="E12" s="21">
        <f>INDEX($P$5:$P$1116,MATCH(MAX($AE$5:$AE$1116),$AE$5:$AE$1116,0))</f>
        <v>44946</v>
      </c>
      <c r="F12" s="21">
        <f>INDEX($P$5:$P$1116,MATCH(MAX($AK$5:$AK$1116),$AK$5:$AK$1116,0))</f>
        <v>44932</v>
      </c>
      <c r="G12" s="22">
        <f>INDEX($P$5:$P$1116,MATCH(MAX($AQ$5:$AQ$1116),$AQ$5:$AQ$1116,0))</f>
        <v>44937</v>
      </c>
      <c r="I12" s="11"/>
      <c r="P12" s="44">
        <v>44937</v>
      </c>
      <c r="Q12" s="32">
        <v>103.258</v>
      </c>
      <c r="R12" s="32">
        <v>103.482</v>
      </c>
      <c r="S12" s="32">
        <v>103.087</v>
      </c>
      <c r="T12" s="32">
        <v>103.26600000000001</v>
      </c>
      <c r="U12" s="36">
        <v>-5.0000000000000001E-3</v>
      </c>
      <c r="V12" s="44">
        <v>44937</v>
      </c>
      <c r="W12" s="32">
        <v>1.0736000000000001</v>
      </c>
      <c r="X12" s="32">
        <v>1.0777300000000001</v>
      </c>
      <c r="Y12" s="32">
        <v>1.0724</v>
      </c>
      <c r="Z12" s="32">
        <v>1.0754999999999999</v>
      </c>
      <c r="AA12" s="36">
        <v>1.6899999999999999E-3</v>
      </c>
      <c r="AB12" s="44">
        <v>44937</v>
      </c>
      <c r="AC12" s="32">
        <v>1.21513</v>
      </c>
      <c r="AD12" s="32">
        <v>1.21777</v>
      </c>
      <c r="AE12" s="32">
        <v>1.21</v>
      </c>
      <c r="AF12" s="32">
        <v>1.2146399999999999</v>
      </c>
      <c r="AG12" s="36">
        <v>-5.1999999999999995E-4</v>
      </c>
      <c r="AH12" s="44">
        <v>44937</v>
      </c>
      <c r="AI12" s="32">
        <v>0.92259999999999998</v>
      </c>
      <c r="AJ12" s="32">
        <v>0.93289999999999995</v>
      </c>
      <c r="AK12" s="32">
        <v>0.92020000000000002</v>
      </c>
      <c r="AL12" s="32">
        <v>0.93120000000000003</v>
      </c>
      <c r="AM12" s="36">
        <v>8.5000000000000006E-3</v>
      </c>
      <c r="AN12" s="44">
        <v>44937</v>
      </c>
      <c r="AO12" s="32">
        <v>132.232</v>
      </c>
      <c r="AP12" s="32">
        <v>132.87100000000001</v>
      </c>
      <c r="AQ12" s="32">
        <v>132.04</v>
      </c>
      <c r="AR12" s="32">
        <v>132.53200000000001</v>
      </c>
      <c r="AS12" s="36">
        <v>0.29699999999999999</v>
      </c>
    </row>
    <row r="13" spans="2:53" ht="15" customHeight="1" x14ac:dyDescent="0.3">
      <c r="B13" s="16" t="s">
        <v>18</v>
      </c>
      <c r="C13" s="23">
        <f>+AVERAGE(T5:T987)</f>
        <v>103.14480000000002</v>
      </c>
      <c r="D13" s="23">
        <f>+AVERAGE(Z5:Z987)</f>
        <v>1.073124</v>
      </c>
      <c r="E13" s="23">
        <f>+AVERAGE(AF5:AF987)</f>
        <v>1.2173519999999998</v>
      </c>
      <c r="F13" s="23">
        <f>+AVERAGE(AL5:AL987)</f>
        <v>0.92537333333333327</v>
      </c>
      <c r="G13" s="24">
        <f>+AVERAGE(AR5:AR987)</f>
        <v>130.41393333333335</v>
      </c>
      <c r="I13" s="11" t="s">
        <v>40</v>
      </c>
      <c r="P13" s="44">
        <v>44936</v>
      </c>
      <c r="Q13" s="32">
        <v>103.191</v>
      </c>
      <c r="R13" s="32">
        <v>103.494</v>
      </c>
      <c r="S13" s="32">
        <v>103.001</v>
      </c>
      <c r="T13" s="32">
        <v>103.271</v>
      </c>
      <c r="U13" s="36">
        <v>6.7000000000000004E-2</v>
      </c>
      <c r="V13" s="44">
        <v>44936</v>
      </c>
      <c r="W13" s="32">
        <v>1.0730999999999999</v>
      </c>
      <c r="X13" s="32">
        <v>1.0759300000000001</v>
      </c>
      <c r="Y13" s="32">
        <v>1.071</v>
      </c>
      <c r="Z13" s="32">
        <v>1.0738000000000001</v>
      </c>
      <c r="AA13" s="36">
        <v>5.0000000000000001E-4</v>
      </c>
      <c r="AB13" s="44">
        <v>44936</v>
      </c>
      <c r="AC13" s="32">
        <v>1.2179800000000001</v>
      </c>
      <c r="AD13" s="32">
        <v>1.2196800000000001</v>
      </c>
      <c r="AE13" s="32">
        <v>1.2109000000000001</v>
      </c>
      <c r="AF13" s="32">
        <v>1.21515</v>
      </c>
      <c r="AG13" s="36">
        <v>-2.8500000000000001E-3</v>
      </c>
      <c r="AH13" s="44">
        <v>44936</v>
      </c>
      <c r="AI13" s="32">
        <v>0.92110000000000003</v>
      </c>
      <c r="AJ13" s="32">
        <v>0.92520000000000002</v>
      </c>
      <c r="AK13" s="32">
        <v>0.91930000000000001</v>
      </c>
      <c r="AL13" s="32">
        <v>0.92269999999999996</v>
      </c>
      <c r="AM13" s="36">
        <v>1.5E-3</v>
      </c>
      <c r="AN13" s="44">
        <v>44936</v>
      </c>
      <c r="AO13" s="32">
        <v>131.79499999999999</v>
      </c>
      <c r="AP13" s="32">
        <v>132.477</v>
      </c>
      <c r="AQ13" s="32">
        <v>131.37</v>
      </c>
      <c r="AR13" s="32">
        <v>132.23500000000001</v>
      </c>
      <c r="AS13" s="36">
        <v>0.437</v>
      </c>
    </row>
    <row r="14" spans="2:53" ht="15" customHeight="1" x14ac:dyDescent="0.3">
      <c r="B14" s="16" t="s">
        <v>17</v>
      </c>
      <c r="C14" s="49" t="str">
        <f>IF(C22=1,"▲","▼")</f>
        <v>▼</v>
      </c>
      <c r="D14" s="49" t="str">
        <f>IF(D22=1,"▲","▼")</f>
        <v>▲</v>
      </c>
      <c r="E14" s="49" t="str">
        <f>IF(E22=1,"▲","▼")</f>
        <v>▲</v>
      </c>
      <c r="F14" s="49" t="str">
        <f>IF(F22=1,"▲","▼")</f>
        <v>▼</v>
      </c>
      <c r="G14" s="50" t="str">
        <f>IF(G22=1,"▲","▼")</f>
        <v>▼</v>
      </c>
      <c r="I14" s="11" t="s">
        <v>41</v>
      </c>
      <c r="P14" s="44">
        <v>44935</v>
      </c>
      <c r="Q14" s="32">
        <v>103.895</v>
      </c>
      <c r="R14" s="32">
        <v>103.92700000000001</v>
      </c>
      <c r="S14" s="32">
        <v>102.92400000000001</v>
      </c>
      <c r="T14" s="32">
        <v>103.19499999999999</v>
      </c>
      <c r="U14" s="36">
        <v>-0.70399999999999996</v>
      </c>
      <c r="V14" s="44">
        <v>44935</v>
      </c>
      <c r="W14" s="32">
        <v>1.06454</v>
      </c>
      <c r="X14" s="32">
        <v>1.07603</v>
      </c>
      <c r="Y14" s="32">
        <v>1.0633900000000001</v>
      </c>
      <c r="Z14" s="32">
        <v>1.07311</v>
      </c>
      <c r="AA14" s="36">
        <v>8.5599999999999999E-3</v>
      </c>
      <c r="AB14" s="44">
        <v>44935</v>
      </c>
      <c r="AC14" s="32">
        <v>1.2095400000000001</v>
      </c>
      <c r="AD14" s="32">
        <v>1.2208600000000001</v>
      </c>
      <c r="AE14" s="32">
        <v>1.2083600000000001</v>
      </c>
      <c r="AF14" s="32">
        <v>1.2180299999999999</v>
      </c>
      <c r="AG14" s="36">
        <v>8.4399999999999996E-3</v>
      </c>
      <c r="AH14" s="44">
        <v>44935</v>
      </c>
      <c r="AI14" s="32">
        <v>0.92759999999999998</v>
      </c>
      <c r="AJ14" s="32">
        <v>0.9284</v>
      </c>
      <c r="AK14" s="32">
        <v>0.91639999999999999</v>
      </c>
      <c r="AL14" s="32">
        <v>0.92110000000000003</v>
      </c>
      <c r="AM14" s="36">
        <v>-6.5000000000000006E-3</v>
      </c>
      <c r="AN14" s="44">
        <v>44935</v>
      </c>
      <c r="AO14" s="32">
        <v>132.09200000000001</v>
      </c>
      <c r="AP14" s="32">
        <v>132.654</v>
      </c>
      <c r="AQ14" s="32">
        <v>131.28</v>
      </c>
      <c r="AR14" s="32">
        <v>131.797</v>
      </c>
      <c r="AS14" s="36">
        <v>-0.29699999999999999</v>
      </c>
    </row>
    <row r="15" spans="2:53" ht="15" customHeight="1" x14ac:dyDescent="0.3">
      <c r="B15" s="25" t="s">
        <v>16</v>
      </c>
      <c r="C15" s="26">
        <f>IF(C22=1,AW3,AW4)</f>
        <v>-3.9183943955315687E-2</v>
      </c>
      <c r="D15" s="26">
        <f>IF(D22=1,AX3,AX4)</f>
        <v>3.8648310865603906E-2</v>
      </c>
      <c r="E15" s="26">
        <f>IF(E22=1,AY3,AY4)</f>
        <v>5.0164682036990225E-2</v>
      </c>
      <c r="F15" s="26">
        <f>IF(F22=1,AZ3,AZ4)</f>
        <v>-3.4020837763129946E-2</v>
      </c>
      <c r="G15" s="27">
        <f>IF(G22=1,BA3,BA4)</f>
        <v>-5.6021369741040369E-2</v>
      </c>
      <c r="I15" s="11" t="s">
        <v>42</v>
      </c>
      <c r="P15" s="44">
        <v>44932</v>
      </c>
      <c r="Q15" s="32">
        <v>105.128</v>
      </c>
      <c r="R15" s="32">
        <v>105.63</v>
      </c>
      <c r="S15" s="32">
        <v>103.85299999999999</v>
      </c>
      <c r="T15" s="32">
        <v>103.9</v>
      </c>
      <c r="U15" s="36">
        <v>-1.2330000000000001</v>
      </c>
      <c r="V15" s="44">
        <v>44932</v>
      </c>
      <c r="W15" s="32">
        <v>1.05216</v>
      </c>
      <c r="X15" s="32">
        <v>1.0647800000000001</v>
      </c>
      <c r="Y15" s="32">
        <v>1.04817</v>
      </c>
      <c r="Z15" s="32">
        <v>1.06456</v>
      </c>
      <c r="AA15" s="36">
        <v>1.238E-2</v>
      </c>
      <c r="AB15" s="44">
        <v>44932</v>
      </c>
      <c r="AC15" s="32">
        <v>1.1909700000000001</v>
      </c>
      <c r="AD15" s="32">
        <v>1.2098800000000001</v>
      </c>
      <c r="AE15" s="32">
        <v>1.1840999999999999</v>
      </c>
      <c r="AF15" s="32">
        <v>1.2095499999999999</v>
      </c>
      <c r="AG15" s="36">
        <v>1.857E-2</v>
      </c>
      <c r="AH15" s="44">
        <v>44932</v>
      </c>
      <c r="AI15" s="32">
        <v>0.9365</v>
      </c>
      <c r="AJ15" s="32">
        <v>0.94059999999999999</v>
      </c>
      <c r="AK15" s="32">
        <v>0.92679999999999996</v>
      </c>
      <c r="AL15" s="32">
        <v>0.92769999999999997</v>
      </c>
      <c r="AM15" s="36">
        <v>-8.8999999999999999E-3</v>
      </c>
      <c r="AN15" s="44">
        <v>44932</v>
      </c>
      <c r="AO15" s="32">
        <v>133.35</v>
      </c>
      <c r="AP15" s="32">
        <v>134.77000000000001</v>
      </c>
      <c r="AQ15" s="32">
        <v>131.97</v>
      </c>
      <c r="AR15" s="32">
        <v>132.09899999999999</v>
      </c>
      <c r="AS15" s="36">
        <v>-1.258</v>
      </c>
    </row>
    <row r="16" spans="2:53" ht="15" customHeight="1" x14ac:dyDescent="0.3">
      <c r="B16" s="28" t="s">
        <v>20</v>
      </c>
      <c r="C16" s="29" t="str">
        <f>IF(AW2+C22=0,"Change","Go")</f>
        <v>Go</v>
      </c>
      <c r="D16" s="29" t="str">
        <f>IF(AX2+D22=0,"Change","Go")</f>
        <v>Go</v>
      </c>
      <c r="E16" s="29" t="str">
        <f>IF(AY2+E22=0,"Change","Go")</f>
        <v>Go</v>
      </c>
      <c r="F16" s="29" t="str">
        <f>IF(AZ2+F22=0,"Change","Go")</f>
        <v>Go</v>
      </c>
      <c r="G16" s="30" t="str">
        <f>IF(BA2+G22=0,"Change","Go")</f>
        <v>Go</v>
      </c>
      <c r="I16" s="11" t="s">
        <v>43</v>
      </c>
      <c r="P16" s="44">
        <v>44931</v>
      </c>
      <c r="Q16" s="32">
        <v>104.252</v>
      </c>
      <c r="R16" s="32">
        <v>105.27200000000001</v>
      </c>
      <c r="S16" s="32">
        <v>103.962</v>
      </c>
      <c r="T16" s="32">
        <v>105.133</v>
      </c>
      <c r="U16" s="36">
        <v>0.876</v>
      </c>
      <c r="V16" s="44">
        <v>44931</v>
      </c>
      <c r="W16" s="32">
        <v>1.0602</v>
      </c>
      <c r="X16" s="32">
        <v>1.0631200000000001</v>
      </c>
      <c r="Y16" s="32">
        <v>1.0512900000000001</v>
      </c>
      <c r="Z16" s="32">
        <v>1.0522100000000001</v>
      </c>
      <c r="AA16" s="36">
        <v>-8.0400000000000003E-3</v>
      </c>
      <c r="AB16" s="44">
        <v>44931</v>
      </c>
      <c r="AC16" s="32">
        <v>1.20581</v>
      </c>
      <c r="AD16" s="32">
        <v>1.2077</v>
      </c>
      <c r="AE16" s="32">
        <v>1.18729</v>
      </c>
      <c r="AF16" s="32">
        <v>1.19103</v>
      </c>
      <c r="AG16" s="36">
        <v>-1.4840000000000001E-2</v>
      </c>
      <c r="AH16" s="44">
        <v>44931</v>
      </c>
      <c r="AI16" s="32">
        <v>0.93</v>
      </c>
      <c r="AJ16" s="32">
        <v>0.93769999999999998</v>
      </c>
      <c r="AK16" s="32">
        <v>0.92569999999999997</v>
      </c>
      <c r="AL16" s="32">
        <v>0.9365</v>
      </c>
      <c r="AM16" s="36">
        <v>6.5000000000000006E-3</v>
      </c>
      <c r="AN16" s="44">
        <v>44931</v>
      </c>
      <c r="AO16" s="32">
        <v>132.68</v>
      </c>
      <c r="AP16" s="32">
        <v>134.05000000000001</v>
      </c>
      <c r="AQ16" s="32">
        <v>131.68</v>
      </c>
      <c r="AR16" s="32">
        <v>133.37</v>
      </c>
      <c r="AS16" s="36">
        <v>0.67</v>
      </c>
    </row>
    <row r="17" spans="2:45" ht="15" customHeight="1" x14ac:dyDescent="0.3">
      <c r="I17" s="11"/>
      <c r="P17" s="44">
        <v>44930</v>
      </c>
      <c r="Q17" s="32">
        <v>104.64400000000001</v>
      </c>
      <c r="R17" s="32">
        <v>104.78</v>
      </c>
      <c r="S17" s="32">
        <v>103.795</v>
      </c>
      <c r="T17" s="32">
        <v>104.267</v>
      </c>
      <c r="U17" s="36">
        <v>-0.39200000000000002</v>
      </c>
      <c r="V17" s="44">
        <v>44930</v>
      </c>
      <c r="W17" s="32">
        <v>1.0551200000000001</v>
      </c>
      <c r="X17" s="32">
        <v>1.0635300000000001</v>
      </c>
      <c r="Y17" s="32">
        <v>1.0539000000000001</v>
      </c>
      <c r="Z17" s="32">
        <v>1.0604</v>
      </c>
      <c r="AA17" s="36">
        <v>5.0799999999999994E-3</v>
      </c>
      <c r="AB17" s="44">
        <v>44930</v>
      </c>
      <c r="AC17" s="32">
        <v>1.1972400000000001</v>
      </c>
      <c r="AD17" s="32">
        <v>1.2086399999999999</v>
      </c>
      <c r="AE17" s="32">
        <v>1.19573</v>
      </c>
      <c r="AF17" s="32">
        <v>1.2058800000000001</v>
      </c>
      <c r="AG17" s="36">
        <v>8.5699999999999995E-3</v>
      </c>
      <c r="AH17" s="44">
        <v>44930</v>
      </c>
      <c r="AI17" s="32">
        <v>0.93589999999999995</v>
      </c>
      <c r="AJ17" s="32">
        <v>0.93720000000000003</v>
      </c>
      <c r="AK17" s="32">
        <v>0.92510000000000003</v>
      </c>
      <c r="AL17" s="32">
        <v>0.93</v>
      </c>
      <c r="AM17" s="36">
        <v>-5.8999999999999999E-3</v>
      </c>
      <c r="AN17" s="44">
        <v>44930</v>
      </c>
      <c r="AO17" s="32">
        <v>130.95500000000001</v>
      </c>
      <c r="AP17" s="32">
        <v>132.71100000000001</v>
      </c>
      <c r="AQ17" s="32">
        <v>129.9</v>
      </c>
      <c r="AR17" s="32">
        <v>132.69999999999999</v>
      </c>
      <c r="AS17" s="36">
        <v>1.7250000000000001</v>
      </c>
    </row>
    <row r="18" spans="2:45" ht="15" customHeight="1" x14ac:dyDescent="0.3">
      <c r="B18" s="41" t="s">
        <v>14</v>
      </c>
      <c r="C18" s="42" t="str">
        <f>INDEX($C$7:$G$7,MATCH(MAX($C$15:$G$15),$C$15:$G$15,0))</f>
        <v>GBPUSD</v>
      </c>
      <c r="D18" s="43">
        <f>MAX(C15:G15)</f>
        <v>5.0164682036990225E-2</v>
      </c>
      <c r="I18" s="11" t="s">
        <v>44</v>
      </c>
      <c r="P18" s="44">
        <v>44929</v>
      </c>
      <c r="Q18" s="32">
        <v>103.71299999999999</v>
      </c>
      <c r="R18" s="32">
        <v>104.86</v>
      </c>
      <c r="S18" s="32">
        <v>103.44799999999999</v>
      </c>
      <c r="T18" s="32">
        <v>104.65</v>
      </c>
      <c r="U18" s="36">
        <v>0.93100000000000005</v>
      </c>
      <c r="V18" s="44">
        <v>44929</v>
      </c>
      <c r="W18" s="32">
        <v>1.06646</v>
      </c>
      <c r="X18" s="32">
        <v>1.06836</v>
      </c>
      <c r="Y18" s="32">
        <v>1.0517000000000001</v>
      </c>
      <c r="Z18" s="32">
        <v>1.0551699999999999</v>
      </c>
      <c r="AA18" s="36">
        <v>-1.1339999999999999E-2</v>
      </c>
      <c r="AB18" s="44">
        <v>44929</v>
      </c>
      <c r="AC18" s="32">
        <v>1.20459</v>
      </c>
      <c r="AD18" s="32">
        <v>1.20845</v>
      </c>
      <c r="AE18" s="32">
        <v>1.1900500000000001</v>
      </c>
      <c r="AF18" s="32">
        <v>1.19729</v>
      </c>
      <c r="AG18" s="36">
        <v>-7.3499999999999998E-3</v>
      </c>
      <c r="AH18" s="44">
        <v>44929</v>
      </c>
      <c r="AI18" s="32">
        <v>0.92449999999999999</v>
      </c>
      <c r="AJ18" s="32">
        <v>0.93979999999999997</v>
      </c>
      <c r="AK18" s="32">
        <v>0.92259999999999998</v>
      </c>
      <c r="AL18" s="32">
        <v>0.93589999999999995</v>
      </c>
      <c r="AM18" s="36">
        <v>1.14E-2</v>
      </c>
      <c r="AN18" s="44">
        <v>44929</v>
      </c>
      <c r="AO18" s="32">
        <v>130.71700000000001</v>
      </c>
      <c r="AP18" s="32">
        <v>131.40100000000001</v>
      </c>
      <c r="AQ18" s="32">
        <v>129.48699999999999</v>
      </c>
      <c r="AR18" s="32">
        <v>130.96199999999999</v>
      </c>
      <c r="AS18" s="36">
        <v>0.23799999999999999</v>
      </c>
    </row>
    <row r="19" spans="2:45" ht="15" customHeight="1" thickBot="1" x14ac:dyDescent="0.35">
      <c r="B19" s="41" t="s">
        <v>45</v>
      </c>
      <c r="C19" s="42" t="str">
        <f>INDEX($C$7:$G$7,MATCH(MIN($C$15:$G$15),$C$15:$G$15,0))</f>
        <v>USDJPY</v>
      </c>
      <c r="D19" s="43">
        <f>MIN(C15:G15)</f>
        <v>-5.6021369741040369E-2</v>
      </c>
      <c r="I19" s="11" t="s">
        <v>46</v>
      </c>
      <c r="P19" s="45">
        <v>44928</v>
      </c>
      <c r="Q19" s="37">
        <v>103.47799999999999</v>
      </c>
      <c r="R19" s="37">
        <v>103.83499999999999</v>
      </c>
      <c r="S19" s="37">
        <v>103.402</v>
      </c>
      <c r="T19" s="37">
        <v>103.73699999999999</v>
      </c>
      <c r="U19" s="38">
        <v>0.23499999999999999</v>
      </c>
      <c r="V19" s="45">
        <v>44928</v>
      </c>
      <c r="W19" s="37">
        <v>1.0705</v>
      </c>
      <c r="X19" s="37">
        <v>1.07087</v>
      </c>
      <c r="Y19" s="37">
        <v>1.0649</v>
      </c>
      <c r="Z19" s="37">
        <v>1.06673</v>
      </c>
      <c r="AA19" s="38">
        <v>-4.0400000000000002E-3</v>
      </c>
      <c r="AB19" s="45">
        <v>44928</v>
      </c>
      <c r="AC19" s="37">
        <v>1.2088000000000001</v>
      </c>
      <c r="AD19" s="37">
        <v>1.2099299999999999</v>
      </c>
      <c r="AE19" s="37">
        <v>1.2032700000000001</v>
      </c>
      <c r="AF19" s="37">
        <v>1.20475</v>
      </c>
      <c r="AG19" s="38">
        <v>-4.2100000000000002E-3</v>
      </c>
      <c r="AH19" s="45">
        <v>44928</v>
      </c>
      <c r="AI19" s="37">
        <v>0.92459999999999998</v>
      </c>
      <c r="AJ19" s="37">
        <v>0.92749999999999999</v>
      </c>
      <c r="AK19" s="37">
        <v>0.92110000000000003</v>
      </c>
      <c r="AL19" s="37">
        <v>0.92479999999999996</v>
      </c>
      <c r="AM19" s="38">
        <v>-1E-4</v>
      </c>
      <c r="AN19" s="45">
        <v>44928</v>
      </c>
      <c r="AO19" s="37">
        <v>131.268</v>
      </c>
      <c r="AP19" s="37">
        <v>131.268</v>
      </c>
      <c r="AQ19" s="37">
        <v>130.59800000000001</v>
      </c>
      <c r="AR19" s="37">
        <v>130.74100000000001</v>
      </c>
      <c r="AS19" s="38">
        <v>-0.55100000000000005</v>
      </c>
    </row>
    <row r="20" spans="2:45" ht="15" customHeight="1" x14ac:dyDescent="0.3">
      <c r="P20" s="3"/>
      <c r="V20" s="3"/>
      <c r="AB20" s="3"/>
      <c r="AH20" s="3"/>
      <c r="AN20" s="3"/>
    </row>
    <row r="21" spans="2:45" ht="15" customHeight="1" x14ac:dyDescent="0.3">
      <c r="I21" s="31"/>
      <c r="P21" s="3"/>
      <c r="V21" s="3"/>
      <c r="AB21" s="3"/>
      <c r="AH21" s="3"/>
      <c r="AN21" s="3"/>
    </row>
    <row r="22" spans="2:45" ht="15" hidden="1" customHeight="1" x14ac:dyDescent="0.3">
      <c r="C22" s="19">
        <f>IF(T5-C13&gt;0,1,-1)</f>
        <v>-1</v>
      </c>
      <c r="D22" s="19">
        <f>IF(Z5-D13&gt;0,1,-1)</f>
        <v>1</v>
      </c>
      <c r="E22" s="19">
        <f>IF(AF5-E13&gt;0,1,-1)</f>
        <v>1</v>
      </c>
      <c r="F22" s="19">
        <f>IF(AK5-F13&gt;0,1,-1)</f>
        <v>-1</v>
      </c>
      <c r="G22" s="20">
        <f>IF(AR5-G13&gt;0,1,-1)</f>
        <v>-1</v>
      </c>
      <c r="P22" s="3"/>
      <c r="V22" s="3"/>
      <c r="AB22" s="3"/>
      <c r="AH22" s="3"/>
      <c r="AN22" s="3"/>
    </row>
    <row r="23" spans="2:45" ht="15" customHeight="1" x14ac:dyDescent="0.3">
      <c r="P23" s="3"/>
      <c r="V23" s="3"/>
      <c r="AB23" s="3"/>
      <c r="AH23" s="3"/>
      <c r="AN23" s="3"/>
    </row>
    <row r="24" spans="2:45" ht="15" customHeight="1" x14ac:dyDescent="0.3">
      <c r="D24" s="6"/>
      <c r="P24" s="3"/>
      <c r="V24" s="3"/>
      <c r="AB24" s="3"/>
      <c r="AH24" s="3"/>
      <c r="AN24" s="3"/>
    </row>
    <row r="25" spans="2:45" ht="15" customHeight="1" x14ac:dyDescent="0.3">
      <c r="C25" s="48"/>
      <c r="D25" s="6"/>
      <c r="P25" s="3"/>
      <c r="V25" s="3"/>
      <c r="AB25" s="3"/>
      <c r="AH25" s="3"/>
      <c r="AN25" s="3"/>
    </row>
    <row r="26" spans="2:45" ht="15" customHeight="1" x14ac:dyDescent="0.3">
      <c r="D26" s="6"/>
      <c r="P26" s="3"/>
      <c r="V26" s="3"/>
      <c r="AB26" s="3"/>
      <c r="AH26" s="3"/>
      <c r="AN26" s="3"/>
    </row>
    <row r="27" spans="2:45" ht="15" customHeight="1" x14ac:dyDescent="0.3">
      <c r="D27" s="6"/>
      <c r="P27" s="3"/>
      <c r="V27" s="3"/>
      <c r="AB27" s="3"/>
      <c r="AH27" s="3"/>
      <c r="AN27" s="3"/>
    </row>
    <row r="28" spans="2:45" ht="15" customHeight="1" x14ac:dyDescent="0.3">
      <c r="D28" s="6"/>
      <c r="P28" s="3"/>
      <c r="V28" s="3"/>
      <c r="AB28" s="3"/>
      <c r="AH28" s="3"/>
      <c r="AN28" s="3"/>
    </row>
    <row r="29" spans="2:45" ht="15" customHeight="1" x14ac:dyDescent="0.3">
      <c r="D29" s="6"/>
      <c r="P29" s="3"/>
      <c r="V29" s="3"/>
      <c r="AB29" s="3"/>
      <c r="AH29" s="3"/>
      <c r="AN29" s="3"/>
    </row>
    <row r="30" spans="2:45" ht="15" customHeight="1" x14ac:dyDescent="0.3">
      <c r="D30" s="6"/>
      <c r="P30" s="3"/>
      <c r="V30" s="3"/>
      <c r="AB30" s="3"/>
      <c r="AH30" s="3"/>
      <c r="AN30" s="3"/>
    </row>
    <row r="31" spans="2:45" ht="15" customHeight="1" x14ac:dyDescent="0.3">
      <c r="D31" s="6"/>
      <c r="P31" s="3"/>
      <c r="V31" s="3"/>
      <c r="AB31" s="3"/>
      <c r="AH31" s="3"/>
      <c r="AN31" s="3"/>
    </row>
    <row r="32" spans="2:45" ht="15" customHeight="1" x14ac:dyDescent="0.3">
      <c r="D32" s="6"/>
      <c r="P32" s="3"/>
      <c r="V32" s="3"/>
      <c r="AB32" s="3"/>
      <c r="AH32" s="3"/>
      <c r="AN32" s="3"/>
    </row>
    <row r="33" spans="4:40" ht="15" customHeight="1" x14ac:dyDescent="0.3">
      <c r="D33" s="6"/>
      <c r="P33" s="3"/>
      <c r="V33" s="3"/>
      <c r="AB33" s="3"/>
      <c r="AH33" s="3"/>
      <c r="AN33" s="3"/>
    </row>
    <row r="34" spans="4:40" ht="15" customHeight="1" x14ac:dyDescent="0.3">
      <c r="D34" s="6"/>
      <c r="P34" s="3"/>
      <c r="V34" s="3"/>
      <c r="AB34" s="3"/>
      <c r="AH34" s="3"/>
      <c r="AN34" s="3"/>
    </row>
    <row r="35" spans="4:40" ht="15" customHeight="1" x14ac:dyDescent="0.3">
      <c r="D35" s="6"/>
      <c r="P35" s="3"/>
      <c r="V35" s="3"/>
      <c r="AB35" s="3"/>
      <c r="AH35" s="3"/>
      <c r="AN35" s="3"/>
    </row>
    <row r="36" spans="4:40" ht="15" customHeight="1" x14ac:dyDescent="0.3">
      <c r="D36" s="6"/>
      <c r="P36" s="3"/>
      <c r="V36" s="3"/>
      <c r="AB36" s="3"/>
      <c r="AH36" s="3"/>
      <c r="AN36" s="3"/>
    </row>
    <row r="37" spans="4:40" ht="15" customHeight="1" x14ac:dyDescent="0.3">
      <c r="D37" s="6"/>
      <c r="P37" s="3"/>
      <c r="V37" s="3"/>
      <c r="AB37" s="3"/>
      <c r="AH37" s="3"/>
      <c r="AN37" s="3"/>
    </row>
    <row r="38" spans="4:40" ht="15" customHeight="1" x14ac:dyDescent="0.3">
      <c r="P38" s="3"/>
      <c r="V38" s="3"/>
      <c r="AB38" s="3"/>
      <c r="AH38" s="3"/>
      <c r="AN38" s="3"/>
    </row>
    <row r="39" spans="4:40" ht="15" customHeight="1" x14ac:dyDescent="0.3">
      <c r="P39" s="3"/>
      <c r="V39" s="3"/>
      <c r="AB39" s="3"/>
      <c r="AH39" s="3"/>
      <c r="AN39" s="3"/>
    </row>
    <row r="40" spans="4:40" ht="15" customHeight="1" x14ac:dyDescent="0.3">
      <c r="P40" s="3"/>
      <c r="V40" s="3"/>
      <c r="AB40" s="3"/>
      <c r="AH40" s="3"/>
      <c r="AN40" s="3"/>
    </row>
    <row r="41" spans="4:40" ht="15" customHeight="1" x14ac:dyDescent="0.3">
      <c r="P41" s="3"/>
      <c r="V41" s="3"/>
      <c r="AB41" s="3"/>
      <c r="AH41" s="3"/>
      <c r="AN41" s="3"/>
    </row>
    <row r="42" spans="4:40" ht="15" customHeight="1" x14ac:dyDescent="0.3">
      <c r="P42" s="3"/>
      <c r="V42" s="3"/>
      <c r="AB42" s="3"/>
      <c r="AH42" s="3"/>
      <c r="AN42" s="3"/>
    </row>
    <row r="43" spans="4:40" ht="15" customHeight="1" x14ac:dyDescent="0.3">
      <c r="P43" s="3"/>
      <c r="V43" s="3"/>
      <c r="AB43" s="3"/>
      <c r="AH43" s="3"/>
      <c r="AN43" s="3"/>
    </row>
    <row r="44" spans="4:40" ht="15" customHeight="1" x14ac:dyDescent="0.3">
      <c r="P44" s="3"/>
      <c r="V44" s="3"/>
      <c r="AB44" s="3"/>
      <c r="AH44" s="3"/>
      <c r="AN44" s="3"/>
    </row>
    <row r="45" spans="4:40" ht="15" customHeight="1" x14ac:dyDescent="0.3">
      <c r="P45" s="3"/>
      <c r="V45" s="3"/>
      <c r="AB45" s="3"/>
      <c r="AH45" s="3"/>
      <c r="AN45" s="3"/>
    </row>
    <row r="46" spans="4:40" ht="15" customHeight="1" x14ac:dyDescent="0.3">
      <c r="P46" s="3"/>
      <c r="V46" s="3"/>
      <c r="AB46" s="3"/>
      <c r="AH46" s="3"/>
      <c r="AN46" s="3"/>
    </row>
    <row r="47" spans="4:40" ht="15" customHeight="1" x14ac:dyDescent="0.3">
      <c r="P47" s="3"/>
      <c r="V47" s="3"/>
      <c r="AB47" s="3"/>
      <c r="AH47" s="3"/>
      <c r="AN47" s="3"/>
    </row>
    <row r="48" spans="4:40" ht="15" customHeight="1" x14ac:dyDescent="0.3">
      <c r="P48" s="3"/>
      <c r="V48" s="3"/>
      <c r="AB48" s="3"/>
      <c r="AH48" s="3"/>
      <c r="AN48" s="3"/>
    </row>
    <row r="49" spans="16:40" ht="15" customHeight="1" x14ac:dyDescent="0.3">
      <c r="P49" s="3"/>
      <c r="V49" s="3"/>
      <c r="AB49" s="3"/>
      <c r="AH49" s="3"/>
      <c r="AN49" s="3"/>
    </row>
    <row r="50" spans="16:40" ht="15" customHeight="1" x14ac:dyDescent="0.3">
      <c r="P50" s="3"/>
      <c r="V50" s="3"/>
      <c r="AB50" s="3"/>
      <c r="AH50" s="3"/>
      <c r="AN50" s="3"/>
    </row>
    <row r="51" spans="16:40" ht="15" customHeight="1" x14ac:dyDescent="0.3">
      <c r="P51" s="3"/>
      <c r="V51" s="3"/>
      <c r="AB51" s="3"/>
      <c r="AH51" s="3"/>
      <c r="AN51" s="3"/>
    </row>
    <row r="52" spans="16:40" ht="15" customHeight="1" x14ac:dyDescent="0.3">
      <c r="P52" s="3"/>
      <c r="V52" s="3"/>
      <c r="AB52" s="3"/>
      <c r="AH52" s="3"/>
      <c r="AN52" s="3"/>
    </row>
    <row r="53" spans="16:40" ht="15" customHeight="1" x14ac:dyDescent="0.3">
      <c r="P53" s="3"/>
      <c r="V53" s="3"/>
      <c r="AB53" s="3"/>
      <c r="AH53" s="3"/>
      <c r="AN53" s="3"/>
    </row>
    <row r="54" spans="16:40" ht="15" customHeight="1" x14ac:dyDescent="0.3">
      <c r="P54" s="3"/>
      <c r="V54" s="3"/>
      <c r="AB54" s="3"/>
      <c r="AH54" s="3"/>
      <c r="AN54" s="3"/>
    </row>
    <row r="55" spans="16:40" ht="15" customHeight="1" x14ac:dyDescent="0.3">
      <c r="P55" s="3"/>
      <c r="V55" s="3"/>
      <c r="AB55" s="3"/>
      <c r="AH55" s="3"/>
      <c r="AN55" s="3"/>
    </row>
    <row r="56" spans="16:40" ht="15" customHeight="1" x14ac:dyDescent="0.3">
      <c r="P56" s="3"/>
      <c r="V56" s="3"/>
      <c r="AB56" s="3"/>
      <c r="AH56" s="3"/>
      <c r="AN56" s="3"/>
    </row>
    <row r="57" spans="16:40" ht="15" customHeight="1" x14ac:dyDescent="0.3">
      <c r="P57" s="3"/>
      <c r="V57" s="3"/>
      <c r="AB57" s="3"/>
      <c r="AH57" s="3"/>
      <c r="AN57" s="3"/>
    </row>
    <row r="58" spans="16:40" ht="15" customHeight="1" x14ac:dyDescent="0.3">
      <c r="P58" s="3"/>
      <c r="V58" s="3"/>
      <c r="AB58" s="3"/>
      <c r="AH58" s="3"/>
      <c r="AN58" s="3"/>
    </row>
    <row r="59" spans="16:40" ht="15" customHeight="1" x14ac:dyDescent="0.3">
      <c r="P59" s="3"/>
      <c r="V59" s="3"/>
      <c r="AB59" s="3"/>
      <c r="AH59" s="3"/>
      <c r="AN59" s="3"/>
    </row>
    <row r="60" spans="16:40" ht="15" customHeight="1" x14ac:dyDescent="0.3">
      <c r="P60" s="3"/>
      <c r="V60" s="3"/>
      <c r="AB60" s="3"/>
      <c r="AH60" s="3"/>
      <c r="AN60" s="3"/>
    </row>
    <row r="61" spans="16:40" ht="15" customHeight="1" x14ac:dyDescent="0.3">
      <c r="P61" s="3"/>
      <c r="V61" s="3"/>
      <c r="AB61" s="3"/>
      <c r="AH61" s="3"/>
      <c r="AN61" s="3"/>
    </row>
    <row r="62" spans="16:40" ht="15" customHeight="1" x14ac:dyDescent="0.3">
      <c r="P62" s="3"/>
      <c r="V62" s="3"/>
      <c r="AB62" s="3"/>
      <c r="AH62" s="3"/>
      <c r="AN62" s="3"/>
    </row>
    <row r="63" spans="16:40" ht="15" customHeight="1" x14ac:dyDescent="0.3">
      <c r="P63" s="3"/>
      <c r="V63" s="3"/>
      <c r="AB63" s="3"/>
      <c r="AH63" s="3"/>
      <c r="AN63" s="3"/>
    </row>
    <row r="64" spans="16:40" ht="15" customHeight="1" x14ac:dyDescent="0.3">
      <c r="P64" s="3"/>
      <c r="V64" s="3"/>
      <c r="AB64" s="3"/>
      <c r="AH64" s="3"/>
      <c r="AN64" s="3"/>
    </row>
    <row r="65" spans="16:40" ht="15" customHeight="1" x14ac:dyDescent="0.3">
      <c r="P65" s="3"/>
      <c r="V65" s="3"/>
      <c r="AB65" s="3"/>
      <c r="AH65" s="3"/>
      <c r="AN65" s="3"/>
    </row>
    <row r="66" spans="16:40" ht="15" customHeight="1" x14ac:dyDescent="0.3">
      <c r="P66" s="3"/>
      <c r="V66" s="3"/>
      <c r="AB66" s="3"/>
      <c r="AH66" s="3"/>
      <c r="AN66" s="3"/>
    </row>
    <row r="67" spans="16:40" ht="15" customHeight="1" x14ac:dyDescent="0.3">
      <c r="P67" s="3"/>
      <c r="V67" s="3"/>
      <c r="AB67" s="3"/>
      <c r="AH67" s="3"/>
      <c r="AN67" s="3"/>
    </row>
    <row r="68" spans="16:40" ht="15" customHeight="1" x14ac:dyDescent="0.3">
      <c r="P68" s="3"/>
      <c r="V68" s="3"/>
      <c r="AB68" s="3"/>
      <c r="AH68" s="3"/>
      <c r="AN68" s="3"/>
    </row>
    <row r="69" spans="16:40" ht="15" customHeight="1" x14ac:dyDescent="0.3">
      <c r="P69" s="3"/>
      <c r="V69" s="3"/>
      <c r="AB69" s="3"/>
      <c r="AH69" s="3"/>
      <c r="AN69" s="3"/>
    </row>
    <row r="70" spans="16:40" ht="15" customHeight="1" x14ac:dyDescent="0.3">
      <c r="P70" s="3"/>
      <c r="V70" s="3"/>
      <c r="AB70" s="3"/>
      <c r="AH70" s="3"/>
      <c r="AN70" s="3"/>
    </row>
    <row r="71" spans="16:40" ht="15" customHeight="1" x14ac:dyDescent="0.3">
      <c r="P71" s="3"/>
      <c r="V71" s="3"/>
      <c r="AB71" s="3"/>
      <c r="AH71" s="3"/>
      <c r="AN71" s="3"/>
    </row>
    <row r="72" spans="16:40" ht="15" customHeight="1" x14ac:dyDescent="0.3">
      <c r="P72" s="3"/>
      <c r="V72" s="3"/>
      <c r="AB72" s="3"/>
      <c r="AH72" s="3"/>
      <c r="AN72" s="3"/>
    </row>
    <row r="73" spans="16:40" ht="15" customHeight="1" x14ac:dyDescent="0.3">
      <c r="P73" s="3"/>
      <c r="V73" s="3"/>
      <c r="AB73" s="3"/>
      <c r="AH73" s="3"/>
      <c r="AN73" s="3"/>
    </row>
    <row r="74" spans="16:40" ht="15" customHeight="1" x14ac:dyDescent="0.3">
      <c r="P74" s="3"/>
      <c r="V74" s="3"/>
      <c r="AB74" s="3"/>
      <c r="AH74" s="3"/>
      <c r="AN74" s="3"/>
    </row>
    <row r="75" spans="16:40" ht="15" customHeight="1" x14ac:dyDescent="0.3">
      <c r="P75" s="3"/>
      <c r="V75" s="3"/>
      <c r="AB75" s="3"/>
      <c r="AH75" s="3"/>
      <c r="AN75" s="3"/>
    </row>
    <row r="76" spans="16:40" ht="15" customHeight="1" x14ac:dyDescent="0.3">
      <c r="P76" s="3"/>
      <c r="V76" s="3"/>
      <c r="AB76" s="3"/>
      <c r="AH76" s="3"/>
      <c r="AN76" s="3"/>
    </row>
    <row r="77" spans="16:40" ht="15" customHeight="1" x14ac:dyDescent="0.3">
      <c r="P77" s="3"/>
      <c r="V77" s="3"/>
      <c r="AB77" s="3"/>
      <c r="AH77" s="3"/>
      <c r="AN77" s="3"/>
    </row>
    <row r="78" spans="16:40" ht="15" customHeight="1" x14ac:dyDescent="0.3">
      <c r="P78" s="3"/>
      <c r="V78" s="3"/>
      <c r="AB78" s="3"/>
      <c r="AH78" s="3"/>
      <c r="AN78" s="3"/>
    </row>
    <row r="79" spans="16:40" ht="15" customHeight="1" x14ac:dyDescent="0.3">
      <c r="P79" s="3"/>
      <c r="V79" s="3"/>
      <c r="AB79" s="3"/>
      <c r="AH79" s="3"/>
      <c r="AN79" s="3"/>
    </row>
    <row r="80" spans="16:40" ht="15" customHeight="1" x14ac:dyDescent="0.3">
      <c r="P80" s="3"/>
      <c r="V80" s="3"/>
      <c r="AB80" s="3"/>
      <c r="AH80" s="3"/>
      <c r="AN80" s="3"/>
    </row>
    <row r="81" spans="16:40" ht="15" customHeight="1" x14ac:dyDescent="0.3">
      <c r="P81" s="3"/>
      <c r="V81" s="3"/>
      <c r="AB81" s="3"/>
      <c r="AH81" s="3"/>
      <c r="AN81" s="3"/>
    </row>
    <row r="82" spans="16:40" ht="15" customHeight="1" x14ac:dyDescent="0.3">
      <c r="P82" s="3"/>
      <c r="V82" s="3"/>
      <c r="AB82" s="3"/>
      <c r="AH82" s="3"/>
      <c r="AN82" s="3"/>
    </row>
    <row r="83" spans="16:40" ht="15" customHeight="1" x14ac:dyDescent="0.3">
      <c r="P83" s="3"/>
      <c r="V83" s="3"/>
      <c r="AB83" s="3"/>
      <c r="AH83" s="3"/>
      <c r="AN83" s="3"/>
    </row>
    <row r="84" spans="16:40" ht="15" customHeight="1" x14ac:dyDescent="0.3">
      <c r="P84" s="3"/>
      <c r="V84" s="3"/>
      <c r="AB84" s="3"/>
      <c r="AH84" s="3"/>
      <c r="AN84" s="3"/>
    </row>
    <row r="85" spans="16:40" ht="15" customHeight="1" x14ac:dyDescent="0.3">
      <c r="P85" s="3"/>
      <c r="V85" s="3"/>
      <c r="AB85" s="3"/>
      <c r="AH85" s="3"/>
      <c r="AN85" s="3"/>
    </row>
    <row r="86" spans="16:40" ht="15" customHeight="1" x14ac:dyDescent="0.3">
      <c r="P86" s="3"/>
      <c r="V86" s="3"/>
      <c r="AB86" s="3"/>
      <c r="AH86" s="3"/>
      <c r="AN86" s="3"/>
    </row>
    <row r="87" spans="16:40" ht="15" customHeight="1" x14ac:dyDescent="0.3">
      <c r="P87" s="3"/>
      <c r="V87" s="3"/>
      <c r="AB87" s="3"/>
      <c r="AH87" s="3"/>
      <c r="AN87" s="3"/>
    </row>
    <row r="88" spans="16:40" ht="15" customHeight="1" x14ac:dyDescent="0.3">
      <c r="P88" s="3"/>
      <c r="V88" s="3"/>
      <c r="AB88" s="3"/>
      <c r="AH88" s="3"/>
      <c r="AN88" s="3"/>
    </row>
    <row r="89" spans="16:40" ht="15" customHeight="1" x14ac:dyDescent="0.3">
      <c r="P89" s="3"/>
      <c r="V89" s="3"/>
      <c r="AB89" s="3"/>
      <c r="AH89" s="3"/>
      <c r="AN89" s="3"/>
    </row>
    <row r="90" spans="16:40" ht="15" customHeight="1" x14ac:dyDescent="0.3">
      <c r="P90" s="3"/>
      <c r="V90" s="3"/>
      <c r="AB90" s="3"/>
      <c r="AH90" s="3"/>
      <c r="AN90" s="3"/>
    </row>
    <row r="91" spans="16:40" ht="15" customHeight="1" x14ac:dyDescent="0.3">
      <c r="P91" s="3"/>
      <c r="V91" s="3"/>
      <c r="AB91" s="3"/>
      <c r="AH91" s="3"/>
      <c r="AN91" s="3"/>
    </row>
    <row r="92" spans="16:40" ht="15" customHeight="1" x14ac:dyDescent="0.3">
      <c r="P92" s="3"/>
      <c r="V92" s="3"/>
      <c r="AB92" s="3"/>
      <c r="AH92" s="3"/>
      <c r="AN92" s="3"/>
    </row>
    <row r="93" spans="16:40" ht="15" customHeight="1" x14ac:dyDescent="0.3">
      <c r="P93" s="3"/>
      <c r="V93" s="3"/>
      <c r="AB93" s="3"/>
      <c r="AH93" s="3"/>
      <c r="AN93" s="3"/>
    </row>
    <row r="94" spans="16:40" ht="15" customHeight="1" x14ac:dyDescent="0.3">
      <c r="P94" s="3"/>
      <c r="V94" s="3"/>
      <c r="AB94" s="3"/>
      <c r="AH94" s="3"/>
      <c r="AN94" s="3"/>
    </row>
    <row r="95" spans="16:40" ht="15" customHeight="1" x14ac:dyDescent="0.3">
      <c r="P95" s="3"/>
      <c r="V95" s="3"/>
      <c r="AB95" s="3"/>
      <c r="AH95" s="3"/>
      <c r="AN95" s="3"/>
    </row>
    <row r="96" spans="16:40" ht="15" customHeight="1" x14ac:dyDescent="0.3">
      <c r="P96" s="3"/>
      <c r="V96" s="3"/>
      <c r="AB96" s="3"/>
      <c r="AH96" s="3"/>
      <c r="AN96" s="3"/>
    </row>
    <row r="97" spans="16:40" ht="15" customHeight="1" x14ac:dyDescent="0.3">
      <c r="P97" s="3"/>
      <c r="V97" s="3"/>
      <c r="AB97" s="3"/>
      <c r="AH97" s="3"/>
      <c r="AN97" s="3"/>
    </row>
    <row r="98" spans="16:40" ht="15" customHeight="1" x14ac:dyDescent="0.3">
      <c r="P98" s="3"/>
      <c r="V98" s="3"/>
      <c r="AB98" s="3"/>
      <c r="AH98" s="3"/>
      <c r="AN98" s="3"/>
    </row>
    <row r="99" spans="16:40" ht="15" customHeight="1" x14ac:dyDescent="0.3">
      <c r="P99" s="3"/>
      <c r="V99" s="3"/>
      <c r="AB99" s="3"/>
      <c r="AH99" s="3"/>
      <c r="AN99" s="3"/>
    </row>
    <row r="100" spans="16:40" ht="15" customHeight="1" x14ac:dyDescent="0.3">
      <c r="P100" s="3"/>
      <c r="V100" s="3"/>
      <c r="AB100" s="3"/>
      <c r="AH100" s="3"/>
      <c r="AN100" s="3"/>
    </row>
    <row r="101" spans="16:40" ht="15" customHeight="1" x14ac:dyDescent="0.3">
      <c r="P101" s="3"/>
      <c r="V101" s="3"/>
      <c r="AB101" s="3"/>
      <c r="AH101" s="3"/>
      <c r="AN101" s="3"/>
    </row>
    <row r="102" spans="16:40" ht="15" customHeight="1" x14ac:dyDescent="0.3">
      <c r="P102" s="3"/>
      <c r="V102" s="3"/>
      <c r="AB102" s="3"/>
      <c r="AH102" s="3"/>
      <c r="AN102" s="3"/>
    </row>
    <row r="103" spans="16:40" ht="15" customHeight="1" x14ac:dyDescent="0.3">
      <c r="P103" s="3"/>
      <c r="V103" s="3"/>
      <c r="AB103" s="3"/>
      <c r="AH103" s="3"/>
      <c r="AN103" s="3"/>
    </row>
    <row r="104" spans="16:40" ht="15" customHeight="1" x14ac:dyDescent="0.3">
      <c r="P104" s="3"/>
      <c r="V104" s="3"/>
      <c r="AB104" s="3"/>
      <c r="AH104" s="3"/>
      <c r="AN104" s="3"/>
    </row>
    <row r="105" spans="16:40" ht="15" customHeight="1" x14ac:dyDescent="0.3">
      <c r="P105" s="3"/>
      <c r="V105" s="3"/>
      <c r="AB105" s="3"/>
      <c r="AH105" s="3"/>
      <c r="AN105" s="3"/>
    </row>
    <row r="106" spans="16:40" ht="15" customHeight="1" x14ac:dyDescent="0.3">
      <c r="P106" s="3"/>
      <c r="V106" s="3"/>
      <c r="AB106" s="3"/>
      <c r="AH106" s="3"/>
      <c r="AN106" s="3"/>
    </row>
    <row r="107" spans="16:40" ht="15" customHeight="1" x14ac:dyDescent="0.3">
      <c r="P107" s="3"/>
      <c r="V107" s="3"/>
      <c r="AB107" s="3"/>
      <c r="AH107" s="3"/>
      <c r="AN107" s="3"/>
    </row>
    <row r="108" spans="16:40" ht="15" customHeight="1" x14ac:dyDescent="0.3">
      <c r="P108" s="3"/>
      <c r="V108" s="3"/>
      <c r="AB108" s="3"/>
      <c r="AH108" s="3"/>
      <c r="AN108" s="3"/>
    </row>
    <row r="109" spans="16:40" ht="15" customHeight="1" x14ac:dyDescent="0.3">
      <c r="P109" s="3"/>
      <c r="V109" s="3"/>
      <c r="AB109" s="3"/>
      <c r="AH109" s="3"/>
      <c r="AN109" s="3"/>
    </row>
    <row r="110" spans="16:40" ht="15" customHeight="1" x14ac:dyDescent="0.3">
      <c r="P110" s="3"/>
      <c r="V110" s="3"/>
      <c r="AB110" s="3"/>
      <c r="AH110" s="3"/>
      <c r="AN110" s="3"/>
    </row>
    <row r="111" spans="16:40" ht="15" customHeight="1" x14ac:dyDescent="0.3">
      <c r="P111" s="3"/>
      <c r="V111" s="3"/>
      <c r="AB111" s="3"/>
      <c r="AH111" s="3"/>
      <c r="AN111" s="3"/>
    </row>
    <row r="112" spans="16:40" ht="15" customHeight="1" x14ac:dyDescent="0.3">
      <c r="P112" s="3"/>
      <c r="V112" s="3"/>
      <c r="AB112" s="3"/>
      <c r="AH112" s="3"/>
      <c r="AN112" s="3"/>
    </row>
    <row r="113" spans="16:40" ht="15" customHeight="1" x14ac:dyDescent="0.3">
      <c r="P113" s="3"/>
      <c r="V113" s="3"/>
      <c r="AB113" s="3"/>
      <c r="AH113" s="3"/>
      <c r="AN113" s="3"/>
    </row>
    <row r="114" spans="16:40" ht="15" customHeight="1" x14ac:dyDescent="0.3">
      <c r="P114" s="3"/>
      <c r="V114" s="3"/>
      <c r="AB114" s="3"/>
      <c r="AH114" s="3"/>
      <c r="AN114" s="3"/>
    </row>
    <row r="115" spans="16:40" ht="15" customHeight="1" x14ac:dyDescent="0.3">
      <c r="P115" s="3"/>
      <c r="V115" s="3"/>
      <c r="AB115" s="3"/>
      <c r="AH115" s="3"/>
      <c r="AN115" s="3"/>
    </row>
    <row r="116" spans="16:40" ht="15" customHeight="1" x14ac:dyDescent="0.3">
      <c r="P116" s="3"/>
      <c r="V116" s="3"/>
      <c r="AB116" s="3"/>
      <c r="AH116" s="3"/>
      <c r="AN116" s="3"/>
    </row>
    <row r="117" spans="16:40" ht="15" customHeight="1" x14ac:dyDescent="0.3">
      <c r="P117" s="3"/>
      <c r="V117" s="3"/>
      <c r="AB117" s="3"/>
      <c r="AH117" s="3"/>
      <c r="AN117" s="3"/>
    </row>
    <row r="118" spans="16:40" ht="15" customHeight="1" x14ac:dyDescent="0.3">
      <c r="P118" s="3"/>
      <c r="V118" s="3"/>
      <c r="AB118" s="3"/>
      <c r="AH118" s="3"/>
      <c r="AN118" s="3"/>
    </row>
    <row r="119" spans="16:40" ht="15" customHeight="1" x14ac:dyDescent="0.3">
      <c r="P119" s="3"/>
      <c r="V119" s="3"/>
      <c r="AB119" s="3"/>
      <c r="AH119" s="3"/>
      <c r="AN119" s="3"/>
    </row>
    <row r="120" spans="16:40" ht="15" customHeight="1" x14ac:dyDescent="0.3">
      <c r="P120" s="3"/>
      <c r="V120" s="3"/>
      <c r="AB120" s="3"/>
      <c r="AH120" s="3"/>
      <c r="AN120" s="3"/>
    </row>
    <row r="121" spans="16:40" ht="15" customHeight="1" x14ac:dyDescent="0.3">
      <c r="P121" s="3"/>
      <c r="V121" s="3"/>
      <c r="AB121" s="3"/>
      <c r="AH121" s="3"/>
      <c r="AN121" s="3"/>
    </row>
    <row r="122" spans="16:40" ht="15" customHeight="1" x14ac:dyDescent="0.3">
      <c r="P122" s="3"/>
      <c r="V122" s="3"/>
      <c r="AB122" s="3"/>
      <c r="AH122" s="3"/>
      <c r="AN122" s="3"/>
    </row>
    <row r="123" spans="16:40" ht="15" customHeight="1" x14ac:dyDescent="0.3">
      <c r="P123" s="3"/>
      <c r="V123" s="3"/>
      <c r="AB123" s="3"/>
      <c r="AH123" s="3"/>
      <c r="AN123" s="3"/>
    </row>
    <row r="124" spans="16:40" ht="15" customHeight="1" x14ac:dyDescent="0.3">
      <c r="P124" s="3"/>
      <c r="V124" s="3"/>
      <c r="AB124" s="3"/>
      <c r="AH124" s="3"/>
      <c r="AN124" s="3"/>
    </row>
    <row r="125" spans="16:40" ht="15" customHeight="1" x14ac:dyDescent="0.3">
      <c r="P125" s="3"/>
      <c r="V125" s="3"/>
      <c r="AB125" s="3"/>
      <c r="AH125" s="3"/>
      <c r="AN125" s="3"/>
    </row>
    <row r="126" spans="16:40" ht="15" customHeight="1" x14ac:dyDescent="0.3">
      <c r="P126" s="3"/>
      <c r="V126" s="3"/>
      <c r="AB126" s="3"/>
      <c r="AH126" s="3"/>
      <c r="AN126" s="3"/>
    </row>
    <row r="127" spans="16:40" ht="15" customHeight="1" x14ac:dyDescent="0.3">
      <c r="P127" s="3"/>
      <c r="V127" s="3"/>
      <c r="AB127" s="3"/>
      <c r="AH127" s="3"/>
      <c r="AN127" s="3"/>
    </row>
    <row r="128" spans="16:40" ht="15" customHeight="1" x14ac:dyDescent="0.3">
      <c r="P128" s="3"/>
      <c r="V128" s="3"/>
      <c r="AB128" s="3"/>
      <c r="AH128" s="3"/>
      <c r="AN128" s="3"/>
    </row>
    <row r="129" spans="16:40" ht="15" customHeight="1" x14ac:dyDescent="0.3">
      <c r="P129" s="3"/>
      <c r="V129" s="3"/>
      <c r="AB129" s="3"/>
      <c r="AH129" s="3"/>
      <c r="AN129" s="3"/>
    </row>
    <row r="130" spans="16:40" ht="15" customHeight="1" x14ac:dyDescent="0.3">
      <c r="P130" s="3"/>
      <c r="V130" s="3"/>
      <c r="AB130" s="3"/>
      <c r="AH130" s="3"/>
      <c r="AN130" s="3"/>
    </row>
    <row r="131" spans="16:40" ht="15" customHeight="1" x14ac:dyDescent="0.3">
      <c r="P131" s="3"/>
      <c r="V131" s="3"/>
      <c r="AB131" s="3"/>
      <c r="AH131" s="3"/>
      <c r="AN131" s="3"/>
    </row>
    <row r="132" spans="16:40" ht="15" customHeight="1" x14ac:dyDescent="0.3">
      <c r="P132" s="3"/>
      <c r="V132" s="3"/>
      <c r="AB132" s="3"/>
      <c r="AH132" s="3"/>
      <c r="AN132" s="3"/>
    </row>
    <row r="133" spans="16:40" ht="15" customHeight="1" x14ac:dyDescent="0.3">
      <c r="P133" s="3"/>
      <c r="V133" s="3"/>
      <c r="AB133" s="3"/>
      <c r="AH133" s="3"/>
      <c r="AN133" s="3"/>
    </row>
    <row r="134" spans="16:40" ht="15" customHeight="1" x14ac:dyDescent="0.3">
      <c r="P134" s="3"/>
      <c r="V134" s="3"/>
      <c r="AB134" s="3"/>
      <c r="AH134" s="3"/>
      <c r="AN134" s="3"/>
    </row>
    <row r="135" spans="16:40" ht="15" customHeight="1" x14ac:dyDescent="0.3">
      <c r="P135" s="3"/>
      <c r="V135" s="3"/>
      <c r="AB135" s="3"/>
      <c r="AH135" s="3"/>
      <c r="AN135" s="3"/>
    </row>
    <row r="136" spans="16:40" ht="15" customHeight="1" x14ac:dyDescent="0.3">
      <c r="P136" s="3"/>
      <c r="V136" s="3"/>
      <c r="AB136" s="3"/>
      <c r="AH136" s="3"/>
      <c r="AN136" s="3"/>
    </row>
    <row r="137" spans="16:40" ht="15" customHeight="1" x14ac:dyDescent="0.3">
      <c r="P137" s="3"/>
      <c r="V137" s="3"/>
      <c r="AB137" s="3"/>
      <c r="AH137" s="3"/>
      <c r="AN137" s="3"/>
    </row>
    <row r="138" spans="16:40" ht="15" customHeight="1" x14ac:dyDescent="0.3">
      <c r="P138" s="3"/>
      <c r="V138" s="3"/>
      <c r="AB138" s="3"/>
      <c r="AH138" s="3"/>
      <c r="AN138" s="3"/>
    </row>
    <row r="139" spans="16:40" ht="15" customHeight="1" x14ac:dyDescent="0.3">
      <c r="P139" s="3"/>
      <c r="V139" s="3"/>
      <c r="AB139" s="3"/>
      <c r="AH139" s="3"/>
      <c r="AN139" s="3"/>
    </row>
    <row r="140" spans="16:40" ht="15" customHeight="1" x14ac:dyDescent="0.3">
      <c r="P140" s="3"/>
      <c r="V140" s="3"/>
      <c r="AB140" s="3"/>
      <c r="AH140" s="3"/>
      <c r="AN140" s="3"/>
    </row>
    <row r="141" spans="16:40" ht="15" customHeight="1" x14ac:dyDescent="0.3">
      <c r="P141" s="3"/>
      <c r="V141" s="3"/>
      <c r="AB141" s="3"/>
      <c r="AH141" s="3"/>
      <c r="AN141" s="3"/>
    </row>
    <row r="142" spans="16:40" ht="15" customHeight="1" x14ac:dyDescent="0.3">
      <c r="P142" s="3"/>
      <c r="V142" s="3"/>
      <c r="AB142" s="3"/>
      <c r="AH142" s="3"/>
      <c r="AN142" s="3"/>
    </row>
    <row r="143" spans="16:40" ht="15" customHeight="1" x14ac:dyDescent="0.3">
      <c r="P143" s="3"/>
      <c r="V143" s="3"/>
      <c r="AB143" s="3"/>
      <c r="AH143" s="3"/>
      <c r="AN143" s="3"/>
    </row>
    <row r="144" spans="16:40" ht="15" customHeight="1" x14ac:dyDescent="0.3">
      <c r="P144" s="3"/>
      <c r="V144" s="3"/>
      <c r="AB144" s="3"/>
      <c r="AH144" s="3"/>
      <c r="AN144" s="3"/>
    </row>
    <row r="145" spans="16:40" ht="15" customHeight="1" x14ac:dyDescent="0.3">
      <c r="P145" s="3"/>
      <c r="V145" s="3"/>
      <c r="AB145" s="3"/>
      <c r="AH145" s="3"/>
      <c r="AN145" s="3"/>
    </row>
    <row r="146" spans="16:40" ht="15" customHeight="1" x14ac:dyDescent="0.3">
      <c r="P146" s="3"/>
      <c r="V146" s="3"/>
      <c r="AB146" s="3"/>
      <c r="AH146" s="3"/>
      <c r="AN146" s="3"/>
    </row>
    <row r="147" spans="16:40" ht="15" customHeight="1" x14ac:dyDescent="0.3">
      <c r="P147" s="3"/>
      <c r="V147" s="3"/>
      <c r="AB147" s="3"/>
      <c r="AH147" s="3"/>
      <c r="AN147" s="3"/>
    </row>
    <row r="148" spans="16:40" ht="15" customHeight="1" x14ac:dyDescent="0.3">
      <c r="P148" s="3"/>
      <c r="V148" s="3"/>
      <c r="AB148" s="3"/>
      <c r="AH148" s="3"/>
      <c r="AN148" s="3"/>
    </row>
    <row r="149" spans="16:40" ht="15" customHeight="1" x14ac:dyDescent="0.3">
      <c r="P149" s="3"/>
      <c r="V149" s="3"/>
      <c r="AB149" s="3"/>
      <c r="AH149" s="3"/>
      <c r="AN149" s="3"/>
    </row>
    <row r="150" spans="16:40" ht="15" customHeight="1" x14ac:dyDescent="0.3">
      <c r="P150" s="3"/>
      <c r="V150" s="3"/>
      <c r="AB150" s="3"/>
      <c r="AH150" s="3"/>
      <c r="AN150" s="3"/>
    </row>
    <row r="151" spans="16:40" ht="15" customHeight="1" x14ac:dyDescent="0.3">
      <c r="P151" s="3"/>
      <c r="V151" s="3"/>
      <c r="AB151" s="3"/>
      <c r="AH151" s="3"/>
      <c r="AN151" s="3"/>
    </row>
    <row r="152" spans="16:40" ht="15" customHeight="1" x14ac:dyDescent="0.3">
      <c r="P152" s="3"/>
      <c r="V152" s="3"/>
      <c r="AB152" s="3"/>
      <c r="AH152" s="3"/>
      <c r="AN152" s="3"/>
    </row>
    <row r="153" spans="16:40" ht="15" customHeight="1" x14ac:dyDescent="0.3">
      <c r="P153" s="3"/>
      <c r="V153" s="3"/>
      <c r="AB153" s="3"/>
      <c r="AH153" s="3"/>
      <c r="AN153" s="3"/>
    </row>
    <row r="154" spans="16:40" ht="15" customHeight="1" x14ac:dyDescent="0.3">
      <c r="P154" s="3"/>
      <c r="V154" s="3"/>
      <c r="AB154" s="3"/>
      <c r="AH154" s="3"/>
      <c r="AN154" s="3"/>
    </row>
    <row r="155" spans="16:40" ht="15" customHeight="1" x14ac:dyDescent="0.3">
      <c r="P155" s="3"/>
      <c r="V155" s="3"/>
      <c r="AB155" s="3"/>
      <c r="AH155" s="3"/>
      <c r="AN155" s="3"/>
    </row>
    <row r="156" spans="16:40" ht="15" customHeight="1" x14ac:dyDescent="0.3">
      <c r="P156" s="3"/>
      <c r="V156" s="3"/>
      <c r="AB156" s="3"/>
      <c r="AH156" s="3"/>
      <c r="AN156" s="3"/>
    </row>
    <row r="157" spans="16:40" ht="15" customHeight="1" x14ac:dyDescent="0.3">
      <c r="P157" s="3"/>
      <c r="V157" s="3"/>
      <c r="AB157" s="3"/>
      <c r="AH157" s="3"/>
      <c r="AN157" s="3"/>
    </row>
    <row r="158" spans="16:40" ht="15" customHeight="1" x14ac:dyDescent="0.3">
      <c r="P158" s="3"/>
      <c r="V158" s="3"/>
      <c r="AB158" s="3"/>
      <c r="AH158" s="3"/>
      <c r="AN158" s="3"/>
    </row>
    <row r="159" spans="16:40" ht="15" customHeight="1" x14ac:dyDescent="0.3">
      <c r="P159" s="3"/>
      <c r="V159" s="3"/>
      <c r="AB159" s="3"/>
      <c r="AH159" s="3"/>
      <c r="AN159" s="3"/>
    </row>
    <row r="160" spans="16:40" ht="15" customHeight="1" x14ac:dyDescent="0.3">
      <c r="P160" s="3"/>
      <c r="V160" s="3"/>
      <c r="AB160" s="3"/>
      <c r="AH160" s="3"/>
      <c r="AN160" s="3"/>
    </row>
    <row r="161" spans="16:40" ht="15" customHeight="1" x14ac:dyDescent="0.3">
      <c r="P161" s="3"/>
      <c r="V161" s="3"/>
      <c r="AB161" s="3"/>
      <c r="AH161" s="3"/>
      <c r="AN161" s="3"/>
    </row>
    <row r="162" spans="16:40" ht="15" customHeight="1" x14ac:dyDescent="0.3">
      <c r="P162" s="3"/>
      <c r="V162" s="3"/>
      <c r="AB162" s="3"/>
      <c r="AH162" s="3"/>
      <c r="AN162" s="3"/>
    </row>
    <row r="163" spans="16:40" ht="15" customHeight="1" x14ac:dyDescent="0.3">
      <c r="P163" s="3"/>
      <c r="V163" s="3"/>
      <c r="AB163" s="3"/>
      <c r="AH163" s="3"/>
      <c r="AN163" s="3"/>
    </row>
    <row r="164" spans="16:40" ht="15" customHeight="1" x14ac:dyDescent="0.3">
      <c r="P164" s="3"/>
      <c r="V164" s="3"/>
      <c r="AB164" s="3"/>
      <c r="AH164" s="3"/>
      <c r="AN164" s="3"/>
    </row>
    <row r="165" spans="16:40" ht="15" customHeight="1" x14ac:dyDescent="0.3">
      <c r="P165" s="3"/>
      <c r="V165" s="3"/>
      <c r="AB165" s="3"/>
      <c r="AH165" s="3"/>
      <c r="AN165" s="3"/>
    </row>
    <row r="166" spans="16:40" ht="15" customHeight="1" x14ac:dyDescent="0.3">
      <c r="P166" s="3"/>
      <c r="V166" s="3"/>
      <c r="AB166" s="3"/>
      <c r="AH166" s="3"/>
      <c r="AN166" s="3"/>
    </row>
    <row r="167" spans="16:40" ht="15" customHeight="1" x14ac:dyDescent="0.3">
      <c r="P167" s="3"/>
      <c r="V167" s="3"/>
      <c r="AB167" s="3"/>
      <c r="AH167" s="3"/>
      <c r="AN167" s="3"/>
    </row>
    <row r="168" spans="16:40" ht="15" customHeight="1" x14ac:dyDescent="0.3">
      <c r="P168" s="3"/>
      <c r="V168" s="3"/>
      <c r="AB168" s="3"/>
      <c r="AH168" s="3"/>
      <c r="AN168" s="3"/>
    </row>
    <row r="169" spans="16:40" ht="15" customHeight="1" x14ac:dyDescent="0.3">
      <c r="P169" s="3"/>
      <c r="V169" s="3"/>
      <c r="AB169" s="3"/>
      <c r="AH169" s="3"/>
      <c r="AN169" s="3"/>
    </row>
    <row r="170" spans="16:40" ht="15" customHeight="1" x14ac:dyDescent="0.3">
      <c r="P170" s="3"/>
      <c r="V170" s="3"/>
      <c r="AB170" s="3"/>
      <c r="AH170" s="3"/>
      <c r="AN170" s="3"/>
    </row>
    <row r="171" spans="16:40" ht="15" customHeight="1" x14ac:dyDescent="0.3">
      <c r="P171" s="3"/>
      <c r="V171" s="3"/>
      <c r="AB171" s="3"/>
      <c r="AH171" s="3"/>
      <c r="AN171" s="3"/>
    </row>
    <row r="172" spans="16:40" ht="15" customHeight="1" x14ac:dyDescent="0.3">
      <c r="P172" s="3"/>
      <c r="V172" s="3"/>
      <c r="AB172" s="3"/>
      <c r="AH172" s="3"/>
      <c r="AN172" s="3"/>
    </row>
    <row r="173" spans="16:40" ht="15" customHeight="1" x14ac:dyDescent="0.3">
      <c r="P173" s="3"/>
      <c r="V173" s="3"/>
      <c r="AB173" s="3"/>
      <c r="AH173" s="3"/>
      <c r="AN173" s="3"/>
    </row>
    <row r="174" spans="16:40" ht="15" customHeight="1" x14ac:dyDescent="0.3">
      <c r="P174" s="3"/>
      <c r="V174" s="3"/>
      <c r="AB174" s="3"/>
      <c r="AH174" s="3"/>
      <c r="AN174" s="3"/>
    </row>
    <row r="175" spans="16:40" ht="15" customHeight="1" x14ac:dyDescent="0.3">
      <c r="P175" s="3"/>
      <c r="V175" s="3"/>
      <c r="AB175" s="3"/>
      <c r="AH175" s="3"/>
      <c r="AN175" s="3"/>
    </row>
    <row r="176" spans="16:40" ht="15" customHeight="1" x14ac:dyDescent="0.3">
      <c r="P176" s="3"/>
      <c r="V176" s="3"/>
      <c r="AB176" s="3"/>
      <c r="AH176" s="3"/>
      <c r="AN176" s="3"/>
    </row>
    <row r="177" spans="16:40" ht="15" customHeight="1" x14ac:dyDescent="0.3">
      <c r="P177" s="3"/>
      <c r="V177" s="3"/>
      <c r="AB177" s="3"/>
      <c r="AH177" s="3"/>
      <c r="AN177" s="3"/>
    </row>
    <row r="178" spans="16:40" ht="15" customHeight="1" x14ac:dyDescent="0.3">
      <c r="P178" s="3"/>
      <c r="V178" s="3"/>
      <c r="AB178" s="3"/>
      <c r="AH178" s="3"/>
      <c r="AN178" s="3"/>
    </row>
    <row r="179" spans="16:40" ht="15" customHeight="1" x14ac:dyDescent="0.3">
      <c r="P179" s="3"/>
      <c r="V179" s="3"/>
      <c r="AB179" s="3"/>
      <c r="AH179" s="3"/>
      <c r="AN179" s="3"/>
    </row>
    <row r="180" spans="16:40" ht="15" customHeight="1" x14ac:dyDescent="0.3">
      <c r="P180" s="3"/>
      <c r="V180" s="3"/>
      <c r="AB180" s="3"/>
      <c r="AH180" s="3"/>
      <c r="AN180" s="3"/>
    </row>
    <row r="181" spans="16:40" ht="15" customHeight="1" x14ac:dyDescent="0.3">
      <c r="P181" s="3"/>
      <c r="V181" s="3"/>
      <c r="AB181" s="3"/>
      <c r="AH181" s="3"/>
      <c r="AN181" s="3"/>
    </row>
    <row r="182" spans="16:40" ht="15" customHeight="1" x14ac:dyDescent="0.3">
      <c r="P182" s="3"/>
      <c r="V182" s="3"/>
      <c r="AB182" s="3"/>
      <c r="AH182" s="3"/>
      <c r="AN182" s="3"/>
    </row>
    <row r="183" spans="16:40" ht="15" customHeight="1" x14ac:dyDescent="0.3">
      <c r="P183" s="3"/>
      <c r="V183" s="3"/>
      <c r="AB183" s="3"/>
      <c r="AH183" s="3"/>
      <c r="AN183" s="3"/>
    </row>
    <row r="184" spans="16:40" ht="15" customHeight="1" x14ac:dyDescent="0.3">
      <c r="P184" s="3"/>
      <c r="V184" s="3"/>
      <c r="AB184" s="3"/>
      <c r="AH184" s="3"/>
      <c r="AN184" s="3"/>
    </row>
    <row r="185" spans="16:40" ht="15" customHeight="1" x14ac:dyDescent="0.3">
      <c r="P185" s="3"/>
      <c r="V185" s="3"/>
      <c r="AB185" s="3"/>
      <c r="AH185" s="3"/>
      <c r="AN185" s="3"/>
    </row>
    <row r="186" spans="16:40" ht="15" customHeight="1" x14ac:dyDescent="0.3">
      <c r="P186" s="3"/>
      <c r="V186" s="3"/>
      <c r="AB186" s="3"/>
      <c r="AH186" s="3"/>
      <c r="AN186" s="3"/>
    </row>
    <row r="187" spans="16:40" ht="15" customHeight="1" x14ac:dyDescent="0.3">
      <c r="P187" s="3"/>
      <c r="V187" s="3"/>
      <c r="AB187" s="3"/>
      <c r="AH187" s="3"/>
      <c r="AN187" s="3"/>
    </row>
    <row r="188" spans="16:40" ht="15" customHeight="1" x14ac:dyDescent="0.3">
      <c r="P188" s="3"/>
      <c r="V188" s="3"/>
      <c r="AB188" s="3"/>
      <c r="AH188" s="3"/>
      <c r="AN188" s="3"/>
    </row>
    <row r="189" spans="16:40" ht="15" customHeight="1" x14ac:dyDescent="0.3">
      <c r="P189" s="3"/>
      <c r="V189" s="3"/>
      <c r="AB189" s="3"/>
      <c r="AH189" s="3"/>
      <c r="AN189" s="3"/>
    </row>
    <row r="190" spans="16:40" ht="15" customHeight="1" x14ac:dyDescent="0.3">
      <c r="P190" s="3"/>
      <c r="V190" s="3"/>
      <c r="AB190" s="3"/>
      <c r="AH190" s="3"/>
      <c r="AN190" s="3"/>
    </row>
    <row r="191" spans="16:40" ht="15" customHeight="1" x14ac:dyDescent="0.3">
      <c r="P191" s="3"/>
      <c r="V191" s="3"/>
      <c r="AB191" s="3"/>
      <c r="AH191" s="3"/>
      <c r="AN191" s="3"/>
    </row>
    <row r="192" spans="16:40" ht="15" customHeight="1" x14ac:dyDescent="0.3">
      <c r="P192" s="3"/>
      <c r="V192" s="3"/>
      <c r="AB192" s="3"/>
      <c r="AH192" s="3"/>
      <c r="AN192" s="3"/>
    </row>
    <row r="193" spans="16:40" ht="15" customHeight="1" x14ac:dyDescent="0.3">
      <c r="P193" s="3"/>
      <c r="V193" s="3"/>
      <c r="AB193" s="3"/>
      <c r="AH193" s="3"/>
      <c r="AN193" s="3"/>
    </row>
    <row r="194" spans="16:40" ht="15" customHeight="1" x14ac:dyDescent="0.3">
      <c r="P194" s="3"/>
      <c r="V194" s="3"/>
      <c r="AB194" s="3"/>
      <c r="AH194" s="3"/>
      <c r="AN194" s="3"/>
    </row>
    <row r="195" spans="16:40" ht="15" customHeight="1" x14ac:dyDescent="0.3">
      <c r="P195" s="3"/>
      <c r="V195" s="3"/>
      <c r="AB195" s="3"/>
      <c r="AH195" s="3"/>
      <c r="AN195" s="3"/>
    </row>
    <row r="196" spans="16:40" ht="15" customHeight="1" x14ac:dyDescent="0.3">
      <c r="P196" s="3"/>
      <c r="V196" s="3"/>
      <c r="AB196" s="3"/>
      <c r="AH196" s="3"/>
      <c r="AN196" s="3"/>
    </row>
    <row r="197" spans="16:40" ht="15" customHeight="1" x14ac:dyDescent="0.3">
      <c r="P197" s="3"/>
      <c r="V197" s="3"/>
      <c r="AB197" s="3"/>
      <c r="AH197" s="3"/>
      <c r="AN197" s="3"/>
    </row>
    <row r="198" spans="16:40" ht="15" customHeight="1" x14ac:dyDescent="0.3">
      <c r="P198" s="3"/>
      <c r="V198" s="3"/>
      <c r="AB198" s="3"/>
      <c r="AH198" s="3"/>
      <c r="AN198" s="3"/>
    </row>
    <row r="199" spans="16:40" ht="15" customHeight="1" x14ac:dyDescent="0.3">
      <c r="P199" s="3"/>
      <c r="V199" s="3"/>
      <c r="AB199" s="3"/>
      <c r="AH199" s="3"/>
      <c r="AN199" s="3"/>
    </row>
    <row r="200" spans="16:40" ht="15" customHeight="1" x14ac:dyDescent="0.3">
      <c r="P200" s="3"/>
      <c r="V200" s="3"/>
      <c r="AB200" s="3"/>
      <c r="AH200" s="3"/>
      <c r="AN200" s="3"/>
    </row>
    <row r="201" spans="16:40" ht="15" customHeight="1" x14ac:dyDescent="0.3">
      <c r="P201" s="3"/>
      <c r="V201" s="3"/>
      <c r="AB201" s="3"/>
      <c r="AH201" s="3"/>
      <c r="AN201" s="3"/>
    </row>
    <row r="202" spans="16:40" ht="15" customHeight="1" x14ac:dyDescent="0.3">
      <c r="P202" s="3"/>
      <c r="V202" s="3"/>
      <c r="AB202" s="3"/>
      <c r="AH202" s="3"/>
      <c r="AN202" s="3"/>
    </row>
    <row r="203" spans="16:40" ht="15" customHeight="1" x14ac:dyDescent="0.3">
      <c r="P203" s="3"/>
      <c r="V203" s="3"/>
      <c r="AB203" s="3"/>
      <c r="AH203" s="3"/>
      <c r="AN203" s="3"/>
    </row>
    <row r="204" spans="16:40" ht="15" customHeight="1" x14ac:dyDescent="0.3">
      <c r="P204" s="3"/>
      <c r="V204" s="3"/>
      <c r="AB204" s="3"/>
      <c r="AH204" s="3"/>
      <c r="AN204" s="3"/>
    </row>
    <row r="205" spans="16:40" ht="15" customHeight="1" x14ac:dyDescent="0.3">
      <c r="P205" s="3"/>
      <c r="V205" s="3"/>
      <c r="AB205" s="3"/>
      <c r="AH205" s="3"/>
      <c r="AN205" s="3"/>
    </row>
    <row r="206" spans="16:40" ht="15" customHeight="1" x14ac:dyDescent="0.3">
      <c r="P206" s="3"/>
      <c r="V206" s="3"/>
      <c r="AB206" s="3"/>
      <c r="AH206" s="3"/>
      <c r="AN206" s="3"/>
    </row>
    <row r="207" spans="16:40" ht="15" customHeight="1" x14ac:dyDescent="0.3">
      <c r="P207" s="3"/>
      <c r="V207" s="3"/>
      <c r="AB207" s="3"/>
      <c r="AH207" s="3"/>
      <c r="AN207" s="3"/>
    </row>
    <row r="208" spans="16:40" ht="15" customHeight="1" x14ac:dyDescent="0.3">
      <c r="P208" s="3"/>
      <c r="V208" s="3"/>
      <c r="AB208" s="3"/>
      <c r="AH208" s="3"/>
      <c r="AN208" s="3"/>
    </row>
    <row r="209" spans="16:40" ht="15" customHeight="1" x14ac:dyDescent="0.3">
      <c r="P209" s="3"/>
      <c r="V209" s="3"/>
      <c r="AB209" s="3"/>
      <c r="AH209" s="3"/>
      <c r="AN209" s="3"/>
    </row>
    <row r="210" spans="16:40" ht="15" customHeight="1" x14ac:dyDescent="0.3">
      <c r="P210" s="3"/>
      <c r="V210" s="3"/>
      <c r="AB210" s="3"/>
      <c r="AH210" s="3"/>
      <c r="AN210" s="3"/>
    </row>
    <row r="211" spans="16:40" ht="15" customHeight="1" x14ac:dyDescent="0.3">
      <c r="P211" s="3"/>
      <c r="V211" s="3"/>
      <c r="AB211" s="3"/>
      <c r="AH211" s="3"/>
      <c r="AN211" s="3"/>
    </row>
    <row r="212" spans="16:40" ht="15" customHeight="1" x14ac:dyDescent="0.3">
      <c r="P212" s="3"/>
      <c r="V212" s="3"/>
      <c r="AB212" s="3"/>
      <c r="AH212" s="3"/>
      <c r="AN212" s="3"/>
    </row>
    <row r="213" spans="16:40" ht="15" customHeight="1" x14ac:dyDescent="0.3">
      <c r="P213" s="3"/>
      <c r="V213" s="3"/>
      <c r="AB213" s="3"/>
      <c r="AH213" s="3"/>
      <c r="AN213" s="3"/>
    </row>
    <row r="214" spans="16:40" ht="15" customHeight="1" x14ac:dyDescent="0.3">
      <c r="P214" s="3"/>
      <c r="V214" s="3"/>
      <c r="AB214" s="3"/>
      <c r="AH214" s="3"/>
      <c r="AN214" s="3"/>
    </row>
    <row r="215" spans="16:40" ht="15" customHeight="1" x14ac:dyDescent="0.3">
      <c r="P215" s="3"/>
      <c r="V215" s="3"/>
      <c r="AB215" s="3"/>
      <c r="AH215" s="3"/>
      <c r="AN215" s="3"/>
    </row>
    <row r="216" spans="16:40" ht="15" customHeight="1" x14ac:dyDescent="0.3">
      <c r="P216" s="3"/>
      <c r="V216" s="3"/>
      <c r="AB216" s="3"/>
      <c r="AH216" s="3"/>
      <c r="AN216" s="3"/>
    </row>
    <row r="217" spans="16:40" ht="15" customHeight="1" x14ac:dyDescent="0.3">
      <c r="P217" s="3"/>
      <c r="V217" s="3"/>
      <c r="AB217" s="3"/>
      <c r="AH217" s="3"/>
      <c r="AN217" s="3"/>
    </row>
    <row r="218" spans="16:40" ht="15" customHeight="1" x14ac:dyDescent="0.3">
      <c r="P218" s="3"/>
      <c r="V218" s="3"/>
      <c r="AB218" s="3"/>
      <c r="AH218" s="3"/>
      <c r="AN218" s="3"/>
    </row>
    <row r="219" spans="16:40" ht="15" customHeight="1" x14ac:dyDescent="0.3">
      <c r="P219" s="3"/>
      <c r="V219" s="3"/>
      <c r="AB219" s="3"/>
      <c r="AH219" s="3"/>
      <c r="AN219" s="3"/>
    </row>
    <row r="220" spans="16:40" ht="15" customHeight="1" x14ac:dyDescent="0.3">
      <c r="P220" s="3"/>
      <c r="V220" s="3"/>
      <c r="AB220" s="3"/>
      <c r="AH220" s="3"/>
      <c r="AN220" s="3"/>
    </row>
    <row r="221" spans="16:40" ht="15" customHeight="1" x14ac:dyDescent="0.3">
      <c r="P221" s="3"/>
      <c r="V221" s="3"/>
      <c r="AB221" s="3"/>
      <c r="AH221" s="3"/>
      <c r="AN221" s="3"/>
    </row>
    <row r="222" spans="16:40" ht="15" customHeight="1" x14ac:dyDescent="0.3">
      <c r="P222" s="3"/>
      <c r="V222" s="3"/>
      <c r="AB222" s="3"/>
      <c r="AH222" s="3"/>
      <c r="AN222" s="3"/>
    </row>
    <row r="223" spans="16:40" ht="15" customHeight="1" x14ac:dyDescent="0.3">
      <c r="P223" s="3"/>
      <c r="V223" s="3"/>
      <c r="AB223" s="3"/>
      <c r="AH223" s="3"/>
      <c r="AN223" s="3"/>
    </row>
    <row r="224" spans="16:40" ht="15" customHeight="1" x14ac:dyDescent="0.3">
      <c r="P224" s="3"/>
      <c r="V224" s="3"/>
      <c r="AB224" s="3"/>
      <c r="AH224" s="3"/>
      <c r="AN224" s="3"/>
    </row>
    <row r="225" spans="16:40" ht="15" customHeight="1" x14ac:dyDescent="0.3">
      <c r="P225" s="3"/>
      <c r="V225" s="3"/>
      <c r="AB225" s="3"/>
      <c r="AH225" s="3"/>
      <c r="AN225" s="3"/>
    </row>
    <row r="226" spans="16:40" ht="15" customHeight="1" x14ac:dyDescent="0.3">
      <c r="P226" s="3"/>
      <c r="V226" s="3"/>
      <c r="AB226" s="3"/>
      <c r="AH226" s="3"/>
      <c r="AN226" s="3"/>
    </row>
    <row r="227" spans="16:40" ht="15" customHeight="1" x14ac:dyDescent="0.3">
      <c r="P227" s="3"/>
      <c r="V227" s="3"/>
      <c r="AB227" s="3"/>
      <c r="AH227" s="3"/>
      <c r="AN227" s="3"/>
    </row>
    <row r="228" spans="16:40" ht="15" customHeight="1" x14ac:dyDescent="0.3">
      <c r="P228" s="3"/>
      <c r="V228" s="3"/>
      <c r="AB228" s="3"/>
      <c r="AH228" s="3"/>
      <c r="AN228" s="3"/>
    </row>
    <row r="229" spans="16:40" ht="15" customHeight="1" x14ac:dyDescent="0.3">
      <c r="P229" s="3"/>
      <c r="V229" s="3"/>
      <c r="AB229" s="3"/>
      <c r="AH229" s="3"/>
      <c r="AN229" s="3"/>
    </row>
    <row r="230" spans="16:40" ht="15" customHeight="1" x14ac:dyDescent="0.3">
      <c r="P230" s="3"/>
      <c r="V230" s="3"/>
      <c r="AB230" s="3"/>
      <c r="AH230" s="3"/>
      <c r="AN230" s="3"/>
    </row>
    <row r="231" spans="16:40" ht="15" customHeight="1" x14ac:dyDescent="0.3">
      <c r="P231" s="3"/>
      <c r="V231" s="3"/>
      <c r="AB231" s="3"/>
      <c r="AH231" s="3"/>
      <c r="AN231" s="3"/>
    </row>
    <row r="232" spans="16:40" ht="15" customHeight="1" x14ac:dyDescent="0.3">
      <c r="P232" s="3"/>
      <c r="V232" s="3"/>
      <c r="AB232" s="3"/>
      <c r="AH232" s="3"/>
      <c r="AN232" s="3"/>
    </row>
    <row r="233" spans="16:40" ht="15" customHeight="1" x14ac:dyDescent="0.3">
      <c r="P233" s="3"/>
      <c r="V233" s="3"/>
      <c r="AB233" s="3"/>
      <c r="AH233" s="3"/>
      <c r="AN233" s="3"/>
    </row>
    <row r="234" spans="16:40" ht="15" customHeight="1" x14ac:dyDescent="0.3">
      <c r="P234" s="3"/>
      <c r="V234" s="3"/>
      <c r="AB234" s="3"/>
      <c r="AH234" s="3"/>
      <c r="AN234" s="3"/>
    </row>
    <row r="235" spans="16:40" ht="15" customHeight="1" x14ac:dyDescent="0.3">
      <c r="P235" s="3"/>
      <c r="V235" s="3"/>
      <c r="AB235" s="3"/>
      <c r="AH235" s="3"/>
      <c r="AN235" s="3"/>
    </row>
    <row r="236" spans="16:40" ht="15" customHeight="1" x14ac:dyDescent="0.3">
      <c r="P236" s="3"/>
      <c r="V236" s="3"/>
      <c r="AB236" s="3"/>
      <c r="AH236" s="3"/>
      <c r="AN236" s="3"/>
    </row>
    <row r="237" spans="16:40" ht="15" customHeight="1" x14ac:dyDescent="0.3">
      <c r="P237" s="3"/>
      <c r="V237" s="3"/>
      <c r="AB237" s="3"/>
      <c r="AH237" s="3"/>
      <c r="AN237" s="3"/>
    </row>
    <row r="238" spans="16:40" ht="15" customHeight="1" x14ac:dyDescent="0.3">
      <c r="P238" s="3"/>
      <c r="V238" s="3"/>
      <c r="AB238" s="3"/>
      <c r="AH238" s="3"/>
      <c r="AN238" s="3"/>
    </row>
    <row r="239" spans="16:40" ht="15" customHeight="1" x14ac:dyDescent="0.3">
      <c r="P239" s="3"/>
      <c r="V239" s="3"/>
      <c r="AB239" s="3"/>
      <c r="AH239" s="3"/>
      <c r="AN239" s="3"/>
    </row>
    <row r="240" spans="16:40" ht="15" customHeight="1" x14ac:dyDescent="0.3">
      <c r="P240" s="3"/>
      <c r="V240" s="3"/>
      <c r="AB240" s="3"/>
      <c r="AH240" s="3"/>
      <c r="AN240" s="3"/>
    </row>
    <row r="241" spans="16:40" ht="15" customHeight="1" x14ac:dyDescent="0.3">
      <c r="P241" s="3"/>
      <c r="V241" s="3"/>
      <c r="AB241" s="3"/>
      <c r="AH241" s="3"/>
      <c r="AN241" s="3"/>
    </row>
    <row r="242" spans="16:40" ht="15" customHeight="1" x14ac:dyDescent="0.3">
      <c r="P242" s="3"/>
      <c r="V242" s="3"/>
      <c r="AB242" s="3"/>
      <c r="AH242" s="3"/>
      <c r="AN242" s="3"/>
    </row>
    <row r="243" spans="16:40" ht="15" customHeight="1" x14ac:dyDescent="0.3">
      <c r="P243" s="3"/>
      <c r="V243" s="3"/>
      <c r="AB243" s="3"/>
      <c r="AH243" s="3"/>
      <c r="AN243" s="3"/>
    </row>
    <row r="244" spans="16:40" ht="15" customHeight="1" x14ac:dyDescent="0.3">
      <c r="P244" s="3"/>
      <c r="V244" s="3"/>
      <c r="AB244" s="3"/>
      <c r="AH244" s="3"/>
      <c r="AN244" s="3"/>
    </row>
    <row r="245" spans="16:40" ht="15" customHeight="1" x14ac:dyDescent="0.3">
      <c r="P245" s="3"/>
      <c r="V245" s="3"/>
      <c r="AB245" s="3"/>
      <c r="AH245" s="3"/>
      <c r="AN245" s="3"/>
    </row>
    <row r="246" spans="16:40" ht="15" customHeight="1" x14ac:dyDescent="0.3">
      <c r="P246" s="3"/>
      <c r="V246" s="3"/>
      <c r="AB246" s="3"/>
      <c r="AH246" s="3"/>
      <c r="AN246" s="3"/>
    </row>
    <row r="247" spans="16:40" ht="15" customHeight="1" x14ac:dyDescent="0.3">
      <c r="P247" s="3"/>
      <c r="V247" s="3"/>
      <c r="AB247" s="3"/>
      <c r="AH247" s="3"/>
      <c r="AN247" s="3"/>
    </row>
    <row r="248" spans="16:40" ht="15" customHeight="1" x14ac:dyDescent="0.3">
      <c r="P248" s="3"/>
      <c r="V248" s="3"/>
      <c r="AB248" s="3"/>
      <c r="AH248" s="3"/>
      <c r="AN248" s="3"/>
    </row>
    <row r="249" spans="16:40" ht="15" customHeight="1" x14ac:dyDescent="0.3">
      <c r="P249" s="3"/>
      <c r="V249" s="3"/>
      <c r="AB249" s="3"/>
      <c r="AH249" s="3"/>
      <c r="AN249" s="3"/>
    </row>
    <row r="250" spans="16:40" ht="15" customHeight="1" x14ac:dyDescent="0.3">
      <c r="P250" s="3"/>
      <c r="V250" s="3"/>
      <c r="AB250" s="3"/>
      <c r="AH250" s="3"/>
      <c r="AN250" s="3"/>
    </row>
    <row r="251" spans="16:40" ht="15" customHeight="1" x14ac:dyDescent="0.3">
      <c r="P251" s="3"/>
      <c r="V251" s="3"/>
      <c r="AB251" s="3"/>
      <c r="AH251" s="3"/>
      <c r="AN251" s="3"/>
    </row>
    <row r="252" spans="16:40" ht="15" customHeight="1" x14ac:dyDescent="0.3">
      <c r="P252" s="3"/>
      <c r="V252" s="3"/>
      <c r="AB252" s="3"/>
      <c r="AH252" s="3"/>
      <c r="AN252" s="3"/>
    </row>
    <row r="253" spans="16:40" ht="15" customHeight="1" x14ac:dyDescent="0.3">
      <c r="P253" s="3"/>
      <c r="V253" s="3"/>
      <c r="AB253" s="3"/>
      <c r="AH253" s="3"/>
      <c r="AN253" s="3"/>
    </row>
    <row r="254" spans="16:40" ht="15" customHeight="1" x14ac:dyDescent="0.3">
      <c r="P254" s="3"/>
      <c r="V254" s="3"/>
      <c r="AB254" s="3"/>
      <c r="AH254" s="3"/>
      <c r="AN254" s="3"/>
    </row>
    <row r="255" spans="16:40" ht="15" customHeight="1" x14ac:dyDescent="0.3">
      <c r="P255" s="3"/>
      <c r="V255" s="3"/>
      <c r="AB255" s="3"/>
      <c r="AH255" s="3"/>
      <c r="AN255" s="3"/>
    </row>
    <row r="256" spans="16:40" ht="15" customHeight="1" x14ac:dyDescent="0.3">
      <c r="P256" s="3"/>
      <c r="V256" s="3"/>
      <c r="AB256" s="3"/>
      <c r="AH256" s="3"/>
      <c r="AN256" s="3"/>
    </row>
    <row r="257" spans="16:40" ht="15" customHeight="1" x14ac:dyDescent="0.3">
      <c r="P257" s="3"/>
      <c r="V257" s="3"/>
      <c r="AB257" s="3"/>
      <c r="AH257" s="3"/>
      <c r="AN257" s="3"/>
    </row>
    <row r="258" spans="16:40" ht="15" customHeight="1" x14ac:dyDescent="0.3">
      <c r="P258" s="3"/>
      <c r="V258" s="3"/>
      <c r="AB258" s="3"/>
      <c r="AH258" s="3"/>
      <c r="AN258" s="3"/>
    </row>
    <row r="259" spans="16:40" ht="15" customHeight="1" x14ac:dyDescent="0.3">
      <c r="P259" s="3"/>
      <c r="V259" s="3"/>
      <c r="AB259" s="3"/>
      <c r="AH259" s="3"/>
      <c r="AN259" s="3"/>
    </row>
    <row r="260" spans="16:40" ht="15" customHeight="1" x14ac:dyDescent="0.3">
      <c r="P260" s="3"/>
      <c r="V260" s="3"/>
      <c r="AB260" s="3"/>
      <c r="AH260" s="3"/>
      <c r="AN260" s="3"/>
    </row>
    <row r="261" spans="16:40" ht="15" customHeight="1" x14ac:dyDescent="0.3">
      <c r="P261" s="3"/>
      <c r="V261" s="3"/>
      <c r="AB261" s="3"/>
      <c r="AH261" s="3"/>
      <c r="AN261" s="3"/>
    </row>
    <row r="262" spans="16:40" ht="15" customHeight="1" x14ac:dyDescent="0.3">
      <c r="P262" s="3"/>
      <c r="V262" s="3"/>
      <c r="AB262" s="3"/>
      <c r="AH262" s="3"/>
      <c r="AN262" s="3"/>
    </row>
    <row r="263" spans="16:40" ht="15" customHeight="1" x14ac:dyDescent="0.3">
      <c r="P263" s="3"/>
      <c r="V263" s="3"/>
      <c r="AB263" s="3"/>
      <c r="AH263" s="3"/>
      <c r="AN263" s="3"/>
    </row>
    <row r="264" spans="16:40" ht="15" customHeight="1" x14ac:dyDescent="0.3">
      <c r="P264" s="3"/>
      <c r="V264" s="3"/>
      <c r="AB264" s="3"/>
      <c r="AH264" s="3"/>
      <c r="AN264" s="3"/>
    </row>
    <row r="265" spans="16:40" ht="15" customHeight="1" x14ac:dyDescent="0.3">
      <c r="P265" s="3"/>
      <c r="V265" s="3"/>
      <c r="AB265" s="3"/>
      <c r="AH265" s="3"/>
      <c r="AN265" s="3"/>
    </row>
    <row r="266" spans="16:40" ht="15" customHeight="1" x14ac:dyDescent="0.3">
      <c r="P266" s="3"/>
      <c r="V266" s="3"/>
      <c r="AB266" s="3"/>
      <c r="AH266" s="3"/>
      <c r="AN266" s="3"/>
    </row>
    <row r="267" spans="16:40" ht="15" customHeight="1" x14ac:dyDescent="0.3">
      <c r="P267" s="3"/>
      <c r="V267" s="3"/>
      <c r="AB267" s="3"/>
      <c r="AH267" s="3"/>
      <c r="AN267" s="3"/>
    </row>
    <row r="268" spans="16:40" ht="15" customHeight="1" x14ac:dyDescent="0.3">
      <c r="P268" s="3"/>
      <c r="V268" s="3"/>
      <c r="AB268" s="3"/>
      <c r="AH268" s="3"/>
      <c r="AN268" s="3"/>
    </row>
    <row r="269" spans="16:40" ht="15" customHeight="1" x14ac:dyDescent="0.3">
      <c r="P269" s="3"/>
      <c r="V269" s="3"/>
      <c r="AB269" s="3"/>
      <c r="AH269" s="3"/>
      <c r="AN269" s="3"/>
    </row>
    <row r="270" spans="16:40" ht="15" customHeight="1" x14ac:dyDescent="0.3">
      <c r="P270" s="3"/>
      <c r="V270" s="3"/>
      <c r="AB270" s="3"/>
      <c r="AH270" s="3"/>
      <c r="AN270" s="3"/>
    </row>
    <row r="271" spans="16:40" ht="15" customHeight="1" x14ac:dyDescent="0.3">
      <c r="P271" s="3"/>
      <c r="V271" s="3"/>
      <c r="AB271" s="3"/>
      <c r="AH271" s="3"/>
      <c r="AN271" s="3"/>
    </row>
    <row r="272" spans="16:40" ht="15" customHeight="1" x14ac:dyDescent="0.3">
      <c r="P272" s="3"/>
      <c r="V272" s="3"/>
      <c r="AB272" s="3"/>
      <c r="AH272" s="3"/>
      <c r="AN272" s="3"/>
    </row>
    <row r="273" spans="16:40" ht="15" customHeight="1" x14ac:dyDescent="0.3">
      <c r="P273" s="3"/>
      <c r="V273" s="3"/>
      <c r="AB273" s="3"/>
      <c r="AH273" s="3"/>
      <c r="AN273" s="3"/>
    </row>
    <row r="274" spans="16:40" ht="15" customHeight="1" x14ac:dyDescent="0.3">
      <c r="P274" s="3"/>
      <c r="V274" s="3"/>
      <c r="AB274" s="3"/>
      <c r="AH274" s="3"/>
      <c r="AN274" s="3"/>
    </row>
    <row r="275" spans="16:40" ht="15" customHeight="1" x14ac:dyDescent="0.3">
      <c r="P275" s="3"/>
      <c r="V275" s="3"/>
      <c r="AB275" s="3"/>
      <c r="AH275" s="3"/>
      <c r="AN275" s="3"/>
    </row>
    <row r="276" spans="16:40" ht="15" customHeight="1" x14ac:dyDescent="0.3">
      <c r="P276" s="3"/>
      <c r="V276" s="3"/>
      <c r="AB276" s="3"/>
      <c r="AH276" s="3"/>
      <c r="AN276" s="3"/>
    </row>
    <row r="277" spans="16:40" ht="15" customHeight="1" x14ac:dyDescent="0.3">
      <c r="P277" s="3"/>
      <c r="V277" s="3"/>
      <c r="AB277" s="3"/>
      <c r="AH277" s="3"/>
      <c r="AN277" s="3"/>
    </row>
    <row r="278" spans="16:40" ht="15" customHeight="1" x14ac:dyDescent="0.3">
      <c r="P278" s="3"/>
      <c r="V278" s="3"/>
      <c r="AB278" s="3"/>
      <c r="AH278" s="3"/>
      <c r="AN278" s="3"/>
    </row>
    <row r="279" spans="16:40" ht="15" customHeight="1" x14ac:dyDescent="0.3">
      <c r="P279" s="3"/>
      <c r="V279" s="3"/>
      <c r="AB279" s="3"/>
      <c r="AH279" s="3"/>
      <c r="AN279" s="3"/>
    </row>
    <row r="280" spans="16:40" ht="15" customHeight="1" x14ac:dyDescent="0.3">
      <c r="P280" s="3"/>
      <c r="V280" s="3"/>
      <c r="AB280" s="3"/>
      <c r="AH280" s="3"/>
      <c r="AN280" s="3"/>
    </row>
    <row r="281" spans="16:40" ht="15" customHeight="1" x14ac:dyDescent="0.3">
      <c r="P281" s="3"/>
      <c r="V281" s="3"/>
      <c r="AB281" s="3"/>
      <c r="AH281" s="3"/>
      <c r="AN281" s="3"/>
    </row>
    <row r="282" spans="16:40" ht="15" customHeight="1" x14ac:dyDescent="0.3">
      <c r="P282" s="3"/>
      <c r="V282" s="3"/>
      <c r="AB282" s="3"/>
      <c r="AH282" s="3"/>
      <c r="AN282" s="3"/>
    </row>
    <row r="283" spans="16:40" ht="15" customHeight="1" x14ac:dyDescent="0.3">
      <c r="P283" s="3"/>
      <c r="V283" s="3"/>
      <c r="AB283" s="3"/>
      <c r="AH283" s="3"/>
      <c r="AN283" s="3"/>
    </row>
    <row r="284" spans="16:40" ht="15" customHeight="1" x14ac:dyDescent="0.3">
      <c r="P284" s="3"/>
      <c r="V284" s="3"/>
      <c r="AB284" s="3"/>
      <c r="AH284" s="3"/>
      <c r="AN284" s="3"/>
    </row>
    <row r="285" spans="16:40" ht="15" customHeight="1" x14ac:dyDescent="0.3">
      <c r="P285" s="3"/>
      <c r="V285" s="3"/>
      <c r="AB285" s="3"/>
      <c r="AH285" s="3"/>
      <c r="AN285" s="3"/>
    </row>
    <row r="286" spans="16:40" ht="15" customHeight="1" x14ac:dyDescent="0.3">
      <c r="P286" s="3"/>
      <c r="V286" s="3"/>
      <c r="AB286" s="3"/>
      <c r="AH286" s="3"/>
      <c r="AN286" s="3"/>
    </row>
    <row r="287" spans="16:40" ht="15" customHeight="1" x14ac:dyDescent="0.3">
      <c r="P287" s="3"/>
      <c r="V287" s="3"/>
      <c r="AB287" s="3"/>
      <c r="AH287" s="3"/>
      <c r="AN287" s="3"/>
    </row>
    <row r="288" spans="16:40" ht="15" customHeight="1" x14ac:dyDescent="0.3">
      <c r="P288" s="3"/>
      <c r="V288" s="3"/>
      <c r="AB288" s="3"/>
      <c r="AH288" s="3"/>
      <c r="AN288" s="3"/>
    </row>
    <row r="289" spans="16:40" ht="15" customHeight="1" x14ac:dyDescent="0.3">
      <c r="P289" s="3"/>
      <c r="V289" s="3"/>
      <c r="AB289" s="3"/>
      <c r="AH289" s="3"/>
      <c r="AN289" s="3"/>
    </row>
    <row r="290" spans="16:40" ht="15" customHeight="1" x14ac:dyDescent="0.3">
      <c r="P290" s="3"/>
      <c r="V290" s="3"/>
      <c r="AB290" s="3"/>
      <c r="AH290" s="3"/>
      <c r="AN290" s="3"/>
    </row>
    <row r="291" spans="16:40" ht="15" customHeight="1" x14ac:dyDescent="0.3">
      <c r="P291" s="3"/>
      <c r="V291" s="3"/>
      <c r="AB291" s="3"/>
      <c r="AH291" s="3"/>
      <c r="AN291" s="3"/>
    </row>
    <row r="292" spans="16:40" ht="15" customHeight="1" x14ac:dyDescent="0.3">
      <c r="P292" s="3"/>
      <c r="V292" s="3"/>
      <c r="AB292" s="3"/>
      <c r="AH292" s="3"/>
      <c r="AN292" s="3"/>
    </row>
    <row r="293" spans="16:40" ht="15" customHeight="1" x14ac:dyDescent="0.3">
      <c r="P293" s="3"/>
      <c r="V293" s="3"/>
      <c r="AB293" s="3"/>
      <c r="AH293" s="3"/>
      <c r="AN293" s="3"/>
    </row>
    <row r="294" spans="16:40" ht="15" customHeight="1" x14ac:dyDescent="0.3">
      <c r="P294" s="3"/>
      <c r="V294" s="3"/>
      <c r="AB294" s="3"/>
      <c r="AH294" s="3"/>
      <c r="AN294" s="3"/>
    </row>
    <row r="295" spans="16:40" ht="15" customHeight="1" x14ac:dyDescent="0.3">
      <c r="P295" s="3"/>
      <c r="V295" s="3"/>
      <c r="AB295" s="3"/>
      <c r="AH295" s="3"/>
      <c r="AN295" s="3"/>
    </row>
    <row r="296" spans="16:40" ht="15" customHeight="1" x14ac:dyDescent="0.3">
      <c r="P296" s="3"/>
      <c r="V296" s="3"/>
      <c r="AB296" s="3"/>
      <c r="AH296" s="3"/>
      <c r="AN296" s="3"/>
    </row>
    <row r="297" spans="16:40" ht="15" customHeight="1" x14ac:dyDescent="0.3">
      <c r="P297" s="3"/>
      <c r="V297" s="3"/>
      <c r="AB297" s="3"/>
      <c r="AH297" s="3"/>
      <c r="AN297" s="3"/>
    </row>
    <row r="298" spans="16:40" ht="15" customHeight="1" x14ac:dyDescent="0.3">
      <c r="P298" s="3"/>
      <c r="V298" s="3"/>
      <c r="AB298" s="3"/>
      <c r="AH298" s="3"/>
      <c r="AN298" s="3"/>
    </row>
    <row r="299" spans="16:40" ht="15" customHeight="1" x14ac:dyDescent="0.3">
      <c r="P299" s="3"/>
      <c r="V299" s="3"/>
      <c r="AB299" s="3"/>
      <c r="AH299" s="3"/>
      <c r="AN299" s="3"/>
    </row>
    <row r="300" spans="16:40" ht="15" customHeight="1" x14ac:dyDescent="0.3">
      <c r="P300" s="3"/>
      <c r="V300" s="3"/>
      <c r="AB300" s="3"/>
      <c r="AH300" s="3"/>
      <c r="AN300" s="3"/>
    </row>
    <row r="301" spans="16:40" ht="15" customHeight="1" x14ac:dyDescent="0.3">
      <c r="P301" s="3"/>
      <c r="V301" s="3"/>
      <c r="AB301" s="3"/>
      <c r="AH301" s="3"/>
      <c r="AN301" s="3"/>
    </row>
    <row r="302" spans="16:40" ht="15" customHeight="1" x14ac:dyDescent="0.3">
      <c r="P302" s="3"/>
      <c r="V302" s="3"/>
      <c r="AB302" s="3"/>
      <c r="AH302" s="3"/>
      <c r="AN302" s="3"/>
    </row>
    <row r="303" spans="16:40" ht="15" customHeight="1" x14ac:dyDescent="0.3">
      <c r="P303" s="3"/>
      <c r="V303" s="3"/>
      <c r="AB303" s="3"/>
      <c r="AH303" s="3"/>
      <c r="AN303" s="3"/>
    </row>
    <row r="304" spans="16:40" ht="15" customHeight="1" x14ac:dyDescent="0.3">
      <c r="P304" s="3"/>
      <c r="V304" s="3"/>
      <c r="AB304" s="3"/>
      <c r="AH304" s="3"/>
      <c r="AN304" s="3"/>
    </row>
    <row r="305" spans="16:40" ht="15" customHeight="1" x14ac:dyDescent="0.3">
      <c r="P305" s="3"/>
      <c r="V305" s="3"/>
      <c r="AB305" s="3"/>
      <c r="AH305" s="3"/>
      <c r="AN305" s="3"/>
    </row>
    <row r="306" spans="16:40" ht="15" customHeight="1" x14ac:dyDescent="0.3">
      <c r="P306" s="3"/>
      <c r="V306" s="3"/>
      <c r="AB306" s="3"/>
      <c r="AH306" s="3"/>
      <c r="AN306" s="3"/>
    </row>
    <row r="307" spans="16:40" ht="15" customHeight="1" x14ac:dyDescent="0.3">
      <c r="P307" s="3"/>
      <c r="V307" s="3"/>
      <c r="AB307" s="3"/>
      <c r="AH307" s="3"/>
      <c r="AN307" s="3"/>
    </row>
    <row r="308" spans="16:40" ht="15" customHeight="1" x14ac:dyDescent="0.3">
      <c r="P308" s="3"/>
      <c r="V308" s="3"/>
      <c r="AB308" s="3"/>
      <c r="AH308" s="3"/>
      <c r="AN308" s="3"/>
    </row>
    <row r="309" spans="16:40" ht="15" customHeight="1" x14ac:dyDescent="0.3">
      <c r="P309" s="3"/>
      <c r="V309" s="3"/>
      <c r="AB309" s="3"/>
      <c r="AH309" s="3"/>
      <c r="AN309" s="3"/>
    </row>
    <row r="310" spans="16:40" ht="15" customHeight="1" x14ac:dyDescent="0.3">
      <c r="P310" s="3"/>
      <c r="V310" s="3"/>
      <c r="AB310" s="3"/>
      <c r="AH310" s="3"/>
      <c r="AN310" s="3"/>
    </row>
    <row r="311" spans="16:40" ht="15" customHeight="1" x14ac:dyDescent="0.3">
      <c r="P311" s="3"/>
      <c r="V311" s="3"/>
      <c r="AB311" s="3"/>
      <c r="AH311" s="3"/>
      <c r="AN311" s="3"/>
    </row>
    <row r="312" spans="16:40" ht="15" customHeight="1" x14ac:dyDescent="0.3">
      <c r="P312" s="3"/>
      <c r="V312" s="3"/>
      <c r="AB312" s="3"/>
      <c r="AH312" s="3"/>
      <c r="AN312" s="3"/>
    </row>
    <row r="313" spans="16:40" ht="15" customHeight="1" x14ac:dyDescent="0.3">
      <c r="P313" s="3"/>
      <c r="V313" s="3"/>
      <c r="AB313" s="3"/>
      <c r="AH313" s="3"/>
      <c r="AN313" s="3"/>
    </row>
    <row r="314" spans="16:40" ht="15" customHeight="1" x14ac:dyDescent="0.3">
      <c r="P314" s="3"/>
      <c r="V314" s="3"/>
      <c r="AB314" s="3"/>
      <c r="AH314" s="3"/>
      <c r="AN314" s="3"/>
    </row>
    <row r="315" spans="16:40" ht="15" customHeight="1" x14ac:dyDescent="0.3">
      <c r="P315" s="3"/>
      <c r="V315" s="3"/>
      <c r="AB315" s="3"/>
      <c r="AH315" s="3"/>
      <c r="AN315" s="3"/>
    </row>
    <row r="316" spans="16:40" ht="15" customHeight="1" x14ac:dyDescent="0.3">
      <c r="P316" s="3"/>
      <c r="V316" s="3"/>
      <c r="AB316" s="3"/>
      <c r="AH316" s="3"/>
      <c r="AN316" s="3"/>
    </row>
    <row r="317" spans="16:40" ht="15" customHeight="1" x14ac:dyDescent="0.3">
      <c r="P317" s="3"/>
      <c r="V317" s="3"/>
      <c r="AB317" s="3"/>
      <c r="AH317" s="3"/>
      <c r="AN317" s="3"/>
    </row>
    <row r="318" spans="16:40" ht="15" customHeight="1" x14ac:dyDescent="0.3">
      <c r="P318" s="3"/>
      <c r="V318" s="3"/>
      <c r="AB318" s="3"/>
      <c r="AH318" s="3"/>
      <c r="AN318" s="3"/>
    </row>
    <row r="319" spans="16:40" ht="15" customHeight="1" x14ac:dyDescent="0.3">
      <c r="P319" s="3"/>
      <c r="V319" s="3"/>
      <c r="AB319" s="3"/>
      <c r="AH319" s="3"/>
      <c r="AN319" s="3"/>
    </row>
    <row r="320" spans="16:40" ht="15" customHeight="1" x14ac:dyDescent="0.3">
      <c r="P320" s="3"/>
      <c r="V320" s="3"/>
      <c r="AB320" s="3"/>
      <c r="AH320" s="3"/>
      <c r="AN320" s="3"/>
    </row>
    <row r="321" spans="16:40" ht="15" customHeight="1" x14ac:dyDescent="0.3">
      <c r="P321" s="3"/>
      <c r="V321" s="3"/>
      <c r="AB321" s="3"/>
      <c r="AH321" s="3"/>
      <c r="AN321" s="3"/>
    </row>
    <row r="322" spans="16:40" ht="15" customHeight="1" x14ac:dyDescent="0.3">
      <c r="P322" s="3"/>
      <c r="V322" s="3"/>
      <c r="AB322" s="3"/>
      <c r="AH322" s="3"/>
      <c r="AN322" s="3"/>
    </row>
    <row r="323" spans="16:40" ht="15" customHeight="1" x14ac:dyDescent="0.3">
      <c r="P323" s="3"/>
      <c r="V323" s="3"/>
      <c r="AB323" s="3"/>
      <c r="AH323" s="3"/>
      <c r="AN323" s="3"/>
    </row>
    <row r="324" spans="16:40" ht="15" customHeight="1" x14ac:dyDescent="0.3">
      <c r="P324" s="3"/>
      <c r="V324" s="3"/>
      <c r="AB324" s="3"/>
      <c r="AH324" s="3"/>
      <c r="AN324" s="3"/>
    </row>
    <row r="325" spans="16:40" ht="15" customHeight="1" x14ac:dyDescent="0.3">
      <c r="P325" s="3"/>
      <c r="V325" s="3"/>
      <c r="AB325" s="3"/>
      <c r="AH325" s="3"/>
      <c r="AN325" s="3"/>
    </row>
    <row r="326" spans="16:40" ht="15" customHeight="1" x14ac:dyDescent="0.3">
      <c r="P326" s="3"/>
      <c r="V326" s="3"/>
      <c r="AB326" s="3"/>
      <c r="AH326" s="3"/>
      <c r="AN326" s="3"/>
    </row>
    <row r="327" spans="16:40" ht="15" customHeight="1" x14ac:dyDescent="0.3">
      <c r="P327" s="3"/>
      <c r="V327" s="3"/>
      <c r="AB327" s="3"/>
      <c r="AH327" s="3"/>
      <c r="AN327" s="3"/>
    </row>
    <row r="328" spans="16:40" ht="15" customHeight="1" x14ac:dyDescent="0.3">
      <c r="P328" s="3"/>
      <c r="V328" s="3"/>
      <c r="AB328" s="3"/>
      <c r="AH328" s="3"/>
      <c r="AN328" s="3"/>
    </row>
    <row r="329" spans="16:40" ht="15" customHeight="1" x14ac:dyDescent="0.3">
      <c r="P329" s="3"/>
      <c r="V329" s="3"/>
      <c r="AB329" s="3"/>
      <c r="AH329" s="3"/>
      <c r="AN329" s="3"/>
    </row>
    <row r="330" spans="16:40" ht="15" customHeight="1" x14ac:dyDescent="0.3">
      <c r="P330" s="3"/>
      <c r="V330" s="3"/>
      <c r="AB330" s="3"/>
      <c r="AH330" s="3"/>
      <c r="AN330" s="3"/>
    </row>
    <row r="331" spans="16:40" ht="15" customHeight="1" x14ac:dyDescent="0.3">
      <c r="P331" s="3"/>
      <c r="V331" s="3"/>
      <c r="AB331" s="3"/>
      <c r="AH331" s="3"/>
      <c r="AN331" s="3"/>
    </row>
    <row r="332" spans="16:40" ht="15" customHeight="1" x14ac:dyDescent="0.3">
      <c r="P332" s="3"/>
      <c r="V332" s="3"/>
      <c r="AB332" s="3"/>
      <c r="AH332" s="3"/>
      <c r="AN332" s="3"/>
    </row>
    <row r="333" spans="16:40" ht="15" customHeight="1" x14ac:dyDescent="0.3">
      <c r="P333" s="3"/>
      <c r="V333" s="3"/>
      <c r="AB333" s="3"/>
      <c r="AH333" s="3"/>
      <c r="AN333" s="3"/>
    </row>
    <row r="334" spans="16:40" ht="15" customHeight="1" x14ac:dyDescent="0.3">
      <c r="P334" s="3"/>
      <c r="V334" s="3"/>
      <c r="AB334" s="3"/>
      <c r="AH334" s="3"/>
      <c r="AN334" s="3"/>
    </row>
    <row r="335" spans="16:40" ht="15" customHeight="1" x14ac:dyDescent="0.3">
      <c r="P335" s="3"/>
      <c r="V335" s="3"/>
      <c r="AB335" s="3"/>
      <c r="AH335" s="3"/>
      <c r="AN335" s="3"/>
    </row>
    <row r="336" spans="16:40" ht="15" customHeight="1" x14ac:dyDescent="0.3">
      <c r="P336" s="3"/>
      <c r="V336" s="3"/>
      <c r="AB336" s="3"/>
      <c r="AH336" s="3"/>
      <c r="AN336" s="3"/>
    </row>
    <row r="337" spans="16:40" ht="15" customHeight="1" x14ac:dyDescent="0.3">
      <c r="P337" s="3"/>
      <c r="V337" s="3"/>
      <c r="AB337" s="3"/>
      <c r="AH337" s="3"/>
      <c r="AN337" s="3"/>
    </row>
    <row r="338" spans="16:40" ht="15" customHeight="1" x14ac:dyDescent="0.3">
      <c r="P338" s="3"/>
      <c r="V338" s="3"/>
      <c r="AB338" s="3"/>
      <c r="AH338" s="3"/>
      <c r="AN338" s="3"/>
    </row>
    <row r="339" spans="16:40" ht="15" customHeight="1" x14ac:dyDescent="0.3">
      <c r="P339" s="3"/>
      <c r="V339" s="3"/>
      <c r="AB339" s="3"/>
      <c r="AH339" s="3"/>
      <c r="AN339" s="3"/>
    </row>
    <row r="340" spans="16:40" ht="15" customHeight="1" x14ac:dyDescent="0.3">
      <c r="P340" s="3"/>
      <c r="V340" s="3"/>
      <c r="AB340" s="3"/>
      <c r="AH340" s="3"/>
      <c r="AN340" s="3"/>
    </row>
    <row r="341" spans="16:40" ht="15" customHeight="1" x14ac:dyDescent="0.3">
      <c r="P341" s="3"/>
      <c r="V341" s="3"/>
      <c r="AB341" s="3"/>
      <c r="AH341" s="3"/>
      <c r="AN341" s="3"/>
    </row>
    <row r="342" spans="16:40" ht="15" customHeight="1" x14ac:dyDescent="0.3">
      <c r="P342" s="3"/>
      <c r="V342" s="3"/>
      <c r="AB342" s="3"/>
      <c r="AH342" s="3"/>
      <c r="AN342" s="3"/>
    </row>
    <row r="343" spans="16:40" ht="15" customHeight="1" x14ac:dyDescent="0.3">
      <c r="P343" s="3"/>
      <c r="V343" s="3"/>
      <c r="AB343" s="3"/>
      <c r="AH343" s="3"/>
      <c r="AN343" s="3"/>
    </row>
    <row r="344" spans="16:40" ht="15" customHeight="1" x14ac:dyDescent="0.3">
      <c r="P344" s="3"/>
      <c r="V344" s="3"/>
      <c r="AB344" s="3"/>
      <c r="AH344" s="3"/>
      <c r="AN344" s="3"/>
    </row>
    <row r="345" spans="16:40" ht="15" customHeight="1" x14ac:dyDescent="0.3">
      <c r="P345" s="3"/>
      <c r="V345" s="3"/>
      <c r="AB345" s="3"/>
      <c r="AH345" s="3"/>
      <c r="AN345" s="3"/>
    </row>
    <row r="346" spans="16:40" ht="15" customHeight="1" x14ac:dyDescent="0.3">
      <c r="P346" s="3"/>
      <c r="V346" s="3"/>
      <c r="AB346" s="3"/>
      <c r="AH346" s="3"/>
      <c r="AN346" s="3"/>
    </row>
    <row r="347" spans="16:40" ht="15" customHeight="1" x14ac:dyDescent="0.3">
      <c r="P347" s="3"/>
      <c r="V347" s="3"/>
      <c r="AB347" s="3"/>
      <c r="AH347" s="3"/>
      <c r="AN347" s="3"/>
    </row>
    <row r="348" spans="16:40" ht="15" customHeight="1" x14ac:dyDescent="0.3">
      <c r="P348" s="3"/>
      <c r="V348" s="3"/>
      <c r="AB348" s="3"/>
      <c r="AH348" s="3"/>
      <c r="AN348" s="3"/>
    </row>
    <row r="349" spans="16:40" ht="15" customHeight="1" x14ac:dyDescent="0.3">
      <c r="P349" s="3"/>
      <c r="V349" s="3"/>
      <c r="AB349" s="3"/>
      <c r="AH349" s="3"/>
      <c r="AN349" s="3"/>
    </row>
    <row r="350" spans="16:40" ht="15" customHeight="1" x14ac:dyDescent="0.3">
      <c r="P350" s="3"/>
      <c r="V350" s="3"/>
      <c r="AB350" s="3"/>
      <c r="AH350" s="3"/>
      <c r="AN350" s="3"/>
    </row>
    <row r="351" spans="16:40" ht="15" customHeight="1" x14ac:dyDescent="0.3">
      <c r="P351" s="3"/>
      <c r="V351" s="3"/>
      <c r="AB351" s="3"/>
      <c r="AH351" s="3"/>
      <c r="AN351" s="3"/>
    </row>
    <row r="352" spans="16:40" ht="15" customHeight="1" x14ac:dyDescent="0.3">
      <c r="P352" s="3"/>
      <c r="V352" s="3"/>
      <c r="AB352" s="3"/>
      <c r="AH352" s="3"/>
      <c r="AN352" s="3"/>
    </row>
    <row r="353" spans="16:40" ht="15" customHeight="1" x14ac:dyDescent="0.3">
      <c r="P353" s="3"/>
      <c r="V353" s="3"/>
      <c r="AB353" s="3"/>
      <c r="AH353" s="3"/>
      <c r="AN353" s="3"/>
    </row>
    <row r="354" spans="16:40" ht="15" customHeight="1" x14ac:dyDescent="0.3">
      <c r="P354" s="3"/>
      <c r="V354" s="3"/>
      <c r="AB354" s="3"/>
      <c r="AH354" s="3"/>
      <c r="AN354" s="3"/>
    </row>
    <row r="355" spans="16:40" ht="15" customHeight="1" x14ac:dyDescent="0.3">
      <c r="P355" s="3"/>
      <c r="V355" s="3"/>
      <c r="AB355" s="3"/>
      <c r="AH355" s="3"/>
      <c r="AN355" s="3"/>
    </row>
    <row r="356" spans="16:40" ht="15" customHeight="1" x14ac:dyDescent="0.3">
      <c r="P356" s="3"/>
      <c r="V356" s="3"/>
      <c r="AB356" s="3"/>
      <c r="AH356" s="3"/>
      <c r="AN356" s="3"/>
    </row>
    <row r="357" spans="16:40" ht="15" customHeight="1" x14ac:dyDescent="0.3">
      <c r="P357" s="3"/>
      <c r="V357" s="3"/>
      <c r="AB357" s="3"/>
      <c r="AH357" s="3"/>
      <c r="AN357" s="3"/>
    </row>
    <row r="358" spans="16:40" ht="15" customHeight="1" x14ac:dyDescent="0.3">
      <c r="P358" s="3"/>
      <c r="V358" s="3"/>
      <c r="AB358" s="3"/>
      <c r="AH358" s="3"/>
      <c r="AN358" s="3"/>
    </row>
    <row r="359" spans="16:40" ht="15" customHeight="1" x14ac:dyDescent="0.3">
      <c r="P359" s="3"/>
      <c r="V359" s="3"/>
      <c r="AB359" s="3"/>
      <c r="AH359" s="3"/>
      <c r="AN359" s="3"/>
    </row>
    <row r="360" spans="16:40" ht="15" customHeight="1" x14ac:dyDescent="0.3">
      <c r="P360" s="3"/>
      <c r="V360" s="3"/>
      <c r="AB360" s="3"/>
      <c r="AH360" s="3"/>
      <c r="AN360" s="3"/>
    </row>
    <row r="361" spans="16:40" ht="15" customHeight="1" x14ac:dyDescent="0.3">
      <c r="P361" s="3"/>
      <c r="V361" s="3"/>
      <c r="AB361" s="3"/>
      <c r="AH361" s="3"/>
      <c r="AN361" s="3"/>
    </row>
    <row r="362" spans="16:40" ht="15" customHeight="1" x14ac:dyDescent="0.3">
      <c r="P362" s="3"/>
      <c r="V362" s="3"/>
      <c r="AB362" s="3"/>
      <c r="AH362" s="3"/>
      <c r="AN362" s="3"/>
    </row>
    <row r="363" spans="16:40" ht="15" customHeight="1" x14ac:dyDescent="0.3">
      <c r="P363" s="3"/>
      <c r="V363" s="3"/>
      <c r="AB363" s="3"/>
      <c r="AH363" s="3"/>
      <c r="AN363" s="3"/>
    </row>
    <row r="364" spans="16:40" ht="15" customHeight="1" x14ac:dyDescent="0.3">
      <c r="P364" s="3"/>
      <c r="V364" s="3"/>
      <c r="AB364" s="3"/>
      <c r="AH364" s="3"/>
      <c r="AN364" s="3"/>
    </row>
    <row r="365" spans="16:40" ht="15" customHeight="1" x14ac:dyDescent="0.3">
      <c r="P365" s="3"/>
      <c r="V365" s="3"/>
      <c r="AB365" s="3"/>
      <c r="AH365" s="3"/>
      <c r="AN365" s="3"/>
    </row>
    <row r="366" spans="16:40" ht="15" customHeight="1" x14ac:dyDescent="0.3">
      <c r="P366" s="3"/>
      <c r="V366" s="3"/>
      <c r="AB366" s="3"/>
      <c r="AH366" s="3"/>
      <c r="AN366" s="3"/>
    </row>
    <row r="367" spans="16:40" ht="15" customHeight="1" x14ac:dyDescent="0.3">
      <c r="P367" s="3"/>
      <c r="V367" s="3"/>
      <c r="AB367" s="3"/>
      <c r="AH367" s="3"/>
      <c r="AN367" s="3"/>
    </row>
    <row r="368" spans="16:40" ht="15" customHeight="1" x14ac:dyDescent="0.3">
      <c r="P368" s="3"/>
      <c r="V368" s="3"/>
      <c r="AB368" s="3"/>
      <c r="AH368" s="3"/>
      <c r="AN368" s="3"/>
    </row>
    <row r="369" spans="16:40" ht="15" customHeight="1" x14ac:dyDescent="0.3">
      <c r="P369" s="3"/>
      <c r="V369" s="3"/>
      <c r="AB369" s="3"/>
      <c r="AH369" s="3"/>
      <c r="AN369" s="3"/>
    </row>
    <row r="370" spans="16:40" ht="15" customHeight="1" x14ac:dyDescent="0.3">
      <c r="P370" s="3"/>
      <c r="V370" s="3"/>
      <c r="AB370" s="3"/>
      <c r="AH370" s="3"/>
      <c r="AN370" s="3"/>
    </row>
    <row r="371" spans="16:40" ht="15" customHeight="1" x14ac:dyDescent="0.3">
      <c r="P371" s="3"/>
      <c r="V371" s="3"/>
      <c r="AB371" s="3"/>
      <c r="AH371" s="3"/>
      <c r="AN371" s="3"/>
    </row>
    <row r="372" spans="16:40" ht="15" customHeight="1" x14ac:dyDescent="0.3">
      <c r="P372" s="3"/>
      <c r="V372" s="3"/>
      <c r="AB372" s="3"/>
      <c r="AH372" s="3"/>
      <c r="AN372" s="3"/>
    </row>
    <row r="373" spans="16:40" ht="15" customHeight="1" x14ac:dyDescent="0.3">
      <c r="P373" s="3"/>
      <c r="V373" s="3"/>
      <c r="AB373" s="3"/>
      <c r="AH373" s="3"/>
      <c r="AN373" s="3"/>
    </row>
    <row r="374" spans="16:40" ht="15" customHeight="1" x14ac:dyDescent="0.3">
      <c r="P374" s="3"/>
      <c r="V374" s="3"/>
      <c r="AB374" s="3"/>
      <c r="AH374" s="3"/>
      <c r="AN374" s="3"/>
    </row>
    <row r="375" spans="16:40" ht="15" customHeight="1" x14ac:dyDescent="0.3">
      <c r="P375" s="3"/>
      <c r="V375" s="3"/>
      <c r="AB375" s="3"/>
      <c r="AH375" s="3"/>
      <c r="AN375" s="3"/>
    </row>
    <row r="376" spans="16:40" ht="15" customHeight="1" x14ac:dyDescent="0.3">
      <c r="P376" s="3"/>
      <c r="V376" s="3"/>
      <c r="AB376" s="3"/>
      <c r="AH376" s="3"/>
      <c r="AN376" s="3"/>
    </row>
    <row r="377" spans="16:40" ht="15" customHeight="1" x14ac:dyDescent="0.3">
      <c r="P377" s="3"/>
      <c r="V377" s="3"/>
      <c r="AB377" s="3"/>
      <c r="AH377" s="3"/>
      <c r="AN377" s="3"/>
    </row>
    <row r="378" spans="16:40" ht="15" customHeight="1" x14ac:dyDescent="0.3">
      <c r="P378" s="3"/>
      <c r="V378" s="3"/>
      <c r="AB378" s="3"/>
      <c r="AH378" s="3"/>
      <c r="AN378" s="3"/>
    </row>
    <row r="379" spans="16:40" ht="15" customHeight="1" x14ac:dyDescent="0.3">
      <c r="P379" s="3"/>
      <c r="V379" s="3"/>
      <c r="AB379" s="3"/>
      <c r="AH379" s="3"/>
      <c r="AN379" s="3"/>
    </row>
    <row r="380" spans="16:40" ht="15" customHeight="1" x14ac:dyDescent="0.3">
      <c r="P380" s="3"/>
      <c r="V380" s="3"/>
      <c r="AB380" s="3"/>
      <c r="AH380" s="3"/>
      <c r="AN380" s="3"/>
    </row>
    <row r="381" spans="16:40" ht="15" customHeight="1" x14ac:dyDescent="0.3">
      <c r="P381" s="3"/>
      <c r="V381" s="3"/>
      <c r="AB381" s="3"/>
      <c r="AH381" s="3"/>
      <c r="AN381" s="3"/>
    </row>
    <row r="382" spans="16:40" ht="15" customHeight="1" x14ac:dyDescent="0.3">
      <c r="P382" s="3"/>
      <c r="V382" s="3"/>
      <c r="AB382" s="3"/>
      <c r="AH382" s="3"/>
      <c r="AN382" s="3"/>
    </row>
    <row r="383" spans="16:40" ht="15" customHeight="1" x14ac:dyDescent="0.3">
      <c r="P383" s="3"/>
      <c r="V383" s="3"/>
      <c r="AB383" s="3"/>
      <c r="AH383" s="3"/>
      <c r="AN383" s="3"/>
    </row>
    <row r="384" spans="16:40" ht="15" customHeight="1" x14ac:dyDescent="0.3">
      <c r="P384" s="3"/>
      <c r="V384" s="3"/>
      <c r="AB384" s="3"/>
      <c r="AH384" s="3"/>
      <c r="AN384" s="3"/>
    </row>
    <row r="385" spans="16:40" ht="15" customHeight="1" x14ac:dyDescent="0.3">
      <c r="P385" s="3"/>
      <c r="V385" s="3"/>
      <c r="AB385" s="3"/>
      <c r="AH385" s="3"/>
      <c r="AN385" s="3"/>
    </row>
    <row r="386" spans="16:40" ht="15" customHeight="1" x14ac:dyDescent="0.3">
      <c r="P386" s="3"/>
      <c r="V386" s="3"/>
      <c r="AB386" s="3"/>
      <c r="AH386" s="3"/>
      <c r="AN386" s="3"/>
    </row>
    <row r="387" spans="16:40" ht="15" customHeight="1" x14ac:dyDescent="0.3">
      <c r="P387" s="3"/>
      <c r="V387" s="3"/>
      <c r="AB387" s="3"/>
      <c r="AH387" s="3"/>
      <c r="AN387" s="3"/>
    </row>
    <row r="388" spans="16:40" ht="15" customHeight="1" x14ac:dyDescent="0.3">
      <c r="P388" s="3"/>
      <c r="V388" s="3"/>
      <c r="AB388" s="3"/>
      <c r="AH388" s="3"/>
      <c r="AN388" s="3"/>
    </row>
    <row r="389" spans="16:40" ht="15" customHeight="1" x14ac:dyDescent="0.3">
      <c r="P389" s="3"/>
      <c r="V389" s="3"/>
      <c r="AB389" s="3"/>
      <c r="AH389" s="3"/>
      <c r="AN389" s="3"/>
    </row>
    <row r="390" spans="16:40" ht="15" customHeight="1" x14ac:dyDescent="0.3">
      <c r="P390" s="3"/>
      <c r="V390" s="3"/>
      <c r="AB390" s="3"/>
      <c r="AH390" s="3"/>
      <c r="AN390" s="3"/>
    </row>
    <row r="391" spans="16:40" ht="15" customHeight="1" x14ac:dyDescent="0.3">
      <c r="P391" s="3"/>
      <c r="V391" s="3"/>
      <c r="AB391" s="3"/>
      <c r="AH391" s="3"/>
      <c r="AN391" s="3"/>
    </row>
    <row r="392" spans="16:40" ht="15" customHeight="1" x14ac:dyDescent="0.3">
      <c r="P392" s="3"/>
      <c r="V392" s="3"/>
      <c r="AB392" s="3"/>
      <c r="AH392" s="3"/>
      <c r="AN392" s="3"/>
    </row>
    <row r="393" spans="16:40" ht="15" customHeight="1" x14ac:dyDescent="0.3">
      <c r="P393" s="3"/>
      <c r="V393" s="3"/>
      <c r="AB393" s="3"/>
      <c r="AH393" s="3"/>
      <c r="AN393" s="3"/>
    </row>
    <row r="394" spans="16:40" ht="15" customHeight="1" x14ac:dyDescent="0.3">
      <c r="P394" s="3"/>
      <c r="V394" s="3"/>
      <c r="AB394" s="3"/>
      <c r="AH394" s="3"/>
      <c r="AN394" s="3"/>
    </row>
    <row r="395" spans="16:40" ht="15" customHeight="1" x14ac:dyDescent="0.3">
      <c r="P395" s="3"/>
      <c r="V395" s="3"/>
      <c r="AB395" s="3"/>
      <c r="AH395" s="3"/>
      <c r="AN395" s="3"/>
    </row>
    <row r="396" spans="16:40" ht="15" customHeight="1" x14ac:dyDescent="0.3">
      <c r="P396" s="3"/>
      <c r="V396" s="3"/>
      <c r="AB396" s="3"/>
      <c r="AH396" s="3"/>
      <c r="AN396" s="3"/>
    </row>
    <row r="397" spans="16:40" ht="15" customHeight="1" x14ac:dyDescent="0.3">
      <c r="P397" s="3"/>
      <c r="V397" s="3"/>
      <c r="AB397" s="3"/>
      <c r="AH397" s="3"/>
      <c r="AN397" s="3"/>
    </row>
    <row r="398" spans="16:40" ht="15" customHeight="1" x14ac:dyDescent="0.3">
      <c r="P398" s="3"/>
      <c r="V398" s="3"/>
      <c r="AB398" s="3"/>
      <c r="AH398" s="3"/>
      <c r="AN398" s="3"/>
    </row>
    <row r="399" spans="16:40" ht="15" customHeight="1" x14ac:dyDescent="0.3">
      <c r="P399" s="3"/>
      <c r="V399" s="3"/>
      <c r="AB399" s="3"/>
      <c r="AH399" s="3"/>
      <c r="AN399" s="3"/>
    </row>
    <row r="400" spans="16:40" ht="15" customHeight="1" x14ac:dyDescent="0.3">
      <c r="P400" s="3"/>
      <c r="V400" s="3"/>
      <c r="AB400" s="3"/>
      <c r="AH400" s="3"/>
      <c r="AN400" s="3"/>
    </row>
    <row r="401" spans="16:40" ht="15" customHeight="1" x14ac:dyDescent="0.3">
      <c r="P401" s="3"/>
      <c r="V401" s="3"/>
      <c r="AB401" s="3"/>
      <c r="AH401" s="3"/>
      <c r="AN401" s="3"/>
    </row>
    <row r="402" spans="16:40" ht="15" customHeight="1" x14ac:dyDescent="0.3">
      <c r="P402" s="3"/>
      <c r="V402" s="3"/>
      <c r="AB402" s="3"/>
      <c r="AH402" s="3"/>
      <c r="AN402" s="3"/>
    </row>
    <row r="403" spans="16:40" ht="15" customHeight="1" x14ac:dyDescent="0.3">
      <c r="P403" s="3"/>
      <c r="V403" s="3"/>
      <c r="AB403" s="3"/>
      <c r="AH403" s="3"/>
      <c r="AN403" s="3"/>
    </row>
    <row r="404" spans="16:40" ht="15" customHeight="1" x14ac:dyDescent="0.3">
      <c r="P404" s="3"/>
      <c r="V404" s="3"/>
      <c r="AB404" s="3"/>
      <c r="AH404" s="3"/>
      <c r="AN404" s="3"/>
    </row>
    <row r="405" spans="16:40" ht="15" customHeight="1" x14ac:dyDescent="0.3">
      <c r="P405" s="3"/>
      <c r="V405" s="3"/>
      <c r="AB405" s="3"/>
      <c r="AH405" s="3"/>
      <c r="AN405" s="3"/>
    </row>
    <row r="406" spans="16:40" ht="15" customHeight="1" x14ac:dyDescent="0.3">
      <c r="P406" s="3"/>
      <c r="V406" s="3"/>
      <c r="AB406" s="3"/>
      <c r="AH406" s="3"/>
      <c r="AN406" s="3"/>
    </row>
    <row r="407" spans="16:40" ht="15" customHeight="1" x14ac:dyDescent="0.3">
      <c r="P407" s="3"/>
      <c r="V407" s="3"/>
      <c r="AB407" s="3"/>
      <c r="AH407" s="3"/>
      <c r="AN407" s="3"/>
    </row>
    <row r="408" spans="16:40" ht="15" customHeight="1" x14ac:dyDescent="0.3">
      <c r="P408" s="3"/>
      <c r="V408" s="3"/>
      <c r="AB408" s="3"/>
      <c r="AH408" s="3"/>
      <c r="AN408" s="3"/>
    </row>
    <row r="409" spans="16:40" ht="15" customHeight="1" x14ac:dyDescent="0.3">
      <c r="P409" s="3"/>
      <c r="V409" s="3"/>
      <c r="AB409" s="3"/>
      <c r="AH409" s="3"/>
      <c r="AN409" s="3"/>
    </row>
    <row r="410" spans="16:40" ht="15" customHeight="1" x14ac:dyDescent="0.3">
      <c r="P410" s="3"/>
      <c r="V410" s="3"/>
      <c r="AB410" s="3"/>
      <c r="AH410" s="3"/>
      <c r="AN410" s="3"/>
    </row>
    <row r="411" spans="16:40" ht="15" customHeight="1" x14ac:dyDescent="0.3">
      <c r="P411" s="3"/>
      <c r="V411" s="3"/>
      <c r="AB411" s="3"/>
      <c r="AH411" s="3"/>
      <c r="AN411" s="3"/>
    </row>
    <row r="412" spans="16:40" ht="15" customHeight="1" x14ac:dyDescent="0.3">
      <c r="P412" s="3"/>
      <c r="V412" s="3"/>
      <c r="AB412" s="3"/>
      <c r="AH412" s="3"/>
      <c r="AN412" s="3"/>
    </row>
    <row r="413" spans="16:40" ht="15" customHeight="1" x14ac:dyDescent="0.3">
      <c r="P413" s="3"/>
      <c r="V413" s="3"/>
      <c r="AB413" s="3"/>
      <c r="AH413" s="3"/>
      <c r="AN413" s="3"/>
    </row>
    <row r="414" spans="16:40" ht="15" customHeight="1" x14ac:dyDescent="0.3">
      <c r="P414" s="3"/>
      <c r="V414" s="3"/>
      <c r="AB414" s="3"/>
      <c r="AH414" s="3"/>
      <c r="AN414" s="3"/>
    </row>
    <row r="415" spans="16:40" ht="15" customHeight="1" x14ac:dyDescent="0.3">
      <c r="P415" s="3"/>
      <c r="V415" s="3"/>
      <c r="AB415" s="3"/>
      <c r="AH415" s="3"/>
      <c r="AN415" s="3"/>
    </row>
    <row r="416" spans="16:40" ht="15" customHeight="1" x14ac:dyDescent="0.3">
      <c r="P416" s="3"/>
      <c r="V416" s="3"/>
      <c r="AB416" s="3"/>
      <c r="AH416" s="3"/>
      <c r="AN416" s="3"/>
    </row>
    <row r="417" spans="16:40" ht="15" customHeight="1" x14ac:dyDescent="0.3">
      <c r="P417" s="3"/>
      <c r="V417" s="3"/>
      <c r="AB417" s="3"/>
      <c r="AH417" s="3"/>
      <c r="AN417" s="3"/>
    </row>
    <row r="418" spans="16:40" ht="15" customHeight="1" x14ac:dyDescent="0.3">
      <c r="P418" s="3"/>
      <c r="V418" s="3"/>
      <c r="AB418" s="3"/>
      <c r="AH418" s="3"/>
      <c r="AN418" s="3"/>
    </row>
    <row r="419" spans="16:40" ht="15" customHeight="1" x14ac:dyDescent="0.3">
      <c r="P419" s="3"/>
      <c r="V419" s="3"/>
      <c r="AB419" s="3"/>
      <c r="AH419" s="3"/>
      <c r="AN419" s="3"/>
    </row>
    <row r="420" spans="16:40" ht="15" customHeight="1" x14ac:dyDescent="0.3">
      <c r="P420" s="3"/>
      <c r="V420" s="3"/>
      <c r="AB420" s="3"/>
      <c r="AH420" s="3"/>
      <c r="AN420" s="3"/>
    </row>
    <row r="421" spans="16:40" ht="15" customHeight="1" x14ac:dyDescent="0.3">
      <c r="P421" s="3"/>
      <c r="V421" s="3"/>
      <c r="AB421" s="3"/>
      <c r="AH421" s="3"/>
      <c r="AN421" s="3"/>
    </row>
    <row r="422" spans="16:40" ht="15" customHeight="1" x14ac:dyDescent="0.3">
      <c r="P422" s="3"/>
      <c r="V422" s="3"/>
      <c r="AB422" s="3"/>
      <c r="AH422" s="3"/>
      <c r="AN422" s="3"/>
    </row>
    <row r="423" spans="16:40" ht="15" customHeight="1" x14ac:dyDescent="0.3">
      <c r="P423" s="3"/>
      <c r="V423" s="3"/>
      <c r="AB423" s="3"/>
      <c r="AH423" s="3"/>
      <c r="AN423" s="3"/>
    </row>
    <row r="424" spans="16:40" ht="15" customHeight="1" x14ac:dyDescent="0.3">
      <c r="P424" s="3"/>
      <c r="V424" s="3"/>
      <c r="AB424" s="3"/>
      <c r="AH424" s="3"/>
      <c r="AN424" s="3"/>
    </row>
    <row r="425" spans="16:40" ht="15" customHeight="1" x14ac:dyDescent="0.3">
      <c r="P425" s="3"/>
      <c r="V425" s="3"/>
      <c r="AB425" s="3"/>
      <c r="AH425" s="3"/>
      <c r="AN425" s="3"/>
    </row>
    <row r="426" spans="16:40" ht="15" customHeight="1" x14ac:dyDescent="0.3">
      <c r="P426" s="3"/>
      <c r="V426" s="3"/>
      <c r="AB426" s="3"/>
      <c r="AH426" s="3"/>
      <c r="AN426" s="3"/>
    </row>
    <row r="427" spans="16:40" ht="15" customHeight="1" x14ac:dyDescent="0.3">
      <c r="P427" s="3"/>
      <c r="V427" s="3"/>
      <c r="AB427" s="3"/>
      <c r="AH427" s="3"/>
      <c r="AN427" s="3"/>
    </row>
    <row r="428" spans="16:40" ht="15" customHeight="1" x14ac:dyDescent="0.3">
      <c r="P428" s="3"/>
      <c r="V428" s="3"/>
      <c r="AB428" s="3"/>
      <c r="AH428" s="3"/>
      <c r="AN428" s="3"/>
    </row>
    <row r="429" spans="16:40" ht="15" customHeight="1" x14ac:dyDescent="0.3">
      <c r="P429" s="3"/>
      <c r="V429" s="3"/>
      <c r="AB429" s="3"/>
      <c r="AH429" s="3"/>
      <c r="AN429" s="3"/>
    </row>
    <row r="430" spans="16:40" ht="15" customHeight="1" x14ac:dyDescent="0.3">
      <c r="P430" s="3"/>
      <c r="V430" s="3"/>
      <c r="AB430" s="3"/>
      <c r="AH430" s="3"/>
      <c r="AN430" s="3"/>
    </row>
    <row r="431" spans="16:40" ht="15" customHeight="1" x14ac:dyDescent="0.3">
      <c r="P431" s="3"/>
      <c r="V431" s="3"/>
      <c r="AB431" s="3"/>
      <c r="AH431" s="3"/>
      <c r="AN431" s="3"/>
    </row>
    <row r="432" spans="16:40" ht="15" customHeight="1" x14ac:dyDescent="0.3">
      <c r="P432" s="3"/>
      <c r="V432" s="3"/>
      <c r="AB432" s="3"/>
      <c r="AH432" s="3"/>
      <c r="AN432" s="3"/>
    </row>
    <row r="433" spans="16:40" ht="15" customHeight="1" x14ac:dyDescent="0.3">
      <c r="P433" s="3"/>
      <c r="V433" s="3"/>
      <c r="AB433" s="3"/>
      <c r="AH433" s="3"/>
      <c r="AN433" s="3"/>
    </row>
    <row r="434" spans="16:40" ht="15" customHeight="1" x14ac:dyDescent="0.3">
      <c r="P434" s="3"/>
      <c r="V434" s="3"/>
      <c r="AB434" s="3"/>
      <c r="AH434" s="3"/>
      <c r="AN434" s="3"/>
    </row>
    <row r="435" spans="16:40" ht="15" customHeight="1" x14ac:dyDescent="0.3">
      <c r="P435" s="3"/>
      <c r="V435" s="3"/>
      <c r="AB435" s="3"/>
      <c r="AH435" s="3"/>
      <c r="AN435" s="3"/>
    </row>
    <row r="436" spans="16:40" ht="15" customHeight="1" x14ac:dyDescent="0.3">
      <c r="P436" s="3"/>
      <c r="V436" s="3"/>
      <c r="AB436" s="3"/>
      <c r="AH436" s="3"/>
      <c r="AN436" s="3"/>
    </row>
    <row r="437" spans="16:40" ht="15" customHeight="1" x14ac:dyDescent="0.3">
      <c r="P437" s="3"/>
      <c r="V437" s="3"/>
      <c r="AB437" s="3"/>
      <c r="AH437" s="3"/>
      <c r="AN437" s="3"/>
    </row>
    <row r="438" spans="16:40" ht="15" customHeight="1" x14ac:dyDescent="0.3">
      <c r="P438" s="3"/>
      <c r="V438" s="3"/>
      <c r="AB438" s="3"/>
      <c r="AH438" s="3"/>
      <c r="AN438" s="3"/>
    </row>
    <row r="439" spans="16:40" ht="15" customHeight="1" x14ac:dyDescent="0.3">
      <c r="P439" s="3"/>
      <c r="V439" s="3"/>
      <c r="AB439" s="3"/>
      <c r="AH439" s="3"/>
      <c r="AN439" s="3"/>
    </row>
    <row r="440" spans="16:40" ht="15" customHeight="1" x14ac:dyDescent="0.3">
      <c r="P440" s="3"/>
      <c r="V440" s="3"/>
      <c r="AB440" s="3"/>
      <c r="AH440" s="3"/>
      <c r="AN440" s="3"/>
    </row>
    <row r="441" spans="16:40" ht="15" customHeight="1" x14ac:dyDescent="0.3">
      <c r="P441" s="3"/>
      <c r="V441" s="3"/>
      <c r="AB441" s="3"/>
      <c r="AH441" s="3"/>
      <c r="AN441" s="3"/>
    </row>
    <row r="442" spans="16:40" ht="15" customHeight="1" x14ac:dyDescent="0.3">
      <c r="P442" s="3"/>
      <c r="V442" s="3"/>
      <c r="AB442" s="3"/>
      <c r="AH442" s="3"/>
      <c r="AN442" s="3"/>
    </row>
    <row r="443" spans="16:40" ht="15" customHeight="1" x14ac:dyDescent="0.3">
      <c r="P443" s="3"/>
      <c r="V443" s="3"/>
      <c r="AB443" s="3"/>
      <c r="AH443" s="3"/>
      <c r="AN443" s="3"/>
    </row>
    <row r="444" spans="16:40" ht="15" customHeight="1" x14ac:dyDescent="0.3">
      <c r="P444" s="3"/>
      <c r="V444" s="3"/>
      <c r="AB444" s="3"/>
      <c r="AH444" s="3"/>
      <c r="AN444" s="3"/>
    </row>
    <row r="445" spans="16:40" ht="15" customHeight="1" x14ac:dyDescent="0.3">
      <c r="P445" s="3"/>
      <c r="V445" s="3"/>
      <c r="AB445" s="3"/>
      <c r="AH445" s="3"/>
      <c r="AN445" s="3"/>
    </row>
    <row r="446" spans="16:40" ht="15" customHeight="1" x14ac:dyDescent="0.3">
      <c r="P446" s="3"/>
      <c r="V446" s="3"/>
      <c r="AB446" s="3"/>
      <c r="AH446" s="3"/>
      <c r="AN446" s="3"/>
    </row>
    <row r="447" spans="16:40" ht="15" customHeight="1" x14ac:dyDescent="0.3">
      <c r="P447" s="3"/>
      <c r="V447" s="3"/>
      <c r="AB447" s="3"/>
      <c r="AH447" s="3"/>
      <c r="AN447" s="3"/>
    </row>
    <row r="448" spans="16:40" ht="15" customHeight="1" x14ac:dyDescent="0.3">
      <c r="P448" s="3"/>
      <c r="V448" s="3"/>
      <c r="AB448" s="3"/>
      <c r="AH448" s="3"/>
      <c r="AN448" s="3"/>
    </row>
    <row r="449" spans="16:40" ht="15" customHeight="1" x14ac:dyDescent="0.3">
      <c r="P449" s="3"/>
      <c r="V449" s="3"/>
      <c r="AB449" s="3"/>
      <c r="AH449" s="3"/>
      <c r="AN449" s="3"/>
    </row>
    <row r="450" spans="16:40" ht="15" customHeight="1" x14ac:dyDescent="0.3">
      <c r="P450" s="3"/>
      <c r="V450" s="3"/>
      <c r="AB450" s="3"/>
      <c r="AH450" s="3"/>
      <c r="AN450" s="3"/>
    </row>
    <row r="451" spans="16:40" ht="15" customHeight="1" x14ac:dyDescent="0.3">
      <c r="P451" s="3"/>
      <c r="V451" s="3"/>
      <c r="AB451" s="3"/>
      <c r="AH451" s="3"/>
      <c r="AN451" s="3"/>
    </row>
    <row r="452" spans="16:40" ht="15" customHeight="1" x14ac:dyDescent="0.3">
      <c r="P452" s="3"/>
      <c r="V452" s="3"/>
      <c r="AB452" s="3"/>
      <c r="AH452" s="3"/>
      <c r="AN452" s="3"/>
    </row>
    <row r="453" spans="16:40" ht="15" customHeight="1" x14ac:dyDescent="0.3">
      <c r="P453" s="3"/>
      <c r="V453" s="3"/>
      <c r="AB453" s="3"/>
      <c r="AH453" s="3"/>
      <c r="AN453" s="3"/>
    </row>
    <row r="454" spans="16:40" ht="15" customHeight="1" x14ac:dyDescent="0.3">
      <c r="P454" s="3"/>
      <c r="V454" s="3"/>
      <c r="AB454" s="3"/>
      <c r="AH454" s="3"/>
      <c r="AN454" s="3"/>
    </row>
    <row r="455" spans="16:40" ht="15" customHeight="1" x14ac:dyDescent="0.3">
      <c r="P455" s="3"/>
      <c r="V455" s="3"/>
      <c r="AB455" s="3"/>
      <c r="AH455" s="3"/>
      <c r="AN455" s="3"/>
    </row>
    <row r="456" spans="16:40" ht="15" customHeight="1" x14ac:dyDescent="0.3">
      <c r="P456" s="3"/>
      <c r="V456" s="3"/>
      <c r="AB456" s="3"/>
      <c r="AH456" s="3"/>
      <c r="AN456" s="3"/>
    </row>
    <row r="457" spans="16:40" ht="15" customHeight="1" x14ac:dyDescent="0.3">
      <c r="P457" s="3"/>
      <c r="V457" s="3"/>
      <c r="AB457" s="3"/>
      <c r="AH457" s="3"/>
      <c r="AN457" s="3"/>
    </row>
    <row r="458" spans="16:40" ht="15" customHeight="1" x14ac:dyDescent="0.3">
      <c r="P458" s="3"/>
      <c r="V458" s="3"/>
      <c r="AB458" s="3"/>
      <c r="AH458" s="3"/>
      <c r="AN458" s="3"/>
    </row>
    <row r="459" spans="16:40" ht="15" customHeight="1" x14ac:dyDescent="0.3">
      <c r="P459" s="3"/>
      <c r="V459" s="3"/>
      <c r="AB459" s="3"/>
      <c r="AH459" s="3"/>
      <c r="AN459" s="3"/>
    </row>
    <row r="460" spans="16:40" ht="15" customHeight="1" x14ac:dyDescent="0.3">
      <c r="P460" s="3"/>
      <c r="V460" s="3"/>
      <c r="AB460" s="3"/>
      <c r="AH460" s="3"/>
      <c r="AN460" s="3"/>
    </row>
    <row r="461" spans="16:40" ht="15" customHeight="1" x14ac:dyDescent="0.3">
      <c r="P461" s="3"/>
      <c r="V461" s="3"/>
      <c r="AB461" s="3"/>
      <c r="AH461" s="3"/>
      <c r="AN461" s="3"/>
    </row>
    <row r="462" spans="16:40" ht="15" customHeight="1" x14ac:dyDescent="0.3">
      <c r="P462" s="3"/>
      <c r="V462" s="3"/>
      <c r="AB462" s="3"/>
      <c r="AH462" s="3"/>
      <c r="AN462" s="3"/>
    </row>
    <row r="463" spans="16:40" ht="15" customHeight="1" x14ac:dyDescent="0.3">
      <c r="P463" s="3"/>
      <c r="V463" s="3"/>
      <c r="AB463" s="3"/>
      <c r="AH463" s="3"/>
      <c r="AN463" s="3"/>
    </row>
    <row r="464" spans="16:40" ht="15" customHeight="1" x14ac:dyDescent="0.3">
      <c r="P464" s="3"/>
      <c r="V464" s="3"/>
      <c r="AB464" s="3"/>
      <c r="AH464" s="3"/>
      <c r="AN464" s="3"/>
    </row>
    <row r="465" spans="16:40" ht="15" customHeight="1" x14ac:dyDescent="0.3">
      <c r="P465" s="3"/>
      <c r="V465" s="3"/>
      <c r="AB465" s="3"/>
      <c r="AH465" s="3"/>
      <c r="AN465" s="3"/>
    </row>
    <row r="466" spans="16:40" ht="15" customHeight="1" x14ac:dyDescent="0.3">
      <c r="P466" s="3"/>
      <c r="V466" s="3"/>
      <c r="AB466" s="3"/>
      <c r="AH466" s="3"/>
      <c r="AN466" s="3"/>
    </row>
    <row r="467" spans="16:40" ht="15" customHeight="1" x14ac:dyDescent="0.3">
      <c r="P467" s="3"/>
      <c r="V467" s="3"/>
      <c r="AB467" s="3"/>
      <c r="AH467" s="3"/>
      <c r="AN467" s="3"/>
    </row>
    <row r="468" spans="16:40" ht="15" customHeight="1" x14ac:dyDescent="0.3">
      <c r="P468" s="3"/>
      <c r="V468" s="3"/>
      <c r="AB468" s="3"/>
      <c r="AH468" s="3"/>
      <c r="AN468" s="3"/>
    </row>
    <row r="469" spans="16:40" ht="15" customHeight="1" x14ac:dyDescent="0.3">
      <c r="P469" s="3"/>
      <c r="V469" s="3"/>
      <c r="AB469" s="3"/>
      <c r="AH469" s="3"/>
      <c r="AN469" s="3"/>
    </row>
    <row r="470" spans="16:40" ht="15" customHeight="1" x14ac:dyDescent="0.3">
      <c r="P470" s="3"/>
      <c r="V470" s="3"/>
      <c r="AB470" s="3"/>
      <c r="AH470" s="3"/>
      <c r="AN470" s="3"/>
    </row>
    <row r="471" spans="16:40" ht="15" customHeight="1" x14ac:dyDescent="0.3">
      <c r="P471" s="3"/>
      <c r="V471" s="3"/>
      <c r="AB471" s="3"/>
      <c r="AH471" s="3"/>
      <c r="AN471" s="3"/>
    </row>
    <row r="472" spans="16:40" ht="15" customHeight="1" x14ac:dyDescent="0.3">
      <c r="P472" s="3"/>
      <c r="V472" s="3"/>
      <c r="AB472" s="3"/>
      <c r="AH472" s="3"/>
      <c r="AN472" s="3"/>
    </row>
    <row r="473" spans="16:40" ht="15" customHeight="1" x14ac:dyDescent="0.3">
      <c r="P473" s="3"/>
      <c r="V473" s="3"/>
      <c r="AB473" s="3"/>
      <c r="AH473" s="3"/>
      <c r="AN473" s="3"/>
    </row>
    <row r="474" spans="16:40" ht="15" customHeight="1" x14ac:dyDescent="0.3">
      <c r="P474" s="3"/>
      <c r="V474" s="3"/>
      <c r="AB474" s="3"/>
      <c r="AH474" s="3"/>
      <c r="AN474" s="3"/>
    </row>
    <row r="475" spans="16:40" ht="15" customHeight="1" x14ac:dyDescent="0.3">
      <c r="P475" s="3"/>
      <c r="V475" s="3"/>
      <c r="AB475" s="3"/>
      <c r="AH475" s="3"/>
      <c r="AN475" s="3"/>
    </row>
    <row r="476" spans="16:40" ht="15" customHeight="1" x14ac:dyDescent="0.3">
      <c r="P476" s="3"/>
      <c r="V476" s="3"/>
      <c r="AB476" s="3"/>
      <c r="AH476" s="3"/>
      <c r="AN476" s="3"/>
    </row>
    <row r="477" spans="16:40" ht="15" customHeight="1" x14ac:dyDescent="0.3">
      <c r="P477" s="3"/>
      <c r="V477" s="3"/>
      <c r="AB477" s="3"/>
      <c r="AH477" s="3"/>
      <c r="AN477" s="3"/>
    </row>
    <row r="478" spans="16:40" ht="15" customHeight="1" x14ac:dyDescent="0.3">
      <c r="P478" s="3"/>
      <c r="V478" s="3"/>
      <c r="AB478" s="3"/>
      <c r="AH478" s="3"/>
      <c r="AN478" s="3"/>
    </row>
    <row r="479" spans="16:40" ht="15" customHeight="1" x14ac:dyDescent="0.3">
      <c r="P479" s="3"/>
      <c r="V479" s="3"/>
      <c r="AB479" s="3"/>
      <c r="AH479" s="3"/>
      <c r="AN479" s="3"/>
    </row>
    <row r="480" spans="16:40" ht="15" customHeight="1" x14ac:dyDescent="0.3">
      <c r="P480" s="3"/>
      <c r="V480" s="3"/>
      <c r="AB480" s="3"/>
      <c r="AH480" s="3"/>
      <c r="AN480" s="3"/>
    </row>
    <row r="481" spans="16:40" ht="15" customHeight="1" x14ac:dyDescent="0.3">
      <c r="P481" s="3"/>
      <c r="V481" s="3"/>
      <c r="AB481" s="3"/>
      <c r="AH481" s="3"/>
      <c r="AN481" s="3"/>
    </row>
    <row r="482" spans="16:40" ht="15" customHeight="1" x14ac:dyDescent="0.3">
      <c r="P482" s="3"/>
      <c r="V482" s="3"/>
      <c r="AB482" s="3"/>
      <c r="AH482" s="3"/>
      <c r="AN482" s="3"/>
    </row>
    <row r="483" spans="16:40" ht="15" customHeight="1" x14ac:dyDescent="0.3">
      <c r="P483" s="3"/>
      <c r="V483" s="3"/>
      <c r="AB483" s="3"/>
      <c r="AH483" s="3"/>
      <c r="AN483" s="3"/>
    </row>
    <row r="484" spans="16:40" ht="15" customHeight="1" x14ac:dyDescent="0.3">
      <c r="P484" s="3"/>
      <c r="V484" s="3"/>
      <c r="AB484" s="3"/>
      <c r="AH484" s="3"/>
      <c r="AN484" s="3"/>
    </row>
    <row r="485" spans="16:40" ht="15" customHeight="1" x14ac:dyDescent="0.3">
      <c r="P485" s="3"/>
      <c r="V485" s="3"/>
      <c r="AB485" s="3"/>
      <c r="AH485" s="3"/>
      <c r="AN485" s="3"/>
    </row>
    <row r="486" spans="16:40" ht="15" customHeight="1" x14ac:dyDescent="0.3">
      <c r="P486" s="3"/>
      <c r="V486" s="3"/>
      <c r="AB486" s="3"/>
      <c r="AH486" s="3"/>
      <c r="AN486" s="3"/>
    </row>
    <row r="487" spans="16:40" ht="15" customHeight="1" x14ac:dyDescent="0.3">
      <c r="P487" s="3"/>
      <c r="V487" s="3"/>
      <c r="AB487" s="3"/>
      <c r="AH487" s="3"/>
      <c r="AN487" s="3"/>
    </row>
    <row r="488" spans="16:40" ht="15" customHeight="1" x14ac:dyDescent="0.3">
      <c r="P488" s="3"/>
      <c r="V488" s="3"/>
      <c r="AB488" s="3"/>
      <c r="AH488" s="3"/>
      <c r="AN488" s="3"/>
    </row>
    <row r="489" spans="16:40" ht="15" customHeight="1" x14ac:dyDescent="0.3">
      <c r="P489" s="3"/>
      <c r="V489" s="3"/>
      <c r="AB489" s="3"/>
      <c r="AH489" s="3"/>
      <c r="AN489" s="3"/>
    </row>
    <row r="490" spans="16:40" ht="15" customHeight="1" x14ac:dyDescent="0.3">
      <c r="P490" s="3"/>
      <c r="V490" s="3"/>
      <c r="AB490" s="3"/>
      <c r="AH490" s="3"/>
      <c r="AN490" s="3"/>
    </row>
    <row r="491" spans="16:40" ht="15" customHeight="1" x14ac:dyDescent="0.3">
      <c r="P491" s="3"/>
      <c r="V491" s="3"/>
      <c r="AB491" s="3"/>
      <c r="AH491" s="3"/>
      <c r="AN491" s="3"/>
    </row>
    <row r="492" spans="16:40" ht="15" customHeight="1" x14ac:dyDescent="0.3">
      <c r="P492" s="3"/>
      <c r="V492" s="3"/>
      <c r="AB492" s="3"/>
      <c r="AH492" s="3"/>
      <c r="AN492" s="3"/>
    </row>
    <row r="493" spans="16:40" ht="15" customHeight="1" x14ac:dyDescent="0.3">
      <c r="P493" s="3"/>
      <c r="V493" s="3"/>
      <c r="AB493" s="3"/>
      <c r="AH493" s="3"/>
      <c r="AN493" s="3"/>
    </row>
    <row r="494" spans="16:40" ht="15" customHeight="1" x14ac:dyDescent="0.3">
      <c r="P494" s="3"/>
      <c r="V494" s="3"/>
      <c r="AB494" s="3"/>
      <c r="AH494" s="3"/>
      <c r="AN494" s="3"/>
    </row>
    <row r="495" spans="16:40" ht="15" customHeight="1" x14ac:dyDescent="0.3">
      <c r="P495" s="3"/>
      <c r="V495" s="3"/>
      <c r="AB495" s="3"/>
      <c r="AH495" s="3"/>
      <c r="AN495" s="3"/>
    </row>
    <row r="496" spans="16:40" ht="15" customHeight="1" x14ac:dyDescent="0.3">
      <c r="P496" s="3"/>
      <c r="V496" s="3"/>
      <c r="AB496" s="3"/>
      <c r="AH496" s="3"/>
      <c r="AN496" s="3"/>
    </row>
    <row r="497" spans="16:40" ht="15" customHeight="1" x14ac:dyDescent="0.3">
      <c r="P497" s="3"/>
      <c r="V497" s="3"/>
      <c r="AB497" s="3"/>
      <c r="AH497" s="3"/>
      <c r="AN497" s="3"/>
    </row>
    <row r="498" spans="16:40" ht="15" customHeight="1" x14ac:dyDescent="0.3">
      <c r="P498" s="3"/>
      <c r="V498" s="3"/>
      <c r="AB498" s="3"/>
      <c r="AH498" s="3"/>
      <c r="AN498" s="3"/>
    </row>
    <row r="499" spans="16:40" ht="15" customHeight="1" x14ac:dyDescent="0.3">
      <c r="P499" s="3"/>
      <c r="V499" s="3"/>
      <c r="AB499" s="3"/>
      <c r="AH499" s="3"/>
      <c r="AN499" s="3"/>
    </row>
    <row r="500" spans="16:40" ht="15" customHeight="1" x14ac:dyDescent="0.3">
      <c r="P500" s="3"/>
      <c r="V500" s="3"/>
      <c r="AB500" s="3"/>
      <c r="AH500" s="3"/>
      <c r="AN500" s="3"/>
    </row>
    <row r="501" spans="16:40" ht="15" customHeight="1" x14ac:dyDescent="0.3">
      <c r="P501" s="3"/>
      <c r="V501" s="3"/>
      <c r="AB501" s="3"/>
      <c r="AH501" s="3"/>
      <c r="AN501" s="3"/>
    </row>
    <row r="502" spans="16:40" ht="15" customHeight="1" x14ac:dyDescent="0.3">
      <c r="P502" s="3"/>
      <c r="V502" s="3"/>
      <c r="AB502" s="3"/>
      <c r="AH502" s="3"/>
      <c r="AN502" s="3"/>
    </row>
    <row r="503" spans="16:40" ht="15" customHeight="1" x14ac:dyDescent="0.3">
      <c r="P503" s="3"/>
      <c r="V503" s="3"/>
      <c r="AB503" s="3"/>
      <c r="AH503" s="3"/>
      <c r="AN503" s="3"/>
    </row>
    <row r="504" spans="16:40" ht="15" customHeight="1" x14ac:dyDescent="0.3">
      <c r="P504" s="3"/>
      <c r="V504" s="3"/>
      <c r="AB504" s="3"/>
      <c r="AH504" s="3"/>
      <c r="AN504" s="3"/>
    </row>
    <row r="505" spans="16:40" ht="15" customHeight="1" x14ac:dyDescent="0.3">
      <c r="P505" s="3"/>
      <c r="V505" s="3"/>
      <c r="AB505" s="3"/>
      <c r="AH505" s="3"/>
      <c r="AN505" s="3"/>
    </row>
    <row r="506" spans="16:40" ht="15" customHeight="1" x14ac:dyDescent="0.3">
      <c r="P506" s="3"/>
      <c r="V506" s="3"/>
      <c r="AB506" s="3"/>
      <c r="AH506" s="3"/>
      <c r="AN506" s="3"/>
    </row>
    <row r="507" spans="16:40" ht="15" customHeight="1" x14ac:dyDescent="0.3">
      <c r="P507" s="3"/>
      <c r="V507" s="3"/>
      <c r="AB507" s="3"/>
      <c r="AH507" s="3"/>
      <c r="AN507" s="3"/>
    </row>
    <row r="508" spans="16:40" ht="15" customHeight="1" x14ac:dyDescent="0.3">
      <c r="P508" s="3"/>
      <c r="V508" s="3"/>
      <c r="AB508" s="3"/>
      <c r="AH508" s="3"/>
      <c r="AN508" s="3"/>
    </row>
    <row r="509" spans="16:40" ht="15" customHeight="1" x14ac:dyDescent="0.3">
      <c r="P509" s="3"/>
      <c r="V509" s="3"/>
      <c r="AB509" s="3"/>
      <c r="AH509" s="3"/>
      <c r="AN509" s="3"/>
    </row>
    <row r="510" spans="16:40" ht="15" customHeight="1" x14ac:dyDescent="0.3">
      <c r="P510" s="3"/>
      <c r="V510" s="3"/>
      <c r="AB510" s="3"/>
      <c r="AH510" s="3"/>
      <c r="AN510" s="3"/>
    </row>
    <row r="511" spans="16:40" ht="15" customHeight="1" x14ac:dyDescent="0.3">
      <c r="P511" s="3"/>
      <c r="V511" s="3"/>
      <c r="AB511" s="3"/>
      <c r="AH511" s="3"/>
      <c r="AN511" s="3"/>
    </row>
    <row r="512" spans="16:40" ht="15" customHeight="1" x14ac:dyDescent="0.3">
      <c r="P512" s="3"/>
      <c r="V512" s="3"/>
      <c r="AB512" s="3"/>
      <c r="AH512" s="3"/>
      <c r="AN512" s="3"/>
    </row>
    <row r="513" spans="16:40" ht="15" customHeight="1" x14ac:dyDescent="0.3">
      <c r="P513" s="3"/>
      <c r="V513" s="3"/>
      <c r="AB513" s="3"/>
      <c r="AH513" s="3"/>
      <c r="AN513" s="3"/>
    </row>
    <row r="514" spans="16:40" ht="15" customHeight="1" x14ac:dyDescent="0.3">
      <c r="P514" s="3"/>
      <c r="V514" s="3"/>
      <c r="AB514" s="3"/>
      <c r="AH514" s="3"/>
      <c r="AN514" s="3"/>
    </row>
    <row r="515" spans="16:40" ht="15" customHeight="1" x14ac:dyDescent="0.3">
      <c r="P515" s="3"/>
      <c r="V515" s="3"/>
      <c r="AB515" s="3"/>
      <c r="AH515" s="3"/>
      <c r="AN515" s="3"/>
    </row>
    <row r="516" spans="16:40" ht="15" customHeight="1" x14ac:dyDescent="0.3">
      <c r="P516" s="3"/>
      <c r="V516" s="3"/>
      <c r="AB516" s="3"/>
      <c r="AH516" s="3"/>
      <c r="AN516" s="3"/>
    </row>
    <row r="517" spans="16:40" ht="15" customHeight="1" x14ac:dyDescent="0.3">
      <c r="P517" s="3"/>
      <c r="V517" s="3"/>
      <c r="AB517" s="3"/>
      <c r="AH517" s="3"/>
      <c r="AN517" s="3"/>
    </row>
    <row r="518" spans="16:40" ht="15" customHeight="1" x14ac:dyDescent="0.3">
      <c r="P518" s="3"/>
      <c r="V518" s="3"/>
      <c r="AB518" s="3"/>
      <c r="AH518" s="3"/>
      <c r="AN518" s="3"/>
    </row>
    <row r="519" spans="16:40" ht="15" customHeight="1" x14ac:dyDescent="0.3">
      <c r="P519" s="3"/>
      <c r="V519" s="3"/>
      <c r="AB519" s="3"/>
      <c r="AH519" s="3"/>
      <c r="AN519" s="3"/>
    </row>
    <row r="520" spans="16:40" ht="15" customHeight="1" x14ac:dyDescent="0.3">
      <c r="P520" s="3"/>
      <c r="V520" s="3"/>
      <c r="AB520" s="3"/>
      <c r="AH520" s="3"/>
      <c r="AN520" s="3"/>
    </row>
    <row r="521" spans="16:40" ht="15" customHeight="1" x14ac:dyDescent="0.3">
      <c r="P521" s="3"/>
      <c r="V521" s="3"/>
      <c r="AB521" s="3"/>
      <c r="AH521" s="3"/>
      <c r="AN521" s="3"/>
    </row>
    <row r="522" spans="16:40" ht="15" customHeight="1" x14ac:dyDescent="0.3">
      <c r="P522" s="3"/>
      <c r="V522" s="3"/>
      <c r="AB522" s="3"/>
      <c r="AH522" s="3"/>
      <c r="AN522" s="3"/>
    </row>
    <row r="523" spans="16:40" ht="15" customHeight="1" x14ac:dyDescent="0.3">
      <c r="P523" s="3"/>
      <c r="V523" s="3"/>
      <c r="AB523" s="3"/>
      <c r="AH523" s="3"/>
      <c r="AN523" s="3"/>
    </row>
    <row r="524" spans="16:40" ht="15" customHeight="1" x14ac:dyDescent="0.3">
      <c r="P524" s="3"/>
      <c r="V524" s="3"/>
      <c r="AB524" s="3"/>
      <c r="AH524" s="3"/>
      <c r="AN524" s="3"/>
    </row>
    <row r="525" spans="16:40" ht="15" customHeight="1" x14ac:dyDescent="0.3">
      <c r="P525" s="3"/>
      <c r="V525" s="3"/>
      <c r="AB525" s="3"/>
      <c r="AH525" s="3"/>
      <c r="AN525" s="3"/>
    </row>
    <row r="526" spans="16:40" ht="15" customHeight="1" x14ac:dyDescent="0.3">
      <c r="P526" s="3"/>
      <c r="V526" s="3"/>
      <c r="AB526" s="3"/>
      <c r="AH526" s="3"/>
      <c r="AN526" s="3"/>
    </row>
    <row r="527" spans="16:40" ht="15" customHeight="1" x14ac:dyDescent="0.3">
      <c r="P527" s="3"/>
      <c r="V527" s="3"/>
      <c r="AB527" s="3"/>
      <c r="AH527" s="3"/>
      <c r="AN527" s="3"/>
    </row>
    <row r="528" spans="16:40" ht="15" customHeight="1" x14ac:dyDescent="0.3">
      <c r="P528" s="3"/>
      <c r="V528" s="3"/>
      <c r="AB528" s="3"/>
      <c r="AH528" s="3"/>
      <c r="AN528" s="3"/>
    </row>
    <row r="529" spans="16:40" ht="15" customHeight="1" x14ac:dyDescent="0.3">
      <c r="P529" s="3"/>
      <c r="V529" s="3"/>
      <c r="AB529" s="3"/>
      <c r="AH529" s="3"/>
      <c r="AN529" s="3"/>
    </row>
    <row r="530" spans="16:40" ht="15" customHeight="1" x14ac:dyDescent="0.3">
      <c r="P530" s="3"/>
      <c r="V530" s="3"/>
      <c r="AB530" s="3"/>
      <c r="AH530" s="3"/>
      <c r="AN530" s="3"/>
    </row>
    <row r="531" spans="16:40" ht="15" customHeight="1" x14ac:dyDescent="0.3">
      <c r="P531" s="3"/>
      <c r="V531" s="3"/>
      <c r="AB531" s="3"/>
      <c r="AH531" s="3"/>
      <c r="AN531" s="3"/>
    </row>
    <row r="532" spans="16:40" ht="15" customHeight="1" x14ac:dyDescent="0.3">
      <c r="P532" s="3"/>
      <c r="V532" s="3"/>
      <c r="AB532" s="3"/>
      <c r="AH532" s="3"/>
      <c r="AN532" s="3"/>
    </row>
    <row r="533" spans="16:40" ht="15" customHeight="1" x14ac:dyDescent="0.3">
      <c r="P533" s="3"/>
      <c r="V533" s="3"/>
      <c r="AB533" s="3"/>
      <c r="AH533" s="3"/>
      <c r="AN533" s="3"/>
    </row>
    <row r="534" spans="16:40" ht="15" customHeight="1" x14ac:dyDescent="0.3">
      <c r="P534" s="3"/>
      <c r="V534" s="3"/>
      <c r="AB534" s="3"/>
      <c r="AH534" s="3"/>
      <c r="AN534" s="3"/>
    </row>
    <row r="535" spans="16:40" ht="15" customHeight="1" x14ac:dyDescent="0.3">
      <c r="P535" s="3"/>
      <c r="V535" s="3"/>
      <c r="AB535" s="3"/>
      <c r="AH535" s="3"/>
      <c r="AN535" s="3"/>
    </row>
    <row r="536" spans="16:40" ht="15" customHeight="1" x14ac:dyDescent="0.3">
      <c r="P536" s="3"/>
      <c r="V536" s="3"/>
      <c r="AB536" s="3"/>
      <c r="AH536" s="3"/>
      <c r="AN536" s="3"/>
    </row>
    <row r="537" spans="16:40" ht="15" customHeight="1" x14ac:dyDescent="0.3">
      <c r="P537" s="3"/>
      <c r="V537" s="3"/>
      <c r="AB537" s="3"/>
      <c r="AH537" s="3"/>
      <c r="AN537" s="3"/>
    </row>
    <row r="538" spans="16:40" ht="15" customHeight="1" x14ac:dyDescent="0.3">
      <c r="P538" s="3"/>
      <c r="V538" s="3"/>
      <c r="AB538" s="3"/>
      <c r="AH538" s="3"/>
      <c r="AN538" s="3"/>
    </row>
    <row r="539" spans="16:40" ht="15" customHeight="1" x14ac:dyDescent="0.3">
      <c r="P539" s="3"/>
      <c r="V539" s="3"/>
      <c r="AB539" s="3"/>
      <c r="AH539" s="3"/>
      <c r="AN539" s="3"/>
    </row>
    <row r="540" spans="16:40" ht="15" customHeight="1" x14ac:dyDescent="0.3">
      <c r="P540" s="3"/>
      <c r="V540" s="3"/>
      <c r="AB540" s="3"/>
      <c r="AH540" s="3"/>
      <c r="AN540" s="3"/>
    </row>
    <row r="541" spans="16:40" ht="15" customHeight="1" x14ac:dyDescent="0.3">
      <c r="P541" s="3"/>
      <c r="V541" s="3"/>
      <c r="AB541" s="3"/>
      <c r="AH541" s="3"/>
      <c r="AN541" s="3"/>
    </row>
    <row r="542" spans="16:40" ht="15" customHeight="1" x14ac:dyDescent="0.3">
      <c r="P542" s="3"/>
      <c r="V542" s="3"/>
      <c r="AB542" s="3"/>
      <c r="AH542" s="3"/>
      <c r="AN542" s="3"/>
    </row>
    <row r="543" spans="16:40" ht="15" customHeight="1" x14ac:dyDescent="0.3">
      <c r="P543" s="3"/>
      <c r="V543" s="3"/>
      <c r="AB543" s="3"/>
      <c r="AH543" s="3"/>
      <c r="AN543" s="3"/>
    </row>
    <row r="544" spans="16:40" ht="15" customHeight="1" x14ac:dyDescent="0.3">
      <c r="P544" s="3"/>
      <c r="V544" s="3"/>
      <c r="AB544" s="3"/>
      <c r="AH544" s="3"/>
      <c r="AN544" s="3"/>
    </row>
    <row r="545" spans="16:40" ht="15" customHeight="1" x14ac:dyDescent="0.3">
      <c r="P545" s="3"/>
      <c r="V545" s="3"/>
      <c r="AB545" s="3"/>
      <c r="AH545" s="3"/>
      <c r="AN545" s="3"/>
    </row>
    <row r="546" spans="16:40" ht="15" customHeight="1" x14ac:dyDescent="0.3">
      <c r="P546" s="3"/>
      <c r="V546" s="3"/>
      <c r="AB546" s="3"/>
      <c r="AH546" s="3"/>
      <c r="AN546" s="3"/>
    </row>
    <row r="547" spans="16:40" ht="15" customHeight="1" x14ac:dyDescent="0.3">
      <c r="P547" s="3"/>
      <c r="V547" s="3"/>
      <c r="AB547" s="3"/>
      <c r="AH547" s="3"/>
      <c r="AN547" s="3"/>
    </row>
    <row r="548" spans="16:40" ht="15" customHeight="1" x14ac:dyDescent="0.3">
      <c r="P548" s="3"/>
      <c r="V548" s="3"/>
      <c r="AB548" s="3"/>
      <c r="AH548" s="3"/>
      <c r="AN548" s="3"/>
    </row>
    <row r="549" spans="16:40" ht="15" customHeight="1" x14ac:dyDescent="0.3">
      <c r="P549" s="3"/>
      <c r="V549" s="3"/>
      <c r="AB549" s="3"/>
      <c r="AH549" s="3"/>
      <c r="AN549" s="3"/>
    </row>
    <row r="550" spans="16:40" ht="15" customHeight="1" x14ac:dyDescent="0.3">
      <c r="P550" s="3"/>
      <c r="V550" s="3"/>
      <c r="AB550" s="3"/>
      <c r="AH550" s="3"/>
      <c r="AN550" s="3"/>
    </row>
    <row r="551" spans="16:40" ht="15" customHeight="1" x14ac:dyDescent="0.3">
      <c r="P551" s="3"/>
      <c r="V551" s="3"/>
      <c r="AB551" s="3"/>
      <c r="AH551" s="3"/>
      <c r="AN551" s="3"/>
    </row>
    <row r="552" spans="16:40" ht="15" customHeight="1" x14ac:dyDescent="0.3">
      <c r="P552" s="3"/>
      <c r="V552" s="3"/>
      <c r="AB552" s="3"/>
      <c r="AH552" s="3"/>
      <c r="AN552" s="3"/>
    </row>
    <row r="553" spans="16:40" ht="15" customHeight="1" x14ac:dyDescent="0.3">
      <c r="P553" s="3"/>
      <c r="V553" s="3"/>
      <c r="AB553" s="3"/>
      <c r="AH553" s="3"/>
      <c r="AN553" s="3"/>
    </row>
    <row r="554" spans="16:40" ht="15" customHeight="1" x14ac:dyDescent="0.3">
      <c r="P554" s="3"/>
      <c r="V554" s="3"/>
      <c r="AB554" s="3"/>
      <c r="AH554" s="3"/>
      <c r="AN554" s="3"/>
    </row>
    <row r="555" spans="16:40" ht="15" customHeight="1" x14ac:dyDescent="0.3">
      <c r="P555" s="3"/>
      <c r="V555" s="3"/>
      <c r="AB555" s="3"/>
      <c r="AH555" s="3"/>
      <c r="AN555" s="3"/>
    </row>
    <row r="556" spans="16:40" ht="15" customHeight="1" x14ac:dyDescent="0.3">
      <c r="P556" s="3"/>
      <c r="V556" s="3"/>
      <c r="AB556" s="3"/>
      <c r="AH556" s="3"/>
      <c r="AN556" s="3"/>
    </row>
    <row r="557" spans="16:40" ht="15" customHeight="1" x14ac:dyDescent="0.3">
      <c r="P557" s="3"/>
      <c r="V557" s="3"/>
      <c r="AB557" s="3"/>
      <c r="AH557" s="3"/>
      <c r="AN557" s="3"/>
    </row>
    <row r="558" spans="16:40" ht="15" customHeight="1" x14ac:dyDescent="0.3">
      <c r="P558" s="3"/>
      <c r="V558" s="3"/>
      <c r="AB558" s="3"/>
      <c r="AH558" s="3"/>
      <c r="AN558" s="3"/>
    </row>
    <row r="559" spans="16:40" ht="15" customHeight="1" x14ac:dyDescent="0.3">
      <c r="P559" s="3"/>
      <c r="V559" s="3"/>
      <c r="AB559" s="3"/>
      <c r="AH559" s="3"/>
      <c r="AN559" s="3"/>
    </row>
    <row r="560" spans="16:40" ht="15" customHeight="1" x14ac:dyDescent="0.3">
      <c r="P560" s="3"/>
      <c r="V560" s="3"/>
      <c r="AB560" s="3"/>
      <c r="AH560" s="3"/>
      <c r="AN560" s="3"/>
    </row>
    <row r="561" spans="16:40" ht="15" customHeight="1" x14ac:dyDescent="0.3">
      <c r="P561" s="3"/>
      <c r="V561" s="3"/>
      <c r="AB561" s="3"/>
      <c r="AH561" s="3"/>
      <c r="AN561" s="3"/>
    </row>
    <row r="562" spans="16:40" ht="15" customHeight="1" x14ac:dyDescent="0.3">
      <c r="P562" s="3"/>
      <c r="V562" s="3"/>
      <c r="AB562" s="3"/>
      <c r="AH562" s="3"/>
      <c r="AN562" s="3"/>
    </row>
    <row r="563" spans="16:40" ht="15" customHeight="1" x14ac:dyDescent="0.3">
      <c r="P563" s="3"/>
      <c r="V563" s="3"/>
      <c r="AB563" s="3"/>
      <c r="AH563" s="3"/>
      <c r="AN563" s="3"/>
    </row>
    <row r="564" spans="16:40" ht="15" customHeight="1" x14ac:dyDescent="0.3">
      <c r="P564" s="3"/>
      <c r="V564" s="3"/>
      <c r="AB564" s="3"/>
      <c r="AH564" s="3"/>
      <c r="AN564" s="3"/>
    </row>
    <row r="565" spans="16:40" ht="15" customHeight="1" x14ac:dyDescent="0.3">
      <c r="P565" s="3"/>
      <c r="V565" s="3"/>
      <c r="AB565" s="3"/>
      <c r="AH565" s="3"/>
      <c r="AN565" s="3"/>
    </row>
    <row r="566" spans="16:40" ht="15" customHeight="1" x14ac:dyDescent="0.3">
      <c r="P566" s="3"/>
      <c r="V566" s="3"/>
      <c r="AB566" s="3"/>
      <c r="AH566" s="3"/>
      <c r="AN566" s="3"/>
    </row>
    <row r="567" spans="16:40" ht="15" customHeight="1" x14ac:dyDescent="0.3">
      <c r="P567" s="3"/>
      <c r="V567" s="3"/>
      <c r="AB567" s="3"/>
      <c r="AH567" s="3"/>
      <c r="AN567" s="3"/>
    </row>
    <row r="568" spans="16:40" ht="15" customHeight="1" x14ac:dyDescent="0.3">
      <c r="P568" s="3"/>
      <c r="V568" s="3"/>
      <c r="AB568" s="3"/>
      <c r="AH568" s="3"/>
      <c r="AN568" s="3"/>
    </row>
    <row r="569" spans="16:40" ht="15" customHeight="1" x14ac:dyDescent="0.3">
      <c r="P569" s="3"/>
      <c r="V569" s="3"/>
      <c r="AB569" s="3"/>
      <c r="AH569" s="3"/>
      <c r="AN569" s="3"/>
    </row>
    <row r="570" spans="16:40" ht="15" customHeight="1" x14ac:dyDescent="0.3">
      <c r="P570" s="3"/>
      <c r="V570" s="3"/>
      <c r="AB570" s="3"/>
      <c r="AH570" s="3"/>
      <c r="AN570" s="3"/>
    </row>
    <row r="571" spans="16:40" ht="15" customHeight="1" x14ac:dyDescent="0.3">
      <c r="P571" s="3"/>
      <c r="V571" s="3"/>
      <c r="AB571" s="3"/>
      <c r="AH571" s="3"/>
      <c r="AN571" s="3"/>
    </row>
    <row r="572" spans="16:40" ht="15" customHeight="1" x14ac:dyDescent="0.3">
      <c r="P572" s="3"/>
      <c r="V572" s="3"/>
      <c r="AB572" s="3"/>
      <c r="AH572" s="3"/>
      <c r="AN572" s="3"/>
    </row>
    <row r="573" spans="16:40" ht="15" customHeight="1" x14ac:dyDescent="0.3">
      <c r="P573" s="3"/>
      <c r="V573" s="3"/>
      <c r="AB573" s="3"/>
      <c r="AH573" s="3"/>
      <c r="AN573" s="3"/>
    </row>
    <row r="574" spans="16:40" ht="15" customHeight="1" x14ac:dyDescent="0.3">
      <c r="P574" s="3"/>
      <c r="V574" s="3"/>
      <c r="AB574" s="3"/>
      <c r="AH574" s="3"/>
      <c r="AN574" s="3"/>
    </row>
    <row r="575" spans="16:40" ht="15" customHeight="1" x14ac:dyDescent="0.3">
      <c r="P575" s="3"/>
      <c r="V575" s="3"/>
      <c r="AB575" s="3"/>
      <c r="AH575" s="3"/>
      <c r="AN575" s="3"/>
    </row>
    <row r="576" spans="16:40" ht="15" customHeight="1" x14ac:dyDescent="0.3">
      <c r="P576" s="3"/>
      <c r="V576" s="3"/>
      <c r="AB576" s="3"/>
      <c r="AH576" s="3"/>
      <c r="AN576" s="3"/>
    </row>
    <row r="577" spans="16:40" ht="15" customHeight="1" x14ac:dyDescent="0.3">
      <c r="P577" s="3"/>
      <c r="V577" s="3"/>
      <c r="AB577" s="3"/>
      <c r="AH577" s="3"/>
      <c r="AN577" s="3"/>
    </row>
    <row r="578" spans="16:40" ht="15" customHeight="1" x14ac:dyDescent="0.3">
      <c r="P578" s="3"/>
      <c r="V578" s="3"/>
      <c r="AB578" s="3"/>
      <c r="AH578" s="3"/>
      <c r="AN578" s="3"/>
    </row>
    <row r="579" spans="16:40" ht="15" customHeight="1" x14ac:dyDescent="0.3">
      <c r="P579" s="3"/>
      <c r="V579" s="3"/>
      <c r="AB579" s="3"/>
      <c r="AH579" s="3"/>
      <c r="AN579" s="3"/>
    </row>
    <row r="580" spans="16:40" ht="15" customHeight="1" x14ac:dyDescent="0.3">
      <c r="P580" s="3"/>
      <c r="V580" s="3"/>
      <c r="AB580" s="3"/>
      <c r="AH580" s="3"/>
      <c r="AN580" s="3"/>
    </row>
    <row r="581" spans="16:40" ht="15" customHeight="1" x14ac:dyDescent="0.3">
      <c r="P581" s="3"/>
      <c r="V581" s="3"/>
      <c r="AB581" s="3"/>
      <c r="AH581" s="3"/>
      <c r="AN581" s="3"/>
    </row>
    <row r="582" spans="16:40" ht="15" customHeight="1" x14ac:dyDescent="0.3">
      <c r="P582" s="3"/>
      <c r="V582" s="3"/>
      <c r="AB582" s="3"/>
      <c r="AH582" s="3"/>
      <c r="AN582" s="3"/>
    </row>
    <row r="583" spans="16:40" ht="15" customHeight="1" x14ac:dyDescent="0.3">
      <c r="P583" s="3"/>
      <c r="V583" s="3"/>
      <c r="AB583" s="3"/>
      <c r="AH583" s="3"/>
      <c r="AN583" s="3"/>
    </row>
    <row r="584" spans="16:40" ht="15" customHeight="1" x14ac:dyDescent="0.3">
      <c r="P584" s="3"/>
      <c r="V584" s="3"/>
      <c r="AB584" s="3"/>
      <c r="AH584" s="3"/>
      <c r="AN584" s="3"/>
    </row>
    <row r="585" spans="16:40" ht="15" customHeight="1" x14ac:dyDescent="0.3">
      <c r="P585" s="3"/>
      <c r="V585" s="3"/>
      <c r="AB585" s="3"/>
      <c r="AH585" s="3"/>
      <c r="AN585" s="3"/>
    </row>
    <row r="586" spans="16:40" ht="15" customHeight="1" x14ac:dyDescent="0.3">
      <c r="P586" s="3"/>
      <c r="V586" s="3"/>
      <c r="AB586" s="3"/>
      <c r="AH586" s="3"/>
      <c r="AN586" s="3"/>
    </row>
    <row r="587" spans="16:40" ht="15" customHeight="1" x14ac:dyDescent="0.3">
      <c r="P587" s="3"/>
      <c r="V587" s="3"/>
      <c r="AB587" s="3"/>
      <c r="AH587" s="3"/>
      <c r="AN587" s="3"/>
    </row>
    <row r="588" spans="16:40" ht="15" customHeight="1" x14ac:dyDescent="0.3">
      <c r="P588" s="3"/>
      <c r="V588" s="3"/>
      <c r="AB588" s="3"/>
      <c r="AH588" s="3"/>
      <c r="AN588" s="3"/>
    </row>
    <row r="589" spans="16:40" ht="15" customHeight="1" x14ac:dyDescent="0.3">
      <c r="P589" s="3"/>
      <c r="V589" s="3"/>
      <c r="AB589" s="3"/>
      <c r="AH589" s="3"/>
      <c r="AN589" s="3"/>
    </row>
    <row r="590" spans="16:40" ht="15" customHeight="1" x14ac:dyDescent="0.3">
      <c r="P590" s="3"/>
      <c r="V590" s="3"/>
      <c r="AB590" s="3"/>
      <c r="AH590" s="3"/>
      <c r="AN590" s="3"/>
    </row>
    <row r="591" spans="16:40" ht="15" customHeight="1" x14ac:dyDescent="0.3">
      <c r="P591" s="3"/>
      <c r="V591" s="3"/>
      <c r="AB591" s="3"/>
      <c r="AH591" s="3"/>
      <c r="AN591" s="3"/>
    </row>
    <row r="592" spans="16:40" ht="15" customHeight="1" x14ac:dyDescent="0.3">
      <c r="P592" s="3"/>
      <c r="V592" s="3"/>
      <c r="AB592" s="3"/>
      <c r="AH592" s="3"/>
      <c r="AN592" s="3"/>
    </row>
    <row r="593" spans="16:40" ht="15" customHeight="1" x14ac:dyDescent="0.3">
      <c r="P593" s="3"/>
      <c r="V593" s="3"/>
      <c r="AB593" s="3"/>
      <c r="AH593" s="3"/>
      <c r="AN593" s="3"/>
    </row>
    <row r="594" spans="16:40" ht="15" customHeight="1" x14ac:dyDescent="0.3">
      <c r="P594" s="3"/>
      <c r="V594" s="3"/>
      <c r="AB594" s="3"/>
      <c r="AH594" s="3"/>
      <c r="AN594" s="3"/>
    </row>
    <row r="595" spans="16:40" ht="15" customHeight="1" x14ac:dyDescent="0.3">
      <c r="P595" s="3"/>
      <c r="V595" s="3"/>
      <c r="AB595" s="3"/>
      <c r="AH595" s="3"/>
      <c r="AN595" s="3"/>
    </row>
    <row r="596" spans="16:40" ht="15" customHeight="1" x14ac:dyDescent="0.3">
      <c r="P596" s="3"/>
      <c r="V596" s="3"/>
      <c r="AB596" s="3"/>
      <c r="AH596" s="3"/>
      <c r="AN596" s="3"/>
    </row>
    <row r="597" spans="16:40" ht="15" customHeight="1" x14ac:dyDescent="0.3">
      <c r="P597" s="3"/>
      <c r="V597" s="3"/>
      <c r="AB597" s="3"/>
      <c r="AH597" s="3"/>
      <c r="AN597" s="3"/>
    </row>
    <row r="598" spans="16:40" ht="15" customHeight="1" x14ac:dyDescent="0.3">
      <c r="P598" s="3"/>
      <c r="V598" s="3"/>
      <c r="AB598" s="3"/>
      <c r="AH598" s="3"/>
      <c r="AN598" s="3"/>
    </row>
    <row r="599" spans="16:40" ht="15" customHeight="1" x14ac:dyDescent="0.3">
      <c r="P599" s="3"/>
      <c r="V599" s="3"/>
      <c r="AB599" s="3"/>
      <c r="AH599" s="3"/>
      <c r="AN599" s="3"/>
    </row>
    <row r="600" spans="16:40" ht="15" customHeight="1" x14ac:dyDescent="0.3">
      <c r="P600" s="3"/>
      <c r="V600" s="3"/>
      <c r="AB600" s="3"/>
      <c r="AH600" s="3"/>
      <c r="AN600" s="3"/>
    </row>
    <row r="601" spans="16:40" ht="15" customHeight="1" x14ac:dyDescent="0.3">
      <c r="P601" s="3"/>
      <c r="V601" s="3"/>
      <c r="AB601" s="3"/>
      <c r="AH601" s="3"/>
      <c r="AN601" s="3"/>
    </row>
    <row r="602" spans="16:40" ht="15" customHeight="1" x14ac:dyDescent="0.3">
      <c r="P602" s="3"/>
      <c r="V602" s="3"/>
      <c r="AB602" s="3"/>
      <c r="AH602" s="3"/>
      <c r="AN602" s="3"/>
    </row>
    <row r="603" spans="16:40" ht="15" customHeight="1" x14ac:dyDescent="0.3">
      <c r="P603" s="3"/>
      <c r="V603" s="3"/>
      <c r="AB603" s="3"/>
      <c r="AH603" s="3"/>
      <c r="AN603" s="3"/>
    </row>
    <row r="604" spans="16:40" ht="15" customHeight="1" x14ac:dyDescent="0.3">
      <c r="P604" s="3"/>
      <c r="V604" s="3"/>
      <c r="AB604" s="3"/>
      <c r="AH604" s="3"/>
      <c r="AN604" s="3"/>
    </row>
    <row r="605" spans="16:40" ht="15" customHeight="1" x14ac:dyDescent="0.3">
      <c r="P605" s="3"/>
      <c r="V605" s="3"/>
      <c r="AB605" s="3"/>
      <c r="AH605" s="3"/>
      <c r="AN605" s="3"/>
    </row>
    <row r="606" spans="16:40" ht="15" customHeight="1" x14ac:dyDescent="0.3">
      <c r="P606" s="3"/>
      <c r="V606" s="3"/>
      <c r="AB606" s="3"/>
      <c r="AH606" s="3"/>
      <c r="AN606" s="3"/>
    </row>
    <row r="607" spans="16:40" ht="15" customHeight="1" x14ac:dyDescent="0.3">
      <c r="P607" s="3"/>
      <c r="V607" s="3"/>
      <c r="AB607" s="3"/>
      <c r="AH607" s="3"/>
      <c r="AN607" s="3"/>
    </row>
    <row r="608" spans="16:40" ht="15" customHeight="1" x14ac:dyDescent="0.3">
      <c r="P608" s="3"/>
      <c r="V608" s="3"/>
      <c r="AB608" s="3"/>
      <c r="AH608" s="3"/>
      <c r="AN608" s="3"/>
    </row>
    <row r="609" spans="16:40" ht="15" customHeight="1" x14ac:dyDescent="0.3">
      <c r="P609" s="3"/>
      <c r="V609" s="3"/>
      <c r="AB609" s="3"/>
      <c r="AH609" s="3"/>
      <c r="AN609" s="3"/>
    </row>
    <row r="610" spans="16:40" ht="15" customHeight="1" x14ac:dyDescent="0.3">
      <c r="P610" s="3"/>
      <c r="V610" s="3"/>
      <c r="AB610" s="3"/>
      <c r="AH610" s="3"/>
      <c r="AN610" s="3"/>
    </row>
    <row r="611" spans="16:40" ht="15" customHeight="1" x14ac:dyDescent="0.3">
      <c r="P611" s="3"/>
      <c r="V611" s="3"/>
      <c r="AB611" s="3"/>
      <c r="AH611" s="3"/>
      <c r="AN611" s="3"/>
    </row>
    <row r="612" spans="16:40" ht="15" customHeight="1" x14ac:dyDescent="0.3">
      <c r="P612" s="3"/>
      <c r="V612" s="3"/>
      <c r="AB612" s="3"/>
      <c r="AH612" s="3"/>
      <c r="AN612" s="3"/>
    </row>
    <row r="613" spans="16:40" ht="15" customHeight="1" x14ac:dyDescent="0.3">
      <c r="P613" s="3"/>
      <c r="V613" s="3"/>
      <c r="AB613" s="3"/>
      <c r="AH613" s="3"/>
      <c r="AN613" s="3"/>
    </row>
    <row r="614" spans="16:40" ht="15" customHeight="1" x14ac:dyDescent="0.3">
      <c r="P614" s="3"/>
      <c r="V614" s="3"/>
      <c r="AB614" s="3"/>
      <c r="AH614" s="3"/>
      <c r="AN614" s="3"/>
    </row>
    <row r="615" spans="16:40" ht="15" customHeight="1" x14ac:dyDescent="0.3">
      <c r="P615" s="3"/>
      <c r="V615" s="3"/>
      <c r="AB615" s="3"/>
      <c r="AH615" s="3"/>
      <c r="AN615" s="3"/>
    </row>
    <row r="616" spans="16:40" ht="15" customHeight="1" x14ac:dyDescent="0.3">
      <c r="P616" s="3"/>
      <c r="V616" s="3"/>
      <c r="AB616" s="3"/>
      <c r="AH616" s="3"/>
      <c r="AN616" s="3"/>
    </row>
    <row r="617" spans="16:40" ht="15" customHeight="1" x14ac:dyDescent="0.3">
      <c r="P617" s="3"/>
      <c r="V617" s="3"/>
      <c r="AB617" s="3"/>
      <c r="AH617" s="3"/>
      <c r="AN617" s="3"/>
    </row>
    <row r="618" spans="16:40" ht="15" customHeight="1" x14ac:dyDescent="0.3">
      <c r="P618" s="3"/>
      <c r="V618" s="3"/>
      <c r="AB618" s="3"/>
      <c r="AH618" s="3"/>
      <c r="AN618" s="3"/>
    </row>
    <row r="619" spans="16:40" ht="15" customHeight="1" x14ac:dyDescent="0.3">
      <c r="P619" s="3"/>
      <c r="V619" s="3"/>
      <c r="AB619" s="3"/>
      <c r="AH619" s="3"/>
      <c r="AN619" s="3"/>
    </row>
    <row r="620" spans="16:40" ht="15" customHeight="1" x14ac:dyDescent="0.3">
      <c r="P620" s="3"/>
      <c r="V620" s="3"/>
      <c r="AB620" s="3"/>
      <c r="AH620" s="3"/>
      <c r="AN620" s="3"/>
    </row>
    <row r="621" spans="16:40" ht="15" customHeight="1" x14ac:dyDescent="0.3">
      <c r="P621" s="3"/>
      <c r="V621" s="3"/>
      <c r="AB621" s="3"/>
      <c r="AH621" s="3"/>
      <c r="AN621" s="3"/>
    </row>
    <row r="622" spans="16:40" ht="15" customHeight="1" x14ac:dyDescent="0.3">
      <c r="P622" s="3"/>
      <c r="V622" s="3"/>
      <c r="AB622" s="3"/>
      <c r="AH622" s="3"/>
      <c r="AN622" s="3"/>
    </row>
    <row r="623" spans="16:40" ht="15" customHeight="1" x14ac:dyDescent="0.3">
      <c r="P623" s="3"/>
      <c r="V623" s="3"/>
      <c r="AB623" s="3"/>
      <c r="AH623" s="3"/>
      <c r="AN623" s="3"/>
    </row>
    <row r="624" spans="16:40" ht="15" customHeight="1" x14ac:dyDescent="0.3">
      <c r="P624" s="3"/>
      <c r="V624" s="3"/>
      <c r="AB624" s="3"/>
      <c r="AH624" s="3"/>
      <c r="AN624" s="3"/>
    </row>
    <row r="625" spans="16:40" ht="15" customHeight="1" x14ac:dyDescent="0.3">
      <c r="P625" s="3"/>
      <c r="V625" s="3"/>
      <c r="AB625" s="3"/>
      <c r="AH625" s="3"/>
      <c r="AN625" s="3"/>
    </row>
    <row r="626" spans="16:40" ht="15" customHeight="1" x14ac:dyDescent="0.3">
      <c r="P626" s="3"/>
      <c r="V626" s="3"/>
      <c r="AB626" s="3"/>
      <c r="AH626" s="3"/>
      <c r="AN626" s="3"/>
    </row>
    <row r="627" spans="16:40" ht="15" customHeight="1" x14ac:dyDescent="0.3">
      <c r="P627" s="3"/>
      <c r="V627" s="3"/>
      <c r="AB627" s="3"/>
      <c r="AH627" s="3"/>
      <c r="AN627" s="3"/>
    </row>
    <row r="628" spans="16:40" ht="15" customHeight="1" x14ac:dyDescent="0.3">
      <c r="P628" s="3"/>
      <c r="V628" s="3"/>
      <c r="AB628" s="3"/>
      <c r="AH628" s="3"/>
      <c r="AN628" s="3"/>
    </row>
    <row r="629" spans="16:40" ht="15" customHeight="1" x14ac:dyDescent="0.3">
      <c r="P629" s="3"/>
      <c r="V629" s="3"/>
      <c r="AB629" s="3"/>
      <c r="AH629" s="3"/>
      <c r="AN629" s="3"/>
    </row>
    <row r="630" spans="16:40" ht="15" customHeight="1" x14ac:dyDescent="0.3">
      <c r="P630" s="3"/>
      <c r="V630" s="3"/>
      <c r="AB630" s="3"/>
      <c r="AH630" s="3"/>
      <c r="AN630" s="3"/>
    </row>
    <row r="631" spans="16:40" ht="15" customHeight="1" x14ac:dyDescent="0.3">
      <c r="P631" s="3"/>
      <c r="V631" s="3"/>
      <c r="AB631" s="3"/>
      <c r="AH631" s="3"/>
      <c r="AN631" s="3"/>
    </row>
    <row r="632" spans="16:40" ht="15" customHeight="1" x14ac:dyDescent="0.3">
      <c r="P632" s="3"/>
      <c r="V632" s="3"/>
      <c r="AB632" s="3"/>
      <c r="AH632" s="3"/>
      <c r="AN632" s="3"/>
    </row>
    <row r="633" spans="16:40" ht="15" customHeight="1" x14ac:dyDescent="0.3">
      <c r="P633" s="3"/>
      <c r="V633" s="3"/>
      <c r="AB633" s="3"/>
      <c r="AH633" s="3"/>
      <c r="AN633" s="3"/>
    </row>
    <row r="634" spans="16:40" ht="15" customHeight="1" x14ac:dyDescent="0.3">
      <c r="P634" s="3"/>
      <c r="V634" s="3"/>
      <c r="AB634" s="3"/>
      <c r="AH634" s="3"/>
      <c r="AN634" s="3"/>
    </row>
    <row r="635" spans="16:40" ht="15" customHeight="1" x14ac:dyDescent="0.3">
      <c r="P635" s="3"/>
      <c r="V635" s="3"/>
      <c r="AB635" s="3"/>
      <c r="AH635" s="3"/>
      <c r="AN635" s="3"/>
    </row>
    <row r="636" spans="16:40" ht="15" customHeight="1" x14ac:dyDescent="0.3">
      <c r="P636" s="3"/>
      <c r="V636" s="3"/>
      <c r="AB636" s="3"/>
      <c r="AH636" s="3"/>
      <c r="AN636" s="3"/>
    </row>
    <row r="637" spans="16:40" ht="15" customHeight="1" x14ac:dyDescent="0.3">
      <c r="P637" s="3"/>
      <c r="V637" s="3"/>
      <c r="AB637" s="3"/>
      <c r="AH637" s="3"/>
      <c r="AN637" s="3"/>
    </row>
    <row r="638" spans="16:40" ht="15" customHeight="1" x14ac:dyDescent="0.3">
      <c r="P638" s="3"/>
      <c r="V638" s="3"/>
      <c r="AB638" s="3"/>
      <c r="AH638" s="3"/>
      <c r="AN638" s="3"/>
    </row>
    <row r="639" spans="16:40" ht="15" customHeight="1" x14ac:dyDescent="0.3">
      <c r="P639" s="3"/>
      <c r="V639" s="3"/>
      <c r="AB639" s="3"/>
      <c r="AH639" s="3"/>
      <c r="AN639" s="3"/>
    </row>
    <row r="640" spans="16:40" ht="15" customHeight="1" x14ac:dyDescent="0.3">
      <c r="P640" s="3"/>
      <c r="V640" s="3"/>
      <c r="AB640" s="3"/>
      <c r="AH640" s="3"/>
      <c r="AN640" s="3"/>
    </row>
    <row r="641" spans="16:40" ht="15" customHeight="1" x14ac:dyDescent="0.3">
      <c r="P641" s="3"/>
      <c r="V641" s="3"/>
      <c r="AB641" s="3"/>
      <c r="AH641" s="3"/>
      <c r="AN641" s="3"/>
    </row>
    <row r="642" spans="16:40" ht="15" customHeight="1" x14ac:dyDescent="0.3">
      <c r="P642" s="3"/>
      <c r="V642" s="3"/>
      <c r="AB642" s="3"/>
      <c r="AH642" s="3"/>
      <c r="AN642" s="3"/>
    </row>
    <row r="643" spans="16:40" ht="15" customHeight="1" x14ac:dyDescent="0.3">
      <c r="P643" s="3"/>
      <c r="V643" s="3"/>
      <c r="AB643" s="3"/>
      <c r="AH643" s="3"/>
      <c r="AN643" s="3"/>
    </row>
    <row r="644" spans="16:40" ht="15" customHeight="1" x14ac:dyDescent="0.3">
      <c r="P644" s="3"/>
      <c r="V644" s="3"/>
      <c r="AB644" s="3"/>
      <c r="AH644" s="3"/>
      <c r="AN644" s="3"/>
    </row>
    <row r="645" spans="16:40" ht="15" customHeight="1" x14ac:dyDescent="0.3">
      <c r="P645" s="3"/>
      <c r="V645" s="3"/>
      <c r="AB645" s="3"/>
      <c r="AH645" s="3"/>
      <c r="AN645" s="3"/>
    </row>
    <row r="646" spans="16:40" ht="15" customHeight="1" x14ac:dyDescent="0.3">
      <c r="P646" s="3"/>
      <c r="V646" s="3"/>
      <c r="AB646" s="3"/>
      <c r="AH646" s="3"/>
      <c r="AN646" s="3"/>
    </row>
    <row r="647" spans="16:40" ht="15" customHeight="1" x14ac:dyDescent="0.3">
      <c r="P647" s="3"/>
      <c r="V647" s="3"/>
      <c r="AB647" s="3"/>
      <c r="AH647" s="3"/>
      <c r="AN647" s="3"/>
    </row>
    <row r="648" spans="16:40" ht="15" customHeight="1" x14ac:dyDescent="0.3">
      <c r="P648" s="3"/>
      <c r="V648" s="3"/>
      <c r="AB648" s="3"/>
      <c r="AH648" s="3"/>
      <c r="AN648" s="3"/>
    </row>
    <row r="649" spans="16:40" ht="15" customHeight="1" x14ac:dyDescent="0.3">
      <c r="P649" s="3"/>
      <c r="V649" s="3"/>
      <c r="AB649" s="3"/>
      <c r="AH649" s="3"/>
      <c r="AN649" s="3"/>
    </row>
    <row r="650" spans="16:40" ht="15" customHeight="1" x14ac:dyDescent="0.3">
      <c r="P650" s="3"/>
      <c r="V650" s="3"/>
      <c r="AB650" s="3"/>
      <c r="AH650" s="3"/>
      <c r="AN650" s="3"/>
    </row>
    <row r="651" spans="16:40" ht="15" customHeight="1" x14ac:dyDescent="0.3">
      <c r="P651" s="3"/>
      <c r="V651" s="3"/>
      <c r="AB651" s="3"/>
      <c r="AH651" s="3"/>
      <c r="AN651" s="3"/>
    </row>
    <row r="652" spans="16:40" ht="15" customHeight="1" x14ac:dyDescent="0.3">
      <c r="P652" s="3"/>
      <c r="V652" s="3"/>
      <c r="AB652" s="3"/>
      <c r="AH652" s="3"/>
      <c r="AN652" s="3"/>
    </row>
    <row r="653" spans="16:40" ht="15" customHeight="1" x14ac:dyDescent="0.3">
      <c r="P653" s="3"/>
      <c r="V653" s="3"/>
      <c r="AB653" s="3"/>
      <c r="AH653" s="3"/>
      <c r="AN653" s="3"/>
    </row>
    <row r="654" spans="16:40" ht="15" customHeight="1" x14ac:dyDescent="0.3">
      <c r="P654" s="3"/>
      <c r="V654" s="3"/>
      <c r="AB654" s="3"/>
      <c r="AH654" s="3"/>
      <c r="AN654" s="3"/>
    </row>
    <row r="655" spans="16:40" ht="15" customHeight="1" x14ac:dyDescent="0.3">
      <c r="P655" s="3"/>
      <c r="V655" s="3"/>
      <c r="AB655" s="3"/>
      <c r="AH655" s="3"/>
      <c r="AN655" s="3"/>
    </row>
    <row r="656" spans="16:40" ht="15" customHeight="1" x14ac:dyDescent="0.3">
      <c r="P656" s="3"/>
      <c r="V656" s="3"/>
      <c r="AB656" s="3"/>
      <c r="AH656" s="3"/>
      <c r="AN656" s="3"/>
    </row>
    <row r="657" spans="16:40" ht="15" customHeight="1" x14ac:dyDescent="0.3">
      <c r="P657" s="3"/>
      <c r="V657" s="3"/>
      <c r="AB657" s="3"/>
      <c r="AH657" s="3"/>
      <c r="AN657" s="3"/>
    </row>
    <row r="658" spans="16:40" ht="15" customHeight="1" x14ac:dyDescent="0.3">
      <c r="P658" s="3"/>
      <c r="V658" s="3"/>
      <c r="AB658" s="3"/>
      <c r="AH658" s="3"/>
      <c r="AN658" s="3"/>
    </row>
    <row r="659" spans="16:40" ht="15" customHeight="1" x14ac:dyDescent="0.3">
      <c r="P659" s="3"/>
      <c r="V659" s="3"/>
      <c r="AB659" s="3"/>
      <c r="AH659" s="3"/>
      <c r="AN659" s="3"/>
    </row>
    <row r="660" spans="16:40" ht="15" customHeight="1" x14ac:dyDescent="0.3">
      <c r="P660" s="3"/>
      <c r="V660" s="3"/>
      <c r="AB660" s="3"/>
      <c r="AH660" s="3"/>
      <c r="AN660" s="3"/>
    </row>
    <row r="661" spans="16:40" ht="15" customHeight="1" x14ac:dyDescent="0.3">
      <c r="P661" s="3"/>
      <c r="V661" s="3"/>
      <c r="AB661" s="3"/>
      <c r="AH661" s="3"/>
      <c r="AN661" s="3"/>
    </row>
    <row r="662" spans="16:40" ht="15" customHeight="1" x14ac:dyDescent="0.3">
      <c r="P662" s="3"/>
      <c r="V662" s="3"/>
      <c r="AB662" s="3"/>
      <c r="AH662" s="3"/>
      <c r="AN662" s="3"/>
    </row>
    <row r="663" spans="16:40" ht="15" customHeight="1" x14ac:dyDescent="0.3">
      <c r="P663" s="3"/>
      <c r="V663" s="3"/>
      <c r="AB663" s="3"/>
      <c r="AH663" s="3"/>
      <c r="AN663" s="3"/>
    </row>
    <row r="664" spans="16:40" ht="15" customHeight="1" x14ac:dyDescent="0.3">
      <c r="P664" s="3"/>
      <c r="V664" s="3"/>
      <c r="AB664" s="3"/>
      <c r="AH664" s="3"/>
      <c r="AN664" s="3"/>
    </row>
    <row r="665" spans="16:40" ht="15" customHeight="1" x14ac:dyDescent="0.3">
      <c r="P665" s="3"/>
      <c r="V665" s="3"/>
      <c r="AB665" s="3"/>
      <c r="AH665" s="3"/>
      <c r="AN665" s="3"/>
    </row>
    <row r="666" spans="16:40" ht="15" customHeight="1" x14ac:dyDescent="0.3">
      <c r="P666" s="3"/>
      <c r="V666" s="3"/>
      <c r="AB666" s="3"/>
      <c r="AH666" s="3"/>
      <c r="AN666" s="3"/>
    </row>
    <row r="667" spans="16:40" ht="15" customHeight="1" x14ac:dyDescent="0.3">
      <c r="P667" s="3"/>
      <c r="V667" s="3"/>
      <c r="AB667" s="3"/>
      <c r="AH667" s="3"/>
      <c r="AN667" s="3"/>
    </row>
    <row r="668" spans="16:40" ht="15" customHeight="1" x14ac:dyDescent="0.3">
      <c r="P668" s="3"/>
      <c r="V668" s="3"/>
      <c r="AB668" s="3"/>
      <c r="AH668" s="3"/>
      <c r="AN668" s="3"/>
    </row>
    <row r="669" spans="16:40" ht="15" customHeight="1" x14ac:dyDescent="0.3">
      <c r="P669" s="3"/>
      <c r="V669" s="3"/>
      <c r="AB669" s="3"/>
      <c r="AH669" s="3"/>
      <c r="AN669" s="3"/>
    </row>
    <row r="670" spans="16:40" ht="15" customHeight="1" x14ac:dyDescent="0.3">
      <c r="P670" s="3"/>
      <c r="V670" s="3"/>
      <c r="AB670" s="3"/>
      <c r="AH670" s="3"/>
      <c r="AN670" s="3"/>
    </row>
    <row r="671" spans="16:40" ht="15" customHeight="1" x14ac:dyDescent="0.3">
      <c r="P671" s="3"/>
      <c r="V671" s="3"/>
      <c r="AB671" s="3"/>
      <c r="AH671" s="3"/>
      <c r="AN671" s="3"/>
    </row>
    <row r="672" spans="16:40" ht="15" customHeight="1" x14ac:dyDescent="0.3">
      <c r="P672" s="3"/>
      <c r="V672" s="3"/>
      <c r="AB672" s="3"/>
      <c r="AH672" s="3"/>
      <c r="AN672" s="3"/>
    </row>
    <row r="673" spans="16:40" ht="15" customHeight="1" x14ac:dyDescent="0.3">
      <c r="P673" s="3"/>
      <c r="V673" s="3"/>
      <c r="AB673" s="3"/>
      <c r="AH673" s="3"/>
      <c r="AN673" s="3"/>
    </row>
    <row r="674" spans="16:40" ht="15" customHeight="1" x14ac:dyDescent="0.3">
      <c r="P674" s="3"/>
      <c r="V674" s="3"/>
      <c r="AB674" s="3"/>
      <c r="AH674" s="3"/>
      <c r="AN674" s="3"/>
    </row>
    <row r="675" spans="16:40" ht="15" customHeight="1" x14ac:dyDescent="0.3">
      <c r="P675" s="3"/>
      <c r="V675" s="3"/>
      <c r="AB675" s="3"/>
      <c r="AH675" s="3"/>
      <c r="AN675" s="3"/>
    </row>
    <row r="676" spans="16:40" ht="15" customHeight="1" x14ac:dyDescent="0.3">
      <c r="P676" s="3"/>
      <c r="V676" s="3"/>
      <c r="AB676" s="3"/>
      <c r="AH676" s="3"/>
      <c r="AN676" s="3"/>
    </row>
    <row r="677" spans="16:40" ht="15" customHeight="1" x14ac:dyDescent="0.3">
      <c r="P677" s="3"/>
      <c r="V677" s="3"/>
      <c r="AB677" s="3"/>
      <c r="AH677" s="3"/>
      <c r="AN677" s="3"/>
    </row>
    <row r="678" spans="16:40" ht="15" customHeight="1" x14ac:dyDescent="0.3">
      <c r="P678" s="3"/>
      <c r="V678" s="3"/>
      <c r="AB678" s="3"/>
      <c r="AH678" s="3"/>
      <c r="AN678" s="3"/>
    </row>
    <row r="679" spans="16:40" ht="15" customHeight="1" x14ac:dyDescent="0.3">
      <c r="P679" s="3"/>
      <c r="V679" s="3"/>
      <c r="AB679" s="3"/>
      <c r="AH679" s="3"/>
      <c r="AN679" s="3"/>
    </row>
    <row r="680" spans="16:40" ht="15" customHeight="1" x14ac:dyDescent="0.3">
      <c r="P680" s="3"/>
      <c r="V680" s="3"/>
      <c r="AB680" s="3"/>
      <c r="AH680" s="3"/>
      <c r="AN680" s="3"/>
    </row>
    <row r="681" spans="16:40" ht="15" customHeight="1" x14ac:dyDescent="0.3">
      <c r="P681" s="3"/>
      <c r="V681" s="3"/>
      <c r="AB681" s="3"/>
      <c r="AH681" s="3"/>
      <c r="AN681" s="3"/>
    </row>
    <row r="682" spans="16:40" ht="15" customHeight="1" x14ac:dyDescent="0.3">
      <c r="P682" s="3"/>
      <c r="V682" s="3"/>
      <c r="AB682" s="3"/>
      <c r="AH682" s="3"/>
      <c r="AN682" s="3"/>
    </row>
    <row r="683" spans="16:40" ht="15" customHeight="1" x14ac:dyDescent="0.3">
      <c r="P683" s="3"/>
      <c r="V683" s="3"/>
      <c r="AB683" s="3"/>
      <c r="AH683" s="3"/>
      <c r="AN683" s="3"/>
    </row>
    <row r="684" spans="16:40" ht="15" customHeight="1" x14ac:dyDescent="0.3">
      <c r="P684" s="3"/>
      <c r="V684" s="3"/>
      <c r="AB684" s="3"/>
      <c r="AH684" s="3"/>
      <c r="AN684" s="3"/>
    </row>
    <row r="685" spans="16:40" ht="15" customHeight="1" x14ac:dyDescent="0.3">
      <c r="P685" s="3"/>
      <c r="V685" s="3"/>
      <c r="AB685" s="3"/>
      <c r="AH685" s="3"/>
      <c r="AN685" s="3"/>
    </row>
    <row r="686" spans="16:40" ht="15" customHeight="1" x14ac:dyDescent="0.3">
      <c r="P686" s="3"/>
      <c r="V686" s="3"/>
      <c r="AB686" s="3"/>
      <c r="AH686" s="3"/>
      <c r="AN686" s="3"/>
    </row>
    <row r="687" spans="16:40" ht="15" customHeight="1" x14ac:dyDescent="0.3">
      <c r="P687" s="3"/>
      <c r="V687" s="3"/>
      <c r="AB687" s="3"/>
      <c r="AH687" s="3"/>
      <c r="AN687" s="3"/>
    </row>
    <row r="688" spans="16:40" ht="15" customHeight="1" x14ac:dyDescent="0.3">
      <c r="P688" s="3"/>
      <c r="V688" s="3"/>
      <c r="AB688" s="3"/>
      <c r="AH688" s="3"/>
      <c r="AN688" s="3"/>
    </row>
    <row r="689" spans="16:40" ht="15" customHeight="1" x14ac:dyDescent="0.3">
      <c r="P689" s="3"/>
      <c r="V689" s="3"/>
      <c r="AB689" s="3"/>
      <c r="AH689" s="3"/>
      <c r="AN689" s="3"/>
    </row>
    <row r="690" spans="16:40" ht="15" customHeight="1" x14ac:dyDescent="0.3">
      <c r="P690" s="3"/>
      <c r="V690" s="3"/>
      <c r="AB690" s="3"/>
      <c r="AH690" s="3"/>
      <c r="AN690" s="3"/>
    </row>
    <row r="691" spans="16:40" ht="15" customHeight="1" x14ac:dyDescent="0.3">
      <c r="P691" s="3"/>
      <c r="V691" s="3"/>
      <c r="AB691" s="3"/>
      <c r="AH691" s="3"/>
      <c r="AN691" s="3"/>
    </row>
    <row r="692" spans="16:40" ht="15" customHeight="1" x14ac:dyDescent="0.3">
      <c r="P692" s="3"/>
      <c r="V692" s="3"/>
      <c r="AB692" s="3"/>
      <c r="AH692" s="3"/>
      <c r="AN692" s="3"/>
    </row>
    <row r="693" spans="16:40" ht="15" customHeight="1" x14ac:dyDescent="0.3">
      <c r="P693" s="3"/>
      <c r="V693" s="3"/>
      <c r="AB693" s="3"/>
      <c r="AH693" s="3"/>
      <c r="AN693" s="3"/>
    </row>
    <row r="694" spans="16:40" ht="15" customHeight="1" x14ac:dyDescent="0.3">
      <c r="P694" s="3"/>
      <c r="V694" s="3"/>
      <c r="AB694" s="3"/>
      <c r="AH694" s="3"/>
      <c r="AN694" s="3"/>
    </row>
    <row r="695" spans="16:40" ht="15" customHeight="1" x14ac:dyDescent="0.3">
      <c r="P695" s="3"/>
      <c r="V695" s="3"/>
      <c r="AB695" s="3"/>
      <c r="AH695" s="3"/>
      <c r="AN695" s="3"/>
    </row>
    <row r="696" spans="16:40" ht="15" customHeight="1" x14ac:dyDescent="0.3">
      <c r="P696" s="3"/>
      <c r="V696" s="3"/>
      <c r="AB696" s="3"/>
      <c r="AH696" s="3"/>
      <c r="AN696" s="3"/>
    </row>
    <row r="697" spans="16:40" ht="15" customHeight="1" x14ac:dyDescent="0.3">
      <c r="P697" s="3"/>
      <c r="V697" s="3"/>
      <c r="AB697" s="3"/>
      <c r="AH697" s="3"/>
      <c r="AN697" s="3"/>
    </row>
    <row r="698" spans="16:40" ht="15" customHeight="1" x14ac:dyDescent="0.3">
      <c r="P698" s="3"/>
      <c r="V698" s="3"/>
      <c r="AB698" s="3"/>
      <c r="AH698" s="3"/>
      <c r="AN698" s="3"/>
    </row>
    <row r="699" spans="16:40" ht="15" customHeight="1" x14ac:dyDescent="0.3">
      <c r="P699" s="3"/>
      <c r="V699" s="3"/>
      <c r="AB699" s="3"/>
      <c r="AH699" s="3"/>
      <c r="AN699" s="3"/>
    </row>
    <row r="700" spans="16:40" ht="15" customHeight="1" x14ac:dyDescent="0.3">
      <c r="P700" s="3"/>
      <c r="V700" s="3"/>
      <c r="AB700" s="3"/>
      <c r="AH700" s="3"/>
      <c r="AN700" s="3"/>
    </row>
    <row r="701" spans="16:40" ht="15" customHeight="1" x14ac:dyDescent="0.3">
      <c r="P701" s="3"/>
      <c r="V701" s="3"/>
      <c r="AB701" s="3"/>
      <c r="AH701" s="3"/>
      <c r="AN701" s="3"/>
    </row>
    <row r="702" spans="16:40" ht="15" customHeight="1" x14ac:dyDescent="0.3">
      <c r="P702" s="3"/>
      <c r="V702" s="3"/>
      <c r="AB702" s="3"/>
      <c r="AH702" s="3"/>
      <c r="AN702" s="3"/>
    </row>
    <row r="703" spans="16:40" ht="15" customHeight="1" x14ac:dyDescent="0.3">
      <c r="P703" s="3"/>
      <c r="V703" s="3"/>
      <c r="AB703" s="3"/>
      <c r="AH703" s="3"/>
      <c r="AN703" s="3"/>
    </row>
    <row r="704" spans="16:40" ht="15" customHeight="1" x14ac:dyDescent="0.3">
      <c r="P704" s="3"/>
      <c r="V704" s="3"/>
      <c r="AB704" s="3"/>
      <c r="AH704" s="3"/>
      <c r="AN704" s="3"/>
    </row>
    <row r="705" spans="16:40" ht="15" customHeight="1" x14ac:dyDescent="0.3">
      <c r="P705" s="3"/>
      <c r="V705" s="3"/>
      <c r="AB705" s="3"/>
      <c r="AH705" s="3"/>
      <c r="AN705" s="3"/>
    </row>
    <row r="706" spans="16:40" ht="15" customHeight="1" x14ac:dyDescent="0.3">
      <c r="P706" s="3"/>
      <c r="V706" s="3"/>
      <c r="AB706" s="3"/>
      <c r="AH706" s="3"/>
      <c r="AN706" s="3"/>
    </row>
    <row r="707" spans="16:40" ht="15" customHeight="1" x14ac:dyDescent="0.3">
      <c r="P707" s="3"/>
      <c r="V707" s="3"/>
      <c r="AB707" s="3"/>
      <c r="AH707" s="3"/>
      <c r="AN707" s="3"/>
    </row>
    <row r="708" spans="16:40" ht="15" customHeight="1" x14ac:dyDescent="0.3">
      <c r="P708" s="3"/>
      <c r="V708" s="3"/>
      <c r="AB708" s="3"/>
      <c r="AH708" s="3"/>
      <c r="AN708" s="3"/>
    </row>
    <row r="709" spans="16:40" ht="15" customHeight="1" x14ac:dyDescent="0.3">
      <c r="P709" s="3"/>
      <c r="V709" s="3"/>
      <c r="AB709" s="3"/>
      <c r="AH709" s="3"/>
      <c r="AN709" s="3"/>
    </row>
    <row r="710" spans="16:40" ht="15" customHeight="1" x14ac:dyDescent="0.3">
      <c r="P710" s="3"/>
      <c r="V710" s="3"/>
      <c r="AB710" s="3"/>
      <c r="AH710" s="3"/>
      <c r="AN710" s="3"/>
    </row>
    <row r="711" spans="16:40" ht="15" customHeight="1" x14ac:dyDescent="0.3">
      <c r="P711" s="3"/>
      <c r="V711" s="3"/>
      <c r="AB711" s="3"/>
      <c r="AH711" s="3"/>
      <c r="AN711" s="3"/>
    </row>
    <row r="712" spans="16:40" ht="15" customHeight="1" x14ac:dyDescent="0.3">
      <c r="P712" s="3"/>
      <c r="V712" s="3"/>
      <c r="AB712" s="3"/>
      <c r="AH712" s="3"/>
      <c r="AN712" s="3"/>
    </row>
    <row r="713" spans="16:40" ht="15" customHeight="1" x14ac:dyDescent="0.3">
      <c r="P713" s="3"/>
      <c r="V713" s="3"/>
      <c r="AB713" s="3"/>
      <c r="AH713" s="3"/>
      <c r="AN713" s="3"/>
    </row>
    <row r="714" spans="16:40" ht="15" customHeight="1" x14ac:dyDescent="0.3">
      <c r="P714" s="3"/>
      <c r="V714" s="3"/>
      <c r="AB714" s="3"/>
      <c r="AH714" s="3"/>
      <c r="AN714" s="3"/>
    </row>
    <row r="715" spans="16:40" ht="15" customHeight="1" x14ac:dyDescent="0.3">
      <c r="P715" s="3"/>
      <c r="V715" s="3"/>
      <c r="AB715" s="3"/>
      <c r="AH715" s="3"/>
      <c r="AN715" s="3"/>
    </row>
    <row r="716" spans="16:40" ht="15" customHeight="1" x14ac:dyDescent="0.3">
      <c r="P716" s="3"/>
      <c r="V716" s="3"/>
      <c r="AB716" s="3"/>
      <c r="AH716" s="3"/>
      <c r="AN716" s="3"/>
    </row>
    <row r="717" spans="16:40" ht="15" customHeight="1" x14ac:dyDescent="0.3">
      <c r="P717" s="3"/>
      <c r="V717" s="3"/>
      <c r="AB717" s="3"/>
      <c r="AH717" s="3"/>
      <c r="AN717" s="3"/>
    </row>
    <row r="718" spans="16:40" ht="15" customHeight="1" x14ac:dyDescent="0.3">
      <c r="P718" s="3"/>
      <c r="V718" s="3"/>
      <c r="AB718" s="3"/>
      <c r="AH718" s="3"/>
      <c r="AN718" s="3"/>
    </row>
    <row r="719" spans="16:40" ht="15" customHeight="1" x14ac:dyDescent="0.3">
      <c r="P719" s="3"/>
      <c r="V719" s="3"/>
      <c r="AB719" s="3"/>
      <c r="AH719" s="3"/>
      <c r="AN719" s="3"/>
    </row>
    <row r="720" spans="16:40" ht="15" customHeight="1" x14ac:dyDescent="0.3">
      <c r="P720" s="3"/>
      <c r="V720" s="3"/>
      <c r="AB720" s="3"/>
      <c r="AH720" s="3"/>
      <c r="AN720" s="3"/>
    </row>
    <row r="721" spans="16:40" ht="15" customHeight="1" x14ac:dyDescent="0.3">
      <c r="P721" s="3"/>
      <c r="V721" s="3"/>
      <c r="AB721" s="3"/>
      <c r="AH721" s="3"/>
      <c r="AN721" s="3"/>
    </row>
    <row r="722" spans="16:40" ht="15" customHeight="1" x14ac:dyDescent="0.3">
      <c r="P722" s="3"/>
      <c r="V722" s="3"/>
      <c r="AB722" s="3"/>
      <c r="AH722" s="3"/>
      <c r="AN722" s="3"/>
    </row>
    <row r="723" spans="16:40" ht="15" customHeight="1" x14ac:dyDescent="0.3">
      <c r="P723" s="3"/>
      <c r="V723" s="3"/>
      <c r="AB723" s="3"/>
      <c r="AH723" s="3"/>
      <c r="AN723" s="3"/>
    </row>
    <row r="724" spans="16:40" ht="15" customHeight="1" x14ac:dyDescent="0.3">
      <c r="P724" s="3"/>
      <c r="V724" s="3"/>
      <c r="AB724" s="3"/>
      <c r="AH724" s="3"/>
      <c r="AN724" s="3"/>
    </row>
    <row r="725" spans="16:40" ht="15" customHeight="1" x14ac:dyDescent="0.3">
      <c r="P725" s="3"/>
      <c r="V725" s="3"/>
      <c r="AB725" s="3"/>
      <c r="AH725" s="3"/>
      <c r="AN725" s="3"/>
    </row>
    <row r="726" spans="16:40" ht="15" customHeight="1" x14ac:dyDescent="0.3">
      <c r="P726" s="3"/>
      <c r="V726" s="3"/>
      <c r="AB726" s="3"/>
      <c r="AH726" s="3"/>
      <c r="AN726" s="3"/>
    </row>
    <row r="727" spans="16:40" ht="15" customHeight="1" x14ac:dyDescent="0.3">
      <c r="P727" s="3"/>
      <c r="V727" s="3"/>
      <c r="AB727" s="3"/>
      <c r="AH727" s="3"/>
      <c r="AN727" s="3"/>
    </row>
    <row r="728" spans="16:40" ht="15" customHeight="1" x14ac:dyDescent="0.3">
      <c r="P728" s="3"/>
      <c r="V728" s="3"/>
      <c r="AB728" s="3"/>
      <c r="AH728" s="3"/>
      <c r="AN728" s="3"/>
    </row>
    <row r="729" spans="16:40" ht="15" customHeight="1" x14ac:dyDescent="0.3">
      <c r="P729" s="3"/>
      <c r="V729" s="3"/>
      <c r="AB729" s="3"/>
      <c r="AH729" s="3"/>
      <c r="AN729" s="3"/>
    </row>
    <row r="730" spans="16:40" ht="15" customHeight="1" x14ac:dyDescent="0.3">
      <c r="P730" s="3"/>
      <c r="V730" s="3"/>
      <c r="AB730" s="3"/>
      <c r="AH730" s="3"/>
      <c r="AN730" s="3"/>
    </row>
    <row r="731" spans="16:40" ht="15" customHeight="1" x14ac:dyDescent="0.3">
      <c r="P731" s="3"/>
      <c r="V731" s="3"/>
      <c r="AB731" s="3"/>
      <c r="AH731" s="3"/>
      <c r="AN731" s="3"/>
    </row>
    <row r="732" spans="16:40" ht="15" customHeight="1" x14ac:dyDescent="0.3">
      <c r="P732" s="3"/>
      <c r="V732" s="3"/>
      <c r="AB732" s="3"/>
      <c r="AH732" s="3"/>
      <c r="AN732" s="3"/>
    </row>
    <row r="733" spans="16:40" ht="15" customHeight="1" x14ac:dyDescent="0.3">
      <c r="P733" s="3"/>
      <c r="V733" s="3"/>
      <c r="AB733" s="3"/>
      <c r="AH733" s="3"/>
      <c r="AN733" s="3"/>
    </row>
    <row r="734" spans="16:40" ht="15" customHeight="1" x14ac:dyDescent="0.3">
      <c r="P734" s="3"/>
      <c r="V734" s="3"/>
      <c r="AB734" s="3"/>
      <c r="AH734" s="3"/>
      <c r="AN734" s="3"/>
    </row>
    <row r="735" spans="16:40" ht="15" customHeight="1" x14ac:dyDescent="0.3">
      <c r="P735" s="3"/>
      <c r="V735" s="3"/>
      <c r="AB735" s="3"/>
      <c r="AH735" s="3"/>
      <c r="AN735" s="3"/>
    </row>
    <row r="736" spans="16:40" ht="15" customHeight="1" x14ac:dyDescent="0.3">
      <c r="P736" s="3"/>
      <c r="V736" s="3"/>
      <c r="AB736" s="3"/>
      <c r="AH736" s="3"/>
      <c r="AN736" s="3"/>
    </row>
    <row r="737" spans="16:40" ht="15" customHeight="1" x14ac:dyDescent="0.3">
      <c r="P737" s="3"/>
      <c r="V737" s="3"/>
      <c r="AB737" s="3"/>
      <c r="AH737" s="3"/>
      <c r="AN737" s="3"/>
    </row>
    <row r="738" spans="16:40" ht="15" customHeight="1" x14ac:dyDescent="0.3">
      <c r="P738" s="3"/>
      <c r="V738" s="3"/>
      <c r="AB738" s="3"/>
      <c r="AH738" s="3"/>
      <c r="AN738" s="3"/>
    </row>
    <row r="739" spans="16:40" ht="15" customHeight="1" x14ac:dyDescent="0.3">
      <c r="P739" s="3"/>
      <c r="V739" s="3"/>
      <c r="AB739" s="3"/>
      <c r="AH739" s="3"/>
      <c r="AN739" s="3"/>
    </row>
    <row r="740" spans="16:40" ht="15" customHeight="1" x14ac:dyDescent="0.3">
      <c r="P740" s="3"/>
      <c r="V740" s="3"/>
      <c r="AB740" s="3"/>
      <c r="AH740" s="3"/>
      <c r="AN740" s="3"/>
    </row>
    <row r="741" spans="16:40" ht="15" customHeight="1" x14ac:dyDescent="0.3">
      <c r="P741" s="3"/>
      <c r="V741" s="3"/>
      <c r="AB741" s="3"/>
      <c r="AH741" s="3"/>
      <c r="AN741" s="3"/>
    </row>
    <row r="742" spans="16:40" ht="15" customHeight="1" x14ac:dyDescent="0.3">
      <c r="P742" s="3"/>
      <c r="V742" s="3"/>
      <c r="AB742" s="3"/>
      <c r="AH742" s="3"/>
      <c r="AN742" s="3"/>
    </row>
    <row r="743" spans="16:40" ht="15" customHeight="1" x14ac:dyDescent="0.3">
      <c r="P743" s="3"/>
      <c r="V743" s="3"/>
      <c r="AB743" s="3"/>
      <c r="AH743" s="3"/>
      <c r="AN743" s="3"/>
    </row>
    <row r="744" spans="16:40" ht="15" customHeight="1" x14ac:dyDescent="0.3">
      <c r="P744" s="3"/>
      <c r="V744" s="3"/>
      <c r="AB744" s="3"/>
      <c r="AH744" s="3"/>
      <c r="AN744" s="3"/>
    </row>
    <row r="745" spans="16:40" ht="15" customHeight="1" x14ac:dyDescent="0.3">
      <c r="P745" s="3"/>
      <c r="V745" s="3"/>
      <c r="AB745" s="3"/>
      <c r="AH745" s="3"/>
      <c r="AN745" s="3"/>
    </row>
    <row r="746" spans="16:40" ht="15" customHeight="1" x14ac:dyDescent="0.3">
      <c r="P746" s="3"/>
      <c r="V746" s="3"/>
      <c r="AB746" s="3"/>
      <c r="AH746" s="3"/>
      <c r="AN746" s="3"/>
    </row>
    <row r="747" spans="16:40" ht="15" customHeight="1" x14ac:dyDescent="0.3">
      <c r="P747" s="3"/>
      <c r="V747" s="3"/>
      <c r="AB747" s="3"/>
      <c r="AH747" s="3"/>
      <c r="AN747" s="3"/>
    </row>
    <row r="748" spans="16:40" ht="15" customHeight="1" x14ac:dyDescent="0.3">
      <c r="P748" s="3"/>
      <c r="V748" s="3"/>
      <c r="AB748" s="3"/>
      <c r="AH748" s="3"/>
      <c r="AN748" s="3"/>
    </row>
    <row r="749" spans="16:40" ht="15" customHeight="1" x14ac:dyDescent="0.3">
      <c r="P749" s="3"/>
      <c r="V749" s="3"/>
      <c r="AB749" s="3"/>
      <c r="AH749" s="3"/>
      <c r="AN749" s="3"/>
    </row>
    <row r="750" spans="16:40" ht="15" customHeight="1" x14ac:dyDescent="0.3">
      <c r="P750" s="3"/>
      <c r="V750" s="3"/>
      <c r="AB750" s="3"/>
      <c r="AH750" s="3"/>
      <c r="AN750" s="3"/>
    </row>
    <row r="751" spans="16:40" ht="15" customHeight="1" x14ac:dyDescent="0.3">
      <c r="P751" s="3"/>
      <c r="V751" s="3"/>
      <c r="AB751" s="3"/>
      <c r="AH751" s="3"/>
      <c r="AN751" s="3"/>
    </row>
    <row r="752" spans="16:40" ht="15" customHeight="1" x14ac:dyDescent="0.3">
      <c r="P752" s="3"/>
      <c r="V752" s="3"/>
      <c r="AB752" s="3"/>
      <c r="AH752" s="3"/>
      <c r="AN752" s="3"/>
    </row>
    <row r="753" spans="16:40" ht="15" customHeight="1" x14ac:dyDescent="0.3">
      <c r="P753" s="3"/>
      <c r="V753" s="3"/>
      <c r="AB753" s="3"/>
      <c r="AH753" s="3"/>
      <c r="AN753" s="3"/>
    </row>
    <row r="754" spans="16:40" ht="15" customHeight="1" x14ac:dyDescent="0.3">
      <c r="P754" s="3"/>
      <c r="V754" s="3"/>
      <c r="AB754" s="3"/>
      <c r="AH754" s="3"/>
      <c r="AN754" s="3"/>
    </row>
    <row r="755" spans="16:40" ht="15" customHeight="1" x14ac:dyDescent="0.3">
      <c r="P755" s="3"/>
      <c r="V755" s="3"/>
      <c r="AB755" s="3"/>
      <c r="AH755" s="3"/>
      <c r="AN755" s="3"/>
    </row>
    <row r="756" spans="16:40" ht="15" customHeight="1" x14ac:dyDescent="0.3">
      <c r="P756" s="3"/>
      <c r="V756" s="3"/>
      <c r="AB756" s="3"/>
      <c r="AH756" s="3"/>
      <c r="AN756" s="3"/>
    </row>
    <row r="757" spans="16:40" ht="15" customHeight="1" x14ac:dyDescent="0.3">
      <c r="P757" s="3"/>
      <c r="V757" s="3"/>
      <c r="AB757" s="3"/>
      <c r="AH757" s="3"/>
      <c r="AN757" s="3"/>
    </row>
    <row r="758" spans="16:40" ht="15" customHeight="1" x14ac:dyDescent="0.3">
      <c r="P758" s="3"/>
      <c r="V758" s="3"/>
      <c r="AB758" s="3"/>
      <c r="AH758" s="3"/>
      <c r="AN758" s="3"/>
    </row>
    <row r="759" spans="16:40" ht="15" customHeight="1" x14ac:dyDescent="0.3">
      <c r="P759" s="3"/>
      <c r="V759" s="3"/>
      <c r="AB759" s="3"/>
      <c r="AH759" s="3"/>
      <c r="AN759" s="3"/>
    </row>
    <row r="760" spans="16:40" ht="15" customHeight="1" x14ac:dyDescent="0.3">
      <c r="P760" s="3"/>
      <c r="V760" s="3"/>
      <c r="AB760" s="3"/>
      <c r="AH760" s="3"/>
      <c r="AN760" s="3"/>
    </row>
    <row r="761" spans="16:40" ht="15" customHeight="1" x14ac:dyDescent="0.3">
      <c r="P761" s="3"/>
      <c r="V761" s="3"/>
      <c r="AB761" s="3"/>
      <c r="AH761" s="3"/>
      <c r="AN761" s="3"/>
    </row>
    <row r="762" spans="16:40" ht="15" customHeight="1" x14ac:dyDescent="0.3">
      <c r="P762" s="3"/>
      <c r="V762" s="3"/>
      <c r="AB762" s="3"/>
      <c r="AH762" s="3"/>
      <c r="AN762" s="3"/>
    </row>
    <row r="763" spans="16:40" ht="15" customHeight="1" x14ac:dyDescent="0.3">
      <c r="P763" s="3"/>
      <c r="V763" s="3"/>
      <c r="AB763" s="3"/>
      <c r="AH763" s="3"/>
      <c r="AN763" s="3"/>
    </row>
    <row r="764" spans="16:40" ht="15" customHeight="1" x14ac:dyDescent="0.3">
      <c r="P764" s="3"/>
      <c r="V764" s="3"/>
      <c r="AB764" s="3"/>
      <c r="AH764" s="3"/>
      <c r="AN764" s="3"/>
    </row>
    <row r="765" spans="16:40" ht="15" customHeight="1" x14ac:dyDescent="0.3">
      <c r="P765" s="3"/>
      <c r="V765" s="3"/>
      <c r="AB765" s="3"/>
      <c r="AH765" s="3"/>
      <c r="AN765" s="3"/>
    </row>
    <row r="766" spans="16:40" ht="15" customHeight="1" x14ac:dyDescent="0.3">
      <c r="P766" s="3"/>
      <c r="V766" s="3"/>
      <c r="AB766" s="3"/>
      <c r="AH766" s="3"/>
      <c r="AN766" s="3"/>
    </row>
    <row r="767" spans="16:40" ht="15" customHeight="1" x14ac:dyDescent="0.3">
      <c r="P767" s="3"/>
      <c r="V767" s="3"/>
      <c r="AB767" s="3"/>
      <c r="AH767" s="3"/>
      <c r="AN767" s="3"/>
    </row>
    <row r="768" spans="16:40" ht="15" customHeight="1" x14ac:dyDescent="0.3">
      <c r="P768" s="3"/>
      <c r="V768" s="3"/>
      <c r="AB768" s="3"/>
      <c r="AH768" s="3"/>
      <c r="AN768" s="3"/>
    </row>
    <row r="769" spans="16:40" ht="15" customHeight="1" x14ac:dyDescent="0.3">
      <c r="P769" s="3"/>
      <c r="V769" s="3"/>
      <c r="AB769" s="3"/>
      <c r="AH769" s="3"/>
      <c r="AN769" s="3"/>
    </row>
    <row r="770" spans="16:40" ht="15" customHeight="1" x14ac:dyDescent="0.3">
      <c r="P770" s="3"/>
      <c r="V770" s="3"/>
      <c r="AB770" s="3"/>
      <c r="AH770" s="3"/>
      <c r="AN770" s="3"/>
    </row>
    <row r="771" spans="16:40" ht="15" customHeight="1" x14ac:dyDescent="0.3">
      <c r="P771" s="3"/>
      <c r="V771" s="3"/>
      <c r="AB771" s="3"/>
      <c r="AH771" s="3"/>
      <c r="AN771" s="3"/>
    </row>
    <row r="772" spans="16:40" ht="15" customHeight="1" x14ac:dyDescent="0.3">
      <c r="P772" s="3"/>
      <c r="V772" s="3"/>
      <c r="AB772" s="3"/>
      <c r="AH772" s="3"/>
      <c r="AN772" s="3"/>
    </row>
    <row r="773" spans="16:40" ht="15" customHeight="1" x14ac:dyDescent="0.3">
      <c r="P773" s="3"/>
      <c r="V773" s="3"/>
      <c r="AB773" s="3"/>
      <c r="AH773" s="3"/>
      <c r="AN773" s="3"/>
    </row>
    <row r="774" spans="16:40" ht="15" customHeight="1" x14ac:dyDescent="0.3">
      <c r="P774" s="3"/>
      <c r="V774" s="3"/>
      <c r="AB774" s="3"/>
      <c r="AH774" s="3"/>
      <c r="AN774" s="3"/>
    </row>
    <row r="775" spans="16:40" ht="15" customHeight="1" x14ac:dyDescent="0.3">
      <c r="P775" s="3"/>
      <c r="V775" s="3"/>
      <c r="AB775" s="3"/>
      <c r="AH775" s="3"/>
      <c r="AN775" s="3"/>
    </row>
    <row r="776" spans="16:40" ht="15" customHeight="1" x14ac:dyDescent="0.3">
      <c r="P776" s="3"/>
      <c r="V776" s="3"/>
      <c r="AB776" s="3"/>
      <c r="AH776" s="3"/>
      <c r="AN776" s="3"/>
    </row>
    <row r="777" spans="16:40" ht="15" customHeight="1" x14ac:dyDescent="0.3">
      <c r="P777" s="3"/>
      <c r="V777" s="3"/>
      <c r="AB777" s="3"/>
      <c r="AH777" s="3"/>
      <c r="AN777" s="3"/>
    </row>
    <row r="778" spans="16:40" ht="15" customHeight="1" x14ac:dyDescent="0.3">
      <c r="P778" s="3"/>
      <c r="V778" s="3"/>
      <c r="AB778" s="3"/>
      <c r="AH778" s="3"/>
      <c r="AN778" s="3"/>
    </row>
    <row r="779" spans="16:40" ht="15" customHeight="1" x14ac:dyDescent="0.3">
      <c r="P779" s="3"/>
      <c r="V779" s="3"/>
      <c r="AB779" s="3"/>
      <c r="AH779" s="3"/>
      <c r="AN779" s="3"/>
    </row>
    <row r="780" spans="16:40" ht="15" customHeight="1" x14ac:dyDescent="0.3">
      <c r="P780" s="3"/>
      <c r="V780" s="3"/>
      <c r="AB780" s="3"/>
      <c r="AH780" s="3"/>
      <c r="AN780" s="3"/>
    </row>
    <row r="781" spans="16:40" ht="15" customHeight="1" x14ac:dyDescent="0.3">
      <c r="P781" s="3"/>
      <c r="V781" s="3"/>
      <c r="AB781" s="3"/>
      <c r="AH781" s="3"/>
      <c r="AN781" s="3"/>
    </row>
    <row r="782" spans="16:40" ht="15" customHeight="1" x14ac:dyDescent="0.3">
      <c r="P782" s="3"/>
      <c r="V782" s="3"/>
      <c r="AB782" s="3"/>
      <c r="AH782" s="3"/>
      <c r="AN782" s="3"/>
    </row>
    <row r="783" spans="16:40" ht="15" customHeight="1" x14ac:dyDescent="0.3">
      <c r="P783" s="3"/>
      <c r="V783" s="3"/>
      <c r="AB783" s="3"/>
      <c r="AH783" s="3"/>
      <c r="AN783" s="3"/>
    </row>
    <row r="784" spans="16:40" ht="15" customHeight="1" x14ac:dyDescent="0.3">
      <c r="P784" s="3"/>
      <c r="V784" s="3"/>
      <c r="AB784" s="3"/>
      <c r="AH784" s="3"/>
      <c r="AN784" s="3"/>
    </row>
    <row r="785" spans="16:40" ht="15" customHeight="1" x14ac:dyDescent="0.3">
      <c r="P785" s="3"/>
      <c r="V785" s="3"/>
      <c r="AB785" s="3"/>
      <c r="AH785" s="3"/>
      <c r="AN785" s="3"/>
    </row>
    <row r="786" spans="16:40" ht="15" customHeight="1" x14ac:dyDescent="0.3">
      <c r="P786" s="3"/>
      <c r="V786" s="3"/>
      <c r="AB786" s="3"/>
      <c r="AH786" s="3"/>
      <c r="AN786" s="3"/>
    </row>
    <row r="787" spans="16:40" ht="15" customHeight="1" x14ac:dyDescent="0.3">
      <c r="P787" s="3"/>
      <c r="V787" s="3"/>
      <c r="AB787" s="3"/>
      <c r="AH787" s="3"/>
      <c r="AN787" s="3"/>
    </row>
    <row r="788" spans="16:40" ht="15" customHeight="1" x14ac:dyDescent="0.3">
      <c r="P788" s="3"/>
      <c r="V788" s="3"/>
      <c r="AB788" s="3"/>
      <c r="AH788" s="3"/>
      <c r="AN788" s="3"/>
    </row>
    <row r="789" spans="16:40" ht="15" customHeight="1" x14ac:dyDescent="0.3">
      <c r="P789" s="3"/>
      <c r="V789" s="3"/>
      <c r="AB789" s="3"/>
      <c r="AH789" s="3"/>
      <c r="AN789" s="3"/>
    </row>
    <row r="790" spans="16:40" ht="15" customHeight="1" x14ac:dyDescent="0.3">
      <c r="P790" s="3"/>
      <c r="V790" s="3"/>
      <c r="AB790" s="3"/>
      <c r="AH790" s="3"/>
      <c r="AN790" s="3"/>
    </row>
    <row r="791" spans="16:40" ht="15" customHeight="1" x14ac:dyDescent="0.3">
      <c r="P791" s="3"/>
      <c r="V791" s="3"/>
      <c r="AB791" s="3"/>
      <c r="AH791" s="3"/>
      <c r="AN791" s="3"/>
    </row>
    <row r="792" spans="16:40" ht="15" customHeight="1" x14ac:dyDescent="0.3">
      <c r="P792" s="3"/>
      <c r="V792" s="3"/>
      <c r="AB792" s="3"/>
      <c r="AH792" s="3"/>
      <c r="AN792" s="3"/>
    </row>
    <row r="793" spans="16:40" ht="15" customHeight="1" x14ac:dyDescent="0.3">
      <c r="P793" s="3"/>
      <c r="V793" s="3"/>
      <c r="AB793" s="3"/>
      <c r="AH793" s="3"/>
      <c r="AN793" s="3"/>
    </row>
    <row r="794" spans="16:40" ht="15" customHeight="1" x14ac:dyDescent="0.3">
      <c r="P794" s="3"/>
      <c r="V794" s="3"/>
      <c r="AB794" s="3"/>
      <c r="AH794" s="3"/>
      <c r="AN794" s="3"/>
    </row>
    <row r="795" spans="16:40" ht="15" customHeight="1" x14ac:dyDescent="0.3">
      <c r="P795" s="3"/>
      <c r="V795" s="3"/>
      <c r="AB795" s="3"/>
      <c r="AH795" s="3"/>
      <c r="AN795" s="3"/>
    </row>
    <row r="796" spans="16:40" ht="15" customHeight="1" x14ac:dyDescent="0.3">
      <c r="P796" s="3"/>
      <c r="V796" s="3"/>
      <c r="AB796" s="3"/>
      <c r="AH796" s="3"/>
      <c r="AN796" s="3"/>
    </row>
    <row r="797" spans="16:40" ht="15" customHeight="1" x14ac:dyDescent="0.3">
      <c r="P797" s="3"/>
      <c r="V797" s="3"/>
      <c r="AB797" s="3"/>
      <c r="AH797" s="3"/>
      <c r="AN797" s="3"/>
    </row>
    <row r="798" spans="16:40" ht="15" customHeight="1" x14ac:dyDescent="0.3">
      <c r="P798" s="3"/>
      <c r="V798" s="3"/>
      <c r="AB798" s="3"/>
      <c r="AH798" s="3"/>
      <c r="AN798" s="3"/>
    </row>
    <row r="799" spans="16:40" ht="15" customHeight="1" x14ac:dyDescent="0.3">
      <c r="P799" s="3"/>
      <c r="V799" s="3"/>
      <c r="AB799" s="3"/>
      <c r="AH799" s="3"/>
      <c r="AN799" s="3"/>
    </row>
    <row r="800" spans="16:40" ht="15" customHeight="1" x14ac:dyDescent="0.3">
      <c r="P800" s="3"/>
      <c r="V800" s="3"/>
      <c r="AB800" s="3"/>
      <c r="AH800" s="3"/>
      <c r="AN800" s="3"/>
    </row>
    <row r="801" spans="16:40" ht="15" customHeight="1" x14ac:dyDescent="0.3">
      <c r="P801" s="3"/>
      <c r="V801" s="3"/>
      <c r="AB801" s="3"/>
      <c r="AH801" s="3"/>
      <c r="AN801" s="3"/>
    </row>
    <row r="802" spans="16:40" ht="15" customHeight="1" x14ac:dyDescent="0.3">
      <c r="P802" s="3"/>
      <c r="V802" s="3"/>
      <c r="AB802" s="3"/>
      <c r="AH802" s="3"/>
      <c r="AN802" s="3"/>
    </row>
    <row r="803" spans="16:40" ht="15" customHeight="1" x14ac:dyDescent="0.3">
      <c r="P803" s="3"/>
      <c r="V803" s="3"/>
      <c r="AB803" s="3"/>
      <c r="AH803" s="3"/>
      <c r="AN803" s="3"/>
    </row>
    <row r="804" spans="16:40" ht="15" customHeight="1" x14ac:dyDescent="0.3">
      <c r="P804" s="3"/>
      <c r="V804" s="3"/>
      <c r="AB804" s="3"/>
      <c r="AH804" s="3"/>
      <c r="AN804" s="3"/>
    </row>
    <row r="805" spans="16:40" ht="15" customHeight="1" x14ac:dyDescent="0.3">
      <c r="P805" s="3"/>
      <c r="V805" s="3"/>
      <c r="AB805" s="3"/>
      <c r="AH805" s="3"/>
      <c r="AN805" s="3"/>
    </row>
    <row r="806" spans="16:40" ht="15" customHeight="1" x14ac:dyDescent="0.3">
      <c r="P806" s="3"/>
      <c r="V806" s="3"/>
      <c r="AB806" s="3"/>
      <c r="AH806" s="3"/>
      <c r="AN806" s="3"/>
    </row>
    <row r="807" spans="16:40" ht="15" customHeight="1" x14ac:dyDescent="0.3">
      <c r="P807" s="3"/>
      <c r="V807" s="3"/>
      <c r="AB807" s="3"/>
      <c r="AH807" s="3"/>
      <c r="AN807" s="3"/>
    </row>
    <row r="808" spans="16:40" ht="15" customHeight="1" x14ac:dyDescent="0.3">
      <c r="P808" s="3"/>
      <c r="V808" s="3"/>
      <c r="AB808" s="3"/>
      <c r="AH808" s="3"/>
      <c r="AN808" s="3"/>
    </row>
    <row r="809" spans="16:40" ht="15" customHeight="1" x14ac:dyDescent="0.3">
      <c r="P809" s="3"/>
      <c r="V809" s="3"/>
      <c r="AB809" s="3"/>
      <c r="AH809" s="3"/>
      <c r="AN809" s="3"/>
    </row>
    <row r="810" spans="16:40" ht="15" customHeight="1" x14ac:dyDescent="0.3">
      <c r="P810" s="3"/>
      <c r="V810" s="3"/>
      <c r="AB810" s="3"/>
      <c r="AH810" s="3"/>
      <c r="AN810" s="3"/>
    </row>
    <row r="811" spans="16:40" ht="15" customHeight="1" x14ac:dyDescent="0.3">
      <c r="P811" s="3"/>
      <c r="V811" s="3"/>
      <c r="AB811" s="3"/>
      <c r="AH811" s="3"/>
      <c r="AN811" s="3"/>
    </row>
    <row r="812" spans="16:40" ht="15" customHeight="1" x14ac:dyDescent="0.3">
      <c r="P812" s="3"/>
      <c r="V812" s="3"/>
      <c r="AB812" s="3"/>
      <c r="AH812" s="3"/>
      <c r="AN812" s="3"/>
    </row>
    <row r="813" spans="16:40" ht="15" customHeight="1" x14ac:dyDescent="0.3">
      <c r="P813" s="3"/>
      <c r="V813" s="3"/>
      <c r="AB813" s="3"/>
      <c r="AH813" s="3"/>
      <c r="AN813" s="3"/>
    </row>
    <row r="814" spans="16:40" ht="15" customHeight="1" x14ac:dyDescent="0.3">
      <c r="P814" s="3"/>
      <c r="V814" s="3"/>
      <c r="AB814" s="3"/>
      <c r="AH814" s="3"/>
      <c r="AN814" s="3"/>
    </row>
    <row r="815" spans="16:40" ht="15" customHeight="1" x14ac:dyDescent="0.3">
      <c r="P815" s="3"/>
      <c r="V815" s="3"/>
      <c r="AB815" s="3"/>
      <c r="AH815" s="3"/>
      <c r="AN815" s="3"/>
    </row>
    <row r="816" spans="16:40" ht="15" customHeight="1" x14ac:dyDescent="0.3">
      <c r="P816" s="3"/>
      <c r="V816" s="3"/>
      <c r="AB816" s="3"/>
      <c r="AH816" s="3"/>
      <c r="AN816" s="3"/>
    </row>
    <row r="817" spans="16:40" ht="15" customHeight="1" x14ac:dyDescent="0.3">
      <c r="P817" s="3"/>
      <c r="V817" s="3"/>
      <c r="AB817" s="3"/>
      <c r="AH817" s="3"/>
      <c r="AN817" s="3"/>
    </row>
    <row r="818" spans="16:40" ht="15" customHeight="1" x14ac:dyDescent="0.3">
      <c r="P818" s="3"/>
      <c r="V818" s="3"/>
      <c r="AB818" s="3"/>
      <c r="AH818" s="3"/>
      <c r="AN818" s="3"/>
    </row>
    <row r="819" spans="16:40" ht="15" customHeight="1" x14ac:dyDescent="0.3">
      <c r="P819" s="3"/>
      <c r="V819" s="3"/>
      <c r="AB819" s="3"/>
      <c r="AH819" s="3"/>
      <c r="AN819" s="3"/>
    </row>
    <row r="820" spans="16:40" ht="15" customHeight="1" x14ac:dyDescent="0.3">
      <c r="P820" s="3"/>
      <c r="V820" s="3"/>
      <c r="AB820" s="3"/>
      <c r="AH820" s="3"/>
      <c r="AN820" s="3"/>
    </row>
    <row r="821" spans="16:40" ht="15" customHeight="1" x14ac:dyDescent="0.3">
      <c r="P821" s="3"/>
      <c r="V821" s="3"/>
      <c r="AB821" s="3"/>
      <c r="AH821" s="3"/>
      <c r="AN821" s="3"/>
    </row>
    <row r="822" spans="16:40" ht="15" customHeight="1" x14ac:dyDescent="0.3">
      <c r="P822" s="3"/>
      <c r="V822" s="3"/>
      <c r="AB822" s="3"/>
      <c r="AH822" s="3"/>
      <c r="AN822" s="3"/>
    </row>
    <row r="823" spans="16:40" ht="15" customHeight="1" x14ac:dyDescent="0.3">
      <c r="P823" s="3"/>
      <c r="V823" s="3"/>
      <c r="AB823" s="3"/>
      <c r="AH823" s="3"/>
      <c r="AN823" s="3"/>
    </row>
    <row r="824" spans="16:40" ht="15" customHeight="1" x14ac:dyDescent="0.3">
      <c r="P824" s="3"/>
      <c r="V824" s="3"/>
      <c r="AB824" s="3"/>
      <c r="AH824" s="3"/>
      <c r="AN824" s="3"/>
    </row>
    <row r="825" spans="16:40" ht="15" customHeight="1" x14ac:dyDescent="0.3">
      <c r="P825" s="3"/>
      <c r="V825" s="3"/>
      <c r="AB825" s="3"/>
      <c r="AH825" s="3"/>
      <c r="AN825" s="3"/>
    </row>
    <row r="826" spans="16:40" ht="15" customHeight="1" x14ac:dyDescent="0.3">
      <c r="P826" s="3"/>
      <c r="V826" s="3"/>
      <c r="AB826" s="3"/>
      <c r="AH826" s="3"/>
      <c r="AN826" s="3"/>
    </row>
    <row r="827" spans="16:40" ht="15" customHeight="1" x14ac:dyDescent="0.3">
      <c r="P827" s="3"/>
      <c r="V827" s="3"/>
      <c r="AB827" s="3"/>
      <c r="AH827" s="3"/>
      <c r="AN827" s="3"/>
    </row>
    <row r="828" spans="16:40" ht="15" customHeight="1" x14ac:dyDescent="0.3">
      <c r="P828" s="3"/>
      <c r="V828" s="3"/>
      <c r="AB828" s="3"/>
      <c r="AH828" s="3"/>
      <c r="AN828" s="3"/>
    </row>
    <row r="829" spans="16:40" ht="15" customHeight="1" x14ac:dyDescent="0.3">
      <c r="P829" s="3"/>
      <c r="V829" s="3"/>
      <c r="AB829" s="3"/>
      <c r="AH829" s="3"/>
      <c r="AN829" s="3"/>
    </row>
    <row r="830" spans="16:40" ht="15" customHeight="1" x14ac:dyDescent="0.3">
      <c r="P830" s="3"/>
      <c r="V830" s="3"/>
      <c r="AB830" s="3"/>
      <c r="AH830" s="3"/>
      <c r="AN830" s="3"/>
    </row>
    <row r="831" spans="16:40" ht="15" customHeight="1" x14ac:dyDescent="0.3">
      <c r="P831" s="3"/>
      <c r="V831" s="3"/>
      <c r="AB831" s="3"/>
      <c r="AH831" s="3"/>
      <c r="AN831" s="3"/>
    </row>
    <row r="832" spans="16:40" ht="15" customHeight="1" x14ac:dyDescent="0.3">
      <c r="P832" s="3"/>
      <c r="V832" s="3"/>
      <c r="AB832" s="3"/>
      <c r="AH832" s="3"/>
      <c r="AN832" s="3"/>
    </row>
    <row r="833" spans="16:40" ht="15" customHeight="1" x14ac:dyDescent="0.3">
      <c r="P833" s="3"/>
      <c r="V833" s="3"/>
      <c r="AB833" s="3"/>
      <c r="AH833" s="3"/>
      <c r="AN833" s="3"/>
    </row>
    <row r="834" spans="16:40" ht="15" customHeight="1" x14ac:dyDescent="0.3">
      <c r="P834" s="3"/>
      <c r="V834" s="3"/>
      <c r="AB834" s="3"/>
      <c r="AH834" s="3"/>
      <c r="AN834" s="3"/>
    </row>
    <row r="835" spans="16:40" ht="15" customHeight="1" x14ac:dyDescent="0.3">
      <c r="P835" s="3"/>
      <c r="V835" s="3"/>
      <c r="AB835" s="3"/>
      <c r="AH835" s="3"/>
      <c r="AN835" s="3"/>
    </row>
    <row r="836" spans="16:40" ht="15" customHeight="1" x14ac:dyDescent="0.3">
      <c r="P836" s="3"/>
      <c r="V836" s="3"/>
      <c r="AB836" s="3"/>
      <c r="AH836" s="3"/>
      <c r="AN836" s="3"/>
    </row>
    <row r="837" spans="16:40" ht="15" customHeight="1" x14ac:dyDescent="0.3">
      <c r="P837" s="3"/>
      <c r="V837" s="3"/>
      <c r="AB837" s="3"/>
      <c r="AH837" s="3"/>
      <c r="AN837" s="3"/>
    </row>
    <row r="838" spans="16:40" ht="15" customHeight="1" x14ac:dyDescent="0.3">
      <c r="P838" s="3"/>
      <c r="V838" s="3"/>
      <c r="AB838" s="3"/>
      <c r="AH838" s="3"/>
      <c r="AN838" s="3"/>
    </row>
    <row r="839" spans="16:40" ht="15" customHeight="1" x14ac:dyDescent="0.3">
      <c r="P839" s="3"/>
      <c r="V839" s="3"/>
      <c r="AB839" s="3"/>
      <c r="AH839" s="3"/>
      <c r="AN839" s="3"/>
    </row>
    <row r="840" spans="16:40" ht="15" customHeight="1" x14ac:dyDescent="0.3">
      <c r="P840" s="3"/>
      <c r="V840" s="3"/>
      <c r="AB840" s="3"/>
      <c r="AH840" s="3"/>
      <c r="AN840" s="3"/>
    </row>
    <row r="841" spans="16:40" ht="15" customHeight="1" x14ac:dyDescent="0.3">
      <c r="P841" s="3"/>
      <c r="V841" s="3"/>
      <c r="AB841" s="3"/>
      <c r="AH841" s="3"/>
      <c r="AN841" s="3"/>
    </row>
    <row r="842" spans="16:40" ht="15" customHeight="1" x14ac:dyDescent="0.3">
      <c r="P842" s="3"/>
      <c r="V842" s="3"/>
      <c r="AB842" s="3"/>
      <c r="AH842" s="3"/>
      <c r="AN842" s="3"/>
    </row>
    <row r="843" spans="16:40" ht="15" customHeight="1" x14ac:dyDescent="0.3">
      <c r="P843" s="3"/>
      <c r="V843" s="3"/>
      <c r="AB843" s="3"/>
      <c r="AH843" s="3"/>
      <c r="AN843" s="3"/>
    </row>
    <row r="844" spans="16:40" ht="15" customHeight="1" x14ac:dyDescent="0.3">
      <c r="P844" s="3"/>
      <c r="V844" s="3"/>
      <c r="AB844" s="3"/>
      <c r="AH844" s="3"/>
      <c r="AN844" s="3"/>
    </row>
    <row r="845" spans="16:40" ht="15" customHeight="1" x14ac:dyDescent="0.3">
      <c r="P845" s="3"/>
      <c r="V845" s="3"/>
      <c r="AB845" s="3"/>
      <c r="AH845" s="3"/>
      <c r="AN845" s="3"/>
    </row>
    <row r="846" spans="16:40" ht="15" customHeight="1" x14ac:dyDescent="0.3">
      <c r="P846" s="3"/>
      <c r="V846" s="3"/>
      <c r="AB846" s="3"/>
      <c r="AH846" s="3"/>
      <c r="AN846" s="3"/>
    </row>
    <row r="847" spans="16:40" ht="15" customHeight="1" x14ac:dyDescent="0.3">
      <c r="P847" s="3"/>
      <c r="V847" s="3"/>
      <c r="AB847" s="3"/>
      <c r="AH847" s="3"/>
      <c r="AN847" s="3"/>
    </row>
    <row r="848" spans="16:40" ht="15" customHeight="1" x14ac:dyDescent="0.3">
      <c r="P848" s="3"/>
      <c r="V848" s="3"/>
      <c r="AB848" s="3"/>
      <c r="AH848" s="3"/>
      <c r="AN848" s="3"/>
    </row>
    <row r="849" spans="16:40" ht="15" customHeight="1" x14ac:dyDescent="0.3">
      <c r="P849" s="3"/>
      <c r="V849" s="3"/>
      <c r="AB849" s="3"/>
      <c r="AH849" s="3"/>
      <c r="AN849" s="3"/>
    </row>
    <row r="850" spans="16:40" ht="15" customHeight="1" x14ac:dyDescent="0.3">
      <c r="P850" s="3"/>
      <c r="V850" s="3"/>
      <c r="AB850" s="3"/>
      <c r="AH850" s="3"/>
      <c r="AN850" s="3"/>
    </row>
    <row r="851" spans="16:40" ht="15" customHeight="1" x14ac:dyDescent="0.3">
      <c r="P851" s="3"/>
      <c r="V851" s="3"/>
      <c r="AB851" s="3"/>
      <c r="AH851" s="3"/>
      <c r="AN851" s="3"/>
    </row>
    <row r="852" spans="16:40" ht="15" customHeight="1" x14ac:dyDescent="0.3">
      <c r="P852" s="3"/>
      <c r="V852" s="3"/>
      <c r="AB852" s="3"/>
      <c r="AH852" s="3"/>
      <c r="AN852" s="3"/>
    </row>
    <row r="853" spans="16:40" ht="15" customHeight="1" x14ac:dyDescent="0.3">
      <c r="P853" s="3"/>
      <c r="V853" s="3"/>
      <c r="AB853" s="3"/>
      <c r="AH853" s="3"/>
      <c r="AN853" s="3"/>
    </row>
    <row r="854" spans="16:40" ht="15" customHeight="1" x14ac:dyDescent="0.3">
      <c r="P854" s="3"/>
      <c r="V854" s="3"/>
      <c r="AB854" s="3"/>
      <c r="AH854" s="3"/>
      <c r="AN854" s="3"/>
    </row>
    <row r="855" spans="16:40" ht="15" customHeight="1" x14ac:dyDescent="0.3">
      <c r="P855" s="3"/>
      <c r="V855" s="3"/>
      <c r="AB855" s="3"/>
      <c r="AH855" s="3"/>
      <c r="AN855" s="3"/>
    </row>
    <row r="856" spans="16:40" ht="15" customHeight="1" x14ac:dyDescent="0.3">
      <c r="P856" s="3"/>
      <c r="V856" s="3"/>
      <c r="AB856" s="3"/>
      <c r="AH856" s="3"/>
      <c r="AN856" s="3"/>
    </row>
    <row r="857" spans="16:40" ht="15" customHeight="1" x14ac:dyDescent="0.3">
      <c r="P857" s="3"/>
      <c r="V857" s="3"/>
      <c r="AB857" s="3"/>
      <c r="AH857" s="3"/>
      <c r="AN857" s="3"/>
    </row>
    <row r="858" spans="16:40" ht="15" customHeight="1" x14ac:dyDescent="0.3">
      <c r="P858" s="3"/>
      <c r="V858" s="3"/>
      <c r="AB858" s="3"/>
      <c r="AH858" s="3"/>
      <c r="AN858" s="3"/>
    </row>
    <row r="859" spans="16:40" ht="15" customHeight="1" x14ac:dyDescent="0.3">
      <c r="P859" s="3"/>
      <c r="V859" s="3"/>
      <c r="AB859" s="3"/>
      <c r="AH859" s="3"/>
      <c r="AN859" s="3"/>
    </row>
    <row r="860" spans="16:40" ht="15" customHeight="1" x14ac:dyDescent="0.3">
      <c r="P860" s="3"/>
      <c r="V860" s="3"/>
      <c r="AB860" s="3"/>
      <c r="AH860" s="3"/>
      <c r="AN860" s="3"/>
    </row>
    <row r="861" spans="16:40" ht="15" customHeight="1" x14ac:dyDescent="0.3">
      <c r="P861" s="3"/>
      <c r="V861" s="3"/>
      <c r="AB861" s="3"/>
      <c r="AH861" s="3"/>
      <c r="AN861" s="3"/>
    </row>
    <row r="862" spans="16:40" ht="15" customHeight="1" x14ac:dyDescent="0.3">
      <c r="P862" s="3"/>
      <c r="V862" s="3"/>
      <c r="AB862" s="3"/>
      <c r="AH862" s="3"/>
      <c r="AN862" s="3"/>
    </row>
    <row r="863" spans="16:40" ht="15" customHeight="1" x14ac:dyDescent="0.3">
      <c r="P863" s="3"/>
      <c r="V863" s="3"/>
      <c r="AB863" s="3"/>
      <c r="AH863" s="3"/>
      <c r="AN863" s="3"/>
    </row>
    <row r="864" spans="16:40" ht="15" customHeight="1" x14ac:dyDescent="0.3">
      <c r="P864" s="3"/>
      <c r="V864" s="3"/>
      <c r="AB864" s="3"/>
      <c r="AH864" s="3"/>
      <c r="AN864" s="3"/>
    </row>
    <row r="865" spans="16:40" ht="15" customHeight="1" x14ac:dyDescent="0.3">
      <c r="P865" s="3"/>
      <c r="V865" s="3"/>
      <c r="AB865" s="3"/>
      <c r="AH865" s="3"/>
      <c r="AN865" s="3"/>
    </row>
    <row r="866" spans="16:40" ht="15" customHeight="1" x14ac:dyDescent="0.3">
      <c r="P866" s="3"/>
      <c r="V866" s="3"/>
      <c r="AB866" s="3"/>
      <c r="AH866" s="3"/>
      <c r="AN866" s="3"/>
    </row>
    <row r="867" spans="16:40" ht="15" customHeight="1" x14ac:dyDescent="0.3">
      <c r="P867" s="3"/>
      <c r="V867" s="3"/>
      <c r="AB867" s="3"/>
      <c r="AH867" s="3"/>
      <c r="AN867" s="3"/>
    </row>
    <row r="868" spans="16:40" ht="15" customHeight="1" x14ac:dyDescent="0.3">
      <c r="P868" s="3"/>
      <c r="V868" s="3"/>
      <c r="AB868" s="3"/>
      <c r="AH868" s="3"/>
      <c r="AN868" s="3"/>
    </row>
    <row r="869" spans="16:40" ht="15" customHeight="1" x14ac:dyDescent="0.3">
      <c r="P869" s="3"/>
      <c r="V869" s="3"/>
      <c r="AB869" s="3"/>
      <c r="AH869" s="3"/>
      <c r="AN869" s="3"/>
    </row>
    <row r="870" spans="16:40" ht="15" customHeight="1" x14ac:dyDescent="0.3">
      <c r="P870" s="3"/>
      <c r="V870" s="3"/>
      <c r="AB870" s="3"/>
      <c r="AH870" s="3"/>
      <c r="AN870" s="3"/>
    </row>
    <row r="871" spans="16:40" ht="15" customHeight="1" x14ac:dyDescent="0.3">
      <c r="P871" s="3"/>
      <c r="V871" s="3"/>
      <c r="AB871" s="3"/>
      <c r="AH871" s="3"/>
      <c r="AN871" s="3"/>
    </row>
    <row r="872" spans="16:40" ht="15" customHeight="1" x14ac:dyDescent="0.3">
      <c r="P872" s="3"/>
      <c r="V872" s="3"/>
      <c r="AB872" s="3"/>
      <c r="AH872" s="3"/>
      <c r="AN872" s="3"/>
    </row>
    <row r="873" spans="16:40" ht="15" customHeight="1" x14ac:dyDescent="0.3">
      <c r="P873" s="3"/>
      <c r="V873" s="3"/>
      <c r="AB873" s="3"/>
      <c r="AH873" s="3"/>
      <c r="AN873" s="3"/>
    </row>
    <row r="874" spans="16:40" ht="15" customHeight="1" x14ac:dyDescent="0.3">
      <c r="P874" s="3"/>
      <c r="V874" s="3"/>
      <c r="AB874" s="3"/>
      <c r="AH874" s="3"/>
      <c r="AN874" s="3"/>
    </row>
    <row r="875" spans="16:40" ht="15" customHeight="1" x14ac:dyDescent="0.3">
      <c r="P875" s="3"/>
      <c r="V875" s="3"/>
      <c r="AB875" s="3"/>
      <c r="AH875" s="3"/>
      <c r="AN875" s="3"/>
    </row>
    <row r="876" spans="16:40" ht="15" customHeight="1" x14ac:dyDescent="0.3">
      <c r="P876" s="3"/>
      <c r="V876" s="3"/>
      <c r="AB876" s="3"/>
      <c r="AH876" s="3"/>
      <c r="AN876" s="3"/>
    </row>
    <row r="877" spans="16:40" ht="15" customHeight="1" x14ac:dyDescent="0.3">
      <c r="P877" s="3"/>
      <c r="V877" s="3"/>
      <c r="AB877" s="3"/>
      <c r="AH877" s="3"/>
      <c r="AN877" s="3"/>
    </row>
    <row r="878" spans="16:40" ht="15" customHeight="1" x14ac:dyDescent="0.3">
      <c r="P878" s="3"/>
      <c r="V878" s="3"/>
      <c r="AB878" s="3"/>
      <c r="AH878" s="3"/>
      <c r="AN878" s="3"/>
    </row>
    <row r="879" spans="16:40" ht="15" customHeight="1" x14ac:dyDescent="0.3">
      <c r="P879" s="3"/>
      <c r="V879" s="3"/>
      <c r="AB879" s="3"/>
      <c r="AH879" s="3"/>
      <c r="AN879" s="3"/>
    </row>
    <row r="880" spans="16:40" ht="15" customHeight="1" x14ac:dyDescent="0.3">
      <c r="P880" s="3"/>
      <c r="V880" s="3"/>
      <c r="AB880" s="3"/>
      <c r="AH880" s="3"/>
      <c r="AN880" s="3"/>
    </row>
    <row r="881" spans="16:40" ht="15" customHeight="1" x14ac:dyDescent="0.3">
      <c r="P881" s="3"/>
      <c r="V881" s="3"/>
      <c r="AB881" s="3"/>
      <c r="AH881" s="3"/>
      <c r="AN881" s="3"/>
    </row>
    <row r="882" spans="16:40" ht="15" customHeight="1" x14ac:dyDescent="0.3">
      <c r="P882" s="3"/>
      <c r="V882" s="3"/>
      <c r="AB882" s="3"/>
      <c r="AH882" s="3"/>
      <c r="AN882" s="3"/>
    </row>
    <row r="883" spans="16:40" ht="15" customHeight="1" x14ac:dyDescent="0.3">
      <c r="P883" s="3"/>
      <c r="V883" s="3"/>
      <c r="AB883" s="3"/>
      <c r="AH883" s="3"/>
      <c r="AN883" s="3"/>
    </row>
    <row r="884" spans="16:40" ht="15" customHeight="1" x14ac:dyDescent="0.3">
      <c r="P884" s="3"/>
      <c r="V884" s="3"/>
      <c r="AB884" s="3"/>
      <c r="AH884" s="3"/>
      <c r="AN884" s="3"/>
    </row>
    <row r="885" spans="16:40" ht="15" customHeight="1" x14ac:dyDescent="0.3">
      <c r="P885" s="3"/>
      <c r="V885" s="3"/>
      <c r="AB885" s="3"/>
      <c r="AH885" s="3"/>
      <c r="AN885" s="3"/>
    </row>
    <row r="886" spans="16:40" ht="15" customHeight="1" x14ac:dyDescent="0.3">
      <c r="P886" s="3"/>
      <c r="V886" s="3"/>
      <c r="AB886" s="3"/>
      <c r="AH886" s="3"/>
      <c r="AN886" s="3"/>
    </row>
    <row r="887" spans="16:40" ht="15" customHeight="1" x14ac:dyDescent="0.3">
      <c r="P887" s="3"/>
      <c r="V887" s="3"/>
      <c r="AB887" s="3"/>
      <c r="AH887" s="3"/>
      <c r="AN887" s="3"/>
    </row>
    <row r="888" spans="16:40" ht="15" customHeight="1" x14ac:dyDescent="0.3">
      <c r="P888" s="3"/>
      <c r="V888" s="3"/>
      <c r="AB888" s="3"/>
      <c r="AH888" s="3"/>
      <c r="AN888" s="3"/>
    </row>
    <row r="889" spans="16:40" ht="15" customHeight="1" x14ac:dyDescent="0.3">
      <c r="P889" s="3"/>
      <c r="V889" s="3"/>
      <c r="AB889" s="3"/>
      <c r="AH889" s="3"/>
      <c r="AN889" s="3"/>
    </row>
    <row r="890" spans="16:40" ht="15" customHeight="1" x14ac:dyDescent="0.3">
      <c r="P890" s="3"/>
      <c r="V890" s="3"/>
      <c r="AB890" s="3"/>
      <c r="AH890" s="3"/>
      <c r="AN890" s="3"/>
    </row>
    <row r="891" spans="16:40" ht="15" customHeight="1" x14ac:dyDescent="0.3">
      <c r="P891" s="3"/>
      <c r="V891" s="3"/>
      <c r="AB891" s="3"/>
      <c r="AH891" s="3"/>
      <c r="AN891" s="3"/>
    </row>
    <row r="892" spans="16:40" ht="15" customHeight="1" x14ac:dyDescent="0.3">
      <c r="P892" s="3"/>
      <c r="V892" s="3"/>
      <c r="AB892" s="3"/>
      <c r="AH892" s="3"/>
      <c r="AN892" s="3"/>
    </row>
    <row r="893" spans="16:40" ht="15" customHeight="1" x14ac:dyDescent="0.3">
      <c r="P893" s="3"/>
      <c r="V893" s="3"/>
      <c r="AB893" s="3"/>
      <c r="AH893" s="3"/>
      <c r="AN893" s="3"/>
    </row>
    <row r="894" spans="16:40" ht="15" customHeight="1" x14ac:dyDescent="0.3">
      <c r="P894" s="3"/>
      <c r="V894" s="3"/>
      <c r="AB894" s="3"/>
      <c r="AH894" s="3"/>
      <c r="AN894" s="3"/>
    </row>
    <row r="895" spans="16:40" ht="15" customHeight="1" x14ac:dyDescent="0.3">
      <c r="P895" s="3"/>
      <c r="V895" s="3"/>
      <c r="AB895" s="3"/>
      <c r="AH895" s="3"/>
      <c r="AN895" s="3"/>
    </row>
    <row r="896" spans="16:40" ht="15" customHeight="1" x14ac:dyDescent="0.3">
      <c r="P896" s="3"/>
      <c r="V896" s="3"/>
      <c r="AB896" s="3"/>
      <c r="AH896" s="3"/>
      <c r="AN896" s="3"/>
    </row>
    <row r="897" spans="16:40" ht="15" customHeight="1" x14ac:dyDescent="0.3">
      <c r="P897" s="3"/>
      <c r="V897" s="3"/>
      <c r="AB897" s="3"/>
      <c r="AH897" s="3"/>
      <c r="AN897" s="3"/>
    </row>
    <row r="898" spans="16:40" ht="15" customHeight="1" x14ac:dyDescent="0.3">
      <c r="P898" s="3"/>
      <c r="V898" s="3"/>
      <c r="AB898" s="3"/>
      <c r="AH898" s="3"/>
      <c r="AN898" s="3"/>
    </row>
    <row r="899" spans="16:40" ht="15" customHeight="1" x14ac:dyDescent="0.3">
      <c r="P899" s="3"/>
      <c r="V899" s="3"/>
      <c r="AB899" s="3"/>
      <c r="AH899" s="3"/>
      <c r="AN899" s="3"/>
    </row>
    <row r="900" spans="16:40" ht="15" customHeight="1" x14ac:dyDescent="0.3">
      <c r="P900" s="3"/>
      <c r="V900" s="3"/>
      <c r="AB900" s="3"/>
      <c r="AH900" s="3"/>
      <c r="AN900" s="3"/>
    </row>
    <row r="901" spans="16:40" ht="15" customHeight="1" x14ac:dyDescent="0.3">
      <c r="P901" s="3"/>
      <c r="V901" s="3"/>
      <c r="AB901" s="3"/>
      <c r="AH901" s="3"/>
      <c r="AN901" s="3"/>
    </row>
    <row r="902" spans="16:40" ht="15" customHeight="1" x14ac:dyDescent="0.3">
      <c r="P902" s="3"/>
      <c r="V902" s="3"/>
      <c r="AB902" s="3"/>
      <c r="AH902" s="3"/>
      <c r="AN902" s="3"/>
    </row>
    <row r="903" spans="16:40" ht="15" customHeight="1" x14ac:dyDescent="0.3">
      <c r="P903" s="3"/>
      <c r="V903" s="3"/>
      <c r="AB903" s="3"/>
      <c r="AH903" s="3"/>
      <c r="AN903" s="3"/>
    </row>
    <row r="904" spans="16:40" ht="15" customHeight="1" x14ac:dyDescent="0.3">
      <c r="P904" s="3"/>
      <c r="V904" s="3"/>
      <c r="AB904" s="3"/>
      <c r="AH904" s="3"/>
      <c r="AN904" s="3"/>
    </row>
    <row r="905" spans="16:40" ht="15" customHeight="1" x14ac:dyDescent="0.3">
      <c r="P905" s="3"/>
      <c r="V905" s="3"/>
      <c r="AB905" s="3"/>
      <c r="AH905" s="3"/>
      <c r="AN905" s="3"/>
    </row>
    <row r="906" spans="16:40" ht="15" customHeight="1" x14ac:dyDescent="0.3">
      <c r="P906" s="3"/>
      <c r="V906" s="3"/>
      <c r="AB906" s="3"/>
      <c r="AH906" s="3"/>
      <c r="AN906" s="3"/>
    </row>
    <row r="907" spans="16:40" ht="15" customHeight="1" x14ac:dyDescent="0.3">
      <c r="P907" s="3"/>
      <c r="V907" s="3"/>
      <c r="AB907" s="3"/>
      <c r="AH907" s="3"/>
      <c r="AN907" s="3"/>
    </row>
    <row r="908" spans="16:40" ht="15" customHeight="1" x14ac:dyDescent="0.3">
      <c r="P908" s="3"/>
      <c r="V908" s="3"/>
      <c r="AB908" s="3"/>
      <c r="AH908" s="3"/>
      <c r="AN908" s="3"/>
    </row>
    <row r="909" spans="16:40" ht="15" customHeight="1" x14ac:dyDescent="0.3">
      <c r="P909" s="3"/>
      <c r="V909" s="3"/>
      <c r="AB909" s="3"/>
      <c r="AH909" s="3"/>
      <c r="AN909" s="3"/>
    </row>
    <row r="910" spans="16:40" ht="15" customHeight="1" x14ac:dyDescent="0.3">
      <c r="P910" s="3"/>
      <c r="V910" s="3"/>
      <c r="AB910" s="3"/>
      <c r="AH910" s="3"/>
      <c r="AN910" s="3"/>
    </row>
    <row r="911" spans="16:40" ht="15" customHeight="1" x14ac:dyDescent="0.3">
      <c r="P911" s="3"/>
      <c r="V911" s="3"/>
      <c r="AB911" s="3"/>
      <c r="AH911" s="3"/>
      <c r="AN911" s="3"/>
    </row>
    <row r="912" spans="16:40" ht="15" customHeight="1" x14ac:dyDescent="0.3">
      <c r="P912" s="3"/>
      <c r="V912" s="3"/>
      <c r="AB912" s="3"/>
      <c r="AH912" s="3"/>
      <c r="AN912" s="3"/>
    </row>
    <row r="913" spans="16:40" ht="15" customHeight="1" x14ac:dyDescent="0.3">
      <c r="P913" s="3"/>
      <c r="V913" s="3"/>
      <c r="AB913" s="3"/>
      <c r="AH913" s="3"/>
      <c r="AN913" s="3"/>
    </row>
    <row r="914" spans="16:40" ht="15" customHeight="1" x14ac:dyDescent="0.3">
      <c r="P914" s="3"/>
      <c r="V914" s="3"/>
      <c r="AB914" s="3"/>
      <c r="AH914" s="3"/>
      <c r="AN914" s="3"/>
    </row>
    <row r="915" spans="16:40" ht="15" customHeight="1" x14ac:dyDescent="0.3">
      <c r="P915" s="3"/>
      <c r="V915" s="3"/>
      <c r="AB915" s="3"/>
      <c r="AH915" s="3"/>
      <c r="AN915" s="3"/>
    </row>
    <row r="916" spans="16:40" ht="15" customHeight="1" x14ac:dyDescent="0.3">
      <c r="P916" s="3"/>
      <c r="V916" s="3"/>
      <c r="AB916" s="3"/>
      <c r="AH916" s="3"/>
      <c r="AN916" s="3"/>
    </row>
    <row r="917" spans="16:40" ht="15" customHeight="1" x14ac:dyDescent="0.3">
      <c r="P917" s="3"/>
      <c r="V917" s="3"/>
      <c r="AB917" s="3"/>
      <c r="AH917" s="3"/>
      <c r="AN917" s="3"/>
    </row>
    <row r="918" spans="16:40" ht="15" customHeight="1" x14ac:dyDescent="0.3">
      <c r="P918" s="3"/>
      <c r="V918" s="3"/>
      <c r="AB918" s="3"/>
      <c r="AH918" s="3"/>
      <c r="AN918" s="3"/>
    </row>
    <row r="919" spans="16:40" ht="15" customHeight="1" x14ac:dyDescent="0.3">
      <c r="P919" s="3"/>
      <c r="V919" s="3"/>
      <c r="AB919" s="3"/>
      <c r="AH919" s="3"/>
      <c r="AN919" s="3"/>
    </row>
    <row r="920" spans="16:40" ht="15" customHeight="1" x14ac:dyDescent="0.3">
      <c r="P920" s="3"/>
      <c r="V920" s="3"/>
      <c r="AB920" s="3"/>
      <c r="AH920" s="3"/>
      <c r="AN920" s="3"/>
    </row>
    <row r="921" spans="16:40" ht="15" customHeight="1" x14ac:dyDescent="0.3">
      <c r="P921" s="3"/>
      <c r="V921" s="3"/>
      <c r="AB921" s="3"/>
      <c r="AH921" s="3"/>
      <c r="AN921" s="3"/>
    </row>
    <row r="922" spans="16:40" ht="15" customHeight="1" x14ac:dyDescent="0.3">
      <c r="P922" s="3"/>
      <c r="V922" s="3"/>
      <c r="AB922" s="3"/>
      <c r="AH922" s="3"/>
      <c r="AN922" s="3"/>
    </row>
    <row r="923" spans="16:40" ht="15" customHeight="1" x14ac:dyDescent="0.3">
      <c r="P923" s="3"/>
      <c r="V923" s="3"/>
      <c r="AB923" s="3"/>
      <c r="AH923" s="3"/>
      <c r="AN923" s="3"/>
    </row>
    <row r="924" spans="16:40" ht="15" customHeight="1" x14ac:dyDescent="0.3">
      <c r="P924" s="3"/>
      <c r="V924" s="3"/>
      <c r="AB924" s="3"/>
      <c r="AH924" s="3"/>
      <c r="AN924" s="3"/>
    </row>
    <row r="925" spans="16:40" ht="15" customHeight="1" x14ac:dyDescent="0.3">
      <c r="P925" s="3"/>
      <c r="V925" s="3"/>
      <c r="AB925" s="3"/>
      <c r="AH925" s="3"/>
      <c r="AN925" s="3"/>
    </row>
    <row r="926" spans="16:40" ht="15" customHeight="1" x14ac:dyDescent="0.3">
      <c r="P926" s="3"/>
      <c r="V926" s="3"/>
      <c r="AB926" s="3"/>
      <c r="AH926" s="3"/>
      <c r="AN926" s="3"/>
    </row>
    <row r="927" spans="16:40" ht="15" customHeight="1" x14ac:dyDescent="0.3">
      <c r="P927" s="3"/>
      <c r="V927" s="3"/>
      <c r="AB927" s="3"/>
      <c r="AH927" s="3"/>
      <c r="AN927" s="3"/>
    </row>
    <row r="928" spans="16:40" ht="15" customHeight="1" x14ac:dyDescent="0.3">
      <c r="P928" s="3"/>
      <c r="V928" s="3"/>
      <c r="AB928" s="3"/>
      <c r="AH928" s="3"/>
      <c r="AN928" s="3"/>
    </row>
    <row r="929" spans="16:40" ht="15" customHeight="1" x14ac:dyDescent="0.3">
      <c r="P929" s="3"/>
      <c r="V929" s="3"/>
      <c r="AB929" s="3"/>
      <c r="AH929" s="3"/>
      <c r="AN929" s="3"/>
    </row>
    <row r="930" spans="16:40" ht="15" customHeight="1" x14ac:dyDescent="0.3">
      <c r="P930" s="3"/>
      <c r="V930" s="3"/>
      <c r="AB930" s="3"/>
      <c r="AH930" s="3"/>
      <c r="AN930" s="3"/>
    </row>
    <row r="931" spans="16:40" ht="15" customHeight="1" x14ac:dyDescent="0.3">
      <c r="P931" s="3"/>
      <c r="V931" s="3"/>
      <c r="AB931" s="3"/>
      <c r="AH931" s="3"/>
      <c r="AN931" s="3"/>
    </row>
    <row r="932" spans="16:40" ht="15" customHeight="1" x14ac:dyDescent="0.3">
      <c r="P932" s="3"/>
      <c r="V932" s="3"/>
      <c r="AB932" s="3"/>
      <c r="AH932" s="3"/>
      <c r="AN932" s="3"/>
    </row>
    <row r="933" spans="16:40" ht="15" customHeight="1" x14ac:dyDescent="0.3">
      <c r="P933" s="3"/>
      <c r="V933" s="3"/>
      <c r="AB933" s="3"/>
      <c r="AH933" s="3"/>
      <c r="AN933" s="3"/>
    </row>
    <row r="934" spans="16:40" ht="15" customHeight="1" x14ac:dyDescent="0.3">
      <c r="P934" s="3"/>
      <c r="V934" s="3"/>
      <c r="AB934" s="3"/>
      <c r="AH934" s="3"/>
      <c r="AN934" s="3"/>
    </row>
    <row r="935" spans="16:40" ht="15" customHeight="1" x14ac:dyDescent="0.3">
      <c r="P935" s="3"/>
      <c r="V935" s="3"/>
      <c r="AB935" s="3"/>
      <c r="AH935" s="3"/>
      <c r="AN935" s="3"/>
    </row>
    <row r="936" spans="16:40" ht="15" customHeight="1" x14ac:dyDescent="0.3">
      <c r="P936" s="3"/>
      <c r="V936" s="3"/>
      <c r="AB936" s="3"/>
      <c r="AH936" s="3"/>
      <c r="AN936" s="3"/>
    </row>
    <row r="937" spans="16:40" ht="15" customHeight="1" x14ac:dyDescent="0.3">
      <c r="P937" s="3"/>
      <c r="V937" s="3"/>
      <c r="AB937" s="3"/>
      <c r="AH937" s="3"/>
      <c r="AN937" s="3"/>
    </row>
    <row r="938" spans="16:40" ht="15" customHeight="1" x14ac:dyDescent="0.3">
      <c r="P938" s="3"/>
      <c r="V938" s="3"/>
      <c r="AB938" s="3"/>
      <c r="AH938" s="3"/>
      <c r="AN938" s="3"/>
    </row>
    <row r="939" spans="16:40" ht="15" customHeight="1" x14ac:dyDescent="0.3">
      <c r="P939" s="3"/>
      <c r="V939" s="3"/>
      <c r="AB939" s="3"/>
      <c r="AH939" s="3"/>
      <c r="AN939" s="3"/>
    </row>
    <row r="940" spans="16:40" ht="15" customHeight="1" x14ac:dyDescent="0.3">
      <c r="P940" s="3"/>
      <c r="V940" s="3"/>
      <c r="AB940" s="3"/>
      <c r="AH940" s="3"/>
      <c r="AN940" s="3"/>
    </row>
    <row r="941" spans="16:40" ht="15" customHeight="1" x14ac:dyDescent="0.3">
      <c r="P941" s="3"/>
      <c r="V941" s="3"/>
      <c r="AB941" s="3"/>
      <c r="AH941" s="3"/>
      <c r="AN941" s="3"/>
    </row>
    <row r="942" spans="16:40" ht="15" customHeight="1" x14ac:dyDescent="0.3">
      <c r="P942" s="3"/>
      <c r="V942" s="3"/>
      <c r="AB942" s="3"/>
      <c r="AH942" s="3"/>
      <c r="AN942" s="3"/>
    </row>
    <row r="943" spans="16:40" ht="15" customHeight="1" x14ac:dyDescent="0.3">
      <c r="P943" s="3"/>
      <c r="V943" s="3"/>
      <c r="AB943" s="3"/>
      <c r="AH943" s="3"/>
      <c r="AN943" s="3"/>
    </row>
    <row r="944" spans="16:40" ht="15" customHeight="1" x14ac:dyDescent="0.3">
      <c r="P944" s="3"/>
      <c r="V944" s="3"/>
      <c r="AB944" s="3"/>
      <c r="AH944" s="3"/>
      <c r="AN944" s="3"/>
    </row>
    <row r="945" spans="16:40" ht="15" customHeight="1" x14ac:dyDescent="0.3">
      <c r="P945" s="3"/>
      <c r="V945" s="3"/>
      <c r="AB945" s="3"/>
      <c r="AH945" s="3"/>
      <c r="AN945" s="3"/>
    </row>
    <row r="946" spans="16:40" ht="15" customHeight="1" x14ac:dyDescent="0.3">
      <c r="P946" s="3"/>
      <c r="V946" s="3"/>
      <c r="AB946" s="3"/>
      <c r="AH946" s="3"/>
      <c r="AN946" s="3"/>
    </row>
    <row r="947" spans="16:40" ht="15" customHeight="1" x14ac:dyDescent="0.3">
      <c r="P947" s="3"/>
      <c r="V947" s="3"/>
      <c r="AB947" s="3"/>
      <c r="AH947" s="3"/>
      <c r="AN947" s="3"/>
    </row>
    <row r="948" spans="16:40" ht="15" customHeight="1" x14ac:dyDescent="0.3">
      <c r="P948" s="3"/>
      <c r="V948" s="3"/>
      <c r="AB948" s="3"/>
      <c r="AH948" s="3"/>
      <c r="AN948" s="3"/>
    </row>
    <row r="949" spans="16:40" ht="15" customHeight="1" x14ac:dyDescent="0.3">
      <c r="P949" s="3"/>
      <c r="V949" s="3"/>
      <c r="AB949" s="3"/>
      <c r="AH949" s="3"/>
      <c r="AN949" s="3"/>
    </row>
    <row r="950" spans="16:40" ht="15" customHeight="1" x14ac:dyDescent="0.3">
      <c r="P950" s="3"/>
      <c r="V950" s="3"/>
      <c r="AB950" s="3"/>
      <c r="AH950" s="3"/>
      <c r="AN950" s="3"/>
    </row>
    <row r="951" spans="16:40" ht="15" customHeight="1" x14ac:dyDescent="0.3">
      <c r="P951" s="3"/>
      <c r="V951" s="3"/>
      <c r="AB951" s="3"/>
      <c r="AH951" s="3"/>
      <c r="AN951" s="3"/>
    </row>
    <row r="952" spans="16:40" ht="15" customHeight="1" x14ac:dyDescent="0.3">
      <c r="P952" s="3"/>
      <c r="V952" s="3"/>
      <c r="AB952" s="3"/>
      <c r="AH952" s="3"/>
      <c r="AN952" s="3"/>
    </row>
    <row r="953" spans="16:40" ht="15" customHeight="1" x14ac:dyDescent="0.3">
      <c r="P953" s="3"/>
      <c r="V953" s="3"/>
      <c r="AB953" s="3"/>
      <c r="AH953" s="3"/>
      <c r="AN953" s="3"/>
    </row>
    <row r="954" spans="16:40" ht="15" customHeight="1" x14ac:dyDescent="0.3">
      <c r="P954" s="3"/>
      <c r="V954" s="3"/>
      <c r="AB954" s="3"/>
      <c r="AH954" s="3"/>
      <c r="AN954" s="3"/>
    </row>
    <row r="955" spans="16:40" ht="15" customHeight="1" x14ac:dyDescent="0.3">
      <c r="P955" s="3"/>
      <c r="V955" s="3"/>
      <c r="AB955" s="3"/>
      <c r="AH955" s="3"/>
      <c r="AN955" s="3"/>
    </row>
    <row r="956" spans="16:40" ht="15" customHeight="1" x14ac:dyDescent="0.3">
      <c r="P956" s="3"/>
      <c r="V956" s="3"/>
      <c r="AB956" s="3"/>
      <c r="AH956" s="3"/>
      <c r="AN956" s="3"/>
    </row>
    <row r="957" spans="16:40" ht="15" customHeight="1" x14ac:dyDescent="0.3">
      <c r="P957" s="3"/>
      <c r="V957" s="3"/>
      <c r="AB957" s="3"/>
      <c r="AH957" s="3"/>
      <c r="AN957" s="3"/>
    </row>
    <row r="958" spans="16:40" ht="15" customHeight="1" x14ac:dyDescent="0.3">
      <c r="P958" s="3"/>
      <c r="V958" s="3"/>
      <c r="AB958" s="3"/>
      <c r="AH958" s="3"/>
      <c r="AN958" s="3"/>
    </row>
    <row r="959" spans="16:40" ht="15" customHeight="1" x14ac:dyDescent="0.3">
      <c r="P959" s="3"/>
      <c r="V959" s="3"/>
      <c r="AB959" s="3"/>
      <c r="AH959" s="3"/>
      <c r="AN959" s="3"/>
    </row>
    <row r="960" spans="16:40" ht="15" customHeight="1" x14ac:dyDescent="0.3">
      <c r="P960" s="3"/>
      <c r="V960" s="3"/>
      <c r="AB960" s="3"/>
      <c r="AH960" s="3"/>
      <c r="AN960" s="3"/>
    </row>
    <row r="961" spans="16:40" ht="15" customHeight="1" x14ac:dyDescent="0.3">
      <c r="P961" s="3"/>
      <c r="V961" s="3"/>
      <c r="AB961" s="3"/>
      <c r="AH961" s="3"/>
      <c r="AN961" s="3"/>
    </row>
    <row r="962" spans="16:40" ht="15" customHeight="1" x14ac:dyDescent="0.3">
      <c r="P962" s="3"/>
      <c r="V962" s="3"/>
      <c r="AB962" s="3"/>
      <c r="AH962" s="3"/>
      <c r="AN962" s="3"/>
    </row>
    <row r="963" spans="16:40" ht="15" customHeight="1" x14ac:dyDescent="0.3">
      <c r="P963" s="3"/>
      <c r="V963" s="3"/>
      <c r="AB963" s="3"/>
      <c r="AH963" s="3"/>
      <c r="AN963" s="3"/>
    </row>
    <row r="964" spans="16:40" ht="15" customHeight="1" x14ac:dyDescent="0.3">
      <c r="P964" s="3"/>
      <c r="V964" s="3"/>
      <c r="AB964" s="3"/>
      <c r="AH964" s="3"/>
      <c r="AN964" s="3"/>
    </row>
    <row r="965" spans="16:40" ht="15" customHeight="1" x14ac:dyDescent="0.3">
      <c r="P965" s="3"/>
      <c r="V965" s="3"/>
      <c r="AB965" s="3"/>
      <c r="AH965" s="3"/>
      <c r="AN965" s="3"/>
    </row>
    <row r="966" spans="16:40" ht="15" customHeight="1" x14ac:dyDescent="0.3">
      <c r="P966" s="3"/>
      <c r="V966" s="3"/>
      <c r="AB966" s="3"/>
      <c r="AH966" s="3"/>
      <c r="AN966" s="3"/>
    </row>
    <row r="967" spans="16:40" ht="15" customHeight="1" x14ac:dyDescent="0.3">
      <c r="P967" s="3"/>
      <c r="V967" s="3"/>
      <c r="AB967" s="3"/>
      <c r="AH967" s="3"/>
      <c r="AN967" s="3"/>
    </row>
    <row r="968" spans="16:40" ht="15" customHeight="1" x14ac:dyDescent="0.3">
      <c r="P968" s="3"/>
      <c r="V968" s="3"/>
      <c r="AB968" s="3"/>
      <c r="AH968" s="3"/>
      <c r="AN968" s="3"/>
    </row>
    <row r="969" spans="16:40" ht="15" customHeight="1" x14ac:dyDescent="0.3">
      <c r="P969" s="3"/>
      <c r="V969" s="3"/>
      <c r="AB969" s="3"/>
      <c r="AH969" s="3"/>
      <c r="AN969" s="3"/>
    </row>
    <row r="970" spans="16:40" ht="15" customHeight="1" x14ac:dyDescent="0.3">
      <c r="P970" s="3"/>
      <c r="V970" s="3"/>
      <c r="AB970" s="3"/>
      <c r="AH970" s="3"/>
      <c r="AN970" s="3"/>
    </row>
    <row r="971" spans="16:40" ht="15" customHeight="1" x14ac:dyDescent="0.3">
      <c r="P971" s="3"/>
      <c r="V971" s="3"/>
      <c r="AB971" s="3"/>
      <c r="AH971" s="3"/>
      <c r="AN971" s="3"/>
    </row>
    <row r="972" spans="16:40" ht="15" customHeight="1" x14ac:dyDescent="0.3">
      <c r="P972" s="3"/>
      <c r="V972" s="3"/>
      <c r="AB972" s="3"/>
      <c r="AH972" s="3"/>
      <c r="AN972" s="3"/>
    </row>
    <row r="973" spans="16:40" ht="15" customHeight="1" x14ac:dyDescent="0.3">
      <c r="P973" s="3"/>
      <c r="V973" s="3"/>
      <c r="AB973" s="3"/>
      <c r="AH973" s="3"/>
      <c r="AN973" s="3"/>
    </row>
    <row r="974" spans="16:40" ht="15" customHeight="1" x14ac:dyDescent="0.3">
      <c r="P974" s="3"/>
      <c r="V974" s="3"/>
      <c r="AB974" s="3"/>
      <c r="AH974" s="3"/>
      <c r="AN974" s="3"/>
    </row>
    <row r="975" spans="16:40" ht="15" customHeight="1" x14ac:dyDescent="0.3">
      <c r="P975" s="3"/>
      <c r="V975" s="3"/>
      <c r="AB975" s="3"/>
      <c r="AH975" s="3"/>
      <c r="AN975" s="3"/>
    </row>
    <row r="976" spans="16:40" ht="15" customHeight="1" x14ac:dyDescent="0.3">
      <c r="P976" s="3"/>
      <c r="V976" s="3"/>
      <c r="AB976" s="3"/>
      <c r="AH976" s="3"/>
      <c r="AN976" s="3"/>
    </row>
    <row r="977" spans="16:40" ht="15" customHeight="1" x14ac:dyDescent="0.3">
      <c r="P977" s="3"/>
      <c r="V977" s="3"/>
      <c r="AB977" s="3"/>
      <c r="AH977" s="3"/>
      <c r="AN977" s="3"/>
    </row>
    <row r="978" spans="16:40" ht="15" customHeight="1" x14ac:dyDescent="0.3">
      <c r="P978" s="3"/>
      <c r="V978" s="3"/>
      <c r="AB978" s="3"/>
      <c r="AH978" s="3"/>
      <c r="AN978" s="3"/>
    </row>
    <row r="979" spans="16:40" ht="15" customHeight="1" x14ac:dyDescent="0.3">
      <c r="P979" s="3"/>
      <c r="V979" s="3"/>
      <c r="AB979" s="3"/>
      <c r="AH979" s="3"/>
      <c r="AN979" s="3"/>
    </row>
    <row r="980" spans="16:40" ht="15" customHeight="1" x14ac:dyDescent="0.3">
      <c r="P980" s="3"/>
      <c r="V980" s="3"/>
      <c r="AB980" s="3"/>
      <c r="AH980" s="3"/>
      <c r="AN980" s="3"/>
    </row>
    <row r="981" spans="16:40" ht="15" customHeight="1" x14ac:dyDescent="0.3">
      <c r="P981" s="3"/>
      <c r="V981" s="3"/>
      <c r="AB981" s="3"/>
      <c r="AH981" s="3"/>
      <c r="AN981" s="3"/>
    </row>
    <row r="982" spans="16:40" ht="15" customHeight="1" x14ac:dyDescent="0.3">
      <c r="P982" s="3"/>
      <c r="V982" s="3"/>
      <c r="AB982" s="3"/>
      <c r="AH982" s="3"/>
      <c r="AN982" s="3"/>
    </row>
    <row r="983" spans="16:40" ht="15" customHeight="1" x14ac:dyDescent="0.3">
      <c r="P983" s="3"/>
      <c r="V983" s="3"/>
      <c r="AB983" s="3"/>
      <c r="AH983" s="3"/>
      <c r="AN983" s="3"/>
    </row>
    <row r="984" spans="16:40" ht="15" customHeight="1" x14ac:dyDescent="0.3">
      <c r="P984" s="3"/>
      <c r="V984" s="3"/>
      <c r="AB984" s="3"/>
      <c r="AH984" s="3"/>
      <c r="AN984" s="3"/>
    </row>
    <row r="985" spans="16:40" ht="15" customHeight="1" x14ac:dyDescent="0.3">
      <c r="P985" s="3"/>
      <c r="V985" s="3"/>
      <c r="AB985" s="3"/>
      <c r="AH985" s="3"/>
      <c r="AN985" s="3"/>
    </row>
    <row r="986" spans="16:40" ht="15" customHeight="1" x14ac:dyDescent="0.3">
      <c r="P986" s="3"/>
      <c r="V986" s="3"/>
      <c r="AB986" s="3"/>
      <c r="AH986" s="3"/>
      <c r="AN986" s="3"/>
    </row>
    <row r="987" spans="16:40" ht="15" customHeight="1" x14ac:dyDescent="0.3">
      <c r="P987" s="3"/>
      <c r="V987" s="3"/>
      <c r="AB987" s="3"/>
      <c r="AH987" s="3"/>
      <c r="AN987" s="3"/>
    </row>
  </sheetData>
  <sheetProtection selectLockedCells="1" selectUnlockedCells="1"/>
  <mergeCells count="2">
    <mergeCell ref="B9:B10"/>
    <mergeCell ref="B11:B1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INFOMAX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2012-01-27T01:09:04Z</dcterms:created>
  <dcterms:modified xsi:type="dcterms:W3CDTF">2023-01-20T00:41:32Z</dcterms:modified>
</cp:coreProperties>
</file>