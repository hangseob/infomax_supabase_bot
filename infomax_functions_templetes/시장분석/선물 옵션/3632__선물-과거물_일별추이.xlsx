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0승환\템플릿\"/>
    </mc:Choice>
  </mc:AlternateContent>
  <xr:revisionPtr revIDLastSave="0" documentId="13_ncr:1_{8C6F7C6C-6297-40E0-9B59-1A91AE9C1157}" xr6:coauthVersionLast="47" xr6:coauthVersionMax="47" xr10:uidLastSave="{00000000-0000-0000-0000-000000000000}"/>
  <bookViews>
    <workbookView xWindow="120" yWindow="1050" windowWidth="27120" windowHeight="14265" activeTab="1" xr2:uid="{00000000-000D-0000-FFFF-FFFF00000000}"/>
  </bookViews>
  <sheets>
    <sheet name="복수과거물조회" sheetId="3" r:id="rId1"/>
    <sheet name="과거월물조회" sheetId="1" r:id="rId2"/>
    <sheet name="코드" sheetId="2" r:id="rId3"/>
  </sheets>
  <definedNames>
    <definedName name="_xlnm._FilterDatabase" localSheetId="1" hidden="1">코드!$M$2:$M$13</definedName>
    <definedName name="_xlnm.Criteria" localSheetId="1">코드!$P$7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K9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B13" i="1"/>
  <c r="A13" i="1"/>
  <c r="E9" i="1" l="1"/>
  <c r="E8" i="1" s="1"/>
  <c r="G9" i="1"/>
  <c r="G8" i="1" s="1"/>
  <c r="C4" i="2"/>
  <c r="C2" i="2"/>
  <c r="C8" i="3"/>
  <c r="C12" i="3"/>
  <c r="C16" i="3"/>
  <c r="C5" i="3"/>
  <c r="C13" i="3"/>
  <c r="C10" i="3"/>
  <c r="C22" i="3"/>
  <c r="C7" i="3"/>
  <c r="C15" i="3"/>
  <c r="C20" i="3"/>
  <c r="C9" i="3"/>
  <c r="C6" i="3"/>
  <c r="C14" i="3"/>
  <c r="C23" i="3"/>
  <c r="C3" i="3"/>
  <c r="C17" i="3"/>
  <c r="C11" i="3"/>
  <c r="C19" i="3"/>
  <c r="C21" i="3"/>
  <c r="C4" i="3"/>
  <c r="C18" i="3"/>
  <c r="C2" i="3"/>
  <c r="P2" i="2" l="1"/>
  <c r="P6" i="2" l="1"/>
  <c r="K8" i="1"/>
  <c r="P7" i="2"/>
  <c r="S12" i="2" l="1"/>
  <c r="R10" i="2"/>
  <c r="S7" i="2"/>
  <c r="S3" i="2"/>
  <c r="R4" i="2"/>
  <c r="R13" i="2"/>
  <c r="R8" i="2"/>
  <c r="R6" i="2"/>
  <c r="S11" i="2"/>
  <c r="R3" i="2"/>
  <c r="S9" i="2"/>
  <c r="S5" i="2"/>
  <c r="S10" i="2"/>
  <c r="S2" i="2"/>
  <c r="R7" i="2"/>
  <c r="R12" i="2"/>
  <c r="S13" i="2"/>
  <c r="R5" i="2"/>
  <c r="S8" i="2"/>
  <c r="S6" i="2"/>
  <c r="R2" i="2"/>
  <c r="R11" i="2"/>
  <c r="S4" i="2"/>
  <c r="R9" i="2"/>
  <c r="P4" i="2" l="1"/>
  <c r="O8" i="1" s="1"/>
  <c r="O9" i="1" a="1"/>
  <c r="D11" i="1"/>
  <c r="O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<sst xmlns="http://schemas.openxmlformats.org/spreadsheetml/2006/main" count="450" uniqueCount="425">
  <si>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</si>
  <si>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</si>
  <si>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</si>
  <si>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</si>
  <si>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</si>
  <si>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</si>
  <si>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</si>
  <si>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</si>
  <si>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</si>
  <si>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M</t>
    <phoneticPr fontId="3" type="noConversion"/>
  </si>
  <si>
    <t>N</t>
    <phoneticPr fontId="3" type="noConversion"/>
  </si>
  <si>
    <t>P</t>
    <phoneticPr fontId="3" type="noConversion"/>
  </si>
  <si>
    <t>Q</t>
    <phoneticPr fontId="3" type="noConversion"/>
  </si>
  <si>
    <t>A</t>
    <phoneticPr fontId="3" type="noConversion"/>
  </si>
  <si>
    <t>B</t>
    <phoneticPr fontId="3" type="noConversion"/>
  </si>
  <si>
    <t>3월</t>
    <phoneticPr fontId="3" type="noConversion"/>
  </si>
  <si>
    <t>6월</t>
  </si>
  <si>
    <t>6월</t>
    <phoneticPr fontId="3" type="noConversion"/>
  </si>
  <si>
    <t>9월</t>
  </si>
  <si>
    <t>9월</t>
    <phoneticPr fontId="3" type="noConversion"/>
  </si>
  <si>
    <t>12월</t>
  </si>
  <si>
    <t>12월</t>
    <phoneticPr fontId="3" type="noConversion"/>
  </si>
  <si>
    <t>C000</t>
    <phoneticPr fontId="3" type="noConversion"/>
  </si>
  <si>
    <t>코스피200</t>
  </si>
  <si>
    <t>미니코스피</t>
  </si>
  <si>
    <t>KRX300</t>
  </si>
  <si>
    <t>코스닥150</t>
  </si>
  <si>
    <t>유로스톡스50</t>
  </si>
  <si>
    <t>변동성지수</t>
  </si>
  <si>
    <t>고배당50</t>
  </si>
  <si>
    <t>배당성장50</t>
  </si>
  <si>
    <t>미국달러</t>
  </si>
  <si>
    <t>유로</t>
  </si>
  <si>
    <t>엔</t>
  </si>
  <si>
    <t>위안</t>
  </si>
  <si>
    <t>건설</t>
  </si>
  <si>
    <t>금융지수</t>
  </si>
  <si>
    <t>산업재</t>
  </si>
  <si>
    <t>생활소비재</t>
  </si>
  <si>
    <t>에너지화학</t>
  </si>
  <si>
    <t>경기소비재</t>
  </si>
  <si>
    <t>정보기술</t>
  </si>
  <si>
    <t>중공업</t>
  </si>
  <si>
    <t>철강소재</t>
  </si>
  <si>
    <t>헬스케어</t>
  </si>
  <si>
    <t>돈육</t>
  </si>
  <si>
    <t>금</t>
  </si>
  <si>
    <t xml:space="preserve">삼성전자 </t>
  </si>
  <si>
    <t xml:space="preserve">SK텔레콤 </t>
  </si>
  <si>
    <t xml:space="preserve">POSCO </t>
  </si>
  <si>
    <t xml:space="preserve">KT </t>
  </si>
  <si>
    <t xml:space="preserve">한국전력 </t>
  </si>
  <si>
    <t xml:space="preserve">현대차 </t>
  </si>
  <si>
    <t xml:space="preserve">삼성증권 </t>
  </si>
  <si>
    <t xml:space="preserve">신한지주 </t>
  </si>
  <si>
    <t xml:space="preserve">기아차 </t>
  </si>
  <si>
    <t xml:space="preserve">현대모비스 </t>
  </si>
  <si>
    <t xml:space="preserve">삼성SDI </t>
  </si>
  <si>
    <t xml:space="preserve">삼성전기 </t>
  </si>
  <si>
    <t xml:space="preserve">LG전자 </t>
  </si>
  <si>
    <t xml:space="preserve">한국가스 </t>
  </si>
  <si>
    <t xml:space="preserve">현대제철 </t>
  </si>
  <si>
    <t xml:space="preserve">LG </t>
  </si>
  <si>
    <t xml:space="preserve">GS </t>
  </si>
  <si>
    <t xml:space="preserve">케이티앤지 </t>
  </si>
  <si>
    <t xml:space="preserve">한국조선해 </t>
  </si>
  <si>
    <t xml:space="preserve">하나지주 </t>
  </si>
  <si>
    <t xml:space="preserve">SK이노베이 </t>
  </si>
  <si>
    <t xml:space="preserve">CJ </t>
  </si>
  <si>
    <t xml:space="preserve">LGD </t>
  </si>
  <si>
    <t xml:space="preserve">KB금융 </t>
  </si>
  <si>
    <t xml:space="preserve">LG화학 </t>
  </si>
  <si>
    <t xml:space="preserve">미래대우 </t>
  </si>
  <si>
    <t xml:space="preserve">두산인프라 </t>
  </si>
  <si>
    <t xml:space="preserve">SK하이닉스 </t>
  </si>
  <si>
    <t xml:space="preserve">GS건설 </t>
  </si>
  <si>
    <t xml:space="preserve">이마트 </t>
  </si>
  <si>
    <t xml:space="preserve">한국타이어 </t>
  </si>
  <si>
    <t xml:space="preserve">NAVER </t>
  </si>
  <si>
    <t xml:space="preserve">대한항공 </t>
  </si>
  <si>
    <t xml:space="preserve">LG유플러스 </t>
  </si>
  <si>
    <t xml:space="preserve">S-Oil </t>
  </si>
  <si>
    <t xml:space="preserve">고려아연 </t>
  </si>
  <si>
    <t xml:space="preserve">기업은행 </t>
  </si>
  <si>
    <t xml:space="preserve">대림산업 </t>
  </si>
  <si>
    <t xml:space="preserve">대상 </t>
  </si>
  <si>
    <t xml:space="preserve">포스코인터 </t>
  </si>
  <si>
    <t xml:space="preserve">두산중공업 </t>
  </si>
  <si>
    <t xml:space="preserve">롯데쇼핑 </t>
  </si>
  <si>
    <t xml:space="preserve">롯데케미칼 </t>
  </si>
  <si>
    <t xml:space="preserve">삼성생명 </t>
  </si>
  <si>
    <t xml:space="preserve">삼성중공업 </t>
  </si>
  <si>
    <t xml:space="preserve">삼성카드 </t>
  </si>
  <si>
    <t xml:space="preserve">한화에어로 </t>
  </si>
  <si>
    <t xml:space="preserve">엔씨소프트 </t>
  </si>
  <si>
    <t xml:space="preserve">하이트진로 </t>
  </si>
  <si>
    <t xml:space="preserve">한국금융지 </t>
  </si>
  <si>
    <t xml:space="preserve">한국항공우 </t>
  </si>
  <si>
    <t xml:space="preserve">현대건설 </t>
  </si>
  <si>
    <t xml:space="preserve">현대위아 </t>
  </si>
  <si>
    <t xml:space="preserve">호텔신라 </t>
  </si>
  <si>
    <t xml:space="preserve">강원랜드 </t>
  </si>
  <si>
    <t xml:space="preserve">BNK금융지 </t>
  </si>
  <si>
    <t xml:space="preserve">DGB금융지 </t>
  </si>
  <si>
    <t xml:space="preserve">GKL </t>
  </si>
  <si>
    <t xml:space="preserve">LG상사 </t>
  </si>
  <si>
    <t xml:space="preserve">LG이노텍 </t>
  </si>
  <si>
    <t xml:space="preserve">NH투자증권 </t>
  </si>
  <si>
    <t xml:space="preserve">OCI </t>
  </si>
  <si>
    <t xml:space="preserve">SK </t>
  </si>
  <si>
    <t xml:space="preserve">SK네트웍스 </t>
  </si>
  <si>
    <t xml:space="preserve">금호석유 </t>
  </si>
  <si>
    <t xml:space="preserve">넥센타이어 </t>
  </si>
  <si>
    <t xml:space="preserve">삼성SDS </t>
  </si>
  <si>
    <t xml:space="preserve">아모레퍼시 </t>
  </si>
  <si>
    <t xml:space="preserve">제일기획 </t>
  </si>
  <si>
    <t xml:space="preserve">삼성물산 </t>
  </si>
  <si>
    <t xml:space="preserve">한화 </t>
  </si>
  <si>
    <t xml:space="preserve">한화생명 </t>
  </si>
  <si>
    <t xml:space="preserve">한화케미칼 </t>
  </si>
  <si>
    <t xml:space="preserve">현대글로비 </t>
  </si>
  <si>
    <t xml:space="preserve">현대미포조 </t>
  </si>
  <si>
    <t xml:space="preserve">현대해상 </t>
  </si>
  <si>
    <t xml:space="preserve">카카오 </t>
  </si>
  <si>
    <t xml:space="preserve">파라다이스 </t>
  </si>
  <si>
    <t xml:space="preserve">서울반도체 </t>
  </si>
  <si>
    <t xml:space="preserve">웹젠 </t>
  </si>
  <si>
    <t xml:space="preserve">씨젠 </t>
  </si>
  <si>
    <t xml:space="preserve">포스코 </t>
  </si>
  <si>
    <t xml:space="preserve">셀트리온 </t>
  </si>
  <si>
    <t xml:space="preserve">와이지엔터 </t>
  </si>
  <si>
    <t xml:space="preserve">LG생활건강 </t>
  </si>
  <si>
    <t xml:space="preserve">아모레G </t>
  </si>
  <si>
    <t xml:space="preserve">삼성화재 </t>
  </si>
  <si>
    <t xml:space="preserve">한미사이언 </t>
  </si>
  <si>
    <t xml:space="preserve">웅진코웨이 </t>
  </si>
  <si>
    <t xml:space="preserve">한미약품 </t>
  </si>
  <si>
    <t xml:space="preserve">한온시스템 </t>
  </si>
  <si>
    <t xml:space="preserve">BGF </t>
  </si>
  <si>
    <t xml:space="preserve">DB손해보험 </t>
  </si>
  <si>
    <t xml:space="preserve">CJ제일제당 </t>
  </si>
  <si>
    <t xml:space="preserve">한샘 </t>
  </si>
  <si>
    <t xml:space="preserve">KCC </t>
  </si>
  <si>
    <t xml:space="preserve">GS리테일 </t>
  </si>
  <si>
    <t xml:space="preserve">에스원 </t>
  </si>
  <si>
    <t xml:space="preserve">유한양행 </t>
  </si>
  <si>
    <t xml:space="preserve">한전KPS </t>
  </si>
  <si>
    <t xml:space="preserve">현대백화점 </t>
  </si>
  <si>
    <t xml:space="preserve">농심 </t>
  </si>
  <si>
    <t xml:space="preserve">LIG넥스원 </t>
  </si>
  <si>
    <t xml:space="preserve">만도 </t>
  </si>
  <si>
    <t xml:space="preserve">신세계 </t>
  </si>
  <si>
    <t xml:space="preserve">한국콜마 </t>
  </si>
  <si>
    <t xml:space="preserve">영원무역 </t>
  </si>
  <si>
    <t xml:space="preserve">메리츠종금 </t>
  </si>
  <si>
    <t xml:space="preserve">대한유화 </t>
  </si>
  <si>
    <t xml:space="preserve">코스맥스 </t>
  </si>
  <si>
    <t xml:space="preserve">LG하우시스 </t>
  </si>
  <si>
    <t xml:space="preserve">다우기술 </t>
  </si>
  <si>
    <t xml:space="preserve">하나투어 </t>
  </si>
  <si>
    <t xml:space="preserve">메디톡스 </t>
  </si>
  <si>
    <t xml:space="preserve">컴투스 </t>
  </si>
  <si>
    <t xml:space="preserve">SK머티리얼 </t>
  </si>
  <si>
    <t xml:space="preserve">에스에프에 </t>
  </si>
  <si>
    <t xml:space="preserve">두산밥캣 </t>
  </si>
  <si>
    <t xml:space="preserve">현대엘리베 </t>
  </si>
  <si>
    <t xml:space="preserve">한세실업 </t>
  </si>
  <si>
    <t xml:space="preserve">원익IPS </t>
  </si>
  <si>
    <t xml:space="preserve">JW중외제약 </t>
  </si>
  <si>
    <t xml:space="preserve">안랩 </t>
  </si>
  <si>
    <t xml:space="preserve">파트론 </t>
  </si>
  <si>
    <t xml:space="preserve">에스엠 </t>
  </si>
  <si>
    <t xml:space="preserve">넷마블 </t>
  </si>
  <si>
    <t xml:space="preserve">셀트리온헬 </t>
  </si>
  <si>
    <t xml:space="preserve">오렌지라이 </t>
  </si>
  <si>
    <t xml:space="preserve">포스코케미 </t>
  </si>
  <si>
    <t xml:space="preserve">영진약품 </t>
  </si>
  <si>
    <t xml:space="preserve">SKC코오롱P </t>
  </si>
  <si>
    <t xml:space="preserve">우리금융지 </t>
  </si>
  <si>
    <t>KODEX</t>
  </si>
  <si>
    <t>TIGER</t>
  </si>
  <si>
    <t>ARIRANG</t>
  </si>
  <si>
    <t>166</t>
  </si>
  <si>
    <t>101</t>
  </si>
  <si>
    <t>105</t>
  </si>
  <si>
    <t>108</t>
  </si>
  <si>
    <t>106</t>
  </si>
  <si>
    <t>107</t>
  </si>
  <si>
    <t>109</t>
  </si>
  <si>
    <t>1A4</t>
  </si>
  <si>
    <t>1A5</t>
  </si>
  <si>
    <t>175</t>
  </si>
  <si>
    <t>170</t>
  </si>
  <si>
    <t>177</t>
  </si>
  <si>
    <t>176</t>
  </si>
  <si>
    <t>178</t>
  </si>
  <si>
    <t>1A6</t>
  </si>
  <si>
    <t>1A2</t>
  </si>
  <si>
    <t>1AB</t>
  </si>
  <si>
    <t>1AA</t>
  </si>
  <si>
    <t>1A0</t>
  </si>
  <si>
    <t>1A3</t>
  </si>
  <si>
    <t>1A1</t>
  </si>
  <si>
    <t>1A7</t>
  </si>
  <si>
    <t>1A9</t>
  </si>
  <si>
    <t>1A8</t>
  </si>
  <si>
    <t>186</t>
  </si>
  <si>
    <t>188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</si>
  <si>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</si>
  <si>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</si>
  <si>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</si>
  <si>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</si>
  <si>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</si>
  <si>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</si>
  <si>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</si>
  <si>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</si>
  <si>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</si>
  <si>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</si>
  <si>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</si>
  <si>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</si>
  <si>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</si>
  <si>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128</t>
  </si>
  <si>
    <t>132</t>
  </si>
  <si>
    <t>134</t>
  </si>
  <si>
    <t>135</t>
  </si>
  <si>
    <t>136</t>
  </si>
  <si>
    <t>139</t>
  </si>
  <si>
    <t>140</t>
  </si>
  <si>
    <t>141</t>
  </si>
  <si>
    <t>142</t>
  </si>
  <si>
    <t>145</t>
  </si>
  <si>
    <t>146</t>
  </si>
  <si>
    <t>147</t>
  </si>
  <si>
    <t>148</t>
  </si>
  <si>
    <t>149</t>
  </si>
  <si>
    <t>150</t>
  </si>
  <si>
    <t>151</t>
  </si>
  <si>
    <t>154</t>
  </si>
  <si>
    <t>155</t>
  </si>
  <si>
    <t>156</t>
  </si>
  <si>
    <t>157</t>
  </si>
  <si>
    <t>1B0</t>
  </si>
  <si>
    <t>1B2</t>
  </si>
  <si>
    <t>1B3</t>
  </si>
  <si>
    <t>1B4</t>
  </si>
  <si>
    <t>1B5</t>
  </si>
  <si>
    <t>1B6</t>
  </si>
  <si>
    <t>1B7</t>
  </si>
  <si>
    <t>1B9</t>
  </si>
  <si>
    <t>1BA</t>
  </si>
  <si>
    <t>1BB</t>
  </si>
  <si>
    <t>1BD</t>
  </si>
  <si>
    <t>1BF</t>
  </si>
  <si>
    <t>1BG</t>
  </si>
  <si>
    <t>1BH</t>
  </si>
  <si>
    <t>1BJ</t>
  </si>
  <si>
    <t>1BK</t>
  </si>
  <si>
    <t>1BL</t>
  </si>
  <si>
    <t>1BM</t>
  </si>
  <si>
    <t>1BN</t>
  </si>
  <si>
    <t>1BP</t>
  </si>
  <si>
    <t>1BQ</t>
  </si>
  <si>
    <t>1BS</t>
  </si>
  <si>
    <t>1BT</t>
  </si>
  <si>
    <t>1BV</t>
  </si>
  <si>
    <t>1BW</t>
  </si>
  <si>
    <t>1BX</t>
  </si>
  <si>
    <t>1BY</t>
  </si>
  <si>
    <t>1BZ</t>
  </si>
  <si>
    <t>1C0</t>
  </si>
  <si>
    <t>1C1</t>
  </si>
  <si>
    <t>1C2</t>
  </si>
  <si>
    <t>1C3</t>
  </si>
  <si>
    <t>1C4</t>
  </si>
  <si>
    <t>1C5</t>
  </si>
  <si>
    <t>1C6</t>
  </si>
  <si>
    <t>1C7</t>
  </si>
  <si>
    <t>1C8</t>
  </si>
  <si>
    <t>1C9</t>
  </si>
  <si>
    <t>1CA</t>
  </si>
  <si>
    <t>1CB</t>
  </si>
  <si>
    <t>1CC</t>
  </si>
  <si>
    <t>1CD</t>
  </si>
  <si>
    <t>1CE</t>
  </si>
  <si>
    <t>1CF</t>
  </si>
  <si>
    <t>1CG</t>
  </si>
  <si>
    <t>1CJ</t>
  </si>
  <si>
    <t>1CK</t>
  </si>
  <si>
    <t>1CL</t>
  </si>
  <si>
    <t>1CN</t>
  </si>
  <si>
    <t>1CP</t>
  </si>
  <si>
    <t>1CQ</t>
  </si>
  <si>
    <t>1CR</t>
  </si>
  <si>
    <t>1CS</t>
  </si>
  <si>
    <t>1CT</t>
  </si>
  <si>
    <t>1CV</t>
  </si>
  <si>
    <t>1CW</t>
  </si>
  <si>
    <t>1CX</t>
  </si>
  <si>
    <t>1CY</t>
  </si>
  <si>
    <t>1CZ</t>
  </si>
  <si>
    <t>1D0</t>
  </si>
  <si>
    <t>1D1</t>
  </si>
  <si>
    <t>1D2</t>
  </si>
  <si>
    <t>1D3</t>
  </si>
  <si>
    <t>1D4</t>
  </si>
  <si>
    <t>1D5</t>
  </si>
  <si>
    <t>1D6</t>
  </si>
  <si>
    <t>1D7</t>
  </si>
  <si>
    <t>1D8</t>
  </si>
  <si>
    <t>1D9</t>
  </si>
  <si>
    <t>1DA</t>
  </si>
  <si>
    <t>1DB</t>
  </si>
  <si>
    <t>1DC</t>
  </si>
  <si>
    <t>1DD</t>
  </si>
  <si>
    <t>1DE</t>
  </si>
  <si>
    <t>1DG</t>
  </si>
  <si>
    <t>1DH</t>
  </si>
  <si>
    <t>1DJ</t>
  </si>
  <si>
    <t>1DK</t>
  </si>
  <si>
    <t>1DL</t>
  </si>
  <si>
    <t>1DM</t>
  </si>
  <si>
    <t>1DN</t>
  </si>
  <si>
    <t>1DP</t>
  </si>
  <si>
    <t>1DR</t>
  </si>
  <si>
    <t>1DS</t>
  </si>
  <si>
    <t>1DT</t>
  </si>
  <si>
    <t>1DV</t>
  </si>
  <si>
    <t>1DW</t>
  </si>
  <si>
    <t>1DY</t>
  </si>
  <si>
    <t>1DZ</t>
  </si>
  <si>
    <t>1E0</t>
  </si>
  <si>
    <t>1E1</t>
  </si>
  <si>
    <t>1E2</t>
  </si>
  <si>
    <t>1E3</t>
  </si>
  <si>
    <t>1E4</t>
  </si>
  <si>
    <t>1E5</t>
  </si>
  <si>
    <t>1E6</t>
  </si>
  <si>
    <t>1E7</t>
  </si>
  <si>
    <t>1E8</t>
  </si>
  <si>
    <t>1E9</t>
  </si>
  <si>
    <t>1EA</t>
  </si>
  <si>
    <t>1EB</t>
  </si>
  <si>
    <t>1M0</t>
  </si>
  <si>
    <t>1M1</t>
  </si>
  <si>
    <t>1M2</t>
  </si>
  <si>
    <t>1M3</t>
  </si>
  <si>
    <t>1월</t>
    <phoneticPr fontId="3" type="noConversion"/>
  </si>
  <si>
    <t>2월</t>
    <phoneticPr fontId="3" type="noConversion"/>
  </si>
  <si>
    <t>4월</t>
  </si>
  <si>
    <t>5월</t>
  </si>
  <si>
    <t>7월</t>
  </si>
  <si>
    <t>8월</t>
  </si>
  <si>
    <t>10월</t>
  </si>
  <si>
    <t>11월</t>
  </si>
  <si>
    <t>A000</t>
    <phoneticPr fontId="3" type="noConversion"/>
  </si>
  <si>
    <t>B000</t>
    <phoneticPr fontId="3" type="noConversion"/>
  </si>
  <si>
    <t>C000</t>
    <phoneticPr fontId="3" type="noConversion"/>
  </si>
  <si>
    <t>0</t>
    <phoneticPr fontId="3" type="noConversion"/>
  </si>
  <si>
    <t>일자</t>
    <phoneticPr fontId="3" type="noConversion"/>
  </si>
  <si>
    <t>현재가</t>
    <phoneticPr fontId="3" type="noConversion"/>
  </si>
  <si>
    <t>전일대비</t>
    <phoneticPr fontId="3" type="noConversion"/>
  </si>
  <si>
    <t>시가</t>
    <phoneticPr fontId="3" type="noConversion"/>
  </si>
  <si>
    <t>고가</t>
    <phoneticPr fontId="3" type="noConversion"/>
  </si>
  <si>
    <t>저가</t>
    <phoneticPr fontId="3" type="noConversion"/>
  </si>
  <si>
    <t>거래량</t>
    <phoneticPr fontId="3" type="noConversion"/>
  </si>
  <si>
    <t>거래대금</t>
    <phoneticPr fontId="3" type="noConversion"/>
  </si>
  <si>
    <t>미결제약정수량</t>
    <phoneticPr fontId="3" type="noConversion"/>
  </si>
  <si>
    <t>미결제약정증감</t>
    <phoneticPr fontId="3" type="noConversion"/>
  </si>
  <si>
    <t>이론가</t>
    <phoneticPr fontId="3" type="noConversion"/>
  </si>
  <si>
    <t>기초자산가격</t>
    <phoneticPr fontId="3" type="noConversion"/>
  </si>
  <si>
    <t>정산가</t>
    <phoneticPr fontId="3" type="noConversion"/>
  </si>
  <si>
    <t>저평가</t>
    <phoneticPr fontId="3" type="noConversion"/>
  </si>
  <si>
    <t>종목명</t>
    <phoneticPr fontId="3" type="noConversion"/>
  </si>
  <si>
    <t>FUT</t>
    <phoneticPr fontId="3" type="noConversion"/>
  </si>
  <si>
    <t>연도</t>
    <phoneticPr fontId="3" type="noConversion"/>
  </si>
  <si>
    <t>종목</t>
    <phoneticPr fontId="3" type="noConversion"/>
  </si>
  <si>
    <t>시장</t>
    <phoneticPr fontId="3" type="noConversion"/>
  </si>
  <si>
    <t>코드</t>
    <phoneticPr fontId="3" type="noConversion"/>
  </si>
  <si>
    <t>165P3000</t>
    <phoneticPr fontId="3" type="noConversion"/>
  </si>
  <si>
    <t>코드규칙</t>
    <phoneticPr fontId="3" type="noConversion"/>
  </si>
  <si>
    <t>사용방법</t>
    <phoneticPr fontId="3" type="noConversion"/>
  </si>
  <si>
    <t>165M3000</t>
    <phoneticPr fontId="3" type="noConversion"/>
  </si>
  <si>
    <t>165N3000</t>
    <phoneticPr fontId="3" type="noConversion"/>
  </si>
  <si>
    <r>
      <t xml:space="preserve">2. </t>
    </r>
    <r>
      <rPr>
        <sz val="11"/>
        <color theme="1"/>
        <rFont val="Calibri"/>
        <family val="3"/>
        <charset val="129"/>
        <scheme val="minor"/>
      </rPr>
      <t xml:space="preserve">코드영역에 </t>
    </r>
    <r>
      <rPr>
        <b/>
        <sz val="11"/>
        <color theme="1"/>
        <rFont val="Calibri"/>
        <family val="3"/>
        <charset val="129"/>
        <scheme val="minor"/>
      </rPr>
      <t>조회할 코드 입력</t>
    </r>
    <phoneticPr fontId="3" type="noConversion"/>
  </si>
  <si>
    <t>4. 엑셀다운로드 창에서 파일 import</t>
    <phoneticPr fontId="3" type="noConversion"/>
  </si>
  <si>
    <t>월물1</t>
    <phoneticPr fontId="3" type="noConversion"/>
  </si>
  <si>
    <t>월물2</t>
    <phoneticPr fontId="3" type="noConversion"/>
  </si>
  <si>
    <t>종목코드</t>
    <phoneticPr fontId="3" type="noConversion"/>
  </si>
  <si>
    <t>=종목+연도+(월물1or월물2)</t>
    <phoneticPr fontId="3" type="noConversion"/>
  </si>
  <si>
    <t>eg)3년국채 2019년 3월물 = 165P3000</t>
    <phoneticPr fontId="3" type="noConversion"/>
  </si>
  <si>
    <t xml:space="preserve">    K200 mini 2018년 11월물 = 105NB000</t>
    <phoneticPr fontId="3" type="noConversion"/>
  </si>
  <si>
    <r>
      <t xml:space="preserve">3. "현재파일 저장" </t>
    </r>
    <r>
      <rPr>
        <sz val="11"/>
        <color theme="1"/>
        <rFont val="Calibri"/>
        <family val="3"/>
        <charset val="129"/>
        <scheme val="minor"/>
      </rPr>
      <t>혹은</t>
    </r>
    <r>
      <rPr>
        <b/>
        <sz val="11"/>
        <color theme="1"/>
        <rFont val="Calibri"/>
        <family val="3"/>
        <charset val="129"/>
        <scheme val="minor"/>
      </rPr>
      <t xml:space="preserve"> 입력영역을 새파일 첫시트-첫셀(A1)에 붙여넣기 하여 저장</t>
    </r>
    <phoneticPr fontId="3" type="noConversion"/>
  </si>
  <si>
    <t>&lt;복수 과거물 조회방법&gt;</t>
    <phoneticPr fontId="3" type="noConversion"/>
  </si>
  <si>
    <t>1. 과거물 코드확인 - [3632] 혹은 코드규칙 참조</t>
    <phoneticPr fontId="3" type="noConversion"/>
  </si>
  <si>
    <r>
      <t xml:space="preserve">5. </t>
    </r>
    <r>
      <rPr>
        <sz val="11"/>
        <color theme="1"/>
        <rFont val="Calibri"/>
        <family val="3"/>
        <charset val="129"/>
        <scheme val="minor"/>
      </rPr>
      <t>복수 과거물 조회시</t>
    </r>
    <r>
      <rPr>
        <b/>
        <sz val="11"/>
        <color theme="1"/>
        <rFont val="Calibri"/>
        <family val="3"/>
        <charset val="129"/>
        <scheme val="minor"/>
      </rPr>
      <t xml:space="preserve"> 시간관련 옵션선택 주의</t>
    </r>
    <phoneticPr fontId="3" type="noConversion"/>
  </si>
  <si>
    <t>&lt;단일 과거물 조회&gt;</t>
    <phoneticPr fontId="3" type="noConversion"/>
  </si>
  <si>
    <t>&lt;복수 과거물 조회&gt;</t>
    <phoneticPr fontId="3" type="noConversion"/>
  </si>
  <si>
    <t>최고가</t>
    <phoneticPr fontId="3" type="noConversion"/>
  </si>
  <si>
    <t>최저가</t>
    <phoneticPr fontId="3" type="noConversion"/>
  </si>
  <si>
    <t>거래개시일</t>
    <phoneticPr fontId="3" type="noConversion"/>
  </si>
  <si>
    <t xml:space="preserve">거래일수 </t>
    <phoneticPr fontId="3" type="noConversion"/>
  </si>
  <si>
    <t xml:space="preserve"> 코드</t>
    <phoneticPr fontId="3" type="noConversion"/>
  </si>
  <si>
    <t>종목</t>
    <phoneticPr fontId="3" type="noConversion"/>
  </si>
  <si>
    <t xml:space="preserve"> 선물 - 과거물 일별추이</t>
    <phoneticPr fontId="3" type="noConversion"/>
  </si>
  <si>
    <t>2011년 이전</t>
    <phoneticPr fontId="3" type="noConversion"/>
  </si>
  <si>
    <t>R</t>
    <phoneticPr fontId="3" type="noConversion"/>
  </si>
  <si>
    <t>S</t>
    <phoneticPr fontId="3" type="noConversion"/>
  </si>
  <si>
    <t>T</t>
    <phoneticPr fontId="3" type="noConversion"/>
  </si>
  <si>
    <t>V</t>
    <phoneticPr fontId="3" type="noConversion"/>
  </si>
  <si>
    <t>W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</si>
  <si>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</si>
  <si>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</si>
  <si>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</si>
  <si>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</si>
  <si>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0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</si>
  <si>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</si>
  <si>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</si>
  <si>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</si>
  <si>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</si>
  <si>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</si>
  <si>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A</t>
    <phoneticPr fontId="3" type="noConversion"/>
  </si>
  <si>
    <t>KTB03</t>
  </si>
  <si>
    <t>KTB05</t>
  </si>
  <si>
    <t>KTB10</t>
  </si>
  <si>
    <t>KTB30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</si>
</sst>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b/>
      <u/>
      <sz val="11"/>
      <color theme="1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  <font>
      <b/>
      <sz val="20"/>
      <color theme="0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4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0" xfId="2">
      <alignment vertical="center"/>
    </xf>
    <xf numFmtId="0" fontId="7" fillId="0" borderId="0" xfId="2" applyFont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12" xfId="0" applyBorder="1">
      <alignment vertical="center"/>
    </xf>
    <xf numFmtId="14" fontId="0" fillId="0" borderId="13" xfId="0" applyNumberFormat="1" applyBorder="1">
      <alignment vertical="center"/>
    </xf>
    <xf numFmtId="0" fontId="0" fillId="0" borderId="14" xfId="0" applyBorder="1">
      <alignment vertical="center"/>
    </xf>
    <xf numFmtId="14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41" fontId="0" fillId="0" borderId="19" xfId="1" applyFont="1" applyBorder="1">
      <alignment vertical="center"/>
    </xf>
    <xf numFmtId="0" fontId="0" fillId="0" borderId="20" xfId="0" applyBorder="1">
      <alignment vertical="center"/>
    </xf>
    <xf numFmtId="49" fontId="2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49" fontId="10" fillId="3" borderId="22" xfId="0" applyNumberFormat="1" applyFont="1" applyFill="1" applyBorder="1" applyAlignment="1">
      <alignment horizontal="center" vertical="center"/>
    </xf>
    <xf numFmtId="49" fontId="10" fillId="3" borderId="23" xfId="0" applyNumberFormat="1" applyFont="1" applyFill="1" applyBorder="1" applyAlignment="1">
      <alignment horizontal="center" vertical="center"/>
    </xf>
    <xf numFmtId="14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4" fontId="0" fillId="0" borderId="26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0" fillId="0" borderId="33" xfId="0" applyBorder="1">
      <alignment vertical="center"/>
    </xf>
    <xf numFmtId="41" fontId="0" fillId="0" borderId="33" xfId="1" applyFont="1" applyBorder="1">
      <alignment vertical="center"/>
    </xf>
    <xf numFmtId="0" fontId="12" fillId="2" borderId="0" xfId="0" applyFont="1" applyFill="1" applyAlignment="1">
      <alignment horizontal="left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3년국채    F 201703</v>
        <stp/>
        <stp>P</stp>
        <stp>0</stp>
        <stp>FUT</stp>
        <stp>165M3000</stp>
        <stp>한글종목명</stp>
        <stp/>
        <stp/>
        <tr r="C4" s="3"/>
      </tp>
      <tp t="s">
        <v>3년국채    F 201803</v>
        <stp/>
        <stp>P</stp>
        <stp>0</stp>
        <stp>FUT</stp>
        <stp>165N3000</stp>
        <stp>한글종목명</stp>
        <stp/>
        <stp/>
        <tr r="C3" s="3"/>
      </tp>
      <tp t="s">
        <v/>
        <stp/>
        <stp>P</stp>
        <stp>0</stp>
        <stp>FUT</stp>
        <stp>165P1000</stp>
        <stp>한글종목명</stp>
        <stp/>
        <stp/>
        <tr r="P7" s="2"/>
      </tp>
      <tp t="s">
        <v>3년국채    F 201903</v>
        <stp/>
        <stp>P</stp>
        <stp>0</stp>
        <stp>FUT</stp>
        <stp>165P3000</stp>
        <stp>한글종목명</stp>
        <stp/>
        <stp/>
        <tr r="C2" s="3"/>
      </tp>
      <tp t="s">
        <v>3년국채    F 202403</v>
        <stp/>
        <stp>P</stp>
        <stp>0</stp>
        <stp>FUT</stp>
        <stp>165V3000</stp>
        <stp>한글종목명</stp>
        <stp/>
        <stp/>
        <tr r="O9" s="1"/>
      </tp>
      <tp>
        <v>0</v>
        <stp/>
        <stp>H</stp>
        <stp>x1.Wnom</stp>
        <stp>121</stp>
        <stp>1778672</stp>
        <tr r="D1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trlProps/ctrlProp1.xml><?xml version="1.0" encoding="utf-8"?>
<formControlPr xmlns="http://schemas.microsoft.com/office/spreadsheetml/2009/9/main" objectType="Drop" dropStyle="combo" dx="15" fmlaLink="코드!$A$2" fmlaRange="코드!$B$2:$B$167" noThreeD="1" sel="1" val="0"/>
</file>

<file path=xl/ctrlProps/ctrlProp2.xml><?xml version="1.0" encoding="utf-8"?>
<formControlPr xmlns="http://schemas.microsoft.com/office/spreadsheetml/2009/9/main" objectType="Drop" dropStyle="combo" dx="15" fmlaLink="코드!$D$2" fmlaRange="코드!$G$2:$G$38" noThreeD="1" sel="25" val="24"/>
</file>

<file path=xl/ctrlProps/ctrlProp3.xml><?xml version="1.0" encoding="utf-8"?>
<formControlPr xmlns="http://schemas.microsoft.com/office/spreadsheetml/2009/9/main" objectType="Drop" dropStyle="combo" dx="15" fmlaLink="코드!$Q$2" fmlaRange="코드!$R$2:$S$13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47625</xdr:rowOff>
    </xdr:from>
    <xdr:to>
      <xdr:col>19</xdr:col>
      <xdr:colOff>455944</xdr:colOff>
      <xdr:row>22</xdr:row>
      <xdr:rowOff>85275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66725"/>
          <a:ext cx="10057144" cy="3600000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5</xdr:row>
      <xdr:rowOff>190500</xdr:rowOff>
    </xdr:from>
    <xdr:to>
      <xdr:col>19</xdr:col>
      <xdr:colOff>66675</xdr:colOff>
      <xdr:row>7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63200" y="1238250"/>
          <a:ext cx="2733675" cy="4191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20</xdr:row>
      <xdr:rowOff>142875</xdr:rowOff>
    </xdr:from>
    <xdr:to>
      <xdr:col>4</xdr:col>
      <xdr:colOff>676275</xdr:colOff>
      <xdr:row>24</xdr:row>
      <xdr:rowOff>76200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371600" y="4343400"/>
          <a:ext cx="2047875" cy="771525"/>
        </a:xfrm>
        <a:prstGeom prst="straightConnector1">
          <a:avLst/>
        </a:prstGeom>
        <a:ln w="571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29</xdr:row>
      <xdr:rowOff>66675</xdr:rowOff>
    </xdr:from>
    <xdr:to>
      <xdr:col>21</xdr:col>
      <xdr:colOff>531963</xdr:colOff>
      <xdr:row>50</xdr:row>
      <xdr:rowOff>208982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6153150"/>
          <a:ext cx="11504763" cy="4542857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30</xdr:row>
      <xdr:rowOff>123825</xdr:rowOff>
    </xdr:from>
    <xdr:to>
      <xdr:col>17</xdr:col>
      <xdr:colOff>38100</xdr:colOff>
      <xdr:row>36</xdr:row>
      <xdr:rowOff>161925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877425" y="6419850"/>
          <a:ext cx="1933575" cy="12954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0</xdr:colOff>
      <xdr:row>53</xdr:row>
      <xdr:rowOff>47625</xdr:rowOff>
    </xdr:from>
    <xdr:to>
      <xdr:col>11</xdr:col>
      <xdr:colOff>589962</xdr:colOff>
      <xdr:row>83</xdr:row>
      <xdr:rowOff>18268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0" y="11210925"/>
          <a:ext cx="4704762" cy="6257143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54</xdr:row>
      <xdr:rowOff>104775</xdr:rowOff>
    </xdr:from>
    <xdr:to>
      <xdr:col>11</xdr:col>
      <xdr:colOff>476250</xdr:colOff>
      <xdr:row>59</xdr:row>
      <xdr:rowOff>190500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15000" y="11477625"/>
          <a:ext cx="2419350" cy="11334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57150</xdr:colOff>
      <xdr:row>62</xdr:row>
      <xdr:rowOff>0</xdr:rowOff>
    </xdr:from>
    <xdr:to>
      <xdr:col>11</xdr:col>
      <xdr:colOff>514350</xdr:colOff>
      <xdr:row>71</xdr:row>
      <xdr:rowOff>114300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600450" y="13049250"/>
          <a:ext cx="4572000" cy="200025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0</xdr:rowOff>
        </xdr:from>
        <xdr:to>
          <xdr:col>5</xdr:col>
          <xdr:colOff>95250</xdr:colOff>
          <xdr:row>6</xdr:row>
          <xdr:rowOff>9525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</xdr:row>
          <xdr:rowOff>0</xdr:rowOff>
        </xdr:from>
        <xdr:to>
          <xdr:col>6</xdr:col>
          <xdr:colOff>161925</xdr:colOff>
          <xdr:row>6</xdr:row>
          <xdr:rowOff>9525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</xdr:row>
          <xdr:rowOff>0</xdr:rowOff>
        </xdr:from>
        <xdr:to>
          <xdr:col>7</xdr:col>
          <xdr:colOff>104775</xdr:colOff>
          <xdr:row>6</xdr:row>
          <xdr:rowOff>9525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showGridLines="0" workbookViewId="0"/>
  </sheetViews>
  <sheetFormatPr defaultRowHeight="15"/>
  <cols>
    <col min="2" max="2" width="10.42578125" customWidth="1"/>
    <col min="3" max="3" width="18" customWidth="1"/>
    <col min="4" max="4" width="1.140625" customWidth="1"/>
    <col min="5" max="5" width="2.5703125" customWidth="1"/>
  </cols>
  <sheetData>
    <row r="1" spans="1:19" ht="15.75" thickBot="1">
      <c r="A1" s="22" t="s">
        <v>376</v>
      </c>
      <c r="B1" s="23" t="s">
        <v>377</v>
      </c>
      <c r="C1" s="24" t="s">
        <v>372</v>
      </c>
    </row>
    <row r="2" spans="1:19">
      <c r="A2" t="s">
        <v>373</v>
      </c>
      <c r="B2" s="21" t="s">
        <v>378</v>
      </c>
      <c r="C2" t="str">
        <f>_xll.IMDP(A2,B2,"한글종목명")</f>
        <v>3년국채    F 201903</v>
      </c>
    </row>
    <row r="3" spans="1:19" ht="18.75">
      <c r="A3" t="s">
        <v>373</v>
      </c>
      <c r="B3" s="7" t="s">
        <v>382</v>
      </c>
      <c r="C3" t="str">
        <f>_xll.IMDP(A3,B3,"한글종목명")</f>
        <v>3년국채    F 201803</v>
      </c>
      <c r="F3" s="25" t="s">
        <v>392</v>
      </c>
      <c r="N3" s="19" t="s">
        <v>395</v>
      </c>
    </row>
    <row r="4" spans="1:19">
      <c r="A4" t="s">
        <v>373</v>
      </c>
      <c r="B4" s="7" t="s">
        <v>381</v>
      </c>
      <c r="C4" t="str">
        <f>_xll.IMDP(A4,B4,"한글종목명")</f>
        <v>3년국채    F 201703</v>
      </c>
    </row>
    <row r="5" spans="1:19">
      <c r="A5" t="s">
        <v>373</v>
      </c>
      <c r="B5" s="7"/>
      <c r="C5" t="str">
        <f>_xll.IMDP(A5,B5,"한글종목명")</f>
        <v>입력오류</v>
      </c>
      <c r="F5" s="8" t="s">
        <v>393</v>
      </c>
      <c r="K5" s="20" t="s">
        <v>379</v>
      </c>
    </row>
    <row r="6" spans="1:19">
      <c r="A6" t="s">
        <v>373</v>
      </c>
      <c r="B6" s="7"/>
      <c r="C6" t="str">
        <f>_xll.IMDP(A6,B6,"한글종목명")</f>
        <v>입력오류</v>
      </c>
    </row>
    <row r="7" spans="1:19">
      <c r="A7" t="s">
        <v>373</v>
      </c>
      <c r="B7" s="7"/>
      <c r="C7" t="str">
        <f>_xll.IMDP(A7,B7,"한글종목명")</f>
        <v>입력오류</v>
      </c>
      <c r="F7" s="9"/>
    </row>
    <row r="8" spans="1:19">
      <c r="A8" t="s">
        <v>373</v>
      </c>
      <c r="B8" s="7"/>
      <c r="C8" t="str">
        <f>_xll.IMDP(A8,B8,"한글종목명")</f>
        <v>입력오류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>
      <c r="A9" t="s">
        <v>373</v>
      </c>
      <c r="B9" s="7"/>
      <c r="C9" t="str">
        <f>_xll.IMDP(A9,B9,"한글종목명")</f>
        <v>입력오류</v>
      </c>
    </row>
    <row r="10" spans="1:19">
      <c r="A10" t="s">
        <v>373</v>
      </c>
      <c r="B10" s="7"/>
      <c r="C10" t="str">
        <f>_xll.IMDP(A10,B10,"한글종목명")</f>
        <v>입력오류</v>
      </c>
    </row>
    <row r="11" spans="1:19">
      <c r="A11" t="s">
        <v>373</v>
      </c>
      <c r="B11" s="7"/>
      <c r="C11" t="str">
        <f>_xll.IMDP(A11,B11,"한글종목명")</f>
        <v>입력오류</v>
      </c>
    </row>
    <row r="12" spans="1:19">
      <c r="A12" t="s">
        <v>373</v>
      </c>
      <c r="B12" s="7"/>
      <c r="C12" t="str">
        <f>_xll.IMDP(A12,B12,"한글종목명")</f>
        <v>입력오류</v>
      </c>
    </row>
    <row r="13" spans="1:19">
      <c r="A13" t="s">
        <v>373</v>
      </c>
      <c r="B13" s="7"/>
      <c r="C13" t="str">
        <f>_xll.IMDP(A13,B13,"한글종목명")</f>
        <v>입력오류</v>
      </c>
    </row>
    <row r="14" spans="1:19">
      <c r="A14" t="s">
        <v>373</v>
      </c>
      <c r="B14" s="7"/>
      <c r="C14" t="str">
        <f>_xll.IMDP(A14,B14,"한글종목명")</f>
        <v>입력오류</v>
      </c>
    </row>
    <row r="15" spans="1:19">
      <c r="A15" t="s">
        <v>373</v>
      </c>
      <c r="B15" s="7"/>
      <c r="C15" t="str">
        <f>_xll.IMDP(A15,B15,"한글종목명")</f>
        <v>입력오류</v>
      </c>
    </row>
    <row r="16" spans="1:19">
      <c r="A16" t="s">
        <v>373</v>
      </c>
      <c r="B16" s="7"/>
      <c r="C16" t="str">
        <f>_xll.IMDP(A16,B16,"한글종목명")</f>
        <v>입력오류</v>
      </c>
    </row>
    <row r="17" spans="1:6">
      <c r="A17" t="s">
        <v>373</v>
      </c>
      <c r="B17" s="7"/>
      <c r="C17" t="str">
        <f>_xll.IMDP(A17,B17,"한글종목명")</f>
        <v>입력오류</v>
      </c>
    </row>
    <row r="18" spans="1:6">
      <c r="A18" t="s">
        <v>373</v>
      </c>
      <c r="B18" s="7"/>
      <c r="C18" t="str">
        <f>_xll.IMDP(A18,B18,"한글종목명")</f>
        <v>입력오류</v>
      </c>
    </row>
    <row r="19" spans="1:6">
      <c r="A19" t="s">
        <v>373</v>
      </c>
      <c r="B19" s="7"/>
      <c r="C19" t="str">
        <f>_xll.IMDP(A19,B19,"한글종목명")</f>
        <v>입력오류</v>
      </c>
    </row>
    <row r="20" spans="1:6">
      <c r="A20" t="s">
        <v>373</v>
      </c>
      <c r="B20" s="7"/>
      <c r="C20" t="str">
        <f>_xll.IMDP(A20,B20,"한글종목명")</f>
        <v>입력오류</v>
      </c>
    </row>
    <row r="21" spans="1:6">
      <c r="A21" t="s">
        <v>373</v>
      </c>
      <c r="B21" s="7"/>
      <c r="C21" t="str">
        <f>_xll.IMDP(A21,B21,"한글종목명")</f>
        <v>입력오류</v>
      </c>
    </row>
    <row r="22" spans="1:6">
      <c r="A22" t="s">
        <v>373</v>
      </c>
      <c r="B22" s="7"/>
      <c r="C22" t="str">
        <f>_xll.IMDP(A22,B22,"한글종목명")</f>
        <v>입력오류</v>
      </c>
    </row>
    <row r="23" spans="1:6">
      <c r="A23" t="s">
        <v>373</v>
      </c>
      <c r="B23" s="7"/>
      <c r="C23" t="str">
        <f>_xll.IMDP(A23,B23,"한글종목명")</f>
        <v>입력오류</v>
      </c>
    </row>
    <row r="25" spans="1:6">
      <c r="F25" s="8" t="s">
        <v>383</v>
      </c>
    </row>
    <row r="27" spans="1:6">
      <c r="F27" s="8" t="s">
        <v>391</v>
      </c>
    </row>
    <row r="29" spans="1:6">
      <c r="F29" s="8" t="s">
        <v>384</v>
      </c>
    </row>
    <row r="53" spans="6:6">
      <c r="F53" s="8" t="s">
        <v>394</v>
      </c>
    </row>
  </sheetData>
  <phoneticPr fontId="3" type="noConversion"/>
  <hyperlinks>
    <hyperlink ref="K5" location="코드!A1" display="코드규칙" xr:uid="{00000000-0004-0000-0000-000000000000}"/>
    <hyperlink ref="N3" location="과거월물조회!A1" display="&lt;단일 과거물 조회&gt;" xr:uid="{00000000-0004-0000-0000-000001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11"/>
  <sheetViews>
    <sheetView showGridLines="0" tabSelected="1" topLeftCell="C1" workbookViewId="0">
      <selection activeCell="C1" sqref="C1"/>
    </sheetView>
  </sheetViews>
  <sheetFormatPr defaultColWidth="0" defaultRowHeight="15"/>
  <cols>
    <col min="1" max="2" width="9.140625" hidden="1" customWidth="1"/>
    <col min="3" max="3" width="2.28515625" customWidth="1"/>
    <col min="4" max="4" width="11.140625" bestFit="1" customWidth="1"/>
    <col min="5" max="5" width="10.42578125" customWidth="1"/>
    <col min="6" max="6" width="10.140625" customWidth="1"/>
    <col min="7" max="7" width="10.85546875" customWidth="1"/>
    <col min="8" max="8" width="8.5703125" customWidth="1"/>
    <col min="9" max="9" width="9" customWidth="1"/>
    <col min="10" max="10" width="12.42578125" customWidth="1"/>
    <col min="11" max="11" width="15" customWidth="1"/>
    <col min="12" max="12" width="17.85546875" customWidth="1"/>
    <col min="13" max="13" width="15.28515625" bestFit="1" customWidth="1"/>
    <col min="14" max="14" width="8.28515625" customWidth="1"/>
    <col min="15" max="15" width="14" customWidth="1"/>
    <col min="16" max="16" width="7.42578125" bestFit="1" customWidth="1"/>
    <col min="17" max="17" width="7.140625" bestFit="1" customWidth="1"/>
    <col min="18" max="18" width="9.140625" customWidth="1"/>
    <col min="19" max="23" width="9.140625" hidden="1"/>
    <col min="24" max="24" width="11.140625" hidden="1"/>
    <col min="25" max="25" width="11.28515625" hidden="1"/>
    <col min="26" max="31" width="9.140625" hidden="1"/>
    <col min="32" max="32" width="12.7109375" hidden="1"/>
    <col min="33" max="16384" width="9.140625" hidden="1"/>
  </cols>
  <sheetData>
    <row r="1" spans="1:17" ht="5.25" customHeight="1"/>
    <row r="2" spans="1:17" ht="33" customHeight="1">
      <c r="D2" s="51" t="s">
        <v>403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7" hidden="1"/>
    <row r="4" spans="1:17" hidden="1"/>
    <row r="5" spans="1:17" ht="11.25" customHeight="1">
      <c r="M5" s="1"/>
      <c r="O5" s="1"/>
    </row>
    <row r="6" spans="1:17">
      <c r="H6" s="3"/>
      <c r="O6" s="19" t="s">
        <v>396</v>
      </c>
    </row>
    <row r="7" spans="1:17" ht="8.25" customHeight="1" thickBot="1">
      <c r="H7" s="3"/>
      <c r="O7" s="19"/>
    </row>
    <row r="8" spans="1:17" ht="15.75" thickBot="1">
      <c r="D8" s="52" t="s">
        <v>397</v>
      </c>
      <c r="E8" s="43">
        <f>IFERROR(VLOOKUP(E9,A13:D1000,4,0),"")</f>
        <v>45288</v>
      </c>
      <c r="F8" s="52" t="s">
        <v>398</v>
      </c>
      <c r="G8" s="43">
        <f>IFERROR(VLOOKUP(G9,B13:D1000,3,0),"")</f>
        <v>45218</v>
      </c>
      <c r="J8" s="46" t="s">
        <v>399</v>
      </c>
      <c r="K8" s="45">
        <f>MIN(D13:D1000)</f>
        <v>45189</v>
      </c>
      <c r="N8" s="46" t="s">
        <v>401</v>
      </c>
      <c r="O8" s="56" t="str">
        <f>IF(코드!P2&amp;코드!P3&amp;코드!P4="164EC000","167EC000",코드!P2&amp;코드!P3&amp;코드!P4)</f>
        <v>165V3000</v>
      </c>
      <c r="P8" s="57"/>
    </row>
    <row r="9" spans="1:17" ht="15.75" thickBot="1">
      <c r="D9" s="53"/>
      <c r="E9" s="44">
        <f>MAX(A13:A1000)</f>
        <v>105.42</v>
      </c>
      <c r="F9" s="53"/>
      <c r="G9" s="44">
        <f>MIN(B13:B1000)</f>
        <v>102.3</v>
      </c>
      <c r="J9" s="46" t="s">
        <v>400</v>
      </c>
      <c r="K9" s="58">
        <f>COUNT(D13:D1000)+1</f>
        <v>101</v>
      </c>
      <c r="N9" s="46" t="s">
        <v>402</v>
      </c>
      <c r="O9" s="54" t="str" cm="1">
        <f t="array" ref="O9">IF(AND(코드!$P$2="170", 코드!$D$2&lt;25), "", _xll.IMDP("FUT",O8,"한글종목명") )</f>
        <v>3년국채    F 202403</v>
      </c>
      <c r="P9" s="55"/>
    </row>
    <row r="11" spans="1:17" ht="15.75" thickBot="1">
      <c r="D11" t="str">
        <f ca="1">_xll.IMDH("FUT",O8,D12:Q12,IF(코드!$P$2="170", "2024-02-19", TODAY()-9999),TODAY(),9999,"Per=일,sort=D,real=true,Bizday=0,Quote=종가,Pos=20,Orient=V,DtFmt=1,TmFmt=1")</f>
        <v>조회[165V3000]</v>
      </c>
    </row>
    <row r="12" spans="1:17" ht="15.75" thickBot="1">
      <c r="C12" s="3"/>
      <c r="D12" s="37" t="s">
        <v>358</v>
      </c>
      <c r="E12" s="38" t="s">
        <v>359</v>
      </c>
      <c r="F12" s="38" t="s">
        <v>360</v>
      </c>
      <c r="G12" s="38" t="s">
        <v>361</v>
      </c>
      <c r="H12" s="38" t="s">
        <v>362</v>
      </c>
      <c r="I12" s="38" t="s">
        <v>363</v>
      </c>
      <c r="J12" s="38" t="s">
        <v>364</v>
      </c>
      <c r="K12" s="38" t="s">
        <v>365</v>
      </c>
      <c r="L12" s="38" t="s">
        <v>366</v>
      </c>
      <c r="M12" s="38" t="s">
        <v>367</v>
      </c>
      <c r="N12" s="38" t="s">
        <v>368</v>
      </c>
      <c r="O12" s="38" t="s">
        <v>369</v>
      </c>
      <c r="P12" s="38" t="s">
        <v>370</v>
      </c>
      <c r="Q12" s="39" t="s">
        <v>371</v>
      </c>
    </row>
    <row r="13" spans="1:17">
      <c r="A13">
        <f>IF($J13=0,"",H13)</f>
        <v>104.55999799999999</v>
      </c>
      <c r="B13">
        <f>IF($J13=0,"",I13)</f>
        <v>104.44000200000001</v>
      </c>
      <c r="D13" s="29">
        <v>45342</v>
      </c>
      <c r="E13" s="30">
        <v>104.44000200000001</v>
      </c>
      <c r="F13" s="30">
        <v>-7.0000000000000007E-2</v>
      </c>
      <c r="G13" s="30">
        <v>104.470001</v>
      </c>
      <c r="H13" s="30">
        <v>104.55999799999999</v>
      </c>
      <c r="I13" s="30">
        <v>104.44000200000001</v>
      </c>
      <c r="J13" s="31">
        <v>124947</v>
      </c>
      <c r="K13" s="31">
        <v>13056947190</v>
      </c>
      <c r="L13" s="31">
        <v>403605</v>
      </c>
      <c r="M13" s="31">
        <v>-2065</v>
      </c>
      <c r="N13" s="30">
        <v>104.425003</v>
      </c>
      <c r="O13" s="30">
        <v>104.401</v>
      </c>
      <c r="P13" s="30">
        <v>104.44000200000001</v>
      </c>
      <c r="Q13" s="32">
        <v>1.4999999999999999E-2</v>
      </c>
    </row>
    <row r="14" spans="1:17">
      <c r="A14">
        <f t="shared" ref="A14:A77" si="0">IF($J14=0,"",H14)</f>
        <v>104.53</v>
      </c>
      <c r="B14">
        <f t="shared" ref="B14:B77" si="1">IF($J14=0,"",I14)</f>
        <v>104.42</v>
      </c>
      <c r="D14" s="27">
        <v>45341</v>
      </c>
      <c r="E14" s="26">
        <v>104.51</v>
      </c>
      <c r="F14" s="26">
        <v>0.05</v>
      </c>
      <c r="G14" s="30">
        <v>104.43</v>
      </c>
      <c r="H14" s="30">
        <v>104.53</v>
      </c>
      <c r="I14" s="30">
        <v>104.42</v>
      </c>
      <c r="J14" s="31">
        <v>80221</v>
      </c>
      <c r="K14" s="31">
        <v>8380495120</v>
      </c>
      <c r="L14" s="31">
        <v>405670</v>
      </c>
      <c r="M14" s="31">
        <v>1619</v>
      </c>
      <c r="N14" s="26">
        <v>104.46</v>
      </c>
      <c r="O14" s="26">
        <v>104.435</v>
      </c>
      <c r="P14" s="26">
        <v>104.51</v>
      </c>
      <c r="Q14" s="28">
        <v>0.05</v>
      </c>
    </row>
    <row r="15" spans="1:17">
      <c r="A15">
        <f t="shared" si="0"/>
        <v>104.51</v>
      </c>
      <c r="B15">
        <f t="shared" si="1"/>
        <v>104.39</v>
      </c>
      <c r="D15" s="27">
        <v>45338</v>
      </c>
      <c r="E15" s="26">
        <v>104.46</v>
      </c>
      <c r="F15" s="26">
        <v>0.01</v>
      </c>
      <c r="G15" s="30">
        <v>104.4</v>
      </c>
      <c r="H15" s="30">
        <v>104.51</v>
      </c>
      <c r="I15" s="30">
        <v>104.39</v>
      </c>
      <c r="J15" s="31">
        <v>104907</v>
      </c>
      <c r="K15" s="31">
        <v>10957443780</v>
      </c>
      <c r="L15" s="31">
        <v>404051</v>
      </c>
      <c r="M15" s="31">
        <v>-3313</v>
      </c>
      <c r="N15" s="26">
        <v>104.437</v>
      </c>
      <c r="O15" s="26">
        <v>104.40900000000001</v>
      </c>
      <c r="P15" s="26">
        <v>104.46</v>
      </c>
      <c r="Q15" s="28">
        <v>2.3E-2</v>
      </c>
    </row>
    <row r="16" spans="1:17">
      <c r="A16">
        <f t="shared" si="0"/>
        <v>104.57</v>
      </c>
      <c r="B16">
        <f t="shared" si="1"/>
        <v>104.45</v>
      </c>
      <c r="D16" s="27">
        <v>45337</v>
      </c>
      <c r="E16" s="26">
        <v>104.45</v>
      </c>
      <c r="F16" s="26">
        <v>0.02</v>
      </c>
      <c r="G16" s="30">
        <v>104.5</v>
      </c>
      <c r="H16" s="30">
        <v>104.57</v>
      </c>
      <c r="I16" s="30">
        <v>104.45</v>
      </c>
      <c r="J16" s="31">
        <v>156463</v>
      </c>
      <c r="K16" s="31">
        <v>16352646710</v>
      </c>
      <c r="L16" s="31">
        <v>407364</v>
      </c>
      <c r="M16" s="31">
        <v>7989</v>
      </c>
      <c r="N16" s="26">
        <v>104.443</v>
      </c>
      <c r="O16" s="26">
        <v>104.41</v>
      </c>
      <c r="P16" s="26">
        <v>104.45</v>
      </c>
      <c r="Q16" s="28">
        <v>7.0000000000000001E-3</v>
      </c>
    </row>
    <row r="17" spans="1:17">
      <c r="A17">
        <f t="shared" si="0"/>
        <v>104.43</v>
      </c>
      <c r="B17">
        <f t="shared" si="1"/>
        <v>104.25</v>
      </c>
      <c r="D17" s="27">
        <v>45336</v>
      </c>
      <c r="E17" s="26">
        <v>104.43</v>
      </c>
      <c r="F17" s="26">
        <v>-0.21</v>
      </c>
      <c r="G17" s="30">
        <v>104.36</v>
      </c>
      <c r="H17" s="30">
        <v>104.43</v>
      </c>
      <c r="I17" s="30">
        <v>104.25</v>
      </c>
      <c r="J17" s="31">
        <v>213090</v>
      </c>
      <c r="K17" s="31">
        <v>22230741730</v>
      </c>
      <c r="L17" s="31">
        <v>399375</v>
      </c>
      <c r="M17" s="31">
        <v>-10928</v>
      </c>
      <c r="N17" s="26">
        <v>104.422</v>
      </c>
      <c r="O17" s="26">
        <v>104.392</v>
      </c>
      <c r="P17" s="26">
        <v>104.43</v>
      </c>
      <c r="Q17" s="28">
        <v>8.0000000000000002E-3</v>
      </c>
    </row>
    <row r="18" spans="1:17">
      <c r="A18">
        <f t="shared" si="0"/>
        <v>104.72</v>
      </c>
      <c r="B18">
        <f t="shared" si="1"/>
        <v>104.6</v>
      </c>
      <c r="D18" s="27">
        <v>45335</v>
      </c>
      <c r="E18" s="26">
        <v>104.64</v>
      </c>
      <c r="F18" s="26">
        <v>-0.14000000000000001</v>
      </c>
      <c r="G18" s="30">
        <v>104.72</v>
      </c>
      <c r="H18" s="30">
        <v>104.72</v>
      </c>
      <c r="I18" s="30">
        <v>104.6</v>
      </c>
      <c r="J18" s="31">
        <v>147682</v>
      </c>
      <c r="K18" s="31">
        <v>15456085660</v>
      </c>
      <c r="L18" s="31">
        <v>410303</v>
      </c>
      <c r="M18" s="31">
        <v>531</v>
      </c>
      <c r="N18" s="26">
        <v>104.614</v>
      </c>
      <c r="O18" s="26">
        <v>104.58</v>
      </c>
      <c r="P18" s="26">
        <v>104.64</v>
      </c>
      <c r="Q18" s="28">
        <v>2.5999999999999999E-2</v>
      </c>
    </row>
    <row r="19" spans="1:17">
      <c r="A19">
        <f t="shared" si="0"/>
        <v>104.86</v>
      </c>
      <c r="B19">
        <f t="shared" si="1"/>
        <v>104.78</v>
      </c>
      <c r="D19" s="27">
        <v>45330</v>
      </c>
      <c r="E19" s="26">
        <v>104.78</v>
      </c>
      <c r="F19" s="26">
        <v>-0.06</v>
      </c>
      <c r="G19" s="30">
        <v>104.82</v>
      </c>
      <c r="H19" s="30">
        <v>104.86</v>
      </c>
      <c r="I19" s="30">
        <v>104.78</v>
      </c>
      <c r="J19" s="31">
        <v>75657</v>
      </c>
      <c r="K19" s="31">
        <v>7930479980</v>
      </c>
      <c r="L19" s="31">
        <v>409772</v>
      </c>
      <c r="M19" s="31">
        <v>4684</v>
      </c>
      <c r="N19" s="26">
        <v>104.75700000000001</v>
      </c>
      <c r="O19" s="26">
        <v>104.712</v>
      </c>
      <c r="P19" s="26">
        <v>104.78</v>
      </c>
      <c r="Q19" s="28">
        <v>2.3E-2</v>
      </c>
    </row>
    <row r="20" spans="1:17">
      <c r="A20">
        <f t="shared" si="0"/>
        <v>104.91</v>
      </c>
      <c r="B20">
        <f t="shared" si="1"/>
        <v>104.84</v>
      </c>
      <c r="D20" s="27">
        <v>45329</v>
      </c>
      <c r="E20" s="26">
        <v>104.84</v>
      </c>
      <c r="F20" s="26">
        <v>-0.01</v>
      </c>
      <c r="G20" s="30">
        <v>104.88</v>
      </c>
      <c r="H20" s="30">
        <v>104.91</v>
      </c>
      <c r="I20" s="30">
        <v>104.84</v>
      </c>
      <c r="J20" s="31">
        <v>83356</v>
      </c>
      <c r="K20" s="31">
        <v>8741377140</v>
      </c>
      <c r="L20" s="31">
        <v>405088</v>
      </c>
      <c r="M20" s="31">
        <v>-9481</v>
      </c>
      <c r="N20" s="26">
        <v>104.792</v>
      </c>
      <c r="O20" s="26">
        <v>104.751</v>
      </c>
      <c r="P20" s="26">
        <v>104.84</v>
      </c>
      <c r="Q20" s="28">
        <v>4.8000000000000001E-2</v>
      </c>
    </row>
    <row r="21" spans="1:17">
      <c r="A21">
        <f t="shared" si="0"/>
        <v>104.88</v>
      </c>
      <c r="B21">
        <f t="shared" si="1"/>
        <v>104.7</v>
      </c>
      <c r="D21" s="27">
        <v>45328</v>
      </c>
      <c r="E21" s="26">
        <v>104.85</v>
      </c>
      <c r="F21" s="26">
        <v>7.0000000000000007E-2</v>
      </c>
      <c r="G21" s="30">
        <v>104.73</v>
      </c>
      <c r="H21" s="30">
        <v>104.88</v>
      </c>
      <c r="I21" s="30">
        <v>104.7</v>
      </c>
      <c r="J21" s="31">
        <v>128166</v>
      </c>
      <c r="K21" s="31">
        <v>13430435940</v>
      </c>
      <c r="L21" s="31">
        <v>414569</v>
      </c>
      <c r="M21" s="31">
        <v>5991</v>
      </c>
      <c r="N21" s="26">
        <v>104.78</v>
      </c>
      <c r="O21" s="26">
        <v>104.733</v>
      </c>
      <c r="P21" s="26">
        <v>104.85</v>
      </c>
      <c r="Q21" s="28">
        <v>7.0000000000000007E-2</v>
      </c>
    </row>
    <row r="22" spans="1:17">
      <c r="A22">
        <f t="shared" si="0"/>
        <v>104.84</v>
      </c>
      <c r="B22">
        <f t="shared" si="1"/>
        <v>104.74</v>
      </c>
      <c r="D22" s="27">
        <v>45327</v>
      </c>
      <c r="E22" s="26">
        <v>104.78</v>
      </c>
      <c r="F22" s="26">
        <v>-0.25</v>
      </c>
      <c r="G22" s="30">
        <v>104.76</v>
      </c>
      <c r="H22" s="30">
        <v>104.84</v>
      </c>
      <c r="I22" s="30">
        <v>104.74</v>
      </c>
      <c r="J22" s="31">
        <v>164661</v>
      </c>
      <c r="K22" s="31">
        <v>17253757340</v>
      </c>
      <c r="L22" s="31">
        <v>408578</v>
      </c>
      <c r="M22" s="31">
        <v>-1337</v>
      </c>
      <c r="N22" s="26">
        <v>104.748</v>
      </c>
      <c r="O22" s="26">
        <v>104.70099999999999</v>
      </c>
      <c r="P22" s="26">
        <v>104.78</v>
      </c>
      <c r="Q22" s="28">
        <v>3.2000000000000001E-2</v>
      </c>
    </row>
    <row r="23" spans="1:17">
      <c r="A23">
        <f t="shared" si="0"/>
        <v>105.07</v>
      </c>
      <c r="B23">
        <f t="shared" si="1"/>
        <v>104.97</v>
      </c>
      <c r="D23" s="27">
        <v>45324</v>
      </c>
      <c r="E23" s="26">
        <v>105.03</v>
      </c>
      <c r="F23" s="26">
        <v>0.1</v>
      </c>
      <c r="G23" s="30">
        <v>105.04</v>
      </c>
      <c r="H23" s="30">
        <v>105.07</v>
      </c>
      <c r="I23" s="30">
        <v>104.97</v>
      </c>
      <c r="J23" s="31">
        <v>131484</v>
      </c>
      <c r="K23" s="31">
        <v>13808433580</v>
      </c>
      <c r="L23" s="31">
        <v>409915</v>
      </c>
      <c r="M23" s="31">
        <v>3356</v>
      </c>
      <c r="N23" s="26">
        <v>104.964</v>
      </c>
      <c r="O23" s="26">
        <v>104.905</v>
      </c>
      <c r="P23" s="26">
        <v>105.03</v>
      </c>
      <c r="Q23" s="28">
        <v>6.6000000000000003E-2</v>
      </c>
    </row>
    <row r="24" spans="1:17">
      <c r="A24">
        <f t="shared" si="0"/>
        <v>105.11</v>
      </c>
      <c r="B24">
        <f t="shared" si="1"/>
        <v>104.93</v>
      </c>
      <c r="D24" s="27">
        <v>45323</v>
      </c>
      <c r="E24" s="26">
        <v>104.93</v>
      </c>
      <c r="F24" s="26">
        <v>-0.02</v>
      </c>
      <c r="G24" s="30">
        <v>105.1</v>
      </c>
      <c r="H24" s="30">
        <v>105.11</v>
      </c>
      <c r="I24" s="30">
        <v>104.93</v>
      </c>
      <c r="J24" s="31">
        <v>142379</v>
      </c>
      <c r="K24" s="31">
        <v>14952622410</v>
      </c>
      <c r="L24" s="31">
        <v>406559</v>
      </c>
      <c r="M24" s="31">
        <v>8440</v>
      </c>
      <c r="N24" s="26">
        <v>104.88200000000001</v>
      </c>
      <c r="O24" s="26">
        <v>104.824</v>
      </c>
      <c r="P24" s="26">
        <v>104.93</v>
      </c>
      <c r="Q24" s="28">
        <v>4.8000000000000001E-2</v>
      </c>
    </row>
    <row r="25" spans="1:17">
      <c r="A25">
        <f t="shared" si="0"/>
        <v>105</v>
      </c>
      <c r="B25">
        <f t="shared" si="1"/>
        <v>104.85</v>
      </c>
      <c r="D25" s="27">
        <v>45322</v>
      </c>
      <c r="E25" s="26">
        <v>104.95</v>
      </c>
      <c r="F25" s="26">
        <v>0.04</v>
      </c>
      <c r="G25" s="30">
        <v>104.89</v>
      </c>
      <c r="H25" s="30">
        <v>105</v>
      </c>
      <c r="I25" s="30">
        <v>104.85</v>
      </c>
      <c r="J25" s="31">
        <v>133308</v>
      </c>
      <c r="K25" s="31">
        <v>13988425370</v>
      </c>
      <c r="L25" s="31">
        <v>398119</v>
      </c>
      <c r="M25" s="31">
        <v>1711</v>
      </c>
      <c r="N25" s="26">
        <v>104.905</v>
      </c>
      <c r="O25" s="26">
        <v>104.84099999999999</v>
      </c>
      <c r="P25" s="26">
        <v>104.95</v>
      </c>
      <c r="Q25" s="28">
        <v>4.4999999999999998E-2</v>
      </c>
    </row>
    <row r="26" spans="1:17">
      <c r="A26">
        <f t="shared" si="0"/>
        <v>104.94</v>
      </c>
      <c r="B26">
        <f t="shared" si="1"/>
        <v>104.88</v>
      </c>
      <c r="D26" s="27">
        <v>45321</v>
      </c>
      <c r="E26" s="26">
        <v>104.91</v>
      </c>
      <c r="F26" s="26">
        <v>0.12</v>
      </c>
      <c r="G26" s="30">
        <v>104.89</v>
      </c>
      <c r="H26" s="30">
        <v>104.94</v>
      </c>
      <c r="I26" s="30">
        <v>104.88</v>
      </c>
      <c r="J26" s="31">
        <v>129040</v>
      </c>
      <c r="K26" s="31">
        <v>13537273280</v>
      </c>
      <c r="L26" s="31">
        <v>396408</v>
      </c>
      <c r="M26" s="31">
        <v>3307</v>
      </c>
      <c r="N26" s="26">
        <v>104.87</v>
      </c>
      <c r="O26" s="26">
        <v>104.81100000000001</v>
      </c>
      <c r="P26" s="26">
        <v>104.91</v>
      </c>
      <c r="Q26" s="28">
        <v>0.04</v>
      </c>
    </row>
    <row r="27" spans="1:17">
      <c r="A27">
        <f t="shared" si="0"/>
        <v>104.84</v>
      </c>
      <c r="B27">
        <f t="shared" si="1"/>
        <v>104.79</v>
      </c>
      <c r="D27" s="27">
        <v>45320</v>
      </c>
      <c r="E27" s="26">
        <v>104.79</v>
      </c>
      <c r="F27" s="26">
        <v>-0.17</v>
      </c>
      <c r="G27" s="30">
        <v>104.81</v>
      </c>
      <c r="H27" s="30">
        <v>104.84</v>
      </c>
      <c r="I27" s="30">
        <v>104.79</v>
      </c>
      <c r="J27" s="31">
        <v>91049</v>
      </c>
      <c r="K27" s="31">
        <v>9543408860</v>
      </c>
      <c r="L27" s="31">
        <v>393101</v>
      </c>
      <c r="M27" s="31">
        <v>12013</v>
      </c>
      <c r="N27" s="26">
        <v>104.748</v>
      </c>
      <c r="O27" s="26">
        <v>104.69799999999999</v>
      </c>
      <c r="P27" s="26">
        <v>104.79</v>
      </c>
      <c r="Q27" s="28">
        <v>4.2000000000000003E-2</v>
      </c>
    </row>
    <row r="28" spans="1:17">
      <c r="A28">
        <f t="shared" si="0"/>
        <v>104.96</v>
      </c>
      <c r="B28">
        <f t="shared" si="1"/>
        <v>104.91</v>
      </c>
      <c r="D28" s="27">
        <v>45317</v>
      </c>
      <c r="E28" s="26">
        <v>104.96</v>
      </c>
      <c r="F28" s="26">
        <v>0.15</v>
      </c>
      <c r="G28" s="30">
        <v>104.92</v>
      </c>
      <c r="H28" s="30">
        <v>104.96</v>
      </c>
      <c r="I28" s="30">
        <v>104.91</v>
      </c>
      <c r="J28" s="31">
        <v>89051</v>
      </c>
      <c r="K28" s="31">
        <v>9344529770</v>
      </c>
      <c r="L28" s="31">
        <v>381088</v>
      </c>
      <c r="M28" s="31">
        <v>4236</v>
      </c>
      <c r="N28" s="26">
        <v>104.9</v>
      </c>
      <c r="O28" s="26">
        <v>104.83499999999999</v>
      </c>
      <c r="P28" s="26">
        <v>104.96</v>
      </c>
      <c r="Q28" s="28">
        <v>0.06</v>
      </c>
    </row>
    <row r="29" spans="1:17">
      <c r="A29">
        <f t="shared" si="0"/>
        <v>104.81</v>
      </c>
      <c r="B29">
        <f t="shared" si="1"/>
        <v>104.69</v>
      </c>
      <c r="D29" s="27">
        <v>45316</v>
      </c>
      <c r="E29" s="26">
        <v>104.81</v>
      </c>
      <c r="F29" s="26">
        <v>-0.02</v>
      </c>
      <c r="G29" s="30">
        <v>104.72</v>
      </c>
      <c r="H29" s="30">
        <v>104.81</v>
      </c>
      <c r="I29" s="30">
        <v>104.69</v>
      </c>
      <c r="J29" s="31">
        <v>108016</v>
      </c>
      <c r="K29" s="31">
        <v>11315541830</v>
      </c>
      <c r="L29" s="31">
        <v>376852</v>
      </c>
      <c r="M29" s="31">
        <v>-3839</v>
      </c>
      <c r="N29" s="26">
        <v>104.768</v>
      </c>
      <c r="O29" s="26">
        <v>104.714</v>
      </c>
      <c r="P29" s="26">
        <v>104.81</v>
      </c>
      <c r="Q29" s="28">
        <v>4.2000000000000003E-2</v>
      </c>
    </row>
    <row r="30" spans="1:17">
      <c r="A30">
        <f t="shared" si="0"/>
        <v>104.84</v>
      </c>
      <c r="B30">
        <f t="shared" si="1"/>
        <v>104.77</v>
      </c>
      <c r="D30" s="27">
        <v>45315</v>
      </c>
      <c r="E30" s="26">
        <v>104.83</v>
      </c>
      <c r="F30" s="26">
        <v>-0.05</v>
      </c>
      <c r="G30" s="30">
        <v>104.81</v>
      </c>
      <c r="H30" s="30">
        <v>104.84</v>
      </c>
      <c r="I30" s="30">
        <v>104.77</v>
      </c>
      <c r="J30" s="31">
        <v>99698</v>
      </c>
      <c r="K30" s="31">
        <v>10449061670</v>
      </c>
      <c r="L30" s="31">
        <v>380691</v>
      </c>
      <c r="M30" s="31">
        <v>4618</v>
      </c>
      <c r="N30" s="26">
        <v>104.795</v>
      </c>
      <c r="O30" s="26">
        <v>104.739</v>
      </c>
      <c r="P30" s="26">
        <v>104.83</v>
      </c>
      <c r="Q30" s="28">
        <v>3.5000000000000003E-2</v>
      </c>
    </row>
    <row r="31" spans="1:17">
      <c r="A31">
        <f t="shared" si="0"/>
        <v>104.93</v>
      </c>
      <c r="B31">
        <f t="shared" si="1"/>
        <v>104.84</v>
      </c>
      <c r="D31" s="27">
        <v>45314</v>
      </c>
      <c r="E31" s="26">
        <v>104.88</v>
      </c>
      <c r="F31" s="26">
        <v>-0.01</v>
      </c>
      <c r="G31" s="30">
        <v>104.92</v>
      </c>
      <c r="H31" s="30">
        <v>104.93</v>
      </c>
      <c r="I31" s="30">
        <v>104.84</v>
      </c>
      <c r="J31" s="31">
        <v>110467</v>
      </c>
      <c r="K31" s="31">
        <v>11585431010</v>
      </c>
      <c r="L31" s="31">
        <v>376073</v>
      </c>
      <c r="M31" s="31">
        <v>2919</v>
      </c>
      <c r="N31" s="26">
        <v>104.809</v>
      </c>
      <c r="O31" s="26">
        <v>104.749</v>
      </c>
      <c r="P31" s="26">
        <v>104.88</v>
      </c>
      <c r="Q31" s="28">
        <v>7.0999999999999994E-2</v>
      </c>
    </row>
    <row r="32" spans="1:17">
      <c r="A32">
        <f t="shared" si="0"/>
        <v>104.93</v>
      </c>
      <c r="B32">
        <f t="shared" si="1"/>
        <v>104.82</v>
      </c>
      <c r="D32" s="27">
        <v>45313</v>
      </c>
      <c r="E32" s="26">
        <v>104.89</v>
      </c>
      <c r="F32" s="26">
        <v>0.09</v>
      </c>
      <c r="G32" s="30">
        <v>104.84</v>
      </c>
      <c r="H32" s="30">
        <v>104.93</v>
      </c>
      <c r="I32" s="30">
        <v>104.82</v>
      </c>
      <c r="J32" s="31">
        <v>98739</v>
      </c>
      <c r="K32" s="31">
        <v>10356353530</v>
      </c>
      <c r="L32" s="31">
        <v>373154</v>
      </c>
      <c r="M32" s="31">
        <v>-5295</v>
      </c>
      <c r="N32" s="26">
        <v>104.84699999999999</v>
      </c>
      <c r="O32" s="26">
        <v>104.78</v>
      </c>
      <c r="P32" s="26">
        <v>104.89</v>
      </c>
      <c r="Q32" s="28">
        <v>4.2999999999999997E-2</v>
      </c>
    </row>
    <row r="33" spans="1:17">
      <c r="A33">
        <f t="shared" si="0"/>
        <v>104.85</v>
      </c>
      <c r="B33">
        <f t="shared" si="1"/>
        <v>104.76</v>
      </c>
      <c r="D33" s="27">
        <v>45310</v>
      </c>
      <c r="E33" s="26">
        <v>104.8</v>
      </c>
      <c r="F33" s="26">
        <v>-0.1</v>
      </c>
      <c r="G33" s="30">
        <v>104.81</v>
      </c>
      <c r="H33" s="30">
        <v>104.85</v>
      </c>
      <c r="I33" s="30">
        <v>104.76</v>
      </c>
      <c r="J33" s="31">
        <v>109013</v>
      </c>
      <c r="K33" s="31">
        <v>11424813750</v>
      </c>
      <c r="L33" s="31">
        <v>378449</v>
      </c>
      <c r="M33" s="31">
        <v>-6839</v>
      </c>
      <c r="N33" s="26">
        <v>104.76300000000001</v>
      </c>
      <c r="O33" s="26">
        <v>104.697</v>
      </c>
      <c r="P33" s="26">
        <v>104.8</v>
      </c>
      <c r="Q33" s="28">
        <v>3.6999999999999998E-2</v>
      </c>
    </row>
    <row r="34" spans="1:17">
      <c r="A34">
        <f t="shared" si="0"/>
        <v>104.9</v>
      </c>
      <c r="B34">
        <f t="shared" si="1"/>
        <v>104.75</v>
      </c>
      <c r="D34" s="27">
        <v>45309</v>
      </c>
      <c r="E34" s="26">
        <v>104.9</v>
      </c>
      <c r="F34" s="26">
        <v>-0.02</v>
      </c>
      <c r="G34" s="30">
        <v>104.76</v>
      </c>
      <c r="H34" s="30">
        <v>104.9</v>
      </c>
      <c r="I34" s="30">
        <v>104.75</v>
      </c>
      <c r="J34" s="31">
        <v>137530</v>
      </c>
      <c r="K34" s="31">
        <v>14417358330</v>
      </c>
      <c r="L34" s="31">
        <v>385288</v>
      </c>
      <c r="M34" s="31">
        <v>-4590</v>
      </c>
      <c r="N34" s="26">
        <v>104.876</v>
      </c>
      <c r="O34" s="26">
        <v>104.8</v>
      </c>
      <c r="P34" s="26">
        <v>104.9</v>
      </c>
      <c r="Q34" s="28">
        <v>2.4E-2</v>
      </c>
    </row>
    <row r="35" spans="1:17">
      <c r="A35">
        <f t="shared" si="0"/>
        <v>104.97</v>
      </c>
      <c r="B35">
        <f t="shared" si="1"/>
        <v>104.88</v>
      </c>
      <c r="D35" s="27">
        <v>45308</v>
      </c>
      <c r="E35" s="26">
        <v>104.92</v>
      </c>
      <c r="F35" s="26">
        <v>-0.13</v>
      </c>
      <c r="G35" s="30">
        <v>104.97</v>
      </c>
      <c r="H35" s="30">
        <v>104.97</v>
      </c>
      <c r="I35" s="30">
        <v>104.88</v>
      </c>
      <c r="J35" s="31">
        <v>146504</v>
      </c>
      <c r="K35" s="31">
        <v>15371626340</v>
      </c>
      <c r="L35" s="31">
        <v>389878</v>
      </c>
      <c r="M35" s="31">
        <v>3370</v>
      </c>
      <c r="N35" s="26">
        <v>104.88200000000001</v>
      </c>
      <c r="O35" s="26">
        <v>104.803</v>
      </c>
      <c r="P35" s="26">
        <v>104.92</v>
      </c>
      <c r="Q35" s="28">
        <v>3.7999999999999999E-2</v>
      </c>
    </row>
    <row r="36" spans="1:17">
      <c r="A36">
        <f t="shared" si="0"/>
        <v>105.12</v>
      </c>
      <c r="B36">
        <f t="shared" si="1"/>
        <v>105</v>
      </c>
      <c r="D36" s="27">
        <v>45307</v>
      </c>
      <c r="E36" s="26">
        <v>105.05</v>
      </c>
      <c r="F36" s="26">
        <v>-0.12</v>
      </c>
      <c r="G36" s="30">
        <v>105.1</v>
      </c>
      <c r="H36" s="30">
        <v>105.12</v>
      </c>
      <c r="I36" s="30">
        <v>105</v>
      </c>
      <c r="J36" s="31">
        <v>122662</v>
      </c>
      <c r="K36" s="31">
        <v>12884394420</v>
      </c>
      <c r="L36" s="31">
        <v>386508</v>
      </c>
      <c r="M36" s="31">
        <v>-5984</v>
      </c>
      <c r="N36" s="26">
        <v>105.014</v>
      </c>
      <c r="O36" s="26">
        <v>104.922</v>
      </c>
      <c r="P36" s="26">
        <v>105.05</v>
      </c>
      <c r="Q36" s="28">
        <v>3.5999999999999997E-2</v>
      </c>
    </row>
    <row r="37" spans="1:17">
      <c r="A37">
        <f t="shared" si="0"/>
        <v>105.23</v>
      </c>
      <c r="B37">
        <f t="shared" si="1"/>
        <v>105.17</v>
      </c>
      <c r="D37" s="27">
        <v>45306</v>
      </c>
      <c r="E37" s="26">
        <v>105.17</v>
      </c>
      <c r="F37" s="26">
        <v>0.01</v>
      </c>
      <c r="G37" s="30">
        <v>105.2</v>
      </c>
      <c r="H37" s="30">
        <v>105.23</v>
      </c>
      <c r="I37" s="30">
        <v>105.17</v>
      </c>
      <c r="J37" s="31">
        <v>89314</v>
      </c>
      <c r="K37" s="31">
        <v>9396201610</v>
      </c>
      <c r="L37" s="31">
        <v>392492</v>
      </c>
      <c r="M37" s="31">
        <v>4377</v>
      </c>
      <c r="N37" s="26">
        <v>105.122</v>
      </c>
      <c r="O37" s="26">
        <v>105.02</v>
      </c>
      <c r="P37" s="26">
        <v>105.17</v>
      </c>
      <c r="Q37" s="28">
        <v>4.8000000000000001E-2</v>
      </c>
    </row>
    <row r="38" spans="1:17">
      <c r="A38">
        <f t="shared" si="0"/>
        <v>105.22</v>
      </c>
      <c r="B38">
        <f t="shared" si="1"/>
        <v>105.12</v>
      </c>
      <c r="D38" s="27">
        <v>45303</v>
      </c>
      <c r="E38" s="26">
        <v>105.16</v>
      </c>
      <c r="F38" s="26">
        <v>0.09</v>
      </c>
      <c r="G38" s="30">
        <v>105.2</v>
      </c>
      <c r="H38" s="30">
        <v>105.22</v>
      </c>
      <c r="I38" s="30">
        <v>105.12</v>
      </c>
      <c r="J38" s="31">
        <v>108612</v>
      </c>
      <c r="K38" s="31">
        <v>11422279850</v>
      </c>
      <c r="L38" s="31">
        <v>388115</v>
      </c>
      <c r="M38" s="31">
        <v>7050</v>
      </c>
      <c r="N38" s="26">
        <v>105.11</v>
      </c>
      <c r="O38" s="26">
        <v>105.001</v>
      </c>
      <c r="P38" s="26">
        <v>105.16</v>
      </c>
      <c r="Q38" s="28">
        <v>0.05</v>
      </c>
    </row>
    <row r="39" spans="1:17">
      <c r="A39">
        <f t="shared" si="0"/>
        <v>105.14</v>
      </c>
      <c r="B39">
        <f t="shared" si="1"/>
        <v>104.97</v>
      </c>
      <c r="D39" s="27">
        <v>45302</v>
      </c>
      <c r="E39" s="26">
        <v>105.07</v>
      </c>
      <c r="F39" s="26">
        <v>0.12</v>
      </c>
      <c r="G39" s="30">
        <v>104.97</v>
      </c>
      <c r="H39" s="30">
        <v>105.14</v>
      </c>
      <c r="I39" s="30">
        <v>104.97</v>
      </c>
      <c r="J39" s="31">
        <v>164780</v>
      </c>
      <c r="K39" s="31">
        <v>17311927040</v>
      </c>
      <c r="L39" s="31">
        <v>381065</v>
      </c>
      <c r="M39" s="31">
        <v>1197</v>
      </c>
      <c r="N39" s="26">
        <v>105.02500000000001</v>
      </c>
      <c r="O39" s="26">
        <v>104.92100000000001</v>
      </c>
      <c r="P39" s="26">
        <v>105.07</v>
      </c>
      <c r="Q39" s="28">
        <v>4.4999999999999998E-2</v>
      </c>
    </row>
    <row r="40" spans="1:17">
      <c r="A40">
        <f t="shared" si="0"/>
        <v>105.06</v>
      </c>
      <c r="B40">
        <f t="shared" si="1"/>
        <v>104.9</v>
      </c>
      <c r="D40" s="27">
        <v>45301</v>
      </c>
      <c r="E40" s="26">
        <v>104.95</v>
      </c>
      <c r="F40" s="26">
        <v>-0.04</v>
      </c>
      <c r="G40" s="30">
        <v>105.06</v>
      </c>
      <c r="H40" s="30">
        <v>105.06</v>
      </c>
      <c r="I40" s="30">
        <v>104.9</v>
      </c>
      <c r="J40" s="31">
        <v>108017</v>
      </c>
      <c r="K40" s="31">
        <v>11336487490</v>
      </c>
      <c r="L40" s="31">
        <v>379868</v>
      </c>
      <c r="M40" s="31">
        <v>27</v>
      </c>
      <c r="N40" s="26">
        <v>104.911</v>
      </c>
      <c r="O40" s="26">
        <v>104.80500000000001</v>
      </c>
      <c r="P40" s="26">
        <v>104.95</v>
      </c>
      <c r="Q40" s="28">
        <v>3.9E-2</v>
      </c>
    </row>
    <row r="41" spans="1:17">
      <c r="A41">
        <f t="shared" si="0"/>
        <v>104.99</v>
      </c>
      <c r="B41">
        <f t="shared" si="1"/>
        <v>104.9</v>
      </c>
      <c r="D41" s="27">
        <v>45300</v>
      </c>
      <c r="E41" s="26">
        <v>104.99</v>
      </c>
      <c r="F41" s="26">
        <v>0.15</v>
      </c>
      <c r="G41" s="30">
        <v>104.9</v>
      </c>
      <c r="H41" s="30">
        <v>104.99</v>
      </c>
      <c r="I41" s="30">
        <v>104.9</v>
      </c>
      <c r="J41" s="31">
        <v>85785</v>
      </c>
      <c r="K41" s="31">
        <v>9004038200</v>
      </c>
      <c r="L41" s="31">
        <v>379841</v>
      </c>
      <c r="M41" s="31">
        <v>10141</v>
      </c>
      <c r="N41" s="26">
        <v>104.958</v>
      </c>
      <c r="O41" s="26">
        <v>104.85</v>
      </c>
      <c r="P41" s="26">
        <v>104.99</v>
      </c>
      <c r="Q41" s="28">
        <v>3.2000000000000001E-2</v>
      </c>
    </row>
    <row r="42" spans="1:17">
      <c r="A42">
        <f t="shared" si="0"/>
        <v>104.85</v>
      </c>
      <c r="B42">
        <f t="shared" si="1"/>
        <v>104.74</v>
      </c>
      <c r="D42" s="27">
        <v>45299</v>
      </c>
      <c r="E42" s="26">
        <v>104.84</v>
      </c>
      <c r="F42" s="26">
        <v>-0.01</v>
      </c>
      <c r="G42" s="30">
        <v>104.77</v>
      </c>
      <c r="H42" s="30">
        <v>104.85</v>
      </c>
      <c r="I42" s="30">
        <v>104.74</v>
      </c>
      <c r="J42" s="31">
        <v>110045</v>
      </c>
      <c r="K42" s="31">
        <v>11531496150</v>
      </c>
      <c r="L42" s="31">
        <v>369700</v>
      </c>
      <c r="M42" s="31">
        <v>-13449</v>
      </c>
      <c r="N42" s="26">
        <v>104.827</v>
      </c>
      <c r="O42" s="26">
        <v>104.72799999999999</v>
      </c>
      <c r="P42" s="26">
        <v>104.84</v>
      </c>
      <c r="Q42" s="28">
        <v>1.2999999999999999E-2</v>
      </c>
    </row>
    <row r="43" spans="1:17">
      <c r="A43">
        <f t="shared" si="0"/>
        <v>104.91</v>
      </c>
      <c r="B43">
        <f t="shared" si="1"/>
        <v>104.82</v>
      </c>
      <c r="D43" s="27">
        <v>45296</v>
      </c>
      <c r="E43" s="26">
        <v>104.85</v>
      </c>
      <c r="F43" s="26">
        <v>-0.18</v>
      </c>
      <c r="G43" s="30">
        <v>104.91</v>
      </c>
      <c r="H43" s="30">
        <v>104.91</v>
      </c>
      <c r="I43" s="30">
        <v>104.82</v>
      </c>
      <c r="J43" s="31">
        <v>141949</v>
      </c>
      <c r="K43" s="31">
        <v>14885660780</v>
      </c>
      <c r="L43" s="31">
        <v>383149</v>
      </c>
      <c r="M43" s="31">
        <v>7269</v>
      </c>
      <c r="N43" s="26">
        <v>104.85</v>
      </c>
      <c r="O43" s="26">
        <v>104.741</v>
      </c>
      <c r="P43" s="26">
        <v>104.85</v>
      </c>
      <c r="Q43" s="28">
        <v>0</v>
      </c>
    </row>
    <row r="44" spans="1:17">
      <c r="A44">
        <f t="shared" si="0"/>
        <v>105.06</v>
      </c>
      <c r="B44">
        <f t="shared" si="1"/>
        <v>104.93</v>
      </c>
      <c r="D44" s="27">
        <v>45295</v>
      </c>
      <c r="E44" s="26">
        <v>105.03</v>
      </c>
      <c r="F44" s="26">
        <v>0.14000000000000001</v>
      </c>
      <c r="G44" s="30">
        <v>104.97</v>
      </c>
      <c r="H44" s="30">
        <v>105.06</v>
      </c>
      <c r="I44" s="30">
        <v>104.93</v>
      </c>
      <c r="J44" s="31">
        <v>118830</v>
      </c>
      <c r="K44" s="31">
        <v>12476907340</v>
      </c>
      <c r="L44" s="31">
        <v>375880</v>
      </c>
      <c r="M44" s="31">
        <v>3426</v>
      </c>
      <c r="N44" s="26">
        <v>105.014</v>
      </c>
      <c r="O44" s="26">
        <v>104.88500000000001</v>
      </c>
      <c r="P44" s="26">
        <v>105.03</v>
      </c>
      <c r="Q44" s="28">
        <v>1.6E-2</v>
      </c>
    </row>
    <row r="45" spans="1:17">
      <c r="A45">
        <f t="shared" si="0"/>
        <v>105.08</v>
      </c>
      <c r="B45">
        <f t="shared" si="1"/>
        <v>104.83</v>
      </c>
      <c r="D45" s="27">
        <v>45294</v>
      </c>
      <c r="E45" s="26">
        <v>104.89</v>
      </c>
      <c r="F45" s="26">
        <v>-0.14000000000000001</v>
      </c>
      <c r="G45" s="30">
        <v>104.98</v>
      </c>
      <c r="H45" s="30">
        <v>105.08</v>
      </c>
      <c r="I45" s="30">
        <v>104.83</v>
      </c>
      <c r="J45" s="31">
        <v>217833</v>
      </c>
      <c r="K45" s="31">
        <v>22858030630</v>
      </c>
      <c r="L45" s="31">
        <v>372454</v>
      </c>
      <c r="M45" s="31">
        <v>-557</v>
      </c>
      <c r="N45" s="26">
        <v>104.85899999999999</v>
      </c>
      <c r="O45" s="26">
        <v>104.73699999999999</v>
      </c>
      <c r="P45" s="26">
        <v>104.89</v>
      </c>
      <c r="Q45" s="28">
        <v>3.1E-2</v>
      </c>
    </row>
    <row r="46" spans="1:17">
      <c r="A46">
        <f t="shared" si="0"/>
        <v>105.29</v>
      </c>
      <c r="B46">
        <f t="shared" si="1"/>
        <v>105.03</v>
      </c>
      <c r="D46" s="27">
        <v>45293</v>
      </c>
      <c r="E46" s="26">
        <v>105.03</v>
      </c>
      <c r="F46" s="26">
        <v>-0.39</v>
      </c>
      <c r="G46" s="30">
        <v>105.29</v>
      </c>
      <c r="H46" s="30">
        <v>105.29</v>
      </c>
      <c r="I46" s="30">
        <v>105.03</v>
      </c>
      <c r="J46" s="31">
        <v>146056</v>
      </c>
      <c r="K46" s="31">
        <v>15357012890</v>
      </c>
      <c r="L46" s="31">
        <v>373011</v>
      </c>
      <c r="M46" s="31">
        <v>5887</v>
      </c>
      <c r="N46" s="26">
        <v>105.005</v>
      </c>
      <c r="O46" s="26">
        <v>104.863</v>
      </c>
      <c r="P46" s="26">
        <v>105.03</v>
      </c>
      <c r="Q46" s="28">
        <v>2.5000000000000001E-2</v>
      </c>
    </row>
    <row r="47" spans="1:17">
      <c r="A47">
        <f t="shared" si="0"/>
        <v>105.42</v>
      </c>
      <c r="B47">
        <f t="shared" si="1"/>
        <v>105.3</v>
      </c>
      <c r="D47" s="27">
        <v>45288</v>
      </c>
      <c r="E47" s="26">
        <v>105.42</v>
      </c>
      <c r="F47" s="26">
        <v>0.21</v>
      </c>
      <c r="G47" s="30">
        <v>105.3</v>
      </c>
      <c r="H47" s="30">
        <v>105.42</v>
      </c>
      <c r="I47" s="30">
        <v>105.3</v>
      </c>
      <c r="J47" s="31">
        <v>58795</v>
      </c>
      <c r="K47" s="31">
        <v>6194398240</v>
      </c>
      <c r="L47" s="31">
        <v>367124</v>
      </c>
      <c r="M47" s="31">
        <v>3450</v>
      </c>
      <c r="N47" s="26">
        <v>105.333</v>
      </c>
      <c r="O47" s="26">
        <v>105.15</v>
      </c>
      <c r="P47" s="26">
        <v>105.42</v>
      </c>
      <c r="Q47" s="28">
        <v>8.6999999999999994E-2</v>
      </c>
    </row>
    <row r="48" spans="1:17">
      <c r="A48">
        <f t="shared" si="0"/>
        <v>105.24</v>
      </c>
      <c r="B48">
        <f t="shared" si="1"/>
        <v>105.15</v>
      </c>
      <c r="D48" s="27">
        <v>45287</v>
      </c>
      <c r="E48" s="26">
        <v>105.21</v>
      </c>
      <c r="F48" s="26">
        <v>0.03</v>
      </c>
      <c r="G48" s="30">
        <v>105.17</v>
      </c>
      <c r="H48" s="30">
        <v>105.24</v>
      </c>
      <c r="I48" s="30">
        <v>105.15</v>
      </c>
      <c r="J48" s="31">
        <v>53890</v>
      </c>
      <c r="K48" s="31">
        <v>5668994340</v>
      </c>
      <c r="L48" s="31">
        <v>363674</v>
      </c>
      <c r="M48" s="31">
        <v>5347</v>
      </c>
      <c r="N48" s="26">
        <v>105.128</v>
      </c>
      <c r="O48" s="26">
        <v>104.96</v>
      </c>
      <c r="P48" s="26">
        <v>105.21</v>
      </c>
      <c r="Q48" s="28">
        <v>8.2000000000000003E-2</v>
      </c>
    </row>
    <row r="49" spans="1:17">
      <c r="A49">
        <f t="shared" si="0"/>
        <v>105.21</v>
      </c>
      <c r="B49">
        <f t="shared" si="1"/>
        <v>105.13</v>
      </c>
      <c r="D49" s="27">
        <v>45286</v>
      </c>
      <c r="E49" s="26">
        <v>105.18</v>
      </c>
      <c r="F49" s="26">
        <v>0.01</v>
      </c>
      <c r="G49" s="30">
        <v>105.17</v>
      </c>
      <c r="H49" s="30">
        <v>105.21</v>
      </c>
      <c r="I49" s="30">
        <v>105.13</v>
      </c>
      <c r="J49" s="31">
        <v>52790</v>
      </c>
      <c r="K49" s="31">
        <v>5551748720</v>
      </c>
      <c r="L49" s="31">
        <v>358327</v>
      </c>
      <c r="M49" s="31">
        <v>-1308</v>
      </c>
      <c r="N49" s="26">
        <v>105.107</v>
      </c>
      <c r="O49" s="26">
        <v>104.94</v>
      </c>
      <c r="P49" s="26">
        <v>105.18</v>
      </c>
      <c r="Q49" s="28">
        <v>7.2999999999999995E-2</v>
      </c>
    </row>
    <row r="50" spans="1:17">
      <c r="A50">
        <f t="shared" si="0"/>
        <v>105.22</v>
      </c>
      <c r="B50">
        <f t="shared" si="1"/>
        <v>105.05</v>
      </c>
      <c r="D50" s="27">
        <v>45282</v>
      </c>
      <c r="E50" s="26">
        <v>105.17</v>
      </c>
      <c r="F50" s="26">
        <v>0.04</v>
      </c>
      <c r="G50" s="30">
        <v>105.2</v>
      </c>
      <c r="H50" s="30">
        <v>105.22</v>
      </c>
      <c r="I50" s="30">
        <v>105.05</v>
      </c>
      <c r="J50" s="31">
        <v>90836</v>
      </c>
      <c r="K50" s="31">
        <v>9548712800</v>
      </c>
      <c r="L50" s="31">
        <v>359635</v>
      </c>
      <c r="M50" s="31">
        <v>9000</v>
      </c>
      <c r="N50" s="26">
        <v>105.075</v>
      </c>
      <c r="O50" s="26">
        <v>104.9</v>
      </c>
      <c r="P50" s="26">
        <v>105.17</v>
      </c>
      <c r="Q50" s="28">
        <v>9.5000000000000001E-2</v>
      </c>
    </row>
    <row r="51" spans="1:17">
      <c r="A51">
        <f t="shared" si="0"/>
        <v>105.26</v>
      </c>
      <c r="B51">
        <f t="shared" si="1"/>
        <v>105.12</v>
      </c>
      <c r="D51" s="27">
        <v>45281</v>
      </c>
      <c r="E51" s="26">
        <v>105.13</v>
      </c>
      <c r="F51" s="26">
        <v>-0.01</v>
      </c>
      <c r="G51" s="30">
        <v>105.19</v>
      </c>
      <c r="H51" s="30">
        <v>105.26</v>
      </c>
      <c r="I51" s="30">
        <v>105.12</v>
      </c>
      <c r="J51" s="31">
        <v>122044</v>
      </c>
      <c r="K51" s="31">
        <v>12839068880</v>
      </c>
      <c r="L51" s="31">
        <v>350635</v>
      </c>
      <c r="M51" s="31">
        <v>4258</v>
      </c>
      <c r="N51" s="26">
        <v>105.054</v>
      </c>
      <c r="O51" s="26">
        <v>104.878</v>
      </c>
      <c r="P51" s="26">
        <v>105.13</v>
      </c>
      <c r="Q51" s="28">
        <v>7.5999999999999998E-2</v>
      </c>
    </row>
    <row r="52" spans="1:17">
      <c r="A52">
        <f t="shared" si="0"/>
        <v>105.16</v>
      </c>
      <c r="B52">
        <f t="shared" si="1"/>
        <v>104.95</v>
      </c>
      <c r="D52" s="27">
        <v>45280</v>
      </c>
      <c r="E52" s="26">
        <v>105.14</v>
      </c>
      <c r="F52" s="26">
        <v>0.15</v>
      </c>
      <c r="G52" s="30">
        <v>104.99</v>
      </c>
      <c r="H52" s="30">
        <v>105.16</v>
      </c>
      <c r="I52" s="30">
        <v>104.95</v>
      </c>
      <c r="J52" s="31">
        <v>108774</v>
      </c>
      <c r="K52" s="31">
        <v>11427699000</v>
      </c>
      <c r="L52" s="31">
        <v>346377</v>
      </c>
      <c r="M52" s="31">
        <v>2764</v>
      </c>
      <c r="N52" s="26">
        <v>105.066</v>
      </c>
      <c r="O52" s="26">
        <v>104.886</v>
      </c>
      <c r="P52" s="26">
        <v>105.14</v>
      </c>
      <c r="Q52" s="28">
        <v>7.3999999999999996E-2</v>
      </c>
    </row>
    <row r="53" spans="1:17">
      <c r="A53">
        <f t="shared" si="0"/>
        <v>104.99</v>
      </c>
      <c r="B53">
        <f t="shared" si="1"/>
        <v>104.85</v>
      </c>
      <c r="D53" s="27">
        <v>45279</v>
      </c>
      <c r="E53" s="26">
        <v>104.99</v>
      </c>
      <c r="F53" s="26">
        <v>-0.01</v>
      </c>
      <c r="G53" s="30">
        <v>104.95</v>
      </c>
      <c r="H53" s="30">
        <v>104.99</v>
      </c>
      <c r="I53" s="30">
        <v>104.85</v>
      </c>
      <c r="J53" s="31">
        <v>146267</v>
      </c>
      <c r="K53" s="31">
        <v>15346780540</v>
      </c>
      <c r="L53" s="31">
        <v>343613</v>
      </c>
      <c r="M53" s="31">
        <v>31386</v>
      </c>
      <c r="N53" s="26">
        <v>104.911</v>
      </c>
      <c r="O53" s="26">
        <v>104.744</v>
      </c>
      <c r="P53" s="26">
        <v>104.99</v>
      </c>
      <c r="Q53" s="28">
        <v>7.9000000000000001E-2</v>
      </c>
    </row>
    <row r="54" spans="1:17">
      <c r="A54">
        <f t="shared" si="0"/>
        <v>105.05</v>
      </c>
      <c r="B54">
        <f t="shared" si="1"/>
        <v>104.93</v>
      </c>
      <c r="D54" s="27">
        <v>45278</v>
      </c>
      <c r="E54" s="26">
        <v>105</v>
      </c>
      <c r="F54" s="26">
        <v>0.01</v>
      </c>
      <c r="G54" s="30">
        <v>104.96</v>
      </c>
      <c r="H54" s="30">
        <v>105.05</v>
      </c>
      <c r="I54" s="30">
        <v>104.93</v>
      </c>
      <c r="J54" s="31">
        <v>47856</v>
      </c>
      <c r="K54" s="31">
        <v>5024668680</v>
      </c>
      <c r="L54" s="31">
        <v>312227</v>
      </c>
      <c r="M54" s="31">
        <v>99933</v>
      </c>
      <c r="N54" s="26">
        <v>104.917</v>
      </c>
      <c r="O54" s="26">
        <v>104.746</v>
      </c>
      <c r="P54" s="26">
        <v>105</v>
      </c>
      <c r="Q54" s="28">
        <v>8.3000000000000004E-2</v>
      </c>
    </row>
    <row r="55" spans="1:17">
      <c r="A55">
        <f t="shared" si="0"/>
        <v>105.01</v>
      </c>
      <c r="B55">
        <f t="shared" si="1"/>
        <v>104.92</v>
      </c>
      <c r="D55" s="27">
        <v>45275</v>
      </c>
      <c r="E55" s="26">
        <v>104.99</v>
      </c>
      <c r="F55" s="26">
        <v>-0.12</v>
      </c>
      <c r="G55" s="30">
        <v>104.97</v>
      </c>
      <c r="H55" s="30">
        <v>105.01</v>
      </c>
      <c r="I55" s="30">
        <v>104.92</v>
      </c>
      <c r="J55" s="31">
        <v>42875</v>
      </c>
      <c r="K55" s="31">
        <v>4500521040</v>
      </c>
      <c r="L55" s="31">
        <v>212294</v>
      </c>
      <c r="M55" s="31">
        <v>113673</v>
      </c>
      <c r="N55" s="26">
        <v>104.938</v>
      </c>
      <c r="O55" s="26">
        <v>104.761</v>
      </c>
      <c r="P55" s="26">
        <v>104.99</v>
      </c>
      <c r="Q55" s="28">
        <v>5.1999999999999998E-2</v>
      </c>
    </row>
    <row r="56" spans="1:17">
      <c r="A56">
        <f t="shared" si="0"/>
        <v>105.16</v>
      </c>
      <c r="B56">
        <f t="shared" si="1"/>
        <v>104.92</v>
      </c>
      <c r="D56" s="27">
        <v>45274</v>
      </c>
      <c r="E56" s="26">
        <v>105.11</v>
      </c>
      <c r="F56" s="26">
        <v>0.74</v>
      </c>
      <c r="G56" s="30">
        <v>105.16</v>
      </c>
      <c r="H56" s="30">
        <v>105.16</v>
      </c>
      <c r="I56" s="30">
        <v>104.92</v>
      </c>
      <c r="J56" s="31">
        <v>15789</v>
      </c>
      <c r="K56" s="31">
        <v>1658674250</v>
      </c>
      <c r="L56" s="31">
        <v>98621</v>
      </c>
      <c r="M56" s="31">
        <v>67822</v>
      </c>
      <c r="N56" s="26">
        <v>105.093</v>
      </c>
      <c r="O56" s="26">
        <v>104.898</v>
      </c>
      <c r="P56" s="26">
        <v>105.11</v>
      </c>
      <c r="Q56" s="28">
        <v>1.7000000000000001E-2</v>
      </c>
    </row>
    <row r="57" spans="1:17">
      <c r="A57">
        <f t="shared" si="0"/>
        <v>104.5</v>
      </c>
      <c r="B57">
        <f t="shared" si="1"/>
        <v>104.36</v>
      </c>
      <c r="D57" s="27">
        <v>45273</v>
      </c>
      <c r="E57" s="26">
        <v>104.37</v>
      </c>
      <c r="F57" s="26">
        <v>-7.0000000000000007E-2</v>
      </c>
      <c r="G57" s="30">
        <v>104.42</v>
      </c>
      <c r="H57" s="30">
        <v>104.5</v>
      </c>
      <c r="I57" s="30">
        <v>104.36</v>
      </c>
      <c r="J57" s="31">
        <v>6709</v>
      </c>
      <c r="K57" s="31">
        <v>700336060</v>
      </c>
      <c r="L57" s="31">
        <v>30799</v>
      </c>
      <c r="M57" s="31">
        <v>25207</v>
      </c>
      <c r="N57" s="26">
        <v>104.34699999999999</v>
      </c>
      <c r="O57" s="26">
        <v>104.226</v>
      </c>
      <c r="P57" s="26">
        <v>104.37</v>
      </c>
      <c r="Q57" s="28">
        <v>2.3E-2</v>
      </c>
    </row>
    <row r="58" spans="1:17">
      <c r="A58">
        <f t="shared" si="0"/>
        <v>104.45</v>
      </c>
      <c r="B58">
        <f t="shared" si="1"/>
        <v>104.38</v>
      </c>
      <c r="D58" s="27">
        <v>45272</v>
      </c>
      <c r="E58" s="26">
        <v>104.44</v>
      </c>
      <c r="F58" s="26">
        <v>0.17</v>
      </c>
      <c r="G58" s="30">
        <v>104.38</v>
      </c>
      <c r="H58" s="30">
        <v>104.45</v>
      </c>
      <c r="I58" s="30">
        <v>104.38</v>
      </c>
      <c r="J58" s="31">
        <v>53</v>
      </c>
      <c r="K58" s="31">
        <v>5533190</v>
      </c>
      <c r="L58" s="31">
        <v>5592</v>
      </c>
      <c r="M58" s="31">
        <v>5403</v>
      </c>
      <c r="N58" s="26">
        <v>104.405</v>
      </c>
      <c r="O58" s="26">
        <v>104.27500000000001</v>
      </c>
      <c r="P58" s="26">
        <v>104.44</v>
      </c>
      <c r="Q58" s="28">
        <v>3.5000000000000003E-2</v>
      </c>
    </row>
    <row r="59" spans="1:17">
      <c r="A59">
        <f t="shared" si="0"/>
        <v>104.3</v>
      </c>
      <c r="B59">
        <f t="shared" si="1"/>
        <v>104.25</v>
      </c>
      <c r="D59" s="27">
        <v>45271</v>
      </c>
      <c r="E59" s="26">
        <v>104.27</v>
      </c>
      <c r="F59" s="26">
        <v>-0.22</v>
      </c>
      <c r="G59" s="30">
        <v>104.3</v>
      </c>
      <c r="H59" s="30">
        <v>104.3</v>
      </c>
      <c r="I59" s="30">
        <v>104.25</v>
      </c>
      <c r="J59" s="31">
        <v>16</v>
      </c>
      <c r="K59" s="31">
        <v>1668520</v>
      </c>
      <c r="L59" s="31">
        <v>189</v>
      </c>
      <c r="M59" s="31">
        <v>163</v>
      </c>
      <c r="N59" s="26">
        <v>104.303</v>
      </c>
      <c r="O59" s="26">
        <v>104.18600000000001</v>
      </c>
      <c r="P59" s="26">
        <v>104.27</v>
      </c>
      <c r="Q59" s="28">
        <v>-3.3000000000000002E-2</v>
      </c>
    </row>
    <row r="60" spans="1:17">
      <c r="A60">
        <f t="shared" si="0"/>
        <v>104.49</v>
      </c>
      <c r="B60">
        <f t="shared" si="1"/>
        <v>104.3</v>
      </c>
      <c r="D60" s="27">
        <v>45268</v>
      </c>
      <c r="E60" s="26">
        <v>104.49</v>
      </c>
      <c r="F60" s="26">
        <v>0.14000000000000001</v>
      </c>
      <c r="G60" s="30">
        <v>104.3</v>
      </c>
      <c r="H60" s="30">
        <v>104.49</v>
      </c>
      <c r="I60" s="30">
        <v>104.3</v>
      </c>
      <c r="J60" s="31">
        <v>5</v>
      </c>
      <c r="K60" s="31">
        <v>521740</v>
      </c>
      <c r="L60" s="31">
        <v>26</v>
      </c>
      <c r="M60" s="31">
        <v>0</v>
      </c>
      <c r="N60" s="26">
        <v>104.477</v>
      </c>
      <c r="O60" s="26">
        <v>104.339</v>
      </c>
      <c r="P60" s="26">
        <v>104.49</v>
      </c>
      <c r="Q60" s="28">
        <v>1.2999999999999999E-2</v>
      </c>
    </row>
    <row r="61" spans="1:17">
      <c r="A61">
        <f t="shared" si="0"/>
        <v>104.63</v>
      </c>
      <c r="B61">
        <f t="shared" si="1"/>
        <v>104.26</v>
      </c>
      <c r="D61" s="27">
        <v>45267</v>
      </c>
      <c r="E61" s="26">
        <v>104.35</v>
      </c>
      <c r="F61" s="26">
        <v>-0.08</v>
      </c>
      <c r="G61" s="30">
        <v>104.63</v>
      </c>
      <c r="H61" s="30">
        <v>104.63</v>
      </c>
      <c r="I61" s="30">
        <v>104.26</v>
      </c>
      <c r="J61" s="31">
        <v>15</v>
      </c>
      <c r="K61" s="31">
        <v>1565340</v>
      </c>
      <c r="L61" s="31">
        <v>26</v>
      </c>
      <c r="M61" s="31">
        <v>12</v>
      </c>
      <c r="N61" s="26">
        <v>104.32899999999999</v>
      </c>
      <c r="O61" s="26">
        <v>104.206</v>
      </c>
      <c r="P61" s="26">
        <v>104.35</v>
      </c>
      <c r="Q61" s="28">
        <v>2.1000000000000001E-2</v>
      </c>
    </row>
    <row r="62" spans="1:17">
      <c r="A62">
        <f t="shared" si="0"/>
        <v>104.61</v>
      </c>
      <c r="B62">
        <f t="shared" si="1"/>
        <v>104.43</v>
      </c>
      <c r="D62" s="27">
        <v>45266</v>
      </c>
      <c r="E62" s="26">
        <v>104.43</v>
      </c>
      <c r="F62" s="26">
        <v>0.04</v>
      </c>
      <c r="G62" s="30">
        <v>104.61</v>
      </c>
      <c r="H62" s="30">
        <v>104.61</v>
      </c>
      <c r="I62" s="30">
        <v>104.43</v>
      </c>
      <c r="J62" s="31">
        <v>3</v>
      </c>
      <c r="K62" s="31">
        <v>313490</v>
      </c>
      <c r="L62" s="31">
        <v>14</v>
      </c>
      <c r="M62" s="31">
        <v>2</v>
      </c>
      <c r="N62" s="26">
        <v>104.47199999999999</v>
      </c>
      <c r="O62" s="26">
        <v>104.32899999999999</v>
      </c>
      <c r="P62" s="26">
        <v>104.43</v>
      </c>
      <c r="Q62" s="28">
        <v>-4.2000000000000003E-2</v>
      </c>
    </row>
    <row r="63" spans="1:17">
      <c r="A63">
        <f t="shared" si="0"/>
        <v>104.39</v>
      </c>
      <c r="B63">
        <f t="shared" si="1"/>
        <v>104.39</v>
      </c>
      <c r="D63" s="27">
        <v>45265</v>
      </c>
      <c r="E63" s="26">
        <v>104.39</v>
      </c>
      <c r="F63" s="26">
        <v>0.25</v>
      </c>
      <c r="G63" s="30">
        <v>104.39</v>
      </c>
      <c r="H63" s="30">
        <v>104.39</v>
      </c>
      <c r="I63" s="30">
        <v>104.39</v>
      </c>
      <c r="J63" s="31">
        <v>2</v>
      </c>
      <c r="K63" s="31">
        <v>208780</v>
      </c>
      <c r="L63" s="31">
        <v>12</v>
      </c>
      <c r="M63" s="31">
        <v>1</v>
      </c>
      <c r="N63" s="26">
        <v>104.402</v>
      </c>
      <c r="O63" s="26">
        <v>104.268</v>
      </c>
      <c r="P63" s="26">
        <v>104.39</v>
      </c>
      <c r="Q63" s="28">
        <v>-1.2E-2</v>
      </c>
    </row>
    <row r="64" spans="1:17">
      <c r="A64">
        <f t="shared" si="0"/>
        <v>104.31</v>
      </c>
      <c r="B64">
        <f t="shared" si="1"/>
        <v>104.14</v>
      </c>
      <c r="D64" s="27">
        <v>45264</v>
      </c>
      <c r="E64" s="26">
        <v>104.14</v>
      </c>
      <c r="F64" s="26">
        <v>0.14000000000000001</v>
      </c>
      <c r="G64" s="30">
        <v>104.31</v>
      </c>
      <c r="H64" s="30">
        <v>104.31</v>
      </c>
      <c r="I64" s="30">
        <v>104.14</v>
      </c>
      <c r="J64" s="31">
        <v>3</v>
      </c>
      <c r="K64" s="31">
        <v>312760</v>
      </c>
      <c r="L64" s="31">
        <v>11</v>
      </c>
      <c r="M64" s="31">
        <v>1</v>
      </c>
      <c r="N64" s="26">
        <v>104.26</v>
      </c>
      <c r="O64" s="26">
        <v>104.13800000000001</v>
      </c>
      <c r="P64" s="26">
        <v>104.14</v>
      </c>
      <c r="Q64" s="28">
        <v>-0.12</v>
      </c>
    </row>
    <row r="65" spans="1:17">
      <c r="A65">
        <f t="shared" si="0"/>
        <v>104</v>
      </c>
      <c r="B65">
        <f t="shared" si="1"/>
        <v>104</v>
      </c>
      <c r="D65" s="27">
        <v>45261</v>
      </c>
      <c r="E65" s="26">
        <v>104</v>
      </c>
      <c r="F65" s="26">
        <v>-0.1</v>
      </c>
      <c r="G65" s="30">
        <v>104</v>
      </c>
      <c r="H65" s="30">
        <v>104</v>
      </c>
      <c r="I65" s="30">
        <v>104</v>
      </c>
      <c r="J65" s="31">
        <v>2</v>
      </c>
      <c r="K65" s="31">
        <v>208000</v>
      </c>
      <c r="L65" s="31">
        <v>10</v>
      </c>
      <c r="M65" s="31">
        <v>1</v>
      </c>
      <c r="N65" s="26">
        <v>104.075</v>
      </c>
      <c r="O65" s="26">
        <v>103.974</v>
      </c>
      <c r="P65" s="26">
        <v>104</v>
      </c>
      <c r="Q65" s="28">
        <v>-7.4999999999999997E-2</v>
      </c>
    </row>
    <row r="66" spans="1:17">
      <c r="A66">
        <f t="shared" si="0"/>
        <v>104.1</v>
      </c>
      <c r="B66">
        <f t="shared" si="1"/>
        <v>104.1</v>
      </c>
      <c r="D66" s="27">
        <v>45260</v>
      </c>
      <c r="E66" s="26">
        <v>104.1</v>
      </c>
      <c r="F66" s="26">
        <v>-0.02</v>
      </c>
      <c r="G66" s="30">
        <v>104.1</v>
      </c>
      <c r="H66" s="30">
        <v>104.1</v>
      </c>
      <c r="I66" s="30">
        <v>104.1</v>
      </c>
      <c r="J66" s="31">
        <v>1</v>
      </c>
      <c r="K66" s="31">
        <v>104100</v>
      </c>
      <c r="L66" s="31">
        <v>9</v>
      </c>
      <c r="M66" s="31">
        <v>-1</v>
      </c>
      <c r="N66" s="26">
        <v>104.072</v>
      </c>
      <c r="O66" s="26">
        <v>103.97</v>
      </c>
      <c r="P66" s="26">
        <v>104.1</v>
      </c>
      <c r="Q66" s="28">
        <v>2.8000000000000001E-2</v>
      </c>
    </row>
    <row r="67" spans="1:17">
      <c r="A67">
        <f t="shared" si="0"/>
        <v>104.12</v>
      </c>
      <c r="B67">
        <f t="shared" si="1"/>
        <v>104.1</v>
      </c>
      <c r="D67" s="27">
        <v>45259</v>
      </c>
      <c r="E67" s="26">
        <v>104.12</v>
      </c>
      <c r="F67" s="26">
        <v>0.23</v>
      </c>
      <c r="G67" s="30">
        <v>104.1</v>
      </c>
      <c r="H67" s="30">
        <v>104.12</v>
      </c>
      <c r="I67" s="30">
        <v>104.1</v>
      </c>
      <c r="J67" s="31">
        <v>2</v>
      </c>
      <c r="K67" s="31">
        <v>208220</v>
      </c>
      <c r="L67" s="31">
        <v>10</v>
      </c>
      <c r="M67" s="31">
        <v>2</v>
      </c>
      <c r="N67" s="26">
        <v>104.173</v>
      </c>
      <c r="O67" s="26">
        <v>104.06</v>
      </c>
      <c r="P67" s="26">
        <v>104.12</v>
      </c>
      <c r="Q67" s="28">
        <v>-5.2999999999999999E-2</v>
      </c>
    </row>
    <row r="68" spans="1:17">
      <c r="A68">
        <f t="shared" si="0"/>
        <v>103.89</v>
      </c>
      <c r="B68">
        <f t="shared" si="1"/>
        <v>103.89</v>
      </c>
      <c r="D68" s="27">
        <v>45258</v>
      </c>
      <c r="E68" s="26">
        <v>103.89</v>
      </c>
      <c r="F68" s="26">
        <v>0.13</v>
      </c>
      <c r="G68" s="30">
        <v>103.89</v>
      </c>
      <c r="H68" s="30">
        <v>103.89</v>
      </c>
      <c r="I68" s="30">
        <v>103.89</v>
      </c>
      <c r="J68" s="31">
        <v>1</v>
      </c>
      <c r="K68" s="31">
        <v>103890</v>
      </c>
      <c r="L68" s="31">
        <v>8</v>
      </c>
      <c r="M68" s="31">
        <v>1</v>
      </c>
      <c r="N68" s="26">
        <v>103.864</v>
      </c>
      <c r="O68" s="26">
        <v>103.78700000000001</v>
      </c>
      <c r="P68" s="26">
        <v>103.89</v>
      </c>
      <c r="Q68" s="28">
        <v>2.5999999999999999E-2</v>
      </c>
    </row>
    <row r="69" spans="1:17">
      <c r="A69">
        <f t="shared" si="0"/>
        <v>103.92</v>
      </c>
      <c r="B69">
        <f t="shared" si="1"/>
        <v>103.53</v>
      </c>
      <c r="D69" s="27">
        <v>45257</v>
      </c>
      <c r="E69" s="26">
        <v>103.76</v>
      </c>
      <c r="F69" s="26">
        <v>-0.13</v>
      </c>
      <c r="G69" s="30">
        <v>103.53</v>
      </c>
      <c r="H69" s="30">
        <v>103.92</v>
      </c>
      <c r="I69" s="30">
        <v>103.53</v>
      </c>
      <c r="J69" s="31">
        <v>7</v>
      </c>
      <c r="K69" s="31">
        <v>725600</v>
      </c>
      <c r="L69" s="31">
        <v>7</v>
      </c>
      <c r="M69" s="31">
        <v>1</v>
      </c>
      <c r="N69" s="26">
        <v>103.73099999999999</v>
      </c>
      <c r="O69" s="26">
        <v>103.66800000000001</v>
      </c>
      <c r="P69" s="26">
        <v>103.76</v>
      </c>
      <c r="Q69" s="28">
        <v>2.9000000000000001E-2</v>
      </c>
    </row>
    <row r="70" spans="1:17">
      <c r="A70" t="str">
        <f t="shared" si="0"/>
        <v/>
      </c>
      <c r="B70" t="str">
        <f t="shared" si="1"/>
        <v/>
      </c>
      <c r="D70" s="27">
        <v>45254</v>
      </c>
      <c r="E70" s="26">
        <v>103.89</v>
      </c>
      <c r="F70" s="26">
        <v>0.1</v>
      </c>
      <c r="G70" s="30">
        <v>103.89</v>
      </c>
      <c r="H70" s="30">
        <v>103.89</v>
      </c>
      <c r="I70" s="30">
        <v>103.89</v>
      </c>
      <c r="J70" s="31">
        <v>0</v>
      </c>
      <c r="K70" s="31">
        <v>0</v>
      </c>
      <c r="L70" s="31">
        <v>6</v>
      </c>
      <c r="M70" s="31">
        <v>0</v>
      </c>
      <c r="N70" s="26">
        <v>103.746</v>
      </c>
      <c r="O70" s="26">
        <v>103.681</v>
      </c>
      <c r="P70" s="26">
        <v>103.78</v>
      </c>
      <c r="Q70" s="28">
        <v>0.14399999999999999</v>
      </c>
    </row>
    <row r="71" spans="1:17">
      <c r="A71" t="str">
        <f t="shared" si="0"/>
        <v/>
      </c>
      <c r="B71" t="str">
        <f t="shared" si="1"/>
        <v/>
      </c>
      <c r="D71" s="27">
        <v>45253</v>
      </c>
      <c r="E71" s="26">
        <v>103.79</v>
      </c>
      <c r="F71" s="26">
        <v>-0.08</v>
      </c>
      <c r="G71" s="30">
        <v>103.79</v>
      </c>
      <c r="H71" s="30">
        <v>103.79</v>
      </c>
      <c r="I71" s="30">
        <v>103.79</v>
      </c>
      <c r="J71" s="31">
        <v>0</v>
      </c>
      <c r="K71" s="31">
        <v>0</v>
      </c>
      <c r="L71" s="31">
        <v>6</v>
      </c>
      <c r="M71" s="31">
        <v>0</v>
      </c>
      <c r="N71" s="26">
        <v>103.858</v>
      </c>
      <c r="O71" s="26">
        <v>103.779</v>
      </c>
      <c r="P71" s="26">
        <v>103.89</v>
      </c>
      <c r="Q71" s="28">
        <v>-6.8000000000000005E-2</v>
      </c>
    </row>
    <row r="72" spans="1:17">
      <c r="A72" t="str">
        <f t="shared" si="0"/>
        <v/>
      </c>
      <c r="B72" t="str">
        <f t="shared" si="1"/>
        <v/>
      </c>
      <c r="D72" s="27">
        <v>45252</v>
      </c>
      <c r="E72" s="26">
        <v>103.87</v>
      </c>
      <c r="F72" s="26">
        <v>0</v>
      </c>
      <c r="G72" s="30">
        <v>103.87</v>
      </c>
      <c r="H72" s="30">
        <v>103.87</v>
      </c>
      <c r="I72" s="30">
        <v>103.87</v>
      </c>
      <c r="J72" s="31">
        <v>0</v>
      </c>
      <c r="K72" s="31">
        <v>0</v>
      </c>
      <c r="L72" s="31">
        <v>6</v>
      </c>
      <c r="M72" s="31">
        <v>0</v>
      </c>
      <c r="N72" s="26">
        <v>103.77500000000001</v>
      </c>
      <c r="O72" s="26">
        <v>103.709</v>
      </c>
      <c r="P72" s="26">
        <v>103.79</v>
      </c>
      <c r="Q72" s="28">
        <v>9.5000000000000001E-2</v>
      </c>
    </row>
    <row r="73" spans="1:17">
      <c r="A73">
        <f t="shared" si="0"/>
        <v>103.87</v>
      </c>
      <c r="B73">
        <f t="shared" si="1"/>
        <v>103.8</v>
      </c>
      <c r="D73" s="27">
        <v>45251</v>
      </c>
      <c r="E73" s="26">
        <v>103.87</v>
      </c>
      <c r="F73" s="26">
        <v>0.14000000000000001</v>
      </c>
      <c r="G73" s="30">
        <v>103.8</v>
      </c>
      <c r="H73" s="30">
        <v>103.87</v>
      </c>
      <c r="I73" s="30">
        <v>103.8</v>
      </c>
      <c r="J73" s="31">
        <v>2</v>
      </c>
      <c r="K73" s="31">
        <v>207670</v>
      </c>
      <c r="L73" s="31">
        <v>6</v>
      </c>
      <c r="M73" s="31">
        <v>2</v>
      </c>
      <c r="N73" s="26">
        <v>103.867</v>
      </c>
      <c r="O73" s="26">
        <v>103.791</v>
      </c>
      <c r="P73" s="26">
        <v>103.87</v>
      </c>
      <c r="Q73" s="28">
        <v>3.0000000000000001E-3</v>
      </c>
    </row>
    <row r="74" spans="1:17">
      <c r="A74" t="str">
        <f t="shared" si="0"/>
        <v/>
      </c>
      <c r="B74" t="str">
        <f t="shared" si="1"/>
        <v/>
      </c>
      <c r="D74" s="27">
        <v>45250</v>
      </c>
      <c r="E74" s="26">
        <v>103.73</v>
      </c>
      <c r="F74" s="26">
        <v>0.06</v>
      </c>
      <c r="G74" s="30">
        <v>103.73</v>
      </c>
      <c r="H74" s="30">
        <v>103.73</v>
      </c>
      <c r="I74" s="30">
        <v>103.73</v>
      </c>
      <c r="J74" s="31">
        <v>0</v>
      </c>
      <c r="K74" s="31">
        <v>0</v>
      </c>
      <c r="L74" s="31">
        <v>4</v>
      </c>
      <c r="M74" s="31">
        <v>0</v>
      </c>
      <c r="N74" s="26">
        <v>103.803</v>
      </c>
      <c r="O74" s="26">
        <v>103.736</v>
      </c>
      <c r="P74" s="26">
        <v>103.8</v>
      </c>
      <c r="Q74" s="28">
        <v>-7.2999999999999995E-2</v>
      </c>
    </row>
    <row r="75" spans="1:17">
      <c r="A75" t="str">
        <f t="shared" si="0"/>
        <v/>
      </c>
      <c r="B75" t="str">
        <f t="shared" si="1"/>
        <v/>
      </c>
      <c r="D75" s="27">
        <v>45247</v>
      </c>
      <c r="E75" s="26">
        <v>103.67</v>
      </c>
      <c r="F75" s="26">
        <v>0.18</v>
      </c>
      <c r="G75" s="30">
        <v>103.67</v>
      </c>
      <c r="H75" s="30">
        <v>103.67</v>
      </c>
      <c r="I75" s="30">
        <v>103.67</v>
      </c>
      <c r="J75" s="31">
        <v>0</v>
      </c>
      <c r="K75" s="31">
        <v>0</v>
      </c>
      <c r="L75" s="31">
        <v>4</v>
      </c>
      <c r="M75" s="31">
        <v>0</v>
      </c>
      <c r="N75" s="26">
        <v>103.714</v>
      </c>
      <c r="O75" s="26">
        <v>103.657</v>
      </c>
      <c r="P75" s="26">
        <v>103.73</v>
      </c>
      <c r="Q75" s="28">
        <v>-4.3999999999999997E-2</v>
      </c>
    </row>
    <row r="76" spans="1:17">
      <c r="A76" t="str">
        <f t="shared" si="0"/>
        <v/>
      </c>
      <c r="B76" t="str">
        <f t="shared" si="1"/>
        <v/>
      </c>
      <c r="D76" s="27">
        <v>45246</v>
      </c>
      <c r="E76" s="26">
        <v>103.49</v>
      </c>
      <c r="F76" s="26">
        <v>0</v>
      </c>
      <c r="G76" s="30">
        <v>103.49</v>
      </c>
      <c r="H76" s="30">
        <v>103.49</v>
      </c>
      <c r="I76" s="30">
        <v>103.49</v>
      </c>
      <c r="J76" s="31">
        <v>0</v>
      </c>
      <c r="K76" s="31">
        <v>0</v>
      </c>
      <c r="L76" s="31">
        <v>4</v>
      </c>
      <c r="M76" s="31">
        <v>0</v>
      </c>
      <c r="N76" s="26">
        <v>103.685</v>
      </c>
      <c r="O76" s="26">
        <v>103.633</v>
      </c>
      <c r="P76" s="26">
        <v>103.67</v>
      </c>
      <c r="Q76" s="28">
        <v>-0.19500000000000001</v>
      </c>
    </row>
    <row r="77" spans="1:17">
      <c r="A77">
        <f t="shared" si="0"/>
        <v>103.49</v>
      </c>
      <c r="B77">
        <f t="shared" si="1"/>
        <v>103.49</v>
      </c>
      <c r="D77" s="27">
        <v>45245</v>
      </c>
      <c r="E77" s="26">
        <v>103.49</v>
      </c>
      <c r="F77" s="26">
        <v>0.35</v>
      </c>
      <c r="G77" s="30">
        <v>103.49</v>
      </c>
      <c r="H77" s="30">
        <v>103.49</v>
      </c>
      <c r="I77" s="30">
        <v>103.49</v>
      </c>
      <c r="J77" s="31">
        <v>5</v>
      </c>
      <c r="K77" s="31">
        <v>517450</v>
      </c>
      <c r="L77" s="31">
        <v>4</v>
      </c>
      <c r="M77" s="31">
        <v>2</v>
      </c>
      <c r="N77" s="26">
        <v>103.53</v>
      </c>
      <c r="O77" s="26">
        <v>103.497</v>
      </c>
      <c r="P77" s="26">
        <v>103.49</v>
      </c>
      <c r="Q77" s="28">
        <v>-0.04</v>
      </c>
    </row>
    <row r="78" spans="1:17">
      <c r="A78">
        <f t="shared" ref="A78:A141" si="2">IF($J78=0,"",H78)</f>
        <v>103.14</v>
      </c>
      <c r="B78">
        <f t="shared" ref="B78:B141" si="3">IF($J78=0,"",I78)</f>
        <v>103.1</v>
      </c>
      <c r="D78" s="27">
        <v>45244</v>
      </c>
      <c r="E78" s="26">
        <v>103.14</v>
      </c>
      <c r="F78" s="26">
        <v>0</v>
      </c>
      <c r="G78" s="30">
        <v>103.1</v>
      </c>
      <c r="H78" s="30">
        <v>103.14</v>
      </c>
      <c r="I78" s="30">
        <v>103.1</v>
      </c>
      <c r="J78" s="31">
        <v>3</v>
      </c>
      <c r="K78" s="31">
        <v>309340</v>
      </c>
      <c r="L78" s="31">
        <v>2</v>
      </c>
      <c r="M78" s="31">
        <v>-2</v>
      </c>
      <c r="N78" s="26">
        <v>103.14</v>
      </c>
      <c r="O78" s="26">
        <v>103.155</v>
      </c>
      <c r="P78" s="26">
        <v>103.14</v>
      </c>
      <c r="Q78" s="28">
        <v>0</v>
      </c>
    </row>
    <row r="79" spans="1:17">
      <c r="A79" t="str">
        <f t="shared" si="2"/>
        <v/>
      </c>
      <c r="B79" t="str">
        <f t="shared" si="3"/>
        <v/>
      </c>
      <c r="D79" s="27">
        <v>45243</v>
      </c>
      <c r="E79" s="26">
        <v>103.14</v>
      </c>
      <c r="F79" s="26">
        <v>-7.0000000000000007E-2</v>
      </c>
      <c r="G79" s="30">
        <v>103.14</v>
      </c>
      <c r="H79" s="30">
        <v>103.14</v>
      </c>
      <c r="I79" s="30">
        <v>103.14</v>
      </c>
      <c r="J79" s="31">
        <v>0</v>
      </c>
      <c r="K79" s="31">
        <v>0</v>
      </c>
      <c r="L79" s="31">
        <v>4</v>
      </c>
      <c r="M79" s="31">
        <v>0</v>
      </c>
      <c r="N79" s="26">
        <v>103.089</v>
      </c>
      <c r="O79" s="26">
        <v>103.111</v>
      </c>
      <c r="P79" s="26">
        <v>103.07</v>
      </c>
      <c r="Q79" s="28">
        <v>5.0999999999999997E-2</v>
      </c>
    </row>
    <row r="80" spans="1:17">
      <c r="A80" t="str">
        <f t="shared" si="2"/>
        <v/>
      </c>
      <c r="B80" t="str">
        <f t="shared" si="3"/>
        <v/>
      </c>
      <c r="D80" s="27">
        <v>45240</v>
      </c>
      <c r="E80" s="26">
        <v>103.21</v>
      </c>
      <c r="F80" s="26">
        <v>0.09</v>
      </c>
      <c r="G80" s="30">
        <v>103.21</v>
      </c>
      <c r="H80" s="30">
        <v>103.21</v>
      </c>
      <c r="I80" s="30">
        <v>103.21</v>
      </c>
      <c r="J80" s="31">
        <v>0</v>
      </c>
      <c r="K80" s="31">
        <v>0</v>
      </c>
      <c r="L80" s="31">
        <v>4</v>
      </c>
      <c r="M80" s="31">
        <v>0</v>
      </c>
      <c r="N80" s="26">
        <v>103.16</v>
      </c>
      <c r="O80" s="26">
        <v>103.176</v>
      </c>
      <c r="P80" s="26">
        <v>103.14</v>
      </c>
      <c r="Q80" s="28">
        <v>0.05</v>
      </c>
    </row>
    <row r="81" spans="1:17">
      <c r="A81" t="str">
        <f t="shared" si="2"/>
        <v/>
      </c>
      <c r="B81" t="str">
        <f t="shared" si="3"/>
        <v/>
      </c>
      <c r="D81" s="27">
        <v>45239</v>
      </c>
      <c r="E81" s="26">
        <v>103.12</v>
      </c>
      <c r="F81" s="26">
        <v>7.0000000000000007E-2</v>
      </c>
      <c r="G81" s="30">
        <v>103.12</v>
      </c>
      <c r="H81" s="30">
        <v>103.12</v>
      </c>
      <c r="I81" s="30">
        <v>103.12</v>
      </c>
      <c r="J81" s="31">
        <v>0</v>
      </c>
      <c r="K81" s="31">
        <v>0</v>
      </c>
      <c r="L81" s="31">
        <v>4</v>
      </c>
      <c r="M81" s="31">
        <v>0</v>
      </c>
      <c r="N81" s="26">
        <v>103.22</v>
      </c>
      <c r="O81" s="26">
        <v>103.227</v>
      </c>
      <c r="P81" s="26">
        <v>103.21</v>
      </c>
      <c r="Q81" s="28">
        <v>-0.1</v>
      </c>
    </row>
    <row r="82" spans="1:17">
      <c r="A82" t="str">
        <f t="shared" si="2"/>
        <v/>
      </c>
      <c r="B82" t="str">
        <f t="shared" si="3"/>
        <v/>
      </c>
      <c r="D82" s="27">
        <v>45238</v>
      </c>
      <c r="E82" s="26">
        <v>103.05</v>
      </c>
      <c r="F82" s="26">
        <v>-0.02</v>
      </c>
      <c r="G82" s="30">
        <v>103.05</v>
      </c>
      <c r="H82" s="30">
        <v>103.05</v>
      </c>
      <c r="I82" s="30">
        <v>103.05</v>
      </c>
      <c r="J82" s="31">
        <v>0</v>
      </c>
      <c r="K82" s="31">
        <v>0</v>
      </c>
      <c r="L82" s="31">
        <v>4</v>
      </c>
      <c r="M82" s="31">
        <v>0</v>
      </c>
      <c r="N82" s="26">
        <v>103.10599999999999</v>
      </c>
      <c r="O82" s="26">
        <v>103.126</v>
      </c>
      <c r="P82" s="26">
        <v>103.12</v>
      </c>
      <c r="Q82" s="28">
        <v>-5.6000000000000001E-2</v>
      </c>
    </row>
    <row r="83" spans="1:17">
      <c r="A83" t="str">
        <f t="shared" si="2"/>
        <v/>
      </c>
      <c r="B83" t="str">
        <f t="shared" si="3"/>
        <v/>
      </c>
      <c r="D83" s="27">
        <v>45237</v>
      </c>
      <c r="E83" s="26">
        <v>103.07</v>
      </c>
      <c r="F83" s="26">
        <v>0.21</v>
      </c>
      <c r="G83" s="30">
        <v>103.07</v>
      </c>
      <c r="H83" s="30">
        <v>103.07</v>
      </c>
      <c r="I83" s="30">
        <v>103.07</v>
      </c>
      <c r="J83" s="31">
        <v>0</v>
      </c>
      <c r="K83" s="31">
        <v>0</v>
      </c>
      <c r="L83" s="31">
        <v>4</v>
      </c>
      <c r="M83" s="31">
        <v>0</v>
      </c>
      <c r="N83" s="26">
        <v>103.063</v>
      </c>
      <c r="O83" s="26">
        <v>103.089</v>
      </c>
      <c r="P83" s="26">
        <v>103.05</v>
      </c>
      <c r="Q83" s="28">
        <v>7.0000000000000001E-3</v>
      </c>
    </row>
    <row r="84" spans="1:17">
      <c r="A84" t="str">
        <f t="shared" si="2"/>
        <v/>
      </c>
      <c r="B84" t="str">
        <f t="shared" si="3"/>
        <v/>
      </c>
      <c r="D84" s="27">
        <v>45236</v>
      </c>
      <c r="E84" s="26">
        <v>102.86</v>
      </c>
      <c r="F84" s="26">
        <v>0</v>
      </c>
      <c r="G84" s="30">
        <v>102.86</v>
      </c>
      <c r="H84" s="30">
        <v>102.86</v>
      </c>
      <c r="I84" s="30">
        <v>102.86</v>
      </c>
      <c r="J84" s="31">
        <v>0</v>
      </c>
      <c r="K84" s="31">
        <v>0</v>
      </c>
      <c r="L84" s="31">
        <v>4</v>
      </c>
      <c r="M84" s="31">
        <v>0</v>
      </c>
      <c r="N84" s="26">
        <v>103.075</v>
      </c>
      <c r="O84" s="26">
        <v>103.098</v>
      </c>
      <c r="P84" s="26">
        <v>103.07</v>
      </c>
      <c r="Q84" s="28">
        <v>-0.215</v>
      </c>
    </row>
    <row r="85" spans="1:17">
      <c r="A85">
        <f t="shared" si="2"/>
        <v>102.86</v>
      </c>
      <c r="B85">
        <f t="shared" si="3"/>
        <v>102.77</v>
      </c>
      <c r="D85" s="27">
        <v>45233</v>
      </c>
      <c r="E85" s="26">
        <v>102.86</v>
      </c>
      <c r="F85" s="26">
        <v>0.46</v>
      </c>
      <c r="G85" s="30">
        <v>102.77</v>
      </c>
      <c r="H85" s="30">
        <v>102.86</v>
      </c>
      <c r="I85" s="30">
        <v>102.77</v>
      </c>
      <c r="J85" s="31">
        <v>4</v>
      </c>
      <c r="K85" s="31">
        <v>411260</v>
      </c>
      <c r="L85" s="31">
        <v>4</v>
      </c>
      <c r="M85" s="31">
        <v>-1</v>
      </c>
      <c r="N85" s="26">
        <v>102.863</v>
      </c>
      <c r="O85" s="26">
        <v>102.91800000000001</v>
      </c>
      <c r="P85" s="26">
        <v>102.86</v>
      </c>
      <c r="Q85" s="28">
        <v>-3.0000000000000001E-3</v>
      </c>
    </row>
    <row r="86" spans="1:17">
      <c r="A86" t="str">
        <f t="shared" si="2"/>
        <v/>
      </c>
      <c r="B86" t="str">
        <f t="shared" si="3"/>
        <v/>
      </c>
      <c r="D86" s="27">
        <v>45232</v>
      </c>
      <c r="E86" s="26">
        <v>102.4</v>
      </c>
      <c r="F86" s="26">
        <v>0.05</v>
      </c>
      <c r="G86" s="30">
        <v>102.4</v>
      </c>
      <c r="H86" s="30">
        <v>102.4</v>
      </c>
      <c r="I86" s="30">
        <v>102.4</v>
      </c>
      <c r="J86" s="31">
        <v>0</v>
      </c>
      <c r="K86" s="31">
        <v>0</v>
      </c>
      <c r="L86" s="31">
        <v>5</v>
      </c>
      <c r="M86" s="31">
        <v>0</v>
      </c>
      <c r="N86" s="26">
        <v>102.749</v>
      </c>
      <c r="O86" s="26">
        <v>102.82</v>
      </c>
      <c r="P86" s="26">
        <v>102.75</v>
      </c>
      <c r="Q86" s="28">
        <v>-0.34899999999999998</v>
      </c>
    </row>
    <row r="87" spans="1:17">
      <c r="A87" t="str">
        <f t="shared" si="2"/>
        <v/>
      </c>
      <c r="B87" t="str">
        <f t="shared" si="3"/>
        <v/>
      </c>
      <c r="D87" s="27">
        <v>45231</v>
      </c>
      <c r="E87" s="26">
        <v>102.35</v>
      </c>
      <c r="F87" s="26">
        <v>0</v>
      </c>
      <c r="G87" s="30">
        <v>102.35</v>
      </c>
      <c r="H87" s="30">
        <v>102.35</v>
      </c>
      <c r="I87" s="30">
        <v>102.35</v>
      </c>
      <c r="J87" s="31">
        <v>0</v>
      </c>
      <c r="K87" s="31">
        <v>0</v>
      </c>
      <c r="L87" s="31">
        <v>5</v>
      </c>
      <c r="M87" s="31">
        <v>0</v>
      </c>
      <c r="N87" s="26">
        <v>102.462</v>
      </c>
      <c r="O87" s="26">
        <v>102.569</v>
      </c>
      <c r="P87" s="26">
        <v>102.4</v>
      </c>
      <c r="Q87" s="28">
        <v>-0.112</v>
      </c>
    </row>
    <row r="88" spans="1:17">
      <c r="A88">
        <f t="shared" si="2"/>
        <v>102.4</v>
      </c>
      <c r="B88">
        <f t="shared" si="3"/>
        <v>102.35</v>
      </c>
      <c r="D88" s="27">
        <v>45230</v>
      </c>
      <c r="E88" s="26">
        <v>102.35</v>
      </c>
      <c r="F88" s="26">
        <v>-0.1</v>
      </c>
      <c r="G88" s="30">
        <v>102.35</v>
      </c>
      <c r="H88" s="30">
        <v>102.4</v>
      </c>
      <c r="I88" s="30">
        <v>102.35</v>
      </c>
      <c r="J88" s="31">
        <v>3</v>
      </c>
      <c r="K88" s="31">
        <v>307100</v>
      </c>
      <c r="L88" s="31">
        <v>5</v>
      </c>
      <c r="M88" s="31">
        <v>1</v>
      </c>
      <c r="N88" s="26">
        <v>102.383</v>
      </c>
      <c r="O88" s="26">
        <v>102.504</v>
      </c>
      <c r="P88" s="26">
        <v>102.35</v>
      </c>
      <c r="Q88" s="28">
        <v>-3.3000000000000002E-2</v>
      </c>
    </row>
    <row r="89" spans="1:17">
      <c r="A89" t="str">
        <f t="shared" si="2"/>
        <v/>
      </c>
      <c r="B89" t="str">
        <f t="shared" si="3"/>
        <v/>
      </c>
      <c r="D89" s="27">
        <v>45229</v>
      </c>
      <c r="E89" s="26">
        <v>102.45</v>
      </c>
      <c r="F89" s="26">
        <v>0</v>
      </c>
      <c r="G89" s="30">
        <v>102.45</v>
      </c>
      <c r="H89" s="30">
        <v>102.45</v>
      </c>
      <c r="I89" s="30">
        <v>102.45</v>
      </c>
      <c r="J89" s="31">
        <v>0</v>
      </c>
      <c r="K89" s="31">
        <v>0</v>
      </c>
      <c r="L89" s="31">
        <v>4</v>
      </c>
      <c r="M89" s="31">
        <v>0</v>
      </c>
      <c r="N89" s="26">
        <v>102.38</v>
      </c>
      <c r="O89" s="26">
        <v>102.505</v>
      </c>
      <c r="P89" s="26">
        <v>102.34</v>
      </c>
      <c r="Q89" s="28">
        <v>7.0000000000000007E-2</v>
      </c>
    </row>
    <row r="90" spans="1:17">
      <c r="A90">
        <f t="shared" si="2"/>
        <v>102.55</v>
      </c>
      <c r="B90">
        <f t="shared" si="3"/>
        <v>102.45</v>
      </c>
      <c r="D90" s="27">
        <v>45226</v>
      </c>
      <c r="E90" s="26">
        <v>102.45</v>
      </c>
      <c r="F90" s="26">
        <v>7.0000000000000007E-2</v>
      </c>
      <c r="G90" s="30">
        <v>102.55</v>
      </c>
      <c r="H90" s="30">
        <v>102.55</v>
      </c>
      <c r="I90" s="30">
        <v>102.45</v>
      </c>
      <c r="J90" s="31">
        <v>2</v>
      </c>
      <c r="K90" s="31">
        <v>205000</v>
      </c>
      <c r="L90" s="31">
        <v>4</v>
      </c>
      <c r="M90" s="31">
        <v>-1</v>
      </c>
      <c r="N90" s="26">
        <v>102.40300000000001</v>
      </c>
      <c r="O90" s="26">
        <v>102.52800000000001</v>
      </c>
      <c r="P90" s="26">
        <v>102.45</v>
      </c>
      <c r="Q90" s="28">
        <v>4.7E-2</v>
      </c>
    </row>
    <row r="91" spans="1:17">
      <c r="A91">
        <f t="shared" si="2"/>
        <v>102.38</v>
      </c>
      <c r="B91">
        <f t="shared" si="3"/>
        <v>102.32</v>
      </c>
      <c r="D91" s="27">
        <v>45225</v>
      </c>
      <c r="E91" s="26">
        <v>102.38</v>
      </c>
      <c r="F91" s="26">
        <v>-0.17</v>
      </c>
      <c r="G91" s="30">
        <v>102.33</v>
      </c>
      <c r="H91" s="30">
        <v>102.38</v>
      </c>
      <c r="I91" s="30">
        <v>102.32</v>
      </c>
      <c r="J91" s="31">
        <v>4</v>
      </c>
      <c r="K91" s="31">
        <v>409350</v>
      </c>
      <c r="L91" s="31">
        <v>5</v>
      </c>
      <c r="M91" s="31">
        <v>2</v>
      </c>
      <c r="N91" s="26">
        <v>102.273</v>
      </c>
      <c r="O91" s="26">
        <v>102.414</v>
      </c>
      <c r="P91" s="26">
        <v>102.38</v>
      </c>
      <c r="Q91" s="28">
        <v>0.107</v>
      </c>
    </row>
    <row r="92" spans="1:17">
      <c r="A92" t="str">
        <f t="shared" si="2"/>
        <v/>
      </c>
      <c r="B92" t="str">
        <f t="shared" si="3"/>
        <v/>
      </c>
      <c r="D92" s="27">
        <v>45224</v>
      </c>
      <c r="E92" s="26">
        <v>102.55</v>
      </c>
      <c r="F92" s="26">
        <v>0</v>
      </c>
      <c r="G92" s="30">
        <v>102.55</v>
      </c>
      <c r="H92" s="30">
        <v>102.55</v>
      </c>
      <c r="I92" s="30">
        <v>102.55</v>
      </c>
      <c r="J92" s="31">
        <v>0</v>
      </c>
      <c r="K92" s="31">
        <v>0</v>
      </c>
      <c r="L92" s="31">
        <v>3</v>
      </c>
      <c r="M92" s="31">
        <v>0</v>
      </c>
      <c r="N92" s="26">
        <v>102.499</v>
      </c>
      <c r="O92" s="26">
        <v>102.611</v>
      </c>
      <c r="P92" s="26">
        <v>102.47</v>
      </c>
      <c r="Q92" s="28">
        <v>5.0999999999999997E-2</v>
      </c>
    </row>
    <row r="93" spans="1:17">
      <c r="A93">
        <f t="shared" si="2"/>
        <v>102.55</v>
      </c>
      <c r="B93">
        <f t="shared" si="3"/>
        <v>102.55</v>
      </c>
      <c r="D93" s="27">
        <v>45223</v>
      </c>
      <c r="E93" s="26">
        <v>102.55</v>
      </c>
      <c r="F93" s="26">
        <v>0.04</v>
      </c>
      <c r="G93" s="30">
        <v>102.55</v>
      </c>
      <c r="H93" s="30">
        <v>102.55</v>
      </c>
      <c r="I93" s="30">
        <v>102.55</v>
      </c>
      <c r="J93" s="31">
        <v>1</v>
      </c>
      <c r="K93" s="31">
        <v>102550</v>
      </c>
      <c r="L93" s="31">
        <v>3</v>
      </c>
      <c r="M93" s="31">
        <v>1</v>
      </c>
      <c r="N93" s="26">
        <v>102.64400000000001</v>
      </c>
      <c r="O93" s="26">
        <v>102.73399999999999</v>
      </c>
      <c r="P93" s="26">
        <v>102.55</v>
      </c>
      <c r="Q93" s="28">
        <v>-9.4E-2</v>
      </c>
    </row>
    <row r="94" spans="1:17">
      <c r="A94" t="str">
        <f t="shared" si="2"/>
        <v/>
      </c>
      <c r="B94" t="str">
        <f t="shared" si="3"/>
        <v/>
      </c>
      <c r="D94" s="27">
        <v>45222</v>
      </c>
      <c r="E94" s="26">
        <v>102.51</v>
      </c>
      <c r="F94" s="26">
        <v>0.14000000000000001</v>
      </c>
      <c r="G94" s="30">
        <v>102.51</v>
      </c>
      <c r="H94" s="30">
        <v>102.51</v>
      </c>
      <c r="I94" s="30">
        <v>102.51</v>
      </c>
      <c r="J94" s="31">
        <v>0</v>
      </c>
      <c r="K94" s="31">
        <v>0</v>
      </c>
      <c r="L94" s="31">
        <v>2</v>
      </c>
      <c r="M94" s="31">
        <v>0</v>
      </c>
      <c r="N94" s="26">
        <v>102.40900000000001</v>
      </c>
      <c r="O94" s="26">
        <v>102.53100000000001</v>
      </c>
      <c r="P94" s="26">
        <v>102.4</v>
      </c>
      <c r="Q94" s="28">
        <v>0.10100000000000001</v>
      </c>
    </row>
    <row r="95" spans="1:17">
      <c r="A95" t="str">
        <f t="shared" si="2"/>
        <v/>
      </c>
      <c r="B95" t="str">
        <f t="shared" si="3"/>
        <v/>
      </c>
      <c r="D95" s="27">
        <v>45219</v>
      </c>
      <c r="E95" s="26">
        <v>102.37</v>
      </c>
      <c r="F95" s="26">
        <v>0</v>
      </c>
      <c r="G95" s="30">
        <v>102.37</v>
      </c>
      <c r="H95" s="30">
        <v>102.37</v>
      </c>
      <c r="I95" s="30">
        <v>102.37</v>
      </c>
      <c r="J95" s="31">
        <v>0</v>
      </c>
      <c r="K95" s="31">
        <v>0</v>
      </c>
      <c r="L95" s="31">
        <v>2</v>
      </c>
      <c r="M95" s="31">
        <v>0</v>
      </c>
      <c r="N95" s="26">
        <v>102.539</v>
      </c>
      <c r="O95" s="26">
        <v>102.648</v>
      </c>
      <c r="P95" s="26">
        <v>102.51</v>
      </c>
      <c r="Q95" s="28">
        <v>-0.16900000000000001</v>
      </c>
    </row>
    <row r="96" spans="1:17">
      <c r="A96">
        <f t="shared" si="2"/>
        <v>102.37</v>
      </c>
      <c r="B96">
        <f t="shared" si="3"/>
        <v>102.3</v>
      </c>
      <c r="D96" s="27">
        <v>45218</v>
      </c>
      <c r="E96" s="26">
        <v>102.37</v>
      </c>
      <c r="F96" s="26">
        <v>-0.26</v>
      </c>
      <c r="G96" s="30">
        <v>102.3</v>
      </c>
      <c r="H96" s="30">
        <v>102.37</v>
      </c>
      <c r="I96" s="30">
        <v>102.3</v>
      </c>
      <c r="J96" s="31">
        <v>3</v>
      </c>
      <c r="K96" s="31">
        <v>307020</v>
      </c>
      <c r="L96" s="31">
        <v>2</v>
      </c>
      <c r="M96" s="31">
        <v>-2</v>
      </c>
      <c r="N96" s="26">
        <v>102.40900000000001</v>
      </c>
      <c r="O96" s="26">
        <v>102.535</v>
      </c>
      <c r="P96" s="26">
        <v>102.37</v>
      </c>
      <c r="Q96" s="28">
        <v>-3.9E-2</v>
      </c>
    </row>
    <row r="97" spans="1:17">
      <c r="A97" t="str">
        <f t="shared" si="2"/>
        <v/>
      </c>
      <c r="B97" t="str">
        <f t="shared" si="3"/>
        <v/>
      </c>
      <c r="D97" s="27">
        <v>45217</v>
      </c>
      <c r="E97" s="26">
        <v>102.63</v>
      </c>
      <c r="F97" s="26">
        <v>-0.08</v>
      </c>
      <c r="G97" s="30">
        <v>102.63</v>
      </c>
      <c r="H97" s="30">
        <v>102.63</v>
      </c>
      <c r="I97" s="30">
        <v>102.63</v>
      </c>
      <c r="J97" s="31">
        <v>0</v>
      </c>
      <c r="K97" s="31">
        <v>0</v>
      </c>
      <c r="L97" s="31">
        <v>4</v>
      </c>
      <c r="M97" s="31">
        <v>0</v>
      </c>
      <c r="N97" s="26">
        <v>102.542</v>
      </c>
      <c r="O97" s="26">
        <v>102.654</v>
      </c>
      <c r="P97" s="26">
        <v>102.49</v>
      </c>
      <c r="Q97" s="28">
        <v>8.7999999999999995E-2</v>
      </c>
    </row>
    <row r="98" spans="1:17">
      <c r="A98" t="str">
        <f t="shared" si="2"/>
        <v/>
      </c>
      <c r="B98" t="str">
        <f t="shared" si="3"/>
        <v/>
      </c>
      <c r="D98" s="27">
        <v>45216</v>
      </c>
      <c r="E98" s="26">
        <v>102.71</v>
      </c>
      <c r="F98" s="26">
        <v>-0.05</v>
      </c>
      <c r="G98" s="30">
        <v>102.71</v>
      </c>
      <c r="H98" s="30">
        <v>102.71</v>
      </c>
      <c r="I98" s="30">
        <v>102.71</v>
      </c>
      <c r="J98" s="31">
        <v>0</v>
      </c>
      <c r="K98" s="31">
        <v>0</v>
      </c>
      <c r="L98" s="31">
        <v>4</v>
      </c>
      <c r="M98" s="31">
        <v>0</v>
      </c>
      <c r="N98" s="26">
        <v>102.673</v>
      </c>
      <c r="O98" s="26">
        <v>102.767</v>
      </c>
      <c r="P98" s="26">
        <v>102.63</v>
      </c>
      <c r="Q98" s="28">
        <v>3.6999999999999998E-2</v>
      </c>
    </row>
    <row r="99" spans="1:17">
      <c r="A99" t="str">
        <f t="shared" si="2"/>
        <v/>
      </c>
      <c r="B99" t="str">
        <f t="shared" si="3"/>
        <v/>
      </c>
      <c r="D99" s="27">
        <v>45215</v>
      </c>
      <c r="E99" s="26">
        <v>102.76</v>
      </c>
      <c r="F99" s="26">
        <v>-0.11</v>
      </c>
      <c r="G99" s="30">
        <v>102.76</v>
      </c>
      <c r="H99" s="30">
        <v>102.76</v>
      </c>
      <c r="I99" s="30">
        <v>102.76</v>
      </c>
      <c r="J99" s="31">
        <v>0</v>
      </c>
      <c r="K99" s="31">
        <v>0</v>
      </c>
      <c r="L99" s="31">
        <v>4</v>
      </c>
      <c r="M99" s="31">
        <v>0</v>
      </c>
      <c r="N99" s="26">
        <v>102.741</v>
      </c>
      <c r="O99" s="26">
        <v>102.82599999999999</v>
      </c>
      <c r="P99" s="26">
        <v>102.71</v>
      </c>
      <c r="Q99" s="28">
        <v>1.9E-2</v>
      </c>
    </row>
    <row r="100" spans="1:17">
      <c r="A100" t="str">
        <f t="shared" si="2"/>
        <v/>
      </c>
      <c r="B100" t="str">
        <f t="shared" si="3"/>
        <v/>
      </c>
      <c r="D100" s="27">
        <v>45212</v>
      </c>
      <c r="E100" s="26">
        <v>102.87</v>
      </c>
      <c r="F100" s="26">
        <v>7.0000000000000007E-2</v>
      </c>
      <c r="G100" s="30">
        <v>102.87</v>
      </c>
      <c r="H100" s="30">
        <v>102.87</v>
      </c>
      <c r="I100" s="30">
        <v>102.87</v>
      </c>
      <c r="J100" s="31">
        <v>0</v>
      </c>
      <c r="K100" s="31">
        <v>0</v>
      </c>
      <c r="L100" s="31">
        <v>4</v>
      </c>
      <c r="M100" s="31">
        <v>0</v>
      </c>
      <c r="N100" s="26">
        <v>102.812</v>
      </c>
      <c r="O100" s="26">
        <v>102.889</v>
      </c>
      <c r="P100" s="26">
        <v>102.76</v>
      </c>
      <c r="Q100" s="28">
        <v>5.8000000000000003E-2</v>
      </c>
    </row>
    <row r="101" spans="1:17">
      <c r="A101" t="str">
        <f t="shared" si="2"/>
        <v/>
      </c>
      <c r="B101" t="str">
        <f t="shared" si="3"/>
        <v/>
      </c>
      <c r="D101" s="27">
        <v>45211</v>
      </c>
      <c r="E101" s="26">
        <v>102.8</v>
      </c>
      <c r="F101" s="26">
        <v>0.2</v>
      </c>
      <c r="G101" s="30">
        <v>102.8</v>
      </c>
      <c r="H101" s="30">
        <v>102.8</v>
      </c>
      <c r="I101" s="30">
        <v>102.8</v>
      </c>
      <c r="J101" s="31">
        <v>0</v>
      </c>
      <c r="K101" s="31">
        <v>0</v>
      </c>
      <c r="L101" s="31">
        <v>4</v>
      </c>
      <c r="M101" s="31">
        <v>0</v>
      </c>
      <c r="N101" s="26">
        <v>102.90900000000001</v>
      </c>
      <c r="O101" s="26">
        <v>102.97499999999999</v>
      </c>
      <c r="P101" s="26">
        <v>102.87</v>
      </c>
      <c r="Q101" s="28">
        <v>-0.109</v>
      </c>
    </row>
    <row r="102" spans="1:17">
      <c r="A102" t="str">
        <f t="shared" si="2"/>
        <v/>
      </c>
      <c r="B102" t="str">
        <f t="shared" si="3"/>
        <v/>
      </c>
      <c r="D102" s="27">
        <v>45210</v>
      </c>
      <c r="E102" s="26">
        <v>102.6</v>
      </c>
      <c r="F102" s="26">
        <v>-0.15</v>
      </c>
      <c r="G102" s="30">
        <v>102.6</v>
      </c>
      <c r="H102" s="30">
        <v>102.6</v>
      </c>
      <c r="I102" s="30">
        <v>102.6</v>
      </c>
      <c r="J102" s="31">
        <v>0</v>
      </c>
      <c r="K102" s="31">
        <v>0</v>
      </c>
      <c r="L102" s="31">
        <v>4</v>
      </c>
      <c r="M102" s="31">
        <v>0</v>
      </c>
      <c r="N102" s="26">
        <v>102.821</v>
      </c>
      <c r="O102" s="26">
        <v>102.898</v>
      </c>
      <c r="P102" s="26">
        <v>102.8</v>
      </c>
      <c r="Q102" s="28">
        <v>-0.221</v>
      </c>
    </row>
    <row r="103" spans="1:17">
      <c r="A103" t="str">
        <f t="shared" si="2"/>
        <v/>
      </c>
      <c r="B103" t="str">
        <f t="shared" si="3"/>
        <v/>
      </c>
      <c r="D103" s="27">
        <v>45209</v>
      </c>
      <c r="E103" s="26">
        <v>102.75</v>
      </c>
      <c r="F103" s="26">
        <v>0</v>
      </c>
      <c r="G103" s="30">
        <v>102.75</v>
      </c>
      <c r="H103" s="30">
        <v>102.75</v>
      </c>
      <c r="I103" s="30">
        <v>102.75</v>
      </c>
      <c r="J103" s="31">
        <v>0</v>
      </c>
      <c r="K103" s="31">
        <v>0</v>
      </c>
      <c r="L103" s="31">
        <v>4</v>
      </c>
      <c r="M103" s="31">
        <v>0</v>
      </c>
      <c r="N103" s="26">
        <v>102.627</v>
      </c>
      <c r="O103" s="26">
        <v>102.73399999999999</v>
      </c>
      <c r="P103" s="26">
        <v>102.6</v>
      </c>
      <c r="Q103" s="28">
        <v>0.123</v>
      </c>
    </row>
    <row r="104" spans="1:17">
      <c r="A104">
        <f t="shared" si="2"/>
        <v>102.75</v>
      </c>
      <c r="B104">
        <f t="shared" si="3"/>
        <v>102.7</v>
      </c>
      <c r="D104" s="27">
        <v>45205</v>
      </c>
      <c r="E104" s="26">
        <v>102.75</v>
      </c>
      <c r="F104" s="26">
        <v>0.15</v>
      </c>
      <c r="G104" s="30">
        <v>102.7</v>
      </c>
      <c r="H104" s="30">
        <v>102.75</v>
      </c>
      <c r="I104" s="30">
        <v>102.7</v>
      </c>
      <c r="J104" s="31">
        <v>2</v>
      </c>
      <c r="K104" s="31">
        <v>205450</v>
      </c>
      <c r="L104" s="31">
        <v>4</v>
      </c>
      <c r="M104" s="31">
        <v>1</v>
      </c>
      <c r="N104" s="26">
        <v>102.58199999999999</v>
      </c>
      <c r="O104" s="26">
        <v>102.699</v>
      </c>
      <c r="P104" s="26">
        <v>102.75</v>
      </c>
      <c r="Q104" s="28">
        <v>0.16800000000000001</v>
      </c>
    </row>
    <row r="105" spans="1:17">
      <c r="A105">
        <f t="shared" si="2"/>
        <v>102.6</v>
      </c>
      <c r="B105">
        <f t="shared" si="3"/>
        <v>102.6</v>
      </c>
      <c r="D105" s="27">
        <v>45204</v>
      </c>
      <c r="E105" s="26">
        <v>102.6</v>
      </c>
      <c r="F105" s="26">
        <v>-0.42</v>
      </c>
      <c r="G105" s="30">
        <v>102.6</v>
      </c>
      <c r="H105" s="30">
        <v>102.6</v>
      </c>
      <c r="I105" s="30">
        <v>102.6</v>
      </c>
      <c r="J105" s="31">
        <v>1</v>
      </c>
      <c r="K105" s="31">
        <v>102600</v>
      </c>
      <c r="L105" s="31">
        <v>3</v>
      </c>
      <c r="M105" s="31">
        <v>0</v>
      </c>
      <c r="N105" s="26">
        <v>102.312</v>
      </c>
      <c r="O105" s="26">
        <v>102.468</v>
      </c>
      <c r="P105" s="26">
        <v>102.6</v>
      </c>
      <c r="Q105" s="28">
        <v>0.28799999999999998</v>
      </c>
    </row>
    <row r="106" spans="1:17">
      <c r="A106" t="str">
        <f t="shared" si="2"/>
        <v/>
      </c>
      <c r="B106" t="str">
        <f t="shared" si="3"/>
        <v/>
      </c>
      <c r="D106" s="27">
        <v>45203</v>
      </c>
      <c r="E106" s="26">
        <v>103.02</v>
      </c>
      <c r="F106" s="26">
        <v>0.06</v>
      </c>
      <c r="G106" s="30">
        <v>103.02</v>
      </c>
      <c r="H106" s="30">
        <v>103.02</v>
      </c>
      <c r="I106" s="30">
        <v>103.02</v>
      </c>
      <c r="J106" s="31">
        <v>0</v>
      </c>
      <c r="K106" s="31">
        <v>0</v>
      </c>
      <c r="L106" s="31">
        <v>3</v>
      </c>
      <c r="M106" s="31">
        <v>0</v>
      </c>
      <c r="N106" s="26">
        <v>102.114</v>
      </c>
      <c r="O106" s="26">
        <v>102.30200000000001</v>
      </c>
      <c r="P106" s="26">
        <v>102.16</v>
      </c>
      <c r="Q106" s="28">
        <v>0.90600000000000003</v>
      </c>
    </row>
    <row r="107" spans="1:17">
      <c r="A107" t="str">
        <f t="shared" si="2"/>
        <v/>
      </c>
      <c r="B107" t="str">
        <f t="shared" si="3"/>
        <v/>
      </c>
      <c r="D107" s="27">
        <v>45196</v>
      </c>
      <c r="E107" s="26">
        <v>102.96</v>
      </c>
      <c r="F107" s="26">
        <v>-0.27</v>
      </c>
      <c r="G107" s="30">
        <v>102.96</v>
      </c>
      <c r="H107" s="30">
        <v>102.96</v>
      </c>
      <c r="I107" s="30">
        <v>102.96</v>
      </c>
      <c r="J107" s="31">
        <v>0</v>
      </c>
      <c r="K107" s="31">
        <v>0</v>
      </c>
      <c r="L107" s="31">
        <v>3</v>
      </c>
      <c r="M107" s="31">
        <v>0</v>
      </c>
      <c r="N107" s="26">
        <v>103.04600000000001</v>
      </c>
      <c r="O107" s="26">
        <v>103.1</v>
      </c>
      <c r="P107" s="26">
        <v>103.02</v>
      </c>
      <c r="Q107" s="28">
        <v>-8.5999999999999993E-2</v>
      </c>
    </row>
    <row r="108" spans="1:17">
      <c r="A108" t="str">
        <f t="shared" si="2"/>
        <v/>
      </c>
      <c r="B108" t="str">
        <f t="shared" si="3"/>
        <v/>
      </c>
      <c r="D108" s="27">
        <v>45195</v>
      </c>
      <c r="E108" s="26">
        <v>103.23</v>
      </c>
      <c r="F108" s="26">
        <v>0</v>
      </c>
      <c r="G108" s="30">
        <v>103.23</v>
      </c>
      <c r="H108" s="30">
        <v>103.23</v>
      </c>
      <c r="I108" s="30">
        <v>103.23</v>
      </c>
      <c r="J108" s="31">
        <v>0</v>
      </c>
      <c r="K108" s="31">
        <v>0</v>
      </c>
      <c r="L108" s="31">
        <v>3</v>
      </c>
      <c r="M108" s="31">
        <v>0</v>
      </c>
      <c r="N108" s="26">
        <v>102.97199999999999</v>
      </c>
      <c r="O108" s="26">
        <v>103.039</v>
      </c>
      <c r="P108" s="26">
        <v>102.96</v>
      </c>
      <c r="Q108" s="28">
        <v>0.25800000000000001</v>
      </c>
    </row>
    <row r="109" spans="1:17">
      <c r="A109">
        <f t="shared" si="2"/>
        <v>103.28</v>
      </c>
      <c r="B109">
        <f t="shared" si="3"/>
        <v>103</v>
      </c>
      <c r="D109" s="27">
        <v>45194</v>
      </c>
      <c r="E109" s="26">
        <v>103.23</v>
      </c>
      <c r="F109" s="26">
        <v>0.39</v>
      </c>
      <c r="G109" s="30">
        <v>103</v>
      </c>
      <c r="H109" s="30">
        <v>103.28</v>
      </c>
      <c r="I109" s="30">
        <v>103</v>
      </c>
      <c r="J109" s="31">
        <v>4</v>
      </c>
      <c r="K109" s="31">
        <v>412790</v>
      </c>
      <c r="L109" s="31">
        <v>3</v>
      </c>
      <c r="M109" s="31">
        <v>3</v>
      </c>
      <c r="N109" s="26">
        <v>103.029</v>
      </c>
      <c r="O109" s="26">
        <v>103.09099999999999</v>
      </c>
      <c r="P109" s="26">
        <v>103.23</v>
      </c>
      <c r="Q109" s="28">
        <v>0.20100000000000001</v>
      </c>
    </row>
    <row r="110" spans="1:17">
      <c r="A110" t="str">
        <f t="shared" si="2"/>
        <v/>
      </c>
      <c r="B110" t="str">
        <f t="shared" si="3"/>
        <v/>
      </c>
      <c r="D110" s="27">
        <v>45191</v>
      </c>
      <c r="E110" s="26">
        <v>102.84</v>
      </c>
      <c r="F110" s="26">
        <v>-7.0000000000000007E-2</v>
      </c>
      <c r="G110" s="30">
        <v>102.84</v>
      </c>
      <c r="H110" s="30">
        <v>102.84</v>
      </c>
      <c r="I110" s="30">
        <v>102.84</v>
      </c>
      <c r="J110" s="31">
        <v>0</v>
      </c>
      <c r="K110" s="31">
        <v>0</v>
      </c>
      <c r="L110" s="31">
        <v>0</v>
      </c>
      <c r="M110" s="31">
        <v>0</v>
      </c>
      <c r="N110" s="26">
        <v>103.069</v>
      </c>
      <c r="O110" s="26">
        <v>103.128</v>
      </c>
      <c r="P110" s="26">
        <v>103.04</v>
      </c>
      <c r="Q110" s="28">
        <v>-0.22900000000000001</v>
      </c>
    </row>
    <row r="111" spans="1:17">
      <c r="A111" t="str">
        <f t="shared" si="2"/>
        <v/>
      </c>
      <c r="B111" t="str">
        <f t="shared" si="3"/>
        <v/>
      </c>
      <c r="D111" s="27">
        <v>45190</v>
      </c>
      <c r="E111" s="26">
        <v>102.91</v>
      </c>
      <c r="F111" s="26">
        <v>-0.15</v>
      </c>
      <c r="G111" s="30">
        <v>102.91</v>
      </c>
      <c r="H111" s="30">
        <v>102.91</v>
      </c>
      <c r="I111" s="30">
        <v>102.91</v>
      </c>
      <c r="J111" s="31">
        <v>0</v>
      </c>
      <c r="K111" s="31">
        <v>0</v>
      </c>
      <c r="L111" s="31">
        <v>0</v>
      </c>
      <c r="M111" s="31">
        <v>0</v>
      </c>
      <c r="N111" s="26">
        <v>102.878</v>
      </c>
      <c r="O111" s="26">
        <v>102.971</v>
      </c>
      <c r="P111" s="26">
        <v>102.85</v>
      </c>
      <c r="Q111" s="28">
        <v>3.2000000000000001E-2</v>
      </c>
    </row>
    <row r="112" spans="1:17">
      <c r="A112" t="str">
        <f t="shared" si="2"/>
        <v/>
      </c>
      <c r="B112" t="str">
        <f t="shared" si="3"/>
        <v/>
      </c>
      <c r="D112" s="27">
        <v>45189</v>
      </c>
      <c r="E112" s="26">
        <v>103.06</v>
      </c>
      <c r="F112" s="26">
        <v>0</v>
      </c>
      <c r="G112" s="30">
        <v>103.06</v>
      </c>
      <c r="H112" s="30">
        <v>103.06</v>
      </c>
      <c r="I112" s="30">
        <v>103.06</v>
      </c>
      <c r="J112" s="31">
        <v>0</v>
      </c>
      <c r="K112" s="31">
        <v>0</v>
      </c>
      <c r="L112" s="31">
        <v>0</v>
      </c>
      <c r="M112" s="31">
        <v>0</v>
      </c>
      <c r="N112" s="26">
        <v>103.023</v>
      </c>
      <c r="O112" s="26">
        <v>103.1</v>
      </c>
      <c r="P112" s="26">
        <v>103.02</v>
      </c>
      <c r="Q112" s="28">
        <v>3.6999999999999998E-2</v>
      </c>
    </row>
    <row r="113" spans="1:17">
      <c r="A113" t="str">
        <f t="shared" si="2"/>
        <v/>
      </c>
      <c r="B113" t="str">
        <f t="shared" si="3"/>
        <v/>
      </c>
      <c r="D113" s="27"/>
      <c r="E113" s="26"/>
      <c r="F113" s="26"/>
      <c r="G113" s="30"/>
      <c r="H113" s="30"/>
      <c r="I113" s="30"/>
      <c r="J113" s="31"/>
      <c r="K113" s="31"/>
      <c r="L113" s="31"/>
      <c r="M113" s="31"/>
      <c r="N113" s="26"/>
      <c r="O113" s="26"/>
      <c r="P113" s="26"/>
      <c r="Q113" s="28"/>
    </row>
    <row r="114" spans="1:17">
      <c r="A114" t="str">
        <f t="shared" si="2"/>
        <v/>
      </c>
      <c r="B114" t="str">
        <f t="shared" si="3"/>
        <v/>
      </c>
      <c r="D114" s="27"/>
      <c r="E114" s="26"/>
      <c r="F114" s="26"/>
      <c r="G114" s="30"/>
      <c r="H114" s="30"/>
      <c r="I114" s="30"/>
      <c r="J114" s="31"/>
      <c r="K114" s="31"/>
      <c r="L114" s="31"/>
      <c r="M114" s="31"/>
      <c r="N114" s="26"/>
      <c r="O114" s="26"/>
      <c r="P114" s="26"/>
      <c r="Q114" s="28"/>
    </row>
    <row r="115" spans="1:17">
      <c r="A115" t="str">
        <f t="shared" si="2"/>
        <v/>
      </c>
      <c r="B115" t="str">
        <f t="shared" si="3"/>
        <v/>
      </c>
      <c r="D115" s="27"/>
      <c r="E115" s="26"/>
      <c r="F115" s="26"/>
      <c r="G115" s="30"/>
      <c r="H115" s="30"/>
      <c r="I115" s="30"/>
      <c r="J115" s="31"/>
      <c r="K115" s="31"/>
      <c r="L115" s="31"/>
      <c r="M115" s="31"/>
      <c r="N115" s="26"/>
      <c r="O115" s="26"/>
      <c r="P115" s="26"/>
      <c r="Q115" s="28"/>
    </row>
    <row r="116" spans="1:17">
      <c r="A116" t="str">
        <f t="shared" si="2"/>
        <v/>
      </c>
      <c r="B116" t="str">
        <f t="shared" si="3"/>
        <v/>
      </c>
      <c r="D116" s="27"/>
      <c r="E116" s="26"/>
      <c r="F116" s="26"/>
      <c r="G116" s="30"/>
      <c r="H116" s="30"/>
      <c r="I116" s="30"/>
      <c r="J116" s="31"/>
      <c r="K116" s="31"/>
      <c r="L116" s="31"/>
      <c r="M116" s="31"/>
      <c r="N116" s="26"/>
      <c r="O116" s="26"/>
      <c r="P116" s="26"/>
      <c r="Q116" s="28"/>
    </row>
    <row r="117" spans="1:17">
      <c r="A117" t="str">
        <f t="shared" si="2"/>
        <v/>
      </c>
      <c r="B117" t="str">
        <f t="shared" si="3"/>
        <v/>
      </c>
      <c r="D117" s="27"/>
      <c r="E117" s="26"/>
      <c r="F117" s="26"/>
      <c r="G117" s="30"/>
      <c r="H117" s="30"/>
      <c r="I117" s="30"/>
      <c r="J117" s="31"/>
      <c r="K117" s="31"/>
      <c r="L117" s="31"/>
      <c r="M117" s="31"/>
      <c r="N117" s="26"/>
      <c r="O117" s="26"/>
      <c r="P117" s="26"/>
      <c r="Q117" s="28"/>
    </row>
    <row r="118" spans="1:17">
      <c r="A118" t="str">
        <f t="shared" si="2"/>
        <v/>
      </c>
      <c r="B118" t="str">
        <f t="shared" si="3"/>
        <v/>
      </c>
      <c r="D118" s="27"/>
      <c r="E118" s="26"/>
      <c r="F118" s="26"/>
      <c r="G118" s="30"/>
      <c r="H118" s="30"/>
      <c r="I118" s="30"/>
      <c r="J118" s="31"/>
      <c r="K118" s="31"/>
      <c r="L118" s="31"/>
      <c r="M118" s="31"/>
      <c r="N118" s="26"/>
      <c r="O118" s="26"/>
      <c r="P118" s="26"/>
      <c r="Q118" s="28"/>
    </row>
    <row r="119" spans="1:17">
      <c r="A119" t="str">
        <f t="shared" si="2"/>
        <v/>
      </c>
      <c r="B119" t="str">
        <f t="shared" si="3"/>
        <v/>
      </c>
      <c r="D119" s="27"/>
      <c r="E119" s="26"/>
      <c r="F119" s="26"/>
      <c r="G119" s="30"/>
      <c r="H119" s="30"/>
      <c r="I119" s="30"/>
      <c r="J119" s="31"/>
      <c r="K119" s="31"/>
      <c r="L119" s="31"/>
      <c r="M119" s="31"/>
      <c r="N119" s="26"/>
      <c r="O119" s="26"/>
      <c r="P119" s="26"/>
      <c r="Q119" s="28"/>
    </row>
    <row r="120" spans="1:17">
      <c r="A120" t="str">
        <f t="shared" si="2"/>
        <v/>
      </c>
      <c r="B120" t="str">
        <f t="shared" si="3"/>
        <v/>
      </c>
      <c r="D120" s="27"/>
      <c r="E120" s="26"/>
      <c r="F120" s="26"/>
      <c r="G120" s="30"/>
      <c r="H120" s="30"/>
      <c r="I120" s="30"/>
      <c r="J120" s="31"/>
      <c r="K120" s="31"/>
      <c r="L120" s="31"/>
      <c r="M120" s="31"/>
      <c r="N120" s="26"/>
      <c r="O120" s="26"/>
      <c r="P120" s="26"/>
      <c r="Q120" s="28"/>
    </row>
    <row r="121" spans="1:17">
      <c r="A121" t="str">
        <f t="shared" si="2"/>
        <v/>
      </c>
      <c r="B121" t="str">
        <f t="shared" si="3"/>
        <v/>
      </c>
      <c r="D121" s="27"/>
      <c r="E121" s="26"/>
      <c r="F121" s="26"/>
      <c r="G121" s="30"/>
      <c r="H121" s="30"/>
      <c r="I121" s="30"/>
      <c r="J121" s="31"/>
      <c r="K121" s="31"/>
      <c r="L121" s="31"/>
      <c r="M121" s="31"/>
      <c r="N121" s="26"/>
      <c r="O121" s="26"/>
      <c r="P121" s="26"/>
      <c r="Q121" s="28"/>
    </row>
    <row r="122" spans="1:17">
      <c r="A122" t="str">
        <f t="shared" si="2"/>
        <v/>
      </c>
      <c r="B122" t="str">
        <f t="shared" si="3"/>
        <v/>
      </c>
      <c r="D122" s="27"/>
      <c r="E122" s="26"/>
      <c r="F122" s="26"/>
      <c r="G122" s="30"/>
      <c r="H122" s="30"/>
      <c r="I122" s="30"/>
      <c r="J122" s="31"/>
      <c r="K122" s="31"/>
      <c r="L122" s="31"/>
      <c r="M122" s="31"/>
      <c r="N122" s="26"/>
      <c r="O122" s="26"/>
      <c r="P122" s="26"/>
      <c r="Q122" s="28"/>
    </row>
    <row r="123" spans="1:17">
      <c r="A123" t="str">
        <f t="shared" si="2"/>
        <v/>
      </c>
      <c r="B123" t="str">
        <f t="shared" si="3"/>
        <v/>
      </c>
      <c r="D123" s="27"/>
      <c r="E123" s="26"/>
      <c r="F123" s="26"/>
      <c r="G123" s="30"/>
      <c r="H123" s="30"/>
      <c r="I123" s="30"/>
      <c r="J123" s="31"/>
      <c r="K123" s="31"/>
      <c r="L123" s="31"/>
      <c r="M123" s="31"/>
      <c r="N123" s="26"/>
      <c r="O123" s="26"/>
      <c r="P123" s="26"/>
      <c r="Q123" s="28"/>
    </row>
    <row r="124" spans="1:17">
      <c r="A124" t="str">
        <f t="shared" si="2"/>
        <v/>
      </c>
      <c r="B124" t="str">
        <f t="shared" si="3"/>
        <v/>
      </c>
      <c r="D124" s="27"/>
      <c r="E124" s="26"/>
      <c r="F124" s="26"/>
      <c r="G124" s="30"/>
      <c r="H124" s="30"/>
      <c r="I124" s="30"/>
      <c r="J124" s="31"/>
      <c r="K124" s="31"/>
      <c r="L124" s="31"/>
      <c r="M124" s="31"/>
      <c r="N124" s="26"/>
      <c r="O124" s="26"/>
      <c r="P124" s="26"/>
      <c r="Q124" s="28"/>
    </row>
    <row r="125" spans="1:17">
      <c r="A125" t="str">
        <f t="shared" si="2"/>
        <v/>
      </c>
      <c r="B125" t="str">
        <f t="shared" si="3"/>
        <v/>
      </c>
      <c r="D125" s="27"/>
      <c r="E125" s="26"/>
      <c r="F125" s="26"/>
      <c r="G125" s="30"/>
      <c r="H125" s="30"/>
      <c r="I125" s="30"/>
      <c r="J125" s="31"/>
      <c r="K125" s="31"/>
      <c r="L125" s="31"/>
      <c r="M125" s="31"/>
      <c r="N125" s="26"/>
      <c r="O125" s="26"/>
      <c r="P125" s="26"/>
      <c r="Q125" s="28"/>
    </row>
    <row r="126" spans="1:17">
      <c r="A126" t="str">
        <f t="shared" si="2"/>
        <v/>
      </c>
      <c r="B126" t="str">
        <f t="shared" si="3"/>
        <v/>
      </c>
      <c r="D126" s="27"/>
      <c r="E126" s="26"/>
      <c r="F126" s="26"/>
      <c r="G126" s="30"/>
      <c r="H126" s="30"/>
      <c r="I126" s="30"/>
      <c r="J126" s="31"/>
      <c r="K126" s="31"/>
      <c r="L126" s="31"/>
      <c r="M126" s="31"/>
      <c r="N126" s="26"/>
      <c r="O126" s="26"/>
      <c r="P126" s="26"/>
      <c r="Q126" s="28"/>
    </row>
    <row r="127" spans="1:17">
      <c r="A127" t="str">
        <f t="shared" si="2"/>
        <v/>
      </c>
      <c r="B127" t="str">
        <f t="shared" si="3"/>
        <v/>
      </c>
      <c r="D127" s="27"/>
      <c r="E127" s="26"/>
      <c r="F127" s="26"/>
      <c r="G127" s="30"/>
      <c r="H127" s="30"/>
      <c r="I127" s="30"/>
      <c r="J127" s="31"/>
      <c r="K127" s="31"/>
      <c r="L127" s="31"/>
      <c r="M127" s="31"/>
      <c r="N127" s="26"/>
      <c r="O127" s="26"/>
      <c r="P127" s="26"/>
      <c r="Q127" s="28"/>
    </row>
    <row r="128" spans="1:17">
      <c r="A128" t="str">
        <f t="shared" si="2"/>
        <v/>
      </c>
      <c r="B128" t="str">
        <f t="shared" si="3"/>
        <v/>
      </c>
      <c r="D128" s="27"/>
      <c r="E128" s="26"/>
      <c r="F128" s="26"/>
      <c r="G128" s="30"/>
      <c r="H128" s="30"/>
      <c r="I128" s="30"/>
      <c r="J128" s="31"/>
      <c r="K128" s="31"/>
      <c r="L128" s="31"/>
      <c r="M128" s="31"/>
      <c r="N128" s="26"/>
      <c r="O128" s="26"/>
      <c r="P128" s="26"/>
      <c r="Q128" s="28"/>
    </row>
    <row r="129" spans="1:17">
      <c r="A129" t="str">
        <f t="shared" si="2"/>
        <v/>
      </c>
      <c r="B129" t="str">
        <f t="shared" si="3"/>
        <v/>
      </c>
      <c r="D129" s="27"/>
      <c r="E129" s="26"/>
      <c r="F129" s="26"/>
      <c r="G129" s="30"/>
      <c r="H129" s="30"/>
      <c r="I129" s="30"/>
      <c r="J129" s="31"/>
      <c r="K129" s="31"/>
      <c r="L129" s="31"/>
      <c r="M129" s="31"/>
      <c r="N129" s="26"/>
      <c r="O129" s="26"/>
      <c r="P129" s="26"/>
      <c r="Q129" s="28"/>
    </row>
    <row r="130" spans="1:17">
      <c r="A130" t="str">
        <f t="shared" si="2"/>
        <v/>
      </c>
      <c r="B130" t="str">
        <f t="shared" si="3"/>
        <v/>
      </c>
      <c r="D130" s="27"/>
      <c r="E130" s="26"/>
      <c r="F130" s="26"/>
      <c r="G130" s="30"/>
      <c r="H130" s="30"/>
      <c r="I130" s="30"/>
      <c r="J130" s="31"/>
      <c r="K130" s="31"/>
      <c r="L130" s="31"/>
      <c r="M130" s="31"/>
      <c r="N130" s="26"/>
      <c r="O130" s="26"/>
      <c r="P130" s="26"/>
      <c r="Q130" s="28"/>
    </row>
    <row r="131" spans="1:17">
      <c r="A131" t="str">
        <f t="shared" si="2"/>
        <v/>
      </c>
      <c r="B131" t="str">
        <f t="shared" si="3"/>
        <v/>
      </c>
      <c r="D131" s="27"/>
      <c r="E131" s="26"/>
      <c r="F131" s="26"/>
      <c r="G131" s="30"/>
      <c r="H131" s="30"/>
      <c r="I131" s="30"/>
      <c r="J131" s="31"/>
      <c r="K131" s="31"/>
      <c r="L131" s="31"/>
      <c r="M131" s="31"/>
      <c r="N131" s="26"/>
      <c r="O131" s="26"/>
      <c r="P131" s="26"/>
      <c r="Q131" s="28"/>
    </row>
    <row r="132" spans="1:17">
      <c r="A132" t="str">
        <f t="shared" si="2"/>
        <v/>
      </c>
      <c r="B132" t="str">
        <f t="shared" si="3"/>
        <v/>
      </c>
      <c r="D132" s="27"/>
      <c r="E132" s="26"/>
      <c r="F132" s="26"/>
      <c r="G132" s="30"/>
      <c r="H132" s="30"/>
      <c r="I132" s="30"/>
      <c r="J132" s="31"/>
      <c r="K132" s="31"/>
      <c r="L132" s="31"/>
      <c r="M132" s="31"/>
      <c r="N132" s="26"/>
      <c r="O132" s="26"/>
      <c r="P132" s="26"/>
      <c r="Q132" s="28"/>
    </row>
    <row r="133" spans="1:17">
      <c r="A133" t="str">
        <f t="shared" si="2"/>
        <v/>
      </c>
      <c r="B133" t="str">
        <f t="shared" si="3"/>
        <v/>
      </c>
      <c r="D133" s="27"/>
      <c r="E133" s="26"/>
      <c r="F133" s="26"/>
      <c r="G133" s="30"/>
      <c r="H133" s="30"/>
      <c r="I133" s="30"/>
      <c r="J133" s="31"/>
      <c r="K133" s="31"/>
      <c r="L133" s="31"/>
      <c r="M133" s="31"/>
      <c r="N133" s="26"/>
      <c r="O133" s="26"/>
      <c r="P133" s="26"/>
      <c r="Q133" s="28"/>
    </row>
    <row r="134" spans="1:17">
      <c r="A134" t="str">
        <f t="shared" si="2"/>
        <v/>
      </c>
      <c r="B134" t="str">
        <f t="shared" si="3"/>
        <v/>
      </c>
      <c r="D134" s="27"/>
      <c r="E134" s="26"/>
      <c r="F134" s="26"/>
      <c r="G134" s="30"/>
      <c r="H134" s="30"/>
      <c r="I134" s="30"/>
      <c r="J134" s="31"/>
      <c r="K134" s="31"/>
      <c r="L134" s="31"/>
      <c r="M134" s="31"/>
      <c r="N134" s="26"/>
      <c r="O134" s="26"/>
      <c r="P134" s="26"/>
      <c r="Q134" s="28"/>
    </row>
    <row r="135" spans="1:17">
      <c r="A135" t="str">
        <f t="shared" si="2"/>
        <v/>
      </c>
      <c r="B135" t="str">
        <f t="shared" si="3"/>
        <v/>
      </c>
      <c r="D135" s="27"/>
      <c r="E135" s="26"/>
      <c r="F135" s="26"/>
      <c r="G135" s="30"/>
      <c r="H135" s="30"/>
      <c r="I135" s="30"/>
      <c r="J135" s="31"/>
      <c r="K135" s="31"/>
      <c r="L135" s="31"/>
      <c r="M135" s="31"/>
      <c r="N135" s="26"/>
      <c r="O135" s="26"/>
      <c r="P135" s="26"/>
      <c r="Q135" s="28"/>
    </row>
    <row r="136" spans="1:17">
      <c r="A136" t="str">
        <f t="shared" si="2"/>
        <v/>
      </c>
      <c r="B136" t="str">
        <f t="shared" si="3"/>
        <v/>
      </c>
      <c r="D136" s="27"/>
      <c r="E136" s="26"/>
      <c r="F136" s="26"/>
      <c r="G136" s="30"/>
      <c r="H136" s="30"/>
      <c r="I136" s="30"/>
      <c r="J136" s="31"/>
      <c r="K136" s="31"/>
      <c r="L136" s="31"/>
      <c r="M136" s="31"/>
      <c r="N136" s="26"/>
      <c r="O136" s="26"/>
      <c r="P136" s="26"/>
      <c r="Q136" s="28"/>
    </row>
    <row r="137" spans="1:17">
      <c r="A137" t="str">
        <f t="shared" si="2"/>
        <v/>
      </c>
      <c r="B137" t="str">
        <f t="shared" si="3"/>
        <v/>
      </c>
      <c r="D137" s="27"/>
      <c r="E137" s="26"/>
      <c r="F137" s="26"/>
      <c r="G137" s="30"/>
      <c r="H137" s="30"/>
      <c r="I137" s="30"/>
      <c r="J137" s="31"/>
      <c r="K137" s="31"/>
      <c r="L137" s="31"/>
      <c r="M137" s="31"/>
      <c r="N137" s="26"/>
      <c r="O137" s="26"/>
      <c r="P137" s="26"/>
      <c r="Q137" s="28"/>
    </row>
    <row r="138" spans="1:17">
      <c r="A138" t="str">
        <f t="shared" si="2"/>
        <v/>
      </c>
      <c r="B138" t="str">
        <f t="shared" si="3"/>
        <v/>
      </c>
      <c r="D138" s="27"/>
      <c r="E138" s="26"/>
      <c r="F138" s="26"/>
      <c r="G138" s="30"/>
      <c r="H138" s="30"/>
      <c r="I138" s="30"/>
      <c r="J138" s="31"/>
      <c r="K138" s="31"/>
      <c r="L138" s="31"/>
      <c r="M138" s="31"/>
      <c r="N138" s="26"/>
      <c r="O138" s="26"/>
      <c r="P138" s="26"/>
      <c r="Q138" s="28"/>
    </row>
    <row r="139" spans="1:17">
      <c r="A139" t="str">
        <f t="shared" si="2"/>
        <v/>
      </c>
      <c r="B139" t="str">
        <f t="shared" si="3"/>
        <v/>
      </c>
      <c r="D139" s="27"/>
      <c r="E139" s="26"/>
      <c r="F139" s="26"/>
      <c r="G139" s="30"/>
      <c r="H139" s="30"/>
      <c r="I139" s="30"/>
      <c r="J139" s="31"/>
      <c r="K139" s="31"/>
      <c r="L139" s="31"/>
      <c r="M139" s="31"/>
      <c r="N139" s="26"/>
      <c r="O139" s="26"/>
      <c r="P139" s="26"/>
      <c r="Q139" s="28"/>
    </row>
    <row r="140" spans="1:17">
      <c r="A140" t="str">
        <f t="shared" si="2"/>
        <v/>
      </c>
      <c r="B140" t="str">
        <f t="shared" si="3"/>
        <v/>
      </c>
      <c r="D140" s="27"/>
      <c r="E140" s="26"/>
      <c r="F140" s="26"/>
      <c r="G140" s="30"/>
      <c r="H140" s="30"/>
      <c r="I140" s="30"/>
      <c r="J140" s="31"/>
      <c r="K140" s="31"/>
      <c r="L140" s="31"/>
      <c r="M140" s="31"/>
      <c r="N140" s="26"/>
      <c r="O140" s="26"/>
      <c r="P140" s="26"/>
      <c r="Q140" s="28"/>
    </row>
    <row r="141" spans="1:17">
      <c r="A141" t="str">
        <f t="shared" si="2"/>
        <v/>
      </c>
      <c r="B141" t="str">
        <f t="shared" si="3"/>
        <v/>
      </c>
      <c r="D141" s="27"/>
      <c r="E141" s="26"/>
      <c r="F141" s="26"/>
      <c r="G141" s="30"/>
      <c r="H141" s="30"/>
      <c r="I141" s="30"/>
      <c r="J141" s="31"/>
      <c r="K141" s="31"/>
      <c r="L141" s="31"/>
      <c r="M141" s="31"/>
      <c r="N141" s="26"/>
      <c r="O141" s="26"/>
      <c r="P141" s="26"/>
      <c r="Q141" s="28"/>
    </row>
    <row r="142" spans="1:17">
      <c r="A142" t="str">
        <f t="shared" ref="A142:A205" si="4">IF($J142=0,"",H142)</f>
        <v/>
      </c>
      <c r="B142" t="str">
        <f t="shared" ref="B142:B205" si="5">IF($J142=0,"",I142)</f>
        <v/>
      </c>
      <c r="D142" s="27"/>
      <c r="E142" s="26"/>
      <c r="F142" s="26"/>
      <c r="G142" s="30"/>
      <c r="H142" s="30"/>
      <c r="I142" s="30"/>
      <c r="J142" s="31"/>
      <c r="K142" s="31"/>
      <c r="L142" s="31"/>
      <c r="M142" s="31"/>
      <c r="N142" s="26"/>
      <c r="O142" s="26"/>
      <c r="P142" s="26"/>
      <c r="Q142" s="28"/>
    </row>
    <row r="143" spans="1:17">
      <c r="A143" t="str">
        <f t="shared" si="4"/>
        <v/>
      </c>
      <c r="B143" t="str">
        <f t="shared" si="5"/>
        <v/>
      </c>
      <c r="D143" s="27"/>
      <c r="E143" s="26"/>
      <c r="F143" s="26"/>
      <c r="G143" s="30"/>
      <c r="H143" s="30"/>
      <c r="I143" s="30"/>
      <c r="J143" s="31"/>
      <c r="K143" s="31"/>
      <c r="L143" s="31"/>
      <c r="M143" s="31"/>
      <c r="N143" s="26"/>
      <c r="O143" s="26"/>
      <c r="P143" s="26"/>
      <c r="Q143" s="28"/>
    </row>
    <row r="144" spans="1:17">
      <c r="A144" t="str">
        <f t="shared" si="4"/>
        <v/>
      </c>
      <c r="B144" t="str">
        <f t="shared" si="5"/>
        <v/>
      </c>
      <c r="D144" s="27"/>
      <c r="E144" s="26"/>
      <c r="F144" s="26"/>
      <c r="G144" s="30"/>
      <c r="H144" s="30"/>
      <c r="I144" s="30"/>
      <c r="J144" s="31"/>
      <c r="K144" s="31"/>
      <c r="L144" s="31"/>
      <c r="M144" s="31"/>
      <c r="N144" s="26"/>
      <c r="O144" s="26"/>
      <c r="P144" s="26"/>
      <c r="Q144" s="28"/>
    </row>
    <row r="145" spans="1:17">
      <c r="A145" t="str">
        <f t="shared" si="4"/>
        <v/>
      </c>
      <c r="B145" t="str">
        <f t="shared" si="5"/>
        <v/>
      </c>
      <c r="D145" s="27"/>
      <c r="E145" s="26"/>
      <c r="F145" s="26"/>
      <c r="G145" s="30"/>
      <c r="H145" s="30"/>
      <c r="I145" s="30"/>
      <c r="J145" s="31"/>
      <c r="K145" s="31"/>
      <c r="L145" s="31"/>
      <c r="M145" s="31"/>
      <c r="N145" s="26"/>
      <c r="O145" s="26"/>
      <c r="P145" s="26"/>
      <c r="Q145" s="28"/>
    </row>
    <row r="146" spans="1:17">
      <c r="A146" t="str">
        <f t="shared" si="4"/>
        <v/>
      </c>
      <c r="B146" t="str">
        <f t="shared" si="5"/>
        <v/>
      </c>
      <c r="D146" s="27"/>
      <c r="E146" s="26"/>
      <c r="F146" s="26"/>
      <c r="G146" s="30"/>
      <c r="H146" s="30"/>
      <c r="I146" s="30"/>
      <c r="J146" s="31"/>
      <c r="K146" s="31"/>
      <c r="L146" s="31"/>
      <c r="M146" s="31"/>
      <c r="N146" s="26"/>
      <c r="O146" s="26"/>
      <c r="P146" s="26"/>
      <c r="Q146" s="28"/>
    </row>
    <row r="147" spans="1:17">
      <c r="A147" t="str">
        <f t="shared" si="4"/>
        <v/>
      </c>
      <c r="B147" t="str">
        <f t="shared" si="5"/>
        <v/>
      </c>
      <c r="D147" s="27"/>
      <c r="E147" s="26"/>
      <c r="F147" s="26"/>
      <c r="G147" s="30"/>
      <c r="H147" s="30"/>
      <c r="I147" s="30"/>
      <c r="J147" s="31"/>
      <c r="K147" s="31"/>
      <c r="L147" s="31"/>
      <c r="M147" s="31"/>
      <c r="N147" s="26"/>
      <c r="O147" s="26"/>
      <c r="P147" s="26"/>
      <c r="Q147" s="28"/>
    </row>
    <row r="148" spans="1:17">
      <c r="A148" t="str">
        <f t="shared" si="4"/>
        <v/>
      </c>
      <c r="B148" t="str">
        <f t="shared" si="5"/>
        <v/>
      </c>
      <c r="D148" s="27"/>
      <c r="E148" s="26"/>
      <c r="F148" s="26"/>
      <c r="G148" s="30"/>
      <c r="H148" s="30"/>
      <c r="I148" s="30"/>
      <c r="J148" s="31"/>
      <c r="K148" s="31"/>
      <c r="L148" s="31"/>
      <c r="M148" s="31"/>
      <c r="N148" s="26"/>
      <c r="O148" s="26"/>
      <c r="P148" s="26"/>
      <c r="Q148" s="28"/>
    </row>
    <row r="149" spans="1:17">
      <c r="A149" t="str">
        <f t="shared" si="4"/>
        <v/>
      </c>
      <c r="B149" t="str">
        <f t="shared" si="5"/>
        <v/>
      </c>
      <c r="D149" s="27"/>
      <c r="E149" s="26"/>
      <c r="F149" s="26"/>
      <c r="G149" s="30"/>
      <c r="H149" s="30"/>
      <c r="I149" s="30"/>
      <c r="J149" s="31"/>
      <c r="K149" s="31"/>
      <c r="L149" s="31"/>
      <c r="M149" s="31"/>
      <c r="N149" s="26"/>
      <c r="O149" s="26"/>
      <c r="P149" s="26"/>
      <c r="Q149" s="28"/>
    </row>
    <row r="150" spans="1:17">
      <c r="A150" t="str">
        <f t="shared" si="4"/>
        <v/>
      </c>
      <c r="B150" t="str">
        <f t="shared" si="5"/>
        <v/>
      </c>
      <c r="D150" s="27"/>
      <c r="E150" s="26"/>
      <c r="F150" s="26"/>
      <c r="G150" s="30"/>
      <c r="H150" s="30"/>
      <c r="I150" s="30"/>
      <c r="J150" s="31"/>
      <c r="K150" s="31"/>
      <c r="L150" s="31"/>
      <c r="M150" s="31"/>
      <c r="N150" s="26"/>
      <c r="O150" s="26"/>
      <c r="P150" s="26"/>
      <c r="Q150" s="28"/>
    </row>
    <row r="151" spans="1:17">
      <c r="A151" t="str">
        <f t="shared" si="4"/>
        <v/>
      </c>
      <c r="B151" t="str">
        <f t="shared" si="5"/>
        <v/>
      </c>
      <c r="D151" s="27"/>
      <c r="E151" s="26"/>
      <c r="F151" s="26"/>
      <c r="G151" s="30"/>
      <c r="H151" s="30"/>
      <c r="I151" s="30"/>
      <c r="J151" s="31"/>
      <c r="K151" s="31"/>
      <c r="L151" s="31"/>
      <c r="M151" s="31"/>
      <c r="N151" s="26"/>
      <c r="O151" s="26"/>
      <c r="P151" s="26"/>
      <c r="Q151" s="28"/>
    </row>
    <row r="152" spans="1:17">
      <c r="A152" t="str">
        <f t="shared" si="4"/>
        <v/>
      </c>
      <c r="B152" t="str">
        <f t="shared" si="5"/>
        <v/>
      </c>
      <c r="D152" s="27"/>
      <c r="E152" s="26"/>
      <c r="F152" s="26"/>
      <c r="G152" s="30"/>
      <c r="H152" s="30"/>
      <c r="I152" s="30"/>
      <c r="J152" s="31"/>
      <c r="K152" s="31"/>
      <c r="L152" s="31"/>
      <c r="M152" s="31"/>
      <c r="N152" s="26"/>
      <c r="O152" s="26"/>
      <c r="P152" s="26"/>
      <c r="Q152" s="28"/>
    </row>
    <row r="153" spans="1:17">
      <c r="A153" t="str">
        <f t="shared" si="4"/>
        <v/>
      </c>
      <c r="B153" t="str">
        <f t="shared" si="5"/>
        <v/>
      </c>
      <c r="D153" s="27"/>
      <c r="E153" s="26"/>
      <c r="F153" s="26"/>
      <c r="G153" s="30"/>
      <c r="H153" s="30"/>
      <c r="I153" s="30"/>
      <c r="J153" s="31"/>
      <c r="K153" s="31"/>
      <c r="L153" s="31"/>
      <c r="M153" s="31"/>
      <c r="N153" s="26"/>
      <c r="O153" s="26"/>
      <c r="P153" s="26"/>
      <c r="Q153" s="28"/>
    </row>
    <row r="154" spans="1:17">
      <c r="A154" t="str">
        <f t="shared" si="4"/>
        <v/>
      </c>
      <c r="B154" t="str">
        <f t="shared" si="5"/>
        <v/>
      </c>
      <c r="D154" s="27"/>
      <c r="E154" s="26"/>
      <c r="F154" s="26"/>
      <c r="G154" s="30"/>
      <c r="H154" s="30"/>
      <c r="I154" s="30"/>
      <c r="J154" s="31"/>
      <c r="K154" s="31"/>
      <c r="L154" s="31"/>
      <c r="M154" s="31"/>
      <c r="N154" s="26"/>
      <c r="O154" s="26"/>
      <c r="P154" s="26"/>
      <c r="Q154" s="28"/>
    </row>
    <row r="155" spans="1:17">
      <c r="A155" t="str">
        <f t="shared" si="4"/>
        <v/>
      </c>
      <c r="B155" t="str">
        <f t="shared" si="5"/>
        <v/>
      </c>
      <c r="D155" s="27"/>
      <c r="E155" s="26"/>
      <c r="F155" s="26"/>
      <c r="G155" s="30"/>
      <c r="H155" s="30"/>
      <c r="I155" s="30"/>
      <c r="J155" s="31"/>
      <c r="K155" s="31"/>
      <c r="L155" s="31"/>
      <c r="M155" s="31"/>
      <c r="N155" s="26"/>
      <c r="O155" s="26"/>
      <c r="P155" s="26"/>
      <c r="Q155" s="28"/>
    </row>
    <row r="156" spans="1:17">
      <c r="A156" t="str">
        <f t="shared" si="4"/>
        <v/>
      </c>
      <c r="B156" t="str">
        <f t="shared" si="5"/>
        <v/>
      </c>
      <c r="D156" s="27"/>
      <c r="E156" s="26"/>
      <c r="F156" s="26"/>
      <c r="G156" s="30"/>
      <c r="H156" s="30"/>
      <c r="I156" s="30"/>
      <c r="J156" s="31"/>
      <c r="K156" s="31"/>
      <c r="L156" s="31"/>
      <c r="M156" s="31"/>
      <c r="N156" s="26"/>
      <c r="O156" s="26"/>
      <c r="P156" s="26"/>
      <c r="Q156" s="28"/>
    </row>
    <row r="157" spans="1:17">
      <c r="A157" t="str">
        <f t="shared" si="4"/>
        <v/>
      </c>
      <c r="B157" t="str">
        <f t="shared" si="5"/>
        <v/>
      </c>
      <c r="D157" s="27"/>
      <c r="E157" s="26"/>
      <c r="F157" s="26"/>
      <c r="G157" s="30"/>
      <c r="H157" s="30"/>
      <c r="I157" s="30"/>
      <c r="J157" s="31"/>
      <c r="K157" s="31"/>
      <c r="L157" s="31"/>
      <c r="M157" s="31"/>
      <c r="N157" s="26"/>
      <c r="O157" s="26"/>
      <c r="P157" s="26"/>
      <c r="Q157" s="28"/>
    </row>
    <row r="158" spans="1:17">
      <c r="A158" t="str">
        <f t="shared" si="4"/>
        <v/>
      </c>
      <c r="B158" t="str">
        <f t="shared" si="5"/>
        <v/>
      </c>
      <c r="D158" s="27"/>
      <c r="E158" s="26"/>
      <c r="F158" s="26"/>
      <c r="G158" s="30"/>
      <c r="H158" s="30"/>
      <c r="I158" s="30"/>
      <c r="J158" s="31"/>
      <c r="K158" s="31"/>
      <c r="L158" s="31"/>
      <c r="M158" s="31"/>
      <c r="N158" s="26"/>
      <c r="O158" s="26"/>
      <c r="P158" s="26"/>
      <c r="Q158" s="28"/>
    </row>
    <row r="159" spans="1:17">
      <c r="A159" t="str">
        <f t="shared" si="4"/>
        <v/>
      </c>
      <c r="B159" t="str">
        <f t="shared" si="5"/>
        <v/>
      </c>
      <c r="D159" s="27"/>
      <c r="E159" s="26"/>
      <c r="F159" s="26"/>
      <c r="G159" s="30"/>
      <c r="H159" s="30"/>
      <c r="I159" s="30"/>
      <c r="J159" s="31"/>
      <c r="K159" s="31"/>
      <c r="L159" s="31"/>
      <c r="M159" s="31"/>
      <c r="N159" s="26"/>
      <c r="O159" s="26"/>
      <c r="P159" s="26"/>
      <c r="Q159" s="28"/>
    </row>
    <row r="160" spans="1:17">
      <c r="A160" t="str">
        <f t="shared" si="4"/>
        <v/>
      </c>
      <c r="B160" t="str">
        <f t="shared" si="5"/>
        <v/>
      </c>
      <c r="D160" s="27"/>
      <c r="E160" s="26"/>
      <c r="F160" s="26"/>
      <c r="G160" s="30"/>
      <c r="H160" s="30"/>
      <c r="I160" s="30"/>
      <c r="J160" s="31"/>
      <c r="K160" s="31"/>
      <c r="L160" s="31"/>
      <c r="M160" s="31"/>
      <c r="N160" s="26"/>
      <c r="O160" s="26"/>
      <c r="P160" s="26"/>
      <c r="Q160" s="28"/>
    </row>
    <row r="161" spans="1:17">
      <c r="A161" t="str">
        <f t="shared" si="4"/>
        <v/>
      </c>
      <c r="B161" t="str">
        <f t="shared" si="5"/>
        <v/>
      </c>
      <c r="D161" s="27"/>
      <c r="E161" s="26"/>
      <c r="F161" s="26"/>
      <c r="G161" s="30"/>
      <c r="H161" s="30"/>
      <c r="I161" s="30"/>
      <c r="J161" s="31"/>
      <c r="K161" s="31"/>
      <c r="L161" s="31"/>
      <c r="M161" s="31"/>
      <c r="N161" s="26"/>
      <c r="O161" s="26"/>
      <c r="P161" s="26"/>
      <c r="Q161" s="28"/>
    </row>
    <row r="162" spans="1:17">
      <c r="A162" t="str">
        <f t="shared" si="4"/>
        <v/>
      </c>
      <c r="B162" t="str">
        <f t="shared" si="5"/>
        <v/>
      </c>
      <c r="D162" s="27"/>
      <c r="E162" s="26"/>
      <c r="F162" s="26"/>
      <c r="G162" s="30"/>
      <c r="H162" s="30"/>
      <c r="I162" s="30"/>
      <c r="J162" s="31"/>
      <c r="K162" s="31"/>
      <c r="L162" s="31"/>
      <c r="M162" s="31"/>
      <c r="N162" s="26"/>
      <c r="O162" s="26"/>
      <c r="P162" s="26"/>
      <c r="Q162" s="28"/>
    </row>
    <row r="163" spans="1:17">
      <c r="A163" t="str">
        <f t="shared" si="4"/>
        <v/>
      </c>
      <c r="B163" t="str">
        <f t="shared" si="5"/>
        <v/>
      </c>
      <c r="D163" s="27"/>
      <c r="E163" s="26"/>
      <c r="F163" s="26"/>
      <c r="G163" s="30"/>
      <c r="H163" s="30"/>
      <c r="I163" s="30"/>
      <c r="J163" s="31"/>
      <c r="K163" s="31"/>
      <c r="L163" s="31"/>
      <c r="M163" s="31"/>
      <c r="N163" s="26"/>
      <c r="O163" s="26"/>
      <c r="P163" s="26"/>
      <c r="Q163" s="28"/>
    </row>
    <row r="164" spans="1:17">
      <c r="A164" t="str">
        <f t="shared" si="4"/>
        <v/>
      </c>
      <c r="B164" t="str">
        <f t="shared" si="5"/>
        <v/>
      </c>
      <c r="D164" s="27"/>
      <c r="E164" s="26"/>
      <c r="F164" s="26"/>
      <c r="G164" s="30"/>
      <c r="H164" s="30"/>
      <c r="I164" s="30"/>
      <c r="J164" s="31"/>
      <c r="K164" s="31"/>
      <c r="L164" s="31"/>
      <c r="M164" s="31"/>
      <c r="N164" s="26"/>
      <c r="O164" s="26"/>
      <c r="P164" s="26"/>
      <c r="Q164" s="28"/>
    </row>
    <row r="165" spans="1:17">
      <c r="A165" t="str">
        <f t="shared" si="4"/>
        <v/>
      </c>
      <c r="B165" t="str">
        <f t="shared" si="5"/>
        <v/>
      </c>
      <c r="D165" s="27"/>
      <c r="E165" s="26"/>
      <c r="F165" s="26"/>
      <c r="G165" s="30"/>
      <c r="H165" s="30"/>
      <c r="I165" s="30"/>
      <c r="J165" s="31"/>
      <c r="K165" s="31"/>
      <c r="L165" s="31"/>
      <c r="M165" s="31"/>
      <c r="N165" s="26"/>
      <c r="O165" s="26"/>
      <c r="P165" s="26"/>
      <c r="Q165" s="28"/>
    </row>
    <row r="166" spans="1:17">
      <c r="A166" t="str">
        <f t="shared" si="4"/>
        <v/>
      </c>
      <c r="B166" t="str">
        <f t="shared" si="5"/>
        <v/>
      </c>
      <c r="D166" s="27"/>
      <c r="E166" s="26"/>
      <c r="F166" s="26"/>
      <c r="G166" s="30"/>
      <c r="H166" s="30"/>
      <c r="I166" s="30"/>
      <c r="J166" s="31"/>
      <c r="K166" s="31"/>
      <c r="L166" s="31"/>
      <c r="M166" s="31"/>
      <c r="N166" s="26"/>
      <c r="O166" s="26"/>
      <c r="P166" s="26"/>
      <c r="Q166" s="28"/>
    </row>
    <row r="167" spans="1:17">
      <c r="A167" t="str">
        <f t="shared" si="4"/>
        <v/>
      </c>
      <c r="B167" t="str">
        <f t="shared" si="5"/>
        <v/>
      </c>
      <c r="D167" s="27"/>
      <c r="E167" s="26"/>
      <c r="F167" s="26"/>
      <c r="G167" s="30"/>
      <c r="H167" s="30"/>
      <c r="I167" s="30"/>
      <c r="J167" s="31"/>
      <c r="K167" s="31"/>
      <c r="L167" s="31"/>
      <c r="M167" s="31"/>
      <c r="N167" s="26"/>
      <c r="O167" s="26"/>
      <c r="P167" s="26"/>
      <c r="Q167" s="28"/>
    </row>
    <row r="168" spans="1:17">
      <c r="A168" t="str">
        <f t="shared" si="4"/>
        <v/>
      </c>
      <c r="B168" t="str">
        <f t="shared" si="5"/>
        <v/>
      </c>
      <c r="D168" s="27"/>
      <c r="E168" s="26"/>
      <c r="F168" s="26"/>
      <c r="G168" s="30"/>
      <c r="H168" s="30"/>
      <c r="I168" s="30"/>
      <c r="J168" s="31"/>
      <c r="K168" s="31"/>
      <c r="L168" s="31"/>
      <c r="M168" s="31"/>
      <c r="N168" s="26"/>
      <c r="O168" s="26"/>
      <c r="P168" s="26"/>
      <c r="Q168" s="28"/>
    </row>
    <row r="169" spans="1:17">
      <c r="A169" t="str">
        <f t="shared" si="4"/>
        <v/>
      </c>
      <c r="B169" t="str">
        <f t="shared" si="5"/>
        <v/>
      </c>
      <c r="D169" s="27"/>
      <c r="E169" s="26"/>
      <c r="F169" s="26"/>
      <c r="G169" s="30"/>
      <c r="H169" s="30"/>
      <c r="I169" s="30"/>
      <c r="J169" s="31"/>
      <c r="K169" s="31"/>
      <c r="L169" s="31"/>
      <c r="M169" s="31"/>
      <c r="N169" s="26"/>
      <c r="O169" s="26"/>
      <c r="P169" s="26"/>
      <c r="Q169" s="28"/>
    </row>
    <row r="170" spans="1:17">
      <c r="A170" t="str">
        <f t="shared" si="4"/>
        <v/>
      </c>
      <c r="B170" t="str">
        <f t="shared" si="5"/>
        <v/>
      </c>
      <c r="D170" s="27"/>
      <c r="E170" s="26"/>
      <c r="F170" s="26"/>
      <c r="G170" s="30"/>
      <c r="H170" s="30"/>
      <c r="I170" s="30"/>
      <c r="J170" s="31"/>
      <c r="K170" s="31"/>
      <c r="L170" s="31"/>
      <c r="M170" s="31"/>
      <c r="N170" s="26"/>
      <c r="O170" s="26"/>
      <c r="P170" s="26"/>
      <c r="Q170" s="28"/>
    </row>
    <row r="171" spans="1:17">
      <c r="A171" t="str">
        <f t="shared" si="4"/>
        <v/>
      </c>
      <c r="B171" t="str">
        <f t="shared" si="5"/>
        <v/>
      </c>
      <c r="D171" s="27"/>
      <c r="E171" s="26"/>
      <c r="F171" s="26"/>
      <c r="G171" s="30"/>
      <c r="H171" s="30"/>
      <c r="I171" s="30"/>
      <c r="J171" s="31"/>
      <c r="K171" s="31"/>
      <c r="L171" s="31"/>
      <c r="M171" s="31"/>
      <c r="N171" s="26"/>
      <c r="O171" s="26"/>
      <c r="P171" s="26"/>
      <c r="Q171" s="28"/>
    </row>
    <row r="172" spans="1:17">
      <c r="A172" t="str">
        <f t="shared" si="4"/>
        <v/>
      </c>
      <c r="B172" t="str">
        <f t="shared" si="5"/>
        <v/>
      </c>
      <c r="D172" s="27"/>
      <c r="E172" s="26"/>
      <c r="F172" s="26"/>
      <c r="G172" s="30"/>
      <c r="H172" s="30"/>
      <c r="I172" s="30"/>
      <c r="J172" s="31"/>
      <c r="K172" s="31"/>
      <c r="L172" s="31"/>
      <c r="M172" s="31"/>
      <c r="N172" s="26"/>
      <c r="O172" s="26"/>
      <c r="P172" s="26"/>
      <c r="Q172" s="28"/>
    </row>
    <row r="173" spans="1:17">
      <c r="A173" t="str">
        <f t="shared" si="4"/>
        <v/>
      </c>
      <c r="B173" t="str">
        <f t="shared" si="5"/>
        <v/>
      </c>
      <c r="D173" s="27"/>
      <c r="E173" s="26"/>
      <c r="F173" s="26"/>
      <c r="G173" s="30"/>
      <c r="H173" s="30"/>
      <c r="I173" s="30"/>
      <c r="J173" s="31"/>
      <c r="K173" s="31"/>
      <c r="L173" s="31"/>
      <c r="M173" s="31"/>
      <c r="N173" s="26"/>
      <c r="O173" s="26"/>
      <c r="P173" s="26"/>
      <c r="Q173" s="28"/>
    </row>
    <row r="174" spans="1:17">
      <c r="A174" t="str">
        <f t="shared" si="4"/>
        <v/>
      </c>
      <c r="B174" t="str">
        <f t="shared" si="5"/>
        <v/>
      </c>
      <c r="D174" s="27"/>
      <c r="E174" s="26"/>
      <c r="F174" s="26"/>
      <c r="G174" s="30"/>
      <c r="H174" s="30"/>
      <c r="I174" s="30"/>
      <c r="J174" s="31"/>
      <c r="K174" s="31"/>
      <c r="L174" s="31"/>
      <c r="M174" s="31"/>
      <c r="N174" s="26"/>
      <c r="O174" s="26"/>
      <c r="P174" s="26"/>
      <c r="Q174" s="28"/>
    </row>
    <row r="175" spans="1:17">
      <c r="A175" t="str">
        <f t="shared" si="4"/>
        <v/>
      </c>
      <c r="B175" t="str">
        <f t="shared" si="5"/>
        <v/>
      </c>
      <c r="D175" s="27"/>
      <c r="E175" s="26"/>
      <c r="F175" s="26"/>
      <c r="G175" s="30"/>
      <c r="H175" s="30"/>
      <c r="I175" s="30"/>
      <c r="J175" s="31"/>
      <c r="K175" s="31"/>
      <c r="L175" s="31"/>
      <c r="M175" s="31"/>
      <c r="N175" s="26"/>
      <c r="O175" s="26"/>
      <c r="P175" s="26"/>
      <c r="Q175" s="28"/>
    </row>
    <row r="176" spans="1:17">
      <c r="A176" t="str">
        <f t="shared" si="4"/>
        <v/>
      </c>
      <c r="B176" t="str">
        <f t="shared" si="5"/>
        <v/>
      </c>
      <c r="D176" s="27"/>
      <c r="E176" s="26"/>
      <c r="F176" s="26"/>
      <c r="G176" s="30"/>
      <c r="H176" s="30"/>
      <c r="I176" s="30"/>
      <c r="J176" s="31"/>
      <c r="K176" s="31"/>
      <c r="L176" s="31"/>
      <c r="M176" s="31"/>
      <c r="N176" s="26"/>
      <c r="O176" s="26"/>
      <c r="P176" s="26"/>
      <c r="Q176" s="28"/>
    </row>
    <row r="177" spans="1:17">
      <c r="A177" t="str">
        <f t="shared" si="4"/>
        <v/>
      </c>
      <c r="B177" t="str">
        <f t="shared" si="5"/>
        <v/>
      </c>
      <c r="D177" s="27"/>
      <c r="E177" s="26"/>
      <c r="F177" s="26"/>
      <c r="G177" s="30"/>
      <c r="H177" s="30"/>
      <c r="I177" s="30"/>
      <c r="J177" s="31"/>
      <c r="K177" s="31"/>
      <c r="L177" s="31"/>
      <c r="M177" s="31"/>
      <c r="N177" s="26"/>
      <c r="O177" s="26"/>
      <c r="P177" s="26"/>
      <c r="Q177" s="28"/>
    </row>
    <row r="178" spans="1:17">
      <c r="A178" t="str">
        <f t="shared" si="4"/>
        <v/>
      </c>
      <c r="B178" t="str">
        <f t="shared" si="5"/>
        <v/>
      </c>
      <c r="D178" s="27"/>
      <c r="E178" s="26"/>
      <c r="F178" s="26"/>
      <c r="G178" s="30"/>
      <c r="H178" s="30"/>
      <c r="I178" s="30"/>
      <c r="J178" s="31"/>
      <c r="K178" s="31"/>
      <c r="L178" s="31"/>
      <c r="M178" s="31"/>
      <c r="N178" s="26"/>
      <c r="O178" s="26"/>
      <c r="P178" s="26"/>
      <c r="Q178" s="28"/>
    </row>
    <row r="179" spans="1:17">
      <c r="A179" t="str">
        <f t="shared" si="4"/>
        <v/>
      </c>
      <c r="B179" t="str">
        <f t="shared" si="5"/>
        <v/>
      </c>
      <c r="D179" s="27"/>
      <c r="E179" s="26"/>
      <c r="F179" s="26"/>
      <c r="G179" s="30"/>
      <c r="H179" s="30"/>
      <c r="I179" s="30"/>
      <c r="J179" s="31"/>
      <c r="K179" s="31"/>
      <c r="L179" s="31"/>
      <c r="M179" s="31"/>
      <c r="N179" s="26"/>
      <c r="O179" s="26"/>
      <c r="P179" s="26"/>
      <c r="Q179" s="28"/>
    </row>
    <row r="180" spans="1:17">
      <c r="A180" t="str">
        <f t="shared" si="4"/>
        <v/>
      </c>
      <c r="B180" t="str">
        <f t="shared" si="5"/>
        <v/>
      </c>
      <c r="D180" s="27"/>
      <c r="E180" s="26"/>
      <c r="F180" s="26"/>
      <c r="G180" s="30"/>
      <c r="H180" s="30"/>
      <c r="I180" s="30"/>
      <c r="J180" s="31"/>
      <c r="K180" s="31"/>
      <c r="L180" s="31"/>
      <c r="M180" s="31"/>
      <c r="N180" s="26"/>
      <c r="O180" s="26"/>
      <c r="P180" s="26"/>
      <c r="Q180" s="28"/>
    </row>
    <row r="181" spans="1:17">
      <c r="A181" t="str">
        <f t="shared" si="4"/>
        <v/>
      </c>
      <c r="B181" t="str">
        <f t="shared" si="5"/>
        <v/>
      </c>
      <c r="D181" s="27"/>
      <c r="E181" s="26"/>
      <c r="F181" s="26"/>
      <c r="G181" s="30"/>
      <c r="H181" s="30"/>
      <c r="I181" s="30"/>
      <c r="J181" s="31"/>
      <c r="K181" s="31"/>
      <c r="L181" s="31"/>
      <c r="M181" s="31"/>
      <c r="N181" s="26"/>
      <c r="O181" s="26"/>
      <c r="P181" s="26"/>
      <c r="Q181" s="28"/>
    </row>
    <row r="182" spans="1:17">
      <c r="A182" t="str">
        <f t="shared" si="4"/>
        <v/>
      </c>
      <c r="B182" t="str">
        <f t="shared" si="5"/>
        <v/>
      </c>
      <c r="D182" s="27"/>
      <c r="E182" s="26"/>
      <c r="F182" s="26"/>
      <c r="G182" s="30"/>
      <c r="H182" s="30"/>
      <c r="I182" s="30"/>
      <c r="J182" s="31"/>
      <c r="K182" s="31"/>
      <c r="L182" s="31"/>
      <c r="M182" s="31"/>
      <c r="N182" s="26"/>
      <c r="O182" s="26"/>
      <c r="P182" s="26"/>
      <c r="Q182" s="28"/>
    </row>
    <row r="183" spans="1:17">
      <c r="A183" t="str">
        <f t="shared" si="4"/>
        <v/>
      </c>
      <c r="B183" t="str">
        <f t="shared" si="5"/>
        <v/>
      </c>
      <c r="D183" s="27"/>
      <c r="E183" s="26"/>
      <c r="F183" s="26"/>
      <c r="G183" s="30"/>
      <c r="H183" s="30"/>
      <c r="I183" s="30"/>
      <c r="J183" s="31"/>
      <c r="K183" s="31"/>
      <c r="L183" s="31"/>
      <c r="M183" s="31"/>
      <c r="N183" s="26"/>
      <c r="O183" s="26"/>
      <c r="P183" s="26"/>
      <c r="Q183" s="28"/>
    </row>
    <row r="184" spans="1:17">
      <c r="A184" t="str">
        <f t="shared" si="4"/>
        <v/>
      </c>
      <c r="B184" t="str">
        <f t="shared" si="5"/>
        <v/>
      </c>
      <c r="D184" s="27"/>
      <c r="E184" s="26"/>
      <c r="F184" s="26"/>
      <c r="G184" s="30"/>
      <c r="H184" s="30"/>
      <c r="I184" s="30"/>
      <c r="J184" s="31"/>
      <c r="K184" s="31"/>
      <c r="L184" s="31"/>
      <c r="M184" s="31"/>
      <c r="N184" s="26"/>
      <c r="O184" s="26"/>
      <c r="P184" s="26"/>
      <c r="Q184" s="28"/>
    </row>
    <row r="185" spans="1:17">
      <c r="A185" t="str">
        <f t="shared" si="4"/>
        <v/>
      </c>
      <c r="B185" t="str">
        <f t="shared" si="5"/>
        <v/>
      </c>
      <c r="D185" s="27"/>
      <c r="E185" s="26"/>
      <c r="F185" s="26"/>
      <c r="G185" s="30"/>
      <c r="H185" s="30"/>
      <c r="I185" s="30"/>
      <c r="J185" s="31"/>
      <c r="K185" s="31"/>
      <c r="L185" s="31"/>
      <c r="M185" s="31"/>
      <c r="N185" s="26"/>
      <c r="O185" s="26"/>
      <c r="P185" s="26"/>
      <c r="Q185" s="28"/>
    </row>
    <row r="186" spans="1:17">
      <c r="A186" t="str">
        <f t="shared" si="4"/>
        <v/>
      </c>
      <c r="B186" t="str">
        <f t="shared" si="5"/>
        <v/>
      </c>
      <c r="D186" s="27"/>
      <c r="E186" s="26"/>
      <c r="F186" s="26"/>
      <c r="G186" s="30"/>
      <c r="H186" s="30"/>
      <c r="I186" s="30"/>
      <c r="J186" s="31"/>
      <c r="K186" s="31"/>
      <c r="L186" s="31"/>
      <c r="M186" s="31"/>
      <c r="N186" s="26"/>
      <c r="O186" s="26"/>
      <c r="P186" s="26"/>
      <c r="Q186" s="28"/>
    </row>
    <row r="187" spans="1:17">
      <c r="A187" t="str">
        <f t="shared" si="4"/>
        <v/>
      </c>
      <c r="B187" t="str">
        <f t="shared" si="5"/>
        <v/>
      </c>
      <c r="D187" s="27"/>
      <c r="E187" s="26"/>
      <c r="F187" s="26"/>
      <c r="G187" s="30"/>
      <c r="H187" s="30"/>
      <c r="I187" s="30"/>
      <c r="J187" s="31"/>
      <c r="K187" s="31"/>
      <c r="L187" s="31"/>
      <c r="M187" s="31"/>
      <c r="N187" s="26"/>
      <c r="O187" s="26"/>
      <c r="P187" s="26"/>
      <c r="Q187" s="28"/>
    </row>
    <row r="188" spans="1:17">
      <c r="A188" t="str">
        <f t="shared" si="4"/>
        <v/>
      </c>
      <c r="B188" t="str">
        <f t="shared" si="5"/>
        <v/>
      </c>
      <c r="D188" s="27"/>
      <c r="E188" s="26"/>
      <c r="F188" s="26"/>
      <c r="G188" s="30"/>
      <c r="H188" s="30"/>
      <c r="I188" s="30"/>
      <c r="J188" s="31"/>
      <c r="K188" s="31"/>
      <c r="L188" s="31"/>
      <c r="M188" s="31"/>
      <c r="N188" s="26"/>
      <c r="O188" s="26"/>
      <c r="P188" s="26"/>
      <c r="Q188" s="28"/>
    </row>
    <row r="189" spans="1:17">
      <c r="A189" t="str">
        <f t="shared" si="4"/>
        <v/>
      </c>
      <c r="B189" t="str">
        <f t="shared" si="5"/>
        <v/>
      </c>
      <c r="D189" s="27"/>
      <c r="E189" s="26"/>
      <c r="F189" s="26"/>
      <c r="G189" s="30"/>
      <c r="H189" s="30"/>
      <c r="I189" s="30"/>
      <c r="J189" s="31"/>
      <c r="K189" s="31"/>
      <c r="L189" s="31"/>
      <c r="M189" s="31"/>
      <c r="N189" s="26"/>
      <c r="O189" s="26"/>
      <c r="P189" s="26"/>
      <c r="Q189" s="28"/>
    </row>
    <row r="190" spans="1:17">
      <c r="A190" t="str">
        <f t="shared" si="4"/>
        <v/>
      </c>
      <c r="B190" t="str">
        <f t="shared" si="5"/>
        <v/>
      </c>
      <c r="D190" s="27"/>
      <c r="E190" s="26"/>
      <c r="F190" s="26"/>
      <c r="G190" s="30"/>
      <c r="H190" s="30"/>
      <c r="I190" s="30"/>
      <c r="J190" s="31"/>
      <c r="K190" s="31"/>
      <c r="L190" s="31"/>
      <c r="M190" s="31"/>
      <c r="N190" s="26"/>
      <c r="O190" s="26"/>
      <c r="P190" s="26"/>
      <c r="Q190" s="28"/>
    </row>
    <row r="191" spans="1:17">
      <c r="A191" t="str">
        <f t="shared" si="4"/>
        <v/>
      </c>
      <c r="B191" t="str">
        <f t="shared" si="5"/>
        <v/>
      </c>
      <c r="D191" s="27"/>
      <c r="E191" s="26"/>
      <c r="F191" s="26"/>
      <c r="G191" s="30"/>
      <c r="H191" s="30"/>
      <c r="I191" s="30"/>
      <c r="J191" s="31"/>
      <c r="K191" s="31"/>
      <c r="L191" s="31"/>
      <c r="M191" s="31"/>
      <c r="N191" s="26"/>
      <c r="O191" s="26"/>
      <c r="P191" s="26"/>
      <c r="Q191" s="28"/>
    </row>
    <row r="192" spans="1:17">
      <c r="A192" t="str">
        <f t="shared" si="4"/>
        <v/>
      </c>
      <c r="B192" t="str">
        <f t="shared" si="5"/>
        <v/>
      </c>
      <c r="D192" s="27"/>
      <c r="E192" s="26"/>
      <c r="F192" s="26"/>
      <c r="G192" s="30"/>
      <c r="H192" s="30"/>
      <c r="I192" s="30"/>
      <c r="J192" s="31"/>
      <c r="K192" s="31"/>
      <c r="L192" s="31"/>
      <c r="M192" s="31"/>
      <c r="N192" s="26"/>
      <c r="O192" s="26"/>
      <c r="P192" s="26"/>
      <c r="Q192" s="28"/>
    </row>
    <row r="193" spans="1:17">
      <c r="A193" t="str">
        <f t="shared" si="4"/>
        <v/>
      </c>
      <c r="B193" t="str">
        <f t="shared" si="5"/>
        <v/>
      </c>
      <c r="D193" s="27"/>
      <c r="E193" s="26"/>
      <c r="F193" s="26"/>
      <c r="G193" s="30"/>
      <c r="H193" s="30"/>
      <c r="I193" s="30"/>
      <c r="J193" s="31"/>
      <c r="K193" s="31"/>
      <c r="L193" s="31"/>
      <c r="M193" s="31"/>
      <c r="N193" s="26"/>
      <c r="O193" s="26"/>
      <c r="P193" s="26"/>
      <c r="Q193" s="28"/>
    </row>
    <row r="194" spans="1:17">
      <c r="A194" t="str">
        <f t="shared" si="4"/>
        <v/>
      </c>
      <c r="B194" t="str">
        <f t="shared" si="5"/>
        <v/>
      </c>
      <c r="D194" s="27"/>
      <c r="E194" s="26"/>
      <c r="F194" s="26"/>
      <c r="G194" s="30"/>
      <c r="H194" s="30"/>
      <c r="I194" s="30"/>
      <c r="J194" s="31"/>
      <c r="K194" s="31"/>
      <c r="L194" s="31"/>
      <c r="M194" s="31"/>
      <c r="N194" s="26"/>
      <c r="O194" s="26"/>
      <c r="P194" s="26"/>
      <c r="Q194" s="28"/>
    </row>
    <row r="195" spans="1:17">
      <c r="A195" t="str">
        <f t="shared" si="4"/>
        <v/>
      </c>
      <c r="B195" t="str">
        <f t="shared" si="5"/>
        <v/>
      </c>
      <c r="D195" s="27"/>
      <c r="E195" s="26"/>
      <c r="F195" s="26"/>
      <c r="G195" s="30"/>
      <c r="H195" s="30"/>
      <c r="I195" s="30"/>
      <c r="J195" s="31"/>
      <c r="K195" s="31"/>
      <c r="L195" s="31"/>
      <c r="M195" s="31"/>
      <c r="N195" s="26"/>
      <c r="O195" s="26"/>
      <c r="P195" s="26"/>
      <c r="Q195" s="28"/>
    </row>
    <row r="196" spans="1:17">
      <c r="A196" t="str">
        <f t="shared" si="4"/>
        <v/>
      </c>
      <c r="B196" t="str">
        <f t="shared" si="5"/>
        <v/>
      </c>
      <c r="D196" s="27"/>
      <c r="E196" s="26"/>
      <c r="F196" s="26"/>
      <c r="G196" s="30"/>
      <c r="H196" s="30"/>
      <c r="I196" s="30"/>
      <c r="J196" s="31"/>
      <c r="K196" s="31"/>
      <c r="L196" s="31"/>
      <c r="M196" s="31"/>
      <c r="N196" s="26"/>
      <c r="O196" s="26"/>
      <c r="P196" s="26"/>
      <c r="Q196" s="28"/>
    </row>
    <row r="197" spans="1:17">
      <c r="A197" t="str">
        <f t="shared" si="4"/>
        <v/>
      </c>
      <c r="B197" t="str">
        <f t="shared" si="5"/>
        <v/>
      </c>
      <c r="D197" s="27"/>
      <c r="E197" s="26"/>
      <c r="F197" s="26"/>
      <c r="G197" s="30"/>
      <c r="H197" s="30"/>
      <c r="I197" s="30"/>
      <c r="J197" s="31"/>
      <c r="K197" s="31"/>
      <c r="L197" s="31"/>
      <c r="M197" s="31"/>
      <c r="N197" s="26"/>
      <c r="O197" s="26"/>
      <c r="P197" s="26"/>
      <c r="Q197" s="28"/>
    </row>
    <row r="198" spans="1:17">
      <c r="A198" t="str">
        <f t="shared" si="4"/>
        <v/>
      </c>
      <c r="B198" t="str">
        <f t="shared" si="5"/>
        <v/>
      </c>
      <c r="D198" s="27"/>
      <c r="E198" s="26"/>
      <c r="F198" s="26"/>
      <c r="G198" s="30"/>
      <c r="H198" s="30"/>
      <c r="I198" s="30"/>
      <c r="J198" s="31"/>
      <c r="K198" s="31"/>
      <c r="L198" s="31"/>
      <c r="M198" s="31"/>
      <c r="N198" s="26"/>
      <c r="O198" s="26"/>
      <c r="P198" s="26"/>
      <c r="Q198" s="28"/>
    </row>
    <row r="199" spans="1:17">
      <c r="A199" t="str">
        <f t="shared" si="4"/>
        <v/>
      </c>
      <c r="B199" t="str">
        <f t="shared" si="5"/>
        <v/>
      </c>
      <c r="D199" s="27"/>
      <c r="E199" s="26"/>
      <c r="F199" s="26"/>
      <c r="G199" s="30"/>
      <c r="H199" s="30"/>
      <c r="I199" s="30"/>
      <c r="J199" s="31"/>
      <c r="K199" s="31"/>
      <c r="L199" s="31"/>
      <c r="M199" s="31"/>
      <c r="N199" s="26"/>
      <c r="O199" s="26"/>
      <c r="P199" s="26"/>
      <c r="Q199" s="28"/>
    </row>
    <row r="200" spans="1:17">
      <c r="A200" t="str">
        <f t="shared" si="4"/>
        <v/>
      </c>
      <c r="B200" t="str">
        <f t="shared" si="5"/>
        <v/>
      </c>
      <c r="D200" s="27"/>
      <c r="E200" s="26"/>
      <c r="F200" s="26"/>
      <c r="G200" s="30"/>
      <c r="H200" s="30"/>
      <c r="I200" s="30"/>
      <c r="J200" s="31"/>
      <c r="K200" s="31"/>
      <c r="L200" s="31"/>
      <c r="M200" s="31"/>
      <c r="N200" s="26"/>
      <c r="O200" s="26"/>
      <c r="P200" s="26"/>
      <c r="Q200" s="28"/>
    </row>
    <row r="201" spans="1:17">
      <c r="A201" t="str">
        <f t="shared" si="4"/>
        <v/>
      </c>
      <c r="B201" t="str">
        <f t="shared" si="5"/>
        <v/>
      </c>
      <c r="D201" s="27"/>
      <c r="E201" s="26"/>
      <c r="F201" s="26"/>
      <c r="G201" s="30"/>
      <c r="H201" s="30"/>
      <c r="I201" s="30"/>
      <c r="J201" s="31"/>
      <c r="K201" s="31"/>
      <c r="L201" s="31"/>
      <c r="M201" s="31"/>
      <c r="N201" s="26"/>
      <c r="O201" s="26"/>
      <c r="P201" s="26"/>
      <c r="Q201" s="28"/>
    </row>
    <row r="202" spans="1:17">
      <c r="A202" t="str">
        <f t="shared" si="4"/>
        <v/>
      </c>
      <c r="B202" t="str">
        <f t="shared" si="5"/>
        <v/>
      </c>
      <c r="D202" s="27"/>
      <c r="E202" s="26"/>
      <c r="F202" s="26"/>
      <c r="G202" s="30"/>
      <c r="H202" s="30"/>
      <c r="I202" s="30"/>
      <c r="J202" s="31"/>
      <c r="K202" s="31"/>
      <c r="L202" s="31"/>
      <c r="M202" s="31"/>
      <c r="N202" s="26"/>
      <c r="O202" s="26"/>
      <c r="P202" s="26"/>
      <c r="Q202" s="28"/>
    </row>
    <row r="203" spans="1:17">
      <c r="A203" t="str">
        <f t="shared" si="4"/>
        <v/>
      </c>
      <c r="B203" t="str">
        <f t="shared" si="5"/>
        <v/>
      </c>
      <c r="D203" s="27"/>
      <c r="E203" s="26"/>
      <c r="F203" s="26"/>
      <c r="G203" s="30"/>
      <c r="H203" s="30"/>
      <c r="I203" s="30"/>
      <c r="J203" s="31"/>
      <c r="K203" s="31"/>
      <c r="L203" s="31"/>
      <c r="M203" s="31"/>
      <c r="N203" s="26"/>
      <c r="O203" s="26"/>
      <c r="P203" s="26"/>
      <c r="Q203" s="28"/>
    </row>
    <row r="204" spans="1:17">
      <c r="A204" t="str">
        <f t="shared" si="4"/>
        <v/>
      </c>
      <c r="B204" t="str">
        <f t="shared" si="5"/>
        <v/>
      </c>
      <c r="D204" s="27"/>
      <c r="E204" s="26"/>
      <c r="F204" s="26"/>
      <c r="G204" s="30"/>
      <c r="H204" s="30"/>
      <c r="I204" s="30"/>
      <c r="J204" s="31"/>
      <c r="K204" s="31"/>
      <c r="L204" s="31"/>
      <c r="M204" s="31"/>
      <c r="N204" s="26"/>
      <c r="O204" s="26"/>
      <c r="P204" s="26"/>
      <c r="Q204" s="28"/>
    </row>
    <row r="205" spans="1:17">
      <c r="A205" t="str">
        <f t="shared" si="4"/>
        <v/>
      </c>
      <c r="B205" t="str">
        <f t="shared" si="5"/>
        <v/>
      </c>
      <c r="D205" s="27"/>
      <c r="E205" s="26"/>
      <c r="F205" s="26"/>
      <c r="G205" s="30"/>
      <c r="H205" s="30"/>
      <c r="I205" s="30"/>
      <c r="J205" s="31"/>
      <c r="K205" s="31"/>
      <c r="L205" s="31"/>
      <c r="M205" s="31"/>
      <c r="N205" s="26"/>
      <c r="O205" s="26"/>
      <c r="P205" s="26"/>
      <c r="Q205" s="28"/>
    </row>
    <row r="206" spans="1:17">
      <c r="A206" t="str">
        <f t="shared" ref="A206:A269" si="6">IF($J206=0,"",H206)</f>
        <v/>
      </c>
      <c r="B206" t="str">
        <f t="shared" ref="B206:B269" si="7">IF($J206=0,"",I206)</f>
        <v/>
      </c>
      <c r="D206" s="27"/>
      <c r="E206" s="26"/>
      <c r="F206" s="26"/>
      <c r="G206" s="30"/>
      <c r="H206" s="30"/>
      <c r="I206" s="30"/>
      <c r="J206" s="31"/>
      <c r="K206" s="31"/>
      <c r="L206" s="31"/>
      <c r="M206" s="31"/>
      <c r="N206" s="26"/>
      <c r="O206" s="26"/>
      <c r="P206" s="26"/>
      <c r="Q206" s="28"/>
    </row>
    <row r="207" spans="1:17">
      <c r="A207" t="str">
        <f t="shared" si="6"/>
        <v/>
      </c>
      <c r="B207" t="str">
        <f t="shared" si="7"/>
        <v/>
      </c>
      <c r="D207" s="27"/>
      <c r="E207" s="26"/>
      <c r="F207" s="26"/>
      <c r="G207" s="30"/>
      <c r="H207" s="30"/>
      <c r="I207" s="30"/>
      <c r="J207" s="31"/>
      <c r="K207" s="31"/>
      <c r="L207" s="31"/>
      <c r="M207" s="31"/>
      <c r="N207" s="26"/>
      <c r="O207" s="26"/>
      <c r="P207" s="26"/>
      <c r="Q207" s="28"/>
    </row>
    <row r="208" spans="1:17">
      <c r="A208" t="str">
        <f t="shared" si="6"/>
        <v/>
      </c>
      <c r="B208" t="str">
        <f t="shared" si="7"/>
        <v/>
      </c>
      <c r="D208" s="27"/>
      <c r="E208" s="26"/>
      <c r="F208" s="26"/>
      <c r="G208" s="30"/>
      <c r="H208" s="30"/>
      <c r="I208" s="30"/>
      <c r="J208" s="31"/>
      <c r="K208" s="31"/>
      <c r="L208" s="31"/>
      <c r="M208" s="31"/>
      <c r="N208" s="26"/>
      <c r="O208" s="26"/>
      <c r="P208" s="26"/>
      <c r="Q208" s="28"/>
    </row>
    <row r="209" spans="1:17">
      <c r="A209" t="str">
        <f t="shared" si="6"/>
        <v/>
      </c>
      <c r="B209" t="str">
        <f t="shared" si="7"/>
        <v/>
      </c>
      <c r="D209" s="27"/>
      <c r="E209" s="26"/>
      <c r="F209" s="26"/>
      <c r="G209" s="30"/>
      <c r="H209" s="30"/>
      <c r="I209" s="30"/>
      <c r="J209" s="31"/>
      <c r="K209" s="31"/>
      <c r="L209" s="31"/>
      <c r="M209" s="31"/>
      <c r="N209" s="26"/>
      <c r="O209" s="26"/>
      <c r="P209" s="26"/>
      <c r="Q209" s="28"/>
    </row>
    <row r="210" spans="1:17">
      <c r="A210" t="str">
        <f t="shared" si="6"/>
        <v/>
      </c>
      <c r="B210" t="str">
        <f t="shared" si="7"/>
        <v/>
      </c>
      <c r="D210" s="27"/>
      <c r="E210" s="26"/>
      <c r="F210" s="26"/>
      <c r="G210" s="30"/>
      <c r="H210" s="30"/>
      <c r="I210" s="30"/>
      <c r="J210" s="31"/>
      <c r="K210" s="31"/>
      <c r="L210" s="31"/>
      <c r="M210" s="31"/>
      <c r="N210" s="26"/>
      <c r="O210" s="26"/>
      <c r="P210" s="26"/>
      <c r="Q210" s="28"/>
    </row>
    <row r="211" spans="1:17">
      <c r="A211" t="str">
        <f t="shared" si="6"/>
        <v/>
      </c>
      <c r="B211" t="str">
        <f t="shared" si="7"/>
        <v/>
      </c>
      <c r="D211" s="27"/>
      <c r="E211" s="26"/>
      <c r="F211" s="26"/>
      <c r="G211" s="30"/>
      <c r="H211" s="30"/>
      <c r="I211" s="30"/>
      <c r="J211" s="31"/>
      <c r="K211" s="31"/>
      <c r="L211" s="31"/>
      <c r="M211" s="31"/>
      <c r="N211" s="26"/>
      <c r="O211" s="26"/>
      <c r="P211" s="26"/>
      <c r="Q211" s="28"/>
    </row>
    <row r="212" spans="1:17">
      <c r="A212" t="str">
        <f t="shared" si="6"/>
        <v/>
      </c>
      <c r="B212" t="str">
        <f t="shared" si="7"/>
        <v/>
      </c>
      <c r="D212" s="27"/>
      <c r="E212" s="26"/>
      <c r="F212" s="26"/>
      <c r="G212" s="30"/>
      <c r="H212" s="30"/>
      <c r="I212" s="30"/>
      <c r="J212" s="31"/>
      <c r="K212" s="31"/>
      <c r="L212" s="31"/>
      <c r="M212" s="31"/>
      <c r="N212" s="26"/>
      <c r="O212" s="26"/>
      <c r="P212" s="26"/>
      <c r="Q212" s="28"/>
    </row>
    <row r="213" spans="1:17">
      <c r="A213" t="str">
        <f t="shared" si="6"/>
        <v/>
      </c>
      <c r="B213" t="str">
        <f t="shared" si="7"/>
        <v/>
      </c>
      <c r="D213" s="27"/>
      <c r="E213" s="26"/>
      <c r="F213" s="26"/>
      <c r="G213" s="30"/>
      <c r="H213" s="30"/>
      <c r="I213" s="30"/>
      <c r="J213" s="31"/>
      <c r="K213" s="31"/>
      <c r="L213" s="31"/>
      <c r="M213" s="31"/>
      <c r="N213" s="26"/>
      <c r="O213" s="26"/>
      <c r="P213" s="26"/>
      <c r="Q213" s="28"/>
    </row>
    <row r="214" spans="1:17">
      <c r="A214" t="str">
        <f t="shared" si="6"/>
        <v/>
      </c>
      <c r="B214" t="str">
        <f t="shared" si="7"/>
        <v/>
      </c>
      <c r="D214" s="27"/>
      <c r="E214" s="26"/>
      <c r="F214" s="26"/>
      <c r="G214" s="30"/>
      <c r="H214" s="30"/>
      <c r="I214" s="30"/>
      <c r="J214" s="31"/>
      <c r="K214" s="31"/>
      <c r="L214" s="31"/>
      <c r="M214" s="31"/>
      <c r="N214" s="26"/>
      <c r="O214" s="26"/>
      <c r="P214" s="26"/>
      <c r="Q214" s="28"/>
    </row>
    <row r="215" spans="1:17">
      <c r="A215" t="str">
        <f t="shared" si="6"/>
        <v/>
      </c>
      <c r="B215" t="str">
        <f t="shared" si="7"/>
        <v/>
      </c>
      <c r="D215" s="27"/>
      <c r="E215" s="26"/>
      <c r="F215" s="26"/>
      <c r="G215" s="30"/>
      <c r="H215" s="30"/>
      <c r="I215" s="30"/>
      <c r="J215" s="31"/>
      <c r="K215" s="31"/>
      <c r="L215" s="31"/>
      <c r="M215" s="31"/>
      <c r="N215" s="26"/>
      <c r="O215" s="26"/>
      <c r="P215" s="26"/>
      <c r="Q215" s="28"/>
    </row>
    <row r="216" spans="1:17">
      <c r="A216" t="str">
        <f t="shared" si="6"/>
        <v/>
      </c>
      <c r="B216" t="str">
        <f t="shared" si="7"/>
        <v/>
      </c>
      <c r="D216" s="27"/>
      <c r="E216" s="26"/>
      <c r="F216" s="26"/>
      <c r="G216" s="30"/>
      <c r="H216" s="30"/>
      <c r="I216" s="30"/>
      <c r="J216" s="31"/>
      <c r="K216" s="31"/>
      <c r="L216" s="31"/>
      <c r="M216" s="31"/>
      <c r="N216" s="26"/>
      <c r="O216" s="26"/>
      <c r="P216" s="26"/>
      <c r="Q216" s="28"/>
    </row>
    <row r="217" spans="1:17">
      <c r="A217" t="str">
        <f t="shared" si="6"/>
        <v/>
      </c>
      <c r="B217" t="str">
        <f t="shared" si="7"/>
        <v/>
      </c>
      <c r="D217" s="27"/>
      <c r="E217" s="26"/>
      <c r="F217" s="26"/>
      <c r="G217" s="30"/>
      <c r="H217" s="30"/>
      <c r="I217" s="30"/>
      <c r="J217" s="31"/>
      <c r="K217" s="31"/>
      <c r="L217" s="31"/>
      <c r="M217" s="31"/>
      <c r="N217" s="26"/>
      <c r="O217" s="26"/>
      <c r="P217" s="26"/>
      <c r="Q217" s="28"/>
    </row>
    <row r="218" spans="1:17">
      <c r="A218" t="str">
        <f t="shared" si="6"/>
        <v/>
      </c>
      <c r="B218" t="str">
        <f t="shared" si="7"/>
        <v/>
      </c>
      <c r="D218" s="27"/>
      <c r="E218" s="26"/>
      <c r="F218" s="26"/>
      <c r="G218" s="30"/>
      <c r="H218" s="30"/>
      <c r="I218" s="30"/>
      <c r="J218" s="31"/>
      <c r="K218" s="31"/>
      <c r="L218" s="31"/>
      <c r="M218" s="31"/>
      <c r="N218" s="26"/>
      <c r="O218" s="26"/>
      <c r="P218" s="26"/>
      <c r="Q218" s="28"/>
    </row>
    <row r="219" spans="1:17">
      <c r="A219" t="str">
        <f t="shared" si="6"/>
        <v/>
      </c>
      <c r="B219" t="str">
        <f t="shared" si="7"/>
        <v/>
      </c>
      <c r="D219" s="27"/>
      <c r="E219" s="26"/>
      <c r="F219" s="26"/>
      <c r="G219" s="30"/>
      <c r="H219" s="30"/>
      <c r="I219" s="30"/>
      <c r="J219" s="31"/>
      <c r="K219" s="31"/>
      <c r="L219" s="31"/>
      <c r="M219" s="31"/>
      <c r="N219" s="26"/>
      <c r="O219" s="26"/>
      <c r="P219" s="26"/>
      <c r="Q219" s="28"/>
    </row>
    <row r="220" spans="1:17">
      <c r="A220" t="str">
        <f t="shared" si="6"/>
        <v/>
      </c>
      <c r="B220" t="str">
        <f t="shared" si="7"/>
        <v/>
      </c>
      <c r="D220" s="27"/>
      <c r="E220" s="26"/>
      <c r="F220" s="26"/>
      <c r="G220" s="30"/>
      <c r="H220" s="30"/>
      <c r="I220" s="30"/>
      <c r="J220" s="31"/>
      <c r="K220" s="31"/>
      <c r="L220" s="31"/>
      <c r="M220" s="31"/>
      <c r="N220" s="26"/>
      <c r="O220" s="26"/>
      <c r="P220" s="26"/>
      <c r="Q220" s="28"/>
    </row>
    <row r="221" spans="1:17">
      <c r="A221" t="str">
        <f t="shared" si="6"/>
        <v/>
      </c>
      <c r="B221" t="str">
        <f t="shared" si="7"/>
        <v/>
      </c>
      <c r="D221" s="27"/>
      <c r="E221" s="26"/>
      <c r="F221" s="26"/>
      <c r="G221" s="30"/>
      <c r="H221" s="30"/>
      <c r="I221" s="30"/>
      <c r="J221" s="31"/>
      <c r="K221" s="31"/>
      <c r="L221" s="31"/>
      <c r="M221" s="31"/>
      <c r="N221" s="26"/>
      <c r="O221" s="26"/>
      <c r="P221" s="26"/>
      <c r="Q221" s="28"/>
    </row>
    <row r="222" spans="1:17">
      <c r="A222" t="str">
        <f t="shared" si="6"/>
        <v/>
      </c>
      <c r="B222" t="str">
        <f t="shared" si="7"/>
        <v/>
      </c>
      <c r="D222" s="27"/>
      <c r="E222" s="26"/>
      <c r="F222" s="26"/>
      <c r="G222" s="30"/>
      <c r="H222" s="30"/>
      <c r="I222" s="30"/>
      <c r="J222" s="31"/>
      <c r="K222" s="31"/>
      <c r="L222" s="31"/>
      <c r="M222" s="31"/>
      <c r="N222" s="26"/>
      <c r="O222" s="26"/>
      <c r="P222" s="26"/>
      <c r="Q222" s="28"/>
    </row>
    <row r="223" spans="1:17">
      <c r="A223" t="str">
        <f t="shared" si="6"/>
        <v/>
      </c>
      <c r="B223" t="str">
        <f t="shared" si="7"/>
        <v/>
      </c>
      <c r="D223" s="27"/>
      <c r="E223" s="26"/>
      <c r="F223" s="26"/>
      <c r="G223" s="30"/>
      <c r="H223" s="30"/>
      <c r="I223" s="30"/>
      <c r="J223" s="31"/>
      <c r="K223" s="31"/>
      <c r="L223" s="31"/>
      <c r="M223" s="31"/>
      <c r="N223" s="26"/>
      <c r="O223" s="26"/>
      <c r="P223" s="26"/>
      <c r="Q223" s="28"/>
    </row>
    <row r="224" spans="1:17">
      <c r="A224" t="str">
        <f t="shared" si="6"/>
        <v/>
      </c>
      <c r="B224" t="str">
        <f t="shared" si="7"/>
        <v/>
      </c>
      <c r="D224" s="27"/>
      <c r="E224" s="26"/>
      <c r="F224" s="26"/>
      <c r="G224" s="30"/>
      <c r="H224" s="30"/>
      <c r="I224" s="30"/>
      <c r="J224" s="31"/>
      <c r="K224" s="31"/>
      <c r="L224" s="31"/>
      <c r="M224" s="31"/>
      <c r="N224" s="26"/>
      <c r="O224" s="26"/>
      <c r="P224" s="26"/>
      <c r="Q224" s="28"/>
    </row>
    <row r="225" spans="1:17">
      <c r="A225" t="str">
        <f t="shared" si="6"/>
        <v/>
      </c>
      <c r="B225" t="str">
        <f t="shared" si="7"/>
        <v/>
      </c>
      <c r="D225" s="27"/>
      <c r="E225" s="26"/>
      <c r="F225" s="26"/>
      <c r="G225" s="30"/>
      <c r="H225" s="30"/>
      <c r="I225" s="30"/>
      <c r="J225" s="31"/>
      <c r="K225" s="31"/>
      <c r="L225" s="31"/>
      <c r="M225" s="31"/>
      <c r="N225" s="26"/>
      <c r="O225" s="26"/>
      <c r="P225" s="26"/>
      <c r="Q225" s="28"/>
    </row>
    <row r="226" spans="1:17">
      <c r="A226" t="str">
        <f t="shared" si="6"/>
        <v/>
      </c>
      <c r="B226" t="str">
        <f t="shared" si="7"/>
        <v/>
      </c>
      <c r="D226" s="27"/>
      <c r="E226" s="26"/>
      <c r="F226" s="26"/>
      <c r="G226" s="30"/>
      <c r="H226" s="30"/>
      <c r="I226" s="30"/>
      <c r="J226" s="31"/>
      <c r="K226" s="31"/>
      <c r="L226" s="31"/>
      <c r="M226" s="31"/>
      <c r="N226" s="26"/>
      <c r="O226" s="26"/>
      <c r="P226" s="26"/>
      <c r="Q226" s="28"/>
    </row>
    <row r="227" spans="1:17">
      <c r="A227" t="str">
        <f t="shared" si="6"/>
        <v/>
      </c>
      <c r="B227" t="str">
        <f t="shared" si="7"/>
        <v/>
      </c>
      <c r="D227" s="27"/>
      <c r="E227" s="26"/>
      <c r="F227" s="26"/>
      <c r="G227" s="30"/>
      <c r="H227" s="30"/>
      <c r="I227" s="30"/>
      <c r="J227" s="31"/>
      <c r="K227" s="31"/>
      <c r="L227" s="31"/>
      <c r="M227" s="31"/>
      <c r="N227" s="26"/>
      <c r="O227" s="26"/>
      <c r="P227" s="26"/>
      <c r="Q227" s="28"/>
    </row>
    <row r="228" spans="1:17">
      <c r="A228" t="str">
        <f t="shared" si="6"/>
        <v/>
      </c>
      <c r="B228" t="str">
        <f t="shared" si="7"/>
        <v/>
      </c>
      <c r="D228" s="27"/>
      <c r="E228" s="26"/>
      <c r="F228" s="26"/>
      <c r="G228" s="30"/>
      <c r="H228" s="30"/>
      <c r="I228" s="30"/>
      <c r="J228" s="31"/>
      <c r="K228" s="31"/>
      <c r="L228" s="31"/>
      <c r="M228" s="31"/>
      <c r="N228" s="26"/>
      <c r="O228" s="26"/>
      <c r="P228" s="26"/>
      <c r="Q228" s="28"/>
    </row>
    <row r="229" spans="1:17">
      <c r="A229" t="str">
        <f t="shared" si="6"/>
        <v/>
      </c>
      <c r="B229" t="str">
        <f t="shared" si="7"/>
        <v/>
      </c>
      <c r="D229" s="27"/>
      <c r="E229" s="26"/>
      <c r="F229" s="26"/>
      <c r="G229" s="30"/>
      <c r="H229" s="30"/>
      <c r="I229" s="30"/>
      <c r="J229" s="31"/>
      <c r="K229" s="31"/>
      <c r="L229" s="31"/>
      <c r="M229" s="31"/>
      <c r="N229" s="26"/>
      <c r="O229" s="26"/>
      <c r="P229" s="26"/>
      <c r="Q229" s="28"/>
    </row>
    <row r="230" spans="1:17">
      <c r="A230" t="str">
        <f t="shared" si="6"/>
        <v/>
      </c>
      <c r="B230" t="str">
        <f t="shared" si="7"/>
        <v/>
      </c>
      <c r="D230" s="27"/>
      <c r="E230" s="26"/>
      <c r="F230" s="26"/>
      <c r="G230" s="30"/>
      <c r="H230" s="30"/>
      <c r="I230" s="30"/>
      <c r="J230" s="31"/>
      <c r="K230" s="31"/>
      <c r="L230" s="31"/>
      <c r="M230" s="31"/>
      <c r="N230" s="26"/>
      <c r="O230" s="26"/>
      <c r="P230" s="26"/>
      <c r="Q230" s="28"/>
    </row>
    <row r="231" spans="1:17">
      <c r="A231" t="str">
        <f t="shared" si="6"/>
        <v/>
      </c>
      <c r="B231" t="str">
        <f t="shared" si="7"/>
        <v/>
      </c>
      <c r="D231" s="27"/>
      <c r="E231" s="26"/>
      <c r="F231" s="26"/>
      <c r="G231" s="30"/>
      <c r="H231" s="30"/>
      <c r="I231" s="30"/>
      <c r="J231" s="31"/>
      <c r="K231" s="31"/>
      <c r="L231" s="31"/>
      <c r="M231" s="31"/>
      <c r="N231" s="26"/>
      <c r="O231" s="26"/>
      <c r="P231" s="26"/>
      <c r="Q231" s="28"/>
    </row>
    <row r="232" spans="1:17">
      <c r="A232" t="str">
        <f t="shared" si="6"/>
        <v/>
      </c>
      <c r="B232" t="str">
        <f t="shared" si="7"/>
        <v/>
      </c>
      <c r="D232" s="27"/>
      <c r="E232" s="26"/>
      <c r="F232" s="26"/>
      <c r="G232" s="30"/>
      <c r="H232" s="30"/>
      <c r="I232" s="30"/>
      <c r="J232" s="31"/>
      <c r="K232" s="31"/>
      <c r="L232" s="31"/>
      <c r="M232" s="31"/>
      <c r="N232" s="26"/>
      <c r="O232" s="26"/>
      <c r="P232" s="26"/>
      <c r="Q232" s="28"/>
    </row>
    <row r="233" spans="1:17">
      <c r="A233" t="str">
        <f t="shared" si="6"/>
        <v/>
      </c>
      <c r="B233" t="str">
        <f t="shared" si="7"/>
        <v/>
      </c>
      <c r="D233" s="27"/>
      <c r="E233" s="26"/>
      <c r="F233" s="26"/>
      <c r="G233" s="30"/>
      <c r="H233" s="30"/>
      <c r="I233" s="30"/>
      <c r="J233" s="31"/>
      <c r="K233" s="31"/>
      <c r="L233" s="31"/>
      <c r="M233" s="31"/>
      <c r="N233" s="26"/>
      <c r="O233" s="26"/>
      <c r="P233" s="26"/>
      <c r="Q233" s="28"/>
    </row>
    <row r="234" spans="1:17">
      <c r="A234" t="str">
        <f t="shared" si="6"/>
        <v/>
      </c>
      <c r="B234" t="str">
        <f t="shared" si="7"/>
        <v/>
      </c>
      <c r="D234" s="27"/>
      <c r="E234" s="26"/>
      <c r="F234" s="26"/>
      <c r="G234" s="30"/>
      <c r="H234" s="30"/>
      <c r="I234" s="30"/>
      <c r="J234" s="31"/>
      <c r="K234" s="31"/>
      <c r="L234" s="31"/>
      <c r="M234" s="31"/>
      <c r="N234" s="26"/>
      <c r="O234" s="26"/>
      <c r="P234" s="26"/>
      <c r="Q234" s="28"/>
    </row>
    <row r="235" spans="1:17">
      <c r="A235" t="str">
        <f t="shared" si="6"/>
        <v/>
      </c>
      <c r="B235" t="str">
        <f t="shared" si="7"/>
        <v/>
      </c>
      <c r="D235" s="27"/>
      <c r="E235" s="26"/>
      <c r="F235" s="26"/>
      <c r="G235" s="30"/>
      <c r="H235" s="30"/>
      <c r="I235" s="30"/>
      <c r="J235" s="31"/>
      <c r="K235" s="31"/>
      <c r="L235" s="31"/>
      <c r="M235" s="31"/>
      <c r="N235" s="26"/>
      <c r="O235" s="26"/>
      <c r="P235" s="26"/>
      <c r="Q235" s="28"/>
    </row>
    <row r="236" spans="1:17">
      <c r="A236" t="str">
        <f t="shared" si="6"/>
        <v/>
      </c>
      <c r="B236" t="str">
        <f t="shared" si="7"/>
        <v/>
      </c>
      <c r="D236" s="27"/>
      <c r="E236" s="26"/>
      <c r="F236" s="26"/>
      <c r="G236" s="30"/>
      <c r="H236" s="30"/>
      <c r="I236" s="30"/>
      <c r="J236" s="31"/>
      <c r="K236" s="31"/>
      <c r="L236" s="31"/>
      <c r="M236" s="31"/>
      <c r="N236" s="26"/>
      <c r="O236" s="26"/>
      <c r="P236" s="26"/>
      <c r="Q236" s="28"/>
    </row>
    <row r="237" spans="1:17">
      <c r="A237" t="str">
        <f t="shared" si="6"/>
        <v/>
      </c>
      <c r="B237" t="str">
        <f t="shared" si="7"/>
        <v/>
      </c>
      <c r="D237" s="27"/>
      <c r="E237" s="26"/>
      <c r="F237" s="26"/>
      <c r="G237" s="30"/>
      <c r="H237" s="30"/>
      <c r="I237" s="30"/>
      <c r="J237" s="31"/>
      <c r="K237" s="31"/>
      <c r="L237" s="31"/>
      <c r="M237" s="31"/>
      <c r="N237" s="26"/>
      <c r="O237" s="26"/>
      <c r="P237" s="26"/>
      <c r="Q237" s="28"/>
    </row>
    <row r="238" spans="1:17">
      <c r="A238" t="str">
        <f t="shared" si="6"/>
        <v/>
      </c>
      <c r="B238" t="str">
        <f t="shared" si="7"/>
        <v/>
      </c>
      <c r="D238" s="27"/>
      <c r="E238" s="26"/>
      <c r="F238" s="26"/>
      <c r="G238" s="30"/>
      <c r="H238" s="30"/>
      <c r="I238" s="30"/>
      <c r="J238" s="31"/>
      <c r="K238" s="31"/>
      <c r="L238" s="31"/>
      <c r="M238" s="31"/>
      <c r="N238" s="26"/>
      <c r="O238" s="26"/>
      <c r="P238" s="26"/>
      <c r="Q238" s="28"/>
    </row>
    <row r="239" spans="1:17">
      <c r="A239" t="str">
        <f t="shared" si="6"/>
        <v/>
      </c>
      <c r="B239" t="str">
        <f t="shared" si="7"/>
        <v/>
      </c>
      <c r="D239" s="27"/>
      <c r="E239" s="26"/>
      <c r="F239" s="26"/>
      <c r="G239" s="30"/>
      <c r="H239" s="30"/>
      <c r="I239" s="30"/>
      <c r="J239" s="31"/>
      <c r="K239" s="31"/>
      <c r="L239" s="31"/>
      <c r="M239" s="31"/>
      <c r="N239" s="26"/>
      <c r="O239" s="26"/>
      <c r="P239" s="26"/>
      <c r="Q239" s="28"/>
    </row>
    <row r="240" spans="1:17">
      <c r="A240" t="str">
        <f t="shared" si="6"/>
        <v/>
      </c>
      <c r="B240" t="str">
        <f t="shared" si="7"/>
        <v/>
      </c>
      <c r="D240" s="27"/>
      <c r="E240" s="26"/>
      <c r="F240" s="26"/>
      <c r="G240" s="30"/>
      <c r="H240" s="30"/>
      <c r="I240" s="30"/>
      <c r="J240" s="31"/>
      <c r="K240" s="31"/>
      <c r="L240" s="31"/>
      <c r="M240" s="31"/>
      <c r="N240" s="26"/>
      <c r="O240" s="26"/>
      <c r="P240" s="26"/>
      <c r="Q240" s="28"/>
    </row>
    <row r="241" spans="1:17">
      <c r="A241" t="str">
        <f t="shared" si="6"/>
        <v/>
      </c>
      <c r="B241" t="str">
        <f t="shared" si="7"/>
        <v/>
      </c>
      <c r="D241" s="27"/>
      <c r="E241" s="26"/>
      <c r="F241" s="26"/>
      <c r="G241" s="30"/>
      <c r="H241" s="30"/>
      <c r="I241" s="30"/>
      <c r="J241" s="31"/>
      <c r="K241" s="31"/>
      <c r="L241" s="31"/>
      <c r="M241" s="31"/>
      <c r="N241" s="26"/>
      <c r="O241" s="26"/>
      <c r="P241" s="26"/>
      <c r="Q241" s="28"/>
    </row>
    <row r="242" spans="1:17">
      <c r="A242" t="str">
        <f t="shared" si="6"/>
        <v/>
      </c>
      <c r="B242" t="str">
        <f t="shared" si="7"/>
        <v/>
      </c>
      <c r="D242" s="27"/>
      <c r="E242" s="26"/>
      <c r="F242" s="26"/>
      <c r="G242" s="30"/>
      <c r="H242" s="30"/>
      <c r="I242" s="30"/>
      <c r="J242" s="31"/>
      <c r="K242" s="31"/>
      <c r="L242" s="31"/>
      <c r="M242" s="31"/>
      <c r="N242" s="26"/>
      <c r="O242" s="26"/>
      <c r="P242" s="26"/>
      <c r="Q242" s="28"/>
    </row>
    <row r="243" spans="1:17">
      <c r="A243" t="str">
        <f t="shared" si="6"/>
        <v/>
      </c>
      <c r="B243" t="str">
        <f t="shared" si="7"/>
        <v/>
      </c>
      <c r="D243" s="27"/>
      <c r="E243" s="26"/>
      <c r="F243" s="26"/>
      <c r="G243" s="30"/>
      <c r="H243" s="30"/>
      <c r="I243" s="30"/>
      <c r="J243" s="31"/>
      <c r="K243" s="31"/>
      <c r="L243" s="31"/>
      <c r="M243" s="31"/>
      <c r="N243" s="26"/>
      <c r="O243" s="26"/>
      <c r="P243" s="26"/>
      <c r="Q243" s="28"/>
    </row>
    <row r="244" spans="1:17">
      <c r="A244" t="str">
        <f t="shared" si="6"/>
        <v/>
      </c>
      <c r="B244" t="str">
        <f t="shared" si="7"/>
        <v/>
      </c>
      <c r="D244" s="27"/>
      <c r="E244" s="26"/>
      <c r="F244" s="26"/>
      <c r="G244" s="30"/>
      <c r="H244" s="30"/>
      <c r="I244" s="30"/>
      <c r="J244" s="31"/>
      <c r="K244" s="31"/>
      <c r="L244" s="31"/>
      <c r="M244" s="31"/>
      <c r="N244" s="26"/>
      <c r="O244" s="26"/>
      <c r="P244" s="26"/>
      <c r="Q244" s="28"/>
    </row>
    <row r="245" spans="1:17">
      <c r="A245" t="str">
        <f t="shared" si="6"/>
        <v/>
      </c>
      <c r="B245" t="str">
        <f t="shared" si="7"/>
        <v/>
      </c>
      <c r="D245" s="27"/>
      <c r="E245" s="26"/>
      <c r="F245" s="26"/>
      <c r="G245" s="30"/>
      <c r="H245" s="30"/>
      <c r="I245" s="30"/>
      <c r="J245" s="31"/>
      <c r="K245" s="31"/>
      <c r="L245" s="31"/>
      <c r="M245" s="31"/>
      <c r="N245" s="26"/>
      <c r="O245" s="26"/>
      <c r="P245" s="26"/>
      <c r="Q245" s="28"/>
    </row>
    <row r="246" spans="1:17">
      <c r="A246" t="str">
        <f t="shared" si="6"/>
        <v/>
      </c>
      <c r="B246" t="str">
        <f t="shared" si="7"/>
        <v/>
      </c>
      <c r="D246" s="27"/>
      <c r="E246" s="26"/>
      <c r="F246" s="26"/>
      <c r="G246" s="30"/>
      <c r="H246" s="30"/>
      <c r="I246" s="30"/>
      <c r="J246" s="31"/>
      <c r="K246" s="31"/>
      <c r="L246" s="31"/>
      <c r="M246" s="31"/>
      <c r="N246" s="26"/>
      <c r="O246" s="26"/>
      <c r="P246" s="26"/>
      <c r="Q246" s="28"/>
    </row>
    <row r="247" spans="1:17">
      <c r="A247" t="str">
        <f t="shared" si="6"/>
        <v/>
      </c>
      <c r="B247" t="str">
        <f t="shared" si="7"/>
        <v/>
      </c>
      <c r="D247" s="27"/>
      <c r="E247" s="26"/>
      <c r="F247" s="26"/>
      <c r="G247" s="30"/>
      <c r="H247" s="30"/>
      <c r="I247" s="30"/>
      <c r="J247" s="31"/>
      <c r="K247" s="31"/>
      <c r="L247" s="31"/>
      <c r="M247" s="31"/>
      <c r="N247" s="26"/>
      <c r="O247" s="26"/>
      <c r="P247" s="26"/>
      <c r="Q247" s="28"/>
    </row>
    <row r="248" spans="1:17">
      <c r="A248" t="str">
        <f t="shared" si="6"/>
        <v/>
      </c>
      <c r="B248" t="str">
        <f t="shared" si="7"/>
        <v/>
      </c>
      <c r="D248" s="27"/>
      <c r="E248" s="26"/>
      <c r="F248" s="26"/>
      <c r="G248" s="30"/>
      <c r="H248" s="30"/>
      <c r="I248" s="30"/>
      <c r="J248" s="31"/>
      <c r="K248" s="31"/>
      <c r="L248" s="31"/>
      <c r="M248" s="31"/>
      <c r="N248" s="26"/>
      <c r="O248" s="26"/>
      <c r="P248" s="26"/>
      <c r="Q248" s="28"/>
    </row>
    <row r="249" spans="1:17">
      <c r="A249" t="str">
        <f t="shared" si="6"/>
        <v/>
      </c>
      <c r="B249" t="str">
        <f t="shared" si="7"/>
        <v/>
      </c>
      <c r="D249" s="27"/>
      <c r="E249" s="26"/>
      <c r="F249" s="26"/>
      <c r="G249" s="30"/>
      <c r="H249" s="30"/>
      <c r="I249" s="30"/>
      <c r="J249" s="31"/>
      <c r="K249" s="31"/>
      <c r="L249" s="31"/>
      <c r="M249" s="31"/>
      <c r="N249" s="26"/>
      <c r="O249" s="26"/>
      <c r="P249" s="26"/>
      <c r="Q249" s="28"/>
    </row>
    <row r="250" spans="1:17">
      <c r="A250" t="str">
        <f t="shared" si="6"/>
        <v/>
      </c>
      <c r="B250" t="str">
        <f t="shared" si="7"/>
        <v/>
      </c>
      <c r="D250" s="27"/>
      <c r="E250" s="26"/>
      <c r="F250" s="26"/>
      <c r="G250" s="30"/>
      <c r="H250" s="30"/>
      <c r="I250" s="30"/>
      <c r="J250" s="31"/>
      <c r="K250" s="31"/>
      <c r="L250" s="31"/>
      <c r="M250" s="31"/>
      <c r="N250" s="26"/>
      <c r="O250" s="26"/>
      <c r="P250" s="26"/>
      <c r="Q250" s="28"/>
    </row>
    <row r="251" spans="1:17">
      <c r="A251" t="str">
        <f t="shared" si="6"/>
        <v/>
      </c>
      <c r="B251" t="str">
        <f t="shared" si="7"/>
        <v/>
      </c>
      <c r="D251" s="27"/>
      <c r="E251" s="26"/>
      <c r="F251" s="26"/>
      <c r="G251" s="30"/>
      <c r="H251" s="30"/>
      <c r="I251" s="30"/>
      <c r="J251" s="31"/>
      <c r="K251" s="31"/>
      <c r="L251" s="31"/>
      <c r="M251" s="31"/>
      <c r="N251" s="26"/>
      <c r="O251" s="26"/>
      <c r="P251" s="26"/>
      <c r="Q251" s="28"/>
    </row>
    <row r="252" spans="1:17">
      <c r="A252" t="str">
        <f t="shared" si="6"/>
        <v/>
      </c>
      <c r="B252" t="str">
        <f t="shared" si="7"/>
        <v/>
      </c>
      <c r="D252" s="27"/>
      <c r="E252" s="26"/>
      <c r="F252" s="26"/>
      <c r="G252" s="30"/>
      <c r="H252" s="30"/>
      <c r="I252" s="30"/>
      <c r="J252" s="31"/>
      <c r="K252" s="31"/>
      <c r="L252" s="31"/>
      <c r="M252" s="31"/>
      <c r="N252" s="26"/>
      <c r="O252" s="26"/>
      <c r="P252" s="26"/>
      <c r="Q252" s="28"/>
    </row>
    <row r="253" spans="1:17">
      <c r="A253" t="str">
        <f t="shared" si="6"/>
        <v/>
      </c>
      <c r="B253" t="str">
        <f t="shared" si="7"/>
        <v/>
      </c>
      <c r="D253" s="27"/>
      <c r="E253" s="26"/>
      <c r="F253" s="26"/>
      <c r="G253" s="30"/>
      <c r="H253" s="30"/>
      <c r="I253" s="30"/>
      <c r="J253" s="31"/>
      <c r="K253" s="31"/>
      <c r="L253" s="31"/>
      <c r="M253" s="31"/>
      <c r="N253" s="26"/>
      <c r="O253" s="26"/>
      <c r="P253" s="26"/>
      <c r="Q253" s="28"/>
    </row>
    <row r="254" spans="1:17">
      <c r="A254" t="str">
        <f t="shared" si="6"/>
        <v/>
      </c>
      <c r="B254" t="str">
        <f t="shared" si="7"/>
        <v/>
      </c>
      <c r="D254" s="27"/>
      <c r="E254" s="26"/>
      <c r="F254" s="26"/>
      <c r="G254" s="30"/>
      <c r="H254" s="30"/>
      <c r="I254" s="30"/>
      <c r="J254" s="31"/>
      <c r="K254" s="31"/>
      <c r="L254" s="31"/>
      <c r="M254" s="31"/>
      <c r="N254" s="26"/>
      <c r="O254" s="26"/>
      <c r="P254" s="26"/>
      <c r="Q254" s="28"/>
    </row>
    <row r="255" spans="1:17">
      <c r="A255" t="str">
        <f t="shared" si="6"/>
        <v/>
      </c>
      <c r="B255" t="str">
        <f t="shared" si="7"/>
        <v/>
      </c>
      <c r="D255" s="27"/>
      <c r="E255" s="26"/>
      <c r="F255" s="26"/>
      <c r="G255" s="30"/>
      <c r="H255" s="30"/>
      <c r="I255" s="30"/>
      <c r="J255" s="31"/>
      <c r="K255" s="31"/>
      <c r="L255" s="31"/>
      <c r="M255" s="31"/>
      <c r="N255" s="26"/>
      <c r="O255" s="26"/>
      <c r="P255" s="26"/>
      <c r="Q255" s="28"/>
    </row>
    <row r="256" spans="1:17">
      <c r="A256" t="str">
        <f t="shared" si="6"/>
        <v/>
      </c>
      <c r="B256" t="str">
        <f t="shared" si="7"/>
        <v/>
      </c>
      <c r="D256" s="27"/>
      <c r="E256" s="26"/>
      <c r="F256" s="26"/>
      <c r="G256" s="30"/>
      <c r="H256" s="30"/>
      <c r="I256" s="30"/>
      <c r="J256" s="31"/>
      <c r="K256" s="31"/>
      <c r="L256" s="31"/>
      <c r="M256" s="31"/>
      <c r="N256" s="26"/>
      <c r="O256" s="26"/>
      <c r="P256" s="26"/>
      <c r="Q256" s="28"/>
    </row>
    <row r="257" spans="1:17">
      <c r="A257" t="str">
        <f t="shared" si="6"/>
        <v/>
      </c>
      <c r="B257" t="str">
        <f t="shared" si="7"/>
        <v/>
      </c>
      <c r="D257" s="27"/>
      <c r="E257" s="26"/>
      <c r="F257" s="26"/>
      <c r="G257" s="30"/>
      <c r="H257" s="30"/>
      <c r="I257" s="30"/>
      <c r="J257" s="31"/>
      <c r="K257" s="31"/>
      <c r="L257" s="31"/>
      <c r="M257" s="31"/>
      <c r="N257" s="26"/>
      <c r="O257" s="26"/>
      <c r="P257" s="26"/>
      <c r="Q257" s="28"/>
    </row>
    <row r="258" spans="1:17">
      <c r="A258" t="str">
        <f t="shared" si="6"/>
        <v/>
      </c>
      <c r="B258" t="str">
        <f t="shared" si="7"/>
        <v/>
      </c>
      <c r="D258" s="27"/>
      <c r="E258" s="26"/>
      <c r="F258" s="26"/>
      <c r="G258" s="30"/>
      <c r="H258" s="30"/>
      <c r="I258" s="30"/>
      <c r="J258" s="31"/>
      <c r="K258" s="31"/>
      <c r="L258" s="31"/>
      <c r="M258" s="31"/>
      <c r="N258" s="26"/>
      <c r="O258" s="26"/>
      <c r="P258" s="26"/>
      <c r="Q258" s="28"/>
    </row>
    <row r="259" spans="1:17">
      <c r="A259" t="str">
        <f t="shared" si="6"/>
        <v/>
      </c>
      <c r="B259" t="str">
        <f t="shared" si="7"/>
        <v/>
      </c>
      <c r="D259" s="27"/>
      <c r="E259" s="26"/>
      <c r="F259" s="26"/>
      <c r="G259" s="30"/>
      <c r="H259" s="30"/>
      <c r="I259" s="30"/>
      <c r="J259" s="31"/>
      <c r="K259" s="31"/>
      <c r="L259" s="31"/>
      <c r="M259" s="31"/>
      <c r="N259" s="26"/>
      <c r="O259" s="26"/>
      <c r="P259" s="26"/>
      <c r="Q259" s="28"/>
    </row>
    <row r="260" spans="1:17">
      <c r="A260" t="str">
        <f t="shared" si="6"/>
        <v/>
      </c>
      <c r="B260" t="str">
        <f t="shared" si="7"/>
        <v/>
      </c>
      <c r="D260" s="27"/>
      <c r="E260" s="26"/>
      <c r="F260" s="26"/>
      <c r="G260" s="30"/>
      <c r="H260" s="30"/>
      <c r="I260" s="30"/>
      <c r="J260" s="31"/>
      <c r="K260" s="31"/>
      <c r="L260" s="31"/>
      <c r="M260" s="31"/>
      <c r="N260" s="26"/>
      <c r="O260" s="26"/>
      <c r="P260" s="26"/>
      <c r="Q260" s="28"/>
    </row>
    <row r="261" spans="1:17">
      <c r="A261" t="str">
        <f t="shared" si="6"/>
        <v/>
      </c>
      <c r="B261" t="str">
        <f t="shared" si="7"/>
        <v/>
      </c>
      <c r="D261" s="27"/>
      <c r="E261" s="26"/>
      <c r="F261" s="26"/>
      <c r="G261" s="30"/>
      <c r="H261" s="30"/>
      <c r="I261" s="30"/>
      <c r="J261" s="31"/>
      <c r="K261" s="31"/>
      <c r="L261" s="31"/>
      <c r="M261" s="31"/>
      <c r="N261" s="26"/>
      <c r="O261" s="26"/>
      <c r="P261" s="26"/>
      <c r="Q261" s="28"/>
    </row>
    <row r="262" spans="1:17">
      <c r="A262" t="str">
        <f t="shared" si="6"/>
        <v/>
      </c>
      <c r="B262" t="str">
        <f t="shared" si="7"/>
        <v/>
      </c>
      <c r="D262" s="27"/>
      <c r="E262" s="26"/>
      <c r="F262" s="26"/>
      <c r="G262" s="30"/>
      <c r="H262" s="30"/>
      <c r="I262" s="30"/>
      <c r="J262" s="31"/>
      <c r="K262" s="31"/>
      <c r="L262" s="31"/>
      <c r="M262" s="31"/>
      <c r="N262" s="26"/>
      <c r="O262" s="26"/>
      <c r="P262" s="26"/>
      <c r="Q262" s="28"/>
    </row>
    <row r="263" spans="1:17">
      <c r="A263" t="str">
        <f t="shared" si="6"/>
        <v/>
      </c>
      <c r="B263" t="str">
        <f t="shared" si="7"/>
        <v/>
      </c>
      <c r="D263" s="27"/>
      <c r="E263" s="26"/>
      <c r="F263" s="26"/>
      <c r="G263" s="30"/>
      <c r="H263" s="30"/>
      <c r="I263" s="30"/>
      <c r="J263" s="31"/>
      <c r="K263" s="31"/>
      <c r="L263" s="31"/>
      <c r="M263" s="31"/>
      <c r="N263" s="26"/>
      <c r="O263" s="26"/>
      <c r="P263" s="26"/>
      <c r="Q263" s="28"/>
    </row>
    <row r="264" spans="1:17">
      <c r="A264" t="str">
        <f t="shared" si="6"/>
        <v/>
      </c>
      <c r="B264" t="str">
        <f t="shared" si="7"/>
        <v/>
      </c>
      <c r="D264" s="27"/>
      <c r="E264" s="26"/>
      <c r="F264" s="26"/>
      <c r="G264" s="30"/>
      <c r="H264" s="30"/>
      <c r="I264" s="30"/>
      <c r="J264" s="31"/>
      <c r="K264" s="31"/>
      <c r="L264" s="31"/>
      <c r="M264" s="31"/>
      <c r="N264" s="26"/>
      <c r="O264" s="26"/>
      <c r="P264" s="26"/>
      <c r="Q264" s="28"/>
    </row>
    <row r="265" spans="1:17">
      <c r="A265" t="str">
        <f t="shared" si="6"/>
        <v/>
      </c>
      <c r="B265" t="str">
        <f t="shared" si="7"/>
        <v/>
      </c>
      <c r="D265" s="27"/>
      <c r="E265" s="26"/>
      <c r="F265" s="26"/>
      <c r="G265" s="30"/>
      <c r="H265" s="30"/>
      <c r="I265" s="30"/>
      <c r="J265" s="31"/>
      <c r="K265" s="31"/>
      <c r="L265" s="31"/>
      <c r="M265" s="31"/>
      <c r="N265" s="26"/>
      <c r="O265" s="26"/>
      <c r="P265" s="26"/>
      <c r="Q265" s="28"/>
    </row>
    <row r="266" spans="1:17">
      <c r="A266" t="str">
        <f t="shared" si="6"/>
        <v/>
      </c>
      <c r="B266" t="str">
        <f t="shared" si="7"/>
        <v/>
      </c>
      <c r="D266" s="27"/>
      <c r="E266" s="26"/>
      <c r="F266" s="26"/>
      <c r="G266" s="30"/>
      <c r="H266" s="30"/>
      <c r="I266" s="30"/>
      <c r="J266" s="31"/>
      <c r="K266" s="31"/>
      <c r="L266" s="31"/>
      <c r="M266" s="31"/>
      <c r="N266" s="26"/>
      <c r="O266" s="26"/>
      <c r="P266" s="26"/>
      <c r="Q266" s="28"/>
    </row>
    <row r="267" spans="1:17">
      <c r="A267" t="str">
        <f t="shared" si="6"/>
        <v/>
      </c>
      <c r="B267" t="str">
        <f t="shared" si="7"/>
        <v/>
      </c>
      <c r="D267" s="27"/>
      <c r="E267" s="26"/>
      <c r="F267" s="26"/>
      <c r="G267" s="30"/>
      <c r="H267" s="30"/>
      <c r="I267" s="30"/>
      <c r="J267" s="31"/>
      <c r="K267" s="31"/>
      <c r="L267" s="31"/>
      <c r="M267" s="31"/>
      <c r="N267" s="26"/>
      <c r="O267" s="26"/>
      <c r="P267" s="26"/>
      <c r="Q267" s="28"/>
    </row>
    <row r="268" spans="1:17">
      <c r="A268" t="str">
        <f t="shared" si="6"/>
        <v/>
      </c>
      <c r="B268" t="str">
        <f t="shared" si="7"/>
        <v/>
      </c>
      <c r="D268" s="27"/>
      <c r="E268" s="26"/>
      <c r="F268" s="26"/>
      <c r="G268" s="30"/>
      <c r="H268" s="30"/>
      <c r="I268" s="30"/>
      <c r="J268" s="31"/>
      <c r="K268" s="31"/>
      <c r="L268" s="31"/>
      <c r="M268" s="31"/>
      <c r="N268" s="26"/>
      <c r="O268" s="26"/>
      <c r="P268" s="26"/>
      <c r="Q268" s="28"/>
    </row>
    <row r="269" spans="1:17">
      <c r="A269" t="str">
        <f t="shared" si="6"/>
        <v/>
      </c>
      <c r="B269" t="str">
        <f t="shared" si="7"/>
        <v/>
      </c>
      <c r="D269" s="27"/>
      <c r="E269" s="26"/>
      <c r="F269" s="26"/>
      <c r="G269" s="30"/>
      <c r="H269" s="30"/>
      <c r="I269" s="30"/>
      <c r="J269" s="31"/>
      <c r="K269" s="31"/>
      <c r="L269" s="31"/>
      <c r="M269" s="31"/>
      <c r="N269" s="26"/>
      <c r="O269" s="26"/>
      <c r="P269" s="26"/>
      <c r="Q269" s="28"/>
    </row>
    <row r="270" spans="1:17">
      <c r="A270" t="str">
        <f t="shared" ref="A270:A333" si="8">IF($J270=0,"",H270)</f>
        <v/>
      </c>
      <c r="B270" t="str">
        <f t="shared" ref="B270:B333" si="9">IF($J270=0,"",I270)</f>
        <v/>
      </c>
      <c r="D270" s="27"/>
      <c r="E270" s="26"/>
      <c r="F270" s="26"/>
      <c r="G270" s="30"/>
      <c r="H270" s="30"/>
      <c r="I270" s="30"/>
      <c r="J270" s="31"/>
      <c r="K270" s="31"/>
      <c r="L270" s="31"/>
      <c r="M270" s="31"/>
      <c r="N270" s="26"/>
      <c r="O270" s="26"/>
      <c r="P270" s="26"/>
      <c r="Q270" s="28"/>
    </row>
    <row r="271" spans="1:17">
      <c r="A271" t="str">
        <f t="shared" si="8"/>
        <v/>
      </c>
      <c r="B271" t="str">
        <f t="shared" si="9"/>
        <v/>
      </c>
      <c r="D271" s="27"/>
      <c r="E271" s="26"/>
      <c r="F271" s="26"/>
      <c r="G271" s="30"/>
      <c r="H271" s="30"/>
      <c r="I271" s="30"/>
      <c r="J271" s="31"/>
      <c r="K271" s="31"/>
      <c r="L271" s="31"/>
      <c r="M271" s="31"/>
      <c r="N271" s="26"/>
      <c r="O271" s="26"/>
      <c r="P271" s="26"/>
      <c r="Q271" s="28"/>
    </row>
    <row r="272" spans="1:17">
      <c r="A272" t="str">
        <f t="shared" si="8"/>
        <v/>
      </c>
      <c r="B272" t="str">
        <f t="shared" si="9"/>
        <v/>
      </c>
      <c r="D272" s="27"/>
      <c r="E272" s="26"/>
      <c r="F272" s="26"/>
      <c r="G272" s="30"/>
      <c r="H272" s="30"/>
      <c r="I272" s="30"/>
      <c r="J272" s="31"/>
      <c r="K272" s="31"/>
      <c r="L272" s="31"/>
      <c r="M272" s="31"/>
      <c r="N272" s="26"/>
      <c r="O272" s="26"/>
      <c r="P272" s="26"/>
      <c r="Q272" s="28"/>
    </row>
    <row r="273" spans="1:17">
      <c r="A273" t="str">
        <f t="shared" si="8"/>
        <v/>
      </c>
      <c r="B273" t="str">
        <f t="shared" si="9"/>
        <v/>
      </c>
      <c r="D273" s="27"/>
      <c r="E273" s="26"/>
      <c r="F273" s="26"/>
      <c r="G273" s="30"/>
      <c r="H273" s="30"/>
      <c r="I273" s="30"/>
      <c r="J273" s="31"/>
      <c r="K273" s="31"/>
      <c r="L273" s="31"/>
      <c r="M273" s="31"/>
      <c r="N273" s="26"/>
      <c r="O273" s="26"/>
      <c r="P273" s="26"/>
      <c r="Q273" s="28"/>
    </row>
    <row r="274" spans="1:17">
      <c r="A274" t="str">
        <f t="shared" si="8"/>
        <v/>
      </c>
      <c r="B274" t="str">
        <f t="shared" si="9"/>
        <v/>
      </c>
      <c r="D274" s="27"/>
      <c r="E274" s="26"/>
      <c r="F274" s="26"/>
      <c r="G274" s="30"/>
      <c r="H274" s="30"/>
      <c r="I274" s="30"/>
      <c r="J274" s="31"/>
      <c r="K274" s="31"/>
      <c r="L274" s="31"/>
      <c r="M274" s="31"/>
      <c r="N274" s="26"/>
      <c r="O274" s="26"/>
      <c r="P274" s="26"/>
      <c r="Q274" s="28"/>
    </row>
    <row r="275" spans="1:17">
      <c r="A275" t="str">
        <f t="shared" si="8"/>
        <v/>
      </c>
      <c r="B275" t="str">
        <f t="shared" si="9"/>
        <v/>
      </c>
      <c r="D275" s="27"/>
      <c r="E275" s="26"/>
      <c r="F275" s="26"/>
      <c r="G275" s="30"/>
      <c r="H275" s="30"/>
      <c r="I275" s="30"/>
      <c r="J275" s="31"/>
      <c r="K275" s="31"/>
      <c r="L275" s="31"/>
      <c r="M275" s="31"/>
      <c r="N275" s="26"/>
      <c r="O275" s="26"/>
      <c r="P275" s="26"/>
      <c r="Q275" s="28"/>
    </row>
    <row r="276" spans="1:17">
      <c r="A276" t="str">
        <f t="shared" si="8"/>
        <v/>
      </c>
      <c r="B276" t="str">
        <f t="shared" si="9"/>
        <v/>
      </c>
      <c r="D276" s="27"/>
      <c r="E276" s="26"/>
      <c r="F276" s="26"/>
      <c r="G276" s="30"/>
      <c r="H276" s="30"/>
      <c r="I276" s="30"/>
      <c r="J276" s="31"/>
      <c r="K276" s="31"/>
      <c r="L276" s="31"/>
      <c r="M276" s="31"/>
      <c r="N276" s="26"/>
      <c r="O276" s="26"/>
      <c r="P276" s="26"/>
      <c r="Q276" s="28"/>
    </row>
    <row r="277" spans="1:17">
      <c r="A277" t="str">
        <f t="shared" si="8"/>
        <v/>
      </c>
      <c r="B277" t="str">
        <f t="shared" si="9"/>
        <v/>
      </c>
      <c r="D277" s="27"/>
      <c r="E277" s="26"/>
      <c r="F277" s="26"/>
      <c r="G277" s="30"/>
      <c r="H277" s="30"/>
      <c r="I277" s="30"/>
      <c r="J277" s="31"/>
      <c r="K277" s="31"/>
      <c r="L277" s="31"/>
      <c r="M277" s="31"/>
      <c r="N277" s="26"/>
      <c r="O277" s="26"/>
      <c r="P277" s="26"/>
      <c r="Q277" s="28"/>
    </row>
    <row r="278" spans="1:17">
      <c r="A278" t="str">
        <f t="shared" si="8"/>
        <v/>
      </c>
      <c r="B278" t="str">
        <f t="shared" si="9"/>
        <v/>
      </c>
      <c r="D278" s="27"/>
      <c r="E278" s="26"/>
      <c r="F278" s="26"/>
      <c r="G278" s="30"/>
      <c r="H278" s="30"/>
      <c r="I278" s="30"/>
      <c r="J278" s="31"/>
      <c r="K278" s="31"/>
      <c r="L278" s="31"/>
      <c r="M278" s="31"/>
      <c r="N278" s="26"/>
      <c r="O278" s="26"/>
      <c r="P278" s="26"/>
      <c r="Q278" s="28"/>
    </row>
    <row r="279" spans="1:17">
      <c r="A279" t="str">
        <f t="shared" si="8"/>
        <v/>
      </c>
      <c r="B279" t="str">
        <f t="shared" si="9"/>
        <v/>
      </c>
      <c r="D279" s="27"/>
      <c r="E279" s="26"/>
      <c r="F279" s="26"/>
      <c r="G279" s="30"/>
      <c r="H279" s="30"/>
      <c r="I279" s="30"/>
      <c r="J279" s="31"/>
      <c r="K279" s="31"/>
      <c r="L279" s="31"/>
      <c r="M279" s="31"/>
      <c r="N279" s="26"/>
      <c r="O279" s="26"/>
      <c r="P279" s="26"/>
      <c r="Q279" s="28"/>
    </row>
    <row r="280" spans="1:17">
      <c r="A280" t="str">
        <f t="shared" si="8"/>
        <v/>
      </c>
      <c r="B280" t="str">
        <f t="shared" si="9"/>
        <v/>
      </c>
      <c r="D280" s="27"/>
      <c r="E280" s="26"/>
      <c r="F280" s="26"/>
      <c r="G280" s="30"/>
      <c r="H280" s="30"/>
      <c r="I280" s="30"/>
      <c r="J280" s="31"/>
      <c r="K280" s="31"/>
      <c r="L280" s="31"/>
      <c r="M280" s="31"/>
      <c r="N280" s="26"/>
      <c r="O280" s="26"/>
      <c r="P280" s="26"/>
      <c r="Q280" s="28"/>
    </row>
    <row r="281" spans="1:17">
      <c r="A281" t="str">
        <f t="shared" si="8"/>
        <v/>
      </c>
      <c r="B281" t="str">
        <f t="shared" si="9"/>
        <v/>
      </c>
      <c r="D281" s="27"/>
      <c r="E281" s="26"/>
      <c r="F281" s="26"/>
      <c r="G281" s="30"/>
      <c r="H281" s="30"/>
      <c r="I281" s="30"/>
      <c r="J281" s="31"/>
      <c r="K281" s="31"/>
      <c r="L281" s="31"/>
      <c r="M281" s="31"/>
      <c r="N281" s="26"/>
      <c r="O281" s="26"/>
      <c r="P281" s="26"/>
      <c r="Q281" s="28"/>
    </row>
    <row r="282" spans="1:17">
      <c r="A282" t="str">
        <f t="shared" si="8"/>
        <v/>
      </c>
      <c r="B282" t="str">
        <f t="shared" si="9"/>
        <v/>
      </c>
      <c r="D282" s="27"/>
      <c r="E282" s="26"/>
      <c r="F282" s="26"/>
      <c r="G282" s="30"/>
      <c r="H282" s="30"/>
      <c r="I282" s="30"/>
      <c r="J282" s="31"/>
      <c r="K282" s="31"/>
      <c r="L282" s="31"/>
      <c r="M282" s="31"/>
      <c r="N282" s="26"/>
      <c r="O282" s="26"/>
      <c r="P282" s="26"/>
      <c r="Q282" s="28"/>
    </row>
    <row r="283" spans="1:17">
      <c r="A283" t="str">
        <f t="shared" si="8"/>
        <v/>
      </c>
      <c r="B283" t="str">
        <f t="shared" si="9"/>
        <v/>
      </c>
      <c r="D283" s="27"/>
      <c r="E283" s="26"/>
      <c r="F283" s="26"/>
      <c r="G283" s="30"/>
      <c r="H283" s="30"/>
      <c r="I283" s="30"/>
      <c r="J283" s="31"/>
      <c r="K283" s="31"/>
      <c r="L283" s="31"/>
      <c r="M283" s="31"/>
      <c r="N283" s="26"/>
      <c r="O283" s="26"/>
      <c r="P283" s="26"/>
      <c r="Q283" s="28"/>
    </row>
    <row r="284" spans="1:17">
      <c r="A284" t="str">
        <f t="shared" si="8"/>
        <v/>
      </c>
      <c r="B284" t="str">
        <f t="shared" si="9"/>
        <v/>
      </c>
      <c r="D284" s="27"/>
      <c r="E284" s="26"/>
      <c r="F284" s="26"/>
      <c r="G284" s="30"/>
      <c r="H284" s="30"/>
      <c r="I284" s="30"/>
      <c r="J284" s="31"/>
      <c r="K284" s="31"/>
      <c r="L284" s="31"/>
      <c r="M284" s="31"/>
      <c r="N284" s="26"/>
      <c r="O284" s="26"/>
      <c r="P284" s="26"/>
      <c r="Q284" s="28"/>
    </row>
    <row r="285" spans="1:17">
      <c r="A285" t="str">
        <f t="shared" si="8"/>
        <v/>
      </c>
      <c r="B285" t="str">
        <f t="shared" si="9"/>
        <v/>
      </c>
      <c r="D285" s="27"/>
      <c r="E285" s="26"/>
      <c r="F285" s="26"/>
      <c r="G285" s="30"/>
      <c r="H285" s="30"/>
      <c r="I285" s="30"/>
      <c r="J285" s="31"/>
      <c r="K285" s="31"/>
      <c r="L285" s="31"/>
      <c r="M285" s="31"/>
      <c r="N285" s="26"/>
      <c r="O285" s="26"/>
      <c r="P285" s="26"/>
      <c r="Q285" s="28"/>
    </row>
    <row r="286" spans="1:17">
      <c r="A286" t="str">
        <f t="shared" si="8"/>
        <v/>
      </c>
      <c r="B286" t="str">
        <f t="shared" si="9"/>
        <v/>
      </c>
      <c r="D286" s="27"/>
      <c r="E286" s="26"/>
      <c r="F286" s="26"/>
      <c r="G286" s="30"/>
      <c r="H286" s="30"/>
      <c r="I286" s="30"/>
      <c r="J286" s="31"/>
      <c r="K286" s="31"/>
      <c r="L286" s="31"/>
      <c r="M286" s="31"/>
      <c r="N286" s="26"/>
      <c r="O286" s="26"/>
      <c r="P286" s="26"/>
      <c r="Q286" s="28"/>
    </row>
    <row r="287" spans="1:17">
      <c r="A287" t="str">
        <f t="shared" si="8"/>
        <v/>
      </c>
      <c r="B287" t="str">
        <f t="shared" si="9"/>
        <v/>
      </c>
      <c r="D287" s="27"/>
      <c r="E287" s="26"/>
      <c r="F287" s="26"/>
      <c r="G287" s="30"/>
      <c r="H287" s="30"/>
      <c r="I287" s="30"/>
      <c r="J287" s="31"/>
      <c r="K287" s="31"/>
      <c r="L287" s="31"/>
      <c r="M287" s="31"/>
      <c r="N287" s="26"/>
      <c r="O287" s="26"/>
      <c r="P287" s="26"/>
      <c r="Q287" s="28"/>
    </row>
    <row r="288" spans="1:17">
      <c r="A288" t="str">
        <f t="shared" si="8"/>
        <v/>
      </c>
      <c r="B288" t="str">
        <f t="shared" si="9"/>
        <v/>
      </c>
      <c r="D288" s="27"/>
      <c r="E288" s="26"/>
      <c r="F288" s="26"/>
      <c r="G288" s="30"/>
      <c r="H288" s="30"/>
      <c r="I288" s="30"/>
      <c r="J288" s="31"/>
      <c r="K288" s="31"/>
      <c r="L288" s="31"/>
      <c r="M288" s="31"/>
      <c r="N288" s="26"/>
      <c r="O288" s="26"/>
      <c r="P288" s="26"/>
      <c r="Q288" s="28"/>
    </row>
    <row r="289" spans="1:17">
      <c r="A289" t="str">
        <f t="shared" si="8"/>
        <v/>
      </c>
      <c r="B289" t="str">
        <f t="shared" si="9"/>
        <v/>
      </c>
      <c r="D289" s="27"/>
      <c r="E289" s="26"/>
      <c r="F289" s="26"/>
      <c r="G289" s="30"/>
      <c r="H289" s="30"/>
      <c r="I289" s="30"/>
      <c r="J289" s="31"/>
      <c r="K289" s="31"/>
      <c r="L289" s="31"/>
      <c r="M289" s="31"/>
      <c r="N289" s="26"/>
      <c r="O289" s="26"/>
      <c r="P289" s="26"/>
      <c r="Q289" s="28"/>
    </row>
    <row r="290" spans="1:17">
      <c r="A290" t="str">
        <f t="shared" si="8"/>
        <v/>
      </c>
      <c r="B290" t="str">
        <f t="shared" si="9"/>
        <v/>
      </c>
      <c r="D290" s="27"/>
      <c r="E290" s="26"/>
      <c r="F290" s="26"/>
      <c r="G290" s="30"/>
      <c r="H290" s="30"/>
      <c r="I290" s="30"/>
      <c r="J290" s="31"/>
      <c r="K290" s="31"/>
      <c r="L290" s="31"/>
      <c r="M290" s="31"/>
      <c r="N290" s="26"/>
      <c r="O290" s="26"/>
      <c r="P290" s="26"/>
      <c r="Q290" s="28"/>
    </row>
    <row r="291" spans="1:17">
      <c r="A291" t="str">
        <f t="shared" si="8"/>
        <v/>
      </c>
      <c r="B291" t="str">
        <f t="shared" si="9"/>
        <v/>
      </c>
      <c r="D291" s="27"/>
      <c r="E291" s="26"/>
      <c r="F291" s="26"/>
      <c r="G291" s="30"/>
      <c r="H291" s="30"/>
      <c r="I291" s="30"/>
      <c r="J291" s="31"/>
      <c r="K291" s="31"/>
      <c r="L291" s="31"/>
      <c r="M291" s="31"/>
      <c r="N291" s="26"/>
      <c r="O291" s="26"/>
      <c r="P291" s="26"/>
      <c r="Q291" s="28"/>
    </row>
    <row r="292" spans="1:17">
      <c r="A292" t="str">
        <f t="shared" si="8"/>
        <v/>
      </c>
      <c r="B292" t="str">
        <f t="shared" si="9"/>
        <v/>
      </c>
      <c r="D292" s="27"/>
      <c r="E292" s="26"/>
      <c r="F292" s="26"/>
      <c r="G292" s="30"/>
      <c r="H292" s="30"/>
      <c r="I292" s="30"/>
      <c r="J292" s="31"/>
      <c r="K292" s="31"/>
      <c r="L292" s="31"/>
      <c r="M292" s="31"/>
      <c r="N292" s="26"/>
      <c r="O292" s="26"/>
      <c r="P292" s="26"/>
      <c r="Q292" s="28"/>
    </row>
    <row r="293" spans="1:17">
      <c r="A293" t="str">
        <f t="shared" si="8"/>
        <v/>
      </c>
      <c r="B293" t="str">
        <f t="shared" si="9"/>
        <v/>
      </c>
      <c r="D293" s="27"/>
      <c r="E293" s="26"/>
      <c r="F293" s="26"/>
      <c r="G293" s="30"/>
      <c r="H293" s="30"/>
      <c r="I293" s="30"/>
      <c r="J293" s="31"/>
      <c r="K293" s="31"/>
      <c r="L293" s="31"/>
      <c r="M293" s="31"/>
      <c r="N293" s="26"/>
      <c r="O293" s="26"/>
      <c r="P293" s="26"/>
      <c r="Q293" s="28"/>
    </row>
    <row r="294" spans="1:17">
      <c r="A294" t="str">
        <f t="shared" si="8"/>
        <v/>
      </c>
      <c r="B294" t="str">
        <f t="shared" si="9"/>
        <v/>
      </c>
      <c r="D294" s="27"/>
      <c r="E294" s="26"/>
      <c r="F294" s="26"/>
      <c r="G294" s="30"/>
      <c r="H294" s="30"/>
      <c r="I294" s="30"/>
      <c r="J294" s="31"/>
      <c r="K294" s="31"/>
      <c r="L294" s="31"/>
      <c r="M294" s="31"/>
      <c r="N294" s="26"/>
      <c r="O294" s="26"/>
      <c r="P294" s="26"/>
      <c r="Q294" s="28"/>
    </row>
    <row r="295" spans="1:17">
      <c r="A295" t="str">
        <f t="shared" si="8"/>
        <v/>
      </c>
      <c r="B295" t="str">
        <f t="shared" si="9"/>
        <v/>
      </c>
      <c r="D295" s="27"/>
      <c r="E295" s="26"/>
      <c r="F295" s="26"/>
      <c r="G295" s="30"/>
      <c r="H295" s="30"/>
      <c r="I295" s="30"/>
      <c r="J295" s="31"/>
      <c r="K295" s="31"/>
      <c r="L295" s="31"/>
      <c r="M295" s="31"/>
      <c r="N295" s="26"/>
      <c r="O295" s="26"/>
      <c r="P295" s="26"/>
      <c r="Q295" s="28"/>
    </row>
    <row r="296" spans="1:17">
      <c r="A296" t="str">
        <f t="shared" si="8"/>
        <v/>
      </c>
      <c r="B296" t="str">
        <f t="shared" si="9"/>
        <v/>
      </c>
      <c r="D296" s="27"/>
      <c r="E296" s="26"/>
      <c r="F296" s="26"/>
      <c r="G296" s="30"/>
      <c r="H296" s="30"/>
      <c r="I296" s="30"/>
      <c r="J296" s="31"/>
      <c r="K296" s="31"/>
      <c r="L296" s="31"/>
      <c r="M296" s="31"/>
      <c r="N296" s="26"/>
      <c r="O296" s="26"/>
      <c r="P296" s="26"/>
      <c r="Q296" s="28"/>
    </row>
    <row r="297" spans="1:17">
      <c r="A297" t="str">
        <f t="shared" si="8"/>
        <v/>
      </c>
      <c r="B297" t="str">
        <f t="shared" si="9"/>
        <v/>
      </c>
      <c r="D297" s="27"/>
      <c r="E297" s="26"/>
      <c r="F297" s="26"/>
      <c r="G297" s="30"/>
      <c r="H297" s="30"/>
      <c r="I297" s="30"/>
      <c r="J297" s="31"/>
      <c r="K297" s="31"/>
      <c r="L297" s="31"/>
      <c r="M297" s="31"/>
      <c r="N297" s="26"/>
      <c r="O297" s="26"/>
      <c r="P297" s="26"/>
      <c r="Q297" s="28"/>
    </row>
    <row r="298" spans="1:17">
      <c r="A298" t="str">
        <f t="shared" si="8"/>
        <v/>
      </c>
      <c r="B298" t="str">
        <f t="shared" si="9"/>
        <v/>
      </c>
      <c r="D298" s="27"/>
      <c r="E298" s="26"/>
      <c r="F298" s="26"/>
      <c r="G298" s="30"/>
      <c r="H298" s="30"/>
      <c r="I298" s="30"/>
      <c r="J298" s="31"/>
      <c r="K298" s="31"/>
      <c r="L298" s="31"/>
      <c r="M298" s="31"/>
      <c r="N298" s="26"/>
      <c r="O298" s="26"/>
      <c r="P298" s="26"/>
      <c r="Q298" s="28"/>
    </row>
    <row r="299" spans="1:17">
      <c r="A299" t="str">
        <f t="shared" si="8"/>
        <v/>
      </c>
      <c r="B299" t="str">
        <f t="shared" si="9"/>
        <v/>
      </c>
      <c r="D299" s="27"/>
      <c r="E299" s="26"/>
      <c r="F299" s="26"/>
      <c r="G299" s="30"/>
      <c r="H299" s="30"/>
      <c r="I299" s="30"/>
      <c r="J299" s="31"/>
      <c r="K299" s="31"/>
      <c r="L299" s="31"/>
      <c r="M299" s="31"/>
      <c r="N299" s="26"/>
      <c r="O299" s="26"/>
      <c r="P299" s="26"/>
      <c r="Q299" s="28"/>
    </row>
    <row r="300" spans="1:17">
      <c r="A300" t="str">
        <f t="shared" si="8"/>
        <v/>
      </c>
      <c r="B300" t="str">
        <f t="shared" si="9"/>
        <v/>
      </c>
      <c r="D300" s="27"/>
      <c r="E300" s="26"/>
      <c r="F300" s="26"/>
      <c r="G300" s="30"/>
      <c r="H300" s="30"/>
      <c r="I300" s="30"/>
      <c r="J300" s="31"/>
      <c r="K300" s="31"/>
      <c r="L300" s="31"/>
      <c r="M300" s="31"/>
      <c r="N300" s="26"/>
      <c r="O300" s="26"/>
      <c r="P300" s="26"/>
      <c r="Q300" s="28"/>
    </row>
    <row r="301" spans="1:17">
      <c r="A301" t="str">
        <f t="shared" si="8"/>
        <v/>
      </c>
      <c r="B301" t="str">
        <f t="shared" si="9"/>
        <v/>
      </c>
      <c r="D301" s="27"/>
      <c r="E301" s="26"/>
      <c r="F301" s="26"/>
      <c r="G301" s="30"/>
      <c r="H301" s="30"/>
      <c r="I301" s="30"/>
      <c r="J301" s="31"/>
      <c r="K301" s="31"/>
      <c r="L301" s="31"/>
      <c r="M301" s="31"/>
      <c r="N301" s="26"/>
      <c r="O301" s="26"/>
      <c r="P301" s="26"/>
      <c r="Q301" s="28"/>
    </row>
    <row r="302" spans="1:17">
      <c r="A302" t="str">
        <f t="shared" si="8"/>
        <v/>
      </c>
      <c r="B302" t="str">
        <f t="shared" si="9"/>
        <v/>
      </c>
      <c r="D302" s="27"/>
      <c r="E302" s="26"/>
      <c r="F302" s="26"/>
      <c r="G302" s="30"/>
      <c r="H302" s="30"/>
      <c r="I302" s="30"/>
      <c r="J302" s="31"/>
      <c r="K302" s="31"/>
      <c r="L302" s="31"/>
      <c r="M302" s="31"/>
      <c r="N302" s="26"/>
      <c r="O302" s="26"/>
      <c r="P302" s="26"/>
      <c r="Q302" s="28"/>
    </row>
    <row r="303" spans="1:17">
      <c r="A303" t="str">
        <f t="shared" si="8"/>
        <v/>
      </c>
      <c r="B303" t="str">
        <f t="shared" si="9"/>
        <v/>
      </c>
      <c r="D303" s="27"/>
      <c r="E303" s="26"/>
      <c r="F303" s="26"/>
      <c r="G303" s="30"/>
      <c r="H303" s="30"/>
      <c r="I303" s="30"/>
      <c r="J303" s="31"/>
      <c r="K303" s="31"/>
      <c r="L303" s="31"/>
      <c r="M303" s="31"/>
      <c r="N303" s="26"/>
      <c r="O303" s="26"/>
      <c r="P303" s="26"/>
      <c r="Q303" s="28"/>
    </row>
    <row r="304" spans="1:17">
      <c r="A304" t="str">
        <f t="shared" si="8"/>
        <v/>
      </c>
      <c r="B304" t="str">
        <f t="shared" si="9"/>
        <v/>
      </c>
      <c r="D304" s="27"/>
      <c r="E304" s="26"/>
      <c r="F304" s="26"/>
      <c r="G304" s="30"/>
      <c r="H304" s="30"/>
      <c r="I304" s="30"/>
      <c r="J304" s="31"/>
      <c r="K304" s="31"/>
      <c r="L304" s="31"/>
      <c r="M304" s="31"/>
      <c r="N304" s="26"/>
      <c r="O304" s="26"/>
      <c r="P304" s="26"/>
      <c r="Q304" s="28"/>
    </row>
    <row r="305" spans="1:17">
      <c r="A305" t="str">
        <f t="shared" si="8"/>
        <v/>
      </c>
      <c r="B305" t="str">
        <f t="shared" si="9"/>
        <v/>
      </c>
      <c r="D305" s="27"/>
      <c r="E305" s="26"/>
      <c r="F305" s="26"/>
      <c r="G305" s="30"/>
      <c r="H305" s="30"/>
      <c r="I305" s="30"/>
      <c r="J305" s="31"/>
      <c r="K305" s="31"/>
      <c r="L305" s="31"/>
      <c r="M305" s="31"/>
      <c r="N305" s="26"/>
      <c r="O305" s="26"/>
      <c r="P305" s="26"/>
      <c r="Q305" s="28"/>
    </row>
    <row r="306" spans="1:17">
      <c r="A306" t="str">
        <f t="shared" si="8"/>
        <v/>
      </c>
      <c r="B306" t="str">
        <f t="shared" si="9"/>
        <v/>
      </c>
      <c r="D306" s="27"/>
      <c r="E306" s="26"/>
      <c r="F306" s="26"/>
      <c r="G306" s="30"/>
      <c r="H306" s="30"/>
      <c r="I306" s="30"/>
      <c r="J306" s="31"/>
      <c r="K306" s="31"/>
      <c r="L306" s="31"/>
      <c r="M306" s="31"/>
      <c r="N306" s="26"/>
      <c r="O306" s="26"/>
      <c r="P306" s="26"/>
      <c r="Q306" s="28"/>
    </row>
    <row r="307" spans="1:17">
      <c r="A307" t="str">
        <f t="shared" si="8"/>
        <v/>
      </c>
      <c r="B307" t="str">
        <f t="shared" si="9"/>
        <v/>
      </c>
      <c r="D307" s="27"/>
      <c r="E307" s="26"/>
      <c r="F307" s="26"/>
      <c r="G307" s="30"/>
      <c r="H307" s="30"/>
      <c r="I307" s="30"/>
      <c r="J307" s="31"/>
      <c r="K307" s="31"/>
      <c r="L307" s="31"/>
      <c r="M307" s="31"/>
      <c r="N307" s="26"/>
      <c r="O307" s="26"/>
      <c r="P307" s="26"/>
      <c r="Q307" s="28"/>
    </row>
    <row r="308" spans="1:17">
      <c r="A308" t="str">
        <f t="shared" si="8"/>
        <v/>
      </c>
      <c r="B308" t="str">
        <f t="shared" si="9"/>
        <v/>
      </c>
      <c r="D308" s="27"/>
      <c r="E308" s="26"/>
      <c r="F308" s="26"/>
      <c r="G308" s="30"/>
      <c r="H308" s="30"/>
      <c r="I308" s="30"/>
      <c r="J308" s="31"/>
      <c r="K308" s="31"/>
      <c r="L308" s="31"/>
      <c r="M308" s="31"/>
      <c r="N308" s="26"/>
      <c r="O308" s="26"/>
      <c r="P308" s="26"/>
      <c r="Q308" s="28"/>
    </row>
    <row r="309" spans="1:17">
      <c r="A309" t="str">
        <f t="shared" si="8"/>
        <v/>
      </c>
      <c r="B309" t="str">
        <f t="shared" si="9"/>
        <v/>
      </c>
      <c r="D309" s="27"/>
      <c r="E309" s="26"/>
      <c r="F309" s="26"/>
      <c r="G309" s="30"/>
      <c r="H309" s="30"/>
      <c r="I309" s="30"/>
      <c r="J309" s="31"/>
      <c r="K309" s="31"/>
      <c r="L309" s="31"/>
      <c r="M309" s="31"/>
      <c r="N309" s="26"/>
      <c r="O309" s="26"/>
      <c r="P309" s="26"/>
      <c r="Q309" s="28"/>
    </row>
    <row r="310" spans="1:17">
      <c r="A310" t="str">
        <f t="shared" si="8"/>
        <v/>
      </c>
      <c r="B310" t="str">
        <f t="shared" si="9"/>
        <v/>
      </c>
      <c r="D310" s="27"/>
      <c r="E310" s="26"/>
      <c r="F310" s="26"/>
      <c r="G310" s="30"/>
      <c r="H310" s="30"/>
      <c r="I310" s="30"/>
      <c r="J310" s="31"/>
      <c r="K310" s="31"/>
      <c r="L310" s="31"/>
      <c r="M310" s="31"/>
      <c r="N310" s="26"/>
      <c r="O310" s="26"/>
      <c r="P310" s="26"/>
      <c r="Q310" s="28"/>
    </row>
    <row r="311" spans="1:17">
      <c r="A311" t="str">
        <f t="shared" si="8"/>
        <v/>
      </c>
      <c r="B311" t="str">
        <f t="shared" si="9"/>
        <v/>
      </c>
      <c r="D311" s="27"/>
      <c r="E311" s="26"/>
      <c r="F311" s="26"/>
      <c r="G311" s="30"/>
      <c r="H311" s="30"/>
      <c r="I311" s="30"/>
      <c r="J311" s="31"/>
      <c r="K311" s="31"/>
      <c r="L311" s="31"/>
      <c r="M311" s="31"/>
      <c r="N311" s="26"/>
      <c r="O311" s="26"/>
      <c r="P311" s="26"/>
      <c r="Q311" s="28"/>
    </row>
    <row r="312" spans="1:17">
      <c r="A312" t="str">
        <f t="shared" si="8"/>
        <v/>
      </c>
      <c r="B312" t="str">
        <f t="shared" si="9"/>
        <v/>
      </c>
      <c r="D312" s="27"/>
      <c r="E312" s="26"/>
      <c r="F312" s="26"/>
      <c r="G312" s="30"/>
      <c r="H312" s="30"/>
      <c r="I312" s="30"/>
      <c r="J312" s="31"/>
      <c r="K312" s="31"/>
      <c r="L312" s="31"/>
      <c r="M312" s="31"/>
      <c r="N312" s="26"/>
      <c r="O312" s="26"/>
      <c r="P312" s="26"/>
      <c r="Q312" s="28"/>
    </row>
    <row r="313" spans="1:17">
      <c r="A313" t="str">
        <f t="shared" si="8"/>
        <v/>
      </c>
      <c r="B313" t="str">
        <f t="shared" si="9"/>
        <v/>
      </c>
      <c r="D313" s="27"/>
      <c r="E313" s="26"/>
      <c r="F313" s="26"/>
      <c r="G313" s="30"/>
      <c r="H313" s="30"/>
      <c r="I313" s="30"/>
      <c r="J313" s="31"/>
      <c r="K313" s="31"/>
      <c r="L313" s="31"/>
      <c r="M313" s="31"/>
      <c r="N313" s="26"/>
      <c r="O313" s="26"/>
      <c r="P313" s="26"/>
      <c r="Q313" s="28"/>
    </row>
    <row r="314" spans="1:17">
      <c r="A314" t="str">
        <f t="shared" si="8"/>
        <v/>
      </c>
      <c r="B314" t="str">
        <f t="shared" si="9"/>
        <v/>
      </c>
      <c r="D314" s="27"/>
      <c r="E314" s="26"/>
      <c r="F314" s="26"/>
      <c r="G314" s="30"/>
      <c r="H314" s="30"/>
      <c r="I314" s="30"/>
      <c r="J314" s="31"/>
      <c r="K314" s="31"/>
      <c r="L314" s="31"/>
      <c r="M314" s="31"/>
      <c r="N314" s="26"/>
      <c r="O314" s="26"/>
      <c r="P314" s="26"/>
      <c r="Q314" s="28"/>
    </row>
    <row r="315" spans="1:17">
      <c r="A315" t="str">
        <f t="shared" si="8"/>
        <v/>
      </c>
      <c r="B315" t="str">
        <f t="shared" si="9"/>
        <v/>
      </c>
      <c r="D315" s="27"/>
      <c r="E315" s="26"/>
      <c r="F315" s="26"/>
      <c r="G315" s="30"/>
      <c r="H315" s="30"/>
      <c r="I315" s="30"/>
      <c r="J315" s="31"/>
      <c r="K315" s="31"/>
      <c r="L315" s="31"/>
      <c r="M315" s="31"/>
      <c r="N315" s="26"/>
      <c r="O315" s="26"/>
      <c r="P315" s="26"/>
      <c r="Q315" s="28"/>
    </row>
    <row r="316" spans="1:17">
      <c r="A316" t="str">
        <f t="shared" si="8"/>
        <v/>
      </c>
      <c r="B316" t="str">
        <f t="shared" si="9"/>
        <v/>
      </c>
      <c r="D316" s="27"/>
      <c r="E316" s="26"/>
      <c r="F316" s="26"/>
      <c r="G316" s="30"/>
      <c r="H316" s="30"/>
      <c r="I316" s="30"/>
      <c r="J316" s="31"/>
      <c r="K316" s="31"/>
      <c r="L316" s="31"/>
      <c r="M316" s="31"/>
      <c r="N316" s="26"/>
      <c r="O316" s="26"/>
      <c r="P316" s="26"/>
      <c r="Q316" s="28"/>
    </row>
    <row r="317" spans="1:17">
      <c r="A317" t="str">
        <f t="shared" si="8"/>
        <v/>
      </c>
      <c r="B317" t="str">
        <f t="shared" si="9"/>
        <v/>
      </c>
      <c r="D317" s="27"/>
      <c r="E317" s="26"/>
      <c r="F317" s="26"/>
      <c r="G317" s="30"/>
      <c r="H317" s="30"/>
      <c r="I317" s="30"/>
      <c r="J317" s="31"/>
      <c r="K317" s="31"/>
      <c r="L317" s="31"/>
      <c r="M317" s="31"/>
      <c r="N317" s="26"/>
      <c r="O317" s="26"/>
      <c r="P317" s="26"/>
      <c r="Q317" s="28"/>
    </row>
    <row r="318" spans="1:17">
      <c r="A318" t="str">
        <f t="shared" si="8"/>
        <v/>
      </c>
      <c r="B318" t="str">
        <f t="shared" si="9"/>
        <v/>
      </c>
      <c r="D318" s="27"/>
      <c r="E318" s="26"/>
      <c r="F318" s="26"/>
      <c r="G318" s="30"/>
      <c r="H318" s="30"/>
      <c r="I318" s="30"/>
      <c r="J318" s="31"/>
      <c r="K318" s="31"/>
      <c r="L318" s="31"/>
      <c r="M318" s="31"/>
      <c r="N318" s="26"/>
      <c r="O318" s="26"/>
      <c r="P318" s="26"/>
      <c r="Q318" s="28"/>
    </row>
    <row r="319" spans="1:17">
      <c r="A319" t="str">
        <f t="shared" si="8"/>
        <v/>
      </c>
      <c r="B319" t="str">
        <f t="shared" si="9"/>
        <v/>
      </c>
      <c r="D319" s="27"/>
      <c r="E319" s="26"/>
      <c r="F319" s="26"/>
      <c r="G319" s="30"/>
      <c r="H319" s="30"/>
      <c r="I319" s="30"/>
      <c r="J319" s="31"/>
      <c r="K319" s="31"/>
      <c r="L319" s="31"/>
      <c r="M319" s="31"/>
      <c r="N319" s="26"/>
      <c r="O319" s="26"/>
      <c r="P319" s="26"/>
      <c r="Q319" s="28"/>
    </row>
    <row r="320" spans="1:17">
      <c r="A320" t="str">
        <f t="shared" si="8"/>
        <v/>
      </c>
      <c r="B320" t="str">
        <f t="shared" si="9"/>
        <v/>
      </c>
      <c r="D320" s="27"/>
      <c r="E320" s="26"/>
      <c r="F320" s="26"/>
      <c r="G320" s="30"/>
      <c r="H320" s="30"/>
      <c r="I320" s="30"/>
      <c r="J320" s="31"/>
      <c r="K320" s="31"/>
      <c r="L320" s="31"/>
      <c r="M320" s="31"/>
      <c r="N320" s="26"/>
      <c r="O320" s="26"/>
      <c r="P320" s="26"/>
      <c r="Q320" s="28"/>
    </row>
    <row r="321" spans="1:17">
      <c r="A321" t="str">
        <f t="shared" si="8"/>
        <v/>
      </c>
      <c r="B321" t="str">
        <f t="shared" si="9"/>
        <v/>
      </c>
      <c r="D321" s="27"/>
      <c r="E321" s="26"/>
      <c r="F321" s="26"/>
      <c r="G321" s="30"/>
      <c r="H321" s="30"/>
      <c r="I321" s="30"/>
      <c r="J321" s="31"/>
      <c r="K321" s="31"/>
      <c r="L321" s="31"/>
      <c r="M321" s="31"/>
      <c r="N321" s="26"/>
      <c r="O321" s="26"/>
      <c r="P321" s="26"/>
      <c r="Q321" s="28"/>
    </row>
    <row r="322" spans="1:17">
      <c r="A322" t="str">
        <f t="shared" si="8"/>
        <v/>
      </c>
      <c r="B322" t="str">
        <f t="shared" si="9"/>
        <v/>
      </c>
      <c r="D322" s="27"/>
      <c r="E322" s="26"/>
      <c r="F322" s="26"/>
      <c r="G322" s="30"/>
      <c r="H322" s="30"/>
      <c r="I322" s="30"/>
      <c r="J322" s="31"/>
      <c r="K322" s="31"/>
      <c r="L322" s="31"/>
      <c r="M322" s="31"/>
      <c r="N322" s="26"/>
      <c r="O322" s="26"/>
      <c r="P322" s="26"/>
      <c r="Q322" s="28"/>
    </row>
    <row r="323" spans="1:17">
      <c r="A323" t="str">
        <f t="shared" si="8"/>
        <v/>
      </c>
      <c r="B323" t="str">
        <f t="shared" si="9"/>
        <v/>
      </c>
      <c r="D323" s="27"/>
      <c r="E323" s="26"/>
      <c r="F323" s="26"/>
      <c r="G323" s="30"/>
      <c r="H323" s="30"/>
      <c r="I323" s="30"/>
      <c r="J323" s="31"/>
      <c r="K323" s="31"/>
      <c r="L323" s="31"/>
      <c r="M323" s="31"/>
      <c r="N323" s="26"/>
      <c r="O323" s="26"/>
      <c r="P323" s="26"/>
      <c r="Q323" s="28"/>
    </row>
    <row r="324" spans="1:17">
      <c r="A324" t="str">
        <f t="shared" si="8"/>
        <v/>
      </c>
      <c r="B324" t="str">
        <f t="shared" si="9"/>
        <v/>
      </c>
      <c r="D324" s="27"/>
      <c r="E324" s="26"/>
      <c r="F324" s="26"/>
      <c r="G324" s="30"/>
      <c r="H324" s="30"/>
      <c r="I324" s="30"/>
      <c r="J324" s="31"/>
      <c r="K324" s="31"/>
      <c r="L324" s="31"/>
      <c r="M324" s="31"/>
      <c r="N324" s="26"/>
      <c r="O324" s="26"/>
      <c r="P324" s="26"/>
      <c r="Q324" s="28"/>
    </row>
    <row r="325" spans="1:17">
      <c r="A325" t="str">
        <f t="shared" si="8"/>
        <v/>
      </c>
      <c r="B325" t="str">
        <f t="shared" si="9"/>
        <v/>
      </c>
      <c r="D325" s="27"/>
      <c r="E325" s="26"/>
      <c r="F325" s="26"/>
      <c r="G325" s="30"/>
      <c r="H325" s="30"/>
      <c r="I325" s="30"/>
      <c r="J325" s="31"/>
      <c r="K325" s="31"/>
      <c r="L325" s="31"/>
      <c r="M325" s="31"/>
      <c r="N325" s="26"/>
      <c r="O325" s="26"/>
      <c r="P325" s="26"/>
      <c r="Q325" s="28"/>
    </row>
    <row r="326" spans="1:17">
      <c r="A326" t="str">
        <f t="shared" si="8"/>
        <v/>
      </c>
      <c r="B326" t="str">
        <f t="shared" si="9"/>
        <v/>
      </c>
      <c r="D326" s="27"/>
      <c r="E326" s="26"/>
      <c r="F326" s="26"/>
      <c r="G326" s="30"/>
      <c r="H326" s="30"/>
      <c r="I326" s="30"/>
      <c r="J326" s="31"/>
      <c r="K326" s="31"/>
      <c r="L326" s="31"/>
      <c r="M326" s="31"/>
      <c r="N326" s="26"/>
      <c r="O326" s="26"/>
      <c r="P326" s="26"/>
      <c r="Q326" s="28"/>
    </row>
    <row r="327" spans="1:17">
      <c r="A327" t="str">
        <f t="shared" si="8"/>
        <v/>
      </c>
      <c r="B327" t="str">
        <f t="shared" si="9"/>
        <v/>
      </c>
      <c r="D327" s="27"/>
      <c r="E327" s="26"/>
      <c r="F327" s="26"/>
      <c r="G327" s="30"/>
      <c r="H327" s="30"/>
      <c r="I327" s="30"/>
      <c r="J327" s="31"/>
      <c r="K327" s="31"/>
      <c r="L327" s="31"/>
      <c r="M327" s="31"/>
      <c r="N327" s="26"/>
      <c r="O327" s="26"/>
      <c r="P327" s="26"/>
      <c r="Q327" s="28"/>
    </row>
    <row r="328" spans="1:17">
      <c r="A328" t="str">
        <f t="shared" si="8"/>
        <v/>
      </c>
      <c r="B328" t="str">
        <f t="shared" si="9"/>
        <v/>
      </c>
      <c r="D328" s="27"/>
      <c r="E328" s="26"/>
      <c r="F328" s="26"/>
      <c r="G328" s="30"/>
      <c r="H328" s="30"/>
      <c r="I328" s="30"/>
      <c r="J328" s="31"/>
      <c r="K328" s="31"/>
      <c r="L328" s="31"/>
      <c r="M328" s="31"/>
      <c r="N328" s="26"/>
      <c r="O328" s="26"/>
      <c r="P328" s="26"/>
      <c r="Q328" s="28"/>
    </row>
    <row r="329" spans="1:17">
      <c r="A329" t="str">
        <f t="shared" si="8"/>
        <v/>
      </c>
      <c r="B329" t="str">
        <f t="shared" si="9"/>
        <v/>
      </c>
      <c r="D329" s="27"/>
      <c r="E329" s="26"/>
      <c r="F329" s="26"/>
      <c r="G329" s="30"/>
      <c r="H329" s="30"/>
      <c r="I329" s="30"/>
      <c r="J329" s="31"/>
      <c r="K329" s="31"/>
      <c r="L329" s="31"/>
      <c r="M329" s="31"/>
      <c r="N329" s="26"/>
      <c r="O329" s="26"/>
      <c r="P329" s="26"/>
      <c r="Q329" s="28"/>
    </row>
    <row r="330" spans="1:17">
      <c r="A330" t="str">
        <f t="shared" si="8"/>
        <v/>
      </c>
      <c r="B330" t="str">
        <f t="shared" si="9"/>
        <v/>
      </c>
      <c r="D330" s="27"/>
      <c r="E330" s="26"/>
      <c r="F330" s="26"/>
      <c r="G330" s="30"/>
      <c r="H330" s="30"/>
      <c r="I330" s="30"/>
      <c r="J330" s="31"/>
      <c r="K330" s="31"/>
      <c r="L330" s="31"/>
      <c r="M330" s="31"/>
      <c r="N330" s="26"/>
      <c r="O330" s="26"/>
      <c r="P330" s="26"/>
      <c r="Q330" s="28"/>
    </row>
    <row r="331" spans="1:17">
      <c r="A331" t="str">
        <f t="shared" si="8"/>
        <v/>
      </c>
      <c r="B331" t="str">
        <f t="shared" si="9"/>
        <v/>
      </c>
      <c r="D331" s="27"/>
      <c r="E331" s="26"/>
      <c r="F331" s="26"/>
      <c r="G331" s="30"/>
      <c r="H331" s="30"/>
      <c r="I331" s="30"/>
      <c r="J331" s="31"/>
      <c r="K331" s="31"/>
      <c r="L331" s="31"/>
      <c r="M331" s="31"/>
      <c r="N331" s="26"/>
      <c r="O331" s="26"/>
      <c r="P331" s="26"/>
      <c r="Q331" s="28"/>
    </row>
    <row r="332" spans="1:17">
      <c r="A332" t="str">
        <f t="shared" si="8"/>
        <v/>
      </c>
      <c r="B332" t="str">
        <f t="shared" si="9"/>
        <v/>
      </c>
      <c r="D332" s="27"/>
      <c r="E332" s="26"/>
      <c r="F332" s="26"/>
      <c r="G332" s="30"/>
      <c r="H332" s="30"/>
      <c r="I332" s="30"/>
      <c r="J332" s="31"/>
      <c r="K332" s="31"/>
      <c r="L332" s="31"/>
      <c r="M332" s="31"/>
      <c r="N332" s="26"/>
      <c r="O332" s="26"/>
      <c r="P332" s="26"/>
      <c r="Q332" s="28"/>
    </row>
    <row r="333" spans="1:17">
      <c r="A333" t="str">
        <f t="shared" si="8"/>
        <v/>
      </c>
      <c r="B333" t="str">
        <f t="shared" si="9"/>
        <v/>
      </c>
      <c r="D333" s="27"/>
      <c r="E333" s="26"/>
      <c r="F333" s="26"/>
      <c r="G333" s="30"/>
      <c r="H333" s="30"/>
      <c r="I333" s="30"/>
      <c r="J333" s="31"/>
      <c r="K333" s="31"/>
      <c r="L333" s="31"/>
      <c r="M333" s="31"/>
      <c r="N333" s="26"/>
      <c r="O333" s="26"/>
      <c r="P333" s="26"/>
      <c r="Q333" s="28"/>
    </row>
    <row r="334" spans="1:17">
      <c r="A334" t="str">
        <f t="shared" ref="A334:A397" si="10">IF($J334=0,"",H334)</f>
        <v/>
      </c>
      <c r="B334" t="str">
        <f t="shared" ref="B334:B397" si="11">IF($J334=0,"",I334)</f>
        <v/>
      </c>
      <c r="D334" s="27"/>
      <c r="E334" s="26"/>
      <c r="F334" s="26"/>
      <c r="G334" s="30"/>
      <c r="H334" s="30"/>
      <c r="I334" s="30"/>
      <c r="J334" s="31"/>
      <c r="K334" s="31"/>
      <c r="L334" s="31"/>
      <c r="M334" s="31"/>
      <c r="N334" s="26"/>
      <c r="O334" s="26"/>
      <c r="P334" s="26"/>
      <c r="Q334" s="28"/>
    </row>
    <row r="335" spans="1:17">
      <c r="A335" t="str">
        <f t="shared" si="10"/>
        <v/>
      </c>
      <c r="B335" t="str">
        <f t="shared" si="11"/>
        <v/>
      </c>
      <c r="D335" s="27"/>
      <c r="E335" s="26"/>
      <c r="F335" s="26"/>
      <c r="G335" s="30"/>
      <c r="H335" s="30"/>
      <c r="I335" s="30"/>
      <c r="J335" s="31"/>
      <c r="K335" s="31"/>
      <c r="L335" s="31"/>
      <c r="M335" s="31"/>
      <c r="N335" s="26"/>
      <c r="O335" s="26"/>
      <c r="P335" s="26"/>
      <c r="Q335" s="28"/>
    </row>
    <row r="336" spans="1:17">
      <c r="A336" t="str">
        <f t="shared" si="10"/>
        <v/>
      </c>
      <c r="B336" t="str">
        <f t="shared" si="11"/>
        <v/>
      </c>
      <c r="D336" s="27"/>
      <c r="E336" s="26"/>
      <c r="F336" s="26"/>
      <c r="G336" s="30"/>
      <c r="H336" s="30"/>
      <c r="I336" s="30"/>
      <c r="J336" s="31"/>
      <c r="K336" s="31"/>
      <c r="L336" s="31"/>
      <c r="M336" s="31"/>
      <c r="N336" s="26"/>
      <c r="O336" s="26"/>
      <c r="P336" s="26"/>
      <c r="Q336" s="28"/>
    </row>
    <row r="337" spans="1:17">
      <c r="A337" t="str">
        <f t="shared" si="10"/>
        <v/>
      </c>
      <c r="B337" t="str">
        <f t="shared" si="11"/>
        <v/>
      </c>
      <c r="D337" s="27"/>
      <c r="E337" s="26"/>
      <c r="F337" s="26"/>
      <c r="G337" s="30"/>
      <c r="H337" s="30"/>
      <c r="I337" s="30"/>
      <c r="J337" s="31"/>
      <c r="K337" s="31"/>
      <c r="L337" s="31"/>
      <c r="M337" s="31"/>
      <c r="N337" s="26"/>
      <c r="O337" s="26"/>
      <c r="P337" s="26"/>
      <c r="Q337" s="28"/>
    </row>
    <row r="338" spans="1:17">
      <c r="A338" t="str">
        <f t="shared" si="10"/>
        <v/>
      </c>
      <c r="B338" t="str">
        <f t="shared" si="11"/>
        <v/>
      </c>
      <c r="D338" s="27"/>
      <c r="E338" s="26"/>
      <c r="F338" s="26"/>
      <c r="G338" s="30"/>
      <c r="H338" s="30"/>
      <c r="I338" s="30"/>
      <c r="J338" s="31"/>
      <c r="K338" s="31"/>
      <c r="L338" s="31"/>
      <c r="M338" s="31"/>
      <c r="N338" s="26"/>
      <c r="O338" s="26"/>
      <c r="P338" s="26"/>
      <c r="Q338" s="28"/>
    </row>
    <row r="339" spans="1:17">
      <c r="A339" t="str">
        <f t="shared" si="10"/>
        <v/>
      </c>
      <c r="B339" t="str">
        <f t="shared" si="11"/>
        <v/>
      </c>
      <c r="D339" s="27"/>
      <c r="E339" s="26"/>
      <c r="F339" s="26"/>
      <c r="G339" s="30"/>
      <c r="H339" s="30"/>
      <c r="I339" s="30"/>
      <c r="J339" s="31"/>
      <c r="K339" s="31"/>
      <c r="L339" s="31"/>
      <c r="M339" s="31"/>
      <c r="N339" s="26"/>
      <c r="O339" s="26"/>
      <c r="P339" s="26"/>
      <c r="Q339" s="28"/>
    </row>
    <row r="340" spans="1:17">
      <c r="A340" t="str">
        <f t="shared" si="10"/>
        <v/>
      </c>
      <c r="B340" t="str">
        <f t="shared" si="11"/>
        <v/>
      </c>
      <c r="D340" s="27"/>
      <c r="E340" s="26"/>
      <c r="F340" s="26"/>
      <c r="G340" s="30"/>
      <c r="H340" s="30"/>
      <c r="I340" s="30"/>
      <c r="J340" s="31"/>
      <c r="K340" s="31"/>
      <c r="L340" s="31"/>
      <c r="M340" s="31"/>
      <c r="N340" s="26"/>
      <c r="O340" s="26"/>
      <c r="P340" s="26"/>
      <c r="Q340" s="28"/>
    </row>
    <row r="341" spans="1:17">
      <c r="A341" t="str">
        <f t="shared" si="10"/>
        <v/>
      </c>
      <c r="B341" t="str">
        <f t="shared" si="11"/>
        <v/>
      </c>
      <c r="D341" s="27"/>
      <c r="E341" s="26"/>
      <c r="F341" s="26"/>
      <c r="G341" s="30"/>
      <c r="H341" s="30"/>
      <c r="I341" s="30"/>
      <c r="J341" s="31"/>
      <c r="K341" s="31"/>
      <c r="L341" s="31"/>
      <c r="M341" s="31"/>
      <c r="N341" s="26"/>
      <c r="O341" s="26"/>
      <c r="P341" s="26"/>
      <c r="Q341" s="28"/>
    </row>
    <row r="342" spans="1:17">
      <c r="A342" t="str">
        <f t="shared" si="10"/>
        <v/>
      </c>
      <c r="B342" t="str">
        <f t="shared" si="11"/>
        <v/>
      </c>
      <c r="D342" s="27"/>
      <c r="E342" s="26"/>
      <c r="F342" s="26"/>
      <c r="G342" s="30"/>
      <c r="H342" s="30"/>
      <c r="I342" s="30"/>
      <c r="J342" s="31"/>
      <c r="K342" s="31"/>
      <c r="L342" s="31"/>
      <c r="M342" s="31"/>
      <c r="N342" s="26"/>
      <c r="O342" s="26"/>
      <c r="P342" s="26"/>
      <c r="Q342" s="28"/>
    </row>
    <row r="343" spans="1:17">
      <c r="A343" t="str">
        <f t="shared" si="10"/>
        <v/>
      </c>
      <c r="B343" t="str">
        <f t="shared" si="11"/>
        <v/>
      </c>
      <c r="D343" s="27"/>
      <c r="E343" s="26"/>
      <c r="F343" s="26"/>
      <c r="G343" s="30"/>
      <c r="H343" s="30"/>
      <c r="I343" s="30"/>
      <c r="J343" s="31"/>
      <c r="K343" s="31"/>
      <c r="L343" s="31"/>
      <c r="M343" s="31"/>
      <c r="N343" s="26"/>
      <c r="O343" s="26"/>
      <c r="P343" s="26"/>
      <c r="Q343" s="28"/>
    </row>
    <row r="344" spans="1:17">
      <c r="A344" t="str">
        <f t="shared" si="10"/>
        <v/>
      </c>
      <c r="B344" t="str">
        <f t="shared" si="11"/>
        <v/>
      </c>
      <c r="D344" s="27"/>
      <c r="E344" s="26"/>
      <c r="F344" s="26"/>
      <c r="G344" s="30"/>
      <c r="H344" s="30"/>
      <c r="I344" s="30"/>
      <c r="J344" s="31"/>
      <c r="K344" s="31"/>
      <c r="L344" s="31"/>
      <c r="M344" s="31"/>
      <c r="N344" s="26"/>
      <c r="O344" s="26"/>
      <c r="P344" s="26"/>
      <c r="Q344" s="28"/>
    </row>
    <row r="345" spans="1:17">
      <c r="A345" t="str">
        <f t="shared" si="10"/>
        <v/>
      </c>
      <c r="B345" t="str">
        <f t="shared" si="11"/>
        <v/>
      </c>
      <c r="D345" s="27"/>
      <c r="E345" s="26"/>
      <c r="F345" s="26"/>
      <c r="G345" s="30"/>
      <c r="H345" s="30"/>
      <c r="I345" s="30"/>
      <c r="J345" s="31"/>
      <c r="K345" s="31"/>
      <c r="L345" s="31"/>
      <c r="M345" s="31"/>
      <c r="N345" s="26"/>
      <c r="O345" s="26"/>
      <c r="P345" s="26"/>
      <c r="Q345" s="28"/>
    </row>
    <row r="346" spans="1:17">
      <c r="A346" t="str">
        <f t="shared" si="10"/>
        <v/>
      </c>
      <c r="B346" t="str">
        <f t="shared" si="11"/>
        <v/>
      </c>
      <c r="D346" s="27"/>
      <c r="E346" s="26"/>
      <c r="F346" s="26"/>
      <c r="G346" s="30"/>
      <c r="H346" s="30"/>
      <c r="I346" s="30"/>
      <c r="J346" s="31"/>
      <c r="K346" s="31"/>
      <c r="L346" s="31"/>
      <c r="M346" s="31"/>
      <c r="N346" s="26"/>
      <c r="O346" s="26"/>
      <c r="P346" s="26"/>
      <c r="Q346" s="28"/>
    </row>
    <row r="347" spans="1:17">
      <c r="A347" t="str">
        <f t="shared" si="10"/>
        <v/>
      </c>
      <c r="B347" t="str">
        <f t="shared" si="11"/>
        <v/>
      </c>
      <c r="D347" s="27"/>
      <c r="E347" s="26"/>
      <c r="F347" s="26"/>
      <c r="G347" s="30"/>
      <c r="H347" s="30"/>
      <c r="I347" s="30"/>
      <c r="J347" s="31"/>
      <c r="K347" s="31"/>
      <c r="L347" s="31"/>
      <c r="M347" s="31"/>
      <c r="N347" s="26"/>
      <c r="O347" s="26"/>
      <c r="P347" s="26"/>
      <c r="Q347" s="28"/>
    </row>
    <row r="348" spans="1:17">
      <c r="A348" t="str">
        <f t="shared" si="10"/>
        <v/>
      </c>
      <c r="B348" t="str">
        <f t="shared" si="11"/>
        <v/>
      </c>
      <c r="D348" s="27"/>
      <c r="E348" s="26"/>
      <c r="F348" s="26"/>
      <c r="G348" s="30"/>
      <c r="H348" s="30"/>
      <c r="I348" s="30"/>
      <c r="J348" s="31"/>
      <c r="K348" s="31"/>
      <c r="L348" s="31"/>
      <c r="M348" s="31"/>
      <c r="N348" s="26"/>
      <c r="O348" s="26"/>
      <c r="P348" s="26"/>
      <c r="Q348" s="28"/>
    </row>
    <row r="349" spans="1:17">
      <c r="A349" t="str">
        <f t="shared" si="10"/>
        <v/>
      </c>
      <c r="B349" t="str">
        <f t="shared" si="11"/>
        <v/>
      </c>
      <c r="D349" s="27"/>
      <c r="E349" s="26"/>
      <c r="F349" s="26"/>
      <c r="G349" s="30"/>
      <c r="H349" s="30"/>
      <c r="I349" s="30"/>
      <c r="J349" s="31"/>
      <c r="K349" s="31"/>
      <c r="L349" s="31"/>
      <c r="M349" s="31"/>
      <c r="N349" s="26"/>
      <c r="O349" s="26"/>
      <c r="P349" s="26"/>
      <c r="Q349" s="28"/>
    </row>
    <row r="350" spans="1:17">
      <c r="A350" t="str">
        <f t="shared" si="10"/>
        <v/>
      </c>
      <c r="B350" t="str">
        <f t="shared" si="11"/>
        <v/>
      </c>
      <c r="D350" s="27"/>
      <c r="E350" s="26"/>
      <c r="F350" s="26"/>
      <c r="G350" s="30"/>
      <c r="H350" s="30"/>
      <c r="I350" s="30"/>
      <c r="J350" s="31"/>
      <c r="K350" s="31"/>
      <c r="L350" s="31"/>
      <c r="M350" s="31"/>
      <c r="N350" s="26"/>
      <c r="O350" s="26"/>
      <c r="P350" s="26"/>
      <c r="Q350" s="28"/>
    </row>
    <row r="351" spans="1:17">
      <c r="A351" t="str">
        <f t="shared" si="10"/>
        <v/>
      </c>
      <c r="B351" t="str">
        <f t="shared" si="11"/>
        <v/>
      </c>
      <c r="D351" s="27"/>
      <c r="E351" s="26"/>
      <c r="F351" s="26"/>
      <c r="G351" s="30"/>
      <c r="H351" s="30"/>
      <c r="I351" s="30"/>
      <c r="J351" s="31"/>
      <c r="K351" s="31"/>
      <c r="L351" s="31"/>
      <c r="M351" s="31"/>
      <c r="N351" s="26"/>
      <c r="O351" s="26"/>
      <c r="P351" s="26"/>
      <c r="Q351" s="28"/>
    </row>
    <row r="352" spans="1:17">
      <c r="A352" t="str">
        <f t="shared" si="10"/>
        <v/>
      </c>
      <c r="B352" t="str">
        <f t="shared" si="11"/>
        <v/>
      </c>
      <c r="D352" s="27"/>
      <c r="E352" s="26"/>
      <c r="F352" s="26"/>
      <c r="G352" s="30"/>
      <c r="H352" s="30"/>
      <c r="I352" s="30"/>
      <c r="J352" s="31"/>
      <c r="K352" s="31"/>
      <c r="L352" s="31"/>
      <c r="M352" s="31"/>
      <c r="N352" s="26"/>
      <c r="O352" s="26"/>
      <c r="P352" s="26"/>
      <c r="Q352" s="28"/>
    </row>
    <row r="353" spans="1:17">
      <c r="A353" t="str">
        <f t="shared" si="10"/>
        <v/>
      </c>
      <c r="B353" t="str">
        <f t="shared" si="11"/>
        <v/>
      </c>
      <c r="D353" s="27"/>
      <c r="E353" s="26"/>
      <c r="F353" s="26"/>
      <c r="G353" s="30"/>
      <c r="H353" s="30"/>
      <c r="I353" s="30"/>
      <c r="J353" s="31"/>
      <c r="K353" s="31"/>
      <c r="L353" s="31"/>
      <c r="M353" s="31"/>
      <c r="N353" s="26"/>
      <c r="O353" s="26"/>
      <c r="P353" s="26"/>
      <c r="Q353" s="28"/>
    </row>
    <row r="354" spans="1:17">
      <c r="A354" t="str">
        <f t="shared" si="10"/>
        <v/>
      </c>
      <c r="B354" t="str">
        <f t="shared" si="11"/>
        <v/>
      </c>
      <c r="D354" s="27"/>
      <c r="E354" s="26"/>
      <c r="F354" s="26"/>
      <c r="G354" s="30"/>
      <c r="H354" s="30"/>
      <c r="I354" s="30"/>
      <c r="J354" s="31"/>
      <c r="K354" s="31"/>
      <c r="L354" s="31"/>
      <c r="M354" s="31"/>
      <c r="N354" s="26"/>
      <c r="O354" s="26"/>
      <c r="P354" s="26"/>
      <c r="Q354" s="28"/>
    </row>
    <row r="355" spans="1:17">
      <c r="A355" t="str">
        <f t="shared" si="10"/>
        <v/>
      </c>
      <c r="B355" t="str">
        <f t="shared" si="11"/>
        <v/>
      </c>
      <c r="D355" s="27"/>
      <c r="E355" s="26"/>
      <c r="F355" s="26"/>
      <c r="G355" s="30"/>
      <c r="H355" s="30"/>
      <c r="I355" s="30"/>
      <c r="J355" s="31"/>
      <c r="K355" s="31"/>
      <c r="L355" s="31"/>
      <c r="M355" s="31"/>
      <c r="N355" s="26"/>
      <c r="O355" s="26"/>
      <c r="P355" s="26"/>
      <c r="Q355" s="28"/>
    </row>
    <row r="356" spans="1:17">
      <c r="A356" t="str">
        <f t="shared" si="10"/>
        <v/>
      </c>
      <c r="B356" t="str">
        <f t="shared" si="11"/>
        <v/>
      </c>
      <c r="D356" s="27"/>
      <c r="E356" s="26"/>
      <c r="F356" s="26"/>
      <c r="G356" s="30"/>
      <c r="H356" s="30"/>
      <c r="I356" s="30"/>
      <c r="J356" s="31"/>
      <c r="K356" s="31"/>
      <c r="L356" s="31"/>
      <c r="M356" s="31"/>
      <c r="N356" s="26"/>
      <c r="O356" s="26"/>
      <c r="P356" s="26"/>
      <c r="Q356" s="28"/>
    </row>
    <row r="357" spans="1:17">
      <c r="A357" t="str">
        <f t="shared" si="10"/>
        <v/>
      </c>
      <c r="B357" t="str">
        <f t="shared" si="11"/>
        <v/>
      </c>
      <c r="D357" s="27"/>
      <c r="E357" s="26"/>
      <c r="F357" s="26"/>
      <c r="G357" s="30"/>
      <c r="H357" s="30"/>
      <c r="I357" s="30"/>
      <c r="J357" s="31"/>
      <c r="K357" s="31"/>
      <c r="L357" s="31"/>
      <c r="M357" s="31"/>
      <c r="N357" s="26"/>
      <c r="O357" s="26"/>
      <c r="P357" s="26"/>
      <c r="Q357" s="28"/>
    </row>
    <row r="358" spans="1:17">
      <c r="A358" t="str">
        <f t="shared" si="10"/>
        <v/>
      </c>
      <c r="B358" t="str">
        <f t="shared" si="11"/>
        <v/>
      </c>
      <c r="D358" s="27"/>
      <c r="E358" s="26"/>
      <c r="F358" s="26"/>
      <c r="G358" s="30"/>
      <c r="H358" s="30"/>
      <c r="I358" s="30"/>
      <c r="J358" s="31"/>
      <c r="K358" s="31"/>
      <c r="L358" s="31"/>
      <c r="M358" s="31"/>
      <c r="N358" s="26"/>
      <c r="O358" s="26"/>
      <c r="P358" s="26"/>
      <c r="Q358" s="28"/>
    </row>
    <row r="359" spans="1:17">
      <c r="A359" t="str">
        <f t="shared" si="10"/>
        <v/>
      </c>
      <c r="B359" t="str">
        <f t="shared" si="11"/>
        <v/>
      </c>
      <c r="D359" s="27"/>
      <c r="E359" s="26"/>
      <c r="F359" s="26"/>
      <c r="G359" s="30"/>
      <c r="H359" s="30"/>
      <c r="I359" s="30"/>
      <c r="J359" s="31"/>
      <c r="K359" s="31"/>
      <c r="L359" s="31"/>
      <c r="M359" s="31"/>
      <c r="N359" s="26"/>
      <c r="O359" s="26"/>
      <c r="P359" s="26"/>
      <c r="Q359" s="28"/>
    </row>
    <row r="360" spans="1:17">
      <c r="A360" t="str">
        <f t="shared" si="10"/>
        <v/>
      </c>
      <c r="B360" t="str">
        <f t="shared" si="11"/>
        <v/>
      </c>
      <c r="D360" s="27"/>
      <c r="E360" s="26"/>
      <c r="F360" s="26"/>
      <c r="G360" s="30"/>
      <c r="H360" s="30"/>
      <c r="I360" s="30"/>
      <c r="J360" s="31"/>
      <c r="K360" s="31"/>
      <c r="L360" s="31"/>
      <c r="M360" s="31"/>
      <c r="N360" s="26"/>
      <c r="O360" s="26"/>
      <c r="P360" s="26"/>
      <c r="Q360" s="28"/>
    </row>
    <row r="361" spans="1:17">
      <c r="A361" t="str">
        <f t="shared" si="10"/>
        <v/>
      </c>
      <c r="B361" t="str">
        <f t="shared" si="11"/>
        <v/>
      </c>
      <c r="D361" s="27"/>
      <c r="E361" s="26"/>
      <c r="F361" s="26"/>
      <c r="G361" s="30"/>
      <c r="H361" s="30"/>
      <c r="I361" s="30"/>
      <c r="J361" s="31"/>
      <c r="K361" s="31"/>
      <c r="L361" s="31"/>
      <c r="M361" s="31"/>
      <c r="N361" s="26"/>
      <c r="O361" s="26"/>
      <c r="P361" s="26"/>
      <c r="Q361" s="28"/>
    </row>
    <row r="362" spans="1:17">
      <c r="A362" t="str">
        <f t="shared" si="10"/>
        <v/>
      </c>
      <c r="B362" t="str">
        <f t="shared" si="11"/>
        <v/>
      </c>
      <c r="D362" s="27"/>
      <c r="E362" s="26"/>
      <c r="F362" s="26"/>
      <c r="G362" s="30"/>
      <c r="H362" s="30"/>
      <c r="I362" s="30"/>
      <c r="J362" s="31"/>
      <c r="K362" s="31"/>
      <c r="L362" s="31"/>
      <c r="M362" s="31"/>
      <c r="N362" s="26"/>
      <c r="O362" s="26"/>
      <c r="P362" s="26"/>
      <c r="Q362" s="28"/>
    </row>
    <row r="363" spans="1:17">
      <c r="A363" t="str">
        <f t="shared" si="10"/>
        <v/>
      </c>
      <c r="B363" t="str">
        <f t="shared" si="11"/>
        <v/>
      </c>
      <c r="D363" s="27"/>
      <c r="E363" s="26"/>
      <c r="F363" s="26"/>
      <c r="G363" s="30"/>
      <c r="H363" s="30"/>
      <c r="I363" s="30"/>
      <c r="J363" s="31"/>
      <c r="K363" s="31"/>
      <c r="L363" s="31"/>
      <c r="M363" s="31"/>
      <c r="N363" s="26"/>
      <c r="O363" s="26"/>
      <c r="P363" s="26"/>
      <c r="Q363" s="28"/>
    </row>
    <row r="364" spans="1:17">
      <c r="A364" t="str">
        <f t="shared" si="10"/>
        <v/>
      </c>
      <c r="B364" t="str">
        <f t="shared" si="11"/>
        <v/>
      </c>
      <c r="D364" s="27"/>
      <c r="E364" s="26"/>
      <c r="F364" s="26"/>
      <c r="G364" s="30"/>
      <c r="H364" s="30"/>
      <c r="I364" s="30"/>
      <c r="J364" s="31"/>
      <c r="K364" s="31"/>
      <c r="L364" s="31"/>
      <c r="M364" s="31"/>
      <c r="N364" s="26"/>
      <c r="O364" s="26"/>
      <c r="P364" s="26"/>
      <c r="Q364" s="28"/>
    </row>
    <row r="365" spans="1:17">
      <c r="A365" t="str">
        <f t="shared" si="10"/>
        <v/>
      </c>
      <c r="B365" t="str">
        <f t="shared" si="11"/>
        <v/>
      </c>
      <c r="D365" s="27"/>
      <c r="E365" s="26"/>
      <c r="F365" s="26"/>
      <c r="G365" s="30"/>
      <c r="H365" s="30"/>
      <c r="I365" s="30"/>
      <c r="J365" s="31"/>
      <c r="K365" s="31"/>
      <c r="L365" s="31"/>
      <c r="M365" s="31"/>
      <c r="N365" s="26"/>
      <c r="O365" s="26"/>
      <c r="P365" s="26"/>
      <c r="Q365" s="28"/>
    </row>
    <row r="366" spans="1:17">
      <c r="A366" t="str">
        <f t="shared" si="10"/>
        <v/>
      </c>
      <c r="B366" t="str">
        <f t="shared" si="11"/>
        <v/>
      </c>
      <c r="D366" s="27"/>
      <c r="E366" s="26"/>
      <c r="F366" s="26"/>
      <c r="G366" s="30"/>
      <c r="H366" s="30"/>
      <c r="I366" s="30"/>
      <c r="J366" s="31"/>
      <c r="K366" s="31"/>
      <c r="L366" s="31"/>
      <c r="M366" s="31"/>
      <c r="N366" s="26"/>
      <c r="O366" s="26"/>
      <c r="P366" s="26"/>
      <c r="Q366" s="28"/>
    </row>
    <row r="367" spans="1:17">
      <c r="A367" t="str">
        <f t="shared" si="10"/>
        <v/>
      </c>
      <c r="B367" t="str">
        <f t="shared" si="11"/>
        <v/>
      </c>
      <c r="D367" s="27"/>
      <c r="E367" s="26"/>
      <c r="F367" s="26"/>
      <c r="G367" s="30"/>
      <c r="H367" s="30"/>
      <c r="I367" s="30"/>
      <c r="J367" s="31"/>
      <c r="K367" s="31"/>
      <c r="L367" s="31"/>
      <c r="M367" s="31"/>
      <c r="N367" s="26"/>
      <c r="O367" s="26"/>
      <c r="P367" s="26"/>
      <c r="Q367" s="28"/>
    </row>
    <row r="368" spans="1:17">
      <c r="A368" t="str">
        <f t="shared" si="10"/>
        <v/>
      </c>
      <c r="B368" t="str">
        <f t="shared" si="11"/>
        <v/>
      </c>
      <c r="D368" s="27"/>
      <c r="E368" s="26"/>
      <c r="F368" s="26"/>
      <c r="G368" s="30"/>
      <c r="H368" s="30"/>
      <c r="I368" s="30"/>
      <c r="J368" s="31"/>
      <c r="K368" s="31"/>
      <c r="L368" s="31"/>
      <c r="M368" s="31"/>
      <c r="N368" s="26"/>
      <c r="O368" s="26"/>
      <c r="P368" s="26"/>
      <c r="Q368" s="28"/>
    </row>
    <row r="369" spans="1:17">
      <c r="A369" t="str">
        <f t="shared" si="10"/>
        <v/>
      </c>
      <c r="B369" t="str">
        <f t="shared" si="11"/>
        <v/>
      </c>
      <c r="D369" s="27"/>
      <c r="E369" s="26"/>
      <c r="F369" s="26"/>
      <c r="G369" s="30"/>
      <c r="H369" s="30"/>
      <c r="I369" s="30"/>
      <c r="J369" s="31"/>
      <c r="K369" s="31"/>
      <c r="L369" s="31"/>
      <c r="M369" s="31"/>
      <c r="N369" s="26"/>
      <c r="O369" s="26"/>
      <c r="P369" s="26"/>
      <c r="Q369" s="28"/>
    </row>
    <row r="370" spans="1:17">
      <c r="A370" t="str">
        <f t="shared" si="10"/>
        <v/>
      </c>
      <c r="B370" t="str">
        <f t="shared" si="11"/>
        <v/>
      </c>
      <c r="D370" s="27"/>
      <c r="E370" s="26"/>
      <c r="F370" s="26"/>
      <c r="G370" s="30"/>
      <c r="H370" s="30"/>
      <c r="I370" s="30"/>
      <c r="J370" s="31"/>
      <c r="K370" s="31"/>
      <c r="L370" s="31"/>
      <c r="M370" s="31"/>
      <c r="N370" s="26"/>
      <c r="O370" s="26"/>
      <c r="P370" s="26"/>
      <c r="Q370" s="28"/>
    </row>
    <row r="371" spans="1:17">
      <c r="A371" t="str">
        <f t="shared" si="10"/>
        <v/>
      </c>
      <c r="B371" t="str">
        <f t="shared" si="11"/>
        <v/>
      </c>
      <c r="D371" s="27"/>
      <c r="E371" s="26"/>
      <c r="F371" s="26"/>
      <c r="G371" s="30"/>
      <c r="H371" s="30"/>
      <c r="I371" s="30"/>
      <c r="J371" s="31"/>
      <c r="K371" s="31"/>
      <c r="L371" s="31"/>
      <c r="M371" s="31"/>
      <c r="N371" s="26"/>
      <c r="O371" s="26"/>
      <c r="P371" s="26"/>
      <c r="Q371" s="28"/>
    </row>
    <row r="372" spans="1:17">
      <c r="A372" t="str">
        <f t="shared" si="10"/>
        <v/>
      </c>
      <c r="B372" t="str">
        <f t="shared" si="11"/>
        <v/>
      </c>
      <c r="D372" s="27"/>
      <c r="E372" s="26"/>
      <c r="F372" s="26"/>
      <c r="G372" s="30"/>
      <c r="H372" s="30"/>
      <c r="I372" s="30"/>
      <c r="J372" s="31"/>
      <c r="K372" s="31"/>
      <c r="L372" s="31"/>
      <c r="M372" s="31"/>
      <c r="N372" s="26"/>
      <c r="O372" s="26"/>
      <c r="P372" s="26"/>
      <c r="Q372" s="28"/>
    </row>
    <row r="373" spans="1:17">
      <c r="A373" t="str">
        <f t="shared" si="10"/>
        <v/>
      </c>
      <c r="B373" t="str">
        <f t="shared" si="11"/>
        <v/>
      </c>
      <c r="D373" s="27"/>
      <c r="E373" s="26"/>
      <c r="F373" s="26"/>
      <c r="G373" s="30"/>
      <c r="H373" s="30"/>
      <c r="I373" s="30"/>
      <c r="J373" s="31"/>
      <c r="K373" s="31"/>
      <c r="L373" s="31"/>
      <c r="M373" s="31"/>
      <c r="N373" s="26"/>
      <c r="O373" s="26"/>
      <c r="P373" s="26"/>
      <c r="Q373" s="28"/>
    </row>
    <row r="374" spans="1:17">
      <c r="A374" t="str">
        <f t="shared" si="10"/>
        <v/>
      </c>
      <c r="B374" t="str">
        <f t="shared" si="11"/>
        <v/>
      </c>
      <c r="D374" s="27"/>
      <c r="E374" s="26"/>
      <c r="F374" s="26"/>
      <c r="G374" s="30"/>
      <c r="H374" s="30"/>
      <c r="I374" s="30"/>
      <c r="J374" s="31"/>
      <c r="K374" s="31"/>
      <c r="L374" s="31"/>
      <c r="M374" s="31"/>
      <c r="N374" s="26"/>
      <c r="O374" s="26"/>
      <c r="P374" s="26"/>
      <c r="Q374" s="28"/>
    </row>
    <row r="375" spans="1:17">
      <c r="A375" t="str">
        <f t="shared" si="10"/>
        <v/>
      </c>
      <c r="B375" t="str">
        <f t="shared" si="11"/>
        <v/>
      </c>
      <c r="D375" s="27"/>
      <c r="E375" s="26"/>
      <c r="F375" s="26"/>
      <c r="G375" s="30"/>
      <c r="H375" s="30"/>
      <c r="I375" s="30"/>
      <c r="J375" s="31"/>
      <c r="K375" s="31"/>
      <c r="L375" s="31"/>
      <c r="M375" s="31"/>
      <c r="N375" s="26"/>
      <c r="O375" s="26"/>
      <c r="P375" s="26"/>
      <c r="Q375" s="28"/>
    </row>
    <row r="376" spans="1:17">
      <c r="A376" t="str">
        <f t="shared" si="10"/>
        <v/>
      </c>
      <c r="B376" t="str">
        <f t="shared" si="11"/>
        <v/>
      </c>
      <c r="D376" s="27"/>
      <c r="E376" s="26"/>
      <c r="F376" s="26"/>
      <c r="G376" s="30"/>
      <c r="H376" s="30"/>
      <c r="I376" s="30"/>
      <c r="J376" s="31"/>
      <c r="K376" s="31"/>
      <c r="L376" s="31"/>
      <c r="M376" s="31"/>
      <c r="N376" s="26"/>
      <c r="O376" s="26"/>
      <c r="P376" s="26"/>
      <c r="Q376" s="28"/>
    </row>
    <row r="377" spans="1:17">
      <c r="A377" t="str">
        <f t="shared" si="10"/>
        <v/>
      </c>
      <c r="B377" t="str">
        <f t="shared" si="11"/>
        <v/>
      </c>
      <c r="D377" s="27"/>
      <c r="E377" s="26"/>
      <c r="F377" s="26"/>
      <c r="G377" s="30"/>
      <c r="H377" s="30"/>
      <c r="I377" s="30"/>
      <c r="J377" s="31"/>
      <c r="K377" s="31"/>
      <c r="L377" s="31"/>
      <c r="M377" s="31"/>
      <c r="N377" s="26"/>
      <c r="O377" s="26"/>
      <c r="P377" s="26"/>
      <c r="Q377" s="28"/>
    </row>
    <row r="378" spans="1:17">
      <c r="A378" t="str">
        <f t="shared" si="10"/>
        <v/>
      </c>
      <c r="B378" t="str">
        <f t="shared" si="11"/>
        <v/>
      </c>
      <c r="D378" s="27"/>
      <c r="E378" s="26"/>
      <c r="F378" s="26"/>
      <c r="G378" s="30"/>
      <c r="H378" s="30"/>
      <c r="I378" s="30"/>
      <c r="J378" s="31"/>
      <c r="K378" s="31"/>
      <c r="L378" s="31"/>
      <c r="M378" s="31"/>
      <c r="N378" s="26"/>
      <c r="O378" s="26"/>
      <c r="P378" s="26"/>
      <c r="Q378" s="28"/>
    </row>
    <row r="379" spans="1:17">
      <c r="A379" t="str">
        <f t="shared" si="10"/>
        <v/>
      </c>
      <c r="B379" t="str">
        <f t="shared" si="11"/>
        <v/>
      </c>
      <c r="D379" s="27"/>
      <c r="E379" s="26"/>
      <c r="F379" s="26"/>
      <c r="G379" s="30"/>
      <c r="H379" s="30"/>
      <c r="I379" s="30"/>
      <c r="J379" s="31"/>
      <c r="K379" s="31"/>
      <c r="L379" s="31"/>
      <c r="M379" s="31"/>
      <c r="N379" s="26"/>
      <c r="O379" s="26"/>
      <c r="P379" s="26"/>
      <c r="Q379" s="28"/>
    </row>
    <row r="380" spans="1:17">
      <c r="A380" t="str">
        <f t="shared" si="10"/>
        <v/>
      </c>
      <c r="B380" t="str">
        <f t="shared" si="11"/>
        <v/>
      </c>
      <c r="D380" s="27"/>
      <c r="E380" s="26"/>
      <c r="F380" s="26"/>
      <c r="G380" s="30"/>
      <c r="H380" s="30"/>
      <c r="I380" s="30"/>
      <c r="J380" s="31"/>
      <c r="K380" s="31"/>
      <c r="L380" s="31"/>
      <c r="M380" s="31"/>
      <c r="N380" s="26"/>
      <c r="O380" s="26"/>
      <c r="P380" s="26"/>
      <c r="Q380" s="28"/>
    </row>
    <row r="381" spans="1:17">
      <c r="A381" t="str">
        <f t="shared" si="10"/>
        <v/>
      </c>
      <c r="B381" t="str">
        <f t="shared" si="11"/>
        <v/>
      </c>
      <c r="D381" s="27"/>
      <c r="E381" s="26"/>
      <c r="F381" s="26"/>
      <c r="G381" s="30"/>
      <c r="H381" s="30"/>
      <c r="I381" s="30"/>
      <c r="J381" s="31"/>
      <c r="K381" s="31"/>
      <c r="L381" s="31"/>
      <c r="M381" s="31"/>
      <c r="N381" s="26"/>
      <c r="O381" s="26"/>
      <c r="P381" s="26"/>
      <c r="Q381" s="28"/>
    </row>
    <row r="382" spans="1:17">
      <c r="A382" t="str">
        <f t="shared" si="10"/>
        <v/>
      </c>
      <c r="B382" t="str">
        <f t="shared" si="11"/>
        <v/>
      </c>
      <c r="D382" s="27"/>
      <c r="E382" s="26"/>
      <c r="F382" s="26"/>
      <c r="G382" s="30"/>
      <c r="H382" s="30"/>
      <c r="I382" s="30"/>
      <c r="J382" s="31"/>
      <c r="K382" s="31"/>
      <c r="L382" s="31"/>
      <c r="M382" s="31"/>
      <c r="N382" s="26"/>
      <c r="O382" s="26"/>
      <c r="P382" s="26"/>
      <c r="Q382" s="28"/>
    </row>
    <row r="383" spans="1:17">
      <c r="A383" t="str">
        <f t="shared" si="10"/>
        <v/>
      </c>
      <c r="B383" t="str">
        <f t="shared" si="11"/>
        <v/>
      </c>
      <c r="D383" s="27"/>
      <c r="E383" s="26"/>
      <c r="F383" s="26"/>
      <c r="G383" s="30"/>
      <c r="H383" s="30"/>
      <c r="I383" s="30"/>
      <c r="J383" s="31"/>
      <c r="K383" s="31"/>
      <c r="L383" s="31"/>
      <c r="M383" s="31"/>
      <c r="N383" s="26"/>
      <c r="O383" s="26"/>
      <c r="P383" s="26"/>
      <c r="Q383" s="28"/>
    </row>
    <row r="384" spans="1:17">
      <c r="A384" t="str">
        <f t="shared" si="10"/>
        <v/>
      </c>
      <c r="B384" t="str">
        <f t="shared" si="11"/>
        <v/>
      </c>
      <c r="D384" s="27"/>
      <c r="E384" s="26"/>
      <c r="F384" s="26"/>
      <c r="G384" s="30"/>
      <c r="H384" s="30"/>
      <c r="I384" s="30"/>
      <c r="J384" s="31"/>
      <c r="K384" s="31"/>
      <c r="L384" s="31"/>
      <c r="M384" s="31"/>
      <c r="N384" s="26"/>
      <c r="O384" s="26"/>
      <c r="P384" s="26"/>
      <c r="Q384" s="28"/>
    </row>
    <row r="385" spans="1:17">
      <c r="A385" t="str">
        <f t="shared" si="10"/>
        <v/>
      </c>
      <c r="B385" t="str">
        <f t="shared" si="11"/>
        <v/>
      </c>
      <c r="D385" s="27"/>
      <c r="E385" s="26"/>
      <c r="F385" s="26"/>
      <c r="G385" s="30"/>
      <c r="H385" s="30"/>
      <c r="I385" s="30"/>
      <c r="J385" s="31"/>
      <c r="K385" s="31"/>
      <c r="L385" s="31"/>
      <c r="M385" s="31"/>
      <c r="N385" s="26"/>
      <c r="O385" s="26"/>
      <c r="P385" s="26"/>
      <c r="Q385" s="28"/>
    </row>
    <row r="386" spans="1:17">
      <c r="A386" t="str">
        <f t="shared" si="10"/>
        <v/>
      </c>
      <c r="B386" t="str">
        <f t="shared" si="11"/>
        <v/>
      </c>
      <c r="D386" s="27"/>
      <c r="E386" s="26"/>
      <c r="F386" s="26"/>
      <c r="G386" s="30"/>
      <c r="H386" s="30"/>
      <c r="I386" s="30"/>
      <c r="J386" s="31"/>
      <c r="K386" s="31"/>
      <c r="L386" s="31"/>
      <c r="M386" s="31"/>
      <c r="N386" s="26"/>
      <c r="O386" s="26"/>
      <c r="P386" s="26"/>
      <c r="Q386" s="28"/>
    </row>
    <row r="387" spans="1:17">
      <c r="A387" t="str">
        <f t="shared" si="10"/>
        <v/>
      </c>
      <c r="B387" t="str">
        <f t="shared" si="11"/>
        <v/>
      </c>
      <c r="D387" s="27"/>
      <c r="E387" s="26"/>
      <c r="F387" s="26"/>
      <c r="G387" s="30"/>
      <c r="H387" s="30"/>
      <c r="I387" s="30"/>
      <c r="J387" s="31"/>
      <c r="K387" s="31"/>
      <c r="L387" s="31"/>
      <c r="M387" s="31"/>
      <c r="N387" s="26"/>
      <c r="O387" s="26"/>
      <c r="P387" s="26"/>
      <c r="Q387" s="28"/>
    </row>
    <row r="388" spans="1:17">
      <c r="A388" t="str">
        <f t="shared" si="10"/>
        <v/>
      </c>
      <c r="B388" t="str">
        <f t="shared" si="11"/>
        <v/>
      </c>
      <c r="D388" s="27"/>
      <c r="E388" s="26"/>
      <c r="F388" s="26"/>
      <c r="G388" s="30"/>
      <c r="H388" s="30"/>
      <c r="I388" s="30"/>
      <c r="J388" s="31"/>
      <c r="K388" s="31"/>
      <c r="L388" s="31"/>
      <c r="M388" s="31"/>
      <c r="N388" s="26"/>
      <c r="O388" s="26"/>
      <c r="P388" s="26"/>
      <c r="Q388" s="28"/>
    </row>
    <row r="389" spans="1:17">
      <c r="A389" t="str">
        <f t="shared" si="10"/>
        <v/>
      </c>
      <c r="B389" t="str">
        <f t="shared" si="11"/>
        <v/>
      </c>
      <c r="D389" s="27"/>
      <c r="E389" s="26"/>
      <c r="F389" s="26"/>
      <c r="G389" s="30"/>
      <c r="H389" s="30"/>
      <c r="I389" s="30"/>
      <c r="J389" s="31"/>
      <c r="K389" s="31"/>
      <c r="L389" s="31"/>
      <c r="M389" s="31"/>
      <c r="N389" s="26"/>
      <c r="O389" s="26"/>
      <c r="P389" s="26"/>
      <c r="Q389" s="28"/>
    </row>
    <row r="390" spans="1:17">
      <c r="A390" t="str">
        <f t="shared" si="10"/>
        <v/>
      </c>
      <c r="B390" t="str">
        <f t="shared" si="11"/>
        <v/>
      </c>
      <c r="D390" s="27"/>
      <c r="E390" s="26"/>
      <c r="F390" s="26"/>
      <c r="G390" s="30"/>
      <c r="H390" s="30"/>
      <c r="I390" s="30"/>
      <c r="J390" s="31"/>
      <c r="K390" s="31"/>
      <c r="L390" s="31"/>
      <c r="M390" s="31"/>
      <c r="N390" s="26"/>
      <c r="O390" s="26"/>
      <c r="P390" s="26"/>
      <c r="Q390" s="28"/>
    </row>
    <row r="391" spans="1:17">
      <c r="A391" t="str">
        <f t="shared" si="10"/>
        <v/>
      </c>
      <c r="B391" t="str">
        <f t="shared" si="11"/>
        <v/>
      </c>
      <c r="D391" s="27"/>
      <c r="E391" s="26"/>
      <c r="F391" s="26"/>
      <c r="G391" s="30"/>
      <c r="H391" s="30"/>
      <c r="I391" s="30"/>
      <c r="J391" s="31"/>
      <c r="K391" s="31"/>
      <c r="L391" s="31"/>
      <c r="M391" s="31"/>
      <c r="N391" s="26"/>
      <c r="O391" s="26"/>
      <c r="P391" s="26"/>
      <c r="Q391" s="28"/>
    </row>
    <row r="392" spans="1:17">
      <c r="A392" t="str">
        <f t="shared" si="10"/>
        <v/>
      </c>
      <c r="B392" t="str">
        <f t="shared" si="11"/>
        <v/>
      </c>
      <c r="D392" s="27"/>
      <c r="E392" s="26"/>
      <c r="F392" s="26"/>
      <c r="G392" s="30"/>
      <c r="H392" s="30"/>
      <c r="I392" s="30"/>
      <c r="J392" s="31"/>
      <c r="K392" s="31"/>
      <c r="L392" s="31"/>
      <c r="M392" s="31"/>
      <c r="N392" s="26"/>
      <c r="O392" s="26"/>
      <c r="P392" s="26"/>
      <c r="Q392" s="28"/>
    </row>
    <row r="393" spans="1:17">
      <c r="A393" t="str">
        <f t="shared" si="10"/>
        <v/>
      </c>
      <c r="B393" t="str">
        <f t="shared" si="11"/>
        <v/>
      </c>
      <c r="D393" s="27"/>
      <c r="E393" s="26"/>
      <c r="F393" s="26"/>
      <c r="G393" s="30"/>
      <c r="H393" s="30"/>
      <c r="I393" s="30"/>
      <c r="J393" s="31"/>
      <c r="K393" s="31"/>
      <c r="L393" s="31"/>
      <c r="M393" s="31"/>
      <c r="N393" s="26"/>
      <c r="O393" s="26"/>
      <c r="P393" s="26"/>
      <c r="Q393" s="28"/>
    </row>
    <row r="394" spans="1:17">
      <c r="A394" t="str">
        <f t="shared" si="10"/>
        <v/>
      </c>
      <c r="B394" t="str">
        <f t="shared" si="11"/>
        <v/>
      </c>
      <c r="D394" s="27"/>
      <c r="E394" s="26"/>
      <c r="F394" s="26"/>
      <c r="G394" s="30"/>
      <c r="H394" s="30"/>
      <c r="I394" s="30"/>
      <c r="J394" s="31"/>
      <c r="K394" s="31"/>
      <c r="L394" s="31"/>
      <c r="M394" s="31"/>
      <c r="N394" s="26"/>
      <c r="O394" s="26"/>
      <c r="P394" s="26"/>
      <c r="Q394" s="28"/>
    </row>
    <row r="395" spans="1:17">
      <c r="A395" t="str">
        <f t="shared" si="10"/>
        <v/>
      </c>
      <c r="B395" t="str">
        <f t="shared" si="11"/>
        <v/>
      </c>
      <c r="D395" s="27"/>
      <c r="E395" s="26"/>
      <c r="F395" s="26"/>
      <c r="G395" s="30"/>
      <c r="H395" s="30"/>
      <c r="I395" s="30"/>
      <c r="J395" s="31"/>
      <c r="K395" s="31"/>
      <c r="L395" s="31"/>
      <c r="M395" s="31"/>
      <c r="N395" s="26"/>
      <c r="O395" s="26"/>
      <c r="P395" s="26"/>
      <c r="Q395" s="28"/>
    </row>
    <row r="396" spans="1:17">
      <c r="A396" t="str">
        <f t="shared" si="10"/>
        <v/>
      </c>
      <c r="B396" t="str">
        <f t="shared" si="11"/>
        <v/>
      </c>
      <c r="D396" s="27"/>
      <c r="E396" s="26"/>
      <c r="F396" s="26"/>
      <c r="G396" s="30"/>
      <c r="H396" s="30"/>
      <c r="I396" s="30"/>
      <c r="J396" s="31"/>
      <c r="K396" s="31"/>
      <c r="L396" s="31"/>
      <c r="M396" s="31"/>
      <c r="N396" s="26"/>
      <c r="O396" s="26"/>
      <c r="P396" s="26"/>
      <c r="Q396" s="28"/>
    </row>
    <row r="397" spans="1:17">
      <c r="A397" t="str">
        <f t="shared" si="10"/>
        <v/>
      </c>
      <c r="B397" t="str">
        <f t="shared" si="11"/>
        <v/>
      </c>
      <c r="D397" s="27"/>
      <c r="E397" s="26"/>
      <c r="F397" s="26"/>
      <c r="G397" s="30"/>
      <c r="H397" s="30"/>
      <c r="I397" s="30"/>
      <c r="J397" s="31"/>
      <c r="K397" s="31"/>
      <c r="L397" s="31"/>
      <c r="M397" s="31"/>
      <c r="N397" s="26"/>
      <c r="O397" s="26"/>
      <c r="P397" s="26"/>
      <c r="Q397" s="28"/>
    </row>
    <row r="398" spans="1:17">
      <c r="A398" t="str">
        <f t="shared" ref="A398:A461" si="12">IF($J398=0,"",H398)</f>
        <v/>
      </c>
      <c r="B398" t="str">
        <f t="shared" ref="B398:B461" si="13">IF($J398=0,"",I398)</f>
        <v/>
      </c>
      <c r="D398" s="27"/>
      <c r="E398" s="26"/>
      <c r="F398" s="26"/>
      <c r="G398" s="30"/>
      <c r="H398" s="30"/>
      <c r="I398" s="30"/>
      <c r="J398" s="31"/>
      <c r="K398" s="31"/>
      <c r="L398" s="31"/>
      <c r="M398" s="31"/>
      <c r="N398" s="26"/>
      <c r="O398" s="26"/>
      <c r="P398" s="26"/>
      <c r="Q398" s="28"/>
    </row>
    <row r="399" spans="1:17">
      <c r="A399" t="str">
        <f t="shared" si="12"/>
        <v/>
      </c>
      <c r="B399" t="str">
        <f t="shared" si="13"/>
        <v/>
      </c>
      <c r="D399" s="27"/>
      <c r="E399" s="26"/>
      <c r="F399" s="26"/>
      <c r="G399" s="30"/>
      <c r="H399" s="30"/>
      <c r="I399" s="30"/>
      <c r="J399" s="31"/>
      <c r="K399" s="31"/>
      <c r="L399" s="31"/>
      <c r="M399" s="31"/>
      <c r="N399" s="26"/>
      <c r="O399" s="26"/>
      <c r="P399" s="26"/>
      <c r="Q399" s="28"/>
    </row>
    <row r="400" spans="1:17">
      <c r="A400" t="str">
        <f t="shared" si="12"/>
        <v/>
      </c>
      <c r="B400" t="str">
        <f t="shared" si="13"/>
        <v/>
      </c>
      <c r="D400" s="27"/>
      <c r="E400" s="26"/>
      <c r="F400" s="26"/>
      <c r="G400" s="30"/>
      <c r="H400" s="30"/>
      <c r="I400" s="30"/>
      <c r="J400" s="31"/>
      <c r="K400" s="31"/>
      <c r="L400" s="31"/>
      <c r="M400" s="31"/>
      <c r="N400" s="26"/>
      <c r="O400" s="26"/>
      <c r="P400" s="26"/>
      <c r="Q400" s="28"/>
    </row>
    <row r="401" spans="1:17">
      <c r="A401" t="str">
        <f t="shared" si="12"/>
        <v/>
      </c>
      <c r="B401" t="str">
        <f t="shared" si="13"/>
        <v/>
      </c>
      <c r="D401" s="27"/>
      <c r="E401" s="26"/>
      <c r="F401" s="26"/>
      <c r="G401" s="30"/>
      <c r="H401" s="30"/>
      <c r="I401" s="30"/>
      <c r="J401" s="31"/>
      <c r="K401" s="31"/>
      <c r="L401" s="31"/>
      <c r="M401" s="31"/>
      <c r="N401" s="26"/>
      <c r="O401" s="26"/>
      <c r="P401" s="26"/>
      <c r="Q401" s="28"/>
    </row>
    <row r="402" spans="1:17">
      <c r="A402" t="str">
        <f t="shared" si="12"/>
        <v/>
      </c>
      <c r="B402" t="str">
        <f t="shared" si="13"/>
        <v/>
      </c>
      <c r="D402" s="27"/>
      <c r="E402" s="26"/>
      <c r="F402" s="26"/>
      <c r="G402" s="30"/>
      <c r="H402" s="30"/>
      <c r="I402" s="30"/>
      <c r="J402" s="31"/>
      <c r="K402" s="31"/>
      <c r="L402" s="31"/>
      <c r="M402" s="31"/>
      <c r="N402" s="26"/>
      <c r="O402" s="26"/>
      <c r="P402" s="26"/>
      <c r="Q402" s="28"/>
    </row>
    <row r="403" spans="1:17">
      <c r="A403" t="str">
        <f t="shared" si="12"/>
        <v/>
      </c>
      <c r="B403" t="str">
        <f t="shared" si="13"/>
        <v/>
      </c>
      <c r="D403" s="27"/>
      <c r="E403" s="26"/>
      <c r="F403" s="26"/>
      <c r="G403" s="30"/>
      <c r="H403" s="30"/>
      <c r="I403" s="30"/>
      <c r="J403" s="31"/>
      <c r="K403" s="31"/>
      <c r="L403" s="31"/>
      <c r="M403" s="31"/>
      <c r="N403" s="26"/>
      <c r="O403" s="26"/>
      <c r="P403" s="26"/>
      <c r="Q403" s="28"/>
    </row>
    <row r="404" spans="1:17">
      <c r="A404" t="str">
        <f t="shared" si="12"/>
        <v/>
      </c>
      <c r="B404" t="str">
        <f t="shared" si="13"/>
        <v/>
      </c>
      <c r="D404" s="27"/>
      <c r="E404" s="26"/>
      <c r="F404" s="26"/>
      <c r="G404" s="30"/>
      <c r="H404" s="30"/>
      <c r="I404" s="30"/>
      <c r="J404" s="31"/>
      <c r="K404" s="31"/>
      <c r="L404" s="31"/>
      <c r="M404" s="31"/>
      <c r="N404" s="26"/>
      <c r="O404" s="26"/>
      <c r="P404" s="26"/>
      <c r="Q404" s="28"/>
    </row>
    <row r="405" spans="1:17">
      <c r="A405" t="str">
        <f t="shared" si="12"/>
        <v/>
      </c>
      <c r="B405" t="str">
        <f t="shared" si="13"/>
        <v/>
      </c>
      <c r="D405" s="27"/>
      <c r="E405" s="26"/>
      <c r="F405" s="26"/>
      <c r="G405" s="30"/>
      <c r="H405" s="30"/>
      <c r="I405" s="30"/>
      <c r="J405" s="31"/>
      <c r="K405" s="31"/>
      <c r="L405" s="31"/>
      <c r="M405" s="31"/>
      <c r="N405" s="26"/>
      <c r="O405" s="26"/>
      <c r="P405" s="26"/>
      <c r="Q405" s="28"/>
    </row>
    <row r="406" spans="1:17">
      <c r="A406" t="str">
        <f t="shared" si="12"/>
        <v/>
      </c>
      <c r="B406" t="str">
        <f t="shared" si="13"/>
        <v/>
      </c>
      <c r="D406" s="27"/>
      <c r="E406" s="26"/>
      <c r="F406" s="26"/>
      <c r="G406" s="30"/>
      <c r="H406" s="30"/>
      <c r="I406" s="30"/>
      <c r="J406" s="31"/>
      <c r="K406" s="31"/>
      <c r="L406" s="31"/>
      <c r="M406" s="31"/>
      <c r="N406" s="26"/>
      <c r="O406" s="26"/>
      <c r="P406" s="26"/>
      <c r="Q406" s="28"/>
    </row>
    <row r="407" spans="1:17">
      <c r="A407" t="str">
        <f t="shared" si="12"/>
        <v/>
      </c>
      <c r="B407" t="str">
        <f t="shared" si="13"/>
        <v/>
      </c>
      <c r="D407" s="27"/>
      <c r="E407" s="26"/>
      <c r="F407" s="26"/>
      <c r="G407" s="30"/>
      <c r="H407" s="30"/>
      <c r="I407" s="30"/>
      <c r="J407" s="31"/>
      <c r="K407" s="31"/>
      <c r="L407" s="31"/>
      <c r="M407" s="31"/>
      <c r="N407" s="26"/>
      <c r="O407" s="26"/>
      <c r="P407" s="26"/>
      <c r="Q407" s="28"/>
    </row>
    <row r="408" spans="1:17">
      <c r="A408" t="str">
        <f t="shared" si="12"/>
        <v/>
      </c>
      <c r="B408" t="str">
        <f t="shared" si="13"/>
        <v/>
      </c>
      <c r="D408" s="27"/>
      <c r="E408" s="26"/>
      <c r="F408" s="26"/>
      <c r="G408" s="30"/>
      <c r="H408" s="30"/>
      <c r="I408" s="30"/>
      <c r="J408" s="31"/>
      <c r="K408" s="31"/>
      <c r="L408" s="31"/>
      <c r="M408" s="31"/>
      <c r="N408" s="26"/>
      <c r="O408" s="26"/>
      <c r="P408" s="26"/>
      <c r="Q408" s="28"/>
    </row>
    <row r="409" spans="1:17">
      <c r="A409" t="str">
        <f t="shared" si="12"/>
        <v/>
      </c>
      <c r="B409" t="str">
        <f t="shared" si="13"/>
        <v/>
      </c>
      <c r="D409" s="27"/>
      <c r="E409" s="26"/>
      <c r="F409" s="26"/>
      <c r="G409" s="30"/>
      <c r="H409" s="30"/>
      <c r="I409" s="30"/>
      <c r="J409" s="31"/>
      <c r="K409" s="31"/>
      <c r="L409" s="31"/>
      <c r="M409" s="31"/>
      <c r="N409" s="26"/>
      <c r="O409" s="26"/>
      <c r="P409" s="26"/>
      <c r="Q409" s="28"/>
    </row>
    <row r="410" spans="1:17">
      <c r="A410" t="str">
        <f t="shared" si="12"/>
        <v/>
      </c>
      <c r="B410" t="str">
        <f t="shared" si="13"/>
        <v/>
      </c>
      <c r="D410" s="27"/>
      <c r="E410" s="26"/>
      <c r="F410" s="26"/>
      <c r="G410" s="30"/>
      <c r="H410" s="30"/>
      <c r="I410" s="30"/>
      <c r="J410" s="31"/>
      <c r="K410" s="31"/>
      <c r="L410" s="31"/>
      <c r="M410" s="31"/>
      <c r="N410" s="26"/>
      <c r="O410" s="26"/>
      <c r="P410" s="26"/>
      <c r="Q410" s="28"/>
    </row>
    <row r="411" spans="1:17">
      <c r="A411" t="str">
        <f t="shared" si="12"/>
        <v/>
      </c>
      <c r="B411" t="str">
        <f t="shared" si="13"/>
        <v/>
      </c>
      <c r="D411" s="27"/>
      <c r="E411" s="26"/>
      <c r="F411" s="26"/>
      <c r="G411" s="30"/>
      <c r="H411" s="30"/>
      <c r="I411" s="30"/>
      <c r="J411" s="31"/>
      <c r="K411" s="31"/>
      <c r="L411" s="31"/>
      <c r="M411" s="31"/>
      <c r="N411" s="26"/>
      <c r="O411" s="26"/>
      <c r="P411" s="26"/>
      <c r="Q411" s="28"/>
    </row>
    <row r="412" spans="1:17">
      <c r="A412" t="str">
        <f t="shared" si="12"/>
        <v/>
      </c>
      <c r="B412" t="str">
        <f t="shared" si="13"/>
        <v/>
      </c>
      <c r="D412" s="27"/>
      <c r="E412" s="26"/>
      <c r="F412" s="26"/>
      <c r="G412" s="30"/>
      <c r="H412" s="30"/>
      <c r="I412" s="30"/>
      <c r="J412" s="31"/>
      <c r="K412" s="31"/>
      <c r="L412" s="31"/>
      <c r="M412" s="31"/>
      <c r="N412" s="26"/>
      <c r="O412" s="26"/>
      <c r="P412" s="26"/>
      <c r="Q412" s="28"/>
    </row>
    <row r="413" spans="1:17">
      <c r="A413" t="str">
        <f t="shared" si="12"/>
        <v/>
      </c>
      <c r="B413" t="str">
        <f t="shared" si="13"/>
        <v/>
      </c>
      <c r="D413" s="27"/>
      <c r="E413" s="26"/>
      <c r="F413" s="26"/>
      <c r="G413" s="30"/>
      <c r="H413" s="30"/>
      <c r="I413" s="30"/>
      <c r="J413" s="31"/>
      <c r="K413" s="31"/>
      <c r="L413" s="31"/>
      <c r="M413" s="31"/>
      <c r="N413" s="26"/>
      <c r="O413" s="26"/>
      <c r="P413" s="26"/>
      <c r="Q413" s="28"/>
    </row>
    <row r="414" spans="1:17">
      <c r="A414" t="str">
        <f t="shared" si="12"/>
        <v/>
      </c>
      <c r="B414" t="str">
        <f t="shared" si="13"/>
        <v/>
      </c>
      <c r="D414" s="27"/>
      <c r="E414" s="26"/>
      <c r="F414" s="26"/>
      <c r="G414" s="30"/>
      <c r="H414" s="30"/>
      <c r="I414" s="30"/>
      <c r="J414" s="31"/>
      <c r="K414" s="31"/>
      <c r="L414" s="31"/>
      <c r="M414" s="31"/>
      <c r="N414" s="26"/>
      <c r="O414" s="26"/>
      <c r="P414" s="26"/>
      <c r="Q414" s="28"/>
    </row>
    <row r="415" spans="1:17">
      <c r="A415" t="str">
        <f t="shared" si="12"/>
        <v/>
      </c>
      <c r="B415" t="str">
        <f t="shared" si="13"/>
        <v/>
      </c>
      <c r="D415" s="27"/>
      <c r="E415" s="26"/>
      <c r="F415" s="26"/>
      <c r="G415" s="30"/>
      <c r="H415" s="30"/>
      <c r="I415" s="30"/>
      <c r="J415" s="31"/>
      <c r="K415" s="31"/>
      <c r="L415" s="31"/>
      <c r="M415" s="31"/>
      <c r="N415" s="26"/>
      <c r="O415" s="26"/>
      <c r="P415" s="26"/>
      <c r="Q415" s="28"/>
    </row>
    <row r="416" spans="1:17">
      <c r="A416" t="str">
        <f t="shared" si="12"/>
        <v/>
      </c>
      <c r="B416" t="str">
        <f t="shared" si="13"/>
        <v/>
      </c>
      <c r="D416" s="27"/>
      <c r="E416" s="26"/>
      <c r="F416" s="26"/>
      <c r="G416" s="30"/>
      <c r="H416" s="30"/>
      <c r="I416" s="30"/>
      <c r="J416" s="31"/>
      <c r="K416" s="31"/>
      <c r="L416" s="31"/>
      <c r="M416" s="31"/>
      <c r="N416" s="26"/>
      <c r="O416" s="26"/>
      <c r="P416" s="26"/>
      <c r="Q416" s="28"/>
    </row>
    <row r="417" spans="1:17">
      <c r="A417" t="str">
        <f t="shared" si="12"/>
        <v/>
      </c>
      <c r="B417" t="str">
        <f t="shared" si="13"/>
        <v/>
      </c>
      <c r="D417" s="27"/>
      <c r="E417" s="26"/>
      <c r="F417" s="26"/>
      <c r="G417" s="30"/>
      <c r="H417" s="30"/>
      <c r="I417" s="30"/>
      <c r="J417" s="31"/>
      <c r="K417" s="31"/>
      <c r="L417" s="31"/>
      <c r="M417" s="31"/>
      <c r="N417" s="26"/>
      <c r="O417" s="26"/>
      <c r="P417" s="26"/>
      <c r="Q417" s="28"/>
    </row>
    <row r="418" spans="1:17">
      <c r="A418" t="str">
        <f t="shared" si="12"/>
        <v/>
      </c>
      <c r="B418" t="str">
        <f t="shared" si="13"/>
        <v/>
      </c>
      <c r="D418" s="27"/>
      <c r="E418" s="26"/>
      <c r="F418" s="26"/>
      <c r="G418" s="30"/>
      <c r="H418" s="30"/>
      <c r="I418" s="30"/>
      <c r="J418" s="31"/>
      <c r="K418" s="31"/>
      <c r="L418" s="31"/>
      <c r="M418" s="31"/>
      <c r="N418" s="26"/>
      <c r="O418" s="26"/>
      <c r="P418" s="26"/>
      <c r="Q418" s="28"/>
    </row>
    <row r="419" spans="1:17">
      <c r="A419" t="str">
        <f t="shared" si="12"/>
        <v/>
      </c>
      <c r="B419" t="str">
        <f t="shared" si="13"/>
        <v/>
      </c>
      <c r="D419" s="27"/>
      <c r="E419" s="26"/>
      <c r="F419" s="26"/>
      <c r="G419" s="30"/>
      <c r="H419" s="30"/>
      <c r="I419" s="30"/>
      <c r="J419" s="31"/>
      <c r="K419" s="31"/>
      <c r="L419" s="31"/>
      <c r="M419" s="31"/>
      <c r="N419" s="26"/>
      <c r="O419" s="26"/>
      <c r="P419" s="26"/>
      <c r="Q419" s="28"/>
    </row>
    <row r="420" spans="1:17">
      <c r="A420" t="str">
        <f t="shared" si="12"/>
        <v/>
      </c>
      <c r="B420" t="str">
        <f t="shared" si="13"/>
        <v/>
      </c>
      <c r="D420" s="27"/>
      <c r="E420" s="26"/>
      <c r="F420" s="26"/>
      <c r="G420" s="30"/>
      <c r="H420" s="30"/>
      <c r="I420" s="30"/>
      <c r="J420" s="31"/>
      <c r="K420" s="31"/>
      <c r="L420" s="31"/>
      <c r="M420" s="31"/>
      <c r="N420" s="26"/>
      <c r="O420" s="26"/>
      <c r="P420" s="26"/>
      <c r="Q420" s="28"/>
    </row>
    <row r="421" spans="1:17">
      <c r="A421" t="str">
        <f t="shared" si="12"/>
        <v/>
      </c>
      <c r="B421" t="str">
        <f t="shared" si="13"/>
        <v/>
      </c>
      <c r="D421" s="27"/>
      <c r="E421" s="26"/>
      <c r="F421" s="26"/>
      <c r="G421" s="30"/>
      <c r="H421" s="30"/>
      <c r="I421" s="30"/>
      <c r="J421" s="31"/>
      <c r="K421" s="31"/>
      <c r="L421" s="31"/>
      <c r="M421" s="31"/>
      <c r="N421" s="26"/>
      <c r="O421" s="26"/>
      <c r="P421" s="26"/>
      <c r="Q421" s="28"/>
    </row>
    <row r="422" spans="1:17">
      <c r="A422" t="str">
        <f t="shared" si="12"/>
        <v/>
      </c>
      <c r="B422" t="str">
        <f t="shared" si="13"/>
        <v/>
      </c>
      <c r="D422" s="27"/>
      <c r="E422" s="26"/>
      <c r="F422" s="26"/>
      <c r="G422" s="30"/>
      <c r="H422" s="30"/>
      <c r="I422" s="30"/>
      <c r="J422" s="31"/>
      <c r="K422" s="31"/>
      <c r="L422" s="31"/>
      <c r="M422" s="31"/>
      <c r="N422" s="26"/>
      <c r="O422" s="26"/>
      <c r="P422" s="26"/>
      <c r="Q422" s="28"/>
    </row>
    <row r="423" spans="1:17">
      <c r="A423" t="str">
        <f t="shared" si="12"/>
        <v/>
      </c>
      <c r="B423" t="str">
        <f t="shared" si="13"/>
        <v/>
      </c>
      <c r="D423" s="27"/>
      <c r="E423" s="26"/>
      <c r="F423" s="26"/>
      <c r="G423" s="30"/>
      <c r="H423" s="30"/>
      <c r="I423" s="30"/>
      <c r="J423" s="31"/>
      <c r="K423" s="31"/>
      <c r="L423" s="31"/>
      <c r="M423" s="31"/>
      <c r="N423" s="26"/>
      <c r="O423" s="26"/>
      <c r="P423" s="26"/>
      <c r="Q423" s="28"/>
    </row>
    <row r="424" spans="1:17">
      <c r="A424" t="str">
        <f t="shared" si="12"/>
        <v/>
      </c>
      <c r="B424" t="str">
        <f t="shared" si="13"/>
        <v/>
      </c>
      <c r="D424" s="27"/>
      <c r="E424" s="26"/>
      <c r="F424" s="26"/>
      <c r="G424" s="30"/>
      <c r="H424" s="30"/>
      <c r="I424" s="30"/>
      <c r="J424" s="31"/>
      <c r="K424" s="31"/>
      <c r="L424" s="31"/>
      <c r="M424" s="31"/>
      <c r="N424" s="26"/>
      <c r="O424" s="26"/>
      <c r="P424" s="26"/>
      <c r="Q424" s="28"/>
    </row>
    <row r="425" spans="1:17">
      <c r="A425" t="str">
        <f t="shared" si="12"/>
        <v/>
      </c>
      <c r="B425" t="str">
        <f t="shared" si="13"/>
        <v/>
      </c>
      <c r="D425" s="27"/>
      <c r="E425" s="26"/>
      <c r="F425" s="26"/>
      <c r="G425" s="30"/>
      <c r="H425" s="30"/>
      <c r="I425" s="30"/>
      <c r="J425" s="31"/>
      <c r="K425" s="31"/>
      <c r="L425" s="31"/>
      <c r="M425" s="31"/>
      <c r="N425" s="26"/>
      <c r="O425" s="26"/>
      <c r="P425" s="26"/>
      <c r="Q425" s="28"/>
    </row>
    <row r="426" spans="1:17">
      <c r="A426" t="str">
        <f t="shared" si="12"/>
        <v/>
      </c>
      <c r="B426" t="str">
        <f t="shared" si="13"/>
        <v/>
      </c>
      <c r="D426" s="27"/>
      <c r="E426" s="26"/>
      <c r="F426" s="26"/>
      <c r="G426" s="30"/>
      <c r="H426" s="30"/>
      <c r="I426" s="30"/>
      <c r="J426" s="31"/>
      <c r="K426" s="31"/>
      <c r="L426" s="31"/>
      <c r="M426" s="31"/>
      <c r="N426" s="26"/>
      <c r="O426" s="26"/>
      <c r="P426" s="26"/>
      <c r="Q426" s="28"/>
    </row>
    <row r="427" spans="1:17">
      <c r="A427" t="str">
        <f t="shared" si="12"/>
        <v/>
      </c>
      <c r="B427" t="str">
        <f t="shared" si="13"/>
        <v/>
      </c>
      <c r="D427" s="27"/>
      <c r="E427" s="26"/>
      <c r="F427" s="26"/>
      <c r="G427" s="30"/>
      <c r="H427" s="30"/>
      <c r="I427" s="30"/>
      <c r="J427" s="31"/>
      <c r="K427" s="31"/>
      <c r="L427" s="31"/>
      <c r="M427" s="31"/>
      <c r="N427" s="26"/>
      <c r="O427" s="26"/>
      <c r="P427" s="26"/>
      <c r="Q427" s="28"/>
    </row>
    <row r="428" spans="1:17">
      <c r="A428" t="str">
        <f t="shared" si="12"/>
        <v/>
      </c>
      <c r="B428" t="str">
        <f t="shared" si="13"/>
        <v/>
      </c>
      <c r="D428" s="27"/>
      <c r="E428" s="26"/>
      <c r="F428" s="26"/>
      <c r="G428" s="30"/>
      <c r="H428" s="30"/>
      <c r="I428" s="30"/>
      <c r="J428" s="31"/>
      <c r="K428" s="31"/>
      <c r="L428" s="31"/>
      <c r="M428" s="31"/>
      <c r="N428" s="26"/>
      <c r="O428" s="26"/>
      <c r="P428" s="26"/>
      <c r="Q428" s="28"/>
    </row>
    <row r="429" spans="1:17">
      <c r="A429" t="str">
        <f t="shared" si="12"/>
        <v/>
      </c>
      <c r="B429" t="str">
        <f t="shared" si="13"/>
        <v/>
      </c>
      <c r="D429" s="27"/>
      <c r="E429" s="26"/>
      <c r="F429" s="26"/>
      <c r="G429" s="30"/>
      <c r="H429" s="30"/>
      <c r="I429" s="30"/>
      <c r="J429" s="31"/>
      <c r="K429" s="31"/>
      <c r="L429" s="31"/>
      <c r="M429" s="31"/>
      <c r="N429" s="26"/>
      <c r="O429" s="26"/>
      <c r="P429" s="26"/>
      <c r="Q429" s="28"/>
    </row>
    <row r="430" spans="1:17">
      <c r="A430" t="str">
        <f t="shared" si="12"/>
        <v/>
      </c>
      <c r="B430" t="str">
        <f t="shared" si="13"/>
        <v/>
      </c>
      <c r="D430" s="27"/>
      <c r="E430" s="26"/>
      <c r="F430" s="26"/>
      <c r="G430" s="30"/>
      <c r="H430" s="30"/>
      <c r="I430" s="30"/>
      <c r="J430" s="31"/>
      <c r="K430" s="31"/>
      <c r="L430" s="31"/>
      <c r="M430" s="31"/>
      <c r="N430" s="26"/>
      <c r="O430" s="26"/>
      <c r="P430" s="26"/>
      <c r="Q430" s="28"/>
    </row>
    <row r="431" spans="1:17">
      <c r="A431" t="str">
        <f t="shared" si="12"/>
        <v/>
      </c>
      <c r="B431" t="str">
        <f t="shared" si="13"/>
        <v/>
      </c>
      <c r="D431" s="27"/>
      <c r="E431" s="26"/>
      <c r="F431" s="26"/>
      <c r="G431" s="30"/>
      <c r="H431" s="30"/>
      <c r="I431" s="30"/>
      <c r="J431" s="31"/>
      <c r="K431" s="31"/>
      <c r="L431" s="31"/>
      <c r="M431" s="31"/>
      <c r="N431" s="26"/>
      <c r="O431" s="26"/>
      <c r="P431" s="26"/>
      <c r="Q431" s="28"/>
    </row>
    <row r="432" spans="1:17">
      <c r="A432" t="str">
        <f t="shared" si="12"/>
        <v/>
      </c>
      <c r="B432" t="str">
        <f t="shared" si="13"/>
        <v/>
      </c>
      <c r="D432" s="27"/>
      <c r="E432" s="26"/>
      <c r="F432" s="26"/>
      <c r="G432" s="30"/>
      <c r="H432" s="30"/>
      <c r="I432" s="30"/>
      <c r="J432" s="31"/>
      <c r="K432" s="31"/>
      <c r="L432" s="31"/>
      <c r="M432" s="31"/>
      <c r="N432" s="26"/>
      <c r="O432" s="26"/>
      <c r="P432" s="26"/>
      <c r="Q432" s="28"/>
    </row>
    <row r="433" spans="1:17">
      <c r="A433" t="str">
        <f t="shared" si="12"/>
        <v/>
      </c>
      <c r="B433" t="str">
        <f t="shared" si="13"/>
        <v/>
      </c>
      <c r="D433" s="27"/>
      <c r="E433" s="26"/>
      <c r="F433" s="26"/>
      <c r="G433" s="30"/>
      <c r="H433" s="30"/>
      <c r="I433" s="30"/>
      <c r="J433" s="31"/>
      <c r="K433" s="31"/>
      <c r="L433" s="31"/>
      <c r="M433" s="31"/>
      <c r="N433" s="26"/>
      <c r="O433" s="26"/>
      <c r="P433" s="26"/>
      <c r="Q433" s="28"/>
    </row>
    <row r="434" spans="1:17">
      <c r="A434" t="str">
        <f t="shared" si="12"/>
        <v/>
      </c>
      <c r="B434" t="str">
        <f t="shared" si="13"/>
        <v/>
      </c>
      <c r="D434" s="27"/>
      <c r="E434" s="26"/>
      <c r="F434" s="26"/>
      <c r="G434" s="30"/>
      <c r="H434" s="30"/>
      <c r="I434" s="30"/>
      <c r="J434" s="31"/>
      <c r="K434" s="31"/>
      <c r="L434" s="31"/>
      <c r="M434" s="31"/>
      <c r="N434" s="26"/>
      <c r="O434" s="26"/>
      <c r="P434" s="26"/>
      <c r="Q434" s="28"/>
    </row>
    <row r="435" spans="1:17">
      <c r="A435" t="str">
        <f t="shared" si="12"/>
        <v/>
      </c>
      <c r="B435" t="str">
        <f t="shared" si="13"/>
        <v/>
      </c>
      <c r="D435" s="27"/>
      <c r="E435" s="26"/>
      <c r="F435" s="26"/>
      <c r="G435" s="30"/>
      <c r="H435" s="30"/>
      <c r="I435" s="30"/>
      <c r="J435" s="31"/>
      <c r="K435" s="31"/>
      <c r="L435" s="31"/>
      <c r="M435" s="31"/>
      <c r="N435" s="26"/>
      <c r="O435" s="26"/>
      <c r="P435" s="26"/>
      <c r="Q435" s="28"/>
    </row>
    <row r="436" spans="1:17">
      <c r="A436" t="str">
        <f t="shared" si="12"/>
        <v/>
      </c>
      <c r="B436" t="str">
        <f t="shared" si="13"/>
        <v/>
      </c>
      <c r="D436" s="27"/>
      <c r="E436" s="26"/>
      <c r="F436" s="26"/>
      <c r="G436" s="30"/>
      <c r="H436" s="30"/>
      <c r="I436" s="30"/>
      <c r="J436" s="31"/>
      <c r="K436" s="31"/>
      <c r="L436" s="31"/>
      <c r="M436" s="31"/>
      <c r="N436" s="26"/>
      <c r="O436" s="26"/>
      <c r="P436" s="26"/>
      <c r="Q436" s="28"/>
    </row>
    <row r="437" spans="1:17">
      <c r="A437" t="str">
        <f t="shared" si="12"/>
        <v/>
      </c>
      <c r="B437" t="str">
        <f t="shared" si="13"/>
        <v/>
      </c>
      <c r="D437" s="27"/>
      <c r="E437" s="26"/>
      <c r="F437" s="26"/>
      <c r="G437" s="30"/>
      <c r="H437" s="30"/>
      <c r="I437" s="30"/>
      <c r="J437" s="31"/>
      <c r="K437" s="31"/>
      <c r="L437" s="31"/>
      <c r="M437" s="31"/>
      <c r="N437" s="26"/>
      <c r="O437" s="26"/>
      <c r="P437" s="26"/>
      <c r="Q437" s="28"/>
    </row>
    <row r="438" spans="1:17">
      <c r="A438" t="str">
        <f t="shared" si="12"/>
        <v/>
      </c>
      <c r="B438" t="str">
        <f t="shared" si="13"/>
        <v/>
      </c>
      <c r="D438" s="27"/>
      <c r="E438" s="26"/>
      <c r="F438" s="26"/>
      <c r="G438" s="30"/>
      <c r="H438" s="30"/>
      <c r="I438" s="30"/>
      <c r="J438" s="31"/>
      <c r="K438" s="31"/>
      <c r="L438" s="31"/>
      <c r="M438" s="31"/>
      <c r="N438" s="26"/>
      <c r="O438" s="26"/>
      <c r="P438" s="26"/>
      <c r="Q438" s="28"/>
    </row>
    <row r="439" spans="1:17">
      <c r="A439" t="str">
        <f t="shared" si="12"/>
        <v/>
      </c>
      <c r="B439" t="str">
        <f t="shared" si="13"/>
        <v/>
      </c>
      <c r="D439" s="27"/>
      <c r="E439" s="26"/>
      <c r="F439" s="26"/>
      <c r="G439" s="30"/>
      <c r="H439" s="30"/>
      <c r="I439" s="30"/>
      <c r="J439" s="31"/>
      <c r="K439" s="31"/>
      <c r="L439" s="31"/>
      <c r="M439" s="31"/>
      <c r="N439" s="26"/>
      <c r="O439" s="26"/>
      <c r="P439" s="26"/>
      <c r="Q439" s="28"/>
    </row>
    <row r="440" spans="1:17">
      <c r="A440" t="str">
        <f t="shared" si="12"/>
        <v/>
      </c>
      <c r="B440" t="str">
        <f t="shared" si="13"/>
        <v/>
      </c>
      <c r="D440" s="27"/>
      <c r="E440" s="26"/>
      <c r="F440" s="26"/>
      <c r="G440" s="30"/>
      <c r="H440" s="30"/>
      <c r="I440" s="30"/>
      <c r="J440" s="31"/>
      <c r="K440" s="31"/>
      <c r="L440" s="31"/>
      <c r="M440" s="31"/>
      <c r="N440" s="26"/>
      <c r="O440" s="26"/>
      <c r="P440" s="26"/>
      <c r="Q440" s="28"/>
    </row>
    <row r="441" spans="1:17">
      <c r="A441" t="str">
        <f t="shared" si="12"/>
        <v/>
      </c>
      <c r="B441" t="str">
        <f t="shared" si="13"/>
        <v/>
      </c>
      <c r="D441" s="27"/>
      <c r="E441" s="26"/>
      <c r="F441" s="26"/>
      <c r="G441" s="30"/>
      <c r="H441" s="30"/>
      <c r="I441" s="30"/>
      <c r="J441" s="31"/>
      <c r="K441" s="31"/>
      <c r="L441" s="31"/>
      <c r="M441" s="31"/>
      <c r="N441" s="26"/>
      <c r="O441" s="26"/>
      <c r="P441" s="26"/>
      <c r="Q441" s="28"/>
    </row>
    <row r="442" spans="1:17">
      <c r="A442" t="str">
        <f t="shared" si="12"/>
        <v/>
      </c>
      <c r="B442" t="str">
        <f t="shared" si="13"/>
        <v/>
      </c>
      <c r="D442" s="27"/>
      <c r="E442" s="26"/>
      <c r="F442" s="26"/>
      <c r="G442" s="30"/>
      <c r="H442" s="30"/>
      <c r="I442" s="30"/>
      <c r="J442" s="31"/>
      <c r="K442" s="31"/>
      <c r="L442" s="31"/>
      <c r="M442" s="31"/>
      <c r="N442" s="26"/>
      <c r="O442" s="26"/>
      <c r="P442" s="26"/>
      <c r="Q442" s="28"/>
    </row>
    <row r="443" spans="1:17">
      <c r="A443" t="str">
        <f t="shared" si="12"/>
        <v/>
      </c>
      <c r="B443" t="str">
        <f t="shared" si="13"/>
        <v/>
      </c>
      <c r="D443" s="27"/>
      <c r="E443" s="26"/>
      <c r="F443" s="26"/>
      <c r="G443" s="30"/>
      <c r="H443" s="30"/>
      <c r="I443" s="30"/>
      <c r="J443" s="31"/>
      <c r="K443" s="31"/>
      <c r="L443" s="31"/>
      <c r="M443" s="31"/>
      <c r="N443" s="26"/>
      <c r="O443" s="26"/>
      <c r="P443" s="26"/>
      <c r="Q443" s="28"/>
    </row>
    <row r="444" spans="1:17">
      <c r="A444" t="str">
        <f t="shared" si="12"/>
        <v/>
      </c>
      <c r="B444" t="str">
        <f t="shared" si="13"/>
        <v/>
      </c>
      <c r="D444" s="27"/>
      <c r="E444" s="26"/>
      <c r="F444" s="26"/>
      <c r="G444" s="30"/>
      <c r="H444" s="30"/>
      <c r="I444" s="30"/>
      <c r="J444" s="31"/>
      <c r="K444" s="31"/>
      <c r="L444" s="31"/>
      <c r="M444" s="31"/>
      <c r="N444" s="26"/>
      <c r="O444" s="26"/>
      <c r="P444" s="26"/>
      <c r="Q444" s="28"/>
    </row>
    <row r="445" spans="1:17">
      <c r="A445" t="str">
        <f t="shared" si="12"/>
        <v/>
      </c>
      <c r="B445" t="str">
        <f t="shared" si="13"/>
        <v/>
      </c>
      <c r="D445" s="27"/>
      <c r="E445" s="26"/>
      <c r="F445" s="26"/>
      <c r="G445" s="30"/>
      <c r="H445" s="30"/>
      <c r="I445" s="30"/>
      <c r="J445" s="31"/>
      <c r="K445" s="31"/>
      <c r="L445" s="31"/>
      <c r="M445" s="31"/>
      <c r="N445" s="26"/>
      <c r="O445" s="26"/>
      <c r="P445" s="26"/>
      <c r="Q445" s="28"/>
    </row>
    <row r="446" spans="1:17">
      <c r="A446" t="str">
        <f t="shared" si="12"/>
        <v/>
      </c>
      <c r="B446" t="str">
        <f t="shared" si="13"/>
        <v/>
      </c>
      <c r="D446" s="27"/>
      <c r="E446" s="26"/>
      <c r="F446" s="26"/>
      <c r="G446" s="30"/>
      <c r="H446" s="30"/>
      <c r="I446" s="30"/>
      <c r="J446" s="31"/>
      <c r="K446" s="31"/>
      <c r="L446" s="31"/>
      <c r="M446" s="31"/>
      <c r="N446" s="26"/>
      <c r="O446" s="26"/>
      <c r="P446" s="26"/>
      <c r="Q446" s="28"/>
    </row>
    <row r="447" spans="1:17">
      <c r="A447" t="str">
        <f t="shared" si="12"/>
        <v/>
      </c>
      <c r="B447" t="str">
        <f t="shared" si="13"/>
        <v/>
      </c>
      <c r="D447" s="27"/>
      <c r="E447" s="26"/>
      <c r="F447" s="26"/>
      <c r="G447" s="30"/>
      <c r="H447" s="30"/>
      <c r="I447" s="30"/>
      <c r="J447" s="31"/>
      <c r="K447" s="31"/>
      <c r="L447" s="31"/>
      <c r="M447" s="31"/>
      <c r="N447" s="26"/>
      <c r="O447" s="26"/>
      <c r="P447" s="26"/>
      <c r="Q447" s="28"/>
    </row>
    <row r="448" spans="1:17">
      <c r="A448" t="str">
        <f t="shared" si="12"/>
        <v/>
      </c>
      <c r="B448" t="str">
        <f t="shared" si="13"/>
        <v/>
      </c>
      <c r="D448" s="27"/>
      <c r="E448" s="26"/>
      <c r="F448" s="26"/>
      <c r="G448" s="30"/>
      <c r="H448" s="30"/>
      <c r="I448" s="30"/>
      <c r="J448" s="31"/>
      <c r="K448" s="31"/>
      <c r="L448" s="31"/>
      <c r="M448" s="31"/>
      <c r="N448" s="26"/>
      <c r="O448" s="26"/>
      <c r="P448" s="26"/>
      <c r="Q448" s="28"/>
    </row>
    <row r="449" spans="1:17">
      <c r="A449" t="str">
        <f t="shared" si="12"/>
        <v/>
      </c>
      <c r="B449" t="str">
        <f t="shared" si="13"/>
        <v/>
      </c>
      <c r="D449" s="27"/>
      <c r="E449" s="26"/>
      <c r="F449" s="26"/>
      <c r="G449" s="30"/>
      <c r="H449" s="30"/>
      <c r="I449" s="30"/>
      <c r="J449" s="31"/>
      <c r="K449" s="31"/>
      <c r="L449" s="31"/>
      <c r="M449" s="31"/>
      <c r="N449" s="26"/>
      <c r="O449" s="26"/>
      <c r="P449" s="26"/>
      <c r="Q449" s="28"/>
    </row>
    <row r="450" spans="1:17">
      <c r="A450" t="str">
        <f t="shared" si="12"/>
        <v/>
      </c>
      <c r="B450" t="str">
        <f t="shared" si="13"/>
        <v/>
      </c>
      <c r="D450" s="27"/>
      <c r="E450" s="26"/>
      <c r="F450" s="26"/>
      <c r="G450" s="30"/>
      <c r="H450" s="30"/>
      <c r="I450" s="30"/>
      <c r="J450" s="31"/>
      <c r="K450" s="31"/>
      <c r="L450" s="31"/>
      <c r="M450" s="31"/>
      <c r="N450" s="26"/>
      <c r="O450" s="26"/>
      <c r="P450" s="26"/>
      <c r="Q450" s="28"/>
    </row>
    <row r="451" spans="1:17">
      <c r="A451" t="str">
        <f t="shared" si="12"/>
        <v/>
      </c>
      <c r="B451" t="str">
        <f t="shared" si="13"/>
        <v/>
      </c>
      <c r="D451" s="27"/>
      <c r="E451" s="26"/>
      <c r="F451" s="26"/>
      <c r="G451" s="30"/>
      <c r="H451" s="30"/>
      <c r="I451" s="30"/>
      <c r="J451" s="31"/>
      <c r="K451" s="31"/>
      <c r="L451" s="31"/>
      <c r="M451" s="31"/>
      <c r="N451" s="26"/>
      <c r="O451" s="26"/>
      <c r="P451" s="26"/>
      <c r="Q451" s="28"/>
    </row>
    <row r="452" spans="1:17">
      <c r="A452" t="str">
        <f t="shared" si="12"/>
        <v/>
      </c>
      <c r="B452" t="str">
        <f t="shared" si="13"/>
        <v/>
      </c>
      <c r="D452" s="27"/>
      <c r="E452" s="26"/>
      <c r="F452" s="26"/>
      <c r="G452" s="30"/>
      <c r="H452" s="30"/>
      <c r="I452" s="30"/>
      <c r="J452" s="31"/>
      <c r="K452" s="31"/>
      <c r="L452" s="31"/>
      <c r="M452" s="31"/>
      <c r="N452" s="26"/>
      <c r="O452" s="26"/>
      <c r="P452" s="26"/>
      <c r="Q452" s="28"/>
    </row>
    <row r="453" spans="1:17">
      <c r="A453" t="str">
        <f t="shared" si="12"/>
        <v/>
      </c>
      <c r="B453" t="str">
        <f t="shared" si="13"/>
        <v/>
      </c>
      <c r="D453" s="27"/>
      <c r="E453" s="26"/>
      <c r="F453" s="26"/>
      <c r="G453" s="30"/>
      <c r="H453" s="30"/>
      <c r="I453" s="30"/>
      <c r="J453" s="31"/>
      <c r="K453" s="31"/>
      <c r="L453" s="31"/>
      <c r="M453" s="31"/>
      <c r="N453" s="26"/>
      <c r="O453" s="26"/>
      <c r="P453" s="26"/>
      <c r="Q453" s="28"/>
    </row>
    <row r="454" spans="1:17">
      <c r="A454" t="str">
        <f t="shared" si="12"/>
        <v/>
      </c>
      <c r="B454" t="str">
        <f t="shared" si="13"/>
        <v/>
      </c>
      <c r="D454" s="27"/>
      <c r="E454" s="26"/>
      <c r="F454" s="26"/>
      <c r="G454" s="30"/>
      <c r="H454" s="30"/>
      <c r="I454" s="30"/>
      <c r="J454" s="31"/>
      <c r="K454" s="31"/>
      <c r="L454" s="31"/>
      <c r="M454" s="31"/>
      <c r="N454" s="26"/>
      <c r="O454" s="26"/>
      <c r="P454" s="26"/>
      <c r="Q454" s="28"/>
    </row>
    <row r="455" spans="1:17">
      <c r="A455" t="str">
        <f t="shared" si="12"/>
        <v/>
      </c>
      <c r="B455" t="str">
        <f t="shared" si="13"/>
        <v/>
      </c>
      <c r="D455" s="27"/>
      <c r="E455" s="26"/>
      <c r="F455" s="26"/>
      <c r="G455" s="30"/>
      <c r="H455" s="30"/>
      <c r="I455" s="30"/>
      <c r="J455" s="31"/>
      <c r="K455" s="31"/>
      <c r="L455" s="31"/>
      <c r="M455" s="31"/>
      <c r="N455" s="26"/>
      <c r="O455" s="26"/>
      <c r="P455" s="26"/>
      <c r="Q455" s="28"/>
    </row>
    <row r="456" spans="1:17">
      <c r="A456" t="str">
        <f t="shared" si="12"/>
        <v/>
      </c>
      <c r="B456" t="str">
        <f t="shared" si="13"/>
        <v/>
      </c>
      <c r="D456" s="27"/>
      <c r="E456" s="26"/>
      <c r="F456" s="26"/>
      <c r="G456" s="30"/>
      <c r="H456" s="30"/>
      <c r="I456" s="30"/>
      <c r="J456" s="31"/>
      <c r="K456" s="31"/>
      <c r="L456" s="31"/>
      <c r="M456" s="31"/>
      <c r="N456" s="26"/>
      <c r="O456" s="26"/>
      <c r="P456" s="26"/>
      <c r="Q456" s="28"/>
    </row>
    <row r="457" spans="1:17">
      <c r="A457" t="str">
        <f t="shared" si="12"/>
        <v/>
      </c>
      <c r="B457" t="str">
        <f t="shared" si="13"/>
        <v/>
      </c>
      <c r="D457" s="27"/>
      <c r="E457" s="26"/>
      <c r="F457" s="26"/>
      <c r="G457" s="30"/>
      <c r="H457" s="30"/>
      <c r="I457" s="30"/>
      <c r="J457" s="31"/>
      <c r="K457" s="31"/>
      <c r="L457" s="31"/>
      <c r="M457" s="31"/>
      <c r="N457" s="26"/>
      <c r="O457" s="26"/>
      <c r="P457" s="26"/>
      <c r="Q457" s="28"/>
    </row>
    <row r="458" spans="1:17">
      <c r="A458" t="str">
        <f t="shared" si="12"/>
        <v/>
      </c>
      <c r="B458" t="str">
        <f t="shared" si="13"/>
        <v/>
      </c>
      <c r="D458" s="27"/>
      <c r="E458" s="26"/>
      <c r="F458" s="26"/>
      <c r="G458" s="30"/>
      <c r="H458" s="30"/>
      <c r="I458" s="30"/>
      <c r="J458" s="31"/>
      <c r="K458" s="31"/>
      <c r="L458" s="31"/>
      <c r="M458" s="31"/>
      <c r="N458" s="26"/>
      <c r="O458" s="26"/>
      <c r="P458" s="26"/>
      <c r="Q458" s="28"/>
    </row>
    <row r="459" spans="1:17">
      <c r="A459" t="str">
        <f t="shared" si="12"/>
        <v/>
      </c>
      <c r="B459" t="str">
        <f t="shared" si="13"/>
        <v/>
      </c>
      <c r="D459" s="27"/>
      <c r="E459" s="26"/>
      <c r="F459" s="26"/>
      <c r="G459" s="30"/>
      <c r="H459" s="30"/>
      <c r="I459" s="30"/>
      <c r="J459" s="31"/>
      <c r="K459" s="31"/>
      <c r="L459" s="31"/>
      <c r="M459" s="31"/>
      <c r="N459" s="26"/>
      <c r="O459" s="26"/>
      <c r="P459" s="26"/>
      <c r="Q459" s="28"/>
    </row>
    <row r="460" spans="1:17">
      <c r="A460" t="str">
        <f t="shared" si="12"/>
        <v/>
      </c>
      <c r="B460" t="str">
        <f t="shared" si="13"/>
        <v/>
      </c>
      <c r="D460" s="27"/>
      <c r="E460" s="26"/>
      <c r="F460" s="26"/>
      <c r="G460" s="30"/>
      <c r="H460" s="30"/>
      <c r="I460" s="30"/>
      <c r="J460" s="31"/>
      <c r="K460" s="31"/>
      <c r="L460" s="31"/>
      <c r="M460" s="31"/>
      <c r="N460" s="26"/>
      <c r="O460" s="26"/>
      <c r="P460" s="26"/>
      <c r="Q460" s="28"/>
    </row>
    <row r="461" spans="1:17">
      <c r="A461" t="str">
        <f t="shared" si="12"/>
        <v/>
      </c>
      <c r="B461" t="str">
        <f t="shared" si="13"/>
        <v/>
      </c>
      <c r="D461" s="27"/>
      <c r="E461" s="26"/>
      <c r="F461" s="26"/>
      <c r="G461" s="30"/>
      <c r="H461" s="30"/>
      <c r="I461" s="30"/>
      <c r="J461" s="31"/>
      <c r="K461" s="31"/>
      <c r="L461" s="31"/>
      <c r="M461" s="31"/>
      <c r="N461" s="26"/>
      <c r="O461" s="26"/>
      <c r="P461" s="26"/>
      <c r="Q461" s="28"/>
    </row>
    <row r="462" spans="1:17">
      <c r="A462" t="str">
        <f t="shared" ref="A462:A525" si="14">IF($J462=0,"",H462)</f>
        <v/>
      </c>
      <c r="B462" t="str">
        <f t="shared" ref="B462:B525" si="15">IF($J462=0,"",I462)</f>
        <v/>
      </c>
      <c r="D462" s="27"/>
      <c r="E462" s="26"/>
      <c r="F462" s="26"/>
      <c r="G462" s="30"/>
      <c r="H462" s="30"/>
      <c r="I462" s="30"/>
      <c r="J462" s="31"/>
      <c r="K462" s="31"/>
      <c r="L462" s="31"/>
      <c r="M462" s="31"/>
      <c r="N462" s="26"/>
      <c r="O462" s="26"/>
      <c r="P462" s="26"/>
      <c r="Q462" s="28"/>
    </row>
    <row r="463" spans="1:17">
      <c r="A463" t="str">
        <f t="shared" si="14"/>
        <v/>
      </c>
      <c r="B463" t="str">
        <f t="shared" si="15"/>
        <v/>
      </c>
      <c r="D463" s="27"/>
      <c r="E463" s="26"/>
      <c r="F463" s="26"/>
      <c r="G463" s="30"/>
      <c r="H463" s="30"/>
      <c r="I463" s="30"/>
      <c r="J463" s="31"/>
      <c r="K463" s="31"/>
      <c r="L463" s="31"/>
      <c r="M463" s="31"/>
      <c r="N463" s="26"/>
      <c r="O463" s="26"/>
      <c r="P463" s="26"/>
      <c r="Q463" s="28"/>
    </row>
    <row r="464" spans="1:17">
      <c r="A464" t="str">
        <f t="shared" si="14"/>
        <v/>
      </c>
      <c r="B464" t="str">
        <f t="shared" si="15"/>
        <v/>
      </c>
      <c r="D464" s="27"/>
      <c r="E464" s="26"/>
      <c r="F464" s="26"/>
      <c r="G464" s="30"/>
      <c r="H464" s="30"/>
      <c r="I464" s="30"/>
      <c r="J464" s="31"/>
      <c r="K464" s="31"/>
      <c r="L464" s="31"/>
      <c r="M464" s="31"/>
      <c r="N464" s="26"/>
      <c r="O464" s="26"/>
      <c r="P464" s="26"/>
      <c r="Q464" s="28"/>
    </row>
    <row r="465" spans="1:17">
      <c r="A465" t="str">
        <f t="shared" si="14"/>
        <v/>
      </c>
      <c r="B465" t="str">
        <f t="shared" si="15"/>
        <v/>
      </c>
      <c r="D465" s="27"/>
      <c r="E465" s="26"/>
      <c r="F465" s="26"/>
      <c r="G465" s="30"/>
      <c r="H465" s="30"/>
      <c r="I465" s="30"/>
      <c r="J465" s="31"/>
      <c r="K465" s="31"/>
      <c r="L465" s="31"/>
      <c r="M465" s="31"/>
      <c r="N465" s="26"/>
      <c r="O465" s="26"/>
      <c r="P465" s="26"/>
      <c r="Q465" s="28"/>
    </row>
    <row r="466" spans="1:17">
      <c r="A466" t="str">
        <f t="shared" si="14"/>
        <v/>
      </c>
      <c r="B466" t="str">
        <f t="shared" si="15"/>
        <v/>
      </c>
      <c r="D466" s="27"/>
      <c r="E466" s="26"/>
      <c r="F466" s="26"/>
      <c r="G466" s="30"/>
      <c r="H466" s="30"/>
      <c r="I466" s="30"/>
      <c r="J466" s="31"/>
      <c r="K466" s="31"/>
      <c r="L466" s="31"/>
      <c r="M466" s="31"/>
      <c r="N466" s="26"/>
      <c r="O466" s="26"/>
      <c r="P466" s="26"/>
      <c r="Q466" s="28"/>
    </row>
    <row r="467" spans="1:17">
      <c r="A467" t="str">
        <f t="shared" si="14"/>
        <v/>
      </c>
      <c r="B467" t="str">
        <f t="shared" si="15"/>
        <v/>
      </c>
      <c r="D467" s="27"/>
      <c r="E467" s="26"/>
      <c r="F467" s="26"/>
      <c r="G467" s="30"/>
      <c r="H467" s="30"/>
      <c r="I467" s="30"/>
      <c r="J467" s="31"/>
      <c r="K467" s="31"/>
      <c r="L467" s="31"/>
      <c r="M467" s="31"/>
      <c r="N467" s="26"/>
      <c r="O467" s="26"/>
      <c r="P467" s="26"/>
      <c r="Q467" s="28"/>
    </row>
    <row r="468" spans="1:17">
      <c r="A468" t="str">
        <f t="shared" si="14"/>
        <v/>
      </c>
      <c r="B468" t="str">
        <f t="shared" si="15"/>
        <v/>
      </c>
      <c r="D468" s="27"/>
      <c r="E468" s="26"/>
      <c r="F468" s="26"/>
      <c r="G468" s="30"/>
      <c r="H468" s="30"/>
      <c r="I468" s="30"/>
      <c r="J468" s="31"/>
      <c r="K468" s="31"/>
      <c r="L468" s="31"/>
      <c r="M468" s="31"/>
      <c r="N468" s="26"/>
      <c r="O468" s="26"/>
      <c r="P468" s="26"/>
      <c r="Q468" s="28"/>
    </row>
    <row r="469" spans="1:17">
      <c r="A469" t="str">
        <f t="shared" si="14"/>
        <v/>
      </c>
      <c r="B469" t="str">
        <f t="shared" si="15"/>
        <v/>
      </c>
      <c r="D469" s="27"/>
      <c r="E469" s="26"/>
      <c r="F469" s="26"/>
      <c r="G469" s="30"/>
      <c r="H469" s="30"/>
      <c r="I469" s="30"/>
      <c r="J469" s="31"/>
      <c r="K469" s="31"/>
      <c r="L469" s="31"/>
      <c r="M469" s="31"/>
      <c r="N469" s="26"/>
      <c r="O469" s="26"/>
      <c r="P469" s="26"/>
      <c r="Q469" s="28"/>
    </row>
    <row r="470" spans="1:17">
      <c r="A470" t="str">
        <f t="shared" si="14"/>
        <v/>
      </c>
      <c r="B470" t="str">
        <f t="shared" si="15"/>
        <v/>
      </c>
      <c r="D470" s="27"/>
      <c r="E470" s="26"/>
      <c r="F470" s="26"/>
      <c r="G470" s="30"/>
      <c r="H470" s="30"/>
      <c r="I470" s="30"/>
      <c r="J470" s="31"/>
      <c r="K470" s="31"/>
      <c r="L470" s="31"/>
      <c r="M470" s="31"/>
      <c r="N470" s="26"/>
      <c r="O470" s="26"/>
      <c r="P470" s="26"/>
      <c r="Q470" s="28"/>
    </row>
    <row r="471" spans="1:17">
      <c r="A471" t="str">
        <f t="shared" si="14"/>
        <v/>
      </c>
      <c r="B471" t="str">
        <f t="shared" si="15"/>
        <v/>
      </c>
      <c r="D471" s="27"/>
      <c r="E471" s="26"/>
      <c r="F471" s="26"/>
      <c r="G471" s="30"/>
      <c r="H471" s="30"/>
      <c r="I471" s="30"/>
      <c r="J471" s="31"/>
      <c r="K471" s="31"/>
      <c r="L471" s="31"/>
      <c r="M471" s="31"/>
      <c r="N471" s="26"/>
      <c r="O471" s="26"/>
      <c r="P471" s="26"/>
      <c r="Q471" s="28"/>
    </row>
    <row r="472" spans="1:17">
      <c r="A472" t="str">
        <f t="shared" si="14"/>
        <v/>
      </c>
      <c r="B472" t="str">
        <f t="shared" si="15"/>
        <v/>
      </c>
      <c r="D472" s="27"/>
      <c r="E472" s="26"/>
      <c r="F472" s="26"/>
      <c r="G472" s="30"/>
      <c r="H472" s="30"/>
      <c r="I472" s="30"/>
      <c r="J472" s="31"/>
      <c r="K472" s="31"/>
      <c r="L472" s="31"/>
      <c r="M472" s="31"/>
      <c r="N472" s="26"/>
      <c r="O472" s="26"/>
      <c r="P472" s="26"/>
      <c r="Q472" s="28"/>
    </row>
    <row r="473" spans="1:17">
      <c r="A473" t="str">
        <f t="shared" si="14"/>
        <v/>
      </c>
      <c r="B473" t="str">
        <f t="shared" si="15"/>
        <v/>
      </c>
      <c r="D473" s="27"/>
      <c r="E473" s="26"/>
      <c r="F473" s="26"/>
      <c r="G473" s="30"/>
      <c r="H473" s="30"/>
      <c r="I473" s="30"/>
      <c r="J473" s="31"/>
      <c r="K473" s="31"/>
      <c r="L473" s="31"/>
      <c r="M473" s="31"/>
      <c r="N473" s="26"/>
      <c r="O473" s="26"/>
      <c r="P473" s="26"/>
      <c r="Q473" s="28"/>
    </row>
    <row r="474" spans="1:17">
      <c r="A474" t="str">
        <f t="shared" si="14"/>
        <v/>
      </c>
      <c r="B474" t="str">
        <f t="shared" si="15"/>
        <v/>
      </c>
      <c r="D474" s="27"/>
      <c r="E474" s="26"/>
      <c r="F474" s="26"/>
      <c r="G474" s="30"/>
      <c r="H474" s="30"/>
      <c r="I474" s="30"/>
      <c r="J474" s="31"/>
      <c r="K474" s="31"/>
      <c r="L474" s="31"/>
      <c r="M474" s="31"/>
      <c r="N474" s="26"/>
      <c r="O474" s="26"/>
      <c r="P474" s="26"/>
      <c r="Q474" s="28"/>
    </row>
    <row r="475" spans="1:17">
      <c r="A475" t="str">
        <f t="shared" si="14"/>
        <v/>
      </c>
      <c r="B475" t="str">
        <f t="shared" si="15"/>
        <v/>
      </c>
      <c r="D475" s="27"/>
      <c r="E475" s="26"/>
      <c r="F475" s="26"/>
      <c r="G475" s="30"/>
      <c r="H475" s="30"/>
      <c r="I475" s="30"/>
      <c r="J475" s="31"/>
      <c r="K475" s="31"/>
      <c r="L475" s="31"/>
      <c r="M475" s="31"/>
      <c r="N475" s="26"/>
      <c r="O475" s="26"/>
      <c r="P475" s="26"/>
      <c r="Q475" s="28"/>
    </row>
    <row r="476" spans="1:17">
      <c r="A476" t="str">
        <f t="shared" si="14"/>
        <v/>
      </c>
      <c r="B476" t="str">
        <f t="shared" si="15"/>
        <v/>
      </c>
      <c r="D476" s="27"/>
      <c r="E476" s="26"/>
      <c r="F476" s="26"/>
      <c r="G476" s="30"/>
      <c r="H476" s="30"/>
      <c r="I476" s="30"/>
      <c r="J476" s="31"/>
      <c r="K476" s="31"/>
      <c r="L476" s="31"/>
      <c r="M476" s="31"/>
      <c r="N476" s="26"/>
      <c r="O476" s="26"/>
      <c r="P476" s="26"/>
      <c r="Q476" s="28"/>
    </row>
    <row r="477" spans="1:17">
      <c r="A477" t="str">
        <f t="shared" si="14"/>
        <v/>
      </c>
      <c r="B477" t="str">
        <f t="shared" si="15"/>
        <v/>
      </c>
      <c r="D477" s="27"/>
      <c r="E477" s="26"/>
      <c r="F477" s="26"/>
      <c r="G477" s="30"/>
      <c r="H477" s="30"/>
      <c r="I477" s="30"/>
      <c r="J477" s="31"/>
      <c r="K477" s="31"/>
      <c r="L477" s="31"/>
      <c r="M477" s="31"/>
      <c r="N477" s="26"/>
      <c r="O477" s="26"/>
      <c r="P477" s="26"/>
      <c r="Q477" s="28"/>
    </row>
    <row r="478" spans="1:17">
      <c r="A478" t="str">
        <f t="shared" si="14"/>
        <v/>
      </c>
      <c r="B478" t="str">
        <f t="shared" si="15"/>
        <v/>
      </c>
      <c r="D478" s="27"/>
      <c r="E478" s="26"/>
      <c r="F478" s="26"/>
      <c r="G478" s="30"/>
      <c r="H478" s="30"/>
      <c r="I478" s="30"/>
      <c r="J478" s="31"/>
      <c r="K478" s="31"/>
      <c r="L478" s="31"/>
      <c r="M478" s="31"/>
      <c r="N478" s="26"/>
      <c r="O478" s="26"/>
      <c r="P478" s="26"/>
      <c r="Q478" s="28"/>
    </row>
    <row r="479" spans="1:17">
      <c r="A479" t="str">
        <f t="shared" si="14"/>
        <v/>
      </c>
      <c r="B479" t="str">
        <f t="shared" si="15"/>
        <v/>
      </c>
      <c r="D479" s="27"/>
      <c r="E479" s="26"/>
      <c r="F479" s="26"/>
      <c r="G479" s="30"/>
      <c r="H479" s="30"/>
      <c r="I479" s="30"/>
      <c r="J479" s="31"/>
      <c r="K479" s="31"/>
      <c r="L479" s="31"/>
      <c r="M479" s="31"/>
      <c r="N479" s="26"/>
      <c r="O479" s="26"/>
      <c r="P479" s="26"/>
      <c r="Q479" s="28"/>
    </row>
    <row r="480" spans="1:17">
      <c r="A480" t="str">
        <f t="shared" si="14"/>
        <v/>
      </c>
      <c r="B480" t="str">
        <f t="shared" si="15"/>
        <v/>
      </c>
      <c r="D480" s="27"/>
      <c r="E480" s="26"/>
      <c r="F480" s="26"/>
      <c r="G480" s="30"/>
      <c r="H480" s="30"/>
      <c r="I480" s="30"/>
      <c r="J480" s="31"/>
      <c r="K480" s="31"/>
      <c r="L480" s="31"/>
      <c r="M480" s="31"/>
      <c r="N480" s="26"/>
      <c r="O480" s="26"/>
      <c r="P480" s="26"/>
      <c r="Q480" s="28"/>
    </row>
    <row r="481" spans="1:17">
      <c r="A481" t="str">
        <f t="shared" si="14"/>
        <v/>
      </c>
      <c r="B481" t="str">
        <f t="shared" si="15"/>
        <v/>
      </c>
      <c r="D481" s="27"/>
      <c r="E481" s="26"/>
      <c r="F481" s="26"/>
      <c r="G481" s="30"/>
      <c r="H481" s="30"/>
      <c r="I481" s="30"/>
      <c r="J481" s="31"/>
      <c r="K481" s="31"/>
      <c r="L481" s="31"/>
      <c r="M481" s="31"/>
      <c r="N481" s="26"/>
      <c r="O481" s="26"/>
      <c r="P481" s="26"/>
      <c r="Q481" s="28"/>
    </row>
    <row r="482" spans="1:17">
      <c r="A482" t="str">
        <f t="shared" si="14"/>
        <v/>
      </c>
      <c r="B482" t="str">
        <f t="shared" si="15"/>
        <v/>
      </c>
      <c r="D482" s="27"/>
      <c r="E482" s="26"/>
      <c r="F482" s="26"/>
      <c r="G482" s="30"/>
      <c r="H482" s="30"/>
      <c r="I482" s="30"/>
      <c r="J482" s="31"/>
      <c r="K482" s="31"/>
      <c r="L482" s="31"/>
      <c r="M482" s="31"/>
      <c r="N482" s="26"/>
      <c r="O482" s="26"/>
      <c r="P482" s="26"/>
      <c r="Q482" s="28"/>
    </row>
    <row r="483" spans="1:17">
      <c r="A483" t="str">
        <f t="shared" si="14"/>
        <v/>
      </c>
      <c r="B483" t="str">
        <f t="shared" si="15"/>
        <v/>
      </c>
      <c r="D483" s="27"/>
      <c r="E483" s="26"/>
      <c r="F483" s="26"/>
      <c r="G483" s="30"/>
      <c r="H483" s="30"/>
      <c r="I483" s="30"/>
      <c r="J483" s="31"/>
      <c r="K483" s="31"/>
      <c r="L483" s="31"/>
      <c r="M483" s="31"/>
      <c r="N483" s="26"/>
      <c r="O483" s="26"/>
      <c r="P483" s="26"/>
      <c r="Q483" s="28"/>
    </row>
    <row r="484" spans="1:17">
      <c r="A484" t="str">
        <f t="shared" si="14"/>
        <v/>
      </c>
      <c r="B484" t="str">
        <f t="shared" si="15"/>
        <v/>
      </c>
      <c r="D484" s="27"/>
      <c r="E484" s="26"/>
      <c r="F484" s="26"/>
      <c r="G484" s="30"/>
      <c r="H484" s="30"/>
      <c r="I484" s="30"/>
      <c r="J484" s="31"/>
      <c r="K484" s="31"/>
      <c r="L484" s="31"/>
      <c r="M484" s="31"/>
      <c r="N484" s="26"/>
      <c r="O484" s="26"/>
      <c r="P484" s="26"/>
      <c r="Q484" s="28"/>
    </row>
    <row r="485" spans="1:17">
      <c r="A485" t="str">
        <f t="shared" si="14"/>
        <v/>
      </c>
      <c r="B485" t="str">
        <f t="shared" si="15"/>
        <v/>
      </c>
      <c r="D485" s="27"/>
      <c r="E485" s="26"/>
      <c r="F485" s="26"/>
      <c r="G485" s="30"/>
      <c r="H485" s="30"/>
      <c r="I485" s="30"/>
      <c r="J485" s="31"/>
      <c r="K485" s="31"/>
      <c r="L485" s="31"/>
      <c r="M485" s="31"/>
      <c r="N485" s="26"/>
      <c r="O485" s="26"/>
      <c r="P485" s="26"/>
      <c r="Q485" s="28"/>
    </row>
    <row r="486" spans="1:17">
      <c r="A486" t="str">
        <f t="shared" si="14"/>
        <v/>
      </c>
      <c r="B486" t="str">
        <f t="shared" si="15"/>
        <v/>
      </c>
      <c r="D486" s="27"/>
      <c r="E486" s="26"/>
      <c r="F486" s="26"/>
      <c r="G486" s="30"/>
      <c r="H486" s="30"/>
      <c r="I486" s="30"/>
      <c r="J486" s="31"/>
      <c r="K486" s="31"/>
      <c r="L486" s="31"/>
      <c r="M486" s="31"/>
      <c r="N486" s="26"/>
      <c r="O486" s="26"/>
      <c r="P486" s="26"/>
      <c r="Q486" s="28"/>
    </row>
    <row r="487" spans="1:17">
      <c r="A487" t="str">
        <f t="shared" si="14"/>
        <v/>
      </c>
      <c r="B487" t="str">
        <f t="shared" si="15"/>
        <v/>
      </c>
      <c r="D487" s="27"/>
      <c r="E487" s="26"/>
      <c r="F487" s="26"/>
      <c r="G487" s="30"/>
      <c r="H487" s="30"/>
      <c r="I487" s="30"/>
      <c r="J487" s="31"/>
      <c r="K487" s="31"/>
      <c r="L487" s="31"/>
      <c r="M487" s="31"/>
      <c r="N487" s="26"/>
      <c r="O487" s="26"/>
      <c r="P487" s="26"/>
      <c r="Q487" s="28"/>
    </row>
    <row r="488" spans="1:17">
      <c r="A488" t="str">
        <f t="shared" si="14"/>
        <v/>
      </c>
      <c r="B488" t="str">
        <f t="shared" si="15"/>
        <v/>
      </c>
      <c r="D488" s="27"/>
      <c r="E488" s="26"/>
      <c r="F488" s="26"/>
      <c r="G488" s="30"/>
      <c r="H488" s="30"/>
      <c r="I488" s="30"/>
      <c r="J488" s="31"/>
      <c r="K488" s="31"/>
      <c r="L488" s="31"/>
      <c r="M488" s="31"/>
      <c r="N488" s="26"/>
      <c r="O488" s="26"/>
      <c r="P488" s="26"/>
      <c r="Q488" s="28"/>
    </row>
    <row r="489" spans="1:17">
      <c r="A489" t="str">
        <f t="shared" si="14"/>
        <v/>
      </c>
      <c r="B489" t="str">
        <f t="shared" si="15"/>
        <v/>
      </c>
      <c r="D489" s="27"/>
      <c r="E489" s="26"/>
      <c r="F489" s="26"/>
      <c r="G489" s="30"/>
      <c r="H489" s="30"/>
      <c r="I489" s="30"/>
      <c r="J489" s="31"/>
      <c r="K489" s="31"/>
      <c r="L489" s="31"/>
      <c r="M489" s="31"/>
      <c r="N489" s="26"/>
      <c r="O489" s="26"/>
      <c r="P489" s="26"/>
      <c r="Q489" s="28"/>
    </row>
    <row r="490" spans="1:17">
      <c r="A490" t="str">
        <f t="shared" si="14"/>
        <v/>
      </c>
      <c r="B490" t="str">
        <f t="shared" si="15"/>
        <v/>
      </c>
      <c r="D490" s="27"/>
      <c r="E490" s="26"/>
      <c r="F490" s="26"/>
      <c r="G490" s="30"/>
      <c r="H490" s="30"/>
      <c r="I490" s="30"/>
      <c r="J490" s="31"/>
      <c r="K490" s="31"/>
      <c r="L490" s="31"/>
      <c r="M490" s="31"/>
      <c r="N490" s="26"/>
      <c r="O490" s="26"/>
      <c r="P490" s="26"/>
      <c r="Q490" s="28"/>
    </row>
    <row r="491" spans="1:17">
      <c r="A491" t="str">
        <f t="shared" si="14"/>
        <v/>
      </c>
      <c r="B491" t="str">
        <f t="shared" si="15"/>
        <v/>
      </c>
      <c r="D491" s="27"/>
      <c r="E491" s="26"/>
      <c r="F491" s="26"/>
      <c r="G491" s="30"/>
      <c r="H491" s="30"/>
      <c r="I491" s="30"/>
      <c r="J491" s="31"/>
      <c r="K491" s="31"/>
      <c r="L491" s="31"/>
      <c r="M491" s="31"/>
      <c r="N491" s="26"/>
      <c r="O491" s="26"/>
      <c r="P491" s="26"/>
      <c r="Q491" s="28"/>
    </row>
    <row r="492" spans="1:17">
      <c r="A492" t="str">
        <f t="shared" si="14"/>
        <v/>
      </c>
      <c r="B492" t="str">
        <f t="shared" si="15"/>
        <v/>
      </c>
      <c r="D492" s="27"/>
      <c r="E492" s="26"/>
      <c r="F492" s="26"/>
      <c r="G492" s="30"/>
      <c r="H492" s="30"/>
      <c r="I492" s="30"/>
      <c r="J492" s="31"/>
      <c r="K492" s="31"/>
      <c r="L492" s="31"/>
      <c r="M492" s="31"/>
      <c r="N492" s="26"/>
      <c r="O492" s="26"/>
      <c r="P492" s="26"/>
      <c r="Q492" s="28"/>
    </row>
    <row r="493" spans="1:17">
      <c r="A493" t="str">
        <f t="shared" si="14"/>
        <v/>
      </c>
      <c r="B493" t="str">
        <f t="shared" si="15"/>
        <v/>
      </c>
      <c r="D493" s="27"/>
      <c r="E493" s="26"/>
      <c r="F493" s="26"/>
      <c r="G493" s="30"/>
      <c r="H493" s="30"/>
      <c r="I493" s="30"/>
      <c r="J493" s="31"/>
      <c r="K493" s="31"/>
      <c r="L493" s="31"/>
      <c r="M493" s="31"/>
      <c r="N493" s="26"/>
      <c r="O493" s="26"/>
      <c r="P493" s="26"/>
      <c r="Q493" s="28"/>
    </row>
    <row r="494" spans="1:17">
      <c r="A494" t="str">
        <f t="shared" si="14"/>
        <v/>
      </c>
      <c r="B494" t="str">
        <f t="shared" si="15"/>
        <v/>
      </c>
      <c r="D494" s="27"/>
      <c r="E494" s="26"/>
      <c r="F494" s="26"/>
      <c r="G494" s="30"/>
      <c r="H494" s="30"/>
      <c r="I494" s="30"/>
      <c r="J494" s="31"/>
      <c r="K494" s="31"/>
      <c r="L494" s="31"/>
      <c r="M494" s="31"/>
      <c r="N494" s="26"/>
      <c r="O494" s="26"/>
      <c r="P494" s="26"/>
      <c r="Q494" s="28"/>
    </row>
    <row r="495" spans="1:17">
      <c r="A495" t="str">
        <f t="shared" si="14"/>
        <v/>
      </c>
      <c r="B495" t="str">
        <f t="shared" si="15"/>
        <v/>
      </c>
      <c r="D495" s="27"/>
      <c r="E495" s="26"/>
      <c r="F495" s="26"/>
      <c r="G495" s="30"/>
      <c r="H495" s="30"/>
      <c r="I495" s="30"/>
      <c r="J495" s="31"/>
      <c r="K495" s="31"/>
      <c r="L495" s="31"/>
      <c r="M495" s="31"/>
      <c r="N495" s="26"/>
      <c r="O495" s="26"/>
      <c r="P495" s="26"/>
      <c r="Q495" s="28"/>
    </row>
    <row r="496" spans="1:17">
      <c r="A496" t="str">
        <f t="shared" si="14"/>
        <v/>
      </c>
      <c r="B496" t="str">
        <f t="shared" si="15"/>
        <v/>
      </c>
      <c r="D496" s="27"/>
      <c r="E496" s="26"/>
      <c r="F496" s="26"/>
      <c r="G496" s="30"/>
      <c r="H496" s="30"/>
      <c r="I496" s="30"/>
      <c r="J496" s="31"/>
      <c r="K496" s="31"/>
      <c r="L496" s="31"/>
      <c r="M496" s="31"/>
      <c r="N496" s="26"/>
      <c r="O496" s="26"/>
      <c r="P496" s="26"/>
      <c r="Q496" s="28"/>
    </row>
    <row r="497" spans="1:17">
      <c r="A497" t="str">
        <f t="shared" si="14"/>
        <v/>
      </c>
      <c r="B497" t="str">
        <f t="shared" si="15"/>
        <v/>
      </c>
      <c r="D497" s="27"/>
      <c r="E497" s="26"/>
      <c r="F497" s="26"/>
      <c r="G497" s="30"/>
      <c r="H497" s="30"/>
      <c r="I497" s="30"/>
      <c r="J497" s="31"/>
      <c r="K497" s="31"/>
      <c r="L497" s="31"/>
      <c r="M497" s="31"/>
      <c r="N497" s="26"/>
      <c r="O497" s="26"/>
      <c r="P497" s="26"/>
      <c r="Q497" s="28"/>
    </row>
    <row r="498" spans="1:17">
      <c r="A498" t="str">
        <f t="shared" si="14"/>
        <v/>
      </c>
      <c r="B498" t="str">
        <f t="shared" si="15"/>
        <v/>
      </c>
      <c r="D498" s="27"/>
      <c r="E498" s="26"/>
      <c r="F498" s="26"/>
      <c r="G498" s="30"/>
      <c r="H498" s="30"/>
      <c r="I498" s="30"/>
      <c r="J498" s="31"/>
      <c r="K498" s="31"/>
      <c r="L498" s="31"/>
      <c r="M498" s="31"/>
      <c r="N498" s="26"/>
      <c r="O498" s="26"/>
      <c r="P498" s="26"/>
      <c r="Q498" s="28"/>
    </row>
    <row r="499" spans="1:17">
      <c r="A499" t="str">
        <f t="shared" si="14"/>
        <v/>
      </c>
      <c r="B499" t="str">
        <f t="shared" si="15"/>
        <v/>
      </c>
      <c r="D499" s="27"/>
      <c r="E499" s="26"/>
      <c r="F499" s="26"/>
      <c r="G499" s="30"/>
      <c r="H499" s="30"/>
      <c r="I499" s="30"/>
      <c r="J499" s="31"/>
      <c r="K499" s="31"/>
      <c r="L499" s="31"/>
      <c r="M499" s="31"/>
      <c r="N499" s="26"/>
      <c r="O499" s="26"/>
      <c r="P499" s="26"/>
      <c r="Q499" s="28"/>
    </row>
    <row r="500" spans="1:17">
      <c r="A500" t="str">
        <f t="shared" si="14"/>
        <v/>
      </c>
      <c r="B500" t="str">
        <f t="shared" si="15"/>
        <v/>
      </c>
      <c r="D500" s="27"/>
      <c r="E500" s="26"/>
      <c r="F500" s="26"/>
      <c r="G500" s="30"/>
      <c r="H500" s="30"/>
      <c r="I500" s="30"/>
      <c r="J500" s="31"/>
      <c r="K500" s="31"/>
      <c r="L500" s="31"/>
      <c r="M500" s="31"/>
      <c r="N500" s="26"/>
      <c r="O500" s="26"/>
      <c r="P500" s="26"/>
      <c r="Q500" s="28"/>
    </row>
    <row r="501" spans="1:17">
      <c r="A501" t="str">
        <f t="shared" si="14"/>
        <v/>
      </c>
      <c r="B501" t="str">
        <f t="shared" si="15"/>
        <v/>
      </c>
      <c r="D501" s="27"/>
      <c r="E501" s="26"/>
      <c r="F501" s="26"/>
      <c r="G501" s="30"/>
      <c r="H501" s="30"/>
      <c r="I501" s="30"/>
      <c r="J501" s="31"/>
      <c r="K501" s="31"/>
      <c r="L501" s="31"/>
      <c r="M501" s="31"/>
      <c r="N501" s="26"/>
      <c r="O501" s="26"/>
      <c r="P501" s="26"/>
      <c r="Q501" s="28"/>
    </row>
    <row r="502" spans="1:17">
      <c r="A502" t="str">
        <f t="shared" si="14"/>
        <v/>
      </c>
      <c r="B502" t="str">
        <f t="shared" si="15"/>
        <v/>
      </c>
      <c r="D502" s="27"/>
      <c r="E502" s="26"/>
      <c r="F502" s="26"/>
      <c r="G502" s="30"/>
      <c r="H502" s="30"/>
      <c r="I502" s="30"/>
      <c r="J502" s="31"/>
      <c r="K502" s="31"/>
      <c r="L502" s="31"/>
      <c r="M502" s="31"/>
      <c r="N502" s="26"/>
      <c r="O502" s="26"/>
      <c r="P502" s="26"/>
      <c r="Q502" s="28"/>
    </row>
    <row r="503" spans="1:17">
      <c r="A503" t="str">
        <f t="shared" si="14"/>
        <v/>
      </c>
      <c r="B503" t="str">
        <f t="shared" si="15"/>
        <v/>
      </c>
      <c r="D503" s="27"/>
      <c r="E503" s="26"/>
      <c r="F503" s="26"/>
      <c r="G503" s="30"/>
      <c r="H503" s="30"/>
      <c r="I503" s="30"/>
      <c r="J503" s="31"/>
      <c r="K503" s="31"/>
      <c r="L503" s="31"/>
      <c r="M503" s="31"/>
      <c r="N503" s="26"/>
      <c r="O503" s="26"/>
      <c r="P503" s="26"/>
      <c r="Q503" s="28"/>
    </row>
    <row r="504" spans="1:17">
      <c r="A504" t="str">
        <f t="shared" si="14"/>
        <v/>
      </c>
      <c r="B504" t="str">
        <f t="shared" si="15"/>
        <v/>
      </c>
      <c r="D504" s="27"/>
      <c r="E504" s="26"/>
      <c r="F504" s="26"/>
      <c r="G504" s="30"/>
      <c r="H504" s="30"/>
      <c r="I504" s="30"/>
      <c r="J504" s="31"/>
      <c r="K504" s="31"/>
      <c r="L504" s="31"/>
      <c r="M504" s="31"/>
      <c r="N504" s="26"/>
      <c r="O504" s="26"/>
      <c r="P504" s="26"/>
      <c r="Q504" s="28"/>
    </row>
    <row r="505" spans="1:17">
      <c r="A505" t="str">
        <f t="shared" si="14"/>
        <v/>
      </c>
      <c r="B505" t="str">
        <f t="shared" si="15"/>
        <v/>
      </c>
      <c r="D505" s="27"/>
      <c r="E505" s="26"/>
      <c r="F505" s="26"/>
      <c r="G505" s="30"/>
      <c r="H505" s="30"/>
      <c r="I505" s="30"/>
      <c r="J505" s="31"/>
      <c r="K505" s="31"/>
      <c r="L505" s="31"/>
      <c r="M505" s="31"/>
      <c r="N505" s="26"/>
      <c r="O505" s="26"/>
      <c r="P505" s="26"/>
      <c r="Q505" s="28"/>
    </row>
    <row r="506" spans="1:17">
      <c r="A506" t="str">
        <f t="shared" si="14"/>
        <v/>
      </c>
      <c r="B506" t="str">
        <f t="shared" si="15"/>
        <v/>
      </c>
      <c r="D506" s="27"/>
      <c r="E506" s="26"/>
      <c r="F506" s="26"/>
      <c r="G506" s="30"/>
      <c r="H506" s="30"/>
      <c r="I506" s="30"/>
      <c r="J506" s="31"/>
      <c r="K506" s="31"/>
      <c r="L506" s="31"/>
      <c r="M506" s="31"/>
      <c r="N506" s="26"/>
      <c r="O506" s="26"/>
      <c r="P506" s="26"/>
      <c r="Q506" s="28"/>
    </row>
    <row r="507" spans="1:17">
      <c r="A507" t="str">
        <f t="shared" si="14"/>
        <v/>
      </c>
      <c r="B507" t="str">
        <f t="shared" si="15"/>
        <v/>
      </c>
      <c r="D507" s="27"/>
      <c r="E507" s="26"/>
      <c r="F507" s="26"/>
      <c r="G507" s="30"/>
      <c r="H507" s="30"/>
      <c r="I507" s="30"/>
      <c r="J507" s="31"/>
      <c r="K507" s="31"/>
      <c r="L507" s="31"/>
      <c r="M507" s="31"/>
      <c r="N507" s="26"/>
      <c r="O507" s="26"/>
      <c r="P507" s="26"/>
      <c r="Q507" s="28"/>
    </row>
    <row r="508" spans="1:17">
      <c r="A508" t="str">
        <f t="shared" si="14"/>
        <v/>
      </c>
      <c r="B508" t="str">
        <f t="shared" si="15"/>
        <v/>
      </c>
      <c r="D508" s="27"/>
      <c r="E508" s="26"/>
      <c r="F508" s="26"/>
      <c r="G508" s="30"/>
      <c r="H508" s="30"/>
      <c r="I508" s="30"/>
      <c r="J508" s="31"/>
      <c r="K508" s="31"/>
      <c r="L508" s="31"/>
      <c r="M508" s="31"/>
      <c r="N508" s="26"/>
      <c r="O508" s="26"/>
      <c r="P508" s="26"/>
      <c r="Q508" s="28"/>
    </row>
    <row r="509" spans="1:17">
      <c r="A509" t="str">
        <f t="shared" si="14"/>
        <v/>
      </c>
      <c r="B509" t="str">
        <f t="shared" si="15"/>
        <v/>
      </c>
      <c r="D509" s="27"/>
      <c r="E509" s="26"/>
      <c r="F509" s="26"/>
      <c r="G509" s="30"/>
      <c r="H509" s="30"/>
      <c r="I509" s="30"/>
      <c r="J509" s="31"/>
      <c r="K509" s="31"/>
      <c r="L509" s="31"/>
      <c r="M509" s="31"/>
      <c r="N509" s="26"/>
      <c r="O509" s="26"/>
      <c r="P509" s="26"/>
      <c r="Q509" s="28"/>
    </row>
    <row r="510" spans="1:17">
      <c r="A510" t="str">
        <f t="shared" si="14"/>
        <v/>
      </c>
      <c r="B510" t="str">
        <f t="shared" si="15"/>
        <v/>
      </c>
      <c r="D510" s="27"/>
      <c r="E510" s="26"/>
      <c r="F510" s="26"/>
      <c r="G510" s="30"/>
      <c r="H510" s="30"/>
      <c r="I510" s="30"/>
      <c r="J510" s="31"/>
      <c r="K510" s="31"/>
      <c r="L510" s="31"/>
      <c r="M510" s="31"/>
      <c r="N510" s="26"/>
      <c r="O510" s="26"/>
      <c r="P510" s="26"/>
      <c r="Q510" s="28"/>
    </row>
    <row r="511" spans="1:17">
      <c r="A511" t="str">
        <f t="shared" si="14"/>
        <v/>
      </c>
      <c r="B511" t="str">
        <f t="shared" si="15"/>
        <v/>
      </c>
      <c r="D511" s="27"/>
      <c r="E511" s="26"/>
      <c r="F511" s="26"/>
      <c r="G511" s="30"/>
      <c r="H511" s="30"/>
      <c r="I511" s="30"/>
      <c r="J511" s="31"/>
      <c r="K511" s="31"/>
      <c r="L511" s="31"/>
      <c r="M511" s="31"/>
      <c r="N511" s="26"/>
      <c r="O511" s="26"/>
      <c r="P511" s="26"/>
      <c r="Q511" s="28"/>
    </row>
    <row r="512" spans="1:17">
      <c r="A512" t="str">
        <f t="shared" si="14"/>
        <v/>
      </c>
      <c r="B512" t="str">
        <f t="shared" si="15"/>
        <v/>
      </c>
      <c r="D512" s="27"/>
      <c r="E512" s="26"/>
      <c r="F512" s="26"/>
      <c r="G512" s="30"/>
      <c r="H512" s="30"/>
      <c r="I512" s="30"/>
      <c r="J512" s="31"/>
      <c r="K512" s="31"/>
      <c r="L512" s="31"/>
      <c r="M512" s="31"/>
      <c r="N512" s="26"/>
      <c r="O512" s="26"/>
      <c r="P512" s="26"/>
      <c r="Q512" s="28"/>
    </row>
    <row r="513" spans="1:17">
      <c r="A513" t="str">
        <f t="shared" si="14"/>
        <v/>
      </c>
      <c r="B513" t="str">
        <f t="shared" si="15"/>
        <v/>
      </c>
      <c r="D513" s="27"/>
      <c r="E513" s="26"/>
      <c r="F513" s="26"/>
      <c r="G513" s="30"/>
      <c r="H513" s="30"/>
      <c r="I513" s="30"/>
      <c r="J513" s="31"/>
      <c r="K513" s="31"/>
      <c r="L513" s="31"/>
      <c r="M513" s="31"/>
      <c r="N513" s="26"/>
      <c r="O513" s="26"/>
      <c r="P513" s="26"/>
      <c r="Q513" s="28"/>
    </row>
    <row r="514" spans="1:17">
      <c r="A514" t="str">
        <f t="shared" si="14"/>
        <v/>
      </c>
      <c r="B514" t="str">
        <f t="shared" si="15"/>
        <v/>
      </c>
      <c r="D514" s="27"/>
      <c r="E514" s="26"/>
      <c r="F514" s="26"/>
      <c r="G514" s="30"/>
      <c r="H514" s="30"/>
      <c r="I514" s="30"/>
      <c r="J514" s="31"/>
      <c r="K514" s="31"/>
      <c r="L514" s="31"/>
      <c r="M514" s="31"/>
      <c r="N514" s="26"/>
      <c r="O514" s="26"/>
      <c r="P514" s="26"/>
      <c r="Q514" s="28"/>
    </row>
    <row r="515" spans="1:17">
      <c r="A515" t="str">
        <f t="shared" si="14"/>
        <v/>
      </c>
      <c r="B515" t="str">
        <f t="shared" si="15"/>
        <v/>
      </c>
      <c r="D515" s="27"/>
      <c r="E515" s="26"/>
      <c r="F515" s="26"/>
      <c r="G515" s="30"/>
      <c r="H515" s="30"/>
      <c r="I515" s="30"/>
      <c r="J515" s="31"/>
      <c r="K515" s="31"/>
      <c r="L515" s="31"/>
      <c r="M515" s="31"/>
      <c r="N515" s="26"/>
      <c r="O515" s="26"/>
      <c r="P515" s="26"/>
      <c r="Q515" s="28"/>
    </row>
    <row r="516" spans="1:17">
      <c r="A516" t="str">
        <f t="shared" si="14"/>
        <v/>
      </c>
      <c r="B516" t="str">
        <f t="shared" si="15"/>
        <v/>
      </c>
      <c r="D516" s="27"/>
      <c r="E516" s="26"/>
      <c r="F516" s="26"/>
      <c r="G516" s="30"/>
      <c r="H516" s="30"/>
      <c r="I516" s="30"/>
      <c r="J516" s="31"/>
      <c r="K516" s="31"/>
      <c r="L516" s="31"/>
      <c r="M516" s="31"/>
      <c r="N516" s="26"/>
      <c r="O516" s="26"/>
      <c r="P516" s="26"/>
      <c r="Q516" s="28"/>
    </row>
    <row r="517" spans="1:17">
      <c r="A517" t="str">
        <f t="shared" si="14"/>
        <v/>
      </c>
      <c r="B517" t="str">
        <f t="shared" si="15"/>
        <v/>
      </c>
      <c r="D517" s="27"/>
      <c r="E517" s="26"/>
      <c r="F517" s="26"/>
      <c r="G517" s="30"/>
      <c r="H517" s="30"/>
      <c r="I517" s="30"/>
      <c r="J517" s="31"/>
      <c r="K517" s="31"/>
      <c r="L517" s="31"/>
      <c r="M517" s="31"/>
      <c r="N517" s="26"/>
      <c r="O517" s="26"/>
      <c r="P517" s="26"/>
      <c r="Q517" s="28"/>
    </row>
    <row r="518" spans="1:17">
      <c r="A518" t="str">
        <f t="shared" si="14"/>
        <v/>
      </c>
      <c r="B518" t="str">
        <f t="shared" si="15"/>
        <v/>
      </c>
      <c r="D518" s="27"/>
      <c r="E518" s="26"/>
      <c r="F518" s="26"/>
      <c r="G518" s="30"/>
      <c r="H518" s="30"/>
      <c r="I518" s="30"/>
      <c r="J518" s="31"/>
      <c r="K518" s="31"/>
      <c r="L518" s="31"/>
      <c r="M518" s="31"/>
      <c r="N518" s="26"/>
      <c r="O518" s="26"/>
      <c r="P518" s="26"/>
      <c r="Q518" s="28"/>
    </row>
    <row r="519" spans="1:17">
      <c r="A519" t="str">
        <f t="shared" si="14"/>
        <v/>
      </c>
      <c r="B519" t="str">
        <f t="shared" si="15"/>
        <v/>
      </c>
      <c r="D519" s="27"/>
      <c r="E519" s="26"/>
      <c r="F519" s="26"/>
      <c r="G519" s="30"/>
      <c r="H519" s="30"/>
      <c r="I519" s="30"/>
      <c r="J519" s="31"/>
      <c r="K519" s="31"/>
      <c r="L519" s="31"/>
      <c r="M519" s="31"/>
      <c r="N519" s="26"/>
      <c r="O519" s="26"/>
      <c r="P519" s="26"/>
      <c r="Q519" s="28"/>
    </row>
    <row r="520" spans="1:17">
      <c r="A520" t="str">
        <f t="shared" si="14"/>
        <v/>
      </c>
      <c r="B520" t="str">
        <f t="shared" si="15"/>
        <v/>
      </c>
      <c r="D520" s="27"/>
      <c r="E520" s="26"/>
      <c r="F520" s="26"/>
      <c r="G520" s="30"/>
      <c r="H520" s="30"/>
      <c r="I520" s="30"/>
      <c r="J520" s="31"/>
      <c r="K520" s="31"/>
      <c r="L520" s="31"/>
      <c r="M520" s="31"/>
      <c r="N520" s="26"/>
      <c r="O520" s="26"/>
      <c r="P520" s="26"/>
      <c r="Q520" s="28"/>
    </row>
    <row r="521" spans="1:17">
      <c r="A521" t="str">
        <f t="shared" si="14"/>
        <v/>
      </c>
      <c r="B521" t="str">
        <f t="shared" si="15"/>
        <v/>
      </c>
      <c r="D521" s="27"/>
      <c r="E521" s="26"/>
      <c r="F521" s="26"/>
      <c r="G521" s="30"/>
      <c r="H521" s="30"/>
      <c r="I521" s="30"/>
      <c r="J521" s="31"/>
      <c r="K521" s="31"/>
      <c r="L521" s="31"/>
      <c r="M521" s="31"/>
      <c r="N521" s="26"/>
      <c r="O521" s="26"/>
      <c r="P521" s="26"/>
      <c r="Q521" s="28"/>
    </row>
    <row r="522" spans="1:17">
      <c r="A522" t="str">
        <f t="shared" si="14"/>
        <v/>
      </c>
      <c r="B522" t="str">
        <f t="shared" si="15"/>
        <v/>
      </c>
      <c r="D522" s="27"/>
      <c r="E522" s="26"/>
      <c r="F522" s="26"/>
      <c r="G522" s="30"/>
      <c r="H522" s="30"/>
      <c r="I522" s="30"/>
      <c r="J522" s="31"/>
      <c r="K522" s="31"/>
      <c r="L522" s="31"/>
      <c r="M522" s="31"/>
      <c r="N522" s="26"/>
      <c r="O522" s="26"/>
      <c r="P522" s="26"/>
      <c r="Q522" s="28"/>
    </row>
    <row r="523" spans="1:17">
      <c r="A523" t="str">
        <f t="shared" si="14"/>
        <v/>
      </c>
      <c r="B523" t="str">
        <f t="shared" si="15"/>
        <v/>
      </c>
      <c r="D523" s="27"/>
      <c r="E523" s="26"/>
      <c r="F523" s="26"/>
      <c r="G523" s="30"/>
      <c r="H523" s="30"/>
      <c r="I523" s="30"/>
      <c r="J523" s="31"/>
      <c r="K523" s="31"/>
      <c r="L523" s="31"/>
      <c r="M523" s="31"/>
      <c r="N523" s="26"/>
      <c r="O523" s="26"/>
      <c r="P523" s="26"/>
      <c r="Q523" s="28"/>
    </row>
    <row r="524" spans="1:17">
      <c r="A524" t="str">
        <f t="shared" si="14"/>
        <v/>
      </c>
      <c r="B524" t="str">
        <f t="shared" si="15"/>
        <v/>
      </c>
      <c r="D524" s="27"/>
      <c r="E524" s="26"/>
      <c r="F524" s="26"/>
      <c r="G524" s="30"/>
      <c r="H524" s="30"/>
      <c r="I524" s="30"/>
      <c r="J524" s="31"/>
      <c r="K524" s="31"/>
      <c r="L524" s="31"/>
      <c r="M524" s="31"/>
      <c r="N524" s="26"/>
      <c r="O524" s="26"/>
      <c r="P524" s="26"/>
      <c r="Q524" s="28"/>
    </row>
    <row r="525" spans="1:17">
      <c r="A525" t="str">
        <f t="shared" si="14"/>
        <v/>
      </c>
      <c r="B525" t="str">
        <f t="shared" si="15"/>
        <v/>
      </c>
      <c r="D525" s="27"/>
      <c r="E525" s="26"/>
      <c r="F525" s="26"/>
      <c r="G525" s="30"/>
      <c r="H525" s="30"/>
      <c r="I525" s="30"/>
      <c r="J525" s="31"/>
      <c r="K525" s="31"/>
      <c r="L525" s="31"/>
      <c r="M525" s="31"/>
      <c r="N525" s="26"/>
      <c r="O525" s="26"/>
      <c r="P525" s="26"/>
      <c r="Q525" s="28"/>
    </row>
    <row r="526" spans="1:17">
      <c r="A526" t="str">
        <f t="shared" ref="A526:A589" si="16">IF($J526=0,"",H526)</f>
        <v/>
      </c>
      <c r="B526" t="str">
        <f t="shared" ref="B526:B589" si="17">IF($J526=0,"",I526)</f>
        <v/>
      </c>
      <c r="D526" s="27"/>
      <c r="E526" s="26"/>
      <c r="F526" s="26"/>
      <c r="G526" s="30"/>
      <c r="H526" s="30"/>
      <c r="I526" s="30"/>
      <c r="J526" s="31"/>
      <c r="K526" s="31"/>
      <c r="L526" s="31"/>
      <c r="M526" s="31"/>
      <c r="N526" s="26"/>
      <c r="O526" s="26"/>
      <c r="P526" s="26"/>
      <c r="Q526" s="28"/>
    </row>
    <row r="527" spans="1:17">
      <c r="A527" t="str">
        <f t="shared" si="16"/>
        <v/>
      </c>
      <c r="B527" t="str">
        <f t="shared" si="17"/>
        <v/>
      </c>
      <c r="D527" s="27"/>
      <c r="E527" s="26"/>
      <c r="F527" s="26"/>
      <c r="G527" s="30"/>
      <c r="H527" s="30"/>
      <c r="I527" s="30"/>
      <c r="J527" s="31"/>
      <c r="K527" s="31"/>
      <c r="L527" s="31"/>
      <c r="M527" s="31"/>
      <c r="N527" s="26"/>
      <c r="O527" s="26"/>
      <c r="P527" s="26"/>
      <c r="Q527" s="28"/>
    </row>
    <row r="528" spans="1:17">
      <c r="A528" t="str">
        <f t="shared" si="16"/>
        <v/>
      </c>
      <c r="B528" t="str">
        <f t="shared" si="17"/>
        <v/>
      </c>
      <c r="D528" s="27"/>
      <c r="E528" s="26"/>
      <c r="F528" s="26"/>
      <c r="G528" s="30"/>
      <c r="H528" s="30"/>
      <c r="I528" s="30"/>
      <c r="J528" s="31"/>
      <c r="K528" s="31"/>
      <c r="L528" s="31"/>
      <c r="M528" s="31"/>
      <c r="N528" s="26"/>
      <c r="O528" s="26"/>
      <c r="P528" s="26"/>
      <c r="Q528" s="28"/>
    </row>
    <row r="529" spans="1:17">
      <c r="A529" t="str">
        <f t="shared" si="16"/>
        <v/>
      </c>
      <c r="B529" t="str">
        <f t="shared" si="17"/>
        <v/>
      </c>
      <c r="D529" s="27"/>
      <c r="E529" s="26"/>
      <c r="F529" s="26"/>
      <c r="G529" s="30"/>
      <c r="H529" s="30"/>
      <c r="I529" s="30"/>
      <c r="J529" s="31"/>
      <c r="K529" s="31"/>
      <c r="L529" s="31"/>
      <c r="M529" s="31"/>
      <c r="N529" s="26"/>
      <c r="O529" s="26"/>
      <c r="P529" s="26"/>
      <c r="Q529" s="28"/>
    </row>
    <row r="530" spans="1:17">
      <c r="A530" t="str">
        <f t="shared" si="16"/>
        <v/>
      </c>
      <c r="B530" t="str">
        <f t="shared" si="17"/>
        <v/>
      </c>
      <c r="D530" s="27"/>
      <c r="E530" s="26"/>
      <c r="F530" s="26"/>
      <c r="G530" s="30"/>
      <c r="H530" s="30"/>
      <c r="I530" s="30"/>
      <c r="J530" s="31"/>
      <c r="K530" s="31"/>
      <c r="L530" s="31"/>
      <c r="M530" s="31"/>
      <c r="N530" s="26"/>
      <c r="O530" s="26"/>
      <c r="P530" s="26"/>
      <c r="Q530" s="28"/>
    </row>
    <row r="531" spans="1:17">
      <c r="A531" t="str">
        <f t="shared" si="16"/>
        <v/>
      </c>
      <c r="B531" t="str">
        <f t="shared" si="17"/>
        <v/>
      </c>
      <c r="D531" s="27"/>
      <c r="E531" s="26"/>
      <c r="F531" s="26"/>
      <c r="G531" s="30"/>
      <c r="H531" s="30"/>
      <c r="I531" s="30"/>
      <c r="J531" s="31"/>
      <c r="K531" s="31"/>
      <c r="L531" s="31"/>
      <c r="M531" s="31"/>
      <c r="N531" s="26"/>
      <c r="O531" s="26"/>
      <c r="P531" s="26"/>
      <c r="Q531" s="28"/>
    </row>
    <row r="532" spans="1:17">
      <c r="A532" t="str">
        <f t="shared" si="16"/>
        <v/>
      </c>
      <c r="B532" t="str">
        <f t="shared" si="17"/>
        <v/>
      </c>
      <c r="D532" s="27"/>
      <c r="E532" s="26"/>
      <c r="F532" s="26"/>
      <c r="G532" s="30"/>
      <c r="H532" s="30"/>
      <c r="I532" s="30"/>
      <c r="J532" s="31"/>
      <c r="K532" s="31"/>
      <c r="L532" s="31"/>
      <c r="M532" s="31"/>
      <c r="N532" s="26"/>
      <c r="O532" s="26"/>
      <c r="P532" s="26"/>
      <c r="Q532" s="28"/>
    </row>
    <row r="533" spans="1:17">
      <c r="A533" t="str">
        <f t="shared" si="16"/>
        <v/>
      </c>
      <c r="B533" t="str">
        <f t="shared" si="17"/>
        <v/>
      </c>
      <c r="D533" s="27"/>
      <c r="E533" s="26"/>
      <c r="F533" s="26"/>
      <c r="G533" s="30"/>
      <c r="H533" s="30"/>
      <c r="I533" s="30"/>
      <c r="J533" s="31"/>
      <c r="K533" s="31"/>
      <c r="L533" s="31"/>
      <c r="M533" s="31"/>
      <c r="N533" s="26"/>
      <c r="O533" s="26"/>
      <c r="P533" s="26"/>
      <c r="Q533" s="28"/>
    </row>
    <row r="534" spans="1:17">
      <c r="A534" t="str">
        <f t="shared" si="16"/>
        <v/>
      </c>
      <c r="B534" t="str">
        <f t="shared" si="17"/>
        <v/>
      </c>
      <c r="D534" s="27"/>
      <c r="E534" s="26"/>
      <c r="F534" s="26"/>
      <c r="G534" s="30"/>
      <c r="H534" s="30"/>
      <c r="I534" s="30"/>
      <c r="J534" s="31"/>
      <c r="K534" s="31"/>
      <c r="L534" s="31"/>
      <c r="M534" s="31"/>
      <c r="N534" s="26"/>
      <c r="O534" s="26"/>
      <c r="P534" s="26"/>
      <c r="Q534" s="28"/>
    </row>
    <row r="535" spans="1:17">
      <c r="A535" t="str">
        <f t="shared" si="16"/>
        <v/>
      </c>
      <c r="B535" t="str">
        <f t="shared" si="17"/>
        <v/>
      </c>
      <c r="D535" s="27"/>
      <c r="E535" s="26"/>
      <c r="F535" s="26"/>
      <c r="G535" s="30"/>
      <c r="H535" s="30"/>
      <c r="I535" s="30"/>
      <c r="J535" s="31"/>
      <c r="K535" s="31"/>
      <c r="L535" s="31"/>
      <c r="M535" s="31"/>
      <c r="N535" s="26"/>
      <c r="O535" s="26"/>
      <c r="P535" s="26"/>
      <c r="Q535" s="28"/>
    </row>
    <row r="536" spans="1:17">
      <c r="A536" t="str">
        <f t="shared" si="16"/>
        <v/>
      </c>
      <c r="B536" t="str">
        <f t="shared" si="17"/>
        <v/>
      </c>
      <c r="D536" s="27"/>
      <c r="E536" s="26"/>
      <c r="F536" s="26"/>
      <c r="G536" s="30"/>
      <c r="H536" s="30"/>
      <c r="I536" s="30"/>
      <c r="J536" s="31"/>
      <c r="K536" s="31"/>
      <c r="L536" s="31"/>
      <c r="M536" s="31"/>
      <c r="N536" s="26"/>
      <c r="O536" s="26"/>
      <c r="P536" s="26"/>
      <c r="Q536" s="28"/>
    </row>
    <row r="537" spans="1:17">
      <c r="A537" t="str">
        <f t="shared" si="16"/>
        <v/>
      </c>
      <c r="B537" t="str">
        <f t="shared" si="17"/>
        <v/>
      </c>
      <c r="D537" s="27"/>
      <c r="E537" s="26"/>
      <c r="F537" s="26"/>
      <c r="G537" s="30"/>
      <c r="H537" s="30"/>
      <c r="I537" s="30"/>
      <c r="J537" s="31"/>
      <c r="K537" s="31"/>
      <c r="L537" s="31"/>
      <c r="M537" s="31"/>
      <c r="N537" s="26"/>
      <c r="O537" s="26"/>
      <c r="P537" s="26"/>
      <c r="Q537" s="28"/>
    </row>
    <row r="538" spans="1:17">
      <c r="A538" t="str">
        <f t="shared" si="16"/>
        <v/>
      </c>
      <c r="B538" t="str">
        <f t="shared" si="17"/>
        <v/>
      </c>
      <c r="D538" s="27"/>
      <c r="E538" s="26"/>
      <c r="F538" s="26"/>
      <c r="G538" s="30"/>
      <c r="H538" s="30"/>
      <c r="I538" s="30"/>
      <c r="J538" s="31"/>
      <c r="K538" s="31"/>
      <c r="L538" s="31"/>
      <c r="M538" s="31"/>
      <c r="N538" s="26"/>
      <c r="O538" s="26"/>
      <c r="P538" s="26"/>
      <c r="Q538" s="28"/>
    </row>
    <row r="539" spans="1:17">
      <c r="A539" t="str">
        <f t="shared" si="16"/>
        <v/>
      </c>
      <c r="B539" t="str">
        <f t="shared" si="17"/>
        <v/>
      </c>
      <c r="D539" s="27"/>
      <c r="E539" s="26"/>
      <c r="F539" s="26"/>
      <c r="G539" s="30"/>
      <c r="H539" s="30"/>
      <c r="I539" s="30"/>
      <c r="J539" s="31"/>
      <c r="K539" s="31"/>
      <c r="L539" s="31"/>
      <c r="M539" s="31"/>
      <c r="N539" s="26"/>
      <c r="O539" s="26"/>
      <c r="P539" s="26"/>
      <c r="Q539" s="28"/>
    </row>
    <row r="540" spans="1:17">
      <c r="A540" t="str">
        <f t="shared" si="16"/>
        <v/>
      </c>
      <c r="B540" t="str">
        <f t="shared" si="17"/>
        <v/>
      </c>
      <c r="D540" s="27"/>
      <c r="E540" s="26"/>
      <c r="F540" s="26"/>
      <c r="G540" s="30"/>
      <c r="H540" s="30"/>
      <c r="I540" s="30"/>
      <c r="J540" s="31"/>
      <c r="K540" s="31"/>
      <c r="L540" s="31"/>
      <c r="M540" s="31"/>
      <c r="N540" s="26"/>
      <c r="O540" s="26"/>
      <c r="P540" s="26"/>
      <c r="Q540" s="28"/>
    </row>
    <row r="541" spans="1:17">
      <c r="A541" t="str">
        <f t="shared" si="16"/>
        <v/>
      </c>
      <c r="B541" t="str">
        <f t="shared" si="17"/>
        <v/>
      </c>
      <c r="D541" s="27"/>
      <c r="E541" s="26"/>
      <c r="F541" s="26"/>
      <c r="G541" s="30"/>
      <c r="H541" s="30"/>
      <c r="I541" s="30"/>
      <c r="J541" s="31"/>
      <c r="K541" s="31"/>
      <c r="L541" s="31"/>
      <c r="M541" s="31"/>
      <c r="N541" s="26"/>
      <c r="O541" s="26"/>
      <c r="P541" s="26"/>
      <c r="Q541" s="28"/>
    </row>
    <row r="542" spans="1:17">
      <c r="A542" t="str">
        <f t="shared" si="16"/>
        <v/>
      </c>
      <c r="B542" t="str">
        <f t="shared" si="17"/>
        <v/>
      </c>
      <c r="D542" s="27"/>
      <c r="E542" s="26"/>
      <c r="F542" s="26"/>
      <c r="G542" s="30"/>
      <c r="H542" s="30"/>
      <c r="I542" s="30"/>
      <c r="J542" s="31"/>
      <c r="K542" s="31"/>
      <c r="L542" s="31"/>
      <c r="M542" s="31"/>
      <c r="N542" s="26"/>
      <c r="O542" s="26"/>
      <c r="P542" s="26"/>
      <c r="Q542" s="28"/>
    </row>
    <row r="543" spans="1:17">
      <c r="A543" t="str">
        <f t="shared" si="16"/>
        <v/>
      </c>
      <c r="B543" t="str">
        <f t="shared" si="17"/>
        <v/>
      </c>
      <c r="D543" s="27"/>
      <c r="E543" s="26"/>
      <c r="F543" s="26"/>
      <c r="G543" s="30"/>
      <c r="H543" s="30"/>
      <c r="I543" s="30"/>
      <c r="J543" s="31"/>
      <c r="K543" s="31"/>
      <c r="L543" s="31"/>
      <c r="M543" s="31"/>
      <c r="N543" s="26"/>
      <c r="O543" s="26"/>
      <c r="P543" s="26"/>
      <c r="Q543" s="28"/>
    </row>
    <row r="544" spans="1:17">
      <c r="A544" t="str">
        <f t="shared" si="16"/>
        <v/>
      </c>
      <c r="B544" t="str">
        <f t="shared" si="17"/>
        <v/>
      </c>
      <c r="D544" s="27"/>
      <c r="E544" s="26"/>
      <c r="F544" s="26"/>
      <c r="G544" s="30"/>
      <c r="H544" s="30"/>
      <c r="I544" s="30"/>
      <c r="J544" s="31"/>
      <c r="K544" s="31"/>
      <c r="L544" s="31"/>
      <c r="M544" s="31"/>
      <c r="N544" s="26"/>
      <c r="O544" s="26"/>
      <c r="P544" s="26"/>
      <c r="Q544" s="28"/>
    </row>
    <row r="545" spans="1:17">
      <c r="A545" t="str">
        <f t="shared" si="16"/>
        <v/>
      </c>
      <c r="B545" t="str">
        <f t="shared" si="17"/>
        <v/>
      </c>
      <c r="D545" s="27"/>
      <c r="E545" s="26"/>
      <c r="F545" s="26"/>
      <c r="G545" s="30"/>
      <c r="H545" s="30"/>
      <c r="I545" s="30"/>
      <c r="J545" s="31"/>
      <c r="K545" s="31"/>
      <c r="L545" s="31"/>
      <c r="M545" s="31"/>
      <c r="N545" s="26"/>
      <c r="O545" s="26"/>
      <c r="P545" s="26"/>
      <c r="Q545" s="28"/>
    </row>
    <row r="546" spans="1:17">
      <c r="A546" t="str">
        <f t="shared" si="16"/>
        <v/>
      </c>
      <c r="B546" t="str">
        <f t="shared" si="17"/>
        <v/>
      </c>
      <c r="D546" s="27"/>
      <c r="E546" s="26"/>
      <c r="F546" s="26"/>
      <c r="G546" s="30"/>
      <c r="H546" s="30"/>
      <c r="I546" s="30"/>
      <c r="J546" s="31"/>
      <c r="K546" s="31"/>
      <c r="L546" s="31"/>
      <c r="M546" s="31"/>
      <c r="N546" s="26"/>
      <c r="O546" s="26"/>
      <c r="P546" s="26"/>
      <c r="Q546" s="28"/>
    </row>
    <row r="547" spans="1:17">
      <c r="A547" t="str">
        <f t="shared" si="16"/>
        <v/>
      </c>
      <c r="B547" t="str">
        <f t="shared" si="17"/>
        <v/>
      </c>
      <c r="D547" s="27"/>
      <c r="E547" s="26"/>
      <c r="F547" s="26"/>
      <c r="G547" s="30"/>
      <c r="H547" s="30"/>
      <c r="I547" s="30"/>
      <c r="J547" s="31"/>
      <c r="K547" s="31"/>
      <c r="L547" s="31"/>
      <c r="M547" s="31"/>
      <c r="N547" s="26"/>
      <c r="O547" s="26"/>
      <c r="P547" s="26"/>
      <c r="Q547" s="28"/>
    </row>
    <row r="548" spans="1:17">
      <c r="A548" t="str">
        <f t="shared" si="16"/>
        <v/>
      </c>
      <c r="B548" t="str">
        <f t="shared" si="17"/>
        <v/>
      </c>
      <c r="D548" s="27"/>
      <c r="E548" s="26"/>
      <c r="F548" s="26"/>
      <c r="G548" s="30"/>
      <c r="H548" s="30"/>
      <c r="I548" s="30"/>
      <c r="J548" s="31"/>
      <c r="K548" s="31"/>
      <c r="L548" s="31"/>
      <c r="M548" s="31"/>
      <c r="N548" s="26"/>
      <c r="O548" s="26"/>
      <c r="P548" s="26"/>
      <c r="Q548" s="28"/>
    </row>
    <row r="549" spans="1:17">
      <c r="A549" t="str">
        <f t="shared" si="16"/>
        <v/>
      </c>
      <c r="B549" t="str">
        <f t="shared" si="17"/>
        <v/>
      </c>
      <c r="D549" s="27"/>
      <c r="E549" s="26"/>
      <c r="F549" s="26"/>
      <c r="G549" s="30"/>
      <c r="H549" s="30"/>
      <c r="I549" s="30"/>
      <c r="J549" s="31"/>
      <c r="K549" s="31"/>
      <c r="L549" s="31"/>
      <c r="M549" s="31"/>
      <c r="N549" s="26"/>
      <c r="O549" s="26"/>
      <c r="P549" s="26"/>
      <c r="Q549" s="28"/>
    </row>
    <row r="550" spans="1:17">
      <c r="A550" t="str">
        <f t="shared" si="16"/>
        <v/>
      </c>
      <c r="B550" t="str">
        <f t="shared" si="17"/>
        <v/>
      </c>
      <c r="D550" s="27"/>
      <c r="E550" s="26"/>
      <c r="F550" s="26"/>
      <c r="G550" s="30"/>
      <c r="H550" s="30"/>
      <c r="I550" s="30"/>
      <c r="J550" s="31"/>
      <c r="K550" s="31"/>
      <c r="L550" s="31"/>
      <c r="M550" s="31"/>
      <c r="N550" s="26"/>
      <c r="O550" s="26"/>
      <c r="P550" s="26"/>
      <c r="Q550" s="28"/>
    </row>
    <row r="551" spans="1:17">
      <c r="A551" t="str">
        <f t="shared" si="16"/>
        <v/>
      </c>
      <c r="B551" t="str">
        <f t="shared" si="17"/>
        <v/>
      </c>
      <c r="D551" s="27"/>
      <c r="E551" s="26"/>
      <c r="F551" s="26"/>
      <c r="G551" s="30"/>
      <c r="H551" s="30"/>
      <c r="I551" s="30"/>
      <c r="J551" s="31"/>
      <c r="K551" s="31"/>
      <c r="L551" s="31"/>
      <c r="M551" s="31"/>
      <c r="N551" s="26"/>
      <c r="O551" s="26"/>
      <c r="P551" s="26"/>
      <c r="Q551" s="28"/>
    </row>
    <row r="552" spans="1:17">
      <c r="A552" t="str">
        <f t="shared" si="16"/>
        <v/>
      </c>
      <c r="B552" t="str">
        <f t="shared" si="17"/>
        <v/>
      </c>
      <c r="D552" s="27"/>
      <c r="E552" s="26"/>
      <c r="F552" s="26"/>
      <c r="G552" s="30"/>
      <c r="H552" s="30"/>
      <c r="I552" s="30"/>
      <c r="J552" s="31"/>
      <c r="K552" s="31"/>
      <c r="L552" s="31"/>
      <c r="M552" s="31"/>
      <c r="N552" s="26"/>
      <c r="O552" s="26"/>
      <c r="P552" s="26"/>
      <c r="Q552" s="28"/>
    </row>
    <row r="553" spans="1:17">
      <c r="A553" t="str">
        <f t="shared" si="16"/>
        <v/>
      </c>
      <c r="B553" t="str">
        <f t="shared" si="17"/>
        <v/>
      </c>
      <c r="D553" s="27"/>
      <c r="E553" s="26"/>
      <c r="F553" s="26"/>
      <c r="G553" s="30"/>
      <c r="H553" s="30"/>
      <c r="I553" s="30"/>
      <c r="J553" s="31"/>
      <c r="K553" s="31"/>
      <c r="L553" s="31"/>
      <c r="M553" s="31"/>
      <c r="N553" s="26"/>
      <c r="O553" s="26"/>
      <c r="P553" s="26"/>
      <c r="Q553" s="28"/>
    </row>
    <row r="554" spans="1:17">
      <c r="A554" t="str">
        <f t="shared" si="16"/>
        <v/>
      </c>
      <c r="B554" t="str">
        <f t="shared" si="17"/>
        <v/>
      </c>
      <c r="D554" s="27"/>
      <c r="E554" s="26"/>
      <c r="F554" s="26"/>
      <c r="G554" s="30"/>
      <c r="H554" s="30"/>
      <c r="I554" s="30"/>
      <c r="J554" s="31"/>
      <c r="K554" s="31"/>
      <c r="L554" s="31"/>
      <c r="M554" s="31"/>
      <c r="N554" s="26"/>
      <c r="O554" s="26"/>
      <c r="P554" s="26"/>
      <c r="Q554" s="28"/>
    </row>
    <row r="555" spans="1:17">
      <c r="A555" t="str">
        <f t="shared" si="16"/>
        <v/>
      </c>
      <c r="B555" t="str">
        <f t="shared" si="17"/>
        <v/>
      </c>
      <c r="D555" s="27"/>
      <c r="E555" s="26"/>
      <c r="F555" s="26"/>
      <c r="G555" s="30"/>
      <c r="H555" s="30"/>
      <c r="I555" s="30"/>
      <c r="J555" s="31"/>
      <c r="K555" s="31"/>
      <c r="L555" s="31"/>
      <c r="M555" s="31"/>
      <c r="N555" s="26"/>
      <c r="O555" s="26"/>
      <c r="P555" s="26"/>
      <c r="Q555" s="28"/>
    </row>
    <row r="556" spans="1:17">
      <c r="A556" t="str">
        <f t="shared" si="16"/>
        <v/>
      </c>
      <c r="B556" t="str">
        <f t="shared" si="17"/>
        <v/>
      </c>
      <c r="D556" s="27"/>
      <c r="E556" s="26"/>
      <c r="F556" s="26"/>
      <c r="G556" s="30"/>
      <c r="H556" s="30"/>
      <c r="I556" s="30"/>
      <c r="J556" s="31"/>
      <c r="K556" s="31"/>
      <c r="L556" s="31"/>
      <c r="M556" s="31"/>
      <c r="N556" s="26"/>
      <c r="O556" s="26"/>
      <c r="P556" s="26"/>
      <c r="Q556" s="28"/>
    </row>
    <row r="557" spans="1:17">
      <c r="A557" t="str">
        <f t="shared" si="16"/>
        <v/>
      </c>
      <c r="B557" t="str">
        <f t="shared" si="17"/>
        <v/>
      </c>
      <c r="D557" s="27"/>
      <c r="E557" s="26"/>
      <c r="F557" s="26"/>
      <c r="G557" s="30"/>
      <c r="H557" s="30"/>
      <c r="I557" s="30"/>
      <c r="J557" s="31"/>
      <c r="K557" s="31"/>
      <c r="L557" s="31"/>
      <c r="M557" s="31"/>
      <c r="N557" s="26"/>
      <c r="O557" s="26"/>
      <c r="P557" s="26"/>
      <c r="Q557" s="28"/>
    </row>
    <row r="558" spans="1:17">
      <c r="A558" t="str">
        <f t="shared" si="16"/>
        <v/>
      </c>
      <c r="B558" t="str">
        <f t="shared" si="17"/>
        <v/>
      </c>
      <c r="D558" s="27"/>
      <c r="E558" s="26"/>
      <c r="F558" s="26"/>
      <c r="G558" s="30"/>
      <c r="H558" s="30"/>
      <c r="I558" s="30"/>
      <c r="J558" s="31"/>
      <c r="K558" s="31"/>
      <c r="L558" s="31"/>
      <c r="M558" s="31"/>
      <c r="N558" s="26"/>
      <c r="O558" s="26"/>
      <c r="P558" s="26"/>
      <c r="Q558" s="28"/>
    </row>
    <row r="559" spans="1:17">
      <c r="A559" t="str">
        <f t="shared" si="16"/>
        <v/>
      </c>
      <c r="B559" t="str">
        <f t="shared" si="17"/>
        <v/>
      </c>
      <c r="D559" s="27"/>
      <c r="E559" s="26"/>
      <c r="F559" s="26"/>
      <c r="G559" s="30"/>
      <c r="H559" s="30"/>
      <c r="I559" s="30"/>
      <c r="J559" s="31"/>
      <c r="K559" s="31"/>
      <c r="L559" s="31"/>
      <c r="M559" s="31"/>
      <c r="N559" s="26"/>
      <c r="O559" s="26"/>
      <c r="P559" s="26"/>
      <c r="Q559" s="28"/>
    </row>
    <row r="560" spans="1:17">
      <c r="A560" t="str">
        <f t="shared" si="16"/>
        <v/>
      </c>
      <c r="B560" t="str">
        <f t="shared" si="17"/>
        <v/>
      </c>
      <c r="D560" s="27"/>
      <c r="E560" s="26"/>
      <c r="F560" s="26"/>
      <c r="G560" s="30"/>
      <c r="H560" s="30"/>
      <c r="I560" s="30"/>
      <c r="J560" s="31"/>
      <c r="K560" s="31"/>
      <c r="L560" s="31"/>
      <c r="M560" s="31"/>
      <c r="N560" s="26"/>
      <c r="O560" s="26"/>
      <c r="P560" s="26"/>
      <c r="Q560" s="28"/>
    </row>
    <row r="561" spans="1:17">
      <c r="A561" t="str">
        <f t="shared" si="16"/>
        <v/>
      </c>
      <c r="B561" t="str">
        <f t="shared" si="17"/>
        <v/>
      </c>
      <c r="D561" s="27"/>
      <c r="E561" s="26"/>
      <c r="F561" s="26"/>
      <c r="G561" s="30"/>
      <c r="H561" s="30"/>
      <c r="I561" s="30"/>
      <c r="J561" s="31"/>
      <c r="K561" s="31"/>
      <c r="L561" s="31"/>
      <c r="M561" s="31"/>
      <c r="N561" s="26"/>
      <c r="O561" s="26"/>
      <c r="P561" s="26"/>
      <c r="Q561" s="28"/>
    </row>
    <row r="562" spans="1:17">
      <c r="A562" t="str">
        <f t="shared" si="16"/>
        <v/>
      </c>
      <c r="B562" t="str">
        <f t="shared" si="17"/>
        <v/>
      </c>
      <c r="D562" s="27"/>
      <c r="E562" s="26"/>
      <c r="F562" s="26"/>
      <c r="G562" s="30"/>
      <c r="H562" s="30"/>
      <c r="I562" s="30"/>
      <c r="J562" s="31"/>
      <c r="K562" s="31"/>
      <c r="L562" s="31"/>
      <c r="M562" s="31"/>
      <c r="N562" s="26"/>
      <c r="O562" s="26"/>
      <c r="P562" s="26"/>
      <c r="Q562" s="28"/>
    </row>
    <row r="563" spans="1:17">
      <c r="A563" t="str">
        <f t="shared" si="16"/>
        <v/>
      </c>
      <c r="B563" t="str">
        <f t="shared" si="17"/>
        <v/>
      </c>
      <c r="D563" s="27"/>
      <c r="E563" s="26"/>
      <c r="F563" s="26"/>
      <c r="G563" s="30"/>
      <c r="H563" s="30"/>
      <c r="I563" s="30"/>
      <c r="J563" s="31"/>
      <c r="K563" s="31"/>
      <c r="L563" s="31"/>
      <c r="M563" s="31"/>
      <c r="N563" s="26"/>
      <c r="O563" s="26"/>
      <c r="P563" s="26"/>
      <c r="Q563" s="28"/>
    </row>
    <row r="564" spans="1:17">
      <c r="A564" t="str">
        <f t="shared" si="16"/>
        <v/>
      </c>
      <c r="B564" t="str">
        <f t="shared" si="17"/>
        <v/>
      </c>
      <c r="D564" s="27"/>
      <c r="E564" s="26"/>
      <c r="F564" s="26"/>
      <c r="G564" s="30"/>
      <c r="H564" s="30"/>
      <c r="I564" s="30"/>
      <c r="J564" s="31"/>
      <c r="K564" s="31"/>
      <c r="L564" s="31"/>
      <c r="M564" s="31"/>
      <c r="N564" s="26"/>
      <c r="O564" s="26"/>
      <c r="P564" s="26"/>
      <c r="Q564" s="28"/>
    </row>
    <row r="565" spans="1:17">
      <c r="A565" t="str">
        <f t="shared" si="16"/>
        <v/>
      </c>
      <c r="B565" t="str">
        <f t="shared" si="17"/>
        <v/>
      </c>
      <c r="D565" s="27"/>
      <c r="E565" s="26"/>
      <c r="F565" s="26"/>
      <c r="G565" s="30"/>
      <c r="H565" s="30"/>
      <c r="I565" s="30"/>
      <c r="J565" s="31"/>
      <c r="K565" s="31"/>
      <c r="L565" s="31"/>
      <c r="M565" s="31"/>
      <c r="N565" s="26"/>
      <c r="O565" s="26"/>
      <c r="P565" s="26"/>
      <c r="Q565" s="28"/>
    </row>
    <row r="566" spans="1:17">
      <c r="A566" t="str">
        <f t="shared" si="16"/>
        <v/>
      </c>
      <c r="B566" t="str">
        <f t="shared" si="17"/>
        <v/>
      </c>
      <c r="D566" s="27"/>
      <c r="E566" s="26"/>
      <c r="F566" s="26"/>
      <c r="G566" s="30"/>
      <c r="H566" s="30"/>
      <c r="I566" s="30"/>
      <c r="J566" s="31"/>
      <c r="K566" s="31"/>
      <c r="L566" s="31"/>
      <c r="M566" s="31"/>
      <c r="N566" s="26"/>
      <c r="O566" s="26"/>
      <c r="P566" s="26"/>
      <c r="Q566" s="28"/>
    </row>
    <row r="567" spans="1:17">
      <c r="A567" t="str">
        <f t="shared" si="16"/>
        <v/>
      </c>
      <c r="B567" t="str">
        <f t="shared" si="17"/>
        <v/>
      </c>
      <c r="D567" s="27"/>
      <c r="E567" s="26"/>
      <c r="F567" s="26"/>
      <c r="G567" s="30"/>
      <c r="H567" s="30"/>
      <c r="I567" s="30"/>
      <c r="J567" s="31"/>
      <c r="K567" s="31"/>
      <c r="L567" s="31"/>
      <c r="M567" s="31"/>
      <c r="N567" s="26"/>
      <c r="O567" s="26"/>
      <c r="P567" s="26"/>
      <c r="Q567" s="28"/>
    </row>
    <row r="568" spans="1:17">
      <c r="A568" t="str">
        <f t="shared" si="16"/>
        <v/>
      </c>
      <c r="B568" t="str">
        <f t="shared" si="17"/>
        <v/>
      </c>
      <c r="D568" s="27"/>
      <c r="E568" s="26"/>
      <c r="F568" s="26"/>
      <c r="G568" s="30"/>
      <c r="H568" s="30"/>
      <c r="I568" s="30"/>
      <c r="J568" s="31"/>
      <c r="K568" s="31"/>
      <c r="L568" s="31"/>
      <c r="M568" s="31"/>
      <c r="N568" s="26"/>
      <c r="O568" s="26"/>
      <c r="P568" s="26"/>
      <c r="Q568" s="28"/>
    </row>
    <row r="569" spans="1:17">
      <c r="A569" t="str">
        <f t="shared" si="16"/>
        <v/>
      </c>
      <c r="B569" t="str">
        <f t="shared" si="17"/>
        <v/>
      </c>
      <c r="D569" s="27"/>
      <c r="E569" s="26"/>
      <c r="F569" s="26"/>
      <c r="G569" s="30"/>
      <c r="H569" s="30"/>
      <c r="I569" s="30"/>
      <c r="J569" s="31"/>
      <c r="K569" s="31"/>
      <c r="L569" s="31"/>
      <c r="M569" s="31"/>
      <c r="N569" s="26"/>
      <c r="O569" s="26"/>
      <c r="P569" s="26"/>
      <c r="Q569" s="28"/>
    </row>
    <row r="570" spans="1:17">
      <c r="A570" t="str">
        <f t="shared" si="16"/>
        <v/>
      </c>
      <c r="B570" t="str">
        <f t="shared" si="17"/>
        <v/>
      </c>
      <c r="D570" s="27"/>
      <c r="E570" s="26"/>
      <c r="F570" s="26"/>
      <c r="G570" s="30"/>
      <c r="H570" s="30"/>
      <c r="I570" s="30"/>
      <c r="J570" s="31"/>
      <c r="K570" s="31"/>
      <c r="L570" s="31"/>
      <c r="M570" s="31"/>
      <c r="N570" s="26"/>
      <c r="O570" s="26"/>
      <c r="P570" s="26"/>
      <c r="Q570" s="28"/>
    </row>
    <row r="571" spans="1:17">
      <c r="A571" t="str">
        <f t="shared" si="16"/>
        <v/>
      </c>
      <c r="B571" t="str">
        <f t="shared" si="17"/>
        <v/>
      </c>
      <c r="D571" s="27"/>
      <c r="E571" s="26"/>
      <c r="F571" s="26"/>
      <c r="G571" s="30"/>
      <c r="H571" s="30"/>
      <c r="I571" s="30"/>
      <c r="J571" s="31"/>
      <c r="K571" s="31"/>
      <c r="L571" s="31"/>
      <c r="M571" s="31"/>
      <c r="N571" s="26"/>
      <c r="O571" s="26"/>
      <c r="P571" s="26"/>
      <c r="Q571" s="28"/>
    </row>
    <row r="572" spans="1:17">
      <c r="A572" t="str">
        <f t="shared" si="16"/>
        <v/>
      </c>
      <c r="B572" t="str">
        <f t="shared" si="17"/>
        <v/>
      </c>
      <c r="D572" s="27"/>
      <c r="E572" s="26"/>
      <c r="F572" s="26"/>
      <c r="G572" s="30"/>
      <c r="H572" s="30"/>
      <c r="I572" s="30"/>
      <c r="J572" s="31"/>
      <c r="K572" s="31"/>
      <c r="L572" s="31"/>
      <c r="M572" s="31"/>
      <c r="N572" s="26"/>
      <c r="O572" s="26"/>
      <c r="P572" s="26"/>
      <c r="Q572" s="28"/>
    </row>
    <row r="573" spans="1:17">
      <c r="A573" t="str">
        <f t="shared" si="16"/>
        <v/>
      </c>
      <c r="B573" t="str">
        <f t="shared" si="17"/>
        <v/>
      </c>
      <c r="D573" s="27"/>
      <c r="E573" s="26"/>
      <c r="F573" s="26"/>
      <c r="G573" s="30"/>
      <c r="H573" s="30"/>
      <c r="I573" s="30"/>
      <c r="J573" s="31"/>
      <c r="K573" s="31"/>
      <c r="L573" s="31"/>
      <c r="M573" s="31"/>
      <c r="N573" s="26"/>
      <c r="O573" s="26"/>
      <c r="P573" s="26"/>
      <c r="Q573" s="28"/>
    </row>
    <row r="574" spans="1:17">
      <c r="A574" t="str">
        <f t="shared" si="16"/>
        <v/>
      </c>
      <c r="B574" t="str">
        <f t="shared" si="17"/>
        <v/>
      </c>
      <c r="D574" s="27"/>
      <c r="E574" s="26"/>
      <c r="F574" s="26"/>
      <c r="G574" s="30"/>
      <c r="H574" s="30"/>
      <c r="I574" s="30"/>
      <c r="J574" s="31"/>
      <c r="K574" s="31"/>
      <c r="L574" s="31"/>
      <c r="M574" s="31"/>
      <c r="N574" s="26"/>
      <c r="O574" s="26"/>
      <c r="P574" s="26"/>
      <c r="Q574" s="28"/>
    </row>
    <row r="575" spans="1:17">
      <c r="A575" t="str">
        <f t="shared" si="16"/>
        <v/>
      </c>
      <c r="B575" t="str">
        <f t="shared" si="17"/>
        <v/>
      </c>
      <c r="D575" s="27"/>
      <c r="E575" s="26"/>
      <c r="F575" s="26"/>
      <c r="G575" s="30"/>
      <c r="H575" s="30"/>
      <c r="I575" s="30"/>
      <c r="J575" s="31"/>
      <c r="K575" s="31"/>
      <c r="L575" s="31"/>
      <c r="M575" s="31"/>
      <c r="N575" s="26"/>
      <c r="O575" s="26"/>
      <c r="P575" s="26"/>
      <c r="Q575" s="28"/>
    </row>
    <row r="576" spans="1:17">
      <c r="A576" t="str">
        <f t="shared" si="16"/>
        <v/>
      </c>
      <c r="B576" t="str">
        <f t="shared" si="17"/>
        <v/>
      </c>
      <c r="D576" s="27"/>
      <c r="E576" s="26"/>
      <c r="F576" s="26"/>
      <c r="G576" s="30"/>
      <c r="H576" s="30"/>
      <c r="I576" s="30"/>
      <c r="J576" s="31"/>
      <c r="K576" s="31"/>
      <c r="L576" s="31"/>
      <c r="M576" s="31"/>
      <c r="N576" s="26"/>
      <c r="O576" s="26"/>
      <c r="P576" s="26"/>
      <c r="Q576" s="28"/>
    </row>
    <row r="577" spans="1:17">
      <c r="A577" t="str">
        <f t="shared" si="16"/>
        <v/>
      </c>
      <c r="B577" t="str">
        <f t="shared" si="17"/>
        <v/>
      </c>
      <c r="D577" s="27"/>
      <c r="E577" s="26"/>
      <c r="F577" s="26"/>
      <c r="G577" s="30"/>
      <c r="H577" s="30"/>
      <c r="I577" s="30"/>
      <c r="J577" s="31"/>
      <c r="K577" s="31"/>
      <c r="L577" s="31"/>
      <c r="M577" s="31"/>
      <c r="N577" s="26"/>
      <c r="O577" s="26"/>
      <c r="P577" s="26"/>
      <c r="Q577" s="28"/>
    </row>
    <row r="578" spans="1:17">
      <c r="A578" t="str">
        <f t="shared" si="16"/>
        <v/>
      </c>
      <c r="B578" t="str">
        <f t="shared" si="17"/>
        <v/>
      </c>
      <c r="D578" s="27"/>
      <c r="E578" s="26"/>
      <c r="F578" s="26"/>
      <c r="G578" s="30"/>
      <c r="H578" s="30"/>
      <c r="I578" s="30"/>
      <c r="J578" s="31"/>
      <c r="K578" s="31"/>
      <c r="L578" s="31"/>
      <c r="M578" s="31"/>
      <c r="N578" s="26"/>
      <c r="O578" s="26"/>
      <c r="P578" s="26"/>
      <c r="Q578" s="28"/>
    </row>
    <row r="579" spans="1:17">
      <c r="A579" t="str">
        <f t="shared" si="16"/>
        <v/>
      </c>
      <c r="B579" t="str">
        <f t="shared" si="17"/>
        <v/>
      </c>
      <c r="D579" s="27"/>
      <c r="E579" s="26"/>
      <c r="F579" s="26"/>
      <c r="G579" s="30"/>
      <c r="H579" s="30"/>
      <c r="I579" s="30"/>
      <c r="J579" s="31"/>
      <c r="K579" s="31"/>
      <c r="L579" s="31"/>
      <c r="M579" s="31"/>
      <c r="N579" s="26"/>
      <c r="O579" s="26"/>
      <c r="P579" s="26"/>
      <c r="Q579" s="28"/>
    </row>
    <row r="580" spans="1:17">
      <c r="A580" t="str">
        <f t="shared" si="16"/>
        <v/>
      </c>
      <c r="B580" t="str">
        <f t="shared" si="17"/>
        <v/>
      </c>
      <c r="D580" s="27"/>
      <c r="E580" s="26"/>
      <c r="F580" s="26"/>
      <c r="G580" s="30"/>
      <c r="H580" s="30"/>
      <c r="I580" s="30"/>
      <c r="J580" s="31"/>
      <c r="K580" s="31"/>
      <c r="L580" s="31"/>
      <c r="M580" s="31"/>
      <c r="N580" s="26"/>
      <c r="O580" s="26"/>
      <c r="P580" s="26"/>
      <c r="Q580" s="28"/>
    </row>
    <row r="581" spans="1:17">
      <c r="A581" t="str">
        <f t="shared" si="16"/>
        <v/>
      </c>
      <c r="B581" t="str">
        <f t="shared" si="17"/>
        <v/>
      </c>
      <c r="D581" s="27"/>
      <c r="E581" s="26"/>
      <c r="F581" s="26"/>
      <c r="G581" s="30"/>
      <c r="H581" s="30"/>
      <c r="I581" s="30"/>
      <c r="J581" s="31"/>
      <c r="K581" s="31"/>
      <c r="L581" s="31"/>
      <c r="M581" s="31"/>
      <c r="N581" s="26"/>
      <c r="O581" s="26"/>
      <c r="P581" s="26"/>
      <c r="Q581" s="28"/>
    </row>
    <row r="582" spans="1:17">
      <c r="A582" t="str">
        <f t="shared" si="16"/>
        <v/>
      </c>
      <c r="B582" t="str">
        <f t="shared" si="17"/>
        <v/>
      </c>
      <c r="D582" s="27"/>
      <c r="E582" s="26"/>
      <c r="F582" s="26"/>
      <c r="G582" s="30"/>
      <c r="H582" s="30"/>
      <c r="I582" s="30"/>
      <c r="J582" s="31"/>
      <c r="K582" s="31"/>
      <c r="L582" s="31"/>
      <c r="M582" s="31"/>
      <c r="N582" s="26"/>
      <c r="O582" s="26"/>
      <c r="P582" s="26"/>
      <c r="Q582" s="28"/>
    </row>
    <row r="583" spans="1:17">
      <c r="A583" t="str">
        <f t="shared" si="16"/>
        <v/>
      </c>
      <c r="B583" t="str">
        <f t="shared" si="17"/>
        <v/>
      </c>
      <c r="D583" s="27"/>
      <c r="E583" s="26"/>
      <c r="F583" s="26"/>
      <c r="G583" s="30"/>
      <c r="H583" s="30"/>
      <c r="I583" s="30"/>
      <c r="J583" s="31"/>
      <c r="K583" s="31"/>
      <c r="L583" s="31"/>
      <c r="M583" s="31"/>
      <c r="N583" s="26"/>
      <c r="O583" s="26"/>
      <c r="P583" s="26"/>
      <c r="Q583" s="28"/>
    </row>
    <row r="584" spans="1:17">
      <c r="A584" t="str">
        <f t="shared" si="16"/>
        <v/>
      </c>
      <c r="B584" t="str">
        <f t="shared" si="17"/>
        <v/>
      </c>
      <c r="D584" s="27"/>
      <c r="E584" s="26"/>
      <c r="F584" s="26"/>
      <c r="G584" s="30"/>
      <c r="H584" s="30"/>
      <c r="I584" s="30"/>
      <c r="J584" s="31"/>
      <c r="K584" s="31"/>
      <c r="L584" s="31"/>
      <c r="M584" s="31"/>
      <c r="N584" s="26"/>
      <c r="O584" s="26"/>
      <c r="P584" s="26"/>
      <c r="Q584" s="28"/>
    </row>
    <row r="585" spans="1:17">
      <c r="A585" t="str">
        <f t="shared" si="16"/>
        <v/>
      </c>
      <c r="B585" t="str">
        <f t="shared" si="17"/>
        <v/>
      </c>
      <c r="D585" s="27"/>
      <c r="E585" s="26"/>
      <c r="F585" s="26"/>
      <c r="G585" s="30"/>
      <c r="H585" s="30"/>
      <c r="I585" s="30"/>
      <c r="J585" s="31"/>
      <c r="K585" s="31"/>
      <c r="L585" s="31"/>
      <c r="M585" s="31"/>
      <c r="N585" s="26"/>
      <c r="O585" s="26"/>
      <c r="P585" s="26"/>
      <c r="Q585" s="28"/>
    </row>
    <row r="586" spans="1:17">
      <c r="A586" t="str">
        <f t="shared" si="16"/>
        <v/>
      </c>
      <c r="B586" t="str">
        <f t="shared" si="17"/>
        <v/>
      </c>
      <c r="D586" s="27"/>
      <c r="E586" s="26"/>
      <c r="F586" s="26"/>
      <c r="G586" s="30"/>
      <c r="H586" s="30"/>
      <c r="I586" s="30"/>
      <c r="J586" s="31"/>
      <c r="K586" s="31"/>
      <c r="L586" s="31"/>
      <c r="M586" s="31"/>
      <c r="N586" s="26"/>
      <c r="O586" s="26"/>
      <c r="P586" s="26"/>
      <c r="Q586" s="28"/>
    </row>
    <row r="587" spans="1:17">
      <c r="A587" t="str">
        <f t="shared" si="16"/>
        <v/>
      </c>
      <c r="B587" t="str">
        <f t="shared" si="17"/>
        <v/>
      </c>
      <c r="D587" s="27"/>
      <c r="E587" s="26"/>
      <c r="F587" s="26"/>
      <c r="G587" s="30"/>
      <c r="H587" s="30"/>
      <c r="I587" s="30"/>
      <c r="J587" s="31"/>
      <c r="K587" s="31"/>
      <c r="L587" s="31"/>
      <c r="M587" s="31"/>
      <c r="N587" s="26"/>
      <c r="O587" s="26"/>
      <c r="P587" s="26"/>
      <c r="Q587" s="28"/>
    </row>
    <row r="588" spans="1:17">
      <c r="A588" t="str">
        <f t="shared" si="16"/>
        <v/>
      </c>
      <c r="B588" t="str">
        <f t="shared" si="17"/>
        <v/>
      </c>
      <c r="D588" s="27"/>
      <c r="E588" s="26"/>
      <c r="F588" s="26"/>
      <c r="G588" s="30"/>
      <c r="H588" s="30"/>
      <c r="I588" s="30"/>
      <c r="J588" s="31"/>
      <c r="K588" s="31"/>
      <c r="L588" s="31"/>
      <c r="M588" s="31"/>
      <c r="N588" s="26"/>
      <c r="O588" s="26"/>
      <c r="P588" s="26"/>
      <c r="Q588" s="28"/>
    </row>
    <row r="589" spans="1:17">
      <c r="A589" t="str">
        <f t="shared" si="16"/>
        <v/>
      </c>
      <c r="B589" t="str">
        <f t="shared" si="17"/>
        <v/>
      </c>
      <c r="D589" s="27"/>
      <c r="E589" s="26"/>
      <c r="F589" s="26"/>
      <c r="G589" s="30"/>
      <c r="H589" s="30"/>
      <c r="I589" s="30"/>
      <c r="J589" s="31"/>
      <c r="K589" s="31"/>
      <c r="L589" s="31"/>
      <c r="M589" s="31"/>
      <c r="N589" s="26"/>
      <c r="O589" s="26"/>
      <c r="P589" s="26"/>
      <c r="Q589" s="28"/>
    </row>
    <row r="590" spans="1:17">
      <c r="A590" t="str">
        <f t="shared" ref="A590:A653" si="18">IF($J590=0,"",H590)</f>
        <v/>
      </c>
      <c r="B590" t="str">
        <f t="shared" ref="B590:B653" si="19">IF($J590=0,"",I590)</f>
        <v/>
      </c>
      <c r="D590" s="27"/>
      <c r="E590" s="26"/>
      <c r="F590" s="26"/>
      <c r="G590" s="30"/>
      <c r="H590" s="30"/>
      <c r="I590" s="30"/>
      <c r="J590" s="31"/>
      <c r="K590" s="31"/>
      <c r="L590" s="31"/>
      <c r="M590" s="31"/>
      <c r="N590" s="26"/>
      <c r="O590" s="26"/>
      <c r="P590" s="26"/>
      <c r="Q590" s="28"/>
    </row>
    <row r="591" spans="1:17">
      <c r="A591" t="str">
        <f t="shared" si="18"/>
        <v/>
      </c>
      <c r="B591" t="str">
        <f t="shared" si="19"/>
        <v/>
      </c>
      <c r="D591" s="27"/>
      <c r="E591" s="26"/>
      <c r="F591" s="26"/>
      <c r="G591" s="30"/>
      <c r="H591" s="30"/>
      <c r="I591" s="30"/>
      <c r="J591" s="31"/>
      <c r="K591" s="31"/>
      <c r="L591" s="31"/>
      <c r="M591" s="31"/>
      <c r="N591" s="26"/>
      <c r="O591" s="26"/>
      <c r="P591" s="26"/>
      <c r="Q591" s="28"/>
    </row>
    <row r="592" spans="1:17">
      <c r="A592" t="str">
        <f t="shared" si="18"/>
        <v/>
      </c>
      <c r="B592" t="str">
        <f t="shared" si="19"/>
        <v/>
      </c>
      <c r="D592" s="27"/>
      <c r="E592" s="26"/>
      <c r="F592" s="26"/>
      <c r="G592" s="30"/>
      <c r="H592" s="30"/>
      <c r="I592" s="30"/>
      <c r="J592" s="31"/>
      <c r="K592" s="31"/>
      <c r="L592" s="31"/>
      <c r="M592" s="31"/>
      <c r="N592" s="26"/>
      <c r="O592" s="26"/>
      <c r="P592" s="26"/>
      <c r="Q592" s="28"/>
    </row>
    <row r="593" spans="1:17">
      <c r="A593" t="str">
        <f t="shared" si="18"/>
        <v/>
      </c>
      <c r="B593" t="str">
        <f t="shared" si="19"/>
        <v/>
      </c>
      <c r="D593" s="27"/>
      <c r="E593" s="26"/>
      <c r="F593" s="26"/>
      <c r="G593" s="30"/>
      <c r="H593" s="30"/>
      <c r="I593" s="30"/>
      <c r="J593" s="31"/>
      <c r="K593" s="31"/>
      <c r="L593" s="31"/>
      <c r="M593" s="31"/>
      <c r="N593" s="26"/>
      <c r="O593" s="26"/>
      <c r="P593" s="26"/>
      <c r="Q593" s="28"/>
    </row>
    <row r="594" spans="1:17">
      <c r="A594" t="str">
        <f t="shared" si="18"/>
        <v/>
      </c>
      <c r="B594" t="str">
        <f t="shared" si="19"/>
        <v/>
      </c>
      <c r="D594" s="27"/>
      <c r="E594" s="26"/>
      <c r="F594" s="26"/>
      <c r="G594" s="30"/>
      <c r="H594" s="30"/>
      <c r="I594" s="30"/>
      <c r="J594" s="31"/>
      <c r="K594" s="31"/>
      <c r="L594" s="31"/>
      <c r="M594" s="31"/>
      <c r="N594" s="26"/>
      <c r="O594" s="26"/>
      <c r="P594" s="26"/>
      <c r="Q594" s="28"/>
    </row>
    <row r="595" spans="1:17">
      <c r="A595" t="str">
        <f t="shared" si="18"/>
        <v/>
      </c>
      <c r="B595" t="str">
        <f t="shared" si="19"/>
        <v/>
      </c>
      <c r="D595" s="27"/>
      <c r="E595" s="26"/>
      <c r="F595" s="26"/>
      <c r="G595" s="30"/>
      <c r="H595" s="30"/>
      <c r="I595" s="30"/>
      <c r="J595" s="31"/>
      <c r="K595" s="31"/>
      <c r="L595" s="31"/>
      <c r="M595" s="31"/>
      <c r="N595" s="26"/>
      <c r="O595" s="26"/>
      <c r="P595" s="26"/>
      <c r="Q595" s="28"/>
    </row>
    <row r="596" spans="1:17">
      <c r="A596" t="str">
        <f t="shared" si="18"/>
        <v/>
      </c>
      <c r="B596" t="str">
        <f t="shared" si="19"/>
        <v/>
      </c>
      <c r="D596" s="27"/>
      <c r="E596" s="26"/>
      <c r="F596" s="26"/>
      <c r="G596" s="30"/>
      <c r="H596" s="30"/>
      <c r="I596" s="30"/>
      <c r="J596" s="31"/>
      <c r="K596" s="31"/>
      <c r="L596" s="31"/>
      <c r="M596" s="31"/>
      <c r="N596" s="26"/>
      <c r="O596" s="26"/>
      <c r="P596" s="26"/>
      <c r="Q596" s="28"/>
    </row>
    <row r="597" spans="1:17">
      <c r="A597" t="str">
        <f t="shared" si="18"/>
        <v/>
      </c>
      <c r="B597" t="str">
        <f t="shared" si="19"/>
        <v/>
      </c>
      <c r="D597" s="27"/>
      <c r="E597" s="26"/>
      <c r="F597" s="26"/>
      <c r="G597" s="30"/>
      <c r="H597" s="30"/>
      <c r="I597" s="30"/>
      <c r="J597" s="31"/>
      <c r="K597" s="31"/>
      <c r="L597" s="31"/>
      <c r="M597" s="31"/>
      <c r="N597" s="26"/>
      <c r="O597" s="26"/>
      <c r="P597" s="26"/>
      <c r="Q597" s="28"/>
    </row>
    <row r="598" spans="1:17">
      <c r="A598" t="str">
        <f t="shared" si="18"/>
        <v/>
      </c>
      <c r="B598" t="str">
        <f t="shared" si="19"/>
        <v/>
      </c>
      <c r="D598" s="27"/>
      <c r="E598" s="26"/>
      <c r="F598" s="26"/>
      <c r="G598" s="30"/>
      <c r="H598" s="30"/>
      <c r="I598" s="30"/>
      <c r="J598" s="31"/>
      <c r="K598" s="31"/>
      <c r="L598" s="31"/>
      <c r="M598" s="31"/>
      <c r="N598" s="26"/>
      <c r="O598" s="26"/>
      <c r="P598" s="26"/>
      <c r="Q598" s="28"/>
    </row>
    <row r="599" spans="1:17">
      <c r="A599" t="str">
        <f t="shared" si="18"/>
        <v/>
      </c>
      <c r="B599" t="str">
        <f t="shared" si="19"/>
        <v/>
      </c>
      <c r="D599" s="27"/>
      <c r="E599" s="26"/>
      <c r="F599" s="26"/>
      <c r="G599" s="30"/>
      <c r="H599" s="30"/>
      <c r="I599" s="30"/>
      <c r="J599" s="31"/>
      <c r="K599" s="31"/>
      <c r="L599" s="31"/>
      <c r="M599" s="31"/>
      <c r="N599" s="26"/>
      <c r="O599" s="26"/>
      <c r="P599" s="26"/>
      <c r="Q599" s="28"/>
    </row>
    <row r="600" spans="1:17">
      <c r="A600" t="str">
        <f t="shared" si="18"/>
        <v/>
      </c>
      <c r="B600" t="str">
        <f t="shared" si="19"/>
        <v/>
      </c>
      <c r="D600" s="27"/>
      <c r="E600" s="26"/>
      <c r="F600" s="26"/>
      <c r="G600" s="30"/>
      <c r="H600" s="30"/>
      <c r="I600" s="30"/>
      <c r="J600" s="31"/>
      <c r="K600" s="31"/>
      <c r="L600" s="31"/>
      <c r="M600" s="31"/>
      <c r="N600" s="26"/>
      <c r="O600" s="26"/>
      <c r="P600" s="26"/>
      <c r="Q600" s="28"/>
    </row>
    <row r="601" spans="1:17">
      <c r="A601" t="str">
        <f t="shared" si="18"/>
        <v/>
      </c>
      <c r="B601" t="str">
        <f t="shared" si="19"/>
        <v/>
      </c>
      <c r="D601" s="27"/>
      <c r="E601" s="26"/>
      <c r="F601" s="26"/>
      <c r="G601" s="30"/>
      <c r="H601" s="30"/>
      <c r="I601" s="30"/>
      <c r="J601" s="31"/>
      <c r="K601" s="31"/>
      <c r="L601" s="31"/>
      <c r="M601" s="31"/>
      <c r="N601" s="26"/>
      <c r="O601" s="26"/>
      <c r="P601" s="26"/>
      <c r="Q601" s="28"/>
    </row>
    <row r="602" spans="1:17">
      <c r="A602" t="str">
        <f t="shared" si="18"/>
        <v/>
      </c>
      <c r="B602" t="str">
        <f t="shared" si="19"/>
        <v/>
      </c>
      <c r="D602" s="27"/>
      <c r="E602" s="26"/>
      <c r="F602" s="26"/>
      <c r="G602" s="30"/>
      <c r="H602" s="30"/>
      <c r="I602" s="30"/>
      <c r="J602" s="31"/>
      <c r="K602" s="31"/>
      <c r="L602" s="31"/>
      <c r="M602" s="31"/>
      <c r="N602" s="26"/>
      <c r="O602" s="26"/>
      <c r="P602" s="26"/>
      <c r="Q602" s="28"/>
    </row>
    <row r="603" spans="1:17">
      <c r="A603" t="str">
        <f t="shared" si="18"/>
        <v/>
      </c>
      <c r="B603" t="str">
        <f t="shared" si="19"/>
        <v/>
      </c>
      <c r="D603" s="27"/>
      <c r="E603" s="26"/>
      <c r="F603" s="26"/>
      <c r="G603" s="30"/>
      <c r="H603" s="30"/>
      <c r="I603" s="30"/>
      <c r="J603" s="31"/>
      <c r="K603" s="31"/>
      <c r="L603" s="31"/>
      <c r="M603" s="31"/>
      <c r="N603" s="26"/>
      <c r="O603" s="26"/>
      <c r="P603" s="26"/>
      <c r="Q603" s="28"/>
    </row>
    <row r="604" spans="1:17">
      <c r="A604" t="str">
        <f t="shared" si="18"/>
        <v/>
      </c>
      <c r="B604" t="str">
        <f t="shared" si="19"/>
        <v/>
      </c>
      <c r="D604" s="27"/>
      <c r="E604" s="26"/>
      <c r="F604" s="26"/>
      <c r="G604" s="30"/>
      <c r="H604" s="30"/>
      <c r="I604" s="30"/>
      <c r="J604" s="31"/>
      <c r="K604" s="31"/>
      <c r="L604" s="31"/>
      <c r="M604" s="31"/>
      <c r="N604" s="26"/>
      <c r="O604" s="26"/>
      <c r="P604" s="26"/>
      <c r="Q604" s="28"/>
    </row>
    <row r="605" spans="1:17">
      <c r="A605" t="str">
        <f t="shared" si="18"/>
        <v/>
      </c>
      <c r="B605" t="str">
        <f t="shared" si="19"/>
        <v/>
      </c>
      <c r="D605" s="27"/>
      <c r="E605" s="26"/>
      <c r="F605" s="26"/>
      <c r="G605" s="30"/>
      <c r="H605" s="30"/>
      <c r="I605" s="30"/>
      <c r="J605" s="31"/>
      <c r="K605" s="31"/>
      <c r="L605" s="31"/>
      <c r="M605" s="31"/>
      <c r="N605" s="26"/>
      <c r="O605" s="26"/>
      <c r="P605" s="26"/>
      <c r="Q605" s="28"/>
    </row>
    <row r="606" spans="1:17">
      <c r="A606" t="str">
        <f t="shared" si="18"/>
        <v/>
      </c>
      <c r="B606" t="str">
        <f t="shared" si="19"/>
        <v/>
      </c>
      <c r="D606" s="27"/>
      <c r="E606" s="26"/>
      <c r="F606" s="26"/>
      <c r="G606" s="30"/>
      <c r="H606" s="30"/>
      <c r="I606" s="30"/>
      <c r="J606" s="31"/>
      <c r="K606" s="31"/>
      <c r="L606" s="31"/>
      <c r="M606" s="31"/>
      <c r="N606" s="26"/>
      <c r="O606" s="26"/>
      <c r="P606" s="26"/>
      <c r="Q606" s="28"/>
    </row>
    <row r="607" spans="1:17">
      <c r="A607" t="str">
        <f t="shared" si="18"/>
        <v/>
      </c>
      <c r="B607" t="str">
        <f t="shared" si="19"/>
        <v/>
      </c>
      <c r="D607" s="27"/>
      <c r="E607" s="26"/>
      <c r="F607" s="26"/>
      <c r="G607" s="30"/>
      <c r="H607" s="30"/>
      <c r="I607" s="30"/>
      <c r="J607" s="31"/>
      <c r="K607" s="31"/>
      <c r="L607" s="31"/>
      <c r="M607" s="31"/>
      <c r="N607" s="26"/>
      <c r="O607" s="26"/>
      <c r="P607" s="26"/>
      <c r="Q607" s="28"/>
    </row>
    <row r="608" spans="1:17">
      <c r="A608" t="str">
        <f t="shared" si="18"/>
        <v/>
      </c>
      <c r="B608" t="str">
        <f t="shared" si="19"/>
        <v/>
      </c>
      <c r="D608" s="27"/>
      <c r="E608" s="26"/>
      <c r="F608" s="26"/>
      <c r="G608" s="30"/>
      <c r="H608" s="30"/>
      <c r="I608" s="30"/>
      <c r="J608" s="31"/>
      <c r="K608" s="31"/>
      <c r="L608" s="31"/>
      <c r="M608" s="31"/>
      <c r="N608" s="26"/>
      <c r="O608" s="26"/>
      <c r="P608" s="26"/>
      <c r="Q608" s="28"/>
    </row>
    <row r="609" spans="1:17">
      <c r="A609" t="str">
        <f t="shared" si="18"/>
        <v/>
      </c>
      <c r="B609" t="str">
        <f t="shared" si="19"/>
        <v/>
      </c>
      <c r="D609" s="27"/>
      <c r="E609" s="26"/>
      <c r="F609" s="26"/>
      <c r="G609" s="30"/>
      <c r="H609" s="30"/>
      <c r="I609" s="30"/>
      <c r="J609" s="31"/>
      <c r="K609" s="31"/>
      <c r="L609" s="31"/>
      <c r="M609" s="31"/>
      <c r="N609" s="26"/>
      <c r="O609" s="26"/>
      <c r="P609" s="26"/>
      <c r="Q609" s="28"/>
    </row>
    <row r="610" spans="1:17">
      <c r="A610" t="str">
        <f t="shared" si="18"/>
        <v/>
      </c>
      <c r="B610" t="str">
        <f t="shared" si="19"/>
        <v/>
      </c>
      <c r="D610" s="27"/>
      <c r="E610" s="26"/>
      <c r="F610" s="26"/>
      <c r="G610" s="30"/>
      <c r="H610" s="30"/>
      <c r="I610" s="30"/>
      <c r="J610" s="31"/>
      <c r="K610" s="31"/>
      <c r="L610" s="31"/>
      <c r="M610" s="31"/>
      <c r="N610" s="26"/>
      <c r="O610" s="26"/>
      <c r="P610" s="26"/>
      <c r="Q610" s="28"/>
    </row>
    <row r="611" spans="1:17">
      <c r="A611" t="str">
        <f t="shared" si="18"/>
        <v/>
      </c>
      <c r="B611" t="str">
        <f t="shared" si="19"/>
        <v/>
      </c>
      <c r="D611" s="27"/>
      <c r="E611" s="26"/>
      <c r="F611" s="26"/>
      <c r="G611" s="30"/>
      <c r="H611" s="30"/>
      <c r="I611" s="30"/>
      <c r="J611" s="31"/>
      <c r="K611" s="31"/>
      <c r="L611" s="31"/>
      <c r="M611" s="31"/>
      <c r="N611" s="26"/>
      <c r="O611" s="26"/>
      <c r="P611" s="26"/>
      <c r="Q611" s="28"/>
    </row>
    <row r="612" spans="1:17">
      <c r="A612" t="str">
        <f t="shared" si="18"/>
        <v/>
      </c>
      <c r="B612" t="str">
        <f t="shared" si="19"/>
        <v/>
      </c>
      <c r="D612" s="27"/>
      <c r="E612" s="26"/>
      <c r="F612" s="26"/>
      <c r="G612" s="30"/>
      <c r="H612" s="30"/>
      <c r="I612" s="30"/>
      <c r="J612" s="31"/>
      <c r="K612" s="31"/>
      <c r="L612" s="31"/>
      <c r="M612" s="31"/>
      <c r="N612" s="26"/>
      <c r="O612" s="26"/>
      <c r="P612" s="26"/>
      <c r="Q612" s="28"/>
    </row>
    <row r="613" spans="1:17">
      <c r="A613" t="str">
        <f t="shared" si="18"/>
        <v/>
      </c>
      <c r="B613" t="str">
        <f t="shared" si="19"/>
        <v/>
      </c>
      <c r="D613" s="27"/>
      <c r="E613" s="26"/>
      <c r="F613" s="26"/>
      <c r="G613" s="30"/>
      <c r="H613" s="30"/>
      <c r="I613" s="30"/>
      <c r="J613" s="31"/>
      <c r="K613" s="31"/>
      <c r="L613" s="31"/>
      <c r="M613" s="31"/>
      <c r="N613" s="26"/>
      <c r="O613" s="26"/>
      <c r="P613" s="26"/>
      <c r="Q613" s="28"/>
    </row>
    <row r="614" spans="1:17">
      <c r="A614" t="str">
        <f t="shared" si="18"/>
        <v/>
      </c>
      <c r="B614" t="str">
        <f t="shared" si="19"/>
        <v/>
      </c>
      <c r="D614" s="27"/>
      <c r="E614" s="26"/>
      <c r="F614" s="26"/>
      <c r="G614" s="30"/>
      <c r="H614" s="30"/>
      <c r="I614" s="30"/>
      <c r="J614" s="31"/>
      <c r="K614" s="31"/>
      <c r="L614" s="31"/>
      <c r="M614" s="31"/>
      <c r="N614" s="26"/>
      <c r="O614" s="26"/>
      <c r="P614" s="26"/>
      <c r="Q614" s="28"/>
    </row>
    <row r="615" spans="1:17">
      <c r="A615" t="str">
        <f t="shared" si="18"/>
        <v/>
      </c>
      <c r="B615" t="str">
        <f t="shared" si="19"/>
        <v/>
      </c>
      <c r="D615" s="27"/>
      <c r="E615" s="26"/>
      <c r="F615" s="26"/>
      <c r="G615" s="30"/>
      <c r="H615" s="30"/>
      <c r="I615" s="30"/>
      <c r="J615" s="31"/>
      <c r="K615" s="31"/>
      <c r="L615" s="31"/>
      <c r="M615" s="31"/>
      <c r="N615" s="26"/>
      <c r="O615" s="26"/>
      <c r="P615" s="26"/>
      <c r="Q615" s="28"/>
    </row>
    <row r="616" spans="1:17">
      <c r="A616" t="str">
        <f t="shared" si="18"/>
        <v/>
      </c>
      <c r="B616" t="str">
        <f t="shared" si="19"/>
        <v/>
      </c>
      <c r="D616" s="27"/>
      <c r="E616" s="26"/>
      <c r="F616" s="26"/>
      <c r="G616" s="30"/>
      <c r="H616" s="30"/>
      <c r="I616" s="30"/>
      <c r="J616" s="31"/>
      <c r="K616" s="31"/>
      <c r="L616" s="31"/>
      <c r="M616" s="31"/>
      <c r="N616" s="26"/>
      <c r="O616" s="26"/>
      <c r="P616" s="26"/>
      <c r="Q616" s="28"/>
    </row>
    <row r="617" spans="1:17">
      <c r="A617" t="str">
        <f t="shared" si="18"/>
        <v/>
      </c>
      <c r="B617" t="str">
        <f t="shared" si="19"/>
        <v/>
      </c>
      <c r="D617" s="27"/>
      <c r="E617" s="26"/>
      <c r="F617" s="26"/>
      <c r="G617" s="30"/>
      <c r="H617" s="30"/>
      <c r="I617" s="30"/>
      <c r="J617" s="31"/>
      <c r="K617" s="31"/>
      <c r="L617" s="31"/>
      <c r="M617" s="31"/>
      <c r="N617" s="26"/>
      <c r="O617" s="26"/>
      <c r="P617" s="26"/>
      <c r="Q617" s="28"/>
    </row>
    <row r="618" spans="1:17">
      <c r="A618" t="str">
        <f t="shared" si="18"/>
        <v/>
      </c>
      <c r="B618" t="str">
        <f t="shared" si="19"/>
        <v/>
      </c>
      <c r="D618" s="27"/>
      <c r="E618" s="26"/>
      <c r="F618" s="26"/>
      <c r="G618" s="30"/>
      <c r="H618" s="30"/>
      <c r="I618" s="30"/>
      <c r="J618" s="31"/>
      <c r="K618" s="31"/>
      <c r="L618" s="31"/>
      <c r="M618" s="31"/>
      <c r="N618" s="26"/>
      <c r="O618" s="26"/>
      <c r="P618" s="26"/>
      <c r="Q618" s="28"/>
    </row>
    <row r="619" spans="1:17">
      <c r="A619" t="str">
        <f t="shared" si="18"/>
        <v/>
      </c>
      <c r="B619" t="str">
        <f t="shared" si="19"/>
        <v/>
      </c>
      <c r="D619" s="27"/>
      <c r="E619" s="26"/>
      <c r="F619" s="26"/>
      <c r="G619" s="30"/>
      <c r="H619" s="30"/>
      <c r="I619" s="30"/>
      <c r="J619" s="31"/>
      <c r="K619" s="31"/>
      <c r="L619" s="31"/>
      <c r="M619" s="31"/>
      <c r="N619" s="26"/>
      <c r="O619" s="26"/>
      <c r="P619" s="26"/>
      <c r="Q619" s="28"/>
    </row>
    <row r="620" spans="1:17">
      <c r="A620" t="str">
        <f t="shared" si="18"/>
        <v/>
      </c>
      <c r="B620" t="str">
        <f t="shared" si="19"/>
        <v/>
      </c>
      <c r="D620" s="27"/>
      <c r="E620" s="26"/>
      <c r="F620" s="26"/>
      <c r="G620" s="30"/>
      <c r="H620" s="30"/>
      <c r="I620" s="30"/>
      <c r="J620" s="31"/>
      <c r="K620" s="31"/>
      <c r="L620" s="31"/>
      <c r="M620" s="31"/>
      <c r="N620" s="26"/>
      <c r="O620" s="26"/>
      <c r="P620" s="26"/>
      <c r="Q620" s="28"/>
    </row>
    <row r="621" spans="1:17">
      <c r="A621" t="str">
        <f t="shared" si="18"/>
        <v/>
      </c>
      <c r="B621" t="str">
        <f t="shared" si="19"/>
        <v/>
      </c>
      <c r="D621" s="27"/>
      <c r="E621" s="26"/>
      <c r="F621" s="26"/>
      <c r="G621" s="30"/>
      <c r="H621" s="30"/>
      <c r="I621" s="30"/>
      <c r="J621" s="31"/>
      <c r="K621" s="31"/>
      <c r="L621" s="31"/>
      <c r="M621" s="31"/>
      <c r="N621" s="26"/>
      <c r="O621" s="26"/>
      <c r="P621" s="26"/>
      <c r="Q621" s="28"/>
    </row>
    <row r="622" spans="1:17">
      <c r="A622" t="str">
        <f t="shared" si="18"/>
        <v/>
      </c>
      <c r="B622" t="str">
        <f t="shared" si="19"/>
        <v/>
      </c>
      <c r="D622" s="27"/>
      <c r="E622" s="26"/>
      <c r="F622" s="26"/>
      <c r="G622" s="30"/>
      <c r="H622" s="30"/>
      <c r="I622" s="30"/>
      <c r="J622" s="31"/>
      <c r="K622" s="31"/>
      <c r="L622" s="31"/>
      <c r="M622" s="31"/>
      <c r="N622" s="26"/>
      <c r="O622" s="26"/>
      <c r="P622" s="26"/>
      <c r="Q622" s="28"/>
    </row>
    <row r="623" spans="1:17">
      <c r="A623" t="str">
        <f t="shared" si="18"/>
        <v/>
      </c>
      <c r="B623" t="str">
        <f t="shared" si="19"/>
        <v/>
      </c>
      <c r="D623" s="27"/>
      <c r="E623" s="26"/>
      <c r="F623" s="26"/>
      <c r="G623" s="30"/>
      <c r="H623" s="30"/>
      <c r="I623" s="30"/>
      <c r="J623" s="31"/>
      <c r="K623" s="31"/>
      <c r="L623" s="31"/>
      <c r="M623" s="31"/>
      <c r="N623" s="26"/>
      <c r="O623" s="26"/>
      <c r="P623" s="26"/>
      <c r="Q623" s="28"/>
    </row>
    <row r="624" spans="1:17">
      <c r="A624" t="str">
        <f t="shared" si="18"/>
        <v/>
      </c>
      <c r="B624" t="str">
        <f t="shared" si="19"/>
        <v/>
      </c>
      <c r="D624" s="27"/>
      <c r="E624" s="26"/>
      <c r="F624" s="26"/>
      <c r="G624" s="30"/>
      <c r="H624" s="30"/>
      <c r="I624" s="30"/>
      <c r="J624" s="31"/>
      <c r="K624" s="31"/>
      <c r="L624" s="31"/>
      <c r="M624" s="31"/>
      <c r="N624" s="26"/>
      <c r="O624" s="26"/>
      <c r="P624" s="26"/>
      <c r="Q624" s="28"/>
    </row>
    <row r="625" spans="1:17">
      <c r="A625" t="str">
        <f t="shared" si="18"/>
        <v/>
      </c>
      <c r="B625" t="str">
        <f t="shared" si="19"/>
        <v/>
      </c>
      <c r="D625" s="27"/>
      <c r="E625" s="26"/>
      <c r="F625" s="26"/>
      <c r="G625" s="30"/>
      <c r="H625" s="30"/>
      <c r="I625" s="30"/>
      <c r="J625" s="31"/>
      <c r="K625" s="31"/>
      <c r="L625" s="31"/>
      <c r="M625" s="31"/>
      <c r="N625" s="26"/>
      <c r="O625" s="26"/>
      <c r="P625" s="26"/>
      <c r="Q625" s="28"/>
    </row>
    <row r="626" spans="1:17">
      <c r="A626" t="str">
        <f t="shared" si="18"/>
        <v/>
      </c>
      <c r="B626" t="str">
        <f t="shared" si="19"/>
        <v/>
      </c>
      <c r="D626" s="27"/>
      <c r="E626" s="26"/>
      <c r="F626" s="26"/>
      <c r="G626" s="30"/>
      <c r="H626" s="30"/>
      <c r="I626" s="30"/>
      <c r="J626" s="31"/>
      <c r="K626" s="31"/>
      <c r="L626" s="31"/>
      <c r="M626" s="31"/>
      <c r="N626" s="26"/>
      <c r="O626" s="26"/>
      <c r="P626" s="26"/>
      <c r="Q626" s="28"/>
    </row>
    <row r="627" spans="1:17">
      <c r="A627" t="str">
        <f t="shared" si="18"/>
        <v/>
      </c>
      <c r="B627" t="str">
        <f t="shared" si="19"/>
        <v/>
      </c>
      <c r="D627" s="27"/>
      <c r="E627" s="26"/>
      <c r="F627" s="26"/>
      <c r="G627" s="30"/>
      <c r="H627" s="30"/>
      <c r="I627" s="30"/>
      <c r="J627" s="31"/>
      <c r="K627" s="31"/>
      <c r="L627" s="31"/>
      <c r="M627" s="31"/>
      <c r="N627" s="26"/>
      <c r="O627" s="26"/>
      <c r="P627" s="26"/>
      <c r="Q627" s="28"/>
    </row>
    <row r="628" spans="1:17">
      <c r="A628" t="str">
        <f t="shared" si="18"/>
        <v/>
      </c>
      <c r="B628" t="str">
        <f t="shared" si="19"/>
        <v/>
      </c>
      <c r="D628" s="27"/>
      <c r="E628" s="26"/>
      <c r="F628" s="26"/>
      <c r="G628" s="30"/>
      <c r="H628" s="30"/>
      <c r="I628" s="30"/>
      <c r="J628" s="31"/>
      <c r="K628" s="31"/>
      <c r="L628" s="31"/>
      <c r="M628" s="31"/>
      <c r="N628" s="26"/>
      <c r="O628" s="26"/>
      <c r="P628" s="26"/>
      <c r="Q628" s="28"/>
    </row>
    <row r="629" spans="1:17">
      <c r="A629" t="str">
        <f t="shared" si="18"/>
        <v/>
      </c>
      <c r="B629" t="str">
        <f t="shared" si="19"/>
        <v/>
      </c>
      <c r="D629" s="27"/>
      <c r="E629" s="26"/>
      <c r="F629" s="26"/>
      <c r="G629" s="30"/>
      <c r="H629" s="30"/>
      <c r="I629" s="30"/>
      <c r="J629" s="31"/>
      <c r="K629" s="31"/>
      <c r="L629" s="31"/>
      <c r="M629" s="31"/>
      <c r="N629" s="26"/>
      <c r="O629" s="26"/>
      <c r="P629" s="26"/>
      <c r="Q629" s="28"/>
    </row>
    <row r="630" spans="1:17">
      <c r="A630" t="str">
        <f t="shared" si="18"/>
        <v/>
      </c>
      <c r="B630" t="str">
        <f t="shared" si="19"/>
        <v/>
      </c>
      <c r="D630" s="27"/>
      <c r="E630" s="26"/>
      <c r="F630" s="26"/>
      <c r="G630" s="30"/>
      <c r="H630" s="30"/>
      <c r="I630" s="30"/>
      <c r="J630" s="31"/>
      <c r="K630" s="31"/>
      <c r="L630" s="31"/>
      <c r="M630" s="31"/>
      <c r="N630" s="26"/>
      <c r="O630" s="26"/>
      <c r="P630" s="26"/>
      <c r="Q630" s="28"/>
    </row>
    <row r="631" spans="1:17">
      <c r="A631" t="str">
        <f t="shared" si="18"/>
        <v/>
      </c>
      <c r="B631" t="str">
        <f t="shared" si="19"/>
        <v/>
      </c>
      <c r="D631" s="27"/>
      <c r="E631" s="26"/>
      <c r="F631" s="26"/>
      <c r="G631" s="30"/>
      <c r="H631" s="30"/>
      <c r="I631" s="30"/>
      <c r="J631" s="31"/>
      <c r="K631" s="31"/>
      <c r="L631" s="31"/>
      <c r="M631" s="31"/>
      <c r="N631" s="26"/>
      <c r="O631" s="26"/>
      <c r="P631" s="26"/>
      <c r="Q631" s="28"/>
    </row>
    <row r="632" spans="1:17">
      <c r="A632" t="str">
        <f t="shared" si="18"/>
        <v/>
      </c>
      <c r="B632" t="str">
        <f t="shared" si="19"/>
        <v/>
      </c>
      <c r="D632" s="27"/>
      <c r="E632" s="26"/>
      <c r="F632" s="26"/>
      <c r="G632" s="30"/>
      <c r="H632" s="30"/>
      <c r="I632" s="30"/>
      <c r="J632" s="31"/>
      <c r="K632" s="31"/>
      <c r="L632" s="31"/>
      <c r="M632" s="31"/>
      <c r="N632" s="26"/>
      <c r="O632" s="26"/>
      <c r="P632" s="26"/>
      <c r="Q632" s="28"/>
    </row>
    <row r="633" spans="1:17">
      <c r="A633" t="str">
        <f t="shared" si="18"/>
        <v/>
      </c>
      <c r="B633" t="str">
        <f t="shared" si="19"/>
        <v/>
      </c>
      <c r="D633" s="27"/>
      <c r="E633" s="26"/>
      <c r="F633" s="26"/>
      <c r="G633" s="30"/>
      <c r="H633" s="30"/>
      <c r="I633" s="30"/>
      <c r="J633" s="31"/>
      <c r="K633" s="31"/>
      <c r="L633" s="31"/>
      <c r="M633" s="31"/>
      <c r="N633" s="26"/>
      <c r="O633" s="26"/>
      <c r="P633" s="26"/>
      <c r="Q633" s="28"/>
    </row>
    <row r="634" spans="1:17">
      <c r="A634" t="str">
        <f t="shared" si="18"/>
        <v/>
      </c>
      <c r="B634" t="str">
        <f t="shared" si="19"/>
        <v/>
      </c>
      <c r="D634" s="27"/>
      <c r="E634" s="26"/>
      <c r="F634" s="26"/>
      <c r="G634" s="30"/>
      <c r="H634" s="30"/>
      <c r="I634" s="30"/>
      <c r="J634" s="31"/>
      <c r="K634" s="31"/>
      <c r="L634" s="31"/>
      <c r="M634" s="31"/>
      <c r="N634" s="26"/>
      <c r="O634" s="26"/>
      <c r="P634" s="26"/>
      <c r="Q634" s="28"/>
    </row>
    <row r="635" spans="1:17">
      <c r="A635" t="str">
        <f t="shared" si="18"/>
        <v/>
      </c>
      <c r="B635" t="str">
        <f t="shared" si="19"/>
        <v/>
      </c>
      <c r="D635" s="27"/>
      <c r="E635" s="26"/>
      <c r="F635" s="26"/>
      <c r="G635" s="30"/>
      <c r="H635" s="30"/>
      <c r="I635" s="30"/>
      <c r="J635" s="31"/>
      <c r="K635" s="31"/>
      <c r="L635" s="31"/>
      <c r="M635" s="31"/>
      <c r="N635" s="26"/>
      <c r="O635" s="26"/>
      <c r="P635" s="26"/>
      <c r="Q635" s="28"/>
    </row>
    <row r="636" spans="1:17">
      <c r="A636" t="str">
        <f t="shared" si="18"/>
        <v/>
      </c>
      <c r="B636" t="str">
        <f t="shared" si="19"/>
        <v/>
      </c>
      <c r="D636" s="27"/>
      <c r="E636" s="26"/>
      <c r="F636" s="26"/>
      <c r="G636" s="30"/>
      <c r="H636" s="30"/>
      <c r="I636" s="30"/>
      <c r="J636" s="31"/>
      <c r="K636" s="31"/>
      <c r="L636" s="31"/>
      <c r="M636" s="31"/>
      <c r="N636" s="26"/>
      <c r="O636" s="26"/>
      <c r="P636" s="26"/>
      <c r="Q636" s="28"/>
    </row>
    <row r="637" spans="1:17">
      <c r="A637" t="str">
        <f t="shared" si="18"/>
        <v/>
      </c>
      <c r="B637" t="str">
        <f t="shared" si="19"/>
        <v/>
      </c>
      <c r="D637" s="27"/>
      <c r="E637" s="26"/>
      <c r="F637" s="26"/>
      <c r="G637" s="30"/>
      <c r="H637" s="30"/>
      <c r="I637" s="30"/>
      <c r="J637" s="31"/>
      <c r="K637" s="31"/>
      <c r="L637" s="31"/>
      <c r="M637" s="31"/>
      <c r="N637" s="26"/>
      <c r="O637" s="26"/>
      <c r="P637" s="26"/>
      <c r="Q637" s="28"/>
    </row>
    <row r="638" spans="1:17">
      <c r="A638" t="str">
        <f t="shared" si="18"/>
        <v/>
      </c>
      <c r="B638" t="str">
        <f t="shared" si="19"/>
        <v/>
      </c>
      <c r="D638" s="27"/>
      <c r="E638" s="26"/>
      <c r="F638" s="26"/>
      <c r="G638" s="30"/>
      <c r="H638" s="30"/>
      <c r="I638" s="30"/>
      <c r="J638" s="31"/>
      <c r="K638" s="31"/>
      <c r="L638" s="31"/>
      <c r="M638" s="31"/>
      <c r="N638" s="26"/>
      <c r="O638" s="26"/>
      <c r="P638" s="26"/>
      <c r="Q638" s="28"/>
    </row>
    <row r="639" spans="1:17">
      <c r="A639" t="str">
        <f t="shared" si="18"/>
        <v/>
      </c>
      <c r="B639" t="str">
        <f t="shared" si="19"/>
        <v/>
      </c>
      <c r="D639" s="27"/>
      <c r="E639" s="26"/>
      <c r="F639" s="26"/>
      <c r="G639" s="30"/>
      <c r="H639" s="30"/>
      <c r="I639" s="30"/>
      <c r="J639" s="31"/>
      <c r="K639" s="31"/>
      <c r="L639" s="31"/>
      <c r="M639" s="31"/>
      <c r="N639" s="26"/>
      <c r="O639" s="26"/>
      <c r="P639" s="26"/>
      <c r="Q639" s="28"/>
    </row>
    <row r="640" spans="1:17">
      <c r="A640" t="str">
        <f t="shared" si="18"/>
        <v/>
      </c>
      <c r="B640" t="str">
        <f t="shared" si="19"/>
        <v/>
      </c>
      <c r="D640" s="27"/>
      <c r="E640" s="26"/>
      <c r="F640" s="26"/>
      <c r="G640" s="30"/>
      <c r="H640" s="30"/>
      <c r="I640" s="30"/>
      <c r="J640" s="31"/>
      <c r="K640" s="31"/>
      <c r="L640" s="31"/>
      <c r="M640" s="31"/>
      <c r="N640" s="26"/>
      <c r="O640" s="26"/>
      <c r="P640" s="26"/>
      <c r="Q640" s="28"/>
    </row>
    <row r="641" spans="1:17">
      <c r="A641" t="str">
        <f t="shared" si="18"/>
        <v/>
      </c>
      <c r="B641" t="str">
        <f t="shared" si="19"/>
        <v/>
      </c>
      <c r="D641" s="27"/>
      <c r="E641" s="26"/>
      <c r="F641" s="26"/>
      <c r="G641" s="30"/>
      <c r="H641" s="30"/>
      <c r="I641" s="30"/>
      <c r="J641" s="31"/>
      <c r="K641" s="31"/>
      <c r="L641" s="31"/>
      <c r="M641" s="31"/>
      <c r="N641" s="26"/>
      <c r="O641" s="26"/>
      <c r="P641" s="26"/>
      <c r="Q641" s="28"/>
    </row>
    <row r="642" spans="1:17">
      <c r="A642" t="str">
        <f t="shared" si="18"/>
        <v/>
      </c>
      <c r="B642" t="str">
        <f t="shared" si="19"/>
        <v/>
      </c>
      <c r="D642" s="27"/>
      <c r="E642" s="26"/>
      <c r="F642" s="26"/>
      <c r="G642" s="30"/>
      <c r="H642" s="30"/>
      <c r="I642" s="30"/>
      <c r="J642" s="31"/>
      <c r="K642" s="31"/>
      <c r="L642" s="31"/>
      <c r="M642" s="31"/>
      <c r="N642" s="26"/>
      <c r="O642" s="26"/>
      <c r="P642" s="26"/>
      <c r="Q642" s="28"/>
    </row>
    <row r="643" spans="1:17">
      <c r="A643" t="str">
        <f t="shared" si="18"/>
        <v/>
      </c>
      <c r="B643" t="str">
        <f t="shared" si="19"/>
        <v/>
      </c>
      <c r="D643" s="27"/>
      <c r="E643" s="26"/>
      <c r="F643" s="26"/>
      <c r="G643" s="30"/>
      <c r="H643" s="30"/>
      <c r="I643" s="30"/>
      <c r="J643" s="31"/>
      <c r="K643" s="31"/>
      <c r="L643" s="31"/>
      <c r="M643" s="31"/>
      <c r="N643" s="26"/>
      <c r="O643" s="26"/>
      <c r="P643" s="26"/>
      <c r="Q643" s="28"/>
    </row>
    <row r="644" spans="1:17">
      <c r="A644" t="str">
        <f t="shared" si="18"/>
        <v/>
      </c>
      <c r="B644" t="str">
        <f t="shared" si="19"/>
        <v/>
      </c>
      <c r="D644" s="27"/>
      <c r="E644" s="26"/>
      <c r="F644" s="26"/>
      <c r="G644" s="30"/>
      <c r="H644" s="30"/>
      <c r="I644" s="30"/>
      <c r="J644" s="31"/>
      <c r="K644" s="31"/>
      <c r="L644" s="31"/>
      <c r="M644" s="31"/>
      <c r="N644" s="26"/>
      <c r="O644" s="26"/>
      <c r="P644" s="26"/>
      <c r="Q644" s="28"/>
    </row>
    <row r="645" spans="1:17">
      <c r="A645" t="str">
        <f t="shared" si="18"/>
        <v/>
      </c>
      <c r="B645" t="str">
        <f t="shared" si="19"/>
        <v/>
      </c>
      <c r="D645" s="27"/>
      <c r="E645" s="26"/>
      <c r="F645" s="26"/>
      <c r="G645" s="30"/>
      <c r="H645" s="30"/>
      <c r="I645" s="30"/>
      <c r="J645" s="31"/>
      <c r="K645" s="31"/>
      <c r="L645" s="31"/>
      <c r="M645" s="31"/>
      <c r="N645" s="26"/>
      <c r="O645" s="26"/>
      <c r="P645" s="26"/>
      <c r="Q645" s="28"/>
    </row>
    <row r="646" spans="1:17">
      <c r="A646" t="str">
        <f t="shared" si="18"/>
        <v/>
      </c>
      <c r="B646" t="str">
        <f t="shared" si="19"/>
        <v/>
      </c>
      <c r="D646" s="27"/>
      <c r="E646" s="26"/>
      <c r="F646" s="26"/>
      <c r="G646" s="30"/>
      <c r="H646" s="30"/>
      <c r="I646" s="30"/>
      <c r="J646" s="31"/>
      <c r="K646" s="31"/>
      <c r="L646" s="31"/>
      <c r="M646" s="31"/>
      <c r="N646" s="26"/>
      <c r="O646" s="26"/>
      <c r="P646" s="26"/>
      <c r="Q646" s="28"/>
    </row>
    <row r="647" spans="1:17">
      <c r="A647" t="str">
        <f t="shared" si="18"/>
        <v/>
      </c>
      <c r="B647" t="str">
        <f t="shared" si="19"/>
        <v/>
      </c>
      <c r="D647" s="27"/>
      <c r="E647" s="26"/>
      <c r="F647" s="26"/>
      <c r="G647" s="30"/>
      <c r="H647" s="30"/>
      <c r="I647" s="30"/>
      <c r="J647" s="31"/>
      <c r="K647" s="31"/>
      <c r="L647" s="31"/>
      <c r="M647" s="31"/>
      <c r="N647" s="26"/>
      <c r="O647" s="26"/>
      <c r="P647" s="26"/>
      <c r="Q647" s="28"/>
    </row>
    <row r="648" spans="1:17">
      <c r="A648" t="str">
        <f t="shared" si="18"/>
        <v/>
      </c>
      <c r="B648" t="str">
        <f t="shared" si="19"/>
        <v/>
      </c>
      <c r="D648" s="27"/>
      <c r="E648" s="26"/>
      <c r="F648" s="26"/>
      <c r="G648" s="30"/>
      <c r="H648" s="30"/>
      <c r="I648" s="30"/>
      <c r="J648" s="31"/>
      <c r="K648" s="31"/>
      <c r="L648" s="31"/>
      <c r="M648" s="31"/>
      <c r="N648" s="26"/>
      <c r="O648" s="26"/>
      <c r="P648" s="26"/>
      <c r="Q648" s="28"/>
    </row>
    <row r="649" spans="1:17">
      <c r="A649" t="str">
        <f t="shared" si="18"/>
        <v/>
      </c>
      <c r="B649" t="str">
        <f t="shared" si="19"/>
        <v/>
      </c>
      <c r="D649" s="27"/>
      <c r="E649" s="26"/>
      <c r="F649" s="26"/>
      <c r="G649" s="30"/>
      <c r="H649" s="30"/>
      <c r="I649" s="30"/>
      <c r="J649" s="31"/>
      <c r="K649" s="31"/>
      <c r="L649" s="31"/>
      <c r="M649" s="31"/>
      <c r="N649" s="26"/>
      <c r="O649" s="26"/>
      <c r="P649" s="26"/>
      <c r="Q649" s="28"/>
    </row>
    <row r="650" spans="1:17">
      <c r="A650" t="str">
        <f t="shared" si="18"/>
        <v/>
      </c>
      <c r="B650" t="str">
        <f t="shared" si="19"/>
        <v/>
      </c>
      <c r="D650" s="27"/>
      <c r="E650" s="26"/>
      <c r="F650" s="26"/>
      <c r="G650" s="30"/>
      <c r="H650" s="30"/>
      <c r="I650" s="30"/>
      <c r="J650" s="31"/>
      <c r="K650" s="31"/>
      <c r="L650" s="31"/>
      <c r="M650" s="31"/>
      <c r="N650" s="26"/>
      <c r="O650" s="26"/>
      <c r="P650" s="26"/>
      <c r="Q650" s="28"/>
    </row>
    <row r="651" spans="1:17">
      <c r="A651" t="str">
        <f t="shared" si="18"/>
        <v/>
      </c>
      <c r="B651" t="str">
        <f t="shared" si="19"/>
        <v/>
      </c>
      <c r="D651" s="27"/>
      <c r="E651" s="26"/>
      <c r="F651" s="26"/>
      <c r="G651" s="30"/>
      <c r="H651" s="30"/>
      <c r="I651" s="30"/>
      <c r="J651" s="31"/>
      <c r="K651" s="31"/>
      <c r="L651" s="31"/>
      <c r="M651" s="31"/>
      <c r="N651" s="26"/>
      <c r="O651" s="26"/>
      <c r="P651" s="26"/>
      <c r="Q651" s="28"/>
    </row>
    <row r="652" spans="1:17">
      <c r="A652" t="str">
        <f t="shared" si="18"/>
        <v/>
      </c>
      <c r="B652" t="str">
        <f t="shared" si="19"/>
        <v/>
      </c>
      <c r="D652" s="27"/>
      <c r="E652" s="26"/>
      <c r="F652" s="26"/>
      <c r="G652" s="30"/>
      <c r="H652" s="30"/>
      <c r="I652" s="30"/>
      <c r="J652" s="31"/>
      <c r="K652" s="31"/>
      <c r="L652" s="31"/>
      <c r="M652" s="31"/>
      <c r="N652" s="26"/>
      <c r="O652" s="26"/>
      <c r="P652" s="26"/>
      <c r="Q652" s="28"/>
    </row>
    <row r="653" spans="1:17">
      <c r="A653" t="str">
        <f t="shared" si="18"/>
        <v/>
      </c>
      <c r="B653" t="str">
        <f t="shared" si="19"/>
        <v/>
      </c>
      <c r="D653" s="27"/>
      <c r="E653" s="26"/>
      <c r="F653" s="26"/>
      <c r="G653" s="30"/>
      <c r="H653" s="30"/>
      <c r="I653" s="30"/>
      <c r="J653" s="31"/>
      <c r="K653" s="31"/>
      <c r="L653" s="31"/>
      <c r="M653" s="31"/>
      <c r="N653" s="26"/>
      <c r="O653" s="26"/>
      <c r="P653" s="26"/>
      <c r="Q653" s="28"/>
    </row>
    <row r="654" spans="1:17">
      <c r="A654" t="str">
        <f t="shared" ref="A654:A717" si="20">IF($J654=0,"",H654)</f>
        <v/>
      </c>
      <c r="B654" t="str">
        <f t="shared" ref="B654:B717" si="21">IF($J654=0,"",I654)</f>
        <v/>
      </c>
      <c r="D654" s="27"/>
      <c r="E654" s="26"/>
      <c r="F654" s="26"/>
      <c r="G654" s="30"/>
      <c r="H654" s="30"/>
      <c r="I654" s="30"/>
      <c r="J654" s="31"/>
      <c r="K654" s="31"/>
      <c r="L654" s="31"/>
      <c r="M654" s="31"/>
      <c r="N654" s="26"/>
      <c r="O654" s="26"/>
      <c r="P654" s="26"/>
      <c r="Q654" s="28"/>
    </row>
    <row r="655" spans="1:17">
      <c r="A655" t="str">
        <f t="shared" si="20"/>
        <v/>
      </c>
      <c r="B655" t="str">
        <f t="shared" si="21"/>
        <v/>
      </c>
      <c r="D655" s="27"/>
      <c r="E655" s="26"/>
      <c r="F655" s="26"/>
      <c r="G655" s="30"/>
      <c r="H655" s="30"/>
      <c r="I655" s="30"/>
      <c r="J655" s="31"/>
      <c r="K655" s="31"/>
      <c r="L655" s="31"/>
      <c r="M655" s="31"/>
      <c r="N655" s="26"/>
      <c r="O655" s="26"/>
      <c r="P655" s="26"/>
      <c r="Q655" s="28"/>
    </row>
    <row r="656" spans="1:17">
      <c r="A656" t="str">
        <f t="shared" si="20"/>
        <v/>
      </c>
      <c r="B656" t="str">
        <f t="shared" si="21"/>
        <v/>
      </c>
      <c r="D656" s="27"/>
      <c r="E656" s="26"/>
      <c r="F656" s="26"/>
      <c r="G656" s="30"/>
      <c r="H656" s="30"/>
      <c r="I656" s="30"/>
      <c r="J656" s="31"/>
      <c r="K656" s="31"/>
      <c r="L656" s="31"/>
      <c r="M656" s="31"/>
      <c r="N656" s="26"/>
      <c r="O656" s="26"/>
      <c r="P656" s="26"/>
      <c r="Q656" s="28"/>
    </row>
    <row r="657" spans="1:17">
      <c r="A657" t="str">
        <f t="shared" si="20"/>
        <v/>
      </c>
      <c r="B657" t="str">
        <f t="shared" si="21"/>
        <v/>
      </c>
      <c r="D657" s="27"/>
      <c r="E657" s="26"/>
      <c r="F657" s="26"/>
      <c r="G657" s="30"/>
      <c r="H657" s="30"/>
      <c r="I657" s="30"/>
      <c r="J657" s="31"/>
      <c r="K657" s="31"/>
      <c r="L657" s="31"/>
      <c r="M657" s="31"/>
      <c r="N657" s="26"/>
      <c r="O657" s="26"/>
      <c r="P657" s="26"/>
      <c r="Q657" s="28"/>
    </row>
    <row r="658" spans="1:17">
      <c r="A658" t="str">
        <f t="shared" si="20"/>
        <v/>
      </c>
      <c r="B658" t="str">
        <f t="shared" si="21"/>
        <v/>
      </c>
      <c r="D658" s="27"/>
      <c r="E658" s="26"/>
      <c r="F658" s="26"/>
      <c r="G658" s="30"/>
      <c r="H658" s="30"/>
      <c r="I658" s="30"/>
      <c r="J658" s="31"/>
      <c r="K658" s="31"/>
      <c r="L658" s="31"/>
      <c r="M658" s="31"/>
      <c r="N658" s="26"/>
      <c r="O658" s="26"/>
      <c r="P658" s="26"/>
      <c r="Q658" s="28"/>
    </row>
    <row r="659" spans="1:17">
      <c r="A659" t="str">
        <f t="shared" si="20"/>
        <v/>
      </c>
      <c r="B659" t="str">
        <f t="shared" si="21"/>
        <v/>
      </c>
      <c r="D659" s="27"/>
      <c r="E659" s="26"/>
      <c r="F659" s="26"/>
      <c r="G659" s="30"/>
      <c r="H659" s="30"/>
      <c r="I659" s="30"/>
      <c r="J659" s="31"/>
      <c r="K659" s="31"/>
      <c r="L659" s="31"/>
      <c r="M659" s="31"/>
      <c r="N659" s="26"/>
      <c r="O659" s="26"/>
      <c r="P659" s="26"/>
      <c r="Q659" s="28"/>
    </row>
    <row r="660" spans="1:17">
      <c r="A660" t="str">
        <f t="shared" si="20"/>
        <v/>
      </c>
      <c r="B660" t="str">
        <f t="shared" si="21"/>
        <v/>
      </c>
      <c r="D660" s="27"/>
      <c r="E660" s="26"/>
      <c r="F660" s="26"/>
      <c r="G660" s="30"/>
      <c r="H660" s="30"/>
      <c r="I660" s="30"/>
      <c r="J660" s="31"/>
      <c r="K660" s="31"/>
      <c r="L660" s="31"/>
      <c r="M660" s="31"/>
      <c r="N660" s="26"/>
      <c r="O660" s="26"/>
      <c r="P660" s="26"/>
      <c r="Q660" s="28"/>
    </row>
    <row r="661" spans="1:17">
      <c r="A661" t="str">
        <f t="shared" si="20"/>
        <v/>
      </c>
      <c r="B661" t="str">
        <f t="shared" si="21"/>
        <v/>
      </c>
      <c r="D661" s="27"/>
      <c r="E661" s="26"/>
      <c r="F661" s="26"/>
      <c r="G661" s="30"/>
      <c r="H661" s="30"/>
      <c r="I661" s="30"/>
      <c r="J661" s="31"/>
      <c r="K661" s="31"/>
      <c r="L661" s="31"/>
      <c r="M661" s="31"/>
      <c r="N661" s="26"/>
      <c r="O661" s="26"/>
      <c r="P661" s="26"/>
      <c r="Q661" s="28"/>
    </row>
    <row r="662" spans="1:17">
      <c r="A662" t="str">
        <f t="shared" si="20"/>
        <v/>
      </c>
      <c r="B662" t="str">
        <f t="shared" si="21"/>
        <v/>
      </c>
      <c r="D662" s="27"/>
      <c r="E662" s="26"/>
      <c r="F662" s="26"/>
      <c r="G662" s="30"/>
      <c r="H662" s="30"/>
      <c r="I662" s="30"/>
      <c r="J662" s="31"/>
      <c r="K662" s="31"/>
      <c r="L662" s="31"/>
      <c r="M662" s="31"/>
      <c r="N662" s="26"/>
      <c r="O662" s="26"/>
      <c r="P662" s="26"/>
      <c r="Q662" s="28"/>
    </row>
    <row r="663" spans="1:17">
      <c r="A663" t="str">
        <f t="shared" si="20"/>
        <v/>
      </c>
      <c r="B663" t="str">
        <f t="shared" si="21"/>
        <v/>
      </c>
      <c r="D663" s="27"/>
      <c r="E663" s="26"/>
      <c r="F663" s="26"/>
      <c r="G663" s="30"/>
      <c r="H663" s="30"/>
      <c r="I663" s="30"/>
      <c r="J663" s="31"/>
      <c r="K663" s="31"/>
      <c r="L663" s="31"/>
      <c r="M663" s="31"/>
      <c r="N663" s="26"/>
      <c r="O663" s="26"/>
      <c r="P663" s="26"/>
      <c r="Q663" s="28"/>
    </row>
    <row r="664" spans="1:17">
      <c r="A664" t="str">
        <f t="shared" si="20"/>
        <v/>
      </c>
      <c r="B664" t="str">
        <f t="shared" si="21"/>
        <v/>
      </c>
      <c r="D664" s="27"/>
      <c r="E664" s="26"/>
      <c r="F664" s="26"/>
      <c r="G664" s="30"/>
      <c r="H664" s="30"/>
      <c r="I664" s="30"/>
      <c r="J664" s="31"/>
      <c r="K664" s="31"/>
      <c r="L664" s="31"/>
      <c r="M664" s="31"/>
      <c r="N664" s="26"/>
      <c r="O664" s="26"/>
      <c r="P664" s="26"/>
      <c r="Q664" s="28"/>
    </row>
    <row r="665" spans="1:17">
      <c r="A665" t="str">
        <f t="shared" si="20"/>
        <v/>
      </c>
      <c r="B665" t="str">
        <f t="shared" si="21"/>
        <v/>
      </c>
      <c r="D665" s="27"/>
      <c r="E665" s="26"/>
      <c r="F665" s="26"/>
      <c r="G665" s="30"/>
      <c r="H665" s="30"/>
      <c r="I665" s="30"/>
      <c r="J665" s="31"/>
      <c r="K665" s="31"/>
      <c r="L665" s="31"/>
      <c r="M665" s="31"/>
      <c r="N665" s="26"/>
      <c r="O665" s="26"/>
      <c r="P665" s="26"/>
      <c r="Q665" s="28"/>
    </row>
    <row r="666" spans="1:17">
      <c r="A666" t="str">
        <f t="shared" si="20"/>
        <v/>
      </c>
      <c r="B666" t="str">
        <f t="shared" si="21"/>
        <v/>
      </c>
      <c r="D666" s="27"/>
      <c r="E666" s="26"/>
      <c r="F666" s="26"/>
      <c r="G666" s="30"/>
      <c r="H666" s="30"/>
      <c r="I666" s="30"/>
      <c r="J666" s="31"/>
      <c r="K666" s="31"/>
      <c r="L666" s="31"/>
      <c r="M666" s="31"/>
      <c r="N666" s="26"/>
      <c r="O666" s="26"/>
      <c r="P666" s="26"/>
      <c r="Q666" s="28"/>
    </row>
    <row r="667" spans="1:17">
      <c r="A667" t="str">
        <f t="shared" si="20"/>
        <v/>
      </c>
      <c r="B667" t="str">
        <f t="shared" si="21"/>
        <v/>
      </c>
      <c r="D667" s="27"/>
      <c r="E667" s="26"/>
      <c r="F667" s="26"/>
      <c r="G667" s="30"/>
      <c r="H667" s="30"/>
      <c r="I667" s="30"/>
      <c r="J667" s="31"/>
      <c r="K667" s="31"/>
      <c r="L667" s="31"/>
      <c r="M667" s="31"/>
      <c r="N667" s="26"/>
      <c r="O667" s="26"/>
      <c r="P667" s="26"/>
      <c r="Q667" s="28"/>
    </row>
    <row r="668" spans="1:17">
      <c r="A668" t="str">
        <f t="shared" si="20"/>
        <v/>
      </c>
      <c r="B668" t="str">
        <f t="shared" si="21"/>
        <v/>
      </c>
      <c r="D668" s="27"/>
      <c r="E668" s="26"/>
      <c r="F668" s="26"/>
      <c r="G668" s="30"/>
      <c r="H668" s="30"/>
      <c r="I668" s="30"/>
      <c r="J668" s="31"/>
      <c r="K668" s="31"/>
      <c r="L668" s="31"/>
      <c r="M668" s="31"/>
      <c r="N668" s="26"/>
      <c r="O668" s="26"/>
      <c r="P668" s="26"/>
      <c r="Q668" s="28"/>
    </row>
    <row r="669" spans="1:17">
      <c r="A669" t="str">
        <f t="shared" si="20"/>
        <v/>
      </c>
      <c r="B669" t="str">
        <f t="shared" si="21"/>
        <v/>
      </c>
      <c r="D669" s="27"/>
      <c r="E669" s="26"/>
      <c r="F669" s="26"/>
      <c r="G669" s="30"/>
      <c r="H669" s="30"/>
      <c r="I669" s="30"/>
      <c r="J669" s="31"/>
      <c r="K669" s="31"/>
      <c r="L669" s="31"/>
      <c r="M669" s="31"/>
      <c r="N669" s="26"/>
      <c r="O669" s="26"/>
      <c r="P669" s="26"/>
      <c r="Q669" s="28"/>
    </row>
    <row r="670" spans="1:17">
      <c r="A670" t="str">
        <f t="shared" si="20"/>
        <v/>
      </c>
      <c r="B670" t="str">
        <f t="shared" si="21"/>
        <v/>
      </c>
      <c r="D670" s="27"/>
      <c r="E670" s="26"/>
      <c r="F670" s="26"/>
      <c r="G670" s="30"/>
      <c r="H670" s="30"/>
      <c r="I670" s="30"/>
      <c r="J670" s="31"/>
      <c r="K670" s="31"/>
      <c r="L670" s="31"/>
      <c r="M670" s="31"/>
      <c r="N670" s="26"/>
      <c r="O670" s="26"/>
      <c r="P670" s="26"/>
      <c r="Q670" s="28"/>
    </row>
    <row r="671" spans="1:17">
      <c r="A671" t="str">
        <f t="shared" si="20"/>
        <v/>
      </c>
      <c r="B671" t="str">
        <f t="shared" si="21"/>
        <v/>
      </c>
      <c r="D671" s="27"/>
      <c r="E671" s="26"/>
      <c r="F671" s="26"/>
      <c r="G671" s="30"/>
      <c r="H671" s="30"/>
      <c r="I671" s="30"/>
      <c r="J671" s="31"/>
      <c r="K671" s="31"/>
      <c r="L671" s="31"/>
      <c r="M671" s="31"/>
      <c r="N671" s="26"/>
      <c r="O671" s="26"/>
      <c r="P671" s="26"/>
      <c r="Q671" s="28"/>
    </row>
    <row r="672" spans="1:17">
      <c r="A672" t="str">
        <f t="shared" si="20"/>
        <v/>
      </c>
      <c r="B672" t="str">
        <f t="shared" si="21"/>
        <v/>
      </c>
      <c r="D672" s="27"/>
      <c r="E672" s="26"/>
      <c r="F672" s="26"/>
      <c r="G672" s="30"/>
      <c r="H672" s="30"/>
      <c r="I672" s="30"/>
      <c r="J672" s="31"/>
      <c r="K672" s="31"/>
      <c r="L672" s="31"/>
      <c r="M672" s="31"/>
      <c r="N672" s="26"/>
      <c r="O672" s="26"/>
      <c r="P672" s="26"/>
      <c r="Q672" s="28"/>
    </row>
    <row r="673" spans="1:17">
      <c r="A673" t="str">
        <f t="shared" si="20"/>
        <v/>
      </c>
      <c r="B673" t="str">
        <f t="shared" si="21"/>
        <v/>
      </c>
      <c r="D673" s="27"/>
      <c r="E673" s="26"/>
      <c r="F673" s="26"/>
      <c r="G673" s="30"/>
      <c r="H673" s="30"/>
      <c r="I673" s="30"/>
      <c r="J673" s="31"/>
      <c r="K673" s="31"/>
      <c r="L673" s="31"/>
      <c r="M673" s="31"/>
      <c r="N673" s="26"/>
      <c r="O673" s="26"/>
      <c r="P673" s="26"/>
      <c r="Q673" s="28"/>
    </row>
    <row r="674" spans="1:17">
      <c r="A674" t="str">
        <f t="shared" si="20"/>
        <v/>
      </c>
      <c r="B674" t="str">
        <f t="shared" si="21"/>
        <v/>
      </c>
      <c r="D674" s="27"/>
      <c r="E674" s="26"/>
      <c r="F674" s="26"/>
      <c r="G674" s="30"/>
      <c r="H674" s="30"/>
      <c r="I674" s="30"/>
      <c r="J674" s="31"/>
      <c r="K674" s="31"/>
      <c r="L674" s="31"/>
      <c r="M674" s="31"/>
      <c r="N674" s="26"/>
      <c r="O674" s="26"/>
      <c r="P674" s="26"/>
      <c r="Q674" s="28"/>
    </row>
    <row r="675" spans="1:17">
      <c r="A675" t="str">
        <f t="shared" si="20"/>
        <v/>
      </c>
      <c r="B675" t="str">
        <f t="shared" si="21"/>
        <v/>
      </c>
      <c r="D675" s="27"/>
      <c r="E675" s="26"/>
      <c r="F675" s="26"/>
      <c r="G675" s="30"/>
      <c r="H675" s="30"/>
      <c r="I675" s="30"/>
      <c r="J675" s="31"/>
      <c r="K675" s="31"/>
      <c r="L675" s="31"/>
      <c r="M675" s="31"/>
      <c r="N675" s="26"/>
      <c r="O675" s="26"/>
      <c r="P675" s="26"/>
      <c r="Q675" s="28"/>
    </row>
    <row r="676" spans="1:17">
      <c r="A676" t="str">
        <f t="shared" si="20"/>
        <v/>
      </c>
      <c r="B676" t="str">
        <f t="shared" si="21"/>
        <v/>
      </c>
      <c r="D676" s="27"/>
      <c r="E676" s="26"/>
      <c r="F676" s="26"/>
      <c r="G676" s="30"/>
      <c r="H676" s="30"/>
      <c r="I676" s="30"/>
      <c r="J676" s="31"/>
      <c r="K676" s="31"/>
      <c r="L676" s="31"/>
      <c r="M676" s="31"/>
      <c r="N676" s="26"/>
      <c r="O676" s="26"/>
      <c r="P676" s="26"/>
      <c r="Q676" s="28"/>
    </row>
    <row r="677" spans="1:17">
      <c r="A677" t="str">
        <f t="shared" si="20"/>
        <v/>
      </c>
      <c r="B677" t="str">
        <f t="shared" si="21"/>
        <v/>
      </c>
      <c r="D677" s="27"/>
      <c r="E677" s="26"/>
      <c r="F677" s="26"/>
      <c r="G677" s="30"/>
      <c r="H677" s="30"/>
      <c r="I677" s="30"/>
      <c r="J677" s="31"/>
      <c r="K677" s="31"/>
      <c r="L677" s="31"/>
      <c r="M677" s="31"/>
      <c r="N677" s="26"/>
      <c r="O677" s="26"/>
      <c r="P677" s="26"/>
      <c r="Q677" s="28"/>
    </row>
    <row r="678" spans="1:17">
      <c r="A678" t="str">
        <f t="shared" si="20"/>
        <v/>
      </c>
      <c r="B678" t="str">
        <f t="shared" si="21"/>
        <v/>
      </c>
      <c r="D678" s="27"/>
      <c r="E678" s="26"/>
      <c r="F678" s="26"/>
      <c r="G678" s="30"/>
      <c r="H678" s="30"/>
      <c r="I678" s="30"/>
      <c r="J678" s="31"/>
      <c r="K678" s="31"/>
      <c r="L678" s="31"/>
      <c r="M678" s="31"/>
      <c r="N678" s="26"/>
      <c r="O678" s="26"/>
      <c r="P678" s="26"/>
      <c r="Q678" s="28"/>
    </row>
    <row r="679" spans="1:17">
      <c r="A679" t="str">
        <f t="shared" si="20"/>
        <v/>
      </c>
      <c r="B679" t="str">
        <f t="shared" si="21"/>
        <v/>
      </c>
      <c r="D679" s="27"/>
      <c r="E679" s="26"/>
      <c r="F679" s="26"/>
      <c r="G679" s="30"/>
      <c r="H679" s="30"/>
      <c r="I679" s="30"/>
      <c r="J679" s="31"/>
      <c r="K679" s="31"/>
      <c r="L679" s="31"/>
      <c r="M679" s="31"/>
      <c r="N679" s="26"/>
      <c r="O679" s="26"/>
      <c r="P679" s="26"/>
      <c r="Q679" s="28"/>
    </row>
    <row r="680" spans="1:17">
      <c r="A680" t="str">
        <f t="shared" si="20"/>
        <v/>
      </c>
      <c r="B680" t="str">
        <f t="shared" si="21"/>
        <v/>
      </c>
      <c r="D680" s="27"/>
      <c r="E680" s="26"/>
      <c r="F680" s="26"/>
      <c r="G680" s="30"/>
      <c r="H680" s="30"/>
      <c r="I680" s="30"/>
      <c r="J680" s="31"/>
      <c r="K680" s="31"/>
      <c r="L680" s="31"/>
      <c r="M680" s="31"/>
      <c r="N680" s="26"/>
      <c r="O680" s="26"/>
      <c r="P680" s="26"/>
      <c r="Q680" s="28"/>
    </row>
    <row r="681" spans="1:17">
      <c r="A681" t="str">
        <f t="shared" si="20"/>
        <v/>
      </c>
      <c r="B681" t="str">
        <f t="shared" si="21"/>
        <v/>
      </c>
      <c r="D681" s="27"/>
      <c r="E681" s="26"/>
      <c r="F681" s="26"/>
      <c r="G681" s="30"/>
      <c r="H681" s="30"/>
      <c r="I681" s="30"/>
      <c r="J681" s="31"/>
      <c r="K681" s="31"/>
      <c r="L681" s="31"/>
      <c r="M681" s="31"/>
      <c r="N681" s="26"/>
      <c r="O681" s="26"/>
      <c r="P681" s="26"/>
      <c r="Q681" s="28"/>
    </row>
    <row r="682" spans="1:17">
      <c r="A682" t="str">
        <f t="shared" si="20"/>
        <v/>
      </c>
      <c r="B682" t="str">
        <f t="shared" si="21"/>
        <v/>
      </c>
      <c r="D682" s="27"/>
      <c r="E682" s="26"/>
      <c r="F682" s="26"/>
      <c r="G682" s="30"/>
      <c r="H682" s="30"/>
      <c r="I682" s="30"/>
      <c r="J682" s="31"/>
      <c r="K682" s="31"/>
      <c r="L682" s="31"/>
      <c r="M682" s="31"/>
      <c r="N682" s="26"/>
      <c r="O682" s="26"/>
      <c r="P682" s="26"/>
      <c r="Q682" s="28"/>
    </row>
    <row r="683" spans="1:17">
      <c r="A683" t="str">
        <f t="shared" si="20"/>
        <v/>
      </c>
      <c r="B683" t="str">
        <f t="shared" si="21"/>
        <v/>
      </c>
      <c r="D683" s="27"/>
      <c r="E683" s="26"/>
      <c r="F683" s="26"/>
      <c r="G683" s="30"/>
      <c r="H683" s="30"/>
      <c r="I683" s="30"/>
      <c r="J683" s="31"/>
      <c r="K683" s="31"/>
      <c r="L683" s="31"/>
      <c r="M683" s="31"/>
      <c r="N683" s="26"/>
      <c r="O683" s="26"/>
      <c r="P683" s="26"/>
      <c r="Q683" s="28"/>
    </row>
    <row r="684" spans="1:17">
      <c r="A684" t="str">
        <f t="shared" si="20"/>
        <v/>
      </c>
      <c r="B684" t="str">
        <f t="shared" si="21"/>
        <v/>
      </c>
      <c r="D684" s="27"/>
      <c r="E684" s="26"/>
      <c r="F684" s="26"/>
      <c r="G684" s="30"/>
      <c r="H684" s="30"/>
      <c r="I684" s="30"/>
      <c r="J684" s="31"/>
      <c r="K684" s="31"/>
      <c r="L684" s="31"/>
      <c r="M684" s="31"/>
      <c r="N684" s="26"/>
      <c r="O684" s="26"/>
      <c r="P684" s="26"/>
      <c r="Q684" s="28"/>
    </row>
    <row r="685" spans="1:17">
      <c r="A685" t="str">
        <f t="shared" si="20"/>
        <v/>
      </c>
      <c r="B685" t="str">
        <f t="shared" si="21"/>
        <v/>
      </c>
      <c r="D685" s="27"/>
      <c r="E685" s="26"/>
      <c r="F685" s="26"/>
      <c r="G685" s="30"/>
      <c r="H685" s="30"/>
      <c r="I685" s="30"/>
      <c r="J685" s="31"/>
      <c r="K685" s="31"/>
      <c r="L685" s="31"/>
      <c r="M685" s="31"/>
      <c r="N685" s="26"/>
      <c r="O685" s="26"/>
      <c r="P685" s="26"/>
      <c r="Q685" s="28"/>
    </row>
    <row r="686" spans="1:17">
      <c r="A686" t="str">
        <f t="shared" si="20"/>
        <v/>
      </c>
      <c r="B686" t="str">
        <f t="shared" si="21"/>
        <v/>
      </c>
      <c r="D686" s="27"/>
      <c r="E686" s="26"/>
      <c r="F686" s="26"/>
      <c r="G686" s="30"/>
      <c r="H686" s="30"/>
      <c r="I686" s="30"/>
      <c r="J686" s="31"/>
      <c r="K686" s="31"/>
      <c r="L686" s="31"/>
      <c r="M686" s="31"/>
      <c r="N686" s="26"/>
      <c r="O686" s="26"/>
      <c r="P686" s="26"/>
      <c r="Q686" s="28"/>
    </row>
    <row r="687" spans="1:17">
      <c r="A687" t="str">
        <f t="shared" si="20"/>
        <v/>
      </c>
      <c r="B687" t="str">
        <f t="shared" si="21"/>
        <v/>
      </c>
      <c r="D687" s="27"/>
      <c r="E687" s="26"/>
      <c r="F687" s="26"/>
      <c r="G687" s="30"/>
      <c r="H687" s="30"/>
      <c r="I687" s="30"/>
      <c r="J687" s="31"/>
      <c r="K687" s="31"/>
      <c r="L687" s="31"/>
      <c r="M687" s="31"/>
      <c r="N687" s="26"/>
      <c r="O687" s="26"/>
      <c r="P687" s="26"/>
      <c r="Q687" s="28"/>
    </row>
    <row r="688" spans="1:17">
      <c r="A688" t="str">
        <f t="shared" si="20"/>
        <v/>
      </c>
      <c r="B688" t="str">
        <f t="shared" si="21"/>
        <v/>
      </c>
      <c r="D688" s="27"/>
      <c r="E688" s="26"/>
      <c r="F688" s="26"/>
      <c r="G688" s="30"/>
      <c r="H688" s="30"/>
      <c r="I688" s="30"/>
      <c r="J688" s="31"/>
      <c r="K688" s="31"/>
      <c r="L688" s="31"/>
      <c r="M688" s="31"/>
      <c r="N688" s="26"/>
      <c r="O688" s="26"/>
      <c r="P688" s="26"/>
      <c r="Q688" s="28"/>
    </row>
    <row r="689" spans="1:17">
      <c r="A689" t="str">
        <f t="shared" si="20"/>
        <v/>
      </c>
      <c r="B689" t="str">
        <f t="shared" si="21"/>
        <v/>
      </c>
      <c r="D689" s="27"/>
      <c r="E689" s="26"/>
      <c r="F689" s="26"/>
      <c r="G689" s="30"/>
      <c r="H689" s="30"/>
      <c r="I689" s="30"/>
      <c r="J689" s="31"/>
      <c r="K689" s="31"/>
      <c r="L689" s="31"/>
      <c r="M689" s="31"/>
      <c r="N689" s="26"/>
      <c r="O689" s="26"/>
      <c r="P689" s="26"/>
      <c r="Q689" s="28"/>
    </row>
    <row r="690" spans="1:17">
      <c r="A690" t="str">
        <f t="shared" si="20"/>
        <v/>
      </c>
      <c r="B690" t="str">
        <f t="shared" si="21"/>
        <v/>
      </c>
      <c r="D690" s="27"/>
      <c r="E690" s="26"/>
      <c r="F690" s="26"/>
      <c r="G690" s="30"/>
      <c r="H690" s="30"/>
      <c r="I690" s="30"/>
      <c r="J690" s="31"/>
      <c r="K690" s="31"/>
      <c r="L690" s="31"/>
      <c r="M690" s="31"/>
      <c r="N690" s="26"/>
      <c r="O690" s="26"/>
      <c r="P690" s="26"/>
      <c r="Q690" s="28"/>
    </row>
    <row r="691" spans="1:17">
      <c r="A691" t="str">
        <f t="shared" si="20"/>
        <v/>
      </c>
      <c r="B691" t="str">
        <f t="shared" si="21"/>
        <v/>
      </c>
      <c r="D691" s="27"/>
      <c r="E691" s="26"/>
      <c r="F691" s="26"/>
      <c r="G691" s="30"/>
      <c r="H691" s="30"/>
      <c r="I691" s="30"/>
      <c r="J691" s="31"/>
      <c r="K691" s="31"/>
      <c r="L691" s="31"/>
      <c r="M691" s="31"/>
      <c r="N691" s="26"/>
      <c r="O691" s="26"/>
      <c r="P691" s="26"/>
      <c r="Q691" s="28"/>
    </row>
    <row r="692" spans="1:17">
      <c r="A692" t="str">
        <f t="shared" si="20"/>
        <v/>
      </c>
      <c r="B692" t="str">
        <f t="shared" si="21"/>
        <v/>
      </c>
      <c r="D692" s="27"/>
      <c r="E692" s="26"/>
      <c r="F692" s="26"/>
      <c r="G692" s="30"/>
      <c r="H692" s="30"/>
      <c r="I692" s="30"/>
      <c r="J692" s="31"/>
      <c r="K692" s="31"/>
      <c r="L692" s="31"/>
      <c r="M692" s="31"/>
      <c r="N692" s="26"/>
      <c r="O692" s="26"/>
      <c r="P692" s="26"/>
      <c r="Q692" s="28"/>
    </row>
    <row r="693" spans="1:17">
      <c r="A693" t="str">
        <f t="shared" si="20"/>
        <v/>
      </c>
      <c r="B693" t="str">
        <f t="shared" si="21"/>
        <v/>
      </c>
      <c r="D693" s="27"/>
      <c r="E693" s="26"/>
      <c r="F693" s="26"/>
      <c r="G693" s="30"/>
      <c r="H693" s="30"/>
      <c r="I693" s="30"/>
      <c r="J693" s="31"/>
      <c r="K693" s="31"/>
      <c r="L693" s="31"/>
      <c r="M693" s="31"/>
      <c r="N693" s="26"/>
      <c r="O693" s="26"/>
      <c r="P693" s="26"/>
      <c r="Q693" s="28"/>
    </row>
    <row r="694" spans="1:17">
      <c r="A694" t="str">
        <f t="shared" si="20"/>
        <v/>
      </c>
      <c r="B694" t="str">
        <f t="shared" si="21"/>
        <v/>
      </c>
      <c r="D694" s="27"/>
      <c r="E694" s="26"/>
      <c r="F694" s="26"/>
      <c r="G694" s="30"/>
      <c r="H694" s="30"/>
      <c r="I694" s="30"/>
      <c r="J694" s="31"/>
      <c r="K694" s="31"/>
      <c r="L694" s="31"/>
      <c r="M694" s="31"/>
      <c r="N694" s="26"/>
      <c r="O694" s="26"/>
      <c r="P694" s="26"/>
      <c r="Q694" s="28"/>
    </row>
    <row r="695" spans="1:17">
      <c r="A695" t="str">
        <f t="shared" si="20"/>
        <v/>
      </c>
      <c r="B695" t="str">
        <f t="shared" si="21"/>
        <v/>
      </c>
      <c r="D695" s="27"/>
      <c r="E695" s="26"/>
      <c r="F695" s="26"/>
      <c r="G695" s="30"/>
      <c r="H695" s="30"/>
      <c r="I695" s="30"/>
      <c r="J695" s="31"/>
      <c r="K695" s="31"/>
      <c r="L695" s="31"/>
      <c r="M695" s="31"/>
      <c r="N695" s="26"/>
      <c r="O695" s="26"/>
      <c r="P695" s="26"/>
      <c r="Q695" s="28"/>
    </row>
    <row r="696" spans="1:17">
      <c r="A696" t="str">
        <f t="shared" si="20"/>
        <v/>
      </c>
      <c r="B696" t="str">
        <f t="shared" si="21"/>
        <v/>
      </c>
      <c r="D696" s="27"/>
      <c r="E696" s="26"/>
      <c r="F696" s="26"/>
      <c r="G696" s="30"/>
      <c r="H696" s="30"/>
      <c r="I696" s="30"/>
      <c r="J696" s="31"/>
      <c r="K696" s="31"/>
      <c r="L696" s="31"/>
      <c r="M696" s="31"/>
      <c r="N696" s="26"/>
      <c r="O696" s="26"/>
      <c r="P696" s="26"/>
      <c r="Q696" s="28"/>
    </row>
    <row r="697" spans="1:17">
      <c r="A697" t="str">
        <f t="shared" si="20"/>
        <v/>
      </c>
      <c r="B697" t="str">
        <f t="shared" si="21"/>
        <v/>
      </c>
      <c r="D697" s="27"/>
      <c r="E697" s="26"/>
      <c r="F697" s="26"/>
      <c r="G697" s="30"/>
      <c r="H697" s="30"/>
      <c r="I697" s="30"/>
      <c r="J697" s="31"/>
      <c r="K697" s="31"/>
      <c r="L697" s="31"/>
      <c r="M697" s="31"/>
      <c r="N697" s="26"/>
      <c r="O697" s="26"/>
      <c r="P697" s="26"/>
      <c r="Q697" s="28"/>
    </row>
    <row r="698" spans="1:17">
      <c r="A698" t="str">
        <f t="shared" si="20"/>
        <v/>
      </c>
      <c r="B698" t="str">
        <f t="shared" si="21"/>
        <v/>
      </c>
      <c r="D698" s="27"/>
      <c r="E698" s="26"/>
      <c r="F698" s="26"/>
      <c r="G698" s="30"/>
      <c r="H698" s="30"/>
      <c r="I698" s="30"/>
      <c r="J698" s="31"/>
      <c r="K698" s="31"/>
      <c r="L698" s="31"/>
      <c r="M698" s="31"/>
      <c r="N698" s="26"/>
      <c r="O698" s="26"/>
      <c r="P698" s="26"/>
      <c r="Q698" s="28"/>
    </row>
    <row r="699" spans="1:17">
      <c r="A699" t="str">
        <f t="shared" si="20"/>
        <v/>
      </c>
      <c r="B699" t="str">
        <f t="shared" si="21"/>
        <v/>
      </c>
      <c r="D699" s="27"/>
      <c r="E699" s="26"/>
      <c r="F699" s="26"/>
      <c r="G699" s="30"/>
      <c r="H699" s="30"/>
      <c r="I699" s="30"/>
      <c r="J699" s="31"/>
      <c r="K699" s="31"/>
      <c r="L699" s="31"/>
      <c r="M699" s="31"/>
      <c r="N699" s="26"/>
      <c r="O699" s="26"/>
      <c r="P699" s="26"/>
      <c r="Q699" s="28"/>
    </row>
    <row r="700" spans="1:17">
      <c r="A700" t="str">
        <f t="shared" si="20"/>
        <v/>
      </c>
      <c r="B700" t="str">
        <f t="shared" si="21"/>
        <v/>
      </c>
      <c r="D700" s="27"/>
      <c r="E700" s="26"/>
      <c r="F700" s="26"/>
      <c r="G700" s="30"/>
      <c r="H700" s="30"/>
      <c r="I700" s="30"/>
      <c r="J700" s="31"/>
      <c r="K700" s="31"/>
      <c r="L700" s="31"/>
      <c r="M700" s="31"/>
      <c r="N700" s="26"/>
      <c r="O700" s="26"/>
      <c r="P700" s="26"/>
      <c r="Q700" s="28"/>
    </row>
    <row r="701" spans="1:17">
      <c r="A701" t="str">
        <f t="shared" si="20"/>
        <v/>
      </c>
      <c r="B701" t="str">
        <f t="shared" si="21"/>
        <v/>
      </c>
      <c r="D701" s="27"/>
      <c r="E701" s="26"/>
      <c r="F701" s="26"/>
      <c r="G701" s="30"/>
      <c r="H701" s="30"/>
      <c r="I701" s="30"/>
      <c r="J701" s="31"/>
      <c r="K701" s="31"/>
      <c r="L701" s="31"/>
      <c r="M701" s="31"/>
      <c r="N701" s="26"/>
      <c r="O701" s="26"/>
      <c r="P701" s="26"/>
      <c r="Q701" s="28"/>
    </row>
    <row r="702" spans="1:17">
      <c r="A702" t="str">
        <f t="shared" si="20"/>
        <v/>
      </c>
      <c r="B702" t="str">
        <f t="shared" si="21"/>
        <v/>
      </c>
      <c r="D702" s="27"/>
      <c r="E702" s="26"/>
      <c r="F702" s="26"/>
      <c r="G702" s="30"/>
      <c r="H702" s="30"/>
      <c r="I702" s="30"/>
      <c r="J702" s="31"/>
      <c r="K702" s="31"/>
      <c r="L702" s="31"/>
      <c r="M702" s="31"/>
      <c r="N702" s="26"/>
      <c r="O702" s="26"/>
      <c r="P702" s="26"/>
      <c r="Q702" s="28"/>
    </row>
    <row r="703" spans="1:17">
      <c r="A703" t="str">
        <f t="shared" si="20"/>
        <v/>
      </c>
      <c r="B703" t="str">
        <f t="shared" si="21"/>
        <v/>
      </c>
      <c r="D703" s="27"/>
      <c r="E703" s="26"/>
      <c r="F703" s="26"/>
      <c r="G703" s="30"/>
      <c r="H703" s="30"/>
      <c r="I703" s="30"/>
      <c r="J703" s="31"/>
      <c r="K703" s="31"/>
      <c r="L703" s="31"/>
      <c r="M703" s="31"/>
      <c r="N703" s="26"/>
      <c r="O703" s="26"/>
      <c r="P703" s="26"/>
      <c r="Q703" s="28"/>
    </row>
    <row r="704" spans="1:17">
      <c r="A704" t="str">
        <f t="shared" si="20"/>
        <v/>
      </c>
      <c r="B704" t="str">
        <f t="shared" si="21"/>
        <v/>
      </c>
      <c r="D704" s="27"/>
      <c r="E704" s="26"/>
      <c r="F704" s="26"/>
      <c r="G704" s="30"/>
      <c r="H704" s="30"/>
      <c r="I704" s="30"/>
      <c r="J704" s="31"/>
      <c r="K704" s="31"/>
      <c r="L704" s="31"/>
      <c r="M704" s="31"/>
      <c r="N704" s="26"/>
      <c r="O704" s="26"/>
      <c r="P704" s="26"/>
      <c r="Q704" s="28"/>
    </row>
    <row r="705" spans="1:17">
      <c r="A705" t="str">
        <f t="shared" si="20"/>
        <v/>
      </c>
      <c r="B705" t="str">
        <f t="shared" si="21"/>
        <v/>
      </c>
      <c r="D705" s="27"/>
      <c r="E705" s="26"/>
      <c r="F705" s="26"/>
      <c r="G705" s="30"/>
      <c r="H705" s="30"/>
      <c r="I705" s="30"/>
      <c r="J705" s="31"/>
      <c r="K705" s="31"/>
      <c r="L705" s="31"/>
      <c r="M705" s="31"/>
      <c r="N705" s="26"/>
      <c r="O705" s="26"/>
      <c r="P705" s="26"/>
      <c r="Q705" s="28"/>
    </row>
    <row r="706" spans="1:17">
      <c r="A706" t="str">
        <f t="shared" si="20"/>
        <v/>
      </c>
      <c r="B706" t="str">
        <f t="shared" si="21"/>
        <v/>
      </c>
      <c r="D706" s="27"/>
      <c r="E706" s="26"/>
      <c r="F706" s="26"/>
      <c r="G706" s="30"/>
      <c r="H706" s="30"/>
      <c r="I706" s="30"/>
      <c r="J706" s="31"/>
      <c r="K706" s="31"/>
      <c r="L706" s="31"/>
      <c r="M706" s="31"/>
      <c r="N706" s="26"/>
      <c r="O706" s="26"/>
      <c r="P706" s="26"/>
      <c r="Q706" s="28"/>
    </row>
    <row r="707" spans="1:17">
      <c r="A707" t="str">
        <f t="shared" si="20"/>
        <v/>
      </c>
      <c r="B707" t="str">
        <f t="shared" si="21"/>
        <v/>
      </c>
      <c r="D707" s="27"/>
      <c r="E707" s="26"/>
      <c r="F707" s="26"/>
      <c r="G707" s="30"/>
      <c r="H707" s="30"/>
      <c r="I707" s="30"/>
      <c r="J707" s="31"/>
      <c r="K707" s="31"/>
      <c r="L707" s="31"/>
      <c r="M707" s="31"/>
      <c r="N707" s="26"/>
      <c r="O707" s="26"/>
      <c r="P707" s="26"/>
      <c r="Q707" s="28"/>
    </row>
    <row r="708" spans="1:17">
      <c r="A708" t="str">
        <f t="shared" si="20"/>
        <v/>
      </c>
      <c r="B708" t="str">
        <f t="shared" si="21"/>
        <v/>
      </c>
      <c r="D708" s="27"/>
      <c r="E708" s="26"/>
      <c r="F708" s="26"/>
      <c r="G708" s="30"/>
      <c r="H708" s="30"/>
      <c r="I708" s="30"/>
      <c r="J708" s="31"/>
      <c r="K708" s="31"/>
      <c r="L708" s="31"/>
      <c r="M708" s="31"/>
      <c r="N708" s="26"/>
      <c r="O708" s="26"/>
      <c r="P708" s="26"/>
      <c r="Q708" s="28"/>
    </row>
    <row r="709" spans="1:17">
      <c r="A709" t="str">
        <f t="shared" si="20"/>
        <v/>
      </c>
      <c r="B709" t="str">
        <f t="shared" si="21"/>
        <v/>
      </c>
      <c r="D709" s="27"/>
      <c r="E709" s="26"/>
      <c r="F709" s="26"/>
      <c r="G709" s="30"/>
      <c r="H709" s="30"/>
      <c r="I709" s="30"/>
      <c r="J709" s="31"/>
      <c r="K709" s="31"/>
      <c r="L709" s="31"/>
      <c r="M709" s="31"/>
      <c r="N709" s="26"/>
      <c r="O709" s="26"/>
      <c r="P709" s="26"/>
      <c r="Q709" s="28"/>
    </row>
    <row r="710" spans="1:17">
      <c r="A710" t="str">
        <f t="shared" si="20"/>
        <v/>
      </c>
      <c r="B710" t="str">
        <f t="shared" si="21"/>
        <v/>
      </c>
      <c r="D710" s="27"/>
      <c r="E710" s="26"/>
      <c r="F710" s="26"/>
      <c r="G710" s="30"/>
      <c r="H710" s="30"/>
      <c r="I710" s="30"/>
      <c r="J710" s="31"/>
      <c r="K710" s="31"/>
      <c r="L710" s="31"/>
      <c r="M710" s="31"/>
      <c r="N710" s="26"/>
      <c r="O710" s="26"/>
      <c r="P710" s="26"/>
      <c r="Q710" s="28"/>
    </row>
    <row r="711" spans="1:17">
      <c r="A711" t="str">
        <f t="shared" si="20"/>
        <v/>
      </c>
      <c r="B711" t="str">
        <f t="shared" si="21"/>
        <v/>
      </c>
      <c r="D711" s="27"/>
      <c r="E711" s="26"/>
      <c r="F711" s="26"/>
      <c r="G711" s="30"/>
      <c r="H711" s="30"/>
      <c r="I711" s="30"/>
      <c r="J711" s="31"/>
      <c r="K711" s="31"/>
      <c r="L711" s="31"/>
      <c r="M711" s="31"/>
      <c r="N711" s="26"/>
      <c r="O711" s="26"/>
      <c r="P711" s="26"/>
      <c r="Q711" s="28"/>
    </row>
    <row r="712" spans="1:17">
      <c r="A712" t="str">
        <f t="shared" si="20"/>
        <v/>
      </c>
      <c r="B712" t="str">
        <f t="shared" si="21"/>
        <v/>
      </c>
      <c r="D712" s="27"/>
      <c r="E712" s="26"/>
      <c r="F712" s="26"/>
      <c r="G712" s="30"/>
      <c r="H712" s="30"/>
      <c r="I712" s="30"/>
      <c r="J712" s="31"/>
      <c r="K712" s="31"/>
      <c r="L712" s="31"/>
      <c r="M712" s="31"/>
      <c r="N712" s="26"/>
      <c r="O712" s="26"/>
      <c r="P712" s="26"/>
      <c r="Q712" s="28"/>
    </row>
    <row r="713" spans="1:17">
      <c r="A713" t="str">
        <f t="shared" si="20"/>
        <v/>
      </c>
      <c r="B713" t="str">
        <f t="shared" si="21"/>
        <v/>
      </c>
      <c r="D713" s="27"/>
      <c r="E713" s="26"/>
      <c r="F713" s="26"/>
      <c r="G713" s="30"/>
      <c r="H713" s="30"/>
      <c r="I713" s="30"/>
      <c r="J713" s="31"/>
      <c r="K713" s="31"/>
      <c r="L713" s="31"/>
      <c r="M713" s="31"/>
      <c r="N713" s="26"/>
      <c r="O713" s="26"/>
      <c r="P713" s="26"/>
      <c r="Q713" s="28"/>
    </row>
    <row r="714" spans="1:17">
      <c r="A714" t="str">
        <f t="shared" si="20"/>
        <v/>
      </c>
      <c r="B714" t="str">
        <f t="shared" si="21"/>
        <v/>
      </c>
      <c r="D714" s="27"/>
      <c r="E714" s="26"/>
      <c r="F714" s="26"/>
      <c r="G714" s="30"/>
      <c r="H714" s="30"/>
      <c r="I714" s="30"/>
      <c r="J714" s="31"/>
      <c r="K714" s="31"/>
      <c r="L714" s="31"/>
      <c r="M714" s="31"/>
      <c r="N714" s="26"/>
      <c r="O714" s="26"/>
      <c r="P714" s="26"/>
      <c r="Q714" s="28"/>
    </row>
    <row r="715" spans="1:17">
      <c r="A715" t="str">
        <f t="shared" si="20"/>
        <v/>
      </c>
      <c r="B715" t="str">
        <f t="shared" si="21"/>
        <v/>
      </c>
      <c r="D715" s="27"/>
      <c r="E715" s="26"/>
      <c r="F715" s="26"/>
      <c r="G715" s="30"/>
      <c r="H715" s="30"/>
      <c r="I715" s="30"/>
      <c r="J715" s="31"/>
      <c r="K715" s="31"/>
      <c r="L715" s="31"/>
      <c r="M715" s="31"/>
      <c r="N715" s="26"/>
      <c r="O715" s="26"/>
      <c r="P715" s="26"/>
      <c r="Q715" s="28"/>
    </row>
    <row r="716" spans="1:17">
      <c r="A716" t="str">
        <f t="shared" si="20"/>
        <v/>
      </c>
      <c r="B716" t="str">
        <f t="shared" si="21"/>
        <v/>
      </c>
      <c r="D716" s="27"/>
      <c r="E716" s="26"/>
      <c r="F716" s="26"/>
      <c r="G716" s="30"/>
      <c r="H716" s="30"/>
      <c r="I716" s="30"/>
      <c r="J716" s="31"/>
      <c r="K716" s="31"/>
      <c r="L716" s="31"/>
      <c r="M716" s="31"/>
      <c r="N716" s="26"/>
      <c r="O716" s="26"/>
      <c r="P716" s="26"/>
      <c r="Q716" s="28"/>
    </row>
    <row r="717" spans="1:17">
      <c r="A717" t="str">
        <f t="shared" si="20"/>
        <v/>
      </c>
      <c r="B717" t="str">
        <f t="shared" si="21"/>
        <v/>
      </c>
      <c r="D717" s="27"/>
      <c r="E717" s="26"/>
      <c r="F717" s="26"/>
      <c r="G717" s="30"/>
      <c r="H717" s="30"/>
      <c r="I717" s="30"/>
      <c r="J717" s="31"/>
      <c r="K717" s="31"/>
      <c r="L717" s="31"/>
      <c r="M717" s="31"/>
      <c r="N717" s="26"/>
      <c r="O717" s="26"/>
      <c r="P717" s="26"/>
      <c r="Q717" s="28"/>
    </row>
    <row r="718" spans="1:17">
      <c r="A718" t="str">
        <f t="shared" ref="A718:A781" si="22">IF($J718=0,"",H718)</f>
        <v/>
      </c>
      <c r="B718" t="str">
        <f t="shared" ref="B718:B781" si="23">IF($J718=0,"",I718)</f>
        <v/>
      </c>
      <c r="D718" s="27"/>
      <c r="E718" s="26"/>
      <c r="F718" s="26"/>
      <c r="G718" s="30"/>
      <c r="H718" s="30"/>
      <c r="I718" s="30"/>
      <c r="J718" s="31"/>
      <c r="K718" s="31"/>
      <c r="L718" s="31"/>
      <c r="M718" s="31"/>
      <c r="N718" s="26"/>
      <c r="O718" s="26"/>
      <c r="P718" s="26"/>
      <c r="Q718" s="28"/>
    </row>
    <row r="719" spans="1:17">
      <c r="A719" t="str">
        <f t="shared" si="22"/>
        <v/>
      </c>
      <c r="B719" t="str">
        <f t="shared" si="23"/>
        <v/>
      </c>
      <c r="D719" s="27"/>
      <c r="E719" s="26"/>
      <c r="F719" s="26"/>
      <c r="G719" s="30"/>
      <c r="H719" s="30"/>
      <c r="I719" s="30"/>
      <c r="J719" s="31"/>
      <c r="K719" s="31"/>
      <c r="L719" s="31"/>
      <c r="M719" s="31"/>
      <c r="N719" s="26"/>
      <c r="O719" s="26"/>
      <c r="P719" s="26"/>
      <c r="Q719" s="28"/>
    </row>
    <row r="720" spans="1:17">
      <c r="A720" t="str">
        <f t="shared" si="22"/>
        <v/>
      </c>
      <c r="B720" t="str">
        <f t="shared" si="23"/>
        <v/>
      </c>
      <c r="D720" s="27"/>
      <c r="E720" s="26"/>
      <c r="F720" s="26"/>
      <c r="G720" s="30"/>
      <c r="H720" s="30"/>
      <c r="I720" s="30"/>
      <c r="J720" s="31"/>
      <c r="K720" s="31"/>
      <c r="L720" s="31"/>
      <c r="M720" s="31"/>
      <c r="N720" s="26"/>
      <c r="O720" s="26"/>
      <c r="P720" s="26"/>
      <c r="Q720" s="28"/>
    </row>
    <row r="721" spans="1:17">
      <c r="A721" t="str">
        <f t="shared" si="22"/>
        <v/>
      </c>
      <c r="B721" t="str">
        <f t="shared" si="23"/>
        <v/>
      </c>
      <c r="D721" s="27"/>
      <c r="E721" s="26"/>
      <c r="F721" s="26"/>
      <c r="G721" s="30"/>
      <c r="H721" s="30"/>
      <c r="I721" s="30"/>
      <c r="J721" s="31"/>
      <c r="K721" s="31"/>
      <c r="L721" s="31"/>
      <c r="M721" s="31"/>
      <c r="N721" s="26"/>
      <c r="O721" s="26"/>
      <c r="P721" s="26"/>
      <c r="Q721" s="28"/>
    </row>
    <row r="722" spans="1:17">
      <c r="A722" t="str">
        <f t="shared" si="22"/>
        <v/>
      </c>
      <c r="B722" t="str">
        <f t="shared" si="23"/>
        <v/>
      </c>
      <c r="D722" s="27"/>
      <c r="E722" s="26"/>
      <c r="F722" s="26"/>
      <c r="G722" s="30"/>
      <c r="H722" s="30"/>
      <c r="I722" s="30"/>
      <c r="J722" s="31"/>
      <c r="K722" s="31"/>
      <c r="L722" s="31"/>
      <c r="M722" s="31"/>
      <c r="N722" s="26"/>
      <c r="O722" s="26"/>
      <c r="P722" s="26"/>
      <c r="Q722" s="28"/>
    </row>
    <row r="723" spans="1:17">
      <c r="A723" t="str">
        <f t="shared" si="22"/>
        <v/>
      </c>
      <c r="B723" t="str">
        <f t="shared" si="23"/>
        <v/>
      </c>
      <c r="D723" s="27"/>
      <c r="E723" s="26"/>
      <c r="F723" s="26"/>
      <c r="G723" s="30"/>
      <c r="H723" s="30"/>
      <c r="I723" s="30"/>
      <c r="J723" s="31"/>
      <c r="K723" s="31"/>
      <c r="L723" s="31"/>
      <c r="M723" s="31"/>
      <c r="N723" s="26"/>
      <c r="O723" s="26"/>
      <c r="P723" s="26"/>
      <c r="Q723" s="28"/>
    </row>
    <row r="724" spans="1:17">
      <c r="A724" t="str">
        <f t="shared" si="22"/>
        <v/>
      </c>
      <c r="B724" t="str">
        <f t="shared" si="23"/>
        <v/>
      </c>
      <c r="D724" s="27"/>
      <c r="E724" s="26"/>
      <c r="F724" s="26"/>
      <c r="G724" s="30"/>
      <c r="H724" s="30"/>
      <c r="I724" s="30"/>
      <c r="J724" s="31"/>
      <c r="K724" s="31"/>
      <c r="L724" s="31"/>
      <c r="M724" s="31"/>
      <c r="N724" s="26"/>
      <c r="O724" s="26"/>
      <c r="P724" s="26"/>
      <c r="Q724" s="28"/>
    </row>
    <row r="725" spans="1:17">
      <c r="A725" t="str">
        <f t="shared" si="22"/>
        <v/>
      </c>
      <c r="B725" t="str">
        <f t="shared" si="23"/>
        <v/>
      </c>
      <c r="D725" s="27"/>
      <c r="E725" s="26"/>
      <c r="F725" s="26"/>
      <c r="G725" s="30"/>
      <c r="H725" s="30"/>
      <c r="I725" s="30"/>
      <c r="J725" s="31"/>
      <c r="K725" s="31"/>
      <c r="L725" s="31"/>
      <c r="M725" s="31"/>
      <c r="N725" s="26"/>
      <c r="O725" s="26"/>
      <c r="P725" s="26"/>
      <c r="Q725" s="28"/>
    </row>
    <row r="726" spans="1:17">
      <c r="A726" t="str">
        <f t="shared" si="22"/>
        <v/>
      </c>
      <c r="B726" t="str">
        <f t="shared" si="23"/>
        <v/>
      </c>
      <c r="D726" s="27"/>
      <c r="E726" s="26"/>
      <c r="F726" s="26"/>
      <c r="G726" s="30"/>
      <c r="H726" s="30"/>
      <c r="I726" s="30"/>
      <c r="J726" s="31"/>
      <c r="K726" s="31"/>
      <c r="L726" s="31"/>
      <c r="M726" s="31"/>
      <c r="N726" s="26"/>
      <c r="O726" s="26"/>
      <c r="P726" s="26"/>
      <c r="Q726" s="28"/>
    </row>
    <row r="727" spans="1:17">
      <c r="A727" t="str">
        <f t="shared" si="22"/>
        <v/>
      </c>
      <c r="B727" t="str">
        <f t="shared" si="23"/>
        <v/>
      </c>
      <c r="D727" s="27"/>
      <c r="E727" s="26"/>
      <c r="F727" s="26"/>
      <c r="G727" s="30"/>
      <c r="H727" s="30"/>
      <c r="I727" s="30"/>
      <c r="J727" s="31"/>
      <c r="K727" s="31"/>
      <c r="L727" s="31"/>
      <c r="M727" s="31"/>
      <c r="N727" s="26"/>
      <c r="O727" s="26"/>
      <c r="P727" s="26"/>
      <c r="Q727" s="28"/>
    </row>
    <row r="728" spans="1:17">
      <c r="A728" t="str">
        <f t="shared" si="22"/>
        <v/>
      </c>
      <c r="B728" t="str">
        <f t="shared" si="23"/>
        <v/>
      </c>
      <c r="D728" s="27"/>
      <c r="E728" s="26"/>
      <c r="F728" s="26"/>
      <c r="G728" s="30"/>
      <c r="H728" s="30"/>
      <c r="I728" s="30"/>
      <c r="J728" s="31"/>
      <c r="K728" s="31"/>
      <c r="L728" s="31"/>
      <c r="M728" s="31"/>
      <c r="N728" s="26"/>
      <c r="O728" s="26"/>
      <c r="P728" s="26"/>
      <c r="Q728" s="28"/>
    </row>
    <row r="729" spans="1:17">
      <c r="A729" t="str">
        <f t="shared" si="22"/>
        <v/>
      </c>
      <c r="B729" t="str">
        <f t="shared" si="23"/>
        <v/>
      </c>
      <c r="D729" s="27"/>
      <c r="E729" s="26"/>
      <c r="F729" s="26"/>
      <c r="G729" s="30"/>
      <c r="H729" s="30"/>
      <c r="I729" s="30"/>
      <c r="J729" s="31"/>
      <c r="K729" s="31"/>
      <c r="L729" s="31"/>
      <c r="M729" s="31"/>
      <c r="N729" s="26"/>
      <c r="O729" s="26"/>
      <c r="P729" s="26"/>
      <c r="Q729" s="28"/>
    </row>
    <row r="730" spans="1:17">
      <c r="A730" t="str">
        <f t="shared" si="22"/>
        <v/>
      </c>
      <c r="B730" t="str">
        <f t="shared" si="23"/>
        <v/>
      </c>
      <c r="D730" s="27"/>
      <c r="E730" s="26"/>
      <c r="F730" s="26"/>
      <c r="G730" s="30"/>
      <c r="H730" s="30"/>
      <c r="I730" s="30"/>
      <c r="J730" s="31"/>
      <c r="K730" s="31"/>
      <c r="L730" s="31"/>
      <c r="M730" s="31"/>
      <c r="N730" s="26"/>
      <c r="O730" s="26"/>
      <c r="P730" s="26"/>
      <c r="Q730" s="28"/>
    </row>
    <row r="731" spans="1:17">
      <c r="A731" t="str">
        <f t="shared" si="22"/>
        <v/>
      </c>
      <c r="B731" t="str">
        <f t="shared" si="23"/>
        <v/>
      </c>
      <c r="D731" s="27"/>
      <c r="E731" s="26"/>
      <c r="F731" s="26"/>
      <c r="G731" s="30"/>
      <c r="H731" s="30"/>
      <c r="I731" s="30"/>
      <c r="J731" s="31"/>
      <c r="K731" s="31"/>
      <c r="L731" s="31"/>
      <c r="M731" s="31"/>
      <c r="N731" s="26"/>
      <c r="O731" s="26"/>
      <c r="P731" s="26"/>
      <c r="Q731" s="28"/>
    </row>
    <row r="732" spans="1:17">
      <c r="A732" t="str">
        <f t="shared" si="22"/>
        <v/>
      </c>
      <c r="B732" t="str">
        <f t="shared" si="23"/>
        <v/>
      </c>
      <c r="D732" s="27"/>
      <c r="E732" s="26"/>
      <c r="F732" s="26"/>
      <c r="G732" s="30"/>
      <c r="H732" s="30"/>
      <c r="I732" s="30"/>
      <c r="J732" s="31"/>
      <c r="K732" s="31"/>
      <c r="L732" s="31"/>
      <c r="M732" s="31"/>
      <c r="N732" s="26"/>
      <c r="O732" s="26"/>
      <c r="P732" s="26"/>
      <c r="Q732" s="28"/>
    </row>
    <row r="733" spans="1:17">
      <c r="A733" t="str">
        <f t="shared" si="22"/>
        <v/>
      </c>
      <c r="B733" t="str">
        <f t="shared" si="23"/>
        <v/>
      </c>
      <c r="D733" s="27"/>
      <c r="E733" s="26"/>
      <c r="F733" s="26"/>
      <c r="G733" s="30"/>
      <c r="H733" s="30"/>
      <c r="I733" s="30"/>
      <c r="J733" s="31"/>
      <c r="K733" s="31"/>
      <c r="L733" s="31"/>
      <c r="M733" s="31"/>
      <c r="N733" s="26"/>
      <c r="O733" s="26"/>
      <c r="P733" s="26"/>
      <c r="Q733" s="28"/>
    </row>
    <row r="734" spans="1:17">
      <c r="A734" t="str">
        <f t="shared" si="22"/>
        <v/>
      </c>
      <c r="B734" t="str">
        <f t="shared" si="23"/>
        <v/>
      </c>
      <c r="D734" s="27"/>
      <c r="E734" s="26"/>
      <c r="F734" s="26"/>
      <c r="G734" s="30"/>
      <c r="H734" s="30"/>
      <c r="I734" s="30"/>
      <c r="J734" s="31"/>
      <c r="K734" s="31"/>
      <c r="L734" s="31"/>
      <c r="M734" s="31"/>
      <c r="N734" s="26"/>
      <c r="O734" s="26"/>
      <c r="P734" s="26"/>
      <c r="Q734" s="28"/>
    </row>
    <row r="735" spans="1:17">
      <c r="A735" t="str">
        <f t="shared" si="22"/>
        <v/>
      </c>
      <c r="B735" t="str">
        <f t="shared" si="23"/>
        <v/>
      </c>
      <c r="D735" s="27"/>
      <c r="E735" s="26"/>
      <c r="F735" s="26"/>
      <c r="G735" s="30"/>
      <c r="H735" s="30"/>
      <c r="I735" s="30"/>
      <c r="J735" s="31"/>
      <c r="K735" s="31"/>
      <c r="L735" s="31"/>
      <c r="M735" s="31"/>
      <c r="N735" s="26"/>
      <c r="O735" s="26"/>
      <c r="P735" s="26"/>
      <c r="Q735" s="28"/>
    </row>
    <row r="736" spans="1:17">
      <c r="A736" t="str">
        <f t="shared" si="22"/>
        <v/>
      </c>
      <c r="B736" t="str">
        <f t="shared" si="23"/>
        <v/>
      </c>
      <c r="D736" s="27"/>
      <c r="E736" s="26"/>
      <c r="F736" s="26"/>
      <c r="G736" s="30"/>
      <c r="H736" s="30"/>
      <c r="I736" s="30"/>
      <c r="J736" s="31"/>
      <c r="K736" s="31"/>
      <c r="L736" s="31"/>
      <c r="M736" s="31"/>
      <c r="N736" s="26"/>
      <c r="O736" s="26"/>
      <c r="P736" s="26"/>
      <c r="Q736" s="28"/>
    </row>
    <row r="737" spans="1:17">
      <c r="A737" t="str">
        <f t="shared" si="22"/>
        <v/>
      </c>
      <c r="B737" t="str">
        <f t="shared" si="23"/>
        <v/>
      </c>
      <c r="D737" s="27"/>
      <c r="E737" s="26"/>
      <c r="F737" s="26"/>
      <c r="G737" s="30"/>
      <c r="H737" s="30"/>
      <c r="I737" s="30"/>
      <c r="J737" s="31"/>
      <c r="K737" s="31"/>
      <c r="L737" s="31"/>
      <c r="M737" s="31"/>
      <c r="N737" s="26"/>
      <c r="O737" s="26"/>
      <c r="P737" s="26"/>
      <c r="Q737" s="28"/>
    </row>
    <row r="738" spans="1:17">
      <c r="A738" t="str">
        <f t="shared" si="22"/>
        <v/>
      </c>
      <c r="B738" t="str">
        <f t="shared" si="23"/>
        <v/>
      </c>
      <c r="D738" s="27"/>
      <c r="E738" s="26"/>
      <c r="F738" s="26"/>
      <c r="G738" s="30"/>
      <c r="H738" s="30"/>
      <c r="I738" s="30"/>
      <c r="J738" s="31"/>
      <c r="K738" s="31"/>
      <c r="L738" s="31"/>
      <c r="M738" s="31"/>
      <c r="N738" s="26"/>
      <c r="O738" s="26"/>
      <c r="P738" s="26"/>
      <c r="Q738" s="28"/>
    </row>
    <row r="739" spans="1:17">
      <c r="A739" t="str">
        <f t="shared" si="22"/>
        <v/>
      </c>
      <c r="B739" t="str">
        <f t="shared" si="23"/>
        <v/>
      </c>
      <c r="D739" s="27"/>
      <c r="E739" s="26"/>
      <c r="F739" s="26"/>
      <c r="G739" s="30"/>
      <c r="H739" s="30"/>
      <c r="I739" s="30"/>
      <c r="J739" s="31"/>
      <c r="K739" s="31"/>
      <c r="L739" s="31"/>
      <c r="M739" s="31"/>
      <c r="N739" s="26"/>
      <c r="O739" s="26"/>
      <c r="P739" s="26"/>
      <c r="Q739" s="28"/>
    </row>
    <row r="740" spans="1:17">
      <c r="A740" t="str">
        <f t="shared" si="22"/>
        <v/>
      </c>
      <c r="B740" t="str">
        <f t="shared" si="23"/>
        <v/>
      </c>
      <c r="D740" s="27"/>
      <c r="E740" s="26"/>
      <c r="F740" s="26"/>
      <c r="G740" s="30"/>
      <c r="H740" s="30"/>
      <c r="I740" s="30"/>
      <c r="J740" s="31"/>
      <c r="K740" s="31"/>
      <c r="L740" s="31"/>
      <c r="M740" s="31"/>
      <c r="N740" s="26"/>
      <c r="O740" s="26"/>
      <c r="P740" s="26"/>
      <c r="Q740" s="28"/>
    </row>
    <row r="741" spans="1:17">
      <c r="A741" t="str">
        <f t="shared" si="22"/>
        <v/>
      </c>
      <c r="B741" t="str">
        <f t="shared" si="23"/>
        <v/>
      </c>
      <c r="D741" s="27"/>
      <c r="E741" s="26"/>
      <c r="F741" s="26"/>
      <c r="G741" s="30"/>
      <c r="H741" s="30"/>
      <c r="I741" s="30"/>
      <c r="J741" s="31"/>
      <c r="K741" s="31"/>
      <c r="L741" s="31"/>
      <c r="M741" s="31"/>
      <c r="N741" s="26"/>
      <c r="O741" s="26"/>
      <c r="P741" s="26"/>
      <c r="Q741" s="28"/>
    </row>
    <row r="742" spans="1:17">
      <c r="A742" t="str">
        <f t="shared" si="22"/>
        <v/>
      </c>
      <c r="B742" t="str">
        <f t="shared" si="23"/>
        <v/>
      </c>
      <c r="D742" s="27"/>
      <c r="E742" s="26"/>
      <c r="F742" s="26"/>
      <c r="G742" s="30"/>
      <c r="H742" s="30"/>
      <c r="I742" s="30"/>
      <c r="J742" s="31"/>
      <c r="K742" s="31"/>
      <c r="L742" s="31"/>
      <c r="M742" s="31"/>
      <c r="N742" s="26"/>
      <c r="O742" s="26"/>
      <c r="P742" s="26"/>
      <c r="Q742" s="28"/>
    </row>
    <row r="743" spans="1:17">
      <c r="A743" t="str">
        <f t="shared" si="22"/>
        <v/>
      </c>
      <c r="B743" t="str">
        <f t="shared" si="23"/>
        <v/>
      </c>
      <c r="D743" s="27"/>
      <c r="E743" s="26"/>
      <c r="F743" s="26"/>
      <c r="G743" s="30"/>
      <c r="H743" s="30"/>
      <c r="I743" s="30"/>
      <c r="J743" s="31"/>
      <c r="K743" s="31"/>
      <c r="L743" s="31"/>
      <c r="M743" s="31"/>
      <c r="N743" s="26"/>
      <c r="O743" s="26"/>
      <c r="P743" s="26"/>
      <c r="Q743" s="28"/>
    </row>
    <row r="744" spans="1:17">
      <c r="A744" t="str">
        <f t="shared" si="22"/>
        <v/>
      </c>
      <c r="B744" t="str">
        <f t="shared" si="23"/>
        <v/>
      </c>
      <c r="D744" s="27"/>
      <c r="E744" s="26"/>
      <c r="F744" s="26"/>
      <c r="G744" s="30"/>
      <c r="H744" s="30"/>
      <c r="I744" s="30"/>
      <c r="J744" s="31"/>
      <c r="K744" s="31"/>
      <c r="L744" s="31"/>
      <c r="M744" s="31"/>
      <c r="N744" s="26"/>
      <c r="O744" s="26"/>
      <c r="P744" s="26"/>
      <c r="Q744" s="28"/>
    </row>
    <row r="745" spans="1:17">
      <c r="A745" t="str">
        <f t="shared" si="22"/>
        <v/>
      </c>
      <c r="B745" t="str">
        <f t="shared" si="23"/>
        <v/>
      </c>
      <c r="D745" s="27"/>
      <c r="E745" s="26"/>
      <c r="F745" s="26"/>
      <c r="G745" s="30"/>
      <c r="H745" s="30"/>
      <c r="I745" s="30"/>
      <c r="J745" s="31"/>
      <c r="K745" s="31"/>
      <c r="L745" s="31"/>
      <c r="M745" s="31"/>
      <c r="N745" s="26"/>
      <c r="O745" s="26"/>
      <c r="P745" s="26"/>
      <c r="Q745" s="28"/>
    </row>
    <row r="746" spans="1:17">
      <c r="A746" t="str">
        <f t="shared" si="22"/>
        <v/>
      </c>
      <c r="B746" t="str">
        <f t="shared" si="23"/>
        <v/>
      </c>
      <c r="D746" s="27"/>
      <c r="E746" s="26"/>
      <c r="F746" s="26"/>
      <c r="G746" s="30"/>
      <c r="H746" s="30"/>
      <c r="I746" s="30"/>
      <c r="J746" s="31"/>
      <c r="K746" s="31"/>
      <c r="L746" s="31"/>
      <c r="M746" s="31"/>
      <c r="N746" s="26"/>
      <c r="O746" s="26"/>
      <c r="P746" s="26"/>
      <c r="Q746" s="28"/>
    </row>
    <row r="747" spans="1:17">
      <c r="A747" t="str">
        <f t="shared" si="22"/>
        <v/>
      </c>
      <c r="B747" t="str">
        <f t="shared" si="23"/>
        <v/>
      </c>
      <c r="D747" s="27"/>
      <c r="E747" s="26"/>
      <c r="F747" s="26"/>
      <c r="G747" s="30"/>
      <c r="H747" s="30"/>
      <c r="I747" s="30"/>
      <c r="J747" s="31"/>
      <c r="K747" s="31"/>
      <c r="L747" s="31"/>
      <c r="M747" s="31"/>
      <c r="N747" s="26"/>
      <c r="O747" s="26"/>
      <c r="P747" s="26"/>
      <c r="Q747" s="28"/>
    </row>
    <row r="748" spans="1:17">
      <c r="A748" t="str">
        <f t="shared" si="22"/>
        <v/>
      </c>
      <c r="B748" t="str">
        <f t="shared" si="23"/>
        <v/>
      </c>
      <c r="D748" s="27"/>
      <c r="E748" s="26"/>
      <c r="F748" s="26"/>
      <c r="G748" s="30"/>
      <c r="H748" s="30"/>
      <c r="I748" s="30"/>
      <c r="J748" s="31"/>
      <c r="K748" s="31"/>
      <c r="L748" s="31"/>
      <c r="M748" s="31"/>
      <c r="N748" s="26"/>
      <c r="O748" s="26"/>
      <c r="P748" s="26"/>
      <c r="Q748" s="28"/>
    </row>
    <row r="749" spans="1:17">
      <c r="A749" t="str">
        <f t="shared" si="22"/>
        <v/>
      </c>
      <c r="B749" t="str">
        <f t="shared" si="23"/>
        <v/>
      </c>
      <c r="D749" s="27"/>
      <c r="E749" s="26"/>
      <c r="F749" s="26"/>
      <c r="G749" s="30"/>
      <c r="H749" s="30"/>
      <c r="I749" s="30"/>
      <c r="J749" s="31"/>
      <c r="K749" s="31"/>
      <c r="L749" s="31"/>
      <c r="M749" s="31"/>
      <c r="N749" s="26"/>
      <c r="O749" s="26"/>
      <c r="P749" s="26"/>
      <c r="Q749" s="28"/>
    </row>
    <row r="750" spans="1:17">
      <c r="A750" t="str">
        <f t="shared" si="22"/>
        <v/>
      </c>
      <c r="B750" t="str">
        <f t="shared" si="23"/>
        <v/>
      </c>
      <c r="D750" s="27"/>
      <c r="E750" s="26"/>
      <c r="F750" s="26"/>
      <c r="G750" s="30"/>
      <c r="H750" s="30"/>
      <c r="I750" s="30"/>
      <c r="J750" s="31"/>
      <c r="K750" s="31"/>
      <c r="L750" s="31"/>
      <c r="M750" s="31"/>
      <c r="N750" s="26"/>
      <c r="O750" s="26"/>
      <c r="P750" s="26"/>
      <c r="Q750" s="28"/>
    </row>
    <row r="751" spans="1:17">
      <c r="A751" t="str">
        <f t="shared" si="22"/>
        <v/>
      </c>
      <c r="B751" t="str">
        <f t="shared" si="23"/>
        <v/>
      </c>
      <c r="D751" s="27"/>
      <c r="E751" s="26"/>
      <c r="F751" s="26"/>
      <c r="G751" s="30"/>
      <c r="H751" s="30"/>
      <c r="I751" s="30"/>
      <c r="J751" s="31"/>
      <c r="K751" s="31"/>
      <c r="L751" s="31"/>
      <c r="M751" s="31"/>
      <c r="N751" s="26"/>
      <c r="O751" s="26"/>
      <c r="P751" s="26"/>
      <c r="Q751" s="28"/>
    </row>
    <row r="752" spans="1:17">
      <c r="A752" t="str">
        <f t="shared" si="22"/>
        <v/>
      </c>
      <c r="B752" t="str">
        <f t="shared" si="23"/>
        <v/>
      </c>
      <c r="D752" s="27"/>
      <c r="E752" s="26"/>
      <c r="F752" s="26"/>
      <c r="G752" s="30"/>
      <c r="H752" s="30"/>
      <c r="I752" s="30"/>
      <c r="J752" s="31"/>
      <c r="K752" s="31"/>
      <c r="L752" s="31"/>
      <c r="M752" s="31"/>
      <c r="N752" s="26"/>
      <c r="O752" s="26"/>
      <c r="P752" s="26"/>
      <c r="Q752" s="28"/>
    </row>
    <row r="753" spans="1:17">
      <c r="A753" t="str">
        <f t="shared" si="22"/>
        <v/>
      </c>
      <c r="B753" t="str">
        <f t="shared" si="23"/>
        <v/>
      </c>
      <c r="D753" s="27"/>
      <c r="E753" s="26"/>
      <c r="F753" s="26"/>
      <c r="G753" s="30"/>
      <c r="H753" s="30"/>
      <c r="I753" s="30"/>
      <c r="J753" s="31"/>
      <c r="K753" s="31"/>
      <c r="L753" s="31"/>
      <c r="M753" s="31"/>
      <c r="N753" s="26"/>
      <c r="O753" s="26"/>
      <c r="P753" s="26"/>
      <c r="Q753" s="28"/>
    </row>
    <row r="754" spans="1:17">
      <c r="A754" t="str">
        <f t="shared" si="22"/>
        <v/>
      </c>
      <c r="B754" t="str">
        <f t="shared" si="23"/>
        <v/>
      </c>
      <c r="D754" s="27"/>
      <c r="E754" s="26"/>
      <c r="F754" s="26"/>
      <c r="G754" s="30"/>
      <c r="H754" s="30"/>
      <c r="I754" s="30"/>
      <c r="J754" s="31"/>
      <c r="K754" s="31"/>
      <c r="L754" s="31"/>
      <c r="M754" s="31"/>
      <c r="N754" s="26"/>
      <c r="O754" s="26"/>
      <c r="P754" s="26"/>
      <c r="Q754" s="28"/>
    </row>
    <row r="755" spans="1:17">
      <c r="A755" t="str">
        <f t="shared" si="22"/>
        <v/>
      </c>
      <c r="B755" t="str">
        <f t="shared" si="23"/>
        <v/>
      </c>
      <c r="D755" s="27"/>
      <c r="E755" s="26"/>
      <c r="F755" s="26"/>
      <c r="G755" s="30"/>
      <c r="H755" s="30"/>
      <c r="I755" s="30"/>
      <c r="J755" s="31"/>
      <c r="K755" s="31"/>
      <c r="L755" s="31"/>
      <c r="M755" s="31"/>
      <c r="N755" s="26"/>
      <c r="O755" s="26"/>
      <c r="P755" s="26"/>
      <c r="Q755" s="28"/>
    </row>
    <row r="756" spans="1:17">
      <c r="A756" t="str">
        <f t="shared" si="22"/>
        <v/>
      </c>
      <c r="B756" t="str">
        <f t="shared" si="23"/>
        <v/>
      </c>
      <c r="D756" s="27"/>
      <c r="E756" s="26"/>
      <c r="F756" s="26"/>
      <c r="G756" s="30"/>
      <c r="H756" s="30"/>
      <c r="I756" s="30"/>
      <c r="J756" s="31"/>
      <c r="K756" s="31"/>
      <c r="L756" s="31"/>
      <c r="M756" s="31"/>
      <c r="N756" s="26"/>
      <c r="O756" s="26"/>
      <c r="P756" s="26"/>
      <c r="Q756" s="28"/>
    </row>
    <row r="757" spans="1:17">
      <c r="A757" t="str">
        <f t="shared" si="22"/>
        <v/>
      </c>
      <c r="B757" t="str">
        <f t="shared" si="23"/>
        <v/>
      </c>
      <c r="D757" s="27"/>
      <c r="E757" s="26"/>
      <c r="F757" s="26"/>
      <c r="G757" s="30"/>
      <c r="H757" s="30"/>
      <c r="I757" s="30"/>
      <c r="J757" s="31"/>
      <c r="K757" s="31"/>
      <c r="L757" s="31"/>
      <c r="M757" s="31"/>
      <c r="N757" s="26"/>
      <c r="O757" s="26"/>
      <c r="P757" s="26"/>
      <c r="Q757" s="28"/>
    </row>
    <row r="758" spans="1:17">
      <c r="A758" t="str">
        <f t="shared" si="22"/>
        <v/>
      </c>
      <c r="B758" t="str">
        <f t="shared" si="23"/>
        <v/>
      </c>
      <c r="D758" s="27"/>
      <c r="E758" s="26"/>
      <c r="F758" s="26"/>
      <c r="G758" s="30"/>
      <c r="H758" s="30"/>
      <c r="I758" s="30"/>
      <c r="J758" s="31"/>
      <c r="K758" s="31"/>
      <c r="L758" s="31"/>
      <c r="M758" s="31"/>
      <c r="N758" s="26"/>
      <c r="O758" s="26"/>
      <c r="P758" s="26"/>
      <c r="Q758" s="28"/>
    </row>
    <row r="759" spans="1:17">
      <c r="A759" t="str">
        <f t="shared" si="22"/>
        <v/>
      </c>
      <c r="B759" t="str">
        <f t="shared" si="23"/>
        <v/>
      </c>
      <c r="D759" s="27"/>
      <c r="E759" s="26"/>
      <c r="F759" s="26"/>
      <c r="G759" s="30"/>
      <c r="H759" s="30"/>
      <c r="I759" s="30"/>
      <c r="J759" s="31"/>
      <c r="K759" s="31"/>
      <c r="L759" s="31"/>
      <c r="M759" s="31"/>
      <c r="N759" s="26"/>
      <c r="O759" s="26"/>
      <c r="P759" s="26"/>
      <c r="Q759" s="28"/>
    </row>
    <row r="760" spans="1:17">
      <c r="A760" t="str">
        <f t="shared" si="22"/>
        <v/>
      </c>
      <c r="B760" t="str">
        <f t="shared" si="23"/>
        <v/>
      </c>
      <c r="D760" s="27"/>
      <c r="E760" s="26"/>
      <c r="F760" s="26"/>
      <c r="G760" s="30"/>
      <c r="H760" s="30"/>
      <c r="I760" s="30"/>
      <c r="J760" s="31"/>
      <c r="K760" s="31"/>
      <c r="L760" s="31"/>
      <c r="M760" s="31"/>
      <c r="N760" s="26"/>
      <c r="O760" s="26"/>
      <c r="P760" s="26"/>
      <c r="Q760" s="28"/>
    </row>
    <row r="761" spans="1:17">
      <c r="A761" t="str">
        <f t="shared" si="22"/>
        <v/>
      </c>
      <c r="B761" t="str">
        <f t="shared" si="23"/>
        <v/>
      </c>
      <c r="D761" s="27"/>
      <c r="E761" s="26"/>
      <c r="F761" s="26"/>
      <c r="G761" s="30"/>
      <c r="H761" s="30"/>
      <c r="I761" s="30"/>
      <c r="J761" s="31"/>
      <c r="K761" s="31"/>
      <c r="L761" s="31"/>
      <c r="M761" s="31"/>
      <c r="N761" s="26"/>
      <c r="O761" s="26"/>
      <c r="P761" s="26"/>
      <c r="Q761" s="28"/>
    </row>
    <row r="762" spans="1:17">
      <c r="A762" t="str">
        <f t="shared" si="22"/>
        <v/>
      </c>
      <c r="B762" t="str">
        <f t="shared" si="23"/>
        <v/>
      </c>
      <c r="D762" s="27"/>
      <c r="E762" s="26"/>
      <c r="F762" s="26"/>
      <c r="G762" s="30"/>
      <c r="H762" s="30"/>
      <c r="I762" s="30"/>
      <c r="J762" s="31"/>
      <c r="K762" s="31"/>
      <c r="L762" s="31"/>
      <c r="M762" s="31"/>
      <c r="N762" s="26"/>
      <c r="O762" s="26"/>
      <c r="P762" s="26"/>
      <c r="Q762" s="28"/>
    </row>
    <row r="763" spans="1:17">
      <c r="A763" t="str">
        <f t="shared" si="22"/>
        <v/>
      </c>
      <c r="B763" t="str">
        <f t="shared" si="23"/>
        <v/>
      </c>
      <c r="D763" s="27"/>
      <c r="E763" s="26"/>
      <c r="F763" s="26"/>
      <c r="G763" s="30"/>
      <c r="H763" s="30"/>
      <c r="I763" s="30"/>
      <c r="J763" s="31"/>
      <c r="K763" s="31"/>
      <c r="L763" s="31"/>
      <c r="M763" s="31"/>
      <c r="N763" s="26"/>
      <c r="O763" s="26"/>
      <c r="P763" s="26"/>
      <c r="Q763" s="28"/>
    </row>
    <row r="764" spans="1:17">
      <c r="A764" t="str">
        <f t="shared" si="22"/>
        <v/>
      </c>
      <c r="B764" t="str">
        <f t="shared" si="23"/>
        <v/>
      </c>
      <c r="D764" s="27"/>
      <c r="E764" s="26"/>
      <c r="F764" s="26"/>
      <c r="G764" s="30"/>
      <c r="H764" s="30"/>
      <c r="I764" s="30"/>
      <c r="J764" s="31"/>
      <c r="K764" s="31"/>
      <c r="L764" s="31"/>
      <c r="M764" s="31"/>
      <c r="N764" s="26"/>
      <c r="O764" s="26"/>
      <c r="P764" s="26"/>
      <c r="Q764" s="28"/>
    </row>
    <row r="765" spans="1:17">
      <c r="A765" t="str">
        <f t="shared" si="22"/>
        <v/>
      </c>
      <c r="B765" t="str">
        <f t="shared" si="23"/>
        <v/>
      </c>
      <c r="D765" s="27"/>
      <c r="E765" s="26"/>
      <c r="F765" s="26"/>
      <c r="G765" s="30"/>
      <c r="H765" s="30"/>
      <c r="I765" s="30"/>
      <c r="J765" s="31"/>
      <c r="K765" s="31"/>
      <c r="L765" s="31"/>
      <c r="M765" s="31"/>
      <c r="N765" s="26"/>
      <c r="O765" s="26"/>
      <c r="P765" s="26"/>
      <c r="Q765" s="28"/>
    </row>
    <row r="766" spans="1:17">
      <c r="A766" t="str">
        <f t="shared" si="22"/>
        <v/>
      </c>
      <c r="B766" t="str">
        <f t="shared" si="23"/>
        <v/>
      </c>
      <c r="D766" s="27"/>
      <c r="E766" s="26"/>
      <c r="F766" s="26"/>
      <c r="G766" s="30"/>
      <c r="H766" s="30"/>
      <c r="I766" s="30"/>
      <c r="J766" s="31"/>
      <c r="K766" s="31"/>
      <c r="L766" s="31"/>
      <c r="M766" s="31"/>
      <c r="N766" s="26"/>
      <c r="O766" s="26"/>
      <c r="P766" s="26"/>
      <c r="Q766" s="28"/>
    </row>
    <row r="767" spans="1:17">
      <c r="A767" t="str">
        <f t="shared" si="22"/>
        <v/>
      </c>
      <c r="B767" t="str">
        <f t="shared" si="23"/>
        <v/>
      </c>
      <c r="D767" s="27"/>
      <c r="E767" s="26"/>
      <c r="F767" s="26"/>
      <c r="G767" s="30"/>
      <c r="H767" s="30"/>
      <c r="I767" s="30"/>
      <c r="J767" s="31"/>
      <c r="K767" s="31"/>
      <c r="L767" s="31"/>
      <c r="M767" s="31"/>
      <c r="N767" s="26"/>
      <c r="O767" s="26"/>
      <c r="P767" s="26"/>
      <c r="Q767" s="28"/>
    </row>
    <row r="768" spans="1:17">
      <c r="A768" t="str">
        <f t="shared" si="22"/>
        <v/>
      </c>
      <c r="B768" t="str">
        <f t="shared" si="23"/>
        <v/>
      </c>
      <c r="D768" s="27"/>
      <c r="E768" s="26"/>
      <c r="F768" s="26"/>
      <c r="G768" s="30"/>
      <c r="H768" s="30"/>
      <c r="I768" s="30"/>
      <c r="J768" s="31"/>
      <c r="K768" s="31"/>
      <c r="L768" s="31"/>
      <c r="M768" s="31"/>
      <c r="N768" s="26"/>
      <c r="O768" s="26"/>
      <c r="P768" s="26"/>
      <c r="Q768" s="28"/>
    </row>
    <row r="769" spans="1:17">
      <c r="A769" t="str">
        <f t="shared" si="22"/>
        <v/>
      </c>
      <c r="B769" t="str">
        <f t="shared" si="23"/>
        <v/>
      </c>
      <c r="D769" s="27"/>
      <c r="E769" s="26"/>
      <c r="F769" s="26"/>
      <c r="G769" s="30"/>
      <c r="H769" s="30"/>
      <c r="I769" s="30"/>
      <c r="J769" s="31"/>
      <c r="K769" s="31"/>
      <c r="L769" s="31"/>
      <c r="M769" s="31"/>
      <c r="N769" s="26"/>
      <c r="O769" s="26"/>
      <c r="P769" s="26"/>
      <c r="Q769" s="28"/>
    </row>
    <row r="770" spans="1:17">
      <c r="A770" t="str">
        <f t="shared" si="22"/>
        <v/>
      </c>
      <c r="B770" t="str">
        <f t="shared" si="23"/>
        <v/>
      </c>
      <c r="D770" s="27"/>
      <c r="E770" s="26"/>
      <c r="F770" s="26"/>
      <c r="G770" s="30"/>
      <c r="H770" s="30"/>
      <c r="I770" s="30"/>
      <c r="J770" s="31"/>
      <c r="K770" s="31"/>
      <c r="L770" s="31"/>
      <c r="M770" s="31"/>
      <c r="N770" s="26"/>
      <c r="O770" s="26"/>
      <c r="P770" s="26"/>
      <c r="Q770" s="28"/>
    </row>
    <row r="771" spans="1:17">
      <c r="A771" t="str">
        <f t="shared" si="22"/>
        <v/>
      </c>
      <c r="B771" t="str">
        <f t="shared" si="23"/>
        <v/>
      </c>
      <c r="D771" s="27"/>
      <c r="E771" s="26"/>
      <c r="F771" s="26"/>
      <c r="G771" s="30"/>
      <c r="H771" s="30"/>
      <c r="I771" s="30"/>
      <c r="J771" s="31"/>
      <c r="K771" s="31"/>
      <c r="L771" s="31"/>
      <c r="M771" s="31"/>
      <c r="N771" s="26"/>
      <c r="O771" s="26"/>
      <c r="P771" s="26"/>
      <c r="Q771" s="28"/>
    </row>
    <row r="772" spans="1:17">
      <c r="A772" t="str">
        <f t="shared" si="22"/>
        <v/>
      </c>
      <c r="B772" t="str">
        <f t="shared" si="23"/>
        <v/>
      </c>
      <c r="D772" s="27"/>
      <c r="E772" s="26"/>
      <c r="F772" s="26"/>
      <c r="G772" s="30"/>
      <c r="H772" s="30"/>
      <c r="I772" s="30"/>
      <c r="J772" s="31"/>
      <c r="K772" s="31"/>
      <c r="L772" s="31"/>
      <c r="M772" s="31"/>
      <c r="N772" s="26"/>
      <c r="O772" s="26"/>
      <c r="P772" s="26"/>
      <c r="Q772" s="28"/>
    </row>
    <row r="773" spans="1:17">
      <c r="A773" t="str">
        <f t="shared" si="22"/>
        <v/>
      </c>
      <c r="B773" t="str">
        <f t="shared" si="23"/>
        <v/>
      </c>
      <c r="D773" s="27"/>
      <c r="E773" s="26"/>
      <c r="F773" s="26"/>
      <c r="G773" s="30"/>
      <c r="H773" s="30"/>
      <c r="I773" s="30"/>
      <c r="J773" s="31"/>
      <c r="K773" s="31"/>
      <c r="L773" s="31"/>
      <c r="M773" s="31"/>
      <c r="N773" s="26"/>
      <c r="O773" s="26"/>
      <c r="P773" s="26"/>
      <c r="Q773" s="28"/>
    </row>
    <row r="774" spans="1:17">
      <c r="A774" t="str">
        <f t="shared" si="22"/>
        <v/>
      </c>
      <c r="B774" t="str">
        <f t="shared" si="23"/>
        <v/>
      </c>
      <c r="D774" s="27"/>
      <c r="E774" s="26"/>
      <c r="F774" s="26"/>
      <c r="G774" s="30"/>
      <c r="H774" s="30"/>
      <c r="I774" s="30"/>
      <c r="J774" s="31"/>
      <c r="K774" s="31"/>
      <c r="L774" s="31"/>
      <c r="M774" s="31"/>
      <c r="N774" s="26"/>
      <c r="O774" s="26"/>
      <c r="P774" s="26"/>
      <c r="Q774" s="28"/>
    </row>
    <row r="775" spans="1:17">
      <c r="A775" t="str">
        <f t="shared" si="22"/>
        <v/>
      </c>
      <c r="B775" t="str">
        <f t="shared" si="23"/>
        <v/>
      </c>
      <c r="D775" s="27"/>
      <c r="E775" s="26"/>
      <c r="F775" s="26"/>
      <c r="G775" s="30"/>
      <c r="H775" s="30"/>
      <c r="I775" s="30"/>
      <c r="J775" s="31"/>
      <c r="K775" s="31"/>
      <c r="L775" s="31"/>
      <c r="M775" s="31"/>
      <c r="N775" s="26"/>
      <c r="O775" s="26"/>
      <c r="P775" s="26"/>
      <c r="Q775" s="28"/>
    </row>
    <row r="776" spans="1:17">
      <c r="A776" t="str">
        <f t="shared" si="22"/>
        <v/>
      </c>
      <c r="B776" t="str">
        <f t="shared" si="23"/>
        <v/>
      </c>
      <c r="D776" s="27"/>
      <c r="E776" s="26"/>
      <c r="F776" s="26"/>
      <c r="G776" s="30"/>
      <c r="H776" s="30"/>
      <c r="I776" s="30"/>
      <c r="J776" s="31"/>
      <c r="K776" s="31"/>
      <c r="L776" s="31"/>
      <c r="M776" s="31"/>
      <c r="N776" s="26"/>
      <c r="O776" s="26"/>
      <c r="P776" s="26"/>
      <c r="Q776" s="28"/>
    </row>
    <row r="777" spans="1:17">
      <c r="A777" t="str">
        <f t="shared" si="22"/>
        <v/>
      </c>
      <c r="B777" t="str">
        <f t="shared" si="23"/>
        <v/>
      </c>
      <c r="D777" s="27"/>
      <c r="E777" s="26"/>
      <c r="F777" s="26"/>
      <c r="G777" s="30"/>
      <c r="H777" s="30"/>
      <c r="I777" s="30"/>
      <c r="J777" s="31"/>
      <c r="K777" s="31"/>
      <c r="L777" s="31"/>
      <c r="M777" s="31"/>
      <c r="N777" s="26"/>
      <c r="O777" s="26"/>
      <c r="P777" s="26"/>
      <c r="Q777" s="28"/>
    </row>
    <row r="778" spans="1:17">
      <c r="A778" t="str">
        <f t="shared" si="22"/>
        <v/>
      </c>
      <c r="B778" t="str">
        <f t="shared" si="23"/>
        <v/>
      </c>
      <c r="D778" s="27"/>
      <c r="E778" s="26"/>
      <c r="F778" s="26"/>
      <c r="G778" s="30"/>
      <c r="H778" s="30"/>
      <c r="I778" s="30"/>
      <c r="J778" s="31"/>
      <c r="K778" s="31"/>
      <c r="L778" s="31"/>
      <c r="M778" s="31"/>
      <c r="N778" s="26"/>
      <c r="O778" s="26"/>
      <c r="P778" s="26"/>
      <c r="Q778" s="28"/>
    </row>
    <row r="779" spans="1:17">
      <c r="A779" t="str">
        <f t="shared" si="22"/>
        <v/>
      </c>
      <c r="B779" t="str">
        <f t="shared" si="23"/>
        <v/>
      </c>
      <c r="D779" s="27"/>
      <c r="E779" s="26"/>
      <c r="F779" s="26"/>
      <c r="G779" s="30"/>
      <c r="H779" s="30"/>
      <c r="I779" s="30"/>
      <c r="J779" s="31"/>
      <c r="K779" s="31"/>
      <c r="L779" s="31"/>
      <c r="M779" s="31"/>
      <c r="N779" s="26"/>
      <c r="O779" s="26"/>
      <c r="P779" s="26"/>
      <c r="Q779" s="28"/>
    </row>
    <row r="780" spans="1:17">
      <c r="A780" t="str">
        <f t="shared" si="22"/>
        <v/>
      </c>
      <c r="B780" t="str">
        <f t="shared" si="23"/>
        <v/>
      </c>
      <c r="D780" s="27"/>
      <c r="E780" s="26"/>
      <c r="F780" s="26"/>
      <c r="G780" s="30"/>
      <c r="H780" s="30"/>
      <c r="I780" s="30"/>
      <c r="J780" s="31"/>
      <c r="K780" s="31"/>
      <c r="L780" s="31"/>
      <c r="M780" s="31"/>
      <c r="N780" s="26"/>
      <c r="O780" s="26"/>
      <c r="P780" s="26"/>
      <c r="Q780" s="28"/>
    </row>
    <row r="781" spans="1:17">
      <c r="A781" t="str">
        <f t="shared" si="22"/>
        <v/>
      </c>
      <c r="B781" t="str">
        <f t="shared" si="23"/>
        <v/>
      </c>
      <c r="D781" s="27"/>
      <c r="E781" s="26"/>
      <c r="F781" s="26"/>
      <c r="G781" s="30"/>
      <c r="H781" s="30"/>
      <c r="I781" s="30"/>
      <c r="J781" s="31"/>
      <c r="K781" s="31"/>
      <c r="L781" s="31"/>
      <c r="M781" s="31"/>
      <c r="N781" s="26"/>
      <c r="O781" s="26"/>
      <c r="P781" s="26"/>
      <c r="Q781" s="28"/>
    </row>
    <row r="782" spans="1:17">
      <c r="A782" t="str">
        <f t="shared" ref="A782:A845" si="24">IF($J782=0,"",H782)</f>
        <v/>
      </c>
      <c r="B782" t="str">
        <f t="shared" ref="B782:B845" si="25">IF($J782=0,"",I782)</f>
        <v/>
      </c>
      <c r="D782" s="27"/>
      <c r="E782" s="26"/>
      <c r="F782" s="26"/>
      <c r="G782" s="30"/>
      <c r="H782" s="30"/>
      <c r="I782" s="30"/>
      <c r="J782" s="31"/>
      <c r="K782" s="31"/>
      <c r="L782" s="31"/>
      <c r="M782" s="31"/>
      <c r="N782" s="26"/>
      <c r="O782" s="26"/>
      <c r="P782" s="26"/>
      <c r="Q782" s="28"/>
    </row>
    <row r="783" spans="1:17">
      <c r="A783" t="str">
        <f t="shared" si="24"/>
        <v/>
      </c>
      <c r="B783" t="str">
        <f t="shared" si="25"/>
        <v/>
      </c>
      <c r="D783" s="27"/>
      <c r="E783" s="26"/>
      <c r="F783" s="26"/>
      <c r="G783" s="30"/>
      <c r="H783" s="30"/>
      <c r="I783" s="30"/>
      <c r="J783" s="31"/>
      <c r="K783" s="31"/>
      <c r="L783" s="31"/>
      <c r="M783" s="31"/>
      <c r="N783" s="26"/>
      <c r="O783" s="26"/>
      <c r="P783" s="26"/>
      <c r="Q783" s="28"/>
    </row>
    <row r="784" spans="1:17">
      <c r="A784" t="str">
        <f t="shared" si="24"/>
        <v/>
      </c>
      <c r="B784" t="str">
        <f t="shared" si="25"/>
        <v/>
      </c>
      <c r="D784" s="27"/>
      <c r="E784" s="26"/>
      <c r="F784" s="26"/>
      <c r="G784" s="30"/>
      <c r="H784" s="30"/>
      <c r="I784" s="30"/>
      <c r="J784" s="31"/>
      <c r="K784" s="31"/>
      <c r="L784" s="31"/>
      <c r="M784" s="31"/>
      <c r="N784" s="26"/>
      <c r="O784" s="26"/>
      <c r="P784" s="26"/>
      <c r="Q784" s="28"/>
    </row>
    <row r="785" spans="1:17">
      <c r="A785" t="str">
        <f t="shared" si="24"/>
        <v/>
      </c>
      <c r="B785" t="str">
        <f t="shared" si="25"/>
        <v/>
      </c>
      <c r="D785" s="27"/>
      <c r="E785" s="26"/>
      <c r="F785" s="26"/>
      <c r="G785" s="30"/>
      <c r="H785" s="30"/>
      <c r="I785" s="30"/>
      <c r="J785" s="31"/>
      <c r="K785" s="31"/>
      <c r="L785" s="31"/>
      <c r="M785" s="31"/>
      <c r="N785" s="26"/>
      <c r="O785" s="26"/>
      <c r="P785" s="26"/>
      <c r="Q785" s="28"/>
    </row>
    <row r="786" spans="1:17">
      <c r="A786" t="str">
        <f t="shared" si="24"/>
        <v/>
      </c>
      <c r="B786" t="str">
        <f t="shared" si="25"/>
        <v/>
      </c>
      <c r="D786" s="27"/>
      <c r="E786" s="26"/>
      <c r="F786" s="26"/>
      <c r="G786" s="30"/>
      <c r="H786" s="30"/>
      <c r="I786" s="30"/>
      <c r="J786" s="31"/>
      <c r="K786" s="31"/>
      <c r="L786" s="31"/>
      <c r="M786" s="31"/>
      <c r="N786" s="26"/>
      <c r="O786" s="26"/>
      <c r="P786" s="26"/>
      <c r="Q786" s="28"/>
    </row>
    <row r="787" spans="1:17">
      <c r="A787" t="str">
        <f t="shared" si="24"/>
        <v/>
      </c>
      <c r="B787" t="str">
        <f t="shared" si="25"/>
        <v/>
      </c>
      <c r="D787" s="27"/>
      <c r="E787" s="26"/>
      <c r="F787" s="26"/>
      <c r="G787" s="30"/>
      <c r="H787" s="30"/>
      <c r="I787" s="30"/>
      <c r="J787" s="31"/>
      <c r="K787" s="31"/>
      <c r="L787" s="31"/>
      <c r="M787" s="31"/>
      <c r="N787" s="26"/>
      <c r="O787" s="26"/>
      <c r="P787" s="26"/>
      <c r="Q787" s="28"/>
    </row>
    <row r="788" spans="1:17">
      <c r="A788" t="str">
        <f t="shared" si="24"/>
        <v/>
      </c>
      <c r="B788" t="str">
        <f t="shared" si="25"/>
        <v/>
      </c>
      <c r="D788" s="27"/>
      <c r="E788" s="26"/>
      <c r="F788" s="26"/>
      <c r="G788" s="30"/>
      <c r="H788" s="30"/>
      <c r="I788" s="30"/>
      <c r="J788" s="31"/>
      <c r="K788" s="31"/>
      <c r="L788" s="31"/>
      <c r="M788" s="31"/>
      <c r="N788" s="26"/>
      <c r="O788" s="26"/>
      <c r="P788" s="26"/>
      <c r="Q788" s="28"/>
    </row>
    <row r="789" spans="1:17">
      <c r="A789" t="str">
        <f t="shared" si="24"/>
        <v/>
      </c>
      <c r="B789" t="str">
        <f t="shared" si="25"/>
        <v/>
      </c>
      <c r="D789" s="27"/>
      <c r="E789" s="26"/>
      <c r="F789" s="26"/>
      <c r="G789" s="30"/>
      <c r="H789" s="30"/>
      <c r="I789" s="30"/>
      <c r="J789" s="31"/>
      <c r="K789" s="31"/>
      <c r="L789" s="31"/>
      <c r="M789" s="31"/>
      <c r="N789" s="26"/>
      <c r="O789" s="26"/>
      <c r="P789" s="26"/>
      <c r="Q789" s="28"/>
    </row>
    <row r="790" spans="1:17">
      <c r="A790" t="str">
        <f t="shared" si="24"/>
        <v/>
      </c>
      <c r="B790" t="str">
        <f t="shared" si="25"/>
        <v/>
      </c>
      <c r="D790" s="27"/>
      <c r="E790" s="26"/>
      <c r="F790" s="26"/>
      <c r="G790" s="30"/>
      <c r="H790" s="30"/>
      <c r="I790" s="30"/>
      <c r="J790" s="31"/>
      <c r="K790" s="31"/>
      <c r="L790" s="31"/>
      <c r="M790" s="31"/>
      <c r="N790" s="26"/>
      <c r="O790" s="26"/>
      <c r="P790" s="26"/>
      <c r="Q790" s="28"/>
    </row>
    <row r="791" spans="1:17">
      <c r="A791" t="str">
        <f t="shared" si="24"/>
        <v/>
      </c>
      <c r="B791" t="str">
        <f t="shared" si="25"/>
        <v/>
      </c>
      <c r="D791" s="27"/>
      <c r="E791" s="26"/>
      <c r="F791" s="26"/>
      <c r="G791" s="30"/>
      <c r="H791" s="30"/>
      <c r="I791" s="30"/>
      <c r="J791" s="31"/>
      <c r="K791" s="31"/>
      <c r="L791" s="31"/>
      <c r="M791" s="31"/>
      <c r="N791" s="26"/>
      <c r="O791" s="26"/>
      <c r="P791" s="26"/>
      <c r="Q791" s="28"/>
    </row>
    <row r="792" spans="1:17">
      <c r="A792" t="str">
        <f t="shared" si="24"/>
        <v/>
      </c>
      <c r="B792" t="str">
        <f t="shared" si="25"/>
        <v/>
      </c>
      <c r="D792" s="27"/>
      <c r="E792" s="26"/>
      <c r="F792" s="26"/>
      <c r="G792" s="30"/>
      <c r="H792" s="30"/>
      <c r="I792" s="30"/>
      <c r="J792" s="31"/>
      <c r="K792" s="31"/>
      <c r="L792" s="31"/>
      <c r="M792" s="31"/>
      <c r="N792" s="26"/>
      <c r="O792" s="26"/>
      <c r="P792" s="26"/>
      <c r="Q792" s="28"/>
    </row>
    <row r="793" spans="1:17">
      <c r="A793" t="str">
        <f t="shared" si="24"/>
        <v/>
      </c>
      <c r="B793" t="str">
        <f t="shared" si="25"/>
        <v/>
      </c>
      <c r="D793" s="27"/>
      <c r="E793" s="26"/>
      <c r="F793" s="26"/>
      <c r="G793" s="30"/>
      <c r="H793" s="30"/>
      <c r="I793" s="30"/>
      <c r="J793" s="31"/>
      <c r="K793" s="31"/>
      <c r="L793" s="31"/>
      <c r="M793" s="31"/>
      <c r="N793" s="26"/>
      <c r="O793" s="26"/>
      <c r="P793" s="26"/>
      <c r="Q793" s="28"/>
    </row>
    <row r="794" spans="1:17">
      <c r="A794" t="str">
        <f t="shared" si="24"/>
        <v/>
      </c>
      <c r="B794" t="str">
        <f t="shared" si="25"/>
        <v/>
      </c>
      <c r="D794" s="27"/>
      <c r="E794" s="26"/>
      <c r="F794" s="26"/>
      <c r="G794" s="30"/>
      <c r="H794" s="30"/>
      <c r="I794" s="30"/>
      <c r="J794" s="31"/>
      <c r="K794" s="31"/>
      <c r="L794" s="31"/>
      <c r="M794" s="31"/>
      <c r="N794" s="26"/>
      <c r="O794" s="26"/>
      <c r="P794" s="26"/>
      <c r="Q794" s="28"/>
    </row>
    <row r="795" spans="1:17">
      <c r="A795" t="str">
        <f t="shared" si="24"/>
        <v/>
      </c>
      <c r="B795" t="str">
        <f t="shared" si="25"/>
        <v/>
      </c>
      <c r="D795" s="27"/>
      <c r="E795" s="26"/>
      <c r="F795" s="26"/>
      <c r="G795" s="30"/>
      <c r="H795" s="30"/>
      <c r="I795" s="30"/>
      <c r="J795" s="31"/>
      <c r="K795" s="31"/>
      <c r="L795" s="31"/>
      <c r="M795" s="31"/>
      <c r="N795" s="26"/>
      <c r="O795" s="26"/>
      <c r="P795" s="26"/>
      <c r="Q795" s="28"/>
    </row>
    <row r="796" spans="1:17">
      <c r="A796" t="str">
        <f t="shared" si="24"/>
        <v/>
      </c>
      <c r="B796" t="str">
        <f t="shared" si="25"/>
        <v/>
      </c>
      <c r="D796" s="27"/>
      <c r="E796" s="26"/>
      <c r="F796" s="26"/>
      <c r="G796" s="30"/>
      <c r="H796" s="30"/>
      <c r="I796" s="30"/>
      <c r="J796" s="31"/>
      <c r="K796" s="31"/>
      <c r="L796" s="31"/>
      <c r="M796" s="31"/>
      <c r="N796" s="26"/>
      <c r="O796" s="26"/>
      <c r="P796" s="26"/>
      <c r="Q796" s="28"/>
    </row>
    <row r="797" spans="1:17">
      <c r="A797" t="str">
        <f t="shared" si="24"/>
        <v/>
      </c>
      <c r="B797" t="str">
        <f t="shared" si="25"/>
        <v/>
      </c>
      <c r="D797" s="27"/>
      <c r="E797" s="26"/>
      <c r="F797" s="26"/>
      <c r="G797" s="30"/>
      <c r="H797" s="30"/>
      <c r="I797" s="30"/>
      <c r="J797" s="31"/>
      <c r="K797" s="31"/>
      <c r="L797" s="31"/>
      <c r="M797" s="31"/>
      <c r="N797" s="26"/>
      <c r="O797" s="26"/>
      <c r="P797" s="26"/>
      <c r="Q797" s="28"/>
    </row>
    <row r="798" spans="1:17">
      <c r="A798" t="str">
        <f t="shared" si="24"/>
        <v/>
      </c>
      <c r="B798" t="str">
        <f t="shared" si="25"/>
        <v/>
      </c>
      <c r="D798" s="27"/>
      <c r="E798" s="26"/>
      <c r="F798" s="26"/>
      <c r="G798" s="30"/>
      <c r="H798" s="30"/>
      <c r="I798" s="30"/>
      <c r="J798" s="31"/>
      <c r="K798" s="31"/>
      <c r="L798" s="31"/>
      <c r="M798" s="31"/>
      <c r="N798" s="26"/>
      <c r="O798" s="26"/>
      <c r="P798" s="26"/>
      <c r="Q798" s="28"/>
    </row>
    <row r="799" spans="1:17">
      <c r="A799" t="str">
        <f t="shared" si="24"/>
        <v/>
      </c>
      <c r="B799" t="str">
        <f t="shared" si="25"/>
        <v/>
      </c>
      <c r="D799" s="27"/>
      <c r="E799" s="26"/>
      <c r="F799" s="26"/>
      <c r="G799" s="30"/>
      <c r="H799" s="30"/>
      <c r="I799" s="30"/>
      <c r="J799" s="31"/>
      <c r="K799" s="31"/>
      <c r="L799" s="31"/>
      <c r="M799" s="31"/>
      <c r="N799" s="26"/>
      <c r="O799" s="26"/>
      <c r="P799" s="26"/>
      <c r="Q799" s="28"/>
    </row>
    <row r="800" spans="1:17">
      <c r="A800" t="str">
        <f t="shared" si="24"/>
        <v/>
      </c>
      <c r="B800" t="str">
        <f t="shared" si="25"/>
        <v/>
      </c>
      <c r="D800" s="27"/>
      <c r="E800" s="26"/>
      <c r="F800" s="26"/>
      <c r="G800" s="30"/>
      <c r="H800" s="30"/>
      <c r="I800" s="30"/>
      <c r="J800" s="31"/>
      <c r="K800" s="31"/>
      <c r="L800" s="31"/>
      <c r="M800" s="31"/>
      <c r="N800" s="26"/>
      <c r="O800" s="26"/>
      <c r="P800" s="26"/>
      <c r="Q800" s="28"/>
    </row>
    <row r="801" spans="1:17">
      <c r="A801" t="str">
        <f t="shared" si="24"/>
        <v/>
      </c>
      <c r="B801" t="str">
        <f t="shared" si="25"/>
        <v/>
      </c>
      <c r="D801" s="27"/>
      <c r="E801" s="26"/>
      <c r="F801" s="26"/>
      <c r="G801" s="30"/>
      <c r="H801" s="30"/>
      <c r="I801" s="30"/>
      <c r="J801" s="31"/>
      <c r="K801" s="31"/>
      <c r="L801" s="31"/>
      <c r="M801" s="31"/>
      <c r="N801" s="26"/>
      <c r="O801" s="26"/>
      <c r="P801" s="26"/>
      <c r="Q801" s="28"/>
    </row>
    <row r="802" spans="1:17">
      <c r="A802" t="str">
        <f t="shared" si="24"/>
        <v/>
      </c>
      <c r="B802" t="str">
        <f t="shared" si="25"/>
        <v/>
      </c>
      <c r="D802" s="27"/>
      <c r="E802" s="26"/>
      <c r="F802" s="26"/>
      <c r="G802" s="30"/>
      <c r="H802" s="30"/>
      <c r="I802" s="30"/>
      <c r="J802" s="31"/>
      <c r="K802" s="31"/>
      <c r="L802" s="31"/>
      <c r="M802" s="31"/>
      <c r="N802" s="26"/>
      <c r="O802" s="26"/>
      <c r="P802" s="26"/>
      <c r="Q802" s="28"/>
    </row>
    <row r="803" spans="1:17">
      <c r="A803" t="str">
        <f t="shared" si="24"/>
        <v/>
      </c>
      <c r="B803" t="str">
        <f t="shared" si="25"/>
        <v/>
      </c>
      <c r="D803" s="27"/>
      <c r="E803" s="26"/>
      <c r="F803" s="26"/>
      <c r="G803" s="30"/>
      <c r="H803" s="30"/>
      <c r="I803" s="30"/>
      <c r="J803" s="31"/>
      <c r="K803" s="31"/>
      <c r="L803" s="31"/>
      <c r="M803" s="31"/>
      <c r="N803" s="26"/>
      <c r="O803" s="26"/>
      <c r="P803" s="26"/>
      <c r="Q803" s="28"/>
    </row>
    <row r="804" spans="1:17">
      <c r="A804" t="str">
        <f t="shared" si="24"/>
        <v/>
      </c>
      <c r="B804" t="str">
        <f t="shared" si="25"/>
        <v/>
      </c>
      <c r="D804" s="27"/>
      <c r="E804" s="26"/>
      <c r="F804" s="26"/>
      <c r="G804" s="30"/>
      <c r="H804" s="30"/>
      <c r="I804" s="30"/>
      <c r="J804" s="31"/>
      <c r="K804" s="31"/>
      <c r="L804" s="31"/>
      <c r="M804" s="31"/>
      <c r="N804" s="26"/>
      <c r="O804" s="26"/>
      <c r="P804" s="26"/>
      <c r="Q804" s="28"/>
    </row>
    <row r="805" spans="1:17">
      <c r="A805" t="str">
        <f t="shared" si="24"/>
        <v/>
      </c>
      <c r="B805" t="str">
        <f t="shared" si="25"/>
        <v/>
      </c>
      <c r="D805" s="27"/>
      <c r="E805" s="26"/>
      <c r="F805" s="26"/>
      <c r="G805" s="30"/>
      <c r="H805" s="30"/>
      <c r="I805" s="30"/>
      <c r="J805" s="31"/>
      <c r="K805" s="31"/>
      <c r="L805" s="31"/>
      <c r="M805" s="31"/>
      <c r="N805" s="26"/>
      <c r="O805" s="26"/>
      <c r="P805" s="26"/>
      <c r="Q805" s="28"/>
    </row>
    <row r="806" spans="1:17">
      <c r="A806" t="str">
        <f t="shared" si="24"/>
        <v/>
      </c>
      <c r="B806" t="str">
        <f t="shared" si="25"/>
        <v/>
      </c>
      <c r="D806" s="27"/>
      <c r="E806" s="26"/>
      <c r="F806" s="26"/>
      <c r="G806" s="30"/>
      <c r="H806" s="30"/>
      <c r="I806" s="30"/>
      <c r="J806" s="31"/>
      <c r="K806" s="31"/>
      <c r="L806" s="31"/>
      <c r="M806" s="31"/>
      <c r="N806" s="26"/>
      <c r="O806" s="26"/>
      <c r="P806" s="26"/>
      <c r="Q806" s="28"/>
    </row>
    <row r="807" spans="1:17">
      <c r="A807" t="str">
        <f t="shared" si="24"/>
        <v/>
      </c>
      <c r="B807" t="str">
        <f t="shared" si="25"/>
        <v/>
      </c>
      <c r="D807" s="27"/>
      <c r="E807" s="26"/>
      <c r="F807" s="26"/>
      <c r="G807" s="30"/>
      <c r="H807" s="30"/>
      <c r="I807" s="30"/>
      <c r="J807" s="31"/>
      <c r="K807" s="31"/>
      <c r="L807" s="31"/>
      <c r="M807" s="31"/>
      <c r="N807" s="26"/>
      <c r="O807" s="26"/>
      <c r="P807" s="26"/>
      <c r="Q807" s="28"/>
    </row>
    <row r="808" spans="1:17">
      <c r="A808" t="str">
        <f t="shared" si="24"/>
        <v/>
      </c>
      <c r="B808" t="str">
        <f t="shared" si="25"/>
        <v/>
      </c>
      <c r="D808" s="27"/>
      <c r="E808" s="26"/>
      <c r="F808" s="26"/>
      <c r="G808" s="30"/>
      <c r="H808" s="30"/>
      <c r="I808" s="30"/>
      <c r="J808" s="31"/>
      <c r="K808" s="31"/>
      <c r="L808" s="31"/>
      <c r="M808" s="31"/>
      <c r="N808" s="26"/>
      <c r="O808" s="26"/>
      <c r="P808" s="26"/>
      <c r="Q808" s="28"/>
    </row>
    <row r="809" spans="1:17">
      <c r="A809" t="str">
        <f t="shared" si="24"/>
        <v/>
      </c>
      <c r="B809" t="str">
        <f t="shared" si="25"/>
        <v/>
      </c>
      <c r="D809" s="27"/>
      <c r="E809" s="26"/>
      <c r="F809" s="26"/>
      <c r="G809" s="30"/>
      <c r="H809" s="30"/>
      <c r="I809" s="30"/>
      <c r="J809" s="31"/>
      <c r="K809" s="31"/>
      <c r="L809" s="31"/>
      <c r="M809" s="31"/>
      <c r="N809" s="26"/>
      <c r="O809" s="26"/>
      <c r="P809" s="26"/>
      <c r="Q809" s="28"/>
    </row>
    <row r="810" spans="1:17">
      <c r="A810" t="str">
        <f t="shared" si="24"/>
        <v/>
      </c>
      <c r="B810" t="str">
        <f t="shared" si="25"/>
        <v/>
      </c>
      <c r="D810" s="27"/>
      <c r="E810" s="26"/>
      <c r="F810" s="26"/>
      <c r="G810" s="30"/>
      <c r="H810" s="30"/>
      <c r="I810" s="30"/>
      <c r="J810" s="31"/>
      <c r="K810" s="31"/>
      <c r="L810" s="31"/>
      <c r="M810" s="31"/>
      <c r="N810" s="26"/>
      <c r="O810" s="26"/>
      <c r="P810" s="26"/>
      <c r="Q810" s="28"/>
    </row>
    <row r="811" spans="1:17">
      <c r="A811" t="str">
        <f t="shared" si="24"/>
        <v/>
      </c>
      <c r="B811" t="str">
        <f t="shared" si="25"/>
        <v/>
      </c>
      <c r="D811" s="27"/>
      <c r="E811" s="26"/>
      <c r="F811" s="26"/>
      <c r="G811" s="30"/>
      <c r="H811" s="30"/>
      <c r="I811" s="30"/>
      <c r="J811" s="31"/>
      <c r="K811" s="31"/>
      <c r="L811" s="31"/>
      <c r="M811" s="31"/>
      <c r="N811" s="26"/>
      <c r="O811" s="26"/>
      <c r="P811" s="26"/>
      <c r="Q811" s="28"/>
    </row>
    <row r="812" spans="1:17">
      <c r="A812" t="str">
        <f t="shared" si="24"/>
        <v/>
      </c>
      <c r="B812" t="str">
        <f t="shared" si="25"/>
        <v/>
      </c>
      <c r="D812" s="27"/>
      <c r="E812" s="26"/>
      <c r="F812" s="26"/>
      <c r="G812" s="30"/>
      <c r="H812" s="30"/>
      <c r="I812" s="30"/>
      <c r="J812" s="31"/>
      <c r="K812" s="31"/>
      <c r="L812" s="31"/>
      <c r="M812" s="31"/>
      <c r="N812" s="26"/>
      <c r="O812" s="26"/>
      <c r="P812" s="26"/>
      <c r="Q812" s="28"/>
    </row>
    <row r="813" spans="1:17">
      <c r="A813" t="str">
        <f t="shared" si="24"/>
        <v/>
      </c>
      <c r="B813" t="str">
        <f t="shared" si="25"/>
        <v/>
      </c>
      <c r="D813" s="27"/>
      <c r="E813" s="26"/>
      <c r="F813" s="26"/>
      <c r="G813" s="30"/>
      <c r="H813" s="30"/>
      <c r="I813" s="30"/>
      <c r="J813" s="31"/>
      <c r="K813" s="31"/>
      <c r="L813" s="31"/>
      <c r="M813" s="31"/>
      <c r="N813" s="26"/>
      <c r="O813" s="26"/>
      <c r="P813" s="26"/>
      <c r="Q813" s="28"/>
    </row>
    <row r="814" spans="1:17">
      <c r="A814" t="str">
        <f t="shared" si="24"/>
        <v/>
      </c>
      <c r="B814" t="str">
        <f t="shared" si="25"/>
        <v/>
      </c>
      <c r="D814" s="27"/>
      <c r="E814" s="26"/>
      <c r="F814" s="26"/>
      <c r="G814" s="30"/>
      <c r="H814" s="30"/>
      <c r="I814" s="30"/>
      <c r="J814" s="31"/>
      <c r="K814" s="31"/>
      <c r="L814" s="31"/>
      <c r="M814" s="31"/>
      <c r="N814" s="26"/>
      <c r="O814" s="26"/>
      <c r="P814" s="26"/>
      <c r="Q814" s="28"/>
    </row>
    <row r="815" spans="1:17">
      <c r="A815" t="str">
        <f t="shared" si="24"/>
        <v/>
      </c>
      <c r="B815" t="str">
        <f t="shared" si="25"/>
        <v/>
      </c>
      <c r="D815" s="27"/>
      <c r="E815" s="26"/>
      <c r="F815" s="26"/>
      <c r="G815" s="30"/>
      <c r="H815" s="30"/>
      <c r="I815" s="30"/>
      <c r="J815" s="31"/>
      <c r="K815" s="31"/>
      <c r="L815" s="31"/>
      <c r="M815" s="31"/>
      <c r="N815" s="26"/>
      <c r="O815" s="26"/>
      <c r="P815" s="26"/>
      <c r="Q815" s="28"/>
    </row>
    <row r="816" spans="1:17">
      <c r="A816" t="str">
        <f t="shared" si="24"/>
        <v/>
      </c>
      <c r="B816" t="str">
        <f t="shared" si="25"/>
        <v/>
      </c>
      <c r="D816" s="27"/>
      <c r="E816" s="26"/>
      <c r="F816" s="26"/>
      <c r="G816" s="30"/>
      <c r="H816" s="30"/>
      <c r="I816" s="30"/>
      <c r="J816" s="31"/>
      <c r="K816" s="31"/>
      <c r="L816" s="31"/>
      <c r="M816" s="31"/>
      <c r="N816" s="26"/>
      <c r="O816" s="26"/>
      <c r="P816" s="26"/>
      <c r="Q816" s="28"/>
    </row>
    <row r="817" spans="1:17">
      <c r="A817" t="str">
        <f t="shared" si="24"/>
        <v/>
      </c>
      <c r="B817" t="str">
        <f t="shared" si="25"/>
        <v/>
      </c>
      <c r="D817" s="27"/>
      <c r="E817" s="26"/>
      <c r="F817" s="26"/>
      <c r="G817" s="30"/>
      <c r="H817" s="30"/>
      <c r="I817" s="30"/>
      <c r="J817" s="31"/>
      <c r="K817" s="31"/>
      <c r="L817" s="31"/>
      <c r="M817" s="31"/>
      <c r="N817" s="26"/>
      <c r="O817" s="26"/>
      <c r="P817" s="26"/>
      <c r="Q817" s="28"/>
    </row>
    <row r="818" spans="1:17">
      <c r="A818" t="str">
        <f t="shared" si="24"/>
        <v/>
      </c>
      <c r="B818" t="str">
        <f t="shared" si="25"/>
        <v/>
      </c>
      <c r="D818" s="27"/>
      <c r="E818" s="26"/>
      <c r="F818" s="26"/>
      <c r="G818" s="30"/>
      <c r="H818" s="30"/>
      <c r="I818" s="30"/>
      <c r="J818" s="31"/>
      <c r="K818" s="31"/>
      <c r="L818" s="31"/>
      <c r="M818" s="31"/>
      <c r="N818" s="26"/>
      <c r="O818" s="26"/>
      <c r="P818" s="26"/>
      <c r="Q818" s="28"/>
    </row>
    <row r="819" spans="1:17">
      <c r="A819" t="str">
        <f t="shared" si="24"/>
        <v/>
      </c>
      <c r="B819" t="str">
        <f t="shared" si="25"/>
        <v/>
      </c>
      <c r="D819" s="27"/>
      <c r="E819" s="26"/>
      <c r="F819" s="26"/>
      <c r="G819" s="30"/>
      <c r="H819" s="30"/>
      <c r="I819" s="30"/>
      <c r="J819" s="31"/>
      <c r="K819" s="31"/>
      <c r="L819" s="31"/>
      <c r="M819" s="31"/>
      <c r="N819" s="26"/>
      <c r="O819" s="26"/>
      <c r="P819" s="26"/>
      <c r="Q819" s="28"/>
    </row>
    <row r="820" spans="1:17">
      <c r="A820" t="str">
        <f t="shared" si="24"/>
        <v/>
      </c>
      <c r="B820" t="str">
        <f t="shared" si="25"/>
        <v/>
      </c>
      <c r="D820" s="27"/>
      <c r="E820" s="26"/>
      <c r="F820" s="26"/>
      <c r="G820" s="30"/>
      <c r="H820" s="30"/>
      <c r="I820" s="30"/>
      <c r="J820" s="31"/>
      <c r="K820" s="31"/>
      <c r="L820" s="31"/>
      <c r="M820" s="31"/>
      <c r="N820" s="26"/>
      <c r="O820" s="26"/>
      <c r="P820" s="26"/>
      <c r="Q820" s="28"/>
    </row>
    <row r="821" spans="1:17">
      <c r="A821" t="str">
        <f t="shared" si="24"/>
        <v/>
      </c>
      <c r="B821" t="str">
        <f t="shared" si="25"/>
        <v/>
      </c>
      <c r="D821" s="27"/>
      <c r="E821" s="26"/>
      <c r="F821" s="26"/>
      <c r="G821" s="30"/>
      <c r="H821" s="30"/>
      <c r="I821" s="30"/>
      <c r="J821" s="31"/>
      <c r="K821" s="31"/>
      <c r="L821" s="31"/>
      <c r="M821" s="31"/>
      <c r="N821" s="26"/>
      <c r="O821" s="26"/>
      <c r="P821" s="26"/>
      <c r="Q821" s="28"/>
    </row>
    <row r="822" spans="1:17">
      <c r="A822" t="str">
        <f t="shared" si="24"/>
        <v/>
      </c>
      <c r="B822" t="str">
        <f t="shared" si="25"/>
        <v/>
      </c>
      <c r="D822" s="27"/>
      <c r="E822" s="26"/>
      <c r="F822" s="26"/>
      <c r="G822" s="30"/>
      <c r="H822" s="30"/>
      <c r="I822" s="30"/>
      <c r="J822" s="31"/>
      <c r="K822" s="31"/>
      <c r="L822" s="31"/>
      <c r="M822" s="31"/>
      <c r="N822" s="26"/>
      <c r="O822" s="26"/>
      <c r="P822" s="26"/>
      <c r="Q822" s="28"/>
    </row>
    <row r="823" spans="1:17">
      <c r="A823" t="str">
        <f t="shared" si="24"/>
        <v/>
      </c>
      <c r="B823" t="str">
        <f t="shared" si="25"/>
        <v/>
      </c>
      <c r="D823" s="27"/>
      <c r="E823" s="26"/>
      <c r="F823" s="26"/>
      <c r="G823" s="30"/>
      <c r="H823" s="30"/>
      <c r="I823" s="30"/>
      <c r="J823" s="31"/>
      <c r="K823" s="31"/>
      <c r="L823" s="31"/>
      <c r="M823" s="31"/>
      <c r="N823" s="26"/>
      <c r="O823" s="26"/>
      <c r="P823" s="26"/>
      <c r="Q823" s="28"/>
    </row>
    <row r="824" spans="1:17">
      <c r="A824" t="str">
        <f t="shared" si="24"/>
        <v/>
      </c>
      <c r="B824" t="str">
        <f t="shared" si="25"/>
        <v/>
      </c>
      <c r="D824" s="27"/>
      <c r="E824" s="26"/>
      <c r="F824" s="26"/>
      <c r="G824" s="30"/>
      <c r="H824" s="30"/>
      <c r="I824" s="30"/>
      <c r="J824" s="31"/>
      <c r="K824" s="31"/>
      <c r="L824" s="31"/>
      <c r="M824" s="31"/>
      <c r="N824" s="26"/>
      <c r="O824" s="26"/>
      <c r="P824" s="26"/>
      <c r="Q824" s="28"/>
    </row>
    <row r="825" spans="1:17">
      <c r="A825" t="str">
        <f t="shared" si="24"/>
        <v/>
      </c>
      <c r="B825" t="str">
        <f t="shared" si="25"/>
        <v/>
      </c>
      <c r="D825" s="27"/>
      <c r="E825" s="26"/>
      <c r="F825" s="26"/>
      <c r="G825" s="30"/>
      <c r="H825" s="30"/>
      <c r="I825" s="30"/>
      <c r="J825" s="31"/>
      <c r="K825" s="31"/>
      <c r="L825" s="31"/>
      <c r="M825" s="31"/>
      <c r="N825" s="26"/>
      <c r="O825" s="26"/>
      <c r="P825" s="26"/>
      <c r="Q825" s="28"/>
    </row>
    <row r="826" spans="1:17">
      <c r="A826" t="str">
        <f t="shared" si="24"/>
        <v/>
      </c>
      <c r="B826" t="str">
        <f t="shared" si="25"/>
        <v/>
      </c>
      <c r="D826" s="27"/>
      <c r="E826" s="26"/>
      <c r="F826" s="26"/>
      <c r="G826" s="30"/>
      <c r="H826" s="30"/>
      <c r="I826" s="30"/>
      <c r="J826" s="31"/>
      <c r="K826" s="31"/>
      <c r="L826" s="31"/>
      <c r="M826" s="31"/>
      <c r="N826" s="26"/>
      <c r="O826" s="26"/>
      <c r="P826" s="26"/>
      <c r="Q826" s="28"/>
    </row>
    <row r="827" spans="1:17">
      <c r="A827" t="str">
        <f t="shared" si="24"/>
        <v/>
      </c>
      <c r="B827" t="str">
        <f t="shared" si="25"/>
        <v/>
      </c>
      <c r="D827" s="27"/>
      <c r="E827" s="26"/>
      <c r="F827" s="26"/>
      <c r="G827" s="30"/>
      <c r="H827" s="30"/>
      <c r="I827" s="30"/>
      <c r="J827" s="31"/>
      <c r="K827" s="31"/>
      <c r="L827" s="31"/>
      <c r="M827" s="31"/>
      <c r="N827" s="26"/>
      <c r="O827" s="26"/>
      <c r="P827" s="26"/>
      <c r="Q827" s="28"/>
    </row>
    <row r="828" spans="1:17">
      <c r="A828" t="str">
        <f t="shared" si="24"/>
        <v/>
      </c>
      <c r="B828" t="str">
        <f t="shared" si="25"/>
        <v/>
      </c>
      <c r="D828" s="27"/>
      <c r="E828" s="26"/>
      <c r="F828" s="26"/>
      <c r="G828" s="30"/>
      <c r="H828" s="30"/>
      <c r="I828" s="30"/>
      <c r="J828" s="31"/>
      <c r="K828" s="31"/>
      <c r="L828" s="31"/>
      <c r="M828" s="31"/>
      <c r="N828" s="26"/>
      <c r="O828" s="26"/>
      <c r="P828" s="26"/>
      <c r="Q828" s="28"/>
    </row>
    <row r="829" spans="1:17">
      <c r="A829" t="str">
        <f t="shared" si="24"/>
        <v/>
      </c>
      <c r="B829" t="str">
        <f t="shared" si="25"/>
        <v/>
      </c>
      <c r="D829" s="27"/>
      <c r="E829" s="26"/>
      <c r="F829" s="26"/>
      <c r="G829" s="30"/>
      <c r="H829" s="30"/>
      <c r="I829" s="30"/>
      <c r="J829" s="31"/>
      <c r="K829" s="31"/>
      <c r="L829" s="31"/>
      <c r="M829" s="31"/>
      <c r="N829" s="26"/>
      <c r="O829" s="26"/>
      <c r="P829" s="26"/>
      <c r="Q829" s="28"/>
    </row>
    <row r="830" spans="1:17">
      <c r="A830" t="str">
        <f t="shared" si="24"/>
        <v/>
      </c>
      <c r="B830" t="str">
        <f t="shared" si="25"/>
        <v/>
      </c>
      <c r="D830" s="27"/>
      <c r="E830" s="26"/>
      <c r="F830" s="26"/>
      <c r="G830" s="30"/>
      <c r="H830" s="30"/>
      <c r="I830" s="30"/>
      <c r="J830" s="31"/>
      <c r="K830" s="31"/>
      <c r="L830" s="31"/>
      <c r="M830" s="31"/>
      <c r="N830" s="26"/>
      <c r="O830" s="26"/>
      <c r="P830" s="26"/>
      <c r="Q830" s="28"/>
    </row>
    <row r="831" spans="1:17">
      <c r="A831" t="str">
        <f t="shared" si="24"/>
        <v/>
      </c>
      <c r="B831" t="str">
        <f t="shared" si="25"/>
        <v/>
      </c>
      <c r="D831" s="27"/>
      <c r="E831" s="26"/>
      <c r="F831" s="26"/>
      <c r="G831" s="30"/>
      <c r="H831" s="30"/>
      <c r="I831" s="30"/>
      <c r="J831" s="31"/>
      <c r="K831" s="31"/>
      <c r="L831" s="31"/>
      <c r="M831" s="31"/>
      <c r="N831" s="26"/>
      <c r="O831" s="26"/>
      <c r="P831" s="26"/>
      <c r="Q831" s="28"/>
    </row>
    <row r="832" spans="1:17">
      <c r="A832" t="str">
        <f t="shared" si="24"/>
        <v/>
      </c>
      <c r="B832" t="str">
        <f t="shared" si="25"/>
        <v/>
      </c>
      <c r="D832" s="27"/>
      <c r="E832" s="26"/>
      <c r="F832" s="26"/>
      <c r="G832" s="30"/>
      <c r="H832" s="30"/>
      <c r="I832" s="30"/>
      <c r="J832" s="31"/>
      <c r="K832" s="31"/>
      <c r="L832" s="31"/>
      <c r="M832" s="31"/>
      <c r="N832" s="26"/>
      <c r="O832" s="26"/>
      <c r="P832" s="26"/>
      <c r="Q832" s="28"/>
    </row>
    <row r="833" spans="1:17">
      <c r="A833" t="str">
        <f t="shared" si="24"/>
        <v/>
      </c>
      <c r="B833" t="str">
        <f t="shared" si="25"/>
        <v/>
      </c>
      <c r="D833" s="27"/>
      <c r="E833" s="26"/>
      <c r="F833" s="26"/>
      <c r="G833" s="30"/>
      <c r="H833" s="30"/>
      <c r="I833" s="30"/>
      <c r="J833" s="31"/>
      <c r="K833" s="31"/>
      <c r="L833" s="31"/>
      <c r="M833" s="31"/>
      <c r="N833" s="26"/>
      <c r="O833" s="26"/>
      <c r="P833" s="26"/>
      <c r="Q833" s="28"/>
    </row>
    <row r="834" spans="1:17">
      <c r="A834" t="str">
        <f t="shared" si="24"/>
        <v/>
      </c>
      <c r="B834" t="str">
        <f t="shared" si="25"/>
        <v/>
      </c>
      <c r="D834" s="27"/>
      <c r="E834" s="26"/>
      <c r="F834" s="26"/>
      <c r="G834" s="30"/>
      <c r="H834" s="30"/>
      <c r="I834" s="30"/>
      <c r="J834" s="31"/>
      <c r="K834" s="31"/>
      <c r="L834" s="31"/>
      <c r="M834" s="31"/>
      <c r="N834" s="26"/>
      <c r="O834" s="26"/>
      <c r="P834" s="26"/>
      <c r="Q834" s="28"/>
    </row>
    <row r="835" spans="1:17">
      <c r="A835" t="str">
        <f t="shared" si="24"/>
        <v/>
      </c>
      <c r="B835" t="str">
        <f t="shared" si="25"/>
        <v/>
      </c>
      <c r="D835" s="27"/>
      <c r="E835" s="26"/>
      <c r="F835" s="26"/>
      <c r="G835" s="30"/>
      <c r="H835" s="30"/>
      <c r="I835" s="30"/>
      <c r="J835" s="31"/>
      <c r="K835" s="31"/>
      <c r="L835" s="31"/>
      <c r="M835" s="31"/>
      <c r="N835" s="26"/>
      <c r="O835" s="26"/>
      <c r="P835" s="26"/>
      <c r="Q835" s="28"/>
    </row>
    <row r="836" spans="1:17">
      <c r="A836" t="str">
        <f t="shared" si="24"/>
        <v/>
      </c>
      <c r="B836" t="str">
        <f t="shared" si="25"/>
        <v/>
      </c>
      <c r="D836" s="27"/>
      <c r="E836" s="26"/>
      <c r="F836" s="26"/>
      <c r="G836" s="30"/>
      <c r="H836" s="30"/>
      <c r="I836" s="30"/>
      <c r="J836" s="31"/>
      <c r="K836" s="31"/>
      <c r="L836" s="31"/>
      <c r="M836" s="31"/>
      <c r="N836" s="26"/>
      <c r="O836" s="26"/>
      <c r="P836" s="26"/>
      <c r="Q836" s="28"/>
    </row>
    <row r="837" spans="1:17">
      <c r="A837" t="str">
        <f t="shared" si="24"/>
        <v/>
      </c>
      <c r="B837" t="str">
        <f t="shared" si="25"/>
        <v/>
      </c>
      <c r="D837" s="27"/>
      <c r="E837" s="26"/>
      <c r="F837" s="26"/>
      <c r="G837" s="30"/>
      <c r="H837" s="30"/>
      <c r="I837" s="30"/>
      <c r="J837" s="31"/>
      <c r="K837" s="31"/>
      <c r="L837" s="31"/>
      <c r="M837" s="31"/>
      <c r="N837" s="26"/>
      <c r="O837" s="26"/>
      <c r="P837" s="26"/>
      <c r="Q837" s="28"/>
    </row>
    <row r="838" spans="1:17">
      <c r="A838" t="str">
        <f t="shared" si="24"/>
        <v/>
      </c>
      <c r="B838" t="str">
        <f t="shared" si="25"/>
        <v/>
      </c>
      <c r="D838" s="27"/>
      <c r="E838" s="26"/>
      <c r="F838" s="26"/>
      <c r="G838" s="30"/>
      <c r="H838" s="30"/>
      <c r="I838" s="30"/>
      <c r="J838" s="31"/>
      <c r="K838" s="31"/>
      <c r="L838" s="31"/>
      <c r="M838" s="31"/>
      <c r="N838" s="26"/>
      <c r="O838" s="26"/>
      <c r="P838" s="26"/>
      <c r="Q838" s="28"/>
    </row>
    <row r="839" spans="1:17">
      <c r="A839" t="str">
        <f t="shared" si="24"/>
        <v/>
      </c>
      <c r="B839" t="str">
        <f t="shared" si="25"/>
        <v/>
      </c>
      <c r="D839" s="27"/>
      <c r="E839" s="26"/>
      <c r="F839" s="26"/>
      <c r="G839" s="30"/>
      <c r="H839" s="30"/>
      <c r="I839" s="30"/>
      <c r="J839" s="31"/>
      <c r="K839" s="31"/>
      <c r="L839" s="31"/>
      <c r="M839" s="31"/>
      <c r="N839" s="26"/>
      <c r="O839" s="26"/>
      <c r="P839" s="26"/>
      <c r="Q839" s="28"/>
    </row>
    <row r="840" spans="1:17">
      <c r="A840" t="str">
        <f t="shared" si="24"/>
        <v/>
      </c>
      <c r="B840" t="str">
        <f t="shared" si="25"/>
        <v/>
      </c>
      <c r="D840" s="27"/>
      <c r="E840" s="26"/>
      <c r="F840" s="26"/>
      <c r="G840" s="30"/>
      <c r="H840" s="30"/>
      <c r="I840" s="30"/>
      <c r="J840" s="31"/>
      <c r="K840" s="31"/>
      <c r="L840" s="31"/>
      <c r="M840" s="31"/>
      <c r="N840" s="26"/>
      <c r="O840" s="26"/>
      <c r="P840" s="26"/>
      <c r="Q840" s="28"/>
    </row>
    <row r="841" spans="1:17">
      <c r="A841" t="str">
        <f t="shared" si="24"/>
        <v/>
      </c>
      <c r="B841" t="str">
        <f t="shared" si="25"/>
        <v/>
      </c>
      <c r="D841" s="27"/>
      <c r="E841" s="26"/>
      <c r="F841" s="26"/>
      <c r="G841" s="30"/>
      <c r="H841" s="30"/>
      <c r="I841" s="30"/>
      <c r="J841" s="31"/>
      <c r="K841" s="31"/>
      <c r="L841" s="31"/>
      <c r="M841" s="31"/>
      <c r="N841" s="26"/>
      <c r="O841" s="26"/>
      <c r="P841" s="26"/>
      <c r="Q841" s="28"/>
    </row>
    <row r="842" spans="1:17">
      <c r="A842" t="str">
        <f t="shared" si="24"/>
        <v/>
      </c>
      <c r="B842" t="str">
        <f t="shared" si="25"/>
        <v/>
      </c>
      <c r="D842" s="27"/>
      <c r="E842" s="26"/>
      <c r="F842" s="26"/>
      <c r="G842" s="30"/>
      <c r="H842" s="30"/>
      <c r="I842" s="30"/>
      <c r="J842" s="31"/>
      <c r="K842" s="31"/>
      <c r="L842" s="31"/>
      <c r="M842" s="31"/>
      <c r="N842" s="26"/>
      <c r="O842" s="26"/>
      <c r="P842" s="26"/>
      <c r="Q842" s="28"/>
    </row>
    <row r="843" spans="1:17">
      <c r="A843" t="str">
        <f t="shared" si="24"/>
        <v/>
      </c>
      <c r="B843" t="str">
        <f t="shared" si="25"/>
        <v/>
      </c>
      <c r="D843" s="27"/>
      <c r="E843" s="26"/>
      <c r="F843" s="26"/>
      <c r="G843" s="30"/>
      <c r="H843" s="30"/>
      <c r="I843" s="30"/>
      <c r="J843" s="31"/>
      <c r="K843" s="31"/>
      <c r="L843" s="31"/>
      <c r="M843" s="31"/>
      <c r="N843" s="26"/>
      <c r="O843" s="26"/>
      <c r="P843" s="26"/>
      <c r="Q843" s="28"/>
    </row>
    <row r="844" spans="1:17">
      <c r="A844" t="str">
        <f t="shared" si="24"/>
        <v/>
      </c>
      <c r="B844" t="str">
        <f t="shared" si="25"/>
        <v/>
      </c>
      <c r="D844" s="27"/>
      <c r="E844" s="26"/>
      <c r="F844" s="26"/>
      <c r="G844" s="30"/>
      <c r="H844" s="30"/>
      <c r="I844" s="30"/>
      <c r="J844" s="31"/>
      <c r="K844" s="31"/>
      <c r="L844" s="31"/>
      <c r="M844" s="31"/>
      <c r="N844" s="26"/>
      <c r="O844" s="26"/>
      <c r="P844" s="26"/>
      <c r="Q844" s="28"/>
    </row>
    <row r="845" spans="1:17">
      <c r="A845" t="str">
        <f t="shared" si="24"/>
        <v/>
      </c>
      <c r="B845" t="str">
        <f t="shared" si="25"/>
        <v/>
      </c>
      <c r="D845" s="27"/>
      <c r="E845" s="26"/>
      <c r="F845" s="26"/>
      <c r="G845" s="30"/>
      <c r="H845" s="30"/>
      <c r="I845" s="30"/>
      <c r="J845" s="31"/>
      <c r="K845" s="31"/>
      <c r="L845" s="31"/>
      <c r="M845" s="31"/>
      <c r="N845" s="26"/>
      <c r="O845" s="26"/>
      <c r="P845" s="26"/>
      <c r="Q845" s="28"/>
    </row>
    <row r="846" spans="1:17">
      <c r="A846" t="str">
        <f t="shared" ref="A846:A909" si="26">IF($J846=0,"",H846)</f>
        <v/>
      </c>
      <c r="B846" t="str">
        <f t="shared" ref="B846:B909" si="27">IF($J846=0,"",I846)</f>
        <v/>
      </c>
      <c r="D846" s="27"/>
      <c r="E846" s="26"/>
      <c r="F846" s="26"/>
      <c r="G846" s="30"/>
      <c r="H846" s="30"/>
      <c r="I846" s="30"/>
      <c r="J846" s="31"/>
      <c r="K846" s="31"/>
      <c r="L846" s="31"/>
      <c r="M846" s="31"/>
      <c r="N846" s="26"/>
      <c r="O846" s="26"/>
      <c r="P846" s="26"/>
      <c r="Q846" s="28"/>
    </row>
    <row r="847" spans="1:17">
      <c r="A847" t="str">
        <f t="shared" si="26"/>
        <v/>
      </c>
      <c r="B847" t="str">
        <f t="shared" si="27"/>
        <v/>
      </c>
      <c r="D847" s="27"/>
      <c r="E847" s="26"/>
      <c r="F847" s="26"/>
      <c r="G847" s="30"/>
      <c r="H847" s="30"/>
      <c r="I847" s="30"/>
      <c r="J847" s="31"/>
      <c r="K847" s="31"/>
      <c r="L847" s="31"/>
      <c r="M847" s="31"/>
      <c r="N847" s="26"/>
      <c r="O847" s="26"/>
      <c r="P847" s="26"/>
      <c r="Q847" s="28"/>
    </row>
    <row r="848" spans="1:17">
      <c r="A848" t="str">
        <f t="shared" si="26"/>
        <v/>
      </c>
      <c r="B848" t="str">
        <f t="shared" si="27"/>
        <v/>
      </c>
      <c r="D848" s="27"/>
      <c r="E848" s="26"/>
      <c r="F848" s="26"/>
      <c r="G848" s="30"/>
      <c r="H848" s="30"/>
      <c r="I848" s="30"/>
      <c r="J848" s="31"/>
      <c r="K848" s="31"/>
      <c r="L848" s="31"/>
      <c r="M848" s="31"/>
      <c r="N848" s="26"/>
      <c r="O848" s="26"/>
      <c r="P848" s="26"/>
      <c r="Q848" s="28"/>
    </row>
    <row r="849" spans="1:17">
      <c r="A849" t="str">
        <f t="shared" si="26"/>
        <v/>
      </c>
      <c r="B849" t="str">
        <f t="shared" si="27"/>
        <v/>
      </c>
      <c r="D849" s="27"/>
      <c r="E849" s="26"/>
      <c r="F849" s="26"/>
      <c r="G849" s="30"/>
      <c r="H849" s="30"/>
      <c r="I849" s="30"/>
      <c r="J849" s="31"/>
      <c r="K849" s="31"/>
      <c r="L849" s="31"/>
      <c r="M849" s="31"/>
      <c r="N849" s="26"/>
      <c r="O849" s="26"/>
      <c r="P849" s="26"/>
      <c r="Q849" s="28"/>
    </row>
    <row r="850" spans="1:17">
      <c r="A850" t="str">
        <f t="shared" si="26"/>
        <v/>
      </c>
      <c r="B850" t="str">
        <f t="shared" si="27"/>
        <v/>
      </c>
      <c r="D850" s="27"/>
      <c r="E850" s="26"/>
      <c r="F850" s="26"/>
      <c r="G850" s="30"/>
      <c r="H850" s="30"/>
      <c r="I850" s="30"/>
      <c r="J850" s="31"/>
      <c r="K850" s="31"/>
      <c r="L850" s="31"/>
      <c r="M850" s="31"/>
      <c r="N850" s="26"/>
      <c r="O850" s="26"/>
      <c r="P850" s="26"/>
      <c r="Q850" s="28"/>
    </row>
    <row r="851" spans="1:17">
      <c r="A851" t="str">
        <f t="shared" si="26"/>
        <v/>
      </c>
      <c r="B851" t="str">
        <f t="shared" si="27"/>
        <v/>
      </c>
      <c r="D851" s="27"/>
      <c r="E851" s="26"/>
      <c r="F851" s="26"/>
      <c r="G851" s="30"/>
      <c r="H851" s="30"/>
      <c r="I851" s="30"/>
      <c r="J851" s="31"/>
      <c r="K851" s="31"/>
      <c r="L851" s="31"/>
      <c r="M851" s="31"/>
      <c r="N851" s="26"/>
      <c r="O851" s="26"/>
      <c r="P851" s="26"/>
      <c r="Q851" s="28"/>
    </row>
    <row r="852" spans="1:17">
      <c r="A852" t="str">
        <f t="shared" si="26"/>
        <v/>
      </c>
      <c r="B852" t="str">
        <f t="shared" si="27"/>
        <v/>
      </c>
      <c r="D852" s="27"/>
      <c r="E852" s="26"/>
      <c r="F852" s="26"/>
      <c r="G852" s="30"/>
      <c r="H852" s="30"/>
      <c r="I852" s="30"/>
      <c r="J852" s="31"/>
      <c r="K852" s="31"/>
      <c r="L852" s="31"/>
      <c r="M852" s="31"/>
      <c r="N852" s="26"/>
      <c r="O852" s="26"/>
      <c r="P852" s="26"/>
      <c r="Q852" s="28"/>
    </row>
    <row r="853" spans="1:17">
      <c r="A853" t="str">
        <f t="shared" si="26"/>
        <v/>
      </c>
      <c r="B853" t="str">
        <f t="shared" si="27"/>
        <v/>
      </c>
      <c r="D853" s="27"/>
      <c r="E853" s="26"/>
      <c r="F853" s="26"/>
      <c r="G853" s="30"/>
      <c r="H853" s="30"/>
      <c r="I853" s="30"/>
      <c r="J853" s="31"/>
      <c r="K853" s="31"/>
      <c r="L853" s="31"/>
      <c r="M853" s="31"/>
      <c r="N853" s="26"/>
      <c r="O853" s="26"/>
      <c r="P853" s="26"/>
      <c r="Q853" s="28"/>
    </row>
    <row r="854" spans="1:17">
      <c r="A854" t="str">
        <f t="shared" si="26"/>
        <v/>
      </c>
      <c r="B854" t="str">
        <f t="shared" si="27"/>
        <v/>
      </c>
      <c r="D854" s="27"/>
      <c r="E854" s="26"/>
      <c r="F854" s="26"/>
      <c r="G854" s="30"/>
      <c r="H854" s="30"/>
      <c r="I854" s="30"/>
      <c r="J854" s="31"/>
      <c r="K854" s="31"/>
      <c r="L854" s="31"/>
      <c r="M854" s="31"/>
      <c r="N854" s="26"/>
      <c r="O854" s="26"/>
      <c r="P854" s="26"/>
      <c r="Q854" s="28"/>
    </row>
    <row r="855" spans="1:17">
      <c r="A855" t="str">
        <f t="shared" si="26"/>
        <v/>
      </c>
      <c r="B855" t="str">
        <f t="shared" si="27"/>
        <v/>
      </c>
      <c r="D855" s="27"/>
      <c r="E855" s="26"/>
      <c r="F855" s="26"/>
      <c r="G855" s="30"/>
      <c r="H855" s="30"/>
      <c r="I855" s="30"/>
      <c r="J855" s="31"/>
      <c r="K855" s="31"/>
      <c r="L855" s="31"/>
      <c r="M855" s="31"/>
      <c r="N855" s="26"/>
      <c r="O855" s="26"/>
      <c r="P855" s="26"/>
      <c r="Q855" s="28"/>
    </row>
    <row r="856" spans="1:17">
      <c r="A856" t="str">
        <f t="shared" si="26"/>
        <v/>
      </c>
      <c r="B856" t="str">
        <f t="shared" si="27"/>
        <v/>
      </c>
      <c r="D856" s="27"/>
      <c r="E856" s="26"/>
      <c r="F856" s="26"/>
      <c r="G856" s="30"/>
      <c r="H856" s="30"/>
      <c r="I856" s="30"/>
      <c r="J856" s="31"/>
      <c r="K856" s="31"/>
      <c r="L856" s="31"/>
      <c r="M856" s="31"/>
      <c r="N856" s="26"/>
      <c r="O856" s="26"/>
      <c r="P856" s="26"/>
      <c r="Q856" s="28"/>
    </row>
    <row r="857" spans="1:17">
      <c r="A857" t="str">
        <f t="shared" si="26"/>
        <v/>
      </c>
      <c r="B857" t="str">
        <f t="shared" si="27"/>
        <v/>
      </c>
      <c r="D857" s="27"/>
      <c r="E857" s="26"/>
      <c r="F857" s="26"/>
      <c r="G857" s="30"/>
      <c r="H857" s="30"/>
      <c r="I857" s="30"/>
      <c r="J857" s="31"/>
      <c r="K857" s="31"/>
      <c r="L857" s="31"/>
      <c r="M857" s="31"/>
      <c r="N857" s="26"/>
      <c r="O857" s="26"/>
      <c r="P857" s="26"/>
      <c r="Q857" s="28"/>
    </row>
    <row r="858" spans="1:17">
      <c r="A858" t="str">
        <f t="shared" si="26"/>
        <v/>
      </c>
      <c r="B858" t="str">
        <f t="shared" si="27"/>
        <v/>
      </c>
      <c r="D858" s="27"/>
      <c r="E858" s="26"/>
      <c r="F858" s="26"/>
      <c r="G858" s="30"/>
      <c r="H858" s="30"/>
      <c r="I858" s="30"/>
      <c r="J858" s="31"/>
      <c r="K858" s="31"/>
      <c r="L858" s="31"/>
      <c r="M858" s="31"/>
      <c r="N858" s="26"/>
      <c r="O858" s="26"/>
      <c r="P858" s="26"/>
      <c r="Q858" s="28"/>
    </row>
    <row r="859" spans="1:17">
      <c r="A859" t="str">
        <f t="shared" si="26"/>
        <v/>
      </c>
      <c r="B859" t="str">
        <f t="shared" si="27"/>
        <v/>
      </c>
      <c r="D859" s="27"/>
      <c r="E859" s="26"/>
      <c r="F859" s="26"/>
      <c r="G859" s="30"/>
      <c r="H859" s="30"/>
      <c r="I859" s="30"/>
      <c r="J859" s="31"/>
      <c r="K859" s="31"/>
      <c r="L859" s="31"/>
      <c r="M859" s="31"/>
      <c r="N859" s="26"/>
      <c r="O859" s="26"/>
      <c r="P859" s="26"/>
      <c r="Q859" s="28"/>
    </row>
    <row r="860" spans="1:17">
      <c r="A860" t="str">
        <f t="shared" si="26"/>
        <v/>
      </c>
      <c r="B860" t="str">
        <f t="shared" si="27"/>
        <v/>
      </c>
      <c r="D860" s="27"/>
      <c r="E860" s="26"/>
      <c r="F860" s="26"/>
      <c r="G860" s="30"/>
      <c r="H860" s="30"/>
      <c r="I860" s="30"/>
      <c r="J860" s="31"/>
      <c r="K860" s="31"/>
      <c r="L860" s="31"/>
      <c r="M860" s="31"/>
      <c r="N860" s="26"/>
      <c r="O860" s="26"/>
      <c r="P860" s="26"/>
      <c r="Q860" s="28"/>
    </row>
    <row r="861" spans="1:17">
      <c r="A861" t="str">
        <f t="shared" si="26"/>
        <v/>
      </c>
      <c r="B861" t="str">
        <f t="shared" si="27"/>
        <v/>
      </c>
      <c r="D861" s="27"/>
      <c r="E861" s="26"/>
      <c r="F861" s="26"/>
      <c r="G861" s="30"/>
      <c r="H861" s="30"/>
      <c r="I861" s="30"/>
      <c r="J861" s="31"/>
      <c r="K861" s="31"/>
      <c r="L861" s="31"/>
      <c r="M861" s="31"/>
      <c r="N861" s="26"/>
      <c r="O861" s="26"/>
      <c r="P861" s="26"/>
      <c r="Q861" s="28"/>
    </row>
    <row r="862" spans="1:17">
      <c r="A862" t="str">
        <f t="shared" si="26"/>
        <v/>
      </c>
      <c r="B862" t="str">
        <f t="shared" si="27"/>
        <v/>
      </c>
      <c r="D862" s="27"/>
      <c r="E862" s="26"/>
      <c r="F862" s="26"/>
      <c r="G862" s="30"/>
      <c r="H862" s="30"/>
      <c r="I862" s="30"/>
      <c r="J862" s="31"/>
      <c r="K862" s="31"/>
      <c r="L862" s="31"/>
      <c r="M862" s="31"/>
      <c r="N862" s="26"/>
      <c r="O862" s="26"/>
      <c r="P862" s="26"/>
      <c r="Q862" s="28"/>
    </row>
    <row r="863" spans="1:17">
      <c r="A863" t="str">
        <f t="shared" si="26"/>
        <v/>
      </c>
      <c r="B863" t="str">
        <f t="shared" si="27"/>
        <v/>
      </c>
      <c r="D863" s="27"/>
      <c r="E863" s="26"/>
      <c r="F863" s="26"/>
      <c r="G863" s="30"/>
      <c r="H863" s="30"/>
      <c r="I863" s="30"/>
      <c r="J863" s="31"/>
      <c r="K863" s="31"/>
      <c r="L863" s="31"/>
      <c r="M863" s="31"/>
      <c r="N863" s="26"/>
      <c r="O863" s="26"/>
      <c r="P863" s="26"/>
      <c r="Q863" s="28"/>
    </row>
    <row r="864" spans="1:17">
      <c r="A864" t="str">
        <f t="shared" si="26"/>
        <v/>
      </c>
      <c r="B864" t="str">
        <f t="shared" si="27"/>
        <v/>
      </c>
      <c r="D864" s="27"/>
      <c r="E864" s="26"/>
      <c r="F864" s="26"/>
      <c r="G864" s="30"/>
      <c r="H864" s="30"/>
      <c r="I864" s="30"/>
      <c r="J864" s="31"/>
      <c r="K864" s="31"/>
      <c r="L864" s="31"/>
      <c r="M864" s="31"/>
      <c r="N864" s="26"/>
      <c r="O864" s="26"/>
      <c r="P864" s="26"/>
      <c r="Q864" s="28"/>
    </row>
    <row r="865" spans="1:17">
      <c r="A865" t="str">
        <f t="shared" si="26"/>
        <v/>
      </c>
      <c r="B865" t="str">
        <f t="shared" si="27"/>
        <v/>
      </c>
      <c r="D865" s="27"/>
      <c r="E865" s="26"/>
      <c r="F865" s="26"/>
      <c r="G865" s="30"/>
      <c r="H865" s="30"/>
      <c r="I865" s="30"/>
      <c r="J865" s="31"/>
      <c r="K865" s="31"/>
      <c r="L865" s="31"/>
      <c r="M865" s="31"/>
      <c r="N865" s="26"/>
      <c r="O865" s="26"/>
      <c r="P865" s="26"/>
      <c r="Q865" s="28"/>
    </row>
    <row r="866" spans="1:17">
      <c r="A866" t="str">
        <f t="shared" si="26"/>
        <v/>
      </c>
      <c r="B866" t="str">
        <f t="shared" si="27"/>
        <v/>
      </c>
      <c r="D866" s="27"/>
      <c r="E866" s="26"/>
      <c r="F866" s="26"/>
      <c r="G866" s="30"/>
      <c r="H866" s="30"/>
      <c r="I866" s="30"/>
      <c r="J866" s="31"/>
      <c r="K866" s="31"/>
      <c r="L866" s="31"/>
      <c r="M866" s="31"/>
      <c r="N866" s="26"/>
      <c r="O866" s="26"/>
      <c r="P866" s="26"/>
      <c r="Q866" s="28"/>
    </row>
    <row r="867" spans="1:17">
      <c r="A867" t="str">
        <f t="shared" si="26"/>
        <v/>
      </c>
      <c r="B867" t="str">
        <f t="shared" si="27"/>
        <v/>
      </c>
      <c r="D867" s="27"/>
      <c r="E867" s="26"/>
      <c r="F867" s="26"/>
      <c r="G867" s="30"/>
      <c r="H867" s="30"/>
      <c r="I867" s="30"/>
      <c r="J867" s="31"/>
      <c r="K867" s="31"/>
      <c r="L867" s="31"/>
      <c r="M867" s="31"/>
      <c r="N867" s="26"/>
      <c r="O867" s="26"/>
      <c r="P867" s="26"/>
      <c r="Q867" s="28"/>
    </row>
    <row r="868" spans="1:17">
      <c r="A868" t="str">
        <f t="shared" si="26"/>
        <v/>
      </c>
      <c r="B868" t="str">
        <f t="shared" si="27"/>
        <v/>
      </c>
      <c r="D868" s="27"/>
      <c r="E868" s="26"/>
      <c r="F868" s="26"/>
      <c r="G868" s="30"/>
      <c r="H868" s="30"/>
      <c r="I868" s="30"/>
      <c r="J868" s="31"/>
      <c r="K868" s="31"/>
      <c r="L868" s="31"/>
      <c r="M868" s="31"/>
      <c r="N868" s="26"/>
      <c r="O868" s="26"/>
      <c r="P868" s="26"/>
      <c r="Q868" s="28"/>
    </row>
    <row r="869" spans="1:17">
      <c r="A869" t="str">
        <f t="shared" si="26"/>
        <v/>
      </c>
      <c r="B869" t="str">
        <f t="shared" si="27"/>
        <v/>
      </c>
      <c r="D869" s="27"/>
      <c r="E869" s="26"/>
      <c r="F869" s="26"/>
      <c r="G869" s="30"/>
      <c r="H869" s="30"/>
      <c r="I869" s="30"/>
      <c r="J869" s="31"/>
      <c r="K869" s="31"/>
      <c r="L869" s="31"/>
      <c r="M869" s="31"/>
      <c r="N869" s="26"/>
      <c r="O869" s="26"/>
      <c r="P869" s="26"/>
      <c r="Q869" s="28"/>
    </row>
    <row r="870" spans="1:17">
      <c r="A870" t="str">
        <f t="shared" si="26"/>
        <v/>
      </c>
      <c r="B870" t="str">
        <f t="shared" si="27"/>
        <v/>
      </c>
      <c r="D870" s="27"/>
      <c r="E870" s="26"/>
      <c r="F870" s="26"/>
      <c r="G870" s="30"/>
      <c r="H870" s="30"/>
      <c r="I870" s="30"/>
      <c r="J870" s="31"/>
      <c r="K870" s="31"/>
      <c r="L870" s="31"/>
      <c r="M870" s="31"/>
      <c r="N870" s="26"/>
      <c r="O870" s="26"/>
      <c r="P870" s="26"/>
      <c r="Q870" s="28"/>
    </row>
    <row r="871" spans="1:17">
      <c r="A871" t="str">
        <f t="shared" si="26"/>
        <v/>
      </c>
      <c r="B871" t="str">
        <f t="shared" si="27"/>
        <v/>
      </c>
      <c r="D871" s="27"/>
      <c r="E871" s="26"/>
      <c r="F871" s="26"/>
      <c r="G871" s="30"/>
      <c r="H871" s="30"/>
      <c r="I871" s="30"/>
      <c r="J871" s="31"/>
      <c r="K871" s="31"/>
      <c r="L871" s="31"/>
      <c r="M871" s="31"/>
      <c r="N871" s="26"/>
      <c r="O871" s="26"/>
      <c r="P871" s="26"/>
      <c r="Q871" s="28"/>
    </row>
    <row r="872" spans="1:17">
      <c r="A872" t="str">
        <f t="shared" si="26"/>
        <v/>
      </c>
      <c r="B872" t="str">
        <f t="shared" si="27"/>
        <v/>
      </c>
      <c r="D872" s="27"/>
      <c r="E872" s="26"/>
      <c r="F872" s="26"/>
      <c r="G872" s="30"/>
      <c r="H872" s="30"/>
      <c r="I872" s="30"/>
      <c r="J872" s="31"/>
      <c r="K872" s="31"/>
      <c r="L872" s="31"/>
      <c r="M872" s="31"/>
      <c r="N872" s="26"/>
      <c r="O872" s="26"/>
      <c r="P872" s="26"/>
      <c r="Q872" s="28"/>
    </row>
    <row r="873" spans="1:17">
      <c r="A873" t="str">
        <f t="shared" si="26"/>
        <v/>
      </c>
      <c r="B873" t="str">
        <f t="shared" si="27"/>
        <v/>
      </c>
      <c r="D873" s="27"/>
      <c r="E873" s="26"/>
      <c r="F873" s="26"/>
      <c r="G873" s="30"/>
      <c r="H873" s="30"/>
      <c r="I873" s="30"/>
      <c r="J873" s="31"/>
      <c r="K873" s="31"/>
      <c r="L873" s="31"/>
      <c r="M873" s="31"/>
      <c r="N873" s="26"/>
      <c r="O873" s="26"/>
      <c r="P873" s="26"/>
      <c r="Q873" s="28"/>
    </row>
    <row r="874" spans="1:17">
      <c r="A874" t="str">
        <f t="shared" si="26"/>
        <v/>
      </c>
      <c r="B874" t="str">
        <f t="shared" si="27"/>
        <v/>
      </c>
      <c r="D874" s="27"/>
      <c r="E874" s="26"/>
      <c r="F874" s="26"/>
      <c r="G874" s="30"/>
      <c r="H874" s="30"/>
      <c r="I874" s="30"/>
      <c r="J874" s="31"/>
      <c r="K874" s="31"/>
      <c r="L874" s="31"/>
      <c r="M874" s="31"/>
      <c r="N874" s="26"/>
      <c r="O874" s="26"/>
      <c r="P874" s="26"/>
      <c r="Q874" s="28"/>
    </row>
    <row r="875" spans="1:17">
      <c r="A875" t="str">
        <f t="shared" si="26"/>
        <v/>
      </c>
      <c r="B875" t="str">
        <f t="shared" si="27"/>
        <v/>
      </c>
      <c r="D875" s="27"/>
      <c r="E875" s="26"/>
      <c r="F875" s="26"/>
      <c r="G875" s="30"/>
      <c r="H875" s="30"/>
      <c r="I875" s="30"/>
      <c r="J875" s="31"/>
      <c r="K875" s="31"/>
      <c r="L875" s="31"/>
      <c r="M875" s="31"/>
      <c r="N875" s="26"/>
      <c r="O875" s="26"/>
      <c r="P875" s="26"/>
      <c r="Q875" s="28"/>
    </row>
    <row r="876" spans="1:17">
      <c r="A876" t="str">
        <f t="shared" si="26"/>
        <v/>
      </c>
      <c r="B876" t="str">
        <f t="shared" si="27"/>
        <v/>
      </c>
      <c r="D876" s="27"/>
      <c r="E876" s="26"/>
      <c r="F876" s="26"/>
      <c r="G876" s="30"/>
      <c r="H876" s="30"/>
      <c r="I876" s="30"/>
      <c r="J876" s="31"/>
      <c r="K876" s="31"/>
      <c r="L876" s="31"/>
      <c r="M876" s="31"/>
      <c r="N876" s="26"/>
      <c r="O876" s="26"/>
      <c r="P876" s="26"/>
      <c r="Q876" s="28"/>
    </row>
    <row r="877" spans="1:17">
      <c r="A877" t="str">
        <f t="shared" si="26"/>
        <v/>
      </c>
      <c r="B877" t="str">
        <f t="shared" si="27"/>
        <v/>
      </c>
      <c r="D877" s="27"/>
      <c r="E877" s="26"/>
      <c r="F877" s="26"/>
      <c r="G877" s="30"/>
      <c r="H877" s="30"/>
      <c r="I877" s="30"/>
      <c r="J877" s="31"/>
      <c r="K877" s="31"/>
      <c r="L877" s="31"/>
      <c r="M877" s="31"/>
      <c r="N877" s="26"/>
      <c r="O877" s="26"/>
      <c r="P877" s="26"/>
      <c r="Q877" s="28"/>
    </row>
    <row r="878" spans="1:17">
      <c r="A878" t="str">
        <f t="shared" si="26"/>
        <v/>
      </c>
      <c r="B878" t="str">
        <f t="shared" si="27"/>
        <v/>
      </c>
      <c r="D878" s="27"/>
      <c r="E878" s="26"/>
      <c r="F878" s="26"/>
      <c r="G878" s="30"/>
      <c r="H878" s="30"/>
      <c r="I878" s="30"/>
      <c r="J878" s="31"/>
      <c r="K878" s="31"/>
      <c r="L878" s="31"/>
      <c r="M878" s="31"/>
      <c r="N878" s="26"/>
      <c r="O878" s="26"/>
      <c r="P878" s="26"/>
      <c r="Q878" s="28"/>
    </row>
    <row r="879" spans="1:17">
      <c r="A879" t="str">
        <f t="shared" si="26"/>
        <v/>
      </c>
      <c r="B879" t="str">
        <f t="shared" si="27"/>
        <v/>
      </c>
      <c r="D879" s="27"/>
      <c r="E879" s="26"/>
      <c r="F879" s="26"/>
      <c r="G879" s="30"/>
      <c r="H879" s="30"/>
      <c r="I879" s="30"/>
      <c r="J879" s="31"/>
      <c r="K879" s="31"/>
      <c r="L879" s="31"/>
      <c r="M879" s="31"/>
      <c r="N879" s="26"/>
      <c r="O879" s="26"/>
      <c r="P879" s="26"/>
      <c r="Q879" s="28"/>
    </row>
    <row r="880" spans="1:17">
      <c r="A880" t="str">
        <f t="shared" si="26"/>
        <v/>
      </c>
      <c r="B880" t="str">
        <f t="shared" si="27"/>
        <v/>
      </c>
      <c r="D880" s="27"/>
      <c r="E880" s="26"/>
      <c r="F880" s="26"/>
      <c r="G880" s="30"/>
      <c r="H880" s="30"/>
      <c r="I880" s="30"/>
      <c r="J880" s="31"/>
      <c r="K880" s="31"/>
      <c r="L880" s="31"/>
      <c r="M880" s="31"/>
      <c r="N880" s="26"/>
      <c r="O880" s="26"/>
      <c r="P880" s="26"/>
      <c r="Q880" s="28"/>
    </row>
    <row r="881" spans="1:17">
      <c r="A881" t="str">
        <f t="shared" si="26"/>
        <v/>
      </c>
      <c r="B881" t="str">
        <f t="shared" si="27"/>
        <v/>
      </c>
      <c r="D881" s="27"/>
      <c r="E881" s="26"/>
      <c r="F881" s="26"/>
      <c r="G881" s="30"/>
      <c r="H881" s="30"/>
      <c r="I881" s="30"/>
      <c r="J881" s="31"/>
      <c r="K881" s="31"/>
      <c r="L881" s="31"/>
      <c r="M881" s="31"/>
      <c r="N881" s="26"/>
      <c r="O881" s="26"/>
      <c r="P881" s="26"/>
      <c r="Q881" s="28"/>
    </row>
    <row r="882" spans="1:17">
      <c r="A882" t="str">
        <f t="shared" si="26"/>
        <v/>
      </c>
      <c r="B882" t="str">
        <f t="shared" si="27"/>
        <v/>
      </c>
      <c r="D882" s="27"/>
      <c r="E882" s="26"/>
      <c r="F882" s="26"/>
      <c r="G882" s="30"/>
      <c r="H882" s="30"/>
      <c r="I882" s="30"/>
      <c r="J882" s="31"/>
      <c r="K882" s="31"/>
      <c r="L882" s="31"/>
      <c r="M882" s="31"/>
      <c r="N882" s="26"/>
      <c r="O882" s="26"/>
      <c r="P882" s="26"/>
      <c r="Q882" s="28"/>
    </row>
    <row r="883" spans="1:17">
      <c r="A883" t="str">
        <f t="shared" si="26"/>
        <v/>
      </c>
      <c r="B883" t="str">
        <f t="shared" si="27"/>
        <v/>
      </c>
      <c r="D883" s="27"/>
      <c r="E883" s="26"/>
      <c r="F883" s="26"/>
      <c r="G883" s="30"/>
      <c r="H883" s="30"/>
      <c r="I883" s="30"/>
      <c r="J883" s="31"/>
      <c r="K883" s="31"/>
      <c r="L883" s="31"/>
      <c r="M883" s="31"/>
      <c r="N883" s="26"/>
      <c r="O883" s="26"/>
      <c r="P883" s="26"/>
      <c r="Q883" s="28"/>
    </row>
    <row r="884" spans="1:17">
      <c r="A884" t="str">
        <f t="shared" si="26"/>
        <v/>
      </c>
      <c r="B884" t="str">
        <f t="shared" si="27"/>
        <v/>
      </c>
      <c r="D884" s="27"/>
      <c r="E884" s="26"/>
      <c r="F884" s="26"/>
      <c r="G884" s="30"/>
      <c r="H884" s="30"/>
      <c r="I884" s="30"/>
      <c r="J884" s="31"/>
      <c r="K884" s="31"/>
      <c r="L884" s="31"/>
      <c r="M884" s="31"/>
      <c r="N884" s="26"/>
      <c r="O884" s="26"/>
      <c r="P884" s="26"/>
      <c r="Q884" s="28"/>
    </row>
    <row r="885" spans="1:17">
      <c r="A885" t="str">
        <f t="shared" si="26"/>
        <v/>
      </c>
      <c r="B885" t="str">
        <f t="shared" si="27"/>
        <v/>
      </c>
      <c r="D885" s="27"/>
      <c r="E885" s="26"/>
      <c r="F885" s="26"/>
      <c r="G885" s="30"/>
      <c r="H885" s="30"/>
      <c r="I885" s="30"/>
      <c r="J885" s="31"/>
      <c r="K885" s="31"/>
      <c r="L885" s="31"/>
      <c r="M885" s="31"/>
      <c r="N885" s="26"/>
      <c r="O885" s="26"/>
      <c r="P885" s="26"/>
      <c r="Q885" s="28"/>
    </row>
    <row r="886" spans="1:17">
      <c r="A886" t="str">
        <f t="shared" si="26"/>
        <v/>
      </c>
      <c r="B886" t="str">
        <f t="shared" si="27"/>
        <v/>
      </c>
      <c r="D886" s="27"/>
      <c r="E886" s="26"/>
      <c r="F886" s="26"/>
      <c r="G886" s="30"/>
      <c r="H886" s="30"/>
      <c r="I886" s="30"/>
      <c r="J886" s="31"/>
      <c r="K886" s="31"/>
      <c r="L886" s="31"/>
      <c r="M886" s="31"/>
      <c r="N886" s="26"/>
      <c r="O886" s="26"/>
      <c r="P886" s="26"/>
      <c r="Q886" s="28"/>
    </row>
    <row r="887" spans="1:17">
      <c r="A887" t="str">
        <f t="shared" si="26"/>
        <v/>
      </c>
      <c r="B887" t="str">
        <f t="shared" si="27"/>
        <v/>
      </c>
      <c r="D887" s="27"/>
      <c r="E887" s="26"/>
      <c r="F887" s="26"/>
      <c r="G887" s="30"/>
      <c r="H887" s="30"/>
      <c r="I887" s="30"/>
      <c r="J887" s="31"/>
      <c r="K887" s="31"/>
      <c r="L887" s="31"/>
      <c r="M887" s="31"/>
      <c r="N887" s="26"/>
      <c r="O887" s="26"/>
      <c r="P887" s="26"/>
      <c r="Q887" s="28"/>
    </row>
    <row r="888" spans="1:17">
      <c r="A888" t="str">
        <f t="shared" si="26"/>
        <v/>
      </c>
      <c r="B888" t="str">
        <f t="shared" si="27"/>
        <v/>
      </c>
      <c r="D888" s="27"/>
      <c r="E888" s="26"/>
      <c r="F888" s="26"/>
      <c r="G888" s="30"/>
      <c r="H888" s="30"/>
      <c r="I888" s="30"/>
      <c r="J888" s="31"/>
      <c r="K888" s="31"/>
      <c r="L888" s="31"/>
      <c r="M888" s="31"/>
      <c r="N888" s="26"/>
      <c r="O888" s="26"/>
      <c r="P888" s="26"/>
      <c r="Q888" s="28"/>
    </row>
    <row r="889" spans="1:17">
      <c r="A889" t="str">
        <f t="shared" si="26"/>
        <v/>
      </c>
      <c r="B889" t="str">
        <f t="shared" si="27"/>
        <v/>
      </c>
      <c r="D889" s="27"/>
      <c r="E889" s="26"/>
      <c r="F889" s="26"/>
      <c r="G889" s="30"/>
      <c r="H889" s="30"/>
      <c r="I889" s="30"/>
      <c r="J889" s="31"/>
      <c r="K889" s="31"/>
      <c r="L889" s="31"/>
      <c r="M889" s="31"/>
      <c r="N889" s="26"/>
      <c r="O889" s="26"/>
      <c r="P889" s="26"/>
      <c r="Q889" s="28"/>
    </row>
    <row r="890" spans="1:17">
      <c r="A890" t="str">
        <f t="shared" si="26"/>
        <v/>
      </c>
      <c r="B890" t="str">
        <f t="shared" si="27"/>
        <v/>
      </c>
      <c r="D890" s="27"/>
      <c r="E890" s="26"/>
      <c r="F890" s="26"/>
      <c r="G890" s="30"/>
      <c r="H890" s="30"/>
      <c r="I890" s="30"/>
      <c r="J890" s="31"/>
      <c r="K890" s="31"/>
      <c r="L890" s="31"/>
      <c r="M890" s="31"/>
      <c r="N890" s="26"/>
      <c r="O890" s="26"/>
      <c r="P890" s="26"/>
      <c r="Q890" s="28"/>
    </row>
    <row r="891" spans="1:17">
      <c r="A891" t="str">
        <f t="shared" si="26"/>
        <v/>
      </c>
      <c r="B891" t="str">
        <f t="shared" si="27"/>
        <v/>
      </c>
      <c r="D891" s="27"/>
      <c r="E891" s="26"/>
      <c r="F891" s="26"/>
      <c r="G891" s="30"/>
      <c r="H891" s="30"/>
      <c r="I891" s="30"/>
      <c r="J891" s="31"/>
      <c r="K891" s="31"/>
      <c r="L891" s="31"/>
      <c r="M891" s="31"/>
      <c r="N891" s="26"/>
      <c r="O891" s="26"/>
      <c r="P891" s="26"/>
      <c r="Q891" s="28"/>
    </row>
    <row r="892" spans="1:17">
      <c r="A892" t="str">
        <f t="shared" si="26"/>
        <v/>
      </c>
      <c r="B892" t="str">
        <f t="shared" si="27"/>
        <v/>
      </c>
      <c r="D892" s="27"/>
      <c r="E892" s="26"/>
      <c r="F892" s="26"/>
      <c r="G892" s="30"/>
      <c r="H892" s="30"/>
      <c r="I892" s="30"/>
      <c r="J892" s="31"/>
      <c r="K892" s="31"/>
      <c r="L892" s="31"/>
      <c r="M892" s="31"/>
      <c r="N892" s="26"/>
      <c r="O892" s="26"/>
      <c r="P892" s="26"/>
      <c r="Q892" s="28"/>
    </row>
    <row r="893" spans="1:17">
      <c r="A893" t="str">
        <f t="shared" si="26"/>
        <v/>
      </c>
      <c r="B893" t="str">
        <f t="shared" si="27"/>
        <v/>
      </c>
      <c r="D893" s="27"/>
      <c r="E893" s="26"/>
      <c r="F893" s="26"/>
      <c r="G893" s="30"/>
      <c r="H893" s="30"/>
      <c r="I893" s="30"/>
      <c r="J893" s="31"/>
      <c r="K893" s="31"/>
      <c r="L893" s="31"/>
      <c r="M893" s="31"/>
      <c r="N893" s="26"/>
      <c r="O893" s="26"/>
      <c r="P893" s="26"/>
      <c r="Q893" s="28"/>
    </row>
    <row r="894" spans="1:17">
      <c r="A894" t="str">
        <f t="shared" si="26"/>
        <v/>
      </c>
      <c r="B894" t="str">
        <f t="shared" si="27"/>
        <v/>
      </c>
      <c r="D894" s="27"/>
      <c r="E894" s="26"/>
      <c r="F894" s="26"/>
      <c r="G894" s="30"/>
      <c r="H894" s="30"/>
      <c r="I894" s="30"/>
      <c r="J894" s="31"/>
      <c r="K894" s="31"/>
      <c r="L894" s="31"/>
      <c r="M894" s="31"/>
      <c r="N894" s="26"/>
      <c r="O894" s="26"/>
      <c r="P894" s="26"/>
      <c r="Q894" s="28"/>
    </row>
    <row r="895" spans="1:17">
      <c r="A895" t="str">
        <f t="shared" si="26"/>
        <v/>
      </c>
      <c r="B895" t="str">
        <f t="shared" si="27"/>
        <v/>
      </c>
      <c r="D895" s="27"/>
      <c r="E895" s="26"/>
      <c r="F895" s="26"/>
      <c r="G895" s="30"/>
      <c r="H895" s="30"/>
      <c r="I895" s="30"/>
      <c r="J895" s="31"/>
      <c r="K895" s="31"/>
      <c r="L895" s="31"/>
      <c r="M895" s="31"/>
      <c r="N895" s="26"/>
      <c r="O895" s="26"/>
      <c r="P895" s="26"/>
      <c r="Q895" s="28"/>
    </row>
    <row r="896" spans="1:17">
      <c r="A896" t="str">
        <f t="shared" si="26"/>
        <v/>
      </c>
      <c r="B896" t="str">
        <f t="shared" si="27"/>
        <v/>
      </c>
      <c r="D896" s="27"/>
      <c r="E896" s="26"/>
      <c r="F896" s="26"/>
      <c r="G896" s="30"/>
      <c r="H896" s="30"/>
      <c r="I896" s="30"/>
      <c r="J896" s="31"/>
      <c r="K896" s="31"/>
      <c r="L896" s="31"/>
      <c r="M896" s="31"/>
      <c r="N896" s="26"/>
      <c r="O896" s="26"/>
      <c r="P896" s="26"/>
      <c r="Q896" s="28"/>
    </row>
    <row r="897" spans="1:17">
      <c r="A897" t="str">
        <f t="shared" si="26"/>
        <v/>
      </c>
      <c r="B897" t="str">
        <f t="shared" si="27"/>
        <v/>
      </c>
      <c r="D897" s="27"/>
      <c r="E897" s="26"/>
      <c r="F897" s="26"/>
      <c r="G897" s="30"/>
      <c r="H897" s="30"/>
      <c r="I897" s="30"/>
      <c r="J897" s="31"/>
      <c r="K897" s="31"/>
      <c r="L897" s="31"/>
      <c r="M897" s="31"/>
      <c r="N897" s="26"/>
      <c r="O897" s="26"/>
      <c r="P897" s="26"/>
      <c r="Q897" s="28"/>
    </row>
    <row r="898" spans="1:17">
      <c r="A898" t="str">
        <f t="shared" si="26"/>
        <v/>
      </c>
      <c r="B898" t="str">
        <f t="shared" si="27"/>
        <v/>
      </c>
      <c r="D898" s="27"/>
      <c r="E898" s="26"/>
      <c r="F898" s="26"/>
      <c r="G898" s="30"/>
      <c r="H898" s="30"/>
      <c r="I898" s="30"/>
      <c r="J898" s="31"/>
      <c r="K898" s="31"/>
      <c r="L898" s="31"/>
      <c r="M898" s="31"/>
      <c r="N898" s="26"/>
      <c r="O898" s="26"/>
      <c r="P898" s="26"/>
      <c r="Q898" s="28"/>
    </row>
    <row r="899" spans="1:17">
      <c r="A899" t="str">
        <f t="shared" si="26"/>
        <v/>
      </c>
      <c r="B899" t="str">
        <f t="shared" si="27"/>
        <v/>
      </c>
      <c r="D899" s="27"/>
      <c r="E899" s="26"/>
      <c r="F899" s="26"/>
      <c r="G899" s="30"/>
      <c r="H899" s="30"/>
      <c r="I899" s="30"/>
      <c r="J899" s="31"/>
      <c r="K899" s="31"/>
      <c r="L899" s="31"/>
      <c r="M899" s="31"/>
      <c r="N899" s="26"/>
      <c r="O899" s="26"/>
      <c r="P899" s="26"/>
      <c r="Q899" s="28"/>
    </row>
    <row r="900" spans="1:17">
      <c r="A900" t="str">
        <f t="shared" si="26"/>
        <v/>
      </c>
      <c r="B900" t="str">
        <f t="shared" si="27"/>
        <v/>
      </c>
      <c r="D900" s="27"/>
      <c r="E900" s="26"/>
      <c r="F900" s="26"/>
      <c r="G900" s="30"/>
      <c r="H900" s="30"/>
      <c r="I900" s="30"/>
      <c r="J900" s="31"/>
      <c r="K900" s="31"/>
      <c r="L900" s="31"/>
      <c r="M900" s="31"/>
      <c r="N900" s="26"/>
      <c r="O900" s="26"/>
      <c r="P900" s="26"/>
      <c r="Q900" s="28"/>
    </row>
    <row r="901" spans="1:17">
      <c r="A901" t="str">
        <f t="shared" si="26"/>
        <v/>
      </c>
      <c r="B901" t="str">
        <f t="shared" si="27"/>
        <v/>
      </c>
      <c r="D901" s="27"/>
      <c r="E901" s="26"/>
      <c r="F901" s="26"/>
      <c r="G901" s="30"/>
      <c r="H901" s="30"/>
      <c r="I901" s="30"/>
      <c r="J901" s="31"/>
      <c r="K901" s="31"/>
      <c r="L901" s="31"/>
      <c r="M901" s="31"/>
      <c r="N901" s="26"/>
      <c r="O901" s="26"/>
      <c r="P901" s="26"/>
      <c r="Q901" s="28"/>
    </row>
    <row r="902" spans="1:17">
      <c r="A902" t="str">
        <f t="shared" si="26"/>
        <v/>
      </c>
      <c r="B902" t="str">
        <f t="shared" si="27"/>
        <v/>
      </c>
      <c r="D902" s="27"/>
      <c r="E902" s="26"/>
      <c r="F902" s="26"/>
      <c r="G902" s="30"/>
      <c r="H902" s="30"/>
      <c r="I902" s="30"/>
      <c r="J902" s="31"/>
      <c r="K902" s="31"/>
      <c r="L902" s="31"/>
      <c r="M902" s="31"/>
      <c r="N902" s="26"/>
      <c r="O902" s="26"/>
      <c r="P902" s="26"/>
      <c r="Q902" s="28"/>
    </row>
    <row r="903" spans="1:17">
      <c r="A903" t="str">
        <f t="shared" si="26"/>
        <v/>
      </c>
      <c r="B903" t="str">
        <f t="shared" si="27"/>
        <v/>
      </c>
      <c r="D903" s="27"/>
      <c r="E903" s="26"/>
      <c r="F903" s="26"/>
      <c r="G903" s="30"/>
      <c r="H903" s="30"/>
      <c r="I903" s="30"/>
      <c r="J903" s="31"/>
      <c r="K903" s="31"/>
      <c r="L903" s="31"/>
      <c r="M903" s="31"/>
      <c r="N903" s="26"/>
      <c r="O903" s="26"/>
      <c r="P903" s="26"/>
      <c r="Q903" s="28"/>
    </row>
    <row r="904" spans="1:17">
      <c r="A904" t="str">
        <f t="shared" si="26"/>
        <v/>
      </c>
      <c r="B904" t="str">
        <f t="shared" si="27"/>
        <v/>
      </c>
      <c r="D904" s="27"/>
      <c r="E904" s="26"/>
      <c r="F904" s="26"/>
      <c r="G904" s="30"/>
      <c r="H904" s="30"/>
      <c r="I904" s="30"/>
      <c r="J904" s="31"/>
      <c r="K904" s="31"/>
      <c r="L904" s="31"/>
      <c r="M904" s="31"/>
      <c r="N904" s="26"/>
      <c r="O904" s="26"/>
      <c r="P904" s="26"/>
      <c r="Q904" s="28"/>
    </row>
    <row r="905" spans="1:17">
      <c r="A905" t="str">
        <f t="shared" si="26"/>
        <v/>
      </c>
      <c r="B905" t="str">
        <f t="shared" si="27"/>
        <v/>
      </c>
      <c r="D905" s="27"/>
      <c r="E905" s="26"/>
      <c r="F905" s="26"/>
      <c r="G905" s="30"/>
      <c r="H905" s="30"/>
      <c r="I905" s="30"/>
      <c r="J905" s="31"/>
      <c r="K905" s="31"/>
      <c r="L905" s="31"/>
      <c r="M905" s="31"/>
      <c r="N905" s="26"/>
      <c r="O905" s="26"/>
      <c r="P905" s="26"/>
      <c r="Q905" s="28"/>
    </row>
    <row r="906" spans="1:17">
      <c r="A906" t="str">
        <f t="shared" si="26"/>
        <v/>
      </c>
      <c r="B906" t="str">
        <f t="shared" si="27"/>
        <v/>
      </c>
      <c r="D906" s="27"/>
      <c r="E906" s="26"/>
      <c r="F906" s="26"/>
      <c r="G906" s="30"/>
      <c r="H906" s="30"/>
      <c r="I906" s="30"/>
      <c r="J906" s="31"/>
      <c r="K906" s="31"/>
      <c r="L906" s="31"/>
      <c r="M906" s="31"/>
      <c r="N906" s="26"/>
      <c r="O906" s="26"/>
      <c r="P906" s="26"/>
      <c r="Q906" s="28"/>
    </row>
    <row r="907" spans="1:17">
      <c r="A907" t="str">
        <f t="shared" si="26"/>
        <v/>
      </c>
      <c r="B907" t="str">
        <f t="shared" si="27"/>
        <v/>
      </c>
      <c r="D907" s="27"/>
      <c r="E907" s="26"/>
      <c r="F907" s="26"/>
      <c r="G907" s="30"/>
      <c r="H907" s="30"/>
      <c r="I907" s="30"/>
      <c r="J907" s="31"/>
      <c r="K907" s="31"/>
      <c r="L907" s="31"/>
      <c r="M907" s="31"/>
      <c r="N907" s="26"/>
      <c r="O907" s="26"/>
      <c r="P907" s="26"/>
      <c r="Q907" s="28"/>
    </row>
    <row r="908" spans="1:17">
      <c r="A908" t="str">
        <f t="shared" si="26"/>
        <v/>
      </c>
      <c r="B908" t="str">
        <f t="shared" si="27"/>
        <v/>
      </c>
      <c r="D908" s="27"/>
      <c r="E908" s="26"/>
      <c r="F908" s="26"/>
      <c r="G908" s="30"/>
      <c r="H908" s="30"/>
      <c r="I908" s="30"/>
      <c r="J908" s="31"/>
      <c r="K908" s="31"/>
      <c r="L908" s="31"/>
      <c r="M908" s="31"/>
      <c r="N908" s="26"/>
      <c r="O908" s="26"/>
      <c r="P908" s="26"/>
      <c r="Q908" s="28"/>
    </row>
    <row r="909" spans="1:17">
      <c r="A909" t="str">
        <f t="shared" si="26"/>
        <v/>
      </c>
      <c r="B909" t="str">
        <f t="shared" si="27"/>
        <v/>
      </c>
      <c r="D909" s="27"/>
      <c r="E909" s="26"/>
      <c r="F909" s="26"/>
      <c r="G909" s="30"/>
      <c r="H909" s="30"/>
      <c r="I909" s="30"/>
      <c r="J909" s="31"/>
      <c r="K909" s="31"/>
      <c r="L909" s="31"/>
      <c r="M909" s="31"/>
      <c r="N909" s="26"/>
      <c r="O909" s="26"/>
      <c r="P909" s="26"/>
      <c r="Q909" s="28"/>
    </row>
    <row r="910" spans="1:17">
      <c r="A910" t="str">
        <f t="shared" ref="A910:A973" si="28">IF($J910=0,"",H910)</f>
        <v/>
      </c>
      <c r="B910" t="str">
        <f t="shared" ref="B910:B973" si="29">IF($J910=0,"",I910)</f>
        <v/>
      </c>
      <c r="D910" s="27"/>
      <c r="E910" s="26"/>
      <c r="F910" s="26"/>
      <c r="G910" s="30"/>
      <c r="H910" s="30"/>
      <c r="I910" s="30"/>
      <c r="J910" s="31"/>
      <c r="K910" s="31"/>
      <c r="L910" s="31"/>
      <c r="M910" s="31"/>
      <c r="N910" s="26"/>
      <c r="O910" s="26"/>
      <c r="P910" s="26"/>
      <c r="Q910" s="28"/>
    </row>
    <row r="911" spans="1:17">
      <c r="A911" t="str">
        <f t="shared" si="28"/>
        <v/>
      </c>
      <c r="B911" t="str">
        <f t="shared" si="29"/>
        <v/>
      </c>
      <c r="D911" s="27"/>
      <c r="E911" s="26"/>
      <c r="F911" s="26"/>
      <c r="G911" s="30"/>
      <c r="H911" s="30"/>
      <c r="I911" s="30"/>
      <c r="J911" s="31"/>
      <c r="K911" s="31"/>
      <c r="L911" s="31"/>
      <c r="M911" s="31"/>
      <c r="N911" s="26"/>
      <c r="O911" s="26"/>
      <c r="P911" s="26"/>
      <c r="Q911" s="28"/>
    </row>
    <row r="912" spans="1:17">
      <c r="A912" t="str">
        <f t="shared" si="28"/>
        <v/>
      </c>
      <c r="B912" t="str">
        <f t="shared" si="29"/>
        <v/>
      </c>
      <c r="D912" s="27"/>
      <c r="E912" s="26"/>
      <c r="F912" s="26"/>
      <c r="G912" s="30"/>
      <c r="H912" s="30"/>
      <c r="I912" s="30"/>
      <c r="J912" s="31"/>
      <c r="K912" s="31"/>
      <c r="L912" s="31"/>
      <c r="M912" s="31"/>
      <c r="N912" s="26"/>
      <c r="O912" s="26"/>
      <c r="P912" s="26"/>
      <c r="Q912" s="28"/>
    </row>
    <row r="913" spans="1:17">
      <c r="A913" t="str">
        <f t="shared" si="28"/>
        <v/>
      </c>
      <c r="B913" t="str">
        <f t="shared" si="29"/>
        <v/>
      </c>
      <c r="D913" s="27"/>
      <c r="E913" s="26"/>
      <c r="F913" s="26"/>
      <c r="G913" s="30"/>
      <c r="H913" s="30"/>
      <c r="I913" s="30"/>
      <c r="J913" s="31"/>
      <c r="K913" s="31"/>
      <c r="L913" s="31"/>
      <c r="M913" s="31"/>
      <c r="N913" s="26"/>
      <c r="O913" s="26"/>
      <c r="P913" s="26"/>
      <c r="Q913" s="28"/>
    </row>
    <row r="914" spans="1:17">
      <c r="A914" t="str">
        <f t="shared" si="28"/>
        <v/>
      </c>
      <c r="B914" t="str">
        <f t="shared" si="29"/>
        <v/>
      </c>
      <c r="D914" s="27"/>
      <c r="E914" s="26"/>
      <c r="F914" s="26"/>
      <c r="G914" s="30"/>
      <c r="H914" s="30"/>
      <c r="I914" s="30"/>
      <c r="J914" s="31"/>
      <c r="K914" s="31"/>
      <c r="L914" s="31"/>
      <c r="M914" s="31"/>
      <c r="N914" s="26"/>
      <c r="O914" s="26"/>
      <c r="P914" s="26"/>
      <c r="Q914" s="28"/>
    </row>
    <row r="915" spans="1:17">
      <c r="A915" t="str">
        <f t="shared" si="28"/>
        <v/>
      </c>
      <c r="B915" t="str">
        <f t="shared" si="29"/>
        <v/>
      </c>
      <c r="D915" s="27"/>
      <c r="E915" s="26"/>
      <c r="F915" s="26"/>
      <c r="G915" s="30"/>
      <c r="H915" s="30"/>
      <c r="I915" s="30"/>
      <c r="J915" s="31"/>
      <c r="K915" s="31"/>
      <c r="L915" s="31"/>
      <c r="M915" s="31"/>
      <c r="N915" s="26"/>
      <c r="O915" s="26"/>
      <c r="P915" s="26"/>
      <c r="Q915" s="28"/>
    </row>
    <row r="916" spans="1:17">
      <c r="A916" t="str">
        <f t="shared" si="28"/>
        <v/>
      </c>
      <c r="B916" t="str">
        <f t="shared" si="29"/>
        <v/>
      </c>
      <c r="D916" s="27"/>
      <c r="E916" s="26"/>
      <c r="F916" s="26"/>
      <c r="G916" s="30"/>
      <c r="H916" s="30"/>
      <c r="I916" s="30"/>
      <c r="J916" s="31"/>
      <c r="K916" s="31"/>
      <c r="L916" s="31"/>
      <c r="M916" s="31"/>
      <c r="N916" s="26"/>
      <c r="O916" s="26"/>
      <c r="P916" s="26"/>
      <c r="Q916" s="28"/>
    </row>
    <row r="917" spans="1:17">
      <c r="A917" t="str">
        <f t="shared" si="28"/>
        <v/>
      </c>
      <c r="B917" t="str">
        <f t="shared" si="29"/>
        <v/>
      </c>
      <c r="D917" s="27"/>
      <c r="E917" s="26"/>
      <c r="F917" s="26"/>
      <c r="G917" s="30"/>
      <c r="H917" s="30"/>
      <c r="I917" s="30"/>
      <c r="J917" s="31"/>
      <c r="K917" s="31"/>
      <c r="L917" s="31"/>
      <c r="M917" s="31"/>
      <c r="N917" s="26"/>
      <c r="O917" s="26"/>
      <c r="P917" s="26"/>
      <c r="Q917" s="28"/>
    </row>
    <row r="918" spans="1:17">
      <c r="A918" t="str">
        <f t="shared" si="28"/>
        <v/>
      </c>
      <c r="B918" t="str">
        <f t="shared" si="29"/>
        <v/>
      </c>
      <c r="D918" s="27"/>
      <c r="E918" s="26"/>
      <c r="F918" s="26"/>
      <c r="G918" s="30"/>
      <c r="H918" s="30"/>
      <c r="I918" s="30"/>
      <c r="J918" s="31"/>
      <c r="K918" s="31"/>
      <c r="L918" s="31"/>
      <c r="M918" s="31"/>
      <c r="N918" s="26"/>
      <c r="O918" s="26"/>
      <c r="P918" s="26"/>
      <c r="Q918" s="28"/>
    </row>
    <row r="919" spans="1:17">
      <c r="A919" t="str">
        <f t="shared" si="28"/>
        <v/>
      </c>
      <c r="B919" t="str">
        <f t="shared" si="29"/>
        <v/>
      </c>
      <c r="D919" s="27"/>
      <c r="E919" s="26"/>
      <c r="F919" s="26"/>
      <c r="G919" s="30"/>
      <c r="H919" s="30"/>
      <c r="I919" s="30"/>
      <c r="J919" s="31"/>
      <c r="K919" s="31"/>
      <c r="L919" s="31"/>
      <c r="M919" s="31"/>
      <c r="N919" s="26"/>
      <c r="O919" s="26"/>
      <c r="P919" s="26"/>
      <c r="Q919" s="28"/>
    </row>
    <row r="920" spans="1:17">
      <c r="A920" t="str">
        <f t="shared" si="28"/>
        <v/>
      </c>
      <c r="B920" t="str">
        <f t="shared" si="29"/>
        <v/>
      </c>
      <c r="D920" s="27"/>
      <c r="E920" s="26"/>
      <c r="F920" s="26"/>
      <c r="G920" s="30"/>
      <c r="H920" s="30"/>
      <c r="I920" s="30"/>
      <c r="J920" s="31"/>
      <c r="K920" s="31"/>
      <c r="L920" s="31"/>
      <c r="M920" s="31"/>
      <c r="N920" s="26"/>
      <c r="O920" s="26"/>
      <c r="P920" s="26"/>
      <c r="Q920" s="28"/>
    </row>
    <row r="921" spans="1:17">
      <c r="A921" t="str">
        <f t="shared" si="28"/>
        <v/>
      </c>
      <c r="B921" t="str">
        <f t="shared" si="29"/>
        <v/>
      </c>
      <c r="D921" s="27"/>
      <c r="E921" s="26"/>
      <c r="F921" s="26"/>
      <c r="G921" s="30"/>
      <c r="H921" s="30"/>
      <c r="I921" s="30"/>
      <c r="J921" s="31"/>
      <c r="K921" s="31"/>
      <c r="L921" s="31"/>
      <c r="M921" s="31"/>
      <c r="N921" s="26"/>
      <c r="O921" s="26"/>
      <c r="P921" s="26"/>
      <c r="Q921" s="28"/>
    </row>
    <row r="922" spans="1:17">
      <c r="A922" t="str">
        <f t="shared" si="28"/>
        <v/>
      </c>
      <c r="B922" t="str">
        <f t="shared" si="29"/>
        <v/>
      </c>
      <c r="D922" s="27"/>
      <c r="E922" s="26"/>
      <c r="F922" s="26"/>
      <c r="G922" s="30"/>
      <c r="H922" s="30"/>
      <c r="I922" s="30"/>
      <c r="J922" s="31"/>
      <c r="K922" s="31"/>
      <c r="L922" s="31"/>
      <c r="M922" s="31"/>
      <c r="N922" s="26"/>
      <c r="O922" s="26"/>
      <c r="P922" s="26"/>
      <c r="Q922" s="28"/>
    </row>
    <row r="923" spans="1:17">
      <c r="A923" t="str">
        <f t="shared" si="28"/>
        <v/>
      </c>
      <c r="B923" t="str">
        <f t="shared" si="29"/>
        <v/>
      </c>
      <c r="D923" s="27"/>
      <c r="E923" s="26"/>
      <c r="F923" s="26"/>
      <c r="G923" s="30"/>
      <c r="H923" s="30"/>
      <c r="I923" s="30"/>
      <c r="J923" s="31"/>
      <c r="K923" s="31"/>
      <c r="L923" s="31"/>
      <c r="M923" s="31"/>
      <c r="N923" s="26"/>
      <c r="O923" s="26"/>
      <c r="P923" s="26"/>
      <c r="Q923" s="28"/>
    </row>
    <row r="924" spans="1:17">
      <c r="A924" t="str">
        <f t="shared" si="28"/>
        <v/>
      </c>
      <c r="B924" t="str">
        <f t="shared" si="29"/>
        <v/>
      </c>
      <c r="D924" s="27"/>
      <c r="E924" s="26"/>
      <c r="F924" s="26"/>
      <c r="G924" s="30"/>
      <c r="H924" s="30"/>
      <c r="I924" s="30"/>
      <c r="J924" s="31"/>
      <c r="K924" s="31"/>
      <c r="L924" s="31"/>
      <c r="M924" s="31"/>
      <c r="N924" s="26"/>
      <c r="O924" s="26"/>
      <c r="P924" s="26"/>
      <c r="Q924" s="28"/>
    </row>
    <row r="925" spans="1:17">
      <c r="A925" t="str">
        <f t="shared" si="28"/>
        <v/>
      </c>
      <c r="B925" t="str">
        <f t="shared" si="29"/>
        <v/>
      </c>
      <c r="D925" s="27"/>
      <c r="E925" s="26"/>
      <c r="F925" s="26"/>
      <c r="G925" s="30"/>
      <c r="H925" s="30"/>
      <c r="I925" s="30"/>
      <c r="J925" s="31"/>
      <c r="K925" s="31"/>
      <c r="L925" s="31"/>
      <c r="M925" s="31"/>
      <c r="N925" s="26"/>
      <c r="O925" s="26"/>
      <c r="P925" s="26"/>
      <c r="Q925" s="28"/>
    </row>
    <row r="926" spans="1:17">
      <c r="A926" t="str">
        <f t="shared" si="28"/>
        <v/>
      </c>
      <c r="B926" t="str">
        <f t="shared" si="29"/>
        <v/>
      </c>
      <c r="D926" s="27"/>
      <c r="E926" s="26"/>
      <c r="F926" s="26"/>
      <c r="G926" s="30"/>
      <c r="H926" s="30"/>
      <c r="I926" s="30"/>
      <c r="J926" s="31"/>
      <c r="K926" s="31"/>
      <c r="L926" s="31"/>
      <c r="M926" s="31"/>
      <c r="N926" s="26"/>
      <c r="O926" s="26"/>
      <c r="P926" s="26"/>
      <c r="Q926" s="28"/>
    </row>
    <row r="927" spans="1:17">
      <c r="A927" t="str">
        <f t="shared" si="28"/>
        <v/>
      </c>
      <c r="B927" t="str">
        <f t="shared" si="29"/>
        <v/>
      </c>
      <c r="D927" s="27"/>
      <c r="E927" s="26"/>
      <c r="F927" s="26"/>
      <c r="G927" s="30"/>
      <c r="H927" s="30"/>
      <c r="I927" s="30"/>
      <c r="J927" s="31"/>
      <c r="K927" s="31"/>
      <c r="L927" s="31"/>
      <c r="M927" s="31"/>
      <c r="N927" s="26"/>
      <c r="O927" s="26"/>
      <c r="P927" s="26"/>
      <c r="Q927" s="28"/>
    </row>
    <row r="928" spans="1:17">
      <c r="A928" t="str">
        <f t="shared" si="28"/>
        <v/>
      </c>
      <c r="B928" t="str">
        <f t="shared" si="29"/>
        <v/>
      </c>
      <c r="D928" s="27"/>
      <c r="E928" s="26"/>
      <c r="F928" s="26"/>
      <c r="G928" s="30"/>
      <c r="H928" s="30"/>
      <c r="I928" s="30"/>
      <c r="J928" s="31"/>
      <c r="K928" s="31"/>
      <c r="L928" s="31"/>
      <c r="M928" s="31"/>
      <c r="N928" s="26"/>
      <c r="O928" s="26"/>
      <c r="P928" s="26"/>
      <c r="Q928" s="28"/>
    </row>
    <row r="929" spans="1:17">
      <c r="A929" t="str">
        <f t="shared" si="28"/>
        <v/>
      </c>
      <c r="B929" t="str">
        <f t="shared" si="29"/>
        <v/>
      </c>
      <c r="D929" s="27"/>
      <c r="E929" s="26"/>
      <c r="F929" s="26"/>
      <c r="G929" s="30"/>
      <c r="H929" s="30"/>
      <c r="I929" s="30"/>
      <c r="J929" s="31"/>
      <c r="K929" s="31"/>
      <c r="L929" s="31"/>
      <c r="M929" s="31"/>
      <c r="N929" s="26"/>
      <c r="O929" s="26"/>
      <c r="P929" s="26"/>
      <c r="Q929" s="28"/>
    </row>
    <row r="930" spans="1:17">
      <c r="A930" t="str">
        <f t="shared" si="28"/>
        <v/>
      </c>
      <c r="B930" t="str">
        <f t="shared" si="29"/>
        <v/>
      </c>
      <c r="D930" s="27"/>
      <c r="E930" s="26"/>
      <c r="F930" s="26"/>
      <c r="G930" s="30"/>
      <c r="H930" s="30"/>
      <c r="I930" s="30"/>
      <c r="J930" s="31"/>
      <c r="K930" s="31"/>
      <c r="L930" s="31"/>
      <c r="M930" s="31"/>
      <c r="N930" s="26"/>
      <c r="O930" s="26"/>
      <c r="P930" s="26"/>
      <c r="Q930" s="28"/>
    </row>
    <row r="931" spans="1:17">
      <c r="A931" t="str">
        <f t="shared" si="28"/>
        <v/>
      </c>
      <c r="B931" t="str">
        <f t="shared" si="29"/>
        <v/>
      </c>
      <c r="D931" s="27"/>
      <c r="E931" s="26"/>
      <c r="F931" s="26"/>
      <c r="G931" s="30"/>
      <c r="H931" s="30"/>
      <c r="I931" s="30"/>
      <c r="J931" s="31"/>
      <c r="K931" s="31"/>
      <c r="L931" s="31"/>
      <c r="M931" s="31"/>
      <c r="N931" s="26"/>
      <c r="O931" s="26"/>
      <c r="P931" s="26"/>
      <c r="Q931" s="28"/>
    </row>
    <row r="932" spans="1:17">
      <c r="A932" t="str">
        <f t="shared" si="28"/>
        <v/>
      </c>
      <c r="B932" t="str">
        <f t="shared" si="29"/>
        <v/>
      </c>
      <c r="D932" s="27"/>
      <c r="E932" s="26"/>
      <c r="F932" s="26"/>
      <c r="G932" s="30"/>
      <c r="H932" s="30"/>
      <c r="I932" s="30"/>
      <c r="J932" s="31"/>
      <c r="K932" s="31"/>
      <c r="L932" s="31"/>
      <c r="M932" s="31"/>
      <c r="N932" s="26"/>
      <c r="O932" s="26"/>
      <c r="P932" s="26"/>
      <c r="Q932" s="28"/>
    </row>
    <row r="933" spans="1:17">
      <c r="A933" t="str">
        <f t="shared" si="28"/>
        <v/>
      </c>
      <c r="B933" t="str">
        <f t="shared" si="29"/>
        <v/>
      </c>
      <c r="D933" s="27"/>
      <c r="E933" s="26"/>
      <c r="F933" s="26"/>
      <c r="G933" s="30"/>
      <c r="H933" s="30"/>
      <c r="I933" s="30"/>
      <c r="J933" s="31"/>
      <c r="K933" s="31"/>
      <c r="L933" s="31"/>
      <c r="M933" s="31"/>
      <c r="N933" s="26"/>
      <c r="O933" s="26"/>
      <c r="P933" s="26"/>
      <c r="Q933" s="28"/>
    </row>
    <row r="934" spans="1:17">
      <c r="A934" t="str">
        <f t="shared" si="28"/>
        <v/>
      </c>
      <c r="B934" t="str">
        <f t="shared" si="29"/>
        <v/>
      </c>
      <c r="D934" s="27"/>
      <c r="E934" s="26"/>
      <c r="F934" s="26"/>
      <c r="G934" s="30"/>
      <c r="H934" s="30"/>
      <c r="I934" s="30"/>
      <c r="J934" s="31"/>
      <c r="K934" s="31"/>
      <c r="L934" s="31"/>
      <c r="M934" s="31"/>
      <c r="N934" s="26"/>
      <c r="O934" s="26"/>
      <c r="P934" s="26"/>
      <c r="Q934" s="28"/>
    </row>
    <row r="935" spans="1:17">
      <c r="A935" t="str">
        <f t="shared" si="28"/>
        <v/>
      </c>
      <c r="B935" t="str">
        <f t="shared" si="29"/>
        <v/>
      </c>
      <c r="D935" s="27"/>
      <c r="E935" s="26"/>
      <c r="F935" s="26"/>
      <c r="G935" s="30"/>
      <c r="H935" s="30"/>
      <c r="I935" s="30"/>
      <c r="J935" s="31"/>
      <c r="K935" s="31"/>
      <c r="L935" s="31"/>
      <c r="M935" s="31"/>
      <c r="N935" s="26"/>
      <c r="O935" s="26"/>
      <c r="P935" s="26"/>
      <c r="Q935" s="28"/>
    </row>
    <row r="936" spans="1:17">
      <c r="A936" t="str">
        <f t="shared" si="28"/>
        <v/>
      </c>
      <c r="B936" t="str">
        <f t="shared" si="29"/>
        <v/>
      </c>
      <c r="D936" s="27"/>
      <c r="E936" s="26"/>
      <c r="F936" s="26"/>
      <c r="G936" s="30"/>
      <c r="H936" s="30"/>
      <c r="I936" s="30"/>
      <c r="J936" s="31"/>
      <c r="K936" s="31"/>
      <c r="L936" s="31"/>
      <c r="M936" s="31"/>
      <c r="N936" s="26"/>
      <c r="O936" s="26"/>
      <c r="P936" s="26"/>
      <c r="Q936" s="28"/>
    </row>
    <row r="937" spans="1:17">
      <c r="A937" t="str">
        <f t="shared" si="28"/>
        <v/>
      </c>
      <c r="B937" t="str">
        <f t="shared" si="29"/>
        <v/>
      </c>
      <c r="D937" s="27"/>
      <c r="E937" s="26"/>
      <c r="F937" s="26"/>
      <c r="G937" s="30"/>
      <c r="H937" s="30"/>
      <c r="I937" s="30"/>
      <c r="J937" s="31"/>
      <c r="K937" s="31"/>
      <c r="L937" s="31"/>
      <c r="M937" s="31"/>
      <c r="N937" s="26"/>
      <c r="O937" s="26"/>
      <c r="P937" s="26"/>
      <c r="Q937" s="28"/>
    </row>
    <row r="938" spans="1:17">
      <c r="A938" t="str">
        <f t="shared" si="28"/>
        <v/>
      </c>
      <c r="B938" t="str">
        <f t="shared" si="29"/>
        <v/>
      </c>
      <c r="D938" s="27"/>
      <c r="E938" s="26"/>
      <c r="F938" s="26"/>
      <c r="G938" s="30"/>
      <c r="H938" s="30"/>
      <c r="I938" s="30"/>
      <c r="J938" s="31"/>
      <c r="K938" s="31"/>
      <c r="L938" s="31"/>
      <c r="M938" s="31"/>
      <c r="N938" s="26"/>
      <c r="O938" s="26"/>
      <c r="P938" s="26"/>
      <c r="Q938" s="28"/>
    </row>
    <row r="939" spans="1:17">
      <c r="A939" t="str">
        <f t="shared" si="28"/>
        <v/>
      </c>
      <c r="B939" t="str">
        <f t="shared" si="29"/>
        <v/>
      </c>
      <c r="D939" s="27"/>
      <c r="E939" s="26"/>
      <c r="F939" s="26"/>
      <c r="G939" s="30"/>
      <c r="H939" s="30"/>
      <c r="I939" s="30"/>
      <c r="J939" s="31"/>
      <c r="K939" s="31"/>
      <c r="L939" s="31"/>
      <c r="M939" s="31"/>
      <c r="N939" s="26"/>
      <c r="O939" s="26"/>
      <c r="P939" s="26"/>
      <c r="Q939" s="28"/>
    </row>
    <row r="940" spans="1:17">
      <c r="A940" t="str">
        <f t="shared" si="28"/>
        <v/>
      </c>
      <c r="B940" t="str">
        <f t="shared" si="29"/>
        <v/>
      </c>
      <c r="D940" s="27"/>
      <c r="E940" s="26"/>
      <c r="F940" s="26"/>
      <c r="G940" s="30"/>
      <c r="H940" s="30"/>
      <c r="I940" s="30"/>
      <c r="J940" s="31"/>
      <c r="K940" s="31"/>
      <c r="L940" s="31"/>
      <c r="M940" s="31"/>
      <c r="N940" s="26"/>
      <c r="O940" s="26"/>
      <c r="P940" s="26"/>
      <c r="Q940" s="28"/>
    </row>
    <row r="941" spans="1:17">
      <c r="A941" t="str">
        <f t="shared" si="28"/>
        <v/>
      </c>
      <c r="B941" t="str">
        <f t="shared" si="29"/>
        <v/>
      </c>
      <c r="D941" s="27"/>
      <c r="E941" s="26"/>
      <c r="F941" s="26"/>
      <c r="G941" s="30"/>
      <c r="H941" s="30"/>
      <c r="I941" s="30"/>
      <c r="J941" s="31"/>
      <c r="K941" s="31"/>
      <c r="L941" s="31"/>
      <c r="M941" s="31"/>
      <c r="N941" s="26"/>
      <c r="O941" s="26"/>
      <c r="P941" s="26"/>
      <c r="Q941" s="28"/>
    </row>
    <row r="942" spans="1:17">
      <c r="A942" t="str">
        <f t="shared" si="28"/>
        <v/>
      </c>
      <c r="B942" t="str">
        <f t="shared" si="29"/>
        <v/>
      </c>
      <c r="D942" s="27"/>
      <c r="E942" s="26"/>
      <c r="F942" s="26"/>
      <c r="G942" s="30"/>
      <c r="H942" s="30"/>
      <c r="I942" s="30"/>
      <c r="J942" s="31"/>
      <c r="K942" s="31"/>
      <c r="L942" s="31"/>
      <c r="M942" s="31"/>
      <c r="N942" s="26"/>
      <c r="O942" s="26"/>
      <c r="P942" s="26"/>
      <c r="Q942" s="28"/>
    </row>
    <row r="943" spans="1:17">
      <c r="A943" t="str">
        <f t="shared" si="28"/>
        <v/>
      </c>
      <c r="B943" t="str">
        <f t="shared" si="29"/>
        <v/>
      </c>
      <c r="D943" s="27"/>
      <c r="E943" s="26"/>
      <c r="F943" s="26"/>
      <c r="G943" s="30"/>
      <c r="H943" s="30"/>
      <c r="I943" s="30"/>
      <c r="J943" s="31"/>
      <c r="K943" s="31"/>
      <c r="L943" s="31"/>
      <c r="M943" s="31"/>
      <c r="N943" s="26"/>
      <c r="O943" s="26"/>
      <c r="P943" s="26"/>
      <c r="Q943" s="28"/>
    </row>
    <row r="944" spans="1:17">
      <c r="A944" t="str">
        <f t="shared" si="28"/>
        <v/>
      </c>
      <c r="B944" t="str">
        <f t="shared" si="29"/>
        <v/>
      </c>
      <c r="D944" s="27"/>
      <c r="E944" s="26"/>
      <c r="F944" s="26"/>
      <c r="G944" s="30"/>
      <c r="H944" s="30"/>
      <c r="I944" s="30"/>
      <c r="J944" s="31"/>
      <c r="K944" s="31"/>
      <c r="L944" s="31"/>
      <c r="M944" s="31"/>
      <c r="N944" s="26"/>
      <c r="O944" s="26"/>
      <c r="P944" s="26"/>
      <c r="Q944" s="28"/>
    </row>
    <row r="945" spans="1:17">
      <c r="A945" t="str">
        <f t="shared" si="28"/>
        <v/>
      </c>
      <c r="B945" t="str">
        <f t="shared" si="29"/>
        <v/>
      </c>
      <c r="D945" s="27"/>
      <c r="E945" s="26"/>
      <c r="F945" s="26"/>
      <c r="G945" s="30"/>
      <c r="H945" s="30"/>
      <c r="I945" s="30"/>
      <c r="J945" s="31"/>
      <c r="K945" s="31"/>
      <c r="L945" s="31"/>
      <c r="M945" s="31"/>
      <c r="N945" s="26"/>
      <c r="O945" s="26"/>
      <c r="P945" s="26"/>
      <c r="Q945" s="28"/>
    </row>
    <row r="946" spans="1:17">
      <c r="A946" t="str">
        <f t="shared" si="28"/>
        <v/>
      </c>
      <c r="B946" t="str">
        <f t="shared" si="29"/>
        <v/>
      </c>
      <c r="D946" s="27"/>
      <c r="E946" s="26"/>
      <c r="F946" s="26"/>
      <c r="G946" s="30"/>
      <c r="H946" s="30"/>
      <c r="I946" s="30"/>
      <c r="J946" s="31"/>
      <c r="K946" s="31"/>
      <c r="L946" s="31"/>
      <c r="M946" s="31"/>
      <c r="N946" s="26"/>
      <c r="O946" s="26"/>
      <c r="P946" s="26"/>
      <c r="Q946" s="28"/>
    </row>
    <row r="947" spans="1:17">
      <c r="A947" t="str">
        <f t="shared" si="28"/>
        <v/>
      </c>
      <c r="B947" t="str">
        <f t="shared" si="29"/>
        <v/>
      </c>
      <c r="D947" s="27"/>
      <c r="E947" s="26"/>
      <c r="F947" s="26"/>
      <c r="G947" s="30"/>
      <c r="H947" s="30"/>
      <c r="I947" s="30"/>
      <c r="J947" s="31"/>
      <c r="K947" s="31"/>
      <c r="L947" s="31"/>
      <c r="M947" s="31"/>
      <c r="N947" s="26"/>
      <c r="O947" s="26"/>
      <c r="P947" s="26"/>
      <c r="Q947" s="28"/>
    </row>
    <row r="948" spans="1:17">
      <c r="A948" t="str">
        <f t="shared" si="28"/>
        <v/>
      </c>
      <c r="B948" t="str">
        <f t="shared" si="29"/>
        <v/>
      </c>
      <c r="D948" s="27"/>
      <c r="E948" s="26"/>
      <c r="F948" s="26"/>
      <c r="G948" s="30"/>
      <c r="H948" s="30"/>
      <c r="I948" s="30"/>
      <c r="J948" s="31"/>
      <c r="K948" s="31"/>
      <c r="L948" s="31"/>
      <c r="M948" s="31"/>
      <c r="N948" s="26"/>
      <c r="O948" s="26"/>
      <c r="P948" s="26"/>
      <c r="Q948" s="28"/>
    </row>
    <row r="949" spans="1:17">
      <c r="A949" t="str">
        <f t="shared" si="28"/>
        <v/>
      </c>
      <c r="B949" t="str">
        <f t="shared" si="29"/>
        <v/>
      </c>
      <c r="D949" s="27"/>
      <c r="E949" s="26"/>
      <c r="F949" s="26"/>
      <c r="G949" s="30"/>
      <c r="H949" s="30"/>
      <c r="I949" s="30"/>
      <c r="J949" s="31"/>
      <c r="K949" s="31"/>
      <c r="L949" s="31"/>
      <c r="M949" s="31"/>
      <c r="N949" s="26"/>
      <c r="O949" s="26"/>
      <c r="P949" s="26"/>
      <c r="Q949" s="28"/>
    </row>
    <row r="950" spans="1:17">
      <c r="A950" t="str">
        <f t="shared" si="28"/>
        <v/>
      </c>
      <c r="B950" t="str">
        <f t="shared" si="29"/>
        <v/>
      </c>
      <c r="D950" s="27"/>
      <c r="E950" s="26"/>
      <c r="F950" s="26"/>
      <c r="G950" s="30"/>
      <c r="H950" s="30"/>
      <c r="I950" s="30"/>
      <c r="J950" s="31"/>
      <c r="K950" s="31"/>
      <c r="L950" s="31"/>
      <c r="M950" s="31"/>
      <c r="N950" s="26"/>
      <c r="O950" s="26"/>
      <c r="P950" s="26"/>
      <c r="Q950" s="28"/>
    </row>
    <row r="951" spans="1:17">
      <c r="A951" t="str">
        <f t="shared" si="28"/>
        <v/>
      </c>
      <c r="B951" t="str">
        <f t="shared" si="29"/>
        <v/>
      </c>
      <c r="D951" s="27"/>
      <c r="E951" s="26"/>
      <c r="F951" s="26"/>
      <c r="G951" s="30"/>
      <c r="H951" s="30"/>
      <c r="I951" s="30"/>
      <c r="J951" s="31"/>
      <c r="K951" s="31"/>
      <c r="L951" s="31"/>
      <c r="M951" s="31"/>
      <c r="N951" s="26"/>
      <c r="O951" s="26"/>
      <c r="P951" s="26"/>
      <c r="Q951" s="28"/>
    </row>
    <row r="952" spans="1:17">
      <c r="A952" t="str">
        <f t="shared" si="28"/>
        <v/>
      </c>
      <c r="B952" t="str">
        <f t="shared" si="29"/>
        <v/>
      </c>
      <c r="D952" s="27"/>
      <c r="E952" s="26"/>
      <c r="F952" s="26"/>
      <c r="G952" s="30"/>
      <c r="H952" s="30"/>
      <c r="I952" s="30"/>
      <c r="J952" s="31"/>
      <c r="K952" s="31"/>
      <c r="L952" s="31"/>
      <c r="M952" s="31"/>
      <c r="N952" s="26"/>
      <c r="O952" s="26"/>
      <c r="P952" s="26"/>
      <c r="Q952" s="28"/>
    </row>
    <row r="953" spans="1:17">
      <c r="A953" t="str">
        <f t="shared" si="28"/>
        <v/>
      </c>
      <c r="B953" t="str">
        <f t="shared" si="29"/>
        <v/>
      </c>
      <c r="D953" s="27"/>
      <c r="E953" s="26"/>
      <c r="F953" s="26"/>
      <c r="G953" s="30"/>
      <c r="H953" s="30"/>
      <c r="I953" s="30"/>
      <c r="J953" s="31"/>
      <c r="K953" s="31"/>
      <c r="L953" s="31"/>
      <c r="M953" s="31"/>
      <c r="N953" s="26"/>
      <c r="O953" s="26"/>
      <c r="P953" s="26"/>
      <c r="Q953" s="28"/>
    </row>
    <row r="954" spans="1:17">
      <c r="A954" t="str">
        <f t="shared" si="28"/>
        <v/>
      </c>
      <c r="B954" t="str">
        <f t="shared" si="29"/>
        <v/>
      </c>
      <c r="D954" s="27"/>
      <c r="E954" s="26"/>
      <c r="F954" s="26"/>
      <c r="G954" s="30"/>
      <c r="H954" s="30"/>
      <c r="I954" s="30"/>
      <c r="J954" s="31"/>
      <c r="K954" s="31"/>
      <c r="L954" s="31"/>
      <c r="M954" s="31"/>
      <c r="N954" s="26"/>
      <c r="O954" s="26"/>
      <c r="P954" s="26"/>
      <c r="Q954" s="28"/>
    </row>
    <row r="955" spans="1:17">
      <c r="A955" t="str">
        <f t="shared" si="28"/>
        <v/>
      </c>
      <c r="B955" t="str">
        <f t="shared" si="29"/>
        <v/>
      </c>
      <c r="D955" s="27"/>
      <c r="E955" s="26"/>
      <c r="F955" s="26"/>
      <c r="G955" s="30"/>
      <c r="H955" s="30"/>
      <c r="I955" s="30"/>
      <c r="J955" s="31"/>
      <c r="K955" s="31"/>
      <c r="L955" s="31"/>
      <c r="M955" s="31"/>
      <c r="N955" s="26"/>
      <c r="O955" s="26"/>
      <c r="P955" s="26"/>
      <c r="Q955" s="28"/>
    </row>
    <row r="956" spans="1:17">
      <c r="A956" t="str">
        <f t="shared" si="28"/>
        <v/>
      </c>
      <c r="B956" t="str">
        <f t="shared" si="29"/>
        <v/>
      </c>
      <c r="D956" s="27"/>
      <c r="E956" s="26"/>
      <c r="F956" s="26"/>
      <c r="G956" s="30"/>
      <c r="H956" s="30"/>
      <c r="I956" s="30"/>
      <c r="J956" s="31"/>
      <c r="K956" s="31"/>
      <c r="L956" s="31"/>
      <c r="M956" s="31"/>
      <c r="N956" s="26"/>
      <c r="O956" s="26"/>
      <c r="P956" s="26"/>
      <c r="Q956" s="28"/>
    </row>
    <row r="957" spans="1:17">
      <c r="A957" t="str">
        <f t="shared" si="28"/>
        <v/>
      </c>
      <c r="B957" t="str">
        <f t="shared" si="29"/>
        <v/>
      </c>
      <c r="D957" s="27"/>
      <c r="E957" s="26"/>
      <c r="F957" s="26"/>
      <c r="G957" s="30"/>
      <c r="H957" s="30"/>
      <c r="I957" s="30"/>
      <c r="J957" s="31"/>
      <c r="K957" s="31"/>
      <c r="L957" s="31"/>
      <c r="M957" s="31"/>
      <c r="N957" s="26"/>
      <c r="O957" s="26"/>
      <c r="P957" s="26"/>
      <c r="Q957" s="28"/>
    </row>
    <row r="958" spans="1:17">
      <c r="A958" t="str">
        <f t="shared" si="28"/>
        <v/>
      </c>
      <c r="B958" t="str">
        <f t="shared" si="29"/>
        <v/>
      </c>
      <c r="D958" s="27"/>
      <c r="E958" s="26"/>
      <c r="F958" s="26"/>
      <c r="G958" s="30"/>
      <c r="H958" s="30"/>
      <c r="I958" s="30"/>
      <c r="J958" s="31"/>
      <c r="K958" s="31"/>
      <c r="L958" s="31"/>
      <c r="M958" s="31"/>
      <c r="N958" s="26"/>
      <c r="O958" s="26"/>
      <c r="P958" s="26"/>
      <c r="Q958" s="28"/>
    </row>
    <row r="959" spans="1:17">
      <c r="A959" t="str">
        <f t="shared" si="28"/>
        <v/>
      </c>
      <c r="B959" t="str">
        <f t="shared" si="29"/>
        <v/>
      </c>
      <c r="D959" s="27"/>
      <c r="E959" s="26"/>
      <c r="F959" s="26"/>
      <c r="G959" s="30"/>
      <c r="H959" s="30"/>
      <c r="I959" s="30"/>
      <c r="J959" s="31"/>
      <c r="K959" s="31"/>
      <c r="L959" s="31"/>
      <c r="M959" s="31"/>
      <c r="N959" s="26"/>
      <c r="O959" s="26"/>
      <c r="P959" s="26"/>
      <c r="Q959" s="28"/>
    </row>
    <row r="960" spans="1:17">
      <c r="A960" t="str">
        <f t="shared" si="28"/>
        <v/>
      </c>
      <c r="B960" t="str">
        <f t="shared" si="29"/>
        <v/>
      </c>
      <c r="D960" s="27"/>
      <c r="E960" s="26"/>
      <c r="F960" s="26"/>
      <c r="G960" s="30"/>
      <c r="H960" s="30"/>
      <c r="I960" s="30"/>
      <c r="J960" s="31"/>
      <c r="K960" s="31"/>
      <c r="L960" s="31"/>
      <c r="M960" s="31"/>
      <c r="N960" s="26"/>
      <c r="O960" s="26"/>
      <c r="P960" s="26"/>
      <c r="Q960" s="28"/>
    </row>
    <row r="961" spans="1:17">
      <c r="A961" t="str">
        <f t="shared" si="28"/>
        <v/>
      </c>
      <c r="B961" t="str">
        <f t="shared" si="29"/>
        <v/>
      </c>
      <c r="D961" s="27"/>
      <c r="E961" s="26"/>
      <c r="F961" s="26"/>
      <c r="G961" s="30"/>
      <c r="H961" s="30"/>
      <c r="I961" s="30"/>
      <c r="J961" s="31"/>
      <c r="K961" s="31"/>
      <c r="L961" s="31"/>
      <c r="M961" s="31"/>
      <c r="N961" s="26"/>
      <c r="O961" s="26"/>
      <c r="P961" s="26"/>
      <c r="Q961" s="28"/>
    </row>
    <row r="962" spans="1:17">
      <c r="A962" t="str">
        <f t="shared" si="28"/>
        <v/>
      </c>
      <c r="B962" t="str">
        <f t="shared" si="29"/>
        <v/>
      </c>
      <c r="D962" s="27"/>
      <c r="E962" s="26"/>
      <c r="F962" s="26"/>
      <c r="G962" s="30"/>
      <c r="H962" s="30"/>
      <c r="I962" s="30"/>
      <c r="J962" s="31"/>
      <c r="K962" s="31"/>
      <c r="L962" s="31"/>
      <c r="M962" s="31"/>
      <c r="N962" s="26"/>
      <c r="O962" s="26"/>
      <c r="P962" s="26"/>
      <c r="Q962" s="28"/>
    </row>
    <row r="963" spans="1:17">
      <c r="A963" t="str">
        <f t="shared" si="28"/>
        <v/>
      </c>
      <c r="B963" t="str">
        <f t="shared" si="29"/>
        <v/>
      </c>
      <c r="D963" s="27"/>
      <c r="E963" s="26"/>
      <c r="F963" s="26"/>
      <c r="G963" s="30"/>
      <c r="H963" s="30"/>
      <c r="I963" s="30"/>
      <c r="J963" s="31"/>
      <c r="K963" s="31"/>
      <c r="L963" s="31"/>
      <c r="M963" s="31"/>
      <c r="N963" s="26"/>
      <c r="O963" s="26"/>
      <c r="P963" s="26"/>
      <c r="Q963" s="28"/>
    </row>
    <row r="964" spans="1:17">
      <c r="A964" t="str">
        <f t="shared" si="28"/>
        <v/>
      </c>
      <c r="B964" t="str">
        <f t="shared" si="29"/>
        <v/>
      </c>
      <c r="D964" s="27"/>
      <c r="E964" s="26"/>
      <c r="F964" s="26"/>
      <c r="G964" s="30"/>
      <c r="H964" s="30"/>
      <c r="I964" s="30"/>
      <c r="J964" s="31"/>
      <c r="K964" s="31"/>
      <c r="L964" s="31"/>
      <c r="M964" s="31"/>
      <c r="N964" s="26"/>
      <c r="O964" s="26"/>
      <c r="P964" s="26"/>
      <c r="Q964" s="28"/>
    </row>
    <row r="965" spans="1:17">
      <c r="A965" t="str">
        <f t="shared" si="28"/>
        <v/>
      </c>
      <c r="B965" t="str">
        <f t="shared" si="29"/>
        <v/>
      </c>
      <c r="D965" s="27"/>
      <c r="E965" s="26"/>
      <c r="F965" s="26"/>
      <c r="G965" s="30"/>
      <c r="H965" s="30"/>
      <c r="I965" s="30"/>
      <c r="J965" s="31"/>
      <c r="K965" s="31"/>
      <c r="L965" s="31"/>
      <c r="M965" s="31"/>
      <c r="N965" s="26"/>
      <c r="O965" s="26"/>
      <c r="P965" s="26"/>
      <c r="Q965" s="28"/>
    </row>
    <row r="966" spans="1:17">
      <c r="A966" t="str">
        <f t="shared" si="28"/>
        <v/>
      </c>
      <c r="B966" t="str">
        <f t="shared" si="29"/>
        <v/>
      </c>
      <c r="D966" s="27"/>
      <c r="E966" s="26"/>
      <c r="F966" s="26"/>
      <c r="G966" s="30"/>
      <c r="H966" s="30"/>
      <c r="I966" s="30"/>
      <c r="J966" s="31"/>
      <c r="K966" s="31"/>
      <c r="L966" s="31"/>
      <c r="M966" s="31"/>
      <c r="N966" s="26"/>
      <c r="O966" s="26"/>
      <c r="P966" s="26"/>
      <c r="Q966" s="28"/>
    </row>
    <row r="967" spans="1:17">
      <c r="A967" t="str">
        <f t="shared" si="28"/>
        <v/>
      </c>
      <c r="B967" t="str">
        <f t="shared" si="29"/>
        <v/>
      </c>
      <c r="D967" s="27"/>
      <c r="E967" s="26"/>
      <c r="F967" s="26"/>
      <c r="G967" s="30"/>
      <c r="H967" s="30"/>
      <c r="I967" s="30"/>
      <c r="J967" s="31"/>
      <c r="K967" s="31"/>
      <c r="L967" s="31"/>
      <c r="M967" s="31"/>
      <c r="N967" s="26"/>
      <c r="O967" s="26"/>
      <c r="P967" s="26"/>
      <c r="Q967" s="28"/>
    </row>
    <row r="968" spans="1:17">
      <c r="A968" t="str">
        <f t="shared" si="28"/>
        <v/>
      </c>
      <c r="B968" t="str">
        <f t="shared" si="29"/>
        <v/>
      </c>
      <c r="D968" s="27"/>
      <c r="E968" s="26"/>
      <c r="F968" s="26"/>
      <c r="G968" s="30"/>
      <c r="H968" s="30"/>
      <c r="I968" s="30"/>
      <c r="J968" s="31"/>
      <c r="K968" s="31"/>
      <c r="L968" s="31"/>
      <c r="M968" s="31"/>
      <c r="N968" s="26"/>
      <c r="O968" s="26"/>
      <c r="P968" s="26"/>
      <c r="Q968" s="28"/>
    </row>
    <row r="969" spans="1:17">
      <c r="A969" t="str">
        <f t="shared" si="28"/>
        <v/>
      </c>
      <c r="B969" t="str">
        <f t="shared" si="29"/>
        <v/>
      </c>
      <c r="D969" s="27"/>
      <c r="E969" s="26"/>
      <c r="F969" s="26"/>
      <c r="G969" s="30"/>
      <c r="H969" s="30"/>
      <c r="I969" s="30"/>
      <c r="J969" s="31"/>
      <c r="K969" s="31"/>
      <c r="L969" s="31"/>
      <c r="M969" s="31"/>
      <c r="N969" s="26"/>
      <c r="O969" s="26"/>
      <c r="P969" s="26"/>
      <c r="Q969" s="28"/>
    </row>
    <row r="970" spans="1:17">
      <c r="A970" t="str">
        <f t="shared" si="28"/>
        <v/>
      </c>
      <c r="B970" t="str">
        <f t="shared" si="29"/>
        <v/>
      </c>
      <c r="D970" s="27"/>
      <c r="E970" s="26"/>
      <c r="F970" s="26"/>
      <c r="G970" s="30"/>
      <c r="H970" s="30"/>
      <c r="I970" s="30"/>
      <c r="J970" s="31"/>
      <c r="K970" s="31"/>
      <c r="L970" s="31"/>
      <c r="M970" s="31"/>
      <c r="N970" s="26"/>
      <c r="O970" s="26"/>
      <c r="P970" s="26"/>
      <c r="Q970" s="28"/>
    </row>
    <row r="971" spans="1:17">
      <c r="A971" t="str">
        <f t="shared" si="28"/>
        <v/>
      </c>
      <c r="B971" t="str">
        <f t="shared" si="29"/>
        <v/>
      </c>
      <c r="D971" s="27"/>
      <c r="E971" s="26"/>
      <c r="F971" s="26"/>
      <c r="G971" s="30"/>
      <c r="H971" s="30"/>
      <c r="I971" s="30"/>
      <c r="J971" s="31"/>
      <c r="K971" s="31"/>
      <c r="L971" s="31"/>
      <c r="M971" s="31"/>
      <c r="N971" s="26"/>
      <c r="O971" s="26"/>
      <c r="P971" s="26"/>
      <c r="Q971" s="28"/>
    </row>
    <row r="972" spans="1:17">
      <c r="A972" t="str">
        <f t="shared" si="28"/>
        <v/>
      </c>
      <c r="B972" t="str">
        <f t="shared" si="29"/>
        <v/>
      </c>
      <c r="D972" s="27"/>
      <c r="E972" s="26"/>
      <c r="F972" s="26"/>
      <c r="G972" s="30"/>
      <c r="H972" s="30"/>
      <c r="I972" s="30"/>
      <c r="J972" s="31"/>
      <c r="K972" s="31"/>
      <c r="L972" s="31"/>
      <c r="M972" s="31"/>
      <c r="N972" s="26"/>
      <c r="O972" s="26"/>
      <c r="P972" s="26"/>
      <c r="Q972" s="28"/>
    </row>
    <row r="973" spans="1:17">
      <c r="A973" t="str">
        <f t="shared" si="28"/>
        <v/>
      </c>
      <c r="B973" t="str">
        <f t="shared" si="29"/>
        <v/>
      </c>
      <c r="D973" s="27"/>
      <c r="E973" s="26"/>
      <c r="F973" s="26"/>
      <c r="G973" s="30"/>
      <c r="H973" s="30"/>
      <c r="I973" s="30"/>
      <c r="J973" s="31"/>
      <c r="K973" s="31"/>
      <c r="L973" s="31"/>
      <c r="M973" s="31"/>
      <c r="N973" s="26"/>
      <c r="O973" s="26"/>
      <c r="P973" s="26"/>
      <c r="Q973" s="28"/>
    </row>
    <row r="974" spans="1:17">
      <c r="A974" t="str">
        <f t="shared" ref="A974:A1000" si="30">IF($J974=0,"",H974)</f>
        <v/>
      </c>
      <c r="B974" t="str">
        <f t="shared" ref="B974:B1000" si="31">IF($J974=0,"",I974)</f>
        <v/>
      </c>
      <c r="D974" s="27"/>
      <c r="E974" s="26"/>
      <c r="F974" s="26"/>
      <c r="G974" s="30"/>
      <c r="H974" s="30"/>
      <c r="I974" s="30"/>
      <c r="J974" s="31"/>
      <c r="K974" s="31"/>
      <c r="L974" s="31"/>
      <c r="M974" s="31"/>
      <c r="N974" s="26"/>
      <c r="O974" s="26"/>
      <c r="P974" s="26"/>
      <c r="Q974" s="28"/>
    </row>
    <row r="975" spans="1:17">
      <c r="A975" t="str">
        <f t="shared" si="30"/>
        <v/>
      </c>
      <c r="B975" t="str">
        <f t="shared" si="31"/>
        <v/>
      </c>
      <c r="D975" s="27"/>
      <c r="E975" s="26"/>
      <c r="F975" s="26"/>
      <c r="G975" s="30"/>
      <c r="H975" s="30"/>
      <c r="I975" s="30"/>
      <c r="J975" s="31"/>
      <c r="K975" s="31"/>
      <c r="L975" s="31"/>
      <c r="M975" s="31"/>
      <c r="N975" s="26"/>
      <c r="O975" s="26"/>
      <c r="P975" s="26"/>
      <c r="Q975" s="28"/>
    </row>
    <row r="976" spans="1:17">
      <c r="A976" t="str">
        <f t="shared" si="30"/>
        <v/>
      </c>
      <c r="B976" t="str">
        <f t="shared" si="31"/>
        <v/>
      </c>
      <c r="D976" s="27"/>
      <c r="E976" s="26"/>
      <c r="F976" s="26"/>
      <c r="G976" s="30"/>
      <c r="H976" s="30"/>
      <c r="I976" s="30"/>
      <c r="J976" s="31"/>
      <c r="K976" s="31"/>
      <c r="L976" s="31"/>
      <c r="M976" s="31"/>
      <c r="N976" s="26"/>
      <c r="O976" s="26"/>
      <c r="P976" s="26"/>
      <c r="Q976" s="28"/>
    </row>
    <row r="977" spans="1:17">
      <c r="A977" t="str">
        <f t="shared" si="30"/>
        <v/>
      </c>
      <c r="B977" t="str">
        <f t="shared" si="31"/>
        <v/>
      </c>
      <c r="D977" s="27"/>
      <c r="E977" s="26"/>
      <c r="F977" s="26"/>
      <c r="G977" s="30"/>
      <c r="H977" s="30"/>
      <c r="I977" s="30"/>
      <c r="J977" s="31"/>
      <c r="K977" s="31"/>
      <c r="L977" s="31"/>
      <c r="M977" s="31"/>
      <c r="N977" s="26"/>
      <c r="O977" s="26"/>
      <c r="P977" s="26"/>
      <c r="Q977" s="28"/>
    </row>
    <row r="978" spans="1:17">
      <c r="A978" t="str">
        <f t="shared" si="30"/>
        <v/>
      </c>
      <c r="B978" t="str">
        <f t="shared" si="31"/>
        <v/>
      </c>
      <c r="D978" s="27"/>
      <c r="E978" s="26"/>
      <c r="F978" s="26"/>
      <c r="G978" s="30"/>
      <c r="H978" s="30"/>
      <c r="I978" s="30"/>
      <c r="J978" s="31"/>
      <c r="K978" s="31"/>
      <c r="L978" s="31"/>
      <c r="M978" s="31"/>
      <c r="N978" s="26"/>
      <c r="O978" s="26"/>
      <c r="P978" s="26"/>
      <c r="Q978" s="28"/>
    </row>
    <row r="979" spans="1:17">
      <c r="A979" t="str">
        <f t="shared" si="30"/>
        <v/>
      </c>
      <c r="B979" t="str">
        <f t="shared" si="31"/>
        <v/>
      </c>
      <c r="D979" s="27"/>
      <c r="E979" s="26"/>
      <c r="F979" s="26"/>
      <c r="G979" s="30"/>
      <c r="H979" s="30"/>
      <c r="I979" s="30"/>
      <c r="J979" s="31"/>
      <c r="K979" s="31"/>
      <c r="L979" s="31"/>
      <c r="M979" s="31"/>
      <c r="N979" s="26"/>
      <c r="O979" s="26"/>
      <c r="P979" s="26"/>
      <c r="Q979" s="28"/>
    </row>
    <row r="980" spans="1:17">
      <c r="A980" t="str">
        <f t="shared" si="30"/>
        <v/>
      </c>
      <c r="B980" t="str">
        <f t="shared" si="31"/>
        <v/>
      </c>
      <c r="D980" s="27"/>
      <c r="E980" s="26"/>
      <c r="F980" s="26"/>
      <c r="G980" s="30"/>
      <c r="H980" s="30"/>
      <c r="I980" s="30"/>
      <c r="J980" s="31"/>
      <c r="K980" s="31"/>
      <c r="L980" s="31"/>
      <c r="M980" s="31"/>
      <c r="N980" s="26"/>
      <c r="O980" s="26"/>
      <c r="P980" s="26"/>
      <c r="Q980" s="28"/>
    </row>
    <row r="981" spans="1:17">
      <c r="A981" t="str">
        <f t="shared" si="30"/>
        <v/>
      </c>
      <c r="B981" t="str">
        <f t="shared" si="31"/>
        <v/>
      </c>
      <c r="D981" s="27"/>
      <c r="E981" s="26"/>
      <c r="F981" s="26"/>
      <c r="G981" s="30"/>
      <c r="H981" s="30"/>
      <c r="I981" s="30"/>
      <c r="J981" s="31"/>
      <c r="K981" s="31"/>
      <c r="L981" s="31"/>
      <c r="M981" s="31"/>
      <c r="N981" s="26"/>
      <c r="O981" s="26"/>
      <c r="P981" s="26"/>
      <c r="Q981" s="28"/>
    </row>
    <row r="982" spans="1:17">
      <c r="A982" t="str">
        <f t="shared" si="30"/>
        <v/>
      </c>
      <c r="B982" t="str">
        <f t="shared" si="31"/>
        <v/>
      </c>
      <c r="D982" s="27"/>
      <c r="E982" s="26"/>
      <c r="F982" s="26"/>
      <c r="G982" s="30"/>
      <c r="H982" s="30"/>
      <c r="I982" s="30"/>
      <c r="J982" s="31"/>
      <c r="K982" s="31"/>
      <c r="L982" s="31"/>
      <c r="M982" s="31"/>
      <c r="N982" s="26"/>
      <c r="O982" s="26"/>
      <c r="P982" s="26"/>
      <c r="Q982" s="28"/>
    </row>
    <row r="983" spans="1:17">
      <c r="A983" t="str">
        <f t="shared" si="30"/>
        <v/>
      </c>
      <c r="B983" t="str">
        <f t="shared" si="31"/>
        <v/>
      </c>
      <c r="D983" s="27"/>
      <c r="E983" s="26"/>
      <c r="F983" s="26"/>
      <c r="G983" s="30"/>
      <c r="H983" s="30"/>
      <c r="I983" s="30"/>
      <c r="J983" s="31"/>
      <c r="K983" s="31"/>
      <c r="L983" s="31"/>
      <c r="M983" s="31"/>
      <c r="N983" s="26"/>
      <c r="O983" s="26"/>
      <c r="P983" s="26"/>
      <c r="Q983" s="28"/>
    </row>
    <row r="984" spans="1:17">
      <c r="A984" t="str">
        <f t="shared" si="30"/>
        <v/>
      </c>
      <c r="B984" t="str">
        <f t="shared" si="31"/>
        <v/>
      </c>
      <c r="D984" s="27"/>
      <c r="E984" s="26"/>
      <c r="F984" s="26"/>
      <c r="G984" s="30"/>
      <c r="H984" s="30"/>
      <c r="I984" s="30"/>
      <c r="J984" s="31"/>
      <c r="K984" s="31"/>
      <c r="L984" s="31"/>
      <c r="M984" s="31"/>
      <c r="N984" s="26"/>
      <c r="O984" s="26"/>
      <c r="P984" s="26"/>
      <c r="Q984" s="28"/>
    </row>
    <row r="985" spans="1:17">
      <c r="A985" t="str">
        <f t="shared" si="30"/>
        <v/>
      </c>
      <c r="B985" t="str">
        <f t="shared" si="31"/>
        <v/>
      </c>
      <c r="D985" s="27"/>
      <c r="E985" s="26"/>
      <c r="F985" s="26"/>
      <c r="G985" s="30"/>
      <c r="H985" s="30"/>
      <c r="I985" s="30"/>
      <c r="J985" s="31"/>
      <c r="K985" s="31"/>
      <c r="L985" s="31"/>
      <c r="M985" s="31"/>
      <c r="N985" s="26"/>
      <c r="O985" s="26"/>
      <c r="P985" s="26"/>
      <c r="Q985" s="28"/>
    </row>
    <row r="986" spans="1:17">
      <c r="A986" t="str">
        <f t="shared" si="30"/>
        <v/>
      </c>
      <c r="B986" t="str">
        <f t="shared" si="31"/>
        <v/>
      </c>
      <c r="D986" s="27"/>
      <c r="E986" s="26"/>
      <c r="F986" s="26"/>
      <c r="G986" s="30"/>
      <c r="H986" s="30"/>
      <c r="I986" s="30"/>
      <c r="J986" s="31"/>
      <c r="K986" s="31"/>
      <c r="L986" s="31"/>
      <c r="M986" s="31"/>
      <c r="N986" s="26"/>
      <c r="O986" s="26"/>
      <c r="P986" s="26"/>
      <c r="Q986" s="28"/>
    </row>
    <row r="987" spans="1:17">
      <c r="A987" t="str">
        <f t="shared" si="30"/>
        <v/>
      </c>
      <c r="B987" t="str">
        <f t="shared" si="31"/>
        <v/>
      </c>
      <c r="D987" s="27"/>
      <c r="E987" s="26"/>
      <c r="F987" s="26"/>
      <c r="G987" s="30"/>
      <c r="H987" s="30"/>
      <c r="I987" s="30"/>
      <c r="J987" s="31"/>
      <c r="K987" s="31"/>
      <c r="L987" s="31"/>
      <c r="M987" s="31"/>
      <c r="N987" s="26"/>
      <c r="O987" s="26"/>
      <c r="P987" s="26"/>
      <c r="Q987" s="28"/>
    </row>
    <row r="988" spans="1:17">
      <c r="A988" t="str">
        <f t="shared" si="30"/>
        <v/>
      </c>
      <c r="B988" t="str">
        <f t="shared" si="31"/>
        <v/>
      </c>
      <c r="D988" s="27"/>
      <c r="E988" s="26"/>
      <c r="F988" s="26"/>
      <c r="G988" s="30"/>
      <c r="H988" s="30"/>
      <c r="I988" s="30"/>
      <c r="J988" s="31"/>
      <c r="K988" s="31"/>
      <c r="L988" s="31"/>
      <c r="M988" s="31"/>
      <c r="N988" s="26"/>
      <c r="O988" s="26"/>
      <c r="P988" s="26"/>
      <c r="Q988" s="28"/>
    </row>
    <row r="989" spans="1:17">
      <c r="A989" t="str">
        <f t="shared" si="30"/>
        <v/>
      </c>
      <c r="B989" t="str">
        <f t="shared" si="31"/>
        <v/>
      </c>
      <c r="D989" s="27"/>
      <c r="E989" s="26"/>
      <c r="F989" s="26"/>
      <c r="G989" s="30"/>
      <c r="H989" s="30"/>
      <c r="I989" s="30"/>
      <c r="J989" s="31"/>
      <c r="K989" s="31"/>
      <c r="L989" s="31"/>
      <c r="M989" s="31"/>
      <c r="N989" s="26"/>
      <c r="O989" s="26"/>
      <c r="P989" s="26"/>
      <c r="Q989" s="28"/>
    </row>
    <row r="990" spans="1:17">
      <c r="A990" t="str">
        <f t="shared" si="30"/>
        <v/>
      </c>
      <c r="B990" t="str">
        <f t="shared" si="31"/>
        <v/>
      </c>
      <c r="D990" s="27"/>
      <c r="E990" s="26"/>
      <c r="F990" s="26"/>
      <c r="G990" s="30"/>
      <c r="H990" s="30"/>
      <c r="I990" s="30"/>
      <c r="J990" s="31"/>
      <c r="K990" s="31"/>
      <c r="L990" s="31"/>
      <c r="M990" s="31"/>
      <c r="N990" s="26"/>
      <c r="O990" s="26"/>
      <c r="P990" s="26"/>
      <c r="Q990" s="28"/>
    </row>
    <row r="991" spans="1:17">
      <c r="A991" t="str">
        <f t="shared" si="30"/>
        <v/>
      </c>
      <c r="B991" t="str">
        <f t="shared" si="31"/>
        <v/>
      </c>
      <c r="D991" s="27"/>
      <c r="E991" s="26"/>
      <c r="F991" s="26"/>
      <c r="G991" s="30"/>
      <c r="H991" s="30"/>
      <c r="I991" s="30"/>
      <c r="J991" s="31"/>
      <c r="K991" s="31"/>
      <c r="L991" s="31"/>
      <c r="M991" s="31"/>
      <c r="N991" s="26"/>
      <c r="O991" s="26"/>
      <c r="P991" s="26"/>
      <c r="Q991" s="28"/>
    </row>
    <row r="992" spans="1:17">
      <c r="A992" t="str">
        <f t="shared" si="30"/>
        <v/>
      </c>
      <c r="B992" t="str">
        <f t="shared" si="31"/>
        <v/>
      </c>
      <c r="D992" s="27"/>
      <c r="E992" s="26"/>
      <c r="F992" s="26"/>
      <c r="G992" s="30"/>
      <c r="H992" s="30"/>
      <c r="I992" s="30"/>
      <c r="J992" s="31"/>
      <c r="K992" s="31"/>
      <c r="L992" s="31"/>
      <c r="M992" s="31"/>
      <c r="N992" s="26"/>
      <c r="O992" s="26"/>
      <c r="P992" s="26"/>
      <c r="Q992" s="28"/>
    </row>
    <row r="993" spans="1:17">
      <c r="A993" t="str">
        <f t="shared" si="30"/>
        <v/>
      </c>
      <c r="B993" t="str">
        <f t="shared" si="31"/>
        <v/>
      </c>
      <c r="D993" s="27"/>
      <c r="E993" s="26"/>
      <c r="F993" s="26"/>
      <c r="G993" s="30"/>
      <c r="H993" s="30"/>
      <c r="I993" s="30"/>
      <c r="J993" s="31"/>
      <c r="K993" s="31"/>
      <c r="L993" s="31"/>
      <c r="M993" s="31"/>
      <c r="N993" s="26"/>
      <c r="O993" s="26"/>
      <c r="P993" s="26"/>
      <c r="Q993" s="28"/>
    </row>
    <row r="994" spans="1:17">
      <c r="A994" t="str">
        <f t="shared" si="30"/>
        <v/>
      </c>
      <c r="B994" t="str">
        <f t="shared" si="31"/>
        <v/>
      </c>
      <c r="D994" s="27"/>
      <c r="E994" s="26"/>
      <c r="F994" s="26"/>
      <c r="G994" s="30"/>
      <c r="H994" s="30"/>
      <c r="I994" s="30"/>
      <c r="J994" s="31"/>
      <c r="K994" s="31"/>
      <c r="L994" s="31"/>
      <c r="M994" s="31"/>
      <c r="N994" s="26"/>
      <c r="O994" s="26"/>
      <c r="P994" s="26"/>
      <c r="Q994" s="28"/>
    </row>
    <row r="995" spans="1:17">
      <c r="A995" t="str">
        <f t="shared" si="30"/>
        <v/>
      </c>
      <c r="B995" t="str">
        <f t="shared" si="31"/>
        <v/>
      </c>
      <c r="D995" s="27"/>
      <c r="E995" s="26"/>
      <c r="F995" s="26"/>
      <c r="G995" s="30"/>
      <c r="H995" s="30"/>
      <c r="I995" s="30"/>
      <c r="J995" s="31"/>
      <c r="K995" s="31"/>
      <c r="L995" s="31"/>
      <c r="M995" s="31"/>
      <c r="N995" s="26"/>
      <c r="O995" s="26"/>
      <c r="P995" s="26"/>
      <c r="Q995" s="28"/>
    </row>
    <row r="996" spans="1:17">
      <c r="A996" t="str">
        <f t="shared" si="30"/>
        <v/>
      </c>
      <c r="B996" t="str">
        <f t="shared" si="31"/>
        <v/>
      </c>
      <c r="D996" s="27"/>
      <c r="E996" s="26"/>
      <c r="F996" s="26"/>
      <c r="G996" s="30"/>
      <c r="H996" s="30"/>
      <c r="I996" s="30"/>
      <c r="J996" s="31"/>
      <c r="K996" s="31"/>
      <c r="L996" s="31"/>
      <c r="M996" s="31"/>
      <c r="N996" s="26"/>
      <c r="O996" s="26"/>
      <c r="P996" s="26"/>
      <c r="Q996" s="28"/>
    </row>
    <row r="997" spans="1:17">
      <c r="A997" t="str">
        <f t="shared" si="30"/>
        <v/>
      </c>
      <c r="B997" t="str">
        <f t="shared" si="31"/>
        <v/>
      </c>
      <c r="D997" s="27"/>
      <c r="E997" s="26"/>
      <c r="F997" s="26"/>
      <c r="G997" s="30"/>
      <c r="H997" s="30"/>
      <c r="I997" s="30"/>
      <c r="J997" s="31"/>
      <c r="K997" s="31"/>
      <c r="L997" s="31"/>
      <c r="M997" s="31"/>
      <c r="N997" s="26"/>
      <c r="O997" s="26"/>
      <c r="P997" s="26"/>
      <c r="Q997" s="28"/>
    </row>
    <row r="998" spans="1:17">
      <c r="A998" t="str">
        <f t="shared" si="30"/>
        <v/>
      </c>
      <c r="B998" t="str">
        <f t="shared" si="31"/>
        <v/>
      </c>
      <c r="D998" s="27"/>
      <c r="E998" s="26"/>
      <c r="F998" s="26"/>
      <c r="G998" s="30"/>
      <c r="H998" s="30"/>
      <c r="I998" s="30"/>
      <c r="J998" s="31"/>
      <c r="K998" s="31"/>
      <c r="L998" s="31"/>
      <c r="M998" s="31"/>
      <c r="N998" s="26"/>
      <c r="O998" s="26"/>
      <c r="P998" s="26"/>
      <c r="Q998" s="28"/>
    </row>
    <row r="999" spans="1:17">
      <c r="A999" t="str">
        <f t="shared" si="30"/>
        <v/>
      </c>
      <c r="B999" t="str">
        <f t="shared" si="31"/>
        <v/>
      </c>
      <c r="D999" s="27"/>
      <c r="E999" s="26"/>
      <c r="F999" s="26"/>
      <c r="G999" s="30"/>
      <c r="H999" s="30"/>
      <c r="I999" s="30"/>
      <c r="J999" s="31"/>
      <c r="K999" s="31"/>
      <c r="L999" s="31"/>
      <c r="M999" s="31"/>
      <c r="N999" s="26"/>
      <c r="O999" s="26"/>
      <c r="P999" s="26"/>
      <c r="Q999" s="28"/>
    </row>
    <row r="1000" spans="1:17" ht="15.75" thickBot="1">
      <c r="A1000" t="str">
        <f t="shared" si="30"/>
        <v/>
      </c>
      <c r="B1000" t="str">
        <f t="shared" si="31"/>
        <v/>
      </c>
      <c r="D1000" s="40"/>
      <c r="E1000" s="41"/>
      <c r="F1000" s="41"/>
      <c r="G1000" s="49"/>
      <c r="H1000" s="49"/>
      <c r="I1000" s="49"/>
      <c r="J1000" s="50"/>
      <c r="K1000" s="50"/>
      <c r="L1000" s="50"/>
      <c r="M1000" s="50"/>
      <c r="N1000" s="41"/>
      <c r="O1000" s="41"/>
      <c r="P1000" s="41"/>
      <c r="Q1000" s="42"/>
    </row>
    <row r="1001" spans="1:17">
      <c r="D1001" s="1"/>
    </row>
    <row r="1002" spans="1:17">
      <c r="D1002" s="1"/>
    </row>
    <row r="1003" spans="1:17">
      <c r="D1003" s="1"/>
    </row>
    <row r="1004" spans="1:17">
      <c r="D1004" s="1"/>
    </row>
    <row r="1005" spans="1:17">
      <c r="D1005" s="1"/>
    </row>
    <row r="1006" spans="1:17">
      <c r="D1006" s="1"/>
    </row>
    <row r="1007" spans="1:17">
      <c r="D1007" s="1"/>
    </row>
    <row r="1008" spans="1:17">
      <c r="D1008" s="1"/>
    </row>
    <row r="1009" spans="4:4">
      <c r="D1009" s="1"/>
    </row>
    <row r="1010" spans="4:4">
      <c r="D1010" s="1"/>
    </row>
    <row r="1011" spans="4:4">
      <c r="D1011" s="1"/>
    </row>
    <row r="1012" spans="4:4">
      <c r="D1012" s="1"/>
    </row>
    <row r="1013" spans="4:4">
      <c r="D1013" s="1"/>
    </row>
    <row r="1014" spans="4:4">
      <c r="D1014" s="1"/>
    </row>
    <row r="1015" spans="4:4">
      <c r="D1015" s="1"/>
    </row>
    <row r="1016" spans="4:4">
      <c r="D1016" s="1"/>
    </row>
    <row r="1017" spans="4:4">
      <c r="D1017" s="1"/>
    </row>
    <row r="1018" spans="4:4">
      <c r="D1018" s="1"/>
    </row>
    <row r="1019" spans="4:4">
      <c r="D1019" s="1"/>
    </row>
    <row r="1020" spans="4:4">
      <c r="D1020" s="1"/>
    </row>
    <row r="1021" spans="4:4">
      <c r="D1021" s="1"/>
    </row>
    <row r="1022" spans="4:4">
      <c r="D1022" s="1"/>
    </row>
    <row r="1023" spans="4:4">
      <c r="D1023" s="1"/>
    </row>
    <row r="1024" spans="4:4">
      <c r="D1024" s="1"/>
    </row>
    <row r="1025" spans="4:4">
      <c r="D1025" s="1"/>
    </row>
    <row r="1026" spans="4:4">
      <c r="D1026" s="1"/>
    </row>
    <row r="1027" spans="4:4">
      <c r="D1027" s="1"/>
    </row>
    <row r="1028" spans="4:4">
      <c r="D1028" s="1"/>
    </row>
    <row r="1029" spans="4:4">
      <c r="D1029" s="1"/>
    </row>
    <row r="1030" spans="4:4">
      <c r="D1030" s="1"/>
    </row>
    <row r="1031" spans="4:4">
      <c r="D1031" s="1"/>
    </row>
    <row r="1032" spans="4:4">
      <c r="D1032" s="1"/>
    </row>
    <row r="1033" spans="4:4">
      <c r="D1033" s="1"/>
    </row>
    <row r="1034" spans="4:4">
      <c r="D1034" s="1"/>
    </row>
    <row r="1035" spans="4:4">
      <c r="D1035" s="1"/>
    </row>
    <row r="1036" spans="4:4">
      <c r="D1036" s="1"/>
    </row>
    <row r="1037" spans="4:4">
      <c r="D1037" s="1"/>
    </row>
    <row r="1038" spans="4:4">
      <c r="D1038" s="1"/>
    </row>
    <row r="1039" spans="4:4">
      <c r="D1039" s="1"/>
    </row>
    <row r="1040" spans="4:4">
      <c r="D1040" s="1"/>
    </row>
    <row r="1041" spans="4:4">
      <c r="D1041" s="1"/>
    </row>
    <row r="1042" spans="4:4">
      <c r="D1042" s="1"/>
    </row>
    <row r="1043" spans="4:4">
      <c r="D1043" s="1"/>
    </row>
    <row r="1044" spans="4:4">
      <c r="D1044" s="1"/>
    </row>
    <row r="1045" spans="4:4">
      <c r="D1045" s="1"/>
    </row>
    <row r="1046" spans="4:4">
      <c r="D1046" s="1"/>
    </row>
    <row r="1047" spans="4:4">
      <c r="D1047" s="1"/>
    </row>
    <row r="1048" spans="4:4">
      <c r="D1048" s="1"/>
    </row>
    <row r="1049" spans="4:4">
      <c r="D1049" s="1"/>
    </row>
    <row r="1050" spans="4:4">
      <c r="D1050" s="1"/>
    </row>
    <row r="1051" spans="4:4">
      <c r="D1051" s="1"/>
    </row>
    <row r="1052" spans="4:4">
      <c r="D1052" s="1"/>
    </row>
    <row r="1053" spans="4:4">
      <c r="D1053" s="1"/>
    </row>
    <row r="1054" spans="4:4">
      <c r="D1054" s="1"/>
    </row>
    <row r="1055" spans="4:4">
      <c r="D1055" s="1"/>
    </row>
    <row r="1056" spans="4:4">
      <c r="D1056" s="1"/>
    </row>
    <row r="1057" spans="4:4">
      <c r="D1057" s="1"/>
    </row>
    <row r="1058" spans="4:4">
      <c r="D1058" s="1"/>
    </row>
    <row r="1059" spans="4:4">
      <c r="D1059" s="1"/>
    </row>
    <row r="1060" spans="4:4">
      <c r="D1060" s="1"/>
    </row>
    <row r="1061" spans="4:4">
      <c r="D1061" s="1"/>
    </row>
    <row r="1062" spans="4:4">
      <c r="D1062" s="1"/>
    </row>
    <row r="1063" spans="4:4">
      <c r="D1063" s="1"/>
    </row>
    <row r="1064" spans="4:4">
      <c r="D1064" s="1"/>
    </row>
    <row r="1065" spans="4:4">
      <c r="D1065" s="1"/>
    </row>
    <row r="1066" spans="4:4">
      <c r="D1066" s="1"/>
    </row>
    <row r="1067" spans="4:4">
      <c r="D1067" s="1"/>
    </row>
    <row r="1068" spans="4:4">
      <c r="D1068" s="1"/>
    </row>
    <row r="1069" spans="4:4">
      <c r="D1069" s="1"/>
    </row>
    <row r="1070" spans="4:4">
      <c r="D1070" s="1"/>
    </row>
    <row r="1071" spans="4:4">
      <c r="D1071" s="1"/>
    </row>
    <row r="1072" spans="4:4">
      <c r="D1072" s="1"/>
    </row>
    <row r="1073" spans="4:4">
      <c r="D1073" s="1"/>
    </row>
    <row r="1074" spans="4:4">
      <c r="D1074" s="1"/>
    </row>
    <row r="1075" spans="4:4">
      <c r="D1075" s="1"/>
    </row>
    <row r="1076" spans="4:4">
      <c r="D1076" s="1"/>
    </row>
    <row r="1077" spans="4:4">
      <c r="D1077" s="1"/>
    </row>
    <row r="1078" spans="4:4">
      <c r="D1078" s="1"/>
    </row>
    <row r="1079" spans="4:4">
      <c r="D1079" s="1"/>
    </row>
    <row r="1080" spans="4:4">
      <c r="D1080" s="1"/>
    </row>
    <row r="1081" spans="4:4">
      <c r="D1081" s="1"/>
    </row>
    <row r="1082" spans="4:4">
      <c r="D1082" s="1"/>
    </row>
    <row r="1083" spans="4:4">
      <c r="D1083" s="1"/>
    </row>
    <row r="1084" spans="4:4">
      <c r="D1084" s="1"/>
    </row>
    <row r="1085" spans="4:4">
      <c r="D1085" s="1"/>
    </row>
    <row r="1086" spans="4:4">
      <c r="D1086" s="1"/>
    </row>
    <row r="1087" spans="4:4">
      <c r="D1087" s="1"/>
    </row>
    <row r="1088" spans="4:4">
      <c r="D1088" s="1"/>
    </row>
    <row r="1089" spans="4:4">
      <c r="D1089" s="1"/>
    </row>
    <row r="1090" spans="4:4">
      <c r="D1090" s="1"/>
    </row>
    <row r="1091" spans="4:4">
      <c r="D1091" s="1"/>
    </row>
    <row r="1092" spans="4:4">
      <c r="D1092" s="1"/>
    </row>
    <row r="1093" spans="4:4">
      <c r="D1093" s="1"/>
    </row>
    <row r="1094" spans="4:4">
      <c r="D1094" s="1"/>
    </row>
    <row r="1095" spans="4:4">
      <c r="D1095" s="1"/>
    </row>
    <row r="1096" spans="4:4">
      <c r="D1096" s="1"/>
    </row>
    <row r="1097" spans="4:4">
      <c r="D1097" s="1"/>
    </row>
    <row r="1098" spans="4:4">
      <c r="D1098" s="1"/>
    </row>
    <row r="1099" spans="4:4">
      <c r="D1099" s="1"/>
    </row>
    <row r="1100" spans="4:4">
      <c r="D1100" s="1"/>
    </row>
    <row r="1101" spans="4:4">
      <c r="D1101" s="1"/>
    </row>
    <row r="1102" spans="4:4">
      <c r="D1102" s="1"/>
    </row>
    <row r="1103" spans="4:4">
      <c r="D1103" s="1"/>
    </row>
    <row r="1104" spans="4:4">
      <c r="D1104" s="1"/>
    </row>
    <row r="1105" spans="4:4">
      <c r="D1105" s="1"/>
    </row>
    <row r="1106" spans="4:4">
      <c r="D1106" s="1"/>
    </row>
    <row r="1107" spans="4:4">
      <c r="D1107" s="1"/>
    </row>
    <row r="1108" spans="4:4">
      <c r="D1108" s="1"/>
    </row>
    <row r="1109" spans="4:4">
      <c r="D1109" s="1"/>
    </row>
    <row r="1110" spans="4:4">
      <c r="D1110" s="1"/>
    </row>
    <row r="1111" spans="4:4">
      <c r="D1111" s="1"/>
    </row>
    <row r="1112" spans="4:4">
      <c r="D1112" s="1"/>
    </row>
    <row r="1113" spans="4:4">
      <c r="D1113" s="1"/>
    </row>
    <row r="1114" spans="4:4">
      <c r="D1114" s="1"/>
    </row>
    <row r="1115" spans="4:4">
      <c r="D1115" s="1"/>
    </row>
    <row r="1116" spans="4:4">
      <c r="D1116" s="1"/>
    </row>
    <row r="1117" spans="4:4">
      <c r="D1117" s="1"/>
    </row>
    <row r="1118" spans="4:4">
      <c r="D1118" s="1"/>
    </row>
    <row r="1119" spans="4:4">
      <c r="D1119" s="1"/>
    </row>
    <row r="1120" spans="4:4">
      <c r="D1120" s="1"/>
    </row>
    <row r="1121" spans="4:4">
      <c r="D1121" s="1"/>
    </row>
    <row r="1122" spans="4:4">
      <c r="D1122" s="1"/>
    </row>
    <row r="1123" spans="4:4">
      <c r="D1123" s="1"/>
    </row>
    <row r="1124" spans="4:4">
      <c r="D1124" s="1"/>
    </row>
    <row r="1125" spans="4:4">
      <c r="D1125" s="1"/>
    </row>
    <row r="1126" spans="4:4">
      <c r="D1126" s="1"/>
    </row>
    <row r="1127" spans="4:4">
      <c r="D1127" s="1"/>
    </row>
    <row r="1128" spans="4:4">
      <c r="D1128" s="1"/>
    </row>
    <row r="1129" spans="4:4">
      <c r="D1129" s="1"/>
    </row>
    <row r="1130" spans="4:4">
      <c r="D1130" s="1"/>
    </row>
    <row r="1131" spans="4:4">
      <c r="D1131" s="1"/>
    </row>
    <row r="1132" spans="4:4">
      <c r="D1132" s="1"/>
    </row>
    <row r="1133" spans="4:4">
      <c r="D1133" s="1"/>
    </row>
    <row r="1134" spans="4:4">
      <c r="D1134" s="1"/>
    </row>
    <row r="1135" spans="4:4">
      <c r="D1135" s="1"/>
    </row>
    <row r="1136" spans="4:4">
      <c r="D1136" s="1"/>
    </row>
    <row r="1137" spans="4:4">
      <c r="D1137" s="1"/>
    </row>
    <row r="1138" spans="4:4">
      <c r="D1138" s="1"/>
    </row>
    <row r="1139" spans="4:4">
      <c r="D1139" s="1"/>
    </row>
    <row r="1140" spans="4:4">
      <c r="D1140" s="1"/>
    </row>
    <row r="1141" spans="4:4">
      <c r="D1141" s="1"/>
    </row>
    <row r="1142" spans="4:4">
      <c r="D1142" s="1"/>
    </row>
    <row r="1143" spans="4:4">
      <c r="D1143" s="1"/>
    </row>
    <row r="1144" spans="4:4">
      <c r="D1144" s="1"/>
    </row>
    <row r="1145" spans="4:4">
      <c r="D1145" s="1"/>
    </row>
    <row r="1146" spans="4:4">
      <c r="D1146" s="1"/>
    </row>
    <row r="1147" spans="4:4">
      <c r="D1147" s="1"/>
    </row>
    <row r="1148" spans="4:4">
      <c r="D1148" s="1"/>
    </row>
    <row r="1149" spans="4:4">
      <c r="D1149" s="1"/>
    </row>
    <row r="1150" spans="4:4">
      <c r="D1150" s="1"/>
    </row>
    <row r="1151" spans="4:4">
      <c r="D1151" s="1"/>
    </row>
    <row r="1152" spans="4:4">
      <c r="D1152" s="1"/>
    </row>
    <row r="1153" spans="4:4">
      <c r="D1153" s="1"/>
    </row>
    <row r="1154" spans="4:4">
      <c r="D1154" s="1"/>
    </row>
    <row r="1155" spans="4:4">
      <c r="D1155" s="1"/>
    </row>
    <row r="1156" spans="4:4">
      <c r="D1156" s="1"/>
    </row>
    <row r="1157" spans="4:4">
      <c r="D1157" s="1"/>
    </row>
    <row r="1158" spans="4:4">
      <c r="D1158" s="1"/>
    </row>
    <row r="1159" spans="4:4">
      <c r="D1159" s="1"/>
    </row>
    <row r="1160" spans="4:4">
      <c r="D1160" s="1"/>
    </row>
    <row r="1161" spans="4:4">
      <c r="D1161" s="1"/>
    </row>
    <row r="1162" spans="4:4">
      <c r="D1162" s="1"/>
    </row>
    <row r="1163" spans="4:4">
      <c r="D1163" s="1"/>
    </row>
    <row r="1164" spans="4:4">
      <c r="D1164" s="1"/>
    </row>
    <row r="1165" spans="4:4">
      <c r="D1165" s="1"/>
    </row>
    <row r="1166" spans="4:4">
      <c r="D1166" s="1"/>
    </row>
    <row r="1167" spans="4:4">
      <c r="D1167" s="1"/>
    </row>
    <row r="1168" spans="4:4">
      <c r="D1168" s="1"/>
    </row>
    <row r="1169" spans="4:4">
      <c r="D1169" s="1"/>
    </row>
    <row r="1170" spans="4:4">
      <c r="D1170" s="1"/>
    </row>
    <row r="1171" spans="4:4">
      <c r="D1171" s="1"/>
    </row>
    <row r="1172" spans="4:4">
      <c r="D1172" s="1"/>
    </row>
    <row r="1173" spans="4:4">
      <c r="D1173" s="1"/>
    </row>
    <row r="1174" spans="4:4">
      <c r="D1174" s="1"/>
    </row>
    <row r="1175" spans="4:4">
      <c r="D1175" s="1"/>
    </row>
    <row r="1176" spans="4:4">
      <c r="D1176" s="1"/>
    </row>
    <row r="1177" spans="4:4">
      <c r="D1177" s="1"/>
    </row>
    <row r="1178" spans="4:4">
      <c r="D1178" s="1"/>
    </row>
    <row r="1179" spans="4:4">
      <c r="D1179" s="1"/>
    </row>
    <row r="1180" spans="4:4">
      <c r="D1180" s="1"/>
    </row>
    <row r="1181" spans="4:4">
      <c r="D1181" s="1"/>
    </row>
    <row r="1182" spans="4:4">
      <c r="D1182" s="1"/>
    </row>
    <row r="1183" spans="4:4">
      <c r="D1183" s="1"/>
    </row>
    <row r="1184" spans="4:4">
      <c r="D1184" s="1"/>
    </row>
    <row r="1185" spans="4:4">
      <c r="D1185" s="1"/>
    </row>
    <row r="1186" spans="4:4">
      <c r="D1186" s="1"/>
    </row>
    <row r="1187" spans="4:4">
      <c r="D1187" s="1"/>
    </row>
    <row r="1188" spans="4:4">
      <c r="D1188" s="1"/>
    </row>
    <row r="1189" spans="4:4">
      <c r="D1189" s="1"/>
    </row>
    <row r="1190" spans="4:4">
      <c r="D1190" s="1"/>
    </row>
    <row r="1191" spans="4:4">
      <c r="D1191" s="1"/>
    </row>
    <row r="1192" spans="4:4">
      <c r="D1192" s="1"/>
    </row>
    <row r="1193" spans="4:4">
      <c r="D1193" s="1"/>
    </row>
    <row r="1194" spans="4:4">
      <c r="D1194" s="1"/>
    </row>
    <row r="1195" spans="4:4">
      <c r="D1195" s="1"/>
    </row>
    <row r="1196" spans="4:4">
      <c r="D1196" s="1"/>
    </row>
    <row r="1197" spans="4:4">
      <c r="D1197" s="1"/>
    </row>
    <row r="1198" spans="4:4">
      <c r="D1198" s="1"/>
    </row>
    <row r="1199" spans="4:4">
      <c r="D1199" s="1"/>
    </row>
    <row r="1200" spans="4:4">
      <c r="D1200" s="1"/>
    </row>
    <row r="1201" spans="4:4">
      <c r="D1201" s="1"/>
    </row>
    <row r="1202" spans="4:4">
      <c r="D1202" s="1"/>
    </row>
    <row r="1203" spans="4:4">
      <c r="D1203" s="1"/>
    </row>
    <row r="1204" spans="4:4">
      <c r="D1204" s="1"/>
    </row>
    <row r="1205" spans="4:4">
      <c r="D1205" s="1"/>
    </row>
    <row r="1206" spans="4:4">
      <c r="D1206" s="1"/>
    </row>
    <row r="1207" spans="4:4">
      <c r="D1207" s="1"/>
    </row>
    <row r="1208" spans="4:4">
      <c r="D1208" s="1"/>
    </row>
    <row r="1209" spans="4:4">
      <c r="D1209" s="1"/>
    </row>
    <row r="1210" spans="4:4">
      <c r="D1210" s="1"/>
    </row>
    <row r="1211" spans="4:4">
      <c r="D1211" s="1"/>
    </row>
    <row r="1212" spans="4:4">
      <c r="D1212" s="1"/>
    </row>
    <row r="1213" spans="4:4">
      <c r="D1213" s="1"/>
    </row>
    <row r="1214" spans="4:4">
      <c r="D1214" s="1"/>
    </row>
    <row r="1215" spans="4:4">
      <c r="D1215" s="1"/>
    </row>
    <row r="1216" spans="4:4">
      <c r="D1216" s="1"/>
    </row>
    <row r="1217" spans="4:4">
      <c r="D1217" s="1"/>
    </row>
    <row r="1218" spans="4:4">
      <c r="D1218" s="1"/>
    </row>
    <row r="1219" spans="4:4">
      <c r="D1219" s="1"/>
    </row>
    <row r="1220" spans="4:4">
      <c r="D1220" s="1"/>
    </row>
    <row r="1221" spans="4:4">
      <c r="D1221" s="1"/>
    </row>
    <row r="1222" spans="4:4">
      <c r="D1222" s="1"/>
    </row>
    <row r="1223" spans="4:4">
      <c r="D1223" s="1"/>
    </row>
    <row r="1224" spans="4:4">
      <c r="D1224" s="1"/>
    </row>
    <row r="1225" spans="4:4">
      <c r="D1225" s="1"/>
    </row>
    <row r="1226" spans="4:4">
      <c r="D1226" s="1"/>
    </row>
    <row r="1227" spans="4:4">
      <c r="D1227" s="1"/>
    </row>
    <row r="1228" spans="4:4">
      <c r="D1228" s="1"/>
    </row>
    <row r="1229" spans="4:4">
      <c r="D1229" s="1"/>
    </row>
    <row r="1230" spans="4:4">
      <c r="D1230" s="1"/>
    </row>
    <row r="1231" spans="4:4">
      <c r="D1231" s="1"/>
    </row>
    <row r="1232" spans="4:4">
      <c r="D1232" s="1"/>
    </row>
    <row r="1233" spans="4:4">
      <c r="D1233" s="1"/>
    </row>
    <row r="1234" spans="4:4">
      <c r="D1234" s="1"/>
    </row>
    <row r="1235" spans="4:4">
      <c r="D1235" s="1"/>
    </row>
    <row r="1236" spans="4:4">
      <c r="D1236" s="1"/>
    </row>
    <row r="1237" spans="4:4">
      <c r="D1237" s="1"/>
    </row>
    <row r="1238" spans="4:4">
      <c r="D1238" s="1"/>
    </row>
    <row r="1239" spans="4:4">
      <c r="D1239" s="1"/>
    </row>
    <row r="1240" spans="4:4">
      <c r="D1240" s="1"/>
    </row>
    <row r="1241" spans="4:4">
      <c r="D1241" s="1"/>
    </row>
    <row r="1242" spans="4:4">
      <c r="D1242" s="1"/>
    </row>
    <row r="1243" spans="4:4">
      <c r="D1243" s="1"/>
    </row>
    <row r="1244" spans="4:4">
      <c r="D1244" s="1"/>
    </row>
    <row r="1245" spans="4:4">
      <c r="D1245" s="1"/>
    </row>
    <row r="1246" spans="4:4">
      <c r="D1246" s="1"/>
    </row>
    <row r="1247" spans="4:4">
      <c r="D1247" s="1"/>
    </row>
    <row r="1248" spans="4:4">
      <c r="D1248" s="1"/>
    </row>
    <row r="1249" spans="4:4">
      <c r="D1249" s="1"/>
    </row>
    <row r="1250" spans="4:4">
      <c r="D1250" s="1"/>
    </row>
    <row r="1251" spans="4:4">
      <c r="D1251" s="1"/>
    </row>
    <row r="1252" spans="4:4">
      <c r="D1252" s="1"/>
    </row>
    <row r="1253" spans="4:4">
      <c r="D1253" s="1"/>
    </row>
    <row r="1254" spans="4:4">
      <c r="D1254" s="1"/>
    </row>
    <row r="1255" spans="4:4">
      <c r="D1255" s="1"/>
    </row>
    <row r="1256" spans="4:4">
      <c r="D1256" s="1"/>
    </row>
    <row r="1257" spans="4:4">
      <c r="D1257" s="1"/>
    </row>
    <row r="1258" spans="4:4">
      <c r="D1258" s="1"/>
    </row>
    <row r="1259" spans="4:4">
      <c r="D1259" s="1"/>
    </row>
    <row r="1260" spans="4:4">
      <c r="D1260" s="1"/>
    </row>
    <row r="1261" spans="4:4">
      <c r="D1261" s="1"/>
    </row>
    <row r="1262" spans="4:4">
      <c r="D1262" s="1"/>
    </row>
    <row r="1263" spans="4:4">
      <c r="D1263" s="1"/>
    </row>
    <row r="1264" spans="4:4">
      <c r="D1264" s="1"/>
    </row>
    <row r="1265" spans="4:4">
      <c r="D1265" s="1"/>
    </row>
    <row r="1266" spans="4:4">
      <c r="D1266" s="1"/>
    </row>
    <row r="1267" spans="4:4">
      <c r="D1267" s="1"/>
    </row>
    <row r="1268" spans="4:4">
      <c r="D1268" s="1"/>
    </row>
    <row r="1269" spans="4:4">
      <c r="D1269" s="1"/>
    </row>
    <row r="1270" spans="4:4">
      <c r="D1270" s="1"/>
    </row>
    <row r="1271" spans="4:4">
      <c r="D1271" s="1"/>
    </row>
    <row r="1272" spans="4:4">
      <c r="D1272" s="1"/>
    </row>
    <row r="1273" spans="4:4">
      <c r="D1273" s="1"/>
    </row>
    <row r="1274" spans="4:4">
      <c r="D1274" s="1"/>
    </row>
    <row r="1275" spans="4:4">
      <c r="D1275" s="1"/>
    </row>
    <row r="1276" spans="4:4">
      <c r="D1276" s="1"/>
    </row>
    <row r="1277" spans="4:4">
      <c r="D1277" s="1"/>
    </row>
    <row r="1278" spans="4:4">
      <c r="D1278" s="1"/>
    </row>
    <row r="1279" spans="4:4">
      <c r="D1279" s="1"/>
    </row>
    <row r="1280" spans="4:4">
      <c r="D1280" s="1"/>
    </row>
    <row r="1281" spans="4:4">
      <c r="D1281" s="1"/>
    </row>
    <row r="1282" spans="4:4">
      <c r="D1282" s="1"/>
    </row>
    <row r="1283" spans="4:4">
      <c r="D1283" s="1"/>
    </row>
    <row r="1284" spans="4:4">
      <c r="D1284" s="1"/>
    </row>
    <row r="1285" spans="4:4">
      <c r="D1285" s="1"/>
    </row>
    <row r="1286" spans="4:4">
      <c r="D1286" s="1"/>
    </row>
    <row r="1287" spans="4:4">
      <c r="D1287" s="1"/>
    </row>
    <row r="1288" spans="4:4">
      <c r="D1288" s="1"/>
    </row>
    <row r="1289" spans="4:4">
      <c r="D1289" s="1"/>
    </row>
    <row r="1290" spans="4:4">
      <c r="D1290" s="1"/>
    </row>
    <row r="1291" spans="4:4">
      <c r="D1291" s="1"/>
    </row>
    <row r="1292" spans="4:4">
      <c r="D1292" s="1"/>
    </row>
    <row r="1293" spans="4:4">
      <c r="D1293" s="1"/>
    </row>
    <row r="1294" spans="4:4">
      <c r="D1294" s="1"/>
    </row>
    <row r="1295" spans="4:4">
      <c r="D1295" s="1"/>
    </row>
    <row r="1296" spans="4:4">
      <c r="D1296" s="1"/>
    </row>
    <row r="1297" spans="4:4">
      <c r="D1297" s="1"/>
    </row>
    <row r="1298" spans="4:4">
      <c r="D1298" s="1"/>
    </row>
    <row r="1299" spans="4:4">
      <c r="D1299" s="1"/>
    </row>
    <row r="1300" spans="4:4">
      <c r="D1300" s="1"/>
    </row>
    <row r="1301" spans="4:4">
      <c r="D1301" s="1"/>
    </row>
    <row r="1302" spans="4:4">
      <c r="D1302" s="1"/>
    </row>
    <row r="1303" spans="4:4">
      <c r="D1303" s="1"/>
    </row>
    <row r="1304" spans="4:4">
      <c r="D1304" s="1"/>
    </row>
    <row r="1305" spans="4:4">
      <c r="D1305" s="1"/>
    </row>
    <row r="1306" spans="4:4">
      <c r="D1306" s="1"/>
    </row>
    <row r="1307" spans="4:4">
      <c r="D1307" s="1"/>
    </row>
    <row r="1308" spans="4:4">
      <c r="D1308" s="1"/>
    </row>
    <row r="1309" spans="4:4">
      <c r="D1309" s="1"/>
    </row>
    <row r="1310" spans="4:4">
      <c r="D1310" s="1"/>
    </row>
    <row r="1311" spans="4:4">
      <c r="D1311" s="1"/>
    </row>
    <row r="1312" spans="4:4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4">
      <c r="D1473" s="1"/>
    </row>
    <row r="1474" spans="4:4">
      <c r="D1474" s="1"/>
    </row>
    <row r="1475" spans="4:4">
      <c r="D1475" s="1"/>
    </row>
    <row r="1476" spans="4:4">
      <c r="D1476" s="1"/>
    </row>
    <row r="1477" spans="4:4">
      <c r="D1477" s="1"/>
    </row>
    <row r="1478" spans="4:4">
      <c r="D1478" s="1"/>
    </row>
    <row r="1479" spans="4:4">
      <c r="D1479" s="1"/>
    </row>
    <row r="1480" spans="4:4">
      <c r="D1480" s="1"/>
    </row>
    <row r="1481" spans="4:4">
      <c r="D1481" s="1"/>
    </row>
    <row r="1482" spans="4:4">
      <c r="D1482" s="1"/>
    </row>
    <row r="1483" spans="4:4">
      <c r="D1483" s="1"/>
    </row>
    <row r="1484" spans="4:4">
      <c r="D1484" s="1"/>
    </row>
    <row r="1485" spans="4:4">
      <c r="D1485" s="1"/>
    </row>
    <row r="1486" spans="4:4">
      <c r="D1486" s="1"/>
    </row>
    <row r="1487" spans="4:4">
      <c r="D1487" s="1"/>
    </row>
    <row r="1488" spans="4:4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4">
      <c r="D1553" s="1"/>
    </row>
    <row r="1554" spans="4:4">
      <c r="D1554" s="1"/>
    </row>
    <row r="1555" spans="4:4">
      <c r="D1555" s="1"/>
    </row>
    <row r="1556" spans="4:4">
      <c r="D1556" s="1"/>
    </row>
    <row r="1557" spans="4:4">
      <c r="D1557" s="1"/>
    </row>
    <row r="1558" spans="4:4">
      <c r="D1558" s="1"/>
    </row>
    <row r="1559" spans="4:4">
      <c r="D1559" s="1"/>
    </row>
    <row r="1560" spans="4:4">
      <c r="D1560" s="1"/>
    </row>
    <row r="1561" spans="4:4">
      <c r="D1561" s="1"/>
    </row>
    <row r="1562" spans="4:4">
      <c r="D1562" s="1"/>
    </row>
    <row r="1563" spans="4:4">
      <c r="D1563" s="1"/>
    </row>
    <row r="1564" spans="4:4">
      <c r="D1564" s="1"/>
    </row>
    <row r="1565" spans="4:4">
      <c r="D1565" s="1"/>
    </row>
    <row r="1566" spans="4:4">
      <c r="D1566" s="1"/>
    </row>
    <row r="1567" spans="4:4">
      <c r="D1567" s="1"/>
    </row>
    <row r="1568" spans="4:4">
      <c r="D1568" s="1"/>
    </row>
    <row r="1569" spans="4:4">
      <c r="D1569" s="1"/>
    </row>
    <row r="1570" spans="4:4">
      <c r="D1570" s="1"/>
    </row>
    <row r="1571" spans="4:4">
      <c r="D1571" s="1"/>
    </row>
    <row r="1572" spans="4:4">
      <c r="D1572" s="1"/>
    </row>
    <row r="1573" spans="4:4">
      <c r="D1573" s="1"/>
    </row>
    <row r="1574" spans="4:4">
      <c r="D1574" s="1"/>
    </row>
    <row r="1575" spans="4:4">
      <c r="D1575" s="1"/>
    </row>
    <row r="1576" spans="4:4">
      <c r="D1576" s="1"/>
    </row>
    <row r="1577" spans="4:4">
      <c r="D1577" s="1"/>
    </row>
    <row r="1578" spans="4:4">
      <c r="D1578" s="1"/>
    </row>
    <row r="1579" spans="4:4">
      <c r="D1579" s="1"/>
    </row>
    <row r="1580" spans="4:4">
      <c r="D1580" s="1"/>
    </row>
    <row r="1581" spans="4:4">
      <c r="D1581" s="1"/>
    </row>
    <row r="1582" spans="4:4">
      <c r="D1582" s="1"/>
    </row>
    <row r="1583" spans="4:4">
      <c r="D1583" s="1"/>
    </row>
    <row r="1584" spans="4:4">
      <c r="D1584" s="1"/>
    </row>
    <row r="1585" spans="4:4">
      <c r="D1585" s="1"/>
    </row>
    <row r="1586" spans="4:4">
      <c r="D1586" s="1"/>
    </row>
    <row r="1587" spans="4:4">
      <c r="D1587" s="1"/>
    </row>
    <row r="1588" spans="4:4">
      <c r="D1588" s="1"/>
    </row>
    <row r="1589" spans="4:4">
      <c r="D1589" s="1"/>
    </row>
    <row r="1590" spans="4:4">
      <c r="D1590" s="1"/>
    </row>
    <row r="1591" spans="4:4">
      <c r="D1591" s="1"/>
    </row>
    <row r="1592" spans="4:4">
      <c r="D1592" s="1"/>
    </row>
    <row r="1593" spans="4:4">
      <c r="D1593" s="1"/>
    </row>
    <row r="1594" spans="4:4">
      <c r="D1594" s="1"/>
    </row>
    <row r="1595" spans="4:4">
      <c r="D1595" s="1"/>
    </row>
    <row r="1596" spans="4:4">
      <c r="D1596" s="1"/>
    </row>
    <row r="1597" spans="4:4">
      <c r="D1597" s="1"/>
    </row>
    <row r="1598" spans="4:4">
      <c r="D1598" s="1"/>
    </row>
    <row r="1599" spans="4:4">
      <c r="D1599" s="1"/>
    </row>
    <row r="1600" spans="4:4">
      <c r="D1600" s="1"/>
    </row>
    <row r="1601" spans="4:4">
      <c r="D1601" s="1"/>
    </row>
    <row r="1602" spans="4:4">
      <c r="D1602" s="1"/>
    </row>
    <row r="1603" spans="4:4">
      <c r="D1603" s="1"/>
    </row>
    <row r="1604" spans="4:4">
      <c r="D1604" s="1"/>
    </row>
    <row r="1605" spans="4:4">
      <c r="D1605" s="1"/>
    </row>
    <row r="1606" spans="4:4">
      <c r="D1606" s="1"/>
    </row>
    <row r="1607" spans="4:4">
      <c r="D1607" s="1"/>
    </row>
    <row r="1608" spans="4:4">
      <c r="D1608" s="1"/>
    </row>
    <row r="1609" spans="4:4">
      <c r="D1609" s="1"/>
    </row>
    <row r="1610" spans="4:4">
      <c r="D1610" s="1"/>
    </row>
    <row r="1611" spans="4:4">
      <c r="D1611" s="1"/>
    </row>
    <row r="1612" spans="4:4">
      <c r="D1612" s="1"/>
    </row>
    <row r="1613" spans="4:4">
      <c r="D1613" s="1"/>
    </row>
    <row r="1614" spans="4:4">
      <c r="D1614" s="1"/>
    </row>
    <row r="1615" spans="4:4">
      <c r="D1615" s="1"/>
    </row>
    <row r="1616" spans="4:4">
      <c r="D1616" s="1"/>
    </row>
    <row r="1617" spans="4:4">
      <c r="D1617" s="1"/>
    </row>
    <row r="1618" spans="4:4">
      <c r="D1618" s="1"/>
    </row>
    <row r="1619" spans="4:4">
      <c r="D1619" s="1"/>
    </row>
    <row r="1620" spans="4:4">
      <c r="D1620" s="1"/>
    </row>
    <row r="1621" spans="4:4">
      <c r="D1621" s="1"/>
    </row>
    <row r="1622" spans="4:4">
      <c r="D1622" s="1"/>
    </row>
    <row r="1623" spans="4:4">
      <c r="D1623" s="1"/>
    </row>
    <row r="1624" spans="4:4">
      <c r="D1624" s="1"/>
    </row>
    <row r="1625" spans="4:4">
      <c r="D1625" s="1"/>
    </row>
    <row r="1626" spans="4:4">
      <c r="D1626" s="1"/>
    </row>
    <row r="1627" spans="4:4">
      <c r="D1627" s="1"/>
    </row>
    <row r="1628" spans="4:4">
      <c r="D1628" s="1"/>
    </row>
    <row r="1629" spans="4:4">
      <c r="D1629" s="1"/>
    </row>
    <row r="1630" spans="4:4">
      <c r="D1630" s="1"/>
    </row>
    <row r="1631" spans="4:4">
      <c r="D1631" s="1"/>
    </row>
    <row r="1632" spans="4:4">
      <c r="D1632" s="1"/>
    </row>
    <row r="1633" spans="4:4">
      <c r="D1633" s="1"/>
    </row>
    <row r="1634" spans="4:4">
      <c r="D1634" s="1"/>
    </row>
    <row r="1635" spans="4:4">
      <c r="D1635" s="1"/>
    </row>
    <row r="1636" spans="4:4">
      <c r="D1636" s="1"/>
    </row>
    <row r="1637" spans="4:4">
      <c r="D1637" s="1"/>
    </row>
    <row r="1638" spans="4:4">
      <c r="D1638" s="1"/>
    </row>
    <row r="1639" spans="4:4">
      <c r="D1639" s="1"/>
    </row>
    <row r="1640" spans="4:4">
      <c r="D1640" s="1"/>
    </row>
    <row r="1641" spans="4:4">
      <c r="D1641" s="1"/>
    </row>
    <row r="1642" spans="4:4">
      <c r="D1642" s="1"/>
    </row>
    <row r="1643" spans="4:4">
      <c r="D1643" s="1"/>
    </row>
    <row r="1644" spans="4:4">
      <c r="D1644" s="1"/>
    </row>
    <row r="1645" spans="4:4">
      <c r="D1645" s="1"/>
    </row>
    <row r="1646" spans="4:4">
      <c r="D1646" s="1"/>
    </row>
    <row r="1647" spans="4:4">
      <c r="D1647" s="1"/>
    </row>
    <row r="1648" spans="4:4">
      <c r="D1648" s="1"/>
    </row>
    <row r="1649" spans="4:4">
      <c r="D1649" s="1"/>
    </row>
    <row r="1650" spans="4:4">
      <c r="D1650" s="1"/>
    </row>
    <row r="1651" spans="4:4">
      <c r="D1651" s="1"/>
    </row>
    <row r="1652" spans="4:4">
      <c r="D1652" s="1"/>
    </row>
    <row r="1653" spans="4:4">
      <c r="D1653" s="1"/>
    </row>
    <row r="1654" spans="4:4">
      <c r="D1654" s="1"/>
    </row>
    <row r="1655" spans="4:4">
      <c r="D1655" s="1"/>
    </row>
    <row r="1656" spans="4:4">
      <c r="D1656" s="1"/>
    </row>
    <row r="1657" spans="4:4">
      <c r="D1657" s="1"/>
    </row>
    <row r="1658" spans="4:4">
      <c r="D1658" s="1"/>
    </row>
    <row r="1659" spans="4:4">
      <c r="D1659" s="1"/>
    </row>
    <row r="1660" spans="4:4">
      <c r="D1660" s="1"/>
    </row>
    <row r="1661" spans="4:4">
      <c r="D1661" s="1"/>
    </row>
    <row r="1662" spans="4:4">
      <c r="D1662" s="1"/>
    </row>
    <row r="1663" spans="4:4">
      <c r="D1663" s="1"/>
    </row>
    <row r="1664" spans="4:4">
      <c r="D1664" s="1"/>
    </row>
    <row r="1665" spans="4:4">
      <c r="D1665" s="1"/>
    </row>
    <row r="1666" spans="4:4">
      <c r="D1666" s="1"/>
    </row>
    <row r="1667" spans="4:4">
      <c r="D1667" s="1"/>
    </row>
    <row r="1668" spans="4:4">
      <c r="D1668" s="1"/>
    </row>
    <row r="1669" spans="4:4">
      <c r="D1669" s="1"/>
    </row>
    <row r="1670" spans="4:4">
      <c r="D1670" s="1"/>
    </row>
    <row r="1671" spans="4:4">
      <c r="D1671" s="1"/>
    </row>
    <row r="1672" spans="4:4">
      <c r="D1672" s="1"/>
    </row>
    <row r="1673" spans="4:4">
      <c r="D1673" s="1"/>
    </row>
    <row r="1674" spans="4:4">
      <c r="D1674" s="1"/>
    </row>
    <row r="1675" spans="4:4">
      <c r="D1675" s="1"/>
    </row>
    <row r="1676" spans="4:4">
      <c r="D1676" s="1"/>
    </row>
    <row r="1677" spans="4:4">
      <c r="D1677" s="1"/>
    </row>
    <row r="1678" spans="4:4">
      <c r="D1678" s="1"/>
    </row>
    <row r="1679" spans="4:4">
      <c r="D1679" s="1"/>
    </row>
    <row r="1680" spans="4:4">
      <c r="D1680" s="1"/>
    </row>
    <row r="1681" spans="4:4">
      <c r="D1681" s="1"/>
    </row>
    <row r="1682" spans="4:4">
      <c r="D1682" s="1"/>
    </row>
    <row r="1683" spans="4:4">
      <c r="D1683" s="1"/>
    </row>
    <row r="1684" spans="4:4">
      <c r="D1684" s="1"/>
    </row>
    <row r="1685" spans="4:4">
      <c r="D1685" s="1"/>
    </row>
    <row r="1686" spans="4:4">
      <c r="D1686" s="1"/>
    </row>
    <row r="1687" spans="4:4">
      <c r="D1687" s="1"/>
    </row>
    <row r="1688" spans="4:4">
      <c r="D1688" s="1"/>
    </row>
    <row r="1689" spans="4:4">
      <c r="D1689" s="1"/>
    </row>
    <row r="1690" spans="4:4">
      <c r="D1690" s="1"/>
    </row>
    <row r="1691" spans="4:4">
      <c r="D1691" s="1"/>
    </row>
    <row r="1692" spans="4:4">
      <c r="D1692" s="1"/>
    </row>
    <row r="1693" spans="4:4">
      <c r="D1693" s="1"/>
    </row>
    <row r="1694" spans="4:4">
      <c r="D1694" s="1"/>
    </row>
    <row r="1695" spans="4:4">
      <c r="D1695" s="1"/>
    </row>
    <row r="1696" spans="4:4">
      <c r="D1696" s="1"/>
    </row>
    <row r="1697" spans="4:4">
      <c r="D1697" s="1"/>
    </row>
    <row r="1698" spans="4:4">
      <c r="D1698" s="1"/>
    </row>
    <row r="1699" spans="4:4">
      <c r="D1699" s="1"/>
    </row>
    <row r="1700" spans="4:4">
      <c r="D1700" s="1"/>
    </row>
    <row r="1701" spans="4:4">
      <c r="D1701" s="1"/>
    </row>
    <row r="1702" spans="4:4">
      <c r="D1702" s="1"/>
    </row>
    <row r="1703" spans="4:4">
      <c r="D1703" s="1"/>
    </row>
    <row r="1704" spans="4:4">
      <c r="D1704" s="1"/>
    </row>
    <row r="1705" spans="4:4">
      <c r="D1705" s="1"/>
    </row>
    <row r="1706" spans="4:4">
      <c r="D1706" s="1"/>
    </row>
    <row r="1707" spans="4:4">
      <c r="D1707" s="1"/>
    </row>
    <row r="1708" spans="4:4">
      <c r="D1708" s="1"/>
    </row>
    <row r="1709" spans="4:4">
      <c r="D1709" s="1"/>
    </row>
    <row r="1710" spans="4:4">
      <c r="D1710" s="1"/>
    </row>
    <row r="1711" spans="4:4">
      <c r="D1711" s="1"/>
    </row>
    <row r="1712" spans="4:4">
      <c r="D1712" s="1"/>
    </row>
    <row r="1713" spans="4:4">
      <c r="D1713" s="1"/>
    </row>
    <row r="1714" spans="4:4">
      <c r="D1714" s="1"/>
    </row>
    <row r="1715" spans="4:4">
      <c r="D1715" s="1"/>
    </row>
    <row r="1716" spans="4:4">
      <c r="D1716" s="1"/>
    </row>
    <row r="1717" spans="4:4">
      <c r="D1717" s="1"/>
    </row>
    <row r="1718" spans="4:4">
      <c r="D1718" s="1"/>
    </row>
    <row r="1719" spans="4:4">
      <c r="D1719" s="1"/>
    </row>
    <row r="1720" spans="4:4">
      <c r="D1720" s="1"/>
    </row>
    <row r="1721" spans="4:4">
      <c r="D1721" s="1"/>
    </row>
    <row r="1722" spans="4:4">
      <c r="D1722" s="1"/>
    </row>
    <row r="1723" spans="4:4">
      <c r="D1723" s="1"/>
    </row>
    <row r="1724" spans="4:4">
      <c r="D1724" s="1"/>
    </row>
    <row r="1725" spans="4:4">
      <c r="D1725" s="1"/>
    </row>
    <row r="1726" spans="4:4">
      <c r="D1726" s="1"/>
    </row>
    <row r="1727" spans="4:4">
      <c r="D1727" s="1"/>
    </row>
    <row r="1728" spans="4:4">
      <c r="D1728" s="1"/>
    </row>
    <row r="1729" spans="4:4">
      <c r="D1729" s="1"/>
    </row>
    <row r="1730" spans="4:4">
      <c r="D1730" s="1"/>
    </row>
    <row r="1731" spans="4:4">
      <c r="D1731" s="1"/>
    </row>
    <row r="1732" spans="4:4">
      <c r="D1732" s="1"/>
    </row>
    <row r="1733" spans="4:4">
      <c r="D1733" s="1"/>
    </row>
    <row r="1734" spans="4:4">
      <c r="D1734" s="1"/>
    </row>
    <row r="1735" spans="4:4">
      <c r="D1735" s="1"/>
    </row>
    <row r="1736" spans="4:4">
      <c r="D1736" s="1"/>
    </row>
    <row r="1737" spans="4:4">
      <c r="D1737" s="1"/>
    </row>
    <row r="1738" spans="4:4">
      <c r="D1738" s="1"/>
    </row>
    <row r="1739" spans="4:4">
      <c r="D1739" s="1"/>
    </row>
    <row r="1740" spans="4:4">
      <c r="D1740" s="1"/>
    </row>
    <row r="1741" spans="4:4">
      <c r="D1741" s="1"/>
    </row>
    <row r="1742" spans="4:4">
      <c r="D1742" s="1"/>
    </row>
    <row r="1743" spans="4:4">
      <c r="D1743" s="1"/>
    </row>
    <row r="1744" spans="4:4">
      <c r="D1744" s="1"/>
    </row>
    <row r="1745" spans="4:4">
      <c r="D1745" s="1"/>
    </row>
    <row r="1746" spans="4:4">
      <c r="D1746" s="1"/>
    </row>
    <row r="1747" spans="4:4">
      <c r="D1747" s="1"/>
    </row>
    <row r="1748" spans="4:4">
      <c r="D1748" s="1"/>
    </row>
    <row r="1749" spans="4:4">
      <c r="D1749" s="1"/>
    </row>
    <row r="1750" spans="4:4">
      <c r="D1750" s="1"/>
    </row>
    <row r="1751" spans="4:4">
      <c r="D1751" s="1"/>
    </row>
    <row r="1752" spans="4:4">
      <c r="D1752" s="1"/>
    </row>
    <row r="1753" spans="4:4">
      <c r="D1753" s="1"/>
    </row>
    <row r="1754" spans="4:4">
      <c r="D1754" s="1"/>
    </row>
    <row r="1755" spans="4:4">
      <c r="D1755" s="1"/>
    </row>
    <row r="1756" spans="4:4">
      <c r="D1756" s="1"/>
    </row>
    <row r="1757" spans="4:4">
      <c r="D1757" s="1"/>
    </row>
    <row r="1758" spans="4:4">
      <c r="D1758" s="1"/>
    </row>
    <row r="1759" spans="4:4">
      <c r="D1759" s="1"/>
    </row>
    <row r="1760" spans="4:4">
      <c r="D1760" s="1"/>
    </row>
    <row r="1761" spans="4:4">
      <c r="D1761" s="1"/>
    </row>
    <row r="1762" spans="4:4">
      <c r="D1762" s="1"/>
    </row>
    <row r="1763" spans="4:4">
      <c r="D1763" s="1"/>
    </row>
    <row r="1764" spans="4:4">
      <c r="D1764" s="1"/>
    </row>
    <row r="1765" spans="4:4">
      <c r="D1765" s="1"/>
    </row>
    <row r="1766" spans="4:4">
      <c r="D1766" s="1"/>
    </row>
    <row r="1767" spans="4:4">
      <c r="D1767" s="1"/>
    </row>
    <row r="1768" spans="4:4">
      <c r="D1768" s="1"/>
    </row>
    <row r="1769" spans="4:4">
      <c r="D1769" s="1"/>
    </row>
    <row r="1770" spans="4:4">
      <c r="D1770" s="1"/>
    </row>
    <row r="1771" spans="4:4">
      <c r="D1771" s="1"/>
    </row>
    <row r="1772" spans="4:4">
      <c r="D1772" s="1"/>
    </row>
    <row r="1773" spans="4:4">
      <c r="D1773" s="1"/>
    </row>
    <row r="1774" spans="4:4">
      <c r="D1774" s="1"/>
    </row>
    <row r="1775" spans="4:4">
      <c r="D1775" s="1"/>
    </row>
    <row r="1776" spans="4:4">
      <c r="D1776" s="1"/>
    </row>
    <row r="1777" spans="4:4">
      <c r="D1777" s="1"/>
    </row>
    <row r="1778" spans="4:4">
      <c r="D1778" s="1"/>
    </row>
    <row r="1779" spans="4:4">
      <c r="D1779" s="1"/>
    </row>
    <row r="1780" spans="4:4">
      <c r="D1780" s="1"/>
    </row>
    <row r="1781" spans="4:4">
      <c r="D1781" s="1"/>
    </row>
    <row r="1782" spans="4:4">
      <c r="D1782" s="1"/>
    </row>
    <row r="1783" spans="4:4">
      <c r="D1783" s="1"/>
    </row>
    <row r="1784" spans="4:4">
      <c r="D1784" s="1"/>
    </row>
    <row r="1785" spans="4:4">
      <c r="D1785" s="1"/>
    </row>
    <row r="1786" spans="4:4">
      <c r="D1786" s="1"/>
    </row>
    <row r="1787" spans="4:4">
      <c r="D1787" s="1"/>
    </row>
    <row r="1788" spans="4:4">
      <c r="D1788" s="1"/>
    </row>
    <row r="1789" spans="4:4">
      <c r="D1789" s="1"/>
    </row>
    <row r="1790" spans="4:4">
      <c r="D1790" s="1"/>
    </row>
    <row r="1791" spans="4:4">
      <c r="D1791" s="1"/>
    </row>
    <row r="1792" spans="4:4">
      <c r="D1792" s="1"/>
    </row>
    <row r="1793" spans="4:4">
      <c r="D1793" s="1"/>
    </row>
    <row r="1794" spans="4:4">
      <c r="D1794" s="1"/>
    </row>
    <row r="1795" spans="4:4">
      <c r="D1795" s="1"/>
    </row>
    <row r="1796" spans="4:4">
      <c r="D1796" s="1"/>
    </row>
    <row r="1797" spans="4:4">
      <c r="D1797" s="1"/>
    </row>
    <row r="1798" spans="4:4">
      <c r="D1798" s="1"/>
    </row>
    <row r="1799" spans="4:4">
      <c r="D1799" s="1"/>
    </row>
    <row r="1800" spans="4:4">
      <c r="D1800" s="1"/>
    </row>
    <row r="1801" spans="4:4">
      <c r="D1801" s="1"/>
    </row>
    <row r="1802" spans="4:4">
      <c r="D1802" s="1"/>
    </row>
    <row r="1803" spans="4:4">
      <c r="D1803" s="1"/>
    </row>
    <row r="1804" spans="4:4">
      <c r="D1804" s="1"/>
    </row>
    <row r="1805" spans="4:4">
      <c r="D1805" s="1"/>
    </row>
    <row r="1806" spans="4:4">
      <c r="D1806" s="1"/>
    </row>
    <row r="1807" spans="4:4">
      <c r="D1807" s="1"/>
    </row>
    <row r="1808" spans="4:4">
      <c r="D1808" s="1"/>
    </row>
    <row r="1809" spans="4:4">
      <c r="D1809" s="1"/>
    </row>
    <row r="1810" spans="4:4">
      <c r="D1810" s="1"/>
    </row>
    <row r="1811" spans="4:4">
      <c r="D1811" s="1"/>
    </row>
    <row r="1812" spans="4:4">
      <c r="D1812" s="1"/>
    </row>
    <row r="1813" spans="4:4">
      <c r="D1813" s="1"/>
    </row>
    <row r="1814" spans="4:4">
      <c r="D1814" s="1"/>
    </row>
    <row r="1815" spans="4:4">
      <c r="D1815" s="1"/>
    </row>
    <row r="1816" spans="4:4">
      <c r="D1816" s="1"/>
    </row>
    <row r="1817" spans="4:4">
      <c r="D1817" s="1"/>
    </row>
    <row r="1818" spans="4:4">
      <c r="D1818" s="1"/>
    </row>
    <row r="1819" spans="4:4">
      <c r="D1819" s="1"/>
    </row>
    <row r="1820" spans="4:4">
      <c r="D1820" s="1"/>
    </row>
    <row r="1821" spans="4:4">
      <c r="D1821" s="1"/>
    </row>
    <row r="1822" spans="4:4">
      <c r="D1822" s="1"/>
    </row>
    <row r="1823" spans="4:4">
      <c r="D1823" s="1"/>
    </row>
    <row r="1824" spans="4:4">
      <c r="D1824" s="1"/>
    </row>
    <row r="1825" spans="4:4">
      <c r="D1825" s="1"/>
    </row>
    <row r="1826" spans="4:4">
      <c r="D1826" s="1"/>
    </row>
    <row r="1827" spans="4:4">
      <c r="D1827" s="1"/>
    </row>
    <row r="1828" spans="4:4">
      <c r="D1828" s="1"/>
    </row>
    <row r="1829" spans="4:4">
      <c r="D1829" s="1"/>
    </row>
    <row r="1830" spans="4:4">
      <c r="D1830" s="1"/>
    </row>
    <row r="1831" spans="4:4">
      <c r="D1831" s="1"/>
    </row>
    <row r="1832" spans="4:4">
      <c r="D1832" s="1"/>
    </row>
    <row r="1833" spans="4:4">
      <c r="D1833" s="1"/>
    </row>
    <row r="1834" spans="4:4">
      <c r="D1834" s="1"/>
    </row>
    <row r="1835" spans="4:4">
      <c r="D1835" s="1"/>
    </row>
    <row r="1836" spans="4:4">
      <c r="D1836" s="1"/>
    </row>
    <row r="1837" spans="4:4">
      <c r="D1837" s="1"/>
    </row>
    <row r="1838" spans="4:4">
      <c r="D1838" s="1"/>
    </row>
    <row r="1839" spans="4:4">
      <c r="D1839" s="1"/>
    </row>
    <row r="1840" spans="4:4">
      <c r="D1840" s="1"/>
    </row>
    <row r="1841" spans="4:4">
      <c r="D1841" s="1"/>
    </row>
    <row r="1842" spans="4:4">
      <c r="D1842" s="1"/>
    </row>
    <row r="1843" spans="4:4">
      <c r="D1843" s="1"/>
    </row>
    <row r="1844" spans="4:4">
      <c r="D1844" s="1"/>
    </row>
    <row r="1845" spans="4:4">
      <c r="D1845" s="1"/>
    </row>
    <row r="1846" spans="4:4">
      <c r="D1846" s="1"/>
    </row>
    <row r="1847" spans="4:4">
      <c r="D1847" s="1"/>
    </row>
    <row r="1848" spans="4:4">
      <c r="D1848" s="1"/>
    </row>
    <row r="1849" spans="4:4">
      <c r="D1849" s="1"/>
    </row>
    <row r="1850" spans="4:4">
      <c r="D1850" s="1"/>
    </row>
    <row r="1851" spans="4:4">
      <c r="D1851" s="1"/>
    </row>
    <row r="1852" spans="4:4">
      <c r="D1852" s="1"/>
    </row>
    <row r="1853" spans="4:4">
      <c r="D1853" s="1"/>
    </row>
    <row r="1854" spans="4:4">
      <c r="D1854" s="1"/>
    </row>
    <row r="1855" spans="4:4">
      <c r="D1855" s="1"/>
    </row>
    <row r="1856" spans="4:4">
      <c r="D1856" s="1"/>
    </row>
    <row r="1857" spans="4:4">
      <c r="D1857" s="1"/>
    </row>
    <row r="1858" spans="4:4">
      <c r="D1858" s="1"/>
    </row>
    <row r="1859" spans="4:4">
      <c r="D1859" s="1"/>
    </row>
    <row r="1860" spans="4:4">
      <c r="D1860" s="1"/>
    </row>
    <row r="1861" spans="4:4">
      <c r="D1861" s="1"/>
    </row>
    <row r="1862" spans="4:4">
      <c r="D1862" s="1"/>
    </row>
    <row r="1863" spans="4:4">
      <c r="D1863" s="1"/>
    </row>
    <row r="1864" spans="4:4">
      <c r="D1864" s="1"/>
    </row>
    <row r="1865" spans="4:4">
      <c r="D1865" s="1"/>
    </row>
    <row r="1866" spans="4:4">
      <c r="D1866" s="1"/>
    </row>
    <row r="1867" spans="4:4">
      <c r="D1867" s="1"/>
    </row>
    <row r="1868" spans="4:4">
      <c r="D1868" s="1"/>
    </row>
    <row r="1869" spans="4:4">
      <c r="D1869" s="1"/>
    </row>
    <row r="1870" spans="4:4">
      <c r="D1870" s="1"/>
    </row>
    <row r="1871" spans="4:4">
      <c r="D1871" s="1"/>
    </row>
    <row r="1872" spans="4:4">
      <c r="D1872" s="1"/>
    </row>
    <row r="1873" spans="4:4">
      <c r="D1873" s="1"/>
    </row>
    <row r="1874" spans="4:4">
      <c r="D1874" s="1"/>
    </row>
    <row r="1875" spans="4:4">
      <c r="D1875" s="1"/>
    </row>
    <row r="1876" spans="4:4">
      <c r="D1876" s="1"/>
    </row>
    <row r="1877" spans="4:4">
      <c r="D1877" s="1"/>
    </row>
    <row r="1878" spans="4:4">
      <c r="D1878" s="1"/>
    </row>
    <row r="1879" spans="4:4">
      <c r="D1879" s="1"/>
    </row>
    <row r="1880" spans="4:4">
      <c r="D1880" s="1"/>
    </row>
    <row r="1881" spans="4:4">
      <c r="D1881" s="1"/>
    </row>
    <row r="1882" spans="4:4">
      <c r="D1882" s="1"/>
    </row>
    <row r="1883" spans="4:4">
      <c r="D1883" s="1"/>
    </row>
    <row r="1884" spans="4:4">
      <c r="D1884" s="1"/>
    </row>
    <row r="1885" spans="4:4">
      <c r="D1885" s="1"/>
    </row>
    <row r="1886" spans="4:4">
      <c r="D1886" s="1"/>
    </row>
    <row r="1887" spans="4:4">
      <c r="D1887" s="1"/>
    </row>
    <row r="1888" spans="4:4">
      <c r="D1888" s="1"/>
    </row>
    <row r="1889" spans="4:4">
      <c r="D1889" s="1"/>
    </row>
    <row r="1890" spans="4:4">
      <c r="D1890" s="1"/>
    </row>
    <row r="1891" spans="4:4">
      <c r="D1891" s="1"/>
    </row>
    <row r="1892" spans="4:4">
      <c r="D1892" s="1"/>
    </row>
    <row r="1893" spans="4:4">
      <c r="D1893" s="1"/>
    </row>
    <row r="1894" spans="4:4">
      <c r="D1894" s="1"/>
    </row>
    <row r="1895" spans="4:4">
      <c r="D1895" s="1"/>
    </row>
    <row r="1896" spans="4:4">
      <c r="D1896" s="1"/>
    </row>
    <row r="1897" spans="4:4">
      <c r="D1897" s="1"/>
    </row>
    <row r="1898" spans="4:4">
      <c r="D1898" s="1"/>
    </row>
    <row r="1899" spans="4:4">
      <c r="D1899" s="1"/>
    </row>
    <row r="1900" spans="4:4">
      <c r="D1900" s="1"/>
    </row>
    <row r="1901" spans="4:4">
      <c r="D1901" s="1"/>
    </row>
    <row r="1902" spans="4:4">
      <c r="D1902" s="1"/>
    </row>
    <row r="1903" spans="4:4">
      <c r="D1903" s="1"/>
    </row>
    <row r="1904" spans="4:4">
      <c r="D1904" s="1"/>
    </row>
    <row r="1905" spans="4:4">
      <c r="D1905" s="1"/>
    </row>
    <row r="1906" spans="4:4">
      <c r="D1906" s="1"/>
    </row>
    <row r="1907" spans="4:4">
      <c r="D1907" s="1"/>
    </row>
    <row r="1908" spans="4:4">
      <c r="D1908" s="1"/>
    </row>
    <row r="1909" spans="4:4">
      <c r="D1909" s="1"/>
    </row>
    <row r="1910" spans="4:4">
      <c r="D1910" s="1"/>
    </row>
    <row r="1911" spans="4:4">
      <c r="D1911" s="1"/>
    </row>
    <row r="1912" spans="4:4">
      <c r="D1912" s="1"/>
    </row>
    <row r="1913" spans="4:4">
      <c r="D1913" s="1"/>
    </row>
    <row r="1914" spans="4:4">
      <c r="D1914" s="1"/>
    </row>
    <row r="1915" spans="4:4">
      <c r="D1915" s="1"/>
    </row>
    <row r="1916" spans="4:4">
      <c r="D1916" s="1"/>
    </row>
    <row r="1917" spans="4:4">
      <c r="D1917" s="1"/>
    </row>
    <row r="1918" spans="4:4">
      <c r="D1918" s="1"/>
    </row>
    <row r="1919" spans="4:4">
      <c r="D1919" s="1"/>
    </row>
    <row r="1920" spans="4:4">
      <c r="D1920" s="1"/>
    </row>
    <row r="1921" spans="4:4">
      <c r="D1921" s="1"/>
    </row>
    <row r="1922" spans="4:4">
      <c r="D1922" s="1"/>
    </row>
    <row r="1923" spans="4:4">
      <c r="D1923" s="1"/>
    </row>
    <row r="1924" spans="4:4">
      <c r="D1924" s="1"/>
    </row>
    <row r="1925" spans="4:4">
      <c r="D1925" s="1"/>
    </row>
    <row r="1926" spans="4:4">
      <c r="D1926" s="1"/>
    </row>
    <row r="1927" spans="4:4">
      <c r="D1927" s="1"/>
    </row>
    <row r="1928" spans="4:4">
      <c r="D1928" s="1"/>
    </row>
    <row r="1929" spans="4:4">
      <c r="D1929" s="1"/>
    </row>
    <row r="1930" spans="4:4">
      <c r="D1930" s="1"/>
    </row>
    <row r="1931" spans="4:4">
      <c r="D1931" s="1"/>
    </row>
    <row r="1932" spans="4:4">
      <c r="D1932" s="1"/>
    </row>
    <row r="1933" spans="4:4">
      <c r="D1933" s="1"/>
    </row>
    <row r="1934" spans="4:4">
      <c r="D1934" s="1"/>
    </row>
    <row r="1935" spans="4:4">
      <c r="D1935" s="1"/>
    </row>
    <row r="1936" spans="4:4">
      <c r="D1936" s="1"/>
    </row>
    <row r="1937" spans="4:4">
      <c r="D1937" s="1"/>
    </row>
    <row r="1938" spans="4:4">
      <c r="D1938" s="1"/>
    </row>
    <row r="1939" spans="4:4">
      <c r="D1939" s="1"/>
    </row>
    <row r="1940" spans="4:4">
      <c r="D1940" s="1"/>
    </row>
    <row r="1941" spans="4:4">
      <c r="D1941" s="1"/>
    </row>
    <row r="1942" spans="4:4">
      <c r="D1942" s="1"/>
    </row>
    <row r="1943" spans="4:4">
      <c r="D1943" s="1"/>
    </row>
    <row r="1944" spans="4:4">
      <c r="D1944" s="1"/>
    </row>
    <row r="1945" spans="4:4">
      <c r="D1945" s="1"/>
    </row>
    <row r="1946" spans="4:4">
      <c r="D1946" s="1"/>
    </row>
    <row r="1947" spans="4:4">
      <c r="D1947" s="1"/>
    </row>
    <row r="1948" spans="4:4">
      <c r="D1948" s="1"/>
    </row>
    <row r="1949" spans="4:4">
      <c r="D1949" s="1"/>
    </row>
    <row r="1950" spans="4:4">
      <c r="D1950" s="1"/>
    </row>
    <row r="1951" spans="4:4">
      <c r="D1951" s="1"/>
    </row>
    <row r="1952" spans="4:4">
      <c r="D1952" s="1"/>
    </row>
    <row r="1953" spans="4:4">
      <c r="D1953" s="1"/>
    </row>
    <row r="1954" spans="4:4">
      <c r="D1954" s="1"/>
    </row>
    <row r="1955" spans="4:4">
      <c r="D1955" s="1"/>
    </row>
    <row r="1956" spans="4:4">
      <c r="D1956" s="1"/>
    </row>
    <row r="1957" spans="4:4">
      <c r="D1957" s="1"/>
    </row>
    <row r="1958" spans="4:4">
      <c r="D1958" s="1"/>
    </row>
    <row r="1959" spans="4:4">
      <c r="D1959" s="1"/>
    </row>
    <row r="1960" spans="4:4">
      <c r="D1960" s="1"/>
    </row>
    <row r="1961" spans="4:4">
      <c r="D1961" s="1"/>
    </row>
    <row r="1962" spans="4:4">
      <c r="D1962" s="1"/>
    </row>
    <row r="1963" spans="4:4">
      <c r="D1963" s="1"/>
    </row>
    <row r="1964" spans="4:4">
      <c r="D1964" s="1"/>
    </row>
    <row r="1965" spans="4:4">
      <c r="D1965" s="1"/>
    </row>
    <row r="1966" spans="4:4">
      <c r="D1966" s="1"/>
    </row>
    <row r="1967" spans="4:4">
      <c r="D1967" s="1"/>
    </row>
    <row r="1968" spans="4:4">
      <c r="D1968" s="1"/>
    </row>
    <row r="1969" spans="4:4">
      <c r="D1969" s="1"/>
    </row>
    <row r="1970" spans="4:4">
      <c r="D1970" s="1"/>
    </row>
    <row r="1971" spans="4:4">
      <c r="D1971" s="1"/>
    </row>
    <row r="1972" spans="4:4">
      <c r="D1972" s="1"/>
    </row>
    <row r="1973" spans="4:4">
      <c r="D1973" s="1"/>
    </row>
    <row r="1974" spans="4:4">
      <c r="D1974" s="1"/>
    </row>
    <row r="1975" spans="4:4">
      <c r="D1975" s="1"/>
    </row>
    <row r="1976" spans="4:4">
      <c r="D1976" s="1"/>
    </row>
    <row r="1977" spans="4:4">
      <c r="D1977" s="1"/>
    </row>
    <row r="1978" spans="4:4">
      <c r="D1978" s="1"/>
    </row>
    <row r="1979" spans="4:4">
      <c r="D1979" s="1"/>
    </row>
    <row r="1980" spans="4:4">
      <c r="D1980" s="1"/>
    </row>
    <row r="1981" spans="4:4">
      <c r="D1981" s="1"/>
    </row>
    <row r="1982" spans="4:4">
      <c r="D1982" s="1"/>
    </row>
    <row r="1983" spans="4:4">
      <c r="D1983" s="1"/>
    </row>
    <row r="1984" spans="4:4">
      <c r="D1984" s="1"/>
    </row>
    <row r="1985" spans="4:4">
      <c r="D1985" s="1"/>
    </row>
    <row r="1986" spans="4:4">
      <c r="D1986" s="1"/>
    </row>
    <row r="1987" spans="4:4">
      <c r="D1987" s="1"/>
    </row>
    <row r="1988" spans="4:4">
      <c r="D1988" s="1"/>
    </row>
    <row r="1989" spans="4:4">
      <c r="D1989" s="1"/>
    </row>
    <row r="1990" spans="4:4">
      <c r="D1990" s="1"/>
    </row>
    <row r="1991" spans="4:4">
      <c r="D1991" s="1"/>
    </row>
    <row r="1992" spans="4:4">
      <c r="D1992" s="1"/>
    </row>
    <row r="1993" spans="4:4">
      <c r="D1993" s="1"/>
    </row>
    <row r="1994" spans="4:4">
      <c r="D1994" s="1"/>
    </row>
    <row r="1995" spans="4:4">
      <c r="D1995" s="1"/>
    </row>
    <row r="1996" spans="4:4">
      <c r="D1996" s="1"/>
    </row>
    <row r="1997" spans="4:4">
      <c r="D1997" s="1"/>
    </row>
    <row r="1998" spans="4:4">
      <c r="D1998" s="1"/>
    </row>
    <row r="1999" spans="4:4">
      <c r="D1999" s="1"/>
    </row>
    <row r="2000" spans="4:4">
      <c r="D2000" s="1"/>
    </row>
    <row r="2001" spans="4:4">
      <c r="D2001" s="1"/>
    </row>
    <row r="2002" spans="4:4">
      <c r="D2002" s="1"/>
    </row>
    <row r="2003" spans="4:4">
      <c r="D2003" s="1"/>
    </row>
    <row r="2004" spans="4:4">
      <c r="D2004" s="1"/>
    </row>
    <row r="2005" spans="4:4">
      <c r="D2005" s="1"/>
    </row>
    <row r="2006" spans="4:4">
      <c r="D2006" s="1"/>
    </row>
    <row r="2007" spans="4:4">
      <c r="D2007" s="1"/>
    </row>
    <row r="2008" spans="4:4">
      <c r="D2008" s="1"/>
    </row>
    <row r="2009" spans="4:4">
      <c r="D2009" s="1"/>
    </row>
    <row r="2010" spans="4:4">
      <c r="D2010" s="1"/>
    </row>
    <row r="2011" spans="4:4">
      <c r="D2011" s="1"/>
    </row>
    <row r="2012" spans="4:4">
      <c r="D2012" s="1"/>
    </row>
    <row r="2013" spans="4:4">
      <c r="D2013" s="1"/>
    </row>
    <row r="2014" spans="4:4">
      <c r="D2014" s="1"/>
    </row>
    <row r="2015" spans="4:4">
      <c r="D2015" s="1"/>
    </row>
    <row r="2016" spans="4:4">
      <c r="D2016" s="1"/>
    </row>
    <row r="2017" spans="4:4">
      <c r="D2017" s="1"/>
    </row>
    <row r="2018" spans="4:4">
      <c r="D2018" s="1"/>
    </row>
    <row r="2019" spans="4:4">
      <c r="D2019" s="1"/>
    </row>
    <row r="2020" spans="4:4">
      <c r="D2020" s="1"/>
    </row>
    <row r="2021" spans="4:4">
      <c r="D2021" s="1"/>
    </row>
    <row r="2022" spans="4:4">
      <c r="D2022" s="1"/>
    </row>
    <row r="2023" spans="4:4">
      <c r="D2023" s="1"/>
    </row>
    <row r="2024" spans="4:4">
      <c r="D2024" s="1"/>
    </row>
    <row r="2025" spans="4:4">
      <c r="D2025" s="1"/>
    </row>
    <row r="2026" spans="4:4">
      <c r="D2026" s="1"/>
    </row>
    <row r="2027" spans="4:4">
      <c r="D2027" s="1"/>
    </row>
    <row r="2028" spans="4:4">
      <c r="D2028" s="1"/>
    </row>
    <row r="2029" spans="4:4">
      <c r="D2029" s="1"/>
    </row>
    <row r="2030" spans="4:4">
      <c r="D2030" s="1"/>
    </row>
    <row r="2031" spans="4:4">
      <c r="D2031" s="1"/>
    </row>
    <row r="2032" spans="4:4">
      <c r="D2032" s="1"/>
    </row>
    <row r="2033" spans="4:4">
      <c r="D2033" s="1"/>
    </row>
    <row r="2034" spans="4:4">
      <c r="D2034" s="1"/>
    </row>
    <row r="2035" spans="4:4">
      <c r="D2035" s="1"/>
    </row>
    <row r="2036" spans="4:4">
      <c r="D2036" s="1"/>
    </row>
    <row r="2037" spans="4:4">
      <c r="D2037" s="1"/>
    </row>
    <row r="2038" spans="4:4">
      <c r="D2038" s="1"/>
    </row>
    <row r="2039" spans="4:4">
      <c r="D2039" s="1"/>
    </row>
    <row r="2040" spans="4:4">
      <c r="D2040" s="1"/>
    </row>
    <row r="2041" spans="4:4">
      <c r="D2041" s="1"/>
    </row>
    <row r="2042" spans="4:4">
      <c r="D2042" s="1"/>
    </row>
    <row r="2043" spans="4:4">
      <c r="D2043" s="1"/>
    </row>
    <row r="2044" spans="4:4">
      <c r="D2044" s="1"/>
    </row>
    <row r="2045" spans="4:4">
      <c r="D2045" s="1"/>
    </row>
    <row r="2046" spans="4:4">
      <c r="D2046" s="1"/>
    </row>
    <row r="2047" spans="4:4">
      <c r="D2047" s="1"/>
    </row>
    <row r="2048" spans="4:4">
      <c r="D2048" s="1"/>
    </row>
    <row r="2049" spans="4:4">
      <c r="D2049" s="1"/>
    </row>
    <row r="2050" spans="4:4">
      <c r="D2050" s="1"/>
    </row>
    <row r="2051" spans="4:4">
      <c r="D2051" s="1"/>
    </row>
    <row r="2052" spans="4:4">
      <c r="D2052" s="1"/>
    </row>
    <row r="2053" spans="4:4">
      <c r="D2053" s="1"/>
    </row>
    <row r="2054" spans="4:4">
      <c r="D2054" s="1"/>
    </row>
    <row r="2055" spans="4:4">
      <c r="D2055" s="1"/>
    </row>
    <row r="2056" spans="4:4">
      <c r="D2056" s="1"/>
    </row>
    <row r="2057" spans="4:4">
      <c r="D2057" s="1"/>
    </row>
    <row r="2058" spans="4:4">
      <c r="D2058" s="1"/>
    </row>
    <row r="2059" spans="4:4">
      <c r="D2059" s="1"/>
    </row>
    <row r="2060" spans="4:4">
      <c r="D2060" s="1"/>
    </row>
    <row r="2061" spans="4:4">
      <c r="D2061" s="1"/>
    </row>
    <row r="2062" spans="4:4">
      <c r="D2062" s="1"/>
    </row>
    <row r="2063" spans="4:4">
      <c r="D2063" s="1"/>
    </row>
    <row r="2064" spans="4:4">
      <c r="D2064" s="1"/>
    </row>
    <row r="2065" spans="4:4">
      <c r="D2065" s="1"/>
    </row>
    <row r="2066" spans="4:4">
      <c r="D2066" s="1"/>
    </row>
    <row r="2067" spans="4:4">
      <c r="D2067" s="1"/>
    </row>
    <row r="2068" spans="4:4">
      <c r="D2068" s="1"/>
    </row>
    <row r="2069" spans="4:4">
      <c r="D2069" s="1"/>
    </row>
    <row r="2070" spans="4:4">
      <c r="D2070" s="1"/>
    </row>
    <row r="2071" spans="4:4">
      <c r="D2071" s="1"/>
    </row>
    <row r="2072" spans="4:4">
      <c r="D2072" s="1"/>
    </row>
    <row r="2073" spans="4:4">
      <c r="D2073" s="1"/>
    </row>
    <row r="2074" spans="4:4">
      <c r="D2074" s="1"/>
    </row>
    <row r="2075" spans="4:4">
      <c r="D2075" s="1"/>
    </row>
    <row r="2076" spans="4:4">
      <c r="D2076" s="1"/>
    </row>
    <row r="2077" spans="4:4">
      <c r="D2077" s="1"/>
    </row>
    <row r="2078" spans="4:4">
      <c r="D2078" s="1"/>
    </row>
    <row r="2079" spans="4:4">
      <c r="D2079" s="1"/>
    </row>
    <row r="2080" spans="4:4">
      <c r="D2080" s="1"/>
    </row>
    <row r="2081" spans="4:4">
      <c r="D2081" s="1"/>
    </row>
    <row r="2082" spans="4:4">
      <c r="D2082" s="1"/>
    </row>
    <row r="2083" spans="4:4">
      <c r="D2083" s="1"/>
    </row>
    <row r="2084" spans="4:4">
      <c r="D2084" s="1"/>
    </row>
    <row r="2085" spans="4:4">
      <c r="D2085" s="1"/>
    </row>
    <row r="2086" spans="4:4">
      <c r="D2086" s="1"/>
    </row>
    <row r="2087" spans="4:4">
      <c r="D2087" s="1"/>
    </row>
    <row r="2088" spans="4:4">
      <c r="D2088" s="1"/>
    </row>
    <row r="2089" spans="4:4">
      <c r="D2089" s="1"/>
    </row>
    <row r="2090" spans="4:4">
      <c r="D2090" s="1"/>
    </row>
    <row r="2091" spans="4:4">
      <c r="D2091" s="1"/>
    </row>
    <row r="2092" spans="4:4">
      <c r="D2092" s="1"/>
    </row>
    <row r="2093" spans="4:4">
      <c r="D2093" s="1"/>
    </row>
    <row r="2094" spans="4:4">
      <c r="D2094" s="1"/>
    </row>
    <row r="2095" spans="4:4">
      <c r="D2095" s="1"/>
    </row>
    <row r="2096" spans="4:4">
      <c r="D2096" s="1"/>
    </row>
    <row r="2097" spans="4:4">
      <c r="D2097" s="1"/>
    </row>
    <row r="2098" spans="4:4">
      <c r="D2098" s="1"/>
    </row>
    <row r="2099" spans="4:4">
      <c r="D2099" s="1"/>
    </row>
    <row r="2100" spans="4:4">
      <c r="D2100" s="1"/>
    </row>
    <row r="2101" spans="4:4">
      <c r="D2101" s="1"/>
    </row>
    <row r="2102" spans="4:4">
      <c r="D2102" s="1"/>
    </row>
    <row r="2103" spans="4:4">
      <c r="D2103" s="1"/>
    </row>
    <row r="2104" spans="4:4">
      <c r="D2104" s="1"/>
    </row>
    <row r="2105" spans="4:4">
      <c r="D2105" s="1"/>
    </row>
    <row r="2106" spans="4:4">
      <c r="D2106" s="1"/>
    </row>
    <row r="2107" spans="4:4">
      <c r="D2107" s="1"/>
    </row>
    <row r="2108" spans="4:4">
      <c r="D2108" s="1"/>
    </row>
    <row r="2109" spans="4:4">
      <c r="D2109" s="1"/>
    </row>
    <row r="2110" spans="4:4">
      <c r="D2110" s="1"/>
    </row>
    <row r="2111" spans="4:4">
      <c r="D2111" s="1"/>
    </row>
    <row r="2112" spans="4:4">
      <c r="D2112" s="1"/>
    </row>
    <row r="2113" spans="4:4">
      <c r="D2113" s="1"/>
    </row>
    <row r="2114" spans="4:4">
      <c r="D2114" s="1"/>
    </row>
    <row r="2115" spans="4:4">
      <c r="D2115" s="1"/>
    </row>
    <row r="2116" spans="4:4">
      <c r="D2116" s="1"/>
    </row>
    <row r="2117" spans="4:4">
      <c r="D2117" s="1"/>
    </row>
    <row r="2118" spans="4:4">
      <c r="D2118" s="1"/>
    </row>
    <row r="2119" spans="4:4">
      <c r="D2119" s="1"/>
    </row>
    <row r="2120" spans="4:4">
      <c r="D2120" s="1"/>
    </row>
    <row r="2121" spans="4:4">
      <c r="D2121" s="1"/>
    </row>
    <row r="2122" spans="4:4">
      <c r="D2122" s="1"/>
    </row>
    <row r="2123" spans="4:4">
      <c r="D2123" s="1"/>
    </row>
    <row r="2124" spans="4:4">
      <c r="D2124" s="1"/>
    </row>
    <row r="2125" spans="4:4">
      <c r="D2125" s="1"/>
    </row>
    <row r="2126" spans="4:4">
      <c r="D2126" s="1"/>
    </row>
    <row r="2127" spans="4:4">
      <c r="D2127" s="1"/>
    </row>
    <row r="2128" spans="4:4">
      <c r="D2128" s="1"/>
    </row>
    <row r="2129" spans="4:4">
      <c r="D2129" s="1"/>
    </row>
    <row r="2130" spans="4:4">
      <c r="D2130" s="1"/>
    </row>
    <row r="2131" spans="4:4">
      <c r="D2131" s="1"/>
    </row>
    <row r="2132" spans="4:4">
      <c r="D2132" s="1"/>
    </row>
    <row r="2133" spans="4:4">
      <c r="D2133" s="1"/>
    </row>
    <row r="2134" spans="4:4">
      <c r="D2134" s="1"/>
    </row>
    <row r="2135" spans="4:4">
      <c r="D2135" s="1"/>
    </row>
    <row r="2136" spans="4:4">
      <c r="D2136" s="1"/>
    </row>
    <row r="2137" spans="4:4">
      <c r="D2137" s="1"/>
    </row>
    <row r="2138" spans="4:4">
      <c r="D2138" s="1"/>
    </row>
    <row r="2139" spans="4:4">
      <c r="D2139" s="1"/>
    </row>
    <row r="2140" spans="4:4">
      <c r="D2140" s="1"/>
    </row>
    <row r="2141" spans="4:4">
      <c r="D2141" s="1"/>
    </row>
    <row r="2142" spans="4:4">
      <c r="D2142" s="1"/>
    </row>
    <row r="2143" spans="4:4">
      <c r="D2143" s="1"/>
    </row>
    <row r="2144" spans="4:4">
      <c r="D2144" s="1"/>
    </row>
    <row r="2145" spans="4:4">
      <c r="D2145" s="1"/>
    </row>
    <row r="2146" spans="4:4">
      <c r="D2146" s="1"/>
    </row>
    <row r="2147" spans="4:4">
      <c r="D2147" s="1"/>
    </row>
    <row r="2148" spans="4:4">
      <c r="D2148" s="1"/>
    </row>
    <row r="2149" spans="4:4">
      <c r="D2149" s="1"/>
    </row>
    <row r="2150" spans="4:4">
      <c r="D2150" s="1"/>
    </row>
    <row r="2151" spans="4:4">
      <c r="D2151" s="1"/>
    </row>
    <row r="2152" spans="4:4">
      <c r="D2152" s="1"/>
    </row>
    <row r="2153" spans="4:4">
      <c r="D2153" s="1"/>
    </row>
    <row r="2154" spans="4:4">
      <c r="D2154" s="1"/>
    </row>
    <row r="2155" spans="4:4">
      <c r="D2155" s="1"/>
    </row>
    <row r="2156" spans="4:4">
      <c r="D2156" s="1"/>
    </row>
    <row r="2157" spans="4:4">
      <c r="D2157" s="1"/>
    </row>
    <row r="2158" spans="4:4">
      <c r="D2158" s="1"/>
    </row>
    <row r="2159" spans="4:4">
      <c r="D2159" s="1"/>
    </row>
    <row r="2160" spans="4:4">
      <c r="D2160" s="1"/>
    </row>
    <row r="2161" spans="4:4">
      <c r="D2161" s="1"/>
    </row>
    <row r="2162" spans="4:4">
      <c r="D2162" s="1"/>
    </row>
    <row r="2163" spans="4:4">
      <c r="D2163" s="1"/>
    </row>
    <row r="2164" spans="4:4">
      <c r="D2164" s="1"/>
    </row>
    <row r="2165" spans="4:4">
      <c r="D2165" s="1"/>
    </row>
    <row r="2166" spans="4:4">
      <c r="D2166" s="1"/>
    </row>
    <row r="2167" spans="4:4">
      <c r="D2167" s="1"/>
    </row>
    <row r="2168" spans="4:4">
      <c r="D2168" s="1"/>
    </row>
    <row r="2169" spans="4:4">
      <c r="D2169" s="1"/>
    </row>
    <row r="2170" spans="4:4">
      <c r="D2170" s="1"/>
    </row>
    <row r="2171" spans="4:4">
      <c r="D2171" s="1"/>
    </row>
    <row r="2172" spans="4:4">
      <c r="D2172" s="1"/>
    </row>
    <row r="2173" spans="4:4">
      <c r="D2173" s="1"/>
    </row>
    <row r="2174" spans="4:4">
      <c r="D2174" s="1"/>
    </row>
    <row r="2175" spans="4:4">
      <c r="D2175" s="1"/>
    </row>
    <row r="2176" spans="4:4">
      <c r="D2176" s="1"/>
    </row>
    <row r="2177" spans="4:4">
      <c r="D2177" s="1"/>
    </row>
    <row r="2178" spans="4:4">
      <c r="D2178" s="1"/>
    </row>
    <row r="2179" spans="4:4">
      <c r="D2179" s="1"/>
    </row>
    <row r="2180" spans="4:4">
      <c r="D2180" s="1"/>
    </row>
    <row r="2181" spans="4:4">
      <c r="D2181" s="1"/>
    </row>
    <row r="2182" spans="4:4">
      <c r="D2182" s="1"/>
    </row>
    <row r="2183" spans="4:4">
      <c r="D2183" s="1"/>
    </row>
    <row r="2184" spans="4:4">
      <c r="D2184" s="1"/>
    </row>
    <row r="2185" spans="4:4">
      <c r="D2185" s="1"/>
    </row>
    <row r="2186" spans="4:4">
      <c r="D2186" s="1"/>
    </row>
    <row r="2187" spans="4:4">
      <c r="D2187" s="1"/>
    </row>
    <row r="2188" spans="4:4">
      <c r="D2188" s="1"/>
    </row>
    <row r="2189" spans="4:4">
      <c r="D2189" s="1"/>
    </row>
    <row r="2190" spans="4:4">
      <c r="D2190" s="1"/>
    </row>
    <row r="2191" spans="4:4">
      <c r="D2191" s="1"/>
    </row>
    <row r="2192" spans="4:4">
      <c r="D2192" s="1"/>
    </row>
    <row r="2193" spans="4:4">
      <c r="D2193" s="1"/>
    </row>
    <row r="2194" spans="4:4">
      <c r="D2194" s="1"/>
    </row>
    <row r="2195" spans="4:4">
      <c r="D2195" s="1"/>
    </row>
    <row r="2196" spans="4:4">
      <c r="D2196" s="1"/>
    </row>
    <row r="2197" spans="4:4">
      <c r="D2197" s="1"/>
    </row>
    <row r="2198" spans="4:4">
      <c r="D2198" s="1"/>
    </row>
    <row r="2199" spans="4:4">
      <c r="D2199" s="1"/>
    </row>
    <row r="2200" spans="4:4">
      <c r="D2200" s="1"/>
    </row>
    <row r="2201" spans="4:4">
      <c r="D2201" s="1"/>
    </row>
    <row r="2202" spans="4:4">
      <c r="D2202" s="1"/>
    </row>
    <row r="2203" spans="4:4">
      <c r="D2203" s="1"/>
    </row>
    <row r="2204" spans="4:4">
      <c r="D2204" s="1"/>
    </row>
    <row r="2205" spans="4:4">
      <c r="D2205" s="1"/>
    </row>
    <row r="2206" spans="4:4">
      <c r="D2206" s="1"/>
    </row>
    <row r="2207" spans="4:4">
      <c r="D2207" s="1"/>
    </row>
    <row r="2208" spans="4:4">
      <c r="D2208" s="1"/>
    </row>
    <row r="2209" spans="4:4">
      <c r="D2209" s="1"/>
    </row>
    <row r="2210" spans="4:4">
      <c r="D2210" s="1"/>
    </row>
    <row r="2211" spans="4:4">
      <c r="D2211" s="1"/>
    </row>
    <row r="2212" spans="4:4">
      <c r="D2212" s="1"/>
    </row>
    <row r="2213" spans="4:4">
      <c r="D2213" s="1"/>
    </row>
    <row r="2214" spans="4:4">
      <c r="D2214" s="1"/>
    </row>
    <row r="2215" spans="4:4">
      <c r="D2215" s="1"/>
    </row>
    <row r="2216" spans="4:4">
      <c r="D2216" s="1"/>
    </row>
    <row r="2217" spans="4:4">
      <c r="D2217" s="1"/>
    </row>
    <row r="2218" spans="4:4">
      <c r="D2218" s="1"/>
    </row>
    <row r="2219" spans="4:4">
      <c r="D2219" s="1"/>
    </row>
    <row r="2220" spans="4:4">
      <c r="D2220" s="1"/>
    </row>
    <row r="2221" spans="4:4">
      <c r="D2221" s="1"/>
    </row>
    <row r="2222" spans="4:4">
      <c r="D2222" s="1"/>
    </row>
    <row r="2223" spans="4:4">
      <c r="D2223" s="1"/>
    </row>
    <row r="2224" spans="4:4">
      <c r="D2224" s="1"/>
    </row>
    <row r="2225" spans="4:4">
      <c r="D2225" s="1"/>
    </row>
    <row r="2226" spans="4:4">
      <c r="D2226" s="1"/>
    </row>
    <row r="2227" spans="4:4">
      <c r="D2227" s="1"/>
    </row>
    <row r="2228" spans="4:4">
      <c r="D2228" s="1"/>
    </row>
    <row r="2229" spans="4:4">
      <c r="D2229" s="1"/>
    </row>
    <row r="2230" spans="4:4">
      <c r="D2230" s="1"/>
    </row>
    <row r="2231" spans="4:4">
      <c r="D2231" s="1"/>
    </row>
    <row r="2232" spans="4:4">
      <c r="D2232" s="1"/>
    </row>
    <row r="2233" spans="4:4">
      <c r="D2233" s="1"/>
    </row>
    <row r="2234" spans="4:4">
      <c r="D2234" s="1"/>
    </row>
    <row r="2235" spans="4:4">
      <c r="D2235" s="1"/>
    </row>
    <row r="2236" spans="4:4">
      <c r="D2236" s="1"/>
    </row>
    <row r="2237" spans="4:4">
      <c r="D2237" s="1"/>
    </row>
    <row r="2238" spans="4:4">
      <c r="D2238" s="1"/>
    </row>
    <row r="2239" spans="4:4">
      <c r="D2239" s="1"/>
    </row>
    <row r="2240" spans="4:4">
      <c r="D2240" s="1"/>
    </row>
    <row r="2241" spans="4:4">
      <c r="D2241" s="1"/>
    </row>
    <row r="2242" spans="4:4">
      <c r="D2242" s="1"/>
    </row>
    <row r="2243" spans="4:4">
      <c r="D2243" s="1"/>
    </row>
    <row r="2244" spans="4:4">
      <c r="D2244" s="1"/>
    </row>
    <row r="2245" spans="4:4">
      <c r="D2245" s="1"/>
    </row>
    <row r="2246" spans="4:4">
      <c r="D2246" s="1"/>
    </row>
    <row r="2247" spans="4:4">
      <c r="D2247" s="1"/>
    </row>
    <row r="2248" spans="4:4">
      <c r="D2248" s="1"/>
    </row>
    <row r="2249" spans="4:4">
      <c r="D2249" s="1"/>
    </row>
    <row r="2250" spans="4:4">
      <c r="D2250" s="1"/>
    </row>
    <row r="2251" spans="4:4">
      <c r="D2251" s="1"/>
    </row>
    <row r="2252" spans="4:4">
      <c r="D2252" s="1"/>
    </row>
    <row r="2253" spans="4:4">
      <c r="D2253" s="1"/>
    </row>
    <row r="2254" spans="4:4">
      <c r="D2254" s="1"/>
    </row>
    <row r="2255" spans="4:4">
      <c r="D2255" s="1"/>
    </row>
    <row r="2256" spans="4:4">
      <c r="D2256" s="1"/>
    </row>
    <row r="2257" spans="4:4">
      <c r="D2257" s="1"/>
    </row>
    <row r="2258" spans="4:4">
      <c r="D2258" s="1"/>
    </row>
    <row r="2259" spans="4:4">
      <c r="D2259" s="1"/>
    </row>
    <row r="2260" spans="4:4">
      <c r="D2260" s="1"/>
    </row>
    <row r="2261" spans="4:4">
      <c r="D2261" s="1"/>
    </row>
    <row r="2262" spans="4:4">
      <c r="D2262" s="1"/>
    </row>
    <row r="2263" spans="4:4">
      <c r="D2263" s="1"/>
    </row>
    <row r="2264" spans="4:4">
      <c r="D2264" s="1"/>
    </row>
    <row r="2265" spans="4:4">
      <c r="D2265" s="1"/>
    </row>
    <row r="2266" spans="4:4">
      <c r="D2266" s="1"/>
    </row>
    <row r="2267" spans="4:4">
      <c r="D2267" s="1"/>
    </row>
    <row r="2268" spans="4:4">
      <c r="D2268" s="1"/>
    </row>
    <row r="2269" spans="4:4">
      <c r="D2269" s="1"/>
    </row>
    <row r="2270" spans="4:4">
      <c r="D2270" s="1"/>
    </row>
    <row r="2271" spans="4:4">
      <c r="D2271" s="1"/>
    </row>
    <row r="2272" spans="4:4">
      <c r="D2272" s="1"/>
    </row>
    <row r="2273" spans="4:4">
      <c r="D2273" s="1"/>
    </row>
    <row r="2274" spans="4:4">
      <c r="D2274" s="1"/>
    </row>
    <row r="2275" spans="4:4">
      <c r="D2275" s="1"/>
    </row>
    <row r="2276" spans="4:4">
      <c r="D2276" s="1"/>
    </row>
    <row r="2277" spans="4:4">
      <c r="D2277" s="1"/>
    </row>
    <row r="2278" spans="4:4">
      <c r="D2278" s="1"/>
    </row>
    <row r="2279" spans="4:4">
      <c r="D2279" s="1"/>
    </row>
    <row r="2280" spans="4:4">
      <c r="D2280" s="1"/>
    </row>
    <row r="2281" spans="4:4">
      <c r="D2281" s="1"/>
    </row>
    <row r="2282" spans="4:4">
      <c r="D2282" s="1"/>
    </row>
    <row r="2283" spans="4:4">
      <c r="D2283" s="1"/>
    </row>
    <row r="2284" spans="4:4">
      <c r="D2284" s="1"/>
    </row>
    <row r="2285" spans="4:4">
      <c r="D2285" s="1"/>
    </row>
    <row r="2286" spans="4:4">
      <c r="D2286" s="1"/>
    </row>
    <row r="2287" spans="4:4">
      <c r="D2287" s="1"/>
    </row>
    <row r="2288" spans="4:4">
      <c r="D2288" s="1"/>
    </row>
    <row r="2289" spans="4:4">
      <c r="D2289" s="1"/>
    </row>
    <row r="2290" spans="4:4">
      <c r="D2290" s="1"/>
    </row>
    <row r="2291" spans="4:4">
      <c r="D2291" s="1"/>
    </row>
    <row r="2292" spans="4:4">
      <c r="D2292" s="1"/>
    </row>
    <row r="2293" spans="4:4">
      <c r="D2293" s="1"/>
    </row>
    <row r="2294" spans="4:4">
      <c r="D2294" s="1"/>
    </row>
    <row r="2295" spans="4:4">
      <c r="D2295" s="1"/>
    </row>
    <row r="2296" spans="4:4">
      <c r="D2296" s="1"/>
    </row>
    <row r="2297" spans="4:4">
      <c r="D2297" s="1"/>
    </row>
    <row r="2298" spans="4:4">
      <c r="D2298" s="1"/>
    </row>
    <row r="2299" spans="4:4">
      <c r="D2299" s="1"/>
    </row>
    <row r="2300" spans="4:4">
      <c r="D2300" s="1"/>
    </row>
    <row r="2301" spans="4:4">
      <c r="D2301" s="1"/>
    </row>
    <row r="2302" spans="4:4">
      <c r="D2302" s="1"/>
    </row>
    <row r="2303" spans="4:4">
      <c r="D2303" s="1"/>
    </row>
    <row r="2304" spans="4:4">
      <c r="D2304" s="1"/>
    </row>
    <row r="2305" spans="4:4">
      <c r="D2305" s="1"/>
    </row>
    <row r="2306" spans="4:4">
      <c r="D2306" s="1"/>
    </row>
    <row r="2307" spans="4:4">
      <c r="D2307" s="1"/>
    </row>
    <row r="2308" spans="4:4">
      <c r="D2308" s="1"/>
    </row>
    <row r="2309" spans="4:4">
      <c r="D2309" s="1"/>
    </row>
    <row r="2310" spans="4:4">
      <c r="D2310" s="1"/>
    </row>
    <row r="2311" spans="4:4">
      <c r="D2311" s="1"/>
    </row>
    <row r="2312" spans="4:4">
      <c r="D2312" s="1"/>
    </row>
    <row r="2313" spans="4:4">
      <c r="D2313" s="1"/>
    </row>
    <row r="2314" spans="4:4">
      <c r="D2314" s="1"/>
    </row>
    <row r="2315" spans="4:4">
      <c r="D2315" s="1"/>
    </row>
    <row r="2316" spans="4:4">
      <c r="D2316" s="1"/>
    </row>
    <row r="2317" spans="4:4">
      <c r="D2317" s="1"/>
    </row>
    <row r="2318" spans="4:4">
      <c r="D2318" s="1"/>
    </row>
    <row r="2319" spans="4:4">
      <c r="D2319" s="1"/>
    </row>
    <row r="2320" spans="4:4">
      <c r="D2320" s="1"/>
    </row>
    <row r="2321" spans="4:4">
      <c r="D2321" s="1"/>
    </row>
    <row r="2322" spans="4:4">
      <c r="D2322" s="1"/>
    </row>
    <row r="2323" spans="4:4">
      <c r="D2323" s="1"/>
    </row>
    <row r="2324" spans="4:4">
      <c r="D2324" s="1"/>
    </row>
    <row r="2325" spans="4:4">
      <c r="D2325" s="1"/>
    </row>
    <row r="2326" spans="4:4">
      <c r="D2326" s="1"/>
    </row>
    <row r="2327" spans="4:4">
      <c r="D2327" s="1"/>
    </row>
    <row r="2328" spans="4:4">
      <c r="D2328" s="1"/>
    </row>
    <row r="2329" spans="4:4">
      <c r="D2329" s="1"/>
    </row>
    <row r="2330" spans="4:4">
      <c r="D2330" s="1"/>
    </row>
    <row r="2331" spans="4:4">
      <c r="D2331" s="1"/>
    </row>
    <row r="2332" spans="4:4">
      <c r="D2332" s="1"/>
    </row>
    <row r="2333" spans="4:4">
      <c r="D2333" s="1"/>
    </row>
    <row r="2334" spans="4:4">
      <c r="D2334" s="1"/>
    </row>
    <row r="2335" spans="4:4">
      <c r="D2335" s="1"/>
    </row>
    <row r="2336" spans="4:4">
      <c r="D2336" s="1"/>
    </row>
    <row r="2337" spans="4:4">
      <c r="D2337" s="1"/>
    </row>
    <row r="2338" spans="4:4">
      <c r="D2338" s="1"/>
    </row>
    <row r="2339" spans="4:4">
      <c r="D2339" s="1"/>
    </row>
    <row r="2340" spans="4:4">
      <c r="D2340" s="1"/>
    </row>
    <row r="2341" spans="4:4">
      <c r="D2341" s="1"/>
    </row>
    <row r="2342" spans="4:4">
      <c r="D2342" s="1"/>
    </row>
    <row r="2343" spans="4:4">
      <c r="D2343" s="1"/>
    </row>
    <row r="2344" spans="4:4">
      <c r="D2344" s="1"/>
    </row>
    <row r="2345" spans="4:4">
      <c r="D2345" s="1"/>
    </row>
    <row r="2346" spans="4:4">
      <c r="D2346" s="1"/>
    </row>
    <row r="2347" spans="4:4">
      <c r="D2347" s="1"/>
    </row>
    <row r="2348" spans="4:4">
      <c r="D2348" s="1"/>
    </row>
    <row r="2349" spans="4:4">
      <c r="D2349" s="1"/>
    </row>
    <row r="2350" spans="4:4">
      <c r="D2350" s="1"/>
    </row>
    <row r="2351" spans="4:4">
      <c r="D2351" s="1"/>
    </row>
    <row r="2352" spans="4:4">
      <c r="D2352" s="1"/>
    </row>
    <row r="2353" spans="4:4">
      <c r="D2353" s="1"/>
    </row>
    <row r="2354" spans="4:4">
      <c r="D2354" s="1"/>
    </row>
    <row r="2355" spans="4:4">
      <c r="D2355" s="1"/>
    </row>
    <row r="2356" spans="4:4">
      <c r="D2356" s="1"/>
    </row>
    <row r="2357" spans="4:4">
      <c r="D2357" s="1"/>
    </row>
    <row r="2358" spans="4:4">
      <c r="D2358" s="1"/>
    </row>
    <row r="2359" spans="4:4">
      <c r="D2359" s="1"/>
    </row>
    <row r="2360" spans="4:4">
      <c r="D2360" s="1"/>
    </row>
    <row r="2361" spans="4:4">
      <c r="D2361" s="1"/>
    </row>
    <row r="2362" spans="4:4">
      <c r="D2362" s="1"/>
    </row>
    <row r="2363" spans="4:4">
      <c r="D2363" s="1"/>
    </row>
    <row r="2364" spans="4:4">
      <c r="D2364" s="1"/>
    </row>
    <row r="2365" spans="4:4">
      <c r="D2365" s="1"/>
    </row>
    <row r="2366" spans="4:4">
      <c r="D2366" s="1"/>
    </row>
    <row r="2367" spans="4:4">
      <c r="D2367" s="1"/>
    </row>
    <row r="2368" spans="4:4">
      <c r="D2368" s="1"/>
    </row>
    <row r="2369" spans="4:4">
      <c r="D2369" s="1"/>
    </row>
    <row r="2370" spans="4:4">
      <c r="D2370" s="1"/>
    </row>
    <row r="2371" spans="4:4">
      <c r="D2371" s="1"/>
    </row>
    <row r="2372" spans="4:4">
      <c r="D2372" s="1"/>
    </row>
    <row r="2373" spans="4:4">
      <c r="D2373" s="1"/>
    </row>
    <row r="2374" spans="4:4">
      <c r="D2374" s="1"/>
    </row>
    <row r="2375" spans="4:4">
      <c r="D2375" s="1"/>
    </row>
    <row r="2376" spans="4:4">
      <c r="D2376" s="1"/>
    </row>
    <row r="2377" spans="4:4">
      <c r="D2377" s="1"/>
    </row>
    <row r="2378" spans="4:4">
      <c r="D2378" s="1"/>
    </row>
    <row r="2379" spans="4:4">
      <c r="D2379" s="1"/>
    </row>
    <row r="2380" spans="4:4">
      <c r="D2380" s="1"/>
    </row>
    <row r="2381" spans="4:4">
      <c r="D2381" s="1"/>
    </row>
    <row r="2382" spans="4:4">
      <c r="D2382" s="1"/>
    </row>
    <row r="2383" spans="4:4">
      <c r="D2383" s="1"/>
    </row>
    <row r="2384" spans="4:4">
      <c r="D2384" s="1"/>
    </row>
    <row r="2385" spans="4:4">
      <c r="D2385" s="1"/>
    </row>
    <row r="2386" spans="4:4">
      <c r="D2386" s="1"/>
    </row>
    <row r="2387" spans="4:4">
      <c r="D2387" s="1"/>
    </row>
    <row r="2388" spans="4:4">
      <c r="D2388" s="1"/>
    </row>
    <row r="2389" spans="4:4">
      <c r="D2389" s="1"/>
    </row>
    <row r="2390" spans="4:4">
      <c r="D2390" s="1"/>
    </row>
    <row r="2391" spans="4:4">
      <c r="D2391" s="1"/>
    </row>
    <row r="2392" spans="4:4">
      <c r="D2392" s="1"/>
    </row>
    <row r="2393" spans="4:4">
      <c r="D2393" s="1"/>
    </row>
    <row r="2394" spans="4:4">
      <c r="D2394" s="1"/>
    </row>
    <row r="2395" spans="4:4">
      <c r="D2395" s="1"/>
    </row>
    <row r="2396" spans="4:4">
      <c r="D2396" s="1"/>
    </row>
    <row r="2397" spans="4:4">
      <c r="D2397" s="1"/>
    </row>
    <row r="2398" spans="4:4">
      <c r="D2398" s="1"/>
    </row>
    <row r="2399" spans="4:4">
      <c r="D2399" s="1"/>
    </row>
    <row r="2400" spans="4:4">
      <c r="D2400" s="1"/>
    </row>
    <row r="2401" spans="4:4">
      <c r="D2401" s="1"/>
    </row>
    <row r="2402" spans="4:4">
      <c r="D2402" s="1"/>
    </row>
    <row r="2403" spans="4:4">
      <c r="D2403" s="1"/>
    </row>
    <row r="2404" spans="4:4">
      <c r="D2404" s="1"/>
    </row>
    <row r="2405" spans="4:4">
      <c r="D2405" s="1"/>
    </row>
    <row r="2406" spans="4:4">
      <c r="D2406" s="1"/>
    </row>
    <row r="2407" spans="4:4">
      <c r="D2407" s="1"/>
    </row>
    <row r="2408" spans="4:4">
      <c r="D2408" s="1"/>
    </row>
    <row r="2409" spans="4:4">
      <c r="D2409" s="1"/>
    </row>
    <row r="2410" spans="4:4">
      <c r="D2410" s="1"/>
    </row>
    <row r="2411" spans="4:4">
      <c r="D2411" s="1"/>
    </row>
    <row r="2412" spans="4:4">
      <c r="D2412" s="1"/>
    </row>
    <row r="2413" spans="4:4">
      <c r="D2413" s="1"/>
    </row>
    <row r="2414" spans="4:4">
      <c r="D2414" s="1"/>
    </row>
    <row r="2415" spans="4:4">
      <c r="D2415" s="1"/>
    </row>
    <row r="2416" spans="4:4">
      <c r="D2416" s="1"/>
    </row>
    <row r="2417" spans="4:4">
      <c r="D2417" s="1"/>
    </row>
    <row r="2418" spans="4:4">
      <c r="D2418" s="1"/>
    </row>
    <row r="2419" spans="4:4">
      <c r="D2419" s="1"/>
    </row>
    <row r="2420" spans="4:4">
      <c r="D2420" s="1"/>
    </row>
    <row r="2421" spans="4:4">
      <c r="D2421" s="1"/>
    </row>
    <row r="2422" spans="4:4">
      <c r="D2422" s="1"/>
    </row>
    <row r="2423" spans="4:4">
      <c r="D2423" s="1"/>
    </row>
    <row r="2424" spans="4:4">
      <c r="D2424" s="1"/>
    </row>
    <row r="2425" spans="4:4">
      <c r="D2425" s="1"/>
    </row>
    <row r="2426" spans="4:4">
      <c r="D2426" s="1"/>
    </row>
    <row r="2427" spans="4:4">
      <c r="D2427" s="1"/>
    </row>
    <row r="2428" spans="4:4">
      <c r="D2428" s="1"/>
    </row>
    <row r="2429" spans="4:4">
      <c r="D2429" s="1"/>
    </row>
    <row r="2430" spans="4:4">
      <c r="D2430" s="1"/>
    </row>
    <row r="2431" spans="4:4">
      <c r="D2431" s="1"/>
    </row>
    <row r="2432" spans="4:4">
      <c r="D2432" s="1"/>
    </row>
    <row r="2433" spans="4:4">
      <c r="D2433" s="1"/>
    </row>
    <row r="2434" spans="4:4">
      <c r="D2434" s="1"/>
    </row>
    <row r="2435" spans="4:4">
      <c r="D2435" s="1"/>
    </row>
    <row r="2436" spans="4:4">
      <c r="D2436" s="1"/>
    </row>
    <row r="2437" spans="4:4">
      <c r="D2437" s="1"/>
    </row>
    <row r="2438" spans="4:4">
      <c r="D2438" s="1"/>
    </row>
    <row r="2439" spans="4:4">
      <c r="D2439" s="1"/>
    </row>
    <row r="2440" spans="4:4">
      <c r="D2440" s="1"/>
    </row>
    <row r="2441" spans="4:4">
      <c r="D2441" s="1"/>
    </row>
    <row r="2442" spans="4:4">
      <c r="D2442" s="1"/>
    </row>
    <row r="2443" spans="4:4">
      <c r="D2443" s="1"/>
    </row>
    <row r="2444" spans="4:4">
      <c r="D2444" s="1"/>
    </row>
    <row r="2445" spans="4:4">
      <c r="D2445" s="1"/>
    </row>
    <row r="2446" spans="4:4">
      <c r="D2446" s="1"/>
    </row>
    <row r="2447" spans="4:4">
      <c r="D2447" s="1"/>
    </row>
    <row r="2448" spans="4:4">
      <c r="D2448" s="1"/>
    </row>
    <row r="2449" spans="4:4">
      <c r="D2449" s="1"/>
    </row>
    <row r="2450" spans="4:4">
      <c r="D2450" s="1"/>
    </row>
    <row r="2451" spans="4:4">
      <c r="D2451" s="1"/>
    </row>
    <row r="2452" spans="4:4">
      <c r="D2452" s="1"/>
    </row>
    <row r="2453" spans="4:4">
      <c r="D2453" s="1"/>
    </row>
    <row r="2454" spans="4:4">
      <c r="D2454" s="1"/>
    </row>
    <row r="2455" spans="4:4">
      <c r="D2455" s="1"/>
    </row>
    <row r="2456" spans="4:4">
      <c r="D2456" s="1"/>
    </row>
    <row r="2457" spans="4:4">
      <c r="D2457" s="1"/>
    </row>
    <row r="2458" spans="4:4">
      <c r="D2458" s="1"/>
    </row>
    <row r="2459" spans="4:4">
      <c r="D2459" s="1"/>
    </row>
    <row r="2460" spans="4:4">
      <c r="D2460" s="1"/>
    </row>
    <row r="2461" spans="4:4">
      <c r="D2461" s="1"/>
    </row>
    <row r="2462" spans="4:4">
      <c r="D2462" s="1"/>
    </row>
    <row r="2463" spans="4:4">
      <c r="D2463" s="1"/>
    </row>
    <row r="2464" spans="4:4">
      <c r="D2464" s="1"/>
    </row>
    <row r="2465" spans="4:4">
      <c r="D2465" s="1"/>
    </row>
    <row r="2466" spans="4:4">
      <c r="D2466" s="1"/>
    </row>
    <row r="2467" spans="4:4">
      <c r="D2467" s="1"/>
    </row>
    <row r="2468" spans="4:4">
      <c r="D2468" s="1"/>
    </row>
    <row r="2469" spans="4:4">
      <c r="D2469" s="1"/>
    </row>
    <row r="2470" spans="4:4">
      <c r="D2470" s="1"/>
    </row>
    <row r="2471" spans="4:4">
      <c r="D2471" s="1"/>
    </row>
    <row r="2472" spans="4:4">
      <c r="D2472" s="1"/>
    </row>
    <row r="2473" spans="4:4">
      <c r="D2473" s="1"/>
    </row>
    <row r="2474" spans="4:4">
      <c r="D2474" s="1"/>
    </row>
    <row r="2475" spans="4:4">
      <c r="D2475" s="1"/>
    </row>
    <row r="2476" spans="4:4">
      <c r="D2476" s="1"/>
    </row>
    <row r="2477" spans="4:4">
      <c r="D2477" s="1"/>
    </row>
    <row r="2478" spans="4:4">
      <c r="D2478" s="1"/>
    </row>
    <row r="2479" spans="4:4">
      <c r="D2479" s="1"/>
    </row>
    <row r="2480" spans="4:4">
      <c r="D2480" s="1"/>
    </row>
    <row r="2481" spans="4:4">
      <c r="D2481" s="1"/>
    </row>
    <row r="2482" spans="4:4">
      <c r="D2482" s="1"/>
    </row>
    <row r="2483" spans="4:4">
      <c r="D2483" s="1"/>
    </row>
    <row r="2484" spans="4:4">
      <c r="D2484" s="1"/>
    </row>
    <row r="2485" spans="4:4">
      <c r="D2485" s="1"/>
    </row>
    <row r="2486" spans="4:4">
      <c r="D2486" s="1"/>
    </row>
    <row r="2487" spans="4:4">
      <c r="D2487" s="1"/>
    </row>
    <row r="2488" spans="4:4">
      <c r="D2488" s="1"/>
    </row>
    <row r="2489" spans="4:4">
      <c r="D2489" s="1"/>
    </row>
    <row r="2490" spans="4:4">
      <c r="D2490" s="1"/>
    </row>
    <row r="2491" spans="4:4">
      <c r="D2491" s="1"/>
    </row>
    <row r="2492" spans="4:4">
      <c r="D2492" s="1"/>
    </row>
    <row r="2493" spans="4:4">
      <c r="D2493" s="1"/>
    </row>
    <row r="2494" spans="4:4">
      <c r="D2494" s="1"/>
    </row>
    <row r="2495" spans="4:4">
      <c r="D2495" s="1"/>
    </row>
    <row r="2496" spans="4:4">
      <c r="D2496" s="1"/>
    </row>
    <row r="2497" spans="4:4">
      <c r="D2497" s="1"/>
    </row>
    <row r="2498" spans="4:4">
      <c r="D2498" s="1"/>
    </row>
    <row r="2499" spans="4:4">
      <c r="D2499" s="1"/>
    </row>
    <row r="2500" spans="4:4">
      <c r="D2500" s="1"/>
    </row>
    <row r="2501" spans="4:4">
      <c r="D2501" s="1"/>
    </row>
    <row r="2502" spans="4:4">
      <c r="D2502" s="1"/>
    </row>
    <row r="2503" spans="4:4">
      <c r="D2503" s="1"/>
    </row>
    <row r="2504" spans="4:4">
      <c r="D2504" s="1"/>
    </row>
    <row r="2505" spans="4:4">
      <c r="D2505" s="1"/>
    </row>
    <row r="2506" spans="4:4">
      <c r="D2506" s="1"/>
    </row>
    <row r="2507" spans="4:4">
      <c r="D2507" s="1"/>
    </row>
    <row r="2508" spans="4:4">
      <c r="D2508" s="1"/>
    </row>
    <row r="2509" spans="4:4">
      <c r="D2509" s="1"/>
    </row>
    <row r="2510" spans="4:4">
      <c r="D2510" s="1"/>
    </row>
    <row r="2511" spans="4:4">
      <c r="D2511" s="1"/>
    </row>
    <row r="2512" spans="4:4">
      <c r="D2512" s="1"/>
    </row>
    <row r="2513" spans="4:4">
      <c r="D2513" s="1"/>
    </row>
    <row r="2514" spans="4:4">
      <c r="D2514" s="1"/>
    </row>
    <row r="2515" spans="4:4">
      <c r="D2515" s="1"/>
    </row>
    <row r="2516" spans="4:4">
      <c r="D2516" s="1"/>
    </row>
    <row r="2517" spans="4:4">
      <c r="D2517" s="1"/>
    </row>
    <row r="2518" spans="4:4">
      <c r="D2518" s="1"/>
    </row>
    <row r="2519" spans="4:4">
      <c r="D2519" s="1"/>
    </row>
    <row r="2520" spans="4:4">
      <c r="D2520" s="1"/>
    </row>
    <row r="2521" spans="4:4">
      <c r="D2521" s="1"/>
    </row>
    <row r="2522" spans="4:4">
      <c r="D2522" s="1"/>
    </row>
    <row r="2523" spans="4:4">
      <c r="D2523" s="1"/>
    </row>
    <row r="2524" spans="4:4">
      <c r="D2524" s="1"/>
    </row>
    <row r="2525" spans="4:4">
      <c r="D2525" s="1"/>
    </row>
    <row r="2526" spans="4:4">
      <c r="D2526" s="1"/>
    </row>
    <row r="2527" spans="4:4">
      <c r="D2527" s="1"/>
    </row>
    <row r="2528" spans="4:4">
      <c r="D2528" s="1"/>
    </row>
    <row r="2529" spans="4:4">
      <c r="D2529" s="1"/>
    </row>
    <row r="2530" spans="4:4">
      <c r="D2530" s="1"/>
    </row>
    <row r="2531" spans="4:4">
      <c r="D2531" s="1"/>
    </row>
    <row r="2532" spans="4:4">
      <c r="D2532" s="1"/>
    </row>
    <row r="2533" spans="4:4">
      <c r="D2533" s="1"/>
    </row>
    <row r="2534" spans="4:4">
      <c r="D2534" s="1"/>
    </row>
    <row r="2535" spans="4:4">
      <c r="D2535" s="1"/>
    </row>
    <row r="2536" spans="4:4">
      <c r="D2536" s="1"/>
    </row>
    <row r="2537" spans="4:4">
      <c r="D2537" s="1"/>
    </row>
    <row r="2538" spans="4:4">
      <c r="D2538" s="1"/>
    </row>
    <row r="2539" spans="4:4">
      <c r="D2539" s="1"/>
    </row>
    <row r="2540" spans="4:4">
      <c r="D2540" s="1"/>
    </row>
    <row r="2541" spans="4:4">
      <c r="D2541" s="1"/>
    </row>
    <row r="2542" spans="4:4">
      <c r="D2542" s="1"/>
    </row>
    <row r="2543" spans="4:4">
      <c r="D2543" s="1"/>
    </row>
    <row r="2544" spans="4:4">
      <c r="D2544" s="1"/>
    </row>
    <row r="2545" spans="4:4">
      <c r="D2545" s="1"/>
    </row>
    <row r="2546" spans="4:4">
      <c r="D2546" s="1"/>
    </row>
    <row r="2547" spans="4:4">
      <c r="D2547" s="1"/>
    </row>
    <row r="2548" spans="4:4">
      <c r="D2548" s="1"/>
    </row>
    <row r="2549" spans="4:4">
      <c r="D2549" s="1"/>
    </row>
    <row r="2550" spans="4:4">
      <c r="D2550" s="1"/>
    </row>
    <row r="2551" spans="4:4">
      <c r="D2551" s="1"/>
    </row>
    <row r="2552" spans="4:4">
      <c r="D2552" s="1"/>
    </row>
    <row r="2553" spans="4:4">
      <c r="D2553" s="1"/>
    </row>
    <row r="2554" spans="4:4">
      <c r="D2554" s="1"/>
    </row>
    <row r="2555" spans="4:4">
      <c r="D2555" s="1"/>
    </row>
    <row r="2556" spans="4:4">
      <c r="D2556" s="1"/>
    </row>
    <row r="2557" spans="4:4">
      <c r="D2557" s="1"/>
    </row>
    <row r="2558" spans="4:4">
      <c r="D2558" s="1"/>
    </row>
    <row r="2559" spans="4:4">
      <c r="D2559" s="1"/>
    </row>
    <row r="2560" spans="4:4">
      <c r="D2560" s="1"/>
    </row>
    <row r="2561" spans="4:4">
      <c r="D2561" s="1"/>
    </row>
    <row r="2562" spans="4:4">
      <c r="D2562" s="1"/>
    </row>
    <row r="2563" spans="4:4">
      <c r="D2563" s="1"/>
    </row>
    <row r="2564" spans="4:4">
      <c r="D2564" s="1"/>
    </row>
    <row r="2565" spans="4:4">
      <c r="D2565" s="1"/>
    </row>
    <row r="2566" spans="4:4">
      <c r="D2566" s="1"/>
    </row>
    <row r="2567" spans="4:4">
      <c r="D2567" s="1"/>
    </row>
    <row r="2568" spans="4:4">
      <c r="D2568" s="1"/>
    </row>
    <row r="2569" spans="4:4">
      <c r="D2569" s="1"/>
    </row>
    <row r="2570" spans="4:4">
      <c r="D2570" s="1"/>
    </row>
    <row r="2571" spans="4:4">
      <c r="D2571" s="1"/>
    </row>
    <row r="2572" spans="4:4">
      <c r="D2572" s="1"/>
    </row>
    <row r="2573" spans="4:4">
      <c r="D2573" s="1"/>
    </row>
    <row r="2574" spans="4:4">
      <c r="D2574" s="1"/>
    </row>
    <row r="2575" spans="4:4">
      <c r="D2575" s="1"/>
    </row>
    <row r="2576" spans="4:4">
      <c r="D2576" s="1"/>
    </row>
    <row r="2577" spans="4:4">
      <c r="D2577" s="1"/>
    </row>
    <row r="2578" spans="4:4">
      <c r="D2578" s="1"/>
    </row>
    <row r="2579" spans="4:4">
      <c r="D2579" s="1"/>
    </row>
    <row r="2580" spans="4:4">
      <c r="D2580" s="1"/>
    </row>
    <row r="2581" spans="4:4">
      <c r="D2581" s="1"/>
    </row>
    <row r="2582" spans="4:4">
      <c r="D2582" s="1"/>
    </row>
    <row r="2583" spans="4:4">
      <c r="D2583" s="1"/>
    </row>
    <row r="2584" spans="4:4">
      <c r="D2584" s="1"/>
    </row>
    <row r="2585" spans="4:4">
      <c r="D2585" s="1"/>
    </row>
    <row r="2586" spans="4:4">
      <c r="D2586" s="1"/>
    </row>
    <row r="2587" spans="4:4">
      <c r="D2587" s="1"/>
    </row>
    <row r="2588" spans="4:4">
      <c r="D2588" s="1"/>
    </row>
    <row r="2589" spans="4:4">
      <c r="D2589" s="1"/>
    </row>
    <row r="2590" spans="4:4">
      <c r="D2590" s="1"/>
    </row>
    <row r="2591" spans="4:4">
      <c r="D2591" s="1"/>
    </row>
    <row r="2592" spans="4:4">
      <c r="D2592" s="1"/>
    </row>
    <row r="2593" spans="4:4">
      <c r="D2593" s="1"/>
    </row>
    <row r="2594" spans="4:4">
      <c r="D2594" s="1"/>
    </row>
    <row r="2595" spans="4:4">
      <c r="D2595" s="1"/>
    </row>
    <row r="2596" spans="4:4">
      <c r="D2596" s="1"/>
    </row>
    <row r="2597" spans="4:4">
      <c r="D2597" s="1"/>
    </row>
    <row r="2598" spans="4:4">
      <c r="D2598" s="1"/>
    </row>
    <row r="2599" spans="4:4">
      <c r="D2599" s="1"/>
    </row>
    <row r="2600" spans="4:4">
      <c r="D2600" s="1"/>
    </row>
    <row r="2601" spans="4:4">
      <c r="D2601" s="1"/>
    </row>
    <row r="2602" spans="4:4">
      <c r="D2602" s="1"/>
    </row>
    <row r="2603" spans="4:4">
      <c r="D2603" s="1"/>
    </row>
    <row r="2604" spans="4:4">
      <c r="D2604" s="1"/>
    </row>
    <row r="2605" spans="4:4">
      <c r="D2605" s="1"/>
    </row>
    <row r="2606" spans="4:4">
      <c r="D2606" s="1"/>
    </row>
    <row r="2607" spans="4:4">
      <c r="D2607" s="1"/>
    </row>
    <row r="2608" spans="4:4">
      <c r="D2608" s="1"/>
    </row>
    <row r="2609" spans="4:4">
      <c r="D2609" s="1"/>
    </row>
    <row r="2610" spans="4:4">
      <c r="D2610" s="1"/>
    </row>
    <row r="2611" spans="4:4">
      <c r="D2611" s="1"/>
    </row>
    <row r="2612" spans="4:4">
      <c r="D2612" s="1"/>
    </row>
    <row r="2613" spans="4:4">
      <c r="D2613" s="1"/>
    </row>
    <row r="2614" spans="4:4">
      <c r="D2614" s="1"/>
    </row>
    <row r="2615" spans="4:4">
      <c r="D2615" s="1"/>
    </row>
    <row r="2616" spans="4:4">
      <c r="D2616" s="1"/>
    </row>
    <row r="2617" spans="4:4">
      <c r="D2617" s="1"/>
    </row>
    <row r="2618" spans="4:4">
      <c r="D2618" s="1"/>
    </row>
    <row r="2619" spans="4:4">
      <c r="D2619" s="1"/>
    </row>
    <row r="2620" spans="4:4">
      <c r="D2620" s="1"/>
    </row>
    <row r="2621" spans="4:4">
      <c r="D2621" s="1"/>
    </row>
    <row r="2622" spans="4:4">
      <c r="D2622" s="1"/>
    </row>
    <row r="2623" spans="4:4">
      <c r="D2623" s="1"/>
    </row>
    <row r="2624" spans="4:4">
      <c r="D2624" s="1"/>
    </row>
    <row r="2625" spans="4:4">
      <c r="D2625" s="1"/>
    </row>
    <row r="2626" spans="4:4">
      <c r="D2626" s="1"/>
    </row>
    <row r="2627" spans="4:4">
      <c r="D2627" s="1"/>
    </row>
    <row r="2628" spans="4:4">
      <c r="D2628" s="1"/>
    </row>
    <row r="2629" spans="4:4">
      <c r="D2629" s="1"/>
    </row>
    <row r="2630" spans="4:4">
      <c r="D2630" s="1"/>
    </row>
    <row r="2631" spans="4:4">
      <c r="D2631" s="1"/>
    </row>
    <row r="2632" spans="4:4">
      <c r="D2632" s="1"/>
    </row>
    <row r="2633" spans="4:4">
      <c r="D2633" s="1"/>
    </row>
    <row r="2634" spans="4:4">
      <c r="D2634" s="1"/>
    </row>
    <row r="2635" spans="4:4">
      <c r="D2635" s="1"/>
    </row>
    <row r="2636" spans="4:4">
      <c r="D2636" s="1"/>
    </row>
    <row r="2637" spans="4:4">
      <c r="D2637" s="1"/>
    </row>
    <row r="2638" spans="4:4">
      <c r="D2638" s="1"/>
    </row>
    <row r="2639" spans="4:4">
      <c r="D2639" s="1"/>
    </row>
    <row r="2640" spans="4:4">
      <c r="D2640" s="1"/>
    </row>
    <row r="2641" spans="4:4">
      <c r="D2641" s="1"/>
    </row>
    <row r="2642" spans="4:4">
      <c r="D2642" s="1"/>
    </row>
    <row r="2643" spans="4:4">
      <c r="D2643" s="1"/>
    </row>
    <row r="2644" spans="4:4">
      <c r="D2644" s="1"/>
    </row>
    <row r="2645" spans="4:4">
      <c r="D2645" s="1"/>
    </row>
    <row r="2646" spans="4:4">
      <c r="D2646" s="1"/>
    </row>
    <row r="2647" spans="4:4">
      <c r="D2647" s="1"/>
    </row>
    <row r="2648" spans="4:4">
      <c r="D2648" s="1"/>
    </row>
    <row r="2649" spans="4:4">
      <c r="D2649" s="1"/>
    </row>
    <row r="2650" spans="4:4">
      <c r="D2650" s="1"/>
    </row>
    <row r="2651" spans="4:4">
      <c r="D2651" s="1"/>
    </row>
    <row r="2652" spans="4:4">
      <c r="D2652" s="1"/>
    </row>
    <row r="2653" spans="4:4">
      <c r="D2653" s="1"/>
    </row>
    <row r="2654" spans="4:4">
      <c r="D2654" s="1"/>
    </row>
    <row r="2655" spans="4:4">
      <c r="D2655" s="1"/>
    </row>
    <row r="2656" spans="4:4">
      <c r="D2656" s="1"/>
    </row>
    <row r="2657" spans="4:4">
      <c r="D2657" s="1"/>
    </row>
    <row r="2658" spans="4:4">
      <c r="D2658" s="1"/>
    </row>
    <row r="2659" spans="4:4">
      <c r="D2659" s="1"/>
    </row>
    <row r="2660" spans="4:4">
      <c r="D2660" s="1"/>
    </row>
    <row r="2661" spans="4:4">
      <c r="D2661" s="1"/>
    </row>
    <row r="2662" spans="4:4">
      <c r="D2662" s="1"/>
    </row>
    <row r="2663" spans="4:4">
      <c r="D2663" s="1"/>
    </row>
    <row r="2664" spans="4:4">
      <c r="D2664" s="1"/>
    </row>
    <row r="2665" spans="4:4">
      <c r="D2665" s="1"/>
    </row>
    <row r="2666" spans="4:4">
      <c r="D2666" s="1"/>
    </row>
    <row r="2667" spans="4:4">
      <c r="D2667" s="1"/>
    </row>
    <row r="2668" spans="4:4">
      <c r="D2668" s="1"/>
    </row>
    <row r="2669" spans="4:4">
      <c r="D2669" s="1"/>
    </row>
    <row r="2670" spans="4:4">
      <c r="D2670" s="1"/>
    </row>
    <row r="2671" spans="4:4">
      <c r="D2671" s="1"/>
    </row>
    <row r="2672" spans="4:4">
      <c r="D2672" s="1"/>
    </row>
    <row r="2673" spans="4:4">
      <c r="D2673" s="1"/>
    </row>
    <row r="2674" spans="4:4">
      <c r="D2674" s="1"/>
    </row>
    <row r="2675" spans="4:4">
      <c r="D2675" s="1"/>
    </row>
    <row r="2676" spans="4:4">
      <c r="D2676" s="1"/>
    </row>
    <row r="2677" spans="4:4">
      <c r="D2677" s="1"/>
    </row>
    <row r="2678" spans="4:4">
      <c r="D2678" s="1"/>
    </row>
    <row r="2679" spans="4:4">
      <c r="D2679" s="1"/>
    </row>
    <row r="2680" spans="4:4">
      <c r="D2680" s="1"/>
    </row>
    <row r="2681" spans="4:4">
      <c r="D2681" s="1"/>
    </row>
    <row r="2682" spans="4:4">
      <c r="D2682" s="1"/>
    </row>
    <row r="2683" spans="4:4">
      <c r="D2683" s="1"/>
    </row>
    <row r="2684" spans="4:4">
      <c r="D2684" s="1"/>
    </row>
    <row r="2685" spans="4:4">
      <c r="D2685" s="1"/>
    </row>
    <row r="2686" spans="4:4">
      <c r="D2686" s="1"/>
    </row>
    <row r="2687" spans="4:4">
      <c r="D2687" s="1"/>
    </row>
    <row r="2688" spans="4:4">
      <c r="D2688" s="1"/>
    </row>
    <row r="2689" spans="4:4">
      <c r="D2689" s="1"/>
    </row>
    <row r="2690" spans="4:4">
      <c r="D2690" s="1"/>
    </row>
    <row r="2691" spans="4:4">
      <c r="D2691" s="1"/>
    </row>
    <row r="2692" spans="4:4">
      <c r="D2692" s="1"/>
    </row>
    <row r="2693" spans="4:4">
      <c r="D2693" s="1"/>
    </row>
    <row r="2694" spans="4:4">
      <c r="D2694" s="1"/>
    </row>
    <row r="2695" spans="4:4">
      <c r="D2695" s="1"/>
    </row>
    <row r="2696" spans="4:4">
      <c r="D2696" s="1"/>
    </row>
    <row r="2697" spans="4:4">
      <c r="D2697" s="1"/>
    </row>
    <row r="2698" spans="4:4">
      <c r="D2698" s="1"/>
    </row>
    <row r="2699" spans="4:4">
      <c r="D2699" s="1"/>
    </row>
    <row r="2700" spans="4:4">
      <c r="D2700" s="1"/>
    </row>
    <row r="2701" spans="4:4">
      <c r="D2701" s="1"/>
    </row>
    <row r="2702" spans="4:4">
      <c r="D2702" s="1"/>
    </row>
    <row r="2703" spans="4:4">
      <c r="D2703" s="1"/>
    </row>
    <row r="2704" spans="4:4">
      <c r="D2704" s="1"/>
    </row>
    <row r="2705" spans="4:4">
      <c r="D2705" s="1"/>
    </row>
    <row r="2706" spans="4:4">
      <c r="D2706" s="1"/>
    </row>
    <row r="2707" spans="4:4">
      <c r="D2707" s="1"/>
    </row>
    <row r="2708" spans="4:4">
      <c r="D2708" s="1"/>
    </row>
    <row r="2709" spans="4:4">
      <c r="D2709" s="1"/>
    </row>
    <row r="2710" spans="4:4">
      <c r="D2710" s="1"/>
    </row>
    <row r="2711" spans="4:4">
      <c r="D2711" s="1"/>
    </row>
    <row r="2712" spans="4:4">
      <c r="D2712" s="1"/>
    </row>
    <row r="2713" spans="4:4">
      <c r="D2713" s="1"/>
    </row>
    <row r="2714" spans="4:4">
      <c r="D2714" s="1"/>
    </row>
    <row r="2715" spans="4:4">
      <c r="D2715" s="1"/>
    </row>
    <row r="2716" spans="4:4">
      <c r="D2716" s="1"/>
    </row>
    <row r="2717" spans="4:4">
      <c r="D2717" s="1"/>
    </row>
    <row r="2718" spans="4:4">
      <c r="D2718" s="1"/>
    </row>
    <row r="2719" spans="4:4">
      <c r="D2719" s="1"/>
    </row>
    <row r="2720" spans="4:4">
      <c r="D2720" s="1"/>
    </row>
    <row r="2721" spans="4:4">
      <c r="D2721" s="1"/>
    </row>
    <row r="2722" spans="4:4">
      <c r="D2722" s="1"/>
    </row>
    <row r="2723" spans="4:4">
      <c r="D2723" s="1"/>
    </row>
    <row r="2724" spans="4:4">
      <c r="D2724" s="1"/>
    </row>
    <row r="2725" spans="4:4">
      <c r="D2725" s="1"/>
    </row>
    <row r="2726" spans="4:4">
      <c r="D2726" s="1"/>
    </row>
    <row r="2727" spans="4:4">
      <c r="D2727" s="1"/>
    </row>
    <row r="2728" spans="4:4">
      <c r="D2728" s="1"/>
    </row>
    <row r="2729" spans="4:4">
      <c r="D2729" s="1"/>
    </row>
    <row r="2730" spans="4:4">
      <c r="D2730" s="1"/>
    </row>
    <row r="2731" spans="4:4">
      <c r="D2731" s="1"/>
    </row>
    <row r="2732" spans="4:4">
      <c r="D2732" s="1"/>
    </row>
    <row r="2733" spans="4:4">
      <c r="D2733" s="1"/>
    </row>
    <row r="2734" spans="4:4">
      <c r="D2734" s="1"/>
    </row>
    <row r="2735" spans="4:4">
      <c r="D2735" s="1"/>
    </row>
    <row r="2736" spans="4:4">
      <c r="D2736" s="1"/>
    </row>
    <row r="2737" spans="4:4">
      <c r="D2737" s="1"/>
    </row>
    <row r="2738" spans="4:4">
      <c r="D2738" s="1"/>
    </row>
    <row r="2739" spans="4:4">
      <c r="D2739" s="1"/>
    </row>
    <row r="2740" spans="4:4">
      <c r="D2740" s="1"/>
    </row>
    <row r="2741" spans="4:4">
      <c r="D2741" s="1"/>
    </row>
    <row r="2742" spans="4:4">
      <c r="D2742" s="1"/>
    </row>
    <row r="2743" spans="4:4">
      <c r="D2743" s="1"/>
    </row>
    <row r="2744" spans="4:4">
      <c r="D2744" s="1"/>
    </row>
    <row r="2745" spans="4:4">
      <c r="D2745" s="1"/>
    </row>
    <row r="2746" spans="4:4">
      <c r="D2746" s="1"/>
    </row>
    <row r="2747" spans="4:4">
      <c r="D2747" s="1"/>
    </row>
    <row r="2748" spans="4:4">
      <c r="D2748" s="1"/>
    </row>
    <row r="2749" spans="4:4">
      <c r="D2749" s="1"/>
    </row>
    <row r="2750" spans="4:4">
      <c r="D2750" s="1"/>
    </row>
    <row r="2751" spans="4:4">
      <c r="D2751" s="1"/>
    </row>
    <row r="2752" spans="4:4">
      <c r="D2752" s="1"/>
    </row>
    <row r="2753" spans="4:4">
      <c r="D2753" s="1"/>
    </row>
    <row r="2754" spans="4:4">
      <c r="D2754" s="1"/>
    </row>
    <row r="2755" spans="4:4">
      <c r="D2755" s="1"/>
    </row>
    <row r="2756" spans="4:4">
      <c r="D2756" s="1"/>
    </row>
    <row r="2757" spans="4:4">
      <c r="D2757" s="1"/>
    </row>
    <row r="2758" spans="4:4">
      <c r="D2758" s="1"/>
    </row>
    <row r="2759" spans="4:4">
      <c r="D2759" s="1"/>
    </row>
    <row r="2760" spans="4:4">
      <c r="D2760" s="1"/>
    </row>
    <row r="2761" spans="4:4">
      <c r="D2761" s="1"/>
    </row>
    <row r="2762" spans="4:4">
      <c r="D2762" s="1"/>
    </row>
    <row r="2763" spans="4:4">
      <c r="D2763" s="1"/>
    </row>
    <row r="2764" spans="4:4">
      <c r="D2764" s="1"/>
    </row>
    <row r="2765" spans="4:4">
      <c r="D2765" s="1"/>
    </row>
    <row r="2766" spans="4:4">
      <c r="D2766" s="1"/>
    </row>
    <row r="2767" spans="4:4">
      <c r="D2767" s="1"/>
    </row>
    <row r="2768" spans="4:4">
      <c r="D2768" s="1"/>
    </row>
    <row r="2769" spans="4:4">
      <c r="D2769" s="1"/>
    </row>
    <row r="2770" spans="4:4">
      <c r="D2770" s="1"/>
    </row>
    <row r="2771" spans="4:4">
      <c r="D2771" s="1"/>
    </row>
    <row r="2772" spans="4:4">
      <c r="D2772" s="1"/>
    </row>
    <row r="2773" spans="4:4">
      <c r="D2773" s="1"/>
    </row>
    <row r="2774" spans="4:4">
      <c r="D2774" s="1"/>
    </row>
    <row r="2775" spans="4:4">
      <c r="D2775" s="1"/>
    </row>
    <row r="2776" spans="4:4">
      <c r="D2776" s="1"/>
    </row>
    <row r="2777" spans="4:4">
      <c r="D2777" s="1"/>
    </row>
    <row r="2778" spans="4:4">
      <c r="D2778" s="1"/>
    </row>
    <row r="2779" spans="4:4">
      <c r="D2779" s="1"/>
    </row>
    <row r="2780" spans="4:4">
      <c r="D2780" s="1"/>
    </row>
    <row r="2781" spans="4:4">
      <c r="D2781" s="1"/>
    </row>
    <row r="2782" spans="4:4">
      <c r="D2782" s="1"/>
    </row>
    <row r="2783" spans="4:4">
      <c r="D2783" s="1"/>
    </row>
    <row r="2784" spans="4:4">
      <c r="D2784" s="1"/>
    </row>
    <row r="2785" spans="4:4">
      <c r="D2785" s="1"/>
    </row>
    <row r="2786" spans="4:4">
      <c r="D2786" s="1"/>
    </row>
    <row r="2787" spans="4:4">
      <c r="D2787" s="1"/>
    </row>
    <row r="2788" spans="4:4">
      <c r="D2788" s="1"/>
    </row>
    <row r="2789" spans="4:4">
      <c r="D2789" s="1"/>
    </row>
    <row r="2790" spans="4:4">
      <c r="D2790" s="1"/>
    </row>
    <row r="2791" spans="4:4">
      <c r="D2791" s="1"/>
    </row>
    <row r="2792" spans="4:4">
      <c r="D2792" s="1"/>
    </row>
    <row r="2793" spans="4:4">
      <c r="D2793" s="1"/>
    </row>
    <row r="2794" spans="4:4">
      <c r="D2794" s="1"/>
    </row>
    <row r="2795" spans="4:4">
      <c r="D2795" s="1"/>
    </row>
    <row r="2796" spans="4:4">
      <c r="D2796" s="1"/>
    </row>
    <row r="2797" spans="4:4">
      <c r="D2797" s="1"/>
    </row>
    <row r="2798" spans="4:4">
      <c r="D2798" s="1"/>
    </row>
    <row r="2799" spans="4:4">
      <c r="D2799" s="1"/>
    </row>
    <row r="2800" spans="4:4">
      <c r="D2800" s="1"/>
    </row>
    <row r="2801" spans="4:4">
      <c r="D2801" s="1"/>
    </row>
    <row r="2802" spans="4:4">
      <c r="D2802" s="1"/>
    </row>
    <row r="2803" spans="4:4">
      <c r="D2803" s="1"/>
    </row>
    <row r="2804" spans="4:4">
      <c r="D2804" s="1"/>
    </row>
    <row r="2805" spans="4:4">
      <c r="D2805" s="1"/>
    </row>
    <row r="2806" spans="4:4">
      <c r="D2806" s="1"/>
    </row>
    <row r="2807" spans="4:4">
      <c r="D2807" s="1"/>
    </row>
    <row r="2808" spans="4:4">
      <c r="D2808" s="1"/>
    </row>
    <row r="2809" spans="4:4">
      <c r="D2809" s="1"/>
    </row>
    <row r="2810" spans="4:4">
      <c r="D2810" s="1"/>
    </row>
    <row r="2811" spans="4:4">
      <c r="D2811" s="1"/>
    </row>
    <row r="2812" spans="4:4">
      <c r="D2812" s="1"/>
    </row>
    <row r="2813" spans="4:4">
      <c r="D2813" s="1"/>
    </row>
    <row r="2814" spans="4:4">
      <c r="D2814" s="1"/>
    </row>
    <row r="2815" spans="4:4">
      <c r="D2815" s="1"/>
    </row>
    <row r="2816" spans="4:4">
      <c r="D2816" s="1"/>
    </row>
    <row r="2817" spans="4:4">
      <c r="D2817" s="1"/>
    </row>
    <row r="2818" spans="4:4">
      <c r="D2818" s="1"/>
    </row>
    <row r="2819" spans="4:4">
      <c r="D2819" s="1"/>
    </row>
    <row r="2820" spans="4:4">
      <c r="D2820" s="1"/>
    </row>
    <row r="2821" spans="4:4">
      <c r="D2821" s="1"/>
    </row>
    <row r="2822" spans="4:4">
      <c r="D2822" s="1"/>
    </row>
    <row r="2823" spans="4:4">
      <c r="D2823" s="1"/>
    </row>
    <row r="2824" spans="4:4">
      <c r="D2824" s="1"/>
    </row>
    <row r="2825" spans="4:4">
      <c r="D2825" s="1"/>
    </row>
    <row r="2826" spans="4:4">
      <c r="D2826" s="1"/>
    </row>
    <row r="2827" spans="4:4">
      <c r="D2827" s="1"/>
    </row>
    <row r="2828" spans="4:4">
      <c r="D2828" s="1"/>
    </row>
    <row r="2829" spans="4:4">
      <c r="D2829" s="1"/>
    </row>
    <row r="2830" spans="4:4">
      <c r="D2830" s="1"/>
    </row>
    <row r="2831" spans="4:4">
      <c r="D2831" s="1"/>
    </row>
    <row r="2832" spans="4:4">
      <c r="D2832" s="1"/>
    </row>
    <row r="2833" spans="4:4">
      <c r="D2833" s="1"/>
    </row>
    <row r="2834" spans="4:4">
      <c r="D2834" s="1"/>
    </row>
    <row r="2835" spans="4:4">
      <c r="D2835" s="1"/>
    </row>
    <row r="2836" spans="4:4">
      <c r="D2836" s="1"/>
    </row>
    <row r="2837" spans="4:4">
      <c r="D2837" s="1"/>
    </row>
    <row r="2838" spans="4:4">
      <c r="D2838" s="1"/>
    </row>
    <row r="2839" spans="4:4">
      <c r="D2839" s="1"/>
    </row>
    <row r="2840" spans="4:4">
      <c r="D2840" s="1"/>
    </row>
    <row r="2841" spans="4:4">
      <c r="D2841" s="1"/>
    </row>
    <row r="2842" spans="4:4">
      <c r="D2842" s="1"/>
    </row>
    <row r="2843" spans="4:4">
      <c r="D2843" s="1"/>
    </row>
    <row r="2844" spans="4:4">
      <c r="D2844" s="1"/>
    </row>
    <row r="2845" spans="4:4">
      <c r="D2845" s="1"/>
    </row>
    <row r="2846" spans="4:4">
      <c r="D2846" s="1"/>
    </row>
    <row r="2847" spans="4:4">
      <c r="D2847" s="1"/>
    </row>
    <row r="2848" spans="4:4">
      <c r="D2848" s="1"/>
    </row>
    <row r="2849" spans="4:4">
      <c r="D2849" s="1"/>
    </row>
    <row r="2850" spans="4:4">
      <c r="D2850" s="1"/>
    </row>
    <row r="2851" spans="4:4">
      <c r="D2851" s="1"/>
    </row>
    <row r="2852" spans="4:4">
      <c r="D2852" s="1"/>
    </row>
    <row r="2853" spans="4:4">
      <c r="D2853" s="1"/>
    </row>
    <row r="2854" spans="4:4">
      <c r="D2854" s="1"/>
    </row>
    <row r="2855" spans="4:4">
      <c r="D2855" s="1"/>
    </row>
    <row r="2856" spans="4:4">
      <c r="D2856" s="1"/>
    </row>
    <row r="2857" spans="4:4">
      <c r="D2857" s="1"/>
    </row>
    <row r="2858" spans="4:4">
      <c r="D2858" s="1"/>
    </row>
    <row r="2859" spans="4:4">
      <c r="D2859" s="1"/>
    </row>
    <row r="2860" spans="4:4">
      <c r="D2860" s="1"/>
    </row>
    <row r="2861" spans="4:4">
      <c r="D2861" s="1"/>
    </row>
    <row r="2862" spans="4:4">
      <c r="D2862" s="1"/>
    </row>
    <row r="2863" spans="4:4">
      <c r="D2863" s="1"/>
    </row>
    <row r="2864" spans="4:4">
      <c r="D2864" s="1"/>
    </row>
    <row r="2865" spans="4:4">
      <c r="D2865" s="1"/>
    </row>
    <row r="2866" spans="4:4">
      <c r="D2866" s="1"/>
    </row>
    <row r="2867" spans="4:4">
      <c r="D2867" s="1"/>
    </row>
    <row r="2868" spans="4:4">
      <c r="D2868" s="1"/>
    </row>
    <row r="2869" spans="4:4">
      <c r="D2869" s="1"/>
    </row>
    <row r="2870" spans="4:4">
      <c r="D2870" s="1"/>
    </row>
    <row r="2871" spans="4:4">
      <c r="D2871" s="1"/>
    </row>
    <row r="2872" spans="4:4">
      <c r="D2872" s="1"/>
    </row>
    <row r="2873" spans="4:4">
      <c r="D2873" s="1"/>
    </row>
    <row r="2874" spans="4:4">
      <c r="D2874" s="1"/>
    </row>
    <row r="2875" spans="4:4">
      <c r="D2875" s="1"/>
    </row>
    <row r="2876" spans="4:4">
      <c r="D2876" s="1"/>
    </row>
    <row r="2877" spans="4:4">
      <c r="D2877" s="1"/>
    </row>
    <row r="2878" spans="4:4">
      <c r="D2878" s="1"/>
    </row>
    <row r="2879" spans="4:4">
      <c r="D2879" s="1"/>
    </row>
    <row r="2880" spans="4:4">
      <c r="D2880" s="1"/>
    </row>
    <row r="2881" spans="4:4">
      <c r="D2881" s="1"/>
    </row>
    <row r="2882" spans="4:4">
      <c r="D2882" s="1"/>
    </row>
    <row r="2883" spans="4:4">
      <c r="D2883" s="1"/>
    </row>
    <row r="2884" spans="4:4">
      <c r="D2884" s="1"/>
    </row>
    <row r="2885" spans="4:4">
      <c r="D2885" s="1"/>
    </row>
    <row r="2886" spans="4:4">
      <c r="D2886" s="1"/>
    </row>
    <row r="2887" spans="4:4">
      <c r="D2887" s="1"/>
    </row>
    <row r="2888" spans="4:4">
      <c r="D2888" s="1"/>
    </row>
    <row r="2889" spans="4:4">
      <c r="D2889" s="1"/>
    </row>
    <row r="2890" spans="4:4">
      <c r="D2890" s="1"/>
    </row>
    <row r="2891" spans="4:4">
      <c r="D2891" s="1"/>
    </row>
    <row r="2892" spans="4:4">
      <c r="D2892" s="1"/>
    </row>
    <row r="2893" spans="4:4">
      <c r="D2893" s="1"/>
    </row>
    <row r="2894" spans="4:4">
      <c r="D2894" s="1"/>
    </row>
    <row r="2895" spans="4:4">
      <c r="D2895" s="1"/>
    </row>
    <row r="2896" spans="4:4">
      <c r="D2896" s="1"/>
    </row>
    <row r="2897" spans="4:4">
      <c r="D2897" s="1"/>
    </row>
    <row r="2898" spans="4:4">
      <c r="D2898" s="1"/>
    </row>
    <row r="2899" spans="4:4">
      <c r="D2899" s="1"/>
    </row>
    <row r="2900" spans="4:4">
      <c r="D2900" s="1"/>
    </row>
    <row r="2901" spans="4:4">
      <c r="D2901" s="1"/>
    </row>
    <row r="2902" spans="4:4">
      <c r="D2902" s="1"/>
    </row>
    <row r="2903" spans="4:4">
      <c r="D2903" s="1"/>
    </row>
    <row r="2904" spans="4:4">
      <c r="D2904" s="1"/>
    </row>
    <row r="2905" spans="4:4">
      <c r="D2905" s="1"/>
    </row>
    <row r="2906" spans="4:4">
      <c r="D2906" s="1"/>
    </row>
    <row r="2907" spans="4:4">
      <c r="D2907" s="1"/>
    </row>
    <row r="2908" spans="4:4">
      <c r="D2908" s="1"/>
    </row>
    <row r="2909" spans="4:4">
      <c r="D2909" s="1"/>
    </row>
    <row r="2910" spans="4:4">
      <c r="D2910" s="1"/>
    </row>
    <row r="2911" spans="4:4">
      <c r="D2911" s="1"/>
    </row>
    <row r="2912" spans="4:4">
      <c r="D2912" s="1"/>
    </row>
    <row r="2913" spans="4:4">
      <c r="D2913" s="1"/>
    </row>
    <row r="2914" spans="4:4">
      <c r="D2914" s="1"/>
    </row>
    <row r="2915" spans="4:4">
      <c r="D2915" s="1"/>
    </row>
    <row r="2916" spans="4:4">
      <c r="D2916" s="1"/>
    </row>
    <row r="2917" spans="4:4">
      <c r="D2917" s="1"/>
    </row>
    <row r="2918" spans="4:4">
      <c r="D2918" s="1"/>
    </row>
    <row r="2919" spans="4:4">
      <c r="D2919" s="1"/>
    </row>
    <row r="2920" spans="4:4">
      <c r="D2920" s="1"/>
    </row>
    <row r="2921" spans="4:4">
      <c r="D2921" s="1"/>
    </row>
    <row r="2922" spans="4:4">
      <c r="D2922" s="1"/>
    </row>
    <row r="2923" spans="4:4">
      <c r="D2923" s="1"/>
    </row>
    <row r="2924" spans="4:4">
      <c r="D2924" s="1"/>
    </row>
    <row r="2925" spans="4:4">
      <c r="D2925" s="1"/>
    </row>
    <row r="2926" spans="4:4">
      <c r="D2926" s="1"/>
    </row>
    <row r="2927" spans="4:4">
      <c r="D2927" s="1"/>
    </row>
    <row r="2928" spans="4:4">
      <c r="D2928" s="1"/>
    </row>
    <row r="2929" spans="4:4">
      <c r="D2929" s="1"/>
    </row>
    <row r="2930" spans="4:4">
      <c r="D2930" s="1"/>
    </row>
    <row r="2931" spans="4:4">
      <c r="D2931" s="1"/>
    </row>
    <row r="2932" spans="4:4">
      <c r="D2932" s="1"/>
    </row>
    <row r="2933" spans="4:4">
      <c r="D2933" s="1"/>
    </row>
    <row r="2934" spans="4:4">
      <c r="D2934" s="1"/>
    </row>
    <row r="2935" spans="4:4">
      <c r="D2935" s="1"/>
    </row>
    <row r="2936" spans="4:4">
      <c r="D2936" s="1"/>
    </row>
    <row r="2937" spans="4:4">
      <c r="D2937" s="1"/>
    </row>
    <row r="2938" spans="4:4">
      <c r="D2938" s="1"/>
    </row>
    <row r="2939" spans="4:4">
      <c r="D2939" s="1"/>
    </row>
    <row r="2940" spans="4:4">
      <c r="D2940" s="1"/>
    </row>
    <row r="2941" spans="4:4">
      <c r="D2941" s="1"/>
    </row>
    <row r="2942" spans="4:4">
      <c r="D2942" s="1"/>
    </row>
    <row r="2943" spans="4:4">
      <c r="D2943" s="1"/>
    </row>
    <row r="2944" spans="4:4">
      <c r="D2944" s="1"/>
    </row>
    <row r="2945" spans="4:4">
      <c r="D2945" s="1"/>
    </row>
    <row r="2946" spans="4:4">
      <c r="D2946" s="1"/>
    </row>
    <row r="2947" spans="4:4">
      <c r="D2947" s="1"/>
    </row>
    <row r="2948" spans="4:4">
      <c r="D2948" s="1"/>
    </row>
    <row r="2949" spans="4:4">
      <c r="D2949" s="1"/>
    </row>
    <row r="2950" spans="4:4">
      <c r="D2950" s="1"/>
    </row>
    <row r="2951" spans="4:4">
      <c r="D2951" s="1"/>
    </row>
    <row r="2952" spans="4:4">
      <c r="D2952" s="1"/>
    </row>
    <row r="2953" spans="4:4">
      <c r="D2953" s="1"/>
    </row>
    <row r="2954" spans="4:4">
      <c r="D2954" s="1"/>
    </row>
    <row r="2955" spans="4:4">
      <c r="D2955" s="1"/>
    </row>
    <row r="2956" spans="4:4">
      <c r="D2956" s="1"/>
    </row>
    <row r="2957" spans="4:4">
      <c r="D2957" s="1"/>
    </row>
    <row r="2958" spans="4:4">
      <c r="D2958" s="1"/>
    </row>
    <row r="2959" spans="4:4">
      <c r="D2959" s="1"/>
    </row>
    <row r="2960" spans="4:4">
      <c r="D2960" s="1"/>
    </row>
    <row r="2961" spans="4:4">
      <c r="D2961" s="1"/>
    </row>
    <row r="2962" spans="4:4">
      <c r="D2962" s="1"/>
    </row>
    <row r="2963" spans="4:4">
      <c r="D2963" s="1"/>
    </row>
    <row r="2964" spans="4:4">
      <c r="D2964" s="1"/>
    </row>
    <row r="2965" spans="4:4">
      <c r="D2965" s="1"/>
    </row>
    <row r="2966" spans="4:4">
      <c r="D2966" s="1"/>
    </row>
    <row r="2967" spans="4:4">
      <c r="D2967" s="1"/>
    </row>
    <row r="2968" spans="4:4">
      <c r="D2968" s="1"/>
    </row>
    <row r="2969" spans="4:4">
      <c r="D2969" s="1"/>
    </row>
    <row r="2970" spans="4:4">
      <c r="D2970" s="1"/>
    </row>
    <row r="2971" spans="4:4">
      <c r="D2971" s="1"/>
    </row>
    <row r="2972" spans="4:4">
      <c r="D2972" s="1"/>
    </row>
    <row r="2973" spans="4:4">
      <c r="D2973" s="1"/>
    </row>
    <row r="2974" spans="4:4">
      <c r="D2974" s="1"/>
    </row>
    <row r="2975" spans="4:4">
      <c r="D2975" s="1"/>
    </row>
    <row r="2976" spans="4:4">
      <c r="D2976" s="1"/>
    </row>
    <row r="2977" spans="4:4">
      <c r="D2977" s="1"/>
    </row>
    <row r="2978" spans="4:4">
      <c r="D2978" s="1"/>
    </row>
    <row r="2979" spans="4:4">
      <c r="D2979" s="1"/>
    </row>
    <row r="2980" spans="4:4">
      <c r="D2980" s="1"/>
    </row>
    <row r="2981" spans="4:4">
      <c r="D2981" s="1"/>
    </row>
    <row r="2982" spans="4:4">
      <c r="D2982" s="1"/>
    </row>
    <row r="2983" spans="4:4">
      <c r="D2983" s="1"/>
    </row>
    <row r="2984" spans="4:4">
      <c r="D2984" s="1"/>
    </row>
    <row r="2985" spans="4:4">
      <c r="D2985" s="1"/>
    </row>
    <row r="2986" spans="4:4">
      <c r="D2986" s="1"/>
    </row>
    <row r="2987" spans="4:4">
      <c r="D2987" s="1"/>
    </row>
    <row r="2988" spans="4:4">
      <c r="D2988" s="1"/>
    </row>
    <row r="2989" spans="4:4">
      <c r="D2989" s="1"/>
    </row>
    <row r="2990" spans="4:4">
      <c r="D2990" s="1"/>
    </row>
    <row r="2991" spans="4:4">
      <c r="D2991" s="1"/>
    </row>
    <row r="2992" spans="4:4">
      <c r="D2992" s="1"/>
    </row>
    <row r="2993" spans="4:4">
      <c r="D2993" s="1"/>
    </row>
    <row r="2994" spans="4:4">
      <c r="D2994" s="1"/>
    </row>
    <row r="2995" spans="4:4">
      <c r="D2995" s="1"/>
    </row>
    <row r="2996" spans="4:4">
      <c r="D2996" s="1"/>
    </row>
    <row r="2997" spans="4:4">
      <c r="D2997" s="1"/>
    </row>
    <row r="2998" spans="4:4">
      <c r="D2998" s="1"/>
    </row>
    <row r="2999" spans="4:4">
      <c r="D2999" s="1"/>
    </row>
    <row r="3000" spans="4:4">
      <c r="D3000" s="1"/>
    </row>
    <row r="3001" spans="4:4">
      <c r="D3001" s="1"/>
    </row>
    <row r="3002" spans="4:4">
      <c r="D3002" s="1"/>
    </row>
    <row r="3003" spans="4:4">
      <c r="D3003" s="1"/>
    </row>
    <row r="3004" spans="4:4">
      <c r="D3004" s="1"/>
    </row>
    <row r="3005" spans="4:4">
      <c r="D3005" s="1"/>
    </row>
    <row r="3006" spans="4:4">
      <c r="D3006" s="1"/>
    </row>
    <row r="3007" spans="4:4">
      <c r="D3007" s="1"/>
    </row>
    <row r="3008" spans="4:4">
      <c r="D3008" s="1"/>
    </row>
    <row r="3009" spans="4:4">
      <c r="D3009" s="1"/>
    </row>
    <row r="3010" spans="4:4">
      <c r="D3010" s="1"/>
    </row>
    <row r="3011" spans="4:4">
      <c r="D3011" s="1"/>
    </row>
    <row r="3012" spans="4:4">
      <c r="D3012" s="1"/>
    </row>
    <row r="3013" spans="4:4">
      <c r="D3013" s="1"/>
    </row>
    <row r="3014" spans="4:4">
      <c r="D3014" s="1"/>
    </row>
    <row r="3015" spans="4:4">
      <c r="D3015" s="1"/>
    </row>
    <row r="3016" spans="4:4">
      <c r="D3016" s="1"/>
    </row>
    <row r="3017" spans="4:4">
      <c r="D3017" s="1"/>
    </row>
    <row r="3018" spans="4:4">
      <c r="D3018" s="1"/>
    </row>
    <row r="3019" spans="4:4">
      <c r="D3019" s="1"/>
    </row>
    <row r="3020" spans="4:4">
      <c r="D3020" s="1"/>
    </row>
    <row r="3021" spans="4:4">
      <c r="D3021" s="1"/>
    </row>
    <row r="3022" spans="4:4">
      <c r="D3022" s="1"/>
    </row>
    <row r="3023" spans="4:4">
      <c r="D3023" s="1"/>
    </row>
    <row r="3024" spans="4:4">
      <c r="D3024" s="1"/>
    </row>
    <row r="3025" spans="4:4">
      <c r="D3025" s="1"/>
    </row>
    <row r="3026" spans="4:4">
      <c r="D3026" s="1"/>
    </row>
    <row r="3027" spans="4:4">
      <c r="D3027" s="1"/>
    </row>
    <row r="3028" spans="4:4">
      <c r="D3028" s="1"/>
    </row>
    <row r="3029" spans="4:4">
      <c r="D3029" s="1"/>
    </row>
    <row r="3030" spans="4:4">
      <c r="D3030" s="1"/>
    </row>
    <row r="3031" spans="4:4">
      <c r="D3031" s="1"/>
    </row>
    <row r="3032" spans="4:4">
      <c r="D3032" s="1"/>
    </row>
    <row r="3033" spans="4:4">
      <c r="D3033" s="1"/>
    </row>
    <row r="3034" spans="4:4">
      <c r="D3034" s="1"/>
    </row>
    <row r="3035" spans="4:4">
      <c r="D3035" s="1"/>
    </row>
    <row r="3036" spans="4:4">
      <c r="D3036" s="1"/>
    </row>
    <row r="3037" spans="4:4">
      <c r="D3037" s="1"/>
    </row>
    <row r="3038" spans="4:4">
      <c r="D3038" s="1"/>
    </row>
    <row r="3039" spans="4:4">
      <c r="D3039" s="1"/>
    </row>
    <row r="3040" spans="4:4">
      <c r="D3040" s="1"/>
    </row>
    <row r="3041" spans="4:4">
      <c r="D3041" s="1"/>
    </row>
    <row r="3042" spans="4:4">
      <c r="D3042" s="1"/>
    </row>
    <row r="3043" spans="4:4">
      <c r="D3043" s="1"/>
    </row>
    <row r="3044" spans="4:4">
      <c r="D3044" s="1"/>
    </row>
    <row r="3045" spans="4:4">
      <c r="D3045" s="1"/>
    </row>
    <row r="3046" spans="4:4">
      <c r="D3046" s="1"/>
    </row>
    <row r="3047" spans="4:4">
      <c r="D3047" s="1"/>
    </row>
    <row r="3048" spans="4:4">
      <c r="D3048" s="1"/>
    </row>
    <row r="3049" spans="4:4">
      <c r="D3049" s="1"/>
    </row>
    <row r="3050" spans="4:4">
      <c r="D3050" s="1"/>
    </row>
    <row r="3051" spans="4:4">
      <c r="D3051" s="1"/>
    </row>
    <row r="3052" spans="4:4">
      <c r="D3052" s="1"/>
    </row>
    <row r="3053" spans="4:4">
      <c r="D3053" s="1"/>
    </row>
    <row r="3054" spans="4:4">
      <c r="D3054" s="1"/>
    </row>
    <row r="3055" spans="4:4">
      <c r="D3055" s="1"/>
    </row>
    <row r="3056" spans="4:4">
      <c r="D3056" s="1"/>
    </row>
    <row r="3057" spans="4:4">
      <c r="D3057" s="1"/>
    </row>
    <row r="3058" spans="4:4">
      <c r="D3058" s="1"/>
    </row>
    <row r="3059" spans="4:4">
      <c r="D3059" s="1"/>
    </row>
    <row r="3060" spans="4:4">
      <c r="D3060" s="1"/>
    </row>
    <row r="3061" spans="4:4">
      <c r="D3061" s="1"/>
    </row>
    <row r="3062" spans="4:4">
      <c r="D3062" s="1"/>
    </row>
    <row r="3063" spans="4:4">
      <c r="D3063" s="1"/>
    </row>
    <row r="3064" spans="4:4">
      <c r="D3064" s="1"/>
    </row>
    <row r="3065" spans="4:4">
      <c r="D3065" s="1"/>
    </row>
    <row r="3066" spans="4:4">
      <c r="D3066" s="1"/>
    </row>
    <row r="3067" spans="4:4">
      <c r="D3067" s="1"/>
    </row>
    <row r="3068" spans="4:4">
      <c r="D3068" s="1"/>
    </row>
    <row r="3069" spans="4:4">
      <c r="D3069" s="1"/>
    </row>
    <row r="3070" spans="4:4">
      <c r="D3070" s="1"/>
    </row>
    <row r="3071" spans="4:4">
      <c r="D3071" s="1"/>
    </row>
    <row r="3072" spans="4:4">
      <c r="D3072" s="1"/>
    </row>
    <row r="3073" spans="4:4">
      <c r="D3073" s="1"/>
    </row>
    <row r="3074" spans="4:4">
      <c r="D3074" s="1"/>
    </row>
    <row r="3075" spans="4:4">
      <c r="D3075" s="1"/>
    </row>
    <row r="3076" spans="4:4">
      <c r="D3076" s="1"/>
    </row>
    <row r="3077" spans="4:4">
      <c r="D3077" s="1"/>
    </row>
    <row r="3078" spans="4:4">
      <c r="D3078" s="1"/>
    </row>
    <row r="3079" spans="4:4">
      <c r="D3079" s="1"/>
    </row>
    <row r="3080" spans="4:4">
      <c r="D3080" s="1"/>
    </row>
    <row r="3081" spans="4:4">
      <c r="D3081" s="1"/>
    </row>
    <row r="3082" spans="4:4">
      <c r="D3082" s="1"/>
    </row>
    <row r="3083" spans="4:4">
      <c r="D3083" s="1"/>
    </row>
    <row r="3084" spans="4:4">
      <c r="D3084" s="1"/>
    </row>
    <row r="3085" spans="4:4">
      <c r="D3085" s="1"/>
    </row>
    <row r="3086" spans="4:4">
      <c r="D3086" s="1"/>
    </row>
    <row r="3087" spans="4:4">
      <c r="D3087" s="1"/>
    </row>
    <row r="3088" spans="4:4">
      <c r="D3088" s="1"/>
    </row>
    <row r="3089" spans="4:4">
      <c r="D3089" s="1"/>
    </row>
    <row r="3090" spans="4:4">
      <c r="D3090" s="1"/>
    </row>
    <row r="3091" spans="4:4">
      <c r="D3091" s="1"/>
    </row>
    <row r="3092" spans="4:4">
      <c r="D3092" s="1"/>
    </row>
    <row r="3093" spans="4:4">
      <c r="D3093" s="1"/>
    </row>
    <row r="3094" spans="4:4">
      <c r="D3094" s="1"/>
    </row>
    <row r="3095" spans="4:4">
      <c r="D3095" s="1"/>
    </row>
    <row r="3096" spans="4:4">
      <c r="D3096" s="1"/>
    </row>
    <row r="3097" spans="4:4">
      <c r="D3097" s="1"/>
    </row>
    <row r="3098" spans="4:4">
      <c r="D3098" s="1"/>
    </row>
    <row r="3099" spans="4:4">
      <c r="D3099" s="1"/>
    </row>
    <row r="3100" spans="4:4">
      <c r="D3100" s="1"/>
    </row>
    <row r="3101" spans="4:4">
      <c r="D3101" s="1"/>
    </row>
    <row r="3102" spans="4:4">
      <c r="D3102" s="1"/>
    </row>
    <row r="3103" spans="4:4">
      <c r="D3103" s="1"/>
    </row>
    <row r="3104" spans="4:4">
      <c r="D3104" s="1"/>
    </row>
    <row r="3105" spans="4:4">
      <c r="D3105" s="1"/>
    </row>
    <row r="3106" spans="4:4">
      <c r="D3106" s="1"/>
    </row>
    <row r="3107" spans="4:4">
      <c r="D3107" s="1"/>
    </row>
    <row r="3108" spans="4:4">
      <c r="D3108" s="1"/>
    </row>
    <row r="3109" spans="4:4">
      <c r="D3109" s="1"/>
    </row>
    <row r="3110" spans="4:4">
      <c r="D3110" s="1"/>
    </row>
    <row r="3111" spans="4:4">
      <c r="D3111" s="1"/>
    </row>
    <row r="3112" spans="4:4">
      <c r="D3112" s="1"/>
    </row>
    <row r="3113" spans="4:4">
      <c r="D3113" s="1"/>
    </row>
    <row r="3114" spans="4:4">
      <c r="D3114" s="1"/>
    </row>
    <row r="3115" spans="4:4">
      <c r="D3115" s="1"/>
    </row>
    <row r="3116" spans="4:4">
      <c r="D3116" s="1"/>
    </row>
    <row r="3117" spans="4:4">
      <c r="D3117" s="1"/>
    </row>
    <row r="3118" spans="4:4">
      <c r="D3118" s="1"/>
    </row>
    <row r="3119" spans="4:4">
      <c r="D3119" s="1"/>
    </row>
    <row r="3120" spans="4:4">
      <c r="D3120" s="1"/>
    </row>
    <row r="3121" spans="4:4">
      <c r="D3121" s="1"/>
    </row>
    <row r="3122" spans="4:4">
      <c r="D3122" s="1"/>
    </row>
    <row r="3123" spans="4:4">
      <c r="D3123" s="1"/>
    </row>
    <row r="3124" spans="4:4">
      <c r="D3124" s="1"/>
    </row>
    <row r="3125" spans="4:4">
      <c r="D3125" s="1"/>
    </row>
    <row r="3126" spans="4:4">
      <c r="D3126" s="1"/>
    </row>
    <row r="3127" spans="4:4">
      <c r="D3127" s="1"/>
    </row>
    <row r="3128" spans="4:4">
      <c r="D3128" s="1"/>
    </row>
    <row r="3129" spans="4:4">
      <c r="D3129" s="1"/>
    </row>
    <row r="3130" spans="4:4">
      <c r="D3130" s="1"/>
    </row>
    <row r="3131" spans="4:4">
      <c r="D3131" s="1"/>
    </row>
    <row r="3132" spans="4:4">
      <c r="D3132" s="1"/>
    </row>
    <row r="3133" spans="4:4">
      <c r="D3133" s="1"/>
    </row>
    <row r="3134" spans="4:4">
      <c r="D3134" s="1"/>
    </row>
    <row r="3135" spans="4:4">
      <c r="D3135" s="1"/>
    </row>
    <row r="3136" spans="4:4">
      <c r="D3136" s="1"/>
    </row>
    <row r="3137" spans="4:4">
      <c r="D3137" s="1"/>
    </row>
    <row r="3138" spans="4:4">
      <c r="D3138" s="1"/>
    </row>
    <row r="3139" spans="4:4">
      <c r="D3139" s="1"/>
    </row>
    <row r="3140" spans="4:4">
      <c r="D3140" s="1"/>
    </row>
    <row r="3141" spans="4:4">
      <c r="D3141" s="1"/>
    </row>
    <row r="3142" spans="4:4">
      <c r="D3142" s="1"/>
    </row>
    <row r="3143" spans="4:4">
      <c r="D3143" s="1"/>
    </row>
    <row r="3144" spans="4:4">
      <c r="D3144" s="1"/>
    </row>
    <row r="3145" spans="4:4">
      <c r="D3145" s="1"/>
    </row>
    <row r="3146" spans="4:4">
      <c r="D3146" s="1"/>
    </row>
    <row r="3147" spans="4:4">
      <c r="D3147" s="1"/>
    </row>
    <row r="3148" spans="4:4">
      <c r="D3148" s="1"/>
    </row>
    <row r="3149" spans="4:4">
      <c r="D3149" s="1"/>
    </row>
    <row r="3150" spans="4:4">
      <c r="D3150" s="1"/>
    </row>
    <row r="3151" spans="4:4">
      <c r="D3151" s="1"/>
    </row>
    <row r="3152" spans="4:4">
      <c r="D3152" s="1"/>
    </row>
    <row r="3153" spans="4:4">
      <c r="D3153" s="1"/>
    </row>
    <row r="3154" spans="4:4">
      <c r="D3154" s="1"/>
    </row>
    <row r="3155" spans="4:4">
      <c r="D3155" s="1"/>
    </row>
    <row r="3156" spans="4:4">
      <c r="D3156" s="1"/>
    </row>
    <row r="3157" spans="4:4">
      <c r="D3157" s="1"/>
    </row>
    <row r="3158" spans="4:4">
      <c r="D3158" s="1"/>
    </row>
    <row r="3159" spans="4:4">
      <c r="D3159" s="1"/>
    </row>
    <row r="3160" spans="4:4">
      <c r="D3160" s="1"/>
    </row>
    <row r="3161" spans="4:4">
      <c r="D3161" s="1"/>
    </row>
    <row r="3162" spans="4:4">
      <c r="D3162" s="1"/>
    </row>
    <row r="3163" spans="4:4">
      <c r="D3163" s="1"/>
    </row>
    <row r="3164" spans="4:4">
      <c r="D3164" s="1"/>
    </row>
    <row r="3165" spans="4:4">
      <c r="D3165" s="1"/>
    </row>
    <row r="3166" spans="4:4">
      <c r="D3166" s="1"/>
    </row>
    <row r="3167" spans="4:4">
      <c r="D3167" s="1"/>
    </row>
    <row r="3168" spans="4:4">
      <c r="D3168" s="1"/>
    </row>
    <row r="3169" spans="4:4">
      <c r="D3169" s="1"/>
    </row>
    <row r="3170" spans="4:4">
      <c r="D3170" s="1"/>
    </row>
    <row r="3171" spans="4:4">
      <c r="D3171" s="1"/>
    </row>
    <row r="3172" spans="4:4">
      <c r="D3172" s="1"/>
    </row>
    <row r="3173" spans="4:4">
      <c r="D3173" s="1"/>
    </row>
    <row r="3174" spans="4:4">
      <c r="D3174" s="1"/>
    </row>
    <row r="3175" spans="4:4">
      <c r="D3175" s="1"/>
    </row>
    <row r="3176" spans="4:4">
      <c r="D3176" s="1"/>
    </row>
    <row r="3177" spans="4:4">
      <c r="D3177" s="1"/>
    </row>
    <row r="3178" spans="4:4">
      <c r="D3178" s="1"/>
    </row>
    <row r="3179" spans="4:4">
      <c r="D3179" s="1"/>
    </row>
    <row r="3180" spans="4:4">
      <c r="D3180" s="1"/>
    </row>
    <row r="3181" spans="4:4">
      <c r="D3181" s="1"/>
    </row>
    <row r="3182" spans="4:4">
      <c r="D3182" s="1"/>
    </row>
    <row r="3183" spans="4:4">
      <c r="D3183" s="1"/>
    </row>
    <row r="3184" spans="4:4">
      <c r="D3184" s="1"/>
    </row>
    <row r="3185" spans="4:4">
      <c r="D3185" s="1"/>
    </row>
    <row r="3186" spans="4:4">
      <c r="D3186" s="1"/>
    </row>
    <row r="3187" spans="4:4">
      <c r="D3187" s="1"/>
    </row>
    <row r="3188" spans="4:4">
      <c r="D3188" s="1"/>
    </row>
    <row r="3189" spans="4:4">
      <c r="D3189" s="1"/>
    </row>
    <row r="3190" spans="4:4">
      <c r="D3190" s="1"/>
    </row>
    <row r="3191" spans="4:4">
      <c r="D3191" s="1"/>
    </row>
    <row r="3192" spans="4:4">
      <c r="D3192" s="1"/>
    </row>
    <row r="3193" spans="4:4">
      <c r="D3193" s="1"/>
    </row>
    <row r="3194" spans="4:4">
      <c r="D3194" s="1"/>
    </row>
    <row r="3195" spans="4:4">
      <c r="D3195" s="1"/>
    </row>
    <row r="3196" spans="4:4">
      <c r="D3196" s="1"/>
    </row>
    <row r="3197" spans="4:4">
      <c r="D3197" s="1"/>
    </row>
    <row r="3198" spans="4:4">
      <c r="D3198" s="1"/>
    </row>
    <row r="3199" spans="4:4">
      <c r="D3199" s="1"/>
    </row>
    <row r="3200" spans="4:4">
      <c r="D3200" s="1"/>
    </row>
    <row r="3201" spans="4:4">
      <c r="D3201" s="1"/>
    </row>
    <row r="3202" spans="4:4">
      <c r="D3202" s="1"/>
    </row>
    <row r="3203" spans="4:4">
      <c r="D3203" s="1"/>
    </row>
    <row r="3204" spans="4:4">
      <c r="D3204" s="1"/>
    </row>
    <row r="3205" spans="4:4">
      <c r="D3205" s="1"/>
    </row>
    <row r="3206" spans="4:4">
      <c r="D3206" s="1"/>
    </row>
    <row r="3207" spans="4:4">
      <c r="D3207" s="1"/>
    </row>
    <row r="3208" spans="4:4">
      <c r="D3208" s="1"/>
    </row>
    <row r="3209" spans="4:4">
      <c r="D3209" s="1"/>
    </row>
    <row r="3210" spans="4:4">
      <c r="D3210" s="1"/>
    </row>
    <row r="3211" spans="4:4">
      <c r="D3211" s="1"/>
    </row>
    <row r="3212" spans="4:4">
      <c r="D3212" s="1"/>
    </row>
    <row r="3213" spans="4:4">
      <c r="D3213" s="1"/>
    </row>
    <row r="3214" spans="4:4">
      <c r="D3214" s="1"/>
    </row>
    <row r="3215" spans="4:4">
      <c r="D3215" s="1"/>
    </row>
    <row r="3216" spans="4:4">
      <c r="D3216" s="1"/>
    </row>
    <row r="3217" spans="4:4">
      <c r="D3217" s="1"/>
    </row>
    <row r="3218" spans="4:4">
      <c r="D3218" s="1"/>
    </row>
    <row r="3219" spans="4:4">
      <c r="D3219" s="1"/>
    </row>
    <row r="3220" spans="4:4">
      <c r="D3220" s="1"/>
    </row>
    <row r="3221" spans="4:4">
      <c r="D3221" s="1"/>
    </row>
    <row r="3222" spans="4:4">
      <c r="D3222" s="1"/>
    </row>
    <row r="3223" spans="4:4">
      <c r="D3223" s="1"/>
    </row>
    <row r="3224" spans="4:4">
      <c r="D3224" s="1"/>
    </row>
    <row r="3225" spans="4:4">
      <c r="D3225" s="1"/>
    </row>
    <row r="3226" spans="4:4">
      <c r="D3226" s="1"/>
    </row>
    <row r="3227" spans="4:4">
      <c r="D3227" s="1"/>
    </row>
    <row r="3228" spans="4:4">
      <c r="D3228" s="1"/>
    </row>
    <row r="3229" spans="4:4">
      <c r="D3229" s="1"/>
    </row>
    <row r="3230" spans="4:4">
      <c r="D3230" s="1"/>
    </row>
    <row r="3231" spans="4:4">
      <c r="D3231" s="1"/>
    </row>
    <row r="3232" spans="4:4">
      <c r="D3232" s="1"/>
    </row>
    <row r="3233" spans="4:4">
      <c r="D3233" s="1"/>
    </row>
    <row r="3234" spans="4:4">
      <c r="D3234" s="1"/>
    </row>
    <row r="3235" spans="4:4">
      <c r="D3235" s="1"/>
    </row>
    <row r="3236" spans="4:4">
      <c r="D3236" s="1"/>
    </row>
    <row r="3237" spans="4:4">
      <c r="D3237" s="1"/>
    </row>
    <row r="3238" spans="4:4">
      <c r="D3238" s="1"/>
    </row>
    <row r="3239" spans="4:4">
      <c r="D3239" s="1"/>
    </row>
    <row r="3240" spans="4:4">
      <c r="D3240" s="1"/>
    </row>
    <row r="3241" spans="4:4">
      <c r="D3241" s="1"/>
    </row>
    <row r="3242" spans="4:4">
      <c r="D3242" s="1"/>
    </row>
    <row r="3243" spans="4:4">
      <c r="D3243" s="1"/>
    </row>
    <row r="3244" spans="4:4">
      <c r="D3244" s="1"/>
    </row>
    <row r="3245" spans="4:4">
      <c r="D3245" s="1"/>
    </row>
    <row r="3246" spans="4:4">
      <c r="D3246" s="1"/>
    </row>
    <row r="3247" spans="4:4">
      <c r="D3247" s="1"/>
    </row>
    <row r="3248" spans="4:4">
      <c r="D3248" s="1"/>
    </row>
    <row r="3249" spans="4:4">
      <c r="D3249" s="1"/>
    </row>
    <row r="3250" spans="4:4">
      <c r="D3250" s="1"/>
    </row>
    <row r="3251" spans="4:4">
      <c r="D3251" s="1"/>
    </row>
    <row r="3252" spans="4:4">
      <c r="D3252" s="1"/>
    </row>
    <row r="3253" spans="4:4">
      <c r="D3253" s="1"/>
    </row>
    <row r="3254" spans="4:4">
      <c r="D3254" s="1"/>
    </row>
    <row r="3255" spans="4:4">
      <c r="D3255" s="1"/>
    </row>
    <row r="3256" spans="4:4">
      <c r="D3256" s="1"/>
    </row>
    <row r="3257" spans="4:4">
      <c r="D3257" s="1"/>
    </row>
    <row r="3258" spans="4:4">
      <c r="D3258" s="1"/>
    </row>
    <row r="3259" spans="4:4">
      <c r="D3259" s="1"/>
    </row>
    <row r="3260" spans="4:4">
      <c r="D3260" s="1"/>
    </row>
    <row r="3261" spans="4:4">
      <c r="D3261" s="1"/>
    </row>
    <row r="3262" spans="4:4">
      <c r="D3262" s="1"/>
    </row>
    <row r="3263" spans="4:4">
      <c r="D3263" s="1"/>
    </row>
    <row r="3264" spans="4:4">
      <c r="D3264" s="1"/>
    </row>
    <row r="3265" spans="4:4">
      <c r="D3265" s="1"/>
    </row>
    <row r="3266" spans="4:4">
      <c r="D3266" s="1"/>
    </row>
    <row r="3267" spans="4:4">
      <c r="D3267" s="1"/>
    </row>
    <row r="3268" spans="4:4">
      <c r="D3268" s="1"/>
    </row>
    <row r="3269" spans="4:4">
      <c r="D3269" s="1"/>
    </row>
    <row r="3270" spans="4:4">
      <c r="D3270" s="1"/>
    </row>
    <row r="3271" spans="4:4">
      <c r="D3271" s="1"/>
    </row>
    <row r="3272" spans="4:4">
      <c r="D3272" s="1"/>
    </row>
    <row r="3273" spans="4:4">
      <c r="D3273" s="1"/>
    </row>
    <row r="3274" spans="4:4">
      <c r="D3274" s="1"/>
    </row>
    <row r="3275" spans="4:4">
      <c r="D3275" s="1"/>
    </row>
    <row r="3276" spans="4:4">
      <c r="D3276" s="1"/>
    </row>
    <row r="3277" spans="4:4">
      <c r="D3277" s="1"/>
    </row>
    <row r="3278" spans="4:4">
      <c r="D3278" s="1"/>
    </row>
    <row r="3279" spans="4:4">
      <c r="D3279" s="1"/>
    </row>
    <row r="3280" spans="4:4">
      <c r="D3280" s="1"/>
    </row>
    <row r="3281" spans="4:4">
      <c r="D3281" s="1"/>
    </row>
    <row r="3282" spans="4:4">
      <c r="D3282" s="1"/>
    </row>
    <row r="3283" spans="4:4">
      <c r="D3283" s="1"/>
    </row>
    <row r="3284" spans="4:4">
      <c r="D3284" s="1"/>
    </row>
    <row r="3285" spans="4:4">
      <c r="D3285" s="1"/>
    </row>
    <row r="3286" spans="4:4">
      <c r="D3286" s="1"/>
    </row>
    <row r="3287" spans="4:4">
      <c r="D3287" s="1"/>
    </row>
    <row r="3288" spans="4:4">
      <c r="D3288" s="1"/>
    </row>
    <row r="3289" spans="4:4">
      <c r="D3289" s="1"/>
    </row>
    <row r="3290" spans="4:4">
      <c r="D3290" s="1"/>
    </row>
    <row r="3291" spans="4:4">
      <c r="D3291" s="1"/>
    </row>
    <row r="3292" spans="4:4">
      <c r="D3292" s="1"/>
    </row>
    <row r="3293" spans="4:4">
      <c r="D3293" s="1"/>
    </row>
    <row r="3294" spans="4:4">
      <c r="D3294" s="1"/>
    </row>
    <row r="3295" spans="4:4">
      <c r="D3295" s="1"/>
    </row>
    <row r="3296" spans="4:4">
      <c r="D3296" s="1"/>
    </row>
    <row r="3297" spans="4:4">
      <c r="D3297" s="1"/>
    </row>
    <row r="3298" spans="4:4">
      <c r="D3298" s="1"/>
    </row>
    <row r="3299" spans="4:4">
      <c r="D3299" s="1"/>
    </row>
    <row r="3300" spans="4:4">
      <c r="D3300" s="1"/>
    </row>
    <row r="3301" spans="4:4">
      <c r="D3301" s="1"/>
    </row>
    <row r="3302" spans="4:4">
      <c r="D3302" s="1"/>
    </row>
    <row r="3303" spans="4:4">
      <c r="D3303" s="1"/>
    </row>
    <row r="3304" spans="4:4">
      <c r="D3304" s="1"/>
    </row>
    <row r="3305" spans="4:4">
      <c r="D3305" s="1"/>
    </row>
    <row r="3306" spans="4:4">
      <c r="D3306" s="1"/>
    </row>
    <row r="3307" spans="4:4">
      <c r="D3307" s="1"/>
    </row>
    <row r="3308" spans="4:4">
      <c r="D3308" s="1"/>
    </row>
    <row r="3309" spans="4:4">
      <c r="D3309" s="1"/>
    </row>
    <row r="3310" spans="4:4">
      <c r="D3310" s="1"/>
    </row>
    <row r="3311" spans="4:4">
      <c r="D3311" s="1"/>
    </row>
    <row r="3312" spans="4:4">
      <c r="D3312" s="1"/>
    </row>
    <row r="3313" spans="4:4">
      <c r="D3313" s="1"/>
    </row>
    <row r="3314" spans="4:4">
      <c r="D3314" s="1"/>
    </row>
    <row r="3315" spans="4:4">
      <c r="D3315" s="1"/>
    </row>
    <row r="3316" spans="4:4">
      <c r="D3316" s="1"/>
    </row>
    <row r="3317" spans="4:4">
      <c r="D3317" s="1"/>
    </row>
    <row r="3318" spans="4:4">
      <c r="D3318" s="1"/>
    </row>
    <row r="3319" spans="4:4">
      <c r="D3319" s="1"/>
    </row>
    <row r="3320" spans="4:4">
      <c r="D3320" s="1"/>
    </row>
    <row r="3321" spans="4:4">
      <c r="D3321" s="1"/>
    </row>
    <row r="3322" spans="4:4">
      <c r="D3322" s="1"/>
    </row>
    <row r="3323" spans="4:4">
      <c r="D3323" s="1"/>
    </row>
    <row r="3324" spans="4:4">
      <c r="D3324" s="1"/>
    </row>
    <row r="3325" spans="4:4">
      <c r="D3325" s="1"/>
    </row>
    <row r="3326" spans="4:4">
      <c r="D3326" s="1"/>
    </row>
    <row r="3327" spans="4:4">
      <c r="D3327" s="1"/>
    </row>
    <row r="3328" spans="4:4">
      <c r="D3328" s="1"/>
    </row>
    <row r="3329" spans="4:4">
      <c r="D3329" s="1"/>
    </row>
    <row r="3330" spans="4:4">
      <c r="D3330" s="1"/>
    </row>
    <row r="3331" spans="4:4">
      <c r="D3331" s="1"/>
    </row>
    <row r="3332" spans="4:4">
      <c r="D3332" s="1"/>
    </row>
    <row r="3333" spans="4:4">
      <c r="D3333" s="1"/>
    </row>
    <row r="3334" spans="4:4">
      <c r="D3334" s="1"/>
    </row>
    <row r="3335" spans="4:4">
      <c r="D3335" s="1"/>
    </row>
    <row r="3336" spans="4:4">
      <c r="D3336" s="1"/>
    </row>
    <row r="3337" spans="4:4">
      <c r="D3337" s="1"/>
    </row>
    <row r="3338" spans="4:4">
      <c r="D3338" s="1"/>
    </row>
    <row r="3339" spans="4:4">
      <c r="D3339" s="1"/>
    </row>
    <row r="3340" spans="4:4">
      <c r="D3340" s="1"/>
    </row>
    <row r="3341" spans="4:4">
      <c r="D3341" s="1"/>
    </row>
    <row r="3342" spans="4:4">
      <c r="D3342" s="1"/>
    </row>
    <row r="3343" spans="4:4">
      <c r="D3343" s="1"/>
    </row>
    <row r="3344" spans="4:4">
      <c r="D3344" s="1"/>
    </row>
    <row r="3345" spans="4:4">
      <c r="D3345" s="1"/>
    </row>
    <row r="3346" spans="4:4">
      <c r="D3346" s="1"/>
    </row>
    <row r="3347" spans="4:4">
      <c r="D3347" s="1"/>
    </row>
    <row r="3348" spans="4:4">
      <c r="D3348" s="1"/>
    </row>
    <row r="3349" spans="4:4">
      <c r="D3349" s="1"/>
    </row>
    <row r="3350" spans="4:4">
      <c r="D3350" s="1"/>
    </row>
    <row r="3351" spans="4:4">
      <c r="D3351" s="1"/>
    </row>
    <row r="3352" spans="4:4">
      <c r="D3352" s="1"/>
    </row>
    <row r="3353" spans="4:4">
      <c r="D3353" s="1"/>
    </row>
    <row r="3354" spans="4:4">
      <c r="D3354" s="1"/>
    </row>
    <row r="3355" spans="4:4">
      <c r="D3355" s="1"/>
    </row>
    <row r="3356" spans="4:4">
      <c r="D3356" s="1"/>
    </row>
    <row r="3357" spans="4:4">
      <c r="D3357" s="1"/>
    </row>
    <row r="3358" spans="4:4">
      <c r="D3358" s="1"/>
    </row>
    <row r="3359" spans="4:4">
      <c r="D3359" s="1"/>
    </row>
    <row r="3360" spans="4:4">
      <c r="D3360" s="1"/>
    </row>
    <row r="3361" spans="4:4">
      <c r="D3361" s="1"/>
    </row>
    <row r="3362" spans="4:4">
      <c r="D3362" s="1"/>
    </row>
    <row r="3363" spans="4:4">
      <c r="D3363" s="1"/>
    </row>
    <row r="3364" spans="4:4">
      <c r="D3364" s="1"/>
    </row>
    <row r="3365" spans="4:4">
      <c r="D3365" s="1"/>
    </row>
    <row r="3366" spans="4:4">
      <c r="D3366" s="1"/>
    </row>
    <row r="3367" spans="4:4">
      <c r="D3367" s="1"/>
    </row>
    <row r="3368" spans="4:4">
      <c r="D3368" s="1"/>
    </row>
    <row r="3369" spans="4:4">
      <c r="D3369" s="1"/>
    </row>
    <row r="3370" spans="4:4">
      <c r="D3370" s="1"/>
    </row>
    <row r="3371" spans="4:4">
      <c r="D3371" s="1"/>
    </row>
    <row r="3372" spans="4:4">
      <c r="D3372" s="1"/>
    </row>
    <row r="3373" spans="4:4">
      <c r="D3373" s="1"/>
    </row>
    <row r="3374" spans="4:4">
      <c r="D3374" s="1"/>
    </row>
    <row r="3375" spans="4:4">
      <c r="D3375" s="1"/>
    </row>
    <row r="3376" spans="4:4">
      <c r="D3376" s="1"/>
    </row>
    <row r="3377" spans="4:4">
      <c r="D3377" s="1"/>
    </row>
    <row r="3378" spans="4:4">
      <c r="D3378" s="1"/>
    </row>
    <row r="3379" spans="4:4">
      <c r="D3379" s="1"/>
    </row>
    <row r="3380" spans="4:4">
      <c r="D3380" s="1"/>
    </row>
    <row r="3381" spans="4:4">
      <c r="D3381" s="1"/>
    </row>
    <row r="3382" spans="4:4">
      <c r="D3382" s="1"/>
    </row>
    <row r="3383" spans="4:4">
      <c r="D3383" s="1"/>
    </row>
    <row r="3384" spans="4:4">
      <c r="D3384" s="1"/>
    </row>
    <row r="3385" spans="4:4">
      <c r="D3385" s="1"/>
    </row>
    <row r="3386" spans="4:4">
      <c r="D3386" s="1"/>
    </row>
    <row r="3387" spans="4:4">
      <c r="D3387" s="1"/>
    </row>
    <row r="3388" spans="4:4">
      <c r="D3388" s="1"/>
    </row>
    <row r="3389" spans="4:4">
      <c r="D3389" s="1"/>
    </row>
    <row r="3390" spans="4:4">
      <c r="D3390" s="1"/>
    </row>
    <row r="3391" spans="4:4">
      <c r="D3391" s="1"/>
    </row>
    <row r="3392" spans="4:4">
      <c r="D3392" s="1"/>
    </row>
    <row r="3393" spans="4:4">
      <c r="D3393" s="1"/>
    </row>
    <row r="3394" spans="4:4">
      <c r="D3394" s="1"/>
    </row>
    <row r="3395" spans="4:4">
      <c r="D3395" s="1"/>
    </row>
    <row r="3396" spans="4:4">
      <c r="D3396" s="1"/>
    </row>
    <row r="3397" spans="4:4">
      <c r="D3397" s="1"/>
    </row>
    <row r="3398" spans="4:4">
      <c r="D3398" s="1"/>
    </row>
    <row r="3399" spans="4:4">
      <c r="D3399" s="1"/>
    </row>
    <row r="3400" spans="4:4">
      <c r="D3400" s="1"/>
    </row>
    <row r="3401" spans="4:4">
      <c r="D3401" s="1"/>
    </row>
    <row r="3402" spans="4:4">
      <c r="D3402" s="1"/>
    </row>
    <row r="3403" spans="4:4">
      <c r="D3403" s="1"/>
    </row>
    <row r="3404" spans="4:4">
      <c r="D3404" s="1"/>
    </row>
    <row r="3405" spans="4:4">
      <c r="D3405" s="1"/>
    </row>
    <row r="3406" spans="4:4">
      <c r="D3406" s="1"/>
    </row>
    <row r="3407" spans="4:4">
      <c r="D3407" s="1"/>
    </row>
    <row r="3408" spans="4:4">
      <c r="D3408" s="1"/>
    </row>
    <row r="3409" spans="4:4">
      <c r="D3409" s="1"/>
    </row>
    <row r="3410" spans="4:4">
      <c r="D3410" s="1"/>
    </row>
    <row r="3411" spans="4:4">
      <c r="D3411" s="1"/>
    </row>
    <row r="3412" spans="4:4">
      <c r="D3412" s="1"/>
    </row>
    <row r="3413" spans="4:4">
      <c r="D3413" s="1"/>
    </row>
    <row r="3414" spans="4:4">
      <c r="D3414" s="1"/>
    </row>
    <row r="3415" spans="4:4">
      <c r="D3415" s="1"/>
    </row>
    <row r="3416" spans="4:4">
      <c r="D3416" s="1"/>
    </row>
    <row r="3417" spans="4:4">
      <c r="D3417" s="1"/>
    </row>
    <row r="3418" spans="4:4">
      <c r="D3418" s="1"/>
    </row>
    <row r="3419" spans="4:4">
      <c r="D3419" s="1"/>
    </row>
    <row r="3420" spans="4:4">
      <c r="D3420" s="1"/>
    </row>
    <row r="3421" spans="4:4">
      <c r="D3421" s="1"/>
    </row>
    <row r="3422" spans="4:4">
      <c r="D3422" s="1"/>
    </row>
    <row r="3423" spans="4:4">
      <c r="D3423" s="1"/>
    </row>
    <row r="3424" spans="4:4">
      <c r="D3424" s="1"/>
    </row>
    <row r="3425" spans="4:4">
      <c r="D3425" s="1"/>
    </row>
    <row r="3426" spans="4:4">
      <c r="D3426" s="1"/>
    </row>
    <row r="3427" spans="4:4">
      <c r="D3427" s="1"/>
    </row>
    <row r="3428" spans="4:4">
      <c r="D3428" s="1"/>
    </row>
    <row r="3429" spans="4:4">
      <c r="D3429" s="1"/>
    </row>
    <row r="3430" spans="4:4">
      <c r="D3430" s="1"/>
    </row>
    <row r="3431" spans="4:4">
      <c r="D3431" s="1"/>
    </row>
    <row r="3432" spans="4:4">
      <c r="D3432" s="1"/>
    </row>
    <row r="3433" spans="4:4">
      <c r="D3433" s="1"/>
    </row>
    <row r="3434" spans="4:4">
      <c r="D3434" s="1"/>
    </row>
    <row r="3435" spans="4:4">
      <c r="D3435" s="1"/>
    </row>
    <row r="3436" spans="4:4">
      <c r="D3436" s="1"/>
    </row>
    <row r="3437" spans="4:4">
      <c r="D3437" s="1"/>
    </row>
    <row r="3438" spans="4:4">
      <c r="D3438" s="1"/>
    </row>
    <row r="3439" spans="4:4">
      <c r="D3439" s="1"/>
    </row>
    <row r="3440" spans="4:4">
      <c r="D3440" s="1"/>
    </row>
    <row r="3441" spans="4:4">
      <c r="D3441" s="1"/>
    </row>
    <row r="3442" spans="4:4">
      <c r="D3442" s="1"/>
    </row>
    <row r="3443" spans="4:4">
      <c r="D3443" s="1"/>
    </row>
    <row r="3444" spans="4:4">
      <c r="D3444" s="1"/>
    </row>
    <row r="3445" spans="4:4">
      <c r="D3445" s="1"/>
    </row>
    <row r="3446" spans="4:4">
      <c r="D3446" s="1"/>
    </row>
    <row r="3447" spans="4:4">
      <c r="D3447" s="1"/>
    </row>
    <row r="3448" spans="4:4">
      <c r="D3448" s="1"/>
    </row>
    <row r="3449" spans="4:4">
      <c r="D3449" s="1"/>
    </row>
    <row r="3450" spans="4:4">
      <c r="D3450" s="1"/>
    </row>
    <row r="3451" spans="4:4">
      <c r="D3451" s="1"/>
    </row>
    <row r="3452" spans="4:4">
      <c r="D3452" s="1"/>
    </row>
    <row r="3453" spans="4:4">
      <c r="D3453" s="1"/>
    </row>
    <row r="3454" spans="4:4">
      <c r="D3454" s="1"/>
    </row>
    <row r="3455" spans="4:4">
      <c r="D3455" s="1"/>
    </row>
    <row r="3456" spans="4:4">
      <c r="D3456" s="1"/>
    </row>
    <row r="3457" spans="4:4">
      <c r="D3457" s="1"/>
    </row>
    <row r="3458" spans="4:4">
      <c r="D3458" s="1"/>
    </row>
    <row r="3459" spans="4:4">
      <c r="D3459" s="1"/>
    </row>
    <row r="3460" spans="4:4">
      <c r="D3460" s="1"/>
    </row>
    <row r="3461" spans="4:4">
      <c r="D3461" s="1"/>
    </row>
    <row r="3462" spans="4:4">
      <c r="D3462" s="1"/>
    </row>
    <row r="3463" spans="4:4">
      <c r="D3463" s="1"/>
    </row>
    <row r="3464" spans="4:4">
      <c r="D3464" s="1"/>
    </row>
    <row r="3465" spans="4:4">
      <c r="D3465" s="1"/>
    </row>
    <row r="3466" spans="4:4">
      <c r="D3466" s="1"/>
    </row>
    <row r="3467" spans="4:4">
      <c r="D3467" s="1"/>
    </row>
    <row r="3468" spans="4:4">
      <c r="D3468" s="1"/>
    </row>
    <row r="3469" spans="4:4">
      <c r="D3469" s="1"/>
    </row>
    <row r="3470" spans="4:4">
      <c r="D3470" s="1"/>
    </row>
    <row r="3471" spans="4:4">
      <c r="D3471" s="1"/>
    </row>
    <row r="3472" spans="4:4">
      <c r="D3472" s="1"/>
    </row>
    <row r="3473" spans="4:4">
      <c r="D3473" s="1"/>
    </row>
    <row r="3474" spans="4:4">
      <c r="D3474" s="1"/>
    </row>
    <row r="3475" spans="4:4">
      <c r="D3475" s="1"/>
    </row>
    <row r="3476" spans="4:4">
      <c r="D3476" s="1"/>
    </row>
    <row r="3477" spans="4:4">
      <c r="D3477" s="1"/>
    </row>
    <row r="3478" spans="4:4">
      <c r="D3478" s="1"/>
    </row>
    <row r="3479" spans="4:4">
      <c r="D3479" s="1"/>
    </row>
    <row r="3480" spans="4:4">
      <c r="D3480" s="1"/>
    </row>
    <row r="3481" spans="4:4">
      <c r="D3481" s="1"/>
    </row>
    <row r="3482" spans="4:4">
      <c r="D3482" s="1"/>
    </row>
    <row r="3483" spans="4:4">
      <c r="D3483" s="1"/>
    </row>
    <row r="3484" spans="4:4">
      <c r="D3484" s="1"/>
    </row>
    <row r="3485" spans="4:4">
      <c r="D3485" s="1"/>
    </row>
    <row r="3486" spans="4:4">
      <c r="D3486" s="1"/>
    </row>
    <row r="3487" spans="4:4">
      <c r="D3487" s="1"/>
    </row>
    <row r="3488" spans="4:4">
      <c r="D3488" s="1"/>
    </row>
    <row r="3489" spans="4:4">
      <c r="D3489" s="1"/>
    </row>
    <row r="3490" spans="4:4">
      <c r="D3490" s="1"/>
    </row>
    <row r="3491" spans="4:4">
      <c r="D3491" s="1"/>
    </row>
    <row r="3492" spans="4:4">
      <c r="D3492" s="1"/>
    </row>
    <row r="3493" spans="4:4">
      <c r="D3493" s="1"/>
    </row>
    <row r="3494" spans="4:4">
      <c r="D3494" s="1"/>
    </row>
    <row r="3495" spans="4:4">
      <c r="D3495" s="1"/>
    </row>
    <row r="3496" spans="4:4">
      <c r="D3496" s="1"/>
    </row>
    <row r="3497" spans="4:4">
      <c r="D3497" s="1"/>
    </row>
    <row r="3498" spans="4:4">
      <c r="D3498" s="1"/>
    </row>
    <row r="3499" spans="4:4">
      <c r="D3499" s="1"/>
    </row>
    <row r="3500" spans="4:4">
      <c r="D3500" s="1"/>
    </row>
    <row r="3501" spans="4:4">
      <c r="D3501" s="1"/>
    </row>
    <row r="3502" spans="4:4">
      <c r="D3502" s="1"/>
    </row>
    <row r="3503" spans="4:4">
      <c r="D3503" s="1"/>
    </row>
    <row r="3504" spans="4:4">
      <c r="D3504" s="1"/>
    </row>
    <row r="3505" spans="4:4">
      <c r="D3505" s="1"/>
    </row>
    <row r="3506" spans="4:4">
      <c r="D3506" s="1"/>
    </row>
    <row r="3507" spans="4:4">
      <c r="D3507" s="1"/>
    </row>
    <row r="3508" spans="4:4">
      <c r="D3508" s="1"/>
    </row>
    <row r="3509" spans="4:4">
      <c r="D3509" s="1"/>
    </row>
    <row r="3510" spans="4:4">
      <c r="D3510" s="1"/>
    </row>
    <row r="3511" spans="4:4">
      <c r="D3511" s="1"/>
    </row>
    <row r="3512" spans="4:4">
      <c r="D3512" s="1"/>
    </row>
    <row r="3513" spans="4:4">
      <c r="D3513" s="1"/>
    </row>
    <row r="3514" spans="4:4">
      <c r="D3514" s="1"/>
    </row>
    <row r="3515" spans="4:4">
      <c r="D3515" s="1"/>
    </row>
    <row r="3516" spans="4:4">
      <c r="D3516" s="1"/>
    </row>
    <row r="3517" spans="4:4">
      <c r="D3517" s="1"/>
    </row>
    <row r="3518" spans="4:4">
      <c r="D3518" s="1"/>
    </row>
    <row r="3519" spans="4:4">
      <c r="D3519" s="1"/>
    </row>
    <row r="3520" spans="4:4">
      <c r="D3520" s="1"/>
    </row>
    <row r="3521" spans="4:4">
      <c r="D3521" s="1"/>
    </row>
    <row r="3522" spans="4:4">
      <c r="D3522" s="1"/>
    </row>
    <row r="3523" spans="4:4">
      <c r="D3523" s="1"/>
    </row>
    <row r="3524" spans="4:4">
      <c r="D3524" s="1"/>
    </row>
    <row r="3525" spans="4:4">
      <c r="D3525" s="1"/>
    </row>
    <row r="3526" spans="4:4">
      <c r="D3526" s="1"/>
    </row>
    <row r="3527" spans="4:4">
      <c r="D3527" s="1"/>
    </row>
    <row r="3528" spans="4:4">
      <c r="D3528" s="1"/>
    </row>
    <row r="3529" spans="4:4">
      <c r="D3529" s="1"/>
    </row>
    <row r="3530" spans="4:4">
      <c r="D3530" s="1"/>
    </row>
    <row r="3531" spans="4:4">
      <c r="D3531" s="1"/>
    </row>
    <row r="3532" spans="4:4">
      <c r="D3532" s="1"/>
    </row>
    <row r="3533" spans="4:4">
      <c r="D3533" s="1"/>
    </row>
    <row r="3534" spans="4:4">
      <c r="D3534" s="1"/>
    </row>
    <row r="3535" spans="4:4">
      <c r="D3535" s="1"/>
    </row>
    <row r="3536" spans="4:4">
      <c r="D3536" s="1"/>
    </row>
    <row r="3537" spans="4:4">
      <c r="D3537" s="1"/>
    </row>
    <row r="3538" spans="4:4">
      <c r="D3538" s="1"/>
    </row>
    <row r="3539" spans="4:4">
      <c r="D3539" s="1"/>
    </row>
    <row r="3540" spans="4:4">
      <c r="D3540" s="1"/>
    </row>
    <row r="3541" spans="4:4">
      <c r="D3541" s="1"/>
    </row>
    <row r="3542" spans="4:4">
      <c r="D3542" s="1"/>
    </row>
    <row r="3543" spans="4:4">
      <c r="D3543" s="1"/>
    </row>
    <row r="3544" spans="4:4">
      <c r="D3544" s="1"/>
    </row>
    <row r="3545" spans="4:4">
      <c r="D3545" s="1"/>
    </row>
    <row r="3546" spans="4:4">
      <c r="D3546" s="1"/>
    </row>
    <row r="3547" spans="4:4">
      <c r="D3547" s="1"/>
    </row>
    <row r="3548" spans="4:4">
      <c r="D3548" s="1"/>
    </row>
    <row r="3549" spans="4:4">
      <c r="D3549" s="1"/>
    </row>
    <row r="3550" spans="4:4">
      <c r="D3550" s="1"/>
    </row>
    <row r="3551" spans="4:4">
      <c r="D3551" s="1"/>
    </row>
    <row r="3552" spans="4:4">
      <c r="D3552" s="1"/>
    </row>
    <row r="3553" spans="4:4">
      <c r="D3553" s="1"/>
    </row>
    <row r="3554" spans="4:4">
      <c r="D3554" s="1"/>
    </row>
    <row r="3555" spans="4:4">
      <c r="D3555" s="1"/>
    </row>
    <row r="3556" spans="4:4">
      <c r="D3556" s="1"/>
    </row>
    <row r="3557" spans="4:4">
      <c r="D3557" s="1"/>
    </row>
    <row r="3558" spans="4:4">
      <c r="D3558" s="1"/>
    </row>
    <row r="3559" spans="4:4">
      <c r="D3559" s="1"/>
    </row>
    <row r="3560" spans="4:4">
      <c r="D3560" s="1"/>
    </row>
    <row r="3561" spans="4:4">
      <c r="D3561" s="1"/>
    </row>
    <row r="3562" spans="4:4">
      <c r="D3562" s="1"/>
    </row>
    <row r="3563" spans="4:4">
      <c r="D3563" s="1"/>
    </row>
    <row r="3564" spans="4:4">
      <c r="D3564" s="1"/>
    </row>
    <row r="3565" spans="4:4">
      <c r="D3565" s="1"/>
    </row>
    <row r="3566" spans="4:4">
      <c r="D3566" s="1"/>
    </row>
    <row r="3567" spans="4:4">
      <c r="D3567" s="1"/>
    </row>
    <row r="3568" spans="4:4">
      <c r="D3568" s="1"/>
    </row>
    <row r="3569" spans="4:4">
      <c r="D3569" s="1"/>
    </row>
    <row r="3570" spans="4:4">
      <c r="D3570" s="1"/>
    </row>
    <row r="3571" spans="4:4">
      <c r="D3571" s="1"/>
    </row>
    <row r="3572" spans="4:4">
      <c r="D3572" s="1"/>
    </row>
    <row r="3573" spans="4:4">
      <c r="D3573" s="1"/>
    </row>
    <row r="3574" spans="4:4">
      <c r="D3574" s="1"/>
    </row>
    <row r="3575" spans="4:4">
      <c r="D3575" s="1"/>
    </row>
    <row r="3576" spans="4:4">
      <c r="D3576" s="1"/>
    </row>
    <row r="3577" spans="4:4">
      <c r="D3577" s="1"/>
    </row>
    <row r="3578" spans="4:4">
      <c r="D3578" s="1"/>
    </row>
    <row r="3579" spans="4:4">
      <c r="D3579" s="1"/>
    </row>
    <row r="3580" spans="4:4">
      <c r="D3580" s="1"/>
    </row>
    <row r="3581" spans="4:4">
      <c r="D3581" s="1"/>
    </row>
    <row r="3582" spans="4:4">
      <c r="D3582" s="1"/>
    </row>
    <row r="3583" spans="4:4">
      <c r="D3583" s="1"/>
    </row>
    <row r="3584" spans="4:4">
      <c r="D3584" s="1"/>
    </row>
    <row r="3585" spans="4:4">
      <c r="D3585" s="1"/>
    </row>
    <row r="3586" spans="4:4">
      <c r="D3586" s="1"/>
    </row>
    <row r="3587" spans="4:4">
      <c r="D3587" s="1"/>
    </row>
    <row r="3588" spans="4:4">
      <c r="D3588" s="1"/>
    </row>
    <row r="3589" spans="4:4">
      <c r="D3589" s="1"/>
    </row>
    <row r="3590" spans="4:4">
      <c r="D3590" s="1"/>
    </row>
    <row r="3591" spans="4:4">
      <c r="D3591" s="1"/>
    </row>
    <row r="3592" spans="4:4">
      <c r="D3592" s="1"/>
    </row>
    <row r="3593" spans="4:4">
      <c r="D3593" s="1"/>
    </row>
    <row r="3594" spans="4:4">
      <c r="D3594" s="1"/>
    </row>
    <row r="3595" spans="4:4">
      <c r="D3595" s="1"/>
    </row>
    <row r="3596" spans="4:4">
      <c r="D3596" s="1"/>
    </row>
    <row r="3597" spans="4:4">
      <c r="D3597" s="1"/>
    </row>
    <row r="3598" spans="4:4">
      <c r="D3598" s="1"/>
    </row>
    <row r="3599" spans="4:4">
      <c r="D3599" s="1"/>
    </row>
    <row r="3600" spans="4:4">
      <c r="D3600" s="1"/>
    </row>
    <row r="3601" spans="4:4">
      <c r="D3601" s="1"/>
    </row>
    <row r="3602" spans="4:4">
      <c r="D3602" s="1"/>
    </row>
    <row r="3603" spans="4:4">
      <c r="D3603" s="1"/>
    </row>
    <row r="3604" spans="4:4">
      <c r="D3604" s="1"/>
    </row>
    <row r="3605" spans="4:4">
      <c r="D3605" s="1"/>
    </row>
    <row r="3606" spans="4:4">
      <c r="D3606" s="1"/>
    </row>
    <row r="3607" spans="4:4">
      <c r="D3607" s="1"/>
    </row>
    <row r="3608" spans="4:4">
      <c r="D3608" s="1"/>
    </row>
    <row r="3609" spans="4:4">
      <c r="D3609" s="1"/>
    </row>
    <row r="3610" spans="4:4">
      <c r="D3610" s="1"/>
    </row>
    <row r="3611" spans="4:4">
      <c r="D3611" s="1"/>
    </row>
    <row r="3612" spans="4:4">
      <c r="D3612" s="1"/>
    </row>
    <row r="3613" spans="4:4">
      <c r="D3613" s="1"/>
    </row>
    <row r="3614" spans="4:4">
      <c r="D3614" s="1"/>
    </row>
    <row r="3615" spans="4:4">
      <c r="D3615" s="1"/>
    </row>
    <row r="3616" spans="4:4">
      <c r="D3616" s="1"/>
    </row>
    <row r="3617" spans="4:4">
      <c r="D3617" s="1"/>
    </row>
    <row r="3618" spans="4:4">
      <c r="D3618" s="1"/>
    </row>
    <row r="3619" spans="4:4">
      <c r="D3619" s="1"/>
    </row>
    <row r="3620" spans="4:4">
      <c r="D3620" s="1"/>
    </row>
    <row r="3621" spans="4:4">
      <c r="D3621" s="1"/>
    </row>
    <row r="3622" spans="4:4">
      <c r="D3622" s="1"/>
    </row>
    <row r="3623" spans="4:4">
      <c r="D3623" s="1"/>
    </row>
    <row r="3624" spans="4:4">
      <c r="D3624" s="1"/>
    </row>
    <row r="3625" spans="4:4">
      <c r="D3625" s="1"/>
    </row>
    <row r="3626" spans="4:4">
      <c r="D3626" s="1"/>
    </row>
    <row r="3627" spans="4:4">
      <c r="D3627" s="1"/>
    </row>
    <row r="3628" spans="4:4">
      <c r="D3628" s="1"/>
    </row>
    <row r="3629" spans="4:4">
      <c r="D3629" s="1"/>
    </row>
    <row r="3630" spans="4:4">
      <c r="D3630" s="1"/>
    </row>
    <row r="3631" spans="4:4">
      <c r="D3631" s="1"/>
    </row>
    <row r="3632" spans="4:4">
      <c r="D3632" s="1"/>
    </row>
    <row r="3633" spans="4:4">
      <c r="D3633" s="1"/>
    </row>
    <row r="3634" spans="4:4">
      <c r="D3634" s="1"/>
    </row>
    <row r="3635" spans="4:4">
      <c r="D3635" s="1"/>
    </row>
    <row r="3636" spans="4:4">
      <c r="D3636" s="1"/>
    </row>
    <row r="3637" spans="4:4">
      <c r="D3637" s="1"/>
    </row>
    <row r="3638" spans="4:4">
      <c r="D3638" s="1"/>
    </row>
    <row r="3639" spans="4:4">
      <c r="D3639" s="1"/>
    </row>
    <row r="3640" spans="4:4">
      <c r="D3640" s="1"/>
    </row>
    <row r="3641" spans="4:4">
      <c r="D3641" s="1"/>
    </row>
    <row r="3642" spans="4:4">
      <c r="D3642" s="1"/>
    </row>
    <row r="3643" spans="4:4">
      <c r="D3643" s="1"/>
    </row>
    <row r="3644" spans="4:4">
      <c r="D3644" s="1"/>
    </row>
    <row r="3645" spans="4:4">
      <c r="D3645" s="1"/>
    </row>
    <row r="3646" spans="4:4">
      <c r="D3646" s="1"/>
    </row>
    <row r="3647" spans="4:4">
      <c r="D3647" s="1"/>
    </row>
    <row r="3648" spans="4:4">
      <c r="D3648" s="1"/>
    </row>
    <row r="3649" spans="4:4">
      <c r="D3649" s="1"/>
    </row>
    <row r="3650" spans="4:4">
      <c r="D3650" s="1"/>
    </row>
    <row r="3651" spans="4:4">
      <c r="D3651" s="1"/>
    </row>
    <row r="3652" spans="4:4">
      <c r="D3652" s="1"/>
    </row>
    <row r="3653" spans="4:4">
      <c r="D3653" s="1"/>
    </row>
    <row r="3654" spans="4:4">
      <c r="D3654" s="1"/>
    </row>
    <row r="3655" spans="4:4">
      <c r="D3655" s="1"/>
    </row>
    <row r="3656" spans="4:4">
      <c r="D3656" s="1"/>
    </row>
    <row r="3657" spans="4:4">
      <c r="D3657" s="1"/>
    </row>
    <row r="3658" spans="4:4">
      <c r="D3658" s="1"/>
    </row>
    <row r="3659" spans="4:4">
      <c r="D3659" s="1"/>
    </row>
    <row r="3660" spans="4:4">
      <c r="D3660" s="1"/>
    </row>
    <row r="3661" spans="4:4">
      <c r="D3661" s="1"/>
    </row>
    <row r="3662" spans="4:4">
      <c r="D3662" s="1"/>
    </row>
    <row r="3663" spans="4:4">
      <c r="D3663" s="1"/>
    </row>
    <row r="3664" spans="4:4">
      <c r="D3664" s="1"/>
    </row>
    <row r="3665" spans="4:4">
      <c r="D3665" s="1"/>
    </row>
    <row r="3666" spans="4:4">
      <c r="D3666" s="1"/>
    </row>
    <row r="3667" spans="4:4">
      <c r="D3667" s="1"/>
    </row>
    <row r="3668" spans="4:4">
      <c r="D3668" s="1"/>
    </row>
    <row r="3669" spans="4:4">
      <c r="D3669" s="1"/>
    </row>
    <row r="3670" spans="4:4">
      <c r="D3670" s="1"/>
    </row>
    <row r="3671" spans="4:4">
      <c r="D3671" s="1"/>
    </row>
    <row r="3672" spans="4:4">
      <c r="D3672" s="1"/>
    </row>
    <row r="3673" spans="4:4">
      <c r="D3673" s="1"/>
    </row>
    <row r="3674" spans="4:4">
      <c r="D3674" s="1"/>
    </row>
    <row r="3675" spans="4:4">
      <c r="D3675" s="1"/>
    </row>
    <row r="3676" spans="4:4">
      <c r="D3676" s="1"/>
    </row>
    <row r="3677" spans="4:4">
      <c r="D3677" s="1"/>
    </row>
    <row r="3678" spans="4:4">
      <c r="D3678" s="1"/>
    </row>
    <row r="3679" spans="4:4">
      <c r="D3679" s="1"/>
    </row>
    <row r="3680" spans="4:4">
      <c r="D3680" s="1"/>
    </row>
    <row r="3681" spans="4:4">
      <c r="D3681" s="1"/>
    </row>
    <row r="3682" spans="4:4">
      <c r="D3682" s="1"/>
    </row>
    <row r="3683" spans="4:4">
      <c r="D3683" s="1"/>
    </row>
    <row r="3684" spans="4:4">
      <c r="D3684" s="1"/>
    </row>
    <row r="3685" spans="4:4">
      <c r="D3685" s="1"/>
    </row>
    <row r="3686" spans="4:4">
      <c r="D3686" s="1"/>
    </row>
    <row r="3687" spans="4:4">
      <c r="D3687" s="1"/>
    </row>
    <row r="3688" spans="4:4">
      <c r="D3688" s="1"/>
    </row>
    <row r="3689" spans="4:4">
      <c r="D3689" s="1"/>
    </row>
    <row r="3690" spans="4:4">
      <c r="D3690" s="1"/>
    </row>
    <row r="3691" spans="4:4">
      <c r="D3691" s="1"/>
    </row>
    <row r="3692" spans="4:4">
      <c r="D3692" s="1"/>
    </row>
    <row r="3693" spans="4:4">
      <c r="D3693" s="1"/>
    </row>
    <row r="3694" spans="4:4">
      <c r="D3694" s="1"/>
    </row>
    <row r="3695" spans="4:4">
      <c r="D3695" s="1"/>
    </row>
    <row r="3696" spans="4:4">
      <c r="D3696" s="1"/>
    </row>
    <row r="3697" spans="4:4">
      <c r="D3697" s="1"/>
    </row>
    <row r="3698" spans="4:4">
      <c r="D3698" s="1"/>
    </row>
    <row r="3699" spans="4:4">
      <c r="D3699" s="1"/>
    </row>
    <row r="3700" spans="4:4">
      <c r="D3700" s="1"/>
    </row>
    <row r="3701" spans="4:4">
      <c r="D3701" s="1"/>
    </row>
    <row r="3702" spans="4:4">
      <c r="D3702" s="1"/>
    </row>
    <row r="3703" spans="4:4">
      <c r="D3703" s="1"/>
    </row>
    <row r="3704" spans="4:4">
      <c r="D3704" s="1"/>
    </row>
    <row r="3705" spans="4:4">
      <c r="D3705" s="1"/>
    </row>
    <row r="3706" spans="4:4">
      <c r="D3706" s="1"/>
    </row>
    <row r="3707" spans="4:4">
      <c r="D3707" s="1"/>
    </row>
    <row r="3708" spans="4:4">
      <c r="D3708" s="1"/>
    </row>
    <row r="3709" spans="4:4">
      <c r="D3709" s="1"/>
    </row>
    <row r="3710" spans="4:4">
      <c r="D3710" s="1"/>
    </row>
    <row r="3711" spans="4:4">
      <c r="D3711" s="1"/>
    </row>
    <row r="3712" spans="4:4">
      <c r="D3712" s="1"/>
    </row>
    <row r="3713" spans="4:4">
      <c r="D3713" s="1"/>
    </row>
    <row r="3714" spans="4:4">
      <c r="D3714" s="1"/>
    </row>
    <row r="3715" spans="4:4">
      <c r="D3715" s="1"/>
    </row>
    <row r="3716" spans="4:4">
      <c r="D3716" s="1"/>
    </row>
    <row r="3717" spans="4:4">
      <c r="D3717" s="1"/>
    </row>
    <row r="3718" spans="4:4">
      <c r="D3718" s="1"/>
    </row>
    <row r="3719" spans="4:4">
      <c r="D3719" s="1"/>
    </row>
    <row r="3720" spans="4:4">
      <c r="D3720" s="1"/>
    </row>
    <row r="3721" spans="4:4">
      <c r="D3721" s="1"/>
    </row>
    <row r="3722" spans="4:4">
      <c r="D3722" s="1"/>
    </row>
    <row r="3723" spans="4:4">
      <c r="D3723" s="1"/>
    </row>
    <row r="3724" spans="4:4">
      <c r="D3724" s="1"/>
    </row>
    <row r="3725" spans="4:4">
      <c r="D3725" s="1"/>
    </row>
    <row r="3726" spans="4:4">
      <c r="D3726" s="1"/>
    </row>
    <row r="3727" spans="4:4">
      <c r="D3727" s="1"/>
    </row>
    <row r="3728" spans="4:4">
      <c r="D3728" s="1"/>
    </row>
    <row r="3729" spans="4:4">
      <c r="D3729" s="1"/>
    </row>
    <row r="3730" spans="4:4">
      <c r="D3730" s="1"/>
    </row>
    <row r="3731" spans="4:4">
      <c r="D3731" s="1"/>
    </row>
    <row r="3732" spans="4:4">
      <c r="D3732" s="1"/>
    </row>
    <row r="3733" spans="4:4">
      <c r="D3733" s="1"/>
    </row>
    <row r="3734" spans="4:4">
      <c r="D3734" s="1"/>
    </row>
    <row r="3735" spans="4:4">
      <c r="D3735" s="1"/>
    </row>
    <row r="3736" spans="4:4">
      <c r="D3736" s="1"/>
    </row>
    <row r="3737" spans="4:4">
      <c r="D3737" s="1"/>
    </row>
    <row r="3738" spans="4:4">
      <c r="D3738" s="1"/>
    </row>
    <row r="3739" spans="4:4">
      <c r="D3739" s="1"/>
    </row>
    <row r="3740" spans="4:4">
      <c r="D3740" s="1"/>
    </row>
    <row r="3741" spans="4:4">
      <c r="D3741" s="1"/>
    </row>
    <row r="3742" spans="4:4">
      <c r="D3742" s="1"/>
    </row>
    <row r="3743" spans="4:4">
      <c r="D3743" s="1"/>
    </row>
    <row r="3744" spans="4:4">
      <c r="D3744" s="1"/>
    </row>
    <row r="3745" spans="4:4">
      <c r="D3745" s="1"/>
    </row>
    <row r="3746" spans="4:4">
      <c r="D3746" s="1"/>
    </row>
    <row r="3747" spans="4:4">
      <c r="D3747" s="1"/>
    </row>
    <row r="3748" spans="4:4">
      <c r="D3748" s="1"/>
    </row>
    <row r="3749" spans="4:4">
      <c r="D3749" s="1"/>
    </row>
    <row r="3750" spans="4:4">
      <c r="D3750" s="1"/>
    </row>
    <row r="3751" spans="4:4">
      <c r="D3751" s="1"/>
    </row>
    <row r="3752" spans="4:4">
      <c r="D3752" s="1"/>
    </row>
    <row r="3753" spans="4:4">
      <c r="D3753" s="1"/>
    </row>
    <row r="3754" spans="4:4">
      <c r="D3754" s="1"/>
    </row>
    <row r="3755" spans="4:4">
      <c r="D3755" s="1"/>
    </row>
    <row r="3756" spans="4:4">
      <c r="D3756" s="1"/>
    </row>
    <row r="3757" spans="4:4">
      <c r="D3757" s="1"/>
    </row>
    <row r="3758" spans="4:4">
      <c r="D3758" s="1"/>
    </row>
    <row r="3759" spans="4:4">
      <c r="D3759" s="1"/>
    </row>
    <row r="3760" spans="4:4">
      <c r="D3760" s="1"/>
    </row>
    <row r="3761" spans="4:4">
      <c r="D3761" s="1"/>
    </row>
    <row r="3762" spans="4:4">
      <c r="D3762" s="1"/>
    </row>
    <row r="3763" spans="4:4">
      <c r="D3763" s="1"/>
    </row>
    <row r="3764" spans="4:4">
      <c r="D3764" s="1"/>
    </row>
    <row r="3765" spans="4:4">
      <c r="D3765" s="1"/>
    </row>
    <row r="3766" spans="4:4">
      <c r="D3766" s="1"/>
    </row>
    <row r="3767" spans="4:4">
      <c r="D3767" s="1"/>
    </row>
    <row r="3768" spans="4:4">
      <c r="D3768" s="1"/>
    </row>
    <row r="3769" spans="4:4">
      <c r="D3769" s="1"/>
    </row>
    <row r="3770" spans="4:4">
      <c r="D3770" s="1"/>
    </row>
    <row r="3771" spans="4:4">
      <c r="D3771" s="1"/>
    </row>
    <row r="3772" spans="4:4">
      <c r="D3772" s="1"/>
    </row>
    <row r="3773" spans="4:4">
      <c r="D3773" s="1"/>
    </row>
    <row r="3774" spans="4:4">
      <c r="D3774" s="1"/>
    </row>
    <row r="3775" spans="4:4">
      <c r="D3775" s="1"/>
    </row>
    <row r="3776" spans="4:4">
      <c r="D3776" s="1"/>
    </row>
    <row r="3777" spans="4:4">
      <c r="D3777" s="1"/>
    </row>
    <row r="3778" spans="4:4">
      <c r="D3778" s="1"/>
    </row>
    <row r="3779" spans="4:4">
      <c r="D3779" s="1"/>
    </row>
    <row r="3780" spans="4:4">
      <c r="D3780" s="1"/>
    </row>
    <row r="3781" spans="4:4">
      <c r="D3781" s="1"/>
    </row>
    <row r="3782" spans="4:4">
      <c r="D3782" s="1"/>
    </row>
    <row r="3783" spans="4:4">
      <c r="D3783" s="1"/>
    </row>
    <row r="3784" spans="4:4">
      <c r="D3784" s="1"/>
    </row>
    <row r="3785" spans="4:4">
      <c r="D3785" s="1"/>
    </row>
    <row r="3786" spans="4:4">
      <c r="D3786" s="1"/>
    </row>
    <row r="3787" spans="4:4">
      <c r="D3787" s="1"/>
    </row>
    <row r="3788" spans="4:4">
      <c r="D3788" s="1"/>
    </row>
    <row r="3789" spans="4:4">
      <c r="D3789" s="1"/>
    </row>
    <row r="3790" spans="4:4">
      <c r="D3790" s="1"/>
    </row>
    <row r="3791" spans="4:4">
      <c r="D3791" s="1"/>
    </row>
    <row r="3792" spans="4:4">
      <c r="D3792" s="1"/>
    </row>
    <row r="3793" spans="4:4">
      <c r="D3793" s="1"/>
    </row>
    <row r="3794" spans="4:4">
      <c r="D3794" s="1"/>
    </row>
    <row r="3795" spans="4:4">
      <c r="D3795" s="1"/>
    </row>
    <row r="3796" spans="4:4">
      <c r="D3796" s="1"/>
    </row>
    <row r="3797" spans="4:4">
      <c r="D3797" s="1"/>
    </row>
    <row r="3798" spans="4:4">
      <c r="D3798" s="1"/>
    </row>
    <row r="3799" spans="4:4">
      <c r="D3799" s="1"/>
    </row>
    <row r="3800" spans="4:4">
      <c r="D3800" s="1"/>
    </row>
    <row r="3801" spans="4:4">
      <c r="D3801" s="1"/>
    </row>
    <row r="3802" spans="4:4">
      <c r="D3802" s="1"/>
    </row>
    <row r="3803" spans="4:4">
      <c r="D3803" s="1"/>
    </row>
    <row r="3804" spans="4:4">
      <c r="D3804" s="1"/>
    </row>
    <row r="3805" spans="4:4">
      <c r="D3805" s="1"/>
    </row>
    <row r="3806" spans="4:4">
      <c r="D3806" s="1"/>
    </row>
    <row r="3807" spans="4:4">
      <c r="D3807" s="1"/>
    </row>
    <row r="3808" spans="4:4">
      <c r="D3808" s="1"/>
    </row>
    <row r="3809" spans="4:4">
      <c r="D3809" s="1"/>
    </row>
    <row r="3810" spans="4:4">
      <c r="D3810" s="1"/>
    </row>
    <row r="3811" spans="4:4">
      <c r="D3811" s="1"/>
    </row>
    <row r="3812" spans="4:4">
      <c r="D3812" s="1"/>
    </row>
    <row r="3813" spans="4:4">
      <c r="D3813" s="1"/>
    </row>
    <row r="3814" spans="4:4">
      <c r="D3814" s="1"/>
    </row>
    <row r="3815" spans="4:4">
      <c r="D3815" s="1"/>
    </row>
    <row r="3816" spans="4:4">
      <c r="D3816" s="1"/>
    </row>
    <row r="3817" spans="4:4">
      <c r="D3817" s="1"/>
    </row>
    <row r="3818" spans="4:4">
      <c r="D3818" s="1"/>
    </row>
    <row r="3819" spans="4:4">
      <c r="D3819" s="1"/>
    </row>
    <row r="3820" spans="4:4">
      <c r="D3820" s="1"/>
    </row>
    <row r="3821" spans="4:4">
      <c r="D3821" s="1"/>
    </row>
    <row r="3822" spans="4:4">
      <c r="D3822" s="1"/>
    </row>
    <row r="3823" spans="4:4">
      <c r="D3823" s="1"/>
    </row>
    <row r="3824" spans="4:4">
      <c r="D3824" s="1"/>
    </row>
    <row r="3825" spans="4:4">
      <c r="D3825" s="1"/>
    </row>
    <row r="3826" spans="4:4">
      <c r="D3826" s="1"/>
    </row>
    <row r="3827" spans="4:4">
      <c r="D3827" s="1"/>
    </row>
    <row r="3828" spans="4:4">
      <c r="D3828" s="1"/>
    </row>
    <row r="3829" spans="4:4">
      <c r="D3829" s="1"/>
    </row>
    <row r="3830" spans="4:4">
      <c r="D3830" s="1"/>
    </row>
    <row r="3831" spans="4:4">
      <c r="D3831" s="1"/>
    </row>
    <row r="3832" spans="4:4">
      <c r="D3832" s="1"/>
    </row>
    <row r="3833" spans="4:4">
      <c r="D3833" s="1"/>
    </row>
    <row r="3834" spans="4:4">
      <c r="D3834" s="1"/>
    </row>
    <row r="3835" spans="4:4">
      <c r="D3835" s="1"/>
    </row>
    <row r="3836" spans="4:4">
      <c r="D3836" s="1"/>
    </row>
    <row r="3837" spans="4:4">
      <c r="D3837" s="1"/>
    </row>
    <row r="3838" spans="4:4">
      <c r="D3838" s="1"/>
    </row>
    <row r="3839" spans="4:4">
      <c r="D3839" s="1"/>
    </row>
    <row r="3840" spans="4:4">
      <c r="D3840" s="1"/>
    </row>
    <row r="3841" spans="4:4">
      <c r="D3841" s="1"/>
    </row>
    <row r="3842" spans="4:4">
      <c r="D3842" s="1"/>
    </row>
    <row r="3843" spans="4:4">
      <c r="D3843" s="1"/>
    </row>
    <row r="3844" spans="4:4">
      <c r="D3844" s="1"/>
    </row>
    <row r="3845" spans="4:4">
      <c r="D3845" s="1"/>
    </row>
    <row r="3846" spans="4:4">
      <c r="D3846" s="1"/>
    </row>
    <row r="3847" spans="4:4">
      <c r="D3847" s="1"/>
    </row>
    <row r="3848" spans="4:4">
      <c r="D3848" s="1"/>
    </row>
    <row r="3849" spans="4:4">
      <c r="D3849" s="1"/>
    </row>
    <row r="3850" spans="4:4">
      <c r="D3850" s="1"/>
    </row>
    <row r="3851" spans="4:4">
      <c r="D3851" s="1"/>
    </row>
    <row r="3852" spans="4:4">
      <c r="D3852" s="1"/>
    </row>
    <row r="3853" spans="4:4">
      <c r="D3853" s="1"/>
    </row>
    <row r="3854" spans="4:4">
      <c r="D3854" s="1"/>
    </row>
    <row r="3855" spans="4:4">
      <c r="D3855" s="1"/>
    </row>
    <row r="3856" spans="4:4">
      <c r="D3856" s="1"/>
    </row>
    <row r="3857" spans="4:4">
      <c r="D3857" s="1"/>
    </row>
    <row r="3858" spans="4:4">
      <c r="D3858" s="1"/>
    </row>
    <row r="3859" spans="4:4">
      <c r="D3859" s="1"/>
    </row>
    <row r="3860" spans="4:4">
      <c r="D3860" s="1"/>
    </row>
    <row r="3861" spans="4:4">
      <c r="D3861" s="1"/>
    </row>
    <row r="3862" spans="4:4">
      <c r="D3862" s="1"/>
    </row>
    <row r="3863" spans="4:4">
      <c r="D3863" s="1"/>
    </row>
    <row r="3864" spans="4:4">
      <c r="D3864" s="1"/>
    </row>
    <row r="3865" spans="4:4">
      <c r="D3865" s="1"/>
    </row>
    <row r="3866" spans="4:4">
      <c r="D3866" s="1"/>
    </row>
    <row r="3867" spans="4:4">
      <c r="D3867" s="1"/>
    </row>
    <row r="3868" spans="4:4">
      <c r="D3868" s="1"/>
    </row>
    <row r="3869" spans="4:4">
      <c r="D3869" s="1"/>
    </row>
    <row r="3870" spans="4:4">
      <c r="D3870" s="1"/>
    </row>
    <row r="3871" spans="4:4">
      <c r="D3871" s="1"/>
    </row>
    <row r="3872" spans="4:4">
      <c r="D3872" s="1"/>
    </row>
    <row r="3873" spans="4:4">
      <c r="D3873" s="1"/>
    </row>
    <row r="3874" spans="4:4">
      <c r="D3874" s="1"/>
    </row>
    <row r="3875" spans="4:4">
      <c r="D3875" s="1"/>
    </row>
    <row r="3876" spans="4:4">
      <c r="D3876" s="1"/>
    </row>
    <row r="3877" spans="4:4">
      <c r="D3877" s="1"/>
    </row>
    <row r="3878" spans="4:4">
      <c r="D3878" s="1"/>
    </row>
    <row r="3879" spans="4:4">
      <c r="D3879" s="1"/>
    </row>
    <row r="3880" spans="4:4">
      <c r="D3880" s="1"/>
    </row>
    <row r="3881" spans="4:4">
      <c r="D3881" s="1"/>
    </row>
    <row r="3882" spans="4:4">
      <c r="D3882" s="1"/>
    </row>
    <row r="3883" spans="4:4">
      <c r="D3883" s="1"/>
    </row>
    <row r="3884" spans="4:4">
      <c r="D3884" s="1"/>
    </row>
    <row r="3885" spans="4:4">
      <c r="D3885" s="1"/>
    </row>
    <row r="3886" spans="4:4">
      <c r="D3886" s="1"/>
    </row>
    <row r="3887" spans="4:4">
      <c r="D3887" s="1"/>
    </row>
    <row r="3888" spans="4:4">
      <c r="D3888" s="1"/>
    </row>
    <row r="3889" spans="4:4">
      <c r="D3889" s="1"/>
    </row>
    <row r="3890" spans="4:4">
      <c r="D3890" s="1"/>
    </row>
    <row r="3891" spans="4:4">
      <c r="D3891" s="1"/>
    </row>
    <row r="3892" spans="4:4">
      <c r="D3892" s="1"/>
    </row>
    <row r="3893" spans="4:4">
      <c r="D3893" s="1"/>
    </row>
    <row r="3894" spans="4:4">
      <c r="D3894" s="1"/>
    </row>
    <row r="3895" spans="4:4">
      <c r="D3895" s="1"/>
    </row>
    <row r="3896" spans="4:4">
      <c r="D3896" s="1"/>
    </row>
    <row r="3897" spans="4:4">
      <c r="D3897" s="1"/>
    </row>
    <row r="3898" spans="4:4">
      <c r="D3898" s="1"/>
    </row>
    <row r="3899" spans="4:4">
      <c r="D3899" s="1"/>
    </row>
    <row r="3900" spans="4:4">
      <c r="D3900" s="1"/>
    </row>
    <row r="3901" spans="4:4">
      <c r="D3901" s="1"/>
    </row>
    <row r="3902" spans="4:4">
      <c r="D3902" s="1"/>
    </row>
    <row r="3903" spans="4:4">
      <c r="D3903" s="1"/>
    </row>
    <row r="3904" spans="4:4">
      <c r="D3904" s="1"/>
    </row>
    <row r="3905" spans="4:4">
      <c r="D3905" s="1"/>
    </row>
    <row r="3906" spans="4:4">
      <c r="D3906" s="1"/>
    </row>
    <row r="3907" spans="4:4">
      <c r="D3907" s="1"/>
    </row>
    <row r="3908" spans="4:4">
      <c r="D3908" s="1"/>
    </row>
    <row r="3909" spans="4:4">
      <c r="D3909" s="1"/>
    </row>
    <row r="3910" spans="4:4">
      <c r="D3910" s="1"/>
    </row>
    <row r="3911" spans="4:4">
      <c r="D3911" s="1"/>
    </row>
    <row r="3912" spans="4:4">
      <c r="D3912" s="1"/>
    </row>
    <row r="3913" spans="4:4">
      <c r="D3913" s="1"/>
    </row>
    <row r="3914" spans="4:4">
      <c r="D3914" s="1"/>
    </row>
    <row r="3915" spans="4:4">
      <c r="D3915" s="1"/>
    </row>
    <row r="3916" spans="4:4">
      <c r="D3916" s="1"/>
    </row>
    <row r="3917" spans="4:4">
      <c r="D3917" s="1"/>
    </row>
    <row r="3918" spans="4:4">
      <c r="D3918" s="1"/>
    </row>
    <row r="3919" spans="4:4">
      <c r="D3919" s="1"/>
    </row>
    <row r="3920" spans="4:4">
      <c r="D3920" s="1"/>
    </row>
    <row r="3921" spans="4:4">
      <c r="D3921" s="1"/>
    </row>
    <row r="3922" spans="4:4">
      <c r="D3922" s="1"/>
    </row>
    <row r="3923" spans="4:4">
      <c r="D3923" s="1"/>
    </row>
    <row r="3924" spans="4:4">
      <c r="D3924" s="1"/>
    </row>
    <row r="3925" spans="4:4">
      <c r="D3925" s="1"/>
    </row>
    <row r="3926" spans="4:4">
      <c r="D3926" s="1"/>
    </row>
    <row r="3927" spans="4:4">
      <c r="D3927" s="1"/>
    </row>
    <row r="3928" spans="4:4">
      <c r="D3928" s="1"/>
    </row>
    <row r="3929" spans="4:4">
      <c r="D3929" s="1"/>
    </row>
    <row r="3930" spans="4:4">
      <c r="D3930" s="1"/>
    </row>
    <row r="3931" spans="4:4">
      <c r="D3931" s="1"/>
    </row>
    <row r="3932" spans="4:4">
      <c r="D3932" s="1"/>
    </row>
    <row r="3933" spans="4:4">
      <c r="D3933" s="1"/>
    </row>
    <row r="3934" spans="4:4">
      <c r="D3934" s="1"/>
    </row>
    <row r="3935" spans="4:4">
      <c r="D3935" s="1"/>
    </row>
    <row r="3936" spans="4:4">
      <c r="D3936" s="1"/>
    </row>
    <row r="3937" spans="4:4">
      <c r="D3937" s="1"/>
    </row>
    <row r="3938" spans="4:4">
      <c r="D3938" s="1"/>
    </row>
    <row r="3939" spans="4:4">
      <c r="D3939" s="1"/>
    </row>
    <row r="3940" spans="4:4">
      <c r="D3940" s="1"/>
    </row>
    <row r="3941" spans="4:4">
      <c r="D3941" s="1"/>
    </row>
    <row r="3942" spans="4:4">
      <c r="D3942" s="1"/>
    </row>
    <row r="3943" spans="4:4">
      <c r="D3943" s="1"/>
    </row>
    <row r="3944" spans="4:4">
      <c r="D3944" s="1"/>
    </row>
    <row r="3945" spans="4:4">
      <c r="D3945" s="1"/>
    </row>
    <row r="3946" spans="4:4">
      <c r="D3946" s="1"/>
    </row>
    <row r="3947" spans="4:4">
      <c r="D3947" s="1"/>
    </row>
    <row r="3948" spans="4:4">
      <c r="D3948" s="1"/>
    </row>
    <row r="3949" spans="4:4">
      <c r="D3949" s="1"/>
    </row>
    <row r="3950" spans="4:4">
      <c r="D3950" s="1"/>
    </row>
    <row r="3951" spans="4:4">
      <c r="D3951" s="1"/>
    </row>
    <row r="3952" spans="4:4">
      <c r="D3952" s="1"/>
    </row>
    <row r="3953" spans="4:4">
      <c r="D3953" s="1"/>
    </row>
    <row r="3954" spans="4:4">
      <c r="D3954" s="1"/>
    </row>
    <row r="3955" spans="4:4">
      <c r="D3955" s="1"/>
    </row>
    <row r="3956" spans="4:4">
      <c r="D3956" s="1"/>
    </row>
    <row r="3957" spans="4:4">
      <c r="D3957" s="1"/>
    </row>
    <row r="3958" spans="4:4">
      <c r="D3958" s="1"/>
    </row>
    <row r="3959" spans="4:4">
      <c r="D3959" s="1"/>
    </row>
    <row r="3960" spans="4:4">
      <c r="D3960" s="1"/>
    </row>
    <row r="3961" spans="4:4">
      <c r="D3961" s="1"/>
    </row>
    <row r="3962" spans="4:4">
      <c r="D3962" s="1"/>
    </row>
    <row r="3963" spans="4:4">
      <c r="D3963" s="1"/>
    </row>
    <row r="3964" spans="4:4">
      <c r="D3964" s="1"/>
    </row>
    <row r="3965" spans="4:4">
      <c r="D3965" s="1"/>
    </row>
    <row r="3966" spans="4:4">
      <c r="D3966" s="1"/>
    </row>
    <row r="3967" spans="4:4">
      <c r="D3967" s="1"/>
    </row>
    <row r="3968" spans="4:4">
      <c r="D3968" s="1"/>
    </row>
    <row r="3969" spans="4:4">
      <c r="D3969" s="1"/>
    </row>
    <row r="3970" spans="4:4">
      <c r="D3970" s="1"/>
    </row>
    <row r="3971" spans="4:4">
      <c r="D3971" s="1"/>
    </row>
    <row r="3972" spans="4:4">
      <c r="D3972" s="1"/>
    </row>
    <row r="3973" spans="4:4">
      <c r="D3973" s="1"/>
    </row>
    <row r="3974" spans="4:4">
      <c r="D3974" s="1"/>
    </row>
    <row r="3975" spans="4:4">
      <c r="D3975" s="1"/>
    </row>
    <row r="3976" spans="4:4">
      <c r="D3976" s="1"/>
    </row>
    <row r="3977" spans="4:4">
      <c r="D3977" s="1"/>
    </row>
    <row r="3978" spans="4:4">
      <c r="D3978" s="1"/>
    </row>
    <row r="3979" spans="4:4">
      <c r="D3979" s="1"/>
    </row>
    <row r="3980" spans="4:4">
      <c r="D3980" s="1"/>
    </row>
    <row r="3981" spans="4:4">
      <c r="D3981" s="1"/>
    </row>
    <row r="3982" spans="4:4">
      <c r="D3982" s="1"/>
    </row>
    <row r="3983" spans="4:4">
      <c r="D3983" s="1"/>
    </row>
    <row r="3984" spans="4:4">
      <c r="D3984" s="1"/>
    </row>
    <row r="3985" spans="4:4">
      <c r="D3985" s="1"/>
    </row>
    <row r="3986" spans="4:4">
      <c r="D3986" s="1"/>
    </row>
    <row r="3987" spans="4:4">
      <c r="D3987" s="1"/>
    </row>
    <row r="3988" spans="4:4">
      <c r="D3988" s="1"/>
    </row>
    <row r="3989" spans="4:4">
      <c r="D3989" s="1"/>
    </row>
    <row r="3990" spans="4:4">
      <c r="D3990" s="1"/>
    </row>
    <row r="3991" spans="4:4">
      <c r="D3991" s="1"/>
    </row>
    <row r="3992" spans="4:4">
      <c r="D3992" s="1"/>
    </row>
    <row r="3993" spans="4:4">
      <c r="D3993" s="1"/>
    </row>
    <row r="3994" spans="4:4">
      <c r="D3994" s="1"/>
    </row>
    <row r="3995" spans="4:4">
      <c r="D3995" s="1"/>
    </row>
    <row r="3996" spans="4:4">
      <c r="D3996" s="1"/>
    </row>
    <row r="3997" spans="4:4">
      <c r="D3997" s="1"/>
    </row>
    <row r="3998" spans="4:4">
      <c r="D3998" s="1"/>
    </row>
    <row r="3999" spans="4:4">
      <c r="D3999" s="1"/>
    </row>
    <row r="4000" spans="4:4">
      <c r="D4000" s="1"/>
    </row>
    <row r="4001" spans="4:4">
      <c r="D4001" s="1"/>
    </row>
    <row r="4002" spans="4:4">
      <c r="D4002" s="1"/>
    </row>
    <row r="4003" spans="4:4">
      <c r="D4003" s="1"/>
    </row>
    <row r="4004" spans="4:4">
      <c r="D4004" s="1"/>
    </row>
    <row r="4005" spans="4:4">
      <c r="D4005" s="1"/>
    </row>
    <row r="4006" spans="4:4">
      <c r="D4006" s="1"/>
    </row>
    <row r="4007" spans="4:4">
      <c r="D4007" s="1"/>
    </row>
    <row r="4008" spans="4:4">
      <c r="D4008" s="1"/>
    </row>
    <row r="4009" spans="4:4">
      <c r="D4009" s="1"/>
    </row>
    <row r="4010" spans="4:4">
      <c r="D4010" s="1"/>
    </row>
    <row r="4011" spans="4:4">
      <c r="D4011" s="1"/>
    </row>
    <row r="4012" spans="4:4">
      <c r="D4012" s="1"/>
    </row>
    <row r="4013" spans="4:4">
      <c r="D4013" s="1"/>
    </row>
    <row r="4014" spans="4:4">
      <c r="D4014" s="1"/>
    </row>
    <row r="4015" spans="4:4">
      <c r="D4015" s="1"/>
    </row>
    <row r="4016" spans="4:4">
      <c r="D4016" s="1"/>
    </row>
    <row r="4017" spans="4:4">
      <c r="D4017" s="1"/>
    </row>
    <row r="4018" spans="4:4">
      <c r="D4018" s="1"/>
    </row>
    <row r="4019" spans="4:4">
      <c r="D4019" s="1"/>
    </row>
    <row r="4020" spans="4:4">
      <c r="D4020" s="1"/>
    </row>
    <row r="4021" spans="4:4">
      <c r="D4021" s="1"/>
    </row>
    <row r="4022" spans="4:4">
      <c r="D4022" s="1"/>
    </row>
    <row r="4023" spans="4:4">
      <c r="D4023" s="1"/>
    </row>
    <row r="4024" spans="4:4">
      <c r="D4024" s="1"/>
    </row>
    <row r="4025" spans="4:4">
      <c r="D4025" s="1"/>
    </row>
    <row r="4026" spans="4:4">
      <c r="D4026" s="1"/>
    </row>
    <row r="4027" spans="4:4">
      <c r="D4027" s="1"/>
    </row>
    <row r="4028" spans="4:4">
      <c r="D4028" s="1"/>
    </row>
    <row r="4029" spans="4:4">
      <c r="D4029" s="1"/>
    </row>
    <row r="4030" spans="4:4">
      <c r="D4030" s="1"/>
    </row>
    <row r="4031" spans="4:4">
      <c r="D4031" s="1"/>
    </row>
    <row r="4032" spans="4:4">
      <c r="D4032" s="1"/>
    </row>
    <row r="4033" spans="4:4">
      <c r="D4033" s="1"/>
    </row>
    <row r="4034" spans="4:4">
      <c r="D4034" s="1"/>
    </row>
    <row r="4035" spans="4:4">
      <c r="D4035" s="1"/>
    </row>
    <row r="4036" spans="4:4">
      <c r="D4036" s="1"/>
    </row>
    <row r="4037" spans="4:4">
      <c r="D4037" s="1"/>
    </row>
    <row r="4038" spans="4:4">
      <c r="D4038" s="1"/>
    </row>
    <row r="4039" spans="4:4">
      <c r="D4039" s="1"/>
    </row>
    <row r="4040" spans="4:4">
      <c r="D4040" s="1"/>
    </row>
    <row r="4041" spans="4:4">
      <c r="D4041" s="1"/>
    </row>
    <row r="4042" spans="4:4">
      <c r="D4042" s="1"/>
    </row>
    <row r="4043" spans="4:4">
      <c r="D4043" s="1"/>
    </row>
    <row r="4044" spans="4:4">
      <c r="D4044" s="1"/>
    </row>
    <row r="4045" spans="4:4">
      <c r="D4045" s="1"/>
    </row>
    <row r="4046" spans="4:4">
      <c r="D4046" s="1"/>
    </row>
    <row r="4047" spans="4:4">
      <c r="D4047" s="1"/>
    </row>
    <row r="4048" spans="4:4">
      <c r="D4048" s="1"/>
    </row>
    <row r="4049" spans="4:4">
      <c r="D4049" s="1"/>
    </row>
    <row r="4050" spans="4:4">
      <c r="D4050" s="1"/>
    </row>
    <row r="4051" spans="4:4">
      <c r="D4051" s="1"/>
    </row>
    <row r="4052" spans="4:4">
      <c r="D4052" s="1"/>
    </row>
    <row r="4053" spans="4:4">
      <c r="D4053" s="1"/>
    </row>
    <row r="4054" spans="4:4">
      <c r="D4054" s="1"/>
    </row>
    <row r="4055" spans="4:4">
      <c r="D4055" s="1"/>
    </row>
    <row r="4056" spans="4:4">
      <c r="D4056" s="1"/>
    </row>
    <row r="4057" spans="4:4">
      <c r="D4057" s="1"/>
    </row>
    <row r="4058" spans="4:4">
      <c r="D4058" s="1"/>
    </row>
    <row r="4059" spans="4:4">
      <c r="D4059" s="1"/>
    </row>
    <row r="4060" spans="4:4">
      <c r="D4060" s="1"/>
    </row>
    <row r="4061" spans="4:4">
      <c r="D4061" s="1"/>
    </row>
    <row r="4062" spans="4:4">
      <c r="D4062" s="1"/>
    </row>
    <row r="4063" spans="4:4">
      <c r="D4063" s="1"/>
    </row>
    <row r="4064" spans="4:4">
      <c r="D4064" s="1"/>
    </row>
    <row r="4065" spans="4:4">
      <c r="D4065" s="1"/>
    </row>
    <row r="4066" spans="4:4">
      <c r="D4066" s="1"/>
    </row>
    <row r="4067" spans="4:4">
      <c r="D4067" s="1"/>
    </row>
    <row r="4068" spans="4:4">
      <c r="D4068" s="1"/>
    </row>
    <row r="4069" spans="4:4">
      <c r="D4069" s="1"/>
    </row>
    <row r="4070" spans="4:4">
      <c r="D4070" s="1"/>
    </row>
    <row r="4071" spans="4:4">
      <c r="D4071" s="1"/>
    </row>
    <row r="4072" spans="4:4">
      <c r="D4072" s="1"/>
    </row>
    <row r="4073" spans="4:4">
      <c r="D4073" s="1"/>
    </row>
    <row r="4074" spans="4:4">
      <c r="D4074" s="1"/>
    </row>
    <row r="4075" spans="4:4">
      <c r="D4075" s="1"/>
    </row>
    <row r="4076" spans="4:4">
      <c r="D4076" s="1"/>
    </row>
    <row r="4077" spans="4:4">
      <c r="D4077" s="1"/>
    </row>
    <row r="4078" spans="4:4">
      <c r="D4078" s="1"/>
    </row>
    <row r="4079" spans="4:4">
      <c r="D4079" s="1"/>
    </row>
    <row r="4080" spans="4:4">
      <c r="D4080" s="1"/>
    </row>
    <row r="4081" spans="4:4">
      <c r="D4081" s="1"/>
    </row>
    <row r="4082" spans="4:4">
      <c r="D4082" s="1"/>
    </row>
    <row r="4083" spans="4:4">
      <c r="D4083" s="1"/>
    </row>
    <row r="4084" spans="4:4">
      <c r="D4084" s="1"/>
    </row>
    <row r="4085" spans="4:4">
      <c r="D4085" s="1"/>
    </row>
    <row r="4086" spans="4:4">
      <c r="D4086" s="1"/>
    </row>
    <row r="4087" spans="4:4">
      <c r="D4087" s="1"/>
    </row>
    <row r="4088" spans="4:4">
      <c r="D4088" s="1"/>
    </row>
    <row r="4089" spans="4:4">
      <c r="D4089" s="1"/>
    </row>
    <row r="4090" spans="4:4">
      <c r="D4090" s="1"/>
    </row>
    <row r="4091" spans="4:4">
      <c r="D4091" s="1"/>
    </row>
    <row r="4092" spans="4:4">
      <c r="D4092" s="1"/>
    </row>
    <row r="4093" spans="4:4">
      <c r="D4093" s="1"/>
    </row>
    <row r="4094" spans="4:4">
      <c r="D4094" s="1"/>
    </row>
    <row r="4095" spans="4:4">
      <c r="D4095" s="1"/>
    </row>
    <row r="4096" spans="4:4">
      <c r="D4096" s="1"/>
    </row>
    <row r="4097" spans="4:4">
      <c r="D4097" s="1"/>
    </row>
    <row r="4098" spans="4:4">
      <c r="D4098" s="1"/>
    </row>
    <row r="4099" spans="4:4">
      <c r="D4099" s="1"/>
    </row>
    <row r="4100" spans="4:4">
      <c r="D4100" s="1"/>
    </row>
    <row r="4101" spans="4:4">
      <c r="D4101" s="1"/>
    </row>
    <row r="4102" spans="4:4">
      <c r="D4102" s="1"/>
    </row>
    <row r="4103" spans="4:4">
      <c r="D4103" s="1"/>
    </row>
    <row r="4104" spans="4:4">
      <c r="D4104" s="1"/>
    </row>
    <row r="4105" spans="4:4">
      <c r="D4105" s="1"/>
    </row>
    <row r="4106" spans="4:4">
      <c r="D4106" s="1"/>
    </row>
    <row r="4107" spans="4:4">
      <c r="D4107" s="1"/>
    </row>
    <row r="4108" spans="4:4">
      <c r="D4108" s="1"/>
    </row>
    <row r="4109" spans="4:4">
      <c r="D4109" s="1"/>
    </row>
    <row r="4110" spans="4:4">
      <c r="D4110" s="1"/>
    </row>
    <row r="4111" spans="4:4">
      <c r="D4111" s="1"/>
    </row>
    <row r="4112" spans="4:4">
      <c r="D4112" s="1"/>
    </row>
    <row r="4113" spans="4:4">
      <c r="D4113" s="1"/>
    </row>
    <row r="4114" spans="4:4">
      <c r="D4114" s="1"/>
    </row>
    <row r="4115" spans="4:4">
      <c r="D4115" s="1"/>
    </row>
    <row r="4116" spans="4:4">
      <c r="D4116" s="1"/>
    </row>
    <row r="4117" spans="4:4">
      <c r="D4117" s="1"/>
    </row>
    <row r="4118" spans="4:4">
      <c r="D4118" s="1"/>
    </row>
    <row r="4119" spans="4:4">
      <c r="D4119" s="1"/>
    </row>
    <row r="4120" spans="4:4">
      <c r="D4120" s="1"/>
    </row>
    <row r="4121" spans="4:4">
      <c r="D4121" s="1"/>
    </row>
    <row r="4122" spans="4:4">
      <c r="D4122" s="1"/>
    </row>
    <row r="4123" spans="4:4">
      <c r="D4123" s="1"/>
    </row>
    <row r="4124" spans="4:4">
      <c r="D4124" s="1"/>
    </row>
    <row r="4125" spans="4:4">
      <c r="D4125" s="1"/>
    </row>
    <row r="4126" spans="4:4">
      <c r="D4126" s="1"/>
    </row>
    <row r="4127" spans="4:4">
      <c r="D4127" s="1"/>
    </row>
    <row r="4128" spans="4:4">
      <c r="D4128" s="1"/>
    </row>
    <row r="4129" spans="4:4">
      <c r="D4129" s="1"/>
    </row>
    <row r="4130" spans="4:4">
      <c r="D4130" s="1"/>
    </row>
    <row r="4131" spans="4:4">
      <c r="D4131" s="1"/>
    </row>
    <row r="4132" spans="4:4">
      <c r="D4132" s="1"/>
    </row>
    <row r="4133" spans="4:4">
      <c r="D4133" s="1"/>
    </row>
    <row r="4134" spans="4:4">
      <c r="D4134" s="1"/>
    </row>
    <row r="4135" spans="4:4">
      <c r="D4135" s="1"/>
    </row>
    <row r="4136" spans="4:4">
      <c r="D4136" s="1"/>
    </row>
    <row r="4137" spans="4:4">
      <c r="D4137" s="1"/>
    </row>
    <row r="4138" spans="4:4">
      <c r="D4138" s="1"/>
    </row>
    <row r="4139" spans="4:4">
      <c r="D4139" s="1"/>
    </row>
    <row r="4140" spans="4:4">
      <c r="D4140" s="1"/>
    </row>
    <row r="4141" spans="4:4">
      <c r="D4141" s="1"/>
    </row>
    <row r="4142" spans="4:4">
      <c r="D4142" s="1"/>
    </row>
    <row r="4143" spans="4:4">
      <c r="D4143" s="1"/>
    </row>
    <row r="4144" spans="4:4">
      <c r="D4144" s="1"/>
    </row>
    <row r="4145" spans="4:4">
      <c r="D4145" s="1"/>
    </row>
    <row r="4146" spans="4:4">
      <c r="D4146" s="1"/>
    </row>
    <row r="4147" spans="4:4">
      <c r="D4147" s="1"/>
    </row>
    <row r="4148" spans="4:4">
      <c r="D4148" s="1"/>
    </row>
    <row r="4149" spans="4:4">
      <c r="D4149" s="1"/>
    </row>
    <row r="4150" spans="4:4">
      <c r="D4150" s="1"/>
    </row>
    <row r="4151" spans="4:4">
      <c r="D4151" s="1"/>
    </row>
    <row r="4152" spans="4:4">
      <c r="D4152" s="1"/>
    </row>
    <row r="4153" spans="4:4">
      <c r="D4153" s="1"/>
    </row>
    <row r="4154" spans="4:4">
      <c r="D4154" s="1"/>
    </row>
    <row r="4155" spans="4:4">
      <c r="D4155" s="1"/>
    </row>
    <row r="4156" spans="4:4">
      <c r="D4156" s="1"/>
    </row>
    <row r="4157" spans="4:4">
      <c r="D4157" s="1"/>
    </row>
    <row r="4158" spans="4:4">
      <c r="D4158" s="1"/>
    </row>
    <row r="4159" spans="4:4">
      <c r="D4159" s="1"/>
    </row>
    <row r="4160" spans="4:4">
      <c r="D4160" s="1"/>
    </row>
    <row r="4161" spans="4:4">
      <c r="D4161" s="1"/>
    </row>
    <row r="4162" spans="4:4">
      <c r="D4162" s="1"/>
    </row>
    <row r="4163" spans="4:4">
      <c r="D4163" s="1"/>
    </row>
    <row r="4164" spans="4:4">
      <c r="D4164" s="1"/>
    </row>
    <row r="4165" spans="4:4">
      <c r="D4165" s="1"/>
    </row>
    <row r="4166" spans="4:4">
      <c r="D4166" s="1"/>
    </row>
    <row r="4167" spans="4:4">
      <c r="D4167" s="1"/>
    </row>
    <row r="4168" spans="4:4">
      <c r="D4168" s="1"/>
    </row>
    <row r="4169" spans="4:4">
      <c r="D4169" s="1"/>
    </row>
    <row r="4170" spans="4:4">
      <c r="D4170" s="1"/>
    </row>
    <row r="4171" spans="4:4">
      <c r="D4171" s="1"/>
    </row>
    <row r="4172" spans="4:4">
      <c r="D4172" s="1"/>
    </row>
    <row r="4173" spans="4:4">
      <c r="D4173" s="1"/>
    </row>
    <row r="4174" spans="4:4">
      <c r="D4174" s="1"/>
    </row>
    <row r="4175" spans="4:4">
      <c r="D4175" s="1"/>
    </row>
    <row r="4176" spans="4:4">
      <c r="D4176" s="1"/>
    </row>
    <row r="4177" spans="4:4">
      <c r="D4177" s="1"/>
    </row>
    <row r="4178" spans="4:4">
      <c r="D4178" s="1"/>
    </row>
    <row r="4179" spans="4:4">
      <c r="D4179" s="1"/>
    </row>
    <row r="4180" spans="4:4">
      <c r="D4180" s="1"/>
    </row>
    <row r="4181" spans="4:4">
      <c r="D4181" s="1"/>
    </row>
    <row r="4182" spans="4:4">
      <c r="D4182" s="1"/>
    </row>
    <row r="4183" spans="4:4">
      <c r="D4183" s="1"/>
    </row>
    <row r="4184" spans="4:4">
      <c r="D4184" s="1"/>
    </row>
    <row r="4185" spans="4:4">
      <c r="D4185" s="1"/>
    </row>
    <row r="4186" spans="4:4">
      <c r="D4186" s="1"/>
    </row>
    <row r="4187" spans="4:4">
      <c r="D4187" s="1"/>
    </row>
    <row r="4188" spans="4:4">
      <c r="D4188" s="1"/>
    </row>
    <row r="4189" spans="4:4">
      <c r="D4189" s="1"/>
    </row>
    <row r="4190" spans="4:4">
      <c r="D4190" s="1"/>
    </row>
    <row r="4191" spans="4:4">
      <c r="D4191" s="1"/>
    </row>
    <row r="4192" spans="4:4">
      <c r="D4192" s="1"/>
    </row>
    <row r="4193" spans="4:4">
      <c r="D4193" s="1"/>
    </row>
    <row r="4194" spans="4:4">
      <c r="D4194" s="1"/>
    </row>
    <row r="4195" spans="4:4">
      <c r="D4195" s="1"/>
    </row>
    <row r="4196" spans="4:4">
      <c r="D4196" s="1"/>
    </row>
    <row r="4197" spans="4:4">
      <c r="D4197" s="1"/>
    </row>
    <row r="4198" spans="4:4">
      <c r="D4198" s="1"/>
    </row>
    <row r="4199" spans="4:4">
      <c r="D4199" s="1"/>
    </row>
    <row r="4200" spans="4:4">
      <c r="D4200" s="1"/>
    </row>
    <row r="4201" spans="4:4">
      <c r="D4201" s="1"/>
    </row>
    <row r="4202" spans="4:4">
      <c r="D4202" s="1"/>
    </row>
    <row r="4203" spans="4:4">
      <c r="D4203" s="1"/>
    </row>
    <row r="4204" spans="4:4">
      <c r="D4204" s="1"/>
    </row>
    <row r="4205" spans="4:4">
      <c r="D4205" s="1"/>
    </row>
    <row r="4206" spans="4:4">
      <c r="D4206" s="1"/>
    </row>
    <row r="4207" spans="4:4">
      <c r="D4207" s="1"/>
    </row>
    <row r="4208" spans="4:4">
      <c r="D4208" s="1"/>
    </row>
    <row r="4209" spans="4:4">
      <c r="D4209" s="1"/>
    </row>
    <row r="4210" spans="4:4">
      <c r="D4210" s="1"/>
    </row>
    <row r="4211" spans="4:4">
      <c r="D4211" s="1"/>
    </row>
    <row r="4212" spans="4:4">
      <c r="D4212" s="1"/>
    </row>
    <row r="4213" spans="4:4">
      <c r="D4213" s="1"/>
    </row>
    <row r="4214" spans="4:4">
      <c r="D4214" s="1"/>
    </row>
    <row r="4215" spans="4:4">
      <c r="D4215" s="1"/>
    </row>
    <row r="4216" spans="4:4">
      <c r="D4216" s="1"/>
    </row>
    <row r="4217" spans="4:4">
      <c r="D4217" s="1"/>
    </row>
    <row r="4218" spans="4:4">
      <c r="D4218" s="1"/>
    </row>
    <row r="4219" spans="4:4">
      <c r="D4219" s="1"/>
    </row>
    <row r="4220" spans="4:4">
      <c r="D4220" s="1"/>
    </row>
    <row r="4221" spans="4:4">
      <c r="D4221" s="1"/>
    </row>
    <row r="4222" spans="4:4">
      <c r="D4222" s="1"/>
    </row>
    <row r="4223" spans="4:4">
      <c r="D4223" s="1"/>
    </row>
    <row r="4224" spans="4:4">
      <c r="D4224" s="1"/>
    </row>
    <row r="4225" spans="4:4">
      <c r="D4225" s="1"/>
    </row>
    <row r="4226" spans="4:4">
      <c r="D4226" s="1"/>
    </row>
    <row r="4227" spans="4:4">
      <c r="D4227" s="1"/>
    </row>
    <row r="4228" spans="4:4">
      <c r="D4228" s="1"/>
    </row>
    <row r="4229" spans="4:4">
      <c r="D4229" s="1"/>
    </row>
    <row r="4230" spans="4:4">
      <c r="D4230" s="1"/>
    </row>
    <row r="4231" spans="4:4">
      <c r="D4231" s="1"/>
    </row>
    <row r="4232" spans="4:4">
      <c r="D4232" s="1"/>
    </row>
    <row r="4233" spans="4:4">
      <c r="D4233" s="1"/>
    </row>
    <row r="4234" spans="4:4">
      <c r="D4234" s="1"/>
    </row>
    <row r="4235" spans="4:4">
      <c r="D4235" s="1"/>
    </row>
    <row r="4236" spans="4:4">
      <c r="D4236" s="1"/>
    </row>
    <row r="4237" spans="4:4">
      <c r="D4237" s="1"/>
    </row>
    <row r="4238" spans="4:4">
      <c r="D4238" s="1"/>
    </row>
    <row r="4239" spans="4:4">
      <c r="D4239" s="1"/>
    </row>
    <row r="4240" spans="4:4">
      <c r="D4240" s="1"/>
    </row>
    <row r="4241" spans="4:4">
      <c r="D4241" s="1"/>
    </row>
    <row r="4242" spans="4:4">
      <c r="D4242" s="1"/>
    </row>
    <row r="4243" spans="4:4">
      <c r="D4243" s="1"/>
    </row>
    <row r="4244" spans="4:4">
      <c r="D4244" s="1"/>
    </row>
    <row r="4245" spans="4:4">
      <c r="D4245" s="1"/>
    </row>
    <row r="4246" spans="4:4">
      <c r="D4246" s="1"/>
    </row>
    <row r="4247" spans="4:4">
      <c r="D4247" s="1"/>
    </row>
    <row r="4248" spans="4:4">
      <c r="D4248" s="1"/>
    </row>
    <row r="4249" spans="4:4">
      <c r="D4249" s="1"/>
    </row>
    <row r="4250" spans="4:4">
      <c r="D4250" s="1"/>
    </row>
    <row r="4251" spans="4:4">
      <c r="D4251" s="1"/>
    </row>
    <row r="4252" spans="4:4">
      <c r="D4252" s="1"/>
    </row>
    <row r="4253" spans="4:4">
      <c r="D4253" s="1"/>
    </row>
    <row r="4254" spans="4:4">
      <c r="D4254" s="1"/>
    </row>
    <row r="4255" spans="4:4">
      <c r="D4255" s="1"/>
    </row>
    <row r="4256" spans="4:4">
      <c r="D4256" s="1"/>
    </row>
    <row r="4257" spans="4:4">
      <c r="D4257" s="1"/>
    </row>
    <row r="4258" spans="4:4">
      <c r="D4258" s="1"/>
    </row>
    <row r="4259" spans="4:4">
      <c r="D4259" s="1"/>
    </row>
    <row r="4260" spans="4:4">
      <c r="D4260" s="1"/>
    </row>
    <row r="4261" spans="4:4">
      <c r="D4261" s="1"/>
    </row>
    <row r="4262" spans="4:4">
      <c r="D4262" s="1"/>
    </row>
    <row r="4263" spans="4:4">
      <c r="D4263" s="1"/>
    </row>
    <row r="4264" spans="4:4">
      <c r="D4264" s="1"/>
    </row>
    <row r="4265" spans="4:4">
      <c r="D4265" s="1"/>
    </row>
    <row r="4266" spans="4:4">
      <c r="D4266" s="1"/>
    </row>
    <row r="4267" spans="4:4">
      <c r="D4267" s="1"/>
    </row>
    <row r="4268" spans="4:4">
      <c r="D4268" s="1"/>
    </row>
    <row r="4269" spans="4:4">
      <c r="D4269" s="1"/>
    </row>
    <row r="4270" spans="4:4">
      <c r="D4270" s="1"/>
    </row>
    <row r="4271" spans="4:4">
      <c r="D4271" s="1"/>
    </row>
    <row r="4272" spans="4:4">
      <c r="D4272" s="1"/>
    </row>
    <row r="4273" spans="4:4">
      <c r="D4273" s="1"/>
    </row>
    <row r="4274" spans="4:4">
      <c r="D4274" s="1"/>
    </row>
    <row r="4275" spans="4:4">
      <c r="D4275" s="1"/>
    </row>
    <row r="4276" spans="4:4">
      <c r="D4276" s="1"/>
    </row>
    <row r="4277" spans="4:4">
      <c r="D4277" s="1"/>
    </row>
    <row r="4278" spans="4:4">
      <c r="D4278" s="1"/>
    </row>
    <row r="4279" spans="4:4">
      <c r="D4279" s="1"/>
    </row>
    <row r="4280" spans="4:4">
      <c r="D4280" s="1"/>
    </row>
    <row r="4281" spans="4:4">
      <c r="D4281" s="1"/>
    </row>
    <row r="4282" spans="4:4">
      <c r="D4282" s="1"/>
    </row>
    <row r="4283" spans="4:4">
      <c r="D4283" s="1"/>
    </row>
    <row r="4284" spans="4:4">
      <c r="D4284" s="1"/>
    </row>
    <row r="4285" spans="4:4">
      <c r="D4285" s="1"/>
    </row>
    <row r="4286" spans="4:4">
      <c r="D4286" s="1"/>
    </row>
    <row r="4287" spans="4:4">
      <c r="D4287" s="1"/>
    </row>
    <row r="4288" spans="4:4">
      <c r="D4288" s="1"/>
    </row>
    <row r="4289" spans="4:4">
      <c r="D4289" s="1"/>
    </row>
    <row r="4290" spans="4:4">
      <c r="D4290" s="1"/>
    </row>
    <row r="4291" spans="4:4">
      <c r="D4291" s="1"/>
    </row>
    <row r="4292" spans="4:4">
      <c r="D4292" s="1"/>
    </row>
    <row r="4293" spans="4:4">
      <c r="D4293" s="1"/>
    </row>
    <row r="4294" spans="4:4">
      <c r="D4294" s="1"/>
    </row>
    <row r="4295" spans="4:4">
      <c r="D4295" s="1"/>
    </row>
    <row r="4296" spans="4:4">
      <c r="D4296" s="1"/>
    </row>
    <row r="4297" spans="4:4">
      <c r="D4297" s="1"/>
    </row>
    <row r="4298" spans="4:4">
      <c r="D4298" s="1"/>
    </row>
    <row r="4299" spans="4:4">
      <c r="D4299" s="1"/>
    </row>
    <row r="4300" spans="4:4">
      <c r="D4300" s="1"/>
    </row>
    <row r="4301" spans="4:4">
      <c r="D4301" s="1"/>
    </row>
    <row r="4302" spans="4:4">
      <c r="D4302" s="1"/>
    </row>
    <row r="4303" spans="4:4">
      <c r="D4303" s="1"/>
    </row>
    <row r="4304" spans="4:4">
      <c r="D4304" s="1"/>
    </row>
    <row r="4305" spans="4:4">
      <c r="D4305" s="1"/>
    </row>
    <row r="4306" spans="4:4">
      <c r="D4306" s="1"/>
    </row>
    <row r="4307" spans="4:4">
      <c r="D4307" s="1"/>
    </row>
    <row r="4308" spans="4:4">
      <c r="D4308" s="1"/>
    </row>
    <row r="4309" spans="4:4">
      <c r="D4309" s="1"/>
    </row>
    <row r="4310" spans="4:4">
      <c r="D4310" s="1"/>
    </row>
    <row r="4311" spans="4:4">
      <c r="D4311" s="1"/>
    </row>
    <row r="4312" spans="4:4">
      <c r="D4312" s="1"/>
    </row>
    <row r="4313" spans="4:4">
      <c r="D4313" s="1"/>
    </row>
    <row r="4314" spans="4:4">
      <c r="D4314" s="1"/>
    </row>
    <row r="4315" spans="4:4">
      <c r="D4315" s="1"/>
    </row>
    <row r="4316" spans="4:4">
      <c r="D4316" s="1"/>
    </row>
    <row r="4317" spans="4:4">
      <c r="D4317" s="1"/>
    </row>
    <row r="4318" spans="4:4">
      <c r="D4318" s="1"/>
    </row>
    <row r="4319" spans="4:4">
      <c r="D4319" s="1"/>
    </row>
    <row r="4320" spans="4:4">
      <c r="D4320" s="1"/>
    </row>
    <row r="4321" spans="4:4">
      <c r="D4321" s="1"/>
    </row>
    <row r="4322" spans="4:4">
      <c r="D4322" s="1"/>
    </row>
    <row r="4323" spans="4:4">
      <c r="D4323" s="1"/>
    </row>
    <row r="4324" spans="4:4">
      <c r="D4324" s="1"/>
    </row>
    <row r="4325" spans="4:4">
      <c r="D4325" s="1"/>
    </row>
    <row r="4326" spans="4:4">
      <c r="D4326" s="1"/>
    </row>
    <row r="4327" spans="4:4">
      <c r="D4327" s="1"/>
    </row>
    <row r="4328" spans="4:4">
      <c r="D4328" s="1"/>
    </row>
    <row r="4329" spans="4:4">
      <c r="D4329" s="1"/>
    </row>
    <row r="4330" spans="4:4">
      <c r="D4330" s="1"/>
    </row>
    <row r="4331" spans="4:4">
      <c r="D4331" s="1"/>
    </row>
    <row r="4332" spans="4:4">
      <c r="D4332" s="1"/>
    </row>
    <row r="4333" spans="4:4">
      <c r="D4333" s="1"/>
    </row>
    <row r="4334" spans="4:4">
      <c r="D4334" s="1"/>
    </row>
    <row r="4335" spans="4:4">
      <c r="D4335" s="1"/>
    </row>
    <row r="4336" spans="4:4">
      <c r="D4336" s="1"/>
    </row>
    <row r="4337" spans="4:4">
      <c r="D4337" s="1"/>
    </row>
    <row r="4338" spans="4:4">
      <c r="D4338" s="1"/>
    </row>
    <row r="4339" spans="4:4">
      <c r="D4339" s="1"/>
    </row>
    <row r="4340" spans="4:4">
      <c r="D4340" s="1"/>
    </row>
    <row r="4341" spans="4:4">
      <c r="D4341" s="1"/>
    </row>
    <row r="4342" spans="4:4">
      <c r="D4342" s="1"/>
    </row>
    <row r="4343" spans="4:4">
      <c r="D4343" s="1"/>
    </row>
    <row r="4344" spans="4:4">
      <c r="D4344" s="1"/>
    </row>
    <row r="4345" spans="4:4">
      <c r="D4345" s="1"/>
    </row>
    <row r="4346" spans="4:4">
      <c r="D4346" s="1"/>
    </row>
    <row r="4347" spans="4:4">
      <c r="D4347" s="1"/>
    </row>
    <row r="4348" spans="4:4">
      <c r="D4348" s="1"/>
    </row>
    <row r="4349" spans="4:4">
      <c r="D4349" s="1"/>
    </row>
    <row r="4350" spans="4:4">
      <c r="D4350" s="1"/>
    </row>
    <row r="4351" spans="4:4">
      <c r="D4351" s="1"/>
    </row>
    <row r="4352" spans="4:4">
      <c r="D4352" s="1"/>
    </row>
    <row r="4353" spans="4:4">
      <c r="D4353" s="1"/>
    </row>
    <row r="4354" spans="4:4">
      <c r="D4354" s="1"/>
    </row>
    <row r="4355" spans="4:4">
      <c r="D4355" s="1"/>
    </row>
    <row r="4356" spans="4:4">
      <c r="D4356" s="1"/>
    </row>
    <row r="4357" spans="4:4">
      <c r="D4357" s="1"/>
    </row>
    <row r="4358" spans="4:4">
      <c r="D4358" s="1"/>
    </row>
    <row r="4359" spans="4:4">
      <c r="D4359" s="1"/>
    </row>
    <row r="4360" spans="4:4">
      <c r="D4360" s="1"/>
    </row>
    <row r="4361" spans="4:4">
      <c r="D4361" s="1"/>
    </row>
    <row r="4362" spans="4:4">
      <c r="D4362" s="1"/>
    </row>
    <row r="4363" spans="4:4">
      <c r="D4363" s="1"/>
    </row>
    <row r="4364" spans="4:4">
      <c r="D4364" s="1"/>
    </row>
    <row r="4365" spans="4:4">
      <c r="D4365" s="1"/>
    </row>
    <row r="4366" spans="4:4">
      <c r="D4366" s="1"/>
    </row>
    <row r="4367" spans="4:4">
      <c r="D4367" s="1"/>
    </row>
    <row r="4368" spans="4:4">
      <c r="D4368" s="1"/>
    </row>
    <row r="4369" spans="4:4">
      <c r="D4369" s="1"/>
    </row>
    <row r="4370" spans="4:4">
      <c r="D4370" s="1"/>
    </row>
    <row r="4371" spans="4:4">
      <c r="D4371" s="1"/>
    </row>
    <row r="4372" spans="4:4">
      <c r="D4372" s="1"/>
    </row>
    <row r="4373" spans="4:4">
      <c r="D4373" s="1"/>
    </row>
    <row r="4374" spans="4:4">
      <c r="D4374" s="1"/>
    </row>
    <row r="4375" spans="4:4">
      <c r="D4375" s="1"/>
    </row>
    <row r="4376" spans="4:4">
      <c r="D4376" s="1"/>
    </row>
    <row r="4377" spans="4:4">
      <c r="D4377" s="1"/>
    </row>
    <row r="4378" spans="4:4">
      <c r="D4378" s="1"/>
    </row>
    <row r="4379" spans="4:4">
      <c r="D4379" s="1"/>
    </row>
    <row r="4380" spans="4:4">
      <c r="D4380" s="1"/>
    </row>
    <row r="4381" spans="4:4">
      <c r="D4381" s="1"/>
    </row>
    <row r="4382" spans="4:4">
      <c r="D4382" s="1"/>
    </row>
    <row r="4383" spans="4:4">
      <c r="D4383" s="1"/>
    </row>
    <row r="4384" spans="4:4">
      <c r="D4384" s="1"/>
    </row>
    <row r="4385" spans="4:4">
      <c r="D4385" s="1"/>
    </row>
    <row r="4386" spans="4:4">
      <c r="D4386" s="1"/>
    </row>
    <row r="4387" spans="4:4">
      <c r="D4387" s="1"/>
    </row>
    <row r="4388" spans="4:4">
      <c r="D4388" s="1"/>
    </row>
    <row r="4389" spans="4:4">
      <c r="D4389" s="1"/>
    </row>
    <row r="4390" spans="4:4">
      <c r="D4390" s="1"/>
    </row>
    <row r="4391" spans="4:4">
      <c r="D4391" s="1"/>
    </row>
    <row r="4392" spans="4:4">
      <c r="D4392" s="1"/>
    </row>
    <row r="4393" spans="4:4">
      <c r="D4393" s="1"/>
    </row>
    <row r="4394" spans="4:4">
      <c r="D4394" s="1"/>
    </row>
    <row r="4395" spans="4:4">
      <c r="D4395" s="1"/>
    </row>
    <row r="4396" spans="4:4">
      <c r="D4396" s="1"/>
    </row>
    <row r="4397" spans="4:4">
      <c r="D4397" s="1"/>
    </row>
    <row r="4398" spans="4:4">
      <c r="D4398" s="1"/>
    </row>
    <row r="4399" spans="4:4">
      <c r="D4399" s="1"/>
    </row>
    <row r="4400" spans="4:4">
      <c r="D4400" s="1"/>
    </row>
    <row r="4401" spans="4:4">
      <c r="D4401" s="1"/>
    </row>
    <row r="4402" spans="4:4">
      <c r="D4402" s="1"/>
    </row>
    <row r="4403" spans="4:4">
      <c r="D4403" s="1"/>
    </row>
    <row r="4404" spans="4:4">
      <c r="D4404" s="1"/>
    </row>
    <row r="4405" spans="4:4">
      <c r="D4405" s="1"/>
    </row>
    <row r="4406" spans="4:4">
      <c r="D4406" s="1"/>
    </row>
    <row r="4407" spans="4:4">
      <c r="D4407" s="1"/>
    </row>
    <row r="4408" spans="4:4">
      <c r="D4408" s="1"/>
    </row>
    <row r="4409" spans="4:4">
      <c r="D4409" s="1"/>
    </row>
    <row r="4410" spans="4:4">
      <c r="D4410" s="1"/>
    </row>
    <row r="4411" spans="4:4">
      <c r="D4411" s="1"/>
    </row>
    <row r="4412" spans="4:4">
      <c r="D4412" s="1"/>
    </row>
    <row r="4413" spans="4:4">
      <c r="D4413" s="1"/>
    </row>
    <row r="4414" spans="4:4">
      <c r="D4414" s="1"/>
    </row>
    <row r="4415" spans="4:4">
      <c r="D4415" s="1"/>
    </row>
    <row r="4416" spans="4:4">
      <c r="D4416" s="1"/>
    </row>
    <row r="4417" spans="4:4">
      <c r="D4417" s="1"/>
    </row>
    <row r="4418" spans="4:4">
      <c r="D4418" s="1"/>
    </row>
    <row r="4419" spans="4:4">
      <c r="D4419" s="1"/>
    </row>
    <row r="4420" spans="4:4">
      <c r="D4420" s="1"/>
    </row>
    <row r="4421" spans="4:4">
      <c r="D4421" s="1"/>
    </row>
    <row r="4422" spans="4:4">
      <c r="D4422" s="1"/>
    </row>
    <row r="4423" spans="4:4">
      <c r="D4423" s="1"/>
    </row>
    <row r="4424" spans="4:4">
      <c r="D4424" s="1"/>
    </row>
    <row r="4425" spans="4:4">
      <c r="D4425" s="1"/>
    </row>
    <row r="4426" spans="4:4">
      <c r="D4426" s="1"/>
    </row>
    <row r="4427" spans="4:4">
      <c r="D4427" s="1"/>
    </row>
    <row r="4428" spans="4:4">
      <c r="D4428" s="1"/>
    </row>
    <row r="4429" spans="4:4">
      <c r="D4429" s="1"/>
    </row>
    <row r="4430" spans="4:4">
      <c r="D4430" s="1"/>
    </row>
    <row r="4431" spans="4:4">
      <c r="D4431" s="1"/>
    </row>
    <row r="4432" spans="4:4">
      <c r="D4432" s="1"/>
    </row>
    <row r="4433" spans="4:4">
      <c r="D4433" s="1"/>
    </row>
    <row r="4434" spans="4:4">
      <c r="D4434" s="1"/>
    </row>
    <row r="4435" spans="4:4">
      <c r="D4435" s="1"/>
    </row>
    <row r="4436" spans="4:4">
      <c r="D4436" s="1"/>
    </row>
    <row r="4437" spans="4:4">
      <c r="D4437" s="1"/>
    </row>
    <row r="4438" spans="4:4">
      <c r="D4438" s="1"/>
    </row>
    <row r="4439" spans="4:4">
      <c r="D4439" s="1"/>
    </row>
    <row r="4440" spans="4:4">
      <c r="D4440" s="1"/>
    </row>
    <row r="4441" spans="4:4">
      <c r="D4441" s="1"/>
    </row>
    <row r="4442" spans="4:4">
      <c r="D4442" s="1"/>
    </row>
    <row r="4443" spans="4:4">
      <c r="D4443" s="1"/>
    </row>
    <row r="4444" spans="4:4">
      <c r="D4444" s="1"/>
    </row>
    <row r="4445" spans="4:4">
      <c r="D4445" s="1"/>
    </row>
    <row r="4446" spans="4:4">
      <c r="D4446" s="1"/>
    </row>
    <row r="4447" spans="4:4">
      <c r="D4447" s="1"/>
    </row>
    <row r="4448" spans="4:4">
      <c r="D4448" s="1"/>
    </row>
    <row r="4449" spans="4:4">
      <c r="D4449" s="1"/>
    </row>
    <row r="4450" spans="4:4">
      <c r="D4450" s="1"/>
    </row>
    <row r="4451" spans="4:4">
      <c r="D4451" s="1"/>
    </row>
    <row r="4452" spans="4:4">
      <c r="D4452" s="1"/>
    </row>
    <row r="4453" spans="4:4">
      <c r="D4453" s="1"/>
    </row>
    <row r="4454" spans="4:4">
      <c r="D4454" s="1"/>
    </row>
    <row r="4455" spans="4:4">
      <c r="D4455" s="1"/>
    </row>
    <row r="4456" spans="4:4">
      <c r="D4456" s="1"/>
    </row>
    <row r="4457" spans="4:4">
      <c r="D4457" s="1"/>
    </row>
    <row r="4458" spans="4:4">
      <c r="D4458" s="1"/>
    </row>
    <row r="4459" spans="4:4">
      <c r="D4459" s="1"/>
    </row>
    <row r="4460" spans="4:4">
      <c r="D4460" s="1"/>
    </row>
    <row r="4461" spans="4:4">
      <c r="D4461" s="1"/>
    </row>
    <row r="4462" spans="4:4">
      <c r="D4462" s="1"/>
    </row>
    <row r="4463" spans="4:4">
      <c r="D4463" s="1"/>
    </row>
    <row r="4464" spans="4:4">
      <c r="D4464" s="1"/>
    </row>
    <row r="4465" spans="4:4">
      <c r="D4465" s="1"/>
    </row>
    <row r="4466" spans="4:4">
      <c r="D4466" s="1"/>
    </row>
    <row r="4467" spans="4:4">
      <c r="D4467" s="1"/>
    </row>
    <row r="4468" spans="4:4">
      <c r="D4468" s="1"/>
    </row>
    <row r="4469" spans="4:4">
      <c r="D4469" s="1"/>
    </row>
    <row r="4470" spans="4:4">
      <c r="D4470" s="1"/>
    </row>
    <row r="4471" spans="4:4">
      <c r="D4471" s="1"/>
    </row>
    <row r="4472" spans="4:4">
      <c r="D4472" s="1"/>
    </row>
    <row r="4473" spans="4:4">
      <c r="D4473" s="1"/>
    </row>
    <row r="4474" spans="4:4">
      <c r="D4474" s="1"/>
    </row>
    <row r="4475" spans="4:4">
      <c r="D4475" s="1"/>
    </row>
    <row r="4476" spans="4:4">
      <c r="D4476" s="1"/>
    </row>
    <row r="4477" spans="4:4">
      <c r="D4477" s="1"/>
    </row>
    <row r="4478" spans="4:4">
      <c r="D4478" s="1"/>
    </row>
    <row r="4479" spans="4:4">
      <c r="D4479" s="1"/>
    </row>
    <row r="4480" spans="4:4">
      <c r="D4480" s="1"/>
    </row>
    <row r="4481" spans="4:4">
      <c r="D4481" s="1"/>
    </row>
    <row r="4482" spans="4:4">
      <c r="D4482" s="1"/>
    </row>
    <row r="4483" spans="4:4">
      <c r="D4483" s="1"/>
    </row>
    <row r="4484" spans="4:4">
      <c r="D4484" s="1"/>
    </row>
    <row r="4485" spans="4:4">
      <c r="D4485" s="1"/>
    </row>
    <row r="4486" spans="4:4">
      <c r="D4486" s="1"/>
    </row>
    <row r="4487" spans="4:4">
      <c r="D4487" s="1"/>
    </row>
    <row r="4488" spans="4:4">
      <c r="D4488" s="1"/>
    </row>
    <row r="4489" spans="4:4">
      <c r="D4489" s="1"/>
    </row>
    <row r="4490" spans="4:4">
      <c r="D4490" s="1"/>
    </row>
    <row r="4491" spans="4:4">
      <c r="D4491" s="1"/>
    </row>
    <row r="4492" spans="4:4">
      <c r="D4492" s="1"/>
    </row>
    <row r="4493" spans="4:4">
      <c r="D4493" s="1"/>
    </row>
    <row r="4494" spans="4:4">
      <c r="D4494" s="1"/>
    </row>
    <row r="4495" spans="4:4">
      <c r="D4495" s="1"/>
    </row>
    <row r="4496" spans="4:4">
      <c r="D4496" s="1"/>
    </row>
    <row r="4497" spans="4:4">
      <c r="D4497" s="1"/>
    </row>
    <row r="4498" spans="4:4">
      <c r="D4498" s="1"/>
    </row>
    <row r="4499" spans="4:4">
      <c r="D4499" s="1"/>
    </row>
    <row r="4500" spans="4:4">
      <c r="D4500" s="1"/>
    </row>
    <row r="4501" spans="4:4">
      <c r="D4501" s="1"/>
    </row>
    <row r="4502" spans="4:4">
      <c r="D4502" s="1"/>
    </row>
    <row r="4503" spans="4:4">
      <c r="D4503" s="1"/>
    </row>
    <row r="4504" spans="4:4">
      <c r="D4504" s="1"/>
    </row>
    <row r="4505" spans="4:4">
      <c r="D4505" s="1"/>
    </row>
    <row r="4506" spans="4:4">
      <c r="D4506" s="1"/>
    </row>
    <row r="4507" spans="4:4">
      <c r="D4507" s="1"/>
    </row>
    <row r="4508" spans="4:4">
      <c r="D4508" s="1"/>
    </row>
    <row r="4509" spans="4:4">
      <c r="D4509" s="1"/>
    </row>
    <row r="4510" spans="4:4">
      <c r="D4510" s="1"/>
    </row>
    <row r="4511" spans="4:4">
      <c r="D4511" s="1"/>
    </row>
    <row r="4512" spans="4:4">
      <c r="D4512" s="1"/>
    </row>
    <row r="4513" spans="4:4">
      <c r="D4513" s="1"/>
    </row>
    <row r="4514" spans="4:4">
      <c r="D4514" s="1"/>
    </row>
    <row r="4515" spans="4:4">
      <c r="D4515" s="1"/>
    </row>
    <row r="4516" spans="4:4">
      <c r="D4516" s="1"/>
    </row>
    <row r="4517" spans="4:4">
      <c r="D4517" s="1"/>
    </row>
    <row r="4518" spans="4:4">
      <c r="D4518" s="1"/>
    </row>
    <row r="4519" spans="4:4">
      <c r="D4519" s="1"/>
    </row>
    <row r="4520" spans="4:4">
      <c r="D4520" s="1"/>
    </row>
    <row r="4521" spans="4:4">
      <c r="D4521" s="1"/>
    </row>
    <row r="4522" spans="4:4">
      <c r="D4522" s="1"/>
    </row>
    <row r="4523" spans="4:4">
      <c r="D4523" s="1"/>
    </row>
    <row r="4524" spans="4:4">
      <c r="D4524" s="1"/>
    </row>
    <row r="4525" spans="4:4">
      <c r="D4525" s="1"/>
    </row>
    <row r="4526" spans="4:4">
      <c r="D4526" s="1"/>
    </row>
    <row r="4527" spans="4:4">
      <c r="D4527" s="1"/>
    </row>
    <row r="4528" spans="4:4">
      <c r="D4528" s="1"/>
    </row>
    <row r="4529" spans="4:4">
      <c r="D4529" s="1"/>
    </row>
    <row r="4530" spans="4:4">
      <c r="D4530" s="1"/>
    </row>
    <row r="4531" spans="4:4">
      <c r="D4531" s="1"/>
    </row>
    <row r="4532" spans="4:4">
      <c r="D4532" s="1"/>
    </row>
    <row r="4533" spans="4:4">
      <c r="D4533" s="1"/>
    </row>
    <row r="4534" spans="4:4">
      <c r="D4534" s="1"/>
    </row>
    <row r="4535" spans="4:4">
      <c r="D4535" s="1"/>
    </row>
    <row r="4536" spans="4:4">
      <c r="D4536" s="1"/>
    </row>
    <row r="4537" spans="4:4">
      <c r="D4537" s="1"/>
    </row>
    <row r="4538" spans="4:4">
      <c r="D4538" s="1"/>
    </row>
    <row r="4539" spans="4:4">
      <c r="D4539" s="1"/>
    </row>
    <row r="4540" spans="4:4">
      <c r="D4540" s="1"/>
    </row>
    <row r="4541" spans="4:4">
      <c r="D4541" s="1"/>
    </row>
    <row r="4542" spans="4:4">
      <c r="D4542" s="1"/>
    </row>
    <row r="4543" spans="4:4">
      <c r="D4543" s="1"/>
    </row>
    <row r="4544" spans="4:4">
      <c r="D4544" s="1"/>
    </row>
    <row r="4545" spans="4:4">
      <c r="D4545" s="1"/>
    </row>
    <row r="4546" spans="4:4">
      <c r="D4546" s="1"/>
    </row>
    <row r="4547" spans="4:4">
      <c r="D4547" s="1"/>
    </row>
    <row r="4548" spans="4:4">
      <c r="D4548" s="1"/>
    </row>
    <row r="4549" spans="4:4">
      <c r="D4549" s="1"/>
    </row>
    <row r="4550" spans="4:4">
      <c r="D4550" s="1"/>
    </row>
    <row r="4551" spans="4:4">
      <c r="D4551" s="1"/>
    </row>
    <row r="4552" spans="4:4">
      <c r="D4552" s="1"/>
    </row>
    <row r="4553" spans="4:4">
      <c r="D4553" s="1"/>
    </row>
    <row r="4554" spans="4:4">
      <c r="D4554" s="1"/>
    </row>
    <row r="4555" spans="4:4">
      <c r="D4555" s="1"/>
    </row>
    <row r="4556" spans="4:4">
      <c r="D4556" s="1"/>
    </row>
    <row r="4557" spans="4:4">
      <c r="D4557" s="1"/>
    </row>
    <row r="4558" spans="4:4">
      <c r="D4558" s="1"/>
    </row>
    <row r="4559" spans="4:4">
      <c r="D4559" s="1"/>
    </row>
    <row r="4560" spans="4:4">
      <c r="D4560" s="1"/>
    </row>
    <row r="4561" spans="4:4">
      <c r="D4561" s="1"/>
    </row>
    <row r="4562" spans="4:4">
      <c r="D4562" s="1"/>
    </row>
    <row r="4563" spans="4:4">
      <c r="D4563" s="1"/>
    </row>
    <row r="4564" spans="4:4">
      <c r="D4564" s="1"/>
    </row>
    <row r="4565" spans="4:4">
      <c r="D4565" s="1"/>
    </row>
    <row r="4566" spans="4:4">
      <c r="D4566" s="1"/>
    </row>
    <row r="4567" spans="4:4">
      <c r="D4567" s="1"/>
    </row>
    <row r="4568" spans="4:4">
      <c r="D4568" s="1"/>
    </row>
    <row r="4569" spans="4:4">
      <c r="D4569" s="1"/>
    </row>
    <row r="4570" spans="4:4">
      <c r="D4570" s="1"/>
    </row>
    <row r="4571" spans="4:4">
      <c r="D4571" s="1"/>
    </row>
    <row r="4572" spans="4:4">
      <c r="D4572" s="1"/>
    </row>
    <row r="4573" spans="4:4">
      <c r="D4573" s="1"/>
    </row>
    <row r="4574" spans="4:4">
      <c r="D4574" s="1"/>
    </row>
    <row r="4575" spans="4:4">
      <c r="D4575" s="1"/>
    </row>
    <row r="4576" spans="4:4">
      <c r="D4576" s="1"/>
    </row>
    <row r="4577" spans="4:4">
      <c r="D4577" s="1"/>
    </row>
    <row r="4578" spans="4:4">
      <c r="D4578" s="1"/>
    </row>
    <row r="4579" spans="4:4">
      <c r="D4579" s="1"/>
    </row>
    <row r="4580" spans="4:4">
      <c r="D4580" s="1"/>
    </row>
    <row r="4581" spans="4:4">
      <c r="D4581" s="1"/>
    </row>
    <row r="4582" spans="4:4">
      <c r="D4582" s="1"/>
    </row>
    <row r="4583" spans="4:4">
      <c r="D4583" s="1"/>
    </row>
    <row r="4584" spans="4:4">
      <c r="D4584" s="1"/>
    </row>
    <row r="4585" spans="4:4">
      <c r="D4585" s="1"/>
    </row>
    <row r="4586" spans="4:4">
      <c r="D4586" s="1"/>
    </row>
    <row r="4587" spans="4:4">
      <c r="D4587" s="1"/>
    </row>
    <row r="4588" spans="4:4">
      <c r="D4588" s="1"/>
    </row>
    <row r="4589" spans="4:4">
      <c r="D4589" s="1"/>
    </row>
    <row r="4590" spans="4:4">
      <c r="D4590" s="1"/>
    </row>
    <row r="4591" spans="4:4">
      <c r="D4591" s="1"/>
    </row>
    <row r="4592" spans="4:4">
      <c r="D4592" s="1"/>
    </row>
    <row r="4593" spans="4:4">
      <c r="D4593" s="1"/>
    </row>
    <row r="4594" spans="4:4">
      <c r="D4594" s="1"/>
    </row>
    <row r="4595" spans="4:4">
      <c r="D4595" s="1"/>
    </row>
    <row r="4596" spans="4:4">
      <c r="D4596" s="1"/>
    </row>
    <row r="4597" spans="4:4">
      <c r="D4597" s="1"/>
    </row>
    <row r="4598" spans="4:4">
      <c r="D4598" s="1"/>
    </row>
    <row r="4599" spans="4:4">
      <c r="D4599" s="1"/>
    </row>
    <row r="4600" spans="4:4">
      <c r="D4600" s="1"/>
    </row>
    <row r="4601" spans="4:4">
      <c r="D4601" s="1"/>
    </row>
    <row r="4602" spans="4:4">
      <c r="D4602" s="1"/>
    </row>
    <row r="4603" spans="4:4">
      <c r="D4603" s="1"/>
    </row>
    <row r="4604" spans="4:4">
      <c r="D4604" s="1"/>
    </row>
    <row r="4605" spans="4:4">
      <c r="D4605" s="1"/>
    </row>
    <row r="4606" spans="4:4">
      <c r="D4606" s="1"/>
    </row>
    <row r="4607" spans="4:4">
      <c r="D4607" s="1"/>
    </row>
    <row r="4608" spans="4:4">
      <c r="D4608" s="1"/>
    </row>
    <row r="4609" spans="4:4">
      <c r="D4609" s="1"/>
    </row>
    <row r="4610" spans="4:4">
      <c r="D4610" s="1"/>
    </row>
    <row r="4611" spans="4:4">
      <c r="D4611" s="1"/>
    </row>
    <row r="4612" spans="4:4">
      <c r="D4612" s="1"/>
    </row>
    <row r="4613" spans="4:4">
      <c r="D4613" s="1"/>
    </row>
    <row r="4614" spans="4:4">
      <c r="D4614" s="1"/>
    </row>
    <row r="4615" spans="4:4">
      <c r="D4615" s="1"/>
    </row>
    <row r="4616" spans="4:4">
      <c r="D4616" s="1"/>
    </row>
    <row r="4617" spans="4:4">
      <c r="D4617" s="1"/>
    </row>
    <row r="4618" spans="4:4">
      <c r="D4618" s="1"/>
    </row>
    <row r="4619" spans="4:4">
      <c r="D4619" s="1"/>
    </row>
    <row r="4620" spans="4:4">
      <c r="D4620" s="1"/>
    </row>
    <row r="4621" spans="4:4">
      <c r="D4621" s="1"/>
    </row>
    <row r="4622" spans="4:4">
      <c r="D4622" s="1"/>
    </row>
    <row r="4623" spans="4:4">
      <c r="D4623" s="1"/>
    </row>
    <row r="4624" spans="4:4">
      <c r="D4624" s="1"/>
    </row>
    <row r="4625" spans="4:4">
      <c r="D4625" s="1"/>
    </row>
    <row r="4626" spans="4:4">
      <c r="D4626" s="1"/>
    </row>
    <row r="4627" spans="4:4">
      <c r="D4627" s="1"/>
    </row>
    <row r="4628" spans="4:4">
      <c r="D4628" s="1"/>
    </row>
    <row r="4629" spans="4:4">
      <c r="D4629" s="1"/>
    </row>
    <row r="4630" spans="4:4">
      <c r="D4630" s="1"/>
    </row>
    <row r="4631" spans="4:4">
      <c r="D4631" s="1"/>
    </row>
    <row r="4632" spans="4:4">
      <c r="D4632" s="1"/>
    </row>
    <row r="4633" spans="4:4">
      <c r="D4633" s="1"/>
    </row>
    <row r="4634" spans="4:4">
      <c r="D4634" s="1"/>
    </row>
    <row r="4635" spans="4:4">
      <c r="D4635" s="1"/>
    </row>
    <row r="4636" spans="4:4">
      <c r="D4636" s="1"/>
    </row>
    <row r="4637" spans="4:4">
      <c r="D4637" s="1"/>
    </row>
    <row r="4638" spans="4:4">
      <c r="D4638" s="1"/>
    </row>
    <row r="4639" spans="4:4">
      <c r="D4639" s="1"/>
    </row>
    <row r="4640" spans="4:4">
      <c r="D4640" s="1"/>
    </row>
    <row r="4641" spans="4:4">
      <c r="D4641" s="1"/>
    </row>
    <row r="4642" spans="4:4">
      <c r="D4642" s="1"/>
    </row>
    <row r="4643" spans="4:4">
      <c r="D4643" s="1"/>
    </row>
    <row r="4644" spans="4:4">
      <c r="D4644" s="1"/>
    </row>
    <row r="4645" spans="4:4">
      <c r="D4645" s="1"/>
    </row>
    <row r="4646" spans="4:4">
      <c r="D4646" s="1"/>
    </row>
    <row r="4647" spans="4:4">
      <c r="D4647" s="1"/>
    </row>
    <row r="4648" spans="4:4">
      <c r="D4648" s="1"/>
    </row>
    <row r="4649" spans="4:4">
      <c r="D4649" s="1"/>
    </row>
    <row r="4650" spans="4:4">
      <c r="D4650" s="1"/>
    </row>
    <row r="4651" spans="4:4">
      <c r="D4651" s="1"/>
    </row>
    <row r="4652" spans="4:4">
      <c r="D4652" s="1"/>
    </row>
    <row r="4653" spans="4:4">
      <c r="D4653" s="1"/>
    </row>
    <row r="4654" spans="4:4">
      <c r="D4654" s="1"/>
    </row>
    <row r="4655" spans="4:4">
      <c r="D4655" s="1"/>
    </row>
    <row r="4656" spans="4:4">
      <c r="D4656" s="1"/>
    </row>
    <row r="4657" spans="4:4">
      <c r="D4657" s="1"/>
    </row>
    <row r="4658" spans="4:4">
      <c r="D4658" s="1"/>
    </row>
    <row r="4659" spans="4:4">
      <c r="D4659" s="1"/>
    </row>
    <row r="4660" spans="4:4">
      <c r="D4660" s="1"/>
    </row>
    <row r="4661" spans="4:4">
      <c r="D4661" s="1"/>
    </row>
    <row r="4662" spans="4:4">
      <c r="D4662" s="1"/>
    </row>
    <row r="4663" spans="4:4">
      <c r="D4663" s="1"/>
    </row>
    <row r="4664" spans="4:4">
      <c r="D4664" s="1"/>
    </row>
    <row r="4665" spans="4:4">
      <c r="D4665" s="1"/>
    </row>
    <row r="4666" spans="4:4">
      <c r="D4666" s="1"/>
    </row>
    <row r="4667" spans="4:4">
      <c r="D4667" s="1"/>
    </row>
    <row r="4668" spans="4:4">
      <c r="D4668" s="1"/>
    </row>
    <row r="4669" spans="4:4">
      <c r="D4669" s="1"/>
    </row>
    <row r="4670" spans="4:4">
      <c r="D4670" s="1"/>
    </row>
    <row r="4671" spans="4:4">
      <c r="D4671" s="1"/>
    </row>
    <row r="4672" spans="4:4">
      <c r="D4672" s="1"/>
    </row>
    <row r="4673" spans="4:4">
      <c r="D4673" s="1"/>
    </row>
    <row r="4674" spans="4:4">
      <c r="D4674" s="1"/>
    </row>
    <row r="4675" spans="4:4">
      <c r="D4675" s="1"/>
    </row>
    <row r="4676" spans="4:4">
      <c r="D4676" s="1"/>
    </row>
    <row r="4677" spans="4:4">
      <c r="D4677" s="1"/>
    </row>
    <row r="4678" spans="4:4">
      <c r="D4678" s="1"/>
    </row>
    <row r="4679" spans="4:4">
      <c r="D4679" s="1"/>
    </row>
    <row r="4680" spans="4:4">
      <c r="D4680" s="1"/>
    </row>
    <row r="4681" spans="4:4">
      <c r="D4681" s="1"/>
    </row>
    <row r="4682" spans="4:4">
      <c r="D4682" s="1"/>
    </row>
    <row r="4683" spans="4:4">
      <c r="D4683" s="1"/>
    </row>
    <row r="4684" spans="4:4">
      <c r="D4684" s="1"/>
    </row>
    <row r="4685" spans="4:4">
      <c r="D4685" s="1"/>
    </row>
    <row r="4686" spans="4:4">
      <c r="D4686" s="1"/>
    </row>
    <row r="4687" spans="4:4">
      <c r="D4687" s="1"/>
    </row>
    <row r="4688" spans="4:4">
      <c r="D4688" s="1"/>
    </row>
    <row r="4689" spans="4:4">
      <c r="D4689" s="1"/>
    </row>
    <row r="4690" spans="4:4">
      <c r="D4690" s="1"/>
    </row>
    <row r="4691" spans="4:4">
      <c r="D4691" s="1"/>
    </row>
    <row r="4692" spans="4:4">
      <c r="D4692" s="1"/>
    </row>
    <row r="4693" spans="4:4">
      <c r="D4693" s="1"/>
    </row>
    <row r="4694" spans="4:4">
      <c r="D4694" s="1"/>
    </row>
    <row r="4695" spans="4:4">
      <c r="D4695" s="1"/>
    </row>
    <row r="4696" spans="4:4">
      <c r="D4696" s="1"/>
    </row>
    <row r="4697" spans="4:4">
      <c r="D4697" s="1"/>
    </row>
    <row r="4698" spans="4:4">
      <c r="D4698" s="1"/>
    </row>
    <row r="4699" spans="4:4">
      <c r="D4699" s="1"/>
    </row>
    <row r="4700" spans="4:4">
      <c r="D4700" s="1"/>
    </row>
    <row r="4701" spans="4:4">
      <c r="D4701" s="1"/>
    </row>
    <row r="4702" spans="4:4">
      <c r="D4702" s="1"/>
    </row>
    <row r="4703" spans="4:4">
      <c r="D4703" s="1"/>
    </row>
    <row r="4704" spans="4:4">
      <c r="D4704" s="1"/>
    </row>
    <row r="4705" spans="4:4">
      <c r="D4705" s="1"/>
    </row>
    <row r="4706" spans="4:4">
      <c r="D4706" s="1"/>
    </row>
    <row r="4707" spans="4:4">
      <c r="D4707" s="1"/>
    </row>
    <row r="4708" spans="4:4">
      <c r="D4708" s="1"/>
    </row>
    <row r="4709" spans="4:4">
      <c r="D4709" s="1"/>
    </row>
    <row r="4710" spans="4:4">
      <c r="D4710" s="1"/>
    </row>
    <row r="4711" spans="4:4">
      <c r="D4711" s="1"/>
    </row>
    <row r="4712" spans="4:4">
      <c r="D4712" s="1"/>
    </row>
    <row r="4713" spans="4:4">
      <c r="D4713" s="1"/>
    </row>
    <row r="4714" spans="4:4">
      <c r="D4714" s="1"/>
    </row>
    <row r="4715" spans="4:4">
      <c r="D4715" s="1"/>
    </row>
    <row r="4716" spans="4:4">
      <c r="D4716" s="1"/>
    </row>
    <row r="4717" spans="4:4">
      <c r="D4717" s="1"/>
    </row>
    <row r="4718" spans="4:4">
      <c r="D4718" s="1"/>
    </row>
    <row r="4719" spans="4:4">
      <c r="D4719" s="1"/>
    </row>
    <row r="4720" spans="4:4">
      <c r="D4720" s="1"/>
    </row>
    <row r="4721" spans="4:4">
      <c r="D4721" s="1"/>
    </row>
    <row r="4722" spans="4:4">
      <c r="D4722" s="1"/>
    </row>
    <row r="4723" spans="4:4">
      <c r="D4723" s="1"/>
    </row>
    <row r="4724" spans="4:4">
      <c r="D4724" s="1"/>
    </row>
    <row r="4725" spans="4:4">
      <c r="D4725" s="1"/>
    </row>
    <row r="4726" spans="4:4">
      <c r="D4726" s="1"/>
    </row>
    <row r="4727" spans="4:4">
      <c r="D4727" s="1"/>
    </row>
    <row r="4728" spans="4:4">
      <c r="D4728" s="1"/>
    </row>
    <row r="4729" spans="4:4">
      <c r="D4729" s="1"/>
    </row>
    <row r="4730" spans="4:4">
      <c r="D4730" s="1"/>
    </row>
    <row r="4731" spans="4:4">
      <c r="D4731" s="1"/>
    </row>
    <row r="4732" spans="4:4">
      <c r="D4732" s="1"/>
    </row>
    <row r="4733" spans="4:4">
      <c r="D4733" s="1"/>
    </row>
    <row r="4734" spans="4:4">
      <c r="D4734" s="1"/>
    </row>
    <row r="4735" spans="4:4">
      <c r="D4735" s="1"/>
    </row>
    <row r="4736" spans="4:4">
      <c r="D4736" s="1"/>
    </row>
    <row r="4737" spans="4:4">
      <c r="D4737" s="1"/>
    </row>
    <row r="4738" spans="4:4">
      <c r="D4738" s="1"/>
    </row>
    <row r="4739" spans="4:4">
      <c r="D4739" s="1"/>
    </row>
    <row r="4740" spans="4:4">
      <c r="D4740" s="1"/>
    </row>
    <row r="4741" spans="4:4">
      <c r="D4741" s="1"/>
    </row>
    <row r="4742" spans="4:4">
      <c r="D4742" s="1"/>
    </row>
    <row r="4743" spans="4:4">
      <c r="D4743" s="1"/>
    </row>
    <row r="4744" spans="4:4">
      <c r="D4744" s="1"/>
    </row>
    <row r="4745" spans="4:4">
      <c r="D4745" s="1"/>
    </row>
    <row r="4746" spans="4:4">
      <c r="D4746" s="1"/>
    </row>
    <row r="4747" spans="4:4">
      <c r="D4747" s="1"/>
    </row>
    <row r="4748" spans="4:4">
      <c r="D4748" s="1"/>
    </row>
    <row r="4749" spans="4:4">
      <c r="D4749" s="1"/>
    </row>
    <row r="4750" spans="4:4">
      <c r="D4750" s="1"/>
    </row>
    <row r="4751" spans="4:4">
      <c r="D4751" s="1"/>
    </row>
    <row r="4752" spans="4:4">
      <c r="D4752" s="1"/>
    </row>
    <row r="4753" spans="4:4">
      <c r="D4753" s="1"/>
    </row>
    <row r="4754" spans="4:4">
      <c r="D4754" s="1"/>
    </row>
    <row r="4755" spans="4:4">
      <c r="D4755" s="1"/>
    </row>
    <row r="4756" spans="4:4">
      <c r="D4756" s="1"/>
    </row>
    <row r="4757" spans="4:4">
      <c r="D4757" s="1"/>
    </row>
    <row r="4758" spans="4:4">
      <c r="D4758" s="1"/>
    </row>
    <row r="4759" spans="4:4">
      <c r="D4759" s="1"/>
    </row>
    <row r="4760" spans="4:4">
      <c r="D4760" s="1"/>
    </row>
    <row r="4761" spans="4:4">
      <c r="D4761" s="1"/>
    </row>
    <row r="4762" spans="4:4">
      <c r="D4762" s="1"/>
    </row>
    <row r="4763" spans="4:4">
      <c r="D4763" s="1"/>
    </row>
    <row r="4764" spans="4:4">
      <c r="D4764" s="1"/>
    </row>
    <row r="4765" spans="4:4">
      <c r="D4765" s="1"/>
    </row>
    <row r="4766" spans="4:4">
      <c r="D4766" s="1"/>
    </row>
    <row r="4767" spans="4:4">
      <c r="D4767" s="1"/>
    </row>
    <row r="4768" spans="4:4">
      <c r="D4768" s="1"/>
    </row>
    <row r="4769" spans="4:4">
      <c r="D4769" s="1"/>
    </row>
    <row r="4770" spans="4:4">
      <c r="D4770" s="1"/>
    </row>
    <row r="4771" spans="4:4">
      <c r="D4771" s="1"/>
    </row>
    <row r="4772" spans="4:4">
      <c r="D4772" s="1"/>
    </row>
    <row r="4773" spans="4:4">
      <c r="D4773" s="1"/>
    </row>
    <row r="4774" spans="4:4">
      <c r="D4774" s="1"/>
    </row>
    <row r="4775" spans="4:4">
      <c r="D4775" s="1"/>
    </row>
    <row r="4776" spans="4:4">
      <c r="D4776" s="1"/>
    </row>
    <row r="4777" spans="4:4">
      <c r="D4777" s="1"/>
    </row>
    <row r="4778" spans="4:4">
      <c r="D4778" s="1"/>
    </row>
    <row r="4779" spans="4:4">
      <c r="D4779" s="1"/>
    </row>
    <row r="4780" spans="4:4">
      <c r="D4780" s="1"/>
    </row>
    <row r="4781" spans="4:4">
      <c r="D4781" s="1"/>
    </row>
    <row r="4782" spans="4:4">
      <c r="D4782" s="1"/>
    </row>
    <row r="4783" spans="4:4">
      <c r="D4783" s="1"/>
    </row>
    <row r="4784" spans="4:4">
      <c r="D4784" s="1"/>
    </row>
    <row r="4785" spans="4:4">
      <c r="D4785" s="1"/>
    </row>
    <row r="4786" spans="4:4">
      <c r="D4786" s="1"/>
    </row>
    <row r="4787" spans="4:4">
      <c r="D4787" s="1"/>
    </row>
    <row r="4788" spans="4:4">
      <c r="D4788" s="1"/>
    </row>
    <row r="4789" spans="4:4">
      <c r="D4789" s="1"/>
    </row>
    <row r="4790" spans="4:4">
      <c r="D4790" s="1"/>
    </row>
    <row r="4791" spans="4:4">
      <c r="D4791" s="1"/>
    </row>
    <row r="4792" spans="4:4">
      <c r="D4792" s="1"/>
    </row>
    <row r="4793" spans="4:4">
      <c r="D4793" s="1"/>
    </row>
    <row r="4794" spans="4:4">
      <c r="D4794" s="1"/>
    </row>
    <row r="4795" spans="4:4">
      <c r="D4795" s="1"/>
    </row>
    <row r="4796" spans="4:4">
      <c r="D4796" s="1"/>
    </row>
    <row r="4797" spans="4:4">
      <c r="D4797" s="1"/>
    </row>
    <row r="4798" spans="4:4">
      <c r="D4798" s="1"/>
    </row>
    <row r="4799" spans="4:4">
      <c r="D4799" s="1"/>
    </row>
    <row r="4800" spans="4:4">
      <c r="D4800" s="1"/>
    </row>
    <row r="4801" spans="4:4">
      <c r="D4801" s="1"/>
    </row>
    <row r="4802" spans="4:4">
      <c r="D4802" s="1"/>
    </row>
    <row r="4803" spans="4:4">
      <c r="D4803" s="1"/>
    </row>
    <row r="4804" spans="4:4">
      <c r="D4804" s="1"/>
    </row>
    <row r="4805" spans="4:4">
      <c r="D4805" s="1"/>
    </row>
    <row r="4806" spans="4:4">
      <c r="D4806" s="1"/>
    </row>
    <row r="4807" spans="4:4">
      <c r="D4807" s="1"/>
    </row>
    <row r="4808" spans="4:4">
      <c r="D4808" s="1"/>
    </row>
    <row r="4809" spans="4:4">
      <c r="D4809" s="1"/>
    </row>
    <row r="4810" spans="4:4">
      <c r="D4810" s="1"/>
    </row>
    <row r="4811" spans="4:4">
      <c r="D4811" s="1"/>
    </row>
    <row r="4812" spans="4:4">
      <c r="D4812" s="1"/>
    </row>
    <row r="4813" spans="4:4">
      <c r="D4813" s="1"/>
    </row>
    <row r="4814" spans="4:4">
      <c r="D4814" s="1"/>
    </row>
    <row r="4815" spans="4:4">
      <c r="D4815" s="1"/>
    </row>
    <row r="4816" spans="4:4">
      <c r="D4816" s="1"/>
    </row>
    <row r="4817" spans="4:4">
      <c r="D4817" s="1"/>
    </row>
    <row r="4818" spans="4:4">
      <c r="D4818" s="1"/>
    </row>
    <row r="4819" spans="4:4">
      <c r="D4819" s="1"/>
    </row>
    <row r="4820" spans="4:4">
      <c r="D4820" s="1"/>
    </row>
    <row r="4821" spans="4:4">
      <c r="D4821" s="1"/>
    </row>
    <row r="4822" spans="4:4">
      <c r="D4822" s="1"/>
    </row>
    <row r="4823" spans="4:4">
      <c r="D4823" s="1"/>
    </row>
    <row r="4824" spans="4:4">
      <c r="D4824" s="1"/>
    </row>
    <row r="4825" spans="4:4">
      <c r="D4825" s="1"/>
    </row>
    <row r="4826" spans="4:4">
      <c r="D4826" s="1"/>
    </row>
    <row r="4827" spans="4:4">
      <c r="D4827" s="1"/>
    </row>
    <row r="4828" spans="4:4">
      <c r="D4828" s="1"/>
    </row>
    <row r="4829" spans="4:4">
      <c r="D4829" s="1"/>
    </row>
    <row r="4830" spans="4:4">
      <c r="D4830" s="1"/>
    </row>
    <row r="4831" spans="4:4">
      <c r="D4831" s="1"/>
    </row>
    <row r="4832" spans="4:4">
      <c r="D4832" s="1"/>
    </row>
    <row r="4833" spans="4:4">
      <c r="D4833" s="1"/>
    </row>
    <row r="4834" spans="4:4">
      <c r="D4834" s="1"/>
    </row>
    <row r="4835" spans="4:4">
      <c r="D4835" s="1"/>
    </row>
    <row r="4836" spans="4:4">
      <c r="D4836" s="1"/>
    </row>
    <row r="4837" spans="4:4">
      <c r="D4837" s="1"/>
    </row>
    <row r="4838" spans="4:4">
      <c r="D4838" s="1"/>
    </row>
    <row r="4839" spans="4:4">
      <c r="D4839" s="1"/>
    </row>
    <row r="4840" spans="4:4">
      <c r="D4840" s="1"/>
    </row>
    <row r="4841" spans="4:4">
      <c r="D4841" s="1"/>
    </row>
    <row r="4842" spans="4:4">
      <c r="D4842" s="1"/>
    </row>
    <row r="4843" spans="4:4">
      <c r="D4843" s="1"/>
    </row>
    <row r="4844" spans="4:4">
      <c r="D4844" s="1"/>
    </row>
    <row r="4845" spans="4:4">
      <c r="D4845" s="1"/>
    </row>
    <row r="4846" spans="4:4">
      <c r="D4846" s="1"/>
    </row>
    <row r="4847" spans="4:4">
      <c r="D4847" s="1"/>
    </row>
    <row r="4848" spans="4:4">
      <c r="D4848" s="1"/>
    </row>
    <row r="4849" spans="4:4">
      <c r="D4849" s="1"/>
    </row>
    <row r="4850" spans="4:4">
      <c r="D4850" s="1"/>
    </row>
    <row r="4851" spans="4:4">
      <c r="D4851" s="1"/>
    </row>
    <row r="4852" spans="4:4">
      <c r="D4852" s="1"/>
    </row>
    <row r="4853" spans="4:4">
      <c r="D4853" s="1"/>
    </row>
    <row r="4854" spans="4:4">
      <c r="D4854" s="1"/>
    </row>
    <row r="4855" spans="4:4">
      <c r="D4855" s="1"/>
    </row>
    <row r="4856" spans="4:4">
      <c r="D4856" s="1"/>
    </row>
    <row r="4857" spans="4:4">
      <c r="D4857" s="1"/>
    </row>
    <row r="4858" spans="4:4">
      <c r="D4858" s="1"/>
    </row>
    <row r="4859" spans="4:4">
      <c r="D4859" s="1"/>
    </row>
    <row r="4860" spans="4:4">
      <c r="D4860" s="1"/>
    </row>
    <row r="4861" spans="4:4">
      <c r="D4861" s="1"/>
    </row>
    <row r="4862" spans="4:4">
      <c r="D4862" s="1"/>
    </row>
    <row r="4863" spans="4:4">
      <c r="D4863" s="1"/>
    </row>
    <row r="4864" spans="4:4">
      <c r="D4864" s="1"/>
    </row>
    <row r="4865" spans="4:4">
      <c r="D4865" s="1"/>
    </row>
    <row r="4866" spans="4:4">
      <c r="D4866" s="1"/>
    </row>
    <row r="4867" spans="4:4">
      <c r="D4867" s="1"/>
    </row>
    <row r="4868" spans="4:4">
      <c r="D4868" s="1"/>
    </row>
    <row r="4869" spans="4:4">
      <c r="D4869" s="1"/>
    </row>
    <row r="4870" spans="4:4">
      <c r="D4870" s="1"/>
    </row>
    <row r="4871" spans="4:4">
      <c r="D4871" s="1"/>
    </row>
    <row r="4872" spans="4:4">
      <c r="D4872" s="1"/>
    </row>
    <row r="4873" spans="4:4">
      <c r="D4873" s="1"/>
    </row>
    <row r="4874" spans="4:4">
      <c r="D4874" s="1"/>
    </row>
    <row r="4875" spans="4:4">
      <c r="D4875" s="1"/>
    </row>
    <row r="4876" spans="4:4">
      <c r="D4876" s="1"/>
    </row>
    <row r="4877" spans="4:4">
      <c r="D4877" s="1"/>
    </row>
    <row r="4878" spans="4:4">
      <c r="D4878" s="1"/>
    </row>
    <row r="4879" spans="4:4">
      <c r="D4879" s="1"/>
    </row>
    <row r="4880" spans="4:4">
      <c r="D4880" s="1"/>
    </row>
    <row r="4881" spans="4:4">
      <c r="D4881" s="1"/>
    </row>
    <row r="4882" spans="4:4">
      <c r="D4882" s="1"/>
    </row>
    <row r="4883" spans="4:4">
      <c r="D4883" s="1"/>
    </row>
    <row r="4884" spans="4:4">
      <c r="D4884" s="1"/>
    </row>
    <row r="4885" spans="4:4">
      <c r="D4885" s="1"/>
    </row>
    <row r="4886" spans="4:4">
      <c r="D4886" s="1"/>
    </row>
    <row r="4887" spans="4:4">
      <c r="D4887" s="1"/>
    </row>
    <row r="4888" spans="4:4">
      <c r="D4888" s="1"/>
    </row>
    <row r="4889" spans="4:4">
      <c r="D4889" s="1"/>
    </row>
    <row r="4890" spans="4:4">
      <c r="D4890" s="1"/>
    </row>
    <row r="4891" spans="4:4">
      <c r="D4891" s="1"/>
    </row>
    <row r="4892" spans="4:4">
      <c r="D4892" s="1"/>
    </row>
    <row r="4893" spans="4:4">
      <c r="D4893" s="1"/>
    </row>
    <row r="4894" spans="4:4">
      <c r="D4894" s="1"/>
    </row>
    <row r="4895" spans="4:4">
      <c r="D4895" s="1"/>
    </row>
    <row r="4896" spans="4:4">
      <c r="D4896" s="1"/>
    </row>
    <row r="4897" spans="4:4">
      <c r="D4897" s="1"/>
    </row>
    <row r="4898" spans="4:4">
      <c r="D4898" s="1"/>
    </row>
    <row r="4899" spans="4:4">
      <c r="D4899" s="1"/>
    </row>
    <row r="4900" spans="4:4">
      <c r="D4900" s="1"/>
    </row>
    <row r="4901" spans="4:4">
      <c r="D4901" s="1"/>
    </row>
    <row r="4902" spans="4:4">
      <c r="D4902" s="1"/>
    </row>
    <row r="4903" spans="4:4">
      <c r="D4903" s="1"/>
    </row>
    <row r="4904" spans="4:4">
      <c r="D4904" s="1"/>
    </row>
    <row r="4905" spans="4:4">
      <c r="D4905" s="1"/>
    </row>
    <row r="4906" spans="4:4">
      <c r="D4906" s="1"/>
    </row>
    <row r="4907" spans="4:4">
      <c r="D4907" s="1"/>
    </row>
    <row r="4908" spans="4:4">
      <c r="D4908" s="1"/>
    </row>
    <row r="4909" spans="4:4">
      <c r="D4909" s="1"/>
    </row>
    <row r="4910" spans="4:4">
      <c r="D4910" s="1"/>
    </row>
    <row r="4911" spans="4:4">
      <c r="D4911" s="1"/>
    </row>
    <row r="4912" spans="4:4">
      <c r="D4912" s="1"/>
    </row>
    <row r="4913" spans="4:4">
      <c r="D4913" s="1"/>
    </row>
    <row r="4914" spans="4:4">
      <c r="D4914" s="1"/>
    </row>
    <row r="4915" spans="4:4">
      <c r="D4915" s="1"/>
    </row>
    <row r="4916" spans="4:4">
      <c r="D4916" s="1"/>
    </row>
    <row r="4917" spans="4:4">
      <c r="D4917" s="1"/>
    </row>
    <row r="4918" spans="4:4">
      <c r="D4918" s="1"/>
    </row>
    <row r="4919" spans="4:4">
      <c r="D4919" s="1"/>
    </row>
    <row r="4920" spans="4:4">
      <c r="D4920" s="1"/>
    </row>
    <row r="4921" spans="4:4">
      <c r="D4921" s="1"/>
    </row>
    <row r="4922" spans="4:4">
      <c r="D4922" s="1"/>
    </row>
    <row r="4923" spans="4:4">
      <c r="D4923" s="1"/>
    </row>
    <row r="4924" spans="4:4">
      <c r="D4924" s="1"/>
    </row>
    <row r="4925" spans="4:4">
      <c r="D4925" s="1"/>
    </row>
    <row r="4926" spans="4:4">
      <c r="D4926" s="1"/>
    </row>
    <row r="4927" spans="4:4">
      <c r="D4927" s="1"/>
    </row>
    <row r="4928" spans="4:4">
      <c r="D4928" s="1"/>
    </row>
    <row r="4929" spans="4:4">
      <c r="D4929" s="1"/>
    </row>
    <row r="4930" spans="4:4">
      <c r="D4930" s="1"/>
    </row>
    <row r="4931" spans="4:4">
      <c r="D4931" s="1"/>
    </row>
    <row r="4932" spans="4:4">
      <c r="D4932" s="1"/>
    </row>
    <row r="4933" spans="4:4">
      <c r="D4933" s="1"/>
    </row>
    <row r="4934" spans="4:4">
      <c r="D4934" s="1"/>
    </row>
    <row r="4935" spans="4:4">
      <c r="D4935" s="1"/>
    </row>
    <row r="4936" spans="4:4">
      <c r="D4936" s="1"/>
    </row>
    <row r="4937" spans="4:4">
      <c r="D4937" s="1"/>
    </row>
    <row r="4938" spans="4:4">
      <c r="D4938" s="1"/>
    </row>
    <row r="4939" spans="4:4">
      <c r="D4939" s="1"/>
    </row>
    <row r="4940" spans="4:4">
      <c r="D4940" s="1"/>
    </row>
    <row r="4941" spans="4:4">
      <c r="D4941" s="1"/>
    </row>
    <row r="4942" spans="4:4">
      <c r="D4942" s="1"/>
    </row>
    <row r="4943" spans="4:4">
      <c r="D4943" s="1"/>
    </row>
    <row r="4944" spans="4:4">
      <c r="D4944" s="1"/>
    </row>
    <row r="4945" spans="4:4">
      <c r="D4945" s="1"/>
    </row>
    <row r="4946" spans="4:4">
      <c r="D4946" s="1"/>
    </row>
    <row r="4947" spans="4:4">
      <c r="D4947" s="1"/>
    </row>
    <row r="4948" spans="4:4">
      <c r="D4948" s="1"/>
    </row>
    <row r="4949" spans="4:4">
      <c r="D4949" s="1"/>
    </row>
    <row r="4950" spans="4:4">
      <c r="D4950" s="1"/>
    </row>
    <row r="4951" spans="4:4">
      <c r="D4951" s="1"/>
    </row>
    <row r="4952" spans="4:4">
      <c r="D4952" s="1"/>
    </row>
    <row r="4953" spans="4:4">
      <c r="D4953" s="1"/>
    </row>
    <row r="4954" spans="4:4">
      <c r="D4954" s="1"/>
    </row>
    <row r="4955" spans="4:4">
      <c r="D4955" s="1"/>
    </row>
    <row r="4956" spans="4:4">
      <c r="D4956" s="1"/>
    </row>
    <row r="4957" spans="4:4">
      <c r="D4957" s="1"/>
    </row>
    <row r="4958" spans="4:4">
      <c r="D4958" s="1"/>
    </row>
    <row r="4959" spans="4:4">
      <c r="D4959" s="1"/>
    </row>
    <row r="4960" spans="4:4">
      <c r="D4960" s="1"/>
    </row>
    <row r="4961" spans="4:4">
      <c r="D4961" s="1"/>
    </row>
    <row r="4962" spans="4:4">
      <c r="D4962" s="1"/>
    </row>
    <row r="4963" spans="4:4">
      <c r="D4963" s="1"/>
    </row>
    <row r="4964" spans="4:4">
      <c r="D4964" s="1"/>
    </row>
    <row r="4965" spans="4:4">
      <c r="D4965" s="1"/>
    </row>
    <row r="4966" spans="4:4">
      <c r="D4966" s="1"/>
    </row>
    <row r="4967" spans="4:4">
      <c r="D4967" s="1"/>
    </row>
    <row r="4968" spans="4:4">
      <c r="D4968" s="1"/>
    </row>
    <row r="4969" spans="4:4">
      <c r="D4969" s="1"/>
    </row>
    <row r="4970" spans="4:4">
      <c r="D4970" s="1"/>
    </row>
    <row r="4971" spans="4:4">
      <c r="D4971" s="1"/>
    </row>
    <row r="4972" spans="4:4">
      <c r="D4972" s="1"/>
    </row>
    <row r="4973" spans="4:4">
      <c r="D4973" s="1"/>
    </row>
    <row r="4974" spans="4:4">
      <c r="D4974" s="1"/>
    </row>
    <row r="4975" spans="4:4">
      <c r="D4975" s="1"/>
    </row>
    <row r="4976" spans="4:4">
      <c r="D4976" s="1"/>
    </row>
    <row r="4977" spans="4:4">
      <c r="D4977" s="1"/>
    </row>
    <row r="4978" spans="4:4">
      <c r="D4978" s="1"/>
    </row>
    <row r="4979" spans="4:4">
      <c r="D4979" s="1"/>
    </row>
    <row r="4980" spans="4:4">
      <c r="D4980" s="1"/>
    </row>
    <row r="4981" spans="4:4">
      <c r="D4981" s="1"/>
    </row>
    <row r="4982" spans="4:4">
      <c r="D4982" s="1"/>
    </row>
    <row r="4983" spans="4:4">
      <c r="D4983" s="1"/>
    </row>
    <row r="4984" spans="4:4">
      <c r="D4984" s="1"/>
    </row>
    <row r="4985" spans="4:4">
      <c r="D4985" s="1"/>
    </row>
    <row r="4986" spans="4:4">
      <c r="D4986" s="1"/>
    </row>
    <row r="4987" spans="4:4">
      <c r="D4987" s="1"/>
    </row>
    <row r="4988" spans="4:4">
      <c r="D4988" s="1"/>
    </row>
    <row r="4989" spans="4:4">
      <c r="D4989" s="1"/>
    </row>
    <row r="4990" spans="4:4">
      <c r="D4990" s="1"/>
    </row>
    <row r="4991" spans="4:4">
      <c r="D4991" s="1"/>
    </row>
    <row r="4992" spans="4:4">
      <c r="D4992" s="1"/>
    </row>
    <row r="4993" spans="4:4">
      <c r="D4993" s="1"/>
    </row>
    <row r="4994" spans="4:4">
      <c r="D4994" s="1"/>
    </row>
    <row r="4995" spans="4:4">
      <c r="D4995" s="1"/>
    </row>
    <row r="4996" spans="4:4">
      <c r="D4996" s="1"/>
    </row>
    <row r="4997" spans="4:4">
      <c r="D4997" s="1"/>
    </row>
    <row r="4998" spans="4:4">
      <c r="D4998" s="1"/>
    </row>
    <row r="4999" spans="4:4">
      <c r="D4999" s="1"/>
    </row>
    <row r="5000" spans="4:4">
      <c r="D5000" s="1"/>
    </row>
    <row r="5001" spans="4:4">
      <c r="D5001" s="1"/>
    </row>
    <row r="5002" spans="4:4">
      <c r="D5002" s="1"/>
    </row>
    <row r="5003" spans="4:4">
      <c r="D5003" s="1"/>
    </row>
    <row r="5004" spans="4:4">
      <c r="D5004" s="1"/>
    </row>
    <row r="5005" spans="4:4">
      <c r="D5005" s="1"/>
    </row>
    <row r="5006" spans="4:4">
      <c r="D5006" s="1"/>
    </row>
    <row r="5007" spans="4:4">
      <c r="D5007" s="1"/>
    </row>
    <row r="5008" spans="4:4">
      <c r="D5008" s="1"/>
    </row>
    <row r="5009" spans="4:4">
      <c r="D5009" s="1"/>
    </row>
    <row r="5010" spans="4:4">
      <c r="D5010" s="1"/>
    </row>
    <row r="5011" spans="4:4">
      <c r="D5011" s="1"/>
    </row>
    <row r="5012" spans="4:4">
      <c r="D5012" s="1"/>
    </row>
    <row r="5013" spans="4:4">
      <c r="D5013" s="1"/>
    </row>
    <row r="5014" spans="4:4">
      <c r="D5014" s="1"/>
    </row>
    <row r="5015" spans="4:4">
      <c r="D5015" s="1"/>
    </row>
    <row r="5016" spans="4:4">
      <c r="D5016" s="1"/>
    </row>
    <row r="5017" spans="4:4">
      <c r="D5017" s="1"/>
    </row>
    <row r="5018" spans="4:4">
      <c r="D5018" s="1"/>
    </row>
    <row r="5019" spans="4:4">
      <c r="D5019" s="1"/>
    </row>
    <row r="5020" spans="4:4">
      <c r="D5020" s="1"/>
    </row>
    <row r="5021" spans="4:4">
      <c r="D5021" s="1"/>
    </row>
    <row r="5022" spans="4:4">
      <c r="D5022" s="1"/>
    </row>
    <row r="5023" spans="4:4">
      <c r="D5023" s="1"/>
    </row>
    <row r="5024" spans="4:4">
      <c r="D5024" s="1"/>
    </row>
    <row r="5025" spans="4:4">
      <c r="D5025" s="1"/>
    </row>
    <row r="5026" spans="4:4">
      <c r="D5026" s="1"/>
    </row>
    <row r="5027" spans="4:4">
      <c r="D5027" s="1"/>
    </row>
    <row r="5028" spans="4:4">
      <c r="D5028" s="1"/>
    </row>
    <row r="5029" spans="4:4">
      <c r="D5029" s="1"/>
    </row>
    <row r="5030" spans="4:4">
      <c r="D5030" s="1"/>
    </row>
    <row r="5031" spans="4:4">
      <c r="D5031" s="1"/>
    </row>
    <row r="5032" spans="4:4">
      <c r="D5032" s="1"/>
    </row>
    <row r="5033" spans="4:4">
      <c r="D5033" s="1"/>
    </row>
    <row r="5034" spans="4:4">
      <c r="D5034" s="1"/>
    </row>
    <row r="5035" spans="4:4">
      <c r="D5035" s="1"/>
    </row>
    <row r="5036" spans="4:4">
      <c r="D5036" s="1"/>
    </row>
    <row r="5037" spans="4:4">
      <c r="D5037" s="1"/>
    </row>
    <row r="5038" spans="4:4">
      <c r="D5038" s="1"/>
    </row>
    <row r="5039" spans="4:4">
      <c r="D5039" s="1"/>
    </row>
    <row r="5040" spans="4:4">
      <c r="D5040" s="1"/>
    </row>
    <row r="5041" spans="4:4">
      <c r="D5041" s="1"/>
    </row>
    <row r="5042" spans="4:4">
      <c r="D5042" s="1"/>
    </row>
    <row r="5043" spans="4:4">
      <c r="D5043" s="1"/>
    </row>
    <row r="5044" spans="4:4">
      <c r="D5044" s="1"/>
    </row>
    <row r="5045" spans="4:4">
      <c r="D5045" s="1"/>
    </row>
    <row r="5046" spans="4:4">
      <c r="D5046" s="1"/>
    </row>
    <row r="5047" spans="4:4">
      <c r="D5047" s="1"/>
    </row>
    <row r="5048" spans="4:4">
      <c r="D5048" s="1"/>
    </row>
    <row r="5049" spans="4:4">
      <c r="D5049" s="1"/>
    </row>
    <row r="5050" spans="4:4">
      <c r="D5050" s="1"/>
    </row>
    <row r="5051" spans="4:4">
      <c r="D5051" s="1"/>
    </row>
    <row r="5052" spans="4:4">
      <c r="D5052" s="1"/>
    </row>
    <row r="5053" spans="4:4">
      <c r="D5053" s="1"/>
    </row>
    <row r="5054" spans="4:4">
      <c r="D5054" s="1"/>
    </row>
    <row r="5055" spans="4:4">
      <c r="D5055" s="1"/>
    </row>
    <row r="5056" spans="4:4">
      <c r="D5056" s="1"/>
    </row>
    <row r="5057" spans="4:4">
      <c r="D5057" s="1"/>
    </row>
    <row r="5058" spans="4:4">
      <c r="D5058" s="1"/>
    </row>
    <row r="5059" spans="4:4">
      <c r="D5059" s="1"/>
    </row>
    <row r="5060" spans="4:4">
      <c r="D5060" s="1"/>
    </row>
    <row r="5061" spans="4:4">
      <c r="D5061" s="1"/>
    </row>
    <row r="5062" spans="4:4">
      <c r="D5062" s="1"/>
    </row>
    <row r="5063" spans="4:4">
      <c r="D5063" s="1"/>
    </row>
    <row r="5064" spans="4:4">
      <c r="D5064" s="1"/>
    </row>
    <row r="5065" spans="4:4">
      <c r="D5065" s="1"/>
    </row>
    <row r="5066" spans="4:4">
      <c r="D5066" s="1"/>
    </row>
    <row r="5067" spans="4:4">
      <c r="D5067" s="1"/>
    </row>
    <row r="5068" spans="4:4">
      <c r="D5068" s="1"/>
    </row>
    <row r="5069" spans="4:4">
      <c r="D5069" s="1"/>
    </row>
    <row r="5070" spans="4:4">
      <c r="D5070" s="1"/>
    </row>
    <row r="5071" spans="4:4">
      <c r="D5071" s="1"/>
    </row>
    <row r="5072" spans="4:4">
      <c r="D5072" s="1"/>
    </row>
    <row r="5073" spans="4:4">
      <c r="D5073" s="1"/>
    </row>
    <row r="5074" spans="4:4">
      <c r="D5074" s="1"/>
    </row>
    <row r="5075" spans="4:4">
      <c r="D5075" s="1"/>
    </row>
    <row r="5076" spans="4:4">
      <c r="D5076" s="1"/>
    </row>
    <row r="5077" spans="4:4">
      <c r="D5077" s="1"/>
    </row>
    <row r="5078" spans="4:4">
      <c r="D5078" s="1"/>
    </row>
    <row r="5079" spans="4:4">
      <c r="D5079" s="1"/>
    </row>
    <row r="5080" spans="4:4">
      <c r="D5080" s="1"/>
    </row>
    <row r="5081" spans="4:4">
      <c r="D5081" s="1"/>
    </row>
    <row r="5082" spans="4:4">
      <c r="D5082" s="1"/>
    </row>
    <row r="5083" spans="4:4">
      <c r="D5083" s="1"/>
    </row>
    <row r="5084" spans="4:4">
      <c r="D5084" s="1"/>
    </row>
    <row r="5085" spans="4:4">
      <c r="D5085" s="1"/>
    </row>
    <row r="5086" spans="4:4">
      <c r="D5086" s="1"/>
    </row>
    <row r="5087" spans="4:4">
      <c r="D5087" s="1"/>
    </row>
    <row r="5088" spans="4:4">
      <c r="D5088" s="1"/>
    </row>
    <row r="5089" spans="4:4">
      <c r="D5089" s="1"/>
    </row>
    <row r="5090" spans="4:4">
      <c r="D5090" s="1"/>
    </row>
    <row r="5091" spans="4:4">
      <c r="D5091" s="1"/>
    </row>
    <row r="5092" spans="4:4">
      <c r="D5092" s="1"/>
    </row>
    <row r="5093" spans="4:4">
      <c r="D5093" s="1"/>
    </row>
    <row r="5094" spans="4:4">
      <c r="D5094" s="1"/>
    </row>
    <row r="5095" spans="4:4">
      <c r="D5095" s="1"/>
    </row>
    <row r="5096" spans="4:4">
      <c r="D5096" s="1"/>
    </row>
    <row r="5097" spans="4:4">
      <c r="D5097" s="1"/>
    </row>
    <row r="5098" spans="4:4">
      <c r="D5098" s="1"/>
    </row>
    <row r="5099" spans="4:4">
      <c r="D5099" s="1"/>
    </row>
    <row r="5100" spans="4:4">
      <c r="D5100" s="1"/>
    </row>
    <row r="5101" spans="4:4">
      <c r="D5101" s="1"/>
    </row>
    <row r="5102" spans="4:4">
      <c r="D5102" s="1"/>
    </row>
    <row r="5103" spans="4:4">
      <c r="D5103" s="1"/>
    </row>
    <row r="5104" spans="4:4">
      <c r="D5104" s="1"/>
    </row>
    <row r="5105" spans="4:4">
      <c r="D5105" s="1"/>
    </row>
    <row r="5106" spans="4:4">
      <c r="D5106" s="1"/>
    </row>
    <row r="5107" spans="4:4">
      <c r="D5107" s="1"/>
    </row>
    <row r="5108" spans="4:4">
      <c r="D5108" s="1"/>
    </row>
    <row r="5109" spans="4:4">
      <c r="D5109" s="1"/>
    </row>
    <row r="5110" spans="4:4">
      <c r="D5110" s="1"/>
    </row>
    <row r="5111" spans="4:4">
      <c r="D5111" s="1"/>
    </row>
    <row r="5112" spans="4:4">
      <c r="D5112" s="1"/>
    </row>
    <row r="5113" spans="4:4">
      <c r="D5113" s="1"/>
    </row>
    <row r="5114" spans="4:4">
      <c r="D5114" s="1"/>
    </row>
    <row r="5115" spans="4:4">
      <c r="D5115" s="1"/>
    </row>
    <row r="5116" spans="4:4">
      <c r="D5116" s="1"/>
    </row>
    <row r="5117" spans="4:4">
      <c r="D5117" s="1"/>
    </row>
    <row r="5118" spans="4:4">
      <c r="D5118" s="1"/>
    </row>
    <row r="5119" spans="4:4">
      <c r="D5119" s="1"/>
    </row>
    <row r="5120" spans="4:4">
      <c r="D5120" s="1"/>
    </row>
    <row r="5121" spans="4:4">
      <c r="D5121" s="1"/>
    </row>
    <row r="5122" spans="4:4">
      <c r="D5122" s="1"/>
    </row>
    <row r="5123" spans="4:4">
      <c r="D5123" s="1"/>
    </row>
    <row r="5124" spans="4:4">
      <c r="D5124" s="1"/>
    </row>
    <row r="5125" spans="4:4">
      <c r="D5125" s="1"/>
    </row>
    <row r="5126" spans="4:4">
      <c r="D5126" s="1"/>
    </row>
    <row r="5127" spans="4:4">
      <c r="D5127" s="1"/>
    </row>
    <row r="5128" spans="4:4">
      <c r="D5128" s="1"/>
    </row>
    <row r="5129" spans="4:4">
      <c r="D5129" s="1"/>
    </row>
    <row r="5130" spans="4:4">
      <c r="D5130" s="1"/>
    </row>
    <row r="5131" spans="4:4">
      <c r="D5131" s="1"/>
    </row>
    <row r="5132" spans="4:4">
      <c r="D5132" s="1"/>
    </row>
    <row r="5133" spans="4:4">
      <c r="D5133" s="1"/>
    </row>
    <row r="5134" spans="4:4">
      <c r="D5134" s="1"/>
    </row>
    <row r="5135" spans="4:4">
      <c r="D5135" s="1"/>
    </row>
    <row r="5136" spans="4:4">
      <c r="D5136" s="1"/>
    </row>
    <row r="5137" spans="4:4">
      <c r="D5137" s="1"/>
    </row>
    <row r="5138" spans="4:4">
      <c r="D5138" s="1"/>
    </row>
    <row r="5139" spans="4:4">
      <c r="D5139" s="1"/>
    </row>
    <row r="5140" spans="4:4">
      <c r="D5140" s="1"/>
    </row>
    <row r="5141" spans="4:4">
      <c r="D5141" s="1"/>
    </row>
    <row r="5142" spans="4:4">
      <c r="D5142" s="1"/>
    </row>
    <row r="5143" spans="4:4">
      <c r="D5143" s="1"/>
    </row>
    <row r="5144" spans="4:4">
      <c r="D5144" s="1"/>
    </row>
    <row r="5145" spans="4:4">
      <c r="D5145" s="1"/>
    </row>
    <row r="5146" spans="4:4">
      <c r="D5146" s="1"/>
    </row>
    <row r="5147" spans="4:4">
      <c r="D5147" s="1"/>
    </row>
    <row r="5148" spans="4:4">
      <c r="D5148" s="1"/>
    </row>
    <row r="5149" spans="4:4">
      <c r="D5149" s="1"/>
    </row>
    <row r="5150" spans="4:4">
      <c r="D5150" s="1"/>
    </row>
    <row r="5151" spans="4:4">
      <c r="D5151" s="1"/>
    </row>
    <row r="5152" spans="4:4">
      <c r="D5152" s="1"/>
    </row>
    <row r="5153" spans="4:4">
      <c r="D5153" s="1"/>
    </row>
    <row r="5154" spans="4:4">
      <c r="D5154" s="1"/>
    </row>
    <row r="5155" spans="4:4">
      <c r="D5155" s="1"/>
    </row>
    <row r="5156" spans="4:4">
      <c r="D5156" s="1"/>
    </row>
    <row r="5157" spans="4:4">
      <c r="D5157" s="1"/>
    </row>
    <row r="5158" spans="4:4">
      <c r="D5158" s="1"/>
    </row>
    <row r="5159" spans="4:4">
      <c r="D5159" s="1"/>
    </row>
    <row r="5160" spans="4:4">
      <c r="D5160" s="1"/>
    </row>
    <row r="5161" spans="4:4">
      <c r="D5161" s="1"/>
    </row>
    <row r="5162" spans="4:4">
      <c r="D5162" s="1"/>
    </row>
    <row r="5163" spans="4:4">
      <c r="D5163" s="1"/>
    </row>
    <row r="5164" spans="4:4">
      <c r="D5164" s="1"/>
    </row>
    <row r="5165" spans="4:4">
      <c r="D5165" s="1"/>
    </row>
    <row r="5166" spans="4:4">
      <c r="D5166" s="1"/>
    </row>
    <row r="5167" spans="4:4">
      <c r="D5167" s="1"/>
    </row>
    <row r="5168" spans="4:4">
      <c r="D5168" s="1"/>
    </row>
    <row r="5169" spans="4:4">
      <c r="D5169" s="1"/>
    </row>
    <row r="5170" spans="4:4">
      <c r="D5170" s="1"/>
    </row>
    <row r="5171" spans="4:4">
      <c r="D5171" s="1"/>
    </row>
    <row r="5172" spans="4:4">
      <c r="D5172" s="1"/>
    </row>
    <row r="5173" spans="4:4">
      <c r="D5173" s="1"/>
    </row>
    <row r="5174" spans="4:4">
      <c r="D5174" s="1"/>
    </row>
    <row r="5175" spans="4:4">
      <c r="D5175" s="1"/>
    </row>
    <row r="5176" spans="4:4">
      <c r="D5176" s="1"/>
    </row>
    <row r="5177" spans="4:4">
      <c r="D5177" s="1"/>
    </row>
    <row r="5178" spans="4:4">
      <c r="D5178" s="1"/>
    </row>
    <row r="5179" spans="4:4">
      <c r="D5179" s="1"/>
    </row>
    <row r="5180" spans="4:4">
      <c r="D5180" s="1"/>
    </row>
    <row r="5181" spans="4:4">
      <c r="D5181" s="1"/>
    </row>
    <row r="5182" spans="4:4">
      <c r="D5182" s="1"/>
    </row>
    <row r="5183" spans="4:4">
      <c r="D5183" s="1"/>
    </row>
    <row r="5184" spans="4:4">
      <c r="D5184" s="1"/>
    </row>
    <row r="5185" spans="4:4">
      <c r="D5185" s="1"/>
    </row>
    <row r="5186" spans="4:4">
      <c r="D5186" s="1"/>
    </row>
    <row r="5187" spans="4:4">
      <c r="D5187" s="1"/>
    </row>
    <row r="5188" spans="4:4">
      <c r="D5188" s="1"/>
    </row>
    <row r="5189" spans="4:4">
      <c r="D5189" s="1"/>
    </row>
    <row r="5190" spans="4:4">
      <c r="D5190" s="1"/>
    </row>
    <row r="5191" spans="4:4">
      <c r="D5191" s="1"/>
    </row>
    <row r="5192" spans="4:4">
      <c r="D5192" s="1"/>
    </row>
    <row r="5193" spans="4:4">
      <c r="D5193" s="1"/>
    </row>
    <row r="5194" spans="4:4">
      <c r="D5194" s="1"/>
    </row>
    <row r="5195" spans="4:4">
      <c r="D5195" s="1"/>
    </row>
    <row r="5196" spans="4:4">
      <c r="D5196" s="1"/>
    </row>
    <row r="5197" spans="4:4">
      <c r="D5197" s="1"/>
    </row>
    <row r="5198" spans="4:4">
      <c r="D5198" s="1"/>
    </row>
    <row r="5199" spans="4:4">
      <c r="D5199" s="1"/>
    </row>
    <row r="5200" spans="4:4">
      <c r="D5200" s="1"/>
    </row>
    <row r="5201" spans="4:4">
      <c r="D5201" s="1"/>
    </row>
    <row r="5202" spans="4:4">
      <c r="D5202" s="1"/>
    </row>
    <row r="5203" spans="4:4">
      <c r="D5203" s="1"/>
    </row>
    <row r="5204" spans="4:4">
      <c r="D5204" s="1"/>
    </row>
    <row r="5205" spans="4:4">
      <c r="D5205" s="1"/>
    </row>
    <row r="5206" spans="4:4">
      <c r="D5206" s="1"/>
    </row>
    <row r="5207" spans="4:4">
      <c r="D5207" s="1"/>
    </row>
    <row r="5208" spans="4:4">
      <c r="D5208" s="1"/>
    </row>
    <row r="5209" spans="4:4">
      <c r="D5209" s="1"/>
    </row>
    <row r="5210" spans="4:4">
      <c r="D5210" s="1"/>
    </row>
    <row r="5211" spans="4:4">
      <c r="D5211" s="1"/>
    </row>
    <row r="5212" spans="4:4">
      <c r="D5212" s="1"/>
    </row>
    <row r="5213" spans="4:4">
      <c r="D5213" s="1"/>
    </row>
    <row r="5214" spans="4:4">
      <c r="D5214" s="1"/>
    </row>
    <row r="5215" spans="4:4">
      <c r="D5215" s="1"/>
    </row>
    <row r="5216" spans="4:4">
      <c r="D5216" s="1"/>
    </row>
    <row r="5217" spans="4:4">
      <c r="D5217" s="1"/>
    </row>
    <row r="5218" spans="4:4">
      <c r="D5218" s="1"/>
    </row>
    <row r="5219" spans="4:4">
      <c r="D5219" s="1"/>
    </row>
    <row r="5220" spans="4:4">
      <c r="D5220" s="1"/>
    </row>
    <row r="5221" spans="4:4">
      <c r="D5221" s="1"/>
    </row>
    <row r="5222" spans="4:4">
      <c r="D5222" s="1"/>
    </row>
    <row r="5223" spans="4:4">
      <c r="D5223" s="1"/>
    </row>
    <row r="5224" spans="4:4">
      <c r="D5224" s="1"/>
    </row>
    <row r="5225" spans="4:4">
      <c r="D5225" s="1"/>
    </row>
    <row r="5226" spans="4:4">
      <c r="D5226" s="1"/>
    </row>
    <row r="5227" spans="4:4">
      <c r="D5227" s="1"/>
    </row>
    <row r="5228" spans="4:4">
      <c r="D5228" s="1"/>
    </row>
    <row r="5229" spans="4:4">
      <c r="D5229" s="1"/>
    </row>
    <row r="5230" spans="4:4">
      <c r="D5230" s="1"/>
    </row>
    <row r="5231" spans="4:4">
      <c r="D5231" s="1"/>
    </row>
    <row r="5232" spans="4:4">
      <c r="D5232" s="1"/>
    </row>
    <row r="5233" spans="4:4">
      <c r="D5233" s="1"/>
    </row>
    <row r="5234" spans="4:4">
      <c r="D5234" s="1"/>
    </row>
    <row r="5235" spans="4:4">
      <c r="D5235" s="1"/>
    </row>
    <row r="5236" spans="4:4">
      <c r="D5236" s="1"/>
    </row>
    <row r="5237" spans="4:4">
      <c r="D5237" s="1"/>
    </row>
    <row r="5238" spans="4:4">
      <c r="D5238" s="1"/>
    </row>
    <row r="5239" spans="4:4">
      <c r="D5239" s="1"/>
    </row>
    <row r="5240" spans="4:4">
      <c r="D5240" s="1"/>
    </row>
    <row r="5241" spans="4:4">
      <c r="D5241" s="1"/>
    </row>
    <row r="5242" spans="4:4">
      <c r="D5242" s="1"/>
    </row>
    <row r="5243" spans="4:4">
      <c r="D5243" s="1"/>
    </row>
    <row r="5244" spans="4:4">
      <c r="D5244" s="1"/>
    </row>
    <row r="5245" spans="4:4">
      <c r="D5245" s="1"/>
    </row>
    <row r="5246" spans="4:4">
      <c r="D5246" s="1"/>
    </row>
    <row r="5247" spans="4:4">
      <c r="D5247" s="1"/>
    </row>
    <row r="5248" spans="4:4">
      <c r="D5248" s="1"/>
    </row>
    <row r="5249" spans="4:4">
      <c r="D5249" s="1"/>
    </row>
    <row r="5250" spans="4:4">
      <c r="D5250" s="1"/>
    </row>
    <row r="5251" spans="4:4">
      <c r="D5251" s="1"/>
    </row>
    <row r="5252" spans="4:4">
      <c r="D5252" s="1"/>
    </row>
    <row r="5253" spans="4:4">
      <c r="D5253" s="1"/>
    </row>
    <row r="5254" spans="4:4">
      <c r="D5254" s="1"/>
    </row>
    <row r="5255" spans="4:4">
      <c r="D5255" s="1"/>
    </row>
    <row r="5256" spans="4:4">
      <c r="D5256" s="1"/>
    </row>
    <row r="5257" spans="4:4">
      <c r="D5257" s="1"/>
    </row>
    <row r="5258" spans="4:4">
      <c r="D5258" s="1"/>
    </row>
    <row r="5259" spans="4:4">
      <c r="D5259" s="1"/>
    </row>
    <row r="5260" spans="4:4">
      <c r="D5260" s="1"/>
    </row>
    <row r="5261" spans="4:4">
      <c r="D5261" s="1"/>
    </row>
    <row r="5262" spans="4:4">
      <c r="D5262" s="1"/>
    </row>
    <row r="5263" spans="4:4">
      <c r="D5263" s="1"/>
    </row>
    <row r="5264" spans="4:4">
      <c r="D5264" s="1"/>
    </row>
    <row r="5265" spans="4:4">
      <c r="D5265" s="1"/>
    </row>
    <row r="5266" spans="4:4">
      <c r="D5266" s="1"/>
    </row>
    <row r="5267" spans="4:4">
      <c r="D5267" s="1"/>
    </row>
    <row r="5268" spans="4:4">
      <c r="D5268" s="1"/>
    </row>
    <row r="5269" spans="4:4">
      <c r="D5269" s="1"/>
    </row>
    <row r="5270" spans="4:4">
      <c r="D5270" s="1"/>
    </row>
    <row r="5271" spans="4:4">
      <c r="D5271" s="1"/>
    </row>
    <row r="5272" spans="4:4">
      <c r="D5272" s="1"/>
    </row>
    <row r="5273" spans="4:4">
      <c r="D5273" s="1"/>
    </row>
    <row r="5274" spans="4:4">
      <c r="D5274" s="1"/>
    </row>
    <row r="5275" spans="4:4">
      <c r="D5275" s="1"/>
    </row>
    <row r="5276" spans="4:4">
      <c r="D5276" s="1"/>
    </row>
    <row r="5277" spans="4:4">
      <c r="D5277" s="1"/>
    </row>
    <row r="5278" spans="4:4">
      <c r="D5278" s="1"/>
    </row>
    <row r="5279" spans="4:4">
      <c r="D5279" s="1"/>
    </row>
    <row r="5280" spans="4:4">
      <c r="D5280" s="1"/>
    </row>
    <row r="5281" spans="4:4">
      <c r="D5281" s="1"/>
    </row>
    <row r="5282" spans="4:4">
      <c r="D5282" s="1"/>
    </row>
    <row r="5283" spans="4:4">
      <c r="D5283" s="1"/>
    </row>
    <row r="5284" spans="4:4">
      <c r="D5284" s="1"/>
    </row>
    <row r="5285" spans="4:4">
      <c r="D5285" s="1"/>
    </row>
    <row r="5286" spans="4:4">
      <c r="D5286" s="1"/>
    </row>
    <row r="5287" spans="4:4">
      <c r="D5287" s="1"/>
    </row>
    <row r="5288" spans="4:4">
      <c r="D5288" s="1"/>
    </row>
    <row r="5289" spans="4:4">
      <c r="D5289" s="1"/>
    </row>
    <row r="5290" spans="4:4">
      <c r="D5290" s="1"/>
    </row>
    <row r="5291" spans="4:4">
      <c r="D5291" s="1"/>
    </row>
    <row r="5292" spans="4:4">
      <c r="D5292" s="1"/>
    </row>
    <row r="5293" spans="4:4">
      <c r="D5293" s="1"/>
    </row>
    <row r="5294" spans="4:4">
      <c r="D5294" s="1"/>
    </row>
    <row r="5295" spans="4:4">
      <c r="D5295" s="1"/>
    </row>
    <row r="5296" spans="4:4">
      <c r="D5296" s="1"/>
    </row>
    <row r="5297" spans="4:4">
      <c r="D5297" s="1"/>
    </row>
    <row r="5298" spans="4:4">
      <c r="D5298" s="1"/>
    </row>
    <row r="5299" spans="4:4">
      <c r="D5299" s="1"/>
    </row>
    <row r="5300" spans="4:4">
      <c r="D5300" s="1"/>
    </row>
    <row r="5301" spans="4:4">
      <c r="D5301" s="1"/>
    </row>
    <row r="5302" spans="4:4">
      <c r="D5302" s="1"/>
    </row>
    <row r="5303" spans="4:4">
      <c r="D5303" s="1"/>
    </row>
    <row r="5304" spans="4:4">
      <c r="D5304" s="1"/>
    </row>
    <row r="5305" spans="4:4">
      <c r="D5305" s="1"/>
    </row>
    <row r="5306" spans="4:4">
      <c r="D5306" s="1"/>
    </row>
    <row r="5307" spans="4:4">
      <c r="D5307" s="1"/>
    </row>
    <row r="5308" spans="4:4">
      <c r="D5308" s="1"/>
    </row>
    <row r="5309" spans="4:4">
      <c r="D5309" s="1"/>
    </row>
    <row r="5310" spans="4:4">
      <c r="D5310" s="1"/>
    </row>
    <row r="5311" spans="4:4">
      <c r="D5311" s="1"/>
    </row>
    <row r="5312" spans="4:4">
      <c r="D5312" s="1"/>
    </row>
    <row r="5313" spans="4:4">
      <c r="D5313" s="1"/>
    </row>
    <row r="5314" spans="4:4">
      <c r="D5314" s="1"/>
    </row>
    <row r="5315" spans="4:4">
      <c r="D5315" s="1"/>
    </row>
    <row r="5316" spans="4:4">
      <c r="D5316" s="1"/>
    </row>
    <row r="5317" spans="4:4">
      <c r="D5317" s="1"/>
    </row>
    <row r="5318" spans="4:4">
      <c r="D5318" s="1"/>
    </row>
    <row r="5319" spans="4:4">
      <c r="D5319" s="1"/>
    </row>
    <row r="5320" spans="4:4">
      <c r="D5320" s="1"/>
    </row>
    <row r="5321" spans="4:4">
      <c r="D5321" s="1"/>
    </row>
    <row r="5322" spans="4:4">
      <c r="D5322" s="1"/>
    </row>
    <row r="5323" spans="4:4">
      <c r="D5323" s="1"/>
    </row>
    <row r="5324" spans="4:4">
      <c r="D5324" s="1"/>
    </row>
    <row r="5325" spans="4:4">
      <c r="D5325" s="1"/>
    </row>
    <row r="5326" spans="4:4">
      <c r="D5326" s="1"/>
    </row>
    <row r="5327" spans="4:4">
      <c r="D5327" s="1"/>
    </row>
    <row r="5328" spans="4:4">
      <c r="D5328" s="1"/>
    </row>
    <row r="5329" spans="4:4">
      <c r="D5329" s="1"/>
    </row>
    <row r="5330" spans="4:4">
      <c r="D5330" s="1"/>
    </row>
    <row r="5331" spans="4:4">
      <c r="D5331" s="1"/>
    </row>
    <row r="5332" spans="4:4">
      <c r="D5332" s="1"/>
    </row>
    <row r="5333" spans="4:4">
      <c r="D5333" s="1"/>
    </row>
    <row r="5334" spans="4:4">
      <c r="D5334" s="1"/>
    </row>
    <row r="5335" spans="4:4">
      <c r="D5335" s="1"/>
    </row>
    <row r="5336" spans="4:4">
      <c r="D5336" s="1"/>
    </row>
    <row r="5337" spans="4:4">
      <c r="D5337" s="1"/>
    </row>
    <row r="5338" spans="4:4">
      <c r="D5338" s="1"/>
    </row>
    <row r="5339" spans="4:4">
      <c r="D5339" s="1"/>
    </row>
    <row r="5340" spans="4:4">
      <c r="D5340" s="1"/>
    </row>
    <row r="5341" spans="4:4">
      <c r="D5341" s="1"/>
    </row>
    <row r="5342" spans="4:4">
      <c r="D5342" s="1"/>
    </row>
    <row r="5343" spans="4:4">
      <c r="D5343" s="1"/>
    </row>
    <row r="5344" spans="4:4">
      <c r="D5344" s="1"/>
    </row>
    <row r="5345" spans="4:4">
      <c r="D5345" s="1"/>
    </row>
    <row r="5346" spans="4:4">
      <c r="D5346" s="1"/>
    </row>
    <row r="5347" spans="4:4">
      <c r="D5347" s="1"/>
    </row>
    <row r="5348" spans="4:4">
      <c r="D5348" s="1"/>
    </row>
    <row r="5349" spans="4:4">
      <c r="D5349" s="1"/>
    </row>
    <row r="5350" spans="4:4">
      <c r="D5350" s="1"/>
    </row>
    <row r="5351" spans="4:4">
      <c r="D5351" s="1"/>
    </row>
    <row r="5352" spans="4:4">
      <c r="D5352" s="1"/>
    </row>
    <row r="5353" spans="4:4">
      <c r="D5353" s="1"/>
    </row>
    <row r="5354" spans="4:4">
      <c r="D5354" s="1"/>
    </row>
    <row r="5355" spans="4:4">
      <c r="D5355" s="1"/>
    </row>
    <row r="5356" spans="4:4">
      <c r="D5356" s="1"/>
    </row>
    <row r="5357" spans="4:4">
      <c r="D5357" s="1"/>
    </row>
    <row r="5358" spans="4:4">
      <c r="D5358" s="1"/>
    </row>
    <row r="5359" spans="4:4">
      <c r="D5359" s="1"/>
    </row>
    <row r="5360" spans="4:4">
      <c r="D5360" s="1"/>
    </row>
    <row r="5361" spans="4:4">
      <c r="D5361" s="1"/>
    </row>
    <row r="5362" spans="4:4">
      <c r="D5362" s="1"/>
    </row>
    <row r="5363" spans="4:4">
      <c r="D5363" s="1"/>
    </row>
    <row r="5364" spans="4:4">
      <c r="D5364" s="1"/>
    </row>
    <row r="5365" spans="4:4">
      <c r="D5365" s="1"/>
    </row>
    <row r="5366" spans="4:4">
      <c r="D5366" s="1"/>
    </row>
    <row r="5367" spans="4:4">
      <c r="D5367" s="1"/>
    </row>
    <row r="5368" spans="4:4">
      <c r="D5368" s="1"/>
    </row>
    <row r="5369" spans="4:4">
      <c r="D5369" s="1"/>
    </row>
    <row r="5370" spans="4:4">
      <c r="D5370" s="1"/>
    </row>
    <row r="5371" spans="4:4">
      <c r="D5371" s="1"/>
    </row>
    <row r="5372" spans="4:4">
      <c r="D5372" s="1"/>
    </row>
    <row r="5373" spans="4:4">
      <c r="D5373" s="1"/>
    </row>
    <row r="5374" spans="4:4">
      <c r="D5374" s="1"/>
    </row>
    <row r="5375" spans="4:4">
      <c r="D5375" s="1"/>
    </row>
    <row r="5376" spans="4:4">
      <c r="D5376" s="1"/>
    </row>
    <row r="5377" spans="4:4">
      <c r="D5377" s="1"/>
    </row>
    <row r="5378" spans="4:4">
      <c r="D5378" s="1"/>
    </row>
    <row r="5379" spans="4:4">
      <c r="D5379" s="1"/>
    </row>
    <row r="5380" spans="4:4">
      <c r="D5380" s="1"/>
    </row>
    <row r="5381" spans="4:4">
      <c r="D5381" s="1"/>
    </row>
    <row r="5382" spans="4:4">
      <c r="D5382" s="1"/>
    </row>
    <row r="5383" spans="4:4">
      <c r="D5383" s="1"/>
    </row>
    <row r="5384" spans="4:4">
      <c r="D5384" s="1"/>
    </row>
    <row r="5385" spans="4:4">
      <c r="D5385" s="1"/>
    </row>
    <row r="5386" spans="4:4">
      <c r="D5386" s="1"/>
    </row>
    <row r="5387" spans="4:4">
      <c r="D5387" s="1"/>
    </row>
    <row r="5388" spans="4:4">
      <c r="D5388" s="1"/>
    </row>
    <row r="5389" spans="4:4">
      <c r="D5389" s="1"/>
    </row>
    <row r="5390" spans="4:4">
      <c r="D5390" s="1"/>
    </row>
    <row r="5391" spans="4:4">
      <c r="D5391" s="1"/>
    </row>
    <row r="5392" spans="4:4">
      <c r="D5392" s="1"/>
    </row>
    <row r="5393" spans="4:4">
      <c r="D5393" s="1"/>
    </row>
    <row r="5394" spans="4:4">
      <c r="D5394" s="1"/>
    </row>
    <row r="5395" spans="4:4">
      <c r="D5395" s="1"/>
    </row>
    <row r="5396" spans="4:4">
      <c r="D5396" s="1"/>
    </row>
    <row r="5397" spans="4:4">
      <c r="D5397" s="1"/>
    </row>
    <row r="5398" spans="4:4">
      <c r="D5398" s="1"/>
    </row>
    <row r="5399" spans="4:4">
      <c r="D5399" s="1"/>
    </row>
    <row r="5400" spans="4:4">
      <c r="D5400" s="1"/>
    </row>
    <row r="5401" spans="4:4">
      <c r="D5401" s="1"/>
    </row>
    <row r="5402" spans="4:4">
      <c r="D5402" s="1"/>
    </row>
    <row r="5403" spans="4:4">
      <c r="D5403" s="1"/>
    </row>
    <row r="5404" spans="4:4">
      <c r="D5404" s="1"/>
    </row>
    <row r="5405" spans="4:4">
      <c r="D5405" s="1"/>
    </row>
    <row r="5406" spans="4:4">
      <c r="D5406" s="1"/>
    </row>
    <row r="5407" spans="4:4">
      <c r="D5407" s="1"/>
    </row>
    <row r="5408" spans="4:4">
      <c r="D5408" s="1"/>
    </row>
    <row r="5409" spans="4:4">
      <c r="D5409" s="1"/>
    </row>
    <row r="5410" spans="4:4">
      <c r="D5410" s="1"/>
    </row>
    <row r="5411" spans="4:4">
      <c r="D5411" s="1"/>
    </row>
    <row r="5412" spans="4:4">
      <c r="D5412" s="1"/>
    </row>
    <row r="5413" spans="4:4">
      <c r="D5413" s="1"/>
    </row>
    <row r="5414" spans="4:4">
      <c r="D5414" s="1"/>
    </row>
    <row r="5415" spans="4:4">
      <c r="D5415" s="1"/>
    </row>
    <row r="5416" spans="4:4">
      <c r="D5416" s="1"/>
    </row>
    <row r="5417" spans="4:4">
      <c r="D5417" s="1"/>
    </row>
    <row r="5418" spans="4:4">
      <c r="D5418" s="1"/>
    </row>
    <row r="5419" spans="4:4">
      <c r="D5419" s="1"/>
    </row>
    <row r="5420" spans="4:4">
      <c r="D5420" s="1"/>
    </row>
    <row r="5421" spans="4:4">
      <c r="D5421" s="1"/>
    </row>
    <row r="5422" spans="4:4">
      <c r="D5422" s="1"/>
    </row>
    <row r="5423" spans="4:4">
      <c r="D5423" s="1"/>
    </row>
    <row r="5424" spans="4:4">
      <c r="D5424" s="1"/>
    </row>
    <row r="5425" spans="4:4">
      <c r="D5425" s="1"/>
    </row>
    <row r="5426" spans="4:4">
      <c r="D5426" s="1"/>
    </row>
    <row r="5427" spans="4:4">
      <c r="D5427" s="1"/>
    </row>
    <row r="5428" spans="4:4">
      <c r="D5428" s="1"/>
    </row>
    <row r="5429" spans="4:4">
      <c r="D5429" s="1"/>
    </row>
    <row r="5430" spans="4:4">
      <c r="D5430" s="1"/>
    </row>
    <row r="5431" spans="4:4">
      <c r="D5431" s="1"/>
    </row>
    <row r="5432" spans="4:4">
      <c r="D5432" s="1"/>
    </row>
    <row r="5433" spans="4:4">
      <c r="D5433" s="1"/>
    </row>
    <row r="5434" spans="4:4">
      <c r="D5434" s="1"/>
    </row>
    <row r="5435" spans="4:4">
      <c r="D5435" s="1"/>
    </row>
    <row r="5436" spans="4:4">
      <c r="D5436" s="1"/>
    </row>
    <row r="5437" spans="4:4">
      <c r="D5437" s="1"/>
    </row>
    <row r="5438" spans="4:4">
      <c r="D5438" s="1"/>
    </row>
    <row r="5439" spans="4:4">
      <c r="D5439" s="1"/>
    </row>
    <row r="5440" spans="4:4">
      <c r="D5440" s="1"/>
    </row>
    <row r="5441" spans="4:4">
      <c r="D5441" s="1"/>
    </row>
    <row r="5442" spans="4:4">
      <c r="D5442" s="1"/>
    </row>
    <row r="5443" spans="4:4">
      <c r="D5443" s="1"/>
    </row>
    <row r="5444" spans="4:4">
      <c r="D5444" s="1"/>
    </row>
    <row r="5445" spans="4:4">
      <c r="D5445" s="1"/>
    </row>
    <row r="5446" spans="4:4">
      <c r="D5446" s="1"/>
    </row>
    <row r="5447" spans="4:4">
      <c r="D5447" s="1"/>
    </row>
    <row r="5448" spans="4:4">
      <c r="D5448" s="1"/>
    </row>
    <row r="5449" spans="4:4">
      <c r="D5449" s="1"/>
    </row>
    <row r="5450" spans="4:4">
      <c r="D5450" s="1"/>
    </row>
    <row r="5451" spans="4:4">
      <c r="D5451" s="1"/>
    </row>
    <row r="5452" spans="4:4">
      <c r="D5452" s="1"/>
    </row>
    <row r="5453" spans="4:4">
      <c r="D5453" s="1"/>
    </row>
    <row r="5454" spans="4:4">
      <c r="D5454" s="1"/>
    </row>
    <row r="5455" spans="4:4">
      <c r="D5455" s="1"/>
    </row>
    <row r="5456" spans="4:4">
      <c r="D5456" s="1"/>
    </row>
    <row r="5457" spans="4:4">
      <c r="D5457" s="1"/>
    </row>
    <row r="5458" spans="4:4">
      <c r="D5458" s="1"/>
    </row>
    <row r="5459" spans="4:4">
      <c r="D5459" s="1"/>
    </row>
    <row r="5460" spans="4:4">
      <c r="D5460" s="1"/>
    </row>
    <row r="5461" spans="4:4">
      <c r="D5461" s="1"/>
    </row>
    <row r="5462" spans="4:4">
      <c r="D5462" s="1"/>
    </row>
    <row r="5463" spans="4:4">
      <c r="D5463" s="1"/>
    </row>
    <row r="5464" spans="4:4">
      <c r="D5464" s="1"/>
    </row>
    <row r="5465" spans="4:4">
      <c r="D5465" s="1"/>
    </row>
    <row r="5466" spans="4:4">
      <c r="D5466" s="1"/>
    </row>
    <row r="5467" spans="4:4">
      <c r="D5467" s="1"/>
    </row>
    <row r="5468" spans="4:4">
      <c r="D5468" s="1"/>
    </row>
    <row r="5469" spans="4:4">
      <c r="D5469" s="1"/>
    </row>
    <row r="5470" spans="4:4">
      <c r="D5470" s="1"/>
    </row>
    <row r="5471" spans="4:4">
      <c r="D5471" s="1"/>
    </row>
    <row r="5472" spans="4:4">
      <c r="D5472" s="1"/>
    </row>
    <row r="5473" spans="4:4">
      <c r="D5473" s="1"/>
    </row>
    <row r="5474" spans="4:4">
      <c r="D5474" s="1"/>
    </row>
    <row r="5475" spans="4:4">
      <c r="D5475" s="1"/>
    </row>
    <row r="5476" spans="4:4">
      <c r="D5476" s="1"/>
    </row>
    <row r="5477" spans="4:4">
      <c r="D5477" s="1"/>
    </row>
    <row r="5478" spans="4:4">
      <c r="D5478" s="1"/>
    </row>
    <row r="5479" spans="4:4">
      <c r="D5479" s="1"/>
    </row>
    <row r="5480" spans="4:4">
      <c r="D5480" s="1"/>
    </row>
    <row r="5481" spans="4:4">
      <c r="D5481" s="1"/>
    </row>
    <row r="5482" spans="4:4">
      <c r="D5482" s="1"/>
    </row>
    <row r="5483" spans="4:4">
      <c r="D5483" s="1"/>
    </row>
    <row r="5484" spans="4:4">
      <c r="D5484" s="1"/>
    </row>
    <row r="5485" spans="4:4">
      <c r="D5485" s="1"/>
    </row>
    <row r="5486" spans="4:4">
      <c r="D5486" s="1"/>
    </row>
    <row r="5487" spans="4:4">
      <c r="D5487" s="1"/>
    </row>
    <row r="5488" spans="4:4">
      <c r="D5488" s="1"/>
    </row>
    <row r="5489" spans="4:4">
      <c r="D5489" s="1"/>
    </row>
    <row r="5490" spans="4:4">
      <c r="D5490" s="1"/>
    </row>
    <row r="5491" spans="4:4">
      <c r="D5491" s="1"/>
    </row>
    <row r="5492" spans="4:4">
      <c r="D5492" s="1"/>
    </row>
    <row r="5493" spans="4:4">
      <c r="D5493" s="1"/>
    </row>
    <row r="5494" spans="4:4">
      <c r="D5494" s="1"/>
    </row>
    <row r="5495" spans="4:4">
      <c r="D5495" s="1"/>
    </row>
    <row r="5496" spans="4:4">
      <c r="D5496" s="1"/>
    </row>
    <row r="5497" spans="4:4">
      <c r="D5497" s="1"/>
    </row>
    <row r="5498" spans="4:4">
      <c r="D5498" s="1"/>
    </row>
    <row r="5499" spans="4:4">
      <c r="D5499" s="1"/>
    </row>
    <row r="5500" spans="4:4">
      <c r="D5500" s="1"/>
    </row>
    <row r="5501" spans="4:4">
      <c r="D5501" s="1"/>
    </row>
    <row r="5502" spans="4:4">
      <c r="D5502" s="1"/>
    </row>
    <row r="5503" spans="4:4">
      <c r="D5503" s="1"/>
    </row>
    <row r="5504" spans="4:4">
      <c r="D5504" s="1"/>
    </row>
    <row r="5505" spans="4:4">
      <c r="D5505" s="1"/>
    </row>
    <row r="5506" spans="4:4">
      <c r="D5506" s="1"/>
    </row>
    <row r="5507" spans="4:4">
      <c r="D5507" s="1"/>
    </row>
    <row r="5508" spans="4:4">
      <c r="D5508" s="1"/>
    </row>
    <row r="5509" spans="4:4">
      <c r="D5509" s="1"/>
    </row>
    <row r="5510" spans="4:4">
      <c r="D5510" s="1"/>
    </row>
    <row r="5511" spans="4:4">
      <c r="D5511" s="1"/>
    </row>
    <row r="5512" spans="4:4">
      <c r="D5512" s="1"/>
    </row>
    <row r="5513" spans="4:4">
      <c r="D5513" s="1"/>
    </row>
    <row r="5514" spans="4:4">
      <c r="D5514" s="1"/>
    </row>
    <row r="5515" spans="4:4">
      <c r="D5515" s="1"/>
    </row>
    <row r="5516" spans="4:4">
      <c r="D5516" s="1"/>
    </row>
    <row r="5517" spans="4:4">
      <c r="D5517" s="1"/>
    </row>
    <row r="5518" spans="4:4">
      <c r="D5518" s="1"/>
    </row>
    <row r="5519" spans="4:4">
      <c r="D5519" s="1"/>
    </row>
    <row r="5520" spans="4:4">
      <c r="D5520" s="1"/>
    </row>
    <row r="5521" spans="4:4">
      <c r="D5521" s="1"/>
    </row>
    <row r="5522" spans="4:4">
      <c r="D5522" s="1"/>
    </row>
    <row r="5523" spans="4:4">
      <c r="D5523" s="1"/>
    </row>
    <row r="5524" spans="4:4">
      <c r="D5524" s="1"/>
    </row>
    <row r="5525" spans="4:4">
      <c r="D5525" s="1"/>
    </row>
    <row r="5526" spans="4:4">
      <c r="D5526" s="1"/>
    </row>
    <row r="5527" spans="4:4">
      <c r="D5527" s="1"/>
    </row>
    <row r="5528" spans="4:4">
      <c r="D5528" s="1"/>
    </row>
    <row r="5529" spans="4:4">
      <c r="D5529" s="1"/>
    </row>
    <row r="5530" spans="4:4">
      <c r="D5530" s="1"/>
    </row>
    <row r="5531" spans="4:4">
      <c r="D5531" s="1"/>
    </row>
    <row r="5532" spans="4:4">
      <c r="D5532" s="1"/>
    </row>
    <row r="5533" spans="4:4">
      <c r="D5533" s="1"/>
    </row>
    <row r="5534" spans="4:4">
      <c r="D5534" s="1"/>
    </row>
    <row r="5535" spans="4:4">
      <c r="D5535" s="1"/>
    </row>
    <row r="5536" spans="4:4">
      <c r="D5536" s="1"/>
    </row>
    <row r="5537" spans="4:4">
      <c r="D5537" s="1"/>
    </row>
    <row r="5538" spans="4:4">
      <c r="D5538" s="1"/>
    </row>
    <row r="5539" spans="4:4">
      <c r="D5539" s="1"/>
    </row>
    <row r="5540" spans="4:4">
      <c r="D5540" s="1"/>
    </row>
    <row r="5541" spans="4:4">
      <c r="D5541" s="1"/>
    </row>
    <row r="5542" spans="4:4">
      <c r="D5542" s="1"/>
    </row>
    <row r="5543" spans="4:4">
      <c r="D5543" s="1"/>
    </row>
    <row r="5544" spans="4:4">
      <c r="D5544" s="1"/>
    </row>
    <row r="5545" spans="4:4">
      <c r="D5545" s="1"/>
    </row>
    <row r="5546" spans="4:4">
      <c r="D5546" s="1"/>
    </row>
    <row r="5547" spans="4:4">
      <c r="D5547" s="1"/>
    </row>
    <row r="5548" spans="4:4">
      <c r="D5548" s="1"/>
    </row>
    <row r="5549" spans="4:4">
      <c r="D5549" s="1"/>
    </row>
    <row r="5550" spans="4:4">
      <c r="D5550" s="1"/>
    </row>
    <row r="5551" spans="4:4">
      <c r="D5551" s="1"/>
    </row>
    <row r="5552" spans="4:4">
      <c r="D5552" s="1"/>
    </row>
    <row r="5553" spans="4:4">
      <c r="D5553" s="1"/>
    </row>
    <row r="5554" spans="4:4">
      <c r="D5554" s="1"/>
    </row>
    <row r="5555" spans="4:4">
      <c r="D5555" s="1"/>
    </row>
    <row r="5556" spans="4:4">
      <c r="D5556" s="1"/>
    </row>
    <row r="5557" spans="4:4">
      <c r="D5557" s="1"/>
    </row>
    <row r="5558" spans="4:4">
      <c r="D5558" s="1"/>
    </row>
    <row r="5559" spans="4:4">
      <c r="D5559" s="1"/>
    </row>
    <row r="5560" spans="4:4">
      <c r="D5560" s="1"/>
    </row>
    <row r="5561" spans="4:4">
      <c r="D5561" s="1"/>
    </row>
    <row r="5562" spans="4:4">
      <c r="D5562" s="1"/>
    </row>
    <row r="5563" spans="4:4">
      <c r="D5563" s="1"/>
    </row>
    <row r="5564" spans="4:4">
      <c r="D5564" s="1"/>
    </row>
    <row r="5565" spans="4:4">
      <c r="D5565" s="1"/>
    </row>
    <row r="5566" spans="4:4">
      <c r="D5566" s="1"/>
    </row>
    <row r="5567" spans="4:4">
      <c r="D5567" s="1"/>
    </row>
    <row r="5568" spans="4:4">
      <c r="D5568" s="1"/>
    </row>
    <row r="5569" spans="4:4">
      <c r="D5569" s="1"/>
    </row>
    <row r="5570" spans="4:4">
      <c r="D5570" s="1"/>
    </row>
    <row r="5571" spans="4:4">
      <c r="D5571" s="1"/>
    </row>
    <row r="5572" spans="4:4">
      <c r="D5572" s="1"/>
    </row>
    <row r="5573" spans="4:4">
      <c r="D5573" s="1"/>
    </row>
    <row r="5574" spans="4:4">
      <c r="D5574" s="1"/>
    </row>
    <row r="5575" spans="4:4">
      <c r="D5575" s="1"/>
    </row>
    <row r="5576" spans="4:4">
      <c r="D5576" s="1"/>
    </row>
    <row r="5577" spans="4:4">
      <c r="D5577" s="1"/>
    </row>
    <row r="5578" spans="4:4">
      <c r="D5578" s="1"/>
    </row>
    <row r="5579" spans="4:4">
      <c r="D5579" s="1"/>
    </row>
    <row r="5580" spans="4:4">
      <c r="D5580" s="1"/>
    </row>
    <row r="5581" spans="4:4">
      <c r="D5581" s="1"/>
    </row>
    <row r="5582" spans="4:4">
      <c r="D5582" s="1"/>
    </row>
    <row r="5583" spans="4:4">
      <c r="D5583" s="1"/>
    </row>
    <row r="5584" spans="4:4">
      <c r="D5584" s="1"/>
    </row>
    <row r="5585" spans="4:4">
      <c r="D5585" s="1"/>
    </row>
    <row r="5586" spans="4:4">
      <c r="D5586" s="1"/>
    </row>
    <row r="5587" spans="4:4">
      <c r="D5587" s="1"/>
    </row>
    <row r="5588" spans="4:4">
      <c r="D5588" s="1"/>
    </row>
    <row r="5589" spans="4:4">
      <c r="D5589" s="1"/>
    </row>
    <row r="5590" spans="4:4">
      <c r="D5590" s="1"/>
    </row>
    <row r="5591" spans="4:4">
      <c r="D5591" s="1"/>
    </row>
    <row r="5592" spans="4:4">
      <c r="D5592" s="1"/>
    </row>
    <row r="5593" spans="4:4">
      <c r="D5593" s="1"/>
    </row>
    <row r="5594" spans="4:4">
      <c r="D5594" s="1"/>
    </row>
    <row r="5595" spans="4:4">
      <c r="D5595" s="1"/>
    </row>
    <row r="5596" spans="4:4">
      <c r="D5596" s="1"/>
    </row>
    <row r="5597" spans="4:4">
      <c r="D5597" s="1"/>
    </row>
    <row r="5598" spans="4:4">
      <c r="D5598" s="1"/>
    </row>
    <row r="5599" spans="4:4">
      <c r="D5599" s="1"/>
    </row>
    <row r="5600" spans="4:4">
      <c r="D5600" s="1"/>
    </row>
    <row r="5601" spans="4:4">
      <c r="D5601" s="1"/>
    </row>
    <row r="5602" spans="4:4">
      <c r="D5602" s="1"/>
    </row>
    <row r="5603" spans="4:4">
      <c r="D5603" s="1"/>
    </row>
    <row r="5604" spans="4:4">
      <c r="D5604" s="1"/>
    </row>
    <row r="5605" spans="4:4">
      <c r="D5605" s="1"/>
    </row>
    <row r="5606" spans="4:4">
      <c r="D5606" s="1"/>
    </row>
    <row r="5607" spans="4:4">
      <c r="D5607" s="1"/>
    </row>
    <row r="5608" spans="4:4">
      <c r="D5608" s="1"/>
    </row>
    <row r="5609" spans="4:4">
      <c r="D5609" s="1"/>
    </row>
    <row r="5610" spans="4:4">
      <c r="D5610" s="1"/>
    </row>
    <row r="5611" spans="4:4">
      <c r="D5611" s="1"/>
    </row>
    <row r="5612" spans="4:4">
      <c r="D5612" s="1"/>
    </row>
    <row r="5613" spans="4:4">
      <c r="D5613" s="1"/>
    </row>
    <row r="5614" spans="4:4">
      <c r="D5614" s="1"/>
    </row>
    <row r="5615" spans="4:4">
      <c r="D5615" s="1"/>
    </row>
    <row r="5616" spans="4:4">
      <c r="D5616" s="1"/>
    </row>
    <row r="5617" spans="4:4">
      <c r="D5617" s="1"/>
    </row>
    <row r="5618" spans="4:4">
      <c r="D5618" s="1"/>
    </row>
    <row r="5619" spans="4:4">
      <c r="D5619" s="1"/>
    </row>
    <row r="5620" spans="4:4">
      <c r="D5620" s="1"/>
    </row>
    <row r="5621" spans="4:4">
      <c r="D5621" s="1"/>
    </row>
    <row r="5622" spans="4:4">
      <c r="D5622" s="1"/>
    </row>
    <row r="5623" spans="4:4">
      <c r="D5623" s="1"/>
    </row>
    <row r="5624" spans="4:4">
      <c r="D5624" s="1"/>
    </row>
    <row r="5625" spans="4:4">
      <c r="D5625" s="1"/>
    </row>
    <row r="5626" spans="4:4">
      <c r="D5626" s="1"/>
    </row>
    <row r="5627" spans="4:4">
      <c r="D5627" s="1"/>
    </row>
    <row r="5628" spans="4:4">
      <c r="D5628" s="1"/>
    </row>
    <row r="5629" spans="4:4">
      <c r="D5629" s="1"/>
    </row>
    <row r="5630" spans="4:4">
      <c r="D5630" s="1"/>
    </row>
    <row r="5631" spans="4:4">
      <c r="D5631" s="1"/>
    </row>
    <row r="5632" spans="4:4">
      <c r="D5632" s="1"/>
    </row>
    <row r="5633" spans="4:4">
      <c r="D5633" s="1"/>
    </row>
    <row r="5634" spans="4:4">
      <c r="D5634" s="1"/>
    </row>
    <row r="5635" spans="4:4">
      <c r="D5635" s="1"/>
    </row>
    <row r="5636" spans="4:4">
      <c r="D5636" s="1"/>
    </row>
    <row r="5637" spans="4:4">
      <c r="D5637" s="1"/>
    </row>
    <row r="5638" spans="4:4">
      <c r="D5638" s="1"/>
    </row>
    <row r="5639" spans="4:4">
      <c r="D5639" s="1"/>
    </row>
    <row r="5640" spans="4:4">
      <c r="D5640" s="1"/>
    </row>
    <row r="5641" spans="4:4">
      <c r="D5641" s="1"/>
    </row>
    <row r="5642" spans="4:4">
      <c r="D5642" s="1"/>
    </row>
    <row r="5643" spans="4:4">
      <c r="D5643" s="1"/>
    </row>
    <row r="5644" spans="4:4">
      <c r="D5644" s="1"/>
    </row>
    <row r="5645" spans="4:4">
      <c r="D5645" s="1"/>
    </row>
    <row r="5646" spans="4:4">
      <c r="D5646" s="1"/>
    </row>
    <row r="5647" spans="4:4">
      <c r="D5647" s="1"/>
    </row>
    <row r="5648" spans="4:4">
      <c r="D5648" s="1"/>
    </row>
    <row r="5649" spans="4:4">
      <c r="D5649" s="1"/>
    </row>
    <row r="5650" spans="4:4">
      <c r="D5650" s="1"/>
    </row>
    <row r="5651" spans="4:4">
      <c r="D5651" s="1"/>
    </row>
    <row r="5652" spans="4:4">
      <c r="D5652" s="1"/>
    </row>
    <row r="5653" spans="4:4">
      <c r="D5653" s="1"/>
    </row>
    <row r="5654" spans="4:4">
      <c r="D5654" s="1"/>
    </row>
    <row r="5655" spans="4:4">
      <c r="D5655" s="1"/>
    </row>
    <row r="5656" spans="4:4">
      <c r="D5656" s="1"/>
    </row>
    <row r="5657" spans="4:4">
      <c r="D5657" s="1"/>
    </row>
    <row r="5658" spans="4:4">
      <c r="D5658" s="1"/>
    </row>
    <row r="5659" spans="4:4">
      <c r="D5659" s="1"/>
    </row>
    <row r="5660" spans="4:4">
      <c r="D5660" s="1"/>
    </row>
    <row r="5661" spans="4:4">
      <c r="D5661" s="1"/>
    </row>
    <row r="5662" spans="4:4">
      <c r="D5662" s="1"/>
    </row>
    <row r="5663" spans="4:4">
      <c r="D5663" s="1"/>
    </row>
    <row r="5664" spans="4:4">
      <c r="D5664" s="1"/>
    </row>
    <row r="5665" spans="4:4">
      <c r="D5665" s="1"/>
    </row>
    <row r="5666" spans="4:4">
      <c r="D5666" s="1"/>
    </row>
    <row r="5667" spans="4:4">
      <c r="D5667" s="1"/>
    </row>
    <row r="5668" spans="4:4">
      <c r="D5668" s="1"/>
    </row>
    <row r="5669" spans="4:4">
      <c r="D5669" s="1"/>
    </row>
    <row r="5670" spans="4:4">
      <c r="D5670" s="1"/>
    </row>
    <row r="5671" spans="4:4">
      <c r="D5671" s="1"/>
    </row>
    <row r="5672" spans="4:4">
      <c r="D5672" s="1"/>
    </row>
    <row r="5673" spans="4:4">
      <c r="D5673" s="1"/>
    </row>
    <row r="5674" spans="4:4">
      <c r="D5674" s="1"/>
    </row>
    <row r="5675" spans="4:4">
      <c r="D5675" s="1"/>
    </row>
    <row r="5676" spans="4:4">
      <c r="D5676" s="1"/>
    </row>
    <row r="5677" spans="4:4">
      <c r="D5677" s="1"/>
    </row>
    <row r="5678" spans="4:4">
      <c r="D5678" s="1"/>
    </row>
    <row r="5679" spans="4:4">
      <c r="D5679" s="1"/>
    </row>
    <row r="5680" spans="4:4">
      <c r="D5680" s="1"/>
    </row>
    <row r="5681" spans="4:4">
      <c r="D5681" s="1"/>
    </row>
    <row r="5682" spans="4:4">
      <c r="D5682" s="1"/>
    </row>
    <row r="5683" spans="4:4">
      <c r="D5683" s="1"/>
    </row>
    <row r="5684" spans="4:4">
      <c r="D5684" s="1"/>
    </row>
    <row r="5685" spans="4:4">
      <c r="D5685" s="1"/>
    </row>
    <row r="5686" spans="4:4">
      <c r="D5686" s="1"/>
    </row>
    <row r="5687" spans="4:4">
      <c r="D5687" s="1"/>
    </row>
    <row r="5688" spans="4:4">
      <c r="D5688" s="1"/>
    </row>
    <row r="5689" spans="4:4">
      <c r="D5689" s="1"/>
    </row>
    <row r="5690" spans="4:4">
      <c r="D5690" s="1"/>
    </row>
    <row r="5691" spans="4:4">
      <c r="D5691" s="1"/>
    </row>
    <row r="5692" spans="4:4">
      <c r="D5692" s="1"/>
    </row>
    <row r="5693" spans="4:4">
      <c r="D5693" s="1"/>
    </row>
    <row r="5694" spans="4:4">
      <c r="D5694" s="1"/>
    </row>
    <row r="5695" spans="4:4">
      <c r="D5695" s="1"/>
    </row>
    <row r="5696" spans="4:4">
      <c r="D5696" s="1"/>
    </row>
    <row r="5697" spans="4:4">
      <c r="D5697" s="1"/>
    </row>
    <row r="5698" spans="4:4">
      <c r="D5698" s="1"/>
    </row>
    <row r="5699" spans="4:4">
      <c r="D5699" s="1"/>
    </row>
    <row r="5700" spans="4:4">
      <c r="D5700" s="1"/>
    </row>
    <row r="5701" spans="4:4">
      <c r="D5701" s="1"/>
    </row>
    <row r="5702" spans="4:4">
      <c r="D5702" s="1"/>
    </row>
    <row r="5703" spans="4:4">
      <c r="D5703" s="1"/>
    </row>
    <row r="5704" spans="4:4">
      <c r="D5704" s="1"/>
    </row>
    <row r="5705" spans="4:4">
      <c r="D5705" s="1"/>
    </row>
    <row r="5706" spans="4:4">
      <c r="D5706" s="1"/>
    </row>
    <row r="5707" spans="4:4">
      <c r="D5707" s="1"/>
    </row>
    <row r="5708" spans="4:4">
      <c r="D5708" s="1"/>
    </row>
    <row r="5709" spans="4:4">
      <c r="D5709" s="1"/>
    </row>
    <row r="5710" spans="4:4">
      <c r="D5710" s="1"/>
    </row>
    <row r="5711" spans="4:4">
      <c r="D5711" s="1"/>
    </row>
    <row r="5712" spans="4:4">
      <c r="D5712" s="1"/>
    </row>
    <row r="5713" spans="4:4">
      <c r="D5713" s="1"/>
    </row>
    <row r="5714" spans="4:4">
      <c r="D5714" s="1"/>
    </row>
    <row r="5715" spans="4:4">
      <c r="D5715" s="1"/>
    </row>
    <row r="5716" spans="4:4">
      <c r="D5716" s="1"/>
    </row>
    <row r="5717" spans="4:4">
      <c r="D5717" s="1"/>
    </row>
    <row r="5718" spans="4:4">
      <c r="D5718" s="1"/>
    </row>
    <row r="5719" spans="4:4">
      <c r="D5719" s="1"/>
    </row>
    <row r="5720" spans="4:4">
      <c r="D5720" s="1"/>
    </row>
    <row r="5721" spans="4:4">
      <c r="D5721" s="1"/>
    </row>
    <row r="5722" spans="4:4">
      <c r="D5722" s="1"/>
    </row>
    <row r="5723" spans="4:4">
      <c r="D5723" s="1"/>
    </row>
    <row r="5724" spans="4:4">
      <c r="D5724" s="1"/>
    </row>
    <row r="5725" spans="4:4">
      <c r="D5725" s="1"/>
    </row>
    <row r="5726" spans="4:4">
      <c r="D5726" s="1"/>
    </row>
    <row r="5727" spans="4:4">
      <c r="D5727" s="1"/>
    </row>
    <row r="5728" spans="4:4">
      <c r="D5728" s="1"/>
    </row>
    <row r="5729" spans="4:4">
      <c r="D5729" s="1"/>
    </row>
    <row r="5730" spans="4:4">
      <c r="D5730" s="1"/>
    </row>
    <row r="5731" spans="4:4">
      <c r="D5731" s="1"/>
    </row>
    <row r="5732" spans="4:4">
      <c r="D5732" s="1"/>
    </row>
    <row r="5733" spans="4:4">
      <c r="D5733" s="1"/>
    </row>
    <row r="5734" spans="4:4">
      <c r="D5734" s="1"/>
    </row>
    <row r="5735" spans="4:4">
      <c r="D5735" s="1"/>
    </row>
    <row r="5736" spans="4:4">
      <c r="D5736" s="1"/>
    </row>
    <row r="5737" spans="4:4">
      <c r="D5737" s="1"/>
    </row>
    <row r="5738" spans="4:4">
      <c r="D5738" s="1"/>
    </row>
    <row r="5739" spans="4:4">
      <c r="D5739" s="1"/>
    </row>
    <row r="5740" spans="4:4">
      <c r="D5740" s="1"/>
    </row>
    <row r="5741" spans="4:4">
      <c r="D5741" s="1"/>
    </row>
    <row r="5742" spans="4:4">
      <c r="D5742" s="1"/>
    </row>
    <row r="5743" spans="4:4">
      <c r="D5743" s="1"/>
    </row>
    <row r="5744" spans="4:4">
      <c r="D5744" s="1"/>
    </row>
    <row r="5745" spans="4:4">
      <c r="D5745" s="1"/>
    </row>
    <row r="5746" spans="4:4">
      <c r="D5746" s="1"/>
    </row>
    <row r="5747" spans="4:4">
      <c r="D5747" s="1"/>
    </row>
    <row r="5748" spans="4:4">
      <c r="D5748" s="1"/>
    </row>
    <row r="5749" spans="4:4">
      <c r="D5749" s="1"/>
    </row>
    <row r="5750" spans="4:4">
      <c r="D5750" s="1"/>
    </row>
    <row r="5751" spans="4:4">
      <c r="D5751" s="1"/>
    </row>
    <row r="5752" spans="4:4">
      <c r="D5752" s="1"/>
    </row>
    <row r="5753" spans="4:4">
      <c r="D5753" s="1"/>
    </row>
    <row r="5754" spans="4:4">
      <c r="D5754" s="1"/>
    </row>
    <row r="5755" spans="4:4">
      <c r="D5755" s="1"/>
    </row>
    <row r="5756" spans="4:4">
      <c r="D5756" s="1"/>
    </row>
    <row r="5757" spans="4:4">
      <c r="D5757" s="1"/>
    </row>
    <row r="5758" spans="4:4">
      <c r="D5758" s="1"/>
    </row>
    <row r="5759" spans="4:4">
      <c r="D5759" s="1"/>
    </row>
    <row r="5760" spans="4:4">
      <c r="D5760" s="1"/>
    </row>
    <row r="5761" spans="4:4">
      <c r="D5761" s="1"/>
    </row>
    <row r="5762" spans="4:4">
      <c r="D5762" s="1"/>
    </row>
    <row r="5763" spans="4:4">
      <c r="D5763" s="1"/>
    </row>
    <row r="5764" spans="4:4">
      <c r="D5764" s="1"/>
    </row>
    <row r="5765" spans="4:4">
      <c r="D5765" s="1"/>
    </row>
    <row r="5766" spans="4:4">
      <c r="D5766" s="1"/>
    </row>
    <row r="5767" spans="4:4">
      <c r="D5767" s="1"/>
    </row>
    <row r="5768" spans="4:4">
      <c r="D5768" s="1"/>
    </row>
    <row r="5769" spans="4:4">
      <c r="D5769" s="1"/>
    </row>
    <row r="5770" spans="4:4">
      <c r="D5770" s="1"/>
    </row>
    <row r="5771" spans="4:4">
      <c r="D5771" s="1"/>
    </row>
    <row r="5772" spans="4:4">
      <c r="D5772" s="1"/>
    </row>
    <row r="5773" spans="4:4">
      <c r="D5773" s="1"/>
    </row>
    <row r="5774" spans="4:4">
      <c r="D5774" s="1"/>
    </row>
    <row r="5775" spans="4:4">
      <c r="D5775" s="1"/>
    </row>
    <row r="5776" spans="4:4">
      <c r="D5776" s="1"/>
    </row>
    <row r="5777" spans="4:4">
      <c r="D5777" s="1"/>
    </row>
    <row r="5778" spans="4:4">
      <c r="D5778" s="1"/>
    </row>
    <row r="5779" spans="4:4">
      <c r="D5779" s="1"/>
    </row>
    <row r="5780" spans="4:4">
      <c r="D5780" s="1"/>
    </row>
    <row r="5781" spans="4:4">
      <c r="D5781" s="1"/>
    </row>
    <row r="5782" spans="4:4">
      <c r="D5782" s="1"/>
    </row>
    <row r="5783" spans="4:4">
      <c r="D5783" s="1"/>
    </row>
    <row r="5784" spans="4:4">
      <c r="D5784" s="1"/>
    </row>
    <row r="5785" spans="4:4">
      <c r="D5785" s="1"/>
    </row>
    <row r="5786" spans="4:4">
      <c r="D5786" s="1"/>
    </row>
    <row r="5787" spans="4:4">
      <c r="D5787" s="1"/>
    </row>
    <row r="5788" spans="4:4">
      <c r="D5788" s="1"/>
    </row>
    <row r="5789" spans="4:4">
      <c r="D5789" s="1"/>
    </row>
    <row r="5790" spans="4:4">
      <c r="D5790" s="1"/>
    </row>
    <row r="5791" spans="4:4">
      <c r="D5791" s="1"/>
    </row>
    <row r="5792" spans="4:4">
      <c r="D5792" s="1"/>
    </row>
    <row r="5793" spans="4:4">
      <c r="D5793" s="1"/>
    </row>
    <row r="5794" spans="4:4">
      <c r="D5794" s="1"/>
    </row>
    <row r="5795" spans="4:4">
      <c r="D5795" s="1"/>
    </row>
    <row r="5796" spans="4:4">
      <c r="D5796" s="1"/>
    </row>
    <row r="5797" spans="4:4">
      <c r="D5797" s="1"/>
    </row>
    <row r="5798" spans="4:4">
      <c r="D5798" s="1"/>
    </row>
    <row r="5799" spans="4:4">
      <c r="D5799" s="1"/>
    </row>
    <row r="5800" spans="4:4">
      <c r="D5800" s="1"/>
    </row>
    <row r="5801" spans="4:4">
      <c r="D5801" s="1"/>
    </row>
    <row r="5802" spans="4:4">
      <c r="D5802" s="1"/>
    </row>
    <row r="5803" spans="4:4">
      <c r="D5803" s="1"/>
    </row>
    <row r="5804" spans="4:4">
      <c r="D5804" s="1"/>
    </row>
    <row r="5805" spans="4:4">
      <c r="D5805" s="1"/>
    </row>
    <row r="5806" spans="4:4">
      <c r="D5806" s="1"/>
    </row>
    <row r="5807" spans="4:4">
      <c r="D5807" s="1"/>
    </row>
    <row r="5808" spans="4:4">
      <c r="D5808" s="1"/>
    </row>
    <row r="5809" spans="4:4">
      <c r="D5809" s="1"/>
    </row>
    <row r="5810" spans="4:4">
      <c r="D5810" s="1"/>
    </row>
    <row r="5811" spans="4:4">
      <c r="D5811" s="1"/>
    </row>
    <row r="5812" spans="4:4">
      <c r="D5812" s="1"/>
    </row>
    <row r="5813" spans="4:4">
      <c r="D5813" s="1"/>
    </row>
    <row r="5814" spans="4:4">
      <c r="D5814" s="1"/>
    </row>
    <row r="5815" spans="4:4">
      <c r="D5815" s="1"/>
    </row>
    <row r="5816" spans="4:4">
      <c r="D5816" s="1"/>
    </row>
    <row r="5817" spans="4:4">
      <c r="D5817" s="1"/>
    </row>
    <row r="5818" spans="4:4">
      <c r="D5818" s="1"/>
    </row>
    <row r="5819" spans="4:4">
      <c r="D5819" s="1"/>
    </row>
    <row r="5820" spans="4:4">
      <c r="D5820" s="1"/>
    </row>
    <row r="5821" spans="4:4">
      <c r="D5821" s="1"/>
    </row>
    <row r="5822" spans="4:4">
      <c r="D5822" s="1"/>
    </row>
    <row r="5823" spans="4:4">
      <c r="D5823" s="1"/>
    </row>
    <row r="5824" spans="4:4">
      <c r="D5824" s="1"/>
    </row>
    <row r="5825" spans="4:4">
      <c r="D5825" s="1"/>
    </row>
    <row r="5826" spans="4:4">
      <c r="D5826" s="1"/>
    </row>
    <row r="5827" spans="4:4">
      <c r="D5827" s="1"/>
    </row>
    <row r="5828" spans="4:4">
      <c r="D5828" s="1"/>
    </row>
    <row r="5829" spans="4:4">
      <c r="D5829" s="1"/>
    </row>
    <row r="5830" spans="4:4">
      <c r="D5830" s="1"/>
    </row>
    <row r="5831" spans="4:4">
      <c r="D5831" s="1"/>
    </row>
    <row r="5832" spans="4:4">
      <c r="D5832" s="1"/>
    </row>
    <row r="5833" spans="4:4">
      <c r="D5833" s="1"/>
    </row>
    <row r="5834" spans="4:4">
      <c r="D5834" s="1"/>
    </row>
    <row r="5835" spans="4:4">
      <c r="D5835" s="1"/>
    </row>
    <row r="5836" spans="4:4">
      <c r="D5836" s="1"/>
    </row>
    <row r="5837" spans="4:4">
      <c r="D5837" s="1"/>
    </row>
    <row r="5838" spans="4:4">
      <c r="D5838" s="1"/>
    </row>
    <row r="5839" spans="4:4">
      <c r="D5839" s="1"/>
    </row>
    <row r="5840" spans="4:4">
      <c r="D5840" s="1"/>
    </row>
    <row r="5841" spans="4:4">
      <c r="D5841" s="1"/>
    </row>
    <row r="5842" spans="4:4">
      <c r="D5842" s="1"/>
    </row>
    <row r="5843" spans="4:4">
      <c r="D5843" s="1"/>
    </row>
    <row r="5844" spans="4:4">
      <c r="D5844" s="1"/>
    </row>
    <row r="5845" spans="4:4">
      <c r="D5845" s="1"/>
    </row>
    <row r="5846" spans="4:4">
      <c r="D5846" s="1"/>
    </row>
    <row r="5847" spans="4:4">
      <c r="D5847" s="1"/>
    </row>
    <row r="5848" spans="4:4">
      <c r="D5848" s="1"/>
    </row>
    <row r="5849" spans="4:4">
      <c r="D5849" s="1"/>
    </row>
    <row r="5850" spans="4:4">
      <c r="D5850" s="1"/>
    </row>
    <row r="5851" spans="4:4">
      <c r="D5851" s="1"/>
    </row>
    <row r="5852" spans="4:4">
      <c r="D5852" s="1"/>
    </row>
    <row r="5853" spans="4:4">
      <c r="D5853" s="1"/>
    </row>
    <row r="5854" spans="4:4">
      <c r="D5854" s="1"/>
    </row>
    <row r="5855" spans="4:4">
      <c r="D5855" s="1"/>
    </row>
    <row r="5856" spans="4:4">
      <c r="D5856" s="1"/>
    </row>
    <row r="5857" spans="4:4">
      <c r="D5857" s="1"/>
    </row>
    <row r="5858" spans="4:4">
      <c r="D5858" s="1"/>
    </row>
    <row r="5859" spans="4:4">
      <c r="D5859" s="1"/>
    </row>
    <row r="5860" spans="4:4">
      <c r="D5860" s="1"/>
    </row>
    <row r="5861" spans="4:4">
      <c r="D5861" s="1"/>
    </row>
    <row r="5862" spans="4:4">
      <c r="D5862" s="1"/>
    </row>
    <row r="5863" spans="4:4">
      <c r="D5863" s="1"/>
    </row>
    <row r="5864" spans="4:4">
      <c r="D5864" s="1"/>
    </row>
    <row r="5865" spans="4:4">
      <c r="D5865" s="1"/>
    </row>
    <row r="5866" spans="4:4">
      <c r="D5866" s="1"/>
    </row>
    <row r="5867" spans="4:4">
      <c r="D5867" s="1"/>
    </row>
    <row r="5868" spans="4:4">
      <c r="D5868" s="1"/>
    </row>
    <row r="5869" spans="4:4">
      <c r="D5869" s="1"/>
    </row>
    <row r="5870" spans="4:4">
      <c r="D5870" s="1"/>
    </row>
    <row r="5871" spans="4:4">
      <c r="D5871" s="1"/>
    </row>
    <row r="5872" spans="4:4">
      <c r="D5872" s="1"/>
    </row>
    <row r="5873" spans="4:4">
      <c r="D5873" s="1"/>
    </row>
    <row r="5874" spans="4:4">
      <c r="D5874" s="1"/>
    </row>
    <row r="5875" spans="4:4">
      <c r="D5875" s="1"/>
    </row>
    <row r="5876" spans="4:4">
      <c r="D5876" s="1"/>
    </row>
    <row r="5877" spans="4:4">
      <c r="D5877" s="1"/>
    </row>
    <row r="5878" spans="4:4">
      <c r="D5878" s="1"/>
    </row>
    <row r="5879" spans="4:4">
      <c r="D5879" s="1"/>
    </row>
    <row r="5880" spans="4:4">
      <c r="D5880" s="1"/>
    </row>
    <row r="5881" spans="4:4">
      <c r="D5881" s="1"/>
    </row>
    <row r="5882" spans="4:4">
      <c r="D5882" s="1"/>
    </row>
    <row r="5883" spans="4:4">
      <c r="D5883" s="1"/>
    </row>
    <row r="5884" spans="4:4">
      <c r="D5884" s="1"/>
    </row>
    <row r="5885" spans="4:4">
      <c r="D5885" s="1"/>
    </row>
    <row r="5886" spans="4:4">
      <c r="D5886" s="1"/>
    </row>
    <row r="5887" spans="4:4">
      <c r="D5887" s="1"/>
    </row>
    <row r="5888" spans="4:4">
      <c r="D5888" s="1"/>
    </row>
    <row r="5889" spans="4:4">
      <c r="D5889" s="1"/>
    </row>
    <row r="5890" spans="4:4">
      <c r="D5890" s="1"/>
    </row>
    <row r="5891" spans="4:4">
      <c r="D5891" s="1"/>
    </row>
    <row r="5892" spans="4:4">
      <c r="D5892" s="1"/>
    </row>
    <row r="5893" spans="4:4">
      <c r="D5893" s="1"/>
    </row>
    <row r="5894" spans="4:4">
      <c r="D5894" s="1"/>
    </row>
    <row r="5895" spans="4:4">
      <c r="D5895" s="1"/>
    </row>
    <row r="5896" spans="4:4">
      <c r="D5896" s="1"/>
    </row>
    <row r="5897" spans="4:4">
      <c r="D5897" s="1"/>
    </row>
    <row r="5898" spans="4:4">
      <c r="D5898" s="1"/>
    </row>
    <row r="5899" spans="4:4">
      <c r="D5899" s="1"/>
    </row>
    <row r="5900" spans="4:4">
      <c r="D5900" s="1"/>
    </row>
    <row r="5901" spans="4:4">
      <c r="D5901" s="1"/>
    </row>
    <row r="5902" spans="4:4">
      <c r="D5902" s="1"/>
    </row>
    <row r="5903" spans="4:4">
      <c r="D5903" s="1"/>
    </row>
    <row r="5904" spans="4:4">
      <c r="D5904" s="1"/>
    </row>
    <row r="5905" spans="4:4">
      <c r="D5905" s="1"/>
    </row>
    <row r="5906" spans="4:4">
      <c r="D5906" s="1"/>
    </row>
    <row r="5907" spans="4:4">
      <c r="D5907" s="1"/>
    </row>
    <row r="5908" spans="4:4">
      <c r="D5908" s="1"/>
    </row>
    <row r="5909" spans="4:4">
      <c r="D5909" s="1"/>
    </row>
    <row r="5910" spans="4:4">
      <c r="D5910" s="1"/>
    </row>
    <row r="5911" spans="4:4">
      <c r="D5911" s="1"/>
    </row>
    <row r="5912" spans="4:4">
      <c r="D5912" s="1"/>
    </row>
    <row r="5913" spans="4:4">
      <c r="D5913" s="1"/>
    </row>
    <row r="5914" spans="4:4">
      <c r="D5914" s="1"/>
    </row>
    <row r="5915" spans="4:4">
      <c r="D5915" s="1"/>
    </row>
    <row r="5916" spans="4:4">
      <c r="D5916" s="1"/>
    </row>
    <row r="5917" spans="4:4">
      <c r="D5917" s="1"/>
    </row>
    <row r="5918" spans="4:4">
      <c r="D5918" s="1"/>
    </row>
    <row r="5919" spans="4:4">
      <c r="D5919" s="1"/>
    </row>
    <row r="5920" spans="4:4">
      <c r="D5920" s="1"/>
    </row>
    <row r="5921" spans="4:4">
      <c r="D5921" s="1"/>
    </row>
    <row r="5922" spans="4:4">
      <c r="D5922" s="1"/>
    </row>
    <row r="5923" spans="4:4">
      <c r="D5923" s="1"/>
    </row>
    <row r="5924" spans="4:4">
      <c r="D5924" s="1"/>
    </row>
    <row r="5925" spans="4:4">
      <c r="D5925" s="1"/>
    </row>
    <row r="5926" spans="4:4">
      <c r="D5926" s="1"/>
    </row>
    <row r="5927" spans="4:4">
      <c r="D5927" s="1"/>
    </row>
    <row r="5928" spans="4:4">
      <c r="D5928" s="1"/>
    </row>
    <row r="5929" spans="4:4">
      <c r="D5929" s="1"/>
    </row>
    <row r="5930" spans="4:4">
      <c r="D5930" s="1"/>
    </row>
    <row r="5931" spans="4:4">
      <c r="D5931" s="1"/>
    </row>
    <row r="5932" spans="4:4">
      <c r="D5932" s="1"/>
    </row>
    <row r="5933" spans="4:4">
      <c r="D5933" s="1"/>
    </row>
    <row r="5934" spans="4:4">
      <c r="D5934" s="1"/>
    </row>
    <row r="5935" spans="4:4">
      <c r="D5935" s="1"/>
    </row>
    <row r="5936" spans="4:4">
      <c r="D5936" s="1"/>
    </row>
    <row r="5937" spans="4:4">
      <c r="D5937" s="1"/>
    </row>
    <row r="5938" spans="4:4">
      <c r="D5938" s="1"/>
    </row>
    <row r="5939" spans="4:4">
      <c r="D5939" s="1"/>
    </row>
    <row r="5940" spans="4:4">
      <c r="D5940" s="1"/>
    </row>
    <row r="5941" spans="4:4">
      <c r="D5941" s="1"/>
    </row>
    <row r="5942" spans="4:4">
      <c r="D5942" s="1"/>
    </row>
    <row r="5943" spans="4:4">
      <c r="D5943" s="1"/>
    </row>
    <row r="5944" spans="4:4">
      <c r="D5944" s="1"/>
    </row>
    <row r="5945" spans="4:4">
      <c r="D5945" s="1"/>
    </row>
    <row r="5946" spans="4:4">
      <c r="D5946" s="1"/>
    </row>
    <row r="5947" spans="4:4">
      <c r="D5947" s="1"/>
    </row>
    <row r="5948" spans="4:4">
      <c r="D5948" s="1"/>
    </row>
    <row r="5949" spans="4:4">
      <c r="D5949" s="1"/>
    </row>
    <row r="5950" spans="4:4">
      <c r="D5950" s="1"/>
    </row>
    <row r="5951" spans="4:4">
      <c r="D5951" s="1"/>
    </row>
    <row r="5952" spans="4:4">
      <c r="D5952" s="1"/>
    </row>
    <row r="5953" spans="4:4">
      <c r="D5953" s="1"/>
    </row>
    <row r="5954" spans="4:4">
      <c r="D5954" s="1"/>
    </row>
    <row r="5955" spans="4:4">
      <c r="D5955" s="1"/>
    </row>
    <row r="5956" spans="4:4">
      <c r="D5956" s="1"/>
    </row>
    <row r="5957" spans="4:4">
      <c r="D5957" s="1"/>
    </row>
    <row r="5958" spans="4:4">
      <c r="D5958" s="1"/>
    </row>
    <row r="5959" spans="4:4">
      <c r="D5959" s="1"/>
    </row>
    <row r="5960" spans="4:4">
      <c r="D5960" s="1"/>
    </row>
    <row r="5961" spans="4:4">
      <c r="D5961" s="1"/>
    </row>
    <row r="5962" spans="4:4">
      <c r="D5962" s="1"/>
    </row>
    <row r="5963" spans="4:4">
      <c r="D5963" s="1"/>
    </row>
    <row r="5964" spans="4:4">
      <c r="D5964" s="1"/>
    </row>
    <row r="5965" spans="4:4">
      <c r="D5965" s="1"/>
    </row>
    <row r="5966" spans="4:4">
      <c r="D5966" s="1"/>
    </row>
    <row r="5967" spans="4:4">
      <c r="D5967" s="1"/>
    </row>
    <row r="5968" spans="4:4">
      <c r="D5968" s="1"/>
    </row>
    <row r="5969" spans="4:4">
      <c r="D5969" s="1"/>
    </row>
    <row r="5970" spans="4:4">
      <c r="D5970" s="1"/>
    </row>
    <row r="5971" spans="4:4">
      <c r="D5971" s="1"/>
    </row>
    <row r="5972" spans="4:4">
      <c r="D5972" s="1"/>
    </row>
    <row r="5973" spans="4:4">
      <c r="D5973" s="1"/>
    </row>
    <row r="5974" spans="4:4">
      <c r="D5974" s="1"/>
    </row>
    <row r="5975" spans="4:4">
      <c r="D5975" s="1"/>
    </row>
    <row r="5976" spans="4:4">
      <c r="D5976" s="1"/>
    </row>
    <row r="5977" spans="4:4">
      <c r="D5977" s="1"/>
    </row>
    <row r="5978" spans="4:4">
      <c r="D5978" s="1"/>
    </row>
    <row r="5979" spans="4:4">
      <c r="D5979" s="1"/>
    </row>
    <row r="5980" spans="4:4">
      <c r="D5980" s="1"/>
    </row>
    <row r="5981" spans="4:4">
      <c r="D5981" s="1"/>
    </row>
    <row r="5982" spans="4:4">
      <c r="D5982" s="1"/>
    </row>
    <row r="5983" spans="4:4">
      <c r="D5983" s="1"/>
    </row>
    <row r="5984" spans="4:4">
      <c r="D5984" s="1"/>
    </row>
    <row r="5985" spans="4:4">
      <c r="D5985" s="1"/>
    </row>
    <row r="5986" spans="4:4">
      <c r="D5986" s="1"/>
    </row>
    <row r="5987" spans="4:4">
      <c r="D5987" s="1"/>
    </row>
    <row r="5988" spans="4:4">
      <c r="D5988" s="1"/>
    </row>
    <row r="5989" spans="4:4">
      <c r="D5989" s="1"/>
    </row>
    <row r="5990" spans="4:4">
      <c r="D5990" s="1"/>
    </row>
    <row r="5991" spans="4:4">
      <c r="D5991" s="1"/>
    </row>
    <row r="5992" spans="4:4">
      <c r="D5992" s="1"/>
    </row>
    <row r="5993" spans="4:4">
      <c r="D5993" s="1"/>
    </row>
    <row r="5994" spans="4:4">
      <c r="D5994" s="1"/>
    </row>
    <row r="5995" spans="4:4">
      <c r="D5995" s="1"/>
    </row>
    <row r="5996" spans="4:4">
      <c r="D5996" s="1"/>
    </row>
    <row r="5997" spans="4:4">
      <c r="D5997" s="1"/>
    </row>
    <row r="5998" spans="4:4">
      <c r="D5998" s="1"/>
    </row>
    <row r="5999" spans="4:4">
      <c r="D5999" s="1"/>
    </row>
    <row r="6000" spans="4:4">
      <c r="D6000" s="1"/>
    </row>
    <row r="6001" spans="4:4">
      <c r="D6001" s="1"/>
    </row>
    <row r="6002" spans="4:4">
      <c r="D6002" s="1"/>
    </row>
    <row r="6003" spans="4:4">
      <c r="D6003" s="1"/>
    </row>
    <row r="6004" spans="4:4">
      <c r="D6004" s="1"/>
    </row>
    <row r="6005" spans="4:4">
      <c r="D6005" s="1"/>
    </row>
    <row r="6006" spans="4:4">
      <c r="D6006" s="1"/>
    </row>
    <row r="6007" spans="4:4">
      <c r="D6007" s="1"/>
    </row>
    <row r="6008" spans="4:4">
      <c r="D6008" s="1"/>
    </row>
    <row r="6009" spans="4:4">
      <c r="D6009" s="1"/>
    </row>
    <row r="6010" spans="4:4">
      <c r="D6010" s="1"/>
    </row>
    <row r="6011" spans="4:4">
      <c r="D6011" s="1"/>
    </row>
    <row r="6012" spans="4:4">
      <c r="D6012" s="1"/>
    </row>
    <row r="6013" spans="4:4">
      <c r="D6013" s="1"/>
    </row>
    <row r="6014" spans="4:4">
      <c r="D6014" s="1"/>
    </row>
    <row r="6015" spans="4:4">
      <c r="D6015" s="1"/>
    </row>
    <row r="6016" spans="4:4">
      <c r="D6016" s="1"/>
    </row>
    <row r="6017" spans="4:4">
      <c r="D6017" s="1"/>
    </row>
    <row r="6018" spans="4:4">
      <c r="D6018" s="1"/>
    </row>
    <row r="6019" spans="4:4">
      <c r="D6019" s="1"/>
    </row>
    <row r="6020" spans="4:4">
      <c r="D6020" s="1"/>
    </row>
    <row r="6021" spans="4:4">
      <c r="D6021" s="1"/>
    </row>
    <row r="6022" spans="4:4">
      <c r="D6022" s="1"/>
    </row>
    <row r="6023" spans="4:4">
      <c r="D6023" s="1"/>
    </row>
    <row r="6024" spans="4:4">
      <c r="D6024" s="1"/>
    </row>
    <row r="6025" spans="4:4">
      <c r="D6025" s="1"/>
    </row>
    <row r="6026" spans="4:4">
      <c r="D6026" s="1"/>
    </row>
    <row r="6027" spans="4:4">
      <c r="D6027" s="1"/>
    </row>
    <row r="6028" spans="4:4">
      <c r="D6028" s="1"/>
    </row>
    <row r="6029" spans="4:4">
      <c r="D6029" s="1"/>
    </row>
    <row r="6030" spans="4:4">
      <c r="D6030" s="1"/>
    </row>
    <row r="6031" spans="4:4">
      <c r="D6031" s="1"/>
    </row>
    <row r="6032" spans="4:4">
      <c r="D6032" s="1"/>
    </row>
    <row r="6033" spans="4:4">
      <c r="D6033" s="1"/>
    </row>
    <row r="6034" spans="4:4">
      <c r="D6034" s="1"/>
    </row>
    <row r="6035" spans="4:4">
      <c r="D6035" s="1"/>
    </row>
    <row r="6036" spans="4:4">
      <c r="D6036" s="1"/>
    </row>
    <row r="6037" spans="4:4">
      <c r="D6037" s="1"/>
    </row>
    <row r="6038" spans="4:4">
      <c r="D6038" s="1"/>
    </row>
    <row r="6039" spans="4:4">
      <c r="D6039" s="1"/>
    </row>
    <row r="6040" spans="4:4">
      <c r="D6040" s="1"/>
    </row>
    <row r="6041" spans="4:4">
      <c r="D6041" s="1"/>
    </row>
    <row r="6042" spans="4:4">
      <c r="D6042" s="1"/>
    </row>
    <row r="6043" spans="4:4">
      <c r="D6043" s="1"/>
    </row>
    <row r="6044" spans="4:4">
      <c r="D6044" s="1"/>
    </row>
    <row r="6045" spans="4:4">
      <c r="D6045" s="1"/>
    </row>
    <row r="6046" spans="4:4">
      <c r="D6046" s="1"/>
    </row>
    <row r="6047" spans="4:4">
      <c r="D6047" s="1"/>
    </row>
    <row r="6048" spans="4:4">
      <c r="D6048" s="1"/>
    </row>
    <row r="6049" spans="4:4">
      <c r="D6049" s="1"/>
    </row>
    <row r="6050" spans="4:4">
      <c r="D6050" s="1"/>
    </row>
    <row r="6051" spans="4:4">
      <c r="D6051" s="1"/>
    </row>
    <row r="6052" spans="4:4">
      <c r="D6052" s="1"/>
    </row>
    <row r="6053" spans="4:4">
      <c r="D6053" s="1"/>
    </row>
    <row r="6054" spans="4:4">
      <c r="D6054" s="1"/>
    </row>
    <row r="6055" spans="4:4">
      <c r="D6055" s="1"/>
    </row>
    <row r="6056" spans="4:4">
      <c r="D6056" s="1"/>
    </row>
    <row r="6057" spans="4:4">
      <c r="D6057" s="1"/>
    </row>
    <row r="6058" spans="4:4">
      <c r="D6058" s="1"/>
    </row>
    <row r="6059" spans="4:4">
      <c r="D6059" s="1"/>
    </row>
    <row r="6060" spans="4:4">
      <c r="D6060" s="1"/>
    </row>
    <row r="6061" spans="4:4">
      <c r="D6061" s="1"/>
    </row>
    <row r="6062" spans="4:4">
      <c r="D6062" s="1"/>
    </row>
    <row r="6063" spans="4:4">
      <c r="D6063" s="1"/>
    </row>
    <row r="6064" spans="4:4">
      <c r="D6064" s="1"/>
    </row>
    <row r="6065" spans="4:4">
      <c r="D6065" s="1"/>
    </row>
    <row r="6066" spans="4:4">
      <c r="D6066" s="1"/>
    </row>
    <row r="6067" spans="4:4">
      <c r="D6067" s="1"/>
    </row>
    <row r="6068" spans="4:4">
      <c r="D6068" s="1"/>
    </row>
    <row r="6069" spans="4:4">
      <c r="D6069" s="1"/>
    </row>
    <row r="6070" spans="4:4">
      <c r="D6070" s="1"/>
    </row>
    <row r="6071" spans="4:4">
      <c r="D6071" s="1"/>
    </row>
    <row r="6072" spans="4:4">
      <c r="D6072" s="1"/>
    </row>
    <row r="6073" spans="4:4">
      <c r="D6073" s="1"/>
    </row>
    <row r="6074" spans="4:4">
      <c r="D6074" s="1"/>
    </row>
    <row r="6075" spans="4:4">
      <c r="D6075" s="1"/>
    </row>
    <row r="6076" spans="4:4">
      <c r="D6076" s="1"/>
    </row>
    <row r="6077" spans="4:4">
      <c r="D6077" s="1"/>
    </row>
    <row r="6078" spans="4:4">
      <c r="D6078" s="1"/>
    </row>
    <row r="6079" spans="4:4">
      <c r="D6079" s="1"/>
    </row>
    <row r="6080" spans="4:4">
      <c r="D6080" s="1"/>
    </row>
    <row r="6081" spans="4:4">
      <c r="D6081" s="1"/>
    </row>
    <row r="6082" spans="4:4">
      <c r="D6082" s="1"/>
    </row>
    <row r="6083" spans="4:4">
      <c r="D6083" s="1"/>
    </row>
    <row r="6084" spans="4:4">
      <c r="D6084" s="1"/>
    </row>
    <row r="6085" spans="4:4">
      <c r="D6085" s="1"/>
    </row>
    <row r="6086" spans="4:4">
      <c r="D6086" s="1"/>
    </row>
    <row r="6087" spans="4:4">
      <c r="D6087" s="1"/>
    </row>
    <row r="6088" spans="4:4">
      <c r="D6088" s="1"/>
    </row>
    <row r="6089" spans="4:4">
      <c r="D6089" s="1"/>
    </row>
    <row r="6090" spans="4:4">
      <c r="D6090" s="1"/>
    </row>
    <row r="6091" spans="4:4">
      <c r="D6091" s="1"/>
    </row>
    <row r="6092" spans="4:4">
      <c r="D6092" s="1"/>
    </row>
    <row r="6093" spans="4:4">
      <c r="D6093" s="1"/>
    </row>
    <row r="6094" spans="4:4">
      <c r="D6094" s="1"/>
    </row>
    <row r="6095" spans="4:4">
      <c r="D6095" s="1"/>
    </row>
    <row r="6096" spans="4:4">
      <c r="D6096" s="1"/>
    </row>
    <row r="6097" spans="4:4">
      <c r="D6097" s="1"/>
    </row>
    <row r="6098" spans="4:4">
      <c r="D6098" s="1"/>
    </row>
    <row r="6099" spans="4:4">
      <c r="D6099" s="1"/>
    </row>
    <row r="6100" spans="4:4">
      <c r="D6100" s="1"/>
    </row>
    <row r="6101" spans="4:4">
      <c r="D6101" s="1"/>
    </row>
    <row r="6102" spans="4:4">
      <c r="D6102" s="1"/>
    </row>
    <row r="6103" spans="4:4">
      <c r="D6103" s="1"/>
    </row>
    <row r="6104" spans="4:4">
      <c r="D6104" s="1"/>
    </row>
    <row r="6105" spans="4:4">
      <c r="D6105" s="1"/>
    </row>
    <row r="6106" spans="4:4">
      <c r="D6106" s="1"/>
    </row>
    <row r="6107" spans="4:4">
      <c r="D6107" s="1"/>
    </row>
    <row r="6108" spans="4:4">
      <c r="D6108" s="1"/>
    </row>
    <row r="6109" spans="4:4">
      <c r="D6109" s="1"/>
    </row>
    <row r="6110" spans="4:4">
      <c r="D6110" s="1"/>
    </row>
    <row r="6111" spans="4:4">
      <c r="D6111" s="1"/>
    </row>
    <row r="6112" spans="4:4">
      <c r="D6112" s="1"/>
    </row>
    <row r="6113" spans="4:4">
      <c r="D6113" s="1"/>
    </row>
    <row r="6114" spans="4:4">
      <c r="D6114" s="1"/>
    </row>
    <row r="6115" spans="4:4">
      <c r="D6115" s="1"/>
    </row>
    <row r="6116" spans="4:4">
      <c r="D6116" s="1"/>
    </row>
    <row r="6117" spans="4:4">
      <c r="D6117" s="1"/>
    </row>
    <row r="6118" spans="4:4">
      <c r="D6118" s="1"/>
    </row>
    <row r="6119" spans="4:4">
      <c r="D6119" s="1"/>
    </row>
    <row r="6120" spans="4:4">
      <c r="D6120" s="1"/>
    </row>
    <row r="6121" spans="4:4">
      <c r="D6121" s="1"/>
    </row>
    <row r="6122" spans="4:4">
      <c r="D6122" s="1"/>
    </row>
    <row r="6123" spans="4:4">
      <c r="D6123" s="1"/>
    </row>
    <row r="6124" spans="4:4">
      <c r="D6124" s="1"/>
    </row>
    <row r="6125" spans="4:4">
      <c r="D6125" s="1"/>
    </row>
    <row r="6126" spans="4:4">
      <c r="D6126" s="1"/>
    </row>
    <row r="6127" spans="4:4">
      <c r="D6127" s="1"/>
    </row>
    <row r="6128" spans="4:4">
      <c r="D6128" s="1"/>
    </row>
    <row r="6129" spans="4:4">
      <c r="D6129" s="1"/>
    </row>
    <row r="6130" spans="4:4">
      <c r="D6130" s="1"/>
    </row>
    <row r="6131" spans="4:4">
      <c r="D6131" s="1"/>
    </row>
    <row r="6132" spans="4:4">
      <c r="D6132" s="1"/>
    </row>
    <row r="6133" spans="4:4">
      <c r="D6133" s="1"/>
    </row>
    <row r="6134" spans="4:4">
      <c r="D6134" s="1"/>
    </row>
    <row r="6135" spans="4:4">
      <c r="D6135" s="1"/>
    </row>
    <row r="6136" spans="4:4">
      <c r="D6136" s="1"/>
    </row>
    <row r="6137" spans="4:4">
      <c r="D6137" s="1"/>
    </row>
    <row r="6138" spans="4:4">
      <c r="D6138" s="1"/>
    </row>
    <row r="6139" spans="4:4">
      <c r="D6139" s="1"/>
    </row>
    <row r="6140" spans="4:4">
      <c r="D6140" s="1"/>
    </row>
    <row r="6141" spans="4:4">
      <c r="D6141" s="1"/>
    </row>
    <row r="6142" spans="4:4">
      <c r="D6142" s="1"/>
    </row>
    <row r="6143" spans="4:4">
      <c r="D6143" s="1"/>
    </row>
    <row r="6144" spans="4:4">
      <c r="D6144" s="1"/>
    </row>
    <row r="6145" spans="4:4">
      <c r="D6145" s="1"/>
    </row>
    <row r="6146" spans="4:4">
      <c r="D6146" s="1"/>
    </row>
    <row r="6147" spans="4:4">
      <c r="D6147" s="1"/>
    </row>
    <row r="6148" spans="4:4">
      <c r="D6148" s="1"/>
    </row>
    <row r="6149" spans="4:4">
      <c r="D6149" s="1"/>
    </row>
    <row r="6150" spans="4:4">
      <c r="D6150" s="1"/>
    </row>
    <row r="6151" spans="4:4">
      <c r="D6151" s="1"/>
    </row>
    <row r="6152" spans="4:4">
      <c r="D6152" s="1"/>
    </row>
    <row r="6153" spans="4:4">
      <c r="D6153" s="1"/>
    </row>
    <row r="6154" spans="4:4">
      <c r="D6154" s="1"/>
    </row>
    <row r="6155" spans="4:4">
      <c r="D6155" s="1"/>
    </row>
    <row r="6156" spans="4:4">
      <c r="D6156" s="1"/>
    </row>
    <row r="6157" spans="4:4">
      <c r="D6157" s="1"/>
    </row>
    <row r="6158" spans="4:4">
      <c r="D6158" s="1"/>
    </row>
    <row r="6159" spans="4:4">
      <c r="D6159" s="1"/>
    </row>
    <row r="6160" spans="4:4">
      <c r="D6160" s="1"/>
    </row>
    <row r="6161" spans="4:4">
      <c r="D6161" s="1"/>
    </row>
    <row r="6162" spans="4:4">
      <c r="D6162" s="1"/>
    </row>
    <row r="6163" spans="4:4">
      <c r="D6163" s="1"/>
    </row>
    <row r="6164" spans="4:4">
      <c r="D6164" s="1"/>
    </row>
    <row r="6165" spans="4:4">
      <c r="D6165" s="1"/>
    </row>
    <row r="6166" spans="4:4">
      <c r="D6166" s="1"/>
    </row>
    <row r="6167" spans="4:4">
      <c r="D6167" s="1"/>
    </row>
    <row r="6168" spans="4:4">
      <c r="D6168" s="1"/>
    </row>
    <row r="6169" spans="4:4">
      <c r="D6169" s="1"/>
    </row>
    <row r="6170" spans="4:4">
      <c r="D6170" s="1"/>
    </row>
    <row r="6171" spans="4:4">
      <c r="D6171" s="1"/>
    </row>
    <row r="6172" spans="4:4">
      <c r="D6172" s="1"/>
    </row>
    <row r="6173" spans="4:4">
      <c r="D6173" s="1"/>
    </row>
    <row r="6174" spans="4:4">
      <c r="D6174" s="1"/>
    </row>
    <row r="6175" spans="4:4">
      <c r="D6175" s="1"/>
    </row>
    <row r="6176" spans="4:4">
      <c r="D6176" s="1"/>
    </row>
    <row r="6177" spans="4:4">
      <c r="D6177" s="1"/>
    </row>
    <row r="6178" spans="4:4">
      <c r="D6178" s="1"/>
    </row>
    <row r="6179" spans="4:4">
      <c r="D6179" s="1"/>
    </row>
    <row r="6180" spans="4:4">
      <c r="D6180" s="1"/>
    </row>
    <row r="6181" spans="4:4">
      <c r="D6181" s="1"/>
    </row>
    <row r="6182" spans="4:4">
      <c r="D6182" s="1"/>
    </row>
    <row r="6183" spans="4:4">
      <c r="D6183" s="1"/>
    </row>
    <row r="6184" spans="4:4">
      <c r="D6184" s="1"/>
    </row>
    <row r="6185" spans="4:4">
      <c r="D6185" s="1"/>
    </row>
    <row r="6186" spans="4:4">
      <c r="D6186" s="1"/>
    </row>
    <row r="6187" spans="4:4">
      <c r="D6187" s="1"/>
    </row>
    <row r="6188" spans="4:4">
      <c r="D6188" s="1"/>
    </row>
    <row r="6189" spans="4:4">
      <c r="D6189" s="1"/>
    </row>
    <row r="6190" spans="4:4">
      <c r="D6190" s="1"/>
    </row>
    <row r="6191" spans="4:4">
      <c r="D6191" s="1"/>
    </row>
    <row r="6192" spans="4:4">
      <c r="D6192" s="1"/>
    </row>
    <row r="6193" spans="4:4">
      <c r="D6193" s="1"/>
    </row>
    <row r="6194" spans="4:4">
      <c r="D6194" s="1"/>
    </row>
    <row r="6195" spans="4:4">
      <c r="D6195" s="1"/>
    </row>
    <row r="6196" spans="4:4">
      <c r="D6196" s="1"/>
    </row>
    <row r="6197" spans="4:4">
      <c r="D6197" s="1"/>
    </row>
    <row r="6198" spans="4:4">
      <c r="D6198" s="1"/>
    </row>
    <row r="6199" spans="4:4">
      <c r="D6199" s="1"/>
    </row>
    <row r="6200" spans="4:4">
      <c r="D6200" s="1"/>
    </row>
    <row r="6201" spans="4:4">
      <c r="D6201" s="1"/>
    </row>
    <row r="6202" spans="4:4">
      <c r="D6202" s="1"/>
    </row>
    <row r="6203" spans="4:4">
      <c r="D6203" s="1"/>
    </row>
    <row r="6204" spans="4:4">
      <c r="D6204" s="1"/>
    </row>
    <row r="6205" spans="4:4">
      <c r="D6205" s="1"/>
    </row>
    <row r="6206" spans="4:4">
      <c r="D6206" s="1"/>
    </row>
    <row r="6207" spans="4:4">
      <c r="D6207" s="1"/>
    </row>
    <row r="6208" spans="4:4">
      <c r="D6208" s="1"/>
    </row>
    <row r="6209" spans="4:4">
      <c r="D6209" s="1"/>
    </row>
    <row r="6210" spans="4:4">
      <c r="D6210" s="1"/>
    </row>
    <row r="6211" spans="4:4">
      <c r="D6211" s="1"/>
    </row>
    <row r="6212" spans="4:4">
      <c r="D6212" s="1"/>
    </row>
    <row r="6213" spans="4:4">
      <c r="D6213" s="1"/>
    </row>
    <row r="6214" spans="4:4">
      <c r="D6214" s="1"/>
    </row>
    <row r="6215" spans="4:4">
      <c r="D6215" s="1"/>
    </row>
    <row r="6216" spans="4:4">
      <c r="D6216" s="1"/>
    </row>
    <row r="6217" spans="4:4">
      <c r="D6217" s="1"/>
    </row>
    <row r="6218" spans="4:4">
      <c r="D6218" s="1"/>
    </row>
    <row r="6219" spans="4:4">
      <c r="D6219" s="1"/>
    </row>
    <row r="6220" spans="4:4">
      <c r="D6220" s="1"/>
    </row>
    <row r="6221" spans="4:4">
      <c r="D6221" s="1"/>
    </row>
    <row r="6222" spans="4:4">
      <c r="D6222" s="1"/>
    </row>
    <row r="6223" spans="4:4">
      <c r="D6223" s="1"/>
    </row>
    <row r="6224" spans="4:4">
      <c r="D6224" s="1"/>
    </row>
    <row r="6225" spans="4:4">
      <c r="D6225" s="1"/>
    </row>
    <row r="6226" spans="4:4">
      <c r="D6226" s="1"/>
    </row>
    <row r="6227" spans="4:4">
      <c r="D6227" s="1"/>
    </row>
    <row r="6228" spans="4:4">
      <c r="D6228" s="1"/>
    </row>
    <row r="6229" spans="4:4">
      <c r="D6229" s="1"/>
    </row>
    <row r="6230" spans="4:4">
      <c r="D6230" s="1"/>
    </row>
    <row r="6231" spans="4:4">
      <c r="D6231" s="1"/>
    </row>
    <row r="6232" spans="4:4">
      <c r="D6232" s="1"/>
    </row>
    <row r="6233" spans="4:4">
      <c r="D6233" s="1"/>
    </row>
    <row r="6234" spans="4:4">
      <c r="D6234" s="1"/>
    </row>
    <row r="6235" spans="4:4">
      <c r="D6235" s="1"/>
    </row>
    <row r="6236" spans="4:4">
      <c r="D6236" s="1"/>
    </row>
    <row r="6237" spans="4:4">
      <c r="D6237" s="1"/>
    </row>
    <row r="6238" spans="4:4">
      <c r="D6238" s="1"/>
    </row>
    <row r="6239" spans="4:4">
      <c r="D6239" s="1"/>
    </row>
    <row r="6240" spans="4:4">
      <c r="D6240" s="1"/>
    </row>
    <row r="6241" spans="4:4">
      <c r="D6241" s="1"/>
    </row>
    <row r="6242" spans="4:4">
      <c r="D6242" s="1"/>
    </row>
    <row r="6243" spans="4:4">
      <c r="D6243" s="1"/>
    </row>
    <row r="6244" spans="4:4">
      <c r="D6244" s="1"/>
    </row>
    <row r="6245" spans="4:4">
      <c r="D6245" s="1"/>
    </row>
    <row r="6246" spans="4:4">
      <c r="D6246" s="1"/>
    </row>
    <row r="6247" spans="4:4">
      <c r="D6247" s="1"/>
    </row>
    <row r="6248" spans="4:4">
      <c r="D6248" s="1"/>
    </row>
    <row r="6249" spans="4:4">
      <c r="D6249" s="1"/>
    </row>
    <row r="6250" spans="4:4">
      <c r="D6250" s="1"/>
    </row>
    <row r="6251" spans="4:4">
      <c r="D6251" s="1"/>
    </row>
    <row r="6252" spans="4:4">
      <c r="D6252" s="1"/>
    </row>
    <row r="6253" spans="4:4">
      <c r="D6253" s="1"/>
    </row>
    <row r="6254" spans="4:4">
      <c r="D6254" s="1"/>
    </row>
    <row r="6255" spans="4:4">
      <c r="D6255" s="1"/>
    </row>
    <row r="6256" spans="4:4">
      <c r="D6256" s="1"/>
    </row>
    <row r="6257" spans="4:4">
      <c r="D6257" s="1"/>
    </row>
    <row r="6258" spans="4:4">
      <c r="D6258" s="1"/>
    </row>
    <row r="6259" spans="4:4">
      <c r="D6259" s="1"/>
    </row>
    <row r="6260" spans="4:4">
      <c r="D6260" s="1"/>
    </row>
    <row r="6261" spans="4:4">
      <c r="D6261" s="1"/>
    </row>
    <row r="6262" spans="4:4">
      <c r="D6262" s="1"/>
    </row>
    <row r="6263" spans="4:4">
      <c r="D6263" s="1"/>
    </row>
    <row r="6264" spans="4:4">
      <c r="D6264" s="1"/>
    </row>
    <row r="6265" spans="4:4">
      <c r="D6265" s="1"/>
    </row>
    <row r="6266" spans="4:4">
      <c r="D6266" s="1"/>
    </row>
    <row r="6267" spans="4:4">
      <c r="D6267" s="1"/>
    </row>
    <row r="6268" spans="4:4">
      <c r="D6268" s="1"/>
    </row>
    <row r="6269" spans="4:4">
      <c r="D6269" s="1"/>
    </row>
    <row r="6270" spans="4:4">
      <c r="D6270" s="1"/>
    </row>
    <row r="6271" spans="4:4">
      <c r="D6271" s="1"/>
    </row>
    <row r="6272" spans="4:4">
      <c r="D6272" s="1"/>
    </row>
    <row r="6273" spans="4:4">
      <c r="D6273" s="1"/>
    </row>
    <row r="6274" spans="4:4">
      <c r="D6274" s="1"/>
    </row>
    <row r="6275" spans="4:4">
      <c r="D6275" s="1"/>
    </row>
    <row r="6276" spans="4:4">
      <c r="D6276" s="1"/>
    </row>
    <row r="6277" spans="4:4">
      <c r="D6277" s="1"/>
    </row>
    <row r="6278" spans="4:4">
      <c r="D6278" s="1"/>
    </row>
    <row r="6279" spans="4:4">
      <c r="D6279" s="1"/>
    </row>
    <row r="6280" spans="4:4">
      <c r="D6280" s="1"/>
    </row>
    <row r="6281" spans="4:4">
      <c r="D6281" s="1"/>
    </row>
    <row r="6282" spans="4:4">
      <c r="D6282" s="1"/>
    </row>
    <row r="6283" spans="4:4">
      <c r="D6283" s="1"/>
    </row>
    <row r="6284" spans="4:4">
      <c r="D6284" s="1"/>
    </row>
    <row r="6285" spans="4:4">
      <c r="D6285" s="1"/>
    </row>
    <row r="6286" spans="4:4">
      <c r="D6286" s="1"/>
    </row>
    <row r="6287" spans="4:4">
      <c r="D6287" s="1"/>
    </row>
    <row r="6288" spans="4:4">
      <c r="D6288" s="1"/>
    </row>
    <row r="6289" spans="4:4">
      <c r="D6289" s="1"/>
    </row>
    <row r="6290" spans="4:4">
      <c r="D6290" s="1"/>
    </row>
    <row r="6291" spans="4:4">
      <c r="D6291" s="1"/>
    </row>
    <row r="6292" spans="4:4">
      <c r="D6292" s="1"/>
    </row>
    <row r="6293" spans="4:4">
      <c r="D6293" s="1"/>
    </row>
    <row r="6294" spans="4:4">
      <c r="D6294" s="1"/>
    </row>
    <row r="6295" spans="4:4">
      <c r="D6295" s="1"/>
    </row>
    <row r="6296" spans="4:4">
      <c r="D6296" s="1"/>
    </row>
    <row r="6297" spans="4:4">
      <c r="D6297" s="1"/>
    </row>
    <row r="6298" spans="4:4">
      <c r="D6298" s="1"/>
    </row>
    <row r="6299" spans="4:4">
      <c r="D6299" s="1"/>
    </row>
    <row r="6300" spans="4:4">
      <c r="D6300" s="1"/>
    </row>
    <row r="6301" spans="4:4">
      <c r="D6301" s="1"/>
    </row>
    <row r="6302" spans="4:4">
      <c r="D6302" s="1"/>
    </row>
    <row r="6303" spans="4:4">
      <c r="D6303" s="1"/>
    </row>
    <row r="6304" spans="4:4">
      <c r="D6304" s="1"/>
    </row>
    <row r="6305" spans="4:4">
      <c r="D6305" s="1"/>
    </row>
    <row r="6306" spans="4:4">
      <c r="D6306" s="1"/>
    </row>
    <row r="6307" spans="4:4">
      <c r="D6307" s="1"/>
    </row>
    <row r="6308" spans="4:4">
      <c r="D6308" s="1"/>
    </row>
    <row r="6309" spans="4:4">
      <c r="D6309" s="1"/>
    </row>
    <row r="6310" spans="4:4">
      <c r="D6310" s="1"/>
    </row>
    <row r="6311" spans="4:4">
      <c r="D6311" s="1"/>
    </row>
    <row r="6312" spans="4:4">
      <c r="D6312" s="1"/>
    </row>
    <row r="6313" spans="4:4">
      <c r="D6313" s="1"/>
    </row>
    <row r="6314" spans="4:4">
      <c r="D6314" s="1"/>
    </row>
    <row r="6315" spans="4:4">
      <c r="D6315" s="1"/>
    </row>
    <row r="6316" spans="4:4">
      <c r="D6316" s="1"/>
    </row>
    <row r="6317" spans="4:4">
      <c r="D6317" s="1"/>
    </row>
    <row r="6318" spans="4:4">
      <c r="D6318" s="1"/>
    </row>
    <row r="6319" spans="4:4">
      <c r="D6319" s="1"/>
    </row>
    <row r="6320" spans="4:4">
      <c r="D6320" s="1"/>
    </row>
    <row r="6321" spans="4:4">
      <c r="D6321" s="1"/>
    </row>
    <row r="6322" spans="4:4">
      <c r="D6322" s="1"/>
    </row>
    <row r="6323" spans="4:4">
      <c r="D6323" s="1"/>
    </row>
    <row r="6324" spans="4:4">
      <c r="D6324" s="1"/>
    </row>
    <row r="6325" spans="4:4">
      <c r="D6325" s="1"/>
    </row>
    <row r="6326" spans="4:4">
      <c r="D6326" s="1"/>
    </row>
    <row r="6327" spans="4:4">
      <c r="D6327" s="1"/>
    </row>
    <row r="6328" spans="4:4">
      <c r="D6328" s="1"/>
    </row>
    <row r="6329" spans="4:4">
      <c r="D6329" s="1"/>
    </row>
    <row r="6330" spans="4:4">
      <c r="D6330" s="1"/>
    </row>
    <row r="6331" spans="4:4">
      <c r="D6331" s="1"/>
    </row>
    <row r="6332" spans="4:4">
      <c r="D6332" s="1"/>
    </row>
    <row r="6333" spans="4:4">
      <c r="D6333" s="1"/>
    </row>
    <row r="6334" spans="4:4">
      <c r="D6334" s="1"/>
    </row>
    <row r="6335" spans="4:4">
      <c r="D6335" s="1"/>
    </row>
    <row r="6336" spans="4:4">
      <c r="D6336" s="1"/>
    </row>
    <row r="6337" spans="4:4">
      <c r="D6337" s="1"/>
    </row>
    <row r="6338" spans="4:4">
      <c r="D6338" s="1"/>
    </row>
    <row r="6339" spans="4:4">
      <c r="D6339" s="1"/>
    </row>
    <row r="6340" spans="4:4">
      <c r="D6340" s="1"/>
    </row>
    <row r="6341" spans="4:4">
      <c r="D6341" s="1"/>
    </row>
    <row r="6342" spans="4:4">
      <c r="D6342" s="1"/>
    </row>
    <row r="6343" spans="4:4">
      <c r="D6343" s="1"/>
    </row>
    <row r="6344" spans="4:4">
      <c r="D6344" s="1"/>
    </row>
    <row r="6345" spans="4:4">
      <c r="D6345" s="1"/>
    </row>
    <row r="6346" spans="4:4">
      <c r="D6346" s="1"/>
    </row>
    <row r="6347" spans="4:4">
      <c r="D6347" s="1"/>
    </row>
    <row r="6348" spans="4:4">
      <c r="D6348" s="1"/>
    </row>
    <row r="6349" spans="4:4">
      <c r="D6349" s="1"/>
    </row>
    <row r="6350" spans="4:4">
      <c r="D6350" s="1"/>
    </row>
    <row r="6351" spans="4:4">
      <c r="D6351" s="1"/>
    </row>
    <row r="6352" spans="4:4">
      <c r="D6352" s="1"/>
    </row>
    <row r="6353" spans="4:4">
      <c r="D6353" s="1"/>
    </row>
    <row r="6354" spans="4:4">
      <c r="D6354" s="1"/>
    </row>
    <row r="6355" spans="4:4">
      <c r="D6355" s="1"/>
    </row>
    <row r="6356" spans="4:4">
      <c r="D6356" s="1"/>
    </row>
    <row r="6357" spans="4:4">
      <c r="D6357" s="1"/>
    </row>
    <row r="6358" spans="4:4">
      <c r="D6358" s="1"/>
    </row>
    <row r="6359" spans="4:4">
      <c r="D6359" s="1"/>
    </row>
    <row r="6360" spans="4:4">
      <c r="D6360" s="1"/>
    </row>
    <row r="6361" spans="4:4">
      <c r="D6361" s="1"/>
    </row>
    <row r="6362" spans="4:4">
      <c r="D6362" s="1"/>
    </row>
    <row r="6363" spans="4:4">
      <c r="D6363" s="1"/>
    </row>
    <row r="6364" spans="4:4">
      <c r="D6364" s="1"/>
    </row>
    <row r="6365" spans="4:4">
      <c r="D6365" s="1"/>
    </row>
    <row r="6366" spans="4:4">
      <c r="D6366" s="1"/>
    </row>
    <row r="6367" spans="4:4">
      <c r="D6367" s="1"/>
    </row>
    <row r="6368" spans="4:4">
      <c r="D6368" s="1"/>
    </row>
    <row r="6369" spans="4:4">
      <c r="D6369" s="1"/>
    </row>
    <row r="6370" spans="4:4">
      <c r="D6370" s="1"/>
    </row>
    <row r="6371" spans="4:4">
      <c r="D6371" s="1"/>
    </row>
    <row r="6372" spans="4:4">
      <c r="D6372" s="1"/>
    </row>
    <row r="6373" spans="4:4">
      <c r="D6373" s="1"/>
    </row>
    <row r="6374" spans="4:4">
      <c r="D6374" s="1"/>
    </row>
    <row r="6375" spans="4:4">
      <c r="D6375" s="1"/>
    </row>
    <row r="6376" spans="4:4">
      <c r="D6376" s="1"/>
    </row>
    <row r="6377" spans="4:4">
      <c r="D6377" s="1"/>
    </row>
    <row r="6378" spans="4:4">
      <c r="D6378" s="1"/>
    </row>
    <row r="6379" spans="4:4">
      <c r="D6379" s="1"/>
    </row>
    <row r="6380" spans="4:4">
      <c r="D6380" s="1"/>
    </row>
    <row r="6381" spans="4:4">
      <c r="D6381" s="1"/>
    </row>
    <row r="6382" spans="4:4">
      <c r="D6382" s="1"/>
    </row>
    <row r="6383" spans="4:4">
      <c r="D6383" s="1"/>
    </row>
    <row r="6384" spans="4:4">
      <c r="D6384" s="1"/>
    </row>
    <row r="6385" spans="4:4">
      <c r="D6385" s="1"/>
    </row>
    <row r="6386" spans="4:4">
      <c r="D6386" s="1"/>
    </row>
    <row r="6387" spans="4:4">
      <c r="D6387" s="1"/>
    </row>
    <row r="6388" spans="4:4">
      <c r="D6388" s="1"/>
    </row>
    <row r="6389" spans="4:4">
      <c r="D6389" s="1"/>
    </row>
    <row r="6390" spans="4:4">
      <c r="D6390" s="1"/>
    </row>
    <row r="6391" spans="4:4">
      <c r="D6391" s="1"/>
    </row>
    <row r="6392" spans="4:4">
      <c r="D6392" s="1"/>
    </row>
    <row r="6393" spans="4:4">
      <c r="D6393" s="1"/>
    </row>
    <row r="6394" spans="4:4">
      <c r="D6394" s="1"/>
    </row>
    <row r="6395" spans="4:4">
      <c r="D6395" s="1"/>
    </row>
    <row r="6396" spans="4:4">
      <c r="D6396" s="1"/>
    </row>
    <row r="6397" spans="4:4">
      <c r="D6397" s="1"/>
    </row>
    <row r="6398" spans="4:4">
      <c r="D6398" s="1"/>
    </row>
    <row r="6399" spans="4:4">
      <c r="D6399" s="1"/>
    </row>
    <row r="6400" spans="4:4">
      <c r="D6400" s="1"/>
    </row>
    <row r="6401" spans="4:4">
      <c r="D6401" s="1"/>
    </row>
    <row r="6402" spans="4:4">
      <c r="D6402" s="1"/>
    </row>
    <row r="6403" spans="4:4">
      <c r="D6403" s="1"/>
    </row>
    <row r="6404" spans="4:4">
      <c r="D6404" s="1"/>
    </row>
    <row r="6405" spans="4:4">
      <c r="D6405" s="1"/>
    </row>
    <row r="6406" spans="4:4">
      <c r="D6406" s="1"/>
    </row>
    <row r="6407" spans="4:4">
      <c r="D6407" s="1"/>
    </row>
    <row r="6408" spans="4:4">
      <c r="D6408" s="1"/>
    </row>
    <row r="6409" spans="4:4">
      <c r="D6409" s="1"/>
    </row>
    <row r="6410" spans="4:4">
      <c r="D6410" s="1"/>
    </row>
    <row r="6411" spans="4:4">
      <c r="D6411" s="1"/>
    </row>
    <row r="6412" spans="4:4">
      <c r="D6412" s="1"/>
    </row>
    <row r="6413" spans="4:4">
      <c r="D6413" s="1"/>
    </row>
    <row r="6414" spans="4:4">
      <c r="D6414" s="1"/>
    </row>
    <row r="6415" spans="4:4">
      <c r="D6415" s="1"/>
    </row>
    <row r="6416" spans="4:4">
      <c r="D6416" s="1"/>
    </row>
    <row r="6417" spans="4:4">
      <c r="D6417" s="1"/>
    </row>
    <row r="6418" spans="4:4">
      <c r="D6418" s="1"/>
    </row>
    <row r="6419" spans="4:4">
      <c r="D6419" s="1"/>
    </row>
    <row r="6420" spans="4:4">
      <c r="D6420" s="1"/>
    </row>
    <row r="6421" spans="4:4">
      <c r="D6421" s="1"/>
    </row>
    <row r="6422" spans="4:4">
      <c r="D6422" s="1"/>
    </row>
    <row r="6423" spans="4:4">
      <c r="D6423" s="1"/>
    </row>
    <row r="6424" spans="4:4">
      <c r="D6424" s="1"/>
    </row>
    <row r="6425" spans="4:4">
      <c r="D6425" s="1"/>
    </row>
    <row r="6426" spans="4:4">
      <c r="D6426" s="1"/>
    </row>
    <row r="6427" spans="4:4">
      <c r="D6427" s="1"/>
    </row>
    <row r="6428" spans="4:4">
      <c r="D6428" s="1"/>
    </row>
    <row r="6429" spans="4:4">
      <c r="D6429" s="1"/>
    </row>
    <row r="6430" spans="4:4">
      <c r="D6430" s="1"/>
    </row>
    <row r="6431" spans="4:4">
      <c r="D6431" s="1"/>
    </row>
    <row r="6432" spans="4:4">
      <c r="D6432" s="1"/>
    </row>
    <row r="6433" spans="4:4">
      <c r="D6433" s="1"/>
    </row>
    <row r="6434" spans="4:4">
      <c r="D6434" s="1"/>
    </row>
    <row r="6435" spans="4:4">
      <c r="D6435" s="1"/>
    </row>
    <row r="6436" spans="4:4">
      <c r="D6436" s="1"/>
    </row>
    <row r="6437" spans="4:4">
      <c r="D6437" s="1"/>
    </row>
    <row r="6438" spans="4:4">
      <c r="D6438" s="1"/>
    </row>
    <row r="6439" spans="4:4">
      <c r="D6439" s="1"/>
    </row>
    <row r="6440" spans="4:4">
      <c r="D6440" s="1"/>
    </row>
    <row r="6441" spans="4:4">
      <c r="D6441" s="1"/>
    </row>
    <row r="6442" spans="4:4">
      <c r="D6442" s="1"/>
    </row>
    <row r="6443" spans="4:4">
      <c r="D6443" s="1"/>
    </row>
    <row r="6444" spans="4:4">
      <c r="D6444" s="1"/>
    </row>
    <row r="6445" spans="4:4">
      <c r="D6445" s="1"/>
    </row>
    <row r="6446" spans="4:4">
      <c r="D6446" s="1"/>
    </row>
    <row r="6447" spans="4:4">
      <c r="D6447" s="1"/>
    </row>
    <row r="6448" spans="4:4">
      <c r="D6448" s="1"/>
    </row>
    <row r="6449" spans="4:4">
      <c r="D6449" s="1"/>
    </row>
    <row r="6450" spans="4:4">
      <c r="D6450" s="1"/>
    </row>
    <row r="6451" spans="4:4">
      <c r="D6451" s="1"/>
    </row>
    <row r="6452" spans="4:4">
      <c r="D6452" s="1"/>
    </row>
    <row r="6453" spans="4:4">
      <c r="D6453" s="1"/>
    </row>
    <row r="6454" spans="4:4">
      <c r="D6454" s="1"/>
    </row>
    <row r="6455" spans="4:4">
      <c r="D6455" s="1"/>
    </row>
    <row r="6456" spans="4:4">
      <c r="D6456" s="1"/>
    </row>
    <row r="6457" spans="4:4">
      <c r="D6457" s="1"/>
    </row>
    <row r="6458" spans="4:4">
      <c r="D6458" s="1"/>
    </row>
    <row r="6459" spans="4:4">
      <c r="D6459" s="1"/>
    </row>
    <row r="6460" spans="4:4">
      <c r="D6460" s="1"/>
    </row>
    <row r="6461" spans="4:4">
      <c r="D6461" s="1"/>
    </row>
    <row r="6462" spans="4:4">
      <c r="D6462" s="1"/>
    </row>
    <row r="6463" spans="4:4">
      <c r="D6463" s="1"/>
    </row>
    <row r="6464" spans="4:4">
      <c r="D6464" s="1"/>
    </row>
    <row r="6465" spans="4:4">
      <c r="D6465" s="1"/>
    </row>
    <row r="6466" spans="4:4">
      <c r="D6466" s="1"/>
    </row>
    <row r="6467" spans="4:4">
      <c r="D6467" s="1"/>
    </row>
    <row r="6468" spans="4:4">
      <c r="D6468" s="1"/>
    </row>
    <row r="6469" spans="4:4">
      <c r="D6469" s="1"/>
    </row>
    <row r="6470" spans="4:4">
      <c r="D6470" s="1"/>
    </row>
    <row r="6471" spans="4:4">
      <c r="D6471" s="1"/>
    </row>
    <row r="6472" spans="4:4">
      <c r="D6472" s="1"/>
    </row>
    <row r="6473" spans="4:4">
      <c r="D6473" s="1"/>
    </row>
    <row r="6474" spans="4:4">
      <c r="D6474" s="1"/>
    </row>
    <row r="6475" spans="4:4">
      <c r="D6475" s="1"/>
    </row>
    <row r="6476" spans="4:4">
      <c r="D6476" s="1"/>
    </row>
    <row r="6477" spans="4:4">
      <c r="D6477" s="1"/>
    </row>
    <row r="6478" spans="4:4">
      <c r="D6478" s="1"/>
    </row>
    <row r="6479" spans="4:4">
      <c r="D6479" s="1"/>
    </row>
    <row r="6480" spans="4:4">
      <c r="D6480" s="1"/>
    </row>
    <row r="6481" spans="4:4">
      <c r="D6481" s="1"/>
    </row>
    <row r="6482" spans="4:4">
      <c r="D6482" s="1"/>
    </row>
    <row r="6483" spans="4:4">
      <c r="D6483" s="1"/>
    </row>
    <row r="6484" spans="4:4">
      <c r="D6484" s="1"/>
    </row>
    <row r="6485" spans="4:4">
      <c r="D6485" s="1"/>
    </row>
    <row r="6486" spans="4:4">
      <c r="D6486" s="1"/>
    </row>
    <row r="6487" spans="4:4">
      <c r="D6487" s="1"/>
    </row>
    <row r="6488" spans="4:4">
      <c r="D6488" s="1"/>
    </row>
    <row r="6489" spans="4:4">
      <c r="D6489" s="1"/>
    </row>
    <row r="6490" spans="4:4">
      <c r="D6490" s="1"/>
    </row>
    <row r="6491" spans="4:4">
      <c r="D6491" s="1"/>
    </row>
    <row r="6492" spans="4:4">
      <c r="D6492" s="1"/>
    </row>
    <row r="6493" spans="4:4">
      <c r="D6493" s="1"/>
    </row>
    <row r="6494" spans="4:4">
      <c r="D6494" s="1"/>
    </row>
    <row r="6495" spans="4:4">
      <c r="D6495" s="1"/>
    </row>
    <row r="6496" spans="4:4">
      <c r="D6496" s="1"/>
    </row>
    <row r="6497" spans="4:4">
      <c r="D6497" s="1"/>
    </row>
    <row r="6498" spans="4:4">
      <c r="D6498" s="1"/>
    </row>
    <row r="6499" spans="4:4">
      <c r="D6499" s="1"/>
    </row>
    <row r="6500" spans="4:4">
      <c r="D6500" s="1"/>
    </row>
    <row r="6501" spans="4:4">
      <c r="D6501" s="1"/>
    </row>
    <row r="6502" spans="4:4">
      <c r="D6502" s="1"/>
    </row>
    <row r="6503" spans="4:4">
      <c r="D6503" s="1"/>
    </row>
    <row r="6504" spans="4:4">
      <c r="D6504" s="1"/>
    </row>
    <row r="6505" spans="4:4">
      <c r="D6505" s="1"/>
    </row>
    <row r="6506" spans="4:4">
      <c r="D6506" s="1"/>
    </row>
    <row r="6507" spans="4:4">
      <c r="D6507" s="1"/>
    </row>
    <row r="6508" spans="4:4">
      <c r="D6508" s="1"/>
    </row>
    <row r="6509" spans="4:4">
      <c r="D6509" s="1"/>
    </row>
    <row r="6510" spans="4:4">
      <c r="D6510" s="1"/>
    </row>
    <row r="6511" spans="4:4">
      <c r="D6511" s="1"/>
    </row>
    <row r="6512" spans="4:4">
      <c r="D6512" s="1"/>
    </row>
    <row r="6513" spans="4:4">
      <c r="D6513" s="1"/>
    </row>
    <row r="6514" spans="4:4">
      <c r="D6514" s="1"/>
    </row>
    <row r="6515" spans="4:4">
      <c r="D6515" s="1"/>
    </row>
    <row r="6516" spans="4:4">
      <c r="D6516" s="1"/>
    </row>
    <row r="6517" spans="4:4">
      <c r="D6517" s="1"/>
    </row>
    <row r="6518" spans="4:4">
      <c r="D6518" s="1"/>
    </row>
    <row r="6519" spans="4:4">
      <c r="D6519" s="1"/>
    </row>
    <row r="6520" spans="4:4">
      <c r="D6520" s="1"/>
    </row>
    <row r="6521" spans="4:4">
      <c r="D6521" s="1"/>
    </row>
    <row r="6522" spans="4:4">
      <c r="D6522" s="1"/>
    </row>
    <row r="6523" spans="4:4">
      <c r="D6523" s="1"/>
    </row>
    <row r="6524" spans="4:4">
      <c r="D6524" s="1"/>
    </row>
    <row r="6525" spans="4:4">
      <c r="D6525" s="1"/>
    </row>
    <row r="6526" spans="4:4">
      <c r="D6526" s="1"/>
    </row>
    <row r="6527" spans="4:4">
      <c r="D6527" s="1"/>
    </row>
    <row r="6528" spans="4:4">
      <c r="D6528" s="1"/>
    </row>
    <row r="6529" spans="4:4">
      <c r="D6529" s="1"/>
    </row>
    <row r="6530" spans="4:4">
      <c r="D6530" s="1"/>
    </row>
    <row r="6531" spans="4:4">
      <c r="D6531" s="1"/>
    </row>
    <row r="6532" spans="4:4">
      <c r="D6532" s="1"/>
    </row>
    <row r="6533" spans="4:4">
      <c r="D6533" s="1"/>
    </row>
    <row r="6534" spans="4:4">
      <c r="D6534" s="1"/>
    </row>
    <row r="6535" spans="4:4">
      <c r="D6535" s="1"/>
    </row>
    <row r="6536" spans="4:4">
      <c r="D6536" s="1"/>
    </row>
    <row r="6537" spans="4:4">
      <c r="D6537" s="1"/>
    </row>
    <row r="6538" spans="4:4">
      <c r="D6538" s="1"/>
    </row>
    <row r="6539" spans="4:4">
      <c r="D6539" s="1"/>
    </row>
    <row r="6540" spans="4:4">
      <c r="D6540" s="1"/>
    </row>
    <row r="6541" spans="4:4">
      <c r="D6541" s="1"/>
    </row>
    <row r="6542" spans="4:4">
      <c r="D6542" s="1"/>
    </row>
    <row r="6543" spans="4:4">
      <c r="D6543" s="1"/>
    </row>
    <row r="6544" spans="4:4">
      <c r="D6544" s="1"/>
    </row>
    <row r="6545" spans="4:4">
      <c r="D6545" s="1"/>
    </row>
    <row r="6546" spans="4:4">
      <c r="D6546" s="1"/>
    </row>
    <row r="6547" spans="4:4">
      <c r="D6547" s="1"/>
    </row>
    <row r="6548" spans="4:4">
      <c r="D6548" s="1"/>
    </row>
    <row r="6549" spans="4:4">
      <c r="D6549" s="1"/>
    </row>
    <row r="6550" spans="4:4">
      <c r="D6550" s="1"/>
    </row>
    <row r="6551" spans="4:4">
      <c r="D6551" s="1"/>
    </row>
    <row r="6552" spans="4:4">
      <c r="D6552" s="1"/>
    </row>
    <row r="6553" spans="4:4">
      <c r="D6553" s="1"/>
    </row>
    <row r="6554" spans="4:4">
      <c r="D6554" s="1"/>
    </row>
    <row r="6555" spans="4:4">
      <c r="D6555" s="1"/>
    </row>
    <row r="6556" spans="4:4">
      <c r="D6556" s="1"/>
    </row>
    <row r="6557" spans="4:4">
      <c r="D6557" s="1"/>
    </row>
    <row r="6558" spans="4:4">
      <c r="D6558" s="1"/>
    </row>
    <row r="6559" spans="4:4">
      <c r="D6559" s="1"/>
    </row>
    <row r="6560" spans="4:4">
      <c r="D6560" s="1"/>
    </row>
    <row r="6561" spans="4:4">
      <c r="D6561" s="1"/>
    </row>
    <row r="6562" spans="4:4">
      <c r="D6562" s="1"/>
    </row>
    <row r="6563" spans="4:4">
      <c r="D6563" s="1"/>
    </row>
    <row r="6564" spans="4:4">
      <c r="D6564" s="1"/>
    </row>
    <row r="6565" spans="4:4">
      <c r="D6565" s="1"/>
    </row>
    <row r="6566" spans="4:4">
      <c r="D6566" s="1"/>
    </row>
    <row r="6567" spans="4:4">
      <c r="D6567" s="1"/>
    </row>
    <row r="6568" spans="4:4">
      <c r="D6568" s="1"/>
    </row>
    <row r="6569" spans="4:4">
      <c r="D6569" s="1"/>
    </row>
    <row r="6570" spans="4:4">
      <c r="D6570" s="1"/>
    </row>
    <row r="6571" spans="4:4">
      <c r="D6571" s="1"/>
    </row>
    <row r="6572" spans="4:4">
      <c r="D6572" s="1"/>
    </row>
    <row r="6573" spans="4:4">
      <c r="D6573" s="1"/>
    </row>
    <row r="6574" spans="4:4">
      <c r="D6574" s="1"/>
    </row>
    <row r="6575" spans="4:4">
      <c r="D6575" s="1"/>
    </row>
    <row r="6576" spans="4:4">
      <c r="D6576" s="1"/>
    </row>
    <row r="6577" spans="4:4">
      <c r="D6577" s="1"/>
    </row>
    <row r="6578" spans="4:4">
      <c r="D6578" s="1"/>
    </row>
    <row r="6579" spans="4:4">
      <c r="D6579" s="1"/>
    </row>
    <row r="6580" spans="4:4">
      <c r="D6580" s="1"/>
    </row>
    <row r="6581" spans="4:4">
      <c r="D6581" s="1"/>
    </row>
    <row r="6582" spans="4:4">
      <c r="D6582" s="1"/>
    </row>
    <row r="6583" spans="4:4">
      <c r="D6583" s="1"/>
    </row>
    <row r="6584" spans="4:4">
      <c r="D6584" s="1"/>
    </row>
    <row r="6585" spans="4:4">
      <c r="D6585" s="1"/>
    </row>
    <row r="6586" spans="4:4">
      <c r="D6586" s="1"/>
    </row>
    <row r="6587" spans="4:4">
      <c r="D6587" s="1"/>
    </row>
    <row r="6588" spans="4:4">
      <c r="D6588" s="1"/>
    </row>
    <row r="6589" spans="4:4">
      <c r="D6589" s="1"/>
    </row>
    <row r="6590" spans="4:4">
      <c r="D6590" s="1"/>
    </row>
    <row r="6591" spans="4:4">
      <c r="D6591" s="1"/>
    </row>
    <row r="6592" spans="4:4">
      <c r="D6592" s="1"/>
    </row>
    <row r="6593" spans="4:4">
      <c r="D6593" s="1"/>
    </row>
    <row r="6594" spans="4:4">
      <c r="D6594" s="1"/>
    </row>
    <row r="6595" spans="4:4">
      <c r="D6595" s="1"/>
    </row>
    <row r="6596" spans="4:4">
      <c r="D6596" s="1"/>
    </row>
    <row r="6597" spans="4:4">
      <c r="D6597" s="1"/>
    </row>
    <row r="6598" spans="4:4">
      <c r="D6598" s="1"/>
    </row>
    <row r="6599" spans="4:4">
      <c r="D6599" s="1"/>
    </row>
    <row r="6600" spans="4:4">
      <c r="D6600" s="1"/>
    </row>
    <row r="6601" spans="4:4">
      <c r="D6601" s="1"/>
    </row>
    <row r="6602" spans="4:4">
      <c r="D6602" s="1"/>
    </row>
    <row r="6603" spans="4:4">
      <c r="D6603" s="1"/>
    </row>
    <row r="6604" spans="4:4">
      <c r="D6604" s="1"/>
    </row>
    <row r="6605" spans="4:4">
      <c r="D6605" s="1"/>
    </row>
    <row r="6606" spans="4:4">
      <c r="D6606" s="1"/>
    </row>
    <row r="6607" spans="4:4">
      <c r="D6607" s="1"/>
    </row>
    <row r="6608" spans="4:4">
      <c r="D6608" s="1"/>
    </row>
    <row r="6609" spans="4:4">
      <c r="D6609" s="1"/>
    </row>
    <row r="6610" spans="4:4">
      <c r="D6610" s="1"/>
    </row>
    <row r="6611" spans="4:4">
      <c r="D6611" s="1"/>
    </row>
    <row r="6612" spans="4:4">
      <c r="D6612" s="1"/>
    </row>
    <row r="6613" spans="4:4">
      <c r="D6613" s="1"/>
    </row>
    <row r="6614" spans="4:4">
      <c r="D6614" s="1"/>
    </row>
    <row r="6615" spans="4:4">
      <c r="D6615" s="1"/>
    </row>
    <row r="6616" spans="4:4">
      <c r="D6616" s="1"/>
    </row>
    <row r="6617" spans="4:4">
      <c r="D6617" s="1"/>
    </row>
    <row r="6618" spans="4:4">
      <c r="D6618" s="1"/>
    </row>
    <row r="6619" spans="4:4">
      <c r="D6619" s="1"/>
    </row>
    <row r="6620" spans="4:4">
      <c r="D6620" s="1"/>
    </row>
    <row r="6621" spans="4:4">
      <c r="D6621" s="1"/>
    </row>
    <row r="6622" spans="4:4">
      <c r="D6622" s="1"/>
    </row>
    <row r="6623" spans="4:4">
      <c r="D6623" s="1"/>
    </row>
    <row r="6624" spans="4:4">
      <c r="D6624" s="1"/>
    </row>
    <row r="6625" spans="4:4">
      <c r="D6625" s="1"/>
    </row>
    <row r="6626" spans="4:4">
      <c r="D6626" s="1"/>
    </row>
    <row r="6627" spans="4:4">
      <c r="D6627" s="1"/>
    </row>
    <row r="6628" spans="4:4">
      <c r="D6628" s="1"/>
    </row>
    <row r="6629" spans="4:4">
      <c r="D6629" s="1"/>
    </row>
    <row r="6630" spans="4:4">
      <c r="D6630" s="1"/>
    </row>
    <row r="6631" spans="4:4">
      <c r="D6631" s="1"/>
    </row>
    <row r="6632" spans="4:4">
      <c r="D6632" s="1"/>
    </row>
    <row r="6633" spans="4:4">
      <c r="D6633" s="1"/>
    </row>
    <row r="6634" spans="4:4">
      <c r="D6634" s="1"/>
    </row>
    <row r="6635" spans="4:4">
      <c r="D6635" s="1"/>
    </row>
    <row r="6636" spans="4:4">
      <c r="D6636" s="1"/>
    </row>
    <row r="6637" spans="4:4">
      <c r="D6637" s="1"/>
    </row>
    <row r="6638" spans="4:4">
      <c r="D6638" s="1"/>
    </row>
    <row r="6639" spans="4:4">
      <c r="D6639" s="1"/>
    </row>
    <row r="6640" spans="4:4">
      <c r="D6640" s="1"/>
    </row>
    <row r="6641" spans="4:4">
      <c r="D6641" s="1"/>
    </row>
    <row r="6642" spans="4:4">
      <c r="D6642" s="1"/>
    </row>
    <row r="6643" spans="4:4">
      <c r="D6643" s="1"/>
    </row>
    <row r="6644" spans="4:4">
      <c r="D6644" s="1"/>
    </row>
    <row r="6645" spans="4:4">
      <c r="D6645" s="1"/>
    </row>
    <row r="6646" spans="4:4">
      <c r="D6646" s="1"/>
    </row>
    <row r="6647" spans="4:4">
      <c r="D6647" s="1"/>
    </row>
    <row r="6648" spans="4:4">
      <c r="D6648" s="1"/>
    </row>
    <row r="6649" spans="4:4">
      <c r="D6649" s="1"/>
    </row>
    <row r="6650" spans="4:4">
      <c r="D6650" s="1"/>
    </row>
    <row r="6651" spans="4:4">
      <c r="D6651" s="1"/>
    </row>
    <row r="6652" spans="4:4">
      <c r="D6652" s="1"/>
    </row>
    <row r="6653" spans="4:4">
      <c r="D6653" s="1"/>
    </row>
    <row r="6654" spans="4:4">
      <c r="D6654" s="1"/>
    </row>
    <row r="6655" spans="4:4">
      <c r="D6655" s="1"/>
    </row>
    <row r="6656" spans="4:4">
      <c r="D6656" s="1"/>
    </row>
    <row r="6657" spans="4:4">
      <c r="D6657" s="1"/>
    </row>
    <row r="6658" spans="4:4">
      <c r="D6658" s="1"/>
    </row>
    <row r="6659" spans="4:4">
      <c r="D6659" s="1"/>
    </row>
    <row r="6660" spans="4:4">
      <c r="D6660" s="1"/>
    </row>
    <row r="6661" spans="4:4">
      <c r="D6661" s="1"/>
    </row>
    <row r="6662" spans="4:4">
      <c r="D6662" s="1"/>
    </row>
    <row r="6663" spans="4:4">
      <c r="D6663" s="1"/>
    </row>
    <row r="6664" spans="4:4">
      <c r="D6664" s="1"/>
    </row>
    <row r="6665" spans="4:4">
      <c r="D6665" s="1"/>
    </row>
    <row r="6666" spans="4:4">
      <c r="D6666" s="1"/>
    </row>
    <row r="6667" spans="4:4">
      <c r="D6667" s="1"/>
    </row>
    <row r="6668" spans="4:4">
      <c r="D6668" s="1"/>
    </row>
    <row r="6669" spans="4:4">
      <c r="D6669" s="1"/>
    </row>
    <row r="6670" spans="4:4">
      <c r="D6670" s="1"/>
    </row>
    <row r="6671" spans="4:4">
      <c r="D6671" s="1"/>
    </row>
    <row r="6672" spans="4:4">
      <c r="D6672" s="1"/>
    </row>
    <row r="6673" spans="4:4">
      <c r="D6673" s="1"/>
    </row>
    <row r="6674" spans="4:4">
      <c r="D6674" s="1"/>
    </row>
    <row r="6675" spans="4:4">
      <c r="D6675" s="1"/>
    </row>
    <row r="6676" spans="4:4">
      <c r="D6676" s="1"/>
    </row>
    <row r="6677" spans="4:4">
      <c r="D6677" s="1"/>
    </row>
    <row r="6678" spans="4:4">
      <c r="D6678" s="1"/>
    </row>
    <row r="6679" spans="4:4">
      <c r="D6679" s="1"/>
    </row>
    <row r="6680" spans="4:4">
      <c r="D6680" s="1"/>
    </row>
    <row r="6681" spans="4:4">
      <c r="D6681" s="1"/>
    </row>
    <row r="6682" spans="4:4">
      <c r="D6682" s="1"/>
    </row>
    <row r="6683" spans="4:4">
      <c r="D6683" s="1"/>
    </row>
    <row r="6684" spans="4:4">
      <c r="D6684" s="1"/>
    </row>
    <row r="6685" spans="4:4">
      <c r="D6685" s="1"/>
    </row>
    <row r="6686" spans="4:4">
      <c r="D6686" s="1"/>
    </row>
    <row r="6687" spans="4:4">
      <c r="D6687" s="1"/>
    </row>
    <row r="6688" spans="4:4">
      <c r="D6688" s="1"/>
    </row>
    <row r="6689" spans="4:4">
      <c r="D6689" s="1"/>
    </row>
    <row r="6690" spans="4:4">
      <c r="D6690" s="1"/>
    </row>
    <row r="6691" spans="4:4">
      <c r="D6691" s="1"/>
    </row>
    <row r="6692" spans="4:4">
      <c r="D6692" s="1"/>
    </row>
    <row r="6693" spans="4:4">
      <c r="D6693" s="1"/>
    </row>
    <row r="6694" spans="4:4">
      <c r="D6694" s="1"/>
    </row>
    <row r="6695" spans="4:4">
      <c r="D6695" s="1"/>
    </row>
    <row r="6696" spans="4:4">
      <c r="D6696" s="1"/>
    </row>
    <row r="6697" spans="4:4">
      <c r="D6697" s="1"/>
    </row>
    <row r="6698" spans="4:4">
      <c r="D6698" s="1"/>
    </row>
    <row r="6699" spans="4:4">
      <c r="D6699" s="1"/>
    </row>
    <row r="6700" spans="4:4">
      <c r="D6700" s="1"/>
    </row>
    <row r="6701" spans="4:4">
      <c r="D6701" s="1"/>
    </row>
    <row r="6702" spans="4:4">
      <c r="D6702" s="1"/>
    </row>
    <row r="6703" spans="4:4">
      <c r="D6703" s="1"/>
    </row>
    <row r="6704" spans="4:4">
      <c r="D6704" s="1"/>
    </row>
    <row r="6705" spans="4:4">
      <c r="D6705" s="1"/>
    </row>
    <row r="6706" spans="4:4">
      <c r="D6706" s="1"/>
    </row>
    <row r="6707" spans="4:4">
      <c r="D6707" s="1"/>
    </row>
    <row r="6708" spans="4:4">
      <c r="D6708" s="1"/>
    </row>
    <row r="6709" spans="4:4">
      <c r="D6709" s="1"/>
    </row>
    <row r="6710" spans="4:4">
      <c r="D6710" s="1"/>
    </row>
    <row r="6711" spans="4:4">
      <c r="D6711" s="1"/>
    </row>
    <row r="6712" spans="4:4">
      <c r="D6712" s="1"/>
    </row>
    <row r="6713" spans="4:4">
      <c r="D6713" s="1"/>
    </row>
    <row r="6714" spans="4:4">
      <c r="D6714" s="1"/>
    </row>
    <row r="6715" spans="4:4">
      <c r="D6715" s="1"/>
    </row>
    <row r="6716" spans="4:4">
      <c r="D6716" s="1"/>
    </row>
    <row r="6717" spans="4:4">
      <c r="D6717" s="1"/>
    </row>
    <row r="6718" spans="4:4">
      <c r="D6718" s="1"/>
    </row>
    <row r="6719" spans="4:4">
      <c r="D6719" s="1"/>
    </row>
    <row r="6720" spans="4:4">
      <c r="D6720" s="1"/>
    </row>
    <row r="6721" spans="4:4">
      <c r="D6721" s="1"/>
    </row>
    <row r="6722" spans="4:4">
      <c r="D6722" s="1"/>
    </row>
    <row r="6723" spans="4:4">
      <c r="D6723" s="1"/>
    </row>
    <row r="6724" spans="4:4">
      <c r="D6724" s="1"/>
    </row>
    <row r="6725" spans="4:4">
      <c r="D6725" s="1"/>
    </row>
    <row r="6726" spans="4:4">
      <c r="D6726" s="1"/>
    </row>
    <row r="6727" spans="4:4">
      <c r="D6727" s="1"/>
    </row>
    <row r="6728" spans="4:4">
      <c r="D6728" s="1"/>
    </row>
    <row r="6729" spans="4:4">
      <c r="D6729" s="1"/>
    </row>
    <row r="6730" spans="4:4">
      <c r="D6730" s="1"/>
    </row>
    <row r="6731" spans="4:4">
      <c r="D6731" s="1"/>
    </row>
    <row r="6732" spans="4:4">
      <c r="D6732" s="1"/>
    </row>
    <row r="6733" spans="4:4">
      <c r="D6733" s="1"/>
    </row>
    <row r="6734" spans="4:4">
      <c r="D6734" s="1"/>
    </row>
    <row r="6735" spans="4:4">
      <c r="D6735" s="1"/>
    </row>
    <row r="6736" spans="4:4">
      <c r="D6736" s="1"/>
    </row>
    <row r="6737" spans="4:4">
      <c r="D6737" s="1"/>
    </row>
    <row r="6738" spans="4:4">
      <c r="D6738" s="1"/>
    </row>
    <row r="6739" spans="4:4">
      <c r="D6739" s="1"/>
    </row>
    <row r="6740" spans="4:4">
      <c r="D6740" s="1"/>
    </row>
    <row r="6741" spans="4:4">
      <c r="D6741" s="1"/>
    </row>
    <row r="6742" spans="4:4">
      <c r="D6742" s="1"/>
    </row>
    <row r="6743" spans="4:4">
      <c r="D6743" s="1"/>
    </row>
    <row r="6744" spans="4:4">
      <c r="D6744" s="1"/>
    </row>
    <row r="6745" spans="4:4">
      <c r="D6745" s="1"/>
    </row>
    <row r="6746" spans="4:4">
      <c r="D6746" s="1"/>
    </row>
    <row r="6747" spans="4:4">
      <c r="D6747" s="1"/>
    </row>
    <row r="6748" spans="4:4">
      <c r="D6748" s="1"/>
    </row>
    <row r="6749" spans="4:4">
      <c r="D6749" s="1"/>
    </row>
    <row r="6750" spans="4:4">
      <c r="D6750" s="1"/>
    </row>
    <row r="6751" spans="4:4">
      <c r="D6751" s="1"/>
    </row>
    <row r="6752" spans="4:4">
      <c r="D6752" s="1"/>
    </row>
    <row r="6753" spans="4:4">
      <c r="D6753" s="1"/>
    </row>
    <row r="6754" spans="4:4">
      <c r="D6754" s="1"/>
    </row>
    <row r="6755" spans="4:4">
      <c r="D6755" s="1"/>
    </row>
    <row r="6756" spans="4:4">
      <c r="D6756" s="1"/>
    </row>
    <row r="6757" spans="4:4">
      <c r="D6757" s="1"/>
    </row>
    <row r="6758" spans="4:4">
      <c r="D6758" s="1"/>
    </row>
    <row r="6759" spans="4:4">
      <c r="D6759" s="1"/>
    </row>
    <row r="6760" spans="4:4">
      <c r="D6760" s="1"/>
    </row>
    <row r="6761" spans="4:4">
      <c r="D6761" s="1"/>
    </row>
    <row r="6762" spans="4:4">
      <c r="D6762" s="1"/>
    </row>
    <row r="6763" spans="4:4">
      <c r="D6763" s="1"/>
    </row>
    <row r="6764" spans="4:4">
      <c r="D6764" s="1"/>
    </row>
    <row r="6765" spans="4:4">
      <c r="D6765" s="1"/>
    </row>
    <row r="6766" spans="4:4">
      <c r="D6766" s="1"/>
    </row>
    <row r="6767" spans="4:4">
      <c r="D6767" s="1"/>
    </row>
    <row r="6768" spans="4:4">
      <c r="D6768" s="1"/>
    </row>
    <row r="6769" spans="4:4">
      <c r="D6769" s="1"/>
    </row>
    <row r="6770" spans="4:4">
      <c r="D6770" s="1"/>
    </row>
    <row r="6771" spans="4:4">
      <c r="D6771" s="1"/>
    </row>
    <row r="6772" spans="4:4">
      <c r="D6772" s="1"/>
    </row>
    <row r="6773" spans="4:4">
      <c r="D6773" s="1"/>
    </row>
    <row r="6774" spans="4:4">
      <c r="D6774" s="1"/>
    </row>
    <row r="6775" spans="4:4">
      <c r="D6775" s="1"/>
    </row>
    <row r="6776" spans="4:4">
      <c r="D6776" s="1"/>
    </row>
    <row r="6777" spans="4:4">
      <c r="D6777" s="1"/>
    </row>
    <row r="6778" spans="4:4">
      <c r="D6778" s="1"/>
    </row>
    <row r="6779" spans="4:4">
      <c r="D6779" s="1"/>
    </row>
    <row r="6780" spans="4:4">
      <c r="D6780" s="1"/>
    </row>
    <row r="6781" spans="4:4">
      <c r="D6781" s="1"/>
    </row>
    <row r="6782" spans="4:4">
      <c r="D6782" s="1"/>
    </row>
    <row r="6783" spans="4:4">
      <c r="D6783" s="1"/>
    </row>
    <row r="6784" spans="4:4">
      <c r="D6784" s="1"/>
    </row>
    <row r="6785" spans="4:4">
      <c r="D6785" s="1"/>
    </row>
    <row r="6786" spans="4:4">
      <c r="D6786" s="1"/>
    </row>
    <row r="6787" spans="4:4">
      <c r="D6787" s="1"/>
    </row>
    <row r="6788" spans="4:4">
      <c r="D6788" s="1"/>
    </row>
    <row r="6789" spans="4:4">
      <c r="D6789" s="1"/>
    </row>
    <row r="6790" spans="4:4">
      <c r="D6790" s="1"/>
    </row>
    <row r="6791" spans="4:4">
      <c r="D6791" s="1"/>
    </row>
    <row r="6792" spans="4:4">
      <c r="D6792" s="1"/>
    </row>
    <row r="6793" spans="4:4">
      <c r="D6793" s="1"/>
    </row>
    <row r="6794" spans="4:4">
      <c r="D6794" s="1"/>
    </row>
    <row r="6795" spans="4:4">
      <c r="D6795" s="1"/>
    </row>
    <row r="6796" spans="4:4">
      <c r="D6796" s="1"/>
    </row>
    <row r="6797" spans="4:4">
      <c r="D6797" s="1"/>
    </row>
    <row r="6798" spans="4:4">
      <c r="D6798" s="1"/>
    </row>
    <row r="6799" spans="4:4">
      <c r="D6799" s="1"/>
    </row>
    <row r="6800" spans="4:4">
      <c r="D6800" s="1"/>
    </row>
    <row r="6801" spans="4:4">
      <c r="D6801" s="1"/>
    </row>
    <row r="6802" spans="4:4">
      <c r="D6802" s="1"/>
    </row>
    <row r="6803" spans="4:4">
      <c r="D6803" s="1"/>
    </row>
    <row r="6804" spans="4:4">
      <c r="D6804" s="1"/>
    </row>
    <row r="6805" spans="4:4">
      <c r="D6805" s="1"/>
    </row>
    <row r="6806" spans="4:4">
      <c r="D6806" s="1"/>
    </row>
    <row r="6807" spans="4:4">
      <c r="D6807" s="1"/>
    </row>
    <row r="6808" spans="4:4">
      <c r="D6808" s="1"/>
    </row>
    <row r="6809" spans="4:4">
      <c r="D6809" s="1"/>
    </row>
    <row r="6810" spans="4:4">
      <c r="D6810" s="1"/>
    </row>
    <row r="6811" spans="4:4">
      <c r="D6811" s="1"/>
    </row>
    <row r="6812" spans="4:4">
      <c r="D6812" s="1"/>
    </row>
    <row r="6813" spans="4:4">
      <c r="D6813" s="1"/>
    </row>
    <row r="6814" spans="4:4">
      <c r="D6814" s="1"/>
    </row>
    <row r="6815" spans="4:4">
      <c r="D6815" s="1"/>
    </row>
    <row r="6816" spans="4:4">
      <c r="D6816" s="1"/>
    </row>
    <row r="6817" spans="4:4">
      <c r="D6817" s="1"/>
    </row>
    <row r="6818" spans="4:4">
      <c r="D6818" s="1"/>
    </row>
    <row r="6819" spans="4:4">
      <c r="D6819" s="1"/>
    </row>
    <row r="6820" spans="4:4">
      <c r="D6820" s="1"/>
    </row>
    <row r="6821" spans="4:4">
      <c r="D6821" s="1"/>
    </row>
    <row r="6822" spans="4:4">
      <c r="D6822" s="1"/>
    </row>
    <row r="6823" spans="4:4">
      <c r="D6823" s="1"/>
    </row>
    <row r="6824" spans="4:4">
      <c r="D6824" s="1"/>
    </row>
    <row r="6825" spans="4:4">
      <c r="D6825" s="1"/>
    </row>
    <row r="6826" spans="4:4">
      <c r="D6826" s="1"/>
    </row>
    <row r="6827" spans="4:4">
      <c r="D6827" s="1"/>
    </row>
    <row r="6828" spans="4:4">
      <c r="D6828" s="1"/>
    </row>
    <row r="6829" spans="4:4">
      <c r="D6829" s="1"/>
    </row>
    <row r="6830" spans="4:4">
      <c r="D6830" s="1"/>
    </row>
    <row r="6831" spans="4:4">
      <c r="D6831" s="1"/>
    </row>
    <row r="6832" spans="4:4">
      <c r="D6832" s="1"/>
    </row>
    <row r="6833" spans="4:4">
      <c r="D6833" s="1"/>
    </row>
    <row r="6834" spans="4:4">
      <c r="D6834" s="1"/>
    </row>
    <row r="6835" spans="4:4">
      <c r="D6835" s="1"/>
    </row>
    <row r="6836" spans="4:4">
      <c r="D6836" s="1"/>
    </row>
    <row r="6837" spans="4:4">
      <c r="D6837" s="1"/>
    </row>
    <row r="6838" spans="4:4">
      <c r="D6838" s="1"/>
    </row>
    <row r="6839" spans="4:4">
      <c r="D6839" s="1"/>
    </row>
    <row r="6840" spans="4:4">
      <c r="D6840" s="1"/>
    </row>
    <row r="6841" spans="4:4">
      <c r="D6841" s="1"/>
    </row>
    <row r="6842" spans="4:4">
      <c r="D6842" s="1"/>
    </row>
    <row r="6843" spans="4:4">
      <c r="D6843" s="1"/>
    </row>
    <row r="6844" spans="4:4">
      <c r="D6844" s="1"/>
    </row>
    <row r="6845" spans="4:4">
      <c r="D6845" s="1"/>
    </row>
    <row r="6846" spans="4:4">
      <c r="D6846" s="1"/>
    </row>
    <row r="6847" spans="4:4">
      <c r="D6847" s="1"/>
    </row>
    <row r="6848" spans="4:4">
      <c r="D6848" s="1"/>
    </row>
    <row r="6849" spans="4:4">
      <c r="D6849" s="1"/>
    </row>
    <row r="6850" spans="4:4">
      <c r="D6850" s="1"/>
    </row>
    <row r="6851" spans="4:4">
      <c r="D6851" s="1"/>
    </row>
    <row r="6852" spans="4:4">
      <c r="D6852" s="1"/>
    </row>
    <row r="6853" spans="4:4">
      <c r="D6853" s="1"/>
    </row>
    <row r="6854" spans="4:4">
      <c r="D6854" s="1"/>
    </row>
    <row r="6855" spans="4:4">
      <c r="D6855" s="1"/>
    </row>
    <row r="6856" spans="4:4">
      <c r="D6856" s="1"/>
    </row>
    <row r="6857" spans="4:4">
      <c r="D6857" s="1"/>
    </row>
    <row r="6858" spans="4:4">
      <c r="D6858" s="1"/>
    </row>
    <row r="6859" spans="4:4">
      <c r="D6859" s="1"/>
    </row>
    <row r="6860" spans="4:4">
      <c r="D6860" s="1"/>
    </row>
    <row r="6861" spans="4:4">
      <c r="D6861" s="1"/>
    </row>
    <row r="6862" spans="4:4">
      <c r="D6862" s="1"/>
    </row>
    <row r="6863" spans="4:4">
      <c r="D6863" s="1"/>
    </row>
    <row r="6864" spans="4:4">
      <c r="D6864" s="1"/>
    </row>
    <row r="6865" spans="4:4">
      <c r="D6865" s="1"/>
    </row>
    <row r="6866" spans="4:4">
      <c r="D6866" s="1"/>
    </row>
    <row r="6867" spans="4:4">
      <c r="D6867" s="1"/>
    </row>
    <row r="6868" spans="4:4">
      <c r="D6868" s="1"/>
    </row>
    <row r="6869" spans="4:4">
      <c r="D6869" s="1"/>
    </row>
    <row r="6870" spans="4:4">
      <c r="D6870" s="1"/>
    </row>
    <row r="6871" spans="4:4">
      <c r="D6871" s="1"/>
    </row>
    <row r="6872" spans="4:4">
      <c r="D6872" s="1"/>
    </row>
    <row r="6873" spans="4:4">
      <c r="D6873" s="1"/>
    </row>
    <row r="6874" spans="4:4">
      <c r="D6874" s="1"/>
    </row>
    <row r="6875" spans="4:4">
      <c r="D6875" s="1"/>
    </row>
    <row r="6876" spans="4:4">
      <c r="D6876" s="1"/>
    </row>
    <row r="6877" spans="4:4">
      <c r="D6877" s="1"/>
    </row>
    <row r="6878" spans="4:4">
      <c r="D6878" s="1"/>
    </row>
    <row r="6879" spans="4:4">
      <c r="D6879" s="1"/>
    </row>
    <row r="6880" spans="4:4">
      <c r="D6880" s="1"/>
    </row>
    <row r="6881" spans="4:4">
      <c r="D6881" s="1"/>
    </row>
    <row r="6882" spans="4:4">
      <c r="D6882" s="1"/>
    </row>
    <row r="6883" spans="4:4">
      <c r="D6883" s="1"/>
    </row>
    <row r="6884" spans="4:4">
      <c r="D6884" s="1"/>
    </row>
    <row r="6885" spans="4:4">
      <c r="D6885" s="1"/>
    </row>
    <row r="6886" spans="4:4">
      <c r="D6886" s="1"/>
    </row>
    <row r="6887" spans="4:4">
      <c r="D6887" s="1"/>
    </row>
    <row r="6888" spans="4:4">
      <c r="D6888" s="1"/>
    </row>
    <row r="6889" spans="4:4">
      <c r="D6889" s="1"/>
    </row>
    <row r="6890" spans="4:4">
      <c r="D6890" s="1"/>
    </row>
    <row r="6891" spans="4:4">
      <c r="D6891" s="1"/>
    </row>
    <row r="6892" spans="4:4">
      <c r="D6892" s="1"/>
    </row>
    <row r="6893" spans="4:4">
      <c r="D6893" s="1"/>
    </row>
    <row r="6894" spans="4:4">
      <c r="D6894" s="1"/>
    </row>
    <row r="6895" spans="4:4">
      <c r="D6895" s="1"/>
    </row>
    <row r="6896" spans="4:4">
      <c r="D6896" s="1"/>
    </row>
    <row r="6897" spans="4:4">
      <c r="D6897" s="1"/>
    </row>
    <row r="6898" spans="4:4">
      <c r="D6898" s="1"/>
    </row>
    <row r="6899" spans="4:4">
      <c r="D6899" s="1"/>
    </row>
    <row r="6900" spans="4:4">
      <c r="D6900" s="1"/>
    </row>
    <row r="6901" spans="4:4">
      <c r="D6901" s="1"/>
    </row>
    <row r="6902" spans="4:4">
      <c r="D6902" s="1"/>
    </row>
    <row r="6903" spans="4:4">
      <c r="D6903" s="1"/>
    </row>
    <row r="6904" spans="4:4">
      <c r="D6904" s="1"/>
    </row>
    <row r="6905" spans="4:4">
      <c r="D6905" s="1"/>
    </row>
    <row r="6906" spans="4:4">
      <c r="D6906" s="1"/>
    </row>
    <row r="6907" spans="4:4">
      <c r="D6907" s="1"/>
    </row>
    <row r="6908" spans="4:4">
      <c r="D6908" s="1"/>
    </row>
    <row r="6909" spans="4:4">
      <c r="D6909" s="1"/>
    </row>
    <row r="6910" spans="4:4">
      <c r="D6910" s="1"/>
    </row>
    <row r="6911" spans="4:4">
      <c r="D6911" s="1"/>
    </row>
    <row r="6912" spans="4:4">
      <c r="D6912" s="1"/>
    </row>
    <row r="6913" spans="4:4">
      <c r="D6913" s="1"/>
    </row>
    <row r="6914" spans="4:4">
      <c r="D6914" s="1"/>
    </row>
    <row r="6915" spans="4:4">
      <c r="D6915" s="1"/>
    </row>
    <row r="6916" spans="4:4">
      <c r="D6916" s="1"/>
    </row>
    <row r="6917" spans="4:4">
      <c r="D6917" s="1"/>
    </row>
    <row r="6918" spans="4:4">
      <c r="D6918" s="1"/>
    </row>
    <row r="6919" spans="4:4">
      <c r="D6919" s="1"/>
    </row>
    <row r="6920" spans="4:4">
      <c r="D6920" s="1"/>
    </row>
    <row r="6921" spans="4:4">
      <c r="D6921" s="1"/>
    </row>
    <row r="6922" spans="4:4">
      <c r="D6922" s="1"/>
    </row>
    <row r="6923" spans="4:4">
      <c r="D6923" s="1"/>
    </row>
    <row r="6924" spans="4:4">
      <c r="D6924" s="1"/>
    </row>
    <row r="6925" spans="4:4">
      <c r="D6925" s="1"/>
    </row>
    <row r="6926" spans="4:4">
      <c r="D6926" s="1"/>
    </row>
    <row r="6927" spans="4:4">
      <c r="D6927" s="1"/>
    </row>
    <row r="6928" spans="4:4">
      <c r="D6928" s="1"/>
    </row>
    <row r="6929" spans="4:4">
      <c r="D6929" s="1"/>
    </row>
    <row r="6930" spans="4:4">
      <c r="D6930" s="1"/>
    </row>
    <row r="6931" spans="4:4">
      <c r="D6931" s="1"/>
    </row>
    <row r="6932" spans="4:4">
      <c r="D6932" s="1"/>
    </row>
    <row r="6933" spans="4:4">
      <c r="D6933" s="1"/>
    </row>
    <row r="6934" spans="4:4">
      <c r="D6934" s="1"/>
    </row>
    <row r="6935" spans="4:4">
      <c r="D6935" s="1"/>
    </row>
    <row r="6936" spans="4:4">
      <c r="D6936" s="1"/>
    </row>
    <row r="6937" spans="4:4">
      <c r="D6937" s="1"/>
    </row>
    <row r="6938" spans="4:4">
      <c r="D6938" s="1"/>
    </row>
    <row r="6939" spans="4:4">
      <c r="D6939" s="1"/>
    </row>
    <row r="6940" spans="4:4">
      <c r="D6940" s="1"/>
    </row>
    <row r="6941" spans="4:4">
      <c r="D6941" s="1"/>
    </row>
    <row r="6942" spans="4:4">
      <c r="D6942" s="1"/>
    </row>
    <row r="6943" spans="4:4">
      <c r="D6943" s="1"/>
    </row>
    <row r="6944" spans="4:4">
      <c r="D6944" s="1"/>
    </row>
    <row r="6945" spans="4:4">
      <c r="D6945" s="1"/>
    </row>
    <row r="6946" spans="4:4">
      <c r="D6946" s="1"/>
    </row>
    <row r="6947" spans="4:4">
      <c r="D6947" s="1"/>
    </row>
    <row r="6948" spans="4:4">
      <c r="D6948" s="1"/>
    </row>
    <row r="6949" spans="4:4">
      <c r="D6949" s="1"/>
    </row>
    <row r="6950" spans="4:4">
      <c r="D6950" s="1"/>
    </row>
    <row r="6951" spans="4:4">
      <c r="D6951" s="1"/>
    </row>
    <row r="6952" spans="4:4">
      <c r="D6952" s="1"/>
    </row>
    <row r="6953" spans="4:4">
      <c r="D6953" s="1"/>
    </row>
    <row r="6954" spans="4:4">
      <c r="D6954" s="1"/>
    </row>
    <row r="6955" spans="4:4">
      <c r="D6955" s="1"/>
    </row>
    <row r="6956" spans="4:4">
      <c r="D6956" s="1"/>
    </row>
    <row r="6957" spans="4:4">
      <c r="D6957" s="1"/>
    </row>
    <row r="6958" spans="4:4">
      <c r="D6958" s="1"/>
    </row>
    <row r="6959" spans="4:4">
      <c r="D6959" s="1"/>
    </row>
    <row r="6960" spans="4:4">
      <c r="D6960" s="1"/>
    </row>
    <row r="6961" spans="4:4">
      <c r="D6961" s="1"/>
    </row>
    <row r="6962" spans="4:4">
      <c r="D6962" s="1"/>
    </row>
    <row r="6963" spans="4:4">
      <c r="D6963" s="1"/>
    </row>
    <row r="6964" spans="4:4">
      <c r="D6964" s="1"/>
    </row>
    <row r="6965" spans="4:4">
      <c r="D6965" s="1"/>
    </row>
    <row r="6966" spans="4:4">
      <c r="D6966" s="1"/>
    </row>
    <row r="6967" spans="4:4">
      <c r="D6967" s="1"/>
    </row>
    <row r="6968" spans="4:4">
      <c r="D6968" s="1"/>
    </row>
    <row r="6969" spans="4:4">
      <c r="D6969" s="1"/>
    </row>
    <row r="6970" spans="4:4">
      <c r="D6970" s="1"/>
    </row>
    <row r="6971" spans="4:4">
      <c r="D6971" s="1"/>
    </row>
    <row r="6972" spans="4:4">
      <c r="D6972" s="1"/>
    </row>
    <row r="6973" spans="4:4">
      <c r="D6973" s="1"/>
    </row>
    <row r="6974" spans="4:4">
      <c r="D6974" s="1"/>
    </row>
    <row r="6975" spans="4:4">
      <c r="D6975" s="1"/>
    </row>
    <row r="6976" spans="4:4">
      <c r="D6976" s="1"/>
    </row>
    <row r="6977" spans="4:4">
      <c r="D6977" s="1"/>
    </row>
    <row r="6978" spans="4:4">
      <c r="D6978" s="1"/>
    </row>
    <row r="6979" spans="4:4">
      <c r="D6979" s="1"/>
    </row>
    <row r="6980" spans="4:4">
      <c r="D6980" s="1"/>
    </row>
    <row r="6981" spans="4:4">
      <c r="D6981" s="1"/>
    </row>
    <row r="6982" spans="4:4">
      <c r="D6982" s="1"/>
    </row>
    <row r="6983" spans="4:4">
      <c r="D6983" s="1"/>
    </row>
    <row r="6984" spans="4:4">
      <c r="D6984" s="1"/>
    </row>
    <row r="6985" spans="4:4">
      <c r="D6985" s="1"/>
    </row>
    <row r="6986" spans="4:4">
      <c r="D6986" s="1"/>
    </row>
    <row r="6987" spans="4:4">
      <c r="D6987" s="1"/>
    </row>
    <row r="6988" spans="4:4">
      <c r="D6988" s="1"/>
    </row>
    <row r="6989" spans="4:4">
      <c r="D6989" s="1"/>
    </row>
    <row r="6990" spans="4:4">
      <c r="D6990" s="1"/>
    </row>
    <row r="6991" spans="4:4">
      <c r="D6991" s="1"/>
    </row>
    <row r="6992" spans="4:4">
      <c r="D6992" s="1"/>
    </row>
    <row r="6993" spans="4:4">
      <c r="D6993" s="1"/>
    </row>
    <row r="6994" spans="4:4">
      <c r="D6994" s="1"/>
    </row>
    <row r="6995" spans="4:4">
      <c r="D6995" s="1"/>
    </row>
    <row r="6996" spans="4:4">
      <c r="D6996" s="1"/>
    </row>
    <row r="6997" spans="4:4">
      <c r="D6997" s="1"/>
    </row>
    <row r="6998" spans="4:4">
      <c r="D6998" s="1"/>
    </row>
    <row r="6999" spans="4:4">
      <c r="D6999" s="1"/>
    </row>
    <row r="7000" spans="4:4">
      <c r="D7000" s="1"/>
    </row>
    <row r="7001" spans="4:4">
      <c r="D7001" s="1"/>
    </row>
    <row r="7002" spans="4:4">
      <c r="D7002" s="1"/>
    </row>
    <row r="7003" spans="4:4">
      <c r="D7003" s="1"/>
    </row>
    <row r="7004" spans="4:4">
      <c r="D7004" s="1"/>
    </row>
    <row r="7005" spans="4:4">
      <c r="D7005" s="1"/>
    </row>
    <row r="7006" spans="4:4">
      <c r="D7006" s="1"/>
    </row>
    <row r="7007" spans="4:4">
      <c r="D7007" s="1"/>
    </row>
    <row r="7008" spans="4:4">
      <c r="D7008" s="1"/>
    </row>
    <row r="7009" spans="4:4">
      <c r="D7009" s="1"/>
    </row>
    <row r="7010" spans="4:4">
      <c r="D7010" s="1"/>
    </row>
    <row r="7011" spans="4:4">
      <c r="D7011" s="1"/>
    </row>
    <row r="7012" spans="4:4">
      <c r="D7012" s="1"/>
    </row>
    <row r="7013" spans="4:4">
      <c r="D7013" s="1"/>
    </row>
    <row r="7014" spans="4:4">
      <c r="D7014" s="1"/>
    </row>
    <row r="7015" spans="4:4">
      <c r="D7015" s="1"/>
    </row>
    <row r="7016" spans="4:4">
      <c r="D7016" s="1"/>
    </row>
    <row r="7017" spans="4:4">
      <c r="D7017" s="1"/>
    </row>
    <row r="7018" spans="4:4">
      <c r="D7018" s="1"/>
    </row>
    <row r="7019" spans="4:4">
      <c r="D7019" s="1"/>
    </row>
    <row r="7020" spans="4:4">
      <c r="D7020" s="1"/>
    </row>
    <row r="7021" spans="4:4">
      <c r="D7021" s="1"/>
    </row>
    <row r="7022" spans="4:4">
      <c r="D7022" s="1"/>
    </row>
    <row r="7023" spans="4:4">
      <c r="D7023" s="1"/>
    </row>
    <row r="7024" spans="4:4">
      <c r="D7024" s="1"/>
    </row>
    <row r="7025" spans="4:4">
      <c r="D7025" s="1"/>
    </row>
    <row r="7026" spans="4:4">
      <c r="D7026" s="1"/>
    </row>
    <row r="7027" spans="4:4">
      <c r="D7027" s="1"/>
    </row>
    <row r="7028" spans="4:4">
      <c r="D7028" s="1"/>
    </row>
    <row r="7029" spans="4:4">
      <c r="D7029" s="1"/>
    </row>
    <row r="7030" spans="4:4">
      <c r="D7030" s="1"/>
    </row>
    <row r="7031" spans="4:4">
      <c r="D7031" s="1"/>
    </row>
    <row r="7032" spans="4:4">
      <c r="D7032" s="1"/>
    </row>
    <row r="7033" spans="4:4">
      <c r="D7033" s="1"/>
    </row>
    <row r="7034" spans="4:4">
      <c r="D7034" s="1"/>
    </row>
    <row r="7035" spans="4:4">
      <c r="D7035" s="1"/>
    </row>
    <row r="7036" spans="4:4">
      <c r="D7036" s="1"/>
    </row>
    <row r="7037" spans="4:4">
      <c r="D7037" s="1"/>
    </row>
    <row r="7038" spans="4:4">
      <c r="D7038" s="1"/>
    </row>
    <row r="7039" spans="4:4">
      <c r="D7039" s="1"/>
    </row>
    <row r="7040" spans="4:4">
      <c r="D7040" s="1"/>
    </row>
    <row r="7041" spans="4:4">
      <c r="D7041" s="1"/>
    </row>
    <row r="7042" spans="4:4">
      <c r="D7042" s="1"/>
    </row>
    <row r="7043" spans="4:4">
      <c r="D7043" s="1"/>
    </row>
    <row r="7044" spans="4:4">
      <c r="D7044" s="1"/>
    </row>
    <row r="7045" spans="4:4">
      <c r="D7045" s="1"/>
    </row>
    <row r="7046" spans="4:4">
      <c r="D7046" s="1"/>
    </row>
    <row r="7047" spans="4:4">
      <c r="D7047" s="1"/>
    </row>
    <row r="7048" spans="4:4">
      <c r="D7048" s="1"/>
    </row>
    <row r="7049" spans="4:4">
      <c r="D7049" s="1"/>
    </row>
    <row r="7050" spans="4:4">
      <c r="D7050" s="1"/>
    </row>
    <row r="7051" spans="4:4">
      <c r="D7051" s="1"/>
    </row>
    <row r="7052" spans="4:4">
      <c r="D7052" s="1"/>
    </row>
    <row r="7053" spans="4:4">
      <c r="D7053" s="1"/>
    </row>
    <row r="7054" spans="4:4">
      <c r="D7054" s="1"/>
    </row>
    <row r="7055" spans="4:4">
      <c r="D7055" s="1"/>
    </row>
    <row r="7056" spans="4:4">
      <c r="D7056" s="1"/>
    </row>
    <row r="7057" spans="4:4">
      <c r="D7057" s="1"/>
    </row>
    <row r="7058" spans="4:4">
      <c r="D7058" s="1"/>
    </row>
    <row r="7059" spans="4:4">
      <c r="D7059" s="1"/>
    </row>
    <row r="7060" spans="4:4">
      <c r="D7060" s="1"/>
    </row>
    <row r="7061" spans="4:4">
      <c r="D7061" s="1"/>
    </row>
    <row r="7062" spans="4:4">
      <c r="D7062" s="1"/>
    </row>
    <row r="7063" spans="4:4">
      <c r="D7063" s="1"/>
    </row>
    <row r="7064" spans="4:4">
      <c r="D7064" s="1"/>
    </row>
    <row r="7065" spans="4:4">
      <c r="D7065" s="1"/>
    </row>
    <row r="7066" spans="4:4">
      <c r="D7066" s="1"/>
    </row>
    <row r="7067" spans="4:4">
      <c r="D7067" s="1"/>
    </row>
    <row r="7068" spans="4:4">
      <c r="D7068" s="1"/>
    </row>
    <row r="7069" spans="4:4">
      <c r="D7069" s="1"/>
    </row>
    <row r="7070" spans="4:4">
      <c r="D7070" s="1"/>
    </row>
    <row r="7071" spans="4:4">
      <c r="D7071" s="1"/>
    </row>
    <row r="7072" spans="4:4">
      <c r="D7072" s="1"/>
    </row>
    <row r="7073" spans="4:4">
      <c r="D7073" s="1"/>
    </row>
    <row r="7074" spans="4:4">
      <c r="D7074" s="1"/>
    </row>
    <row r="7075" spans="4:4">
      <c r="D7075" s="1"/>
    </row>
    <row r="7076" spans="4:4">
      <c r="D7076" s="1"/>
    </row>
    <row r="7077" spans="4:4">
      <c r="D7077" s="1"/>
    </row>
    <row r="7078" spans="4:4">
      <c r="D7078" s="1"/>
    </row>
    <row r="7079" spans="4:4">
      <c r="D7079" s="1"/>
    </row>
    <row r="7080" spans="4:4">
      <c r="D7080" s="1"/>
    </row>
    <row r="7081" spans="4:4">
      <c r="D7081" s="1"/>
    </row>
    <row r="7082" spans="4:4">
      <c r="D7082" s="1"/>
    </row>
    <row r="7083" spans="4:4">
      <c r="D7083" s="1"/>
    </row>
    <row r="7084" spans="4:4">
      <c r="D7084" s="1"/>
    </row>
    <row r="7085" spans="4:4">
      <c r="D7085" s="1"/>
    </row>
    <row r="7086" spans="4:4">
      <c r="D7086" s="1"/>
    </row>
    <row r="7087" spans="4:4">
      <c r="D7087" s="1"/>
    </row>
    <row r="7088" spans="4:4">
      <c r="D7088" s="1"/>
    </row>
    <row r="7089" spans="4:4">
      <c r="D7089" s="1"/>
    </row>
    <row r="7090" spans="4:4">
      <c r="D7090" s="1"/>
    </row>
    <row r="7091" spans="4:4">
      <c r="D7091" s="1"/>
    </row>
    <row r="7092" spans="4:4">
      <c r="D7092" s="1"/>
    </row>
    <row r="7093" spans="4:4">
      <c r="D7093" s="1"/>
    </row>
    <row r="7094" spans="4:4">
      <c r="D7094" s="1"/>
    </row>
    <row r="7095" spans="4:4">
      <c r="D7095" s="1"/>
    </row>
    <row r="7096" spans="4:4">
      <c r="D7096" s="1"/>
    </row>
    <row r="7097" spans="4:4">
      <c r="D7097" s="1"/>
    </row>
    <row r="7098" spans="4:4">
      <c r="D7098" s="1"/>
    </row>
    <row r="7099" spans="4:4">
      <c r="D7099" s="1"/>
    </row>
    <row r="7100" spans="4:4">
      <c r="D7100" s="1"/>
    </row>
    <row r="7101" spans="4:4">
      <c r="D7101" s="1"/>
    </row>
    <row r="7102" spans="4:4">
      <c r="D7102" s="1"/>
    </row>
    <row r="7103" spans="4:4">
      <c r="D7103" s="1"/>
    </row>
    <row r="7104" spans="4:4">
      <c r="D7104" s="1"/>
    </row>
    <row r="7105" spans="4:4">
      <c r="D7105" s="1"/>
    </row>
    <row r="7106" spans="4:4">
      <c r="D7106" s="1"/>
    </row>
    <row r="7107" spans="4:4">
      <c r="D7107" s="1"/>
    </row>
    <row r="7108" spans="4:4">
      <c r="D7108" s="1"/>
    </row>
    <row r="7109" spans="4:4">
      <c r="D7109" s="1"/>
    </row>
    <row r="7110" spans="4:4">
      <c r="D7110" s="1"/>
    </row>
    <row r="7111" spans="4:4">
      <c r="D7111" s="1"/>
    </row>
    <row r="7112" spans="4:4">
      <c r="D7112" s="1"/>
    </row>
    <row r="7113" spans="4:4">
      <c r="D7113" s="1"/>
    </row>
    <row r="7114" spans="4:4">
      <c r="D7114" s="1"/>
    </row>
    <row r="7115" spans="4:4">
      <c r="D7115" s="1"/>
    </row>
    <row r="7116" spans="4:4">
      <c r="D7116" s="1"/>
    </row>
    <row r="7117" spans="4:4">
      <c r="D7117" s="1"/>
    </row>
    <row r="7118" spans="4:4">
      <c r="D7118" s="1"/>
    </row>
    <row r="7119" spans="4:4">
      <c r="D7119" s="1"/>
    </row>
    <row r="7120" spans="4:4">
      <c r="D7120" s="1"/>
    </row>
    <row r="7121" spans="4:4">
      <c r="D7121" s="1"/>
    </row>
    <row r="7122" spans="4:4">
      <c r="D7122" s="1"/>
    </row>
    <row r="7123" spans="4:4">
      <c r="D7123" s="1"/>
    </row>
    <row r="7124" spans="4:4">
      <c r="D7124" s="1"/>
    </row>
    <row r="7125" spans="4:4">
      <c r="D7125" s="1"/>
    </row>
    <row r="7126" spans="4:4">
      <c r="D7126" s="1"/>
    </row>
    <row r="7127" spans="4:4">
      <c r="D7127" s="1"/>
    </row>
    <row r="7128" spans="4:4">
      <c r="D7128" s="1"/>
    </row>
    <row r="7129" spans="4:4">
      <c r="D7129" s="1"/>
    </row>
    <row r="7130" spans="4:4">
      <c r="D7130" s="1"/>
    </row>
    <row r="7131" spans="4:4">
      <c r="D7131" s="1"/>
    </row>
    <row r="7132" spans="4:4">
      <c r="D7132" s="1"/>
    </row>
    <row r="7133" spans="4:4">
      <c r="D7133" s="1"/>
    </row>
    <row r="7134" spans="4:4">
      <c r="D7134" s="1"/>
    </row>
    <row r="7135" spans="4:4">
      <c r="D7135" s="1"/>
    </row>
    <row r="7136" spans="4:4">
      <c r="D7136" s="1"/>
    </row>
    <row r="7137" spans="4:4">
      <c r="D7137" s="1"/>
    </row>
    <row r="7138" spans="4:4">
      <c r="D7138" s="1"/>
    </row>
    <row r="7139" spans="4:4">
      <c r="D7139" s="1"/>
    </row>
    <row r="7140" spans="4:4">
      <c r="D7140" s="1"/>
    </row>
    <row r="7141" spans="4:4">
      <c r="D7141" s="1"/>
    </row>
    <row r="7142" spans="4:4">
      <c r="D7142" s="1"/>
    </row>
    <row r="7143" spans="4:4">
      <c r="D7143" s="1"/>
    </row>
    <row r="7144" spans="4:4">
      <c r="D7144" s="1"/>
    </row>
    <row r="7145" spans="4:4">
      <c r="D7145" s="1"/>
    </row>
    <row r="7146" spans="4:4">
      <c r="D7146" s="1"/>
    </row>
    <row r="7147" spans="4:4">
      <c r="D7147" s="1"/>
    </row>
    <row r="7148" spans="4:4">
      <c r="D7148" s="1"/>
    </row>
    <row r="7149" spans="4:4">
      <c r="D7149" s="1"/>
    </row>
    <row r="7150" spans="4:4">
      <c r="D7150" s="1"/>
    </row>
    <row r="7151" spans="4:4">
      <c r="D7151" s="1"/>
    </row>
    <row r="7152" spans="4:4">
      <c r="D7152" s="1"/>
    </row>
    <row r="7153" spans="4:4">
      <c r="D7153" s="1"/>
    </row>
    <row r="7154" spans="4:4">
      <c r="D7154" s="1"/>
    </row>
    <row r="7155" spans="4:4">
      <c r="D7155" s="1"/>
    </row>
    <row r="7156" spans="4:4">
      <c r="D7156" s="1"/>
    </row>
    <row r="7157" spans="4:4">
      <c r="D7157" s="1"/>
    </row>
    <row r="7158" spans="4:4">
      <c r="D7158" s="1"/>
    </row>
    <row r="7159" spans="4:4">
      <c r="D7159" s="1"/>
    </row>
    <row r="7160" spans="4:4">
      <c r="D7160" s="1"/>
    </row>
    <row r="7161" spans="4:4">
      <c r="D7161" s="1"/>
    </row>
    <row r="7162" spans="4:4">
      <c r="D7162" s="1"/>
    </row>
    <row r="7163" spans="4:4">
      <c r="D7163" s="1"/>
    </row>
    <row r="7164" spans="4:4">
      <c r="D7164" s="1"/>
    </row>
    <row r="7165" spans="4:4">
      <c r="D7165" s="1"/>
    </row>
    <row r="7166" spans="4:4">
      <c r="D7166" s="1"/>
    </row>
    <row r="7167" spans="4:4">
      <c r="D7167" s="1"/>
    </row>
    <row r="7168" spans="4:4">
      <c r="D7168" s="1"/>
    </row>
    <row r="7169" spans="4:4">
      <c r="D7169" s="1"/>
    </row>
    <row r="7170" spans="4:4">
      <c r="D7170" s="1"/>
    </row>
    <row r="7171" spans="4:4">
      <c r="D7171" s="1"/>
    </row>
    <row r="7172" spans="4:4">
      <c r="D7172" s="1"/>
    </row>
    <row r="7173" spans="4:4">
      <c r="D7173" s="1"/>
    </row>
    <row r="7174" spans="4:4">
      <c r="D7174" s="1"/>
    </row>
    <row r="7175" spans="4:4">
      <c r="D7175" s="1"/>
    </row>
    <row r="7176" spans="4:4">
      <c r="D7176" s="1"/>
    </row>
    <row r="7177" spans="4:4">
      <c r="D7177" s="1"/>
    </row>
    <row r="7178" spans="4:4">
      <c r="D7178" s="1"/>
    </row>
    <row r="7179" spans="4:4">
      <c r="D7179" s="1"/>
    </row>
    <row r="7180" spans="4:4">
      <c r="D7180" s="1"/>
    </row>
    <row r="7181" spans="4:4">
      <c r="D7181" s="1"/>
    </row>
    <row r="7182" spans="4:4">
      <c r="D7182" s="1"/>
    </row>
    <row r="7183" spans="4:4">
      <c r="D7183" s="1"/>
    </row>
    <row r="7184" spans="4:4">
      <c r="D7184" s="1"/>
    </row>
    <row r="7185" spans="4:4">
      <c r="D7185" s="1"/>
    </row>
    <row r="7186" spans="4:4">
      <c r="D7186" s="1"/>
    </row>
    <row r="7187" spans="4:4">
      <c r="D7187" s="1"/>
    </row>
    <row r="7188" spans="4:4">
      <c r="D7188" s="1"/>
    </row>
    <row r="7189" spans="4:4">
      <c r="D7189" s="1"/>
    </row>
    <row r="7190" spans="4:4">
      <c r="D7190" s="1"/>
    </row>
    <row r="7191" spans="4:4">
      <c r="D7191" s="1"/>
    </row>
    <row r="7192" spans="4:4">
      <c r="D7192" s="1"/>
    </row>
    <row r="7193" spans="4:4">
      <c r="D7193" s="1"/>
    </row>
    <row r="7194" spans="4:4">
      <c r="D7194" s="1"/>
    </row>
    <row r="7195" spans="4:4">
      <c r="D7195" s="1"/>
    </row>
    <row r="7196" spans="4:4">
      <c r="D7196" s="1"/>
    </row>
    <row r="7197" spans="4:4">
      <c r="D7197" s="1"/>
    </row>
    <row r="7198" spans="4:4">
      <c r="D7198" s="1"/>
    </row>
    <row r="7199" spans="4:4">
      <c r="D7199" s="1"/>
    </row>
    <row r="7200" spans="4:4">
      <c r="D7200" s="1"/>
    </row>
    <row r="7201" spans="4:4">
      <c r="D7201" s="1"/>
    </row>
    <row r="7202" spans="4:4">
      <c r="D7202" s="1"/>
    </row>
    <row r="7203" spans="4:4">
      <c r="D7203" s="1"/>
    </row>
    <row r="7204" spans="4:4">
      <c r="D7204" s="1"/>
    </row>
    <row r="7205" spans="4:4">
      <c r="D7205" s="1"/>
    </row>
    <row r="7206" spans="4:4">
      <c r="D7206" s="1"/>
    </row>
    <row r="7207" spans="4:4">
      <c r="D7207" s="1"/>
    </row>
    <row r="7208" spans="4:4">
      <c r="D7208" s="1"/>
    </row>
    <row r="7209" spans="4:4">
      <c r="D7209" s="1"/>
    </row>
    <row r="7210" spans="4:4">
      <c r="D7210" s="1"/>
    </row>
    <row r="7211" spans="4:4">
      <c r="D7211" s="1"/>
    </row>
    <row r="7212" spans="4:4">
      <c r="D7212" s="1"/>
    </row>
    <row r="7213" spans="4:4">
      <c r="D7213" s="1"/>
    </row>
    <row r="7214" spans="4:4">
      <c r="D7214" s="1"/>
    </row>
    <row r="7215" spans="4:4">
      <c r="D7215" s="1"/>
    </row>
    <row r="7216" spans="4:4">
      <c r="D7216" s="1"/>
    </row>
    <row r="7217" spans="4:4">
      <c r="D7217" s="1"/>
    </row>
    <row r="7218" spans="4:4">
      <c r="D7218" s="1"/>
    </row>
    <row r="7219" spans="4:4">
      <c r="D7219" s="1"/>
    </row>
    <row r="7220" spans="4:4">
      <c r="D7220" s="1"/>
    </row>
    <row r="7221" spans="4:4">
      <c r="D7221" s="1"/>
    </row>
    <row r="7222" spans="4:4">
      <c r="D7222" s="1"/>
    </row>
    <row r="7223" spans="4:4">
      <c r="D7223" s="1"/>
    </row>
    <row r="7224" spans="4:4">
      <c r="D7224" s="1"/>
    </row>
    <row r="7225" spans="4:4">
      <c r="D7225" s="1"/>
    </row>
    <row r="7226" spans="4:4">
      <c r="D7226" s="1"/>
    </row>
    <row r="7227" spans="4:4">
      <c r="D7227" s="1"/>
    </row>
    <row r="7228" spans="4:4">
      <c r="D7228" s="1"/>
    </row>
    <row r="7229" spans="4:4">
      <c r="D7229" s="1"/>
    </row>
    <row r="7230" spans="4:4">
      <c r="D7230" s="1"/>
    </row>
    <row r="7231" spans="4:4">
      <c r="D7231" s="1"/>
    </row>
    <row r="7232" spans="4:4">
      <c r="D7232" s="1"/>
    </row>
    <row r="7233" spans="4:4">
      <c r="D7233" s="1"/>
    </row>
    <row r="7234" spans="4:4">
      <c r="D7234" s="1"/>
    </row>
    <row r="7235" spans="4:4">
      <c r="D7235" s="1"/>
    </row>
    <row r="7236" spans="4:4">
      <c r="D7236" s="1"/>
    </row>
    <row r="7237" spans="4:4">
      <c r="D7237" s="1"/>
    </row>
    <row r="7238" spans="4:4">
      <c r="D7238" s="1"/>
    </row>
    <row r="7239" spans="4:4">
      <c r="D7239" s="1"/>
    </row>
    <row r="7240" spans="4:4">
      <c r="D7240" s="1"/>
    </row>
    <row r="7241" spans="4:4">
      <c r="D7241" s="1"/>
    </row>
    <row r="7242" spans="4:4">
      <c r="D7242" s="1"/>
    </row>
    <row r="7243" spans="4:4">
      <c r="D7243" s="1"/>
    </row>
    <row r="7244" spans="4:4">
      <c r="D7244" s="1"/>
    </row>
    <row r="7245" spans="4:4">
      <c r="D7245" s="1"/>
    </row>
    <row r="7246" spans="4:4">
      <c r="D7246" s="1"/>
    </row>
    <row r="7247" spans="4:4">
      <c r="D7247" s="1"/>
    </row>
    <row r="7248" spans="4:4">
      <c r="D7248" s="1"/>
    </row>
    <row r="7249" spans="4:4">
      <c r="D7249" s="1"/>
    </row>
    <row r="7250" spans="4:4">
      <c r="D7250" s="1"/>
    </row>
    <row r="7251" spans="4:4">
      <c r="D7251" s="1"/>
    </row>
    <row r="7252" spans="4:4">
      <c r="D7252" s="1"/>
    </row>
    <row r="7253" spans="4:4">
      <c r="D7253" s="1"/>
    </row>
    <row r="7254" spans="4:4">
      <c r="D7254" s="1"/>
    </row>
    <row r="7255" spans="4:4">
      <c r="D7255" s="1"/>
    </row>
    <row r="7256" spans="4:4">
      <c r="D7256" s="1"/>
    </row>
    <row r="7257" spans="4:4">
      <c r="D7257" s="1"/>
    </row>
    <row r="7258" spans="4:4">
      <c r="D7258" s="1"/>
    </row>
    <row r="7259" spans="4:4">
      <c r="D7259" s="1"/>
    </row>
    <row r="7260" spans="4:4">
      <c r="D7260" s="1"/>
    </row>
    <row r="7261" spans="4:4">
      <c r="D7261" s="1"/>
    </row>
    <row r="7262" spans="4:4">
      <c r="D7262" s="1"/>
    </row>
    <row r="7263" spans="4:4">
      <c r="D7263" s="1"/>
    </row>
    <row r="7264" spans="4:4">
      <c r="D7264" s="1"/>
    </row>
    <row r="7265" spans="4:4">
      <c r="D7265" s="1"/>
    </row>
    <row r="7266" spans="4:4">
      <c r="D7266" s="1"/>
    </row>
    <row r="7267" spans="4:4">
      <c r="D7267" s="1"/>
    </row>
    <row r="7268" spans="4:4">
      <c r="D7268" s="1"/>
    </row>
    <row r="7269" spans="4:4">
      <c r="D7269" s="1"/>
    </row>
    <row r="7270" spans="4:4">
      <c r="D7270" s="1"/>
    </row>
    <row r="7271" spans="4:4">
      <c r="D7271" s="1"/>
    </row>
    <row r="7272" spans="4:4">
      <c r="D7272" s="1"/>
    </row>
    <row r="7273" spans="4:4">
      <c r="D7273" s="1"/>
    </row>
    <row r="7274" spans="4:4">
      <c r="D7274" s="1"/>
    </row>
    <row r="7275" spans="4:4">
      <c r="D7275" s="1"/>
    </row>
    <row r="7276" spans="4:4">
      <c r="D7276" s="1"/>
    </row>
    <row r="7277" spans="4:4">
      <c r="D7277" s="1"/>
    </row>
    <row r="7278" spans="4:4">
      <c r="D7278" s="1"/>
    </row>
    <row r="7279" spans="4:4">
      <c r="D7279" s="1"/>
    </row>
    <row r="7280" spans="4:4">
      <c r="D7280" s="1"/>
    </row>
    <row r="7281" spans="4:4">
      <c r="D7281" s="1"/>
    </row>
    <row r="7282" spans="4:4">
      <c r="D7282" s="1"/>
    </row>
    <row r="7283" spans="4:4">
      <c r="D7283" s="1"/>
    </row>
    <row r="7284" spans="4:4">
      <c r="D7284" s="1"/>
    </row>
    <row r="7285" spans="4:4">
      <c r="D7285" s="1"/>
    </row>
    <row r="7286" spans="4:4">
      <c r="D7286" s="1"/>
    </row>
    <row r="7287" spans="4:4">
      <c r="D7287" s="1"/>
    </row>
    <row r="7288" spans="4:4">
      <c r="D7288" s="1"/>
    </row>
    <row r="7289" spans="4:4">
      <c r="D7289" s="1"/>
    </row>
    <row r="7290" spans="4:4">
      <c r="D7290" s="1"/>
    </row>
    <row r="7291" spans="4:4">
      <c r="D7291" s="1"/>
    </row>
    <row r="7292" spans="4:4">
      <c r="D7292" s="1"/>
    </row>
    <row r="7293" spans="4:4">
      <c r="D7293" s="1"/>
    </row>
    <row r="7294" spans="4:4">
      <c r="D7294" s="1"/>
    </row>
    <row r="7295" spans="4:4">
      <c r="D7295" s="1"/>
    </row>
    <row r="7296" spans="4:4">
      <c r="D7296" s="1"/>
    </row>
    <row r="7297" spans="4:4">
      <c r="D7297" s="1"/>
    </row>
    <row r="7298" spans="4:4">
      <c r="D7298" s="1"/>
    </row>
    <row r="7299" spans="4:4">
      <c r="D7299" s="1"/>
    </row>
    <row r="7300" spans="4:4">
      <c r="D7300" s="1"/>
    </row>
    <row r="7301" spans="4:4">
      <c r="D7301" s="1"/>
    </row>
    <row r="7302" spans="4:4">
      <c r="D7302" s="1"/>
    </row>
    <row r="7303" spans="4:4">
      <c r="D7303" s="1"/>
    </row>
    <row r="7304" spans="4:4">
      <c r="D7304" s="1"/>
    </row>
    <row r="7305" spans="4:4">
      <c r="D7305" s="1"/>
    </row>
    <row r="7306" spans="4:4">
      <c r="D7306" s="1"/>
    </row>
    <row r="7307" spans="4:4">
      <c r="D7307" s="1"/>
    </row>
    <row r="7308" spans="4:4">
      <c r="D7308" s="1"/>
    </row>
    <row r="7309" spans="4:4">
      <c r="D7309" s="1"/>
    </row>
    <row r="7310" spans="4:4">
      <c r="D7310" s="1"/>
    </row>
    <row r="7311" spans="4:4">
      <c r="D7311" s="1"/>
    </row>
    <row r="7312" spans="4:4">
      <c r="D7312" s="1"/>
    </row>
    <row r="7313" spans="4:4">
      <c r="D7313" s="1"/>
    </row>
    <row r="7314" spans="4:4">
      <c r="D7314" s="1"/>
    </row>
    <row r="7315" spans="4:4">
      <c r="D7315" s="1"/>
    </row>
    <row r="7316" spans="4:4">
      <c r="D7316" s="1"/>
    </row>
    <row r="7317" spans="4:4">
      <c r="D7317" s="1"/>
    </row>
    <row r="7318" spans="4:4">
      <c r="D7318" s="1"/>
    </row>
    <row r="7319" spans="4:4">
      <c r="D7319" s="1"/>
    </row>
    <row r="7320" spans="4:4">
      <c r="D7320" s="1"/>
    </row>
    <row r="7321" spans="4:4">
      <c r="D7321" s="1"/>
    </row>
    <row r="7322" spans="4:4">
      <c r="D7322" s="1"/>
    </row>
    <row r="7323" spans="4:4">
      <c r="D7323" s="1"/>
    </row>
    <row r="7324" spans="4:4">
      <c r="D7324" s="1"/>
    </row>
    <row r="7325" spans="4:4">
      <c r="D7325" s="1"/>
    </row>
    <row r="7326" spans="4:4">
      <c r="D7326" s="1"/>
    </row>
    <row r="7327" spans="4:4">
      <c r="D7327" s="1"/>
    </row>
    <row r="7328" spans="4:4">
      <c r="D7328" s="1"/>
    </row>
    <row r="7329" spans="4:4">
      <c r="D7329" s="1"/>
    </row>
    <row r="7330" spans="4:4">
      <c r="D7330" s="1"/>
    </row>
    <row r="7331" spans="4:4">
      <c r="D7331" s="1"/>
    </row>
    <row r="7332" spans="4:4">
      <c r="D7332" s="1"/>
    </row>
    <row r="7333" spans="4:4">
      <c r="D7333" s="1"/>
    </row>
    <row r="7334" spans="4:4">
      <c r="D7334" s="1"/>
    </row>
    <row r="7335" spans="4:4">
      <c r="D7335" s="1"/>
    </row>
    <row r="7336" spans="4:4">
      <c r="D7336" s="1"/>
    </row>
    <row r="7337" spans="4:4">
      <c r="D7337" s="1"/>
    </row>
    <row r="7338" spans="4:4">
      <c r="D7338" s="1"/>
    </row>
    <row r="7339" spans="4:4">
      <c r="D7339" s="1"/>
    </row>
    <row r="7340" spans="4:4">
      <c r="D7340" s="1"/>
    </row>
    <row r="7341" spans="4:4">
      <c r="D7341" s="1"/>
    </row>
    <row r="7342" spans="4:4">
      <c r="D7342" s="1"/>
    </row>
    <row r="7343" spans="4:4">
      <c r="D7343" s="1"/>
    </row>
    <row r="7344" spans="4:4">
      <c r="D7344" s="1"/>
    </row>
    <row r="7345" spans="4:4">
      <c r="D7345" s="1"/>
    </row>
    <row r="7346" spans="4:4">
      <c r="D7346" s="1"/>
    </row>
    <row r="7347" spans="4:4">
      <c r="D7347" s="1"/>
    </row>
    <row r="7348" spans="4:4">
      <c r="D7348" s="1"/>
    </row>
    <row r="7349" spans="4:4">
      <c r="D7349" s="1"/>
    </row>
    <row r="7350" spans="4:4">
      <c r="D7350" s="1"/>
    </row>
    <row r="7351" spans="4:4">
      <c r="D7351" s="1"/>
    </row>
    <row r="7352" spans="4:4">
      <c r="D7352" s="1"/>
    </row>
    <row r="7353" spans="4:4">
      <c r="D7353" s="1"/>
    </row>
    <row r="7354" spans="4:4">
      <c r="D7354" s="1"/>
    </row>
    <row r="7355" spans="4:4">
      <c r="D7355" s="1"/>
    </row>
    <row r="7356" spans="4:4">
      <c r="D7356" s="1"/>
    </row>
    <row r="7357" spans="4:4">
      <c r="D7357" s="1"/>
    </row>
    <row r="7358" spans="4:4">
      <c r="D7358" s="1"/>
    </row>
    <row r="7359" spans="4:4">
      <c r="D7359" s="1"/>
    </row>
    <row r="7360" spans="4:4">
      <c r="D7360" s="1"/>
    </row>
    <row r="7361" spans="4:4">
      <c r="D7361" s="1"/>
    </row>
    <row r="7362" spans="4:4">
      <c r="D7362" s="1"/>
    </row>
    <row r="7363" spans="4:4">
      <c r="D7363" s="1"/>
    </row>
    <row r="7364" spans="4:4">
      <c r="D7364" s="1"/>
    </row>
    <row r="7365" spans="4:4">
      <c r="D7365" s="1"/>
    </row>
    <row r="7366" spans="4:4">
      <c r="D7366" s="1"/>
    </row>
    <row r="7367" spans="4:4">
      <c r="D7367" s="1"/>
    </row>
    <row r="7368" spans="4:4">
      <c r="D7368" s="1"/>
    </row>
    <row r="7369" spans="4:4">
      <c r="D7369" s="1"/>
    </row>
    <row r="7370" spans="4:4">
      <c r="D7370" s="1"/>
    </row>
    <row r="7371" spans="4:4">
      <c r="D7371" s="1"/>
    </row>
    <row r="7372" spans="4:4">
      <c r="D7372" s="1"/>
    </row>
    <row r="7373" spans="4:4">
      <c r="D7373" s="1"/>
    </row>
    <row r="7374" spans="4:4">
      <c r="D7374" s="1"/>
    </row>
    <row r="7375" spans="4:4">
      <c r="D7375" s="1"/>
    </row>
    <row r="7376" spans="4:4">
      <c r="D7376" s="1"/>
    </row>
    <row r="7377" spans="4:4">
      <c r="D7377" s="1"/>
    </row>
    <row r="7378" spans="4:4">
      <c r="D7378" s="1"/>
    </row>
    <row r="7379" spans="4:4">
      <c r="D7379" s="1"/>
    </row>
    <row r="7380" spans="4:4">
      <c r="D7380" s="1"/>
    </row>
    <row r="7381" spans="4:4">
      <c r="D7381" s="1"/>
    </row>
    <row r="7382" spans="4:4">
      <c r="D7382" s="1"/>
    </row>
    <row r="7383" spans="4:4">
      <c r="D7383" s="1"/>
    </row>
    <row r="7384" spans="4:4">
      <c r="D7384" s="1"/>
    </row>
    <row r="7385" spans="4:4">
      <c r="D7385" s="1"/>
    </row>
    <row r="7386" spans="4:4">
      <c r="D7386" s="1"/>
    </row>
    <row r="7387" spans="4:4">
      <c r="D7387" s="1"/>
    </row>
    <row r="7388" spans="4:4">
      <c r="D7388" s="1"/>
    </row>
    <row r="7389" spans="4:4">
      <c r="D7389" s="1"/>
    </row>
    <row r="7390" spans="4:4">
      <c r="D7390" s="1"/>
    </row>
    <row r="7391" spans="4:4">
      <c r="D7391" s="1"/>
    </row>
    <row r="7392" spans="4:4">
      <c r="D7392" s="1"/>
    </row>
    <row r="7393" spans="4:4">
      <c r="D7393" s="1"/>
    </row>
    <row r="7394" spans="4:4">
      <c r="D7394" s="1"/>
    </row>
    <row r="7395" spans="4:4">
      <c r="D7395" s="1"/>
    </row>
    <row r="7396" spans="4:4">
      <c r="D7396" s="1"/>
    </row>
    <row r="7397" spans="4:4">
      <c r="D7397" s="1"/>
    </row>
    <row r="7398" spans="4:4">
      <c r="D7398" s="1"/>
    </row>
    <row r="7399" spans="4:4">
      <c r="D7399" s="1"/>
    </row>
    <row r="7400" spans="4:4">
      <c r="D7400" s="1"/>
    </row>
    <row r="7401" spans="4:4">
      <c r="D7401" s="1"/>
    </row>
    <row r="7402" spans="4:4">
      <c r="D7402" s="1"/>
    </row>
    <row r="7403" spans="4:4">
      <c r="D7403" s="1"/>
    </row>
    <row r="7404" spans="4:4">
      <c r="D7404" s="1"/>
    </row>
    <row r="7405" spans="4:4">
      <c r="D7405" s="1"/>
    </row>
    <row r="7406" spans="4:4">
      <c r="D7406" s="1"/>
    </row>
    <row r="7407" spans="4:4">
      <c r="D7407" s="1"/>
    </row>
    <row r="7408" spans="4:4">
      <c r="D7408" s="1"/>
    </row>
    <row r="7409" spans="4:4">
      <c r="D7409" s="1"/>
    </row>
    <row r="7410" spans="4:4">
      <c r="D7410" s="1"/>
    </row>
    <row r="7411" spans="4:4">
      <c r="D7411" s="1"/>
    </row>
    <row r="7412" spans="4:4">
      <c r="D7412" s="1"/>
    </row>
    <row r="7413" spans="4:4">
      <c r="D7413" s="1"/>
    </row>
    <row r="7414" spans="4:4">
      <c r="D7414" s="1"/>
    </row>
    <row r="7415" spans="4:4">
      <c r="D7415" s="1"/>
    </row>
    <row r="7416" spans="4:4">
      <c r="D7416" s="1"/>
    </row>
    <row r="7417" spans="4:4">
      <c r="D7417" s="1"/>
    </row>
    <row r="7418" spans="4:4">
      <c r="D7418" s="1"/>
    </row>
    <row r="7419" spans="4:4">
      <c r="D7419" s="1"/>
    </row>
    <row r="7420" spans="4:4">
      <c r="D7420" s="1"/>
    </row>
    <row r="7421" spans="4:4">
      <c r="D7421" s="1"/>
    </row>
    <row r="7422" spans="4:4">
      <c r="D7422" s="1"/>
    </row>
    <row r="7423" spans="4:4">
      <c r="D7423" s="1"/>
    </row>
    <row r="7424" spans="4:4">
      <c r="D7424" s="1"/>
    </row>
    <row r="7425" spans="4:4">
      <c r="D7425" s="1"/>
    </row>
    <row r="7426" spans="4:4">
      <c r="D7426" s="1"/>
    </row>
    <row r="7427" spans="4:4">
      <c r="D7427" s="1"/>
    </row>
    <row r="7428" spans="4:4">
      <c r="D7428" s="1"/>
    </row>
    <row r="7429" spans="4:4">
      <c r="D7429" s="1"/>
    </row>
    <row r="7430" spans="4:4">
      <c r="D7430" s="1"/>
    </row>
    <row r="7431" spans="4:4">
      <c r="D7431" s="1"/>
    </row>
    <row r="7432" spans="4:4">
      <c r="D7432" s="1"/>
    </row>
    <row r="7433" spans="4:4">
      <c r="D7433" s="1"/>
    </row>
    <row r="7434" spans="4:4">
      <c r="D7434" s="1"/>
    </row>
    <row r="7435" spans="4:4">
      <c r="D7435" s="1"/>
    </row>
    <row r="7436" spans="4:4">
      <c r="D7436" s="1"/>
    </row>
    <row r="7437" spans="4:4">
      <c r="D7437" s="1"/>
    </row>
    <row r="7438" spans="4:4">
      <c r="D7438" s="1"/>
    </row>
    <row r="7439" spans="4:4">
      <c r="D7439" s="1"/>
    </row>
    <row r="7440" spans="4:4">
      <c r="D7440" s="1"/>
    </row>
    <row r="7441" spans="4:4">
      <c r="D7441" s="1"/>
    </row>
    <row r="7442" spans="4:4">
      <c r="D7442" s="1"/>
    </row>
    <row r="7443" spans="4:4">
      <c r="D7443" s="1"/>
    </row>
    <row r="7444" spans="4:4">
      <c r="D7444" s="1"/>
    </row>
    <row r="7445" spans="4:4">
      <c r="D7445" s="1"/>
    </row>
    <row r="7446" spans="4:4">
      <c r="D7446" s="1"/>
    </row>
    <row r="7447" spans="4:4">
      <c r="D7447" s="1"/>
    </row>
    <row r="7448" spans="4:4">
      <c r="D7448" s="1"/>
    </row>
    <row r="7449" spans="4:4">
      <c r="D7449" s="1"/>
    </row>
    <row r="7450" spans="4:4">
      <c r="D7450" s="1"/>
    </row>
    <row r="7451" spans="4:4">
      <c r="D7451" s="1"/>
    </row>
    <row r="7452" spans="4:4">
      <c r="D7452" s="1"/>
    </row>
    <row r="7453" spans="4:4">
      <c r="D7453" s="1"/>
    </row>
    <row r="7454" spans="4:4">
      <c r="D7454" s="1"/>
    </row>
    <row r="7455" spans="4:4">
      <c r="D7455" s="1"/>
    </row>
    <row r="7456" spans="4:4">
      <c r="D7456" s="1"/>
    </row>
    <row r="7457" spans="4:4">
      <c r="D7457" s="1"/>
    </row>
    <row r="7458" spans="4:4">
      <c r="D7458" s="1"/>
    </row>
    <row r="7459" spans="4:4">
      <c r="D7459" s="1"/>
    </row>
    <row r="7460" spans="4:4">
      <c r="D7460" s="1"/>
    </row>
    <row r="7461" spans="4:4">
      <c r="D7461" s="1"/>
    </row>
    <row r="7462" spans="4:4">
      <c r="D7462" s="1"/>
    </row>
    <row r="7463" spans="4:4">
      <c r="D7463" s="1"/>
    </row>
    <row r="7464" spans="4:4">
      <c r="D7464" s="1"/>
    </row>
    <row r="7465" spans="4:4">
      <c r="D7465" s="1"/>
    </row>
    <row r="7466" spans="4:4">
      <c r="D7466" s="1"/>
    </row>
    <row r="7467" spans="4:4">
      <c r="D7467" s="1"/>
    </row>
    <row r="7468" spans="4:4">
      <c r="D7468" s="1"/>
    </row>
    <row r="7469" spans="4:4">
      <c r="D7469" s="1"/>
    </row>
    <row r="7470" spans="4:4">
      <c r="D7470" s="1"/>
    </row>
    <row r="7471" spans="4:4">
      <c r="D7471" s="1"/>
    </row>
    <row r="7472" spans="4:4">
      <c r="D7472" s="1"/>
    </row>
    <row r="7473" spans="4:4">
      <c r="D7473" s="1"/>
    </row>
    <row r="7474" spans="4:4">
      <c r="D7474" s="1"/>
    </row>
    <row r="7475" spans="4:4">
      <c r="D7475" s="1"/>
    </row>
    <row r="7476" spans="4:4">
      <c r="D7476" s="1"/>
    </row>
    <row r="7477" spans="4:4">
      <c r="D7477" s="1"/>
    </row>
    <row r="7478" spans="4:4">
      <c r="D7478" s="1"/>
    </row>
    <row r="7479" spans="4:4">
      <c r="D7479" s="1"/>
    </row>
    <row r="7480" spans="4:4">
      <c r="D7480" s="1"/>
    </row>
    <row r="7481" spans="4:4">
      <c r="D7481" s="1"/>
    </row>
    <row r="7482" spans="4:4">
      <c r="D7482" s="1"/>
    </row>
    <row r="7483" spans="4:4">
      <c r="D7483" s="1"/>
    </row>
    <row r="7484" spans="4:4">
      <c r="D7484" s="1"/>
    </row>
    <row r="7485" spans="4:4">
      <c r="D7485" s="1"/>
    </row>
    <row r="7486" spans="4:4">
      <c r="D7486" s="1"/>
    </row>
    <row r="7487" spans="4:4">
      <c r="D7487" s="1"/>
    </row>
    <row r="7488" spans="4:4">
      <c r="D7488" s="1"/>
    </row>
    <row r="7489" spans="4:4">
      <c r="D7489" s="1"/>
    </row>
    <row r="7490" spans="4:4">
      <c r="D7490" s="1"/>
    </row>
    <row r="7491" spans="4:4">
      <c r="D7491" s="1"/>
    </row>
    <row r="7492" spans="4:4">
      <c r="D7492" s="1"/>
    </row>
    <row r="7493" spans="4:4">
      <c r="D7493" s="1"/>
    </row>
    <row r="7494" spans="4:4">
      <c r="D7494" s="1"/>
    </row>
    <row r="7495" spans="4:4">
      <c r="D7495" s="1"/>
    </row>
    <row r="7496" spans="4:4">
      <c r="D7496" s="1"/>
    </row>
    <row r="7497" spans="4:4">
      <c r="D7497" s="1"/>
    </row>
    <row r="7498" spans="4:4">
      <c r="D7498" s="1"/>
    </row>
    <row r="7499" spans="4:4">
      <c r="D7499" s="1"/>
    </row>
    <row r="7500" spans="4:4">
      <c r="D7500" s="1"/>
    </row>
    <row r="7501" spans="4:4">
      <c r="D7501" s="1"/>
    </row>
    <row r="7502" spans="4:4">
      <c r="D7502" s="1"/>
    </row>
    <row r="7503" spans="4:4">
      <c r="D7503" s="1"/>
    </row>
    <row r="7504" spans="4:4">
      <c r="D7504" s="1"/>
    </row>
    <row r="7505" spans="4:4">
      <c r="D7505" s="1"/>
    </row>
    <row r="7506" spans="4:4">
      <c r="D7506" s="1"/>
    </row>
    <row r="7507" spans="4:4">
      <c r="D7507" s="1"/>
    </row>
    <row r="7508" spans="4:4">
      <c r="D7508" s="1"/>
    </row>
    <row r="7509" spans="4:4">
      <c r="D7509" s="1"/>
    </row>
    <row r="7510" spans="4:4">
      <c r="D7510" s="1"/>
    </row>
    <row r="7511" spans="4:4">
      <c r="D7511" s="1"/>
    </row>
    <row r="7512" spans="4:4">
      <c r="D7512" s="1"/>
    </row>
    <row r="7513" spans="4:4">
      <c r="D7513" s="1"/>
    </row>
    <row r="7514" spans="4:4">
      <c r="D7514" s="1"/>
    </row>
    <row r="7515" spans="4:4">
      <c r="D7515" s="1"/>
    </row>
    <row r="7516" spans="4:4">
      <c r="D7516" s="1"/>
    </row>
    <row r="7517" spans="4:4">
      <c r="D7517" s="1"/>
    </row>
    <row r="7518" spans="4:4">
      <c r="D7518" s="1"/>
    </row>
    <row r="7519" spans="4:4">
      <c r="D7519" s="1"/>
    </row>
    <row r="7520" spans="4:4">
      <c r="D7520" s="1"/>
    </row>
    <row r="7521" spans="4:4">
      <c r="D7521" s="1"/>
    </row>
    <row r="7522" spans="4:4">
      <c r="D7522" s="1"/>
    </row>
    <row r="7523" spans="4:4">
      <c r="D7523" s="1"/>
    </row>
    <row r="7524" spans="4:4">
      <c r="D7524" s="1"/>
    </row>
    <row r="7525" spans="4:4">
      <c r="D7525" s="1"/>
    </row>
    <row r="7526" spans="4:4">
      <c r="D7526" s="1"/>
    </row>
    <row r="7527" spans="4:4">
      <c r="D7527" s="1"/>
    </row>
    <row r="7528" spans="4:4">
      <c r="D7528" s="1"/>
    </row>
    <row r="7529" spans="4:4">
      <c r="D7529" s="1"/>
    </row>
    <row r="7530" spans="4:4">
      <c r="D7530" s="1"/>
    </row>
    <row r="7531" spans="4:4">
      <c r="D7531" s="1"/>
    </row>
    <row r="7532" spans="4:4">
      <c r="D7532" s="1"/>
    </row>
    <row r="7533" spans="4:4">
      <c r="D7533" s="1"/>
    </row>
    <row r="7534" spans="4:4">
      <c r="D7534" s="1"/>
    </row>
    <row r="7535" spans="4:4">
      <c r="D7535" s="1"/>
    </row>
    <row r="7536" spans="4:4">
      <c r="D7536" s="1"/>
    </row>
    <row r="7537" spans="4:4">
      <c r="D7537" s="1"/>
    </row>
    <row r="7538" spans="4:4">
      <c r="D7538" s="1"/>
    </row>
    <row r="7539" spans="4:4">
      <c r="D7539" s="1"/>
    </row>
    <row r="7540" spans="4:4">
      <c r="D7540" s="1"/>
    </row>
    <row r="7541" spans="4:4">
      <c r="D7541" s="1"/>
    </row>
    <row r="7542" spans="4:4">
      <c r="D7542" s="1"/>
    </row>
    <row r="7543" spans="4:4">
      <c r="D7543" s="1"/>
    </row>
    <row r="7544" spans="4:4">
      <c r="D7544" s="1"/>
    </row>
    <row r="7545" spans="4:4">
      <c r="D7545" s="1"/>
    </row>
    <row r="7546" spans="4:4">
      <c r="D7546" s="1"/>
    </row>
    <row r="7547" spans="4:4">
      <c r="D7547" s="1"/>
    </row>
    <row r="7548" spans="4:4">
      <c r="D7548" s="1"/>
    </row>
    <row r="7549" spans="4:4">
      <c r="D7549" s="1"/>
    </row>
    <row r="7550" spans="4:4">
      <c r="D7550" s="1"/>
    </row>
    <row r="7551" spans="4:4">
      <c r="D7551" s="1"/>
    </row>
    <row r="7552" spans="4:4">
      <c r="D7552" s="1"/>
    </row>
    <row r="7553" spans="4:4">
      <c r="D7553" s="1"/>
    </row>
    <row r="7554" spans="4:4">
      <c r="D7554" s="1"/>
    </row>
    <row r="7555" spans="4:4">
      <c r="D7555" s="1"/>
    </row>
    <row r="7556" spans="4:4">
      <c r="D7556" s="1"/>
    </row>
    <row r="7557" spans="4:4">
      <c r="D7557" s="1"/>
    </row>
    <row r="7558" spans="4:4">
      <c r="D7558" s="1"/>
    </row>
    <row r="7559" spans="4:4">
      <c r="D7559" s="1"/>
    </row>
    <row r="7560" spans="4:4">
      <c r="D7560" s="1"/>
    </row>
    <row r="7561" spans="4:4">
      <c r="D7561" s="1"/>
    </row>
    <row r="7562" spans="4:4">
      <c r="D7562" s="1"/>
    </row>
    <row r="7563" spans="4:4">
      <c r="D7563" s="1"/>
    </row>
    <row r="7564" spans="4:4">
      <c r="D7564" s="1"/>
    </row>
    <row r="7565" spans="4:4">
      <c r="D7565" s="1"/>
    </row>
    <row r="7566" spans="4:4">
      <c r="D7566" s="1"/>
    </row>
    <row r="7567" spans="4:4">
      <c r="D7567" s="1"/>
    </row>
    <row r="7568" spans="4:4">
      <c r="D7568" s="1"/>
    </row>
    <row r="7569" spans="4:4">
      <c r="D7569" s="1"/>
    </row>
    <row r="7570" spans="4:4">
      <c r="D7570" s="1"/>
    </row>
    <row r="7571" spans="4:4">
      <c r="D7571" s="1"/>
    </row>
    <row r="7572" spans="4:4">
      <c r="D7572" s="1"/>
    </row>
    <row r="7573" spans="4:4">
      <c r="D7573" s="1"/>
    </row>
    <row r="7574" spans="4:4">
      <c r="D7574" s="1"/>
    </row>
    <row r="7575" spans="4:4">
      <c r="D7575" s="1"/>
    </row>
    <row r="7576" spans="4:4">
      <c r="D7576" s="1"/>
    </row>
    <row r="7577" spans="4:4">
      <c r="D7577" s="1"/>
    </row>
    <row r="7578" spans="4:4">
      <c r="D7578" s="1"/>
    </row>
    <row r="7579" spans="4:4">
      <c r="D7579" s="1"/>
    </row>
    <row r="7580" spans="4:4">
      <c r="D7580" s="1"/>
    </row>
    <row r="7581" spans="4:4">
      <c r="D7581" s="1"/>
    </row>
    <row r="7582" spans="4:4">
      <c r="D7582" s="1"/>
    </row>
    <row r="7583" spans="4:4">
      <c r="D7583" s="1"/>
    </row>
    <row r="7584" spans="4:4">
      <c r="D7584" s="1"/>
    </row>
    <row r="7585" spans="4:4">
      <c r="D7585" s="1"/>
    </row>
    <row r="7586" spans="4:4">
      <c r="D7586" s="1"/>
    </row>
    <row r="7587" spans="4:4">
      <c r="D7587" s="1"/>
    </row>
    <row r="7588" spans="4:4">
      <c r="D7588" s="1"/>
    </row>
    <row r="7589" spans="4:4">
      <c r="D7589" s="1"/>
    </row>
    <row r="7590" spans="4:4">
      <c r="D7590" s="1"/>
    </row>
    <row r="7591" spans="4:4">
      <c r="D7591" s="1"/>
    </row>
    <row r="7592" spans="4:4">
      <c r="D7592" s="1"/>
    </row>
    <row r="7593" spans="4:4">
      <c r="D7593" s="1"/>
    </row>
    <row r="7594" spans="4:4">
      <c r="D7594" s="1"/>
    </row>
    <row r="7595" spans="4:4">
      <c r="D7595" s="1"/>
    </row>
    <row r="7596" spans="4:4">
      <c r="D7596" s="1"/>
    </row>
    <row r="7597" spans="4:4">
      <c r="D7597" s="1"/>
    </row>
    <row r="7598" spans="4:4">
      <c r="D7598" s="1"/>
    </row>
    <row r="7599" spans="4:4">
      <c r="D7599" s="1"/>
    </row>
    <row r="7600" spans="4:4">
      <c r="D7600" s="1"/>
    </row>
    <row r="7601" spans="4:4">
      <c r="D7601" s="1"/>
    </row>
    <row r="7602" spans="4:4">
      <c r="D7602" s="1"/>
    </row>
    <row r="7603" spans="4:4">
      <c r="D7603" s="1"/>
    </row>
    <row r="7604" spans="4:4">
      <c r="D7604" s="1"/>
    </row>
    <row r="7605" spans="4:4">
      <c r="D7605" s="1"/>
    </row>
    <row r="7606" spans="4:4">
      <c r="D7606" s="1"/>
    </row>
    <row r="7607" spans="4:4">
      <c r="D7607" s="1"/>
    </row>
    <row r="7608" spans="4:4">
      <c r="D7608" s="1"/>
    </row>
    <row r="7609" spans="4:4">
      <c r="D7609" s="1"/>
    </row>
    <row r="7610" spans="4:4">
      <c r="D7610" s="1"/>
    </row>
    <row r="7611" spans="4:4">
      <c r="D7611" s="1"/>
    </row>
    <row r="7612" spans="4:4">
      <c r="D7612" s="1"/>
    </row>
    <row r="7613" spans="4:4">
      <c r="D7613" s="1"/>
    </row>
    <row r="7614" spans="4:4">
      <c r="D7614" s="1"/>
    </row>
    <row r="7615" spans="4:4">
      <c r="D7615" s="1"/>
    </row>
    <row r="7616" spans="4:4">
      <c r="D7616" s="1"/>
    </row>
    <row r="7617" spans="4:4">
      <c r="D7617" s="1"/>
    </row>
    <row r="7618" spans="4:4">
      <c r="D7618" s="1"/>
    </row>
    <row r="7619" spans="4:4">
      <c r="D7619" s="1"/>
    </row>
    <row r="7620" spans="4:4">
      <c r="D7620" s="1"/>
    </row>
    <row r="7621" spans="4:4">
      <c r="D7621" s="1"/>
    </row>
    <row r="7622" spans="4:4">
      <c r="D7622" s="1"/>
    </row>
    <row r="7623" spans="4:4">
      <c r="D7623" s="1"/>
    </row>
    <row r="7624" spans="4:4">
      <c r="D7624" s="1"/>
    </row>
    <row r="7625" spans="4:4">
      <c r="D7625" s="1"/>
    </row>
    <row r="7626" spans="4:4">
      <c r="D7626" s="1"/>
    </row>
    <row r="7627" spans="4:4">
      <c r="D7627" s="1"/>
    </row>
    <row r="7628" spans="4:4">
      <c r="D7628" s="1"/>
    </row>
    <row r="7629" spans="4:4">
      <c r="D7629" s="1"/>
    </row>
    <row r="7630" spans="4:4">
      <c r="D7630" s="1"/>
    </row>
    <row r="7631" spans="4:4">
      <c r="D7631" s="1"/>
    </row>
    <row r="7632" spans="4:4">
      <c r="D7632" s="1"/>
    </row>
    <row r="7633" spans="4:4">
      <c r="D7633" s="1"/>
    </row>
    <row r="7634" spans="4:4">
      <c r="D7634" s="1"/>
    </row>
    <row r="7635" spans="4:4">
      <c r="D7635" s="1"/>
    </row>
    <row r="7636" spans="4:4">
      <c r="D7636" s="1"/>
    </row>
    <row r="7637" spans="4:4">
      <c r="D7637" s="1"/>
    </row>
    <row r="7638" spans="4:4">
      <c r="D7638" s="1"/>
    </row>
    <row r="7639" spans="4:4">
      <c r="D7639" s="1"/>
    </row>
    <row r="7640" spans="4:4">
      <c r="D7640" s="1"/>
    </row>
    <row r="7641" spans="4:4">
      <c r="D7641" s="1"/>
    </row>
    <row r="7642" spans="4:4">
      <c r="D7642" s="1"/>
    </row>
    <row r="7643" spans="4:4">
      <c r="D7643" s="1"/>
    </row>
    <row r="7644" spans="4:4">
      <c r="D7644" s="1"/>
    </row>
    <row r="7645" spans="4:4">
      <c r="D7645" s="1"/>
    </row>
    <row r="7646" spans="4:4">
      <c r="D7646" s="1"/>
    </row>
    <row r="7647" spans="4:4">
      <c r="D7647" s="1"/>
    </row>
    <row r="7648" spans="4:4">
      <c r="D7648" s="1"/>
    </row>
    <row r="7649" spans="4:4">
      <c r="D7649" s="1"/>
    </row>
    <row r="7650" spans="4:4">
      <c r="D7650" s="1"/>
    </row>
    <row r="7651" spans="4:4">
      <c r="D7651" s="1"/>
    </row>
    <row r="7652" spans="4:4">
      <c r="D7652" s="1"/>
    </row>
    <row r="7653" spans="4:4">
      <c r="D7653" s="1"/>
    </row>
    <row r="7654" spans="4:4">
      <c r="D7654" s="1"/>
    </row>
    <row r="7655" spans="4:4">
      <c r="D7655" s="1"/>
    </row>
    <row r="7656" spans="4:4">
      <c r="D7656" s="1"/>
    </row>
    <row r="7657" spans="4:4">
      <c r="D7657" s="1"/>
    </row>
    <row r="7658" spans="4:4">
      <c r="D7658" s="1"/>
    </row>
    <row r="7659" spans="4:4">
      <c r="D7659" s="1"/>
    </row>
    <row r="7660" spans="4:4">
      <c r="D7660" s="1"/>
    </row>
    <row r="7661" spans="4:4">
      <c r="D7661" s="1"/>
    </row>
    <row r="7662" spans="4:4">
      <c r="D7662" s="1"/>
    </row>
    <row r="7663" spans="4:4">
      <c r="D7663" s="1"/>
    </row>
    <row r="7664" spans="4:4">
      <c r="D7664" s="1"/>
    </row>
    <row r="7665" spans="4:4">
      <c r="D7665" s="1"/>
    </row>
    <row r="7666" spans="4:4">
      <c r="D7666" s="1"/>
    </row>
    <row r="7667" spans="4:4">
      <c r="D7667" s="1"/>
    </row>
    <row r="7668" spans="4:4">
      <c r="D7668" s="1"/>
    </row>
    <row r="7669" spans="4:4">
      <c r="D7669" s="1"/>
    </row>
    <row r="7670" spans="4:4">
      <c r="D7670" s="1"/>
    </row>
    <row r="7671" spans="4:4">
      <c r="D7671" s="1"/>
    </row>
    <row r="7672" spans="4:4">
      <c r="D7672" s="1"/>
    </row>
    <row r="7673" spans="4:4">
      <c r="D7673" s="1"/>
    </row>
    <row r="7674" spans="4:4">
      <c r="D7674" s="1"/>
    </row>
    <row r="7675" spans="4:4">
      <c r="D7675" s="1"/>
    </row>
    <row r="7676" spans="4:4">
      <c r="D7676" s="1"/>
    </row>
    <row r="7677" spans="4:4">
      <c r="D7677" s="1"/>
    </row>
    <row r="7678" spans="4:4">
      <c r="D7678" s="1"/>
    </row>
    <row r="7679" spans="4:4">
      <c r="D7679" s="1"/>
    </row>
    <row r="7680" spans="4:4">
      <c r="D7680" s="1"/>
    </row>
    <row r="7681" spans="4:4">
      <c r="D7681" s="1"/>
    </row>
    <row r="7682" spans="4:4">
      <c r="D7682" s="1"/>
    </row>
    <row r="7683" spans="4:4">
      <c r="D7683" s="1"/>
    </row>
    <row r="7684" spans="4:4">
      <c r="D7684" s="1"/>
    </row>
    <row r="7685" spans="4:4">
      <c r="D7685" s="1"/>
    </row>
    <row r="7686" spans="4:4">
      <c r="D7686" s="1"/>
    </row>
    <row r="7687" spans="4:4">
      <c r="D7687" s="1"/>
    </row>
    <row r="7688" spans="4:4">
      <c r="D7688" s="1"/>
    </row>
    <row r="7689" spans="4:4">
      <c r="D7689" s="1"/>
    </row>
    <row r="7690" spans="4:4">
      <c r="D7690" s="1"/>
    </row>
    <row r="7691" spans="4:4">
      <c r="D7691" s="1"/>
    </row>
    <row r="7692" spans="4:4">
      <c r="D7692" s="1"/>
    </row>
    <row r="7693" spans="4:4">
      <c r="D7693" s="1"/>
    </row>
    <row r="7694" spans="4:4">
      <c r="D7694" s="1"/>
    </row>
    <row r="7695" spans="4:4">
      <c r="D7695" s="1"/>
    </row>
    <row r="7696" spans="4:4">
      <c r="D7696" s="1"/>
    </row>
    <row r="7697" spans="4:4">
      <c r="D7697" s="1"/>
    </row>
    <row r="7698" spans="4:4">
      <c r="D7698" s="1"/>
    </row>
    <row r="7699" spans="4:4">
      <c r="D7699" s="1"/>
    </row>
    <row r="7700" spans="4:4">
      <c r="D7700" s="1"/>
    </row>
    <row r="7701" spans="4:4">
      <c r="D7701" s="1"/>
    </row>
    <row r="7702" spans="4:4">
      <c r="D7702" s="1"/>
    </row>
    <row r="7703" spans="4:4">
      <c r="D7703" s="1"/>
    </row>
    <row r="7704" spans="4:4">
      <c r="D7704" s="1"/>
    </row>
    <row r="7705" spans="4:4">
      <c r="D7705" s="1"/>
    </row>
    <row r="7706" spans="4:4">
      <c r="D7706" s="1"/>
    </row>
    <row r="7707" spans="4:4">
      <c r="D7707" s="1"/>
    </row>
    <row r="7708" spans="4:4">
      <c r="D7708" s="1"/>
    </row>
    <row r="7709" spans="4:4">
      <c r="D7709" s="1"/>
    </row>
    <row r="7710" spans="4:4">
      <c r="D7710" s="1"/>
    </row>
    <row r="7711" spans="4:4">
      <c r="D7711" s="1"/>
    </row>
    <row r="7712" spans="4:4">
      <c r="D7712" s="1"/>
    </row>
    <row r="7713" spans="4:4">
      <c r="D7713" s="1"/>
    </row>
    <row r="7714" spans="4:4">
      <c r="D7714" s="1"/>
    </row>
    <row r="7715" spans="4:4">
      <c r="D7715" s="1"/>
    </row>
    <row r="7716" spans="4:4">
      <c r="D7716" s="1"/>
    </row>
    <row r="7717" spans="4:4">
      <c r="D7717" s="1"/>
    </row>
    <row r="7718" spans="4:4">
      <c r="D7718" s="1"/>
    </row>
    <row r="7719" spans="4:4">
      <c r="D7719" s="1"/>
    </row>
    <row r="7720" spans="4:4">
      <c r="D7720" s="1"/>
    </row>
    <row r="7721" spans="4:4">
      <c r="D7721" s="1"/>
    </row>
    <row r="7722" spans="4:4">
      <c r="D7722" s="1"/>
    </row>
    <row r="7723" spans="4:4">
      <c r="D7723" s="1"/>
    </row>
    <row r="7724" spans="4:4">
      <c r="D7724" s="1"/>
    </row>
    <row r="7725" spans="4:4">
      <c r="D7725" s="1"/>
    </row>
    <row r="7726" spans="4:4">
      <c r="D7726" s="1"/>
    </row>
    <row r="7727" spans="4:4">
      <c r="D7727" s="1"/>
    </row>
    <row r="7728" spans="4:4">
      <c r="D7728" s="1"/>
    </row>
    <row r="7729" spans="4:4">
      <c r="D7729" s="1"/>
    </row>
    <row r="7730" spans="4:4">
      <c r="D7730" s="1"/>
    </row>
    <row r="7731" spans="4:4">
      <c r="D7731" s="1"/>
    </row>
    <row r="7732" spans="4:4">
      <c r="D7732" s="1"/>
    </row>
    <row r="7733" spans="4:4">
      <c r="D7733" s="1"/>
    </row>
    <row r="7734" spans="4:4">
      <c r="D7734" s="1"/>
    </row>
    <row r="7735" spans="4:4">
      <c r="D7735" s="1"/>
    </row>
    <row r="7736" spans="4:4">
      <c r="D7736" s="1"/>
    </row>
    <row r="7737" spans="4:4">
      <c r="D7737" s="1"/>
    </row>
    <row r="7738" spans="4:4">
      <c r="D7738" s="1"/>
    </row>
    <row r="7739" spans="4:4">
      <c r="D7739" s="1"/>
    </row>
    <row r="7740" spans="4:4">
      <c r="D7740" s="1"/>
    </row>
    <row r="7741" spans="4:4">
      <c r="D7741" s="1"/>
    </row>
    <row r="7742" spans="4:4">
      <c r="D7742" s="1"/>
    </row>
    <row r="7743" spans="4:4">
      <c r="D7743" s="1"/>
    </row>
    <row r="7744" spans="4:4">
      <c r="D7744" s="1"/>
    </row>
    <row r="7745" spans="4:4">
      <c r="D7745" s="1"/>
    </row>
    <row r="7746" spans="4:4">
      <c r="D7746" s="1"/>
    </row>
    <row r="7747" spans="4:4">
      <c r="D7747" s="1"/>
    </row>
    <row r="7748" spans="4:4">
      <c r="D7748" s="1"/>
    </row>
    <row r="7749" spans="4:4">
      <c r="D7749" s="1"/>
    </row>
    <row r="7750" spans="4:4">
      <c r="D7750" s="1"/>
    </row>
    <row r="7751" spans="4:4">
      <c r="D7751" s="1"/>
    </row>
    <row r="7752" spans="4:4">
      <c r="D7752" s="1"/>
    </row>
    <row r="7753" spans="4:4">
      <c r="D7753" s="1"/>
    </row>
    <row r="7754" spans="4:4">
      <c r="D7754" s="1"/>
    </row>
    <row r="7755" spans="4:4">
      <c r="D7755" s="1"/>
    </row>
    <row r="7756" spans="4:4">
      <c r="D7756" s="1"/>
    </row>
    <row r="7757" spans="4:4">
      <c r="D7757" s="1"/>
    </row>
    <row r="7758" spans="4:4">
      <c r="D7758" s="1"/>
    </row>
    <row r="7759" spans="4:4">
      <c r="D7759" s="1"/>
    </row>
    <row r="7760" spans="4:4">
      <c r="D7760" s="1"/>
    </row>
    <row r="7761" spans="4:4">
      <c r="D7761" s="1"/>
    </row>
    <row r="7762" spans="4:4">
      <c r="D7762" s="1"/>
    </row>
    <row r="7763" spans="4:4">
      <c r="D7763" s="1"/>
    </row>
    <row r="7764" spans="4:4">
      <c r="D7764" s="1"/>
    </row>
    <row r="7765" spans="4:4">
      <c r="D7765" s="1"/>
    </row>
    <row r="7766" spans="4:4">
      <c r="D7766" s="1"/>
    </row>
    <row r="7767" spans="4:4">
      <c r="D7767" s="1"/>
    </row>
    <row r="7768" spans="4:4">
      <c r="D7768" s="1"/>
    </row>
    <row r="7769" spans="4:4">
      <c r="D7769" s="1"/>
    </row>
    <row r="7770" spans="4:4">
      <c r="D7770" s="1"/>
    </row>
    <row r="7771" spans="4:4">
      <c r="D7771" s="1"/>
    </row>
    <row r="7772" spans="4:4">
      <c r="D7772" s="1"/>
    </row>
    <row r="7773" spans="4:4">
      <c r="D7773" s="1"/>
    </row>
    <row r="7774" spans="4:4">
      <c r="D7774" s="1"/>
    </row>
    <row r="7775" spans="4:4">
      <c r="D7775" s="1"/>
    </row>
    <row r="7776" spans="4:4">
      <c r="D7776" s="1"/>
    </row>
    <row r="7777" spans="4:4">
      <c r="D7777" s="1"/>
    </row>
    <row r="7778" spans="4:4">
      <c r="D7778" s="1"/>
    </row>
    <row r="7779" spans="4:4">
      <c r="D7779" s="1"/>
    </row>
    <row r="7780" spans="4:4">
      <c r="D7780" s="1"/>
    </row>
    <row r="7781" spans="4:4">
      <c r="D7781" s="1"/>
    </row>
    <row r="7782" spans="4:4">
      <c r="D7782" s="1"/>
    </row>
    <row r="7783" spans="4:4">
      <c r="D7783" s="1"/>
    </row>
    <row r="7784" spans="4:4">
      <c r="D7784" s="1"/>
    </row>
    <row r="7785" spans="4:4">
      <c r="D7785" s="1"/>
    </row>
    <row r="7786" spans="4:4">
      <c r="D7786" s="1"/>
    </row>
    <row r="7787" spans="4:4">
      <c r="D7787" s="1"/>
    </row>
    <row r="7788" spans="4:4">
      <c r="D7788" s="1"/>
    </row>
    <row r="7789" spans="4:4">
      <c r="D7789" s="1"/>
    </row>
    <row r="7790" spans="4:4">
      <c r="D7790" s="1"/>
    </row>
    <row r="7791" spans="4:4">
      <c r="D7791" s="1"/>
    </row>
    <row r="7792" spans="4:4">
      <c r="D7792" s="1"/>
    </row>
    <row r="7793" spans="4:4">
      <c r="D7793" s="1"/>
    </row>
    <row r="7794" spans="4:4">
      <c r="D7794" s="1"/>
    </row>
    <row r="7795" spans="4:4">
      <c r="D7795" s="1"/>
    </row>
    <row r="7796" spans="4:4">
      <c r="D7796" s="1"/>
    </row>
    <row r="7797" spans="4:4">
      <c r="D7797" s="1"/>
    </row>
    <row r="7798" spans="4:4">
      <c r="D7798" s="1"/>
    </row>
    <row r="7799" spans="4:4">
      <c r="D7799" s="1"/>
    </row>
    <row r="7800" spans="4:4">
      <c r="D7800" s="1"/>
    </row>
    <row r="7801" spans="4:4">
      <c r="D7801" s="1"/>
    </row>
    <row r="7802" spans="4:4">
      <c r="D7802" s="1"/>
    </row>
    <row r="7803" spans="4:4">
      <c r="D7803" s="1"/>
    </row>
    <row r="7804" spans="4:4">
      <c r="D7804" s="1"/>
    </row>
    <row r="7805" spans="4:4">
      <c r="D7805" s="1"/>
    </row>
    <row r="7806" spans="4:4">
      <c r="D7806" s="1"/>
    </row>
    <row r="7807" spans="4:4">
      <c r="D7807" s="1"/>
    </row>
    <row r="7808" spans="4:4">
      <c r="D7808" s="1"/>
    </row>
    <row r="7809" spans="4:4">
      <c r="D7809" s="1"/>
    </row>
    <row r="7810" spans="4:4">
      <c r="D7810" s="1"/>
    </row>
    <row r="7811" spans="4:4">
      <c r="D7811" s="1"/>
    </row>
    <row r="7812" spans="4:4">
      <c r="D7812" s="1"/>
    </row>
    <row r="7813" spans="4:4">
      <c r="D7813" s="1"/>
    </row>
    <row r="7814" spans="4:4">
      <c r="D7814" s="1"/>
    </row>
    <row r="7815" spans="4:4">
      <c r="D7815" s="1"/>
    </row>
    <row r="7816" spans="4:4">
      <c r="D7816" s="1"/>
    </row>
    <row r="7817" spans="4:4">
      <c r="D7817" s="1"/>
    </row>
    <row r="7818" spans="4:4">
      <c r="D7818" s="1"/>
    </row>
    <row r="7819" spans="4:4">
      <c r="D7819" s="1"/>
    </row>
    <row r="7820" spans="4:4">
      <c r="D7820" s="1"/>
    </row>
    <row r="7821" spans="4:4">
      <c r="D7821" s="1"/>
    </row>
    <row r="7822" spans="4:4">
      <c r="D7822" s="1"/>
    </row>
    <row r="7823" spans="4:4">
      <c r="D7823" s="1"/>
    </row>
    <row r="7824" spans="4:4">
      <c r="D7824" s="1"/>
    </row>
    <row r="7825" spans="4:4">
      <c r="D7825" s="1"/>
    </row>
    <row r="7826" spans="4:4">
      <c r="D7826" s="1"/>
    </row>
    <row r="7827" spans="4:4">
      <c r="D7827" s="1"/>
    </row>
    <row r="7828" spans="4:4">
      <c r="D7828" s="1"/>
    </row>
    <row r="7829" spans="4:4">
      <c r="D7829" s="1"/>
    </row>
    <row r="7830" spans="4:4">
      <c r="D7830" s="1"/>
    </row>
    <row r="7831" spans="4:4">
      <c r="D7831" s="1"/>
    </row>
    <row r="7832" spans="4:4">
      <c r="D7832" s="1"/>
    </row>
    <row r="7833" spans="4:4">
      <c r="D7833" s="1"/>
    </row>
    <row r="7834" spans="4:4">
      <c r="D7834" s="1"/>
    </row>
    <row r="7835" spans="4:4">
      <c r="D7835" s="1"/>
    </row>
    <row r="7836" spans="4:4">
      <c r="D7836" s="1"/>
    </row>
    <row r="7837" spans="4:4">
      <c r="D7837" s="1"/>
    </row>
    <row r="7838" spans="4:4">
      <c r="D7838" s="1"/>
    </row>
    <row r="7839" spans="4:4">
      <c r="D7839" s="1"/>
    </row>
    <row r="7840" spans="4:4">
      <c r="D7840" s="1"/>
    </row>
    <row r="7841" spans="4:4">
      <c r="D7841" s="1"/>
    </row>
    <row r="7842" spans="4:4">
      <c r="D7842" s="1"/>
    </row>
    <row r="7843" spans="4:4">
      <c r="D7843" s="1"/>
    </row>
    <row r="7844" spans="4:4">
      <c r="D7844" s="1"/>
    </row>
    <row r="7845" spans="4:4">
      <c r="D7845" s="1"/>
    </row>
    <row r="7846" spans="4:4">
      <c r="D7846" s="1"/>
    </row>
    <row r="7847" spans="4:4">
      <c r="D7847" s="1"/>
    </row>
    <row r="7848" spans="4:4">
      <c r="D7848" s="1"/>
    </row>
    <row r="7849" spans="4:4">
      <c r="D7849" s="1"/>
    </row>
    <row r="7850" spans="4:4">
      <c r="D7850" s="1"/>
    </row>
    <row r="7851" spans="4:4">
      <c r="D7851" s="1"/>
    </row>
    <row r="7852" spans="4:4">
      <c r="D7852" s="1"/>
    </row>
    <row r="7853" spans="4:4">
      <c r="D7853" s="1"/>
    </row>
    <row r="7854" spans="4:4">
      <c r="D7854" s="1"/>
    </row>
    <row r="7855" spans="4:4">
      <c r="D7855" s="1"/>
    </row>
    <row r="7856" spans="4:4">
      <c r="D7856" s="1"/>
    </row>
    <row r="7857" spans="4:4">
      <c r="D7857" s="1"/>
    </row>
    <row r="7858" spans="4:4">
      <c r="D7858" s="1"/>
    </row>
    <row r="7859" spans="4:4">
      <c r="D7859" s="1"/>
    </row>
    <row r="7860" spans="4:4">
      <c r="D7860" s="1"/>
    </row>
    <row r="7861" spans="4:4">
      <c r="D7861" s="1"/>
    </row>
    <row r="7862" spans="4:4">
      <c r="D7862" s="1"/>
    </row>
    <row r="7863" spans="4:4">
      <c r="D7863" s="1"/>
    </row>
    <row r="7864" spans="4:4">
      <c r="D7864" s="1"/>
    </row>
    <row r="7865" spans="4:4">
      <c r="D7865" s="1"/>
    </row>
    <row r="7866" spans="4:4">
      <c r="D7866" s="1"/>
    </row>
    <row r="7867" spans="4:4">
      <c r="D7867" s="1"/>
    </row>
    <row r="7868" spans="4:4">
      <c r="D7868" s="1"/>
    </row>
    <row r="7869" spans="4:4">
      <c r="D7869" s="1"/>
    </row>
    <row r="7870" spans="4:4">
      <c r="D7870" s="1"/>
    </row>
    <row r="7871" spans="4:4">
      <c r="D7871" s="1"/>
    </row>
    <row r="7872" spans="4:4">
      <c r="D7872" s="1"/>
    </row>
    <row r="7873" spans="4:4">
      <c r="D7873" s="1"/>
    </row>
    <row r="7874" spans="4:4">
      <c r="D7874" s="1"/>
    </row>
    <row r="7875" spans="4:4">
      <c r="D7875" s="1"/>
    </row>
    <row r="7876" spans="4:4">
      <c r="D7876" s="1"/>
    </row>
    <row r="7877" spans="4:4">
      <c r="D7877" s="1"/>
    </row>
    <row r="7878" spans="4:4">
      <c r="D7878" s="1"/>
    </row>
    <row r="7879" spans="4:4">
      <c r="D7879" s="1"/>
    </row>
    <row r="7880" spans="4:4">
      <c r="D7880" s="1"/>
    </row>
    <row r="7881" spans="4:4">
      <c r="D7881" s="1"/>
    </row>
    <row r="7882" spans="4:4">
      <c r="D7882" s="1"/>
    </row>
    <row r="7883" spans="4:4">
      <c r="D7883" s="1"/>
    </row>
    <row r="7884" spans="4:4">
      <c r="D7884" s="1"/>
    </row>
    <row r="7885" spans="4:4">
      <c r="D7885" s="1"/>
    </row>
    <row r="7886" spans="4:4">
      <c r="D7886" s="1"/>
    </row>
    <row r="7887" spans="4:4">
      <c r="D7887" s="1"/>
    </row>
    <row r="7888" spans="4:4">
      <c r="D7888" s="1"/>
    </row>
    <row r="7889" spans="4:4">
      <c r="D7889" s="1"/>
    </row>
    <row r="7890" spans="4:4">
      <c r="D7890" s="1"/>
    </row>
    <row r="7891" spans="4:4">
      <c r="D7891" s="1"/>
    </row>
    <row r="7892" spans="4:4">
      <c r="D7892" s="1"/>
    </row>
    <row r="7893" spans="4:4">
      <c r="D7893" s="1"/>
    </row>
    <row r="7894" spans="4:4">
      <c r="D7894" s="1"/>
    </row>
    <row r="7895" spans="4:4">
      <c r="D7895" s="1"/>
    </row>
    <row r="7896" spans="4:4">
      <c r="D7896" s="1"/>
    </row>
    <row r="7897" spans="4:4">
      <c r="D7897" s="1"/>
    </row>
    <row r="7898" spans="4:4">
      <c r="D7898" s="1"/>
    </row>
    <row r="7899" spans="4:4">
      <c r="D7899" s="1"/>
    </row>
    <row r="7900" spans="4:4">
      <c r="D7900" s="1"/>
    </row>
    <row r="7901" spans="4:4">
      <c r="D7901" s="1"/>
    </row>
    <row r="7902" spans="4:4">
      <c r="D7902" s="1"/>
    </row>
    <row r="7903" spans="4:4">
      <c r="D7903" s="1"/>
    </row>
    <row r="7904" spans="4:4">
      <c r="D7904" s="1"/>
    </row>
    <row r="7905" spans="4:4">
      <c r="D7905" s="1"/>
    </row>
    <row r="7906" spans="4:4">
      <c r="D7906" s="1"/>
    </row>
    <row r="7907" spans="4:4">
      <c r="D7907" s="1"/>
    </row>
    <row r="7908" spans="4:4">
      <c r="D7908" s="1"/>
    </row>
    <row r="7909" spans="4:4">
      <c r="D7909" s="1"/>
    </row>
    <row r="7910" spans="4:4">
      <c r="D7910" s="1"/>
    </row>
    <row r="7911" spans="4:4">
      <c r="D7911" s="1"/>
    </row>
    <row r="7912" spans="4:4">
      <c r="D7912" s="1"/>
    </row>
    <row r="7913" spans="4:4">
      <c r="D7913" s="1"/>
    </row>
    <row r="7914" spans="4:4">
      <c r="D7914" s="1"/>
    </row>
    <row r="7915" spans="4:4">
      <c r="D7915" s="1"/>
    </row>
    <row r="7916" spans="4:4">
      <c r="D7916" s="1"/>
    </row>
    <row r="7917" spans="4:4">
      <c r="D7917" s="1"/>
    </row>
    <row r="7918" spans="4:4">
      <c r="D7918" s="1"/>
    </row>
    <row r="7919" spans="4:4">
      <c r="D7919" s="1"/>
    </row>
    <row r="7920" spans="4:4">
      <c r="D7920" s="1"/>
    </row>
    <row r="7921" spans="4:4">
      <c r="D7921" s="1"/>
    </row>
    <row r="7922" spans="4:4">
      <c r="D7922" s="1"/>
    </row>
    <row r="7923" spans="4:4">
      <c r="D7923" s="1"/>
    </row>
    <row r="7924" spans="4:4">
      <c r="D7924" s="1"/>
    </row>
    <row r="7925" spans="4:4">
      <c r="D7925" s="1"/>
    </row>
    <row r="7926" spans="4:4">
      <c r="D7926" s="1"/>
    </row>
    <row r="7927" spans="4:4">
      <c r="D7927" s="1"/>
    </row>
    <row r="7928" spans="4:4">
      <c r="D7928" s="1"/>
    </row>
    <row r="7929" spans="4:4">
      <c r="D7929" s="1"/>
    </row>
    <row r="7930" spans="4:4">
      <c r="D7930" s="1"/>
    </row>
    <row r="7931" spans="4:4">
      <c r="D7931" s="1"/>
    </row>
    <row r="7932" spans="4:4">
      <c r="D7932" s="1"/>
    </row>
    <row r="7933" spans="4:4">
      <c r="D7933" s="1"/>
    </row>
    <row r="7934" spans="4:4">
      <c r="D7934" s="1"/>
    </row>
    <row r="7935" spans="4:4">
      <c r="D7935" s="1"/>
    </row>
    <row r="7936" spans="4:4">
      <c r="D7936" s="1"/>
    </row>
    <row r="7937" spans="4:4">
      <c r="D7937" s="1"/>
    </row>
    <row r="7938" spans="4:4">
      <c r="D7938" s="1"/>
    </row>
    <row r="7939" spans="4:4">
      <c r="D7939" s="1"/>
    </row>
    <row r="7940" spans="4:4">
      <c r="D7940" s="1"/>
    </row>
    <row r="7941" spans="4:4">
      <c r="D7941" s="1"/>
    </row>
    <row r="7942" spans="4:4">
      <c r="D7942" s="1"/>
    </row>
    <row r="7943" spans="4:4">
      <c r="D7943" s="1"/>
    </row>
    <row r="7944" spans="4:4">
      <c r="D7944" s="1"/>
    </row>
    <row r="7945" spans="4:4">
      <c r="D7945" s="1"/>
    </row>
    <row r="7946" spans="4:4">
      <c r="D7946" s="1"/>
    </row>
    <row r="7947" spans="4:4">
      <c r="D7947" s="1"/>
    </row>
    <row r="7948" spans="4:4">
      <c r="D7948" s="1"/>
    </row>
    <row r="7949" spans="4:4">
      <c r="D7949" s="1"/>
    </row>
    <row r="7950" spans="4:4">
      <c r="D7950" s="1"/>
    </row>
    <row r="7951" spans="4:4">
      <c r="D7951" s="1"/>
    </row>
    <row r="7952" spans="4:4">
      <c r="D7952" s="1"/>
    </row>
    <row r="7953" spans="4:4">
      <c r="D7953" s="1"/>
    </row>
    <row r="7954" spans="4:4">
      <c r="D7954" s="1"/>
    </row>
    <row r="7955" spans="4:4">
      <c r="D7955" s="1"/>
    </row>
    <row r="7956" spans="4:4">
      <c r="D7956" s="1"/>
    </row>
    <row r="7957" spans="4:4">
      <c r="D7957" s="1"/>
    </row>
    <row r="7958" spans="4:4">
      <c r="D7958" s="1"/>
    </row>
    <row r="7959" spans="4:4">
      <c r="D7959" s="1"/>
    </row>
    <row r="7960" spans="4:4">
      <c r="D7960" s="1"/>
    </row>
    <row r="7961" spans="4:4">
      <c r="D7961" s="1"/>
    </row>
    <row r="7962" spans="4:4">
      <c r="D7962" s="1"/>
    </row>
    <row r="7963" spans="4:4">
      <c r="D7963" s="1"/>
    </row>
    <row r="7964" spans="4:4">
      <c r="D7964" s="1"/>
    </row>
    <row r="7965" spans="4:4">
      <c r="D7965" s="1"/>
    </row>
    <row r="7966" spans="4:4">
      <c r="D7966" s="1"/>
    </row>
    <row r="7967" spans="4:4">
      <c r="D7967" s="1"/>
    </row>
    <row r="7968" spans="4:4">
      <c r="D7968" s="1"/>
    </row>
    <row r="7969" spans="4:4">
      <c r="D7969" s="1"/>
    </row>
    <row r="7970" spans="4:4">
      <c r="D7970" s="1"/>
    </row>
    <row r="7971" spans="4:4">
      <c r="D7971" s="1"/>
    </row>
    <row r="7972" spans="4:4">
      <c r="D7972" s="1"/>
    </row>
    <row r="7973" spans="4:4">
      <c r="D7973" s="1"/>
    </row>
    <row r="7974" spans="4:4">
      <c r="D7974" s="1"/>
    </row>
    <row r="7975" spans="4:4">
      <c r="D7975" s="1"/>
    </row>
    <row r="7976" spans="4:4">
      <c r="D7976" s="1"/>
    </row>
    <row r="7977" spans="4:4">
      <c r="D7977" s="1"/>
    </row>
    <row r="7978" spans="4:4">
      <c r="D7978" s="1"/>
    </row>
    <row r="7979" spans="4:4">
      <c r="D7979" s="1"/>
    </row>
    <row r="7980" spans="4:4">
      <c r="D7980" s="1"/>
    </row>
    <row r="7981" spans="4:4">
      <c r="D7981" s="1"/>
    </row>
    <row r="7982" spans="4:4">
      <c r="D7982" s="1"/>
    </row>
    <row r="7983" spans="4:4">
      <c r="D7983" s="1"/>
    </row>
    <row r="7984" spans="4:4">
      <c r="D7984" s="1"/>
    </row>
    <row r="7985" spans="4:4">
      <c r="D7985" s="1"/>
    </row>
    <row r="7986" spans="4:4">
      <c r="D7986" s="1"/>
    </row>
    <row r="7987" spans="4:4">
      <c r="D7987" s="1"/>
    </row>
    <row r="7988" spans="4:4">
      <c r="D7988" s="1"/>
    </row>
    <row r="7989" spans="4:4">
      <c r="D7989" s="1"/>
    </row>
    <row r="7990" spans="4:4">
      <c r="D7990" s="1"/>
    </row>
    <row r="7991" spans="4:4">
      <c r="D7991" s="1"/>
    </row>
    <row r="7992" spans="4:4">
      <c r="D7992" s="1"/>
    </row>
    <row r="7993" spans="4:4">
      <c r="D7993" s="1"/>
    </row>
    <row r="7994" spans="4:4">
      <c r="D7994" s="1"/>
    </row>
    <row r="7995" spans="4:4">
      <c r="D7995" s="1"/>
    </row>
    <row r="7996" spans="4:4">
      <c r="D7996" s="1"/>
    </row>
    <row r="7997" spans="4:4">
      <c r="D7997" s="1"/>
    </row>
    <row r="7998" spans="4:4">
      <c r="D7998" s="1"/>
    </row>
    <row r="7999" spans="4:4">
      <c r="D7999" s="1"/>
    </row>
    <row r="8000" spans="4:4">
      <c r="D8000" s="1"/>
    </row>
    <row r="8001" spans="4:4">
      <c r="D8001" s="1"/>
    </row>
    <row r="8002" spans="4:4">
      <c r="D8002" s="1"/>
    </row>
    <row r="8003" spans="4:4">
      <c r="D8003" s="1"/>
    </row>
    <row r="8004" spans="4:4">
      <c r="D8004" s="1"/>
    </row>
    <row r="8005" spans="4:4">
      <c r="D8005" s="1"/>
    </row>
    <row r="8006" spans="4:4">
      <c r="D8006" s="1"/>
    </row>
    <row r="8007" spans="4:4">
      <c r="D8007" s="1"/>
    </row>
    <row r="8008" spans="4:4">
      <c r="D8008" s="1"/>
    </row>
    <row r="8009" spans="4:4">
      <c r="D8009" s="1"/>
    </row>
    <row r="8010" spans="4:4">
      <c r="D8010" s="1"/>
    </row>
    <row r="8011" spans="4:4">
      <c r="D8011" s="1"/>
    </row>
    <row r="8012" spans="4:4">
      <c r="D8012" s="1"/>
    </row>
    <row r="8013" spans="4:4">
      <c r="D8013" s="1"/>
    </row>
    <row r="8014" spans="4:4">
      <c r="D8014" s="1"/>
    </row>
    <row r="8015" spans="4:4">
      <c r="D8015" s="1"/>
    </row>
    <row r="8016" spans="4:4">
      <c r="D8016" s="1"/>
    </row>
    <row r="8017" spans="4:4">
      <c r="D8017" s="1"/>
    </row>
    <row r="8018" spans="4:4">
      <c r="D8018" s="1"/>
    </row>
    <row r="8019" spans="4:4">
      <c r="D8019" s="1"/>
    </row>
    <row r="8020" spans="4:4">
      <c r="D8020" s="1"/>
    </row>
    <row r="8021" spans="4:4">
      <c r="D8021" s="1"/>
    </row>
    <row r="8022" spans="4:4">
      <c r="D8022" s="1"/>
    </row>
    <row r="8023" spans="4:4">
      <c r="D8023" s="1"/>
    </row>
    <row r="8024" spans="4:4">
      <c r="D8024" s="1"/>
    </row>
    <row r="8025" spans="4:4">
      <c r="D8025" s="1"/>
    </row>
    <row r="8026" spans="4:4">
      <c r="D8026" s="1"/>
    </row>
    <row r="8027" spans="4:4">
      <c r="D8027" s="1"/>
    </row>
    <row r="8028" spans="4:4">
      <c r="D8028" s="1"/>
    </row>
    <row r="8029" spans="4:4">
      <c r="D8029" s="1"/>
    </row>
    <row r="8030" spans="4:4">
      <c r="D8030" s="1"/>
    </row>
    <row r="8031" spans="4:4">
      <c r="D8031" s="1"/>
    </row>
    <row r="8032" spans="4:4">
      <c r="D8032" s="1"/>
    </row>
    <row r="8033" spans="4:4">
      <c r="D8033" s="1"/>
    </row>
    <row r="8034" spans="4:4">
      <c r="D8034" s="1"/>
    </row>
    <row r="8035" spans="4:4">
      <c r="D8035" s="1"/>
    </row>
    <row r="8036" spans="4:4">
      <c r="D8036" s="1"/>
    </row>
    <row r="8037" spans="4:4">
      <c r="D8037" s="1"/>
    </row>
    <row r="8038" spans="4:4">
      <c r="D8038" s="1"/>
    </row>
    <row r="8039" spans="4:4">
      <c r="D8039" s="1"/>
    </row>
    <row r="8040" spans="4:4">
      <c r="D8040" s="1"/>
    </row>
    <row r="8041" spans="4:4">
      <c r="D8041" s="1"/>
    </row>
    <row r="8042" spans="4:4">
      <c r="D8042" s="1"/>
    </row>
    <row r="8043" spans="4:4">
      <c r="D8043" s="1"/>
    </row>
    <row r="8044" spans="4:4">
      <c r="D8044" s="1"/>
    </row>
    <row r="8045" spans="4:4">
      <c r="D8045" s="1"/>
    </row>
    <row r="8046" spans="4:4">
      <c r="D8046" s="1"/>
    </row>
    <row r="8047" spans="4:4">
      <c r="D8047" s="1"/>
    </row>
    <row r="8048" spans="4:4">
      <c r="D8048" s="1"/>
    </row>
    <row r="8049" spans="4:4">
      <c r="D8049" s="1"/>
    </row>
    <row r="8050" spans="4:4">
      <c r="D8050" s="1"/>
    </row>
    <row r="8051" spans="4:4">
      <c r="D8051" s="1"/>
    </row>
    <row r="8052" spans="4:4">
      <c r="D8052" s="1"/>
    </row>
    <row r="8053" spans="4:4">
      <c r="D8053" s="1"/>
    </row>
    <row r="8054" spans="4:4">
      <c r="D8054" s="1"/>
    </row>
    <row r="8055" spans="4:4">
      <c r="D8055" s="1"/>
    </row>
    <row r="8056" spans="4:4">
      <c r="D8056" s="1"/>
    </row>
    <row r="8057" spans="4:4">
      <c r="D8057" s="1"/>
    </row>
    <row r="8058" spans="4:4">
      <c r="D8058" s="1"/>
    </row>
    <row r="8059" spans="4:4">
      <c r="D8059" s="1"/>
    </row>
    <row r="8060" spans="4:4">
      <c r="D8060" s="1"/>
    </row>
    <row r="8061" spans="4:4">
      <c r="D8061" s="1"/>
    </row>
    <row r="8062" spans="4:4">
      <c r="D8062" s="1"/>
    </row>
    <row r="8063" spans="4:4">
      <c r="D8063" s="1"/>
    </row>
    <row r="8064" spans="4:4">
      <c r="D8064" s="1"/>
    </row>
    <row r="8065" spans="4:4">
      <c r="D8065" s="1"/>
    </row>
    <row r="8066" spans="4:4">
      <c r="D8066" s="1"/>
    </row>
    <row r="8067" spans="4:4">
      <c r="D8067" s="1"/>
    </row>
    <row r="8068" spans="4:4">
      <c r="D8068" s="1"/>
    </row>
    <row r="8069" spans="4:4">
      <c r="D8069" s="1"/>
    </row>
    <row r="8070" spans="4:4">
      <c r="D8070" s="1"/>
    </row>
    <row r="8071" spans="4:4">
      <c r="D8071" s="1"/>
    </row>
    <row r="8072" spans="4:4">
      <c r="D8072" s="1"/>
    </row>
    <row r="8073" spans="4:4">
      <c r="D8073" s="1"/>
    </row>
    <row r="8074" spans="4:4">
      <c r="D8074" s="1"/>
    </row>
    <row r="8075" spans="4:4">
      <c r="D8075" s="1"/>
    </row>
    <row r="8076" spans="4:4">
      <c r="D8076" s="1"/>
    </row>
    <row r="8077" spans="4:4">
      <c r="D8077" s="1"/>
    </row>
    <row r="8078" spans="4:4">
      <c r="D8078" s="1"/>
    </row>
    <row r="8079" spans="4:4">
      <c r="D8079" s="1"/>
    </row>
    <row r="8080" spans="4:4">
      <c r="D8080" s="1"/>
    </row>
    <row r="8081" spans="4:4">
      <c r="D8081" s="1"/>
    </row>
    <row r="8082" spans="4:4">
      <c r="D8082" s="1"/>
    </row>
    <row r="8083" spans="4:4">
      <c r="D8083" s="1"/>
    </row>
    <row r="8084" spans="4:4">
      <c r="D8084" s="1"/>
    </row>
    <row r="8085" spans="4:4">
      <c r="D8085" s="1"/>
    </row>
    <row r="8086" spans="4:4">
      <c r="D8086" s="1"/>
    </row>
    <row r="8087" spans="4:4">
      <c r="D8087" s="1"/>
    </row>
    <row r="8088" spans="4:4">
      <c r="D8088" s="1"/>
    </row>
    <row r="8089" spans="4:4">
      <c r="D8089" s="1"/>
    </row>
    <row r="8090" spans="4:4">
      <c r="D8090" s="1"/>
    </row>
    <row r="8091" spans="4:4">
      <c r="D8091" s="1"/>
    </row>
    <row r="8092" spans="4:4">
      <c r="D8092" s="1"/>
    </row>
    <row r="8093" spans="4:4">
      <c r="D8093" s="1"/>
    </row>
    <row r="8094" spans="4:4">
      <c r="D8094" s="1"/>
    </row>
    <row r="8095" spans="4:4">
      <c r="D8095" s="1"/>
    </row>
    <row r="8096" spans="4:4">
      <c r="D8096" s="1"/>
    </row>
    <row r="8097" spans="4:4">
      <c r="D8097" s="1"/>
    </row>
    <row r="8098" spans="4:4">
      <c r="D8098" s="1"/>
    </row>
    <row r="8099" spans="4:4">
      <c r="D8099" s="1"/>
    </row>
    <row r="8100" spans="4:4">
      <c r="D8100" s="1"/>
    </row>
    <row r="8101" spans="4:4">
      <c r="D8101" s="1"/>
    </row>
    <row r="8102" spans="4:4">
      <c r="D8102" s="1"/>
    </row>
    <row r="8103" spans="4:4">
      <c r="D8103" s="1"/>
    </row>
    <row r="8104" spans="4:4">
      <c r="D8104" s="1"/>
    </row>
    <row r="8105" spans="4:4">
      <c r="D8105" s="1"/>
    </row>
    <row r="8106" spans="4:4">
      <c r="D8106" s="1"/>
    </row>
    <row r="8107" spans="4:4">
      <c r="D8107" s="1"/>
    </row>
    <row r="8108" spans="4:4">
      <c r="D8108" s="1"/>
    </row>
    <row r="8109" spans="4:4">
      <c r="D8109" s="1"/>
    </row>
    <row r="8110" spans="4:4">
      <c r="D8110" s="1"/>
    </row>
    <row r="8111" spans="4:4">
      <c r="D8111" s="1"/>
    </row>
    <row r="8112" spans="4:4">
      <c r="D8112" s="1"/>
    </row>
    <row r="8113" spans="4:4">
      <c r="D8113" s="1"/>
    </row>
    <row r="8114" spans="4:4">
      <c r="D8114" s="1"/>
    </row>
    <row r="8115" spans="4:4">
      <c r="D8115" s="1"/>
    </row>
    <row r="8116" spans="4:4">
      <c r="D8116" s="1"/>
    </row>
    <row r="8117" spans="4:4">
      <c r="D8117" s="1"/>
    </row>
    <row r="8118" spans="4:4">
      <c r="D8118" s="1"/>
    </row>
    <row r="8119" spans="4:4">
      <c r="D8119" s="1"/>
    </row>
    <row r="8120" spans="4:4">
      <c r="D8120" s="1"/>
    </row>
    <row r="8121" spans="4:4">
      <c r="D8121" s="1"/>
    </row>
    <row r="8122" spans="4:4">
      <c r="D8122" s="1"/>
    </row>
    <row r="8123" spans="4:4">
      <c r="D8123" s="1"/>
    </row>
    <row r="8124" spans="4:4">
      <c r="D8124" s="1"/>
    </row>
    <row r="8125" spans="4:4">
      <c r="D8125" s="1"/>
    </row>
    <row r="8126" spans="4:4">
      <c r="D8126" s="1"/>
    </row>
    <row r="8127" spans="4:4">
      <c r="D8127" s="1"/>
    </row>
    <row r="8128" spans="4:4">
      <c r="D8128" s="1"/>
    </row>
    <row r="8129" spans="4:4">
      <c r="D8129" s="1"/>
    </row>
    <row r="8130" spans="4:4">
      <c r="D8130" s="1"/>
    </row>
    <row r="8131" spans="4:4">
      <c r="D8131" s="1"/>
    </row>
    <row r="8132" spans="4:4">
      <c r="D8132" s="1"/>
    </row>
    <row r="8133" spans="4:4">
      <c r="D8133" s="1"/>
    </row>
    <row r="8134" spans="4:4">
      <c r="D8134" s="1"/>
    </row>
    <row r="8135" spans="4:4">
      <c r="D8135" s="1"/>
    </row>
    <row r="8136" spans="4:4">
      <c r="D8136" s="1"/>
    </row>
    <row r="8137" spans="4:4">
      <c r="D8137" s="1"/>
    </row>
    <row r="8138" spans="4:4">
      <c r="D8138" s="1"/>
    </row>
    <row r="8139" spans="4:4">
      <c r="D8139" s="1"/>
    </row>
    <row r="8140" spans="4:4">
      <c r="D8140" s="1"/>
    </row>
    <row r="8141" spans="4:4">
      <c r="D8141" s="1"/>
    </row>
    <row r="8142" spans="4:4">
      <c r="D8142" s="1"/>
    </row>
    <row r="8143" spans="4:4">
      <c r="D8143" s="1"/>
    </row>
    <row r="8144" spans="4:4">
      <c r="D8144" s="1"/>
    </row>
    <row r="8145" spans="4:4">
      <c r="D8145" s="1"/>
    </row>
    <row r="8146" spans="4:4">
      <c r="D8146" s="1"/>
    </row>
    <row r="8147" spans="4:4">
      <c r="D8147" s="1"/>
    </row>
    <row r="8148" spans="4:4">
      <c r="D8148" s="1"/>
    </row>
    <row r="8149" spans="4:4">
      <c r="D8149" s="1"/>
    </row>
    <row r="8150" spans="4:4">
      <c r="D8150" s="1"/>
    </row>
    <row r="8151" spans="4:4">
      <c r="D8151" s="1"/>
    </row>
    <row r="8152" spans="4:4">
      <c r="D8152" s="1"/>
    </row>
    <row r="8153" spans="4:4">
      <c r="D8153" s="1"/>
    </row>
    <row r="8154" spans="4:4">
      <c r="D8154" s="1"/>
    </row>
    <row r="8155" spans="4:4">
      <c r="D8155" s="1"/>
    </row>
    <row r="8156" spans="4:4">
      <c r="D8156" s="1"/>
    </row>
    <row r="8157" spans="4:4">
      <c r="D8157" s="1"/>
    </row>
    <row r="8158" spans="4:4">
      <c r="D8158" s="1"/>
    </row>
    <row r="8159" spans="4:4">
      <c r="D8159" s="1"/>
    </row>
    <row r="8160" spans="4:4">
      <c r="D8160" s="1"/>
    </row>
    <row r="8161" spans="4:4">
      <c r="D8161" s="1"/>
    </row>
    <row r="8162" spans="4:4">
      <c r="D8162" s="1"/>
    </row>
    <row r="8163" spans="4:4">
      <c r="D8163" s="1"/>
    </row>
    <row r="8164" spans="4:4">
      <c r="D8164" s="1"/>
    </row>
    <row r="8165" spans="4:4">
      <c r="D8165" s="1"/>
    </row>
    <row r="8166" spans="4:4">
      <c r="D8166" s="1"/>
    </row>
    <row r="8167" spans="4:4">
      <c r="D8167" s="1"/>
    </row>
    <row r="8168" spans="4:4">
      <c r="D8168" s="1"/>
    </row>
    <row r="8169" spans="4:4">
      <c r="D8169" s="1"/>
    </row>
    <row r="8170" spans="4:4">
      <c r="D8170" s="1"/>
    </row>
    <row r="8171" spans="4:4">
      <c r="D8171" s="1"/>
    </row>
    <row r="8172" spans="4:4">
      <c r="D8172" s="1"/>
    </row>
    <row r="8173" spans="4:4">
      <c r="D8173" s="1"/>
    </row>
    <row r="8174" spans="4:4">
      <c r="D8174" s="1"/>
    </row>
    <row r="8175" spans="4:4">
      <c r="D8175" s="1"/>
    </row>
    <row r="8176" spans="4:4">
      <c r="D8176" s="1"/>
    </row>
    <row r="8177" spans="4:4">
      <c r="D8177" s="1"/>
    </row>
    <row r="8178" spans="4:4">
      <c r="D8178" s="1"/>
    </row>
    <row r="8179" spans="4:4">
      <c r="D8179" s="1"/>
    </row>
    <row r="8180" spans="4:4">
      <c r="D8180" s="1"/>
    </row>
    <row r="8181" spans="4:4">
      <c r="D8181" s="1"/>
    </row>
    <row r="8182" spans="4:4">
      <c r="D8182" s="1"/>
    </row>
    <row r="8183" spans="4:4">
      <c r="D8183" s="1"/>
    </row>
    <row r="8184" spans="4:4">
      <c r="D8184" s="1"/>
    </row>
    <row r="8185" spans="4:4">
      <c r="D8185" s="1"/>
    </row>
    <row r="8186" spans="4:4">
      <c r="D8186" s="1"/>
    </row>
    <row r="8187" spans="4:4">
      <c r="D8187" s="1"/>
    </row>
    <row r="8188" spans="4:4">
      <c r="D8188" s="1"/>
    </row>
    <row r="8189" spans="4:4">
      <c r="D8189" s="1"/>
    </row>
    <row r="8190" spans="4:4">
      <c r="D8190" s="1"/>
    </row>
    <row r="8191" spans="4:4">
      <c r="D8191" s="1"/>
    </row>
    <row r="8192" spans="4:4">
      <c r="D8192" s="1"/>
    </row>
    <row r="8193" spans="4:4">
      <c r="D8193" s="1"/>
    </row>
    <row r="8194" spans="4:4">
      <c r="D8194" s="1"/>
    </row>
    <row r="8195" spans="4:4">
      <c r="D8195" s="1"/>
    </row>
    <row r="8196" spans="4:4">
      <c r="D8196" s="1"/>
    </row>
    <row r="8197" spans="4:4">
      <c r="D8197" s="1"/>
    </row>
    <row r="8198" spans="4:4">
      <c r="D8198" s="1"/>
    </row>
    <row r="8199" spans="4:4">
      <c r="D8199" s="1"/>
    </row>
    <row r="8200" spans="4:4">
      <c r="D8200" s="1"/>
    </row>
    <row r="8201" spans="4:4">
      <c r="D8201" s="1"/>
    </row>
    <row r="8202" spans="4:4">
      <c r="D8202" s="1"/>
    </row>
    <row r="8203" spans="4:4">
      <c r="D8203" s="1"/>
    </row>
    <row r="8204" spans="4:4">
      <c r="D8204" s="1"/>
    </row>
    <row r="8205" spans="4:4">
      <c r="D8205" s="1"/>
    </row>
    <row r="8206" spans="4:4">
      <c r="D8206" s="1"/>
    </row>
    <row r="8207" spans="4:4">
      <c r="D8207" s="1"/>
    </row>
    <row r="8208" spans="4:4">
      <c r="D8208" s="1"/>
    </row>
    <row r="8209" spans="4:4">
      <c r="D8209" s="1"/>
    </row>
    <row r="8210" spans="4:4">
      <c r="D8210" s="1"/>
    </row>
    <row r="8211" spans="4:4">
      <c r="D8211" s="1"/>
    </row>
    <row r="8212" spans="4:4">
      <c r="D8212" s="1"/>
    </row>
    <row r="8213" spans="4:4">
      <c r="D8213" s="1"/>
    </row>
    <row r="8214" spans="4:4">
      <c r="D8214" s="1"/>
    </row>
    <row r="8215" spans="4:4">
      <c r="D8215" s="1"/>
    </row>
    <row r="8216" spans="4:4">
      <c r="D8216" s="1"/>
    </row>
    <row r="8217" spans="4:4">
      <c r="D8217" s="1"/>
    </row>
    <row r="8218" spans="4:4">
      <c r="D8218" s="1"/>
    </row>
    <row r="8219" spans="4:4">
      <c r="D8219" s="1"/>
    </row>
    <row r="8220" spans="4:4">
      <c r="D8220" s="1"/>
    </row>
    <row r="8221" spans="4:4">
      <c r="D8221" s="1"/>
    </row>
    <row r="8222" spans="4:4">
      <c r="D8222" s="1"/>
    </row>
    <row r="8223" spans="4:4">
      <c r="D8223" s="1"/>
    </row>
    <row r="8224" spans="4:4">
      <c r="D8224" s="1"/>
    </row>
    <row r="8225" spans="4:4">
      <c r="D8225" s="1"/>
    </row>
    <row r="8226" spans="4:4">
      <c r="D8226" s="1"/>
    </row>
    <row r="8227" spans="4:4">
      <c r="D8227" s="1"/>
    </row>
    <row r="8228" spans="4:4">
      <c r="D8228" s="1"/>
    </row>
    <row r="8229" spans="4:4">
      <c r="D8229" s="1"/>
    </row>
    <row r="8230" spans="4:4">
      <c r="D8230" s="1"/>
    </row>
    <row r="8231" spans="4:4">
      <c r="D8231" s="1"/>
    </row>
    <row r="8232" spans="4:4">
      <c r="D8232" s="1"/>
    </row>
    <row r="8233" spans="4:4">
      <c r="D8233" s="1"/>
    </row>
    <row r="8234" spans="4:4">
      <c r="D8234" s="1"/>
    </row>
    <row r="8235" spans="4:4">
      <c r="D8235" s="1"/>
    </row>
    <row r="8236" spans="4:4">
      <c r="D8236" s="1"/>
    </row>
    <row r="8237" spans="4:4">
      <c r="D8237" s="1"/>
    </row>
    <row r="8238" spans="4:4">
      <c r="D8238" s="1"/>
    </row>
    <row r="8239" spans="4:4">
      <c r="D8239" s="1"/>
    </row>
    <row r="8240" spans="4:4">
      <c r="D8240" s="1"/>
    </row>
    <row r="8241" spans="4:4">
      <c r="D8241" s="1"/>
    </row>
    <row r="8242" spans="4:4">
      <c r="D8242" s="1"/>
    </row>
    <row r="8243" spans="4:4">
      <c r="D8243" s="1"/>
    </row>
    <row r="8244" spans="4:4">
      <c r="D8244" s="1"/>
    </row>
    <row r="8245" spans="4:4">
      <c r="D8245" s="1"/>
    </row>
    <row r="8246" spans="4:4">
      <c r="D8246" s="1"/>
    </row>
    <row r="8247" spans="4:4">
      <c r="D8247" s="1"/>
    </row>
    <row r="8248" spans="4:4">
      <c r="D8248" s="1"/>
    </row>
    <row r="8249" spans="4:4">
      <c r="D8249" s="1"/>
    </row>
    <row r="8250" spans="4:4">
      <c r="D8250" s="1"/>
    </row>
    <row r="8251" spans="4:4">
      <c r="D8251" s="1"/>
    </row>
    <row r="8252" spans="4:4">
      <c r="D8252" s="1"/>
    </row>
    <row r="8253" spans="4:4">
      <c r="D8253" s="1"/>
    </row>
    <row r="8254" spans="4:4">
      <c r="D8254" s="1"/>
    </row>
    <row r="8255" spans="4:4">
      <c r="D8255" s="1"/>
    </row>
    <row r="8256" spans="4:4">
      <c r="D8256" s="1"/>
    </row>
    <row r="8257" spans="4:4">
      <c r="D8257" s="1"/>
    </row>
    <row r="8258" spans="4:4">
      <c r="D8258" s="1"/>
    </row>
    <row r="8259" spans="4:4">
      <c r="D8259" s="1"/>
    </row>
    <row r="8260" spans="4:4">
      <c r="D8260" s="1"/>
    </row>
    <row r="8261" spans="4:4">
      <c r="D8261" s="1"/>
    </row>
    <row r="8262" spans="4:4">
      <c r="D8262" s="1"/>
    </row>
    <row r="8263" spans="4:4">
      <c r="D8263" s="1"/>
    </row>
    <row r="8264" spans="4:4">
      <c r="D8264" s="1"/>
    </row>
    <row r="8265" spans="4:4">
      <c r="D8265" s="1"/>
    </row>
    <row r="8266" spans="4:4">
      <c r="D8266" s="1"/>
    </row>
    <row r="8267" spans="4:4">
      <c r="D8267" s="1"/>
    </row>
    <row r="8268" spans="4:4">
      <c r="D8268" s="1"/>
    </row>
    <row r="8269" spans="4:4">
      <c r="D8269" s="1"/>
    </row>
    <row r="8270" spans="4:4">
      <c r="D8270" s="1"/>
    </row>
    <row r="8271" spans="4:4">
      <c r="D8271" s="1"/>
    </row>
    <row r="8272" spans="4:4">
      <c r="D8272" s="1"/>
    </row>
    <row r="8273" spans="4:4">
      <c r="D8273" s="1"/>
    </row>
    <row r="8274" spans="4:4">
      <c r="D8274" s="1"/>
    </row>
    <row r="8275" spans="4:4">
      <c r="D8275" s="1"/>
    </row>
    <row r="8276" spans="4:4">
      <c r="D8276" s="1"/>
    </row>
    <row r="8277" spans="4:4">
      <c r="D8277" s="1"/>
    </row>
    <row r="8278" spans="4:4">
      <c r="D8278" s="1"/>
    </row>
    <row r="8279" spans="4:4">
      <c r="D8279" s="1"/>
    </row>
    <row r="8280" spans="4:4">
      <c r="D8280" s="1"/>
    </row>
    <row r="8281" spans="4:4">
      <c r="D8281" s="1"/>
    </row>
    <row r="8282" spans="4:4">
      <c r="D8282" s="1"/>
    </row>
    <row r="8283" spans="4:4">
      <c r="D8283" s="1"/>
    </row>
    <row r="8284" spans="4:4">
      <c r="D8284" s="1"/>
    </row>
    <row r="8285" spans="4:4">
      <c r="D8285" s="1"/>
    </row>
    <row r="8286" spans="4:4">
      <c r="D8286" s="1"/>
    </row>
    <row r="8287" spans="4:4">
      <c r="D8287" s="1"/>
    </row>
    <row r="8288" spans="4:4">
      <c r="D8288" s="1"/>
    </row>
    <row r="8289" spans="4:4">
      <c r="D8289" s="1"/>
    </row>
    <row r="8290" spans="4:4">
      <c r="D8290" s="1"/>
    </row>
    <row r="8291" spans="4:4">
      <c r="D8291" s="1"/>
    </row>
    <row r="8292" spans="4:4">
      <c r="D8292" s="1"/>
    </row>
    <row r="8293" spans="4:4">
      <c r="D8293" s="1"/>
    </row>
    <row r="8294" spans="4:4">
      <c r="D8294" s="1"/>
    </row>
    <row r="8295" spans="4:4">
      <c r="D8295" s="1"/>
    </row>
    <row r="8296" spans="4:4">
      <c r="D8296" s="1"/>
    </row>
    <row r="8297" spans="4:4">
      <c r="D8297" s="1"/>
    </row>
    <row r="8298" spans="4:4">
      <c r="D8298" s="1"/>
    </row>
    <row r="8299" spans="4:4">
      <c r="D8299" s="1"/>
    </row>
    <row r="8300" spans="4:4">
      <c r="D8300" s="1"/>
    </row>
    <row r="8301" spans="4:4">
      <c r="D8301" s="1"/>
    </row>
    <row r="8302" spans="4:4">
      <c r="D8302" s="1"/>
    </row>
    <row r="8303" spans="4:4">
      <c r="D8303" s="1"/>
    </row>
    <row r="8304" spans="4:4">
      <c r="D8304" s="1"/>
    </row>
    <row r="8305" spans="4:4">
      <c r="D8305" s="1"/>
    </row>
    <row r="8306" spans="4:4">
      <c r="D8306" s="1"/>
    </row>
    <row r="8307" spans="4:4">
      <c r="D8307" s="1"/>
    </row>
    <row r="8308" spans="4:4">
      <c r="D8308" s="1"/>
    </row>
    <row r="8309" spans="4:4">
      <c r="D8309" s="1"/>
    </row>
    <row r="8310" spans="4:4">
      <c r="D8310" s="1"/>
    </row>
    <row r="8311" spans="4:4">
      <c r="D8311" s="1"/>
    </row>
    <row r="8312" spans="4:4">
      <c r="D8312" s="1"/>
    </row>
    <row r="8313" spans="4:4">
      <c r="D8313" s="1"/>
    </row>
    <row r="8314" spans="4:4">
      <c r="D8314" s="1"/>
    </row>
    <row r="8315" spans="4:4">
      <c r="D8315" s="1"/>
    </row>
    <row r="8316" spans="4:4">
      <c r="D8316" s="1"/>
    </row>
    <row r="8317" spans="4:4">
      <c r="D8317" s="1"/>
    </row>
    <row r="8318" spans="4:4">
      <c r="D8318" s="1"/>
    </row>
    <row r="8319" spans="4:4">
      <c r="D8319" s="1"/>
    </row>
    <row r="8320" spans="4:4">
      <c r="D8320" s="1"/>
    </row>
    <row r="8321" spans="4:4">
      <c r="D8321" s="1"/>
    </row>
    <row r="8322" spans="4:4">
      <c r="D8322" s="1"/>
    </row>
    <row r="8323" spans="4:4">
      <c r="D8323" s="1"/>
    </row>
    <row r="8324" spans="4:4">
      <c r="D8324" s="1"/>
    </row>
    <row r="8325" spans="4:4">
      <c r="D8325" s="1"/>
    </row>
    <row r="8326" spans="4:4">
      <c r="D8326" s="1"/>
    </row>
    <row r="8327" spans="4:4">
      <c r="D8327" s="1"/>
    </row>
    <row r="8328" spans="4:4">
      <c r="D8328" s="1"/>
    </row>
    <row r="8329" spans="4:4">
      <c r="D8329" s="1"/>
    </row>
    <row r="8330" spans="4:4">
      <c r="D8330" s="1"/>
    </row>
    <row r="8331" spans="4:4">
      <c r="D8331" s="1"/>
    </row>
    <row r="8332" spans="4:4">
      <c r="D8332" s="1"/>
    </row>
    <row r="8333" spans="4:4">
      <c r="D8333" s="1"/>
    </row>
    <row r="8334" spans="4:4">
      <c r="D8334" s="1"/>
    </row>
    <row r="8335" spans="4:4">
      <c r="D8335" s="1"/>
    </row>
    <row r="8336" spans="4:4">
      <c r="D8336" s="1"/>
    </row>
    <row r="8337" spans="4:4">
      <c r="D8337" s="1"/>
    </row>
    <row r="8338" spans="4:4">
      <c r="D8338" s="1"/>
    </row>
    <row r="8339" spans="4:4">
      <c r="D8339" s="1"/>
    </row>
    <row r="8340" spans="4:4">
      <c r="D8340" s="1"/>
    </row>
    <row r="8341" spans="4:4">
      <c r="D8341" s="1"/>
    </row>
    <row r="8342" spans="4:4">
      <c r="D8342" s="1"/>
    </row>
    <row r="8343" spans="4:4">
      <c r="D8343" s="1"/>
    </row>
    <row r="8344" spans="4:4">
      <c r="D8344" s="1"/>
    </row>
    <row r="8345" spans="4:4">
      <c r="D8345" s="1"/>
    </row>
    <row r="8346" spans="4:4">
      <c r="D8346" s="1"/>
    </row>
    <row r="8347" spans="4:4">
      <c r="D8347" s="1"/>
    </row>
    <row r="8348" spans="4:4">
      <c r="D8348" s="1"/>
    </row>
    <row r="8349" spans="4:4">
      <c r="D8349" s="1"/>
    </row>
    <row r="8350" spans="4:4">
      <c r="D8350" s="1"/>
    </row>
    <row r="8351" spans="4:4">
      <c r="D8351" s="1"/>
    </row>
    <row r="8352" spans="4:4">
      <c r="D8352" s="1"/>
    </row>
    <row r="8353" spans="4:4">
      <c r="D8353" s="1"/>
    </row>
    <row r="8354" spans="4:4">
      <c r="D8354" s="1"/>
    </row>
    <row r="8355" spans="4:4">
      <c r="D8355" s="1"/>
    </row>
    <row r="8356" spans="4:4">
      <c r="D8356" s="1"/>
    </row>
    <row r="8357" spans="4:4">
      <c r="D8357" s="1"/>
    </row>
    <row r="8358" spans="4:4">
      <c r="D8358" s="1"/>
    </row>
    <row r="8359" spans="4:4">
      <c r="D8359" s="1"/>
    </row>
    <row r="8360" spans="4:4">
      <c r="D8360" s="1"/>
    </row>
    <row r="8361" spans="4:4">
      <c r="D8361" s="1"/>
    </row>
    <row r="8362" spans="4:4">
      <c r="D8362" s="1"/>
    </row>
    <row r="8363" spans="4:4">
      <c r="D8363" s="1"/>
    </row>
    <row r="8364" spans="4:4">
      <c r="D8364" s="1"/>
    </row>
    <row r="8365" spans="4:4">
      <c r="D8365" s="1"/>
    </row>
    <row r="8366" spans="4:4">
      <c r="D8366" s="1"/>
    </row>
    <row r="8367" spans="4:4">
      <c r="D8367" s="1"/>
    </row>
    <row r="8368" spans="4:4">
      <c r="D8368" s="1"/>
    </row>
    <row r="8369" spans="4:4">
      <c r="D8369" s="1"/>
    </row>
    <row r="8370" spans="4:4">
      <c r="D8370" s="1"/>
    </row>
    <row r="8371" spans="4:4">
      <c r="D8371" s="1"/>
    </row>
    <row r="8372" spans="4:4">
      <c r="D8372" s="1"/>
    </row>
    <row r="8373" spans="4:4">
      <c r="D8373" s="1"/>
    </row>
    <row r="8374" spans="4:4">
      <c r="D8374" s="1"/>
    </row>
    <row r="8375" spans="4:4">
      <c r="D8375" s="1"/>
    </row>
    <row r="8376" spans="4:4">
      <c r="D8376" s="1"/>
    </row>
    <row r="8377" spans="4:4">
      <c r="D8377" s="1"/>
    </row>
    <row r="8378" spans="4:4">
      <c r="D8378" s="1"/>
    </row>
    <row r="8379" spans="4:4">
      <c r="D8379" s="1"/>
    </row>
    <row r="8380" spans="4:4">
      <c r="D8380" s="1"/>
    </row>
    <row r="8381" spans="4:4">
      <c r="D8381" s="1"/>
    </row>
    <row r="8382" spans="4:4">
      <c r="D8382" s="1"/>
    </row>
    <row r="8383" spans="4:4">
      <c r="D8383" s="1"/>
    </row>
    <row r="8384" spans="4:4">
      <c r="D8384" s="1"/>
    </row>
    <row r="8385" spans="4:4">
      <c r="D8385" s="1"/>
    </row>
    <row r="8386" spans="4:4">
      <c r="D8386" s="1"/>
    </row>
    <row r="8387" spans="4:4">
      <c r="D8387" s="1"/>
    </row>
    <row r="8388" spans="4:4">
      <c r="D8388" s="1"/>
    </row>
    <row r="8389" spans="4:4">
      <c r="D8389" s="1"/>
    </row>
    <row r="8390" spans="4:4">
      <c r="D8390" s="1"/>
    </row>
    <row r="8391" spans="4:4">
      <c r="D8391" s="1"/>
    </row>
    <row r="8392" spans="4:4">
      <c r="D8392" s="1"/>
    </row>
    <row r="8393" spans="4:4">
      <c r="D8393" s="1"/>
    </row>
    <row r="8394" spans="4:4">
      <c r="D8394" s="1"/>
    </row>
    <row r="8395" spans="4:4">
      <c r="D8395" s="1"/>
    </row>
    <row r="8396" spans="4:4">
      <c r="D8396" s="1"/>
    </row>
    <row r="8397" spans="4:4">
      <c r="D8397" s="1"/>
    </row>
    <row r="8398" spans="4:4">
      <c r="D8398" s="1"/>
    </row>
    <row r="8399" spans="4:4">
      <c r="D8399" s="1"/>
    </row>
    <row r="8400" spans="4:4">
      <c r="D8400" s="1"/>
    </row>
    <row r="8401" spans="4:4">
      <c r="D8401" s="1"/>
    </row>
    <row r="8402" spans="4:4">
      <c r="D8402" s="1"/>
    </row>
    <row r="8403" spans="4:4">
      <c r="D8403" s="1"/>
    </row>
    <row r="8404" spans="4:4">
      <c r="D8404" s="1"/>
    </row>
    <row r="8405" spans="4:4">
      <c r="D8405" s="1"/>
    </row>
    <row r="8406" spans="4:4">
      <c r="D8406" s="1"/>
    </row>
    <row r="8407" spans="4:4">
      <c r="D8407" s="1"/>
    </row>
    <row r="8408" spans="4:4">
      <c r="D8408" s="1"/>
    </row>
    <row r="8409" spans="4:4">
      <c r="D8409" s="1"/>
    </row>
    <row r="8410" spans="4:4">
      <c r="D8410" s="1"/>
    </row>
    <row r="8411" spans="4:4">
      <c r="D8411" s="1"/>
    </row>
    <row r="8412" spans="4:4">
      <c r="D8412" s="1"/>
    </row>
    <row r="8413" spans="4:4">
      <c r="D8413" s="1"/>
    </row>
    <row r="8414" spans="4:4">
      <c r="D8414" s="1"/>
    </row>
    <row r="8415" spans="4:4">
      <c r="D8415" s="1"/>
    </row>
    <row r="8416" spans="4:4">
      <c r="D8416" s="1"/>
    </row>
    <row r="8417" spans="4:4">
      <c r="D8417" s="1"/>
    </row>
    <row r="8418" spans="4:4">
      <c r="D8418" s="1"/>
    </row>
    <row r="8419" spans="4:4">
      <c r="D8419" s="1"/>
    </row>
    <row r="8420" spans="4:4">
      <c r="D8420" s="1"/>
    </row>
    <row r="8421" spans="4:4">
      <c r="D8421" s="1"/>
    </row>
    <row r="8422" spans="4:4">
      <c r="D8422" s="1"/>
    </row>
    <row r="8423" spans="4:4">
      <c r="D8423" s="1"/>
    </row>
    <row r="8424" spans="4:4">
      <c r="D8424" s="1"/>
    </row>
    <row r="8425" spans="4:4">
      <c r="D8425" s="1"/>
    </row>
    <row r="8426" spans="4:4">
      <c r="D8426" s="1"/>
    </row>
    <row r="8427" spans="4:4">
      <c r="D8427" s="1"/>
    </row>
    <row r="8428" spans="4:4">
      <c r="D8428" s="1"/>
    </row>
    <row r="8429" spans="4:4">
      <c r="D8429" s="1"/>
    </row>
    <row r="8430" spans="4:4">
      <c r="D8430" s="1"/>
    </row>
    <row r="8431" spans="4:4">
      <c r="D8431" s="1"/>
    </row>
    <row r="8432" spans="4:4">
      <c r="D8432" s="1"/>
    </row>
    <row r="8433" spans="4:4">
      <c r="D8433" s="1"/>
    </row>
    <row r="8434" spans="4:4">
      <c r="D8434" s="1"/>
    </row>
    <row r="8435" spans="4:4">
      <c r="D8435" s="1"/>
    </row>
    <row r="8436" spans="4:4">
      <c r="D8436" s="1"/>
    </row>
    <row r="8437" spans="4:4">
      <c r="D8437" s="1"/>
    </row>
    <row r="8438" spans="4:4">
      <c r="D8438" s="1"/>
    </row>
    <row r="8439" spans="4:4">
      <c r="D8439" s="1"/>
    </row>
    <row r="8440" spans="4:4">
      <c r="D8440" s="1"/>
    </row>
    <row r="8441" spans="4:4">
      <c r="D8441" s="1"/>
    </row>
    <row r="8442" spans="4:4">
      <c r="D8442" s="1"/>
    </row>
    <row r="8443" spans="4:4">
      <c r="D8443" s="1"/>
    </row>
    <row r="8444" spans="4:4">
      <c r="D8444" s="1"/>
    </row>
    <row r="8445" spans="4:4">
      <c r="D8445" s="1"/>
    </row>
    <row r="8446" spans="4:4">
      <c r="D8446" s="1"/>
    </row>
    <row r="8447" spans="4:4">
      <c r="D8447" s="1"/>
    </row>
    <row r="8448" spans="4:4">
      <c r="D8448" s="1"/>
    </row>
    <row r="8449" spans="4:4">
      <c r="D8449" s="1"/>
    </row>
    <row r="8450" spans="4:4">
      <c r="D8450" s="1"/>
    </row>
    <row r="8451" spans="4:4">
      <c r="D8451" s="1"/>
    </row>
    <row r="8452" spans="4:4">
      <c r="D8452" s="1"/>
    </row>
    <row r="8453" spans="4:4">
      <c r="D8453" s="1"/>
    </row>
    <row r="8454" spans="4:4">
      <c r="D8454" s="1"/>
    </row>
    <row r="8455" spans="4:4">
      <c r="D8455" s="1"/>
    </row>
    <row r="8456" spans="4:4">
      <c r="D8456" s="1"/>
    </row>
    <row r="8457" spans="4:4">
      <c r="D8457" s="1"/>
    </row>
    <row r="8458" spans="4:4">
      <c r="D8458" s="1"/>
    </row>
    <row r="8459" spans="4:4">
      <c r="D8459" s="1"/>
    </row>
    <row r="8460" spans="4:4">
      <c r="D8460" s="1"/>
    </row>
    <row r="8461" spans="4:4">
      <c r="D8461" s="1"/>
    </row>
    <row r="8462" spans="4:4">
      <c r="D8462" s="1"/>
    </row>
    <row r="8463" spans="4:4">
      <c r="D8463" s="1"/>
    </row>
    <row r="8464" spans="4:4">
      <c r="D8464" s="1"/>
    </row>
    <row r="8465" spans="4:4">
      <c r="D8465" s="1"/>
    </row>
    <row r="8466" spans="4:4">
      <c r="D8466" s="1"/>
    </row>
    <row r="8467" spans="4:4">
      <c r="D8467" s="1"/>
    </row>
    <row r="8468" spans="4:4">
      <c r="D8468" s="1"/>
    </row>
    <row r="8469" spans="4:4">
      <c r="D8469" s="1"/>
    </row>
    <row r="8470" spans="4:4">
      <c r="D8470" s="1"/>
    </row>
    <row r="8471" spans="4:4">
      <c r="D8471" s="1"/>
    </row>
    <row r="8472" spans="4:4">
      <c r="D8472" s="1"/>
    </row>
    <row r="8473" spans="4:4">
      <c r="D8473" s="1"/>
    </row>
    <row r="8474" spans="4:4">
      <c r="D8474" s="1"/>
    </row>
    <row r="8475" spans="4:4">
      <c r="D8475" s="1"/>
    </row>
    <row r="8476" spans="4:4">
      <c r="D8476" s="1"/>
    </row>
    <row r="8477" spans="4:4">
      <c r="D8477" s="1"/>
    </row>
    <row r="8478" spans="4:4">
      <c r="D8478" s="1"/>
    </row>
    <row r="8479" spans="4:4">
      <c r="D8479" s="1"/>
    </row>
    <row r="8480" spans="4:4">
      <c r="D8480" s="1"/>
    </row>
    <row r="8481" spans="4:4">
      <c r="D8481" s="1"/>
    </row>
    <row r="8482" spans="4:4">
      <c r="D8482" s="1"/>
    </row>
    <row r="8483" spans="4:4">
      <c r="D8483" s="1"/>
    </row>
    <row r="8484" spans="4:4">
      <c r="D8484" s="1"/>
    </row>
    <row r="8485" spans="4:4">
      <c r="D8485" s="1"/>
    </row>
    <row r="8486" spans="4:4">
      <c r="D8486" s="1"/>
    </row>
    <row r="8487" spans="4:4">
      <c r="D8487" s="1"/>
    </row>
    <row r="8488" spans="4:4">
      <c r="D8488" s="1"/>
    </row>
    <row r="8489" spans="4:4">
      <c r="D8489" s="1"/>
    </row>
    <row r="8490" spans="4:4">
      <c r="D8490" s="1"/>
    </row>
    <row r="8491" spans="4:4">
      <c r="D8491" s="1"/>
    </row>
    <row r="8492" spans="4:4">
      <c r="D8492" s="1"/>
    </row>
    <row r="8493" spans="4:4">
      <c r="D8493" s="1"/>
    </row>
    <row r="8494" spans="4:4">
      <c r="D8494" s="1"/>
    </row>
    <row r="8495" spans="4:4">
      <c r="D8495" s="1"/>
    </row>
    <row r="8496" spans="4:4">
      <c r="D8496" s="1"/>
    </row>
    <row r="8497" spans="4:4">
      <c r="D8497" s="1"/>
    </row>
    <row r="8498" spans="4:4">
      <c r="D8498" s="1"/>
    </row>
    <row r="8499" spans="4:4">
      <c r="D8499" s="1"/>
    </row>
    <row r="8500" spans="4:4">
      <c r="D8500" s="1"/>
    </row>
    <row r="8501" spans="4:4">
      <c r="D8501" s="1"/>
    </row>
    <row r="8502" spans="4:4">
      <c r="D8502" s="1"/>
    </row>
    <row r="8503" spans="4:4">
      <c r="D8503" s="1"/>
    </row>
    <row r="8504" spans="4:4">
      <c r="D8504" s="1"/>
    </row>
    <row r="8505" spans="4:4">
      <c r="D8505" s="1"/>
    </row>
    <row r="8506" spans="4:4">
      <c r="D8506" s="1"/>
    </row>
    <row r="8507" spans="4:4">
      <c r="D8507" s="1"/>
    </row>
    <row r="8508" spans="4:4">
      <c r="D8508" s="1"/>
    </row>
    <row r="8509" spans="4:4">
      <c r="D8509" s="1"/>
    </row>
    <row r="8510" spans="4:4">
      <c r="D8510" s="1"/>
    </row>
    <row r="8511" spans="4:4">
      <c r="D8511" s="1"/>
    </row>
    <row r="8512" spans="4:4">
      <c r="D8512" s="1"/>
    </row>
    <row r="8513" spans="4:4">
      <c r="D8513" s="1"/>
    </row>
    <row r="8514" spans="4:4">
      <c r="D8514" s="1"/>
    </row>
    <row r="8515" spans="4:4">
      <c r="D8515" s="1"/>
    </row>
    <row r="8516" spans="4:4">
      <c r="D8516" s="1"/>
    </row>
    <row r="8517" spans="4:4">
      <c r="D8517" s="1"/>
    </row>
    <row r="8518" spans="4:4">
      <c r="D8518" s="1"/>
    </row>
    <row r="8519" spans="4:4">
      <c r="D8519" s="1"/>
    </row>
    <row r="8520" spans="4:4">
      <c r="D8520" s="1"/>
    </row>
    <row r="8521" spans="4:4">
      <c r="D8521" s="1"/>
    </row>
    <row r="8522" spans="4:4">
      <c r="D8522" s="1"/>
    </row>
    <row r="8523" spans="4:4">
      <c r="D8523" s="1"/>
    </row>
    <row r="8524" spans="4:4">
      <c r="D8524" s="1"/>
    </row>
    <row r="8525" spans="4:4">
      <c r="D8525" s="1"/>
    </row>
    <row r="8526" spans="4:4">
      <c r="D8526" s="1"/>
    </row>
    <row r="8527" spans="4:4">
      <c r="D8527" s="1"/>
    </row>
    <row r="8528" spans="4:4">
      <c r="D8528" s="1"/>
    </row>
    <row r="8529" spans="4:4">
      <c r="D8529" s="1"/>
    </row>
    <row r="8530" spans="4:4">
      <c r="D8530" s="1"/>
    </row>
    <row r="8531" spans="4:4">
      <c r="D8531" s="1"/>
    </row>
    <row r="8532" spans="4:4">
      <c r="D8532" s="1"/>
    </row>
    <row r="8533" spans="4:4">
      <c r="D8533" s="1"/>
    </row>
    <row r="8534" spans="4:4">
      <c r="D8534" s="1"/>
    </row>
    <row r="8535" spans="4:4">
      <c r="D8535" s="1"/>
    </row>
    <row r="8536" spans="4:4">
      <c r="D8536" s="1"/>
    </row>
    <row r="8537" spans="4:4">
      <c r="D8537" s="1"/>
    </row>
    <row r="8538" spans="4:4">
      <c r="D8538" s="1"/>
    </row>
    <row r="8539" spans="4:4">
      <c r="D8539" s="1"/>
    </row>
    <row r="8540" spans="4:4">
      <c r="D8540" s="1"/>
    </row>
    <row r="8541" spans="4:4">
      <c r="D8541" s="1"/>
    </row>
    <row r="8542" spans="4:4">
      <c r="D8542" s="1"/>
    </row>
    <row r="8543" spans="4:4">
      <c r="D8543" s="1"/>
    </row>
    <row r="8544" spans="4:4">
      <c r="D8544" s="1"/>
    </row>
    <row r="8545" spans="4:4">
      <c r="D8545" s="1"/>
    </row>
    <row r="8546" spans="4:4">
      <c r="D8546" s="1"/>
    </row>
    <row r="8547" spans="4:4">
      <c r="D8547" s="1"/>
    </row>
    <row r="8548" spans="4:4">
      <c r="D8548" s="1"/>
    </row>
    <row r="8549" spans="4:4">
      <c r="D8549" s="1"/>
    </row>
    <row r="8550" spans="4:4">
      <c r="D8550" s="1"/>
    </row>
    <row r="8551" spans="4:4">
      <c r="D8551" s="1"/>
    </row>
    <row r="8552" spans="4:4">
      <c r="D8552" s="1"/>
    </row>
    <row r="8553" spans="4:4">
      <c r="D8553" s="1"/>
    </row>
    <row r="8554" spans="4:4">
      <c r="D8554" s="1"/>
    </row>
    <row r="8555" spans="4:4">
      <c r="D8555" s="1"/>
    </row>
    <row r="8556" spans="4:4">
      <c r="D8556" s="1"/>
    </row>
    <row r="8557" spans="4:4">
      <c r="D8557" s="1"/>
    </row>
    <row r="8558" spans="4:4">
      <c r="D8558" s="1"/>
    </row>
    <row r="8559" spans="4:4">
      <c r="D8559" s="1"/>
    </row>
    <row r="8560" spans="4:4">
      <c r="D8560" s="1"/>
    </row>
    <row r="8561" spans="4:4">
      <c r="D8561" s="1"/>
    </row>
    <row r="8562" spans="4:4">
      <c r="D8562" s="1"/>
    </row>
    <row r="8563" spans="4:4">
      <c r="D8563" s="1"/>
    </row>
    <row r="8564" spans="4:4">
      <c r="D8564" s="1"/>
    </row>
    <row r="8565" spans="4:4">
      <c r="D8565" s="1"/>
    </row>
    <row r="8566" spans="4:4">
      <c r="D8566" s="1"/>
    </row>
    <row r="8567" spans="4:4">
      <c r="D8567" s="1"/>
    </row>
    <row r="8568" spans="4:4">
      <c r="D8568" s="1"/>
    </row>
    <row r="8569" spans="4:4">
      <c r="D8569" s="1"/>
    </row>
    <row r="8570" spans="4:4">
      <c r="D8570" s="1"/>
    </row>
    <row r="8571" spans="4:4">
      <c r="D8571" s="1"/>
    </row>
    <row r="8572" spans="4:4">
      <c r="D8572" s="1"/>
    </row>
    <row r="8573" spans="4:4">
      <c r="D8573" s="1"/>
    </row>
    <row r="8574" spans="4:4">
      <c r="D8574" s="1"/>
    </row>
    <row r="8575" spans="4:4">
      <c r="D8575" s="1"/>
    </row>
    <row r="8576" spans="4:4">
      <c r="D8576" s="1"/>
    </row>
    <row r="8577" spans="4:4">
      <c r="D8577" s="1"/>
    </row>
    <row r="8578" spans="4:4">
      <c r="D8578" s="1"/>
    </row>
    <row r="8579" spans="4:4">
      <c r="D8579" s="1"/>
    </row>
    <row r="8580" spans="4:4">
      <c r="D8580" s="1"/>
    </row>
    <row r="8581" spans="4:4">
      <c r="D8581" s="1"/>
    </row>
    <row r="8582" spans="4:4">
      <c r="D8582" s="1"/>
    </row>
    <row r="8583" spans="4:4">
      <c r="D8583" s="1"/>
    </row>
    <row r="8584" spans="4:4">
      <c r="D8584" s="1"/>
    </row>
    <row r="8585" spans="4:4">
      <c r="D8585" s="1"/>
    </row>
    <row r="8586" spans="4:4">
      <c r="D8586" s="1"/>
    </row>
    <row r="8587" spans="4:4">
      <c r="D8587" s="1"/>
    </row>
    <row r="8588" spans="4:4">
      <c r="D8588" s="1"/>
    </row>
    <row r="8589" spans="4:4">
      <c r="D8589" s="1"/>
    </row>
    <row r="8590" spans="4:4">
      <c r="D8590" s="1"/>
    </row>
    <row r="8591" spans="4:4">
      <c r="D8591" s="1"/>
    </row>
    <row r="8592" spans="4:4">
      <c r="D8592" s="1"/>
    </row>
    <row r="8593" spans="4:4">
      <c r="D8593" s="1"/>
    </row>
    <row r="8594" spans="4:4">
      <c r="D8594" s="1"/>
    </row>
    <row r="8595" spans="4:4">
      <c r="D8595" s="1"/>
    </row>
    <row r="8596" spans="4:4">
      <c r="D8596" s="1"/>
    </row>
    <row r="8597" spans="4:4">
      <c r="D8597" s="1"/>
    </row>
    <row r="8598" spans="4:4">
      <c r="D8598" s="1"/>
    </row>
    <row r="8599" spans="4:4">
      <c r="D8599" s="1"/>
    </row>
    <row r="8600" spans="4:4">
      <c r="D8600" s="1"/>
    </row>
    <row r="8601" spans="4:4">
      <c r="D8601" s="1"/>
    </row>
    <row r="8602" spans="4:4">
      <c r="D8602" s="1"/>
    </row>
    <row r="8603" spans="4:4">
      <c r="D8603" s="1"/>
    </row>
    <row r="8604" spans="4:4">
      <c r="D8604" s="1"/>
    </row>
    <row r="8605" spans="4:4">
      <c r="D8605" s="1"/>
    </row>
    <row r="8606" spans="4:4">
      <c r="D8606" s="1"/>
    </row>
    <row r="8607" spans="4:4">
      <c r="D8607" s="1"/>
    </row>
    <row r="8608" spans="4:4">
      <c r="D8608" s="1"/>
    </row>
    <row r="8609" spans="4:4">
      <c r="D8609" s="1"/>
    </row>
    <row r="8610" spans="4:4">
      <c r="D8610" s="1"/>
    </row>
    <row r="8611" spans="4:4">
      <c r="D8611" s="1"/>
    </row>
    <row r="8612" spans="4:4">
      <c r="D8612" s="1"/>
    </row>
    <row r="8613" spans="4:4">
      <c r="D8613" s="1"/>
    </row>
    <row r="8614" spans="4:4">
      <c r="D8614" s="1"/>
    </row>
    <row r="8615" spans="4:4">
      <c r="D8615" s="1"/>
    </row>
    <row r="8616" spans="4:4">
      <c r="D8616" s="1"/>
    </row>
    <row r="8617" spans="4:4">
      <c r="D8617" s="1"/>
    </row>
    <row r="8618" spans="4:4">
      <c r="D8618" s="1"/>
    </row>
    <row r="8619" spans="4:4">
      <c r="D8619" s="1"/>
    </row>
    <row r="8620" spans="4:4">
      <c r="D8620" s="1"/>
    </row>
    <row r="8621" spans="4:4">
      <c r="D8621" s="1"/>
    </row>
    <row r="8622" spans="4:4">
      <c r="D8622" s="1"/>
    </row>
    <row r="8623" spans="4:4">
      <c r="D8623" s="1"/>
    </row>
    <row r="8624" spans="4:4">
      <c r="D8624" s="1"/>
    </row>
    <row r="8625" spans="4:4">
      <c r="D8625" s="1"/>
    </row>
    <row r="8626" spans="4:4">
      <c r="D8626" s="1"/>
    </row>
    <row r="8627" spans="4:4">
      <c r="D8627" s="1"/>
    </row>
    <row r="8628" spans="4:4">
      <c r="D8628" s="1"/>
    </row>
    <row r="8629" spans="4:4">
      <c r="D8629" s="1"/>
    </row>
    <row r="8630" spans="4:4">
      <c r="D8630" s="1"/>
    </row>
    <row r="8631" spans="4:4">
      <c r="D8631" s="1"/>
    </row>
    <row r="8632" spans="4:4">
      <c r="D8632" s="1"/>
    </row>
    <row r="8633" spans="4:4">
      <c r="D8633" s="1"/>
    </row>
    <row r="8634" spans="4:4">
      <c r="D8634" s="1"/>
    </row>
    <row r="8635" spans="4:4">
      <c r="D8635" s="1"/>
    </row>
    <row r="8636" spans="4:4">
      <c r="D8636" s="1"/>
    </row>
    <row r="8637" spans="4:4">
      <c r="D8637" s="1"/>
    </row>
    <row r="8638" spans="4:4">
      <c r="D8638" s="1"/>
    </row>
    <row r="8639" spans="4:4">
      <c r="D8639" s="1"/>
    </row>
    <row r="8640" spans="4:4">
      <c r="D8640" s="1"/>
    </row>
    <row r="8641" spans="4:4">
      <c r="D8641" s="1"/>
    </row>
    <row r="8642" spans="4:4">
      <c r="D8642" s="1"/>
    </row>
    <row r="8643" spans="4:4">
      <c r="D8643" s="1"/>
    </row>
    <row r="8644" spans="4:4">
      <c r="D8644" s="1"/>
    </row>
    <row r="8645" spans="4:4">
      <c r="D8645" s="1"/>
    </row>
    <row r="8646" spans="4:4">
      <c r="D8646" s="1"/>
    </row>
    <row r="8647" spans="4:4">
      <c r="D8647" s="1"/>
    </row>
    <row r="8648" spans="4:4">
      <c r="D8648" s="1"/>
    </row>
    <row r="8649" spans="4:4">
      <c r="D8649" s="1"/>
    </row>
    <row r="8650" spans="4:4">
      <c r="D8650" s="1"/>
    </row>
    <row r="8651" spans="4:4">
      <c r="D8651" s="1"/>
    </row>
    <row r="8652" spans="4:4">
      <c r="D8652" s="1"/>
    </row>
    <row r="8653" spans="4:4">
      <c r="D8653" s="1"/>
    </row>
    <row r="8654" spans="4:4">
      <c r="D8654" s="1"/>
    </row>
    <row r="8655" spans="4:4">
      <c r="D8655" s="1"/>
    </row>
    <row r="8656" spans="4:4">
      <c r="D8656" s="1"/>
    </row>
    <row r="8657" spans="4:4">
      <c r="D8657" s="1"/>
    </row>
    <row r="8658" spans="4:4">
      <c r="D8658" s="1"/>
    </row>
    <row r="8659" spans="4:4">
      <c r="D8659" s="1"/>
    </row>
    <row r="8660" spans="4:4">
      <c r="D8660" s="1"/>
    </row>
    <row r="8661" spans="4:4">
      <c r="D8661" s="1"/>
    </row>
    <row r="8662" spans="4:4">
      <c r="D8662" s="1"/>
    </row>
    <row r="8663" spans="4:4">
      <c r="D8663" s="1"/>
    </row>
    <row r="8664" spans="4:4">
      <c r="D8664" s="1"/>
    </row>
    <row r="8665" spans="4:4">
      <c r="D8665" s="1"/>
    </row>
    <row r="8666" spans="4:4">
      <c r="D8666" s="1"/>
    </row>
    <row r="8667" spans="4:4">
      <c r="D8667" s="1"/>
    </row>
    <row r="8668" spans="4:4">
      <c r="D8668" s="1"/>
    </row>
    <row r="8669" spans="4:4">
      <c r="D8669" s="1"/>
    </row>
    <row r="8670" spans="4:4">
      <c r="D8670" s="1"/>
    </row>
    <row r="8671" spans="4:4">
      <c r="D8671" s="1"/>
    </row>
    <row r="8672" spans="4:4">
      <c r="D8672" s="1"/>
    </row>
    <row r="8673" spans="4:4">
      <c r="D8673" s="1"/>
    </row>
    <row r="8674" spans="4:4">
      <c r="D8674" s="1"/>
    </row>
    <row r="8675" spans="4:4">
      <c r="D8675" s="1"/>
    </row>
    <row r="8676" spans="4:4">
      <c r="D8676" s="1"/>
    </row>
    <row r="8677" spans="4:4">
      <c r="D8677" s="1"/>
    </row>
    <row r="8678" spans="4:4">
      <c r="D8678" s="1"/>
    </row>
    <row r="8679" spans="4:4">
      <c r="D8679" s="1"/>
    </row>
    <row r="8680" spans="4:4">
      <c r="D8680" s="1"/>
    </row>
    <row r="8681" spans="4:4">
      <c r="D8681" s="1"/>
    </row>
    <row r="8682" spans="4:4">
      <c r="D8682" s="1"/>
    </row>
    <row r="8683" spans="4:4">
      <c r="D8683" s="1"/>
    </row>
    <row r="8684" spans="4:4">
      <c r="D8684" s="1"/>
    </row>
    <row r="8685" spans="4:4">
      <c r="D8685" s="1"/>
    </row>
    <row r="8686" spans="4:4">
      <c r="D8686" s="1"/>
    </row>
    <row r="8687" spans="4:4">
      <c r="D8687" s="1"/>
    </row>
    <row r="8688" spans="4:4">
      <c r="D8688" s="1"/>
    </row>
    <row r="8689" spans="4:4">
      <c r="D8689" s="1"/>
    </row>
    <row r="8690" spans="4:4">
      <c r="D8690" s="1"/>
    </row>
    <row r="8691" spans="4:4">
      <c r="D8691" s="1"/>
    </row>
    <row r="8692" spans="4:4">
      <c r="D8692" s="1"/>
    </row>
    <row r="8693" spans="4:4">
      <c r="D8693" s="1"/>
    </row>
    <row r="8694" spans="4:4">
      <c r="D8694" s="1"/>
    </row>
    <row r="8695" spans="4:4">
      <c r="D8695" s="1"/>
    </row>
    <row r="8696" spans="4:4">
      <c r="D8696" s="1"/>
    </row>
    <row r="8697" spans="4:4">
      <c r="D8697" s="1"/>
    </row>
    <row r="8698" spans="4:4">
      <c r="D8698" s="1"/>
    </row>
    <row r="8699" spans="4:4">
      <c r="D8699" s="1"/>
    </row>
    <row r="8700" spans="4:4">
      <c r="D8700" s="1"/>
    </row>
    <row r="8701" spans="4:4">
      <c r="D8701" s="1"/>
    </row>
    <row r="8702" spans="4:4">
      <c r="D8702" s="1"/>
    </row>
    <row r="8703" spans="4:4">
      <c r="D8703" s="1"/>
    </row>
    <row r="8704" spans="4:4">
      <c r="D8704" s="1"/>
    </row>
    <row r="8705" spans="4:4">
      <c r="D8705" s="1"/>
    </row>
    <row r="8706" spans="4:4">
      <c r="D8706" s="1"/>
    </row>
    <row r="8707" spans="4:4">
      <c r="D8707" s="1"/>
    </row>
    <row r="8708" spans="4:4">
      <c r="D8708" s="1"/>
    </row>
    <row r="8709" spans="4:4">
      <c r="D8709" s="1"/>
    </row>
    <row r="8710" spans="4:4">
      <c r="D8710" s="1"/>
    </row>
    <row r="8711" spans="4:4">
      <c r="D8711" s="1"/>
    </row>
    <row r="8712" spans="4:4">
      <c r="D8712" s="1"/>
    </row>
    <row r="8713" spans="4:4">
      <c r="D8713" s="1"/>
    </row>
    <row r="8714" spans="4:4">
      <c r="D8714" s="1"/>
    </row>
    <row r="8715" spans="4:4">
      <c r="D8715" s="1"/>
    </row>
    <row r="8716" spans="4:4">
      <c r="D8716" s="1"/>
    </row>
    <row r="8717" spans="4:4">
      <c r="D8717" s="1"/>
    </row>
    <row r="8718" spans="4:4">
      <c r="D8718" s="1"/>
    </row>
    <row r="8719" spans="4:4">
      <c r="D8719" s="1"/>
    </row>
    <row r="8720" spans="4:4">
      <c r="D8720" s="1"/>
    </row>
    <row r="8721" spans="4:4">
      <c r="D8721" s="1"/>
    </row>
    <row r="8722" spans="4:4">
      <c r="D8722" s="1"/>
    </row>
    <row r="8723" spans="4:4">
      <c r="D8723" s="1"/>
    </row>
    <row r="8724" spans="4:4">
      <c r="D8724" s="1"/>
    </row>
    <row r="8725" spans="4:4">
      <c r="D8725" s="1"/>
    </row>
    <row r="8726" spans="4:4">
      <c r="D8726" s="1"/>
    </row>
    <row r="8727" spans="4:4">
      <c r="D8727" s="1"/>
    </row>
    <row r="8728" spans="4:4">
      <c r="D8728" s="1"/>
    </row>
    <row r="8729" spans="4:4">
      <c r="D8729" s="1"/>
    </row>
    <row r="8730" spans="4:4">
      <c r="D8730" s="1"/>
    </row>
    <row r="8731" spans="4:4">
      <c r="D8731" s="1"/>
    </row>
    <row r="8732" spans="4:4">
      <c r="D8732" s="1"/>
    </row>
    <row r="8733" spans="4:4">
      <c r="D8733" s="1"/>
    </row>
    <row r="8734" spans="4:4">
      <c r="D8734" s="1"/>
    </row>
    <row r="8735" spans="4:4">
      <c r="D8735" s="1"/>
    </row>
    <row r="8736" spans="4:4">
      <c r="D8736" s="1"/>
    </row>
    <row r="8737" spans="4:4">
      <c r="D8737" s="1"/>
    </row>
    <row r="8738" spans="4:4">
      <c r="D8738" s="1"/>
    </row>
    <row r="8739" spans="4:4">
      <c r="D8739" s="1"/>
    </row>
    <row r="8740" spans="4:4">
      <c r="D8740" s="1"/>
    </row>
    <row r="8741" spans="4:4">
      <c r="D8741" s="1"/>
    </row>
    <row r="8742" spans="4:4">
      <c r="D8742" s="1"/>
    </row>
    <row r="8743" spans="4:4">
      <c r="D8743" s="1"/>
    </row>
    <row r="8744" spans="4:4">
      <c r="D8744" s="1"/>
    </row>
    <row r="8745" spans="4:4">
      <c r="D8745" s="1"/>
    </row>
    <row r="8746" spans="4:4">
      <c r="D8746" s="1"/>
    </row>
    <row r="8747" spans="4:4">
      <c r="D8747" s="1"/>
    </row>
    <row r="8748" spans="4:4">
      <c r="D8748" s="1"/>
    </row>
    <row r="8749" spans="4:4">
      <c r="D8749" s="1"/>
    </row>
    <row r="8750" spans="4:4">
      <c r="D8750" s="1"/>
    </row>
    <row r="8751" spans="4:4">
      <c r="D8751" s="1"/>
    </row>
    <row r="8752" spans="4:4">
      <c r="D8752" s="1"/>
    </row>
    <row r="8753" spans="4:4">
      <c r="D8753" s="1"/>
    </row>
    <row r="8754" spans="4:4">
      <c r="D8754" s="1"/>
    </row>
    <row r="8755" spans="4:4">
      <c r="D8755" s="1"/>
    </row>
    <row r="8756" spans="4:4">
      <c r="D8756" s="1"/>
    </row>
    <row r="8757" spans="4:4">
      <c r="D8757" s="1"/>
    </row>
    <row r="8758" spans="4:4">
      <c r="D8758" s="1"/>
    </row>
    <row r="8759" spans="4:4">
      <c r="D8759" s="1"/>
    </row>
    <row r="8760" spans="4:4">
      <c r="D8760" s="1"/>
    </row>
    <row r="8761" spans="4:4">
      <c r="D8761" s="1"/>
    </row>
    <row r="8762" spans="4:4">
      <c r="D8762" s="1"/>
    </row>
    <row r="8763" spans="4:4">
      <c r="D8763" s="1"/>
    </row>
    <row r="8764" spans="4:4">
      <c r="D8764" s="1"/>
    </row>
    <row r="8765" spans="4:4">
      <c r="D8765" s="1"/>
    </row>
    <row r="8766" spans="4:4">
      <c r="D8766" s="1"/>
    </row>
    <row r="8767" spans="4:4">
      <c r="D8767" s="1"/>
    </row>
    <row r="8768" spans="4:4">
      <c r="D8768" s="1"/>
    </row>
    <row r="8769" spans="4:4">
      <c r="D8769" s="1"/>
    </row>
    <row r="8770" spans="4:4">
      <c r="D8770" s="1"/>
    </row>
    <row r="8771" spans="4:4">
      <c r="D8771" s="1"/>
    </row>
    <row r="8772" spans="4:4">
      <c r="D8772" s="1"/>
    </row>
    <row r="8773" spans="4:4">
      <c r="D8773" s="1"/>
    </row>
    <row r="8774" spans="4:4">
      <c r="D8774" s="1"/>
    </row>
    <row r="8775" spans="4:4">
      <c r="D8775" s="1"/>
    </row>
    <row r="8776" spans="4:4">
      <c r="D8776" s="1"/>
    </row>
    <row r="8777" spans="4:4">
      <c r="D8777" s="1"/>
    </row>
    <row r="8778" spans="4:4">
      <c r="D8778" s="1"/>
    </row>
    <row r="8779" spans="4:4">
      <c r="D8779" s="1"/>
    </row>
    <row r="8780" spans="4:4">
      <c r="D8780" s="1"/>
    </row>
    <row r="8781" spans="4:4">
      <c r="D8781" s="1"/>
    </row>
    <row r="8782" spans="4:4">
      <c r="D8782" s="1"/>
    </row>
    <row r="8783" spans="4:4">
      <c r="D8783" s="1"/>
    </row>
    <row r="8784" spans="4:4">
      <c r="D8784" s="1"/>
    </row>
    <row r="8785" spans="4:4">
      <c r="D8785" s="1"/>
    </row>
    <row r="8786" spans="4:4">
      <c r="D8786" s="1"/>
    </row>
    <row r="8787" spans="4:4">
      <c r="D8787" s="1"/>
    </row>
    <row r="8788" spans="4:4">
      <c r="D8788" s="1"/>
    </row>
    <row r="8789" spans="4:4">
      <c r="D8789" s="1"/>
    </row>
    <row r="8790" spans="4:4">
      <c r="D8790" s="1"/>
    </row>
    <row r="8791" spans="4:4">
      <c r="D8791" s="1"/>
    </row>
    <row r="8792" spans="4:4">
      <c r="D8792" s="1"/>
    </row>
    <row r="8793" spans="4:4">
      <c r="D8793" s="1"/>
    </row>
    <row r="8794" spans="4:4">
      <c r="D8794" s="1"/>
    </row>
    <row r="8795" spans="4:4">
      <c r="D8795" s="1"/>
    </row>
    <row r="8796" spans="4:4">
      <c r="D8796" s="1"/>
    </row>
    <row r="8797" spans="4:4">
      <c r="D8797" s="1"/>
    </row>
    <row r="8798" spans="4:4">
      <c r="D8798" s="1"/>
    </row>
    <row r="8799" spans="4:4">
      <c r="D8799" s="1"/>
    </row>
    <row r="8800" spans="4:4">
      <c r="D8800" s="1"/>
    </row>
    <row r="8801" spans="4:4">
      <c r="D8801" s="1"/>
    </row>
    <row r="8802" spans="4:4">
      <c r="D8802" s="1"/>
    </row>
    <row r="8803" spans="4:4">
      <c r="D8803" s="1"/>
    </row>
    <row r="8804" spans="4:4">
      <c r="D8804" s="1"/>
    </row>
    <row r="8805" spans="4:4">
      <c r="D8805" s="1"/>
    </row>
    <row r="8806" spans="4:4">
      <c r="D8806" s="1"/>
    </row>
    <row r="8807" spans="4:4">
      <c r="D8807" s="1"/>
    </row>
    <row r="8808" spans="4:4">
      <c r="D8808" s="1"/>
    </row>
    <row r="8809" spans="4:4">
      <c r="D8809" s="1"/>
    </row>
    <row r="8810" spans="4:4">
      <c r="D8810" s="1"/>
    </row>
    <row r="8811" spans="4:4">
      <c r="D8811" s="1"/>
    </row>
    <row r="8812" spans="4:4">
      <c r="D8812" s="1"/>
    </row>
    <row r="8813" spans="4:4">
      <c r="D8813" s="1"/>
    </row>
    <row r="8814" spans="4:4">
      <c r="D8814" s="1"/>
    </row>
    <row r="8815" spans="4:4">
      <c r="D8815" s="1"/>
    </row>
    <row r="8816" spans="4:4">
      <c r="D8816" s="1"/>
    </row>
    <row r="8817" spans="4:4">
      <c r="D8817" s="1"/>
    </row>
    <row r="8818" spans="4:4">
      <c r="D8818" s="1"/>
    </row>
    <row r="8819" spans="4:4">
      <c r="D8819" s="1"/>
    </row>
    <row r="8820" spans="4:4">
      <c r="D8820" s="1"/>
    </row>
    <row r="8821" spans="4:4">
      <c r="D8821" s="1"/>
    </row>
    <row r="8822" spans="4:4">
      <c r="D8822" s="1"/>
    </row>
    <row r="8823" spans="4:4">
      <c r="D8823" s="1"/>
    </row>
    <row r="8824" spans="4:4">
      <c r="D8824" s="1"/>
    </row>
    <row r="8825" spans="4:4">
      <c r="D8825" s="1"/>
    </row>
    <row r="8826" spans="4:4">
      <c r="D8826" s="1"/>
    </row>
    <row r="8827" spans="4:4">
      <c r="D8827" s="1"/>
    </row>
    <row r="8828" spans="4:4">
      <c r="D8828" s="1"/>
    </row>
    <row r="8829" spans="4:4">
      <c r="D8829" s="1"/>
    </row>
    <row r="8830" spans="4:4">
      <c r="D8830" s="1"/>
    </row>
    <row r="8831" spans="4:4">
      <c r="D8831" s="1"/>
    </row>
    <row r="8832" spans="4:4">
      <c r="D8832" s="1"/>
    </row>
    <row r="8833" spans="4:4">
      <c r="D8833" s="1"/>
    </row>
    <row r="8834" spans="4:4">
      <c r="D8834" s="1"/>
    </row>
    <row r="8835" spans="4:4">
      <c r="D8835" s="1"/>
    </row>
    <row r="8836" spans="4:4">
      <c r="D8836" s="1"/>
    </row>
    <row r="8837" spans="4:4">
      <c r="D8837" s="1"/>
    </row>
    <row r="8838" spans="4:4">
      <c r="D8838" s="1"/>
    </row>
    <row r="8839" spans="4:4">
      <c r="D8839" s="1"/>
    </row>
    <row r="8840" spans="4:4">
      <c r="D8840" s="1"/>
    </row>
    <row r="8841" spans="4:4">
      <c r="D8841" s="1"/>
    </row>
    <row r="8842" spans="4:4">
      <c r="D8842" s="1"/>
    </row>
    <row r="8843" spans="4:4">
      <c r="D8843" s="1"/>
    </row>
    <row r="8844" spans="4:4">
      <c r="D8844" s="1"/>
    </row>
    <row r="8845" spans="4:4">
      <c r="D8845" s="1"/>
    </row>
    <row r="8846" spans="4:4">
      <c r="D8846" s="1"/>
    </row>
    <row r="8847" spans="4:4">
      <c r="D8847" s="1"/>
    </row>
    <row r="8848" spans="4:4">
      <c r="D8848" s="1"/>
    </row>
    <row r="8849" spans="4:4">
      <c r="D8849" s="1"/>
    </row>
    <row r="8850" spans="4:4">
      <c r="D8850" s="1"/>
    </row>
    <row r="8851" spans="4:4">
      <c r="D8851" s="1"/>
    </row>
    <row r="8852" spans="4:4">
      <c r="D8852" s="1"/>
    </row>
    <row r="8853" spans="4:4">
      <c r="D8853" s="1"/>
    </row>
    <row r="8854" spans="4:4">
      <c r="D8854" s="1"/>
    </row>
    <row r="8855" spans="4:4">
      <c r="D8855" s="1"/>
    </row>
    <row r="8856" spans="4:4">
      <c r="D8856" s="1"/>
    </row>
    <row r="8857" spans="4:4">
      <c r="D8857" s="1"/>
    </row>
    <row r="8858" spans="4:4">
      <c r="D8858" s="1"/>
    </row>
    <row r="8859" spans="4:4">
      <c r="D8859" s="1"/>
    </row>
    <row r="8860" spans="4:4">
      <c r="D8860" s="1"/>
    </row>
    <row r="8861" spans="4:4">
      <c r="D8861" s="1"/>
    </row>
    <row r="8862" spans="4:4">
      <c r="D8862" s="1"/>
    </row>
    <row r="8863" spans="4:4">
      <c r="D8863" s="1"/>
    </row>
    <row r="8864" spans="4:4">
      <c r="D8864" s="1"/>
    </row>
    <row r="8865" spans="4:4">
      <c r="D8865" s="1"/>
    </row>
    <row r="8866" spans="4:4">
      <c r="D8866" s="1"/>
    </row>
    <row r="8867" spans="4:4">
      <c r="D8867" s="1"/>
    </row>
    <row r="8868" spans="4:4">
      <c r="D8868" s="1"/>
    </row>
    <row r="8869" spans="4:4">
      <c r="D8869" s="1"/>
    </row>
    <row r="8870" spans="4:4">
      <c r="D8870" s="1"/>
    </row>
    <row r="8871" spans="4:4">
      <c r="D8871" s="1"/>
    </row>
    <row r="8872" spans="4:4">
      <c r="D8872" s="1"/>
    </row>
    <row r="8873" spans="4:4">
      <c r="D8873" s="1"/>
    </row>
    <row r="8874" spans="4:4">
      <c r="D8874" s="1"/>
    </row>
    <row r="8875" spans="4:4">
      <c r="D8875" s="1"/>
    </row>
    <row r="8876" spans="4:4">
      <c r="D8876" s="1"/>
    </row>
    <row r="8877" spans="4:4">
      <c r="D8877" s="1"/>
    </row>
    <row r="8878" spans="4:4">
      <c r="D8878" s="1"/>
    </row>
    <row r="8879" spans="4:4">
      <c r="D8879" s="1"/>
    </row>
    <row r="8880" spans="4:4">
      <c r="D8880" s="1"/>
    </row>
    <row r="8881" spans="4:4">
      <c r="D8881" s="1"/>
    </row>
    <row r="8882" spans="4:4">
      <c r="D8882" s="1"/>
    </row>
    <row r="8883" spans="4:4">
      <c r="D8883" s="1"/>
    </row>
    <row r="8884" spans="4:4">
      <c r="D8884" s="1"/>
    </row>
    <row r="8885" spans="4:4">
      <c r="D8885" s="1"/>
    </row>
    <row r="8886" spans="4:4">
      <c r="D8886" s="1"/>
    </row>
    <row r="8887" spans="4:4">
      <c r="D8887" s="1"/>
    </row>
    <row r="8888" spans="4:4">
      <c r="D8888" s="1"/>
    </row>
    <row r="8889" spans="4:4">
      <c r="D8889" s="1"/>
    </row>
    <row r="8890" spans="4:4">
      <c r="D8890" s="1"/>
    </row>
    <row r="8891" spans="4:4">
      <c r="D8891" s="1"/>
    </row>
    <row r="8892" spans="4:4">
      <c r="D8892" s="1"/>
    </row>
    <row r="8893" spans="4:4">
      <c r="D8893" s="1"/>
    </row>
    <row r="8894" spans="4:4">
      <c r="D8894" s="1"/>
    </row>
    <row r="8895" spans="4:4">
      <c r="D8895" s="1"/>
    </row>
    <row r="8896" spans="4:4">
      <c r="D8896" s="1"/>
    </row>
    <row r="8897" spans="4:4">
      <c r="D8897" s="1"/>
    </row>
    <row r="8898" spans="4:4">
      <c r="D8898" s="1"/>
    </row>
    <row r="8899" spans="4:4">
      <c r="D8899" s="1"/>
    </row>
    <row r="8900" spans="4:4">
      <c r="D8900" s="1"/>
    </row>
    <row r="8901" spans="4:4">
      <c r="D8901" s="1"/>
    </row>
    <row r="8902" spans="4:4">
      <c r="D8902" s="1"/>
    </row>
    <row r="8903" spans="4:4">
      <c r="D8903" s="1"/>
    </row>
    <row r="8904" spans="4:4">
      <c r="D8904" s="1"/>
    </row>
    <row r="8905" spans="4:4">
      <c r="D8905" s="1"/>
    </row>
    <row r="8906" spans="4:4">
      <c r="D8906" s="1"/>
    </row>
    <row r="8907" spans="4:4">
      <c r="D8907" s="1"/>
    </row>
    <row r="8908" spans="4:4">
      <c r="D8908" s="1"/>
    </row>
    <row r="8909" spans="4:4">
      <c r="D8909" s="1"/>
    </row>
    <row r="8910" spans="4:4">
      <c r="D8910" s="1"/>
    </row>
    <row r="8911" spans="4:4">
      <c r="D8911" s="1"/>
    </row>
    <row r="8912" spans="4:4">
      <c r="D8912" s="1"/>
    </row>
    <row r="8913" spans="4:4">
      <c r="D8913" s="1"/>
    </row>
    <row r="8914" spans="4:4">
      <c r="D8914" s="1"/>
    </row>
    <row r="8915" spans="4:4">
      <c r="D8915" s="1"/>
    </row>
    <row r="8916" spans="4:4">
      <c r="D8916" s="1"/>
    </row>
    <row r="8917" spans="4:4">
      <c r="D8917" s="1"/>
    </row>
    <row r="8918" spans="4:4">
      <c r="D8918" s="1"/>
    </row>
    <row r="8919" spans="4:4">
      <c r="D8919" s="1"/>
    </row>
    <row r="8920" spans="4:4">
      <c r="D8920" s="1"/>
    </row>
    <row r="8921" spans="4:4">
      <c r="D8921" s="1"/>
    </row>
    <row r="8922" spans="4:4">
      <c r="D8922" s="1"/>
    </row>
    <row r="8923" spans="4:4">
      <c r="D8923" s="1"/>
    </row>
    <row r="8924" spans="4:4">
      <c r="D8924" s="1"/>
    </row>
    <row r="8925" spans="4:4">
      <c r="D8925" s="1"/>
    </row>
    <row r="8926" spans="4:4">
      <c r="D8926" s="1"/>
    </row>
    <row r="8927" spans="4:4">
      <c r="D8927" s="1"/>
    </row>
    <row r="8928" spans="4:4">
      <c r="D8928" s="1"/>
    </row>
    <row r="8929" spans="4:4">
      <c r="D8929" s="1"/>
    </row>
    <row r="8930" spans="4:4">
      <c r="D8930" s="1"/>
    </row>
    <row r="8931" spans="4:4">
      <c r="D8931" s="1"/>
    </row>
    <row r="8932" spans="4:4">
      <c r="D8932" s="1"/>
    </row>
    <row r="8933" spans="4:4">
      <c r="D8933" s="1"/>
    </row>
    <row r="8934" spans="4:4">
      <c r="D8934" s="1"/>
    </row>
    <row r="8935" spans="4:4">
      <c r="D8935" s="1"/>
    </row>
    <row r="8936" spans="4:4">
      <c r="D8936" s="1"/>
    </row>
    <row r="8937" spans="4:4">
      <c r="D8937" s="1"/>
    </row>
    <row r="8938" spans="4:4">
      <c r="D8938" s="1"/>
    </row>
    <row r="8939" spans="4:4">
      <c r="D8939" s="1"/>
    </row>
    <row r="8940" spans="4:4">
      <c r="D8940" s="1"/>
    </row>
    <row r="8941" spans="4:4">
      <c r="D8941" s="1"/>
    </row>
    <row r="8942" spans="4:4">
      <c r="D8942" s="1"/>
    </row>
    <row r="8943" spans="4:4">
      <c r="D8943" s="1"/>
    </row>
    <row r="8944" spans="4:4">
      <c r="D8944" s="1"/>
    </row>
    <row r="8945" spans="4:4">
      <c r="D8945" s="1"/>
    </row>
    <row r="8946" spans="4:4">
      <c r="D8946" s="1"/>
    </row>
    <row r="8947" spans="4:4">
      <c r="D8947" s="1"/>
    </row>
    <row r="8948" spans="4:4">
      <c r="D8948" s="1"/>
    </row>
    <row r="8949" spans="4:4">
      <c r="D8949" s="1"/>
    </row>
    <row r="8950" spans="4:4">
      <c r="D8950" s="1"/>
    </row>
    <row r="8951" spans="4:4">
      <c r="D8951" s="1"/>
    </row>
    <row r="8952" spans="4:4">
      <c r="D8952" s="1"/>
    </row>
    <row r="8953" spans="4:4">
      <c r="D8953" s="1"/>
    </row>
    <row r="8954" spans="4:4">
      <c r="D8954" s="1"/>
    </row>
    <row r="8955" spans="4:4">
      <c r="D8955" s="1"/>
    </row>
    <row r="8956" spans="4:4">
      <c r="D8956" s="1"/>
    </row>
    <row r="8957" spans="4:4">
      <c r="D8957" s="1"/>
    </row>
    <row r="8958" spans="4:4">
      <c r="D8958" s="1"/>
    </row>
    <row r="8959" spans="4:4">
      <c r="D8959" s="1"/>
    </row>
    <row r="8960" spans="4:4">
      <c r="D8960" s="1"/>
    </row>
    <row r="8961" spans="4:4">
      <c r="D8961" s="1"/>
    </row>
    <row r="8962" spans="4:4">
      <c r="D8962" s="1"/>
    </row>
    <row r="8963" spans="4:4">
      <c r="D8963" s="1"/>
    </row>
    <row r="8964" spans="4:4">
      <c r="D8964" s="1"/>
    </row>
    <row r="8965" spans="4:4">
      <c r="D8965" s="1"/>
    </row>
    <row r="8966" spans="4:4">
      <c r="D8966" s="1"/>
    </row>
    <row r="8967" spans="4:4">
      <c r="D8967" s="1"/>
    </row>
    <row r="8968" spans="4:4">
      <c r="D8968" s="1"/>
    </row>
    <row r="8969" spans="4:4">
      <c r="D8969" s="1"/>
    </row>
    <row r="8970" spans="4:4">
      <c r="D8970" s="1"/>
    </row>
    <row r="8971" spans="4:4">
      <c r="D8971" s="1"/>
    </row>
    <row r="8972" spans="4:4">
      <c r="D8972" s="1"/>
    </row>
    <row r="8973" spans="4:4">
      <c r="D8973" s="1"/>
    </row>
    <row r="8974" spans="4:4">
      <c r="D8974" s="1"/>
    </row>
    <row r="8975" spans="4:4">
      <c r="D8975" s="1"/>
    </row>
    <row r="8976" spans="4:4">
      <c r="D8976" s="1"/>
    </row>
    <row r="8977" spans="4:4">
      <c r="D8977" s="1"/>
    </row>
    <row r="8978" spans="4:4">
      <c r="D8978" s="1"/>
    </row>
    <row r="8979" spans="4:4">
      <c r="D8979" s="1"/>
    </row>
    <row r="8980" spans="4:4">
      <c r="D8980" s="1"/>
    </row>
    <row r="8981" spans="4:4">
      <c r="D8981" s="1"/>
    </row>
    <row r="8982" spans="4:4">
      <c r="D8982" s="1"/>
    </row>
    <row r="8983" spans="4:4">
      <c r="D8983" s="1"/>
    </row>
    <row r="8984" spans="4:4">
      <c r="D8984" s="1"/>
    </row>
    <row r="8985" spans="4:4">
      <c r="D8985" s="1"/>
    </row>
    <row r="8986" spans="4:4">
      <c r="D8986" s="1"/>
    </row>
    <row r="8987" spans="4:4">
      <c r="D8987" s="1"/>
    </row>
    <row r="8988" spans="4:4">
      <c r="D8988" s="1"/>
    </row>
    <row r="8989" spans="4:4">
      <c r="D8989" s="1"/>
    </row>
    <row r="8990" spans="4:4">
      <c r="D8990" s="1"/>
    </row>
    <row r="8991" spans="4:4">
      <c r="D8991" s="1"/>
    </row>
    <row r="8992" spans="4:4">
      <c r="D8992" s="1"/>
    </row>
    <row r="8993" spans="4:4">
      <c r="D8993" s="1"/>
    </row>
    <row r="8994" spans="4:4">
      <c r="D8994" s="1"/>
    </row>
    <row r="8995" spans="4:4">
      <c r="D8995" s="1"/>
    </row>
    <row r="8996" spans="4:4">
      <c r="D8996" s="1"/>
    </row>
    <row r="8997" spans="4:4">
      <c r="D8997" s="1"/>
    </row>
    <row r="8998" spans="4:4">
      <c r="D8998" s="1"/>
    </row>
    <row r="8999" spans="4:4">
      <c r="D8999" s="1"/>
    </row>
    <row r="9000" spans="4:4">
      <c r="D9000" s="1"/>
    </row>
    <row r="9001" spans="4:4">
      <c r="D9001" s="1"/>
    </row>
    <row r="9002" spans="4:4">
      <c r="D9002" s="1"/>
    </row>
    <row r="9003" spans="4:4">
      <c r="D9003" s="1"/>
    </row>
    <row r="9004" spans="4:4">
      <c r="D9004" s="1"/>
    </row>
    <row r="9005" spans="4:4">
      <c r="D9005" s="1"/>
    </row>
    <row r="9006" spans="4:4">
      <c r="D9006" s="1"/>
    </row>
    <row r="9007" spans="4:4">
      <c r="D9007" s="1"/>
    </row>
    <row r="9008" spans="4:4">
      <c r="D9008" s="1"/>
    </row>
    <row r="9009" spans="4:4">
      <c r="D9009" s="1"/>
    </row>
    <row r="9010" spans="4:4">
      <c r="D9010" s="1"/>
    </row>
    <row r="9011" spans="4:4">
      <c r="D9011" s="1"/>
    </row>
    <row r="9012" spans="4:4">
      <c r="D9012" s="1"/>
    </row>
    <row r="9013" spans="4:4">
      <c r="D9013" s="1"/>
    </row>
    <row r="9014" spans="4:4">
      <c r="D9014" s="1"/>
    </row>
    <row r="9015" spans="4:4">
      <c r="D9015" s="1"/>
    </row>
    <row r="9016" spans="4:4">
      <c r="D9016" s="1"/>
    </row>
    <row r="9017" spans="4:4">
      <c r="D9017" s="1"/>
    </row>
    <row r="9018" spans="4:4">
      <c r="D9018" s="1"/>
    </row>
    <row r="9019" spans="4:4">
      <c r="D9019" s="1"/>
    </row>
    <row r="9020" spans="4:4">
      <c r="D9020" s="1"/>
    </row>
    <row r="9021" spans="4:4">
      <c r="D9021" s="1"/>
    </row>
    <row r="9022" spans="4:4">
      <c r="D9022" s="1"/>
    </row>
    <row r="9023" spans="4:4">
      <c r="D9023" s="1"/>
    </row>
    <row r="9024" spans="4:4">
      <c r="D9024" s="1"/>
    </row>
    <row r="9025" spans="4:4">
      <c r="D9025" s="1"/>
    </row>
    <row r="9026" spans="4:4">
      <c r="D9026" s="1"/>
    </row>
    <row r="9027" spans="4:4">
      <c r="D9027" s="1"/>
    </row>
    <row r="9028" spans="4:4">
      <c r="D9028" s="1"/>
    </row>
    <row r="9029" spans="4:4">
      <c r="D9029" s="1"/>
    </row>
    <row r="9030" spans="4:4">
      <c r="D9030" s="1"/>
    </row>
    <row r="9031" spans="4:4">
      <c r="D9031" s="1"/>
    </row>
    <row r="9032" spans="4:4">
      <c r="D9032" s="1"/>
    </row>
    <row r="9033" spans="4:4">
      <c r="D9033" s="1"/>
    </row>
    <row r="9034" spans="4:4">
      <c r="D9034" s="1"/>
    </row>
    <row r="9035" spans="4:4">
      <c r="D9035" s="1"/>
    </row>
    <row r="9036" spans="4:4">
      <c r="D9036" s="1"/>
    </row>
    <row r="9037" spans="4:4">
      <c r="D9037" s="1"/>
    </row>
    <row r="9038" spans="4:4">
      <c r="D9038" s="1"/>
    </row>
    <row r="9039" spans="4:4">
      <c r="D9039" s="1"/>
    </row>
    <row r="9040" spans="4:4">
      <c r="D9040" s="1"/>
    </row>
    <row r="9041" spans="4:4">
      <c r="D9041" s="1"/>
    </row>
    <row r="9042" spans="4:4">
      <c r="D9042" s="1"/>
    </row>
    <row r="9043" spans="4:4">
      <c r="D9043" s="1"/>
    </row>
    <row r="9044" spans="4:4">
      <c r="D9044" s="1"/>
    </row>
    <row r="9045" spans="4:4">
      <c r="D9045" s="1"/>
    </row>
    <row r="9046" spans="4:4">
      <c r="D9046" s="1"/>
    </row>
    <row r="9047" spans="4:4">
      <c r="D9047" s="1"/>
    </row>
    <row r="9048" spans="4:4">
      <c r="D9048" s="1"/>
    </row>
    <row r="9049" spans="4:4">
      <c r="D9049" s="1"/>
    </row>
    <row r="9050" spans="4:4">
      <c r="D9050" s="1"/>
    </row>
    <row r="9051" spans="4:4">
      <c r="D9051" s="1"/>
    </row>
    <row r="9052" spans="4:4">
      <c r="D9052" s="1"/>
    </row>
    <row r="9053" spans="4:4">
      <c r="D9053" s="1"/>
    </row>
    <row r="9054" spans="4:4">
      <c r="D9054" s="1"/>
    </row>
    <row r="9055" spans="4:4">
      <c r="D9055" s="1"/>
    </row>
    <row r="9056" spans="4:4">
      <c r="D9056" s="1"/>
    </row>
    <row r="9057" spans="4:4">
      <c r="D9057" s="1"/>
    </row>
    <row r="9058" spans="4:4">
      <c r="D9058" s="1"/>
    </row>
    <row r="9059" spans="4:4">
      <c r="D9059" s="1"/>
    </row>
    <row r="9060" spans="4:4">
      <c r="D9060" s="1"/>
    </row>
    <row r="9061" spans="4:4">
      <c r="D9061" s="1"/>
    </row>
    <row r="9062" spans="4:4">
      <c r="D9062" s="1"/>
    </row>
    <row r="9063" spans="4:4">
      <c r="D9063" s="1"/>
    </row>
    <row r="9064" spans="4:4">
      <c r="D9064" s="1"/>
    </row>
    <row r="9065" spans="4:4">
      <c r="D9065" s="1"/>
    </row>
    <row r="9066" spans="4:4">
      <c r="D9066" s="1"/>
    </row>
    <row r="9067" spans="4:4">
      <c r="D9067" s="1"/>
    </row>
    <row r="9068" spans="4:4">
      <c r="D9068" s="1"/>
    </row>
    <row r="9069" spans="4:4">
      <c r="D9069" s="1"/>
    </row>
    <row r="9070" spans="4:4">
      <c r="D9070" s="1"/>
    </row>
    <row r="9071" spans="4:4">
      <c r="D9071" s="1"/>
    </row>
    <row r="9072" spans="4:4">
      <c r="D9072" s="1"/>
    </row>
    <row r="9073" spans="4:4">
      <c r="D9073" s="1"/>
    </row>
    <row r="9074" spans="4:4">
      <c r="D9074" s="1"/>
    </row>
    <row r="9075" spans="4:4">
      <c r="D9075" s="1"/>
    </row>
    <row r="9076" spans="4:4">
      <c r="D9076" s="1"/>
    </row>
    <row r="9077" spans="4:4">
      <c r="D9077" s="1"/>
    </row>
    <row r="9078" spans="4:4">
      <c r="D9078" s="1"/>
    </row>
    <row r="9079" spans="4:4">
      <c r="D9079" s="1"/>
    </row>
    <row r="9080" spans="4:4">
      <c r="D9080" s="1"/>
    </row>
    <row r="9081" spans="4:4">
      <c r="D9081" s="1"/>
    </row>
    <row r="9082" spans="4:4">
      <c r="D9082" s="1"/>
    </row>
    <row r="9083" spans="4:4">
      <c r="D9083" s="1"/>
    </row>
    <row r="9084" spans="4:4">
      <c r="D9084" s="1"/>
    </row>
    <row r="9085" spans="4:4">
      <c r="D9085" s="1"/>
    </row>
    <row r="9086" spans="4:4">
      <c r="D9086" s="1"/>
    </row>
    <row r="9087" spans="4:4">
      <c r="D9087" s="1"/>
    </row>
    <row r="9088" spans="4:4">
      <c r="D9088" s="1"/>
    </row>
    <row r="9089" spans="4:4">
      <c r="D9089" s="1"/>
    </row>
    <row r="9090" spans="4:4">
      <c r="D9090" s="1"/>
    </row>
    <row r="9091" spans="4:4">
      <c r="D9091" s="1"/>
    </row>
    <row r="9092" spans="4:4">
      <c r="D9092" s="1"/>
    </row>
    <row r="9093" spans="4:4">
      <c r="D9093" s="1"/>
    </row>
    <row r="9094" spans="4:4">
      <c r="D9094" s="1"/>
    </row>
    <row r="9095" spans="4:4">
      <c r="D9095" s="1"/>
    </row>
    <row r="9096" spans="4:4">
      <c r="D9096" s="1"/>
    </row>
    <row r="9097" spans="4:4">
      <c r="D9097" s="1"/>
    </row>
    <row r="9098" spans="4:4">
      <c r="D9098" s="1"/>
    </row>
    <row r="9099" spans="4:4">
      <c r="D9099" s="1"/>
    </row>
    <row r="9100" spans="4:4">
      <c r="D9100" s="1"/>
    </row>
    <row r="9101" spans="4:4">
      <c r="D9101" s="1"/>
    </row>
    <row r="9102" spans="4:4">
      <c r="D9102" s="1"/>
    </row>
    <row r="9103" spans="4:4">
      <c r="D9103" s="1"/>
    </row>
    <row r="9104" spans="4:4">
      <c r="D9104" s="1"/>
    </row>
    <row r="9105" spans="4:4">
      <c r="D9105" s="1"/>
    </row>
    <row r="9106" spans="4:4">
      <c r="D9106" s="1"/>
    </row>
    <row r="9107" spans="4:4">
      <c r="D9107" s="1"/>
    </row>
    <row r="9108" spans="4:4">
      <c r="D9108" s="1"/>
    </row>
    <row r="9109" spans="4:4">
      <c r="D9109" s="1"/>
    </row>
    <row r="9110" spans="4:4">
      <c r="D9110" s="1"/>
    </row>
    <row r="9111" spans="4:4">
      <c r="D9111" s="1"/>
    </row>
    <row r="9112" spans="4:4">
      <c r="D9112" s="1"/>
    </row>
    <row r="9113" spans="4:4">
      <c r="D9113" s="1"/>
    </row>
    <row r="9114" spans="4:4">
      <c r="D9114" s="1"/>
    </row>
    <row r="9115" spans="4:4">
      <c r="D9115" s="1"/>
    </row>
    <row r="9116" spans="4:4">
      <c r="D9116" s="1"/>
    </row>
    <row r="9117" spans="4:4">
      <c r="D9117" s="1"/>
    </row>
    <row r="9118" spans="4:4">
      <c r="D9118" s="1"/>
    </row>
    <row r="9119" spans="4:4">
      <c r="D9119" s="1"/>
    </row>
    <row r="9120" spans="4:4">
      <c r="D9120" s="1"/>
    </row>
    <row r="9121" spans="4:4">
      <c r="D9121" s="1"/>
    </row>
    <row r="9122" spans="4:4">
      <c r="D9122" s="1"/>
    </row>
    <row r="9123" spans="4:4">
      <c r="D9123" s="1"/>
    </row>
    <row r="9124" spans="4:4">
      <c r="D9124" s="1"/>
    </row>
    <row r="9125" spans="4:4">
      <c r="D9125" s="1"/>
    </row>
    <row r="9126" spans="4:4">
      <c r="D9126" s="1"/>
    </row>
    <row r="9127" spans="4:4">
      <c r="D9127" s="1"/>
    </row>
    <row r="9128" spans="4:4">
      <c r="D9128" s="1"/>
    </row>
    <row r="9129" spans="4:4">
      <c r="D9129" s="1"/>
    </row>
    <row r="9130" spans="4:4">
      <c r="D9130" s="1"/>
    </row>
    <row r="9131" spans="4:4">
      <c r="D9131" s="1"/>
    </row>
    <row r="9132" spans="4:4">
      <c r="D9132" s="1"/>
    </row>
    <row r="9133" spans="4:4">
      <c r="D9133" s="1"/>
    </row>
    <row r="9134" spans="4:4">
      <c r="D9134" s="1"/>
    </row>
    <row r="9135" spans="4:4">
      <c r="D9135" s="1"/>
    </row>
    <row r="9136" spans="4:4">
      <c r="D9136" s="1"/>
    </row>
    <row r="9137" spans="4:4">
      <c r="D9137" s="1"/>
    </row>
    <row r="9138" spans="4:4">
      <c r="D9138" s="1"/>
    </row>
    <row r="9139" spans="4:4">
      <c r="D9139" s="1"/>
    </row>
    <row r="9140" spans="4:4">
      <c r="D9140" s="1"/>
    </row>
    <row r="9141" spans="4:4">
      <c r="D9141" s="1"/>
    </row>
    <row r="9142" spans="4:4">
      <c r="D9142" s="1"/>
    </row>
    <row r="9143" spans="4:4">
      <c r="D9143" s="1"/>
    </row>
    <row r="9144" spans="4:4">
      <c r="D9144" s="1"/>
    </row>
    <row r="9145" spans="4:4">
      <c r="D9145" s="1"/>
    </row>
    <row r="9146" spans="4:4">
      <c r="D9146" s="1"/>
    </row>
    <row r="9147" spans="4:4">
      <c r="D9147" s="1"/>
    </row>
    <row r="9148" spans="4:4">
      <c r="D9148" s="1"/>
    </row>
    <row r="9149" spans="4:4">
      <c r="D9149" s="1"/>
    </row>
    <row r="9150" spans="4:4">
      <c r="D9150" s="1"/>
    </row>
    <row r="9151" spans="4:4">
      <c r="D9151" s="1"/>
    </row>
    <row r="9152" spans="4:4">
      <c r="D9152" s="1"/>
    </row>
    <row r="9153" spans="4:4">
      <c r="D9153" s="1"/>
    </row>
    <row r="9154" spans="4:4">
      <c r="D9154" s="1"/>
    </row>
    <row r="9155" spans="4:4">
      <c r="D9155" s="1"/>
    </row>
    <row r="9156" spans="4:4">
      <c r="D9156" s="1"/>
    </row>
    <row r="9157" spans="4:4">
      <c r="D9157" s="1"/>
    </row>
    <row r="9158" spans="4:4">
      <c r="D9158" s="1"/>
    </row>
    <row r="9159" spans="4:4">
      <c r="D9159" s="1"/>
    </row>
    <row r="9160" spans="4:4">
      <c r="D9160" s="1"/>
    </row>
    <row r="9161" spans="4:4">
      <c r="D9161" s="1"/>
    </row>
    <row r="9162" spans="4:4">
      <c r="D9162" s="1"/>
    </row>
    <row r="9163" spans="4:4">
      <c r="D9163" s="1"/>
    </row>
    <row r="9164" spans="4:4">
      <c r="D9164" s="1"/>
    </row>
    <row r="9165" spans="4:4">
      <c r="D9165" s="1"/>
    </row>
    <row r="9166" spans="4:4">
      <c r="D9166" s="1"/>
    </row>
    <row r="9167" spans="4:4">
      <c r="D9167" s="1"/>
    </row>
    <row r="9168" spans="4:4">
      <c r="D9168" s="1"/>
    </row>
    <row r="9169" spans="4:4">
      <c r="D9169" s="1"/>
    </row>
    <row r="9170" spans="4:4">
      <c r="D9170" s="1"/>
    </row>
    <row r="9171" spans="4:4">
      <c r="D9171" s="1"/>
    </row>
    <row r="9172" spans="4:4">
      <c r="D9172" s="1"/>
    </row>
    <row r="9173" spans="4:4">
      <c r="D9173" s="1"/>
    </row>
    <row r="9174" spans="4:4">
      <c r="D9174" s="1"/>
    </row>
    <row r="9175" spans="4:4">
      <c r="D9175" s="1"/>
    </row>
    <row r="9176" spans="4:4">
      <c r="D9176" s="1"/>
    </row>
    <row r="9177" spans="4:4">
      <c r="D9177" s="1"/>
    </row>
    <row r="9178" spans="4:4">
      <c r="D9178" s="1"/>
    </row>
    <row r="9179" spans="4:4">
      <c r="D9179" s="1"/>
    </row>
    <row r="9180" spans="4:4">
      <c r="D9180" s="1"/>
    </row>
    <row r="9181" spans="4:4">
      <c r="D9181" s="1"/>
    </row>
    <row r="9182" spans="4:4">
      <c r="D9182" s="1"/>
    </row>
    <row r="9183" spans="4:4">
      <c r="D9183" s="1"/>
    </row>
    <row r="9184" spans="4:4">
      <c r="D9184" s="1"/>
    </row>
    <row r="9185" spans="4:4">
      <c r="D9185" s="1"/>
    </row>
    <row r="9186" spans="4:4">
      <c r="D9186" s="1"/>
    </row>
    <row r="9187" spans="4:4">
      <c r="D9187" s="1"/>
    </row>
    <row r="9188" spans="4:4">
      <c r="D9188" s="1"/>
    </row>
    <row r="9189" spans="4:4">
      <c r="D9189" s="1"/>
    </row>
    <row r="9190" spans="4:4">
      <c r="D9190" s="1"/>
    </row>
    <row r="9191" spans="4:4">
      <c r="D9191" s="1"/>
    </row>
    <row r="9192" spans="4:4">
      <c r="D9192" s="1"/>
    </row>
    <row r="9193" spans="4:4">
      <c r="D9193" s="1"/>
    </row>
    <row r="9194" spans="4:4">
      <c r="D9194" s="1"/>
    </row>
    <row r="9195" spans="4:4">
      <c r="D9195" s="1"/>
    </row>
    <row r="9196" spans="4:4">
      <c r="D9196" s="1"/>
    </row>
    <row r="9197" spans="4:4">
      <c r="D9197" s="1"/>
    </row>
    <row r="9198" spans="4:4">
      <c r="D9198" s="1"/>
    </row>
    <row r="9199" spans="4:4">
      <c r="D9199" s="1"/>
    </row>
    <row r="9200" spans="4:4">
      <c r="D9200" s="1"/>
    </row>
    <row r="9201" spans="4:4">
      <c r="D9201" s="1"/>
    </row>
    <row r="9202" spans="4:4">
      <c r="D9202" s="1"/>
    </row>
    <row r="9203" spans="4:4">
      <c r="D9203" s="1"/>
    </row>
    <row r="9204" spans="4:4">
      <c r="D9204" s="1"/>
    </row>
    <row r="9205" spans="4:4">
      <c r="D9205" s="1"/>
    </row>
    <row r="9206" spans="4:4">
      <c r="D9206" s="1"/>
    </row>
    <row r="9207" spans="4:4">
      <c r="D9207" s="1"/>
    </row>
    <row r="9208" spans="4:4">
      <c r="D9208" s="1"/>
    </row>
    <row r="9209" spans="4:4">
      <c r="D9209" s="1"/>
    </row>
    <row r="9210" spans="4:4">
      <c r="D9210" s="1"/>
    </row>
    <row r="9211" spans="4:4">
      <c r="D9211" s="1"/>
    </row>
    <row r="9212" spans="4:4">
      <c r="D9212" s="1"/>
    </row>
    <row r="9213" spans="4:4">
      <c r="D9213" s="1"/>
    </row>
    <row r="9214" spans="4:4">
      <c r="D9214" s="1"/>
    </row>
    <row r="9215" spans="4:4">
      <c r="D9215" s="1"/>
    </row>
    <row r="9216" spans="4:4">
      <c r="D9216" s="1"/>
    </row>
    <row r="9217" spans="4:4">
      <c r="D9217" s="1"/>
    </row>
    <row r="9218" spans="4:4">
      <c r="D9218" s="1"/>
    </row>
    <row r="9219" spans="4:4">
      <c r="D9219" s="1"/>
    </row>
    <row r="9220" spans="4:4">
      <c r="D9220" s="1"/>
    </row>
    <row r="9221" spans="4:4">
      <c r="D9221" s="1"/>
    </row>
    <row r="9222" spans="4:4">
      <c r="D9222" s="1"/>
    </row>
    <row r="9223" spans="4:4">
      <c r="D9223" s="1"/>
    </row>
    <row r="9224" spans="4:4">
      <c r="D9224" s="1"/>
    </row>
    <row r="9225" spans="4:4">
      <c r="D9225" s="1"/>
    </row>
    <row r="9226" spans="4:4">
      <c r="D9226" s="1"/>
    </row>
    <row r="9227" spans="4:4">
      <c r="D9227" s="1"/>
    </row>
    <row r="9228" spans="4:4">
      <c r="D9228" s="1"/>
    </row>
    <row r="9229" spans="4:4">
      <c r="D9229" s="1"/>
    </row>
    <row r="9230" spans="4:4">
      <c r="D9230" s="1"/>
    </row>
    <row r="9231" spans="4:4">
      <c r="D9231" s="1"/>
    </row>
    <row r="9232" spans="4:4">
      <c r="D9232" s="1"/>
    </row>
    <row r="9233" spans="4:4">
      <c r="D9233" s="1"/>
    </row>
    <row r="9234" spans="4:4">
      <c r="D9234" s="1"/>
    </row>
    <row r="9235" spans="4:4">
      <c r="D9235" s="1"/>
    </row>
    <row r="9236" spans="4:4">
      <c r="D9236" s="1"/>
    </row>
    <row r="9237" spans="4:4">
      <c r="D9237" s="1"/>
    </row>
    <row r="9238" spans="4:4">
      <c r="D9238" s="1"/>
    </row>
    <row r="9239" spans="4:4">
      <c r="D9239" s="1"/>
    </row>
    <row r="9240" spans="4:4">
      <c r="D9240" s="1"/>
    </row>
    <row r="9241" spans="4:4">
      <c r="D9241" s="1"/>
    </row>
    <row r="9242" spans="4:4">
      <c r="D9242" s="1"/>
    </row>
    <row r="9243" spans="4:4">
      <c r="D9243" s="1"/>
    </row>
    <row r="9244" spans="4:4">
      <c r="D9244" s="1"/>
    </row>
    <row r="9245" spans="4:4">
      <c r="D9245" s="1"/>
    </row>
    <row r="9246" spans="4:4">
      <c r="D9246" s="1"/>
    </row>
    <row r="9247" spans="4:4">
      <c r="D9247" s="1"/>
    </row>
    <row r="9248" spans="4:4">
      <c r="D9248" s="1"/>
    </row>
    <row r="9249" spans="4:4">
      <c r="D9249" s="1"/>
    </row>
    <row r="9250" spans="4:4">
      <c r="D9250" s="1"/>
    </row>
    <row r="9251" spans="4:4">
      <c r="D9251" s="1"/>
    </row>
    <row r="9252" spans="4:4">
      <c r="D9252" s="1"/>
    </row>
    <row r="9253" spans="4:4">
      <c r="D9253" s="1"/>
    </row>
    <row r="9254" spans="4:4">
      <c r="D9254" s="1"/>
    </row>
    <row r="9255" spans="4:4">
      <c r="D9255" s="1"/>
    </row>
    <row r="9256" spans="4:4">
      <c r="D9256" s="1"/>
    </row>
    <row r="9257" spans="4:4">
      <c r="D9257" s="1"/>
    </row>
    <row r="9258" spans="4:4">
      <c r="D9258" s="1"/>
    </row>
    <row r="9259" spans="4:4">
      <c r="D9259" s="1"/>
    </row>
    <row r="9260" spans="4:4">
      <c r="D9260" s="1"/>
    </row>
    <row r="9261" spans="4:4">
      <c r="D9261" s="1"/>
    </row>
    <row r="9262" spans="4:4">
      <c r="D9262" s="1"/>
    </row>
    <row r="9263" spans="4:4">
      <c r="D9263" s="1"/>
    </row>
    <row r="9264" spans="4:4">
      <c r="D9264" s="1"/>
    </row>
    <row r="9265" spans="4:4">
      <c r="D9265" s="1"/>
    </row>
    <row r="9266" spans="4:4">
      <c r="D9266" s="1"/>
    </row>
    <row r="9267" spans="4:4">
      <c r="D9267" s="1"/>
    </row>
    <row r="9268" spans="4:4">
      <c r="D9268" s="1"/>
    </row>
    <row r="9269" spans="4:4">
      <c r="D9269" s="1"/>
    </row>
    <row r="9270" spans="4:4">
      <c r="D9270" s="1"/>
    </row>
    <row r="9271" spans="4:4">
      <c r="D9271" s="1"/>
    </row>
    <row r="9272" spans="4:4">
      <c r="D9272" s="1"/>
    </row>
    <row r="9273" spans="4:4">
      <c r="D9273" s="1"/>
    </row>
    <row r="9274" spans="4:4">
      <c r="D9274" s="1"/>
    </row>
    <row r="9275" spans="4:4">
      <c r="D9275" s="1"/>
    </row>
    <row r="9276" spans="4:4">
      <c r="D9276" s="1"/>
    </row>
    <row r="9277" spans="4:4">
      <c r="D9277" s="1"/>
    </row>
    <row r="9278" spans="4:4">
      <c r="D9278" s="1"/>
    </row>
    <row r="9279" spans="4:4">
      <c r="D9279" s="1"/>
    </row>
    <row r="9280" spans="4:4">
      <c r="D9280" s="1"/>
    </row>
    <row r="9281" spans="4:4">
      <c r="D9281" s="1"/>
    </row>
    <row r="9282" spans="4:4">
      <c r="D9282" s="1"/>
    </row>
    <row r="9283" spans="4:4">
      <c r="D9283" s="1"/>
    </row>
    <row r="9284" spans="4:4">
      <c r="D9284" s="1"/>
    </row>
    <row r="9285" spans="4:4">
      <c r="D9285" s="1"/>
    </row>
    <row r="9286" spans="4:4">
      <c r="D9286" s="1"/>
    </row>
    <row r="9287" spans="4:4">
      <c r="D9287" s="1"/>
    </row>
    <row r="9288" spans="4:4">
      <c r="D9288" s="1"/>
    </row>
    <row r="9289" spans="4:4">
      <c r="D9289" s="1"/>
    </row>
    <row r="9290" spans="4:4">
      <c r="D9290" s="1"/>
    </row>
    <row r="9291" spans="4:4">
      <c r="D9291" s="1"/>
    </row>
    <row r="9292" spans="4:4">
      <c r="D9292" s="1"/>
    </row>
    <row r="9293" spans="4:4">
      <c r="D9293" s="1"/>
    </row>
    <row r="9294" spans="4:4">
      <c r="D9294" s="1"/>
    </row>
    <row r="9295" spans="4:4">
      <c r="D9295" s="1"/>
    </row>
    <row r="9296" spans="4:4">
      <c r="D9296" s="1"/>
    </row>
    <row r="9297" spans="4:4">
      <c r="D9297" s="1"/>
    </row>
    <row r="9298" spans="4:4">
      <c r="D9298" s="1"/>
    </row>
    <row r="9299" spans="4:4">
      <c r="D9299" s="1"/>
    </row>
    <row r="9300" spans="4:4">
      <c r="D9300" s="1"/>
    </row>
    <row r="9301" spans="4:4">
      <c r="D9301" s="1"/>
    </row>
    <row r="9302" spans="4:4">
      <c r="D9302" s="1"/>
    </row>
    <row r="9303" spans="4:4">
      <c r="D9303" s="1"/>
    </row>
    <row r="9304" spans="4:4">
      <c r="D9304" s="1"/>
    </row>
    <row r="9305" spans="4:4">
      <c r="D9305" s="1"/>
    </row>
    <row r="9306" spans="4:4">
      <c r="D9306" s="1"/>
    </row>
    <row r="9307" spans="4:4">
      <c r="D9307" s="1"/>
    </row>
    <row r="9308" spans="4:4">
      <c r="D9308" s="1"/>
    </row>
    <row r="9309" spans="4:4">
      <c r="D9309" s="1"/>
    </row>
    <row r="9310" spans="4:4">
      <c r="D9310" s="1"/>
    </row>
    <row r="9311" spans="4:4">
      <c r="D9311" s="1"/>
    </row>
    <row r="9312" spans="4:4">
      <c r="D9312" s="1"/>
    </row>
    <row r="9313" spans="4:4">
      <c r="D9313" s="1"/>
    </row>
    <row r="9314" spans="4:4">
      <c r="D9314" s="1"/>
    </row>
    <row r="9315" spans="4:4">
      <c r="D9315" s="1"/>
    </row>
    <row r="9316" spans="4:4">
      <c r="D9316" s="1"/>
    </row>
    <row r="9317" spans="4:4">
      <c r="D9317" s="1"/>
    </row>
    <row r="9318" spans="4:4">
      <c r="D9318" s="1"/>
    </row>
    <row r="9319" spans="4:4">
      <c r="D9319" s="1"/>
    </row>
    <row r="9320" spans="4:4">
      <c r="D9320" s="1"/>
    </row>
    <row r="9321" spans="4:4">
      <c r="D9321" s="1"/>
    </row>
    <row r="9322" spans="4:4">
      <c r="D9322" s="1"/>
    </row>
    <row r="9323" spans="4:4">
      <c r="D9323" s="1"/>
    </row>
    <row r="9324" spans="4:4">
      <c r="D9324" s="1"/>
    </row>
    <row r="9325" spans="4:4">
      <c r="D9325" s="1"/>
    </row>
    <row r="9326" spans="4:4">
      <c r="D9326" s="1"/>
    </row>
    <row r="9327" spans="4:4">
      <c r="D9327" s="1"/>
    </row>
    <row r="9328" spans="4:4">
      <c r="D9328" s="1"/>
    </row>
    <row r="9329" spans="4:4">
      <c r="D9329" s="1"/>
    </row>
    <row r="9330" spans="4:4">
      <c r="D9330" s="1"/>
    </row>
    <row r="9331" spans="4:4">
      <c r="D9331" s="1"/>
    </row>
    <row r="9332" spans="4:4">
      <c r="D9332" s="1"/>
    </row>
    <row r="9333" spans="4:4">
      <c r="D9333" s="1"/>
    </row>
    <row r="9334" spans="4:4">
      <c r="D9334" s="1"/>
    </row>
    <row r="9335" spans="4:4">
      <c r="D9335" s="1"/>
    </row>
    <row r="9336" spans="4:4">
      <c r="D9336" s="1"/>
    </row>
    <row r="9337" spans="4:4">
      <c r="D9337" s="1"/>
    </row>
    <row r="9338" spans="4:4">
      <c r="D9338" s="1"/>
    </row>
    <row r="9339" spans="4:4">
      <c r="D9339" s="1"/>
    </row>
    <row r="9340" spans="4:4">
      <c r="D9340" s="1"/>
    </row>
    <row r="9341" spans="4:4">
      <c r="D9341" s="1"/>
    </row>
    <row r="9342" spans="4:4">
      <c r="D9342" s="1"/>
    </row>
    <row r="9343" spans="4:4">
      <c r="D9343" s="1"/>
    </row>
    <row r="9344" spans="4:4">
      <c r="D9344" s="1"/>
    </row>
    <row r="9345" spans="4:4">
      <c r="D9345" s="1"/>
    </row>
    <row r="9346" spans="4:4">
      <c r="D9346" s="1"/>
    </row>
    <row r="9347" spans="4:4">
      <c r="D9347" s="1"/>
    </row>
    <row r="9348" spans="4:4">
      <c r="D9348" s="1"/>
    </row>
    <row r="9349" spans="4:4">
      <c r="D9349" s="1"/>
    </row>
    <row r="9350" spans="4:4">
      <c r="D9350" s="1"/>
    </row>
    <row r="9351" spans="4:4">
      <c r="D9351" s="1"/>
    </row>
    <row r="9352" spans="4:4">
      <c r="D9352" s="1"/>
    </row>
    <row r="9353" spans="4:4">
      <c r="D9353" s="1"/>
    </row>
    <row r="9354" spans="4:4">
      <c r="D9354" s="1"/>
    </row>
    <row r="9355" spans="4:4">
      <c r="D9355" s="1"/>
    </row>
    <row r="9356" spans="4:4">
      <c r="D9356" s="1"/>
    </row>
    <row r="9357" spans="4:4">
      <c r="D9357" s="1"/>
    </row>
    <row r="9358" spans="4:4">
      <c r="D9358" s="1"/>
    </row>
    <row r="9359" spans="4:4">
      <c r="D9359" s="1"/>
    </row>
    <row r="9360" spans="4:4">
      <c r="D9360" s="1"/>
    </row>
    <row r="9361" spans="4:4">
      <c r="D9361" s="1"/>
    </row>
    <row r="9362" spans="4:4">
      <c r="D9362" s="1"/>
    </row>
    <row r="9363" spans="4:4">
      <c r="D9363" s="1"/>
    </row>
    <row r="9364" spans="4:4">
      <c r="D9364" s="1"/>
    </row>
    <row r="9365" spans="4:4">
      <c r="D9365" s="1"/>
    </row>
    <row r="9366" spans="4:4">
      <c r="D9366" s="1"/>
    </row>
    <row r="9367" spans="4:4">
      <c r="D9367" s="1"/>
    </row>
    <row r="9368" spans="4:4">
      <c r="D9368" s="1"/>
    </row>
    <row r="9369" spans="4:4">
      <c r="D9369" s="1"/>
    </row>
    <row r="9370" spans="4:4">
      <c r="D9370" s="1"/>
    </row>
    <row r="9371" spans="4:4">
      <c r="D9371" s="1"/>
    </row>
    <row r="9372" spans="4:4">
      <c r="D9372" s="1"/>
    </row>
    <row r="9373" spans="4:4">
      <c r="D9373" s="1"/>
    </row>
    <row r="9374" spans="4:4">
      <c r="D9374" s="1"/>
    </row>
    <row r="9375" spans="4:4">
      <c r="D9375" s="1"/>
    </row>
    <row r="9376" spans="4:4">
      <c r="D9376" s="1"/>
    </row>
    <row r="9377" spans="4:4">
      <c r="D9377" s="1"/>
    </row>
    <row r="9378" spans="4:4">
      <c r="D9378" s="1"/>
    </row>
    <row r="9379" spans="4:4">
      <c r="D9379" s="1"/>
    </row>
    <row r="9380" spans="4:4">
      <c r="D9380" s="1"/>
    </row>
    <row r="9381" spans="4:4">
      <c r="D9381" s="1"/>
    </row>
    <row r="9382" spans="4:4">
      <c r="D9382" s="1"/>
    </row>
    <row r="9383" spans="4:4">
      <c r="D9383" s="1"/>
    </row>
    <row r="9384" spans="4:4">
      <c r="D9384" s="1"/>
    </row>
    <row r="9385" spans="4:4">
      <c r="D9385" s="1"/>
    </row>
    <row r="9386" spans="4:4">
      <c r="D9386" s="1"/>
    </row>
    <row r="9387" spans="4:4">
      <c r="D9387" s="1"/>
    </row>
    <row r="9388" spans="4:4">
      <c r="D9388" s="1"/>
    </row>
    <row r="9389" spans="4:4">
      <c r="D9389" s="1"/>
    </row>
    <row r="9390" spans="4:4">
      <c r="D9390" s="1"/>
    </row>
    <row r="9391" spans="4:4">
      <c r="D9391" s="1"/>
    </row>
    <row r="9392" spans="4:4">
      <c r="D9392" s="1"/>
    </row>
    <row r="9393" spans="4:4">
      <c r="D9393" s="1"/>
    </row>
    <row r="9394" spans="4:4">
      <c r="D9394" s="1"/>
    </row>
    <row r="9395" spans="4:4">
      <c r="D9395" s="1"/>
    </row>
    <row r="9396" spans="4:4">
      <c r="D9396" s="1"/>
    </row>
    <row r="9397" spans="4:4">
      <c r="D9397" s="1"/>
    </row>
    <row r="9398" spans="4:4">
      <c r="D9398" s="1"/>
    </row>
    <row r="9399" spans="4:4">
      <c r="D9399" s="1"/>
    </row>
    <row r="9400" spans="4:4">
      <c r="D9400" s="1"/>
    </row>
    <row r="9401" spans="4:4">
      <c r="D9401" s="1"/>
    </row>
    <row r="9402" spans="4:4">
      <c r="D9402" s="1"/>
    </row>
    <row r="9403" spans="4:4">
      <c r="D9403" s="1"/>
    </row>
    <row r="9404" spans="4:4">
      <c r="D9404" s="1"/>
    </row>
    <row r="9405" spans="4:4">
      <c r="D9405" s="1"/>
    </row>
    <row r="9406" spans="4:4">
      <c r="D9406" s="1"/>
    </row>
    <row r="9407" spans="4:4">
      <c r="D9407" s="1"/>
    </row>
    <row r="9408" spans="4:4">
      <c r="D9408" s="1"/>
    </row>
    <row r="9409" spans="4:4">
      <c r="D9409" s="1"/>
    </row>
    <row r="9410" spans="4:4">
      <c r="D9410" s="1"/>
    </row>
    <row r="9411" spans="4:4">
      <c r="D9411" s="1"/>
    </row>
    <row r="9412" spans="4:4">
      <c r="D9412" s="1"/>
    </row>
    <row r="9413" spans="4:4">
      <c r="D9413" s="1"/>
    </row>
    <row r="9414" spans="4:4">
      <c r="D9414" s="1"/>
    </row>
    <row r="9415" spans="4:4">
      <c r="D9415" s="1"/>
    </row>
    <row r="9416" spans="4:4">
      <c r="D9416" s="1"/>
    </row>
    <row r="9417" spans="4:4">
      <c r="D9417" s="1"/>
    </row>
    <row r="9418" spans="4:4">
      <c r="D9418" s="1"/>
    </row>
    <row r="9419" spans="4:4">
      <c r="D9419" s="1"/>
    </row>
    <row r="9420" spans="4:4">
      <c r="D9420" s="1"/>
    </row>
    <row r="9421" spans="4:4">
      <c r="D9421" s="1"/>
    </row>
    <row r="9422" spans="4:4">
      <c r="D9422" s="1"/>
    </row>
    <row r="9423" spans="4:4">
      <c r="D9423" s="1"/>
    </row>
    <row r="9424" spans="4:4">
      <c r="D9424" s="1"/>
    </row>
    <row r="9425" spans="4:4">
      <c r="D9425" s="1"/>
    </row>
    <row r="9426" spans="4:4">
      <c r="D9426" s="1"/>
    </row>
    <row r="9427" spans="4:4">
      <c r="D9427" s="1"/>
    </row>
    <row r="9428" spans="4:4">
      <c r="D9428" s="1"/>
    </row>
    <row r="9429" spans="4:4">
      <c r="D9429" s="1"/>
    </row>
    <row r="9430" spans="4:4">
      <c r="D9430" s="1"/>
    </row>
    <row r="9431" spans="4:4">
      <c r="D9431" s="1"/>
    </row>
    <row r="9432" spans="4:4">
      <c r="D9432" s="1"/>
    </row>
    <row r="9433" spans="4:4">
      <c r="D9433" s="1"/>
    </row>
    <row r="9434" spans="4:4">
      <c r="D9434" s="1"/>
    </row>
    <row r="9435" spans="4:4">
      <c r="D9435" s="1"/>
    </row>
    <row r="9436" spans="4:4">
      <c r="D9436" s="1"/>
    </row>
    <row r="9437" spans="4:4">
      <c r="D9437" s="1"/>
    </row>
    <row r="9438" spans="4:4">
      <c r="D9438" s="1"/>
    </row>
    <row r="9439" spans="4:4">
      <c r="D9439" s="1"/>
    </row>
    <row r="9440" spans="4:4">
      <c r="D9440" s="1"/>
    </row>
    <row r="9441" spans="4:4">
      <c r="D9441" s="1"/>
    </row>
    <row r="9442" spans="4:4">
      <c r="D9442" s="1"/>
    </row>
    <row r="9443" spans="4:4">
      <c r="D9443" s="1"/>
    </row>
    <row r="9444" spans="4:4">
      <c r="D9444" s="1"/>
    </row>
    <row r="9445" spans="4:4">
      <c r="D9445" s="1"/>
    </row>
    <row r="9446" spans="4:4">
      <c r="D9446" s="1"/>
    </row>
    <row r="9447" spans="4:4">
      <c r="D9447" s="1"/>
    </row>
    <row r="9448" spans="4:4">
      <c r="D9448" s="1"/>
    </row>
    <row r="9449" spans="4:4">
      <c r="D9449" s="1"/>
    </row>
    <row r="9450" spans="4:4">
      <c r="D9450" s="1"/>
    </row>
    <row r="9451" spans="4:4">
      <c r="D9451" s="1"/>
    </row>
    <row r="9452" spans="4:4">
      <c r="D9452" s="1"/>
    </row>
    <row r="9453" spans="4:4">
      <c r="D9453" s="1"/>
    </row>
    <row r="9454" spans="4:4">
      <c r="D9454" s="1"/>
    </row>
    <row r="9455" spans="4:4">
      <c r="D9455" s="1"/>
    </row>
    <row r="9456" spans="4:4">
      <c r="D9456" s="1"/>
    </row>
    <row r="9457" spans="4:4">
      <c r="D9457" s="1"/>
    </row>
    <row r="9458" spans="4:4">
      <c r="D9458" s="1"/>
    </row>
    <row r="9459" spans="4:4">
      <c r="D9459" s="1"/>
    </row>
    <row r="9460" spans="4:4">
      <c r="D9460" s="1"/>
    </row>
    <row r="9461" spans="4:4">
      <c r="D9461" s="1"/>
    </row>
    <row r="9462" spans="4:4">
      <c r="D9462" s="1"/>
    </row>
    <row r="9463" spans="4:4">
      <c r="D9463" s="1"/>
    </row>
    <row r="9464" spans="4:4">
      <c r="D9464" s="1"/>
    </row>
    <row r="9465" spans="4:4">
      <c r="D9465" s="1"/>
    </row>
    <row r="9466" spans="4:4">
      <c r="D9466" s="1"/>
    </row>
    <row r="9467" spans="4:4">
      <c r="D9467" s="1"/>
    </row>
    <row r="9468" spans="4:4">
      <c r="D9468" s="1"/>
    </row>
    <row r="9469" spans="4:4">
      <c r="D9469" s="1"/>
    </row>
    <row r="9470" spans="4:4">
      <c r="D9470" s="1"/>
    </row>
    <row r="9471" spans="4:4">
      <c r="D9471" s="1"/>
    </row>
    <row r="9472" spans="4:4">
      <c r="D9472" s="1"/>
    </row>
    <row r="9473" spans="4:4">
      <c r="D9473" s="1"/>
    </row>
    <row r="9474" spans="4:4">
      <c r="D9474" s="1"/>
    </row>
    <row r="9475" spans="4:4">
      <c r="D9475" s="1"/>
    </row>
    <row r="9476" spans="4:4">
      <c r="D9476" s="1"/>
    </row>
    <row r="9477" spans="4:4">
      <c r="D9477" s="1"/>
    </row>
    <row r="9478" spans="4:4">
      <c r="D9478" s="1"/>
    </row>
    <row r="9479" spans="4:4">
      <c r="D9479" s="1"/>
    </row>
    <row r="9480" spans="4:4">
      <c r="D9480" s="1"/>
    </row>
    <row r="9481" spans="4:4">
      <c r="D9481" s="1"/>
    </row>
    <row r="9482" spans="4:4">
      <c r="D9482" s="1"/>
    </row>
    <row r="9483" spans="4:4">
      <c r="D9483" s="1"/>
    </row>
    <row r="9484" spans="4:4">
      <c r="D9484" s="1"/>
    </row>
    <row r="9485" spans="4:4">
      <c r="D9485" s="1"/>
    </row>
    <row r="9486" spans="4:4">
      <c r="D9486" s="1"/>
    </row>
    <row r="9487" spans="4:4">
      <c r="D9487" s="1"/>
    </row>
    <row r="9488" spans="4:4">
      <c r="D9488" s="1"/>
    </row>
    <row r="9489" spans="4:4">
      <c r="D9489" s="1"/>
    </row>
    <row r="9490" spans="4:4">
      <c r="D9490" s="1"/>
    </row>
    <row r="9491" spans="4:4">
      <c r="D9491" s="1"/>
    </row>
    <row r="9492" spans="4:4">
      <c r="D9492" s="1"/>
    </row>
    <row r="9493" spans="4:4">
      <c r="D9493" s="1"/>
    </row>
    <row r="9494" spans="4:4">
      <c r="D9494" s="1"/>
    </row>
    <row r="9495" spans="4:4">
      <c r="D9495" s="1"/>
    </row>
    <row r="9496" spans="4:4">
      <c r="D9496" s="1"/>
    </row>
    <row r="9497" spans="4:4">
      <c r="D9497" s="1"/>
    </row>
    <row r="9498" spans="4:4">
      <c r="D9498" s="1"/>
    </row>
    <row r="9499" spans="4:4">
      <c r="D9499" s="1"/>
    </row>
    <row r="9500" spans="4:4">
      <c r="D9500" s="1"/>
    </row>
    <row r="9501" spans="4:4">
      <c r="D9501" s="1"/>
    </row>
    <row r="9502" spans="4:4">
      <c r="D9502" s="1"/>
    </row>
    <row r="9503" spans="4:4">
      <c r="D9503" s="1"/>
    </row>
    <row r="9504" spans="4:4">
      <c r="D9504" s="1"/>
    </row>
    <row r="9505" spans="4:4">
      <c r="D9505" s="1"/>
    </row>
    <row r="9506" spans="4:4">
      <c r="D9506" s="1"/>
    </row>
    <row r="9507" spans="4:4">
      <c r="D9507" s="1"/>
    </row>
    <row r="9508" spans="4:4">
      <c r="D9508" s="1"/>
    </row>
    <row r="9509" spans="4:4">
      <c r="D9509" s="1"/>
    </row>
    <row r="9510" spans="4:4">
      <c r="D9510" s="1"/>
    </row>
    <row r="9511" spans="4:4">
      <c r="D9511" s="1"/>
    </row>
    <row r="9512" spans="4:4">
      <c r="D9512" s="1"/>
    </row>
    <row r="9513" spans="4:4">
      <c r="D9513" s="1"/>
    </row>
    <row r="9514" spans="4:4">
      <c r="D9514" s="1"/>
    </row>
    <row r="9515" spans="4:4">
      <c r="D9515" s="1"/>
    </row>
    <row r="9516" spans="4:4">
      <c r="D9516" s="1"/>
    </row>
    <row r="9517" spans="4:4">
      <c r="D9517" s="1"/>
    </row>
    <row r="9518" spans="4:4">
      <c r="D9518" s="1"/>
    </row>
    <row r="9519" spans="4:4">
      <c r="D9519" s="1"/>
    </row>
    <row r="9520" spans="4:4">
      <c r="D9520" s="1"/>
    </row>
    <row r="9521" spans="4:4">
      <c r="D9521" s="1"/>
    </row>
    <row r="9522" spans="4:4">
      <c r="D9522" s="1"/>
    </row>
    <row r="9523" spans="4:4">
      <c r="D9523" s="1"/>
    </row>
    <row r="9524" spans="4:4">
      <c r="D9524" s="1"/>
    </row>
    <row r="9525" spans="4:4">
      <c r="D9525" s="1"/>
    </row>
    <row r="9526" spans="4:4">
      <c r="D9526" s="1"/>
    </row>
    <row r="9527" spans="4:4">
      <c r="D9527" s="1"/>
    </row>
    <row r="9528" spans="4:4">
      <c r="D9528" s="1"/>
    </row>
    <row r="9529" spans="4:4">
      <c r="D9529" s="1"/>
    </row>
    <row r="9530" spans="4:4">
      <c r="D9530" s="1"/>
    </row>
    <row r="9531" spans="4:4">
      <c r="D9531" s="1"/>
    </row>
    <row r="9532" spans="4:4">
      <c r="D9532" s="1"/>
    </row>
    <row r="9533" spans="4:4">
      <c r="D9533" s="1"/>
    </row>
    <row r="9534" spans="4:4">
      <c r="D9534" s="1"/>
    </row>
    <row r="9535" spans="4:4">
      <c r="D9535" s="1"/>
    </row>
    <row r="9536" spans="4:4">
      <c r="D9536" s="1"/>
    </row>
    <row r="9537" spans="4:4">
      <c r="D9537" s="1"/>
    </row>
    <row r="9538" spans="4:4">
      <c r="D9538" s="1"/>
    </row>
    <row r="9539" spans="4:4">
      <c r="D9539" s="1"/>
    </row>
    <row r="9540" spans="4:4">
      <c r="D9540" s="1"/>
    </row>
    <row r="9541" spans="4:4">
      <c r="D9541" s="1"/>
    </row>
    <row r="9542" spans="4:4">
      <c r="D9542" s="1"/>
    </row>
    <row r="9543" spans="4:4">
      <c r="D9543" s="1"/>
    </row>
    <row r="9544" spans="4:4">
      <c r="D9544" s="1"/>
    </row>
    <row r="9545" spans="4:4">
      <c r="D9545" s="1"/>
    </row>
    <row r="9546" spans="4:4">
      <c r="D9546" s="1"/>
    </row>
    <row r="9547" spans="4:4">
      <c r="D9547" s="1"/>
    </row>
    <row r="9548" spans="4:4">
      <c r="D9548" s="1"/>
    </row>
    <row r="9549" spans="4:4">
      <c r="D9549" s="1"/>
    </row>
    <row r="9550" spans="4:4">
      <c r="D9550" s="1"/>
    </row>
    <row r="9551" spans="4:4">
      <c r="D9551" s="1"/>
    </row>
    <row r="9552" spans="4:4">
      <c r="D9552" s="1"/>
    </row>
    <row r="9553" spans="4:4">
      <c r="D9553" s="1"/>
    </row>
    <row r="9554" spans="4:4">
      <c r="D9554" s="1"/>
    </row>
    <row r="9555" spans="4:4">
      <c r="D9555" s="1"/>
    </row>
    <row r="9556" spans="4:4">
      <c r="D9556" s="1"/>
    </row>
    <row r="9557" spans="4:4">
      <c r="D9557" s="1"/>
    </row>
    <row r="9558" spans="4:4">
      <c r="D9558" s="1"/>
    </row>
    <row r="9559" spans="4:4">
      <c r="D9559" s="1"/>
    </row>
    <row r="9560" spans="4:4">
      <c r="D9560" s="1"/>
    </row>
    <row r="9561" spans="4:4">
      <c r="D9561" s="1"/>
    </row>
    <row r="9562" spans="4:4">
      <c r="D9562" s="1"/>
    </row>
    <row r="9563" spans="4:4">
      <c r="D9563" s="1"/>
    </row>
    <row r="9564" spans="4:4">
      <c r="D9564" s="1"/>
    </row>
    <row r="9565" spans="4:4">
      <c r="D9565" s="1"/>
    </row>
    <row r="9566" spans="4:4">
      <c r="D9566" s="1"/>
    </row>
    <row r="9567" spans="4:4">
      <c r="D9567" s="1"/>
    </row>
    <row r="9568" spans="4:4">
      <c r="D9568" s="1"/>
    </row>
    <row r="9569" spans="4:4">
      <c r="D9569" s="1"/>
    </row>
    <row r="9570" spans="4:4">
      <c r="D9570" s="1"/>
    </row>
    <row r="9571" spans="4:4">
      <c r="D9571" s="1"/>
    </row>
    <row r="9572" spans="4:4">
      <c r="D9572" s="1"/>
    </row>
    <row r="9573" spans="4:4">
      <c r="D9573" s="1"/>
    </row>
    <row r="9574" spans="4:4">
      <c r="D9574" s="1"/>
    </row>
    <row r="9575" spans="4:4">
      <c r="D9575" s="1"/>
    </row>
    <row r="9576" spans="4:4">
      <c r="D9576" s="1"/>
    </row>
    <row r="9577" spans="4:4">
      <c r="D9577" s="1"/>
    </row>
    <row r="9578" spans="4:4">
      <c r="D9578" s="1"/>
    </row>
    <row r="9579" spans="4:4">
      <c r="D9579" s="1"/>
    </row>
    <row r="9580" spans="4:4">
      <c r="D9580" s="1"/>
    </row>
    <row r="9581" spans="4:4">
      <c r="D9581" s="1"/>
    </row>
    <row r="9582" spans="4:4">
      <c r="D9582" s="1"/>
    </row>
    <row r="9583" spans="4:4">
      <c r="D9583" s="1"/>
    </row>
    <row r="9584" spans="4:4">
      <c r="D9584" s="1"/>
    </row>
    <row r="9585" spans="4:4">
      <c r="D9585" s="1"/>
    </row>
    <row r="9586" spans="4:4">
      <c r="D9586" s="1"/>
    </row>
    <row r="9587" spans="4:4">
      <c r="D9587" s="1"/>
    </row>
    <row r="9588" spans="4:4">
      <c r="D9588" s="1"/>
    </row>
    <row r="9589" spans="4:4">
      <c r="D9589" s="1"/>
    </row>
    <row r="9590" spans="4:4">
      <c r="D9590" s="1"/>
    </row>
    <row r="9591" spans="4:4">
      <c r="D9591" s="1"/>
    </row>
    <row r="9592" spans="4:4">
      <c r="D9592" s="1"/>
    </row>
    <row r="9593" spans="4:4">
      <c r="D9593" s="1"/>
    </row>
    <row r="9594" spans="4:4">
      <c r="D9594" s="1"/>
    </row>
    <row r="9595" spans="4:4">
      <c r="D9595" s="1"/>
    </row>
    <row r="9596" spans="4:4">
      <c r="D9596" s="1"/>
    </row>
    <row r="9597" spans="4:4">
      <c r="D9597" s="1"/>
    </row>
    <row r="9598" spans="4:4">
      <c r="D9598" s="1"/>
    </row>
    <row r="9599" spans="4:4">
      <c r="D9599" s="1"/>
    </row>
    <row r="9600" spans="4:4">
      <c r="D9600" s="1"/>
    </row>
    <row r="9601" spans="4:4">
      <c r="D9601" s="1"/>
    </row>
    <row r="9602" spans="4:4">
      <c r="D9602" s="1"/>
    </row>
    <row r="9603" spans="4:4">
      <c r="D9603" s="1"/>
    </row>
    <row r="9604" spans="4:4">
      <c r="D9604" s="1"/>
    </row>
    <row r="9605" spans="4:4">
      <c r="D9605" s="1"/>
    </row>
    <row r="9606" spans="4:4">
      <c r="D9606" s="1"/>
    </row>
    <row r="9607" spans="4:4">
      <c r="D9607" s="1"/>
    </row>
    <row r="9608" spans="4:4">
      <c r="D9608" s="1"/>
    </row>
    <row r="9609" spans="4:4">
      <c r="D9609" s="1"/>
    </row>
    <row r="9610" spans="4:4">
      <c r="D9610" s="1"/>
    </row>
    <row r="9611" spans="4:4">
      <c r="D9611" s="1"/>
    </row>
    <row r="9612" spans="4:4">
      <c r="D9612" s="1"/>
    </row>
    <row r="9613" spans="4:4">
      <c r="D9613" s="1"/>
    </row>
    <row r="9614" spans="4:4">
      <c r="D9614" s="1"/>
    </row>
    <row r="9615" spans="4:4">
      <c r="D9615" s="1"/>
    </row>
    <row r="9616" spans="4:4">
      <c r="D9616" s="1"/>
    </row>
    <row r="9617" spans="4:4">
      <c r="D9617" s="1"/>
    </row>
    <row r="9618" spans="4:4">
      <c r="D9618" s="1"/>
    </row>
    <row r="9619" spans="4:4">
      <c r="D9619" s="1"/>
    </row>
    <row r="9620" spans="4:4">
      <c r="D9620" s="1"/>
    </row>
    <row r="9621" spans="4:4">
      <c r="D9621" s="1"/>
    </row>
    <row r="9622" spans="4:4">
      <c r="D9622" s="1"/>
    </row>
    <row r="9623" spans="4:4">
      <c r="D9623" s="1"/>
    </row>
    <row r="9624" spans="4:4">
      <c r="D9624" s="1"/>
    </row>
    <row r="9625" spans="4:4">
      <c r="D9625" s="1"/>
    </row>
    <row r="9626" spans="4:4">
      <c r="D9626" s="1"/>
    </row>
    <row r="9627" spans="4:4">
      <c r="D9627" s="1"/>
    </row>
    <row r="9628" spans="4:4">
      <c r="D9628" s="1"/>
    </row>
    <row r="9629" spans="4:4">
      <c r="D9629" s="1"/>
    </row>
    <row r="9630" spans="4:4">
      <c r="D9630" s="1"/>
    </row>
    <row r="9631" spans="4:4">
      <c r="D9631" s="1"/>
    </row>
    <row r="9632" spans="4:4">
      <c r="D9632" s="1"/>
    </row>
    <row r="9633" spans="4:4">
      <c r="D9633" s="1"/>
    </row>
    <row r="9634" spans="4:4">
      <c r="D9634" s="1"/>
    </row>
    <row r="9635" spans="4:4">
      <c r="D9635" s="1"/>
    </row>
    <row r="9636" spans="4:4">
      <c r="D9636" s="1"/>
    </row>
    <row r="9637" spans="4:4">
      <c r="D9637" s="1"/>
    </row>
    <row r="9638" spans="4:4">
      <c r="D9638" s="1"/>
    </row>
    <row r="9639" spans="4:4">
      <c r="D9639" s="1"/>
    </row>
    <row r="9640" spans="4:4">
      <c r="D9640" s="1"/>
    </row>
    <row r="9641" spans="4:4">
      <c r="D9641" s="1"/>
    </row>
    <row r="9642" spans="4:4">
      <c r="D9642" s="1"/>
    </row>
    <row r="9643" spans="4:4">
      <c r="D9643" s="1"/>
    </row>
    <row r="9644" spans="4:4">
      <c r="D9644" s="1"/>
    </row>
    <row r="9645" spans="4:4">
      <c r="D9645" s="1"/>
    </row>
    <row r="9646" spans="4:4">
      <c r="D9646" s="1"/>
    </row>
    <row r="9647" spans="4:4">
      <c r="D9647" s="1"/>
    </row>
    <row r="9648" spans="4:4">
      <c r="D9648" s="1"/>
    </row>
    <row r="9649" spans="4:4">
      <c r="D9649" s="1"/>
    </row>
    <row r="9650" spans="4:4">
      <c r="D9650" s="1"/>
    </row>
    <row r="9651" spans="4:4">
      <c r="D9651" s="1"/>
    </row>
    <row r="9652" spans="4:4">
      <c r="D9652" s="1"/>
    </row>
    <row r="9653" spans="4:4">
      <c r="D9653" s="1"/>
    </row>
    <row r="9654" spans="4:4">
      <c r="D9654" s="1"/>
    </row>
    <row r="9655" spans="4:4">
      <c r="D9655" s="1"/>
    </row>
    <row r="9656" spans="4:4">
      <c r="D9656" s="1"/>
    </row>
    <row r="9657" spans="4:4">
      <c r="D9657" s="1"/>
    </row>
    <row r="9658" spans="4:4">
      <c r="D9658" s="1"/>
    </row>
    <row r="9659" spans="4:4">
      <c r="D9659" s="1"/>
    </row>
    <row r="9660" spans="4:4">
      <c r="D9660" s="1"/>
    </row>
    <row r="9661" spans="4:4">
      <c r="D9661" s="1"/>
    </row>
    <row r="9662" spans="4:4">
      <c r="D9662" s="1"/>
    </row>
    <row r="9663" spans="4:4">
      <c r="D9663" s="1"/>
    </row>
    <row r="9664" spans="4:4">
      <c r="D9664" s="1"/>
    </row>
    <row r="9665" spans="4:4">
      <c r="D9665" s="1"/>
    </row>
    <row r="9666" spans="4:4">
      <c r="D9666" s="1"/>
    </row>
    <row r="9667" spans="4:4">
      <c r="D9667" s="1"/>
    </row>
    <row r="9668" spans="4:4">
      <c r="D9668" s="1"/>
    </row>
    <row r="9669" spans="4:4">
      <c r="D9669" s="1"/>
    </row>
    <row r="9670" spans="4:4">
      <c r="D9670" s="1"/>
    </row>
    <row r="9671" spans="4:4">
      <c r="D9671" s="1"/>
    </row>
    <row r="9672" spans="4:4">
      <c r="D9672" s="1"/>
    </row>
    <row r="9673" spans="4:4">
      <c r="D9673" s="1"/>
    </row>
    <row r="9674" spans="4:4">
      <c r="D9674" s="1"/>
    </row>
    <row r="9675" spans="4:4">
      <c r="D9675" s="1"/>
    </row>
    <row r="9676" spans="4:4">
      <c r="D9676" s="1"/>
    </row>
    <row r="9677" spans="4:4">
      <c r="D9677" s="1"/>
    </row>
    <row r="9678" spans="4:4">
      <c r="D9678" s="1"/>
    </row>
    <row r="9679" spans="4:4">
      <c r="D9679" s="1"/>
    </row>
    <row r="9680" spans="4:4">
      <c r="D9680" s="1"/>
    </row>
    <row r="9681" spans="4:4">
      <c r="D9681" s="1"/>
    </row>
    <row r="9682" spans="4:4">
      <c r="D9682" s="1"/>
    </row>
    <row r="9683" spans="4:4">
      <c r="D9683" s="1"/>
    </row>
    <row r="9684" spans="4:4">
      <c r="D9684" s="1"/>
    </row>
    <row r="9685" spans="4:4">
      <c r="D9685" s="1"/>
    </row>
    <row r="9686" spans="4:4">
      <c r="D9686" s="1"/>
    </row>
    <row r="9687" spans="4:4">
      <c r="D9687" s="1"/>
    </row>
    <row r="9688" spans="4:4">
      <c r="D9688" s="1"/>
    </row>
    <row r="9689" spans="4:4">
      <c r="D9689" s="1"/>
    </row>
    <row r="9690" spans="4:4">
      <c r="D9690" s="1"/>
    </row>
    <row r="9691" spans="4:4">
      <c r="D9691" s="1"/>
    </row>
    <row r="9692" spans="4:4">
      <c r="D9692" s="1"/>
    </row>
    <row r="9693" spans="4:4">
      <c r="D9693" s="1"/>
    </row>
    <row r="9694" spans="4:4">
      <c r="D9694" s="1"/>
    </row>
    <row r="9695" spans="4:4">
      <c r="D9695" s="1"/>
    </row>
    <row r="9696" spans="4:4">
      <c r="D9696" s="1"/>
    </row>
    <row r="9697" spans="4:4">
      <c r="D9697" s="1"/>
    </row>
    <row r="9698" spans="4:4">
      <c r="D9698" s="1"/>
    </row>
    <row r="9699" spans="4:4">
      <c r="D9699" s="1"/>
    </row>
    <row r="9700" spans="4:4">
      <c r="D9700" s="1"/>
    </row>
    <row r="9701" spans="4:4">
      <c r="D9701" s="1"/>
    </row>
    <row r="9702" spans="4:4">
      <c r="D9702" s="1"/>
    </row>
    <row r="9703" spans="4:4">
      <c r="D9703" s="1"/>
    </row>
    <row r="9704" spans="4:4">
      <c r="D9704" s="1"/>
    </row>
    <row r="9705" spans="4:4">
      <c r="D9705" s="1"/>
    </row>
    <row r="9706" spans="4:4">
      <c r="D9706" s="1"/>
    </row>
    <row r="9707" spans="4:4">
      <c r="D9707" s="1"/>
    </row>
    <row r="9708" spans="4:4">
      <c r="D9708" s="1"/>
    </row>
    <row r="9709" spans="4:4">
      <c r="D9709" s="1"/>
    </row>
    <row r="9710" spans="4:4">
      <c r="D9710" s="1"/>
    </row>
    <row r="9711" spans="4:4">
      <c r="D9711" s="1"/>
    </row>
    <row r="9712" spans="4:4">
      <c r="D9712" s="1"/>
    </row>
    <row r="9713" spans="4:4">
      <c r="D9713" s="1"/>
    </row>
    <row r="9714" spans="4:4">
      <c r="D9714" s="1"/>
    </row>
    <row r="9715" spans="4:4">
      <c r="D9715" s="1"/>
    </row>
    <row r="9716" spans="4:4">
      <c r="D9716" s="1"/>
    </row>
    <row r="9717" spans="4:4">
      <c r="D9717" s="1"/>
    </row>
    <row r="9718" spans="4:4">
      <c r="D9718" s="1"/>
    </row>
    <row r="9719" spans="4:4">
      <c r="D9719" s="1"/>
    </row>
    <row r="9720" spans="4:4">
      <c r="D9720" s="1"/>
    </row>
    <row r="9721" spans="4:4">
      <c r="D9721" s="1"/>
    </row>
    <row r="9722" spans="4:4">
      <c r="D9722" s="1"/>
    </row>
    <row r="9723" spans="4:4">
      <c r="D9723" s="1"/>
    </row>
    <row r="9724" spans="4:4">
      <c r="D9724" s="1"/>
    </row>
    <row r="9725" spans="4:4">
      <c r="D9725" s="1"/>
    </row>
    <row r="9726" spans="4:4">
      <c r="D9726" s="1"/>
    </row>
    <row r="9727" spans="4:4">
      <c r="D9727" s="1"/>
    </row>
    <row r="9728" spans="4:4">
      <c r="D9728" s="1"/>
    </row>
    <row r="9729" spans="4:4">
      <c r="D9729" s="1"/>
    </row>
    <row r="9730" spans="4:4">
      <c r="D9730" s="1"/>
    </row>
    <row r="9731" spans="4:4">
      <c r="D9731" s="1"/>
    </row>
    <row r="9732" spans="4:4">
      <c r="D9732" s="1"/>
    </row>
    <row r="9733" spans="4:4">
      <c r="D9733" s="1"/>
    </row>
    <row r="9734" spans="4:4">
      <c r="D9734" s="1"/>
    </row>
    <row r="9735" spans="4:4">
      <c r="D9735" s="1"/>
    </row>
    <row r="9736" spans="4:4">
      <c r="D9736" s="1"/>
    </row>
    <row r="9737" spans="4:4">
      <c r="D9737" s="1"/>
    </row>
    <row r="9738" spans="4:4">
      <c r="D9738" s="1"/>
    </row>
    <row r="9739" spans="4:4">
      <c r="D9739" s="1"/>
    </row>
    <row r="9740" spans="4:4">
      <c r="D9740" s="1"/>
    </row>
    <row r="9741" spans="4:4">
      <c r="D9741" s="1"/>
    </row>
    <row r="9742" spans="4:4">
      <c r="D9742" s="1"/>
    </row>
    <row r="9743" spans="4:4">
      <c r="D9743" s="1"/>
    </row>
    <row r="9744" spans="4:4">
      <c r="D9744" s="1"/>
    </row>
    <row r="9745" spans="4:4">
      <c r="D9745" s="1"/>
    </row>
    <row r="9746" spans="4:4">
      <c r="D9746" s="1"/>
    </row>
    <row r="9747" spans="4:4">
      <c r="D9747" s="1"/>
    </row>
    <row r="9748" spans="4:4">
      <c r="D9748" s="1"/>
    </row>
    <row r="9749" spans="4:4">
      <c r="D9749" s="1"/>
    </row>
    <row r="9750" spans="4:4">
      <c r="D9750" s="1"/>
    </row>
    <row r="9751" spans="4:4">
      <c r="D9751" s="1"/>
    </row>
    <row r="9752" spans="4:4">
      <c r="D9752" s="1"/>
    </row>
    <row r="9753" spans="4:4">
      <c r="D9753" s="1"/>
    </row>
    <row r="9754" spans="4:4">
      <c r="D9754" s="1"/>
    </row>
    <row r="9755" spans="4:4">
      <c r="D9755" s="1"/>
    </row>
    <row r="9756" spans="4:4">
      <c r="D9756" s="1"/>
    </row>
    <row r="9757" spans="4:4">
      <c r="D9757" s="1"/>
    </row>
    <row r="9758" spans="4:4">
      <c r="D9758" s="1"/>
    </row>
    <row r="9759" spans="4:4">
      <c r="D9759" s="1"/>
    </row>
    <row r="9760" spans="4:4">
      <c r="D9760" s="1"/>
    </row>
    <row r="9761" spans="4:4">
      <c r="D9761" s="1"/>
    </row>
    <row r="9762" spans="4:4">
      <c r="D9762" s="1"/>
    </row>
    <row r="9763" spans="4:4">
      <c r="D9763" s="1"/>
    </row>
    <row r="9764" spans="4:4">
      <c r="D9764" s="1"/>
    </row>
    <row r="9765" spans="4:4">
      <c r="D9765" s="1"/>
    </row>
    <row r="9766" spans="4:4">
      <c r="D9766" s="1"/>
    </row>
    <row r="9767" spans="4:4">
      <c r="D9767" s="1"/>
    </row>
    <row r="9768" spans="4:4">
      <c r="D9768" s="1"/>
    </row>
    <row r="9769" spans="4:4">
      <c r="D9769" s="1"/>
    </row>
    <row r="9770" spans="4:4">
      <c r="D9770" s="1"/>
    </row>
    <row r="9771" spans="4:4">
      <c r="D9771" s="1"/>
    </row>
    <row r="9772" spans="4:4">
      <c r="D9772" s="1"/>
    </row>
    <row r="9773" spans="4:4">
      <c r="D9773" s="1"/>
    </row>
    <row r="9774" spans="4:4">
      <c r="D9774" s="1"/>
    </row>
    <row r="9775" spans="4:4">
      <c r="D9775" s="1"/>
    </row>
    <row r="9776" spans="4:4">
      <c r="D9776" s="1"/>
    </row>
    <row r="9777" spans="4:4">
      <c r="D9777" s="1"/>
    </row>
    <row r="9778" spans="4:4">
      <c r="D9778" s="1"/>
    </row>
    <row r="9779" spans="4:4">
      <c r="D9779" s="1"/>
    </row>
    <row r="9780" spans="4:4">
      <c r="D9780" s="1"/>
    </row>
    <row r="9781" spans="4:4">
      <c r="D9781" s="1"/>
    </row>
    <row r="9782" spans="4:4">
      <c r="D9782" s="1"/>
    </row>
    <row r="9783" spans="4:4">
      <c r="D9783" s="1"/>
    </row>
    <row r="9784" spans="4:4">
      <c r="D9784" s="1"/>
    </row>
    <row r="9785" spans="4:4">
      <c r="D9785" s="1"/>
    </row>
    <row r="9786" spans="4:4">
      <c r="D9786" s="1"/>
    </row>
    <row r="9787" spans="4:4">
      <c r="D9787" s="1"/>
    </row>
    <row r="9788" spans="4:4">
      <c r="D9788" s="1"/>
    </row>
    <row r="9789" spans="4:4">
      <c r="D9789" s="1"/>
    </row>
    <row r="9790" spans="4:4">
      <c r="D9790" s="1"/>
    </row>
    <row r="9791" spans="4:4">
      <c r="D9791" s="1"/>
    </row>
    <row r="9792" spans="4:4">
      <c r="D9792" s="1"/>
    </row>
    <row r="9793" spans="4:4">
      <c r="D9793" s="1"/>
    </row>
    <row r="9794" spans="4:4">
      <c r="D9794" s="1"/>
    </row>
    <row r="9795" spans="4:4">
      <c r="D9795" s="1"/>
    </row>
    <row r="9796" spans="4:4">
      <c r="D9796" s="1"/>
    </row>
    <row r="9797" spans="4:4">
      <c r="D9797" s="1"/>
    </row>
    <row r="9798" spans="4:4">
      <c r="D9798" s="1"/>
    </row>
    <row r="9799" spans="4:4">
      <c r="D9799" s="1"/>
    </row>
    <row r="9800" spans="4:4">
      <c r="D9800" s="1"/>
    </row>
    <row r="9801" spans="4:4">
      <c r="D9801" s="1"/>
    </row>
    <row r="9802" spans="4:4">
      <c r="D9802" s="1"/>
    </row>
    <row r="9803" spans="4:4">
      <c r="D9803" s="1"/>
    </row>
    <row r="9804" spans="4:4">
      <c r="D9804" s="1"/>
    </row>
    <row r="9805" spans="4:4">
      <c r="D9805" s="1"/>
    </row>
    <row r="9806" spans="4:4">
      <c r="D9806" s="1"/>
    </row>
    <row r="9807" spans="4:4">
      <c r="D9807" s="1"/>
    </row>
    <row r="9808" spans="4:4">
      <c r="D9808" s="1"/>
    </row>
    <row r="9809" spans="4:4">
      <c r="D9809" s="1"/>
    </row>
    <row r="9810" spans="4:4">
      <c r="D9810" s="1"/>
    </row>
    <row r="9811" spans="4:4">
      <c r="D9811" s="1"/>
    </row>
    <row r="9812" spans="4:4">
      <c r="D9812" s="1"/>
    </row>
    <row r="9813" spans="4:4">
      <c r="D9813" s="1"/>
    </row>
    <row r="9814" spans="4:4">
      <c r="D9814" s="1"/>
    </row>
    <row r="9815" spans="4:4">
      <c r="D9815" s="1"/>
    </row>
    <row r="9816" spans="4:4">
      <c r="D9816" s="1"/>
    </row>
    <row r="9817" spans="4:4">
      <c r="D9817" s="1"/>
    </row>
    <row r="9818" spans="4:4">
      <c r="D9818" s="1"/>
    </row>
    <row r="9819" spans="4:4">
      <c r="D9819" s="1"/>
    </row>
    <row r="9820" spans="4:4">
      <c r="D9820" s="1"/>
    </row>
    <row r="9821" spans="4:4">
      <c r="D9821" s="1"/>
    </row>
    <row r="9822" spans="4:4">
      <c r="D9822" s="1"/>
    </row>
    <row r="9823" spans="4:4">
      <c r="D9823" s="1"/>
    </row>
    <row r="9824" spans="4:4">
      <c r="D9824" s="1"/>
    </row>
    <row r="9825" spans="4:4">
      <c r="D9825" s="1"/>
    </row>
    <row r="9826" spans="4:4">
      <c r="D9826" s="1"/>
    </row>
    <row r="9827" spans="4:4">
      <c r="D9827" s="1"/>
    </row>
    <row r="9828" spans="4:4">
      <c r="D9828" s="1"/>
    </row>
    <row r="9829" spans="4:4">
      <c r="D9829" s="1"/>
    </row>
    <row r="9830" spans="4:4">
      <c r="D9830" s="1"/>
    </row>
    <row r="9831" spans="4:4">
      <c r="D9831" s="1"/>
    </row>
    <row r="9832" spans="4:4">
      <c r="D9832" s="1"/>
    </row>
    <row r="9833" spans="4:4">
      <c r="D9833" s="1"/>
    </row>
    <row r="9834" spans="4:4">
      <c r="D9834" s="1"/>
    </row>
    <row r="9835" spans="4:4">
      <c r="D9835" s="1"/>
    </row>
    <row r="9836" spans="4:4">
      <c r="D9836" s="1"/>
    </row>
    <row r="9837" spans="4:4">
      <c r="D9837" s="1"/>
    </row>
    <row r="9838" spans="4:4">
      <c r="D9838" s="1"/>
    </row>
    <row r="9839" spans="4:4">
      <c r="D9839" s="1"/>
    </row>
    <row r="9840" spans="4:4">
      <c r="D9840" s="1"/>
    </row>
    <row r="9841" spans="4:4">
      <c r="D9841" s="1"/>
    </row>
    <row r="9842" spans="4:4">
      <c r="D9842" s="1"/>
    </row>
    <row r="9843" spans="4:4">
      <c r="D9843" s="1"/>
    </row>
    <row r="9844" spans="4:4">
      <c r="D9844" s="1"/>
    </row>
    <row r="9845" spans="4:4">
      <c r="D9845" s="1"/>
    </row>
    <row r="9846" spans="4:4">
      <c r="D9846" s="1"/>
    </row>
    <row r="9847" spans="4:4">
      <c r="D9847" s="1"/>
    </row>
    <row r="9848" spans="4:4">
      <c r="D9848" s="1"/>
    </row>
    <row r="9849" spans="4:4">
      <c r="D9849" s="1"/>
    </row>
    <row r="9850" spans="4:4">
      <c r="D9850" s="1"/>
    </row>
    <row r="9851" spans="4:4">
      <c r="D9851" s="1"/>
    </row>
    <row r="9852" spans="4:4">
      <c r="D9852" s="1"/>
    </row>
    <row r="9853" spans="4:4">
      <c r="D9853" s="1"/>
    </row>
    <row r="9854" spans="4:4">
      <c r="D9854" s="1"/>
    </row>
    <row r="9855" spans="4:4">
      <c r="D9855" s="1"/>
    </row>
    <row r="9856" spans="4:4">
      <c r="D9856" s="1"/>
    </row>
    <row r="9857" spans="4:4">
      <c r="D9857" s="1"/>
    </row>
    <row r="9858" spans="4:4">
      <c r="D9858" s="1"/>
    </row>
    <row r="9859" spans="4:4">
      <c r="D9859" s="1"/>
    </row>
    <row r="9860" spans="4:4">
      <c r="D9860" s="1"/>
    </row>
    <row r="9861" spans="4:4">
      <c r="D9861" s="1"/>
    </row>
    <row r="9862" spans="4:4">
      <c r="D9862" s="1"/>
    </row>
    <row r="9863" spans="4:4">
      <c r="D9863" s="1"/>
    </row>
    <row r="9864" spans="4:4">
      <c r="D9864" s="1"/>
    </row>
    <row r="9865" spans="4:4">
      <c r="D9865" s="1"/>
    </row>
    <row r="9866" spans="4:4">
      <c r="D9866" s="1"/>
    </row>
    <row r="9867" spans="4:4">
      <c r="D9867" s="1"/>
    </row>
    <row r="9868" spans="4:4">
      <c r="D9868" s="1"/>
    </row>
    <row r="9869" spans="4:4">
      <c r="D9869" s="1"/>
    </row>
    <row r="9870" spans="4:4">
      <c r="D9870" s="1"/>
    </row>
    <row r="9871" spans="4:4">
      <c r="D9871" s="1"/>
    </row>
    <row r="9872" spans="4:4">
      <c r="D9872" s="1"/>
    </row>
    <row r="9873" spans="4:4">
      <c r="D9873" s="1"/>
    </row>
    <row r="9874" spans="4:4">
      <c r="D9874" s="1"/>
    </row>
    <row r="9875" spans="4:4">
      <c r="D9875" s="1"/>
    </row>
    <row r="9876" spans="4:4">
      <c r="D9876" s="1"/>
    </row>
    <row r="9877" spans="4:4">
      <c r="D9877" s="1"/>
    </row>
    <row r="9878" spans="4:4">
      <c r="D9878" s="1"/>
    </row>
    <row r="9879" spans="4:4">
      <c r="D9879" s="1"/>
    </row>
    <row r="9880" spans="4:4">
      <c r="D9880" s="1"/>
    </row>
    <row r="9881" spans="4:4">
      <c r="D9881" s="1"/>
    </row>
    <row r="9882" spans="4:4">
      <c r="D9882" s="1"/>
    </row>
    <row r="9883" spans="4:4">
      <c r="D9883" s="1"/>
    </row>
    <row r="9884" spans="4:4">
      <c r="D9884" s="1"/>
    </row>
    <row r="9885" spans="4:4">
      <c r="D9885" s="1"/>
    </row>
    <row r="9886" spans="4:4">
      <c r="D9886" s="1"/>
    </row>
    <row r="9887" spans="4:4">
      <c r="D9887" s="1"/>
    </row>
    <row r="9888" spans="4:4">
      <c r="D9888" s="1"/>
    </row>
    <row r="9889" spans="4:4">
      <c r="D9889" s="1"/>
    </row>
    <row r="9890" spans="4:4">
      <c r="D9890" s="1"/>
    </row>
    <row r="9891" spans="4:4">
      <c r="D9891" s="1"/>
    </row>
    <row r="9892" spans="4:4">
      <c r="D9892" s="1"/>
    </row>
    <row r="9893" spans="4:4">
      <c r="D9893" s="1"/>
    </row>
    <row r="9894" spans="4:4">
      <c r="D9894" s="1"/>
    </row>
    <row r="9895" spans="4:4">
      <c r="D9895" s="1"/>
    </row>
    <row r="9896" spans="4:4">
      <c r="D9896" s="1"/>
    </row>
    <row r="9897" spans="4:4">
      <c r="D9897" s="1"/>
    </row>
    <row r="9898" spans="4:4">
      <c r="D9898" s="1"/>
    </row>
    <row r="9899" spans="4:4">
      <c r="D9899" s="1"/>
    </row>
    <row r="9900" spans="4:4">
      <c r="D9900" s="1"/>
    </row>
    <row r="9901" spans="4:4">
      <c r="D9901" s="1"/>
    </row>
    <row r="9902" spans="4:4">
      <c r="D9902" s="1"/>
    </row>
    <row r="9903" spans="4:4">
      <c r="D9903" s="1"/>
    </row>
    <row r="9904" spans="4:4">
      <c r="D9904" s="1"/>
    </row>
    <row r="9905" spans="4:4">
      <c r="D9905" s="1"/>
    </row>
    <row r="9906" spans="4:4">
      <c r="D9906" s="1"/>
    </row>
    <row r="9907" spans="4:4">
      <c r="D9907" s="1"/>
    </row>
    <row r="9908" spans="4:4">
      <c r="D9908" s="1"/>
    </row>
    <row r="9909" spans="4:4">
      <c r="D9909" s="1"/>
    </row>
    <row r="9910" spans="4:4">
      <c r="D9910" s="1"/>
    </row>
    <row r="9911" spans="4:4">
      <c r="D9911" s="1"/>
    </row>
    <row r="9912" spans="4:4">
      <c r="D9912" s="1"/>
    </row>
    <row r="9913" spans="4:4">
      <c r="D9913" s="1"/>
    </row>
    <row r="9914" spans="4:4">
      <c r="D9914" s="1"/>
    </row>
    <row r="9915" spans="4:4">
      <c r="D9915" s="1"/>
    </row>
    <row r="9916" spans="4:4">
      <c r="D9916" s="1"/>
    </row>
    <row r="9917" spans="4:4">
      <c r="D9917" s="1"/>
    </row>
    <row r="9918" spans="4:4">
      <c r="D9918" s="1"/>
    </row>
    <row r="9919" spans="4:4">
      <c r="D9919" s="1"/>
    </row>
    <row r="9920" spans="4:4">
      <c r="D9920" s="1"/>
    </row>
    <row r="9921" spans="4:4">
      <c r="D9921" s="1"/>
    </row>
    <row r="9922" spans="4:4">
      <c r="D9922" s="1"/>
    </row>
    <row r="9923" spans="4:4">
      <c r="D9923" s="1"/>
    </row>
    <row r="9924" spans="4:4">
      <c r="D9924" s="1"/>
    </row>
    <row r="9925" spans="4:4">
      <c r="D9925" s="1"/>
    </row>
    <row r="9926" spans="4:4">
      <c r="D9926" s="1"/>
    </row>
    <row r="9927" spans="4:4">
      <c r="D9927" s="1"/>
    </row>
    <row r="9928" spans="4:4">
      <c r="D9928" s="1"/>
    </row>
    <row r="9929" spans="4:4">
      <c r="D9929" s="1"/>
    </row>
    <row r="9930" spans="4:4">
      <c r="D9930" s="1"/>
    </row>
    <row r="9931" spans="4:4">
      <c r="D9931" s="1"/>
    </row>
    <row r="9932" spans="4:4">
      <c r="D9932" s="1"/>
    </row>
    <row r="9933" spans="4:4">
      <c r="D9933" s="1"/>
    </row>
    <row r="9934" spans="4:4">
      <c r="D9934" s="1"/>
    </row>
    <row r="9935" spans="4:4">
      <c r="D9935" s="1"/>
    </row>
    <row r="9936" spans="4:4">
      <c r="D9936" s="1"/>
    </row>
    <row r="9937" spans="4:4">
      <c r="D9937" s="1"/>
    </row>
    <row r="9938" spans="4:4">
      <c r="D9938" s="1"/>
    </row>
    <row r="9939" spans="4:4">
      <c r="D9939" s="1"/>
    </row>
    <row r="9940" spans="4:4">
      <c r="D9940" s="1"/>
    </row>
    <row r="9941" spans="4:4">
      <c r="D9941" s="1"/>
    </row>
    <row r="9942" spans="4:4">
      <c r="D9942" s="1"/>
    </row>
    <row r="9943" spans="4:4">
      <c r="D9943" s="1"/>
    </row>
    <row r="9944" spans="4:4">
      <c r="D9944" s="1"/>
    </row>
    <row r="9945" spans="4:4">
      <c r="D9945" s="1"/>
    </row>
    <row r="9946" spans="4:4">
      <c r="D9946" s="1"/>
    </row>
    <row r="9947" spans="4:4">
      <c r="D9947" s="1"/>
    </row>
    <row r="9948" spans="4:4">
      <c r="D9948" s="1"/>
    </row>
    <row r="9949" spans="4:4">
      <c r="D9949" s="1"/>
    </row>
    <row r="9950" spans="4:4">
      <c r="D9950" s="1"/>
    </row>
    <row r="9951" spans="4:4">
      <c r="D9951" s="1"/>
    </row>
    <row r="9952" spans="4:4">
      <c r="D9952" s="1"/>
    </row>
    <row r="9953" spans="4:4">
      <c r="D9953" s="1"/>
    </row>
    <row r="9954" spans="4:4">
      <c r="D9954" s="1"/>
    </row>
    <row r="9955" spans="4:4">
      <c r="D9955" s="1"/>
    </row>
    <row r="9956" spans="4:4">
      <c r="D9956" s="1"/>
    </row>
    <row r="9957" spans="4:4">
      <c r="D9957" s="1"/>
    </row>
    <row r="9958" spans="4:4">
      <c r="D9958" s="1"/>
    </row>
    <row r="9959" spans="4:4">
      <c r="D9959" s="1"/>
    </row>
    <row r="9960" spans="4:4">
      <c r="D9960" s="1"/>
    </row>
    <row r="9961" spans="4:4">
      <c r="D9961" s="1"/>
    </row>
    <row r="9962" spans="4:4">
      <c r="D9962" s="1"/>
    </row>
    <row r="9963" spans="4:4">
      <c r="D9963" s="1"/>
    </row>
    <row r="9964" spans="4:4">
      <c r="D9964" s="1"/>
    </row>
    <row r="9965" spans="4:4">
      <c r="D9965" s="1"/>
    </row>
    <row r="9966" spans="4:4">
      <c r="D9966" s="1"/>
    </row>
    <row r="9967" spans="4:4">
      <c r="D9967" s="1"/>
    </row>
    <row r="9968" spans="4:4">
      <c r="D9968" s="1"/>
    </row>
    <row r="9969" spans="4:4">
      <c r="D9969" s="1"/>
    </row>
    <row r="9970" spans="4:4">
      <c r="D9970" s="1"/>
    </row>
    <row r="9971" spans="4:4">
      <c r="D9971" s="1"/>
    </row>
    <row r="9972" spans="4:4">
      <c r="D9972" s="1"/>
    </row>
    <row r="9973" spans="4:4">
      <c r="D9973" s="1"/>
    </row>
    <row r="9974" spans="4:4">
      <c r="D9974" s="1"/>
    </row>
    <row r="9975" spans="4:4">
      <c r="D9975" s="1"/>
    </row>
    <row r="9976" spans="4:4">
      <c r="D9976" s="1"/>
    </row>
    <row r="9977" spans="4:4">
      <c r="D9977" s="1"/>
    </row>
    <row r="9978" spans="4:4">
      <c r="D9978" s="1"/>
    </row>
    <row r="9979" spans="4:4">
      <c r="D9979" s="1"/>
    </row>
    <row r="9980" spans="4:4">
      <c r="D9980" s="1"/>
    </row>
    <row r="9981" spans="4:4">
      <c r="D9981" s="1"/>
    </row>
    <row r="9982" spans="4:4">
      <c r="D9982" s="1"/>
    </row>
    <row r="9983" spans="4:4">
      <c r="D9983" s="1"/>
    </row>
    <row r="9984" spans="4:4">
      <c r="D9984" s="1"/>
    </row>
    <row r="9985" spans="4:4">
      <c r="D9985" s="1"/>
    </row>
    <row r="9986" spans="4:4">
      <c r="D9986" s="1"/>
    </row>
    <row r="9987" spans="4:4">
      <c r="D9987" s="1"/>
    </row>
    <row r="9988" spans="4:4">
      <c r="D9988" s="1"/>
    </row>
    <row r="9989" spans="4:4">
      <c r="D9989" s="1"/>
    </row>
    <row r="9990" spans="4:4">
      <c r="D9990" s="1"/>
    </row>
    <row r="9991" spans="4:4">
      <c r="D9991" s="1"/>
    </row>
    <row r="9992" spans="4:4">
      <c r="D9992" s="1"/>
    </row>
    <row r="9993" spans="4:4">
      <c r="D9993" s="1"/>
    </row>
    <row r="9994" spans="4:4">
      <c r="D9994" s="1"/>
    </row>
    <row r="9995" spans="4:4">
      <c r="D9995" s="1"/>
    </row>
    <row r="9996" spans="4:4">
      <c r="D9996" s="1"/>
    </row>
    <row r="9997" spans="4:4">
      <c r="D9997" s="1"/>
    </row>
    <row r="9998" spans="4:4">
      <c r="D9998" s="1"/>
    </row>
    <row r="9999" spans="4:4">
      <c r="D9999" s="1"/>
    </row>
    <row r="10000" spans="4:4">
      <c r="D10000" s="1"/>
    </row>
    <row r="10001" spans="4:4">
      <c r="D10001" s="1"/>
    </row>
    <row r="10002" spans="4:4">
      <c r="D10002" s="1"/>
    </row>
    <row r="10003" spans="4:4">
      <c r="D10003" s="1"/>
    </row>
    <row r="10004" spans="4:4">
      <c r="D10004" s="1"/>
    </row>
    <row r="10005" spans="4:4">
      <c r="D10005" s="1"/>
    </row>
    <row r="10006" spans="4:4">
      <c r="D10006" s="1"/>
    </row>
    <row r="10007" spans="4:4">
      <c r="D10007" s="1"/>
    </row>
    <row r="10008" spans="4:4">
      <c r="D10008" s="1"/>
    </row>
    <row r="10009" spans="4:4">
      <c r="D10009" s="1"/>
    </row>
    <row r="10010" spans="4:4">
      <c r="D10010" s="1"/>
    </row>
    <row r="10011" spans="4:4">
      <c r="D10011" s="1"/>
    </row>
  </sheetData>
  <sortState xmlns:xlrd2="http://schemas.microsoft.com/office/spreadsheetml/2017/richdata2" ref="G2:H22">
    <sortCondition descending="1" ref="H22"/>
  </sortState>
  <mergeCells count="5">
    <mergeCell ref="D2:Q2"/>
    <mergeCell ref="F8:F9"/>
    <mergeCell ref="D8:D9"/>
    <mergeCell ref="O9:P9"/>
    <mergeCell ref="O8:P8"/>
  </mergeCells>
  <phoneticPr fontId="3" type="noConversion"/>
  <hyperlinks>
    <hyperlink ref="O6" location="복수과거물조회!A1" display="&lt;복수 과거물 조회&gt;" xr:uid="{00000000-0004-0000-01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3</xdr:col>
                    <xdr:colOff>190500</xdr:colOff>
                    <xdr:row>5</xdr:row>
                    <xdr:rowOff>0</xdr:rowOff>
                  </from>
                  <to>
                    <xdr:col>5</xdr:col>
                    <xdr:colOff>95250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5</xdr:col>
                    <xdr:colOff>228600</xdr:colOff>
                    <xdr:row>5</xdr:row>
                    <xdr:rowOff>0</xdr:rowOff>
                  </from>
                  <to>
                    <xdr:col>6</xdr:col>
                    <xdr:colOff>161925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Drop Down 6">
              <controlPr defaultSize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7</xdr:col>
                    <xdr:colOff>104775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97"/>
  <sheetViews>
    <sheetView showGridLines="0" topLeftCell="B1" workbookViewId="0">
      <selection activeCell="B1" sqref="B1"/>
    </sheetView>
  </sheetViews>
  <sheetFormatPr defaultRowHeight="15"/>
  <cols>
    <col min="1" max="1" width="9" hidden="1" customWidth="1"/>
    <col min="2" max="2" width="13.140625" bestFit="1" customWidth="1"/>
    <col min="3" max="3" width="9" style="6" customWidth="1"/>
    <col min="4" max="4" width="9" customWidth="1"/>
    <col min="5" max="5" width="11.140625" customWidth="1"/>
    <col min="7" max="7" width="9" style="5"/>
    <col min="8" max="8" width="9" style="2"/>
    <col min="9" max="10" width="9" customWidth="1"/>
    <col min="11" max="11" width="9" style="2" customWidth="1"/>
    <col min="13" max="13" width="9" customWidth="1"/>
    <col min="14" max="14" width="9" style="2" customWidth="1"/>
    <col min="15" max="15" width="9" customWidth="1"/>
    <col min="16" max="19" width="9" style="47" customWidth="1"/>
  </cols>
  <sheetData>
    <row r="1" spans="1:19" ht="15.75" thickBot="1">
      <c r="B1" t="s">
        <v>375</v>
      </c>
      <c r="E1" s="3" t="s">
        <v>404</v>
      </c>
      <c r="G1" s="5" t="s">
        <v>374</v>
      </c>
      <c r="J1" t="s">
        <v>385</v>
      </c>
      <c r="M1" t="s">
        <v>386</v>
      </c>
    </row>
    <row r="2" spans="1:19">
      <c r="A2">
        <v>1</v>
      </c>
      <c r="B2" s="10" t="s">
        <v>421</v>
      </c>
      <c r="C2" s="35" t="str">
        <f>IF(D2&lt;12,"161","165")</f>
        <v>165</v>
      </c>
      <c r="D2">
        <v>25</v>
      </c>
      <c r="E2" s="3">
        <v>161</v>
      </c>
      <c r="G2" s="16">
        <v>2000</v>
      </c>
      <c r="H2" s="11" t="s">
        <v>357</v>
      </c>
      <c r="I2" s="2"/>
      <c r="J2" s="10" t="s">
        <v>15</v>
      </c>
      <c r="K2" s="11">
        <v>3000</v>
      </c>
      <c r="M2" s="10" t="s">
        <v>346</v>
      </c>
      <c r="N2" s="11">
        <v>1000</v>
      </c>
      <c r="P2" s="47" t="str">
        <f>INDEX($C$2:$C$167,$A$2)</f>
        <v>165</v>
      </c>
      <c r="Q2" s="47">
        <v>1</v>
      </c>
      <c r="R2" s="47" t="str">
        <f>IF($P$7="",J2,M2)</f>
        <v>3월</v>
      </c>
      <c r="S2" s="47">
        <f>IF($P$7="",K2,N2)</f>
        <v>3000</v>
      </c>
    </row>
    <row r="3" spans="1:19">
      <c r="B3" s="12" t="s">
        <v>422</v>
      </c>
      <c r="C3" s="13" t="s">
        <v>182</v>
      </c>
      <c r="E3" s="3"/>
      <c r="G3" s="17">
        <v>2001</v>
      </c>
      <c r="H3" s="13">
        <v>1</v>
      </c>
      <c r="I3" s="2"/>
      <c r="J3" s="12" t="s">
        <v>17</v>
      </c>
      <c r="K3" s="13">
        <v>6000</v>
      </c>
      <c r="M3" s="12" t="s">
        <v>347</v>
      </c>
      <c r="N3" s="13">
        <v>2000</v>
      </c>
      <c r="P3" s="47" t="str">
        <f>INDEX($H$2:$H$38,$D$2)</f>
        <v>V</v>
      </c>
      <c r="R3" s="47" t="str">
        <f t="shared" ref="R3:R5" si="0">IF($P$7="",J3,M3)</f>
        <v>6월</v>
      </c>
      <c r="S3" s="47">
        <f t="shared" ref="S3:S5" si="1">IF($P$7="",K3,N3)</f>
        <v>6000</v>
      </c>
    </row>
    <row r="4" spans="1:19">
      <c r="B4" s="12" t="s">
        <v>423</v>
      </c>
      <c r="C4" s="36" t="str">
        <f>IF(D2&lt;12,"164","167")</f>
        <v>167</v>
      </c>
      <c r="E4" s="3">
        <v>164</v>
      </c>
      <c r="G4" s="17">
        <v>2002</v>
      </c>
      <c r="H4" s="13">
        <v>2</v>
      </c>
      <c r="I4" s="2"/>
      <c r="J4" s="12" t="s">
        <v>19</v>
      </c>
      <c r="K4" s="13">
        <v>9000</v>
      </c>
      <c r="M4" s="12" t="s">
        <v>15</v>
      </c>
      <c r="N4" s="13">
        <v>3000</v>
      </c>
      <c r="P4" s="47">
        <f>INDEX($R$2:$S$13,Q2,2)</f>
        <v>3000</v>
      </c>
      <c r="R4" s="47" t="str">
        <f t="shared" si="0"/>
        <v>9월</v>
      </c>
      <c r="S4" s="47">
        <f t="shared" si="1"/>
        <v>9000</v>
      </c>
    </row>
    <row r="5" spans="1:19" ht="15.75" thickBot="1">
      <c r="B5" s="12" t="s">
        <v>424</v>
      </c>
      <c r="C5" s="13" t="s">
        <v>192</v>
      </c>
      <c r="G5" s="17">
        <v>2003</v>
      </c>
      <c r="H5" s="13">
        <v>3</v>
      </c>
      <c r="I5" s="2"/>
      <c r="J5" s="14" t="s">
        <v>21</v>
      </c>
      <c r="K5" s="15" t="s">
        <v>22</v>
      </c>
      <c r="M5" s="12" t="s">
        <v>348</v>
      </c>
      <c r="N5" s="13">
        <v>4000</v>
      </c>
      <c r="R5" s="47" t="str">
        <f t="shared" si="0"/>
        <v>12월</v>
      </c>
      <c r="S5" s="47" t="str">
        <f t="shared" si="1"/>
        <v>C000</v>
      </c>
    </row>
    <row r="6" spans="1:19">
      <c r="B6" s="12" t="s">
        <v>23</v>
      </c>
      <c r="C6" s="13" t="s">
        <v>183</v>
      </c>
      <c r="G6" s="17">
        <v>2004</v>
      </c>
      <c r="H6" s="13">
        <v>4</v>
      </c>
      <c r="I6" s="2"/>
      <c r="J6" s="2"/>
      <c r="M6" s="12" t="s">
        <v>349</v>
      </c>
      <c r="N6" s="13">
        <v>5000</v>
      </c>
      <c r="P6" s="47" t="str">
        <f>P2&amp;"P1000"</f>
        <v>165P1000</v>
      </c>
      <c r="R6" s="47" t="str">
        <f>IF($P$7="","",M6)</f>
        <v/>
      </c>
      <c r="S6" s="47" t="str">
        <f>IF($P$7="","",N6)</f>
        <v/>
      </c>
    </row>
    <row r="7" spans="1:19">
      <c r="B7" s="12" t="s">
        <v>24</v>
      </c>
      <c r="C7" s="13" t="s">
        <v>184</v>
      </c>
      <c r="G7" s="17">
        <v>2005</v>
      </c>
      <c r="H7" s="13">
        <v>5</v>
      </c>
      <c r="I7" s="2"/>
      <c r="M7" s="12" t="s">
        <v>16</v>
      </c>
      <c r="N7" s="13">
        <v>6000</v>
      </c>
      <c r="P7" s="48" t="str">
        <f>_xll.IMDP("FUT",P6,"한글종목명")</f>
        <v/>
      </c>
      <c r="R7" s="47" t="str">
        <f t="shared" ref="R7:R13" si="2">IF($P$7="","",M7)</f>
        <v/>
      </c>
      <c r="S7" s="47" t="str">
        <f t="shared" ref="S7:S13" si="3">IF($P$7="","",N7)</f>
        <v/>
      </c>
    </row>
    <row r="8" spans="1:19">
      <c r="B8" s="12" t="s">
        <v>25</v>
      </c>
      <c r="C8" s="13" t="s">
        <v>185</v>
      </c>
      <c r="G8" s="17">
        <v>2006</v>
      </c>
      <c r="H8" s="13" t="s">
        <v>13</v>
      </c>
      <c r="I8" s="2"/>
      <c r="M8" s="12" t="s">
        <v>350</v>
      </c>
      <c r="N8" s="13">
        <v>7000</v>
      </c>
      <c r="R8" s="47" t="str">
        <f t="shared" si="2"/>
        <v/>
      </c>
      <c r="S8" s="47" t="str">
        <f t="shared" si="3"/>
        <v/>
      </c>
    </row>
    <row r="9" spans="1:19">
      <c r="B9" s="12" t="s">
        <v>26</v>
      </c>
      <c r="C9" s="13" t="s">
        <v>186</v>
      </c>
      <c r="G9" s="17">
        <v>2007</v>
      </c>
      <c r="H9" s="13" t="s">
        <v>14</v>
      </c>
      <c r="I9" s="2"/>
      <c r="M9" s="12" t="s">
        <v>351</v>
      </c>
      <c r="N9" s="13">
        <v>8000</v>
      </c>
      <c r="R9" s="47" t="str">
        <f t="shared" si="2"/>
        <v/>
      </c>
      <c r="S9" s="47" t="str">
        <f t="shared" si="3"/>
        <v/>
      </c>
    </row>
    <row r="10" spans="1:19">
      <c r="B10" s="12" t="s">
        <v>27</v>
      </c>
      <c r="C10" s="13" t="s">
        <v>187</v>
      </c>
      <c r="G10" s="17">
        <v>2008</v>
      </c>
      <c r="H10" s="13" t="s">
        <v>0</v>
      </c>
      <c r="I10" s="2"/>
      <c r="M10" s="12" t="s">
        <v>18</v>
      </c>
      <c r="N10" s="13">
        <v>9000</v>
      </c>
      <c r="R10" s="47" t="str">
        <f t="shared" si="2"/>
        <v/>
      </c>
      <c r="S10" s="47" t="str">
        <f t="shared" si="3"/>
        <v/>
      </c>
    </row>
    <row r="11" spans="1:19">
      <c r="B11" s="12" t="s">
        <v>28</v>
      </c>
      <c r="C11" s="13" t="s">
        <v>188</v>
      </c>
      <c r="G11" s="17">
        <v>2009</v>
      </c>
      <c r="H11" s="13" t="s">
        <v>1</v>
      </c>
      <c r="I11" s="2"/>
      <c r="M11" s="12" t="s">
        <v>352</v>
      </c>
      <c r="N11" s="13" t="s">
        <v>354</v>
      </c>
      <c r="R11" s="47" t="str">
        <f t="shared" si="2"/>
        <v/>
      </c>
      <c r="S11" s="47" t="str">
        <f t="shared" si="3"/>
        <v/>
      </c>
    </row>
    <row r="12" spans="1:19">
      <c r="B12" s="12" t="s">
        <v>29</v>
      </c>
      <c r="C12" s="13" t="s">
        <v>189</v>
      </c>
      <c r="G12" s="17">
        <v>2010</v>
      </c>
      <c r="H12" s="13" t="s">
        <v>2</v>
      </c>
      <c r="I12" s="2"/>
      <c r="M12" s="12" t="s">
        <v>353</v>
      </c>
      <c r="N12" s="13" t="s">
        <v>355</v>
      </c>
      <c r="R12" s="47" t="str">
        <f t="shared" si="2"/>
        <v/>
      </c>
      <c r="S12" s="47" t="str">
        <f t="shared" si="3"/>
        <v/>
      </c>
    </row>
    <row r="13" spans="1:19" ht="15.75" thickBot="1">
      <c r="B13" s="12" t="s">
        <v>30</v>
      </c>
      <c r="C13" s="13" t="s">
        <v>190</v>
      </c>
      <c r="G13" s="17">
        <v>2011</v>
      </c>
      <c r="H13" s="13" t="s">
        <v>3</v>
      </c>
      <c r="I13" s="2"/>
      <c r="J13" s="19" t="s">
        <v>380</v>
      </c>
      <c r="M13" s="14" t="s">
        <v>20</v>
      </c>
      <c r="N13" s="15" t="s">
        <v>356</v>
      </c>
      <c r="R13" s="47" t="str">
        <f t="shared" si="2"/>
        <v/>
      </c>
      <c r="S13" s="47" t="str">
        <f t="shared" si="3"/>
        <v/>
      </c>
    </row>
    <row r="14" spans="1:19">
      <c r="B14" s="12" t="s">
        <v>31</v>
      </c>
      <c r="C14" s="13" t="s">
        <v>191</v>
      </c>
      <c r="G14" s="17">
        <v>2012</v>
      </c>
      <c r="H14" s="13" t="s">
        <v>4</v>
      </c>
      <c r="I14" s="2"/>
      <c r="J14" t="s">
        <v>387</v>
      </c>
      <c r="K14" s="33">
        <v>1</v>
      </c>
    </row>
    <row r="15" spans="1:19">
      <c r="B15" s="12" t="s">
        <v>32</v>
      </c>
      <c r="C15" s="13" t="s">
        <v>193</v>
      </c>
      <c r="G15" s="17">
        <v>2013</v>
      </c>
      <c r="H15" s="13" t="s">
        <v>5</v>
      </c>
      <c r="I15" s="2"/>
      <c r="J15" s="9" t="s">
        <v>388</v>
      </c>
    </row>
    <row r="16" spans="1:19">
      <c r="B16" s="12" t="s">
        <v>33</v>
      </c>
      <c r="C16" s="13" t="s">
        <v>194</v>
      </c>
      <c r="G16" s="17">
        <v>2014</v>
      </c>
      <c r="H16" s="13" t="s">
        <v>6</v>
      </c>
      <c r="I16" s="2"/>
      <c r="J16" s="2" t="s">
        <v>389</v>
      </c>
    </row>
    <row r="17" spans="2:12">
      <c r="B17" s="12" t="s">
        <v>34</v>
      </c>
      <c r="C17" s="13" t="s">
        <v>195</v>
      </c>
      <c r="G17" s="17">
        <v>2015</v>
      </c>
      <c r="H17" s="13" t="s">
        <v>7</v>
      </c>
      <c r="I17" s="2"/>
      <c r="J17" s="2" t="s">
        <v>390</v>
      </c>
    </row>
    <row r="18" spans="2:12">
      <c r="B18" s="12" t="s">
        <v>35</v>
      </c>
      <c r="C18" s="13" t="s">
        <v>196</v>
      </c>
      <c r="G18" s="17">
        <v>2016</v>
      </c>
      <c r="H18" s="13" t="s">
        <v>8</v>
      </c>
      <c r="I18" s="2"/>
      <c r="J18" s="2"/>
    </row>
    <row r="19" spans="2:12">
      <c r="B19" s="12" t="s">
        <v>36</v>
      </c>
      <c r="C19" s="13" t="s">
        <v>197</v>
      </c>
      <c r="G19" s="17">
        <v>2017</v>
      </c>
      <c r="H19" s="13" t="s">
        <v>9</v>
      </c>
      <c r="I19" s="2"/>
      <c r="J19" s="2"/>
      <c r="K19" s="4"/>
      <c r="L19" s="34"/>
    </row>
    <row r="20" spans="2:12">
      <c r="B20" s="12" t="s">
        <v>37</v>
      </c>
      <c r="C20" s="13" t="s">
        <v>198</v>
      </c>
      <c r="G20" s="17">
        <v>2018</v>
      </c>
      <c r="H20" s="13" t="s">
        <v>10</v>
      </c>
      <c r="I20" s="2"/>
      <c r="J20" s="2"/>
    </row>
    <row r="21" spans="2:12">
      <c r="B21" s="12" t="s">
        <v>38</v>
      </c>
      <c r="C21" s="13" t="s">
        <v>199</v>
      </c>
      <c r="G21" s="17">
        <v>2019</v>
      </c>
      <c r="H21" s="13" t="s">
        <v>11</v>
      </c>
      <c r="I21" s="2"/>
      <c r="J21" s="2"/>
    </row>
    <row r="22" spans="2:12">
      <c r="B22" s="12" t="s">
        <v>39</v>
      </c>
      <c r="C22" s="13" t="s">
        <v>200</v>
      </c>
      <c r="G22" s="17">
        <v>2020</v>
      </c>
      <c r="H22" s="13" t="s">
        <v>12</v>
      </c>
      <c r="I22" s="2"/>
      <c r="J22" s="2"/>
    </row>
    <row r="23" spans="2:12">
      <c r="B23" s="12" t="s">
        <v>40</v>
      </c>
      <c r="C23" s="13" t="s">
        <v>201</v>
      </c>
      <c r="G23" s="17">
        <v>2021</v>
      </c>
      <c r="H23" s="13" t="s">
        <v>405</v>
      </c>
      <c r="I23" s="2"/>
      <c r="J23" s="2"/>
    </row>
    <row r="24" spans="2:12">
      <c r="B24" s="12" t="s">
        <v>41</v>
      </c>
      <c r="C24" s="13" t="s">
        <v>202</v>
      </c>
      <c r="G24" s="17">
        <v>2022</v>
      </c>
      <c r="H24" s="13" t="s">
        <v>406</v>
      </c>
      <c r="I24" s="2"/>
      <c r="J24" s="2"/>
    </row>
    <row r="25" spans="2:12">
      <c r="B25" s="12" t="s">
        <v>42</v>
      </c>
      <c r="C25" s="13" t="s">
        <v>203</v>
      </c>
      <c r="G25" s="17">
        <v>2023</v>
      </c>
      <c r="H25" s="13" t="s">
        <v>407</v>
      </c>
      <c r="I25" s="2"/>
      <c r="J25" s="2"/>
    </row>
    <row r="26" spans="2:12">
      <c r="B26" s="12" t="s">
        <v>43</v>
      </c>
      <c r="C26" s="13" t="s">
        <v>204</v>
      </c>
      <c r="G26" s="17">
        <v>2024</v>
      </c>
      <c r="H26" s="13" t="s">
        <v>408</v>
      </c>
      <c r="I26" s="2"/>
      <c r="J26" s="2"/>
    </row>
    <row r="27" spans="2:12">
      <c r="B27" s="12" t="s">
        <v>44</v>
      </c>
      <c r="C27" s="13" t="s">
        <v>205</v>
      </c>
      <c r="G27" s="17">
        <v>2025</v>
      </c>
      <c r="H27" s="13" t="s">
        <v>409</v>
      </c>
      <c r="I27" s="2"/>
      <c r="J27" s="2"/>
    </row>
    <row r="28" spans="2:12">
      <c r="B28" s="12" t="s">
        <v>45</v>
      </c>
      <c r="C28" s="13" t="s">
        <v>206</v>
      </c>
      <c r="G28" s="17">
        <v>2026</v>
      </c>
      <c r="H28" s="13" t="s">
        <v>410</v>
      </c>
      <c r="I28" s="2"/>
      <c r="J28" s="2"/>
    </row>
    <row r="29" spans="2:12">
      <c r="B29" s="12" t="s">
        <v>46</v>
      </c>
      <c r="C29" s="13" t="s">
        <v>207</v>
      </c>
      <c r="G29" s="17">
        <v>2027</v>
      </c>
      <c r="H29" s="13" t="s">
        <v>411</v>
      </c>
      <c r="I29" s="2"/>
      <c r="J29" s="2"/>
    </row>
    <row r="30" spans="2:12">
      <c r="B30" s="12" t="s">
        <v>47</v>
      </c>
      <c r="C30" s="13" t="s">
        <v>208</v>
      </c>
      <c r="G30" s="17">
        <v>2028</v>
      </c>
      <c r="H30" s="13" t="s">
        <v>412</v>
      </c>
      <c r="I30" s="2"/>
      <c r="J30" s="2"/>
    </row>
    <row r="31" spans="2:12">
      <c r="B31" s="12" t="s">
        <v>48</v>
      </c>
      <c r="C31" s="13" t="s">
        <v>209</v>
      </c>
      <c r="G31" s="17">
        <v>2029</v>
      </c>
      <c r="H31" s="13" t="s">
        <v>413</v>
      </c>
      <c r="I31" s="2"/>
      <c r="J31" s="2"/>
    </row>
    <row r="32" spans="2:12">
      <c r="B32" s="12" t="s">
        <v>49</v>
      </c>
      <c r="C32" s="13" t="s">
        <v>210</v>
      </c>
      <c r="G32" s="17">
        <v>2030</v>
      </c>
      <c r="H32" s="13" t="s">
        <v>414</v>
      </c>
      <c r="I32" s="2"/>
      <c r="J32" s="2"/>
    </row>
    <row r="33" spans="2:10">
      <c r="B33" s="12" t="s">
        <v>50</v>
      </c>
      <c r="C33" s="13" t="s">
        <v>211</v>
      </c>
      <c r="G33" s="17">
        <v>2031</v>
      </c>
      <c r="H33" s="13" t="s">
        <v>415</v>
      </c>
      <c r="I33" s="2"/>
      <c r="J33" s="2"/>
    </row>
    <row r="34" spans="2:10">
      <c r="B34" s="12" t="s">
        <v>51</v>
      </c>
      <c r="C34" s="13" t="s">
        <v>212</v>
      </c>
      <c r="G34" s="17">
        <v>2032</v>
      </c>
      <c r="H34" s="13" t="s">
        <v>416</v>
      </c>
      <c r="I34" s="2"/>
      <c r="J34" s="2"/>
    </row>
    <row r="35" spans="2:10">
      <c r="B35" s="12" t="s">
        <v>52</v>
      </c>
      <c r="C35" s="13" t="s">
        <v>213</v>
      </c>
      <c r="G35" s="17">
        <v>2033</v>
      </c>
      <c r="H35" s="13" t="s">
        <v>417</v>
      </c>
      <c r="I35" s="2"/>
      <c r="J35" s="2"/>
    </row>
    <row r="36" spans="2:10">
      <c r="B36" s="12" t="s">
        <v>53</v>
      </c>
      <c r="C36" s="13" t="s">
        <v>214</v>
      </c>
      <c r="G36" s="17">
        <v>2034</v>
      </c>
      <c r="H36" s="13" t="s">
        <v>418</v>
      </c>
      <c r="I36" s="2"/>
      <c r="J36" s="2"/>
    </row>
    <row r="37" spans="2:10">
      <c r="B37" s="12" t="s">
        <v>54</v>
      </c>
      <c r="C37" s="13" t="s">
        <v>215</v>
      </c>
      <c r="G37" s="17">
        <v>2035</v>
      </c>
      <c r="H37" s="13" t="s">
        <v>419</v>
      </c>
      <c r="I37" s="2"/>
      <c r="J37" s="2"/>
    </row>
    <row r="38" spans="2:10" ht="15.75" thickBot="1">
      <c r="B38" s="12" t="s">
        <v>55</v>
      </c>
      <c r="C38" s="13" t="s">
        <v>216</v>
      </c>
      <c r="G38" s="18">
        <v>2036</v>
      </c>
      <c r="H38" s="15" t="s">
        <v>420</v>
      </c>
      <c r="I38" s="2"/>
      <c r="J38" s="2"/>
    </row>
    <row r="39" spans="2:10">
      <c r="B39" s="12" t="s">
        <v>56</v>
      </c>
      <c r="C39" s="13" t="s">
        <v>217</v>
      </c>
      <c r="I39" s="2"/>
      <c r="J39" s="2"/>
    </row>
    <row r="40" spans="2:10">
      <c r="B40" s="12" t="s">
        <v>57</v>
      </c>
      <c r="C40" s="13" t="s">
        <v>218</v>
      </c>
      <c r="I40" s="2"/>
      <c r="J40" s="2"/>
    </row>
    <row r="41" spans="2:10">
      <c r="B41" s="12" t="s">
        <v>58</v>
      </c>
      <c r="C41" s="13" t="s">
        <v>219</v>
      </c>
      <c r="I41" s="2"/>
      <c r="J41" s="2"/>
    </row>
    <row r="42" spans="2:10">
      <c r="B42" s="12" t="s">
        <v>59</v>
      </c>
      <c r="C42" s="13" t="s">
        <v>220</v>
      </c>
      <c r="I42" s="2"/>
      <c r="J42" s="2"/>
    </row>
    <row r="43" spans="2:10">
      <c r="B43" s="12" t="s">
        <v>60</v>
      </c>
      <c r="C43" s="13" t="s">
        <v>221</v>
      </c>
      <c r="I43" s="2"/>
      <c r="J43" s="2"/>
    </row>
    <row r="44" spans="2:10">
      <c r="B44" s="12" t="s">
        <v>61</v>
      </c>
      <c r="C44" s="13" t="s">
        <v>222</v>
      </c>
      <c r="I44" s="2"/>
      <c r="J44" s="2"/>
    </row>
    <row r="45" spans="2:10">
      <c r="B45" s="12" t="s">
        <v>62</v>
      </c>
      <c r="C45" s="13" t="s">
        <v>223</v>
      </c>
      <c r="I45" s="2"/>
      <c r="J45" s="2"/>
    </row>
    <row r="46" spans="2:10">
      <c r="B46" s="12" t="s">
        <v>63</v>
      </c>
      <c r="C46" s="13" t="s">
        <v>224</v>
      </c>
      <c r="I46" s="2"/>
      <c r="J46" s="2"/>
    </row>
    <row r="47" spans="2:10">
      <c r="B47" s="12" t="s">
        <v>64</v>
      </c>
      <c r="C47" s="13" t="s">
        <v>225</v>
      </c>
      <c r="I47" s="2"/>
      <c r="J47" s="2"/>
    </row>
    <row r="48" spans="2:10">
      <c r="B48" s="12" t="s">
        <v>65</v>
      </c>
      <c r="C48" s="13" t="s">
        <v>226</v>
      </c>
      <c r="I48" s="2"/>
      <c r="J48" s="2"/>
    </row>
    <row r="49" spans="2:10">
      <c r="B49" s="12" t="s">
        <v>66</v>
      </c>
      <c r="C49" s="13" t="s">
        <v>227</v>
      </c>
      <c r="I49" s="2"/>
      <c r="J49" s="2"/>
    </row>
    <row r="50" spans="2:10">
      <c r="B50" s="12" t="s">
        <v>67</v>
      </c>
      <c r="C50" s="13" t="s">
        <v>228</v>
      </c>
      <c r="I50" s="2"/>
      <c r="J50" s="2"/>
    </row>
    <row r="51" spans="2:10">
      <c r="B51" s="12" t="s">
        <v>68</v>
      </c>
      <c r="C51" s="13" t="s">
        <v>229</v>
      </c>
      <c r="I51" s="2"/>
      <c r="J51" s="2"/>
    </row>
    <row r="52" spans="2:10">
      <c r="B52" s="12" t="s">
        <v>69</v>
      </c>
      <c r="C52" s="13" t="s">
        <v>230</v>
      </c>
      <c r="I52" s="2"/>
      <c r="J52" s="2"/>
    </row>
    <row r="53" spans="2:10">
      <c r="B53" s="12" t="s">
        <v>70</v>
      </c>
      <c r="C53" s="13" t="s">
        <v>231</v>
      </c>
      <c r="I53" s="2"/>
      <c r="J53" s="2"/>
    </row>
    <row r="54" spans="2:10">
      <c r="B54" s="12" t="s">
        <v>71</v>
      </c>
      <c r="C54" s="13" t="s">
        <v>232</v>
      </c>
      <c r="I54" s="2"/>
      <c r="J54" s="2"/>
    </row>
    <row r="55" spans="2:10">
      <c r="B55" s="12" t="s">
        <v>72</v>
      </c>
      <c r="C55" s="13" t="s">
        <v>233</v>
      </c>
      <c r="I55" s="2"/>
      <c r="J55" s="2"/>
    </row>
    <row r="56" spans="2:10">
      <c r="B56" s="12" t="s">
        <v>73</v>
      </c>
      <c r="C56" s="13" t="s">
        <v>234</v>
      </c>
      <c r="I56" s="2"/>
      <c r="J56" s="2"/>
    </row>
    <row r="57" spans="2:10">
      <c r="B57" s="12" t="s">
        <v>74</v>
      </c>
      <c r="C57" s="13" t="s">
        <v>235</v>
      </c>
      <c r="I57" s="2"/>
      <c r="J57" s="2"/>
    </row>
    <row r="58" spans="2:10">
      <c r="B58" s="12" t="s">
        <v>75</v>
      </c>
      <c r="C58" s="13" t="s">
        <v>236</v>
      </c>
      <c r="I58" s="2"/>
      <c r="J58" s="2"/>
    </row>
    <row r="59" spans="2:10">
      <c r="B59" s="12" t="s">
        <v>76</v>
      </c>
      <c r="C59" s="13" t="s">
        <v>237</v>
      </c>
      <c r="I59" s="2"/>
      <c r="J59" s="2"/>
    </row>
    <row r="60" spans="2:10">
      <c r="B60" s="12" t="s">
        <v>77</v>
      </c>
      <c r="C60" s="13" t="s">
        <v>238</v>
      </c>
      <c r="I60" s="2"/>
      <c r="J60" s="2"/>
    </row>
    <row r="61" spans="2:10">
      <c r="B61" s="12" t="s">
        <v>78</v>
      </c>
      <c r="C61" s="13" t="s">
        <v>239</v>
      </c>
      <c r="I61" s="2"/>
      <c r="J61" s="2"/>
    </row>
    <row r="62" spans="2:10">
      <c r="B62" s="12" t="s">
        <v>79</v>
      </c>
      <c r="C62" s="13" t="s">
        <v>240</v>
      </c>
      <c r="I62" s="2"/>
      <c r="J62" s="2"/>
    </row>
    <row r="63" spans="2:10">
      <c r="B63" s="12" t="s">
        <v>80</v>
      </c>
      <c r="C63" s="13" t="s">
        <v>241</v>
      </c>
      <c r="I63" s="2"/>
      <c r="J63" s="2"/>
    </row>
    <row r="64" spans="2:10">
      <c r="B64" s="12" t="s">
        <v>81</v>
      </c>
      <c r="C64" s="13" t="s">
        <v>242</v>
      </c>
      <c r="I64" s="2"/>
      <c r="J64" s="2"/>
    </row>
    <row r="65" spans="2:10">
      <c r="B65" s="12" t="s">
        <v>82</v>
      </c>
      <c r="C65" s="13" t="s">
        <v>243</v>
      </c>
      <c r="I65" s="2"/>
      <c r="J65" s="2"/>
    </row>
    <row r="66" spans="2:10">
      <c r="B66" s="12" t="s">
        <v>83</v>
      </c>
      <c r="C66" s="13" t="s">
        <v>244</v>
      </c>
      <c r="I66" s="2"/>
      <c r="J66" s="2"/>
    </row>
    <row r="67" spans="2:10">
      <c r="B67" s="12" t="s">
        <v>84</v>
      </c>
      <c r="C67" s="13" t="s">
        <v>245</v>
      </c>
      <c r="I67" s="2"/>
      <c r="J67" s="2"/>
    </row>
    <row r="68" spans="2:10">
      <c r="B68" s="12" t="s">
        <v>85</v>
      </c>
      <c r="C68" s="13" t="s">
        <v>246</v>
      </c>
      <c r="I68" s="2"/>
      <c r="J68" s="2"/>
    </row>
    <row r="69" spans="2:10">
      <c r="B69" s="12" t="s">
        <v>86</v>
      </c>
      <c r="C69" s="13" t="s">
        <v>247</v>
      </c>
      <c r="I69" s="2"/>
      <c r="J69" s="2"/>
    </row>
    <row r="70" spans="2:10">
      <c r="B70" s="12" t="s">
        <v>87</v>
      </c>
      <c r="C70" s="13" t="s">
        <v>248</v>
      </c>
      <c r="I70" s="2"/>
      <c r="J70" s="2"/>
    </row>
    <row r="71" spans="2:10">
      <c r="B71" s="12" t="s">
        <v>88</v>
      </c>
      <c r="C71" s="13" t="s">
        <v>249</v>
      </c>
      <c r="I71" s="2"/>
      <c r="J71" s="2"/>
    </row>
    <row r="72" spans="2:10">
      <c r="B72" s="12" t="s">
        <v>89</v>
      </c>
      <c r="C72" s="13" t="s">
        <v>250</v>
      </c>
      <c r="I72" s="2"/>
      <c r="J72" s="2"/>
    </row>
    <row r="73" spans="2:10">
      <c r="B73" s="12" t="s">
        <v>90</v>
      </c>
      <c r="C73" s="13" t="s">
        <v>251</v>
      </c>
      <c r="I73" s="2"/>
      <c r="J73" s="2"/>
    </row>
    <row r="74" spans="2:10">
      <c r="B74" s="12" t="s">
        <v>91</v>
      </c>
      <c r="C74" s="13" t="s">
        <v>252</v>
      </c>
      <c r="I74" s="2"/>
      <c r="J74" s="2"/>
    </row>
    <row r="75" spans="2:10">
      <c r="B75" s="12" t="s">
        <v>92</v>
      </c>
      <c r="C75" s="13" t="s">
        <v>253</v>
      </c>
      <c r="I75" s="2"/>
      <c r="J75" s="2"/>
    </row>
    <row r="76" spans="2:10">
      <c r="B76" s="12" t="s">
        <v>93</v>
      </c>
      <c r="C76" s="13" t="s">
        <v>254</v>
      </c>
      <c r="I76" s="2"/>
      <c r="J76" s="2"/>
    </row>
    <row r="77" spans="2:10">
      <c r="B77" s="12" t="s">
        <v>94</v>
      </c>
      <c r="C77" s="13" t="s">
        <v>255</v>
      </c>
      <c r="I77" s="2"/>
      <c r="J77" s="2"/>
    </row>
    <row r="78" spans="2:10">
      <c r="B78" s="12" t="s">
        <v>95</v>
      </c>
      <c r="C78" s="13" t="s">
        <v>256</v>
      </c>
      <c r="I78" s="2"/>
      <c r="J78" s="2"/>
    </row>
    <row r="79" spans="2:10">
      <c r="B79" s="12" t="s">
        <v>96</v>
      </c>
      <c r="C79" s="13" t="s">
        <v>257</v>
      </c>
      <c r="I79" s="2"/>
      <c r="J79" s="2"/>
    </row>
    <row r="80" spans="2:10">
      <c r="B80" s="12" t="s">
        <v>97</v>
      </c>
      <c r="C80" s="13" t="s">
        <v>258</v>
      </c>
      <c r="I80" s="2"/>
      <c r="J80" s="2"/>
    </row>
    <row r="81" spans="2:10">
      <c r="B81" s="12" t="s">
        <v>98</v>
      </c>
      <c r="C81" s="13" t="s">
        <v>259</v>
      </c>
      <c r="I81" s="2"/>
      <c r="J81" s="2"/>
    </row>
    <row r="82" spans="2:10">
      <c r="B82" s="12" t="s">
        <v>99</v>
      </c>
      <c r="C82" s="13" t="s">
        <v>260</v>
      </c>
      <c r="I82" s="2"/>
      <c r="J82" s="2"/>
    </row>
    <row r="83" spans="2:10">
      <c r="B83" s="12" t="s">
        <v>100</v>
      </c>
      <c r="C83" s="13" t="s">
        <v>261</v>
      </c>
      <c r="I83" s="2"/>
      <c r="J83" s="2"/>
    </row>
    <row r="84" spans="2:10">
      <c r="B84" s="12" t="s">
        <v>101</v>
      </c>
      <c r="C84" s="13" t="s">
        <v>262</v>
      </c>
      <c r="I84" s="2"/>
      <c r="J84" s="2"/>
    </row>
    <row r="85" spans="2:10">
      <c r="B85" s="12" t="s">
        <v>102</v>
      </c>
      <c r="C85" s="13" t="s">
        <v>263</v>
      </c>
      <c r="I85" s="2"/>
      <c r="J85" s="2"/>
    </row>
    <row r="86" spans="2:10">
      <c r="B86" s="12" t="s">
        <v>103</v>
      </c>
      <c r="C86" s="13" t="s">
        <v>264</v>
      </c>
      <c r="I86" s="2"/>
      <c r="J86" s="2"/>
    </row>
    <row r="87" spans="2:10">
      <c r="B87" s="12" t="s">
        <v>104</v>
      </c>
      <c r="C87" s="13" t="s">
        <v>265</v>
      </c>
      <c r="I87" s="2"/>
      <c r="J87" s="2"/>
    </row>
    <row r="88" spans="2:10">
      <c r="B88" s="12" t="s">
        <v>105</v>
      </c>
      <c r="C88" s="13" t="s">
        <v>266</v>
      </c>
      <c r="I88" s="2"/>
      <c r="J88" s="2"/>
    </row>
    <row r="89" spans="2:10">
      <c r="B89" s="12" t="s">
        <v>106</v>
      </c>
      <c r="C89" s="13" t="s">
        <v>267</v>
      </c>
      <c r="I89" s="2"/>
      <c r="J89" s="2"/>
    </row>
    <row r="90" spans="2:10">
      <c r="B90" s="12" t="s">
        <v>107</v>
      </c>
      <c r="C90" s="13" t="s">
        <v>268</v>
      </c>
      <c r="I90" s="2"/>
      <c r="J90" s="2"/>
    </row>
    <row r="91" spans="2:10">
      <c r="B91" s="12" t="s">
        <v>108</v>
      </c>
      <c r="C91" s="13" t="s">
        <v>269</v>
      </c>
      <c r="I91" s="2"/>
      <c r="J91" s="2"/>
    </row>
    <row r="92" spans="2:10">
      <c r="B92" s="12" t="s">
        <v>109</v>
      </c>
      <c r="C92" s="13" t="s">
        <v>270</v>
      </c>
      <c r="I92" s="2"/>
      <c r="J92" s="2"/>
    </row>
    <row r="93" spans="2:10">
      <c r="B93" s="12" t="s">
        <v>110</v>
      </c>
      <c r="C93" s="13" t="s">
        <v>271</v>
      </c>
      <c r="I93" s="2"/>
      <c r="J93" s="2"/>
    </row>
    <row r="94" spans="2:10">
      <c r="B94" s="12" t="s">
        <v>111</v>
      </c>
      <c r="C94" s="13" t="s">
        <v>272</v>
      </c>
      <c r="I94" s="2"/>
      <c r="J94" s="2"/>
    </row>
    <row r="95" spans="2:10">
      <c r="B95" s="12" t="s">
        <v>112</v>
      </c>
      <c r="C95" s="13" t="s">
        <v>273</v>
      </c>
      <c r="I95" s="2"/>
      <c r="J95" s="2"/>
    </row>
    <row r="96" spans="2:10">
      <c r="B96" s="12" t="s">
        <v>113</v>
      </c>
      <c r="C96" s="13" t="s">
        <v>274</v>
      </c>
      <c r="I96" s="2"/>
      <c r="J96" s="2"/>
    </row>
    <row r="97" spans="2:10">
      <c r="B97" s="12" t="s">
        <v>114</v>
      </c>
      <c r="C97" s="13" t="s">
        <v>275</v>
      </c>
      <c r="I97" s="2"/>
      <c r="J97" s="2"/>
    </row>
    <row r="98" spans="2:10">
      <c r="B98" s="12" t="s">
        <v>115</v>
      </c>
      <c r="C98" s="13" t="s">
        <v>276</v>
      </c>
      <c r="I98" s="2"/>
      <c r="J98" s="2"/>
    </row>
    <row r="99" spans="2:10">
      <c r="B99" s="12" t="s">
        <v>116</v>
      </c>
      <c r="C99" s="13" t="s">
        <v>277</v>
      </c>
      <c r="I99" s="2"/>
      <c r="J99" s="2"/>
    </row>
    <row r="100" spans="2:10">
      <c r="B100" s="12" t="s">
        <v>117</v>
      </c>
      <c r="C100" s="13" t="s">
        <v>278</v>
      </c>
      <c r="I100" s="2"/>
      <c r="J100" s="2"/>
    </row>
    <row r="101" spans="2:10">
      <c r="B101" s="12" t="s">
        <v>118</v>
      </c>
      <c r="C101" s="13" t="s">
        <v>279</v>
      </c>
      <c r="I101" s="2"/>
      <c r="J101" s="2"/>
    </row>
    <row r="102" spans="2:10">
      <c r="B102" s="12" t="s">
        <v>119</v>
      </c>
      <c r="C102" s="13" t="s">
        <v>280</v>
      </c>
      <c r="I102" s="2"/>
      <c r="J102" s="2"/>
    </row>
    <row r="103" spans="2:10">
      <c r="B103" s="12" t="s">
        <v>120</v>
      </c>
      <c r="C103" s="13" t="s">
        <v>281</v>
      </c>
      <c r="I103" s="2"/>
      <c r="J103" s="2"/>
    </row>
    <row r="104" spans="2:10">
      <c r="B104" s="12" t="s">
        <v>121</v>
      </c>
      <c r="C104" s="13" t="s">
        <v>282</v>
      </c>
      <c r="I104" s="2"/>
      <c r="J104" s="2"/>
    </row>
    <row r="105" spans="2:10">
      <c r="B105" s="12" t="s">
        <v>122</v>
      </c>
      <c r="C105" s="13" t="s">
        <v>283</v>
      </c>
      <c r="I105" s="2"/>
      <c r="J105" s="2"/>
    </row>
    <row r="106" spans="2:10">
      <c r="B106" s="12" t="s">
        <v>123</v>
      </c>
      <c r="C106" s="13" t="s">
        <v>284</v>
      </c>
      <c r="I106" s="2"/>
      <c r="J106" s="2"/>
    </row>
    <row r="107" spans="2:10">
      <c r="B107" s="12" t="s">
        <v>124</v>
      </c>
      <c r="C107" s="13" t="s">
        <v>285</v>
      </c>
      <c r="I107" s="2"/>
      <c r="J107" s="2"/>
    </row>
    <row r="108" spans="2:10">
      <c r="B108" s="12" t="s">
        <v>125</v>
      </c>
      <c r="C108" s="13" t="s">
        <v>286</v>
      </c>
      <c r="I108" s="2"/>
      <c r="J108" s="2"/>
    </row>
    <row r="109" spans="2:10">
      <c r="B109" s="12" t="s">
        <v>126</v>
      </c>
      <c r="C109" s="13" t="s">
        <v>287</v>
      </c>
      <c r="I109" s="2"/>
      <c r="J109" s="2"/>
    </row>
    <row r="110" spans="2:10">
      <c r="B110" s="12" t="s">
        <v>127</v>
      </c>
      <c r="C110" s="13" t="s">
        <v>288</v>
      </c>
      <c r="I110" s="2"/>
      <c r="J110" s="2"/>
    </row>
    <row r="111" spans="2:10">
      <c r="B111" s="12" t="s">
        <v>128</v>
      </c>
      <c r="C111" s="13" t="s">
        <v>289</v>
      </c>
      <c r="I111" s="2"/>
      <c r="J111" s="2"/>
    </row>
    <row r="112" spans="2:10">
      <c r="B112" s="12" t="s">
        <v>129</v>
      </c>
      <c r="C112" s="13" t="s">
        <v>290</v>
      </c>
      <c r="I112" s="2"/>
      <c r="J112" s="2"/>
    </row>
    <row r="113" spans="2:10">
      <c r="B113" s="12" t="s">
        <v>130</v>
      </c>
      <c r="C113" s="13" t="s">
        <v>291</v>
      </c>
      <c r="I113" s="2"/>
      <c r="J113" s="2"/>
    </row>
    <row r="114" spans="2:10">
      <c r="B114" s="12" t="s">
        <v>131</v>
      </c>
      <c r="C114" s="13" t="s">
        <v>292</v>
      </c>
      <c r="I114" s="2"/>
      <c r="J114" s="2"/>
    </row>
    <row r="115" spans="2:10">
      <c r="B115" s="12" t="s">
        <v>132</v>
      </c>
      <c r="C115" s="13" t="s">
        <v>293</v>
      </c>
      <c r="I115" s="2"/>
      <c r="J115" s="2"/>
    </row>
    <row r="116" spans="2:10">
      <c r="B116" s="12" t="s">
        <v>133</v>
      </c>
      <c r="C116" s="13" t="s">
        <v>294</v>
      </c>
      <c r="I116" s="2"/>
      <c r="J116" s="2"/>
    </row>
    <row r="117" spans="2:10">
      <c r="B117" s="12" t="s">
        <v>134</v>
      </c>
      <c r="C117" s="13" t="s">
        <v>295</v>
      </c>
      <c r="I117" s="2"/>
      <c r="J117" s="2"/>
    </row>
    <row r="118" spans="2:10">
      <c r="B118" s="12" t="s">
        <v>135</v>
      </c>
      <c r="C118" s="13" t="s">
        <v>296</v>
      </c>
      <c r="I118" s="2"/>
      <c r="J118" s="2"/>
    </row>
    <row r="119" spans="2:10">
      <c r="B119" s="12" t="s">
        <v>136</v>
      </c>
      <c r="C119" s="13" t="s">
        <v>297</v>
      </c>
      <c r="I119" s="2"/>
      <c r="J119" s="2"/>
    </row>
    <row r="120" spans="2:10">
      <c r="B120" s="12" t="s">
        <v>137</v>
      </c>
      <c r="C120" s="13" t="s">
        <v>298</v>
      </c>
      <c r="I120" s="2"/>
      <c r="J120" s="2"/>
    </row>
    <row r="121" spans="2:10">
      <c r="B121" s="12" t="s">
        <v>138</v>
      </c>
      <c r="C121" s="13" t="s">
        <v>299</v>
      </c>
      <c r="I121" s="2"/>
      <c r="J121" s="2"/>
    </row>
    <row r="122" spans="2:10">
      <c r="B122" s="12" t="s">
        <v>139</v>
      </c>
      <c r="C122" s="13" t="s">
        <v>300</v>
      </c>
      <c r="I122" s="2"/>
      <c r="J122" s="2"/>
    </row>
    <row r="123" spans="2:10">
      <c r="B123" s="12" t="s">
        <v>140</v>
      </c>
      <c r="C123" s="13" t="s">
        <v>301</v>
      </c>
      <c r="I123" s="2"/>
      <c r="J123" s="2"/>
    </row>
    <row r="124" spans="2:10">
      <c r="B124" s="12" t="s">
        <v>141</v>
      </c>
      <c r="C124" s="13" t="s">
        <v>302</v>
      </c>
      <c r="I124" s="2"/>
      <c r="J124" s="2"/>
    </row>
    <row r="125" spans="2:10">
      <c r="B125" s="12" t="s">
        <v>142</v>
      </c>
      <c r="C125" s="13" t="s">
        <v>303</v>
      </c>
      <c r="I125" s="2"/>
      <c r="J125" s="2"/>
    </row>
    <row r="126" spans="2:10">
      <c r="B126" s="12" t="s">
        <v>143</v>
      </c>
      <c r="C126" s="13" t="s">
        <v>304</v>
      </c>
      <c r="I126" s="2"/>
      <c r="J126" s="2"/>
    </row>
    <row r="127" spans="2:10">
      <c r="B127" s="12" t="s">
        <v>144</v>
      </c>
      <c r="C127" s="13" t="s">
        <v>305</v>
      </c>
      <c r="I127" s="2"/>
      <c r="J127" s="2"/>
    </row>
    <row r="128" spans="2:10">
      <c r="B128" s="12" t="s">
        <v>145</v>
      </c>
      <c r="C128" s="13" t="s">
        <v>306</v>
      </c>
      <c r="I128" s="2"/>
      <c r="J128" s="2"/>
    </row>
    <row r="129" spans="2:10">
      <c r="B129" s="12" t="s">
        <v>146</v>
      </c>
      <c r="C129" s="13" t="s">
        <v>307</v>
      </c>
      <c r="I129" s="2"/>
      <c r="J129" s="2"/>
    </row>
    <row r="130" spans="2:10">
      <c r="B130" s="12" t="s">
        <v>147</v>
      </c>
      <c r="C130" s="13" t="s">
        <v>308</v>
      </c>
      <c r="I130" s="2"/>
      <c r="J130" s="2"/>
    </row>
    <row r="131" spans="2:10">
      <c r="B131" s="12" t="s">
        <v>68</v>
      </c>
      <c r="C131" s="13" t="s">
        <v>309</v>
      </c>
      <c r="I131" s="2"/>
      <c r="J131" s="2"/>
    </row>
    <row r="132" spans="2:10">
      <c r="B132" s="12" t="s">
        <v>148</v>
      </c>
      <c r="C132" s="13" t="s">
        <v>310</v>
      </c>
      <c r="I132" s="2"/>
      <c r="J132" s="2"/>
    </row>
    <row r="133" spans="2:10">
      <c r="B133" s="12" t="s">
        <v>149</v>
      </c>
      <c r="C133" s="13" t="s">
        <v>311</v>
      </c>
      <c r="I133" s="2"/>
      <c r="J133" s="2"/>
    </row>
    <row r="134" spans="2:10">
      <c r="B134" s="12" t="s">
        <v>150</v>
      </c>
      <c r="C134" s="13" t="s">
        <v>312</v>
      </c>
      <c r="I134" s="2"/>
      <c r="J134" s="2"/>
    </row>
    <row r="135" spans="2:10">
      <c r="B135" s="12" t="s">
        <v>151</v>
      </c>
      <c r="C135" s="13" t="s">
        <v>313</v>
      </c>
      <c r="I135" s="2"/>
      <c r="J135" s="2"/>
    </row>
    <row r="136" spans="2:10">
      <c r="B136" s="12" t="s">
        <v>152</v>
      </c>
      <c r="C136" s="13" t="s">
        <v>314</v>
      </c>
      <c r="I136" s="2"/>
      <c r="J136" s="2"/>
    </row>
    <row r="137" spans="2:10">
      <c r="B137" s="12" t="s">
        <v>153</v>
      </c>
      <c r="C137" s="13" t="s">
        <v>315</v>
      </c>
      <c r="I137" s="2"/>
      <c r="J137" s="2"/>
    </row>
    <row r="138" spans="2:10">
      <c r="B138" s="12" t="s">
        <v>154</v>
      </c>
      <c r="C138" s="13" t="s">
        <v>316</v>
      </c>
      <c r="I138" s="2"/>
      <c r="J138" s="2"/>
    </row>
    <row r="139" spans="2:10">
      <c r="B139" s="12" t="s">
        <v>155</v>
      </c>
      <c r="C139" s="13" t="s">
        <v>317</v>
      </c>
      <c r="I139" s="2"/>
      <c r="J139" s="2"/>
    </row>
    <row r="140" spans="2:10">
      <c r="B140" s="12" t="s">
        <v>156</v>
      </c>
      <c r="C140" s="13" t="s">
        <v>318</v>
      </c>
      <c r="I140" s="2"/>
      <c r="J140" s="2"/>
    </row>
    <row r="141" spans="2:10">
      <c r="B141" s="12" t="s">
        <v>157</v>
      </c>
      <c r="C141" s="13" t="s">
        <v>319</v>
      </c>
      <c r="I141" s="2"/>
      <c r="J141" s="2"/>
    </row>
    <row r="142" spans="2:10">
      <c r="B142" s="12" t="s">
        <v>158</v>
      </c>
      <c r="C142" s="13" t="s">
        <v>320</v>
      </c>
      <c r="I142" s="2"/>
      <c r="J142" s="2"/>
    </row>
    <row r="143" spans="2:10">
      <c r="B143" s="12" t="s">
        <v>159</v>
      </c>
      <c r="C143" s="13" t="s">
        <v>321</v>
      </c>
      <c r="I143" s="2"/>
      <c r="J143" s="2"/>
    </row>
    <row r="144" spans="2:10">
      <c r="B144" s="12" t="s">
        <v>160</v>
      </c>
      <c r="C144" s="13" t="s">
        <v>322</v>
      </c>
      <c r="I144" s="2"/>
      <c r="J144" s="2"/>
    </row>
    <row r="145" spans="2:10">
      <c r="B145" s="12" t="s">
        <v>161</v>
      </c>
      <c r="C145" s="13" t="s">
        <v>323</v>
      </c>
      <c r="I145" s="2"/>
      <c r="J145" s="2"/>
    </row>
    <row r="146" spans="2:10">
      <c r="B146" s="12" t="s">
        <v>162</v>
      </c>
      <c r="C146" s="13" t="s">
        <v>324</v>
      </c>
      <c r="I146" s="2"/>
      <c r="J146" s="2"/>
    </row>
    <row r="147" spans="2:10">
      <c r="B147" s="12" t="s">
        <v>68</v>
      </c>
      <c r="C147" s="13" t="s">
        <v>325</v>
      </c>
      <c r="I147" s="2"/>
      <c r="J147" s="2"/>
    </row>
    <row r="148" spans="2:10">
      <c r="B148" s="12" t="s">
        <v>163</v>
      </c>
      <c r="C148" s="13" t="s">
        <v>326</v>
      </c>
      <c r="I148" s="2"/>
      <c r="J148" s="2"/>
    </row>
    <row r="149" spans="2:10">
      <c r="B149" s="12" t="s">
        <v>164</v>
      </c>
      <c r="C149" s="13" t="s">
        <v>327</v>
      </c>
      <c r="I149" s="2"/>
      <c r="J149" s="2"/>
    </row>
    <row r="150" spans="2:10">
      <c r="B150" s="12" t="s">
        <v>165</v>
      </c>
      <c r="C150" s="13" t="s">
        <v>328</v>
      </c>
      <c r="I150" s="2"/>
      <c r="J150" s="2"/>
    </row>
    <row r="151" spans="2:10">
      <c r="B151" s="12" t="s">
        <v>166</v>
      </c>
      <c r="C151" s="13" t="s">
        <v>329</v>
      </c>
      <c r="I151" s="2"/>
      <c r="J151" s="2"/>
    </row>
    <row r="152" spans="2:10">
      <c r="B152" s="12" t="s">
        <v>167</v>
      </c>
      <c r="C152" s="13" t="s">
        <v>330</v>
      </c>
      <c r="I152" s="2"/>
      <c r="J152" s="2"/>
    </row>
    <row r="153" spans="2:10">
      <c r="B153" s="12" t="s">
        <v>168</v>
      </c>
      <c r="C153" s="13" t="s">
        <v>331</v>
      </c>
      <c r="I153" s="2"/>
      <c r="J153" s="2"/>
    </row>
    <row r="154" spans="2:10">
      <c r="B154" s="12" t="s">
        <v>169</v>
      </c>
      <c r="C154" s="13" t="s">
        <v>332</v>
      </c>
      <c r="I154" s="2"/>
      <c r="J154" s="2"/>
    </row>
    <row r="155" spans="2:10">
      <c r="B155" s="12" t="s">
        <v>170</v>
      </c>
      <c r="C155" s="13" t="s">
        <v>333</v>
      </c>
      <c r="I155" s="2"/>
      <c r="J155" s="2"/>
    </row>
    <row r="156" spans="2:10">
      <c r="B156" s="12" t="s">
        <v>171</v>
      </c>
      <c r="C156" s="13" t="s">
        <v>334</v>
      </c>
      <c r="I156" s="2"/>
      <c r="J156" s="2"/>
    </row>
    <row r="157" spans="2:10">
      <c r="B157" s="12" t="s">
        <v>172</v>
      </c>
      <c r="C157" s="13" t="s">
        <v>335</v>
      </c>
      <c r="I157" s="2"/>
      <c r="J157" s="2"/>
    </row>
    <row r="158" spans="2:10">
      <c r="B158" s="12" t="s">
        <v>173</v>
      </c>
      <c r="C158" s="13" t="s">
        <v>336</v>
      </c>
      <c r="I158" s="2"/>
      <c r="J158" s="2"/>
    </row>
    <row r="159" spans="2:10">
      <c r="B159" s="12" t="s">
        <v>174</v>
      </c>
      <c r="C159" s="13" t="s">
        <v>337</v>
      </c>
      <c r="I159" s="2"/>
      <c r="J159" s="2"/>
    </row>
    <row r="160" spans="2:10">
      <c r="B160" s="12" t="s">
        <v>175</v>
      </c>
      <c r="C160" s="13" t="s">
        <v>338</v>
      </c>
      <c r="I160" s="2"/>
      <c r="J160" s="2"/>
    </row>
    <row r="161" spans="2:10">
      <c r="B161" s="12" t="s">
        <v>176</v>
      </c>
      <c r="C161" s="13" t="s">
        <v>339</v>
      </c>
      <c r="I161" s="2"/>
      <c r="J161" s="2"/>
    </row>
    <row r="162" spans="2:10">
      <c r="B162" s="12" t="s">
        <v>177</v>
      </c>
      <c r="C162" s="13" t="s">
        <v>340</v>
      </c>
      <c r="I162" s="2"/>
      <c r="J162" s="2"/>
    </row>
    <row r="163" spans="2:10">
      <c r="B163" s="12" t="s">
        <v>178</v>
      </c>
      <c r="C163" s="13" t="s">
        <v>341</v>
      </c>
      <c r="I163" s="2"/>
      <c r="J163" s="2"/>
    </row>
    <row r="164" spans="2:10">
      <c r="B164" s="12" t="s">
        <v>179</v>
      </c>
      <c r="C164" s="13" t="s">
        <v>342</v>
      </c>
      <c r="I164" s="2"/>
      <c r="J164" s="2"/>
    </row>
    <row r="165" spans="2:10">
      <c r="B165" s="12" t="s">
        <v>180</v>
      </c>
      <c r="C165" s="13" t="s">
        <v>343</v>
      </c>
      <c r="I165" s="2"/>
      <c r="J165" s="2"/>
    </row>
    <row r="166" spans="2:10">
      <c r="B166" s="12" t="s">
        <v>181</v>
      </c>
      <c r="C166" s="13" t="s">
        <v>344</v>
      </c>
      <c r="I166" s="2"/>
      <c r="J166" s="2"/>
    </row>
    <row r="167" spans="2:10" ht="15.75" thickBot="1">
      <c r="B167" s="14" t="s">
        <v>180</v>
      </c>
      <c r="C167" s="15" t="s">
        <v>345</v>
      </c>
      <c r="I167" s="2"/>
      <c r="J167" s="2"/>
    </row>
    <row r="168" spans="2:10">
      <c r="I168" s="2"/>
      <c r="J168" s="2"/>
    </row>
    <row r="169" spans="2:10">
      <c r="I169" s="2"/>
      <c r="J169" s="2"/>
    </row>
    <row r="170" spans="2:10">
      <c r="I170" s="2"/>
      <c r="J170" s="2"/>
    </row>
    <row r="171" spans="2:10">
      <c r="I171" s="2"/>
      <c r="J171" s="2"/>
    </row>
    <row r="172" spans="2:10">
      <c r="I172" s="2"/>
      <c r="J172" s="2"/>
    </row>
    <row r="173" spans="2:10">
      <c r="I173" s="2"/>
      <c r="J173" s="2"/>
    </row>
    <row r="174" spans="2:10">
      <c r="I174" s="2"/>
      <c r="J174" s="2"/>
    </row>
    <row r="175" spans="2:10">
      <c r="I175" s="2"/>
      <c r="J175" s="2"/>
    </row>
    <row r="176" spans="2:10">
      <c r="I176" s="2"/>
      <c r="J176" s="2"/>
    </row>
    <row r="177" spans="9:10">
      <c r="I177" s="2"/>
      <c r="J177" s="2"/>
    </row>
    <row r="178" spans="9:10">
      <c r="I178" s="2"/>
      <c r="J178" s="2"/>
    </row>
    <row r="179" spans="9:10">
      <c r="I179" s="2"/>
      <c r="J179" s="2"/>
    </row>
    <row r="180" spans="9:10">
      <c r="I180" s="2"/>
      <c r="J180" s="2"/>
    </row>
    <row r="181" spans="9:10">
      <c r="I181" s="2"/>
      <c r="J181" s="2"/>
    </row>
    <row r="182" spans="9:10">
      <c r="I182" s="2"/>
      <c r="J182" s="2"/>
    </row>
    <row r="183" spans="9:10">
      <c r="I183" s="2"/>
      <c r="J183" s="2"/>
    </row>
    <row r="184" spans="9:10">
      <c r="I184" s="2"/>
      <c r="J184" s="2"/>
    </row>
    <row r="185" spans="9:10">
      <c r="I185" s="2"/>
      <c r="J185" s="2"/>
    </row>
    <row r="186" spans="9:10">
      <c r="I186" s="2"/>
      <c r="J186" s="2"/>
    </row>
    <row r="187" spans="9:10">
      <c r="I187" s="2"/>
      <c r="J187" s="2"/>
    </row>
    <row r="188" spans="9:10">
      <c r="I188" s="2"/>
      <c r="J188" s="2"/>
    </row>
    <row r="189" spans="9:10">
      <c r="I189" s="2"/>
      <c r="J189" s="2"/>
    </row>
    <row r="190" spans="9:10">
      <c r="I190" s="2"/>
      <c r="J190" s="2"/>
    </row>
    <row r="191" spans="9:10">
      <c r="I191" s="2"/>
      <c r="J191" s="2"/>
    </row>
    <row r="192" spans="9:10">
      <c r="I192" s="2"/>
      <c r="J192" s="2"/>
    </row>
    <row r="193" spans="9:10">
      <c r="I193" s="2"/>
      <c r="J193" s="2"/>
    </row>
    <row r="194" spans="9:10">
      <c r="I194" s="2"/>
      <c r="J194" s="2"/>
    </row>
    <row r="195" spans="9:10">
      <c r="I195" s="2"/>
      <c r="J195" s="2"/>
    </row>
    <row r="196" spans="9:10">
      <c r="I196" s="2"/>
      <c r="J196" s="2"/>
    </row>
    <row r="197" spans="9:10">
      <c r="I197" s="2"/>
      <c r="J197" s="2"/>
    </row>
    <row r="198" spans="9:10">
      <c r="I198" s="2"/>
      <c r="J198" s="2"/>
    </row>
    <row r="199" spans="9:10">
      <c r="I199" s="2"/>
      <c r="J199" s="2"/>
    </row>
    <row r="200" spans="9:10">
      <c r="I200" s="2"/>
      <c r="J200" s="2"/>
    </row>
    <row r="201" spans="9:10">
      <c r="I201" s="2"/>
      <c r="J201" s="2"/>
    </row>
    <row r="202" spans="9:10">
      <c r="I202" s="2"/>
      <c r="J202" s="2"/>
    </row>
    <row r="203" spans="9:10">
      <c r="I203" s="2"/>
      <c r="J203" s="2"/>
    </row>
    <row r="204" spans="9:10">
      <c r="I204" s="2"/>
      <c r="J204" s="2"/>
    </row>
    <row r="205" spans="9:10">
      <c r="I205" s="2"/>
      <c r="J205" s="2"/>
    </row>
    <row r="206" spans="9:10">
      <c r="I206" s="2"/>
      <c r="J206" s="2"/>
    </row>
    <row r="207" spans="9:10">
      <c r="I207" s="2"/>
      <c r="J207" s="2"/>
    </row>
    <row r="208" spans="9:10">
      <c r="I208" s="2"/>
      <c r="J208" s="2"/>
    </row>
    <row r="209" spans="9:10">
      <c r="I209" s="2"/>
      <c r="J209" s="2"/>
    </row>
    <row r="210" spans="9:10">
      <c r="I210" s="2"/>
      <c r="J210" s="2"/>
    </row>
    <row r="211" spans="9:10">
      <c r="I211" s="2"/>
      <c r="J211" s="2"/>
    </row>
    <row r="212" spans="9:10">
      <c r="I212" s="2"/>
      <c r="J212" s="2"/>
    </row>
    <row r="213" spans="9:10">
      <c r="I213" s="2"/>
      <c r="J213" s="2"/>
    </row>
    <row r="214" spans="9:10">
      <c r="I214" s="2"/>
      <c r="J214" s="2"/>
    </row>
    <row r="215" spans="9:10">
      <c r="I215" s="2"/>
      <c r="J215" s="2"/>
    </row>
    <row r="216" spans="9:10">
      <c r="I216" s="2"/>
      <c r="J216" s="2"/>
    </row>
    <row r="217" spans="9:10">
      <c r="I217" s="2"/>
      <c r="J217" s="2"/>
    </row>
    <row r="218" spans="9:10">
      <c r="I218" s="2"/>
      <c r="J218" s="2"/>
    </row>
    <row r="219" spans="9:10">
      <c r="I219" s="2"/>
      <c r="J219" s="2"/>
    </row>
    <row r="220" spans="9:10">
      <c r="I220" s="2"/>
      <c r="J220" s="2"/>
    </row>
    <row r="221" spans="9:10">
      <c r="I221" s="2"/>
      <c r="J221" s="2"/>
    </row>
    <row r="222" spans="9:10">
      <c r="I222" s="2"/>
      <c r="J222" s="2"/>
    </row>
    <row r="223" spans="9:10">
      <c r="I223" s="2"/>
      <c r="J223" s="2"/>
    </row>
    <row r="224" spans="9:10">
      <c r="I224" s="2"/>
      <c r="J224" s="2"/>
    </row>
    <row r="225" spans="9:10">
      <c r="I225" s="2"/>
      <c r="J225" s="2"/>
    </row>
    <row r="226" spans="9:10">
      <c r="I226" s="2"/>
      <c r="J226" s="2"/>
    </row>
    <row r="227" spans="9:10">
      <c r="I227" s="2"/>
      <c r="J227" s="2"/>
    </row>
    <row r="228" spans="9:10">
      <c r="I228" s="2"/>
      <c r="J228" s="2"/>
    </row>
    <row r="229" spans="9:10">
      <c r="I229" s="2"/>
      <c r="J229" s="2"/>
    </row>
    <row r="230" spans="9:10">
      <c r="I230" s="2"/>
      <c r="J230" s="2"/>
    </row>
    <row r="231" spans="9:10">
      <c r="I231" s="2"/>
      <c r="J231" s="2"/>
    </row>
    <row r="232" spans="9:10">
      <c r="I232" s="2"/>
      <c r="J232" s="2"/>
    </row>
    <row r="233" spans="9:10">
      <c r="I233" s="2"/>
      <c r="J233" s="2"/>
    </row>
    <row r="234" spans="9:10">
      <c r="I234" s="2"/>
      <c r="J234" s="2"/>
    </row>
    <row r="235" spans="9:10">
      <c r="I235" s="2"/>
      <c r="J235" s="2"/>
    </row>
    <row r="236" spans="9:10">
      <c r="I236" s="2"/>
      <c r="J236" s="2"/>
    </row>
    <row r="237" spans="9:10">
      <c r="I237" s="2"/>
      <c r="J237" s="2"/>
    </row>
    <row r="238" spans="9:10">
      <c r="I238" s="2"/>
      <c r="J238" s="2"/>
    </row>
    <row r="239" spans="9:10">
      <c r="I239" s="2"/>
      <c r="J239" s="2"/>
    </row>
    <row r="240" spans="9:10">
      <c r="I240" s="2"/>
      <c r="J240" s="2"/>
    </row>
    <row r="241" spans="9:10">
      <c r="I241" s="2"/>
      <c r="J241" s="2"/>
    </row>
    <row r="242" spans="9:10">
      <c r="I242" s="2"/>
      <c r="J242" s="2"/>
    </row>
    <row r="243" spans="9:10">
      <c r="I243" s="2"/>
      <c r="J243" s="2"/>
    </row>
    <row r="244" spans="9:10">
      <c r="I244" s="2"/>
      <c r="J244" s="2"/>
    </row>
    <row r="245" spans="9:10">
      <c r="I245" s="2"/>
      <c r="J245" s="2"/>
    </row>
    <row r="246" spans="9:10">
      <c r="I246" s="2"/>
      <c r="J246" s="2"/>
    </row>
    <row r="247" spans="9:10">
      <c r="I247" s="2"/>
      <c r="J247" s="2"/>
    </row>
    <row r="248" spans="9:10">
      <c r="I248" s="2"/>
      <c r="J248" s="2"/>
    </row>
    <row r="249" spans="9:10">
      <c r="I249" s="2"/>
      <c r="J249" s="2"/>
    </row>
    <row r="250" spans="9:10">
      <c r="I250" s="2"/>
      <c r="J250" s="2"/>
    </row>
    <row r="251" spans="9:10">
      <c r="I251" s="2"/>
      <c r="J251" s="2"/>
    </row>
    <row r="252" spans="9:10">
      <c r="I252" s="2"/>
      <c r="J252" s="2"/>
    </row>
    <row r="253" spans="9:10">
      <c r="I253" s="2"/>
      <c r="J253" s="2"/>
    </row>
    <row r="254" spans="9:10">
      <c r="I254" s="2"/>
      <c r="J254" s="2"/>
    </row>
    <row r="255" spans="9:10">
      <c r="I255" s="2"/>
      <c r="J255" s="2"/>
    </row>
    <row r="256" spans="9:10">
      <c r="I256" s="2"/>
      <c r="J256" s="2"/>
    </row>
    <row r="257" spans="9:10">
      <c r="I257" s="2"/>
      <c r="J257" s="2"/>
    </row>
    <row r="258" spans="9:10">
      <c r="I258" s="2"/>
      <c r="J258" s="2"/>
    </row>
    <row r="259" spans="9:10">
      <c r="I259" s="2"/>
      <c r="J259" s="2"/>
    </row>
    <row r="260" spans="9:10">
      <c r="I260" s="2"/>
      <c r="J260" s="2"/>
    </row>
    <row r="261" spans="9:10">
      <c r="I261" s="2"/>
      <c r="J261" s="2"/>
    </row>
    <row r="262" spans="9:10">
      <c r="I262" s="2"/>
      <c r="J262" s="2"/>
    </row>
    <row r="263" spans="9:10">
      <c r="I263" s="2"/>
      <c r="J263" s="2"/>
    </row>
    <row r="264" spans="9:10">
      <c r="I264" s="2"/>
      <c r="J264" s="2"/>
    </row>
    <row r="265" spans="9:10">
      <c r="I265" s="2"/>
      <c r="J265" s="2"/>
    </row>
    <row r="266" spans="9:10">
      <c r="I266" s="2"/>
      <c r="J266" s="2"/>
    </row>
    <row r="267" spans="9:10">
      <c r="I267" s="2"/>
      <c r="J267" s="2"/>
    </row>
    <row r="268" spans="9:10">
      <c r="I268" s="2"/>
      <c r="J268" s="2"/>
    </row>
    <row r="269" spans="9:10">
      <c r="I269" s="2"/>
      <c r="J269" s="2"/>
    </row>
    <row r="270" spans="9:10">
      <c r="I270" s="2"/>
      <c r="J270" s="2"/>
    </row>
    <row r="271" spans="9:10">
      <c r="I271" s="2"/>
      <c r="J271" s="2"/>
    </row>
    <row r="272" spans="9:10">
      <c r="I272" s="2"/>
      <c r="J272" s="2"/>
    </row>
    <row r="273" spans="9:10">
      <c r="I273" s="2"/>
      <c r="J273" s="2"/>
    </row>
    <row r="274" spans="9:10">
      <c r="I274" s="2"/>
      <c r="J274" s="2"/>
    </row>
    <row r="275" spans="9:10">
      <c r="I275" s="2"/>
      <c r="J275" s="2"/>
    </row>
    <row r="276" spans="9:10">
      <c r="I276" s="2"/>
      <c r="J276" s="2"/>
    </row>
    <row r="277" spans="9:10">
      <c r="I277" s="2"/>
      <c r="J277" s="2"/>
    </row>
    <row r="278" spans="9:10">
      <c r="I278" s="2"/>
      <c r="J278" s="2"/>
    </row>
    <row r="279" spans="9:10">
      <c r="I279" s="2"/>
      <c r="J279" s="2"/>
    </row>
    <row r="280" spans="9:10">
      <c r="I280" s="2"/>
      <c r="J280" s="2"/>
    </row>
    <row r="281" spans="9:10">
      <c r="I281" s="2"/>
      <c r="J281" s="2"/>
    </row>
    <row r="282" spans="9:10">
      <c r="I282" s="2"/>
      <c r="J282" s="2"/>
    </row>
    <row r="283" spans="9:10">
      <c r="I283" s="2"/>
      <c r="J283" s="2"/>
    </row>
    <row r="284" spans="9:10">
      <c r="I284" s="2"/>
      <c r="J284" s="2"/>
    </row>
    <row r="285" spans="9:10">
      <c r="I285" s="2"/>
      <c r="J285" s="2"/>
    </row>
    <row r="286" spans="9:10">
      <c r="I286" s="2"/>
      <c r="J286" s="2"/>
    </row>
    <row r="287" spans="9:10">
      <c r="I287" s="2"/>
      <c r="J287" s="2"/>
    </row>
    <row r="288" spans="9:10">
      <c r="I288" s="2"/>
      <c r="J288" s="2"/>
    </row>
    <row r="289" spans="9:10">
      <c r="I289" s="2"/>
      <c r="J289" s="2"/>
    </row>
    <row r="290" spans="9:10">
      <c r="I290" s="2"/>
      <c r="J290" s="2"/>
    </row>
    <row r="291" spans="9:10">
      <c r="I291" s="2"/>
      <c r="J291" s="2"/>
    </row>
    <row r="292" spans="9:10">
      <c r="I292" s="2"/>
      <c r="J292" s="2"/>
    </row>
    <row r="293" spans="9:10">
      <c r="I293" s="2"/>
      <c r="J293" s="2"/>
    </row>
    <row r="294" spans="9:10">
      <c r="I294" s="2"/>
      <c r="J294" s="2"/>
    </row>
    <row r="295" spans="9:10">
      <c r="I295" s="2"/>
      <c r="J295" s="2"/>
    </row>
    <row r="296" spans="9:10">
      <c r="I296" s="2"/>
      <c r="J296" s="2"/>
    </row>
    <row r="297" spans="9:10">
      <c r="I297" s="2"/>
      <c r="J297" s="2"/>
    </row>
    <row r="298" spans="9:10">
      <c r="I298" s="2"/>
      <c r="J298" s="2"/>
    </row>
    <row r="299" spans="9:10">
      <c r="I299" s="2"/>
      <c r="J299" s="2"/>
    </row>
    <row r="300" spans="9:10">
      <c r="I300" s="2"/>
      <c r="J300" s="2"/>
    </row>
    <row r="301" spans="9:10">
      <c r="I301" s="2"/>
      <c r="J301" s="2"/>
    </row>
    <row r="302" spans="9:10">
      <c r="I302" s="2"/>
      <c r="J302" s="2"/>
    </row>
    <row r="303" spans="9:10">
      <c r="I303" s="2"/>
      <c r="J303" s="2"/>
    </row>
    <row r="304" spans="9:10">
      <c r="I304" s="2"/>
      <c r="J304" s="2"/>
    </row>
    <row r="305" spans="9:10">
      <c r="I305" s="2"/>
      <c r="J305" s="2"/>
    </row>
    <row r="306" spans="9:10">
      <c r="I306" s="2"/>
      <c r="J306" s="2"/>
    </row>
    <row r="307" spans="9:10">
      <c r="I307" s="2"/>
      <c r="J307" s="2"/>
    </row>
    <row r="308" spans="9:10">
      <c r="I308" s="2"/>
      <c r="J308" s="2"/>
    </row>
    <row r="309" spans="9:10">
      <c r="I309" s="2"/>
      <c r="J309" s="2"/>
    </row>
    <row r="310" spans="9:10">
      <c r="I310" s="2"/>
      <c r="J310" s="2"/>
    </row>
    <row r="311" spans="9:10">
      <c r="I311" s="2"/>
      <c r="J311" s="2"/>
    </row>
    <row r="312" spans="9:10">
      <c r="I312" s="2"/>
      <c r="J312" s="2"/>
    </row>
    <row r="313" spans="9:10">
      <c r="I313" s="2"/>
      <c r="J313" s="2"/>
    </row>
    <row r="314" spans="9:10">
      <c r="I314" s="2"/>
      <c r="J314" s="2"/>
    </row>
    <row r="315" spans="9:10">
      <c r="I315" s="2"/>
      <c r="J315" s="2"/>
    </row>
    <row r="316" spans="9:10">
      <c r="I316" s="2"/>
      <c r="J316" s="2"/>
    </row>
    <row r="317" spans="9:10">
      <c r="I317" s="2"/>
      <c r="J317" s="2"/>
    </row>
    <row r="318" spans="9:10">
      <c r="I318" s="2"/>
      <c r="J318" s="2"/>
    </row>
    <row r="319" spans="9:10">
      <c r="I319" s="2"/>
      <c r="J319" s="2"/>
    </row>
    <row r="320" spans="9:10">
      <c r="I320" s="2"/>
      <c r="J320" s="2"/>
    </row>
    <row r="321" spans="9:10">
      <c r="I321" s="2"/>
      <c r="J321" s="2"/>
    </row>
    <row r="322" spans="9:10">
      <c r="I322" s="2"/>
      <c r="J322" s="2"/>
    </row>
    <row r="323" spans="9:10">
      <c r="I323" s="2"/>
      <c r="J323" s="2"/>
    </row>
    <row r="324" spans="9:10">
      <c r="I324" s="2"/>
      <c r="J324" s="2"/>
    </row>
    <row r="325" spans="9:10">
      <c r="I325" s="2"/>
      <c r="J325" s="2"/>
    </row>
    <row r="326" spans="9:10">
      <c r="I326" s="2"/>
      <c r="J326" s="2"/>
    </row>
    <row r="327" spans="9:10">
      <c r="I327" s="2"/>
      <c r="J327" s="2"/>
    </row>
    <row r="328" spans="9:10">
      <c r="I328" s="2"/>
      <c r="J328" s="2"/>
    </row>
    <row r="329" spans="9:10">
      <c r="I329" s="2"/>
      <c r="J329" s="2"/>
    </row>
    <row r="330" spans="9:10">
      <c r="I330" s="2"/>
      <c r="J330" s="2"/>
    </row>
    <row r="331" spans="9:10">
      <c r="I331" s="2"/>
      <c r="J331" s="2"/>
    </row>
    <row r="332" spans="9:10">
      <c r="I332" s="2"/>
      <c r="J332" s="2"/>
    </row>
    <row r="333" spans="9:10">
      <c r="I333" s="2"/>
      <c r="J333" s="2"/>
    </row>
    <row r="334" spans="9:10">
      <c r="I334" s="2"/>
      <c r="J334" s="2"/>
    </row>
    <row r="335" spans="9:10">
      <c r="I335" s="2"/>
      <c r="J335" s="2"/>
    </row>
    <row r="336" spans="9:10">
      <c r="I336" s="2"/>
      <c r="J336" s="2"/>
    </row>
    <row r="337" spans="9:10">
      <c r="I337" s="2"/>
      <c r="J337" s="2"/>
    </row>
    <row r="338" spans="9:10">
      <c r="I338" s="2"/>
      <c r="J338" s="2"/>
    </row>
    <row r="339" spans="9:10">
      <c r="I339" s="2"/>
      <c r="J339" s="2"/>
    </row>
    <row r="340" spans="9:10">
      <c r="I340" s="2"/>
      <c r="J340" s="2"/>
    </row>
    <row r="341" spans="9:10">
      <c r="I341" s="2"/>
      <c r="J341" s="2"/>
    </row>
    <row r="342" spans="9:10">
      <c r="I342" s="2"/>
      <c r="J342" s="2"/>
    </row>
    <row r="343" spans="9:10">
      <c r="I343" s="2"/>
      <c r="J343" s="2"/>
    </row>
    <row r="344" spans="9:10">
      <c r="I344" s="2"/>
      <c r="J344" s="2"/>
    </row>
    <row r="345" spans="9:10">
      <c r="I345" s="2"/>
      <c r="J345" s="2"/>
    </row>
    <row r="346" spans="9:10">
      <c r="I346" s="2"/>
      <c r="J346" s="2"/>
    </row>
    <row r="347" spans="9:10">
      <c r="I347" s="2"/>
      <c r="J347" s="2"/>
    </row>
    <row r="348" spans="9:10">
      <c r="I348" s="2"/>
      <c r="J348" s="2"/>
    </row>
    <row r="349" spans="9:10">
      <c r="I349" s="2"/>
      <c r="J349" s="2"/>
    </row>
    <row r="350" spans="9:10">
      <c r="I350" s="2"/>
      <c r="J350" s="2"/>
    </row>
    <row r="351" spans="9:10">
      <c r="I351" s="2"/>
      <c r="J351" s="2"/>
    </row>
    <row r="352" spans="9:10">
      <c r="I352" s="2"/>
      <c r="J352" s="2"/>
    </row>
    <row r="353" spans="9:10">
      <c r="I353" s="2"/>
      <c r="J353" s="2"/>
    </row>
    <row r="354" spans="9:10">
      <c r="I354" s="2"/>
      <c r="J354" s="2"/>
    </row>
    <row r="355" spans="9:10">
      <c r="I355" s="2"/>
      <c r="J355" s="2"/>
    </row>
    <row r="356" spans="9:10">
      <c r="I356" s="2"/>
      <c r="J356" s="2"/>
    </row>
    <row r="357" spans="9:10">
      <c r="I357" s="2"/>
      <c r="J357" s="2"/>
    </row>
    <row r="358" spans="9:10">
      <c r="I358" s="2"/>
      <c r="J358" s="2"/>
    </row>
    <row r="359" spans="9:10">
      <c r="I359" s="2"/>
      <c r="J359" s="2"/>
    </row>
    <row r="360" spans="9:10">
      <c r="I360" s="2"/>
      <c r="J360" s="2"/>
    </row>
    <row r="361" spans="9:10">
      <c r="I361" s="2"/>
      <c r="J361" s="2"/>
    </row>
    <row r="362" spans="9:10">
      <c r="I362" s="2"/>
      <c r="J362" s="2"/>
    </row>
    <row r="363" spans="9:10">
      <c r="I363" s="2"/>
      <c r="J363" s="2"/>
    </row>
    <row r="364" spans="9:10">
      <c r="I364" s="2"/>
      <c r="J364" s="2"/>
    </row>
    <row r="365" spans="9:10">
      <c r="I365" s="2"/>
      <c r="J365" s="2"/>
    </row>
    <row r="366" spans="9:10">
      <c r="I366" s="2"/>
      <c r="J366" s="2"/>
    </row>
    <row r="367" spans="9:10">
      <c r="I367" s="2"/>
      <c r="J367" s="2"/>
    </row>
    <row r="368" spans="9:10">
      <c r="I368" s="2"/>
      <c r="J368" s="2"/>
    </row>
    <row r="369" spans="9:10">
      <c r="I369" s="2"/>
      <c r="J369" s="2"/>
    </row>
    <row r="370" spans="9:10">
      <c r="I370" s="2"/>
      <c r="J370" s="2"/>
    </row>
    <row r="371" spans="9:10">
      <c r="I371" s="2"/>
      <c r="J371" s="2"/>
    </row>
    <row r="372" spans="9:10">
      <c r="I372" s="2"/>
      <c r="J372" s="2"/>
    </row>
    <row r="373" spans="9:10">
      <c r="I373" s="2"/>
      <c r="J373" s="2"/>
    </row>
    <row r="374" spans="9:10">
      <c r="I374" s="2"/>
      <c r="J374" s="2"/>
    </row>
    <row r="375" spans="9:10">
      <c r="I375" s="2"/>
      <c r="J375" s="2"/>
    </row>
    <row r="376" spans="9:10">
      <c r="I376" s="2"/>
      <c r="J376" s="2"/>
    </row>
    <row r="377" spans="9:10">
      <c r="I377" s="2"/>
      <c r="J377" s="2"/>
    </row>
    <row r="378" spans="9:10">
      <c r="I378" s="2"/>
      <c r="J378" s="2"/>
    </row>
    <row r="379" spans="9:10">
      <c r="I379" s="2"/>
      <c r="J379" s="2"/>
    </row>
    <row r="380" spans="9:10">
      <c r="I380" s="2"/>
      <c r="J380" s="2"/>
    </row>
    <row r="381" spans="9:10">
      <c r="I381" s="2"/>
      <c r="J381" s="2"/>
    </row>
    <row r="382" spans="9:10">
      <c r="I382" s="2"/>
      <c r="J382" s="2"/>
    </row>
    <row r="383" spans="9:10">
      <c r="I383" s="2"/>
      <c r="J383" s="2"/>
    </row>
    <row r="384" spans="9:10">
      <c r="I384" s="2"/>
      <c r="J384" s="2"/>
    </row>
    <row r="385" spans="9:10">
      <c r="I385" s="2"/>
      <c r="J385" s="2"/>
    </row>
    <row r="386" spans="9:10">
      <c r="I386" s="2"/>
      <c r="J386" s="2"/>
    </row>
    <row r="387" spans="9:10">
      <c r="I387" s="2"/>
      <c r="J387" s="2"/>
    </row>
    <row r="388" spans="9:10">
      <c r="I388" s="2"/>
      <c r="J388" s="2"/>
    </row>
    <row r="389" spans="9:10">
      <c r="I389" s="2"/>
      <c r="J389" s="2"/>
    </row>
    <row r="390" spans="9:10">
      <c r="I390" s="2"/>
      <c r="J390" s="2"/>
    </row>
    <row r="391" spans="9:10">
      <c r="I391" s="2"/>
      <c r="J391" s="2"/>
    </row>
    <row r="392" spans="9:10">
      <c r="I392" s="2"/>
      <c r="J392" s="2"/>
    </row>
    <row r="393" spans="9:10">
      <c r="I393" s="2"/>
      <c r="J393" s="2"/>
    </row>
    <row r="394" spans="9:10">
      <c r="I394" s="2"/>
      <c r="J394" s="2"/>
    </row>
    <row r="395" spans="9:10">
      <c r="I395" s="2"/>
      <c r="J395" s="2"/>
    </row>
    <row r="396" spans="9:10">
      <c r="I396" s="2"/>
      <c r="J396" s="2"/>
    </row>
    <row r="397" spans="9:10">
      <c r="I397" s="2"/>
      <c r="J397" s="2"/>
    </row>
    <row r="398" spans="9:10">
      <c r="I398" s="2"/>
      <c r="J398" s="2"/>
    </row>
    <row r="399" spans="9:10">
      <c r="I399" s="2"/>
      <c r="J399" s="2"/>
    </row>
    <row r="400" spans="9:10">
      <c r="I400" s="2"/>
      <c r="J400" s="2"/>
    </row>
    <row r="401" spans="9:10">
      <c r="I401" s="2"/>
      <c r="J401" s="2"/>
    </row>
    <row r="402" spans="9:10">
      <c r="I402" s="2"/>
      <c r="J402" s="2"/>
    </row>
    <row r="403" spans="9:10">
      <c r="I403" s="2"/>
      <c r="J403" s="2"/>
    </row>
    <row r="404" spans="9:10">
      <c r="I404" s="2"/>
      <c r="J404" s="2"/>
    </row>
    <row r="405" spans="9:10">
      <c r="I405" s="2"/>
      <c r="J405" s="2"/>
    </row>
    <row r="406" spans="9:10">
      <c r="I406" s="2"/>
      <c r="J406" s="2"/>
    </row>
    <row r="407" spans="9:10">
      <c r="I407" s="2"/>
      <c r="J407" s="2"/>
    </row>
    <row r="408" spans="9:10">
      <c r="I408" s="2"/>
      <c r="J408" s="2"/>
    </row>
    <row r="409" spans="9:10">
      <c r="I409" s="2"/>
      <c r="J409" s="2"/>
    </row>
    <row r="410" spans="9:10">
      <c r="I410" s="2"/>
      <c r="J410" s="2"/>
    </row>
    <row r="411" spans="9:10">
      <c r="I411" s="2"/>
      <c r="J411" s="2"/>
    </row>
    <row r="412" spans="9:10">
      <c r="I412" s="2"/>
      <c r="J412" s="2"/>
    </row>
    <row r="413" spans="9:10">
      <c r="I413" s="2"/>
      <c r="J413" s="2"/>
    </row>
    <row r="414" spans="9:10">
      <c r="I414" s="2"/>
      <c r="J414" s="2"/>
    </row>
    <row r="415" spans="9:10">
      <c r="I415" s="2"/>
      <c r="J415" s="2"/>
    </row>
    <row r="416" spans="9:10">
      <c r="I416" s="2"/>
      <c r="J416" s="2"/>
    </row>
    <row r="417" spans="9:10">
      <c r="I417" s="2"/>
      <c r="J417" s="2"/>
    </row>
    <row r="418" spans="9:10">
      <c r="I418" s="2"/>
      <c r="J418" s="2"/>
    </row>
    <row r="419" spans="9:10">
      <c r="I419" s="2"/>
      <c r="J419" s="2"/>
    </row>
    <row r="420" spans="9:10">
      <c r="I420" s="2"/>
      <c r="J420" s="2"/>
    </row>
    <row r="421" spans="9:10">
      <c r="I421" s="2"/>
      <c r="J421" s="2"/>
    </row>
    <row r="422" spans="9:10">
      <c r="I422" s="2"/>
      <c r="J422" s="2"/>
    </row>
    <row r="423" spans="9:10">
      <c r="I423" s="2"/>
      <c r="J423" s="2"/>
    </row>
    <row r="424" spans="9:10">
      <c r="I424" s="2"/>
      <c r="J424" s="2"/>
    </row>
    <row r="425" spans="9:10">
      <c r="I425" s="2"/>
      <c r="J425" s="2"/>
    </row>
    <row r="426" spans="9:10">
      <c r="I426" s="2"/>
      <c r="J426" s="2"/>
    </row>
    <row r="427" spans="9:10">
      <c r="I427" s="2"/>
      <c r="J427" s="2"/>
    </row>
    <row r="428" spans="9:10">
      <c r="I428" s="2"/>
      <c r="J428" s="2"/>
    </row>
    <row r="429" spans="9:10">
      <c r="I429" s="2"/>
      <c r="J429" s="2"/>
    </row>
    <row r="430" spans="9:10">
      <c r="I430" s="2"/>
      <c r="J430" s="2"/>
    </row>
    <row r="431" spans="9:10">
      <c r="I431" s="2"/>
      <c r="J431" s="2"/>
    </row>
    <row r="432" spans="9:10">
      <c r="I432" s="2"/>
      <c r="J432" s="2"/>
    </row>
    <row r="433" spans="9:10">
      <c r="I433" s="2"/>
      <c r="J433" s="2"/>
    </row>
    <row r="434" spans="9:10">
      <c r="I434" s="2"/>
      <c r="J434" s="2"/>
    </row>
    <row r="435" spans="9:10">
      <c r="I435" s="2"/>
      <c r="J435" s="2"/>
    </row>
    <row r="436" spans="9:10">
      <c r="I436" s="2"/>
      <c r="J436" s="2"/>
    </row>
    <row r="437" spans="9:10">
      <c r="I437" s="2"/>
      <c r="J437" s="2"/>
    </row>
    <row r="438" spans="9:10">
      <c r="I438" s="2"/>
      <c r="J438" s="2"/>
    </row>
    <row r="439" spans="9:10">
      <c r="I439" s="2"/>
      <c r="J439" s="2"/>
    </row>
    <row r="440" spans="9:10">
      <c r="I440" s="2"/>
      <c r="J440" s="2"/>
    </row>
    <row r="441" spans="9:10">
      <c r="I441" s="2"/>
      <c r="J441" s="2"/>
    </row>
    <row r="442" spans="9:10">
      <c r="I442" s="2"/>
      <c r="J442" s="2"/>
    </row>
    <row r="443" spans="9:10">
      <c r="I443" s="2"/>
      <c r="J443" s="2"/>
    </row>
    <row r="444" spans="9:10">
      <c r="I444" s="2"/>
      <c r="J444" s="2"/>
    </row>
    <row r="445" spans="9:10">
      <c r="I445" s="2"/>
      <c r="J445" s="2"/>
    </row>
    <row r="446" spans="9:10">
      <c r="I446" s="2"/>
      <c r="J446" s="2"/>
    </row>
    <row r="447" spans="9:10">
      <c r="I447" s="2"/>
      <c r="J447" s="2"/>
    </row>
    <row r="448" spans="9:10">
      <c r="I448" s="2"/>
      <c r="J448" s="2"/>
    </row>
    <row r="449" spans="9:10">
      <c r="I449" s="2"/>
      <c r="J449" s="2"/>
    </row>
    <row r="450" spans="9:10">
      <c r="I450" s="2"/>
      <c r="J450" s="2"/>
    </row>
    <row r="451" spans="9:10">
      <c r="I451" s="2"/>
      <c r="J451" s="2"/>
    </row>
    <row r="452" spans="9:10">
      <c r="I452" s="2"/>
      <c r="J452" s="2"/>
    </row>
    <row r="453" spans="9:10">
      <c r="I453" s="2"/>
      <c r="J453" s="2"/>
    </row>
    <row r="454" spans="9:10">
      <c r="I454" s="2"/>
      <c r="J454" s="2"/>
    </row>
    <row r="455" spans="9:10">
      <c r="I455" s="2"/>
      <c r="J455" s="2"/>
    </row>
    <row r="456" spans="9:10">
      <c r="I456" s="2"/>
      <c r="J456" s="2"/>
    </row>
    <row r="457" spans="9:10">
      <c r="I457" s="2"/>
      <c r="J457" s="2"/>
    </row>
    <row r="458" spans="9:10">
      <c r="I458" s="2"/>
      <c r="J458" s="2"/>
    </row>
    <row r="459" spans="9:10">
      <c r="I459" s="2"/>
      <c r="J459" s="2"/>
    </row>
    <row r="460" spans="9:10">
      <c r="I460" s="2"/>
      <c r="J460" s="2"/>
    </row>
    <row r="461" spans="9:10">
      <c r="I461" s="2"/>
      <c r="J461" s="2"/>
    </row>
    <row r="462" spans="9:10">
      <c r="I462" s="2"/>
      <c r="J462" s="2"/>
    </row>
    <row r="463" spans="9:10">
      <c r="I463" s="2"/>
      <c r="J463" s="2"/>
    </row>
    <row r="464" spans="9:10">
      <c r="I464" s="2"/>
      <c r="J464" s="2"/>
    </row>
    <row r="465" spans="9:10">
      <c r="I465" s="2"/>
      <c r="J465" s="2"/>
    </row>
    <row r="466" spans="9:10">
      <c r="I466" s="2"/>
      <c r="J466" s="2"/>
    </row>
    <row r="467" spans="9:10">
      <c r="I467" s="2"/>
      <c r="J467" s="2"/>
    </row>
    <row r="468" spans="9:10">
      <c r="I468" s="2"/>
      <c r="J468" s="2"/>
    </row>
    <row r="469" spans="9:10">
      <c r="I469" s="2"/>
      <c r="J469" s="2"/>
    </row>
    <row r="470" spans="9:10">
      <c r="I470" s="2"/>
      <c r="J470" s="2"/>
    </row>
    <row r="471" spans="9:10">
      <c r="I471" s="2"/>
      <c r="J471" s="2"/>
    </row>
    <row r="472" spans="9:10">
      <c r="I472" s="2"/>
      <c r="J472" s="2"/>
    </row>
    <row r="473" spans="9:10">
      <c r="I473" s="2"/>
      <c r="J473" s="2"/>
    </row>
    <row r="474" spans="9:10">
      <c r="I474" s="2"/>
      <c r="J474" s="2"/>
    </row>
    <row r="475" spans="9:10">
      <c r="I475" s="2"/>
      <c r="J475" s="2"/>
    </row>
    <row r="476" spans="9:10">
      <c r="I476" s="2"/>
      <c r="J476" s="2"/>
    </row>
    <row r="477" spans="9:10">
      <c r="I477" s="2"/>
      <c r="J477" s="2"/>
    </row>
    <row r="478" spans="9:10">
      <c r="I478" s="2"/>
      <c r="J478" s="2"/>
    </row>
    <row r="479" spans="9:10">
      <c r="I479" s="2"/>
      <c r="J479" s="2"/>
    </row>
    <row r="480" spans="9:10">
      <c r="I480" s="2"/>
      <c r="J480" s="2"/>
    </row>
    <row r="481" spans="9:10">
      <c r="I481" s="2"/>
      <c r="J481" s="2"/>
    </row>
    <row r="482" spans="9:10">
      <c r="I482" s="2"/>
      <c r="J482" s="2"/>
    </row>
    <row r="483" spans="9:10">
      <c r="I483" s="2"/>
      <c r="J483" s="2"/>
    </row>
    <row r="484" spans="9:10">
      <c r="I484" s="2"/>
      <c r="J484" s="2"/>
    </row>
    <row r="485" spans="9:10">
      <c r="I485" s="2"/>
      <c r="J485" s="2"/>
    </row>
    <row r="486" spans="9:10">
      <c r="I486" s="2"/>
      <c r="J486" s="2"/>
    </row>
    <row r="487" spans="9:10">
      <c r="I487" s="2"/>
      <c r="J487" s="2"/>
    </row>
    <row r="488" spans="9:10">
      <c r="I488" s="2"/>
      <c r="J488" s="2"/>
    </row>
    <row r="489" spans="9:10">
      <c r="I489" s="2"/>
      <c r="J489" s="2"/>
    </row>
    <row r="490" spans="9:10">
      <c r="I490" s="2"/>
      <c r="J490" s="2"/>
    </row>
    <row r="491" spans="9:10">
      <c r="I491" s="2"/>
      <c r="J491" s="2"/>
    </row>
    <row r="492" spans="9:10">
      <c r="I492" s="2"/>
      <c r="J492" s="2"/>
    </row>
    <row r="493" spans="9:10">
      <c r="I493" s="2"/>
      <c r="J493" s="2"/>
    </row>
    <row r="494" spans="9:10">
      <c r="I494" s="2"/>
      <c r="J494" s="2"/>
    </row>
    <row r="495" spans="9:10">
      <c r="I495" s="2"/>
      <c r="J495" s="2"/>
    </row>
    <row r="496" spans="9:10">
      <c r="I496" s="2"/>
      <c r="J496" s="2"/>
    </row>
    <row r="497" spans="9:10">
      <c r="I497" s="2"/>
      <c r="J497" s="2"/>
    </row>
    <row r="498" spans="9:10">
      <c r="I498" s="2"/>
      <c r="J498" s="2"/>
    </row>
    <row r="499" spans="9:10">
      <c r="I499" s="2"/>
      <c r="J499" s="2"/>
    </row>
    <row r="500" spans="9:10">
      <c r="I500" s="2"/>
      <c r="J500" s="2"/>
    </row>
    <row r="501" spans="9:10">
      <c r="I501" s="2"/>
      <c r="J501" s="2"/>
    </row>
    <row r="502" spans="9:10">
      <c r="I502" s="2"/>
      <c r="J502" s="2"/>
    </row>
    <row r="503" spans="9:10">
      <c r="I503" s="2"/>
      <c r="J503" s="2"/>
    </row>
    <row r="504" spans="9:10">
      <c r="I504" s="2"/>
      <c r="J504" s="2"/>
    </row>
    <row r="505" spans="9:10">
      <c r="I505" s="2"/>
      <c r="J505" s="2"/>
    </row>
    <row r="506" spans="9:10">
      <c r="I506" s="2"/>
      <c r="J506" s="2"/>
    </row>
    <row r="507" spans="9:10">
      <c r="I507" s="2"/>
      <c r="J507" s="2"/>
    </row>
    <row r="508" spans="9:10">
      <c r="I508" s="2"/>
      <c r="J508" s="2"/>
    </row>
    <row r="509" spans="9:10">
      <c r="I509" s="2"/>
      <c r="J509" s="2"/>
    </row>
    <row r="510" spans="9:10">
      <c r="I510" s="2"/>
      <c r="J510" s="2"/>
    </row>
    <row r="511" spans="9:10">
      <c r="I511" s="2"/>
      <c r="J511" s="2"/>
    </row>
    <row r="512" spans="9:10">
      <c r="I512" s="2"/>
      <c r="J512" s="2"/>
    </row>
    <row r="513" spans="9:10">
      <c r="I513" s="2"/>
      <c r="J513" s="2"/>
    </row>
    <row r="514" spans="9:10">
      <c r="I514" s="2"/>
      <c r="J514" s="2"/>
    </row>
    <row r="515" spans="9:10">
      <c r="I515" s="2"/>
      <c r="J515" s="2"/>
    </row>
    <row r="516" spans="9:10">
      <c r="I516" s="2"/>
      <c r="J516" s="2"/>
    </row>
    <row r="517" spans="9:10">
      <c r="I517" s="2"/>
      <c r="J517" s="2"/>
    </row>
    <row r="518" spans="9:10">
      <c r="I518" s="2"/>
      <c r="J518" s="2"/>
    </row>
    <row r="519" spans="9:10">
      <c r="I519" s="2"/>
      <c r="J519" s="2"/>
    </row>
    <row r="520" spans="9:10">
      <c r="I520" s="2"/>
      <c r="J520" s="2"/>
    </row>
    <row r="521" spans="9:10">
      <c r="I521" s="2"/>
      <c r="J521" s="2"/>
    </row>
    <row r="522" spans="9:10">
      <c r="I522" s="2"/>
      <c r="J522" s="2"/>
    </row>
    <row r="523" spans="9:10">
      <c r="I523" s="2"/>
      <c r="J523" s="2"/>
    </row>
    <row r="524" spans="9:10">
      <c r="I524" s="2"/>
      <c r="J524" s="2"/>
    </row>
    <row r="525" spans="9:10">
      <c r="I525" s="2"/>
      <c r="J525" s="2"/>
    </row>
    <row r="526" spans="9:10">
      <c r="I526" s="2"/>
      <c r="J526" s="2"/>
    </row>
    <row r="527" spans="9:10">
      <c r="I527" s="2"/>
      <c r="J527" s="2"/>
    </row>
    <row r="528" spans="9:10">
      <c r="I528" s="2"/>
      <c r="J528" s="2"/>
    </row>
    <row r="529" spans="9:10">
      <c r="I529" s="2"/>
      <c r="J529" s="2"/>
    </row>
    <row r="530" spans="9:10">
      <c r="I530" s="2"/>
      <c r="J530" s="2"/>
    </row>
    <row r="531" spans="9:10">
      <c r="I531" s="2"/>
      <c r="J531" s="2"/>
    </row>
    <row r="532" spans="9:10">
      <c r="I532" s="2"/>
      <c r="J532" s="2"/>
    </row>
    <row r="533" spans="9:10">
      <c r="I533" s="2"/>
      <c r="J533" s="2"/>
    </row>
    <row r="534" spans="9:10">
      <c r="I534" s="2"/>
      <c r="J534" s="2"/>
    </row>
    <row r="535" spans="9:10">
      <c r="I535" s="2"/>
      <c r="J535" s="2"/>
    </row>
    <row r="536" spans="9:10">
      <c r="I536" s="2"/>
      <c r="J536" s="2"/>
    </row>
    <row r="537" spans="9:10">
      <c r="I537" s="2"/>
      <c r="J537" s="2"/>
    </row>
    <row r="538" spans="9:10">
      <c r="I538" s="2"/>
      <c r="J538" s="2"/>
    </row>
    <row r="539" spans="9:10">
      <c r="I539" s="2"/>
      <c r="J539" s="2"/>
    </row>
    <row r="540" spans="9:10">
      <c r="I540" s="2"/>
      <c r="J540" s="2"/>
    </row>
    <row r="541" spans="9:10">
      <c r="I541" s="2"/>
      <c r="J541" s="2"/>
    </row>
    <row r="542" spans="9:10">
      <c r="I542" s="2"/>
      <c r="J542" s="2"/>
    </row>
    <row r="543" spans="9:10">
      <c r="I543" s="2"/>
      <c r="J543" s="2"/>
    </row>
    <row r="544" spans="9:10">
      <c r="I544" s="2"/>
      <c r="J544" s="2"/>
    </row>
    <row r="545" spans="9:10">
      <c r="I545" s="2"/>
      <c r="J545" s="2"/>
    </row>
    <row r="546" spans="9:10">
      <c r="I546" s="2"/>
      <c r="J546" s="2"/>
    </row>
    <row r="547" spans="9:10">
      <c r="I547" s="2"/>
      <c r="J547" s="2"/>
    </row>
    <row r="548" spans="9:10">
      <c r="I548" s="2"/>
      <c r="J548" s="2"/>
    </row>
    <row r="549" spans="9:10">
      <c r="I549" s="2"/>
      <c r="J549" s="2"/>
    </row>
    <row r="550" spans="9:10">
      <c r="I550" s="2"/>
      <c r="J550" s="2"/>
    </row>
    <row r="551" spans="9:10">
      <c r="I551" s="2"/>
      <c r="J551" s="2"/>
    </row>
    <row r="552" spans="9:10">
      <c r="I552" s="2"/>
      <c r="J552" s="2"/>
    </row>
    <row r="553" spans="9:10">
      <c r="I553" s="2"/>
      <c r="J553" s="2"/>
    </row>
    <row r="554" spans="9:10">
      <c r="I554" s="2"/>
      <c r="J554" s="2"/>
    </row>
    <row r="555" spans="9:10">
      <c r="I555" s="2"/>
      <c r="J555" s="2"/>
    </row>
    <row r="556" spans="9:10">
      <c r="I556" s="2"/>
      <c r="J556" s="2"/>
    </row>
    <row r="557" spans="9:10">
      <c r="I557" s="2"/>
      <c r="J557" s="2"/>
    </row>
    <row r="558" spans="9:10">
      <c r="I558" s="2"/>
      <c r="J558" s="2"/>
    </row>
    <row r="559" spans="9:10">
      <c r="I559" s="2"/>
      <c r="J559" s="2"/>
    </row>
    <row r="560" spans="9:10">
      <c r="I560" s="2"/>
      <c r="J560" s="2"/>
    </row>
    <row r="561" spans="9:10">
      <c r="I561" s="2"/>
      <c r="J561" s="2"/>
    </row>
    <row r="562" spans="9:10">
      <c r="I562" s="2"/>
      <c r="J562" s="2"/>
    </row>
    <row r="563" spans="9:10">
      <c r="I563" s="2"/>
      <c r="J563" s="2"/>
    </row>
    <row r="564" spans="9:10">
      <c r="I564" s="2"/>
      <c r="J564" s="2"/>
    </row>
    <row r="565" spans="9:10">
      <c r="I565" s="2"/>
      <c r="J565" s="2"/>
    </row>
    <row r="566" spans="9:10">
      <c r="I566" s="2"/>
      <c r="J566" s="2"/>
    </row>
    <row r="567" spans="9:10">
      <c r="I567" s="2"/>
      <c r="J567" s="2"/>
    </row>
    <row r="568" spans="9:10">
      <c r="I568" s="2"/>
      <c r="J568" s="2"/>
    </row>
    <row r="569" spans="9:10">
      <c r="I569" s="2"/>
      <c r="J569" s="2"/>
    </row>
    <row r="570" spans="9:10">
      <c r="I570" s="2"/>
      <c r="J570" s="2"/>
    </row>
    <row r="571" spans="9:10">
      <c r="I571" s="2"/>
      <c r="J571" s="2"/>
    </row>
    <row r="572" spans="9:10">
      <c r="I572" s="2"/>
      <c r="J572" s="2"/>
    </row>
    <row r="573" spans="9:10">
      <c r="I573" s="2"/>
      <c r="J573" s="2"/>
    </row>
    <row r="574" spans="9:10">
      <c r="I574" s="2"/>
      <c r="J574" s="2"/>
    </row>
    <row r="575" spans="9:10">
      <c r="I575" s="2"/>
      <c r="J575" s="2"/>
    </row>
    <row r="576" spans="9:10">
      <c r="I576" s="2"/>
      <c r="J576" s="2"/>
    </row>
    <row r="577" spans="9:10">
      <c r="I577" s="2"/>
      <c r="J577" s="2"/>
    </row>
    <row r="578" spans="9:10">
      <c r="I578" s="2"/>
      <c r="J578" s="2"/>
    </row>
    <row r="579" spans="9:10">
      <c r="I579" s="2"/>
      <c r="J579" s="2"/>
    </row>
    <row r="580" spans="9:10">
      <c r="I580" s="2"/>
      <c r="J580" s="2"/>
    </row>
    <row r="581" spans="9:10">
      <c r="I581" s="2"/>
      <c r="J581" s="2"/>
    </row>
    <row r="582" spans="9:10">
      <c r="I582" s="2"/>
      <c r="J582" s="2"/>
    </row>
    <row r="583" spans="9:10">
      <c r="I583" s="2"/>
      <c r="J583" s="2"/>
    </row>
    <row r="584" spans="9:10">
      <c r="I584" s="2"/>
      <c r="J584" s="2"/>
    </row>
    <row r="585" spans="9:10">
      <c r="I585" s="2"/>
      <c r="J585" s="2"/>
    </row>
    <row r="586" spans="9:10">
      <c r="I586" s="2"/>
      <c r="J586" s="2"/>
    </row>
    <row r="587" spans="9:10">
      <c r="I587" s="2"/>
      <c r="J587" s="2"/>
    </row>
    <row r="588" spans="9:10">
      <c r="I588" s="2"/>
      <c r="J588" s="2"/>
    </row>
    <row r="589" spans="9:10">
      <c r="I589" s="2"/>
      <c r="J589" s="2"/>
    </row>
    <row r="590" spans="9:10">
      <c r="I590" s="2"/>
      <c r="J590" s="2"/>
    </row>
    <row r="591" spans="9:10">
      <c r="I591" s="2"/>
      <c r="J591" s="2"/>
    </row>
    <row r="592" spans="9:10">
      <c r="I592" s="2"/>
      <c r="J592" s="2"/>
    </row>
    <row r="593" spans="9:10">
      <c r="I593" s="2"/>
      <c r="J593" s="2"/>
    </row>
    <row r="594" spans="9:10">
      <c r="I594" s="2"/>
      <c r="J594" s="2"/>
    </row>
    <row r="595" spans="9:10">
      <c r="I595" s="2"/>
      <c r="J595" s="2"/>
    </row>
    <row r="596" spans="9:10">
      <c r="I596" s="2"/>
      <c r="J596" s="2"/>
    </row>
    <row r="597" spans="9:10">
      <c r="I597" s="2"/>
      <c r="J597" s="2"/>
    </row>
    <row r="598" spans="9:10">
      <c r="I598" s="2"/>
      <c r="J598" s="2"/>
    </row>
    <row r="599" spans="9:10">
      <c r="I599" s="2"/>
      <c r="J599" s="2"/>
    </row>
    <row r="600" spans="9:10">
      <c r="I600" s="2"/>
      <c r="J600" s="2"/>
    </row>
    <row r="601" spans="9:10">
      <c r="I601" s="2"/>
      <c r="J601" s="2"/>
    </row>
    <row r="602" spans="9:10">
      <c r="I602" s="2"/>
      <c r="J602" s="2"/>
    </row>
    <row r="603" spans="9:10">
      <c r="I603" s="2"/>
      <c r="J603" s="2"/>
    </row>
    <row r="604" spans="9:10">
      <c r="I604" s="2"/>
      <c r="J604" s="2"/>
    </row>
    <row r="605" spans="9:10">
      <c r="I605" s="2"/>
      <c r="J605" s="2"/>
    </row>
    <row r="606" spans="9:10">
      <c r="I606" s="2"/>
      <c r="J606" s="2"/>
    </row>
    <row r="607" spans="9:10">
      <c r="I607" s="2"/>
      <c r="J607" s="2"/>
    </row>
    <row r="608" spans="9:10">
      <c r="I608" s="2"/>
      <c r="J608" s="2"/>
    </row>
    <row r="609" spans="9:10">
      <c r="I609" s="2"/>
      <c r="J609" s="2"/>
    </row>
    <row r="610" spans="9:10">
      <c r="I610" s="2"/>
      <c r="J610" s="2"/>
    </row>
    <row r="611" spans="9:10">
      <c r="I611" s="2"/>
      <c r="J611" s="2"/>
    </row>
    <row r="612" spans="9:10">
      <c r="I612" s="2"/>
      <c r="J612" s="2"/>
    </row>
    <row r="613" spans="9:10">
      <c r="I613" s="2"/>
      <c r="J613" s="2"/>
    </row>
    <row r="614" spans="9:10">
      <c r="I614" s="2"/>
      <c r="J614" s="2"/>
    </row>
    <row r="615" spans="9:10">
      <c r="I615" s="2"/>
      <c r="J615" s="2"/>
    </row>
    <row r="616" spans="9:10">
      <c r="I616" s="2"/>
      <c r="J616" s="2"/>
    </row>
    <row r="617" spans="9:10">
      <c r="I617" s="2"/>
      <c r="J617" s="2"/>
    </row>
    <row r="618" spans="9:10">
      <c r="I618" s="2"/>
      <c r="J618" s="2"/>
    </row>
    <row r="619" spans="9:10">
      <c r="I619" s="2"/>
      <c r="J619" s="2"/>
    </row>
    <row r="620" spans="9:10">
      <c r="I620" s="2"/>
      <c r="J620" s="2"/>
    </row>
    <row r="621" spans="9:10">
      <c r="I621" s="2"/>
      <c r="J621" s="2"/>
    </row>
    <row r="622" spans="9:10">
      <c r="I622" s="2"/>
      <c r="J622" s="2"/>
    </row>
    <row r="623" spans="9:10">
      <c r="I623" s="2"/>
      <c r="J623" s="2"/>
    </row>
    <row r="624" spans="9:10">
      <c r="I624" s="2"/>
      <c r="J624" s="2"/>
    </row>
    <row r="625" spans="9:10">
      <c r="I625" s="2"/>
      <c r="J625" s="2"/>
    </row>
    <row r="626" spans="9:10">
      <c r="I626" s="2"/>
      <c r="J626" s="2"/>
    </row>
    <row r="627" spans="9:10">
      <c r="I627" s="2"/>
      <c r="J627" s="2"/>
    </row>
    <row r="628" spans="9:10">
      <c r="I628" s="2"/>
      <c r="J628" s="2"/>
    </row>
    <row r="629" spans="9:10">
      <c r="I629" s="2"/>
      <c r="J629" s="2"/>
    </row>
    <row r="630" spans="9:10">
      <c r="I630" s="2"/>
      <c r="J630" s="2"/>
    </row>
    <row r="631" spans="9:10">
      <c r="I631" s="2"/>
      <c r="J631" s="2"/>
    </row>
    <row r="632" spans="9:10">
      <c r="I632" s="2"/>
      <c r="J632" s="2"/>
    </row>
    <row r="633" spans="9:10">
      <c r="I633" s="2"/>
      <c r="J633" s="2"/>
    </row>
    <row r="634" spans="9:10">
      <c r="I634" s="2"/>
      <c r="J634" s="2"/>
    </row>
    <row r="635" spans="9:10">
      <c r="I635" s="2"/>
      <c r="J635" s="2"/>
    </row>
    <row r="636" spans="9:10">
      <c r="I636" s="2"/>
      <c r="J636" s="2"/>
    </row>
    <row r="637" spans="9:10">
      <c r="I637" s="2"/>
      <c r="J637" s="2"/>
    </row>
    <row r="638" spans="9:10">
      <c r="I638" s="2"/>
      <c r="J638" s="2"/>
    </row>
    <row r="639" spans="9:10">
      <c r="I639" s="2"/>
      <c r="J639" s="2"/>
    </row>
    <row r="640" spans="9:10">
      <c r="I640" s="2"/>
      <c r="J640" s="2"/>
    </row>
    <row r="641" spans="9:10">
      <c r="I641" s="2"/>
      <c r="J641" s="2"/>
    </row>
    <row r="642" spans="9:10">
      <c r="I642" s="2"/>
      <c r="J642" s="2"/>
    </row>
    <row r="643" spans="9:10">
      <c r="I643" s="2"/>
      <c r="J643" s="2"/>
    </row>
    <row r="644" spans="9:10">
      <c r="I644" s="2"/>
      <c r="J644" s="2"/>
    </row>
    <row r="645" spans="9:10">
      <c r="I645" s="2"/>
      <c r="J645" s="2"/>
    </row>
    <row r="646" spans="9:10">
      <c r="I646" s="2"/>
      <c r="J646" s="2"/>
    </row>
    <row r="647" spans="9:10">
      <c r="I647" s="2"/>
      <c r="J647" s="2"/>
    </row>
    <row r="648" spans="9:10">
      <c r="I648" s="2"/>
      <c r="J648" s="2"/>
    </row>
    <row r="649" spans="9:10">
      <c r="I649" s="2"/>
      <c r="J649" s="2"/>
    </row>
    <row r="650" spans="9:10">
      <c r="I650" s="2"/>
      <c r="J650" s="2"/>
    </row>
    <row r="651" spans="9:10">
      <c r="I651" s="2"/>
      <c r="J651" s="2"/>
    </row>
    <row r="652" spans="9:10">
      <c r="I652" s="2"/>
      <c r="J652" s="2"/>
    </row>
    <row r="653" spans="9:10">
      <c r="I653" s="2"/>
      <c r="J653" s="2"/>
    </row>
    <row r="654" spans="9:10">
      <c r="I654" s="2"/>
      <c r="J654" s="2"/>
    </row>
    <row r="655" spans="9:10">
      <c r="I655" s="2"/>
      <c r="J655" s="2"/>
    </row>
    <row r="656" spans="9:10">
      <c r="I656" s="2"/>
      <c r="J656" s="2"/>
    </row>
    <row r="657" spans="9:10">
      <c r="I657" s="2"/>
      <c r="J657" s="2"/>
    </row>
    <row r="658" spans="9:10">
      <c r="I658" s="2"/>
      <c r="J658" s="2"/>
    </row>
    <row r="659" spans="9:10">
      <c r="I659" s="2"/>
      <c r="J659" s="2"/>
    </row>
    <row r="660" spans="9:10">
      <c r="I660" s="2"/>
      <c r="J660" s="2"/>
    </row>
    <row r="661" spans="9:10">
      <c r="I661" s="2"/>
      <c r="J661" s="2"/>
    </row>
    <row r="662" spans="9:10">
      <c r="I662" s="2"/>
      <c r="J662" s="2"/>
    </row>
    <row r="663" spans="9:10">
      <c r="I663" s="2"/>
      <c r="J663" s="2"/>
    </row>
    <row r="664" spans="9:10">
      <c r="I664" s="2"/>
      <c r="J664" s="2"/>
    </row>
    <row r="665" spans="9:10">
      <c r="I665" s="2"/>
      <c r="J665" s="2"/>
    </row>
    <row r="666" spans="9:10">
      <c r="I666" s="2"/>
      <c r="J666" s="2"/>
    </row>
    <row r="667" spans="9:10">
      <c r="I667" s="2"/>
      <c r="J667" s="2"/>
    </row>
    <row r="668" spans="9:10">
      <c r="I668" s="2"/>
      <c r="J668" s="2"/>
    </row>
    <row r="669" spans="9:10">
      <c r="I669" s="2"/>
      <c r="J669" s="2"/>
    </row>
    <row r="670" spans="9:10">
      <c r="I670" s="2"/>
      <c r="J670" s="2"/>
    </row>
    <row r="671" spans="9:10">
      <c r="I671" s="2"/>
      <c r="J671" s="2"/>
    </row>
    <row r="672" spans="9:10">
      <c r="I672" s="2"/>
      <c r="J672" s="2"/>
    </row>
    <row r="673" spans="9:10">
      <c r="I673" s="2"/>
      <c r="J673" s="2"/>
    </row>
    <row r="674" spans="9:10">
      <c r="I674" s="2"/>
      <c r="J674" s="2"/>
    </row>
    <row r="675" spans="9:10">
      <c r="I675" s="2"/>
      <c r="J675" s="2"/>
    </row>
    <row r="676" spans="9:10">
      <c r="I676" s="2"/>
      <c r="J676" s="2"/>
    </row>
    <row r="677" spans="9:10">
      <c r="I677" s="2"/>
      <c r="J677" s="2"/>
    </row>
    <row r="678" spans="9:10">
      <c r="I678" s="2"/>
      <c r="J678" s="2"/>
    </row>
    <row r="679" spans="9:10">
      <c r="I679" s="2"/>
      <c r="J679" s="2"/>
    </row>
    <row r="680" spans="9:10">
      <c r="I680" s="2"/>
      <c r="J680" s="2"/>
    </row>
    <row r="681" spans="9:10">
      <c r="I681" s="2"/>
      <c r="J681" s="2"/>
    </row>
    <row r="682" spans="9:10">
      <c r="I682" s="2"/>
      <c r="J682" s="2"/>
    </row>
    <row r="683" spans="9:10">
      <c r="I683" s="2"/>
      <c r="J683" s="2"/>
    </row>
    <row r="684" spans="9:10">
      <c r="I684" s="2"/>
      <c r="J684" s="2"/>
    </row>
    <row r="685" spans="9:10">
      <c r="I685" s="2"/>
      <c r="J685" s="2"/>
    </row>
    <row r="686" spans="9:10">
      <c r="I686" s="2"/>
      <c r="J686" s="2"/>
    </row>
    <row r="687" spans="9:10">
      <c r="I687" s="2"/>
      <c r="J687" s="2"/>
    </row>
    <row r="688" spans="9:10">
      <c r="I688" s="2"/>
      <c r="J688" s="2"/>
    </row>
    <row r="689" spans="9:10">
      <c r="I689" s="2"/>
      <c r="J689" s="2"/>
    </row>
    <row r="690" spans="9:10">
      <c r="I690" s="2"/>
      <c r="J690" s="2"/>
    </row>
    <row r="691" spans="9:10">
      <c r="I691" s="2"/>
      <c r="J691" s="2"/>
    </row>
    <row r="692" spans="9:10">
      <c r="I692" s="2"/>
      <c r="J692" s="2"/>
    </row>
    <row r="693" spans="9:10">
      <c r="I693" s="2"/>
      <c r="J693" s="2"/>
    </row>
    <row r="694" spans="9:10">
      <c r="I694" s="2"/>
      <c r="J694" s="2"/>
    </row>
    <row r="695" spans="9:10">
      <c r="I695" s="2"/>
      <c r="J695" s="2"/>
    </row>
    <row r="696" spans="9:10">
      <c r="I696" s="2"/>
      <c r="J696" s="2"/>
    </row>
    <row r="697" spans="9:10">
      <c r="I697" s="2"/>
      <c r="J697" s="2"/>
    </row>
    <row r="698" spans="9:10">
      <c r="I698" s="2"/>
      <c r="J698" s="2"/>
    </row>
    <row r="699" spans="9:10">
      <c r="I699" s="2"/>
      <c r="J699" s="2"/>
    </row>
    <row r="700" spans="9:10">
      <c r="I700" s="2"/>
      <c r="J700" s="2"/>
    </row>
    <row r="701" spans="9:10">
      <c r="I701" s="2"/>
      <c r="J701" s="2"/>
    </row>
    <row r="702" spans="9:10">
      <c r="I702" s="2"/>
      <c r="J702" s="2"/>
    </row>
    <row r="703" spans="9:10">
      <c r="I703" s="2"/>
      <c r="J703" s="2"/>
    </row>
    <row r="704" spans="9:10">
      <c r="I704" s="2"/>
      <c r="J704" s="2"/>
    </row>
    <row r="705" spans="9:10">
      <c r="I705" s="2"/>
      <c r="J705" s="2"/>
    </row>
    <row r="706" spans="9:10">
      <c r="I706" s="2"/>
      <c r="J706" s="2"/>
    </row>
    <row r="707" spans="9:10">
      <c r="I707" s="2"/>
      <c r="J707" s="2"/>
    </row>
    <row r="708" spans="9:10">
      <c r="I708" s="2"/>
      <c r="J708" s="2"/>
    </row>
    <row r="709" spans="9:10">
      <c r="I709" s="2"/>
      <c r="J709" s="2"/>
    </row>
    <row r="710" spans="9:10">
      <c r="I710" s="2"/>
      <c r="J710" s="2"/>
    </row>
    <row r="711" spans="9:10">
      <c r="I711" s="2"/>
      <c r="J711" s="2"/>
    </row>
    <row r="712" spans="9:10">
      <c r="I712" s="2"/>
      <c r="J712" s="2"/>
    </row>
    <row r="713" spans="9:10">
      <c r="I713" s="2"/>
      <c r="J713" s="2"/>
    </row>
    <row r="714" spans="9:10">
      <c r="I714" s="2"/>
      <c r="J714" s="2"/>
    </row>
    <row r="715" spans="9:10">
      <c r="I715" s="2"/>
      <c r="J715" s="2"/>
    </row>
    <row r="716" spans="9:10">
      <c r="I716" s="2"/>
      <c r="J716" s="2"/>
    </row>
    <row r="717" spans="9:10">
      <c r="I717" s="2"/>
      <c r="J717" s="2"/>
    </row>
    <row r="718" spans="9:10">
      <c r="I718" s="2"/>
      <c r="J718" s="2"/>
    </row>
    <row r="719" spans="9:10">
      <c r="I719" s="2"/>
      <c r="J719" s="2"/>
    </row>
    <row r="720" spans="9:10">
      <c r="I720" s="2"/>
      <c r="J720" s="2"/>
    </row>
    <row r="721" spans="9:10">
      <c r="I721" s="2"/>
      <c r="J721" s="2"/>
    </row>
    <row r="722" spans="9:10">
      <c r="I722" s="2"/>
      <c r="J722" s="2"/>
    </row>
    <row r="723" spans="9:10">
      <c r="I723" s="2"/>
      <c r="J723" s="2"/>
    </row>
    <row r="724" spans="9:10">
      <c r="I724" s="2"/>
      <c r="J724" s="2"/>
    </row>
    <row r="725" spans="9:10">
      <c r="I725" s="2"/>
      <c r="J725" s="2"/>
    </row>
    <row r="726" spans="9:10">
      <c r="I726" s="2"/>
      <c r="J726" s="2"/>
    </row>
    <row r="727" spans="9:10">
      <c r="I727" s="2"/>
      <c r="J727" s="2"/>
    </row>
    <row r="728" spans="9:10">
      <c r="I728" s="2"/>
      <c r="J728" s="2"/>
    </row>
    <row r="729" spans="9:10">
      <c r="I729" s="2"/>
      <c r="J729" s="2"/>
    </row>
    <row r="730" spans="9:10">
      <c r="I730" s="2"/>
      <c r="J730" s="2"/>
    </row>
    <row r="731" spans="9:10">
      <c r="I731" s="2"/>
      <c r="J731" s="2"/>
    </row>
    <row r="732" spans="9:10">
      <c r="I732" s="2"/>
      <c r="J732" s="2"/>
    </row>
    <row r="733" spans="9:10">
      <c r="I733" s="2"/>
      <c r="J733" s="2"/>
    </row>
    <row r="734" spans="9:10">
      <c r="I734" s="2"/>
      <c r="J734" s="2"/>
    </row>
    <row r="735" spans="9:10">
      <c r="I735" s="2"/>
      <c r="J735" s="2"/>
    </row>
    <row r="736" spans="9:10">
      <c r="I736" s="2"/>
      <c r="J736" s="2"/>
    </row>
    <row r="737" spans="9:10">
      <c r="I737" s="2"/>
      <c r="J737" s="2"/>
    </row>
    <row r="738" spans="9:10">
      <c r="I738" s="2"/>
      <c r="J738" s="2"/>
    </row>
    <row r="739" spans="9:10">
      <c r="I739" s="2"/>
      <c r="J739" s="2"/>
    </row>
    <row r="740" spans="9:10">
      <c r="I740" s="2"/>
      <c r="J740" s="2"/>
    </row>
    <row r="741" spans="9:10">
      <c r="I741" s="2"/>
      <c r="J741" s="2"/>
    </row>
    <row r="742" spans="9:10">
      <c r="I742" s="2"/>
      <c r="J742" s="2"/>
    </row>
    <row r="743" spans="9:10">
      <c r="I743" s="2"/>
      <c r="J743" s="2"/>
    </row>
    <row r="744" spans="9:10">
      <c r="I744" s="2"/>
      <c r="J744" s="2"/>
    </row>
    <row r="745" spans="9:10">
      <c r="I745" s="2"/>
      <c r="J745" s="2"/>
    </row>
    <row r="746" spans="9:10">
      <c r="I746" s="2"/>
      <c r="J746" s="2"/>
    </row>
    <row r="747" spans="9:10">
      <c r="I747" s="2"/>
      <c r="J747" s="2"/>
    </row>
    <row r="748" spans="9:10">
      <c r="I748" s="2"/>
      <c r="J748" s="2"/>
    </row>
    <row r="749" spans="9:10">
      <c r="I749" s="2"/>
      <c r="J749" s="2"/>
    </row>
    <row r="750" spans="9:10">
      <c r="I750" s="2"/>
      <c r="J750" s="2"/>
    </row>
    <row r="751" spans="9:10">
      <c r="I751" s="2"/>
      <c r="J751" s="2"/>
    </row>
    <row r="752" spans="9:10">
      <c r="I752" s="2"/>
      <c r="J752" s="2"/>
    </row>
    <row r="753" spans="9:10">
      <c r="I753" s="2"/>
      <c r="J753" s="2"/>
    </row>
    <row r="754" spans="9:10">
      <c r="I754" s="2"/>
      <c r="J754" s="2"/>
    </row>
    <row r="755" spans="9:10">
      <c r="I755" s="2"/>
      <c r="J755" s="2"/>
    </row>
    <row r="756" spans="9:10">
      <c r="I756" s="2"/>
      <c r="J756" s="2"/>
    </row>
    <row r="757" spans="9:10">
      <c r="I757" s="2"/>
      <c r="J757" s="2"/>
    </row>
    <row r="758" spans="9:10">
      <c r="I758" s="2"/>
      <c r="J758" s="2"/>
    </row>
    <row r="759" spans="9:10">
      <c r="I759" s="2"/>
      <c r="J759" s="2"/>
    </row>
    <row r="760" spans="9:10">
      <c r="I760" s="2"/>
      <c r="J760" s="2"/>
    </row>
    <row r="761" spans="9:10">
      <c r="I761" s="2"/>
      <c r="J761" s="2"/>
    </row>
    <row r="762" spans="9:10">
      <c r="I762" s="2"/>
      <c r="J762" s="2"/>
    </row>
    <row r="763" spans="9:10">
      <c r="I763" s="2"/>
      <c r="J763" s="2"/>
    </row>
    <row r="764" spans="9:10">
      <c r="I764" s="2"/>
      <c r="J764" s="2"/>
    </row>
    <row r="765" spans="9:10">
      <c r="I765" s="2"/>
      <c r="J765" s="2"/>
    </row>
    <row r="766" spans="9:10">
      <c r="I766" s="2"/>
      <c r="J766" s="2"/>
    </row>
    <row r="767" spans="9:10">
      <c r="I767" s="2"/>
      <c r="J767" s="2"/>
    </row>
    <row r="768" spans="9:10">
      <c r="I768" s="2"/>
      <c r="J768" s="2"/>
    </row>
    <row r="769" spans="9:10">
      <c r="I769" s="2"/>
      <c r="J769" s="2"/>
    </row>
    <row r="770" spans="9:10">
      <c r="I770" s="2"/>
      <c r="J770" s="2"/>
    </row>
    <row r="771" spans="9:10">
      <c r="I771" s="2"/>
      <c r="J771" s="2"/>
    </row>
    <row r="772" spans="9:10">
      <c r="I772" s="2"/>
      <c r="J772" s="2"/>
    </row>
    <row r="773" spans="9:10">
      <c r="I773" s="2"/>
      <c r="J773" s="2"/>
    </row>
    <row r="774" spans="9:10">
      <c r="I774" s="2"/>
      <c r="J774" s="2"/>
    </row>
    <row r="775" spans="9:10">
      <c r="I775" s="2"/>
      <c r="J775" s="2"/>
    </row>
    <row r="776" spans="9:10">
      <c r="I776" s="2"/>
      <c r="J776" s="2"/>
    </row>
    <row r="777" spans="9:10">
      <c r="I777" s="2"/>
      <c r="J777" s="2"/>
    </row>
    <row r="778" spans="9:10">
      <c r="I778" s="2"/>
      <c r="J778" s="2"/>
    </row>
    <row r="779" spans="9:10">
      <c r="I779" s="2"/>
      <c r="J779" s="2"/>
    </row>
    <row r="780" spans="9:10">
      <c r="I780" s="2"/>
      <c r="J780" s="2"/>
    </row>
    <row r="781" spans="9:10">
      <c r="I781" s="2"/>
      <c r="J781" s="2"/>
    </row>
    <row r="782" spans="9:10">
      <c r="I782" s="2"/>
      <c r="J782" s="2"/>
    </row>
    <row r="783" spans="9:10">
      <c r="I783" s="2"/>
      <c r="J783" s="2"/>
    </row>
    <row r="784" spans="9:10">
      <c r="I784" s="2"/>
      <c r="J784" s="2"/>
    </row>
    <row r="785" spans="9:10">
      <c r="I785" s="2"/>
      <c r="J785" s="2"/>
    </row>
    <row r="786" spans="9:10">
      <c r="I786" s="2"/>
      <c r="J786" s="2"/>
    </row>
    <row r="787" spans="9:10">
      <c r="I787" s="2"/>
      <c r="J787" s="2"/>
    </row>
    <row r="788" spans="9:10">
      <c r="I788" s="2"/>
      <c r="J788" s="2"/>
    </row>
    <row r="789" spans="9:10">
      <c r="I789" s="2"/>
      <c r="J789" s="2"/>
    </row>
    <row r="790" spans="9:10">
      <c r="I790" s="2"/>
      <c r="J790" s="2"/>
    </row>
    <row r="791" spans="9:10">
      <c r="I791" s="2"/>
      <c r="J791" s="2"/>
    </row>
    <row r="792" spans="9:10">
      <c r="I792" s="2"/>
      <c r="J792" s="2"/>
    </row>
    <row r="793" spans="9:10">
      <c r="I793" s="2"/>
      <c r="J793" s="2"/>
    </row>
    <row r="794" spans="9:10">
      <c r="I794" s="2"/>
      <c r="J794" s="2"/>
    </row>
    <row r="795" spans="9:10">
      <c r="I795" s="2"/>
      <c r="J795" s="2"/>
    </row>
    <row r="796" spans="9:10">
      <c r="I796" s="2"/>
      <c r="J796" s="2"/>
    </row>
    <row r="797" spans="9:10">
      <c r="I797" s="2"/>
      <c r="J797" s="2"/>
    </row>
    <row r="798" spans="9:10">
      <c r="I798" s="2"/>
      <c r="J798" s="2"/>
    </row>
    <row r="799" spans="9:10">
      <c r="I799" s="2"/>
      <c r="J799" s="2"/>
    </row>
    <row r="800" spans="9:10">
      <c r="I800" s="2"/>
      <c r="J800" s="2"/>
    </row>
    <row r="801" spans="9:10">
      <c r="I801" s="2"/>
      <c r="J801" s="2"/>
    </row>
    <row r="802" spans="9:10">
      <c r="I802" s="2"/>
      <c r="J802" s="2"/>
    </row>
    <row r="803" spans="9:10">
      <c r="I803" s="2"/>
      <c r="J803" s="2"/>
    </row>
    <row r="804" spans="9:10">
      <c r="I804" s="2"/>
      <c r="J804" s="2"/>
    </row>
    <row r="805" spans="9:10">
      <c r="I805" s="2"/>
      <c r="J805" s="2"/>
    </row>
    <row r="806" spans="9:10">
      <c r="I806" s="2"/>
      <c r="J806" s="2"/>
    </row>
    <row r="807" spans="9:10">
      <c r="I807" s="2"/>
      <c r="J807" s="2"/>
    </row>
    <row r="808" spans="9:10">
      <c r="I808" s="2"/>
      <c r="J808" s="2"/>
    </row>
    <row r="809" spans="9:10">
      <c r="I809" s="2"/>
      <c r="J809" s="2"/>
    </row>
    <row r="810" spans="9:10">
      <c r="I810" s="2"/>
      <c r="J810" s="2"/>
    </row>
    <row r="811" spans="9:10">
      <c r="I811" s="2"/>
      <c r="J811" s="2"/>
    </row>
    <row r="812" spans="9:10">
      <c r="I812" s="2"/>
      <c r="J812" s="2"/>
    </row>
    <row r="813" spans="9:10">
      <c r="I813" s="2"/>
      <c r="J813" s="2"/>
    </row>
    <row r="814" spans="9:10">
      <c r="I814" s="2"/>
      <c r="J814" s="2"/>
    </row>
    <row r="815" spans="9:10">
      <c r="I815" s="2"/>
      <c r="J815" s="2"/>
    </row>
    <row r="816" spans="9:10">
      <c r="I816" s="2"/>
      <c r="J816" s="2"/>
    </row>
    <row r="817" spans="9:10">
      <c r="I817" s="2"/>
      <c r="J817" s="2"/>
    </row>
    <row r="818" spans="9:10">
      <c r="I818" s="2"/>
      <c r="J818" s="2"/>
    </row>
    <row r="819" spans="9:10">
      <c r="I819" s="2"/>
      <c r="J819" s="2"/>
    </row>
    <row r="820" spans="9:10">
      <c r="I820" s="2"/>
      <c r="J820" s="2"/>
    </row>
    <row r="821" spans="9:10">
      <c r="I821" s="2"/>
      <c r="J821" s="2"/>
    </row>
    <row r="822" spans="9:10">
      <c r="I822" s="2"/>
      <c r="J822" s="2"/>
    </row>
    <row r="823" spans="9:10">
      <c r="I823" s="2"/>
      <c r="J823" s="2"/>
    </row>
    <row r="824" spans="9:10">
      <c r="I824" s="2"/>
      <c r="J824" s="2"/>
    </row>
    <row r="825" spans="9:10">
      <c r="I825" s="2"/>
      <c r="J825" s="2"/>
    </row>
    <row r="826" spans="9:10">
      <c r="I826" s="2"/>
      <c r="J826" s="2"/>
    </row>
    <row r="827" spans="9:10">
      <c r="I827" s="2"/>
      <c r="J827" s="2"/>
    </row>
    <row r="828" spans="9:10">
      <c r="I828" s="2"/>
      <c r="J828" s="2"/>
    </row>
    <row r="829" spans="9:10">
      <c r="I829" s="2"/>
      <c r="J829" s="2"/>
    </row>
    <row r="830" spans="9:10">
      <c r="I830" s="2"/>
      <c r="J830" s="2"/>
    </row>
    <row r="831" spans="9:10">
      <c r="I831" s="2"/>
      <c r="J831" s="2"/>
    </row>
    <row r="832" spans="9:10">
      <c r="I832" s="2"/>
      <c r="J832" s="2"/>
    </row>
    <row r="833" spans="9:10">
      <c r="I833" s="2"/>
      <c r="J833" s="2"/>
    </row>
    <row r="834" spans="9:10">
      <c r="I834" s="2"/>
      <c r="J834" s="2"/>
    </row>
    <row r="835" spans="9:10">
      <c r="I835" s="2"/>
      <c r="J835" s="2"/>
    </row>
    <row r="836" spans="9:10">
      <c r="I836" s="2"/>
      <c r="J836" s="2"/>
    </row>
    <row r="837" spans="9:10">
      <c r="I837" s="2"/>
      <c r="J837" s="2"/>
    </row>
    <row r="838" spans="9:10">
      <c r="I838" s="2"/>
      <c r="J838" s="2"/>
    </row>
    <row r="839" spans="9:10">
      <c r="I839" s="2"/>
      <c r="J839" s="2"/>
    </row>
    <row r="840" spans="9:10">
      <c r="I840" s="2"/>
      <c r="J840" s="2"/>
    </row>
    <row r="841" spans="9:10">
      <c r="I841" s="2"/>
      <c r="J841" s="2"/>
    </row>
    <row r="842" spans="9:10">
      <c r="I842" s="2"/>
      <c r="J842" s="2"/>
    </row>
    <row r="843" spans="9:10">
      <c r="I843" s="2"/>
      <c r="J843" s="2"/>
    </row>
    <row r="844" spans="9:10">
      <c r="I844" s="2"/>
      <c r="J844" s="2"/>
    </row>
    <row r="845" spans="9:10">
      <c r="I845" s="2"/>
      <c r="J845" s="2"/>
    </row>
    <row r="846" spans="9:10">
      <c r="I846" s="2"/>
      <c r="J846" s="2"/>
    </row>
    <row r="847" spans="9:10">
      <c r="I847" s="2"/>
      <c r="J847" s="2"/>
    </row>
    <row r="848" spans="9:10">
      <c r="I848" s="2"/>
      <c r="J848" s="2"/>
    </row>
    <row r="849" spans="9:10">
      <c r="I849" s="2"/>
      <c r="J849" s="2"/>
    </row>
    <row r="850" spans="9:10">
      <c r="I850" s="2"/>
      <c r="J850" s="2"/>
    </row>
    <row r="851" spans="9:10">
      <c r="I851" s="2"/>
      <c r="J851" s="2"/>
    </row>
    <row r="852" spans="9:10">
      <c r="I852" s="2"/>
      <c r="J852" s="2"/>
    </row>
    <row r="853" spans="9:10">
      <c r="I853" s="2"/>
      <c r="J853" s="2"/>
    </row>
    <row r="854" spans="9:10">
      <c r="I854" s="2"/>
      <c r="J854" s="2"/>
    </row>
    <row r="855" spans="9:10">
      <c r="I855" s="2"/>
      <c r="J855" s="2"/>
    </row>
    <row r="856" spans="9:10">
      <c r="I856" s="2"/>
      <c r="J856" s="2"/>
    </row>
    <row r="857" spans="9:10">
      <c r="I857" s="2"/>
      <c r="J857" s="2"/>
    </row>
    <row r="858" spans="9:10">
      <c r="I858" s="2"/>
      <c r="J858" s="2"/>
    </row>
    <row r="859" spans="9:10">
      <c r="I859" s="2"/>
      <c r="J859" s="2"/>
    </row>
    <row r="860" spans="9:10">
      <c r="I860" s="2"/>
      <c r="J860" s="2"/>
    </row>
    <row r="861" spans="9:10">
      <c r="I861" s="2"/>
      <c r="J861" s="2"/>
    </row>
    <row r="862" spans="9:10">
      <c r="I862" s="2"/>
      <c r="J862" s="2"/>
    </row>
    <row r="863" spans="9:10">
      <c r="I863" s="2"/>
      <c r="J863" s="2"/>
    </row>
    <row r="864" spans="9:10">
      <c r="I864" s="2"/>
      <c r="J864" s="2"/>
    </row>
    <row r="865" spans="9:10">
      <c r="I865" s="2"/>
      <c r="J865" s="2"/>
    </row>
    <row r="866" spans="9:10">
      <c r="I866" s="2"/>
      <c r="J866" s="2"/>
    </row>
    <row r="867" spans="9:10">
      <c r="I867" s="2"/>
      <c r="J867" s="2"/>
    </row>
    <row r="868" spans="9:10">
      <c r="I868" s="2"/>
      <c r="J868" s="2"/>
    </row>
    <row r="869" spans="9:10">
      <c r="I869" s="2"/>
      <c r="J869" s="2"/>
    </row>
    <row r="870" spans="9:10">
      <c r="I870" s="2"/>
      <c r="J870" s="2"/>
    </row>
    <row r="871" spans="9:10">
      <c r="I871" s="2"/>
      <c r="J871" s="2"/>
    </row>
    <row r="872" spans="9:10">
      <c r="I872" s="2"/>
      <c r="J872" s="2"/>
    </row>
    <row r="873" spans="9:10">
      <c r="I873" s="2"/>
      <c r="J873" s="2"/>
    </row>
    <row r="874" spans="9:10">
      <c r="I874" s="2"/>
      <c r="J874" s="2"/>
    </row>
    <row r="875" spans="9:10">
      <c r="I875" s="2"/>
      <c r="J875" s="2"/>
    </row>
    <row r="876" spans="9:10">
      <c r="I876" s="2"/>
      <c r="J876" s="2"/>
    </row>
    <row r="877" spans="9:10">
      <c r="I877" s="2"/>
      <c r="J877" s="2"/>
    </row>
    <row r="878" spans="9:10">
      <c r="I878" s="2"/>
      <c r="J878" s="2"/>
    </row>
    <row r="879" spans="9:10">
      <c r="I879" s="2"/>
      <c r="J879" s="2"/>
    </row>
    <row r="880" spans="9:10">
      <c r="I880" s="2"/>
      <c r="J880" s="2"/>
    </row>
    <row r="881" spans="9:10">
      <c r="I881" s="2"/>
      <c r="J881" s="2"/>
    </row>
    <row r="882" spans="9:10">
      <c r="I882" s="2"/>
      <c r="J882" s="2"/>
    </row>
    <row r="883" spans="9:10">
      <c r="I883" s="2"/>
      <c r="J883" s="2"/>
    </row>
    <row r="884" spans="9:10">
      <c r="I884" s="2"/>
      <c r="J884" s="2"/>
    </row>
    <row r="885" spans="9:10">
      <c r="I885" s="2"/>
      <c r="J885" s="2"/>
    </row>
    <row r="886" spans="9:10">
      <c r="I886" s="2"/>
      <c r="J886" s="2"/>
    </row>
    <row r="887" spans="9:10">
      <c r="I887" s="2"/>
      <c r="J887" s="2"/>
    </row>
    <row r="888" spans="9:10">
      <c r="I888" s="2"/>
      <c r="J888" s="2"/>
    </row>
    <row r="889" spans="9:10">
      <c r="I889" s="2"/>
      <c r="J889" s="2"/>
    </row>
    <row r="890" spans="9:10">
      <c r="I890" s="2"/>
      <c r="J890" s="2"/>
    </row>
    <row r="891" spans="9:10">
      <c r="I891" s="2"/>
      <c r="J891" s="2"/>
    </row>
    <row r="892" spans="9:10">
      <c r="I892" s="2"/>
      <c r="J892" s="2"/>
    </row>
    <row r="893" spans="9:10">
      <c r="I893" s="2"/>
      <c r="J893" s="2"/>
    </row>
    <row r="894" spans="9:10">
      <c r="I894" s="2"/>
      <c r="J894" s="2"/>
    </row>
    <row r="895" spans="9:10">
      <c r="I895" s="2"/>
      <c r="J895" s="2"/>
    </row>
    <row r="896" spans="9:10">
      <c r="I896" s="2"/>
      <c r="J896" s="2"/>
    </row>
    <row r="897" spans="9:10">
      <c r="I897" s="2"/>
      <c r="J897" s="2"/>
    </row>
    <row r="898" spans="9:10">
      <c r="I898" s="2"/>
      <c r="J898" s="2"/>
    </row>
    <row r="899" spans="9:10">
      <c r="I899" s="2"/>
      <c r="J899" s="2"/>
    </row>
    <row r="900" spans="9:10">
      <c r="I900" s="2"/>
      <c r="J900" s="2"/>
    </row>
    <row r="901" spans="9:10">
      <c r="I901" s="2"/>
      <c r="J901" s="2"/>
    </row>
    <row r="902" spans="9:10">
      <c r="I902" s="2"/>
      <c r="J902" s="2"/>
    </row>
    <row r="903" spans="9:10">
      <c r="I903" s="2"/>
      <c r="J903" s="2"/>
    </row>
    <row r="904" spans="9:10">
      <c r="I904" s="2"/>
      <c r="J904" s="2"/>
    </row>
    <row r="905" spans="9:10">
      <c r="I905" s="2"/>
      <c r="J905" s="2"/>
    </row>
    <row r="906" spans="9:10">
      <c r="I906" s="2"/>
      <c r="J906" s="2"/>
    </row>
    <row r="907" spans="9:10">
      <c r="I907" s="2"/>
      <c r="J907" s="2"/>
    </row>
    <row r="908" spans="9:10">
      <c r="I908" s="2"/>
      <c r="J908" s="2"/>
    </row>
    <row r="909" spans="9:10">
      <c r="I909" s="2"/>
      <c r="J909" s="2"/>
    </row>
    <row r="910" spans="9:10">
      <c r="I910" s="2"/>
      <c r="J910" s="2"/>
    </row>
    <row r="911" spans="9:10">
      <c r="I911" s="2"/>
      <c r="J911" s="2"/>
    </row>
    <row r="912" spans="9:10">
      <c r="I912" s="2"/>
      <c r="J912" s="2"/>
    </row>
    <row r="913" spans="9:10">
      <c r="I913" s="2"/>
      <c r="J913" s="2"/>
    </row>
    <row r="914" spans="9:10">
      <c r="I914" s="2"/>
      <c r="J914" s="2"/>
    </row>
    <row r="915" spans="9:10">
      <c r="I915" s="2"/>
      <c r="J915" s="2"/>
    </row>
    <row r="916" spans="9:10">
      <c r="I916" s="2"/>
      <c r="J916" s="2"/>
    </row>
    <row r="917" spans="9:10">
      <c r="I917" s="2"/>
      <c r="J917" s="2"/>
    </row>
    <row r="918" spans="9:10">
      <c r="I918" s="2"/>
      <c r="J918" s="2"/>
    </row>
    <row r="919" spans="9:10">
      <c r="I919" s="2"/>
      <c r="J919" s="2"/>
    </row>
    <row r="920" spans="9:10">
      <c r="I920" s="2"/>
      <c r="J920" s="2"/>
    </row>
    <row r="921" spans="9:10">
      <c r="I921" s="2"/>
      <c r="J921" s="2"/>
    </row>
    <row r="922" spans="9:10">
      <c r="I922" s="2"/>
      <c r="J922" s="2"/>
    </row>
    <row r="923" spans="9:10">
      <c r="I923" s="2"/>
      <c r="J923" s="2"/>
    </row>
    <row r="924" spans="9:10">
      <c r="I924" s="2"/>
      <c r="J924" s="2"/>
    </row>
    <row r="925" spans="9:10">
      <c r="I925" s="2"/>
      <c r="J925" s="2"/>
    </row>
    <row r="926" spans="9:10">
      <c r="I926" s="2"/>
      <c r="J926" s="2"/>
    </row>
    <row r="927" spans="9:10">
      <c r="I927" s="2"/>
      <c r="J927" s="2"/>
    </row>
    <row r="928" spans="9:10">
      <c r="I928" s="2"/>
      <c r="J928" s="2"/>
    </row>
    <row r="929" spans="9:10">
      <c r="I929" s="2"/>
      <c r="J929" s="2"/>
    </row>
    <row r="930" spans="9:10">
      <c r="I930" s="2"/>
      <c r="J930" s="2"/>
    </row>
    <row r="931" spans="9:10">
      <c r="I931" s="2"/>
      <c r="J931" s="2"/>
    </row>
    <row r="932" spans="9:10">
      <c r="I932" s="2"/>
      <c r="J932" s="2"/>
    </row>
    <row r="933" spans="9:10">
      <c r="I933" s="2"/>
      <c r="J933" s="2"/>
    </row>
    <row r="934" spans="9:10">
      <c r="I934" s="2"/>
      <c r="J934" s="2"/>
    </row>
    <row r="935" spans="9:10">
      <c r="I935" s="2"/>
      <c r="J935" s="2"/>
    </row>
    <row r="936" spans="9:10">
      <c r="I936" s="2"/>
      <c r="J936" s="2"/>
    </row>
    <row r="937" spans="9:10">
      <c r="I937" s="2"/>
      <c r="J937" s="2"/>
    </row>
    <row r="938" spans="9:10">
      <c r="I938" s="2"/>
      <c r="J938" s="2"/>
    </row>
    <row r="939" spans="9:10">
      <c r="I939" s="2"/>
      <c r="J939" s="2"/>
    </row>
    <row r="940" spans="9:10">
      <c r="I940" s="2"/>
      <c r="J940" s="2"/>
    </row>
    <row r="941" spans="9:10">
      <c r="I941" s="2"/>
      <c r="J941" s="2"/>
    </row>
    <row r="942" spans="9:10">
      <c r="I942" s="2"/>
      <c r="J942" s="2"/>
    </row>
    <row r="943" spans="9:10">
      <c r="I943" s="2"/>
      <c r="J943" s="2"/>
    </row>
    <row r="944" spans="9:10">
      <c r="I944" s="2"/>
      <c r="J944" s="2"/>
    </row>
    <row r="945" spans="9:10">
      <c r="I945" s="2"/>
      <c r="J945" s="2"/>
    </row>
    <row r="946" spans="9:10">
      <c r="I946" s="2"/>
      <c r="J946" s="2"/>
    </row>
    <row r="947" spans="9:10">
      <c r="I947" s="2"/>
      <c r="J947" s="2"/>
    </row>
    <row r="948" spans="9:10">
      <c r="I948" s="2"/>
      <c r="J948" s="2"/>
    </row>
    <row r="949" spans="9:10">
      <c r="I949" s="2"/>
      <c r="J949" s="2"/>
    </row>
    <row r="950" spans="9:10">
      <c r="I950" s="2"/>
      <c r="J950" s="2"/>
    </row>
    <row r="951" spans="9:10">
      <c r="I951" s="2"/>
      <c r="J951" s="2"/>
    </row>
    <row r="952" spans="9:10">
      <c r="I952" s="2"/>
      <c r="J952" s="2"/>
    </row>
    <row r="953" spans="9:10">
      <c r="I953" s="2"/>
      <c r="J953" s="2"/>
    </row>
    <row r="954" spans="9:10">
      <c r="I954" s="2"/>
      <c r="J954" s="2"/>
    </row>
    <row r="955" spans="9:10">
      <c r="I955" s="2"/>
      <c r="J955" s="2"/>
    </row>
    <row r="956" spans="9:10">
      <c r="I956" s="2"/>
      <c r="J956" s="2"/>
    </row>
    <row r="957" spans="9:10">
      <c r="I957" s="2"/>
      <c r="J957" s="2"/>
    </row>
    <row r="958" spans="9:10">
      <c r="I958" s="2"/>
      <c r="J958" s="2"/>
    </row>
    <row r="959" spans="9:10">
      <c r="I959" s="2"/>
      <c r="J959" s="2"/>
    </row>
    <row r="960" spans="9:10">
      <c r="I960" s="2"/>
      <c r="J960" s="2"/>
    </row>
    <row r="961" spans="9:10">
      <c r="I961" s="2"/>
      <c r="J961" s="2"/>
    </row>
    <row r="962" spans="9:10">
      <c r="I962" s="2"/>
      <c r="J962" s="2"/>
    </row>
    <row r="963" spans="9:10">
      <c r="I963" s="2"/>
      <c r="J963" s="2"/>
    </row>
    <row r="964" spans="9:10">
      <c r="I964" s="2"/>
      <c r="J964" s="2"/>
    </row>
    <row r="965" spans="9:10">
      <c r="I965" s="2"/>
      <c r="J965" s="2"/>
    </row>
    <row r="966" spans="9:10">
      <c r="I966" s="2"/>
      <c r="J966" s="2"/>
    </row>
    <row r="967" spans="9:10">
      <c r="I967" s="2"/>
      <c r="J967" s="2"/>
    </row>
    <row r="968" spans="9:10">
      <c r="I968" s="2"/>
      <c r="J968" s="2"/>
    </row>
    <row r="969" spans="9:10">
      <c r="I969" s="2"/>
      <c r="J969" s="2"/>
    </row>
    <row r="970" spans="9:10">
      <c r="I970" s="2"/>
      <c r="J970" s="2"/>
    </row>
    <row r="971" spans="9:10">
      <c r="I971" s="2"/>
      <c r="J971" s="2"/>
    </row>
    <row r="972" spans="9:10">
      <c r="I972" s="2"/>
      <c r="J972" s="2"/>
    </row>
    <row r="973" spans="9:10">
      <c r="I973" s="2"/>
      <c r="J973" s="2"/>
    </row>
    <row r="974" spans="9:10">
      <c r="I974" s="2"/>
      <c r="J974" s="2"/>
    </row>
    <row r="975" spans="9:10">
      <c r="I975" s="2"/>
      <c r="J975" s="2"/>
    </row>
    <row r="976" spans="9:10">
      <c r="I976" s="2"/>
      <c r="J976" s="2"/>
    </row>
    <row r="977" spans="9:10">
      <c r="I977" s="2"/>
      <c r="J977" s="2"/>
    </row>
    <row r="978" spans="9:10">
      <c r="I978" s="2"/>
      <c r="J978" s="2"/>
    </row>
    <row r="979" spans="9:10">
      <c r="I979" s="2"/>
      <c r="J979" s="2"/>
    </row>
    <row r="980" spans="9:10">
      <c r="I980" s="2"/>
      <c r="J980" s="2"/>
    </row>
    <row r="981" spans="9:10">
      <c r="I981" s="2"/>
      <c r="J981" s="2"/>
    </row>
    <row r="982" spans="9:10">
      <c r="I982" s="2"/>
      <c r="J982" s="2"/>
    </row>
    <row r="983" spans="9:10">
      <c r="I983" s="2"/>
      <c r="J983" s="2"/>
    </row>
    <row r="984" spans="9:10">
      <c r="I984" s="2"/>
      <c r="J984" s="2"/>
    </row>
    <row r="985" spans="9:10">
      <c r="I985" s="2"/>
      <c r="J985" s="2"/>
    </row>
    <row r="986" spans="9:10">
      <c r="I986" s="2"/>
      <c r="J986" s="2"/>
    </row>
    <row r="987" spans="9:10">
      <c r="I987" s="2"/>
      <c r="J987" s="2"/>
    </row>
    <row r="988" spans="9:10">
      <c r="I988" s="2"/>
      <c r="J988" s="2"/>
    </row>
    <row r="989" spans="9:10">
      <c r="I989" s="2"/>
      <c r="J989" s="2"/>
    </row>
    <row r="990" spans="9:10">
      <c r="I990" s="2"/>
      <c r="J990" s="2"/>
    </row>
    <row r="991" spans="9:10">
      <c r="I991" s="2"/>
      <c r="J991" s="2"/>
    </row>
    <row r="992" spans="9:10">
      <c r="I992" s="2"/>
      <c r="J992" s="2"/>
    </row>
    <row r="993" spans="9:10">
      <c r="I993" s="2"/>
      <c r="J993" s="2"/>
    </row>
    <row r="994" spans="9:10">
      <c r="I994" s="2"/>
      <c r="J994" s="2"/>
    </row>
    <row r="995" spans="9:10">
      <c r="I995" s="2"/>
      <c r="J995" s="2"/>
    </row>
    <row r="996" spans="9:10">
      <c r="I996" s="2"/>
      <c r="J996" s="2"/>
    </row>
    <row r="997" spans="9:10">
      <c r="I997" s="2"/>
      <c r="J997" s="2"/>
    </row>
    <row r="998" spans="9:10">
      <c r="I998" s="2"/>
      <c r="J998" s="2"/>
    </row>
    <row r="999" spans="9:10">
      <c r="I999" s="2"/>
      <c r="J999" s="2"/>
    </row>
    <row r="1000" spans="9:10">
      <c r="I1000" s="2"/>
      <c r="J1000" s="2"/>
    </row>
    <row r="1001" spans="9:10">
      <c r="I1001" s="2"/>
      <c r="J1001" s="2"/>
    </row>
    <row r="1002" spans="9:10">
      <c r="I1002" s="2"/>
      <c r="J1002" s="2"/>
    </row>
    <row r="1003" spans="9:10">
      <c r="I1003" s="2"/>
      <c r="J1003" s="2"/>
    </row>
    <row r="1004" spans="9:10">
      <c r="I1004" s="2"/>
      <c r="J1004" s="2"/>
    </row>
    <row r="1005" spans="9:10">
      <c r="I1005" s="2"/>
      <c r="J1005" s="2"/>
    </row>
    <row r="1006" spans="9:10">
      <c r="I1006" s="2"/>
      <c r="J1006" s="2"/>
    </row>
    <row r="1007" spans="9:10">
      <c r="I1007" s="2"/>
      <c r="J1007" s="2"/>
    </row>
    <row r="1008" spans="9:10">
      <c r="I1008" s="2"/>
      <c r="J1008" s="2"/>
    </row>
    <row r="1009" spans="9:10">
      <c r="I1009" s="2"/>
      <c r="J1009" s="2"/>
    </row>
    <row r="1010" spans="9:10">
      <c r="I1010" s="2"/>
      <c r="J1010" s="2"/>
    </row>
    <row r="1011" spans="9:10">
      <c r="I1011" s="2"/>
      <c r="J1011" s="2"/>
    </row>
    <row r="1012" spans="9:10">
      <c r="I1012" s="2"/>
      <c r="J1012" s="2"/>
    </row>
    <row r="1013" spans="9:10">
      <c r="I1013" s="2"/>
      <c r="J1013" s="2"/>
    </row>
    <row r="1014" spans="9:10">
      <c r="I1014" s="2"/>
      <c r="J1014" s="2"/>
    </row>
    <row r="1015" spans="9:10">
      <c r="I1015" s="2"/>
      <c r="J1015" s="2"/>
    </row>
    <row r="1016" spans="9:10">
      <c r="I1016" s="2"/>
      <c r="J1016" s="2"/>
    </row>
    <row r="1017" spans="9:10">
      <c r="I1017" s="2"/>
      <c r="J1017" s="2"/>
    </row>
    <row r="1018" spans="9:10">
      <c r="I1018" s="2"/>
      <c r="J1018" s="2"/>
    </row>
    <row r="1019" spans="9:10">
      <c r="I1019" s="2"/>
      <c r="J1019" s="2"/>
    </row>
    <row r="1020" spans="9:10">
      <c r="I1020" s="2"/>
      <c r="J1020" s="2"/>
    </row>
    <row r="1021" spans="9:10">
      <c r="I1021" s="2"/>
      <c r="J1021" s="2"/>
    </row>
    <row r="1022" spans="9:10">
      <c r="I1022" s="2"/>
      <c r="J1022" s="2"/>
    </row>
    <row r="1023" spans="9:10">
      <c r="I1023" s="2"/>
      <c r="J1023" s="2"/>
    </row>
    <row r="1024" spans="9:10">
      <c r="I1024" s="2"/>
      <c r="J1024" s="2"/>
    </row>
    <row r="1025" spans="9:10">
      <c r="I1025" s="2"/>
      <c r="J1025" s="2"/>
    </row>
    <row r="1026" spans="9:10">
      <c r="I1026" s="2"/>
      <c r="J1026" s="2"/>
    </row>
    <row r="1027" spans="9:10">
      <c r="I1027" s="2"/>
      <c r="J1027" s="2"/>
    </row>
    <row r="1028" spans="9:10">
      <c r="I1028" s="2"/>
      <c r="J1028" s="2"/>
    </row>
    <row r="1029" spans="9:10">
      <c r="I1029" s="2"/>
      <c r="J1029" s="2"/>
    </row>
    <row r="1030" spans="9:10">
      <c r="I1030" s="2"/>
      <c r="J1030" s="2"/>
    </row>
    <row r="1031" spans="9:10">
      <c r="I1031" s="2"/>
      <c r="J1031" s="2"/>
    </row>
    <row r="1032" spans="9:10">
      <c r="I1032" s="2"/>
      <c r="J1032" s="2"/>
    </row>
    <row r="1033" spans="9:10">
      <c r="I1033" s="2"/>
      <c r="J1033" s="2"/>
    </row>
    <row r="1034" spans="9:10">
      <c r="I1034" s="2"/>
      <c r="J1034" s="2"/>
    </row>
    <row r="1035" spans="9:10">
      <c r="I1035" s="2"/>
      <c r="J1035" s="2"/>
    </row>
    <row r="1036" spans="9:10">
      <c r="I1036" s="2"/>
      <c r="J1036" s="2"/>
    </row>
    <row r="1037" spans="9:10">
      <c r="I1037" s="2"/>
      <c r="J1037" s="2"/>
    </row>
    <row r="1038" spans="9:10">
      <c r="I1038" s="2"/>
      <c r="J1038" s="2"/>
    </row>
    <row r="1039" spans="9:10">
      <c r="I1039" s="2"/>
      <c r="J1039" s="2"/>
    </row>
    <row r="1040" spans="9:10">
      <c r="I1040" s="2"/>
      <c r="J1040" s="2"/>
    </row>
    <row r="1041" spans="9:10">
      <c r="I1041" s="2"/>
      <c r="J1041" s="2"/>
    </row>
    <row r="1042" spans="9:10">
      <c r="I1042" s="2"/>
      <c r="J1042" s="2"/>
    </row>
    <row r="1043" spans="9:10">
      <c r="I1043" s="2"/>
      <c r="J1043" s="2"/>
    </row>
    <row r="1044" spans="9:10">
      <c r="I1044" s="2"/>
      <c r="J1044" s="2"/>
    </row>
    <row r="1045" spans="9:10">
      <c r="I1045" s="2"/>
      <c r="J1045" s="2"/>
    </row>
    <row r="1046" spans="9:10">
      <c r="I1046" s="2"/>
      <c r="J1046" s="2"/>
    </row>
    <row r="1047" spans="9:10">
      <c r="I1047" s="2"/>
      <c r="J1047" s="2"/>
    </row>
    <row r="1048" spans="9:10">
      <c r="I1048" s="2"/>
      <c r="J1048" s="2"/>
    </row>
    <row r="1049" spans="9:10">
      <c r="I1049" s="2"/>
      <c r="J1049" s="2"/>
    </row>
    <row r="1050" spans="9:10">
      <c r="I1050" s="2"/>
      <c r="J1050" s="2"/>
    </row>
    <row r="1051" spans="9:10">
      <c r="I1051" s="2"/>
      <c r="J1051" s="2"/>
    </row>
    <row r="1052" spans="9:10">
      <c r="I1052" s="2"/>
      <c r="J1052" s="2"/>
    </row>
    <row r="1053" spans="9:10">
      <c r="I1053" s="2"/>
      <c r="J1053" s="2"/>
    </row>
    <row r="1054" spans="9:10">
      <c r="I1054" s="2"/>
      <c r="J1054" s="2"/>
    </row>
    <row r="1055" spans="9:10">
      <c r="I1055" s="2"/>
      <c r="J1055" s="2"/>
    </row>
    <row r="1056" spans="9:10">
      <c r="I1056" s="2"/>
      <c r="J1056" s="2"/>
    </row>
    <row r="1057" spans="9:10">
      <c r="I1057" s="2"/>
      <c r="J1057" s="2"/>
    </row>
    <row r="1058" spans="9:10">
      <c r="I1058" s="2"/>
      <c r="J1058" s="2"/>
    </row>
    <row r="1059" spans="9:10">
      <c r="I1059" s="2"/>
      <c r="J1059" s="2"/>
    </row>
    <row r="1060" spans="9:10">
      <c r="I1060" s="2"/>
      <c r="J1060" s="2"/>
    </row>
    <row r="1061" spans="9:10">
      <c r="I1061" s="2"/>
      <c r="J1061" s="2"/>
    </row>
    <row r="1062" spans="9:10">
      <c r="I1062" s="2"/>
      <c r="J1062" s="2"/>
    </row>
    <row r="1063" spans="9:10">
      <c r="I1063" s="2"/>
      <c r="J1063" s="2"/>
    </row>
    <row r="1064" spans="9:10">
      <c r="I1064" s="2"/>
      <c r="J1064" s="2"/>
    </row>
    <row r="1065" spans="9:10">
      <c r="I1065" s="2"/>
      <c r="J1065" s="2"/>
    </row>
    <row r="1066" spans="9:10">
      <c r="I1066" s="2"/>
      <c r="J1066" s="2"/>
    </row>
    <row r="1067" spans="9:10">
      <c r="I1067" s="2"/>
      <c r="J1067" s="2"/>
    </row>
    <row r="1068" spans="9:10">
      <c r="I1068" s="2"/>
      <c r="J1068" s="2"/>
    </row>
    <row r="1069" spans="9:10">
      <c r="I1069" s="2"/>
      <c r="J1069" s="2"/>
    </row>
    <row r="1070" spans="9:10">
      <c r="I1070" s="2"/>
      <c r="J1070" s="2"/>
    </row>
    <row r="1071" spans="9:10">
      <c r="I1071" s="2"/>
      <c r="J1071" s="2"/>
    </row>
    <row r="1072" spans="9:10">
      <c r="I1072" s="2"/>
      <c r="J1072" s="2"/>
    </row>
    <row r="1073" spans="9:10">
      <c r="I1073" s="2"/>
      <c r="J1073" s="2"/>
    </row>
    <row r="1074" spans="9:10">
      <c r="I1074" s="2"/>
      <c r="J1074" s="2"/>
    </row>
    <row r="1075" spans="9:10">
      <c r="I1075" s="2"/>
      <c r="J1075" s="2"/>
    </row>
    <row r="1076" spans="9:10">
      <c r="I1076" s="2"/>
      <c r="J1076" s="2"/>
    </row>
    <row r="1077" spans="9:10">
      <c r="I1077" s="2"/>
      <c r="J1077" s="2"/>
    </row>
    <row r="1078" spans="9:10">
      <c r="I1078" s="2"/>
      <c r="J1078" s="2"/>
    </row>
    <row r="1079" spans="9:10">
      <c r="I1079" s="2"/>
      <c r="J1079" s="2"/>
    </row>
    <row r="1080" spans="9:10">
      <c r="I1080" s="2"/>
      <c r="J1080" s="2"/>
    </row>
    <row r="1081" spans="9:10">
      <c r="I1081" s="2"/>
      <c r="J1081" s="2"/>
    </row>
    <row r="1082" spans="9:10">
      <c r="I1082" s="2"/>
      <c r="J1082" s="2"/>
    </row>
    <row r="1083" spans="9:10">
      <c r="I1083" s="2"/>
      <c r="J1083" s="2"/>
    </row>
    <row r="1084" spans="9:10">
      <c r="I1084" s="2"/>
      <c r="J1084" s="2"/>
    </row>
    <row r="1085" spans="9:10">
      <c r="I1085" s="2"/>
      <c r="J1085" s="2"/>
    </row>
    <row r="1086" spans="9:10">
      <c r="I1086" s="2"/>
      <c r="J1086" s="2"/>
    </row>
    <row r="1087" spans="9:10">
      <c r="I1087" s="2"/>
      <c r="J1087" s="2"/>
    </row>
    <row r="1088" spans="9:10">
      <c r="I1088" s="2"/>
      <c r="J1088" s="2"/>
    </row>
    <row r="1089" spans="9:10">
      <c r="I1089" s="2"/>
      <c r="J1089" s="2"/>
    </row>
    <row r="1090" spans="9:10">
      <c r="I1090" s="2"/>
      <c r="J1090" s="2"/>
    </row>
    <row r="1091" spans="9:10">
      <c r="I1091" s="2"/>
      <c r="J1091" s="2"/>
    </row>
    <row r="1092" spans="9:10">
      <c r="I1092" s="2"/>
      <c r="J1092" s="2"/>
    </row>
    <row r="1093" spans="9:10">
      <c r="I1093" s="2"/>
      <c r="J1093" s="2"/>
    </row>
    <row r="1094" spans="9:10">
      <c r="I1094" s="2"/>
      <c r="J1094" s="2"/>
    </row>
    <row r="1095" spans="9:10">
      <c r="I1095" s="2"/>
      <c r="J1095" s="2"/>
    </row>
    <row r="1096" spans="9:10">
      <c r="I1096" s="2"/>
      <c r="J1096" s="2"/>
    </row>
    <row r="1097" spans="9:10">
      <c r="I1097" s="2"/>
      <c r="J1097" s="2"/>
    </row>
    <row r="1098" spans="9:10">
      <c r="I1098" s="2"/>
      <c r="J1098" s="2"/>
    </row>
    <row r="1099" spans="9:10">
      <c r="I1099" s="2"/>
      <c r="J1099" s="2"/>
    </row>
    <row r="1100" spans="9:10">
      <c r="I1100" s="2"/>
      <c r="J1100" s="2"/>
    </row>
    <row r="1101" spans="9:10">
      <c r="I1101" s="2"/>
      <c r="J1101" s="2"/>
    </row>
    <row r="1102" spans="9:10">
      <c r="I1102" s="2"/>
      <c r="J1102" s="2"/>
    </row>
    <row r="1103" spans="9:10">
      <c r="I1103" s="2"/>
      <c r="J1103" s="2"/>
    </row>
    <row r="1104" spans="9:10">
      <c r="I1104" s="2"/>
      <c r="J1104" s="2"/>
    </row>
    <row r="1105" spans="9:10">
      <c r="I1105" s="2"/>
      <c r="J1105" s="2"/>
    </row>
    <row r="1106" spans="9:10">
      <c r="I1106" s="2"/>
      <c r="J1106" s="2"/>
    </row>
    <row r="1107" spans="9:10">
      <c r="I1107" s="2"/>
      <c r="J1107" s="2"/>
    </row>
    <row r="1108" spans="9:10">
      <c r="I1108" s="2"/>
      <c r="J1108" s="2"/>
    </row>
    <row r="1109" spans="9:10">
      <c r="I1109" s="2"/>
      <c r="J1109" s="2"/>
    </row>
    <row r="1110" spans="9:10">
      <c r="I1110" s="2"/>
      <c r="J1110" s="2"/>
    </row>
    <row r="1111" spans="9:10">
      <c r="I1111" s="2"/>
      <c r="J1111" s="2"/>
    </row>
    <row r="1112" spans="9:10">
      <c r="I1112" s="2"/>
      <c r="J1112" s="2"/>
    </row>
    <row r="1113" spans="9:10">
      <c r="I1113" s="2"/>
      <c r="J1113" s="2"/>
    </row>
    <row r="1114" spans="9:10">
      <c r="I1114" s="2"/>
      <c r="J1114" s="2"/>
    </row>
    <row r="1115" spans="9:10">
      <c r="I1115" s="2"/>
      <c r="J1115" s="2"/>
    </row>
    <row r="1116" spans="9:10">
      <c r="I1116" s="2"/>
      <c r="J1116" s="2"/>
    </row>
    <row r="1117" spans="9:10">
      <c r="I1117" s="2"/>
      <c r="J1117" s="2"/>
    </row>
    <row r="1118" spans="9:10">
      <c r="I1118" s="2"/>
      <c r="J1118" s="2"/>
    </row>
    <row r="1119" spans="9:10">
      <c r="I1119" s="2"/>
      <c r="J1119" s="2"/>
    </row>
    <row r="1120" spans="9:10">
      <c r="I1120" s="2"/>
      <c r="J1120" s="2"/>
    </row>
    <row r="1121" spans="9:10">
      <c r="I1121" s="2"/>
      <c r="J1121" s="2"/>
    </row>
    <row r="1122" spans="9:10">
      <c r="I1122" s="2"/>
      <c r="J1122" s="2"/>
    </row>
    <row r="1123" spans="9:10">
      <c r="I1123" s="2"/>
      <c r="J1123" s="2"/>
    </row>
    <row r="1124" spans="9:10">
      <c r="I1124" s="2"/>
      <c r="J1124" s="2"/>
    </row>
    <row r="1125" spans="9:10">
      <c r="I1125" s="2"/>
      <c r="J1125" s="2"/>
    </row>
    <row r="1126" spans="9:10">
      <c r="I1126" s="2"/>
      <c r="J1126" s="2"/>
    </row>
    <row r="1127" spans="9:10">
      <c r="I1127" s="2"/>
      <c r="J1127" s="2"/>
    </row>
    <row r="1128" spans="9:10">
      <c r="I1128" s="2"/>
      <c r="J1128" s="2"/>
    </row>
    <row r="1129" spans="9:10">
      <c r="I1129" s="2"/>
      <c r="J1129" s="2"/>
    </row>
    <row r="1130" spans="9:10">
      <c r="I1130" s="2"/>
      <c r="J1130" s="2"/>
    </row>
    <row r="1131" spans="9:10">
      <c r="I1131" s="2"/>
      <c r="J1131" s="2"/>
    </row>
    <row r="1132" spans="9:10">
      <c r="I1132" s="2"/>
      <c r="J1132" s="2"/>
    </row>
    <row r="1133" spans="9:10">
      <c r="I1133" s="2"/>
      <c r="J1133" s="2"/>
    </row>
    <row r="1134" spans="9:10">
      <c r="I1134" s="2"/>
      <c r="J1134" s="2"/>
    </row>
    <row r="1135" spans="9:10">
      <c r="I1135" s="2"/>
      <c r="J1135" s="2"/>
    </row>
    <row r="1136" spans="9:10">
      <c r="I1136" s="2"/>
      <c r="J1136" s="2"/>
    </row>
    <row r="1137" spans="9:10">
      <c r="I1137" s="2"/>
      <c r="J1137" s="2"/>
    </row>
    <row r="1138" spans="9:10">
      <c r="I1138" s="2"/>
      <c r="J1138" s="2"/>
    </row>
    <row r="1139" spans="9:10">
      <c r="I1139" s="2"/>
      <c r="J1139" s="2"/>
    </row>
    <row r="1140" spans="9:10">
      <c r="I1140" s="2"/>
      <c r="J1140" s="2"/>
    </row>
    <row r="1141" spans="9:10">
      <c r="I1141" s="2"/>
      <c r="J1141" s="2"/>
    </row>
    <row r="1142" spans="9:10">
      <c r="I1142" s="2"/>
      <c r="J1142" s="2"/>
    </row>
    <row r="1143" spans="9:10">
      <c r="I1143" s="2"/>
      <c r="J1143" s="2"/>
    </row>
    <row r="1144" spans="9:10">
      <c r="I1144" s="2"/>
      <c r="J1144" s="2"/>
    </row>
    <row r="1145" spans="9:10">
      <c r="I1145" s="2"/>
      <c r="J1145" s="2"/>
    </row>
    <row r="1146" spans="9:10">
      <c r="I1146" s="2"/>
      <c r="J1146" s="2"/>
    </row>
    <row r="1147" spans="9:10">
      <c r="I1147" s="2"/>
      <c r="J1147" s="2"/>
    </row>
    <row r="1148" spans="9:10">
      <c r="I1148" s="2"/>
      <c r="J1148" s="2"/>
    </row>
    <row r="1149" spans="9:10">
      <c r="I1149" s="2"/>
      <c r="J1149" s="2"/>
    </row>
    <row r="1150" spans="9:10">
      <c r="I1150" s="2"/>
      <c r="J1150" s="2"/>
    </row>
    <row r="1151" spans="9:10">
      <c r="I1151" s="2"/>
      <c r="J1151" s="2"/>
    </row>
    <row r="1152" spans="9:10">
      <c r="I1152" s="2"/>
      <c r="J1152" s="2"/>
    </row>
    <row r="1153" spans="9:10">
      <c r="I1153" s="2"/>
      <c r="J1153" s="2"/>
    </row>
    <row r="1154" spans="9:10">
      <c r="I1154" s="2"/>
      <c r="J1154" s="2"/>
    </row>
    <row r="1155" spans="9:10">
      <c r="I1155" s="2"/>
      <c r="J1155" s="2"/>
    </row>
    <row r="1156" spans="9:10">
      <c r="I1156" s="2"/>
      <c r="J1156" s="2"/>
    </row>
    <row r="1157" spans="9:10">
      <c r="I1157" s="2"/>
      <c r="J1157" s="2"/>
    </row>
    <row r="1158" spans="9:10">
      <c r="I1158" s="2"/>
      <c r="J1158" s="2"/>
    </row>
    <row r="1159" spans="9:10">
      <c r="I1159" s="2"/>
      <c r="J1159" s="2"/>
    </row>
    <row r="1160" spans="9:10">
      <c r="I1160" s="2"/>
      <c r="J1160" s="2"/>
    </row>
    <row r="1161" spans="9:10">
      <c r="I1161" s="2"/>
      <c r="J1161" s="2"/>
    </row>
    <row r="1162" spans="9:10">
      <c r="I1162" s="2"/>
      <c r="J1162" s="2"/>
    </row>
    <row r="1163" spans="9:10">
      <c r="I1163" s="2"/>
      <c r="J1163" s="2"/>
    </row>
    <row r="1164" spans="9:10">
      <c r="I1164" s="2"/>
      <c r="J1164" s="2"/>
    </row>
    <row r="1165" spans="9:10">
      <c r="I1165" s="2"/>
      <c r="J1165" s="2"/>
    </row>
    <row r="1166" spans="9:10">
      <c r="I1166" s="2"/>
      <c r="J1166" s="2"/>
    </row>
    <row r="1167" spans="9:10">
      <c r="I1167" s="2"/>
      <c r="J1167" s="2"/>
    </row>
    <row r="1168" spans="9:10">
      <c r="I1168" s="2"/>
      <c r="J1168" s="2"/>
    </row>
    <row r="1169" spans="9:10">
      <c r="I1169" s="2"/>
      <c r="J1169" s="2"/>
    </row>
    <row r="1170" spans="9:10">
      <c r="I1170" s="2"/>
      <c r="J1170" s="2"/>
    </row>
    <row r="1171" spans="9:10">
      <c r="I1171" s="2"/>
      <c r="J1171" s="2"/>
    </row>
    <row r="1172" spans="9:10">
      <c r="I1172" s="2"/>
      <c r="J1172" s="2"/>
    </row>
    <row r="1173" spans="9:10">
      <c r="I1173" s="2"/>
      <c r="J1173" s="2"/>
    </row>
    <row r="1174" spans="9:10">
      <c r="I1174" s="2"/>
      <c r="J1174" s="2"/>
    </row>
    <row r="1175" spans="9:10">
      <c r="I1175" s="2"/>
      <c r="J1175" s="2"/>
    </row>
    <row r="1176" spans="9:10">
      <c r="I1176" s="2"/>
      <c r="J1176" s="2"/>
    </row>
    <row r="1177" spans="9:10">
      <c r="I1177" s="2"/>
      <c r="J1177" s="2"/>
    </row>
    <row r="1178" spans="9:10">
      <c r="I1178" s="2"/>
      <c r="J1178" s="2"/>
    </row>
    <row r="1179" spans="9:10">
      <c r="I1179" s="2"/>
      <c r="J1179" s="2"/>
    </row>
    <row r="1180" spans="9:10">
      <c r="I1180" s="2"/>
      <c r="J1180" s="2"/>
    </row>
    <row r="1181" spans="9:10">
      <c r="I1181" s="2"/>
      <c r="J1181" s="2"/>
    </row>
    <row r="1182" spans="9:10">
      <c r="I1182" s="2"/>
      <c r="J1182" s="2"/>
    </row>
    <row r="1183" spans="9:10">
      <c r="I1183" s="2"/>
      <c r="J1183" s="2"/>
    </row>
    <row r="1184" spans="9:10">
      <c r="I1184" s="2"/>
      <c r="J1184" s="2"/>
    </row>
    <row r="1185" spans="9:10">
      <c r="I1185" s="2"/>
      <c r="J1185" s="2"/>
    </row>
    <row r="1186" spans="9:10">
      <c r="I1186" s="2"/>
      <c r="J1186" s="2"/>
    </row>
    <row r="1187" spans="9:10">
      <c r="I1187" s="2"/>
      <c r="J1187" s="2"/>
    </row>
    <row r="1188" spans="9:10">
      <c r="I1188" s="2"/>
      <c r="J1188" s="2"/>
    </row>
    <row r="1189" spans="9:10">
      <c r="I1189" s="2"/>
      <c r="J1189" s="2"/>
    </row>
    <row r="1190" spans="9:10">
      <c r="I1190" s="2"/>
      <c r="J1190" s="2"/>
    </row>
    <row r="1191" spans="9:10">
      <c r="I1191" s="2"/>
      <c r="J1191" s="2"/>
    </row>
    <row r="1192" spans="9:10">
      <c r="I1192" s="2"/>
      <c r="J1192" s="2"/>
    </row>
    <row r="1193" spans="9:10">
      <c r="I1193" s="2"/>
      <c r="J1193" s="2"/>
    </row>
    <row r="1194" spans="9:10">
      <c r="I1194" s="2"/>
      <c r="J1194" s="2"/>
    </row>
    <row r="1195" spans="9:10">
      <c r="I1195" s="2"/>
      <c r="J1195" s="2"/>
    </row>
    <row r="1196" spans="9:10">
      <c r="I1196" s="2"/>
      <c r="J1196" s="2"/>
    </row>
    <row r="1197" spans="9:10">
      <c r="I1197" s="2"/>
      <c r="J1197" s="2"/>
    </row>
    <row r="1198" spans="9:10">
      <c r="I1198" s="2"/>
      <c r="J1198" s="2"/>
    </row>
    <row r="1199" spans="9:10">
      <c r="I1199" s="2"/>
      <c r="J1199" s="2"/>
    </row>
    <row r="1200" spans="9:10">
      <c r="I1200" s="2"/>
      <c r="J1200" s="2"/>
    </row>
    <row r="1201" spans="9:10">
      <c r="I1201" s="2"/>
      <c r="J1201" s="2"/>
    </row>
    <row r="1202" spans="9:10">
      <c r="I1202" s="2"/>
      <c r="J1202" s="2"/>
    </row>
    <row r="1203" spans="9:10">
      <c r="I1203" s="2"/>
      <c r="J1203" s="2"/>
    </row>
    <row r="1204" spans="9:10">
      <c r="I1204" s="2"/>
      <c r="J1204" s="2"/>
    </row>
    <row r="1205" spans="9:10">
      <c r="I1205" s="2"/>
      <c r="J1205" s="2"/>
    </row>
    <row r="1206" spans="9:10">
      <c r="I1206" s="2"/>
      <c r="J1206" s="2"/>
    </row>
    <row r="1207" spans="9:10">
      <c r="I1207" s="2"/>
      <c r="J1207" s="2"/>
    </row>
    <row r="1208" spans="9:10">
      <c r="I1208" s="2"/>
      <c r="J1208" s="2"/>
    </row>
    <row r="1209" spans="9:10">
      <c r="I1209" s="2"/>
      <c r="J1209" s="2"/>
    </row>
    <row r="1210" spans="9:10">
      <c r="I1210" s="2"/>
      <c r="J1210" s="2"/>
    </row>
    <row r="1211" spans="9:10">
      <c r="I1211" s="2"/>
      <c r="J1211" s="2"/>
    </row>
    <row r="1212" spans="9:10">
      <c r="I1212" s="2"/>
      <c r="J1212" s="2"/>
    </row>
    <row r="1213" spans="9:10">
      <c r="I1213" s="2"/>
      <c r="J1213" s="2"/>
    </row>
    <row r="1214" spans="9:10">
      <c r="I1214" s="2"/>
      <c r="J1214" s="2"/>
    </row>
    <row r="1215" spans="9:10">
      <c r="I1215" s="2"/>
      <c r="J1215" s="2"/>
    </row>
    <row r="1216" spans="9:10">
      <c r="I1216" s="2"/>
      <c r="J1216" s="2"/>
    </row>
    <row r="1217" spans="9:10">
      <c r="I1217" s="2"/>
      <c r="J1217" s="2"/>
    </row>
    <row r="1218" spans="9:10">
      <c r="I1218" s="2"/>
      <c r="J1218" s="2"/>
    </row>
    <row r="1219" spans="9:10">
      <c r="I1219" s="2"/>
      <c r="J1219" s="2"/>
    </row>
    <row r="1220" spans="9:10">
      <c r="I1220" s="2"/>
      <c r="J1220" s="2"/>
    </row>
    <row r="1221" spans="9:10">
      <c r="I1221" s="2"/>
      <c r="J1221" s="2"/>
    </row>
    <row r="1222" spans="9:10">
      <c r="I1222" s="2"/>
      <c r="J1222" s="2"/>
    </row>
    <row r="1223" spans="9:10">
      <c r="I1223" s="2"/>
      <c r="J1223" s="2"/>
    </row>
    <row r="1224" spans="9:10">
      <c r="I1224" s="2"/>
      <c r="J1224" s="2"/>
    </row>
    <row r="1225" spans="9:10">
      <c r="I1225" s="2"/>
      <c r="J1225" s="2"/>
    </row>
    <row r="1226" spans="9:10">
      <c r="I1226" s="2"/>
      <c r="J1226" s="2"/>
    </row>
    <row r="1227" spans="9:10">
      <c r="I1227" s="2"/>
      <c r="J1227" s="2"/>
    </row>
    <row r="1228" spans="9:10">
      <c r="I1228" s="2"/>
      <c r="J1228" s="2"/>
    </row>
    <row r="1229" spans="9:10">
      <c r="I1229" s="2"/>
      <c r="J1229" s="2"/>
    </row>
    <row r="1230" spans="9:10">
      <c r="I1230" s="2"/>
      <c r="J1230" s="2"/>
    </row>
    <row r="1231" spans="9:10">
      <c r="I1231" s="2"/>
      <c r="J1231" s="2"/>
    </row>
    <row r="1232" spans="9:10">
      <c r="I1232" s="2"/>
      <c r="J1232" s="2"/>
    </row>
    <row r="1233" spans="9:10">
      <c r="I1233" s="2"/>
      <c r="J1233" s="2"/>
    </row>
    <row r="1234" spans="9:10">
      <c r="I1234" s="2"/>
      <c r="J1234" s="2"/>
    </row>
    <row r="1235" spans="9:10">
      <c r="I1235" s="2"/>
      <c r="J1235" s="2"/>
    </row>
    <row r="1236" spans="9:10">
      <c r="I1236" s="2"/>
      <c r="J1236" s="2"/>
    </row>
    <row r="1237" spans="9:10">
      <c r="I1237" s="2"/>
      <c r="J1237" s="2"/>
    </row>
    <row r="1238" spans="9:10">
      <c r="I1238" s="2"/>
      <c r="J1238" s="2"/>
    </row>
    <row r="1239" spans="9:10">
      <c r="I1239" s="2"/>
      <c r="J1239" s="2"/>
    </row>
    <row r="1240" spans="9:10">
      <c r="I1240" s="2"/>
      <c r="J1240" s="2"/>
    </row>
    <row r="1241" spans="9:10">
      <c r="I1241" s="2"/>
      <c r="J1241" s="2"/>
    </row>
    <row r="1242" spans="9:10">
      <c r="I1242" s="2"/>
      <c r="J1242" s="2"/>
    </row>
    <row r="1243" spans="9:10">
      <c r="I1243" s="2"/>
      <c r="J1243" s="2"/>
    </row>
    <row r="1244" spans="9:10">
      <c r="I1244" s="2"/>
      <c r="J1244" s="2"/>
    </row>
    <row r="1245" spans="9:10">
      <c r="I1245" s="2"/>
      <c r="J1245" s="2"/>
    </row>
    <row r="1246" spans="9:10">
      <c r="I1246" s="2"/>
      <c r="J1246" s="2"/>
    </row>
    <row r="1247" spans="9:10">
      <c r="I1247" s="2"/>
      <c r="J1247" s="2"/>
    </row>
    <row r="1248" spans="9:10">
      <c r="I1248" s="2"/>
      <c r="J1248" s="2"/>
    </row>
    <row r="1249" spans="9:10">
      <c r="I1249" s="2"/>
      <c r="J1249" s="2"/>
    </row>
    <row r="1250" spans="9:10">
      <c r="I1250" s="2"/>
      <c r="J1250" s="2"/>
    </row>
    <row r="1251" spans="9:10">
      <c r="I1251" s="2"/>
      <c r="J1251" s="2"/>
    </row>
    <row r="1252" spans="9:10">
      <c r="I1252" s="2"/>
      <c r="J1252" s="2"/>
    </row>
    <row r="1253" spans="9:10">
      <c r="I1253" s="2"/>
      <c r="J1253" s="2"/>
    </row>
    <row r="1254" spans="9:10">
      <c r="I1254" s="2"/>
      <c r="J1254" s="2"/>
    </row>
    <row r="1255" spans="9:10">
      <c r="I1255" s="2"/>
      <c r="J1255" s="2"/>
    </row>
    <row r="1256" spans="9:10">
      <c r="I1256" s="2"/>
      <c r="J1256" s="2"/>
    </row>
    <row r="1257" spans="9:10">
      <c r="I1257" s="2"/>
      <c r="J1257" s="2"/>
    </row>
    <row r="1258" spans="9:10">
      <c r="I1258" s="2"/>
      <c r="J1258" s="2"/>
    </row>
    <row r="1259" spans="9:10">
      <c r="I1259" s="2"/>
      <c r="J1259" s="2"/>
    </row>
    <row r="1260" spans="9:10">
      <c r="I1260" s="2"/>
      <c r="J1260" s="2"/>
    </row>
    <row r="1261" spans="9:10">
      <c r="I1261" s="2"/>
      <c r="J1261" s="2"/>
    </row>
    <row r="1262" spans="9:10">
      <c r="I1262" s="2"/>
      <c r="J1262" s="2"/>
    </row>
    <row r="1263" spans="9:10">
      <c r="I1263" s="2"/>
      <c r="J1263" s="2"/>
    </row>
    <row r="1264" spans="9:10">
      <c r="I1264" s="2"/>
      <c r="J1264" s="2"/>
    </row>
    <row r="1265" spans="9:10">
      <c r="I1265" s="2"/>
      <c r="J1265" s="2"/>
    </row>
    <row r="1266" spans="9:10">
      <c r="I1266" s="2"/>
      <c r="J1266" s="2"/>
    </row>
    <row r="1267" spans="9:10">
      <c r="I1267" s="2"/>
      <c r="J1267" s="2"/>
    </row>
    <row r="1268" spans="9:10">
      <c r="I1268" s="2"/>
      <c r="J1268" s="2"/>
    </row>
    <row r="1269" spans="9:10">
      <c r="I1269" s="2"/>
      <c r="J1269" s="2"/>
    </row>
    <row r="1270" spans="9:10">
      <c r="I1270" s="2"/>
      <c r="J1270" s="2"/>
    </row>
    <row r="1271" spans="9:10">
      <c r="I1271" s="2"/>
      <c r="J1271" s="2"/>
    </row>
    <row r="1272" spans="9:10">
      <c r="I1272" s="2"/>
      <c r="J1272" s="2"/>
    </row>
    <row r="1273" spans="9:10">
      <c r="I1273" s="2"/>
      <c r="J1273" s="2"/>
    </row>
    <row r="1274" spans="9:10">
      <c r="I1274" s="2"/>
      <c r="J1274" s="2"/>
    </row>
    <row r="1275" spans="9:10">
      <c r="I1275" s="2"/>
      <c r="J1275" s="2"/>
    </row>
    <row r="1276" spans="9:10">
      <c r="I1276" s="2"/>
      <c r="J1276" s="2"/>
    </row>
    <row r="1277" spans="9:10">
      <c r="I1277" s="2"/>
      <c r="J1277" s="2"/>
    </row>
    <row r="1278" spans="9:10">
      <c r="I1278" s="2"/>
      <c r="J1278" s="2"/>
    </row>
    <row r="1279" spans="9:10">
      <c r="I1279" s="2"/>
      <c r="J1279" s="2"/>
    </row>
    <row r="1280" spans="9:10">
      <c r="I1280" s="2"/>
      <c r="J1280" s="2"/>
    </row>
    <row r="1281" spans="9:10">
      <c r="I1281" s="2"/>
      <c r="J1281" s="2"/>
    </row>
    <row r="1282" spans="9:10">
      <c r="I1282" s="2"/>
      <c r="J1282" s="2"/>
    </row>
    <row r="1283" spans="9:10">
      <c r="I1283" s="2"/>
      <c r="J1283" s="2"/>
    </row>
    <row r="1284" spans="9:10">
      <c r="I1284" s="2"/>
      <c r="J1284" s="2"/>
    </row>
    <row r="1285" spans="9:10">
      <c r="I1285" s="2"/>
      <c r="J1285" s="2"/>
    </row>
    <row r="1286" spans="9:10">
      <c r="I1286" s="2"/>
      <c r="J1286" s="2"/>
    </row>
    <row r="1287" spans="9:10">
      <c r="I1287" s="2"/>
      <c r="J1287" s="2"/>
    </row>
    <row r="1288" spans="9:10">
      <c r="I1288" s="2"/>
      <c r="J1288" s="2"/>
    </row>
    <row r="1289" spans="9:10">
      <c r="I1289" s="2"/>
      <c r="J1289" s="2"/>
    </row>
    <row r="1290" spans="9:10">
      <c r="I1290" s="2"/>
      <c r="J1290" s="2"/>
    </row>
    <row r="1291" spans="9:10">
      <c r="I1291" s="2"/>
      <c r="J1291" s="2"/>
    </row>
    <row r="1292" spans="9:10">
      <c r="I1292" s="2"/>
      <c r="J1292" s="2"/>
    </row>
    <row r="1293" spans="9:10">
      <c r="I1293" s="2"/>
      <c r="J1293" s="2"/>
    </row>
    <row r="1294" spans="9:10">
      <c r="I1294" s="2"/>
      <c r="J1294" s="2"/>
    </row>
    <row r="1295" spans="9:10">
      <c r="I1295" s="2"/>
      <c r="J1295" s="2"/>
    </row>
    <row r="1296" spans="9:10">
      <c r="I1296" s="2"/>
      <c r="J1296" s="2"/>
    </row>
    <row r="1297" spans="9:10">
      <c r="I1297" s="2"/>
      <c r="J1297" s="2"/>
    </row>
    <row r="1298" spans="9:10">
      <c r="I1298" s="2"/>
      <c r="J1298" s="2"/>
    </row>
    <row r="1299" spans="9:10">
      <c r="I1299" s="2"/>
      <c r="J1299" s="2"/>
    </row>
    <row r="1300" spans="9:10">
      <c r="I1300" s="2"/>
      <c r="J1300" s="2"/>
    </row>
    <row r="1301" spans="9:10">
      <c r="I1301" s="2"/>
      <c r="J1301" s="2"/>
    </row>
    <row r="1302" spans="9:10">
      <c r="I1302" s="2"/>
      <c r="J1302" s="2"/>
    </row>
    <row r="1303" spans="9:10">
      <c r="I1303" s="2"/>
      <c r="J1303" s="2"/>
    </row>
    <row r="1304" spans="9:10">
      <c r="I1304" s="2"/>
      <c r="J1304" s="2"/>
    </row>
    <row r="1305" spans="9:10">
      <c r="I1305" s="2"/>
      <c r="J1305" s="2"/>
    </row>
    <row r="1306" spans="9:10">
      <c r="I1306" s="2"/>
      <c r="J1306" s="2"/>
    </row>
    <row r="1307" spans="9:10">
      <c r="I1307" s="2"/>
      <c r="J1307" s="2"/>
    </row>
    <row r="1308" spans="9:10">
      <c r="I1308" s="2"/>
      <c r="J1308" s="2"/>
    </row>
    <row r="1309" spans="9:10">
      <c r="I1309" s="2"/>
      <c r="J1309" s="2"/>
    </row>
    <row r="1310" spans="9:10">
      <c r="I1310" s="2"/>
      <c r="J1310" s="2"/>
    </row>
    <row r="1311" spans="9:10">
      <c r="I1311" s="2"/>
      <c r="J1311" s="2"/>
    </row>
    <row r="1312" spans="9:10">
      <c r="I1312" s="2"/>
      <c r="J1312" s="2"/>
    </row>
    <row r="1313" spans="9:10">
      <c r="I1313" s="2"/>
      <c r="J1313" s="2"/>
    </row>
    <row r="1314" spans="9:10">
      <c r="I1314" s="2"/>
      <c r="J1314" s="2"/>
    </row>
    <row r="1315" spans="9:10">
      <c r="I1315" s="2"/>
      <c r="J1315" s="2"/>
    </row>
    <row r="1316" spans="9:10">
      <c r="I1316" s="2"/>
      <c r="J1316" s="2"/>
    </row>
    <row r="1317" spans="9:10">
      <c r="I1317" s="2"/>
      <c r="J1317" s="2"/>
    </row>
    <row r="1318" spans="9:10">
      <c r="I1318" s="2"/>
      <c r="J1318" s="2"/>
    </row>
    <row r="1319" spans="9:10">
      <c r="I1319" s="2"/>
      <c r="J1319" s="2"/>
    </row>
    <row r="1320" spans="9:10">
      <c r="I1320" s="2"/>
      <c r="J1320" s="2"/>
    </row>
    <row r="1321" spans="9:10">
      <c r="I1321" s="2"/>
      <c r="J1321" s="2"/>
    </row>
    <row r="1322" spans="9:10">
      <c r="I1322" s="2"/>
      <c r="J1322" s="2"/>
    </row>
    <row r="1323" spans="9:10">
      <c r="I1323" s="2"/>
      <c r="J1323" s="2"/>
    </row>
    <row r="1324" spans="9:10">
      <c r="I1324" s="2"/>
      <c r="J1324" s="2"/>
    </row>
    <row r="1325" spans="9:10">
      <c r="I1325" s="2"/>
      <c r="J1325" s="2"/>
    </row>
    <row r="1326" spans="9:10">
      <c r="I1326" s="2"/>
      <c r="J1326" s="2"/>
    </row>
    <row r="1327" spans="9:10">
      <c r="I1327" s="2"/>
      <c r="J1327" s="2"/>
    </row>
    <row r="1328" spans="9:10">
      <c r="I1328" s="2"/>
      <c r="J1328" s="2"/>
    </row>
    <row r="1329" spans="9:10">
      <c r="I1329" s="2"/>
      <c r="J1329" s="2"/>
    </row>
    <row r="1330" spans="9:10">
      <c r="I1330" s="2"/>
      <c r="J1330" s="2"/>
    </row>
    <row r="1331" spans="9:10">
      <c r="I1331" s="2"/>
      <c r="J1331" s="2"/>
    </row>
    <row r="1332" spans="9:10">
      <c r="I1332" s="2"/>
      <c r="J1332" s="2"/>
    </row>
    <row r="1333" spans="9:10">
      <c r="I1333" s="2"/>
      <c r="J1333" s="2"/>
    </row>
    <row r="1334" spans="9:10">
      <c r="I1334" s="2"/>
      <c r="J1334" s="2"/>
    </row>
    <row r="1335" spans="9:10">
      <c r="I1335" s="2"/>
      <c r="J1335" s="2"/>
    </row>
    <row r="1336" spans="9:10">
      <c r="I1336" s="2"/>
      <c r="J1336" s="2"/>
    </row>
    <row r="1337" spans="9:10">
      <c r="I1337" s="2"/>
      <c r="J1337" s="2"/>
    </row>
    <row r="1338" spans="9:10">
      <c r="I1338" s="2"/>
      <c r="J1338" s="2"/>
    </row>
    <row r="1339" spans="9:10">
      <c r="I1339" s="2"/>
      <c r="J1339" s="2"/>
    </row>
    <row r="1340" spans="9:10">
      <c r="I1340" s="2"/>
      <c r="J1340" s="2"/>
    </row>
    <row r="1341" spans="9:10">
      <c r="I1341" s="2"/>
      <c r="J1341" s="2"/>
    </row>
    <row r="1342" spans="9:10">
      <c r="I1342" s="2"/>
      <c r="J1342" s="2"/>
    </row>
    <row r="1343" spans="9:10">
      <c r="I1343" s="2"/>
      <c r="J1343" s="2"/>
    </row>
    <row r="1344" spans="9:10">
      <c r="I1344" s="2"/>
      <c r="J1344" s="2"/>
    </row>
    <row r="1345" spans="9:10">
      <c r="I1345" s="2"/>
      <c r="J1345" s="2"/>
    </row>
    <row r="1346" spans="9:10">
      <c r="I1346" s="2"/>
      <c r="J1346" s="2"/>
    </row>
    <row r="1347" spans="9:10">
      <c r="I1347" s="2"/>
      <c r="J1347" s="2"/>
    </row>
    <row r="1348" spans="9:10">
      <c r="I1348" s="2"/>
      <c r="J1348" s="2"/>
    </row>
    <row r="1349" spans="9:10">
      <c r="I1349" s="2"/>
      <c r="J1349" s="2"/>
    </row>
    <row r="1350" spans="9:10">
      <c r="I1350" s="2"/>
      <c r="J1350" s="2"/>
    </row>
    <row r="1351" spans="9:10">
      <c r="I1351" s="2"/>
      <c r="J1351" s="2"/>
    </row>
    <row r="1352" spans="9:10">
      <c r="I1352" s="2"/>
      <c r="J1352" s="2"/>
    </row>
    <row r="1353" spans="9:10">
      <c r="I1353" s="2"/>
      <c r="J1353" s="2"/>
    </row>
    <row r="1354" spans="9:10">
      <c r="I1354" s="2"/>
      <c r="J1354" s="2"/>
    </row>
    <row r="1355" spans="9:10">
      <c r="I1355" s="2"/>
      <c r="J1355" s="2"/>
    </row>
    <row r="1356" spans="9:10">
      <c r="I1356" s="2"/>
      <c r="J1356" s="2"/>
    </row>
    <row r="1357" spans="9:10">
      <c r="I1357" s="2"/>
      <c r="J1357" s="2"/>
    </row>
    <row r="1358" spans="9:10">
      <c r="I1358" s="2"/>
      <c r="J1358" s="2"/>
    </row>
    <row r="1359" spans="9:10">
      <c r="I1359" s="2"/>
      <c r="J1359" s="2"/>
    </row>
    <row r="1360" spans="9:10">
      <c r="I1360" s="2"/>
      <c r="J1360" s="2"/>
    </row>
    <row r="1361" spans="9:10">
      <c r="I1361" s="2"/>
      <c r="J1361" s="2"/>
    </row>
    <row r="1362" spans="9:10">
      <c r="I1362" s="2"/>
      <c r="J1362" s="2"/>
    </row>
    <row r="1363" spans="9:10">
      <c r="I1363" s="2"/>
      <c r="J1363" s="2"/>
    </row>
    <row r="1364" spans="9:10">
      <c r="I1364" s="2"/>
      <c r="J1364" s="2"/>
    </row>
    <row r="1365" spans="9:10">
      <c r="I1365" s="2"/>
      <c r="J1365" s="2"/>
    </row>
    <row r="1366" spans="9:10">
      <c r="I1366" s="2"/>
      <c r="J1366" s="2"/>
    </row>
    <row r="1367" spans="9:10">
      <c r="I1367" s="2"/>
      <c r="J1367" s="2"/>
    </row>
    <row r="1368" spans="9:10">
      <c r="I1368" s="2"/>
      <c r="J1368" s="2"/>
    </row>
    <row r="1369" spans="9:10">
      <c r="I1369" s="2"/>
      <c r="J1369" s="2"/>
    </row>
    <row r="1370" spans="9:10">
      <c r="I1370" s="2"/>
      <c r="J1370" s="2"/>
    </row>
    <row r="1371" spans="9:10">
      <c r="I1371" s="2"/>
      <c r="J1371" s="2"/>
    </row>
    <row r="1372" spans="9:10">
      <c r="I1372" s="2"/>
      <c r="J1372" s="2"/>
    </row>
    <row r="1373" spans="9:10">
      <c r="I1373" s="2"/>
      <c r="J1373" s="2"/>
    </row>
    <row r="1374" spans="9:10">
      <c r="I1374" s="2"/>
      <c r="J1374" s="2"/>
    </row>
    <row r="1375" spans="9:10">
      <c r="I1375" s="2"/>
      <c r="J1375" s="2"/>
    </row>
    <row r="1376" spans="9:10">
      <c r="I1376" s="2"/>
      <c r="J1376" s="2"/>
    </row>
    <row r="1377" spans="9:10">
      <c r="I1377" s="2"/>
      <c r="J1377" s="2"/>
    </row>
    <row r="1378" spans="9:10">
      <c r="I1378" s="2"/>
      <c r="J1378" s="2"/>
    </row>
    <row r="1379" spans="9:10">
      <c r="I1379" s="2"/>
      <c r="J1379" s="2"/>
    </row>
    <row r="1380" spans="9:10">
      <c r="I1380" s="2"/>
      <c r="J1380" s="2"/>
    </row>
    <row r="1381" spans="9:10">
      <c r="I1381" s="2"/>
      <c r="J1381" s="2"/>
    </row>
    <row r="1382" spans="9:10">
      <c r="I1382" s="2"/>
      <c r="J1382" s="2"/>
    </row>
    <row r="1383" spans="9:10">
      <c r="I1383" s="2"/>
      <c r="J1383" s="2"/>
    </row>
    <row r="1384" spans="9:10">
      <c r="I1384" s="2"/>
      <c r="J1384" s="2"/>
    </row>
    <row r="1385" spans="9:10">
      <c r="I1385" s="2"/>
      <c r="J1385" s="2"/>
    </row>
    <row r="1386" spans="9:10">
      <c r="I1386" s="2"/>
      <c r="J1386" s="2"/>
    </row>
    <row r="1387" spans="9:10">
      <c r="I1387" s="2"/>
      <c r="J1387" s="2"/>
    </row>
    <row r="1388" spans="9:10">
      <c r="I1388" s="2"/>
      <c r="J1388" s="2"/>
    </row>
    <row r="1389" spans="9:10">
      <c r="I1389" s="2"/>
      <c r="J1389" s="2"/>
    </row>
    <row r="1390" spans="9:10">
      <c r="I1390" s="2"/>
      <c r="J1390" s="2"/>
    </row>
    <row r="1391" spans="9:10">
      <c r="I1391" s="2"/>
      <c r="J1391" s="2"/>
    </row>
    <row r="1392" spans="9:10">
      <c r="I1392" s="2"/>
      <c r="J1392" s="2"/>
    </row>
    <row r="1393" spans="9:10">
      <c r="I1393" s="2"/>
      <c r="J1393" s="2"/>
    </row>
    <row r="1394" spans="9:10">
      <c r="I1394" s="2"/>
      <c r="J1394" s="2"/>
    </row>
    <row r="1395" spans="9:10">
      <c r="I1395" s="2"/>
      <c r="J1395" s="2"/>
    </row>
    <row r="1396" spans="9:10">
      <c r="I1396" s="2"/>
      <c r="J1396" s="2"/>
    </row>
    <row r="1397" spans="9:10">
      <c r="I1397" s="2"/>
      <c r="J1397" s="2"/>
    </row>
    <row r="1398" spans="9:10">
      <c r="I1398" s="2"/>
      <c r="J1398" s="2"/>
    </row>
    <row r="1399" spans="9:10">
      <c r="I1399" s="2"/>
      <c r="J1399" s="2"/>
    </row>
    <row r="1400" spans="9:10">
      <c r="I1400" s="2"/>
      <c r="J1400" s="2"/>
    </row>
    <row r="1401" spans="9:10">
      <c r="I1401" s="2"/>
      <c r="J1401" s="2"/>
    </row>
    <row r="1402" spans="9:10">
      <c r="I1402" s="2"/>
      <c r="J1402" s="2"/>
    </row>
    <row r="1403" spans="9:10">
      <c r="I1403" s="2"/>
      <c r="J1403" s="2"/>
    </row>
    <row r="1404" spans="9:10">
      <c r="I1404" s="2"/>
      <c r="J1404" s="2"/>
    </row>
    <row r="1405" spans="9:10">
      <c r="I1405" s="2"/>
      <c r="J1405" s="2"/>
    </row>
    <row r="1406" spans="9:10">
      <c r="I1406" s="2"/>
      <c r="J1406" s="2"/>
    </row>
    <row r="1407" spans="9:10">
      <c r="I1407" s="2"/>
      <c r="J1407" s="2"/>
    </row>
    <row r="1408" spans="9:10">
      <c r="I1408" s="2"/>
      <c r="J1408" s="2"/>
    </row>
    <row r="1409" spans="9:10">
      <c r="I1409" s="2"/>
      <c r="J1409" s="2"/>
    </row>
    <row r="1410" spans="9:10">
      <c r="I1410" s="2"/>
      <c r="J1410" s="2"/>
    </row>
    <row r="1411" spans="9:10">
      <c r="I1411" s="2"/>
      <c r="J1411" s="2"/>
    </row>
    <row r="1412" spans="9:10">
      <c r="I1412" s="2"/>
      <c r="J1412" s="2"/>
    </row>
    <row r="1413" spans="9:10">
      <c r="I1413" s="2"/>
      <c r="J1413" s="2"/>
    </row>
    <row r="1414" spans="9:10">
      <c r="I1414" s="2"/>
      <c r="J1414" s="2"/>
    </row>
    <row r="1415" spans="9:10">
      <c r="I1415" s="2"/>
      <c r="J1415" s="2"/>
    </row>
    <row r="1416" spans="9:10">
      <c r="I1416" s="2"/>
      <c r="J1416" s="2"/>
    </row>
    <row r="1417" spans="9:10">
      <c r="I1417" s="2"/>
      <c r="J1417" s="2"/>
    </row>
    <row r="1418" spans="9:10">
      <c r="I1418" s="2"/>
      <c r="J1418" s="2"/>
    </row>
    <row r="1419" spans="9:10">
      <c r="I1419" s="2"/>
      <c r="J1419" s="2"/>
    </row>
    <row r="1420" spans="9:10">
      <c r="I1420" s="2"/>
      <c r="J1420" s="2"/>
    </row>
    <row r="1421" spans="9:10">
      <c r="I1421" s="2"/>
      <c r="J1421" s="2"/>
    </row>
    <row r="1422" spans="9:10">
      <c r="I1422" s="2"/>
      <c r="J1422" s="2"/>
    </row>
    <row r="1423" spans="9:10">
      <c r="I1423" s="2"/>
      <c r="J1423" s="2"/>
    </row>
    <row r="1424" spans="9:10">
      <c r="I1424" s="2"/>
      <c r="J1424" s="2"/>
    </row>
    <row r="1425" spans="9:10">
      <c r="I1425" s="2"/>
      <c r="J1425" s="2"/>
    </row>
    <row r="1426" spans="9:10">
      <c r="I1426" s="2"/>
      <c r="J1426" s="2"/>
    </row>
    <row r="1427" spans="9:10">
      <c r="I1427" s="2"/>
      <c r="J1427" s="2"/>
    </row>
    <row r="1428" spans="9:10">
      <c r="I1428" s="2"/>
      <c r="J1428" s="2"/>
    </row>
    <row r="1429" spans="9:10">
      <c r="I1429" s="2"/>
      <c r="J1429" s="2"/>
    </row>
    <row r="1430" spans="9:10">
      <c r="I1430" s="2"/>
      <c r="J1430" s="2"/>
    </row>
    <row r="1431" spans="9:10">
      <c r="I1431" s="2"/>
      <c r="J1431" s="2"/>
    </row>
    <row r="1432" spans="9:10">
      <c r="I1432" s="2"/>
      <c r="J1432" s="2"/>
    </row>
    <row r="1433" spans="9:10">
      <c r="I1433" s="2"/>
      <c r="J1433" s="2"/>
    </row>
    <row r="1434" spans="9:10">
      <c r="I1434" s="2"/>
      <c r="J1434" s="2"/>
    </row>
    <row r="1435" spans="9:10">
      <c r="I1435" s="2"/>
      <c r="J1435" s="2"/>
    </row>
    <row r="1436" spans="9:10">
      <c r="I1436" s="2"/>
      <c r="J1436" s="2"/>
    </row>
    <row r="1437" spans="9:10">
      <c r="I1437" s="2"/>
      <c r="J1437" s="2"/>
    </row>
    <row r="1438" spans="9:10">
      <c r="I1438" s="2"/>
      <c r="J1438" s="2"/>
    </row>
    <row r="1439" spans="9:10">
      <c r="I1439" s="2"/>
      <c r="J1439" s="2"/>
    </row>
    <row r="1440" spans="9:10">
      <c r="I1440" s="2"/>
      <c r="J1440" s="2"/>
    </row>
    <row r="1441" spans="9:10">
      <c r="I1441" s="2"/>
      <c r="J1441" s="2"/>
    </row>
    <row r="1442" spans="9:10">
      <c r="I1442" s="2"/>
      <c r="J1442" s="2"/>
    </row>
    <row r="1443" spans="9:10">
      <c r="I1443" s="2"/>
      <c r="J1443" s="2"/>
    </row>
    <row r="1444" spans="9:10">
      <c r="I1444" s="2"/>
      <c r="J1444" s="2"/>
    </row>
    <row r="1445" spans="9:10">
      <c r="I1445" s="2"/>
      <c r="J1445" s="2"/>
    </row>
    <row r="1446" spans="9:10">
      <c r="I1446" s="2"/>
      <c r="J1446" s="2"/>
    </row>
    <row r="1447" spans="9:10">
      <c r="I1447" s="2"/>
      <c r="J1447" s="2"/>
    </row>
    <row r="1448" spans="9:10">
      <c r="I1448" s="2"/>
      <c r="J1448" s="2"/>
    </row>
    <row r="1449" spans="9:10">
      <c r="I1449" s="2"/>
      <c r="J1449" s="2"/>
    </row>
    <row r="1450" spans="9:10">
      <c r="I1450" s="2"/>
      <c r="J1450" s="2"/>
    </row>
    <row r="1451" spans="9:10">
      <c r="I1451" s="2"/>
      <c r="J1451" s="2"/>
    </row>
    <row r="1452" spans="9:10">
      <c r="I1452" s="2"/>
      <c r="J1452" s="2"/>
    </row>
    <row r="1453" spans="9:10">
      <c r="I1453" s="2"/>
      <c r="J1453" s="2"/>
    </row>
    <row r="1454" spans="9:10">
      <c r="I1454" s="2"/>
      <c r="J1454" s="2"/>
    </row>
    <row r="1455" spans="9:10">
      <c r="I1455" s="2"/>
      <c r="J1455" s="2"/>
    </row>
    <row r="1456" spans="9:10">
      <c r="I1456" s="2"/>
      <c r="J1456" s="2"/>
    </row>
    <row r="1457" spans="9:10">
      <c r="I1457" s="2"/>
      <c r="J1457" s="2"/>
    </row>
    <row r="1458" spans="9:10">
      <c r="I1458" s="2"/>
      <c r="J1458" s="2"/>
    </row>
    <row r="1459" spans="9:10">
      <c r="I1459" s="2"/>
      <c r="J1459" s="2"/>
    </row>
    <row r="1460" spans="9:10">
      <c r="I1460" s="2"/>
      <c r="J1460" s="2"/>
    </row>
    <row r="1461" spans="9:10">
      <c r="I1461" s="2"/>
      <c r="J1461" s="2"/>
    </row>
    <row r="1462" spans="9:10">
      <c r="I1462" s="2"/>
      <c r="J1462" s="2"/>
    </row>
    <row r="1463" spans="9:10">
      <c r="I1463" s="2"/>
      <c r="J1463" s="2"/>
    </row>
    <row r="1464" spans="9:10">
      <c r="I1464" s="2"/>
      <c r="J1464" s="2"/>
    </row>
    <row r="1465" spans="9:10">
      <c r="I1465" s="2"/>
      <c r="J1465" s="2"/>
    </row>
    <row r="1466" spans="9:10">
      <c r="I1466" s="2"/>
      <c r="J1466" s="2"/>
    </row>
    <row r="1467" spans="9:10">
      <c r="I1467" s="2"/>
      <c r="J1467" s="2"/>
    </row>
    <row r="1468" spans="9:10">
      <c r="I1468" s="2"/>
      <c r="J1468" s="2"/>
    </row>
    <row r="1469" spans="9:10">
      <c r="I1469" s="2"/>
      <c r="J1469" s="2"/>
    </row>
    <row r="1470" spans="9:10">
      <c r="I1470" s="2"/>
      <c r="J1470" s="2"/>
    </row>
    <row r="1471" spans="9:10">
      <c r="I1471" s="2"/>
      <c r="J1471" s="2"/>
    </row>
    <row r="1472" spans="9:10">
      <c r="I1472" s="2"/>
      <c r="J1472" s="2"/>
    </row>
    <row r="1473" spans="9:10">
      <c r="I1473" s="2"/>
      <c r="J1473" s="2"/>
    </row>
    <row r="1474" spans="9:10">
      <c r="I1474" s="2"/>
      <c r="J1474" s="2"/>
    </row>
    <row r="1475" spans="9:10">
      <c r="I1475" s="2"/>
      <c r="J1475" s="2"/>
    </row>
    <row r="1476" spans="9:10">
      <c r="I1476" s="2"/>
      <c r="J1476" s="2"/>
    </row>
    <row r="1477" spans="9:10">
      <c r="I1477" s="2"/>
      <c r="J1477" s="2"/>
    </row>
    <row r="1478" spans="9:10">
      <c r="I1478" s="2"/>
      <c r="J1478" s="2"/>
    </row>
    <row r="1479" spans="9:10">
      <c r="I1479" s="2"/>
      <c r="J1479" s="2"/>
    </row>
    <row r="1480" spans="9:10">
      <c r="I1480" s="2"/>
      <c r="J1480" s="2"/>
    </row>
    <row r="1481" spans="9:10">
      <c r="I1481" s="2"/>
      <c r="J1481" s="2"/>
    </row>
    <row r="1482" spans="9:10">
      <c r="I1482" s="2"/>
      <c r="J1482" s="2"/>
    </row>
    <row r="1483" spans="9:10">
      <c r="I1483" s="2"/>
      <c r="J1483" s="2"/>
    </row>
    <row r="1484" spans="9:10">
      <c r="I1484" s="2"/>
      <c r="J1484" s="2"/>
    </row>
    <row r="1485" spans="9:10">
      <c r="I1485" s="2"/>
      <c r="J1485" s="2"/>
    </row>
    <row r="1486" spans="9:10">
      <c r="I1486" s="2"/>
      <c r="J1486" s="2"/>
    </row>
    <row r="1487" spans="9:10">
      <c r="I1487" s="2"/>
      <c r="J1487" s="2"/>
    </row>
    <row r="1488" spans="9:10">
      <c r="I1488" s="2"/>
      <c r="J1488" s="2"/>
    </row>
    <row r="1489" spans="9:10">
      <c r="I1489" s="2"/>
      <c r="J1489" s="2"/>
    </row>
    <row r="1490" spans="9:10">
      <c r="I1490" s="2"/>
      <c r="J1490" s="2"/>
    </row>
    <row r="1491" spans="9:10">
      <c r="I1491" s="2"/>
      <c r="J1491" s="2"/>
    </row>
    <row r="1492" spans="9:10">
      <c r="I1492" s="2"/>
      <c r="J1492" s="2"/>
    </row>
    <row r="1493" spans="9:10">
      <c r="I1493" s="2"/>
      <c r="J1493" s="2"/>
    </row>
    <row r="1494" spans="9:10">
      <c r="I1494" s="2"/>
      <c r="J1494" s="2"/>
    </row>
    <row r="1495" spans="9:10">
      <c r="I1495" s="2"/>
      <c r="J1495" s="2"/>
    </row>
    <row r="1496" spans="9:10">
      <c r="I1496" s="2"/>
      <c r="J1496" s="2"/>
    </row>
    <row r="1497" spans="9:10">
      <c r="I1497" s="2"/>
      <c r="J1497" s="2"/>
    </row>
    <row r="1498" spans="9:10">
      <c r="I1498" s="2"/>
      <c r="J1498" s="2"/>
    </row>
    <row r="1499" spans="9:10">
      <c r="I1499" s="2"/>
      <c r="J1499" s="2"/>
    </row>
    <row r="1500" spans="9:10">
      <c r="I1500" s="2"/>
      <c r="J1500" s="2"/>
    </row>
    <row r="1501" spans="9:10">
      <c r="I1501" s="2"/>
      <c r="J1501" s="2"/>
    </row>
    <row r="1502" spans="9:10">
      <c r="I1502" s="2"/>
      <c r="J1502" s="2"/>
    </row>
    <row r="1503" spans="9:10">
      <c r="I1503" s="2"/>
      <c r="J1503" s="2"/>
    </row>
    <row r="1504" spans="9:10">
      <c r="I1504" s="2"/>
      <c r="J1504" s="2"/>
    </row>
    <row r="1505" spans="9:10">
      <c r="I1505" s="2"/>
      <c r="J1505" s="2"/>
    </row>
    <row r="1506" spans="9:10">
      <c r="I1506" s="2"/>
      <c r="J1506" s="2"/>
    </row>
    <row r="1507" spans="9:10">
      <c r="I1507" s="2"/>
      <c r="J1507" s="2"/>
    </row>
    <row r="1508" spans="9:10">
      <c r="I1508" s="2"/>
      <c r="J1508" s="2"/>
    </row>
    <row r="1509" spans="9:10">
      <c r="I1509" s="2"/>
      <c r="J1509" s="2"/>
    </row>
    <row r="1510" spans="9:10">
      <c r="I1510" s="2"/>
      <c r="J1510" s="2"/>
    </row>
    <row r="1511" spans="9:10">
      <c r="I1511" s="2"/>
      <c r="J1511" s="2"/>
    </row>
    <row r="1512" spans="9:10">
      <c r="I1512" s="2"/>
      <c r="J1512" s="2"/>
    </row>
    <row r="1513" spans="9:10">
      <c r="I1513" s="2"/>
      <c r="J1513" s="2"/>
    </row>
    <row r="1514" spans="9:10">
      <c r="I1514" s="2"/>
      <c r="J1514" s="2"/>
    </row>
    <row r="1515" spans="9:10">
      <c r="I1515" s="2"/>
      <c r="J1515" s="2"/>
    </row>
    <row r="1516" spans="9:10">
      <c r="I1516" s="2"/>
      <c r="J1516" s="2"/>
    </row>
    <row r="1517" spans="9:10">
      <c r="I1517" s="2"/>
      <c r="J1517" s="2"/>
    </row>
    <row r="1518" spans="9:10">
      <c r="I1518" s="2"/>
      <c r="J1518" s="2"/>
    </row>
    <row r="1519" spans="9:10">
      <c r="I1519" s="2"/>
      <c r="J1519" s="2"/>
    </row>
    <row r="1520" spans="9:10">
      <c r="I1520" s="2"/>
      <c r="J1520" s="2"/>
    </row>
    <row r="1521" spans="9:10">
      <c r="I1521" s="2"/>
      <c r="J1521" s="2"/>
    </row>
    <row r="1522" spans="9:10">
      <c r="I1522" s="2"/>
      <c r="J1522" s="2"/>
    </row>
    <row r="1523" spans="9:10">
      <c r="I1523" s="2"/>
      <c r="J1523" s="2"/>
    </row>
    <row r="1524" spans="9:10">
      <c r="I1524" s="2"/>
      <c r="J1524" s="2"/>
    </row>
    <row r="1525" spans="9:10">
      <c r="I1525" s="2"/>
      <c r="J1525" s="2"/>
    </row>
    <row r="1526" spans="9:10">
      <c r="I1526" s="2"/>
      <c r="J1526" s="2"/>
    </row>
    <row r="1527" spans="9:10">
      <c r="I1527" s="2"/>
      <c r="J1527" s="2"/>
    </row>
    <row r="1528" spans="9:10">
      <c r="I1528" s="2"/>
      <c r="J1528" s="2"/>
    </row>
    <row r="1529" spans="9:10">
      <c r="I1529" s="2"/>
      <c r="J1529" s="2"/>
    </row>
    <row r="1530" spans="9:10">
      <c r="I1530" s="2"/>
      <c r="J1530" s="2"/>
    </row>
    <row r="1531" spans="9:10">
      <c r="I1531" s="2"/>
      <c r="J1531" s="2"/>
    </row>
    <row r="1532" spans="9:10">
      <c r="I1532" s="2"/>
      <c r="J1532" s="2"/>
    </row>
    <row r="1533" spans="9:10">
      <c r="I1533" s="2"/>
      <c r="J1533" s="2"/>
    </row>
    <row r="1534" spans="9:10">
      <c r="I1534" s="2"/>
      <c r="J1534" s="2"/>
    </row>
    <row r="1535" spans="9:10">
      <c r="I1535" s="2"/>
      <c r="J1535" s="2"/>
    </row>
    <row r="1536" spans="9:10">
      <c r="I1536" s="2"/>
      <c r="J1536" s="2"/>
    </row>
    <row r="1537" spans="9:10">
      <c r="I1537" s="2"/>
      <c r="J1537" s="2"/>
    </row>
    <row r="1538" spans="9:10">
      <c r="I1538" s="2"/>
      <c r="J1538" s="2"/>
    </row>
    <row r="1539" spans="9:10">
      <c r="I1539" s="2"/>
      <c r="J1539" s="2"/>
    </row>
    <row r="1540" spans="9:10">
      <c r="I1540" s="2"/>
      <c r="J1540" s="2"/>
    </row>
    <row r="1541" spans="9:10">
      <c r="I1541" s="2"/>
      <c r="J1541" s="2"/>
    </row>
    <row r="1542" spans="9:10">
      <c r="I1542" s="2"/>
      <c r="J1542" s="2"/>
    </row>
    <row r="1543" spans="9:10">
      <c r="I1543" s="2"/>
      <c r="J1543" s="2"/>
    </row>
    <row r="1544" spans="9:10">
      <c r="I1544" s="2"/>
      <c r="J1544" s="2"/>
    </row>
    <row r="1545" spans="9:10">
      <c r="I1545" s="2"/>
      <c r="J1545" s="2"/>
    </row>
    <row r="1546" spans="9:10">
      <c r="I1546" s="2"/>
      <c r="J1546" s="2"/>
    </row>
    <row r="1547" spans="9:10">
      <c r="I1547" s="2"/>
      <c r="J1547" s="2"/>
    </row>
    <row r="1548" spans="9:10">
      <c r="I1548" s="2"/>
      <c r="J1548" s="2"/>
    </row>
    <row r="1549" spans="9:10">
      <c r="I1549" s="2"/>
      <c r="J1549" s="2"/>
    </row>
    <row r="1550" spans="9:10">
      <c r="I1550" s="2"/>
      <c r="J1550" s="2"/>
    </row>
    <row r="1551" spans="9:10">
      <c r="I1551" s="2"/>
      <c r="J1551" s="2"/>
    </row>
    <row r="1552" spans="9:10">
      <c r="I1552" s="2"/>
      <c r="J1552" s="2"/>
    </row>
    <row r="1553" spans="9:10">
      <c r="I1553" s="2"/>
      <c r="J1553" s="2"/>
    </row>
    <row r="1554" spans="9:10">
      <c r="I1554" s="2"/>
      <c r="J1554" s="2"/>
    </row>
    <row r="1555" spans="9:10">
      <c r="I1555" s="2"/>
      <c r="J1555" s="2"/>
    </row>
    <row r="1556" spans="9:10">
      <c r="I1556" s="2"/>
      <c r="J1556" s="2"/>
    </row>
    <row r="1557" spans="9:10">
      <c r="I1557" s="2"/>
      <c r="J1557" s="2"/>
    </row>
    <row r="1558" spans="9:10">
      <c r="I1558" s="2"/>
      <c r="J1558" s="2"/>
    </row>
    <row r="1559" spans="9:10">
      <c r="I1559" s="2"/>
      <c r="J1559" s="2"/>
    </row>
    <row r="1560" spans="9:10">
      <c r="I1560" s="2"/>
      <c r="J1560" s="2"/>
    </row>
    <row r="1561" spans="9:10">
      <c r="I1561" s="2"/>
      <c r="J1561" s="2"/>
    </row>
    <row r="1562" spans="9:10">
      <c r="I1562" s="2"/>
      <c r="J1562" s="2"/>
    </row>
    <row r="1563" spans="9:10">
      <c r="I1563" s="2"/>
      <c r="J1563" s="2"/>
    </row>
    <row r="1564" spans="9:10">
      <c r="I1564" s="2"/>
      <c r="J1564" s="2"/>
    </row>
    <row r="1565" spans="9:10">
      <c r="I1565" s="2"/>
      <c r="J1565" s="2"/>
    </row>
    <row r="1566" spans="9:10">
      <c r="I1566" s="2"/>
      <c r="J1566" s="2"/>
    </row>
    <row r="1567" spans="9:10">
      <c r="I1567" s="2"/>
      <c r="J1567" s="2"/>
    </row>
    <row r="1568" spans="9:10">
      <c r="I1568" s="2"/>
      <c r="J1568" s="2"/>
    </row>
    <row r="1569" spans="9:10">
      <c r="I1569" s="2"/>
      <c r="J1569" s="2"/>
    </row>
    <row r="1570" spans="9:10">
      <c r="I1570" s="2"/>
      <c r="J1570" s="2"/>
    </row>
    <row r="1571" spans="9:10">
      <c r="I1571" s="2"/>
      <c r="J1571" s="2"/>
    </row>
    <row r="1572" spans="9:10">
      <c r="I1572" s="2"/>
      <c r="J1572" s="2"/>
    </row>
    <row r="1573" spans="9:10">
      <c r="I1573" s="2"/>
      <c r="J1573" s="2"/>
    </row>
    <row r="1574" spans="9:10">
      <c r="I1574" s="2"/>
      <c r="J1574" s="2"/>
    </row>
    <row r="1575" spans="9:10">
      <c r="I1575" s="2"/>
      <c r="J1575" s="2"/>
    </row>
    <row r="1576" spans="9:10">
      <c r="I1576" s="2"/>
      <c r="J1576" s="2"/>
    </row>
    <row r="1577" spans="9:10">
      <c r="I1577" s="2"/>
      <c r="J1577" s="2"/>
    </row>
    <row r="1578" spans="9:10">
      <c r="I1578" s="2"/>
      <c r="J1578" s="2"/>
    </row>
    <row r="1579" spans="9:10">
      <c r="I1579" s="2"/>
      <c r="J1579" s="2"/>
    </row>
    <row r="1580" spans="9:10">
      <c r="I1580" s="2"/>
      <c r="J1580" s="2"/>
    </row>
    <row r="1581" spans="9:10">
      <c r="I1581" s="2"/>
      <c r="J1581" s="2"/>
    </row>
    <row r="1582" spans="9:10">
      <c r="I1582" s="2"/>
      <c r="J1582" s="2"/>
    </row>
    <row r="1583" spans="9:10">
      <c r="I1583" s="2"/>
      <c r="J1583" s="2"/>
    </row>
    <row r="1584" spans="9:10">
      <c r="I1584" s="2"/>
      <c r="J1584" s="2"/>
    </row>
    <row r="1585" spans="9:10">
      <c r="I1585" s="2"/>
      <c r="J1585" s="2"/>
    </row>
    <row r="1586" spans="9:10">
      <c r="I1586" s="2"/>
      <c r="J1586" s="2"/>
    </row>
    <row r="1587" spans="9:10">
      <c r="I1587" s="2"/>
      <c r="J1587" s="2"/>
    </row>
    <row r="1588" spans="9:10">
      <c r="I1588" s="2"/>
      <c r="J1588" s="2"/>
    </row>
    <row r="1589" spans="9:10">
      <c r="I1589" s="2"/>
      <c r="J1589" s="2"/>
    </row>
    <row r="1590" spans="9:10">
      <c r="I1590" s="2"/>
      <c r="J1590" s="2"/>
    </row>
    <row r="1591" spans="9:10">
      <c r="I1591" s="2"/>
      <c r="J1591" s="2"/>
    </row>
    <row r="1592" spans="9:10">
      <c r="I1592" s="2"/>
      <c r="J1592" s="2"/>
    </row>
    <row r="1593" spans="9:10">
      <c r="I1593" s="2"/>
      <c r="J1593" s="2"/>
    </row>
    <row r="1594" spans="9:10">
      <c r="I1594" s="2"/>
      <c r="J1594" s="2"/>
    </row>
    <row r="1595" spans="9:10">
      <c r="I1595" s="2"/>
      <c r="J1595" s="2"/>
    </row>
    <row r="1596" spans="9:10">
      <c r="I1596" s="2"/>
      <c r="J1596" s="2"/>
    </row>
    <row r="1597" spans="9:10">
      <c r="I1597" s="2"/>
      <c r="J1597" s="2"/>
    </row>
  </sheetData>
  <sortState xmlns:xlrd2="http://schemas.microsoft.com/office/spreadsheetml/2017/richdata2" ref="H3:H22">
    <sortCondition ref="H2"/>
  </sortState>
  <phoneticPr fontId="3" type="noConversion"/>
  <hyperlinks>
    <hyperlink ref="J13" location="복수과거물조회!A1" display="사용방법" xr:uid="{00000000-0004-0000-02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복수과거물조회</vt:lpstr>
      <vt:lpstr>과거월물조회</vt:lpstr>
      <vt:lpstr>코드</vt:lpstr>
      <vt:lpstr>과거월물조회!Criteria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2019-06-25T23:02:59Z</dcterms:created>
  <dcterms:modified xsi:type="dcterms:W3CDTF">2024-02-20T07:36:04Z</dcterms:modified>
</cp:coreProperties>
</file>