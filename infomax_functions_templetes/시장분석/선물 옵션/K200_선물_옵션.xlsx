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현재_통합_문서" defaultThemeVersion="124226"/>
  <bookViews>
    <workbookView xWindow="930" yWindow="0" windowWidth="19950" windowHeight="5310"/>
  </bookViews>
  <sheets>
    <sheet name="KOSPI200 선물옵션" sheetId="2" r:id="rId1"/>
  </sheets>
  <calcPr calcId="145621"/>
</workbook>
</file>

<file path=xl/calcChain.xml><?xml version="1.0" encoding="utf-8"?>
<calcChain xmlns="http://schemas.openxmlformats.org/spreadsheetml/2006/main">
  <c r="AL32" i="2" l="1"/>
  <c r="AL33" i="2"/>
  <c r="AL34" i="2"/>
  <c r="AL35" i="2"/>
  <c r="AL36" i="2"/>
  <c r="AL37" i="2"/>
  <c r="AL38" i="2"/>
  <c r="AL39" i="2"/>
  <c r="AL40" i="2"/>
  <c r="AL41" i="2"/>
  <c r="AL42" i="2"/>
  <c r="AL43" i="2"/>
  <c r="AL44" i="2"/>
  <c r="AL45" i="2"/>
  <c r="AL46" i="2"/>
  <c r="AL47" i="2"/>
  <c r="AL48" i="2"/>
  <c r="AL49" i="2"/>
  <c r="AL50" i="2"/>
  <c r="AL51" i="2"/>
  <c r="AL52" i="2"/>
  <c r="AL53" i="2"/>
  <c r="AL54" i="2"/>
  <c r="AL55" i="2"/>
  <c r="AL56" i="2"/>
  <c r="AL57" i="2"/>
  <c r="AL58" i="2"/>
  <c r="AL59" i="2"/>
  <c r="AL60" i="2"/>
  <c r="AL61" i="2"/>
  <c r="AL62" i="2"/>
  <c r="AL63" i="2"/>
  <c r="AL64" i="2"/>
  <c r="AL65" i="2"/>
  <c r="AL66" i="2"/>
  <c r="AL67" i="2"/>
  <c r="AL68" i="2"/>
  <c r="AL69" i="2"/>
  <c r="AL70" i="2"/>
  <c r="AL71" i="2"/>
  <c r="AL72" i="2"/>
  <c r="AL73" i="2"/>
  <c r="AL74" i="2"/>
  <c r="AL75" i="2"/>
  <c r="AL76" i="2"/>
  <c r="AL77" i="2"/>
  <c r="AL78" i="2"/>
  <c r="AL79" i="2"/>
  <c r="AL80" i="2"/>
  <c r="AL81" i="2"/>
  <c r="AL82" i="2"/>
  <c r="AL83" i="2"/>
  <c r="AL84" i="2"/>
  <c r="AL85" i="2"/>
  <c r="AL86" i="2"/>
  <c r="AL87" i="2"/>
  <c r="AL88" i="2"/>
  <c r="AL89" i="2"/>
  <c r="AL90" i="2"/>
  <c r="AL91" i="2"/>
  <c r="AL92" i="2"/>
  <c r="AL93" i="2"/>
  <c r="AL94" i="2"/>
  <c r="AL95" i="2"/>
  <c r="AL96" i="2"/>
  <c r="AL97" i="2"/>
  <c r="AL98" i="2"/>
  <c r="AL99" i="2"/>
  <c r="AL100" i="2"/>
  <c r="AL101" i="2"/>
  <c r="AL102" i="2"/>
  <c r="AL103" i="2"/>
  <c r="AL104" i="2"/>
  <c r="AL105" i="2"/>
  <c r="AL106" i="2"/>
  <c r="AL107" i="2"/>
  <c r="AL108" i="2"/>
  <c r="AL109" i="2"/>
  <c r="AL110" i="2"/>
  <c r="AL111" i="2"/>
  <c r="AL112" i="2"/>
  <c r="AL113" i="2"/>
  <c r="AL31" i="2"/>
  <c r="AO33" i="2" l="1"/>
  <c r="AT33" i="2" s="1"/>
  <c r="AA30" i="2"/>
  <c r="A4" i="2" l="1"/>
  <c r="D4" i="2" l="1"/>
  <c r="U23" i="2"/>
  <c r="Y31" i="2"/>
  <c r="U5" i="2"/>
  <c r="U19" i="2"/>
  <c r="AN121" i="2" l="1"/>
  <c r="AO121" i="2"/>
  <c r="AP121" i="2"/>
  <c r="AQ121" i="2"/>
  <c r="AR121" i="2"/>
  <c r="AS121" i="2"/>
  <c r="AT121" i="2"/>
  <c r="AU121" i="2"/>
  <c r="AV121" i="2"/>
  <c r="AW121" i="2"/>
  <c r="AX121" i="2"/>
  <c r="AY121" i="2"/>
  <c r="AZ121" i="2"/>
  <c r="BA121" i="2"/>
  <c r="BB121" i="2"/>
  <c r="BC121" i="2"/>
  <c r="BD121" i="2"/>
  <c r="BE121" i="2"/>
  <c r="BF121" i="2"/>
  <c r="BG121" i="2"/>
  <c r="BH121" i="2"/>
  <c r="BI121" i="2"/>
  <c r="BJ121" i="2"/>
  <c r="BK121" i="2"/>
  <c r="BL121" i="2"/>
  <c r="BM121" i="2"/>
  <c r="BN121" i="2"/>
  <c r="BO121" i="2"/>
  <c r="BP121" i="2"/>
  <c r="BQ121" i="2"/>
  <c r="BR121" i="2"/>
  <c r="BS121" i="2"/>
  <c r="BT121" i="2"/>
  <c r="BU121" i="2"/>
  <c r="BV121" i="2"/>
  <c r="BW121" i="2"/>
  <c r="BX121" i="2"/>
  <c r="BY121" i="2"/>
  <c r="BZ121" i="2"/>
  <c r="CA121" i="2"/>
  <c r="CB121" i="2"/>
  <c r="CC121" i="2"/>
  <c r="CD121" i="2"/>
  <c r="CE121" i="2"/>
  <c r="CF121" i="2"/>
  <c r="CG121" i="2"/>
  <c r="CH121" i="2"/>
  <c r="CI121" i="2"/>
  <c r="CJ121" i="2"/>
  <c r="CK121" i="2"/>
  <c r="CL121" i="2"/>
  <c r="CM121" i="2"/>
  <c r="CN121" i="2"/>
  <c r="CO121" i="2"/>
  <c r="CP121" i="2"/>
  <c r="CQ121" i="2"/>
  <c r="CR121" i="2"/>
  <c r="CS121" i="2"/>
  <c r="CT121" i="2"/>
  <c r="CU121" i="2"/>
  <c r="CV121" i="2"/>
  <c r="CW121" i="2"/>
  <c r="CX121" i="2"/>
  <c r="CY121" i="2"/>
  <c r="CZ121" i="2"/>
  <c r="DA121" i="2"/>
  <c r="DB121" i="2"/>
  <c r="DC121" i="2"/>
  <c r="DD121" i="2"/>
  <c r="DE121" i="2"/>
  <c r="DF121" i="2"/>
  <c r="DG121" i="2"/>
  <c r="DH121" i="2"/>
  <c r="DI121" i="2"/>
  <c r="DJ121" i="2"/>
  <c r="DK121" i="2"/>
  <c r="DL121" i="2"/>
  <c r="DM121" i="2"/>
  <c r="DN121" i="2"/>
  <c r="DO121" i="2"/>
  <c r="DP121" i="2"/>
  <c r="DQ121" i="2"/>
  <c r="DR121" i="2"/>
  <c r="DS121" i="2"/>
  <c r="DT121" i="2"/>
  <c r="DU121" i="2"/>
  <c r="DV121" i="2"/>
  <c r="DW121" i="2"/>
  <c r="DX121" i="2"/>
  <c r="DY121" i="2"/>
  <c r="DZ121" i="2"/>
  <c r="EA121" i="2"/>
  <c r="EB121" i="2"/>
  <c r="EC121" i="2"/>
  <c r="ED121" i="2"/>
  <c r="EE121" i="2"/>
  <c r="EF121" i="2"/>
  <c r="EG121" i="2"/>
  <c r="EH121" i="2"/>
  <c r="EI121" i="2"/>
  <c r="EJ121" i="2"/>
  <c r="EK121" i="2"/>
  <c r="EL121" i="2"/>
  <c r="EM121" i="2"/>
  <c r="EN121" i="2"/>
  <c r="EO121" i="2"/>
  <c r="EP121" i="2"/>
  <c r="EQ121" i="2"/>
  <c r="ER121" i="2"/>
  <c r="ES121" i="2"/>
  <c r="ET121" i="2"/>
  <c r="EU121" i="2"/>
  <c r="EV121" i="2"/>
  <c r="EW121" i="2"/>
  <c r="EX121" i="2"/>
  <c r="EY121" i="2"/>
  <c r="EZ121" i="2"/>
  <c r="FA121" i="2"/>
  <c r="FB121" i="2"/>
  <c r="FC121" i="2"/>
  <c r="FD121" i="2"/>
  <c r="FE121" i="2"/>
  <c r="FF121" i="2"/>
  <c r="FG121" i="2"/>
  <c r="FH121" i="2"/>
  <c r="FI121" i="2"/>
  <c r="FJ121" i="2"/>
  <c r="FK121" i="2"/>
  <c r="FL121" i="2"/>
  <c r="FM121" i="2"/>
  <c r="FN121" i="2"/>
  <c r="FO121" i="2"/>
  <c r="FP121" i="2"/>
  <c r="FQ121" i="2"/>
  <c r="FR121" i="2"/>
  <c r="FS121" i="2"/>
  <c r="FT121" i="2"/>
  <c r="FU121" i="2"/>
  <c r="FV121" i="2"/>
  <c r="FW121" i="2"/>
  <c r="FX121" i="2"/>
  <c r="FY121" i="2"/>
  <c r="FZ121" i="2"/>
  <c r="GA121" i="2"/>
  <c r="GB121" i="2"/>
  <c r="GC121" i="2"/>
  <c r="GD121" i="2"/>
  <c r="GE121" i="2"/>
  <c r="GF121" i="2"/>
  <c r="GG121" i="2"/>
  <c r="GH121" i="2"/>
  <c r="GI121" i="2"/>
  <c r="GJ121" i="2"/>
  <c r="GK121" i="2"/>
  <c r="GL121" i="2"/>
  <c r="GM121" i="2"/>
  <c r="GN121" i="2"/>
  <c r="GO121" i="2"/>
  <c r="GP121" i="2"/>
  <c r="GQ121" i="2"/>
  <c r="GR121" i="2"/>
  <c r="GS121" i="2"/>
  <c r="GT121" i="2"/>
  <c r="GU121" i="2"/>
  <c r="GV121" i="2"/>
  <c r="GW121" i="2"/>
  <c r="GX121" i="2"/>
  <c r="GY121" i="2"/>
  <c r="GZ121" i="2"/>
  <c r="HA121" i="2"/>
  <c r="HB121" i="2"/>
  <c r="HC121" i="2"/>
  <c r="HD121" i="2"/>
  <c r="HE121" i="2"/>
  <c r="HF121" i="2"/>
  <c r="HG121" i="2"/>
  <c r="HH121" i="2"/>
  <c r="HI121" i="2"/>
  <c r="HJ121" i="2"/>
  <c r="HK121" i="2"/>
  <c r="HL121" i="2"/>
  <c r="HM121" i="2"/>
  <c r="HN121" i="2"/>
  <c r="HO121" i="2"/>
  <c r="HP121" i="2"/>
  <c r="HQ121" i="2"/>
  <c r="HR121" i="2"/>
  <c r="HS121" i="2"/>
  <c r="HT121" i="2"/>
  <c r="HU121" i="2"/>
  <c r="HV121" i="2"/>
  <c r="HW121" i="2"/>
  <c r="HX121" i="2"/>
  <c r="HY121" i="2"/>
  <c r="HZ121" i="2"/>
  <c r="IA121" i="2"/>
  <c r="IB121" i="2"/>
  <c r="IC121" i="2"/>
  <c r="ID121" i="2"/>
  <c r="IE121" i="2"/>
  <c r="IF121" i="2"/>
  <c r="IG121" i="2"/>
  <c r="IH121" i="2"/>
  <c r="II121" i="2"/>
  <c r="IJ121" i="2"/>
  <c r="IK121" i="2"/>
  <c r="IL121" i="2"/>
  <c r="IM121" i="2"/>
  <c r="IN121" i="2"/>
  <c r="IO121" i="2"/>
  <c r="IP121" i="2"/>
  <c r="IQ121" i="2"/>
  <c r="IR121" i="2"/>
  <c r="IS121" i="2"/>
  <c r="IT121" i="2"/>
  <c r="IU121" i="2"/>
  <c r="IV121" i="2"/>
  <c r="IW121" i="2"/>
  <c r="IX121" i="2"/>
  <c r="IY121" i="2"/>
  <c r="IZ121" i="2"/>
  <c r="JA121" i="2"/>
  <c r="JB121" i="2"/>
  <c r="JC121" i="2"/>
  <c r="JD121" i="2"/>
  <c r="JE121" i="2"/>
  <c r="JF121" i="2"/>
  <c r="JG121" i="2"/>
  <c r="JH121" i="2"/>
  <c r="JI121" i="2"/>
  <c r="JJ121" i="2"/>
  <c r="JK121" i="2"/>
  <c r="JL121" i="2"/>
  <c r="JM121" i="2"/>
  <c r="JN121" i="2"/>
  <c r="JO121" i="2"/>
  <c r="JP121" i="2"/>
  <c r="JQ121" i="2"/>
  <c r="JR121" i="2"/>
  <c r="JS121" i="2"/>
  <c r="JT121" i="2"/>
  <c r="JU121" i="2"/>
  <c r="JV121" i="2"/>
  <c r="JW121" i="2"/>
  <c r="JX121" i="2"/>
  <c r="JY121" i="2"/>
  <c r="JZ121" i="2"/>
  <c r="KA121" i="2"/>
  <c r="KB121" i="2"/>
  <c r="KC121" i="2"/>
  <c r="KD121" i="2"/>
  <c r="KE121" i="2"/>
  <c r="KF121" i="2"/>
  <c r="KG121" i="2"/>
  <c r="KH121" i="2"/>
  <c r="KI121" i="2"/>
  <c r="KJ121" i="2"/>
  <c r="KK121" i="2"/>
  <c r="KL121" i="2"/>
  <c r="KM121" i="2"/>
  <c r="KN121" i="2"/>
  <c r="KO121" i="2"/>
  <c r="KP121" i="2"/>
  <c r="KQ121" i="2"/>
  <c r="KR121" i="2"/>
  <c r="KS121" i="2"/>
  <c r="KT121" i="2"/>
  <c r="KU121" i="2"/>
  <c r="KV121" i="2"/>
  <c r="KW121" i="2"/>
  <c r="KX121" i="2"/>
  <c r="KY121" i="2"/>
  <c r="KZ121" i="2"/>
  <c r="LA121" i="2"/>
  <c r="LB121" i="2"/>
  <c r="LC121" i="2"/>
  <c r="LD121" i="2"/>
  <c r="LE121" i="2"/>
  <c r="LF121" i="2"/>
  <c r="LG121" i="2"/>
  <c r="LH121" i="2"/>
  <c r="LI121" i="2"/>
  <c r="LJ121" i="2"/>
  <c r="LK121" i="2"/>
  <c r="LL121" i="2"/>
  <c r="LM121" i="2"/>
  <c r="LN121" i="2"/>
  <c r="LO121" i="2"/>
  <c r="LP121" i="2"/>
  <c r="LQ121" i="2"/>
  <c r="LR121" i="2"/>
  <c r="LS121" i="2"/>
  <c r="LT121" i="2"/>
  <c r="LU121" i="2"/>
  <c r="LV121" i="2"/>
  <c r="LW121" i="2"/>
  <c r="LX121" i="2"/>
  <c r="LY121" i="2"/>
  <c r="LZ121" i="2"/>
  <c r="MA121" i="2"/>
  <c r="MB121" i="2"/>
  <c r="MC121" i="2"/>
  <c r="MD121" i="2"/>
  <c r="ME121" i="2"/>
  <c r="MF121" i="2"/>
  <c r="MG121" i="2"/>
  <c r="MH121" i="2"/>
  <c r="MI121" i="2"/>
  <c r="MJ121" i="2"/>
  <c r="MK121" i="2"/>
  <c r="ML121" i="2"/>
  <c r="MM121" i="2"/>
  <c r="MN121" i="2"/>
  <c r="AM121" i="2"/>
  <c r="AN122" i="2"/>
  <c r="AO122" i="2"/>
  <c r="AP122" i="2"/>
  <c r="AQ122" i="2"/>
  <c r="AR122" i="2"/>
  <c r="AS122" i="2"/>
  <c r="AT122" i="2"/>
  <c r="AU122" i="2"/>
  <c r="AV122" i="2"/>
  <c r="AW122" i="2"/>
  <c r="AX122" i="2"/>
  <c r="AY122" i="2"/>
  <c r="AZ122" i="2"/>
  <c r="BA122" i="2"/>
  <c r="BB122" i="2"/>
  <c r="BC122" i="2"/>
  <c r="BD122" i="2"/>
  <c r="BE122" i="2"/>
  <c r="BF122" i="2"/>
  <c r="BG122" i="2"/>
  <c r="BH122" i="2"/>
  <c r="BI122" i="2"/>
  <c r="BJ122" i="2"/>
  <c r="BK122" i="2"/>
  <c r="BL122" i="2"/>
  <c r="BM122" i="2"/>
  <c r="BN122" i="2"/>
  <c r="BO122" i="2"/>
  <c r="BP122" i="2"/>
  <c r="BQ122" i="2"/>
  <c r="BR122" i="2"/>
  <c r="BS122" i="2"/>
  <c r="BT122" i="2"/>
  <c r="BU122" i="2"/>
  <c r="BV122" i="2"/>
  <c r="BW122" i="2"/>
  <c r="BX122" i="2"/>
  <c r="BY122" i="2"/>
  <c r="BZ122" i="2"/>
  <c r="CA122" i="2"/>
  <c r="CB122" i="2"/>
  <c r="CC122" i="2"/>
  <c r="CD122" i="2"/>
  <c r="CE122" i="2"/>
  <c r="CF122" i="2"/>
  <c r="CG122" i="2"/>
  <c r="CH122" i="2"/>
  <c r="CI122" i="2"/>
  <c r="CJ122" i="2"/>
  <c r="CK122" i="2"/>
  <c r="CL122" i="2"/>
  <c r="CM122" i="2"/>
  <c r="CN122" i="2"/>
  <c r="CO122" i="2"/>
  <c r="CP122" i="2"/>
  <c r="CQ122" i="2"/>
  <c r="CR122" i="2"/>
  <c r="CS122" i="2"/>
  <c r="CT122" i="2"/>
  <c r="CU122" i="2"/>
  <c r="CV122" i="2"/>
  <c r="CW122" i="2"/>
  <c r="CX122" i="2"/>
  <c r="CY122" i="2"/>
  <c r="CZ122" i="2"/>
  <c r="DA122" i="2"/>
  <c r="DB122" i="2"/>
  <c r="DC122" i="2"/>
  <c r="DD122" i="2"/>
  <c r="DE122" i="2"/>
  <c r="DF122" i="2"/>
  <c r="DG122" i="2"/>
  <c r="DH122" i="2"/>
  <c r="DI122" i="2"/>
  <c r="DJ122" i="2"/>
  <c r="DK122" i="2"/>
  <c r="DL122" i="2"/>
  <c r="DM122" i="2"/>
  <c r="DN122" i="2"/>
  <c r="DO122" i="2"/>
  <c r="DP122" i="2"/>
  <c r="DQ122" i="2"/>
  <c r="DR122" i="2"/>
  <c r="DS122" i="2"/>
  <c r="DT122" i="2"/>
  <c r="DU122" i="2"/>
  <c r="DV122" i="2"/>
  <c r="DW122" i="2"/>
  <c r="DX122" i="2"/>
  <c r="DY122" i="2"/>
  <c r="DZ122" i="2"/>
  <c r="EA122" i="2"/>
  <c r="EB122" i="2"/>
  <c r="EC122" i="2"/>
  <c r="ED122" i="2"/>
  <c r="EE122" i="2"/>
  <c r="EF122" i="2"/>
  <c r="EG122" i="2"/>
  <c r="EH122" i="2"/>
  <c r="EI122" i="2"/>
  <c r="EJ122" i="2"/>
  <c r="EK122" i="2"/>
  <c r="EL122" i="2"/>
  <c r="EM122" i="2"/>
  <c r="EN122" i="2"/>
  <c r="EO122" i="2"/>
  <c r="EP122" i="2"/>
  <c r="EQ122" i="2"/>
  <c r="ER122" i="2"/>
  <c r="ES122" i="2"/>
  <c r="ET122" i="2"/>
  <c r="EU122" i="2"/>
  <c r="EV122" i="2"/>
  <c r="EW122" i="2"/>
  <c r="EX122" i="2"/>
  <c r="EY122" i="2"/>
  <c r="EZ122" i="2"/>
  <c r="FA122" i="2"/>
  <c r="FB122" i="2"/>
  <c r="FC122" i="2"/>
  <c r="FD122" i="2"/>
  <c r="FE122" i="2"/>
  <c r="FF122" i="2"/>
  <c r="FG122" i="2"/>
  <c r="FH122" i="2"/>
  <c r="FI122" i="2"/>
  <c r="FJ122" i="2"/>
  <c r="FK122" i="2"/>
  <c r="FL122" i="2"/>
  <c r="FM122" i="2"/>
  <c r="FN122" i="2"/>
  <c r="FO122" i="2"/>
  <c r="FP122" i="2"/>
  <c r="FQ122" i="2"/>
  <c r="FR122" i="2"/>
  <c r="FS122" i="2"/>
  <c r="FT122" i="2"/>
  <c r="FU122" i="2"/>
  <c r="FV122" i="2"/>
  <c r="FW122" i="2"/>
  <c r="FX122" i="2"/>
  <c r="FY122" i="2"/>
  <c r="FZ122" i="2"/>
  <c r="GA122" i="2"/>
  <c r="GB122" i="2"/>
  <c r="GC122" i="2"/>
  <c r="GD122" i="2"/>
  <c r="GE122" i="2"/>
  <c r="GF122" i="2"/>
  <c r="GG122" i="2"/>
  <c r="GH122" i="2"/>
  <c r="GI122" i="2"/>
  <c r="GJ122" i="2"/>
  <c r="GK122" i="2"/>
  <c r="GL122" i="2"/>
  <c r="GM122" i="2"/>
  <c r="GN122" i="2"/>
  <c r="GO122" i="2"/>
  <c r="GP122" i="2"/>
  <c r="GQ122" i="2"/>
  <c r="GR122" i="2"/>
  <c r="GS122" i="2"/>
  <c r="GT122" i="2"/>
  <c r="GU122" i="2"/>
  <c r="GV122" i="2"/>
  <c r="GW122" i="2"/>
  <c r="GX122" i="2"/>
  <c r="GY122" i="2"/>
  <c r="GZ122" i="2"/>
  <c r="HA122" i="2"/>
  <c r="HB122" i="2"/>
  <c r="HC122" i="2"/>
  <c r="HD122" i="2"/>
  <c r="HE122" i="2"/>
  <c r="HF122" i="2"/>
  <c r="HG122" i="2"/>
  <c r="HH122" i="2"/>
  <c r="HI122" i="2"/>
  <c r="HJ122" i="2"/>
  <c r="HK122" i="2"/>
  <c r="HL122" i="2"/>
  <c r="HM122" i="2"/>
  <c r="HN122" i="2"/>
  <c r="HO122" i="2"/>
  <c r="HP122" i="2"/>
  <c r="HQ122" i="2"/>
  <c r="HR122" i="2"/>
  <c r="HS122" i="2"/>
  <c r="HT122" i="2"/>
  <c r="HU122" i="2"/>
  <c r="HV122" i="2"/>
  <c r="HW122" i="2"/>
  <c r="HX122" i="2"/>
  <c r="HY122" i="2"/>
  <c r="HZ122" i="2"/>
  <c r="IA122" i="2"/>
  <c r="IB122" i="2"/>
  <c r="IC122" i="2"/>
  <c r="ID122" i="2"/>
  <c r="IE122" i="2"/>
  <c r="IF122" i="2"/>
  <c r="IG122" i="2"/>
  <c r="IH122" i="2"/>
  <c r="II122" i="2"/>
  <c r="IJ122" i="2"/>
  <c r="IK122" i="2"/>
  <c r="IL122" i="2"/>
  <c r="IM122" i="2"/>
  <c r="IN122" i="2"/>
  <c r="IO122" i="2"/>
  <c r="IP122" i="2"/>
  <c r="IQ122" i="2"/>
  <c r="IR122" i="2"/>
  <c r="IS122" i="2"/>
  <c r="IT122" i="2"/>
  <c r="IU122" i="2"/>
  <c r="IV122" i="2"/>
  <c r="IW122" i="2"/>
  <c r="IX122" i="2"/>
  <c r="IY122" i="2"/>
  <c r="IZ122" i="2"/>
  <c r="JA122" i="2"/>
  <c r="JB122" i="2"/>
  <c r="JC122" i="2"/>
  <c r="JD122" i="2"/>
  <c r="JE122" i="2"/>
  <c r="JF122" i="2"/>
  <c r="JG122" i="2"/>
  <c r="JH122" i="2"/>
  <c r="JI122" i="2"/>
  <c r="JJ122" i="2"/>
  <c r="JK122" i="2"/>
  <c r="JL122" i="2"/>
  <c r="JM122" i="2"/>
  <c r="JN122" i="2"/>
  <c r="JO122" i="2"/>
  <c r="JP122" i="2"/>
  <c r="JQ122" i="2"/>
  <c r="JR122" i="2"/>
  <c r="JS122" i="2"/>
  <c r="JT122" i="2"/>
  <c r="JU122" i="2"/>
  <c r="JV122" i="2"/>
  <c r="JW122" i="2"/>
  <c r="JX122" i="2"/>
  <c r="JY122" i="2"/>
  <c r="JZ122" i="2"/>
  <c r="KA122" i="2"/>
  <c r="KB122" i="2"/>
  <c r="KC122" i="2"/>
  <c r="KD122" i="2"/>
  <c r="KE122" i="2"/>
  <c r="KF122" i="2"/>
  <c r="KG122" i="2"/>
  <c r="KH122" i="2"/>
  <c r="KI122" i="2"/>
  <c r="KJ122" i="2"/>
  <c r="KK122" i="2"/>
  <c r="KL122" i="2"/>
  <c r="KM122" i="2"/>
  <c r="KN122" i="2"/>
  <c r="KO122" i="2"/>
  <c r="KP122" i="2"/>
  <c r="KQ122" i="2"/>
  <c r="KR122" i="2"/>
  <c r="KS122" i="2"/>
  <c r="KT122" i="2"/>
  <c r="KU122" i="2"/>
  <c r="KV122" i="2"/>
  <c r="KW122" i="2"/>
  <c r="KX122" i="2"/>
  <c r="KY122" i="2"/>
  <c r="KZ122" i="2"/>
  <c r="LA122" i="2"/>
  <c r="LB122" i="2"/>
  <c r="LC122" i="2"/>
  <c r="LD122" i="2"/>
  <c r="LE122" i="2"/>
  <c r="LF122" i="2"/>
  <c r="LG122" i="2"/>
  <c r="LH122" i="2"/>
  <c r="LI122" i="2"/>
  <c r="LJ122" i="2"/>
  <c r="LK122" i="2"/>
  <c r="LL122" i="2"/>
  <c r="LM122" i="2"/>
  <c r="LN122" i="2"/>
  <c r="LO122" i="2"/>
  <c r="LP122" i="2"/>
  <c r="LQ122" i="2"/>
  <c r="LR122" i="2"/>
  <c r="LS122" i="2"/>
  <c r="LT122" i="2"/>
  <c r="LU122" i="2"/>
  <c r="LV122" i="2"/>
  <c r="LW122" i="2"/>
  <c r="LX122" i="2"/>
  <c r="LY122" i="2"/>
  <c r="LZ122" i="2"/>
  <c r="MA122" i="2"/>
  <c r="MB122" i="2"/>
  <c r="MC122" i="2"/>
  <c r="MD122" i="2"/>
  <c r="ME122" i="2"/>
  <c r="MF122" i="2"/>
  <c r="MG122" i="2"/>
  <c r="MH122" i="2"/>
  <c r="MI122" i="2"/>
  <c r="MJ122" i="2"/>
  <c r="MK122" i="2"/>
  <c r="ML122" i="2"/>
  <c r="MM122" i="2"/>
  <c r="MN122" i="2"/>
  <c r="AN123" i="2"/>
  <c r="AO123" i="2"/>
  <c r="AP123" i="2"/>
  <c r="AQ123" i="2"/>
  <c r="AR123" i="2"/>
  <c r="AS123" i="2"/>
  <c r="AT123" i="2"/>
  <c r="AU123" i="2"/>
  <c r="AV123" i="2"/>
  <c r="AW123" i="2"/>
  <c r="AX123" i="2"/>
  <c r="AY123" i="2"/>
  <c r="AZ123" i="2"/>
  <c r="BA123" i="2"/>
  <c r="BB123" i="2"/>
  <c r="BC123" i="2"/>
  <c r="BD123" i="2"/>
  <c r="BE123" i="2"/>
  <c r="BF123" i="2"/>
  <c r="BG123" i="2"/>
  <c r="BH123" i="2"/>
  <c r="BI123" i="2"/>
  <c r="BJ123" i="2"/>
  <c r="BK123" i="2"/>
  <c r="BL123" i="2"/>
  <c r="BM123" i="2"/>
  <c r="BN123" i="2"/>
  <c r="BO123" i="2"/>
  <c r="BP123" i="2"/>
  <c r="BQ123" i="2"/>
  <c r="BR123" i="2"/>
  <c r="BS123" i="2"/>
  <c r="BT123" i="2"/>
  <c r="BU123" i="2"/>
  <c r="BV123" i="2"/>
  <c r="BW123" i="2"/>
  <c r="BX123" i="2"/>
  <c r="BY123" i="2"/>
  <c r="BZ123" i="2"/>
  <c r="CA123" i="2"/>
  <c r="CB123" i="2"/>
  <c r="CC123" i="2"/>
  <c r="CD123" i="2"/>
  <c r="CE123" i="2"/>
  <c r="CF123" i="2"/>
  <c r="CG123" i="2"/>
  <c r="CH123" i="2"/>
  <c r="CI123" i="2"/>
  <c r="CJ123" i="2"/>
  <c r="CK123" i="2"/>
  <c r="CL123" i="2"/>
  <c r="CM123" i="2"/>
  <c r="CN123" i="2"/>
  <c r="CO123" i="2"/>
  <c r="CP123" i="2"/>
  <c r="CQ123" i="2"/>
  <c r="CR123" i="2"/>
  <c r="CS123" i="2"/>
  <c r="CT123" i="2"/>
  <c r="CU123" i="2"/>
  <c r="CV123" i="2"/>
  <c r="CW123" i="2"/>
  <c r="CX123" i="2"/>
  <c r="CY123" i="2"/>
  <c r="CZ123" i="2"/>
  <c r="DA123" i="2"/>
  <c r="DB123" i="2"/>
  <c r="DC123" i="2"/>
  <c r="DD123" i="2"/>
  <c r="DE123" i="2"/>
  <c r="DF123" i="2"/>
  <c r="DG123" i="2"/>
  <c r="DH123" i="2"/>
  <c r="DI123" i="2"/>
  <c r="DJ123" i="2"/>
  <c r="DK123" i="2"/>
  <c r="DL123" i="2"/>
  <c r="DM123" i="2"/>
  <c r="DN123" i="2"/>
  <c r="DO123" i="2"/>
  <c r="DP123" i="2"/>
  <c r="DQ123" i="2"/>
  <c r="DR123" i="2"/>
  <c r="DS123" i="2"/>
  <c r="DT123" i="2"/>
  <c r="DU123" i="2"/>
  <c r="DV123" i="2"/>
  <c r="DW123" i="2"/>
  <c r="DX123" i="2"/>
  <c r="DY123" i="2"/>
  <c r="DZ123" i="2"/>
  <c r="EA123" i="2"/>
  <c r="EB123" i="2"/>
  <c r="EC123" i="2"/>
  <c r="ED123" i="2"/>
  <c r="EE123" i="2"/>
  <c r="EF123" i="2"/>
  <c r="EG123" i="2"/>
  <c r="EH123" i="2"/>
  <c r="EI123" i="2"/>
  <c r="EJ123" i="2"/>
  <c r="EK123" i="2"/>
  <c r="EL123" i="2"/>
  <c r="EM123" i="2"/>
  <c r="EN123" i="2"/>
  <c r="EO123" i="2"/>
  <c r="EP123" i="2"/>
  <c r="EQ123" i="2"/>
  <c r="ER123" i="2"/>
  <c r="ES123" i="2"/>
  <c r="ET123" i="2"/>
  <c r="EU123" i="2"/>
  <c r="EV123" i="2"/>
  <c r="EW123" i="2"/>
  <c r="EX123" i="2"/>
  <c r="EY123" i="2"/>
  <c r="EZ123" i="2"/>
  <c r="FA123" i="2"/>
  <c r="FB123" i="2"/>
  <c r="FC123" i="2"/>
  <c r="FD123" i="2"/>
  <c r="FE123" i="2"/>
  <c r="FF123" i="2"/>
  <c r="FG123" i="2"/>
  <c r="FH123" i="2"/>
  <c r="FI123" i="2"/>
  <c r="FJ123" i="2"/>
  <c r="FK123" i="2"/>
  <c r="FL123" i="2"/>
  <c r="FM123" i="2"/>
  <c r="FN123" i="2"/>
  <c r="FO123" i="2"/>
  <c r="FP123" i="2"/>
  <c r="FQ123" i="2"/>
  <c r="FR123" i="2"/>
  <c r="FS123" i="2"/>
  <c r="FT123" i="2"/>
  <c r="FU123" i="2"/>
  <c r="FV123" i="2"/>
  <c r="FW123" i="2"/>
  <c r="FX123" i="2"/>
  <c r="FY123" i="2"/>
  <c r="FZ123" i="2"/>
  <c r="GA123" i="2"/>
  <c r="GB123" i="2"/>
  <c r="GC123" i="2"/>
  <c r="GD123" i="2"/>
  <c r="GE123" i="2"/>
  <c r="GF123" i="2"/>
  <c r="GG123" i="2"/>
  <c r="GH123" i="2"/>
  <c r="GI123" i="2"/>
  <c r="GJ123" i="2"/>
  <c r="GK123" i="2"/>
  <c r="GL123" i="2"/>
  <c r="GM123" i="2"/>
  <c r="GN123" i="2"/>
  <c r="GO123" i="2"/>
  <c r="GP123" i="2"/>
  <c r="GQ123" i="2"/>
  <c r="GR123" i="2"/>
  <c r="GS123" i="2"/>
  <c r="GT123" i="2"/>
  <c r="GU123" i="2"/>
  <c r="GV123" i="2"/>
  <c r="GW123" i="2"/>
  <c r="GX123" i="2"/>
  <c r="GY123" i="2"/>
  <c r="GZ123" i="2"/>
  <c r="HA123" i="2"/>
  <c r="HB123" i="2"/>
  <c r="HC123" i="2"/>
  <c r="HD123" i="2"/>
  <c r="HE123" i="2"/>
  <c r="HF123" i="2"/>
  <c r="HG123" i="2"/>
  <c r="HH123" i="2"/>
  <c r="HI123" i="2"/>
  <c r="HJ123" i="2"/>
  <c r="HK123" i="2"/>
  <c r="HL123" i="2"/>
  <c r="HM123" i="2"/>
  <c r="HN123" i="2"/>
  <c r="HO123" i="2"/>
  <c r="HP123" i="2"/>
  <c r="HQ123" i="2"/>
  <c r="HR123" i="2"/>
  <c r="HS123" i="2"/>
  <c r="HT123" i="2"/>
  <c r="HU123" i="2"/>
  <c r="HV123" i="2"/>
  <c r="HW123" i="2"/>
  <c r="HX123" i="2"/>
  <c r="HY123" i="2"/>
  <c r="HZ123" i="2"/>
  <c r="IA123" i="2"/>
  <c r="IB123" i="2"/>
  <c r="IC123" i="2"/>
  <c r="ID123" i="2"/>
  <c r="IE123" i="2"/>
  <c r="IF123" i="2"/>
  <c r="IG123" i="2"/>
  <c r="IH123" i="2"/>
  <c r="II123" i="2"/>
  <c r="IJ123" i="2"/>
  <c r="IK123" i="2"/>
  <c r="IL123" i="2"/>
  <c r="IM123" i="2"/>
  <c r="IN123" i="2"/>
  <c r="IO123" i="2"/>
  <c r="IP123" i="2"/>
  <c r="IQ123" i="2"/>
  <c r="IR123" i="2"/>
  <c r="IS123" i="2"/>
  <c r="IT123" i="2"/>
  <c r="IU123" i="2"/>
  <c r="IV123" i="2"/>
  <c r="IW123" i="2"/>
  <c r="IX123" i="2"/>
  <c r="IY123" i="2"/>
  <c r="IZ123" i="2"/>
  <c r="JA123" i="2"/>
  <c r="JB123" i="2"/>
  <c r="JC123" i="2"/>
  <c r="JD123" i="2"/>
  <c r="JE123" i="2"/>
  <c r="JF123" i="2"/>
  <c r="JG123" i="2"/>
  <c r="JH123" i="2"/>
  <c r="JI123" i="2"/>
  <c r="JJ123" i="2"/>
  <c r="JK123" i="2"/>
  <c r="JL123" i="2"/>
  <c r="JM123" i="2"/>
  <c r="JN123" i="2"/>
  <c r="JO123" i="2"/>
  <c r="JP123" i="2"/>
  <c r="JQ123" i="2"/>
  <c r="JR123" i="2"/>
  <c r="JS123" i="2"/>
  <c r="JT123" i="2"/>
  <c r="JU123" i="2"/>
  <c r="JV123" i="2"/>
  <c r="JW123" i="2"/>
  <c r="JX123" i="2"/>
  <c r="JY123" i="2"/>
  <c r="JZ123" i="2"/>
  <c r="KA123" i="2"/>
  <c r="KB123" i="2"/>
  <c r="KC123" i="2"/>
  <c r="KD123" i="2"/>
  <c r="KE123" i="2"/>
  <c r="KF123" i="2"/>
  <c r="KG123" i="2"/>
  <c r="KH123" i="2"/>
  <c r="KI123" i="2"/>
  <c r="KJ123" i="2"/>
  <c r="KK123" i="2"/>
  <c r="KL123" i="2"/>
  <c r="KM123" i="2"/>
  <c r="KN123" i="2"/>
  <c r="KO123" i="2"/>
  <c r="KP123" i="2"/>
  <c r="KQ123" i="2"/>
  <c r="KR123" i="2"/>
  <c r="KS123" i="2"/>
  <c r="KT123" i="2"/>
  <c r="KU123" i="2"/>
  <c r="KV123" i="2"/>
  <c r="KW123" i="2"/>
  <c r="KX123" i="2"/>
  <c r="KY123" i="2"/>
  <c r="KZ123" i="2"/>
  <c r="LA123" i="2"/>
  <c r="LB123" i="2"/>
  <c r="LC123" i="2"/>
  <c r="LD123" i="2"/>
  <c r="LE123" i="2"/>
  <c r="LF123" i="2"/>
  <c r="LG123" i="2"/>
  <c r="LH123" i="2"/>
  <c r="LI123" i="2"/>
  <c r="LJ123" i="2"/>
  <c r="LK123" i="2"/>
  <c r="LL123" i="2"/>
  <c r="LM123" i="2"/>
  <c r="LN123" i="2"/>
  <c r="LO123" i="2"/>
  <c r="LP123" i="2"/>
  <c r="LQ123" i="2"/>
  <c r="LR123" i="2"/>
  <c r="LS123" i="2"/>
  <c r="LT123" i="2"/>
  <c r="LU123" i="2"/>
  <c r="LV123" i="2"/>
  <c r="LW123" i="2"/>
  <c r="LX123" i="2"/>
  <c r="LY123" i="2"/>
  <c r="LZ123" i="2"/>
  <c r="MA123" i="2"/>
  <c r="MB123" i="2"/>
  <c r="MC123" i="2"/>
  <c r="MD123" i="2"/>
  <c r="ME123" i="2"/>
  <c r="MF123" i="2"/>
  <c r="MG123" i="2"/>
  <c r="MH123" i="2"/>
  <c r="MI123" i="2"/>
  <c r="MJ123" i="2"/>
  <c r="MK123" i="2"/>
  <c r="ML123" i="2"/>
  <c r="MM123" i="2"/>
  <c r="MN123" i="2"/>
  <c r="AM123" i="2"/>
  <c r="AM122" i="2"/>
  <c r="AK116" i="2"/>
  <c r="AQ34" i="2"/>
  <c r="AK117" i="2"/>
  <c r="AK119" i="2"/>
  <c r="AB30" i="2" l="1"/>
  <c r="AF30" i="2" s="1"/>
  <c r="AO27" i="2" l="1"/>
  <c r="AS27" i="2" s="1" a="1"/>
  <c r="AS27" i="2" s="1"/>
  <c r="J48" i="2" s="1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Z131" i="2"/>
  <c r="Z132" i="2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2" i="2"/>
  <c r="Z153" i="2"/>
  <c r="Z154" i="2"/>
  <c r="Z155" i="2"/>
  <c r="Z156" i="2"/>
  <c r="Z157" i="2"/>
  <c r="Z158" i="2"/>
  <c r="Z159" i="2"/>
  <c r="Z160" i="2"/>
  <c r="Z161" i="2"/>
  <c r="Z162" i="2"/>
  <c r="Z163" i="2"/>
  <c r="Z164" i="2"/>
  <c r="Z165" i="2"/>
  <c r="Z166" i="2"/>
  <c r="Z167" i="2"/>
  <c r="Z168" i="2"/>
  <c r="Z169" i="2"/>
  <c r="Z170" i="2"/>
  <c r="Z171" i="2"/>
  <c r="Z172" i="2"/>
  <c r="Z173" i="2"/>
  <c r="Z174" i="2"/>
  <c r="Z175" i="2"/>
  <c r="Z106" i="2"/>
  <c r="J49" i="2" l="1"/>
  <c r="J50" i="2" s="1"/>
  <c r="J51" i="2" s="1"/>
  <c r="J52" i="2" s="1"/>
  <c r="J47" i="2"/>
  <c r="J46" i="2" s="1"/>
  <c r="J45" i="2" s="1"/>
  <c r="J44" i="2" s="1"/>
  <c r="Y107" i="2"/>
  <c r="Y108" i="2"/>
  <c r="Y109" i="2"/>
  <c r="Y110" i="2"/>
  <c r="Y111" i="2"/>
  <c r="Y112" i="2"/>
  <c r="Y113" i="2"/>
  <c r="Y114" i="2"/>
  <c r="Y115" i="2"/>
  <c r="Y116" i="2"/>
  <c r="Y117" i="2"/>
  <c r="Y118" i="2"/>
  <c r="Y119" i="2"/>
  <c r="Y120" i="2"/>
  <c r="Y121" i="2"/>
  <c r="Y122" i="2"/>
  <c r="Y123" i="2"/>
  <c r="Y124" i="2"/>
  <c r="Y125" i="2"/>
  <c r="Y126" i="2"/>
  <c r="Y127" i="2"/>
  <c r="Y128" i="2"/>
  <c r="Y129" i="2"/>
  <c r="Y130" i="2"/>
  <c r="Y131" i="2"/>
  <c r="Y132" i="2"/>
  <c r="Y133" i="2"/>
  <c r="Y134" i="2"/>
  <c r="Y135" i="2"/>
  <c r="Y136" i="2"/>
  <c r="Y137" i="2"/>
  <c r="Y138" i="2"/>
  <c r="Y139" i="2"/>
  <c r="Y140" i="2"/>
  <c r="Y141" i="2"/>
  <c r="Y142" i="2"/>
  <c r="Y143" i="2"/>
  <c r="Y144" i="2"/>
  <c r="Y145" i="2"/>
  <c r="Y146" i="2"/>
  <c r="Y147" i="2"/>
  <c r="Y148" i="2"/>
  <c r="Y149" i="2"/>
  <c r="Y150" i="2"/>
  <c r="Y151" i="2"/>
  <c r="Y152" i="2"/>
  <c r="Y153" i="2"/>
  <c r="Y154" i="2"/>
  <c r="Y155" i="2"/>
  <c r="Y156" i="2"/>
  <c r="Y157" i="2"/>
  <c r="Y158" i="2"/>
  <c r="Y159" i="2"/>
  <c r="Y160" i="2"/>
  <c r="Y161" i="2"/>
  <c r="Y162" i="2"/>
  <c r="Y163" i="2"/>
  <c r="Y164" i="2"/>
  <c r="Y165" i="2"/>
  <c r="Y166" i="2"/>
  <c r="Y167" i="2"/>
  <c r="Y168" i="2"/>
  <c r="Y169" i="2"/>
  <c r="Y170" i="2"/>
  <c r="Y171" i="2"/>
  <c r="Y172" i="2"/>
  <c r="Y173" i="2"/>
  <c r="Y174" i="2"/>
  <c r="Y175" i="2"/>
  <c r="Y106" i="2"/>
  <c r="AE89" i="2"/>
  <c r="AF89" i="2"/>
  <c r="AG89" i="2"/>
  <c r="AE90" i="2"/>
  <c r="AF90" i="2"/>
  <c r="AG90" i="2"/>
  <c r="AE91" i="2"/>
  <c r="AF91" i="2"/>
  <c r="AG91" i="2"/>
  <c r="AE92" i="2"/>
  <c r="AF92" i="2"/>
  <c r="AG92" i="2"/>
  <c r="AE93" i="2"/>
  <c r="AF93" i="2"/>
  <c r="AG93" i="2"/>
  <c r="AE94" i="2"/>
  <c r="AF94" i="2"/>
  <c r="AG94" i="2"/>
  <c r="AE95" i="2"/>
  <c r="AF95" i="2"/>
  <c r="AG95" i="2"/>
  <c r="AE96" i="2"/>
  <c r="AF96" i="2"/>
  <c r="AG96" i="2"/>
  <c r="AE97" i="2"/>
  <c r="AF97" i="2"/>
  <c r="AG97" i="2"/>
  <c r="AE98" i="2"/>
  <c r="AF98" i="2"/>
  <c r="AG98" i="2"/>
  <c r="AE99" i="2"/>
  <c r="AF99" i="2"/>
  <c r="AG99" i="2"/>
  <c r="AE100" i="2"/>
  <c r="AF100" i="2"/>
  <c r="AG100" i="2"/>
  <c r="AE101" i="2"/>
  <c r="AF101" i="2"/>
  <c r="AG101" i="2"/>
  <c r="AE102" i="2"/>
  <c r="AF102" i="2"/>
  <c r="AG102" i="2"/>
  <c r="AE103" i="2"/>
  <c r="AF103" i="2"/>
  <c r="AB175" i="2" s="1"/>
  <c r="AG103" i="2"/>
  <c r="AC175" i="2" s="1"/>
  <c r="AF88" i="2"/>
  <c r="AG88" i="2"/>
  <c r="AE88" i="2"/>
  <c r="AB160" i="2" l="1"/>
  <c r="AC174" i="2"/>
  <c r="AB173" i="2"/>
  <c r="AB169" i="2"/>
  <c r="AC160" i="2"/>
  <c r="AA174" i="2"/>
  <c r="AC173" i="2"/>
  <c r="AB171" i="2"/>
  <c r="AA172" i="2"/>
  <c r="AC170" i="2"/>
  <c r="AA168" i="2"/>
  <c r="AC166" i="2"/>
  <c r="AB165" i="2"/>
  <c r="AA164" i="2"/>
  <c r="AC162" i="2"/>
  <c r="AB161" i="2"/>
  <c r="AB174" i="2"/>
  <c r="AA173" i="2"/>
  <c r="AC171" i="2"/>
  <c r="AB170" i="2"/>
  <c r="AA169" i="2"/>
  <c r="AC167" i="2"/>
  <c r="AB166" i="2"/>
  <c r="AA165" i="2"/>
  <c r="AC163" i="2"/>
  <c r="AB162" i="2"/>
  <c r="AA161" i="2"/>
  <c r="AA160" i="2"/>
  <c r="AC172" i="2"/>
  <c r="AC168" i="2"/>
  <c r="AC164" i="2"/>
  <c r="AA170" i="2"/>
  <c r="AC169" i="2"/>
  <c r="AB167" i="2"/>
  <c r="AA166" i="2"/>
  <c r="AC165" i="2"/>
  <c r="AB163" i="2"/>
  <c r="AA162" i="2"/>
  <c r="AC161" i="2"/>
  <c r="AA175" i="2"/>
  <c r="AA171" i="2"/>
  <c r="AA167" i="2"/>
  <c r="AA163" i="2"/>
  <c r="AB172" i="2"/>
  <c r="AB168" i="2"/>
  <c r="AB164" i="2"/>
  <c r="AE35" i="2"/>
  <c r="AF35" i="2"/>
  <c r="AG35" i="2"/>
  <c r="AE36" i="2"/>
  <c r="AF36" i="2"/>
  <c r="AG36" i="2"/>
  <c r="AE37" i="2"/>
  <c r="AF37" i="2"/>
  <c r="AG37" i="2"/>
  <c r="AE38" i="2"/>
  <c r="AF38" i="2"/>
  <c r="AG38" i="2"/>
  <c r="AE39" i="2"/>
  <c r="AF39" i="2"/>
  <c r="AG39" i="2"/>
  <c r="AE40" i="2"/>
  <c r="AF40" i="2"/>
  <c r="AG40" i="2"/>
  <c r="AE41" i="2"/>
  <c r="AF41" i="2"/>
  <c r="AG41" i="2"/>
  <c r="AE42" i="2"/>
  <c r="AF42" i="2"/>
  <c r="AG42" i="2"/>
  <c r="AE43" i="2"/>
  <c r="AF43" i="2"/>
  <c r="AG43" i="2"/>
  <c r="AE44" i="2"/>
  <c r="AF44" i="2"/>
  <c r="AG44" i="2"/>
  <c r="AE45" i="2"/>
  <c r="AF45" i="2"/>
  <c r="AG45" i="2"/>
  <c r="AE46" i="2"/>
  <c r="AF46" i="2"/>
  <c r="AG46" i="2"/>
  <c r="AE47" i="2"/>
  <c r="AF47" i="2"/>
  <c r="AG47" i="2"/>
  <c r="AE48" i="2"/>
  <c r="AF48" i="2"/>
  <c r="AG48" i="2"/>
  <c r="AE49" i="2"/>
  <c r="AF49" i="2"/>
  <c r="AG49" i="2"/>
  <c r="AE50" i="2"/>
  <c r="AF50" i="2"/>
  <c r="AG50" i="2"/>
  <c r="AE51" i="2"/>
  <c r="AF51" i="2"/>
  <c r="AG51" i="2"/>
  <c r="AE52" i="2"/>
  <c r="AF52" i="2"/>
  <c r="AG52" i="2"/>
  <c r="AE53" i="2"/>
  <c r="AF53" i="2"/>
  <c r="AG53" i="2"/>
  <c r="AE54" i="2"/>
  <c r="AF54" i="2"/>
  <c r="AG54" i="2"/>
  <c r="AE55" i="2"/>
  <c r="AF55" i="2"/>
  <c r="AG55" i="2"/>
  <c r="AE56" i="2"/>
  <c r="AF56" i="2"/>
  <c r="AG56" i="2"/>
  <c r="AE57" i="2"/>
  <c r="AF57" i="2"/>
  <c r="AG57" i="2"/>
  <c r="AE58" i="2"/>
  <c r="AF58" i="2"/>
  <c r="AG58" i="2"/>
  <c r="AE59" i="2"/>
  <c r="AF59" i="2"/>
  <c r="AG59" i="2"/>
  <c r="AE60" i="2"/>
  <c r="AF60" i="2"/>
  <c r="AG60" i="2"/>
  <c r="AE61" i="2"/>
  <c r="AF61" i="2"/>
  <c r="AG61" i="2"/>
  <c r="AE62" i="2"/>
  <c r="AF62" i="2"/>
  <c r="AG62" i="2"/>
  <c r="AE63" i="2"/>
  <c r="AF63" i="2"/>
  <c r="AG63" i="2"/>
  <c r="AE64" i="2"/>
  <c r="AF64" i="2"/>
  <c r="AG64" i="2"/>
  <c r="AE65" i="2"/>
  <c r="AF65" i="2"/>
  <c r="AG65" i="2"/>
  <c r="AE66" i="2"/>
  <c r="AF66" i="2"/>
  <c r="AG66" i="2"/>
  <c r="AE67" i="2"/>
  <c r="AF67" i="2"/>
  <c r="AG67" i="2"/>
  <c r="AE68" i="2"/>
  <c r="AF68" i="2"/>
  <c r="AG68" i="2"/>
  <c r="AE69" i="2"/>
  <c r="AF69" i="2"/>
  <c r="AG69" i="2"/>
  <c r="AE70" i="2"/>
  <c r="AF70" i="2"/>
  <c r="AG70" i="2"/>
  <c r="AE71" i="2"/>
  <c r="AF71" i="2"/>
  <c r="AG71" i="2"/>
  <c r="AE72" i="2"/>
  <c r="AF72" i="2"/>
  <c r="AG72" i="2"/>
  <c r="AE73" i="2"/>
  <c r="AF73" i="2"/>
  <c r="AG73" i="2"/>
  <c r="AE74" i="2"/>
  <c r="AF74" i="2"/>
  <c r="AG74" i="2"/>
  <c r="AE75" i="2"/>
  <c r="AF75" i="2"/>
  <c r="AG75" i="2"/>
  <c r="AE76" i="2"/>
  <c r="AF76" i="2"/>
  <c r="AG76" i="2"/>
  <c r="AE77" i="2"/>
  <c r="AF77" i="2"/>
  <c r="AG77" i="2"/>
  <c r="AE78" i="2"/>
  <c r="AF78" i="2"/>
  <c r="AG78" i="2"/>
  <c r="AE79" i="2"/>
  <c r="AF79" i="2"/>
  <c r="AG79" i="2"/>
  <c r="AE80" i="2"/>
  <c r="AF80" i="2"/>
  <c r="AG80" i="2"/>
  <c r="AE81" i="2"/>
  <c r="AF81" i="2"/>
  <c r="AG81" i="2"/>
  <c r="AE82" i="2"/>
  <c r="AF82" i="2"/>
  <c r="AG82" i="2"/>
  <c r="AE83" i="2"/>
  <c r="AF83" i="2"/>
  <c r="AG83" i="2"/>
  <c r="AE84" i="2"/>
  <c r="AF84" i="2"/>
  <c r="AG84" i="2"/>
  <c r="AE85" i="2"/>
  <c r="AF85" i="2"/>
  <c r="AG85" i="2"/>
  <c r="AE86" i="2"/>
  <c r="AF86" i="2"/>
  <c r="AG86" i="2"/>
  <c r="AE87" i="2"/>
  <c r="AA159" i="2" s="1"/>
  <c r="AF87" i="2"/>
  <c r="AB159" i="2" s="1"/>
  <c r="AG87" i="2"/>
  <c r="AC159" i="2" s="1"/>
  <c r="AF34" i="2"/>
  <c r="AG34" i="2"/>
  <c r="AE34" i="2"/>
  <c r="AP33" i="2"/>
  <c r="AP34" i="2" s="1"/>
  <c r="AQ27" i="2"/>
  <c r="E19" i="2"/>
  <c r="F19" i="2"/>
  <c r="G19" i="2"/>
  <c r="H19" i="2"/>
  <c r="I19" i="2"/>
  <c r="J19" i="2"/>
  <c r="K19" i="2"/>
  <c r="L19" i="2"/>
  <c r="M19" i="2"/>
  <c r="N19" i="2"/>
  <c r="O19" i="2"/>
  <c r="E20" i="2"/>
  <c r="F20" i="2"/>
  <c r="G20" i="2"/>
  <c r="H20" i="2"/>
  <c r="I20" i="2"/>
  <c r="J20" i="2"/>
  <c r="K20" i="2"/>
  <c r="L20" i="2"/>
  <c r="M20" i="2"/>
  <c r="N20" i="2"/>
  <c r="O20" i="2"/>
  <c r="E21" i="2"/>
  <c r="F21" i="2"/>
  <c r="G21" i="2"/>
  <c r="H21" i="2"/>
  <c r="I21" i="2"/>
  <c r="J21" i="2"/>
  <c r="K21" i="2"/>
  <c r="L21" i="2"/>
  <c r="M21" i="2"/>
  <c r="N21" i="2"/>
  <c r="O21" i="2"/>
  <c r="E17" i="2"/>
  <c r="F17" i="2"/>
  <c r="G17" i="2"/>
  <c r="H17" i="2"/>
  <c r="I17" i="2"/>
  <c r="J17" i="2"/>
  <c r="K17" i="2"/>
  <c r="L17" i="2"/>
  <c r="M17" i="2"/>
  <c r="N17" i="2"/>
  <c r="O17" i="2"/>
  <c r="E18" i="2"/>
  <c r="F18" i="2"/>
  <c r="G18" i="2"/>
  <c r="H18" i="2"/>
  <c r="I18" i="2"/>
  <c r="J18" i="2"/>
  <c r="K18" i="2"/>
  <c r="L18" i="2"/>
  <c r="M18" i="2"/>
  <c r="N18" i="2"/>
  <c r="O18" i="2"/>
  <c r="E7" i="2"/>
  <c r="F7" i="2"/>
  <c r="G7" i="2"/>
  <c r="H7" i="2"/>
  <c r="I7" i="2"/>
  <c r="J7" i="2"/>
  <c r="K7" i="2"/>
  <c r="L7" i="2"/>
  <c r="M7" i="2"/>
  <c r="N7" i="2"/>
  <c r="O7" i="2"/>
  <c r="E8" i="2"/>
  <c r="F8" i="2"/>
  <c r="G8" i="2"/>
  <c r="H8" i="2"/>
  <c r="I8" i="2"/>
  <c r="J8" i="2"/>
  <c r="K8" i="2"/>
  <c r="L8" i="2"/>
  <c r="M8" i="2"/>
  <c r="N8" i="2"/>
  <c r="O8" i="2"/>
  <c r="E9" i="2"/>
  <c r="F9" i="2"/>
  <c r="G9" i="2"/>
  <c r="H9" i="2"/>
  <c r="I9" i="2"/>
  <c r="J9" i="2"/>
  <c r="K9" i="2"/>
  <c r="L9" i="2"/>
  <c r="M9" i="2"/>
  <c r="N9" i="2"/>
  <c r="O9" i="2"/>
  <c r="E10" i="2"/>
  <c r="F10" i="2"/>
  <c r="G10" i="2"/>
  <c r="H10" i="2"/>
  <c r="I10" i="2"/>
  <c r="J10" i="2"/>
  <c r="K10" i="2"/>
  <c r="L10" i="2"/>
  <c r="M10" i="2"/>
  <c r="N10" i="2"/>
  <c r="O10" i="2"/>
  <c r="E11" i="2"/>
  <c r="F11" i="2"/>
  <c r="G11" i="2"/>
  <c r="H11" i="2"/>
  <c r="I11" i="2"/>
  <c r="J11" i="2"/>
  <c r="K11" i="2"/>
  <c r="L11" i="2"/>
  <c r="M11" i="2"/>
  <c r="N11" i="2"/>
  <c r="O11" i="2"/>
  <c r="E12" i="2"/>
  <c r="F12" i="2"/>
  <c r="G12" i="2"/>
  <c r="H12" i="2"/>
  <c r="I12" i="2"/>
  <c r="J12" i="2"/>
  <c r="K12" i="2"/>
  <c r="L12" i="2"/>
  <c r="M12" i="2"/>
  <c r="N12" i="2"/>
  <c r="O12" i="2"/>
  <c r="E13" i="2"/>
  <c r="F13" i="2"/>
  <c r="G13" i="2"/>
  <c r="H13" i="2"/>
  <c r="I13" i="2"/>
  <c r="J13" i="2"/>
  <c r="K13" i="2"/>
  <c r="L13" i="2"/>
  <c r="M13" i="2"/>
  <c r="N13" i="2"/>
  <c r="O13" i="2"/>
  <c r="E14" i="2"/>
  <c r="F14" i="2"/>
  <c r="G14" i="2"/>
  <c r="H14" i="2"/>
  <c r="I14" i="2"/>
  <c r="J14" i="2"/>
  <c r="K14" i="2"/>
  <c r="L14" i="2"/>
  <c r="M14" i="2"/>
  <c r="N14" i="2"/>
  <c r="O14" i="2"/>
  <c r="E15" i="2"/>
  <c r="F15" i="2"/>
  <c r="G15" i="2"/>
  <c r="H15" i="2"/>
  <c r="I15" i="2"/>
  <c r="J15" i="2"/>
  <c r="K15" i="2"/>
  <c r="L15" i="2"/>
  <c r="M15" i="2"/>
  <c r="N15" i="2"/>
  <c r="O15" i="2"/>
  <c r="D20" i="2"/>
  <c r="D21" i="2"/>
  <c r="D19" i="2"/>
  <c r="D18" i="2"/>
  <c r="D17" i="2"/>
  <c r="D8" i="2"/>
  <c r="D9" i="2"/>
  <c r="D10" i="2"/>
  <c r="D11" i="2"/>
  <c r="D12" i="2"/>
  <c r="D13" i="2"/>
  <c r="D14" i="2"/>
  <c r="D15" i="2"/>
  <c r="D7" i="2"/>
  <c r="E6" i="2"/>
  <c r="F6" i="2"/>
  <c r="G6" i="2"/>
  <c r="H6" i="2"/>
  <c r="I6" i="2"/>
  <c r="J6" i="2"/>
  <c r="K6" i="2"/>
  <c r="L6" i="2"/>
  <c r="M6" i="2"/>
  <c r="N6" i="2"/>
  <c r="O6" i="2"/>
  <c r="D6" i="2"/>
  <c r="AO34" i="2" l="1"/>
  <c r="AB158" i="2"/>
  <c r="AA158" i="2"/>
  <c r="AB106" i="2"/>
  <c r="AC158" i="2"/>
  <c r="AB157" i="2"/>
  <c r="AA156" i="2"/>
  <c r="AA157" i="2"/>
  <c r="AB151" i="2"/>
  <c r="AC106" i="2"/>
  <c r="AC157" i="2"/>
  <c r="AB156" i="2"/>
  <c r="AA155" i="2"/>
  <c r="AC153" i="2"/>
  <c r="AB152" i="2"/>
  <c r="AA151" i="2"/>
  <c r="AC149" i="2"/>
  <c r="AB148" i="2"/>
  <c r="AA147" i="2"/>
  <c r="AC145" i="2"/>
  <c r="AB144" i="2"/>
  <c r="AA143" i="2"/>
  <c r="AC141" i="2"/>
  <c r="AB140" i="2"/>
  <c r="AA139" i="2"/>
  <c r="AC137" i="2"/>
  <c r="AB136" i="2"/>
  <c r="AA135" i="2"/>
  <c r="AC133" i="2"/>
  <c r="AB132" i="2"/>
  <c r="AA131" i="2"/>
  <c r="AC129" i="2"/>
  <c r="AB128" i="2"/>
  <c r="AA127" i="2"/>
  <c r="AC125" i="2"/>
  <c r="AB124" i="2"/>
  <c r="AA123" i="2"/>
  <c r="AC121" i="2"/>
  <c r="AB120" i="2"/>
  <c r="AA119" i="2"/>
  <c r="AC117" i="2"/>
  <c r="AB116" i="2"/>
  <c r="AA115" i="2"/>
  <c r="AC113" i="2"/>
  <c r="AB112" i="2"/>
  <c r="AA111" i="2"/>
  <c r="AC109" i="2"/>
  <c r="AB108" i="2"/>
  <c r="AA107" i="2"/>
  <c r="AC154" i="2"/>
  <c r="AB153" i="2"/>
  <c r="AA152" i="2"/>
  <c r="AC150" i="2"/>
  <c r="AB149" i="2"/>
  <c r="AA148" i="2"/>
  <c r="AC146" i="2"/>
  <c r="AB145" i="2"/>
  <c r="AA144" i="2"/>
  <c r="AC142" i="2"/>
  <c r="AB141" i="2"/>
  <c r="AA140" i="2"/>
  <c r="AC138" i="2"/>
  <c r="AB137" i="2"/>
  <c r="AA136" i="2"/>
  <c r="AC134" i="2"/>
  <c r="AB133" i="2"/>
  <c r="AA132" i="2"/>
  <c r="AC130" i="2"/>
  <c r="AB129" i="2"/>
  <c r="AA128" i="2"/>
  <c r="AC126" i="2"/>
  <c r="AB125" i="2"/>
  <c r="AA124" i="2"/>
  <c r="AC122" i="2"/>
  <c r="AB121" i="2"/>
  <c r="AA120" i="2"/>
  <c r="AC118" i="2"/>
  <c r="AB117" i="2"/>
  <c r="AA116" i="2"/>
  <c r="AC114" i="2"/>
  <c r="AB113" i="2"/>
  <c r="AA112" i="2"/>
  <c r="AC110" i="2"/>
  <c r="AB109" i="2"/>
  <c r="AA108" i="2"/>
  <c r="AC155" i="2"/>
  <c r="AB154" i="2"/>
  <c r="AA153" i="2"/>
  <c r="AC151" i="2"/>
  <c r="AB150" i="2"/>
  <c r="AA149" i="2"/>
  <c r="AC147" i="2"/>
  <c r="AB146" i="2"/>
  <c r="AA145" i="2"/>
  <c r="AC143" i="2"/>
  <c r="AB142" i="2"/>
  <c r="AA141" i="2"/>
  <c r="AC139" i="2"/>
  <c r="AB138" i="2"/>
  <c r="AA137" i="2"/>
  <c r="AC135" i="2"/>
  <c r="AB134" i="2"/>
  <c r="AA133" i="2"/>
  <c r="AC131" i="2"/>
  <c r="AB130" i="2"/>
  <c r="AA129" i="2"/>
  <c r="AC127" i="2"/>
  <c r="AB126" i="2"/>
  <c r="AA125" i="2"/>
  <c r="AC123" i="2"/>
  <c r="AB122" i="2"/>
  <c r="AA121" i="2"/>
  <c r="AC119" i="2"/>
  <c r="AB118" i="2"/>
  <c r="AA117" i="2"/>
  <c r="AC115" i="2"/>
  <c r="AB114" i="2"/>
  <c r="AA113" i="2"/>
  <c r="AC111" i="2"/>
  <c r="AB110" i="2"/>
  <c r="AA109" i="2"/>
  <c r="AC107" i="2"/>
  <c r="AA106" i="2"/>
  <c r="AC156" i="2"/>
  <c r="AB155" i="2"/>
  <c r="AA154" i="2"/>
  <c r="AC152" i="2"/>
  <c r="AA150" i="2"/>
  <c r="AC148" i="2"/>
  <c r="AB147" i="2"/>
  <c r="AA146" i="2"/>
  <c r="AC144" i="2"/>
  <c r="AB143" i="2"/>
  <c r="AA142" i="2"/>
  <c r="AC140" i="2"/>
  <c r="AB139" i="2"/>
  <c r="AA138" i="2"/>
  <c r="AC136" i="2"/>
  <c r="AB135" i="2"/>
  <c r="AA134" i="2"/>
  <c r="AC132" i="2"/>
  <c r="AB131" i="2"/>
  <c r="AA130" i="2"/>
  <c r="AC128" i="2"/>
  <c r="AB127" i="2"/>
  <c r="AA126" i="2"/>
  <c r="AC124" i="2"/>
  <c r="AB123" i="2"/>
  <c r="AA122" i="2"/>
  <c r="AC120" i="2"/>
  <c r="AB119" i="2"/>
  <c r="AA118" i="2"/>
  <c r="AC116" i="2"/>
  <c r="AB115" i="2"/>
  <c r="AA114" i="2"/>
  <c r="AC112" i="2"/>
  <c r="AB111" i="2"/>
  <c r="AA110" i="2"/>
  <c r="AC108" i="2"/>
  <c r="AB107" i="2"/>
  <c r="D16" i="2"/>
  <c r="AR33" i="2"/>
  <c r="AR31" i="2"/>
  <c r="AT34" i="2" l="1"/>
  <c r="AS33" i="2"/>
  <c r="C42" i="2" s="1"/>
  <c r="AR34" i="2"/>
  <c r="AD30" i="2"/>
  <c r="E16" i="2"/>
  <c r="AD28" i="2"/>
  <c r="AS34" i="2" l="1"/>
  <c r="AU34" i="2" s="1"/>
  <c r="AE30" i="2"/>
  <c r="AG30" i="2" s="1"/>
  <c r="AU33" i="2"/>
  <c r="M16" i="2"/>
  <c r="I16" i="2"/>
  <c r="N16" i="2"/>
  <c r="J16" i="2"/>
  <c r="F16" i="2"/>
  <c r="L16" i="2"/>
  <c r="H16" i="2"/>
  <c r="O16" i="2"/>
  <c r="K16" i="2"/>
  <c r="G16" i="2"/>
  <c r="Z31" i="2"/>
  <c r="AT27" i="2" l="1"/>
  <c r="G47" i="2"/>
  <c r="N50" i="2"/>
  <c r="M48" i="2"/>
  <c r="G48" i="2"/>
  <c r="M52" i="2"/>
  <c r="O46" i="2"/>
  <c r="M49" i="2"/>
  <c r="I49" i="2"/>
  <c r="E45" i="2"/>
  <c r="N52" i="2"/>
  <c r="F44" i="2"/>
  <c r="O51" i="2"/>
  <c r="P47" i="2"/>
  <c r="P50" i="2"/>
  <c r="P46" i="2"/>
  <c r="G52" i="2"/>
  <c r="I48" i="2"/>
  <c r="E47" i="2"/>
  <c r="N48" i="2"/>
  <c r="D52" i="2"/>
  <c r="D47" i="2"/>
  <c r="D48" i="2"/>
  <c r="H48" i="2"/>
  <c r="K47" i="2"/>
  <c r="H52" i="2"/>
  <c r="L46" i="2"/>
  <c r="F47" i="2"/>
  <c r="E52" i="2"/>
  <c r="N45" i="2"/>
  <c r="D50" i="2"/>
  <c r="O45" i="2"/>
  <c r="I50" i="2"/>
  <c r="M46" i="2"/>
  <c r="H46" i="2"/>
  <c r="D51" i="2"/>
  <c r="F52" i="2"/>
  <c r="D49" i="2"/>
  <c r="I44" i="2"/>
  <c r="H49" i="2"/>
  <c r="K52" i="2"/>
  <c r="I45" i="2"/>
  <c r="M47" i="2"/>
  <c r="G51" i="2"/>
  <c r="N49" i="2"/>
  <c r="F51" i="2"/>
  <c r="F45" i="2"/>
  <c r="O48" i="2"/>
  <c r="P44" i="2"/>
  <c r="G44" i="2"/>
  <c r="M51" i="2"/>
  <c r="F50" i="2"/>
  <c r="K51" i="2"/>
  <c r="E49" i="2"/>
  <c r="K45" i="2"/>
  <c r="L48" i="2"/>
  <c r="L49" i="2"/>
  <c r="P49" i="2"/>
  <c r="K48" i="2"/>
  <c r="F49" i="2"/>
  <c r="H45" i="2"/>
  <c r="N47" i="2"/>
  <c r="P48" i="2"/>
  <c r="I46" i="2"/>
  <c r="K49" i="2"/>
  <c r="P51" i="2"/>
  <c r="E46" i="2"/>
  <c r="F48" i="2"/>
  <c r="H50" i="2"/>
  <c r="I51" i="2"/>
  <c r="O50" i="2"/>
  <c r="O47" i="2"/>
  <c r="L47" i="2"/>
  <c r="K44" i="2"/>
  <c r="O44" i="2"/>
  <c r="N46" i="2"/>
  <c r="D46" i="2"/>
  <c r="G45" i="2"/>
  <c r="K46" i="2"/>
  <c r="E51" i="2"/>
  <c r="M45" i="2"/>
  <c r="P52" i="2"/>
  <c r="F46" i="2"/>
  <c r="C49" i="2" l="1"/>
  <c r="C51" i="2"/>
  <c r="C48" i="2"/>
  <c r="C45" i="2"/>
  <c r="C44" i="2"/>
  <c r="C46" i="2"/>
  <c r="H51" i="2"/>
  <c r="G49" i="2"/>
  <c r="G46" i="2"/>
  <c r="G50" i="2"/>
  <c r="K50" i="2"/>
  <c r="H47" i="2"/>
  <c r="L45" i="2"/>
  <c r="O49" i="2"/>
  <c r="D45" i="2"/>
  <c r="E48" i="2"/>
  <c r="I47" i="2"/>
  <c r="L51" i="2"/>
  <c r="N51" i="2"/>
  <c r="D44" i="2"/>
  <c r="O52" i="2"/>
  <c r="H44" i="2"/>
  <c r="L50" i="2"/>
  <c r="M50" i="2"/>
  <c r="I52" i="2"/>
  <c r="N44" i="2"/>
  <c r="E44" i="2"/>
  <c r="L44" i="2"/>
  <c r="E50" i="2"/>
  <c r="M44" i="2"/>
  <c r="P45" i="2"/>
  <c r="L52" i="2"/>
  <c r="C52" i="2" l="1"/>
  <c r="C47" i="2"/>
  <c r="C50" i="2"/>
</calcChain>
</file>

<file path=xl/sharedStrings.xml><?xml version="1.0" encoding="utf-8"?>
<sst xmlns="http://schemas.openxmlformats.org/spreadsheetml/2006/main" count="116" uniqueCount="95">
  <si>
    <t>전일대비</t>
  </si>
  <si>
    <t>일자</t>
  </si>
  <si>
    <t>기준일</t>
    <phoneticPr fontId="2" type="noConversion"/>
  </si>
  <si>
    <t>현재가</t>
    <phoneticPr fontId="2" type="noConversion"/>
  </si>
  <si>
    <t>KOSPI200 선물/옵션</t>
    <phoneticPr fontId="2" type="noConversion"/>
  </si>
  <si>
    <t>선물시장주요지표</t>
    <phoneticPr fontId="2" type="noConversion"/>
  </si>
  <si>
    <t>전일대비</t>
    <phoneticPr fontId="2" type="noConversion"/>
  </si>
  <si>
    <t>이론가</t>
    <phoneticPr fontId="2" type="noConversion"/>
  </si>
  <si>
    <t>미결제약정</t>
    <phoneticPr fontId="2" type="noConversion"/>
  </si>
  <si>
    <t>현재가</t>
  </si>
  <si>
    <t>이론가</t>
  </si>
  <si>
    <t>기초자산가격</t>
  </si>
  <si>
    <t>거래량</t>
  </si>
  <si>
    <t>미결제약정수량</t>
  </si>
  <si>
    <t>미결제약정증감</t>
  </si>
  <si>
    <t>외국인합순매수수량</t>
  </si>
  <si>
    <t>개인순매수수량</t>
  </si>
  <si>
    <t>차익거래순매수금액</t>
  </si>
  <si>
    <t>비차익거래순매수금액</t>
  </si>
  <si>
    <t>K200</t>
    <phoneticPr fontId="2" type="noConversion"/>
  </si>
  <si>
    <t>약정수량</t>
    <phoneticPr fontId="2" type="noConversion"/>
  </si>
  <si>
    <t>메결제증감</t>
    <phoneticPr fontId="2" type="noConversion"/>
  </si>
  <si>
    <t xml:space="preserve">  - 비차익</t>
    <phoneticPr fontId="2" type="noConversion"/>
  </si>
  <si>
    <t xml:space="preserve">  - 차익</t>
    <phoneticPr fontId="2" type="noConversion"/>
  </si>
  <si>
    <t>기관순매수수량</t>
  </si>
  <si>
    <t>기관순매수수량</t>
    <phoneticPr fontId="2" type="noConversion"/>
  </si>
  <si>
    <t>외국인순매수 (수량,천)</t>
    <phoneticPr fontId="2" type="noConversion"/>
  </si>
  <si>
    <t>개인순매수 (수량,천)</t>
    <phoneticPr fontId="2" type="noConversion"/>
  </si>
  <si>
    <t>기관계순매수 (수량,천)</t>
    <phoneticPr fontId="2" type="noConversion"/>
  </si>
  <si>
    <t>일자</t>
    <phoneticPr fontId="2" type="noConversion"/>
  </si>
  <si>
    <t>프로그램합계(K200, 백만)</t>
    <phoneticPr fontId="2" type="noConversion"/>
  </si>
  <si>
    <t>시장베이시스</t>
    <phoneticPr fontId="2" type="noConversion"/>
  </si>
  <si>
    <t>시장베이시스(종가)</t>
    <phoneticPr fontId="2" type="noConversion"/>
  </si>
  <si>
    <t>이론베이시스(종가)</t>
    <phoneticPr fontId="2" type="noConversion"/>
  </si>
  <si>
    <t>이론베이시스</t>
    <phoneticPr fontId="2" type="noConversion"/>
  </si>
  <si>
    <t>이론갭</t>
    <phoneticPr fontId="2" type="noConversion"/>
  </si>
  <si>
    <t>기초자산가격</t>
    <phoneticPr fontId="2" type="noConversion"/>
  </si>
  <si>
    <t>기준</t>
    <phoneticPr fontId="2" type="noConversion"/>
  </si>
  <si>
    <t>A</t>
    <phoneticPr fontId="2" type="noConversion"/>
  </si>
  <si>
    <t>B</t>
    <phoneticPr fontId="2" type="noConversion"/>
  </si>
  <si>
    <t>C</t>
    <phoneticPr fontId="2" type="noConversion"/>
  </si>
  <si>
    <t>C/P</t>
    <phoneticPr fontId="2" type="noConversion"/>
  </si>
  <si>
    <t>연도</t>
    <phoneticPr fontId="2" type="noConversion"/>
  </si>
  <si>
    <t>월</t>
    <phoneticPr fontId="2" type="noConversion"/>
  </si>
  <si>
    <t>만기test</t>
    <phoneticPr fontId="2" type="noConversion"/>
  </si>
  <si>
    <t>testing</t>
    <phoneticPr fontId="2" type="noConversion"/>
  </si>
  <si>
    <t>설정월</t>
    <phoneticPr fontId="2" type="noConversion"/>
  </si>
  <si>
    <t>설정년</t>
    <phoneticPr fontId="2" type="noConversion"/>
  </si>
  <si>
    <t>현재 옵션</t>
    <phoneticPr fontId="2" type="noConversion"/>
  </si>
  <si>
    <t>OPT</t>
    <phoneticPr fontId="2" type="noConversion"/>
  </si>
  <si>
    <t>가까운 값</t>
    <phoneticPr fontId="2" type="noConversion"/>
  </si>
  <si>
    <t>000</t>
    <phoneticPr fontId="2" type="noConversion"/>
  </si>
  <si>
    <t>월-index</t>
    <phoneticPr fontId="2" type="noConversion"/>
  </si>
  <si>
    <t>FUT</t>
    <phoneticPr fontId="2" type="noConversion"/>
  </si>
  <si>
    <t>value</t>
    <phoneticPr fontId="2" type="noConversion"/>
  </si>
  <si>
    <t>설정월</t>
    <phoneticPr fontId="2" type="noConversion"/>
  </si>
  <si>
    <t>test</t>
    <phoneticPr fontId="2" type="noConversion"/>
  </si>
  <si>
    <t>외국인합</t>
    <phoneticPr fontId="2" type="noConversion"/>
  </si>
  <si>
    <t>개인</t>
    <phoneticPr fontId="2" type="noConversion"/>
  </si>
  <si>
    <t>기관계</t>
    <phoneticPr fontId="2" type="noConversion"/>
  </si>
  <si>
    <t>기초자산가격</t>
    <phoneticPr fontId="2" type="noConversion"/>
  </si>
  <si>
    <t>K200</t>
    <phoneticPr fontId="2" type="noConversion"/>
  </si>
  <si>
    <t>C</t>
    <phoneticPr fontId="2" type="noConversion"/>
  </si>
  <si>
    <t>C</t>
    <phoneticPr fontId="2" type="noConversion"/>
  </si>
  <si>
    <t>이전선물</t>
    <phoneticPr fontId="2" type="noConversion"/>
  </si>
  <si>
    <t>콜</t>
    <phoneticPr fontId="2" type="noConversion"/>
  </si>
  <si>
    <t>풋</t>
    <phoneticPr fontId="2" type="noConversion"/>
  </si>
  <si>
    <t>콜-풋</t>
    <phoneticPr fontId="2" type="noConversion"/>
  </si>
  <si>
    <t>KOSPI200 옵션 시세표(최근월물)</t>
    <phoneticPr fontId="2" type="noConversion"/>
  </si>
  <si>
    <t>일자</t>
    <phoneticPr fontId="2" type="noConversion"/>
  </si>
  <si>
    <t>현재가</t>
    <phoneticPr fontId="2" type="noConversion"/>
  </si>
  <si>
    <t>K200</t>
    <phoneticPr fontId="2" type="noConversion"/>
  </si>
  <si>
    <t>VKOSPI</t>
    <phoneticPr fontId="2" type="noConversion"/>
  </si>
  <si>
    <t>KOSPI200 vs VKOSPI</t>
    <phoneticPr fontId="2" type="noConversion"/>
  </si>
  <si>
    <t>변동성 스큐</t>
    <phoneticPr fontId="2" type="noConversion"/>
  </si>
  <si>
    <t>W</t>
  </si>
  <si>
    <t>V</t>
  </si>
  <si>
    <t>T</t>
  </si>
  <si>
    <t>S</t>
  </si>
  <si>
    <t>R</t>
  </si>
  <si>
    <t>Q</t>
  </si>
  <si>
    <t>P</t>
  </si>
  <si>
    <t>N</t>
  </si>
  <si>
    <t>A</t>
  </si>
  <si>
    <t>조회요청실패</t>
  </si>
  <si>
    <t>행사가</t>
    <phoneticPr fontId="2" type="noConversion"/>
  </si>
  <si>
    <t>델타</t>
    <phoneticPr fontId="2" type="noConversion"/>
  </si>
  <si>
    <t>IV종가</t>
    <phoneticPr fontId="2" type="noConversion"/>
  </si>
  <si>
    <t>미결제증감</t>
    <phoneticPr fontId="2" type="noConversion"/>
  </si>
  <si>
    <t>미결제약정</t>
    <phoneticPr fontId="2" type="noConversion"/>
  </si>
  <si>
    <t>등락률</t>
    <phoneticPr fontId="2" type="noConversion"/>
  </si>
  <si>
    <t>현재가</t>
    <phoneticPr fontId="2" type="noConversion"/>
  </si>
  <si>
    <t>현재가</t>
    <phoneticPr fontId="2" type="noConversion"/>
  </si>
  <si>
    <t>미결제약정</t>
    <phoneticPr fontId="2" type="noConversion"/>
  </si>
  <si>
    <t>델타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</si>
</sst>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#,##0_ "/>
    <numFmt numFmtId="177" formatCode="#,##0.00_ "/>
  </numFmts>
  <fonts count="16" x14ac:knownFonts="1"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0"/>
      <color rgb="FFFF0000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20"/>
      <color theme="0" tint="-4.9989318521683403E-2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0"/>
      <name val="맑은 고딕"/>
      <family val="2"/>
      <charset val="129"/>
      <scheme val="minor"/>
    </font>
    <font>
      <sz val="10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CCC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999FF"/>
        <bgColor indexed="64"/>
      </patternFill>
    </fill>
  </fills>
  <borders count="40">
    <border>
      <left/>
      <right/>
      <top/>
      <bottom/>
      <diagonal/>
    </border>
    <border>
      <left style="thin">
        <color rgb="FFCCCCFF"/>
      </left>
      <right style="thin">
        <color rgb="FFCCCCFF"/>
      </right>
      <top style="thin">
        <color rgb="FFCCCCFF"/>
      </top>
      <bottom style="thin">
        <color rgb="FFCCCCFF"/>
      </bottom>
      <diagonal/>
    </border>
    <border>
      <left style="thin">
        <color theme="1" tint="0.34998626667073579"/>
      </left>
      <right/>
      <top style="thin">
        <color theme="1" tint="0.34998626667073579"/>
      </top>
      <bottom style="thin">
        <color theme="1" tint="0.34998626667073579"/>
      </bottom>
      <diagonal/>
    </border>
    <border>
      <left style="thin">
        <color indexed="64"/>
      </left>
      <right style="thin">
        <color rgb="FFCCCCFF"/>
      </right>
      <top style="thin">
        <color indexed="64"/>
      </top>
      <bottom style="thin">
        <color rgb="FFCCCCFF"/>
      </bottom>
      <diagonal/>
    </border>
    <border>
      <left style="thin">
        <color rgb="FFCCCCFF"/>
      </left>
      <right style="thin">
        <color rgb="FFCCCCFF"/>
      </right>
      <top style="thin">
        <color indexed="64"/>
      </top>
      <bottom style="thin">
        <color rgb="FFCCCCFF"/>
      </bottom>
      <diagonal/>
    </border>
    <border>
      <left style="thin">
        <color indexed="64"/>
      </left>
      <right style="thin">
        <color rgb="FFCCCCFF"/>
      </right>
      <top style="thin">
        <color rgb="FFCCCCFF"/>
      </top>
      <bottom style="thin">
        <color rgb="FFCCCCF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rgb="FF969696"/>
      </top>
      <bottom style="thin">
        <color rgb="FF969696"/>
      </bottom>
      <diagonal/>
    </border>
    <border>
      <left style="medium">
        <color indexed="64"/>
      </left>
      <right/>
      <top style="thin">
        <color rgb="FF969696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969696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CCCCFF"/>
      </left>
      <right style="medium">
        <color indexed="64"/>
      </right>
      <top style="thin">
        <color indexed="64"/>
      </top>
      <bottom style="thin">
        <color rgb="FFCCCCFF"/>
      </bottom>
      <diagonal/>
    </border>
    <border>
      <left style="thin">
        <color rgb="FFCCCCFF"/>
      </left>
      <right style="medium">
        <color indexed="64"/>
      </right>
      <top style="thin">
        <color rgb="FFCCCCFF"/>
      </top>
      <bottom style="thin">
        <color rgb="FFCCCCFF"/>
      </bottom>
      <diagonal/>
    </border>
    <border>
      <left style="thin">
        <color indexed="64"/>
      </left>
      <right style="thin">
        <color rgb="FFCCCCFF"/>
      </right>
      <top style="thin">
        <color rgb="FFCCCCFF"/>
      </top>
      <bottom style="medium">
        <color indexed="64"/>
      </bottom>
      <diagonal/>
    </border>
    <border>
      <left style="thin">
        <color rgb="FFCCCCFF"/>
      </left>
      <right style="thin">
        <color rgb="FFCCCCFF"/>
      </right>
      <top style="thin">
        <color rgb="FFCCCCFF"/>
      </top>
      <bottom style="medium">
        <color indexed="64"/>
      </bottom>
      <diagonal/>
    </border>
    <border>
      <left style="thin">
        <color rgb="FFCCCCFF"/>
      </left>
      <right style="medium">
        <color indexed="64"/>
      </right>
      <top style="thin">
        <color rgb="FFCCCCFF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54">
    <xf numFmtId="0" fontId="0" fillId="0" borderId="0" xfId="0">
      <alignment vertical="center"/>
    </xf>
    <xf numFmtId="0" fontId="5" fillId="0" borderId="0" xfId="0" applyFont="1">
      <alignment vertical="center"/>
    </xf>
    <xf numFmtId="0" fontId="6" fillId="0" borderId="0" xfId="0" applyFont="1" applyFill="1" applyBorder="1">
      <alignment vertical="center"/>
    </xf>
    <xf numFmtId="14" fontId="5" fillId="0" borderId="0" xfId="0" applyNumberFormat="1" applyFont="1">
      <alignment vertical="center"/>
    </xf>
    <xf numFmtId="0" fontId="4" fillId="3" borderId="2" xfId="0" applyFont="1" applyFill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/>
    </xf>
    <xf numFmtId="0" fontId="5" fillId="0" borderId="0" xfId="0" applyFont="1" applyFill="1">
      <alignment vertical="center"/>
    </xf>
    <xf numFmtId="0" fontId="0" fillId="0" borderId="0" xfId="0" applyBorder="1">
      <alignment vertical="center"/>
    </xf>
    <xf numFmtId="0" fontId="9" fillId="0" borderId="0" xfId="0" applyFont="1" applyFill="1" applyBorder="1" applyAlignment="1">
      <alignment horizontal="center" vertical="center"/>
    </xf>
    <xf numFmtId="14" fontId="6" fillId="0" borderId="0" xfId="0" applyNumberFormat="1" applyFont="1" applyFill="1" applyBorder="1" applyAlignment="1">
      <alignment horizontal="center" vertical="center"/>
    </xf>
    <xf numFmtId="0" fontId="9" fillId="0" borderId="0" xfId="0" applyFont="1" applyFill="1" applyBorder="1">
      <alignment vertical="center"/>
    </xf>
    <xf numFmtId="0" fontId="9" fillId="0" borderId="0" xfId="0" applyFont="1" applyFill="1" applyBorder="1" applyAlignment="1">
      <alignment horizontal="left" vertical="center"/>
    </xf>
    <xf numFmtId="0" fontId="8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9" fillId="0" borderId="0" xfId="0" applyFont="1">
      <alignment vertical="center"/>
    </xf>
    <xf numFmtId="14" fontId="11" fillId="5" borderId="11" xfId="0" applyNumberFormat="1" applyFont="1" applyFill="1" applyBorder="1" applyAlignment="1">
      <alignment horizontal="center" vertical="center"/>
    </xf>
    <xf numFmtId="14" fontId="11" fillId="5" borderId="7" xfId="0" applyNumberFormat="1" applyFont="1" applyFill="1" applyBorder="1" applyAlignment="1">
      <alignment horizontal="center" vertical="center"/>
    </xf>
    <xf numFmtId="0" fontId="0" fillId="2" borderId="31" xfId="0" applyFill="1" applyBorder="1">
      <alignment vertical="center"/>
    </xf>
    <xf numFmtId="0" fontId="0" fillId="2" borderId="31" xfId="0" quotePrefix="1" applyFill="1" applyBorder="1">
      <alignment vertical="center"/>
    </xf>
    <xf numFmtId="0" fontId="0" fillId="2" borderId="32" xfId="0" applyFill="1" applyBorder="1">
      <alignment vertical="center"/>
    </xf>
    <xf numFmtId="0" fontId="0" fillId="2" borderId="33" xfId="0" applyFill="1" applyBorder="1">
      <alignment vertical="center"/>
    </xf>
    <xf numFmtId="0" fontId="8" fillId="0" borderId="34" xfId="0" applyFont="1" applyBorder="1" applyAlignment="1">
      <alignment horizontal="center" vertical="center"/>
    </xf>
    <xf numFmtId="177" fontId="0" fillId="0" borderId="3" xfId="1" applyNumberFormat="1" applyFont="1" applyBorder="1" applyAlignment="1">
      <alignment horizontal="right" vertical="center"/>
    </xf>
    <xf numFmtId="177" fontId="0" fillId="0" borderId="4" xfId="1" applyNumberFormat="1" applyFont="1" applyBorder="1" applyAlignment="1">
      <alignment horizontal="right" vertical="center"/>
    </xf>
    <xf numFmtId="177" fontId="0" fillId="0" borderId="35" xfId="1" applyNumberFormat="1" applyFont="1" applyBorder="1" applyAlignment="1">
      <alignment horizontal="right" vertical="center"/>
    </xf>
    <xf numFmtId="177" fontId="0" fillId="0" borderId="5" xfId="1" applyNumberFormat="1" applyFont="1" applyBorder="1" applyAlignment="1">
      <alignment horizontal="right" vertical="center"/>
    </xf>
    <xf numFmtId="177" fontId="0" fillId="0" borderId="1" xfId="1" applyNumberFormat="1" applyFont="1" applyBorder="1" applyAlignment="1">
      <alignment horizontal="right" vertical="center"/>
    </xf>
    <xf numFmtId="177" fontId="0" fillId="0" borderId="36" xfId="1" applyNumberFormat="1" applyFont="1" applyBorder="1" applyAlignment="1">
      <alignment horizontal="right" vertical="center"/>
    </xf>
    <xf numFmtId="176" fontId="0" fillId="0" borderId="5" xfId="1" applyNumberFormat="1" applyFont="1" applyBorder="1" applyAlignment="1">
      <alignment horizontal="right" vertical="center"/>
    </xf>
    <xf numFmtId="176" fontId="0" fillId="0" borderId="1" xfId="1" applyNumberFormat="1" applyFont="1" applyBorder="1" applyAlignment="1">
      <alignment horizontal="right" vertical="center"/>
    </xf>
    <xf numFmtId="176" fontId="0" fillId="0" borderId="36" xfId="1" applyNumberFormat="1" applyFont="1" applyBorder="1" applyAlignment="1">
      <alignment horizontal="right" vertical="center"/>
    </xf>
    <xf numFmtId="176" fontId="0" fillId="0" borderId="37" xfId="1" applyNumberFormat="1" applyFont="1" applyBorder="1" applyAlignment="1">
      <alignment horizontal="right" vertical="center"/>
    </xf>
    <xf numFmtId="176" fontId="0" fillId="0" borderId="38" xfId="1" applyNumberFormat="1" applyFont="1" applyBorder="1" applyAlignment="1">
      <alignment horizontal="right" vertical="center"/>
    </xf>
    <xf numFmtId="176" fontId="0" fillId="0" borderId="39" xfId="1" applyNumberFormat="1" applyFont="1" applyBorder="1" applyAlignment="1">
      <alignment horizontal="right" vertical="center"/>
    </xf>
    <xf numFmtId="0" fontId="0" fillId="0" borderId="0" xfId="0" applyFill="1">
      <alignment vertical="center"/>
    </xf>
    <xf numFmtId="0" fontId="7" fillId="0" borderId="0" xfId="0" applyFont="1" applyFill="1" applyBorder="1" applyAlignment="1">
      <alignment horizontal="left" vertical="center"/>
    </xf>
    <xf numFmtId="0" fontId="6" fillId="0" borderId="0" xfId="0" applyFont="1" applyBorder="1" applyAlignment="1">
      <alignment horizontal="center" vertical="center"/>
    </xf>
    <xf numFmtId="0" fontId="12" fillId="0" borderId="0" xfId="0" applyFont="1">
      <alignment vertical="center"/>
    </xf>
    <xf numFmtId="0" fontId="12" fillId="0" borderId="0" xfId="0" applyFont="1" applyFill="1">
      <alignment vertical="center"/>
    </xf>
    <xf numFmtId="0" fontId="13" fillId="0" borderId="0" xfId="0" applyFont="1" applyBorder="1" applyAlignment="1">
      <alignment horizontal="center" vertical="center"/>
    </xf>
    <xf numFmtId="0" fontId="14" fillId="0" borderId="0" xfId="0" applyFont="1">
      <alignment vertical="center"/>
    </xf>
    <xf numFmtId="14" fontId="6" fillId="0" borderId="0" xfId="0" applyNumberFormat="1" applyFont="1">
      <alignment vertical="center"/>
    </xf>
    <xf numFmtId="49" fontId="15" fillId="0" borderId="0" xfId="0" applyNumberFormat="1" applyFont="1">
      <alignment vertical="center"/>
    </xf>
    <xf numFmtId="49" fontId="15" fillId="0" borderId="0" xfId="0" applyNumberFormat="1" applyFont="1" applyFill="1">
      <alignment vertical="center"/>
    </xf>
    <xf numFmtId="0" fontId="6" fillId="0" borderId="0" xfId="0" applyNumberFormat="1" applyFont="1">
      <alignment vertical="center"/>
    </xf>
    <xf numFmtId="0" fontId="6" fillId="0" borderId="0" xfId="0" applyFont="1">
      <alignment vertical="center"/>
    </xf>
    <xf numFmtId="0" fontId="15" fillId="0" borderId="0" xfId="0" applyNumberFormat="1" applyFont="1">
      <alignment vertical="center"/>
    </xf>
    <xf numFmtId="0" fontId="9" fillId="0" borderId="10" xfId="0" applyNumberFormat="1" applyFont="1" applyBorder="1" applyAlignment="1">
      <alignment horizontal="center" vertical="center"/>
    </xf>
    <xf numFmtId="0" fontId="6" fillId="0" borderId="11" xfId="0" applyNumberFormat="1" applyFont="1" applyBorder="1">
      <alignment vertical="center"/>
    </xf>
    <xf numFmtId="0" fontId="6" fillId="0" borderId="12" xfId="0" applyNumberFormat="1" applyFont="1" applyBorder="1">
      <alignment vertical="center"/>
    </xf>
    <xf numFmtId="0" fontId="6" fillId="0" borderId="7" xfId="0" applyNumberFormat="1" applyFont="1" applyBorder="1">
      <alignment vertical="center"/>
    </xf>
    <xf numFmtId="0" fontId="6" fillId="0" borderId="0" xfId="0" applyNumberFormat="1" applyFont="1" applyBorder="1">
      <alignment vertical="center"/>
    </xf>
    <xf numFmtId="0" fontId="6" fillId="0" borderId="19" xfId="0" applyNumberFormat="1" applyFont="1" applyBorder="1" applyAlignment="1">
      <alignment horizontal="right" vertical="center"/>
    </xf>
    <xf numFmtId="0" fontId="6" fillId="0" borderId="20" xfId="0" applyNumberFormat="1" applyFont="1" applyBorder="1" applyAlignment="1">
      <alignment horizontal="left" vertical="center"/>
    </xf>
    <xf numFmtId="0" fontId="6" fillId="0" borderId="20" xfId="0" applyNumberFormat="1" applyFont="1" applyBorder="1" applyAlignment="1">
      <alignment horizontal="right" vertical="center"/>
    </xf>
    <xf numFmtId="0" fontId="6" fillId="0" borderId="21" xfId="0" applyNumberFormat="1" applyFont="1" applyBorder="1" applyAlignment="1">
      <alignment horizontal="left" vertical="center"/>
    </xf>
    <xf numFmtId="0" fontId="9" fillId="0" borderId="6" xfId="0" applyFont="1" applyBorder="1" applyAlignment="1">
      <alignment horizontal="center" vertical="center"/>
    </xf>
    <xf numFmtId="0" fontId="6" fillId="0" borderId="11" xfId="0" applyFont="1" applyBorder="1">
      <alignment vertical="center"/>
    </xf>
    <xf numFmtId="0" fontId="6" fillId="0" borderId="11" xfId="0" applyNumberFormat="1" applyFont="1" applyBorder="1" applyAlignment="1">
      <alignment horizontal="right" vertical="center"/>
    </xf>
    <xf numFmtId="0" fontId="6" fillId="0" borderId="27" xfId="0" applyFont="1" applyBorder="1">
      <alignment vertical="center"/>
    </xf>
    <xf numFmtId="0" fontId="6" fillId="0" borderId="7" xfId="0" applyFont="1" applyBorder="1">
      <alignment vertical="center"/>
    </xf>
    <xf numFmtId="0" fontId="6" fillId="0" borderId="0" xfId="0" applyNumberFormat="1" applyFont="1" applyAlignment="1">
      <alignment horizontal="center" vertical="center"/>
    </xf>
    <xf numFmtId="0" fontId="15" fillId="0" borderId="0" xfId="0" applyNumberFormat="1" applyFont="1" applyAlignment="1">
      <alignment horizontal="center" vertical="center"/>
    </xf>
    <xf numFmtId="0" fontId="6" fillId="0" borderId="13" xfId="0" applyNumberFormat="1" applyFont="1" applyBorder="1" applyAlignment="1">
      <alignment horizontal="center" vertical="center"/>
    </xf>
    <xf numFmtId="0" fontId="6" fillId="0" borderId="0" xfId="0" applyNumberFormat="1" applyFont="1" applyBorder="1" applyAlignment="1">
      <alignment horizontal="center" vertical="center"/>
    </xf>
    <xf numFmtId="0" fontId="6" fillId="0" borderId="16" xfId="0" applyNumberFormat="1" applyFont="1" applyBorder="1" applyAlignment="1">
      <alignment horizontal="center" vertical="center"/>
    </xf>
    <xf numFmtId="0" fontId="6" fillId="0" borderId="22" xfId="0" applyNumberFormat="1" applyFont="1" applyBorder="1" applyAlignment="1">
      <alignment horizontal="right" vertical="center"/>
    </xf>
    <xf numFmtId="0" fontId="6" fillId="0" borderId="0" xfId="0" applyNumberFormat="1" applyFont="1" applyBorder="1" applyAlignment="1">
      <alignment horizontal="left" vertical="center"/>
    </xf>
    <xf numFmtId="0" fontId="6" fillId="0" borderId="0" xfId="0" applyNumberFormat="1" applyFont="1" applyBorder="1" applyAlignment="1">
      <alignment horizontal="right" vertical="center"/>
    </xf>
    <xf numFmtId="0" fontId="6" fillId="0" borderId="23" xfId="0" applyNumberFormat="1" applyFont="1" applyBorder="1" applyAlignment="1">
      <alignment horizontal="left" vertical="center"/>
    </xf>
    <xf numFmtId="0" fontId="6" fillId="0" borderId="13" xfId="0" applyFont="1" applyBorder="1">
      <alignment vertical="center"/>
    </xf>
    <xf numFmtId="0" fontId="6" fillId="0" borderId="16" xfId="0" applyFont="1" applyBorder="1" applyAlignment="1">
      <alignment horizontal="center" vertical="center"/>
    </xf>
    <xf numFmtId="0" fontId="9" fillId="0" borderId="16" xfId="0" applyNumberFormat="1" applyFont="1" applyBorder="1" applyAlignment="1">
      <alignment horizontal="center" vertical="center"/>
    </xf>
    <xf numFmtId="0" fontId="6" fillId="0" borderId="13" xfId="0" applyNumberFormat="1" applyFont="1" applyBorder="1">
      <alignment vertical="center"/>
    </xf>
    <xf numFmtId="49" fontId="6" fillId="0" borderId="0" xfId="0" applyNumberFormat="1" applyFont="1" applyBorder="1">
      <alignment vertical="center"/>
    </xf>
    <xf numFmtId="0" fontId="6" fillId="0" borderId="17" xfId="0" applyNumberFormat="1" applyFont="1" applyBorder="1">
      <alignment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5" xfId="0" applyNumberFormat="1" applyFont="1" applyBorder="1" applyAlignment="1">
      <alignment horizontal="center" vertical="center"/>
    </xf>
    <xf numFmtId="49" fontId="6" fillId="0" borderId="15" xfId="0" applyNumberFormat="1" applyFont="1" applyFill="1" applyBorder="1" applyAlignment="1">
      <alignment horizontal="center" vertical="center"/>
    </xf>
    <xf numFmtId="0" fontId="6" fillId="0" borderId="18" xfId="0" applyNumberFormat="1" applyFont="1" applyBorder="1" applyAlignment="1">
      <alignment horizontal="center" vertical="center"/>
    </xf>
    <xf numFmtId="0" fontId="6" fillId="0" borderId="14" xfId="0" applyNumberFormat="1" applyFont="1" applyBorder="1">
      <alignment vertical="center"/>
    </xf>
    <xf numFmtId="0" fontId="6" fillId="0" borderId="15" xfId="0" applyNumberFormat="1" applyFont="1" applyBorder="1">
      <alignment vertical="center"/>
    </xf>
    <xf numFmtId="0" fontId="6" fillId="0" borderId="18" xfId="0" applyNumberFormat="1" applyFont="1" applyBorder="1">
      <alignment vertical="center"/>
    </xf>
    <xf numFmtId="0" fontId="6" fillId="0" borderId="0" xfId="0" applyNumberFormat="1" applyFont="1" applyFill="1" applyBorder="1" applyAlignment="1">
      <alignment horizontal="right" vertical="center"/>
    </xf>
    <xf numFmtId="0" fontId="6" fillId="0" borderId="23" xfId="0" applyFont="1" applyBorder="1" applyAlignment="1">
      <alignment horizontal="left" vertical="center"/>
    </xf>
    <xf numFmtId="0" fontId="9" fillId="0" borderId="17" xfId="0" applyNumberFormat="1" applyFont="1" applyBorder="1" applyAlignment="1">
      <alignment horizontal="center" vertical="center"/>
    </xf>
    <xf numFmtId="0" fontId="6" fillId="0" borderId="19" xfId="0" applyFont="1" applyBorder="1">
      <alignment vertical="center"/>
    </xf>
    <xf numFmtId="0" fontId="6" fillId="0" borderId="20" xfId="0" applyFont="1" applyBorder="1">
      <alignment vertical="center"/>
    </xf>
    <xf numFmtId="0" fontId="6" fillId="0" borderId="21" xfId="0" applyFont="1" applyBorder="1">
      <alignment vertical="center"/>
    </xf>
    <xf numFmtId="0" fontId="6" fillId="0" borderId="22" xfId="0" applyFont="1" applyBorder="1">
      <alignment vertical="center"/>
    </xf>
    <xf numFmtId="0" fontId="6" fillId="0" borderId="0" xfId="0" applyFont="1" applyBorder="1">
      <alignment vertical="center"/>
    </xf>
    <xf numFmtId="0" fontId="6" fillId="0" borderId="23" xfId="0" applyFont="1" applyBorder="1">
      <alignment vertical="center"/>
    </xf>
    <xf numFmtId="0" fontId="6" fillId="0" borderId="24" xfId="0" applyNumberFormat="1" applyFont="1" applyBorder="1">
      <alignment vertical="center"/>
    </xf>
    <xf numFmtId="0" fontId="6" fillId="0" borderId="25" xfId="0" applyFont="1" applyBorder="1">
      <alignment vertical="center"/>
    </xf>
    <xf numFmtId="0" fontId="6" fillId="0" borderId="24" xfId="0" applyFont="1" applyBorder="1">
      <alignment vertical="center"/>
    </xf>
    <xf numFmtId="0" fontId="6" fillId="0" borderId="26" xfId="0" applyFont="1" applyBorder="1">
      <alignment vertical="center"/>
    </xf>
    <xf numFmtId="0" fontId="6" fillId="0" borderId="28" xfId="0" applyNumberFormat="1" applyFont="1" applyBorder="1" applyAlignment="1">
      <alignment horizontal="center" vertical="center"/>
    </xf>
    <xf numFmtId="14" fontId="6" fillId="0" borderId="29" xfId="0" applyNumberFormat="1" applyFont="1" applyBorder="1" applyAlignment="1">
      <alignment horizontal="center" vertical="center"/>
    </xf>
    <xf numFmtId="0" fontId="6" fillId="0" borderId="30" xfId="0" applyNumberFormat="1" applyFont="1" applyBorder="1" applyAlignment="1">
      <alignment horizontal="center" vertical="center"/>
    </xf>
    <xf numFmtId="0" fontId="6" fillId="0" borderId="6" xfId="0" applyFont="1" applyBorder="1">
      <alignment vertical="center"/>
    </xf>
    <xf numFmtId="0" fontId="6" fillId="0" borderId="8" xfId="0" applyFont="1" applyBorder="1">
      <alignment vertical="center"/>
    </xf>
    <xf numFmtId="0" fontId="9" fillId="0" borderId="18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6" fillId="0" borderId="14" xfId="0" applyFont="1" applyBorder="1">
      <alignment vertical="center"/>
    </xf>
    <xf numFmtId="0" fontId="6" fillId="0" borderId="15" xfId="0" applyFont="1" applyBorder="1">
      <alignment vertical="center"/>
    </xf>
    <xf numFmtId="0" fontId="6" fillId="0" borderId="9" xfId="0" applyFont="1" applyBorder="1">
      <alignment vertical="center"/>
    </xf>
    <xf numFmtId="0" fontId="6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5" fillId="0" borderId="0" xfId="0" applyFont="1" applyBorder="1">
      <alignment vertical="center"/>
    </xf>
    <xf numFmtId="0" fontId="6" fillId="0" borderId="22" xfId="0" applyNumberFormat="1" applyFont="1" applyBorder="1">
      <alignment vertical="center"/>
    </xf>
    <xf numFmtId="0" fontId="5" fillId="0" borderId="23" xfId="0" applyFont="1" applyBorder="1">
      <alignment vertical="center"/>
    </xf>
    <xf numFmtId="0" fontId="5" fillId="0" borderId="25" xfId="0" applyFont="1" applyBorder="1" applyAlignment="1">
      <alignment horizontal="left" vertical="center"/>
    </xf>
    <xf numFmtId="0" fontId="5" fillId="0" borderId="25" xfId="0" applyFont="1" applyBorder="1">
      <alignment vertical="center"/>
    </xf>
    <xf numFmtId="0" fontId="5" fillId="0" borderId="26" xfId="0" applyFont="1" applyBorder="1">
      <alignment vertical="center"/>
    </xf>
    <xf numFmtId="0" fontId="6" fillId="0" borderId="21" xfId="0" applyNumberFormat="1" applyFont="1" applyBorder="1" applyAlignment="1">
      <alignment horizontal="right" vertical="center"/>
    </xf>
    <xf numFmtId="0" fontId="6" fillId="0" borderId="23" xfId="0" applyNumberFormat="1" applyFont="1" applyBorder="1" applyAlignment="1">
      <alignment horizontal="right" vertical="center"/>
    </xf>
    <xf numFmtId="0" fontId="6" fillId="0" borderId="23" xfId="0" applyNumberFormat="1" applyFont="1" applyBorder="1">
      <alignment vertical="center"/>
    </xf>
    <xf numFmtId="0" fontId="6" fillId="0" borderId="25" xfId="0" applyNumberFormat="1" applyFont="1" applyBorder="1">
      <alignment vertical="center"/>
    </xf>
    <xf numFmtId="0" fontId="6" fillId="0" borderId="26" xfId="0" applyNumberFormat="1" applyFont="1" applyBorder="1">
      <alignment vertical="center"/>
    </xf>
    <xf numFmtId="0" fontId="9" fillId="0" borderId="0" xfId="0" applyNumberFormat="1" applyFont="1" applyBorder="1" applyAlignment="1">
      <alignment horizontal="center" vertical="center"/>
    </xf>
    <xf numFmtId="0" fontId="6" fillId="0" borderId="0" xfId="0" applyNumberFormat="1" applyFont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8" fillId="0" borderId="0" xfId="0" applyFont="1">
      <alignment vertical="center"/>
    </xf>
    <xf numFmtId="0" fontId="10" fillId="0" borderId="0" xfId="0" applyFont="1" applyBorder="1" applyAlignment="1">
      <alignment vertical="center"/>
    </xf>
    <xf numFmtId="0" fontId="7" fillId="5" borderId="0" xfId="0" applyFont="1" applyFill="1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8" fillId="4" borderId="16" xfId="0" applyFont="1" applyFill="1" applyBorder="1" applyAlignment="1">
      <alignment horizontal="center" vertical="center"/>
    </xf>
    <xf numFmtId="0" fontId="8" fillId="4" borderId="17" xfId="0" applyFont="1" applyFill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colors>
    <mruColors>
      <color rgb="FFCCCCFF"/>
      <color rgb="FF9999FF"/>
      <color rgb="FF969696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volatileDependencies.xml><?xml version="1.0" encoding="utf-8"?>
<volTypes xmlns="http://schemas.openxmlformats.org/spreadsheetml/2006/main">
  <volType type="realTimeData">
    <main first="infomax.xlrtd">
      <tp>
        <v>0.37009999999999998</v>
        <stp/>
        <stp>P</stp>
        <stp>0</stp>
        <stp>OPT</stp>
        <stp>201T2322</stp>
        <stp>델타</stp>
        <stp>44942</stp>
        <stp/>
        <tr r="D45" s="2"/>
      </tp>
      <tp>
        <v>0.61899999999999999</v>
        <stp/>
        <stp>P</stp>
        <stp>0</stp>
        <stp>OPT</stp>
        <stp>201T2312</stp>
        <stp>델타</stp>
        <stp>44942</stp>
        <stp/>
        <tr r="D49" s="2"/>
      </tp>
      <tp>
        <v>-0.62990000000000002</v>
        <stp/>
        <stp>P</stp>
        <stp>0</stp>
        <stp>OPT</stp>
        <stp>301T2322</stp>
        <stp>델타</stp>
        <stp>44942</stp>
        <stp/>
        <tr r="P45" s="2"/>
      </tp>
      <tp>
        <v>-0.38100000000000001</v>
        <stp/>
        <stp>P</stp>
        <stp>0</stp>
        <stp>OPT</stp>
        <stp>301T2312</stp>
        <stp>델타</stp>
        <stp>44942</stp>
        <stp/>
        <tr r="P49" s="2"/>
      </tp>
      <tp>
        <v>15.396800000000001</v>
        <stp/>
        <stp>P</stp>
        <stp>0</stp>
        <stp>OPT</stp>
        <stp>201T2325</stp>
        <stp>IV종가</stp>
        <stp>44942</stp>
        <stp/>
        <tr r="E44" s="2"/>
      </tp>
      <tp>
        <v>15.1494</v>
        <stp/>
        <stp>P</stp>
        <stp>0</stp>
        <stp>OPT</stp>
        <stp>301T2325</stp>
        <stp>IV종가</stp>
        <stp>44942</stp>
        <stp/>
        <tr r="O44" s="2"/>
      </tp>
      <tp>
        <v>15.5563</v>
        <stp/>
        <stp>P</stp>
        <stp>0</stp>
        <stp>OPT</stp>
        <stp>201T2322</stp>
        <stp>IV종가</stp>
        <stp>44942</stp>
        <stp/>
        <tr r="E45" s="2"/>
      </tp>
      <tp>
        <v>15.2446</v>
        <stp/>
        <stp>P</stp>
        <stp>0</stp>
        <stp>OPT</stp>
        <stp>301T2322</stp>
        <stp>IV종가</stp>
        <stp>44942</stp>
        <stp/>
        <tr r="O45" s="2"/>
      </tp>
      <tp>
        <v>15.5854</v>
        <stp/>
        <stp>P</stp>
        <stp>0</stp>
        <stp>OPT</stp>
        <stp>201T2320</stp>
        <stp>IV종가</stp>
        <stp>44942</stp>
        <stp/>
        <tr r="E46" s="2"/>
      </tp>
      <tp>
        <v>15.495799999999999</v>
        <stp/>
        <stp>P</stp>
        <stp>0</stp>
        <stp>OPT</stp>
        <stp>301T2320</stp>
        <stp>IV종가</stp>
        <stp>44942</stp>
        <stp/>
        <tr r="O46" s="2"/>
      </tp>
      <tp>
        <v>17.2013</v>
        <stp/>
        <stp>P</stp>
        <stp>0</stp>
        <stp>OPT</stp>
        <stp>201T2307</stp>
        <stp>IV종가</stp>
        <stp>44942</stp>
        <stp/>
        <tr r="E51" s="2"/>
      </tp>
      <tp>
        <v>16.763500000000001</v>
        <stp/>
        <stp>P</stp>
        <stp>0</stp>
        <stp>OPT</stp>
        <stp>301T2307</stp>
        <stp>IV종가</stp>
        <stp>44942</stp>
        <stp/>
        <tr r="O51" s="2"/>
      </tp>
      <tp>
        <v>17.531400000000001</v>
        <stp/>
        <stp>P</stp>
        <stp>0</stp>
        <stp>OPT</stp>
        <stp>201T2305</stp>
        <stp>IV종가</stp>
        <stp>44942</stp>
        <stp/>
        <tr r="E52" s="2"/>
      </tp>
      <tp>
        <v>16.953399999999998</v>
        <stp/>
        <stp>P</stp>
        <stp>0</stp>
        <stp>OPT</stp>
        <stp>301T2305</stp>
        <stp>IV종가</stp>
        <stp>44942</stp>
        <stp/>
        <tr r="O52" s="2"/>
      </tp>
      <tp>
        <v>15.744400000000001</v>
        <stp/>
        <stp>P</stp>
        <stp>0</stp>
        <stp>OPT</stp>
        <stp>201T2317</stp>
        <stp>IV종가</stp>
        <stp>44942</stp>
        <stp/>
        <tr r="E47" s="2"/>
      </tp>
      <tp>
        <v>15.699299999999999</v>
        <stp/>
        <stp>P</stp>
        <stp>0</stp>
        <stp>OPT</stp>
        <stp>301T2317</stp>
        <stp>IV종가</stp>
        <stp>44942</stp>
        <stp/>
        <tr r="O47" s="2"/>
      </tp>
      <tp>
        <v>16.017199999999999</v>
        <stp/>
        <stp>P</stp>
        <stp>0</stp>
        <stp>OPT</stp>
        <stp>201T2315</stp>
        <stp>IV종가</stp>
        <stp>44942</stp>
        <stp/>
        <tr r="E48" s="2"/>
      </tp>
      <tp>
        <v>15.888999999999999</v>
        <stp/>
        <stp>P</stp>
        <stp>0</stp>
        <stp>OPT</stp>
        <stp>301T2315</stp>
        <stp>IV종가</stp>
        <stp>44942</stp>
        <stp/>
        <tr r="O48" s="2"/>
      </tp>
      <tp>
        <v>16.3062</v>
        <stp/>
        <stp>P</stp>
        <stp>0</stp>
        <stp>OPT</stp>
        <stp>201T2312</stp>
        <stp>IV종가</stp>
        <stp>44942</stp>
        <stp/>
        <tr r="E49" s="2"/>
      </tp>
      <tp>
        <v>16.117699999999999</v>
        <stp/>
        <stp>P</stp>
        <stp>0</stp>
        <stp>OPT</stp>
        <stp>301T2312</stp>
        <stp>IV종가</stp>
        <stp>44942</stp>
        <stp/>
        <tr r="O49" s="2"/>
      </tp>
      <tp>
        <v>16.524999999999999</v>
        <stp/>
        <stp>P</stp>
        <stp>0</stp>
        <stp>OPT</stp>
        <stp>201T2310</stp>
        <stp>IV종가</stp>
        <stp>44942</stp>
        <stp/>
        <tr r="E50" s="2"/>
      </tp>
      <tp>
        <v>16.333200000000001</v>
        <stp/>
        <stp>P</stp>
        <stp>0</stp>
        <stp>OPT</stp>
        <stp>301T2310</stp>
        <stp>IV종가</stp>
        <stp>44942</stp>
        <stp/>
        <tr r="O50" s="2"/>
      </tp>
      <tp>
        <v>0.43059999999999998</v>
        <stp/>
        <stp>P</stp>
        <stp>0</stp>
        <stp>OPT</stp>
        <stp>201T2320</stp>
        <stp>델타</stp>
        <stp>44942</stp>
        <stp/>
        <tr r="D46" s="2"/>
      </tp>
      <tp>
        <v>0.67889999999999995</v>
        <stp/>
        <stp>P</stp>
        <stp>0</stp>
        <stp>OPT</stp>
        <stp>201T2310</stp>
        <stp>델타</stp>
        <stp>44942</stp>
        <stp/>
        <tr r="D50" s="2"/>
      </tp>
      <tp>
        <v>-0.56940000000000002</v>
        <stp/>
        <stp>P</stp>
        <stp>0</stp>
        <stp>OPT</stp>
        <stp>301T2320</stp>
        <stp>델타</stp>
        <stp>44942</stp>
        <stp/>
        <tr r="P46" s="2"/>
      </tp>
      <tp>
        <v>-0.3211</v>
        <stp/>
        <stp>P</stp>
        <stp>0</stp>
        <stp>OPT</stp>
        <stp>301T2310</stp>
        <stp>델타</stp>
        <stp>44942</stp>
        <stp/>
        <tr r="P50" s="2"/>
      </tp>
      <tp>
        <v>0.49330000000000002</v>
        <stp/>
        <stp>P</stp>
        <stp>0</stp>
        <stp>OPT</stp>
        <stp>201T2317</stp>
        <stp>델타</stp>
        <stp>44942</stp>
        <stp/>
        <tr r="D47" s="2"/>
      </tp>
      <tp>
        <v>0.7349</v>
        <stp/>
        <stp>P</stp>
        <stp>0</stp>
        <stp>OPT</stp>
        <stp>201T2307</stp>
        <stp>델타</stp>
        <stp>44942</stp>
        <stp/>
        <tr r="D51" s="2"/>
      </tp>
      <tp>
        <v>-0.50670000000000004</v>
        <stp/>
        <stp>P</stp>
        <stp>0</stp>
        <stp>OPT</stp>
        <stp>301T2317</stp>
        <stp>델타</stp>
        <stp>44942</stp>
        <stp/>
        <tr r="P47" s="2"/>
      </tp>
      <tp>
        <v>-0.2651</v>
        <stp/>
        <stp>P</stp>
        <stp>0</stp>
        <stp>OPT</stp>
        <stp>301T2307</stp>
        <stp>델타</stp>
        <stp>44942</stp>
        <stp/>
        <tr r="P51" s="2"/>
      </tp>
      <tp>
        <v>0.31309999999999999</v>
        <stp/>
        <stp>P</stp>
        <stp>0</stp>
        <stp>OPT</stp>
        <stp>201T2325</stp>
        <stp>델타</stp>
        <stp>44942</stp>
        <stp/>
        <tr r="D44" s="2"/>
      </tp>
      <tp>
        <v>0.55659999999999998</v>
        <stp/>
        <stp>P</stp>
        <stp>0</stp>
        <stp>OPT</stp>
        <stp>201T2315</stp>
        <stp>델타</stp>
        <stp>44942</stp>
        <stp/>
        <tr r="D48" s="2"/>
      </tp>
      <tp>
        <v>0.78590000000000004</v>
        <stp/>
        <stp>P</stp>
        <stp>0</stp>
        <stp>OPT</stp>
        <stp>201T2305</stp>
        <stp>델타</stp>
        <stp>44942</stp>
        <stp/>
        <tr r="D52" s="2"/>
      </tp>
      <tp>
        <v>-0.68689999999999996</v>
        <stp/>
        <stp>P</stp>
        <stp>0</stp>
        <stp>OPT</stp>
        <stp>301T2325</stp>
        <stp>델타</stp>
        <stp>44942</stp>
        <stp/>
        <tr r="P44" s="2"/>
      </tp>
      <tp>
        <v>-0.44340000000000002</v>
        <stp/>
        <stp>P</stp>
        <stp>0</stp>
        <stp>OPT</stp>
        <stp>301T2315</stp>
        <stp>델타</stp>
        <stp>44942</stp>
        <stp/>
        <tr r="P48" s="2"/>
      </tp>
      <tp>
        <v>-0.21410000000000001</v>
        <stp/>
        <stp>P</stp>
        <stp>0</stp>
        <stp>OPT</stp>
        <stp>301T2305</stp>
        <stp>델타</stp>
        <stp>44942</stp>
        <stp/>
        <tr r="P52" s="2"/>
      </tp>
      <tp>
        <v>-60</v>
        <stp/>
        <stp>P</stp>
        <stp>0</stp>
        <stp>OPT</stp>
        <stp>201T2320</stp>
        <stp>미결제증감</stp>
        <stp>44942</stp>
        <stp/>
        <tr r="F46" s="2"/>
      </tp>
      <tp>
        <v>482</v>
        <stp/>
        <stp>P</stp>
        <stp>0</stp>
        <stp>OPT</stp>
        <stp>301T2320</stp>
        <stp>미결제증감</stp>
        <stp>44942</stp>
        <stp/>
        <tr r="N46" s="2"/>
      </tp>
      <tp>
        <v>696</v>
        <stp/>
        <stp>P</stp>
        <stp>0</stp>
        <stp>OPT</stp>
        <stp>201T2322</stp>
        <stp>미결제증감</stp>
        <stp>44942</stp>
        <stp/>
        <tr r="F45" s="2"/>
      </tp>
      <tp>
        <v>255</v>
        <stp/>
        <stp>P</stp>
        <stp>0</stp>
        <stp>OPT</stp>
        <stp>301T2322</stp>
        <stp>미결제증감</stp>
        <stp>44942</stp>
        <stp/>
        <tr r="N45" s="2"/>
      </tp>
      <tp>
        <v>2744</v>
        <stp/>
        <stp>P</stp>
        <stp>0</stp>
        <stp>OPT</stp>
        <stp>201T2325</stp>
        <stp>미결제증감</stp>
        <stp>44942</stp>
        <stp/>
        <tr r="F44" s="2"/>
      </tp>
      <tp>
        <v>217</v>
        <stp/>
        <stp>P</stp>
        <stp>0</stp>
        <stp>OPT</stp>
        <stp>301T2325</stp>
        <stp>미결제증감</stp>
        <stp>44942</stp>
        <stp/>
        <tr r="N44" s="2"/>
      </tp>
      <tp>
        <v>20005</v>
        <stp/>
        <stp>P</stp>
        <stp>0</stp>
        <stp>OPT</stp>
        <stp>201T2325</stp>
        <stp>미결제약정</stp>
        <stp>44942</stp>
        <stp/>
        <tr r="G44" s="2"/>
      </tp>
      <tp>
        <v>486</v>
        <stp/>
        <stp>P</stp>
        <stp>0</stp>
        <stp>OPT</stp>
        <stp>301T2325</stp>
        <stp>미결제약정</stp>
        <stp>44942</stp>
        <stp/>
        <tr r="M44" s="2"/>
      </tp>
      <tp>
        <v>17111</v>
        <stp/>
        <stp>P</stp>
        <stp>0</stp>
        <stp>OPT</stp>
        <stp>201T2320</stp>
        <stp>미결제약정</stp>
        <stp>44942</stp>
        <stp/>
        <tr r="G46" s="2"/>
      </tp>
      <tp>
        <v>1692</v>
        <stp/>
        <stp>P</stp>
        <stp>0</stp>
        <stp>OPT</stp>
        <stp>301T2320</stp>
        <stp>미결제약정</stp>
        <stp>44942</stp>
        <stp/>
        <tr r="M46" s="2"/>
      </tp>
      <tp>
        <v>12642</v>
        <stp/>
        <stp>P</stp>
        <stp>0</stp>
        <stp>OPT</stp>
        <stp>201T2322</stp>
        <stp>미결제약정</stp>
        <stp>44942</stp>
        <stp/>
        <tr r="G45" s="2"/>
      </tp>
      <tp>
        <v>441</v>
        <stp/>
        <stp>P</stp>
        <stp>0</stp>
        <stp>OPT</stp>
        <stp>301T2322</stp>
        <stp>미결제약정</stp>
        <stp>44942</stp>
        <stp/>
        <tr r="M45" s="2"/>
      </tp>
      <tp>
        <v>84</v>
        <stp/>
        <stp>P</stp>
        <stp>0</stp>
        <stp>OPT</stp>
        <stp>201T2310</stp>
        <stp>미결제증감</stp>
        <stp>44942</stp>
        <stp/>
        <tr r="F50" s="2"/>
      </tp>
      <tp>
        <v>2573</v>
        <stp/>
        <stp>P</stp>
        <stp>0</stp>
        <stp>OPT</stp>
        <stp>301T2310</stp>
        <stp>미결제증감</stp>
        <stp>44942</stp>
        <stp/>
        <tr r="N50" s="2"/>
      </tp>
      <tp>
        <v>151</v>
        <stp/>
        <stp>P</stp>
        <stp>0</stp>
        <stp>OPT</stp>
        <stp>201T2312</stp>
        <stp>미결제증감</stp>
        <stp>44942</stp>
        <stp/>
        <tr r="F49" s="2"/>
      </tp>
      <tp>
        <v>333</v>
        <stp/>
        <stp>P</stp>
        <stp>0</stp>
        <stp>OPT</stp>
        <stp>301T2312</stp>
        <stp>미결제증감</stp>
        <stp>44942</stp>
        <stp/>
        <tr r="N49" s="2"/>
      </tp>
      <tp>
        <v>66</v>
        <stp/>
        <stp>P</stp>
        <stp>0</stp>
        <stp>OPT</stp>
        <stp>201T2315</stp>
        <stp>미결제증감</stp>
        <stp>44942</stp>
        <stp/>
        <tr r="F48" s="2"/>
      </tp>
      <tp>
        <v>849</v>
        <stp/>
        <stp>P</stp>
        <stp>0</stp>
        <stp>OPT</stp>
        <stp>301T2315</stp>
        <stp>미결제증감</stp>
        <stp>44942</stp>
        <stp/>
        <tr r="N48" s="2"/>
      </tp>
      <tp>
        <v>471</v>
        <stp/>
        <stp>P</stp>
        <stp>0</stp>
        <stp>OPT</stp>
        <stp>201T2317</stp>
        <stp>미결제증감</stp>
        <stp>44942</stp>
        <stp/>
        <tr r="F47" s="2"/>
      </tp>
      <tp>
        <v>1169</v>
        <stp/>
        <stp>P</stp>
        <stp>0</stp>
        <stp>OPT</stp>
        <stp>301T2317</stp>
        <stp>미결제증감</stp>
        <stp>44942</stp>
        <stp/>
        <tr r="N47" s="2"/>
      </tp>
      <tp>
        <v>11093</v>
        <stp/>
        <stp>P</stp>
        <stp>0</stp>
        <stp>OPT</stp>
        <stp>201T2315</stp>
        <stp>미결제약정</stp>
        <stp>44942</stp>
        <stp/>
        <tr r="G48" s="2"/>
      </tp>
      <tp>
        <v>3522</v>
        <stp/>
        <stp>P</stp>
        <stp>0</stp>
        <stp>OPT</stp>
        <stp>301T2315</stp>
        <stp>미결제약정</stp>
        <stp>44942</stp>
        <stp/>
        <tr r="M48" s="2"/>
      </tp>
      <tp>
        <v>7259</v>
        <stp/>
        <stp>P</stp>
        <stp>0</stp>
        <stp>OPT</stp>
        <stp>201T2317</stp>
        <stp>미결제약정</stp>
        <stp>44942</stp>
        <stp/>
        <tr r="G47" s="2"/>
      </tp>
      <tp>
        <v>2192</v>
        <stp/>
        <stp>P</stp>
        <stp>0</stp>
        <stp>OPT</stp>
        <stp>301T2317</stp>
        <stp>미결제약정</stp>
        <stp>44942</stp>
        <stp/>
        <tr r="M47" s="2"/>
      </tp>
      <tp>
        <v>7510</v>
        <stp/>
        <stp>P</stp>
        <stp>0</stp>
        <stp>OPT</stp>
        <stp>201T2310</stp>
        <stp>미결제약정</stp>
        <stp>44942</stp>
        <stp/>
        <tr r="G50" s="2"/>
      </tp>
      <tp>
        <v>11327</v>
        <stp/>
        <stp>P</stp>
        <stp>0</stp>
        <stp>OPT</stp>
        <stp>301T2310</stp>
        <stp>미결제약정</stp>
        <stp>44942</stp>
        <stp/>
        <tr r="M50" s="2"/>
      </tp>
      <tp>
        <v>11329</v>
        <stp/>
        <stp>P</stp>
        <stp>0</stp>
        <stp>OPT</stp>
        <stp>201T2312</stp>
        <stp>미결제약정</stp>
        <stp>44942</stp>
        <stp/>
        <tr r="G49" s="2"/>
      </tp>
      <tp>
        <v>8889</v>
        <stp/>
        <stp>P</stp>
        <stp>0</stp>
        <stp>OPT</stp>
        <stp>301T2312</stp>
        <stp>미결제약정</stp>
        <stp>44942</stp>
        <stp/>
        <tr r="M49" s="2"/>
      </tp>
      <tp>
        <v>-15</v>
        <stp/>
        <stp>P</stp>
        <stp>0</stp>
        <stp>OPT</stp>
        <stp>201T2305</stp>
        <stp>미결제증감</stp>
        <stp>44942</stp>
        <stp/>
        <tr r="F52" s="2"/>
      </tp>
      <tp>
        <v>2841</v>
        <stp/>
        <stp>P</stp>
        <stp>0</stp>
        <stp>OPT</stp>
        <stp>301T2305</stp>
        <stp>미결제증감</stp>
        <stp>44942</stp>
        <stp/>
        <tr r="N52" s="2"/>
      </tp>
      <tp>
        <v>-41</v>
        <stp/>
        <stp>P</stp>
        <stp>0</stp>
        <stp>OPT</stp>
        <stp>201T2307</stp>
        <stp>미결제증감</stp>
        <stp>44942</stp>
        <stp/>
        <tr r="F51" s="2"/>
      </tp>
      <tp>
        <v>1742</v>
        <stp/>
        <stp>P</stp>
        <stp>0</stp>
        <stp>OPT</stp>
        <stp>301T2307</stp>
        <stp>미결제증감</stp>
        <stp>44942</stp>
        <stp/>
        <tr r="N51" s="2"/>
      </tp>
      <tp>
        <v>4567</v>
        <stp/>
        <stp>P</stp>
        <stp>0</stp>
        <stp>OPT</stp>
        <stp>201T2305</stp>
        <stp>미결제약정</stp>
        <stp>44942</stp>
        <stp/>
        <tr r="G52" s="2"/>
      </tp>
      <tp>
        <v>10739</v>
        <stp/>
        <stp>P</stp>
        <stp>0</stp>
        <stp>OPT</stp>
        <stp>301T2305</stp>
        <stp>미결제약정</stp>
        <stp>44942</stp>
        <stp/>
        <tr r="M52" s="2"/>
      </tp>
      <tp>
        <v>4188</v>
        <stp/>
        <stp>P</stp>
        <stp>0</stp>
        <stp>OPT</stp>
        <stp>201T2307</stp>
        <stp>미결제약정</stp>
        <stp>44942</stp>
        <stp/>
        <tr r="G51" s="2"/>
      </tp>
      <tp>
        <v>8029</v>
        <stp/>
        <stp>P</stp>
        <stp>0</stp>
        <stp>OPT</stp>
        <stp>301T2307</stp>
        <stp>미결제약정</stp>
        <stp>44942</stp>
        <stp/>
        <tr r="M51" s="2"/>
      </tp>
      <tp>
        <v>0</v>
        <stp/>
        <stp>H</stp>
        <stp>x5.rSYC</stp>
        <stp>906</stp>
        <stp>8853810</stp>
        <tr r="Z31" s="2"/>
      </tp>
      <tp>
        <v>0</v>
        <stp/>
        <stp>H</stp>
        <stp>x4.rSYC</stp>
        <stp>905</stp>
        <stp>8853810</stp>
        <tr r="U19" s="2"/>
      </tp>
      <tp>
        <v>0</v>
        <stp/>
        <stp>H</stp>
        <stp>x7.rSYC</stp>
        <stp>908</stp>
        <stp>8853810</stp>
        <tr r="AK119" s="2"/>
      </tp>
      <tp>
        <v>0</v>
        <stp/>
        <stp>H</stp>
        <stp>x6.rSYC</stp>
        <stp>907</stp>
        <stp>8853810</stp>
        <tr r="AK117" s="2"/>
      </tp>
      <tp>
        <v>0</v>
        <stp/>
        <stp>H</stp>
        <stp>x1.rSYC</stp>
        <stp>902</stp>
        <stp>8853810</stp>
        <tr r="U23" s="2"/>
      </tp>
      <tp>
        <v>0</v>
        <stp/>
        <stp>H</stp>
        <stp>x3.rSYC</stp>
        <stp>904</stp>
        <stp>8853810</stp>
        <tr r="U5" s="2"/>
      </tp>
      <tp>
        <v>0</v>
        <stp/>
        <stp>H</stp>
        <stp>x2.rSYC</stp>
        <stp>903</stp>
        <stp>8853810</stp>
        <tr r="Y31" s="2"/>
      </tp>
      <tp>
        <v>-19.899999999999999</v>
        <stp/>
        <stp>P</stp>
        <stp>0</stp>
        <stp>OPT</stp>
        <stp>301T2322</stp>
        <stp>등락률</stp>
        <stp>44942</stp>
        <stp/>
        <tr r="L45" s="2"/>
      </tp>
      <tp>
        <v>-21.58</v>
        <stp/>
        <stp>P</stp>
        <stp>0</stp>
        <stp>OPT</stp>
        <stp>301T2320</stp>
        <stp>등락률</stp>
        <stp>44942</stp>
        <stp/>
        <tr r="L46" s="2"/>
      </tp>
      <tp>
        <v>-18.95</v>
        <stp/>
        <stp>P</stp>
        <stp>0</stp>
        <stp>OPT</stp>
        <stp>301T2325</stp>
        <stp>등락률</stp>
        <stp>44942</stp>
        <stp/>
        <tr r="L44" s="2"/>
      </tp>
      <tp>
        <v>-33.1</v>
        <stp/>
        <stp>P</stp>
        <stp>0</stp>
        <stp>OPT</stp>
        <stp>301T2307</stp>
        <stp>등락률</stp>
        <stp>44942</stp>
        <stp/>
        <tr r="L51" s="2"/>
      </tp>
      <tp>
        <v>-35.32</v>
        <stp/>
        <stp>P</stp>
        <stp>0</stp>
        <stp>OPT</stp>
        <stp>301T2305</stp>
        <stp>등락률</stp>
        <stp>44942</stp>
        <stp/>
        <tr r="L52" s="2"/>
      </tp>
      <tp>
        <v>-30.15</v>
        <stp/>
        <stp>P</stp>
        <stp>0</stp>
        <stp>OPT</stp>
        <stp>301T2312</stp>
        <stp>등락률</stp>
        <stp>44942</stp>
        <stp/>
        <tr r="L49" s="2"/>
      </tp>
      <tp>
        <v>-32.07</v>
        <stp/>
        <stp>P</stp>
        <stp>0</stp>
        <stp>OPT</stp>
        <stp>301T2310</stp>
        <stp>등락률</stp>
        <stp>44942</stp>
        <stp/>
        <tr r="L50" s="2"/>
      </tp>
      <tp>
        <v>-23.7</v>
        <stp/>
        <stp>P</stp>
        <stp>0</stp>
        <stp>OPT</stp>
        <stp>301T2317</stp>
        <stp>등락률</stp>
        <stp>44942</stp>
        <stp/>
        <tr r="L47" s="2"/>
      </tp>
      <tp>
        <v>-26.22</v>
        <stp/>
        <stp>P</stp>
        <stp>0</stp>
        <stp>OPT</stp>
        <stp>301T2315</stp>
        <stp>등락률</stp>
        <stp>44942</stp>
        <stp/>
        <tr r="L48" s="2"/>
      </tp>
      <tp>
        <v>17.600000000000001</v>
        <stp/>
        <stp>P</stp>
        <stp>0</stp>
        <stp>OPT</stp>
        <stp>201T2322</stp>
        <stp>등락률</stp>
        <stp>44942</stp>
        <stp/>
        <tr r="H45" s="2"/>
      </tp>
      <tp>
        <v>15.92</v>
        <stp/>
        <stp>P</stp>
        <stp>0</stp>
        <stp>OPT</stp>
        <stp>201T2320</stp>
        <stp>등락률</stp>
        <stp>44942</stp>
        <stp/>
        <tr r="H46" s="2"/>
      </tp>
      <tp>
        <v>15.79</v>
        <stp/>
        <stp>P</stp>
        <stp>0</stp>
        <stp>OPT</stp>
        <stp>201T2325</stp>
        <stp>등락률</stp>
        <stp>44942</stp>
        <stp/>
        <tr r="H44" s="2"/>
      </tp>
      <tp>
        <v>15.58</v>
        <stp/>
        <stp>P</stp>
        <stp>0</stp>
        <stp>OPT</stp>
        <stp>201T2307</stp>
        <stp>등락률</stp>
        <stp>44942</stp>
        <stp/>
        <tr r="H51" s="2"/>
      </tp>
      <tp>
        <v>16.59</v>
        <stp/>
        <stp>P</stp>
        <stp>0</stp>
        <stp>OPT</stp>
        <stp>201T2305</stp>
        <stp>등락률</stp>
        <stp>44942</stp>
        <stp/>
        <tr r="H52" s="2"/>
      </tp>
      <tp>
        <v>17.07</v>
        <stp/>
        <stp>P</stp>
        <stp>0</stp>
        <stp>OPT</stp>
        <stp>201T2312</stp>
        <stp>등락률</stp>
        <stp>44942</stp>
        <stp/>
        <tr r="H49" s="2"/>
      </tp>
      <tp>
        <v>16.52</v>
        <stp/>
        <stp>P</stp>
        <stp>0</stp>
        <stp>OPT</stp>
        <stp>201T2310</stp>
        <stp>등락률</stp>
        <stp>44942</stp>
        <stp/>
        <tr r="H50" s="2"/>
      </tp>
      <tp>
        <v>17.489999999999998</v>
        <stp/>
        <stp>P</stp>
        <stp>0</stp>
        <stp>OPT</stp>
        <stp>201T2317</stp>
        <stp>등락률</stp>
        <stp>44942</stp>
        <stp/>
        <tr r="H47" s="2"/>
      </tp>
      <tp>
        <v>17.66</v>
        <stp/>
        <stp>P</stp>
        <stp>0</stp>
        <stp>OPT</stp>
        <stp>201T2315</stp>
        <stp>등락률</stp>
        <stp>44942</stp>
        <stp/>
        <tr r="H48" s="2"/>
      </tp>
      <tp t="s">
        <v/>
        <stp/>
        <stp>P</stp>
        <stp>0</stp>
        <stp>OPT</stp>
        <stp>201T1265</stp>
        <stp>현재가</stp>
        <stp>44942</stp>
        <stp/>
        <tr r="AR31" s="2"/>
      </tp>
      <tp>
        <v>8.2899999999999991</v>
        <stp/>
        <stp>P</stp>
        <stp>0</stp>
        <stp>OPT</stp>
        <stp>301T2322</stp>
        <stp>현재가</stp>
        <stp>44942</stp>
        <stp/>
        <tr r="K45" s="2"/>
      </tp>
      <tp>
        <v>6.76</v>
        <stp/>
        <stp>P</stp>
        <stp>0</stp>
        <stp>OPT</stp>
        <stp>301T2320</stp>
        <stp>현재가</stp>
        <stp>44942</stp>
        <stp/>
        <tr r="K46" s="2"/>
      </tp>
      <tp>
        <v>10.050000000000001</v>
        <stp/>
        <stp>P</stp>
        <stp>0</stp>
        <stp>OPT</stp>
        <stp>301T2325</stp>
        <stp>현재가</stp>
        <stp>44942</stp>
        <stp/>
        <tr r="K44" s="2"/>
      </tp>
      <tp>
        <v>1.92</v>
        <stp/>
        <stp>P</stp>
        <stp>0</stp>
        <stp>OPT</stp>
        <stp>301T2307</stp>
        <stp>현재가</stp>
        <stp>44942</stp>
        <stp/>
        <tr r="K51" s="2"/>
      </tp>
      <tp>
        <v>1.41</v>
        <stp/>
        <stp>P</stp>
        <stp>0</stp>
        <stp>OPT</stp>
        <stp>301T2305</stp>
        <stp>현재가</stp>
        <stp>44942</stp>
        <stp/>
        <tr r="K52" s="2"/>
      </tp>
      <tp>
        <v>3.29</v>
        <stp/>
        <stp>P</stp>
        <stp>0</stp>
        <stp>OPT</stp>
        <stp>301T2312</stp>
        <stp>현재가</stp>
        <stp>44942</stp>
        <stp/>
        <tr r="K49" s="2"/>
      </tp>
      <tp>
        <v>2.5</v>
        <stp/>
        <stp>P</stp>
        <stp>0</stp>
        <stp>OPT</stp>
        <stp>301T2310</stp>
        <stp>현재가</stp>
        <stp>44942</stp>
        <stp/>
        <tr r="K50" s="2"/>
      </tp>
      <tp>
        <v>5.41</v>
        <stp/>
        <stp>P</stp>
        <stp>0</stp>
        <stp>OPT</stp>
        <stp>301T2317</stp>
        <stp>현재가</stp>
        <stp>44942</stp>
        <stp/>
        <tr r="K47" s="2"/>
      </tp>
      <tp>
        <v>4.25</v>
        <stp/>
        <stp>P</stp>
        <stp>0</stp>
        <stp>OPT</stp>
        <stp>301T2315</stp>
        <stp>현재가</stp>
        <stp>44942</stp>
        <stp/>
        <tr r="K48" s="2"/>
      </tp>
      <tp>
        <v>2.74</v>
        <stp/>
        <stp>P</stp>
        <stp>0</stp>
        <stp>OPT</stp>
        <stp>201T2322</stp>
        <stp>현재가</stp>
        <stp>44942</stp>
        <stp/>
        <tr r="I45" s="2"/>
      </tp>
      <tp>
        <v>3.64</v>
        <stp/>
        <stp>P</stp>
        <stp>0</stp>
        <stp>OPT</stp>
        <stp>201T2320</stp>
        <stp>현재가</stp>
        <stp>44942</stp>
        <stp/>
        <tr r="I46" s="2"/>
      </tp>
      <tp>
        <v>1.98</v>
        <stp/>
        <stp>P</stp>
        <stp>0</stp>
        <stp>OPT</stp>
        <stp>201T2325</stp>
        <stp>현재가</stp>
        <stp>44942</stp>
        <stp/>
        <tr r="I44" s="2"/>
      </tp>
      <tp>
        <v>11.35</v>
        <stp/>
        <stp>P</stp>
        <stp>0</stp>
        <stp>OPT</stp>
        <stp>201T2307</stp>
        <stp>현재가</stp>
        <stp>44942</stp>
        <stp/>
        <tr r="I51" s="2"/>
      </tp>
      <tp>
        <v>13.35</v>
        <stp/>
        <stp>P</stp>
        <stp>0</stp>
        <stp>OPT</stp>
        <stp>201T2305</stp>
        <stp>현재가</stp>
        <stp>44942</stp>
        <stp/>
        <tr r="I52" s="2"/>
      </tp>
      <tp>
        <v>7.68</v>
        <stp/>
        <stp>P</stp>
        <stp>0</stp>
        <stp>OPT</stp>
        <stp>201T2312</stp>
        <stp>현재가</stp>
        <stp>44942</stp>
        <stp/>
        <tr r="I49" s="2"/>
      </tp>
      <tp>
        <v>9.3800000000000008</v>
        <stp/>
        <stp>P</stp>
        <stp>0</stp>
        <stp>OPT</stp>
        <stp>201T2310</stp>
        <stp>현재가</stp>
        <stp>44942</stp>
        <stp/>
        <tr r="I50" s="2"/>
      </tp>
      <tp>
        <v>4.7699999999999996</v>
        <stp/>
        <stp>P</stp>
        <stp>0</stp>
        <stp>OPT</stp>
        <stp>201T2317</stp>
        <stp>현재가</stp>
        <stp>44942</stp>
        <stp/>
        <tr r="I47" s="2"/>
      </tp>
      <tp>
        <v>6.13</v>
        <stp/>
        <stp>P</stp>
        <stp>0</stp>
        <stp>OPT</stp>
        <stp>201T2315</stp>
        <stp>현재가</stp>
        <stp>44942</stp>
        <stp/>
        <tr r="I48" s="2"/>
      </tp>
      <tp>
        <v>317.7</v>
        <stp/>
        <stp>P</stp>
        <stp>0</stp>
        <stp>FUT</stp>
        <stp>101T3000</stp>
        <stp>현재가</stp>
        <stp>44942</stp>
        <stp/>
        <tr r="AD2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ko-KR" altLang="en-US"/>
              <a:t>베이시스 갭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베이시스갭</c:v>
          </c:tx>
          <c:spPr>
            <a:ln w="12700"/>
          </c:spPr>
          <c:marker>
            <c:symbol val="none"/>
          </c:marker>
          <c:cat>
            <c:numRef>
              <c:f>'KOSPI200 선물옵션'!$W$24:$JK$24</c:f>
              <c:numCache>
                <c:formatCode>m/d/yyyy</c:formatCode>
                <c:ptCount val="249"/>
                <c:pt idx="0">
                  <c:v>44939</c:v>
                </c:pt>
                <c:pt idx="1">
                  <c:v>44938</c:v>
                </c:pt>
                <c:pt idx="2">
                  <c:v>44937</c:v>
                </c:pt>
                <c:pt idx="3">
                  <c:v>44936</c:v>
                </c:pt>
                <c:pt idx="4">
                  <c:v>44935</c:v>
                </c:pt>
                <c:pt idx="5">
                  <c:v>44932</c:v>
                </c:pt>
                <c:pt idx="6">
                  <c:v>44931</c:v>
                </c:pt>
                <c:pt idx="7">
                  <c:v>44930</c:v>
                </c:pt>
                <c:pt idx="8">
                  <c:v>44929</c:v>
                </c:pt>
                <c:pt idx="9">
                  <c:v>44928</c:v>
                </c:pt>
                <c:pt idx="10">
                  <c:v>44924</c:v>
                </c:pt>
                <c:pt idx="11">
                  <c:v>44923</c:v>
                </c:pt>
                <c:pt idx="12">
                  <c:v>44922</c:v>
                </c:pt>
                <c:pt idx="13">
                  <c:v>44921</c:v>
                </c:pt>
                <c:pt idx="14">
                  <c:v>44918</c:v>
                </c:pt>
                <c:pt idx="15">
                  <c:v>44917</c:v>
                </c:pt>
                <c:pt idx="16">
                  <c:v>44916</c:v>
                </c:pt>
                <c:pt idx="17">
                  <c:v>44915</c:v>
                </c:pt>
                <c:pt idx="18">
                  <c:v>44914</c:v>
                </c:pt>
                <c:pt idx="19">
                  <c:v>44911</c:v>
                </c:pt>
                <c:pt idx="20">
                  <c:v>44910</c:v>
                </c:pt>
                <c:pt idx="21">
                  <c:v>44909</c:v>
                </c:pt>
                <c:pt idx="22">
                  <c:v>44908</c:v>
                </c:pt>
                <c:pt idx="23">
                  <c:v>44907</c:v>
                </c:pt>
                <c:pt idx="24">
                  <c:v>44904</c:v>
                </c:pt>
                <c:pt idx="25">
                  <c:v>44903</c:v>
                </c:pt>
                <c:pt idx="26">
                  <c:v>44902</c:v>
                </c:pt>
                <c:pt idx="27">
                  <c:v>44901</c:v>
                </c:pt>
                <c:pt idx="28">
                  <c:v>44900</c:v>
                </c:pt>
                <c:pt idx="29">
                  <c:v>44897</c:v>
                </c:pt>
                <c:pt idx="30">
                  <c:v>44896</c:v>
                </c:pt>
                <c:pt idx="31">
                  <c:v>44895</c:v>
                </c:pt>
                <c:pt idx="32">
                  <c:v>44894</c:v>
                </c:pt>
                <c:pt idx="33">
                  <c:v>44893</c:v>
                </c:pt>
                <c:pt idx="34">
                  <c:v>44890</c:v>
                </c:pt>
                <c:pt idx="35">
                  <c:v>44889</c:v>
                </c:pt>
                <c:pt idx="36">
                  <c:v>44888</c:v>
                </c:pt>
                <c:pt idx="37">
                  <c:v>44887</c:v>
                </c:pt>
                <c:pt idx="38">
                  <c:v>44886</c:v>
                </c:pt>
                <c:pt idx="39">
                  <c:v>44883</c:v>
                </c:pt>
                <c:pt idx="40">
                  <c:v>44882</c:v>
                </c:pt>
                <c:pt idx="41">
                  <c:v>44881</c:v>
                </c:pt>
                <c:pt idx="42">
                  <c:v>44880</c:v>
                </c:pt>
                <c:pt idx="43">
                  <c:v>44879</c:v>
                </c:pt>
                <c:pt idx="44">
                  <c:v>44876</c:v>
                </c:pt>
                <c:pt idx="45">
                  <c:v>44875</c:v>
                </c:pt>
                <c:pt idx="46">
                  <c:v>44874</c:v>
                </c:pt>
                <c:pt idx="47">
                  <c:v>44873</c:v>
                </c:pt>
                <c:pt idx="48">
                  <c:v>44872</c:v>
                </c:pt>
                <c:pt idx="49">
                  <c:v>44869</c:v>
                </c:pt>
                <c:pt idx="50">
                  <c:v>44868</c:v>
                </c:pt>
                <c:pt idx="51">
                  <c:v>44867</c:v>
                </c:pt>
                <c:pt idx="52">
                  <c:v>44866</c:v>
                </c:pt>
                <c:pt idx="53">
                  <c:v>44865</c:v>
                </c:pt>
                <c:pt idx="54">
                  <c:v>44862</c:v>
                </c:pt>
                <c:pt idx="55">
                  <c:v>44861</c:v>
                </c:pt>
                <c:pt idx="56">
                  <c:v>44860</c:v>
                </c:pt>
                <c:pt idx="57">
                  <c:v>44859</c:v>
                </c:pt>
                <c:pt idx="58">
                  <c:v>44858</c:v>
                </c:pt>
                <c:pt idx="59">
                  <c:v>44855</c:v>
                </c:pt>
                <c:pt idx="60">
                  <c:v>44854</c:v>
                </c:pt>
                <c:pt idx="61">
                  <c:v>44853</c:v>
                </c:pt>
                <c:pt idx="62">
                  <c:v>44852</c:v>
                </c:pt>
                <c:pt idx="63">
                  <c:v>44851</c:v>
                </c:pt>
                <c:pt idx="64">
                  <c:v>44848</c:v>
                </c:pt>
                <c:pt idx="65">
                  <c:v>44847</c:v>
                </c:pt>
                <c:pt idx="66">
                  <c:v>44846</c:v>
                </c:pt>
                <c:pt idx="67">
                  <c:v>44845</c:v>
                </c:pt>
                <c:pt idx="68">
                  <c:v>44841</c:v>
                </c:pt>
                <c:pt idx="69">
                  <c:v>44840</c:v>
                </c:pt>
                <c:pt idx="70">
                  <c:v>44839</c:v>
                </c:pt>
                <c:pt idx="71">
                  <c:v>44838</c:v>
                </c:pt>
                <c:pt idx="72">
                  <c:v>44834</c:v>
                </c:pt>
                <c:pt idx="73">
                  <c:v>44833</c:v>
                </c:pt>
                <c:pt idx="74">
                  <c:v>44832</c:v>
                </c:pt>
                <c:pt idx="75">
                  <c:v>44831</c:v>
                </c:pt>
                <c:pt idx="76">
                  <c:v>44830</c:v>
                </c:pt>
                <c:pt idx="77">
                  <c:v>44827</c:v>
                </c:pt>
                <c:pt idx="78">
                  <c:v>44826</c:v>
                </c:pt>
                <c:pt idx="79">
                  <c:v>44825</c:v>
                </c:pt>
                <c:pt idx="80">
                  <c:v>44824</c:v>
                </c:pt>
                <c:pt idx="81">
                  <c:v>44823</c:v>
                </c:pt>
                <c:pt idx="82">
                  <c:v>44820</c:v>
                </c:pt>
                <c:pt idx="83">
                  <c:v>44819</c:v>
                </c:pt>
                <c:pt idx="84">
                  <c:v>44818</c:v>
                </c:pt>
                <c:pt idx="85">
                  <c:v>44817</c:v>
                </c:pt>
                <c:pt idx="86">
                  <c:v>44812</c:v>
                </c:pt>
                <c:pt idx="87">
                  <c:v>44811</c:v>
                </c:pt>
                <c:pt idx="88">
                  <c:v>44810</c:v>
                </c:pt>
                <c:pt idx="89">
                  <c:v>44809</c:v>
                </c:pt>
                <c:pt idx="90">
                  <c:v>44806</c:v>
                </c:pt>
                <c:pt idx="91">
                  <c:v>44805</c:v>
                </c:pt>
                <c:pt idx="92">
                  <c:v>44804</c:v>
                </c:pt>
                <c:pt idx="93">
                  <c:v>44803</c:v>
                </c:pt>
                <c:pt idx="94">
                  <c:v>44802</c:v>
                </c:pt>
                <c:pt idx="95">
                  <c:v>44799</c:v>
                </c:pt>
                <c:pt idx="96">
                  <c:v>44798</c:v>
                </c:pt>
                <c:pt idx="97">
                  <c:v>44797</c:v>
                </c:pt>
                <c:pt idx="98">
                  <c:v>44796</c:v>
                </c:pt>
                <c:pt idx="99">
                  <c:v>44795</c:v>
                </c:pt>
                <c:pt idx="100">
                  <c:v>44792</c:v>
                </c:pt>
                <c:pt idx="101">
                  <c:v>44791</c:v>
                </c:pt>
                <c:pt idx="102">
                  <c:v>44790</c:v>
                </c:pt>
                <c:pt idx="103">
                  <c:v>44789</c:v>
                </c:pt>
                <c:pt idx="104">
                  <c:v>44785</c:v>
                </c:pt>
                <c:pt idx="105">
                  <c:v>44784</c:v>
                </c:pt>
                <c:pt idx="106">
                  <c:v>44783</c:v>
                </c:pt>
                <c:pt idx="107">
                  <c:v>44782</c:v>
                </c:pt>
                <c:pt idx="108">
                  <c:v>44781</c:v>
                </c:pt>
                <c:pt idx="109">
                  <c:v>44778</c:v>
                </c:pt>
                <c:pt idx="110">
                  <c:v>44777</c:v>
                </c:pt>
                <c:pt idx="111">
                  <c:v>44776</c:v>
                </c:pt>
                <c:pt idx="112">
                  <c:v>44775</c:v>
                </c:pt>
                <c:pt idx="113">
                  <c:v>44774</c:v>
                </c:pt>
                <c:pt idx="114">
                  <c:v>44771</c:v>
                </c:pt>
                <c:pt idx="115">
                  <c:v>44770</c:v>
                </c:pt>
                <c:pt idx="116">
                  <c:v>44769</c:v>
                </c:pt>
                <c:pt idx="117">
                  <c:v>44768</c:v>
                </c:pt>
                <c:pt idx="118">
                  <c:v>44767</c:v>
                </c:pt>
                <c:pt idx="119">
                  <c:v>44764</c:v>
                </c:pt>
                <c:pt idx="120">
                  <c:v>44763</c:v>
                </c:pt>
                <c:pt idx="121">
                  <c:v>44762</c:v>
                </c:pt>
                <c:pt idx="122">
                  <c:v>44761</c:v>
                </c:pt>
                <c:pt idx="123">
                  <c:v>44760</c:v>
                </c:pt>
                <c:pt idx="124">
                  <c:v>44757</c:v>
                </c:pt>
                <c:pt idx="125">
                  <c:v>44756</c:v>
                </c:pt>
                <c:pt idx="126">
                  <c:v>44755</c:v>
                </c:pt>
                <c:pt idx="127">
                  <c:v>44754</c:v>
                </c:pt>
                <c:pt idx="128">
                  <c:v>44753</c:v>
                </c:pt>
                <c:pt idx="129">
                  <c:v>44750</c:v>
                </c:pt>
                <c:pt idx="130">
                  <c:v>44749</c:v>
                </c:pt>
                <c:pt idx="131">
                  <c:v>44748</c:v>
                </c:pt>
                <c:pt idx="132">
                  <c:v>44747</c:v>
                </c:pt>
                <c:pt idx="133">
                  <c:v>44746</c:v>
                </c:pt>
                <c:pt idx="134">
                  <c:v>44743</c:v>
                </c:pt>
                <c:pt idx="135">
                  <c:v>44742</c:v>
                </c:pt>
                <c:pt idx="136">
                  <c:v>44741</c:v>
                </c:pt>
                <c:pt idx="137">
                  <c:v>44740</c:v>
                </c:pt>
                <c:pt idx="138">
                  <c:v>44739</c:v>
                </c:pt>
                <c:pt idx="139">
                  <c:v>44736</c:v>
                </c:pt>
                <c:pt idx="140">
                  <c:v>44735</c:v>
                </c:pt>
                <c:pt idx="141">
                  <c:v>44734</c:v>
                </c:pt>
                <c:pt idx="142">
                  <c:v>44733</c:v>
                </c:pt>
                <c:pt idx="143">
                  <c:v>44732</c:v>
                </c:pt>
                <c:pt idx="144">
                  <c:v>44729</c:v>
                </c:pt>
                <c:pt idx="145">
                  <c:v>44728</c:v>
                </c:pt>
                <c:pt idx="146">
                  <c:v>44727</c:v>
                </c:pt>
                <c:pt idx="147">
                  <c:v>44726</c:v>
                </c:pt>
                <c:pt idx="148">
                  <c:v>44725</c:v>
                </c:pt>
                <c:pt idx="149">
                  <c:v>44722</c:v>
                </c:pt>
                <c:pt idx="150">
                  <c:v>44721</c:v>
                </c:pt>
                <c:pt idx="151">
                  <c:v>44720</c:v>
                </c:pt>
                <c:pt idx="152">
                  <c:v>44719</c:v>
                </c:pt>
                <c:pt idx="153">
                  <c:v>44715</c:v>
                </c:pt>
                <c:pt idx="154">
                  <c:v>44714</c:v>
                </c:pt>
                <c:pt idx="155">
                  <c:v>44712</c:v>
                </c:pt>
                <c:pt idx="156">
                  <c:v>44711</c:v>
                </c:pt>
                <c:pt idx="157">
                  <c:v>44708</c:v>
                </c:pt>
                <c:pt idx="158">
                  <c:v>44707</c:v>
                </c:pt>
                <c:pt idx="159">
                  <c:v>44706</c:v>
                </c:pt>
                <c:pt idx="160">
                  <c:v>44705</c:v>
                </c:pt>
                <c:pt idx="161">
                  <c:v>44704</c:v>
                </c:pt>
                <c:pt idx="162">
                  <c:v>44701</c:v>
                </c:pt>
                <c:pt idx="163">
                  <c:v>44700</c:v>
                </c:pt>
                <c:pt idx="164">
                  <c:v>44699</c:v>
                </c:pt>
                <c:pt idx="165">
                  <c:v>44698</c:v>
                </c:pt>
                <c:pt idx="166">
                  <c:v>44697</c:v>
                </c:pt>
                <c:pt idx="167">
                  <c:v>44694</c:v>
                </c:pt>
                <c:pt idx="168">
                  <c:v>44693</c:v>
                </c:pt>
                <c:pt idx="169">
                  <c:v>44692</c:v>
                </c:pt>
                <c:pt idx="170">
                  <c:v>44691</c:v>
                </c:pt>
                <c:pt idx="171">
                  <c:v>44690</c:v>
                </c:pt>
                <c:pt idx="172">
                  <c:v>44687</c:v>
                </c:pt>
                <c:pt idx="173">
                  <c:v>44685</c:v>
                </c:pt>
                <c:pt idx="174">
                  <c:v>44684</c:v>
                </c:pt>
                <c:pt idx="175">
                  <c:v>44683</c:v>
                </c:pt>
                <c:pt idx="176">
                  <c:v>44680</c:v>
                </c:pt>
                <c:pt idx="177">
                  <c:v>44679</c:v>
                </c:pt>
                <c:pt idx="178">
                  <c:v>44678</c:v>
                </c:pt>
                <c:pt idx="179">
                  <c:v>44677</c:v>
                </c:pt>
                <c:pt idx="180">
                  <c:v>44676</c:v>
                </c:pt>
                <c:pt idx="181">
                  <c:v>44673</c:v>
                </c:pt>
                <c:pt idx="182">
                  <c:v>44672</c:v>
                </c:pt>
                <c:pt idx="183">
                  <c:v>44671</c:v>
                </c:pt>
                <c:pt idx="184">
                  <c:v>44670</c:v>
                </c:pt>
                <c:pt idx="185">
                  <c:v>44669</c:v>
                </c:pt>
                <c:pt idx="186">
                  <c:v>44666</c:v>
                </c:pt>
                <c:pt idx="187">
                  <c:v>44665</c:v>
                </c:pt>
                <c:pt idx="188">
                  <c:v>44664</c:v>
                </c:pt>
                <c:pt idx="189">
                  <c:v>44663</c:v>
                </c:pt>
                <c:pt idx="190">
                  <c:v>44662</c:v>
                </c:pt>
                <c:pt idx="191">
                  <c:v>44659</c:v>
                </c:pt>
                <c:pt idx="192">
                  <c:v>44658</c:v>
                </c:pt>
                <c:pt idx="193">
                  <c:v>44657</c:v>
                </c:pt>
                <c:pt idx="194">
                  <c:v>44656</c:v>
                </c:pt>
                <c:pt idx="195">
                  <c:v>44655</c:v>
                </c:pt>
                <c:pt idx="196">
                  <c:v>44652</c:v>
                </c:pt>
                <c:pt idx="197">
                  <c:v>44651</c:v>
                </c:pt>
                <c:pt idx="198">
                  <c:v>44650</c:v>
                </c:pt>
                <c:pt idx="199">
                  <c:v>44649</c:v>
                </c:pt>
                <c:pt idx="200">
                  <c:v>44648</c:v>
                </c:pt>
                <c:pt idx="201">
                  <c:v>44645</c:v>
                </c:pt>
                <c:pt idx="202">
                  <c:v>44644</c:v>
                </c:pt>
                <c:pt idx="203">
                  <c:v>44643</c:v>
                </c:pt>
                <c:pt idx="204">
                  <c:v>44642</c:v>
                </c:pt>
                <c:pt idx="205">
                  <c:v>44641</c:v>
                </c:pt>
                <c:pt idx="206">
                  <c:v>44638</c:v>
                </c:pt>
                <c:pt idx="207">
                  <c:v>44637</c:v>
                </c:pt>
                <c:pt idx="208">
                  <c:v>44636</c:v>
                </c:pt>
                <c:pt idx="209">
                  <c:v>44635</c:v>
                </c:pt>
                <c:pt idx="210">
                  <c:v>44634</c:v>
                </c:pt>
                <c:pt idx="211">
                  <c:v>44631</c:v>
                </c:pt>
                <c:pt idx="212">
                  <c:v>44630</c:v>
                </c:pt>
                <c:pt idx="213">
                  <c:v>44628</c:v>
                </c:pt>
                <c:pt idx="214">
                  <c:v>44627</c:v>
                </c:pt>
                <c:pt idx="215">
                  <c:v>44624</c:v>
                </c:pt>
                <c:pt idx="216">
                  <c:v>44623</c:v>
                </c:pt>
                <c:pt idx="217">
                  <c:v>44622</c:v>
                </c:pt>
                <c:pt idx="218">
                  <c:v>44620</c:v>
                </c:pt>
                <c:pt idx="219">
                  <c:v>44617</c:v>
                </c:pt>
                <c:pt idx="220">
                  <c:v>44616</c:v>
                </c:pt>
                <c:pt idx="221">
                  <c:v>44615</c:v>
                </c:pt>
                <c:pt idx="222">
                  <c:v>44614</c:v>
                </c:pt>
                <c:pt idx="223">
                  <c:v>44613</c:v>
                </c:pt>
                <c:pt idx="224">
                  <c:v>44610</c:v>
                </c:pt>
                <c:pt idx="225">
                  <c:v>44609</c:v>
                </c:pt>
                <c:pt idx="226">
                  <c:v>44608</c:v>
                </c:pt>
                <c:pt idx="227">
                  <c:v>44607</c:v>
                </c:pt>
                <c:pt idx="228">
                  <c:v>44606</c:v>
                </c:pt>
                <c:pt idx="229">
                  <c:v>44603</c:v>
                </c:pt>
                <c:pt idx="230">
                  <c:v>44602</c:v>
                </c:pt>
                <c:pt idx="231">
                  <c:v>44601</c:v>
                </c:pt>
                <c:pt idx="232">
                  <c:v>44600</c:v>
                </c:pt>
                <c:pt idx="233">
                  <c:v>44599</c:v>
                </c:pt>
                <c:pt idx="234">
                  <c:v>44596</c:v>
                </c:pt>
                <c:pt idx="235">
                  <c:v>44595</c:v>
                </c:pt>
                <c:pt idx="236">
                  <c:v>44589</c:v>
                </c:pt>
                <c:pt idx="237">
                  <c:v>44588</c:v>
                </c:pt>
                <c:pt idx="238">
                  <c:v>44587</c:v>
                </c:pt>
                <c:pt idx="239">
                  <c:v>44586</c:v>
                </c:pt>
                <c:pt idx="240">
                  <c:v>44585</c:v>
                </c:pt>
                <c:pt idx="241">
                  <c:v>44582</c:v>
                </c:pt>
                <c:pt idx="242">
                  <c:v>44581</c:v>
                </c:pt>
                <c:pt idx="243">
                  <c:v>44580</c:v>
                </c:pt>
                <c:pt idx="244">
                  <c:v>44579</c:v>
                </c:pt>
                <c:pt idx="245">
                  <c:v>44578</c:v>
                </c:pt>
                <c:pt idx="246">
                  <c:v>44575</c:v>
                </c:pt>
                <c:pt idx="247">
                  <c:v>44574</c:v>
                </c:pt>
                <c:pt idx="248">
                  <c:v>44573</c:v>
                </c:pt>
              </c:numCache>
            </c:numRef>
          </c:cat>
          <c:val>
            <c:numRef>
              <c:f>'KOSPI200 선물옵션'!$W$25:$JK$25</c:f>
              <c:numCache>
                <c:formatCode>General</c:formatCode>
                <c:ptCount val="249"/>
                <c:pt idx="0">
                  <c:v>0.33</c:v>
                </c:pt>
                <c:pt idx="1">
                  <c:v>-0.71</c:v>
                </c:pt>
                <c:pt idx="2">
                  <c:v>0.31</c:v>
                </c:pt>
                <c:pt idx="3">
                  <c:v>0.63</c:v>
                </c:pt>
                <c:pt idx="4">
                  <c:v>0.21</c:v>
                </c:pt>
                <c:pt idx="5">
                  <c:v>0.34</c:v>
                </c:pt>
                <c:pt idx="6">
                  <c:v>1.49</c:v>
                </c:pt>
                <c:pt idx="7">
                  <c:v>1.07</c:v>
                </c:pt>
                <c:pt idx="8">
                  <c:v>0.71</c:v>
                </c:pt>
                <c:pt idx="9">
                  <c:v>0.66</c:v>
                </c:pt>
                <c:pt idx="10">
                  <c:v>0.5</c:v>
                </c:pt>
                <c:pt idx="11">
                  <c:v>1</c:v>
                </c:pt>
                <c:pt idx="12">
                  <c:v>-0.47</c:v>
                </c:pt>
                <c:pt idx="13">
                  <c:v>-0.06</c:v>
                </c:pt>
                <c:pt idx="14">
                  <c:v>0.34</c:v>
                </c:pt>
                <c:pt idx="15">
                  <c:v>0.23</c:v>
                </c:pt>
                <c:pt idx="16">
                  <c:v>0.03</c:v>
                </c:pt>
                <c:pt idx="17">
                  <c:v>-0.01</c:v>
                </c:pt>
                <c:pt idx="18">
                  <c:v>0.32</c:v>
                </c:pt>
                <c:pt idx="19">
                  <c:v>1.44</c:v>
                </c:pt>
                <c:pt idx="20">
                  <c:v>-0.38</c:v>
                </c:pt>
                <c:pt idx="21">
                  <c:v>-0.04</c:v>
                </c:pt>
                <c:pt idx="22">
                  <c:v>-0.62</c:v>
                </c:pt>
                <c:pt idx="23">
                  <c:v>-0.25</c:v>
                </c:pt>
                <c:pt idx="24">
                  <c:v>-0.79</c:v>
                </c:pt>
                <c:pt idx="25">
                  <c:v>0.67</c:v>
                </c:pt>
                <c:pt idx="26">
                  <c:v>0.14000000000000001</c:v>
                </c:pt>
                <c:pt idx="27">
                  <c:v>0.09</c:v>
                </c:pt>
                <c:pt idx="28">
                  <c:v>-0.3</c:v>
                </c:pt>
                <c:pt idx="29">
                  <c:v>0.26</c:v>
                </c:pt>
                <c:pt idx="30">
                  <c:v>-0.8</c:v>
                </c:pt>
                <c:pt idx="31">
                  <c:v>1.679</c:v>
                </c:pt>
                <c:pt idx="32">
                  <c:v>0.23</c:v>
                </c:pt>
                <c:pt idx="33">
                  <c:v>-0.31</c:v>
                </c:pt>
                <c:pt idx="34">
                  <c:v>0.06</c:v>
                </c:pt>
                <c:pt idx="35">
                  <c:v>-0.23</c:v>
                </c:pt>
                <c:pt idx="36">
                  <c:v>-0.39</c:v>
                </c:pt>
                <c:pt idx="37">
                  <c:v>0.25</c:v>
                </c:pt>
                <c:pt idx="38">
                  <c:v>0.84</c:v>
                </c:pt>
                <c:pt idx="39">
                  <c:v>0.4</c:v>
                </c:pt>
                <c:pt idx="40">
                  <c:v>-1.74</c:v>
                </c:pt>
                <c:pt idx="41">
                  <c:v>-0.18</c:v>
                </c:pt>
                <c:pt idx="42">
                  <c:v>0.15</c:v>
                </c:pt>
                <c:pt idx="43">
                  <c:v>-0.2</c:v>
                </c:pt>
                <c:pt idx="44">
                  <c:v>-0.88</c:v>
                </c:pt>
                <c:pt idx="45">
                  <c:v>0.66</c:v>
                </c:pt>
                <c:pt idx="46">
                  <c:v>0.01</c:v>
                </c:pt>
                <c:pt idx="47">
                  <c:v>0.11</c:v>
                </c:pt>
                <c:pt idx="48">
                  <c:v>-0.06</c:v>
                </c:pt>
                <c:pt idx="49">
                  <c:v>0.09</c:v>
                </c:pt>
                <c:pt idx="50">
                  <c:v>0.79</c:v>
                </c:pt>
                <c:pt idx="51">
                  <c:v>0.64</c:v>
                </c:pt>
                <c:pt idx="52">
                  <c:v>1.23</c:v>
                </c:pt>
                <c:pt idx="53">
                  <c:v>0.14000000000000001</c:v>
                </c:pt>
                <c:pt idx="54">
                  <c:v>0.6</c:v>
                </c:pt>
                <c:pt idx="55">
                  <c:v>0.56000000000000005</c:v>
                </c:pt>
                <c:pt idx="56">
                  <c:v>0.54</c:v>
                </c:pt>
                <c:pt idx="57">
                  <c:v>0.54</c:v>
                </c:pt>
                <c:pt idx="58">
                  <c:v>0</c:v>
                </c:pt>
                <c:pt idx="59">
                  <c:v>0.5</c:v>
                </c:pt>
                <c:pt idx="60">
                  <c:v>1.51</c:v>
                </c:pt>
                <c:pt idx="61">
                  <c:v>1.51</c:v>
                </c:pt>
                <c:pt idx="62">
                  <c:v>0.63</c:v>
                </c:pt>
                <c:pt idx="63">
                  <c:v>1.76</c:v>
                </c:pt>
                <c:pt idx="64">
                  <c:v>0.08</c:v>
                </c:pt>
                <c:pt idx="65">
                  <c:v>1.35</c:v>
                </c:pt>
                <c:pt idx="66">
                  <c:v>0.75</c:v>
                </c:pt>
                <c:pt idx="67">
                  <c:v>1.59</c:v>
                </c:pt>
                <c:pt idx="68">
                  <c:v>1.22</c:v>
                </c:pt>
                <c:pt idx="69">
                  <c:v>0.8</c:v>
                </c:pt>
                <c:pt idx="70">
                  <c:v>0.33</c:v>
                </c:pt>
                <c:pt idx="71">
                  <c:v>-0.04</c:v>
                </c:pt>
                <c:pt idx="72">
                  <c:v>0.63</c:v>
                </c:pt>
                <c:pt idx="73">
                  <c:v>-0.37</c:v>
                </c:pt>
                <c:pt idx="74">
                  <c:v>1.22</c:v>
                </c:pt>
                <c:pt idx="75">
                  <c:v>0.68</c:v>
                </c:pt>
                <c:pt idx="76">
                  <c:v>0.56000000000000005</c:v>
                </c:pt>
                <c:pt idx="77">
                  <c:v>1.08</c:v>
                </c:pt>
                <c:pt idx="78">
                  <c:v>1.83</c:v>
                </c:pt>
                <c:pt idx="79">
                  <c:v>1.54</c:v>
                </c:pt>
                <c:pt idx="80">
                  <c:v>1.28</c:v>
                </c:pt>
                <c:pt idx="81">
                  <c:v>0.9</c:v>
                </c:pt>
                <c:pt idx="82">
                  <c:v>2.17</c:v>
                </c:pt>
                <c:pt idx="83">
                  <c:v>0.64</c:v>
                </c:pt>
                <c:pt idx="84">
                  <c:v>1.49</c:v>
                </c:pt>
                <c:pt idx="85">
                  <c:v>-0.12</c:v>
                </c:pt>
                <c:pt idx="86">
                  <c:v>0.04</c:v>
                </c:pt>
                <c:pt idx="87">
                  <c:v>-0.09</c:v>
                </c:pt>
                <c:pt idx="88">
                  <c:v>0.19</c:v>
                </c:pt>
                <c:pt idx="89">
                  <c:v>0.47</c:v>
                </c:pt>
                <c:pt idx="90">
                  <c:v>-0.75</c:v>
                </c:pt>
                <c:pt idx="91">
                  <c:v>0.72</c:v>
                </c:pt>
                <c:pt idx="92">
                  <c:v>2.19</c:v>
                </c:pt>
                <c:pt idx="93">
                  <c:v>0.3</c:v>
                </c:pt>
                <c:pt idx="94">
                  <c:v>0.93</c:v>
                </c:pt>
                <c:pt idx="95">
                  <c:v>-0.23</c:v>
                </c:pt>
                <c:pt idx="96">
                  <c:v>0.15</c:v>
                </c:pt>
                <c:pt idx="97">
                  <c:v>0.65</c:v>
                </c:pt>
                <c:pt idx="98">
                  <c:v>0.95</c:v>
                </c:pt>
                <c:pt idx="99">
                  <c:v>1.01</c:v>
                </c:pt>
                <c:pt idx="100">
                  <c:v>0.51</c:v>
                </c:pt>
                <c:pt idx="101">
                  <c:v>1</c:v>
                </c:pt>
                <c:pt idx="102">
                  <c:v>0.68</c:v>
                </c:pt>
                <c:pt idx="103">
                  <c:v>0.33</c:v>
                </c:pt>
                <c:pt idx="104">
                  <c:v>0.67</c:v>
                </c:pt>
                <c:pt idx="105">
                  <c:v>0.44</c:v>
                </c:pt>
                <c:pt idx="106">
                  <c:v>0.57999999999999996</c:v>
                </c:pt>
                <c:pt idx="107">
                  <c:v>0.68</c:v>
                </c:pt>
                <c:pt idx="108">
                  <c:v>1.17</c:v>
                </c:pt>
                <c:pt idx="109">
                  <c:v>1.01</c:v>
                </c:pt>
                <c:pt idx="110">
                  <c:v>0.6</c:v>
                </c:pt>
                <c:pt idx="111">
                  <c:v>0.55000000000000004</c:v>
                </c:pt>
                <c:pt idx="112">
                  <c:v>1.05</c:v>
                </c:pt>
                <c:pt idx="113">
                  <c:v>0.02</c:v>
                </c:pt>
                <c:pt idx="114">
                  <c:v>0.86</c:v>
                </c:pt>
                <c:pt idx="115">
                  <c:v>-0.17</c:v>
                </c:pt>
                <c:pt idx="116">
                  <c:v>0.49</c:v>
                </c:pt>
                <c:pt idx="117">
                  <c:v>0.13</c:v>
                </c:pt>
                <c:pt idx="118">
                  <c:v>0.28000000000000003</c:v>
                </c:pt>
                <c:pt idx="119">
                  <c:v>0.2</c:v>
                </c:pt>
                <c:pt idx="120">
                  <c:v>1.98</c:v>
                </c:pt>
                <c:pt idx="121">
                  <c:v>0.63</c:v>
                </c:pt>
                <c:pt idx="122">
                  <c:v>1.32</c:v>
                </c:pt>
                <c:pt idx="123">
                  <c:v>0.02</c:v>
                </c:pt>
                <c:pt idx="124">
                  <c:v>1.0900000000000001</c:v>
                </c:pt>
                <c:pt idx="125">
                  <c:v>-0.11</c:v>
                </c:pt>
                <c:pt idx="126">
                  <c:v>-0.3</c:v>
                </c:pt>
                <c:pt idx="127">
                  <c:v>0.46</c:v>
                </c:pt>
                <c:pt idx="128">
                  <c:v>0.2</c:v>
                </c:pt>
                <c:pt idx="129">
                  <c:v>0.42</c:v>
                </c:pt>
                <c:pt idx="130">
                  <c:v>0.44</c:v>
                </c:pt>
                <c:pt idx="131">
                  <c:v>0.05</c:v>
                </c:pt>
                <c:pt idx="132">
                  <c:v>0.19</c:v>
                </c:pt>
                <c:pt idx="133">
                  <c:v>7.0000000000000007E-2</c:v>
                </c:pt>
                <c:pt idx="134">
                  <c:v>0.23</c:v>
                </c:pt>
                <c:pt idx="135">
                  <c:v>0.93</c:v>
                </c:pt>
                <c:pt idx="136">
                  <c:v>0.76</c:v>
                </c:pt>
                <c:pt idx="137">
                  <c:v>0.45</c:v>
                </c:pt>
                <c:pt idx="138">
                  <c:v>-0.11</c:v>
                </c:pt>
                <c:pt idx="139">
                  <c:v>-0.3</c:v>
                </c:pt>
                <c:pt idx="140">
                  <c:v>-0.34</c:v>
                </c:pt>
                <c:pt idx="141">
                  <c:v>0.12</c:v>
                </c:pt>
                <c:pt idx="142">
                  <c:v>7.0000000000000007E-2</c:v>
                </c:pt>
                <c:pt idx="143">
                  <c:v>0.99</c:v>
                </c:pt>
                <c:pt idx="144">
                  <c:v>1.55</c:v>
                </c:pt>
                <c:pt idx="145">
                  <c:v>1.1399999999999999</c:v>
                </c:pt>
                <c:pt idx="146">
                  <c:v>1.31</c:v>
                </c:pt>
                <c:pt idx="147">
                  <c:v>1.77</c:v>
                </c:pt>
                <c:pt idx="148">
                  <c:v>1.2</c:v>
                </c:pt>
                <c:pt idx="149">
                  <c:v>1.45</c:v>
                </c:pt>
                <c:pt idx="150">
                  <c:v>1.1399999999999999</c:v>
                </c:pt>
                <c:pt idx="151">
                  <c:v>-0.39</c:v>
                </c:pt>
                <c:pt idx="152">
                  <c:v>0.03</c:v>
                </c:pt>
                <c:pt idx="153">
                  <c:v>-0.26</c:v>
                </c:pt>
                <c:pt idx="154">
                  <c:v>0.66</c:v>
                </c:pt>
                <c:pt idx="155">
                  <c:v>0.57999999999999996</c:v>
                </c:pt>
                <c:pt idx="156">
                  <c:v>-0.25</c:v>
                </c:pt>
                <c:pt idx="157">
                  <c:v>-0.6</c:v>
                </c:pt>
                <c:pt idx="158">
                  <c:v>-0.28999999999999998</c:v>
                </c:pt>
                <c:pt idx="159">
                  <c:v>-0.28000000000000003</c:v>
                </c:pt>
                <c:pt idx="160">
                  <c:v>0.16</c:v>
                </c:pt>
                <c:pt idx="161">
                  <c:v>-0.06</c:v>
                </c:pt>
                <c:pt idx="162">
                  <c:v>-0.01</c:v>
                </c:pt>
                <c:pt idx="163">
                  <c:v>1.5</c:v>
                </c:pt>
                <c:pt idx="164">
                  <c:v>0.32</c:v>
                </c:pt>
                <c:pt idx="165">
                  <c:v>0.32</c:v>
                </c:pt>
                <c:pt idx="166">
                  <c:v>0.2</c:v>
                </c:pt>
                <c:pt idx="167">
                  <c:v>0.26</c:v>
                </c:pt>
                <c:pt idx="168">
                  <c:v>0.6</c:v>
                </c:pt>
                <c:pt idx="169">
                  <c:v>0.88</c:v>
                </c:pt>
                <c:pt idx="170">
                  <c:v>1.07</c:v>
                </c:pt>
                <c:pt idx="171">
                  <c:v>0.63</c:v>
                </c:pt>
                <c:pt idx="172">
                  <c:v>1.286</c:v>
                </c:pt>
                <c:pt idx="173">
                  <c:v>0.92</c:v>
                </c:pt>
                <c:pt idx="174">
                  <c:v>1.1000000000000001</c:v>
                </c:pt>
                <c:pt idx="175">
                  <c:v>1.22</c:v>
                </c:pt>
                <c:pt idx="176">
                  <c:v>0.18</c:v>
                </c:pt>
                <c:pt idx="177">
                  <c:v>0.97</c:v>
                </c:pt>
                <c:pt idx="178">
                  <c:v>1.53</c:v>
                </c:pt>
                <c:pt idx="179">
                  <c:v>1.36</c:v>
                </c:pt>
                <c:pt idx="180">
                  <c:v>1.39</c:v>
                </c:pt>
                <c:pt idx="181">
                  <c:v>1.7</c:v>
                </c:pt>
                <c:pt idx="182">
                  <c:v>0.97</c:v>
                </c:pt>
                <c:pt idx="183">
                  <c:v>1.43</c:v>
                </c:pt>
                <c:pt idx="184">
                  <c:v>1.04</c:v>
                </c:pt>
                <c:pt idx="185">
                  <c:v>0.81</c:v>
                </c:pt>
                <c:pt idx="186">
                  <c:v>1.82</c:v>
                </c:pt>
                <c:pt idx="187">
                  <c:v>0.87</c:v>
                </c:pt>
                <c:pt idx="188">
                  <c:v>1.0609999999999999</c:v>
                </c:pt>
                <c:pt idx="189">
                  <c:v>0.53</c:v>
                </c:pt>
                <c:pt idx="190">
                  <c:v>0.61</c:v>
                </c:pt>
                <c:pt idx="191">
                  <c:v>0.54</c:v>
                </c:pt>
                <c:pt idx="192">
                  <c:v>0.47</c:v>
                </c:pt>
                <c:pt idx="193">
                  <c:v>0.63</c:v>
                </c:pt>
                <c:pt idx="194">
                  <c:v>0.44</c:v>
                </c:pt>
                <c:pt idx="195">
                  <c:v>0.45</c:v>
                </c:pt>
                <c:pt idx="196">
                  <c:v>0.74</c:v>
                </c:pt>
                <c:pt idx="197">
                  <c:v>0.98</c:v>
                </c:pt>
                <c:pt idx="198">
                  <c:v>0.84</c:v>
                </c:pt>
                <c:pt idx="199">
                  <c:v>0.71</c:v>
                </c:pt>
                <c:pt idx="200">
                  <c:v>0.11</c:v>
                </c:pt>
                <c:pt idx="201">
                  <c:v>0.84</c:v>
                </c:pt>
                <c:pt idx="202">
                  <c:v>1.43</c:v>
                </c:pt>
                <c:pt idx="203">
                  <c:v>1.1599999999999999</c:v>
                </c:pt>
                <c:pt idx="204">
                  <c:v>0.84</c:v>
                </c:pt>
                <c:pt idx="205">
                  <c:v>0.6</c:v>
                </c:pt>
                <c:pt idx="206">
                  <c:v>0.97</c:v>
                </c:pt>
                <c:pt idx="207">
                  <c:v>0.36</c:v>
                </c:pt>
                <c:pt idx="208">
                  <c:v>0.64</c:v>
                </c:pt>
                <c:pt idx="209">
                  <c:v>1.37</c:v>
                </c:pt>
                <c:pt idx="210">
                  <c:v>1.28</c:v>
                </c:pt>
                <c:pt idx="211">
                  <c:v>1.87</c:v>
                </c:pt>
                <c:pt idx="212">
                  <c:v>2.57</c:v>
                </c:pt>
                <c:pt idx="213">
                  <c:v>1.52</c:v>
                </c:pt>
                <c:pt idx="214">
                  <c:v>0.28999999999999998</c:v>
                </c:pt>
                <c:pt idx="215">
                  <c:v>0.64</c:v>
                </c:pt>
                <c:pt idx="216">
                  <c:v>0.73</c:v>
                </c:pt>
                <c:pt idx="217">
                  <c:v>0.52</c:v>
                </c:pt>
                <c:pt idx="218">
                  <c:v>0.5</c:v>
                </c:pt>
                <c:pt idx="219">
                  <c:v>-0.75</c:v>
                </c:pt>
                <c:pt idx="220">
                  <c:v>0.86</c:v>
                </c:pt>
                <c:pt idx="221">
                  <c:v>0.63</c:v>
                </c:pt>
                <c:pt idx="222">
                  <c:v>0.16</c:v>
                </c:pt>
                <c:pt idx="223">
                  <c:v>-0.49</c:v>
                </c:pt>
                <c:pt idx="224">
                  <c:v>0.47</c:v>
                </c:pt>
                <c:pt idx="225">
                  <c:v>-0.32</c:v>
                </c:pt>
                <c:pt idx="226">
                  <c:v>0.3</c:v>
                </c:pt>
                <c:pt idx="227">
                  <c:v>0.24</c:v>
                </c:pt>
                <c:pt idx="228">
                  <c:v>-0.3</c:v>
                </c:pt>
                <c:pt idx="229">
                  <c:v>1.03</c:v>
                </c:pt>
                <c:pt idx="230">
                  <c:v>0.26</c:v>
                </c:pt>
                <c:pt idx="231">
                  <c:v>0.2</c:v>
                </c:pt>
                <c:pt idx="232">
                  <c:v>0.74</c:v>
                </c:pt>
                <c:pt idx="233">
                  <c:v>0.15</c:v>
                </c:pt>
                <c:pt idx="234">
                  <c:v>0.47</c:v>
                </c:pt>
                <c:pt idx="235">
                  <c:v>0.63</c:v>
                </c:pt>
                <c:pt idx="236">
                  <c:v>1.99</c:v>
                </c:pt>
                <c:pt idx="237">
                  <c:v>1.74</c:v>
                </c:pt>
                <c:pt idx="238">
                  <c:v>0.77</c:v>
                </c:pt>
                <c:pt idx="239">
                  <c:v>2.04</c:v>
                </c:pt>
                <c:pt idx="240">
                  <c:v>1.1299999999999999</c:v>
                </c:pt>
                <c:pt idx="241">
                  <c:v>0.47</c:v>
                </c:pt>
                <c:pt idx="242">
                  <c:v>1.1000000000000001</c:v>
                </c:pt>
                <c:pt idx="243">
                  <c:v>0.97</c:v>
                </c:pt>
                <c:pt idx="244">
                  <c:v>1.1399999999999999</c:v>
                </c:pt>
                <c:pt idx="245">
                  <c:v>0.28000000000000003</c:v>
                </c:pt>
                <c:pt idx="246">
                  <c:v>1.73</c:v>
                </c:pt>
                <c:pt idx="247">
                  <c:v>1.3</c:v>
                </c:pt>
                <c:pt idx="248">
                  <c:v>0.48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132-4DF8-80E6-6640260C15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684288"/>
        <c:axId val="178685824"/>
      </c:lineChart>
      <c:dateAx>
        <c:axId val="17868428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178685824"/>
        <c:crossesAt val="-1.5"/>
        <c:auto val="1"/>
        <c:lblOffset val="100"/>
        <c:baseTimeUnit val="days"/>
        <c:majorUnit val="3"/>
        <c:majorTimeUnit val="months"/>
      </c:dateAx>
      <c:valAx>
        <c:axId val="17868582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178684288"/>
        <c:crosses val="max"/>
        <c:crossBetween val="between"/>
      </c:valAx>
    </c:plotArea>
    <c:plotVisOnly val="0"/>
    <c:dispBlanksAs val="span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 sz="1200" b="1"/>
              <a:t>근월물 누적매매수량 </a:t>
            </a:r>
            <a:r>
              <a:rPr lang="en-US" altLang="ko-KR" sz="1200" b="1"/>
              <a:t>(</a:t>
            </a:r>
            <a:r>
              <a:rPr lang="ko-KR" altLang="en-US" sz="1200" b="1"/>
              <a:t>천</a:t>
            </a:r>
            <a:r>
              <a:rPr lang="en-US" altLang="ko-KR" sz="1200" b="1"/>
              <a:t>)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'KOSPI200 선물옵션'!$AA$105</c:f>
              <c:strCache>
                <c:ptCount val="1"/>
                <c:pt idx="0">
                  <c:v>외국인합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'KOSPI200 선물옵션'!$Z$106:$Z$175</c:f>
              <c:numCache>
                <c:formatCode>m/d/yyyy</c:formatCode>
                <c:ptCount val="70"/>
                <c:pt idx="0">
                  <c:v>44942</c:v>
                </c:pt>
                <c:pt idx="1">
                  <c:v>44939</c:v>
                </c:pt>
                <c:pt idx="2">
                  <c:v>44938</c:v>
                </c:pt>
                <c:pt idx="3">
                  <c:v>44937</c:v>
                </c:pt>
                <c:pt idx="4">
                  <c:v>44936</c:v>
                </c:pt>
                <c:pt idx="5">
                  <c:v>44935</c:v>
                </c:pt>
                <c:pt idx="6">
                  <c:v>44932</c:v>
                </c:pt>
                <c:pt idx="7">
                  <c:v>44931</c:v>
                </c:pt>
                <c:pt idx="8">
                  <c:v>44930</c:v>
                </c:pt>
                <c:pt idx="9">
                  <c:v>44929</c:v>
                </c:pt>
                <c:pt idx="10">
                  <c:v>44928</c:v>
                </c:pt>
                <c:pt idx="11">
                  <c:v>44924</c:v>
                </c:pt>
                <c:pt idx="12">
                  <c:v>44923</c:v>
                </c:pt>
                <c:pt idx="13">
                  <c:v>44922</c:v>
                </c:pt>
                <c:pt idx="14">
                  <c:v>44921</c:v>
                </c:pt>
                <c:pt idx="15">
                  <c:v>44918</c:v>
                </c:pt>
                <c:pt idx="16">
                  <c:v>44917</c:v>
                </c:pt>
                <c:pt idx="17">
                  <c:v>44916</c:v>
                </c:pt>
                <c:pt idx="18">
                  <c:v>44915</c:v>
                </c:pt>
                <c:pt idx="19">
                  <c:v>44914</c:v>
                </c:pt>
                <c:pt idx="20">
                  <c:v>44911</c:v>
                </c:pt>
                <c:pt idx="21">
                  <c:v>44910</c:v>
                </c:pt>
                <c:pt idx="22">
                  <c:v>44909</c:v>
                </c:pt>
                <c:pt idx="23">
                  <c:v>44908</c:v>
                </c:pt>
                <c:pt idx="24">
                  <c:v>44907</c:v>
                </c:pt>
                <c:pt idx="25">
                  <c:v>44904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</c:numCache>
            </c:numRef>
          </c:cat>
          <c:val>
            <c:numRef>
              <c:f>'KOSPI200 선물옵션'!$AA$106:$AA$175</c:f>
              <c:numCache>
                <c:formatCode>General</c:formatCode>
                <c:ptCount val="7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774-4B8C-A468-7CFF0FF2559B}"/>
            </c:ext>
          </c:extLst>
        </c:ser>
        <c:ser>
          <c:idx val="1"/>
          <c:order val="1"/>
          <c:tx>
            <c:strRef>
              <c:f>'KOSPI200 선물옵션'!$AB$105</c:f>
              <c:strCache>
                <c:ptCount val="1"/>
                <c:pt idx="0">
                  <c:v>개인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'KOSPI200 선물옵션'!$Z$106:$Z$175</c:f>
              <c:numCache>
                <c:formatCode>m/d/yyyy</c:formatCode>
                <c:ptCount val="70"/>
                <c:pt idx="0">
                  <c:v>44942</c:v>
                </c:pt>
                <c:pt idx="1">
                  <c:v>44939</c:v>
                </c:pt>
                <c:pt idx="2">
                  <c:v>44938</c:v>
                </c:pt>
                <c:pt idx="3">
                  <c:v>44937</c:v>
                </c:pt>
                <c:pt idx="4">
                  <c:v>44936</c:v>
                </c:pt>
                <c:pt idx="5">
                  <c:v>44935</c:v>
                </c:pt>
                <c:pt idx="6">
                  <c:v>44932</c:v>
                </c:pt>
                <c:pt idx="7">
                  <c:v>44931</c:v>
                </c:pt>
                <c:pt idx="8">
                  <c:v>44930</c:v>
                </c:pt>
                <c:pt idx="9">
                  <c:v>44929</c:v>
                </c:pt>
                <c:pt idx="10">
                  <c:v>44928</c:v>
                </c:pt>
                <c:pt idx="11">
                  <c:v>44924</c:v>
                </c:pt>
                <c:pt idx="12">
                  <c:v>44923</c:v>
                </c:pt>
                <c:pt idx="13">
                  <c:v>44922</c:v>
                </c:pt>
                <c:pt idx="14">
                  <c:v>44921</c:v>
                </c:pt>
                <c:pt idx="15">
                  <c:v>44918</c:v>
                </c:pt>
                <c:pt idx="16">
                  <c:v>44917</c:v>
                </c:pt>
                <c:pt idx="17">
                  <c:v>44916</c:v>
                </c:pt>
                <c:pt idx="18">
                  <c:v>44915</c:v>
                </c:pt>
                <c:pt idx="19">
                  <c:v>44914</c:v>
                </c:pt>
                <c:pt idx="20">
                  <c:v>44911</c:v>
                </c:pt>
                <c:pt idx="21">
                  <c:v>44910</c:v>
                </c:pt>
                <c:pt idx="22">
                  <c:v>44909</c:v>
                </c:pt>
                <c:pt idx="23">
                  <c:v>44908</c:v>
                </c:pt>
                <c:pt idx="24">
                  <c:v>44907</c:v>
                </c:pt>
                <c:pt idx="25">
                  <c:v>44904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</c:numCache>
            </c:numRef>
          </c:cat>
          <c:val>
            <c:numRef>
              <c:f>'KOSPI200 선물옵션'!$AB$106:$AB$175</c:f>
              <c:numCache>
                <c:formatCode>General</c:formatCode>
                <c:ptCount val="7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6774-4B8C-A468-7CFF0FF2559B}"/>
            </c:ext>
          </c:extLst>
        </c:ser>
        <c:ser>
          <c:idx val="2"/>
          <c:order val="2"/>
          <c:tx>
            <c:strRef>
              <c:f>'KOSPI200 선물옵션'!$AC$105</c:f>
              <c:strCache>
                <c:ptCount val="1"/>
                <c:pt idx="0">
                  <c:v>기관계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'KOSPI200 선물옵션'!$Z$106:$Z$175</c:f>
              <c:numCache>
                <c:formatCode>m/d/yyyy</c:formatCode>
                <c:ptCount val="70"/>
                <c:pt idx="0">
                  <c:v>44942</c:v>
                </c:pt>
                <c:pt idx="1">
                  <c:v>44939</c:v>
                </c:pt>
                <c:pt idx="2">
                  <c:v>44938</c:v>
                </c:pt>
                <c:pt idx="3">
                  <c:v>44937</c:v>
                </c:pt>
                <c:pt idx="4">
                  <c:v>44936</c:v>
                </c:pt>
                <c:pt idx="5">
                  <c:v>44935</c:v>
                </c:pt>
                <c:pt idx="6">
                  <c:v>44932</c:v>
                </c:pt>
                <c:pt idx="7">
                  <c:v>44931</c:v>
                </c:pt>
                <c:pt idx="8">
                  <c:v>44930</c:v>
                </c:pt>
                <c:pt idx="9">
                  <c:v>44929</c:v>
                </c:pt>
                <c:pt idx="10">
                  <c:v>44928</c:v>
                </c:pt>
                <c:pt idx="11">
                  <c:v>44924</c:v>
                </c:pt>
                <c:pt idx="12">
                  <c:v>44923</c:v>
                </c:pt>
                <c:pt idx="13">
                  <c:v>44922</c:v>
                </c:pt>
                <c:pt idx="14">
                  <c:v>44921</c:v>
                </c:pt>
                <c:pt idx="15">
                  <c:v>44918</c:v>
                </c:pt>
                <c:pt idx="16">
                  <c:v>44917</c:v>
                </c:pt>
                <c:pt idx="17">
                  <c:v>44916</c:v>
                </c:pt>
                <c:pt idx="18">
                  <c:v>44915</c:v>
                </c:pt>
                <c:pt idx="19">
                  <c:v>44914</c:v>
                </c:pt>
                <c:pt idx="20">
                  <c:v>44911</c:v>
                </c:pt>
                <c:pt idx="21">
                  <c:v>44910</c:v>
                </c:pt>
                <c:pt idx="22">
                  <c:v>44909</c:v>
                </c:pt>
                <c:pt idx="23">
                  <c:v>44908</c:v>
                </c:pt>
                <c:pt idx="24">
                  <c:v>44907</c:v>
                </c:pt>
                <c:pt idx="25">
                  <c:v>44904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</c:numCache>
            </c:numRef>
          </c:cat>
          <c:val>
            <c:numRef>
              <c:f>'KOSPI200 선물옵션'!$AC$106:$AC$175</c:f>
              <c:numCache>
                <c:formatCode>General</c:formatCode>
                <c:ptCount val="7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6774-4B8C-A468-7CFF0FF255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6849792"/>
        <c:axId val="236859776"/>
      </c:lineChart>
      <c:lineChart>
        <c:grouping val="standard"/>
        <c:varyColors val="0"/>
        <c:ser>
          <c:idx val="3"/>
          <c:order val="3"/>
          <c:tx>
            <c:v>K200(우)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'KOSPI200 선물옵션'!$Z$106:$Z$175</c:f>
              <c:numCache>
                <c:formatCode>m/d/yyyy</c:formatCode>
                <c:ptCount val="70"/>
                <c:pt idx="0">
                  <c:v>44942</c:v>
                </c:pt>
                <c:pt idx="1">
                  <c:v>44939</c:v>
                </c:pt>
                <c:pt idx="2">
                  <c:v>44938</c:v>
                </c:pt>
                <c:pt idx="3">
                  <c:v>44937</c:v>
                </c:pt>
                <c:pt idx="4">
                  <c:v>44936</c:v>
                </c:pt>
                <c:pt idx="5">
                  <c:v>44935</c:v>
                </c:pt>
                <c:pt idx="6">
                  <c:v>44932</c:v>
                </c:pt>
                <c:pt idx="7">
                  <c:v>44931</c:v>
                </c:pt>
                <c:pt idx="8">
                  <c:v>44930</c:v>
                </c:pt>
                <c:pt idx="9">
                  <c:v>44929</c:v>
                </c:pt>
                <c:pt idx="10">
                  <c:v>44928</c:v>
                </c:pt>
                <c:pt idx="11">
                  <c:v>44924</c:v>
                </c:pt>
                <c:pt idx="12">
                  <c:v>44923</c:v>
                </c:pt>
                <c:pt idx="13">
                  <c:v>44922</c:v>
                </c:pt>
                <c:pt idx="14">
                  <c:v>44921</c:v>
                </c:pt>
                <c:pt idx="15">
                  <c:v>44918</c:v>
                </c:pt>
                <c:pt idx="16">
                  <c:v>44917</c:v>
                </c:pt>
                <c:pt idx="17">
                  <c:v>44916</c:v>
                </c:pt>
                <c:pt idx="18">
                  <c:v>44915</c:v>
                </c:pt>
                <c:pt idx="19">
                  <c:v>44914</c:v>
                </c:pt>
                <c:pt idx="20">
                  <c:v>44911</c:v>
                </c:pt>
                <c:pt idx="21">
                  <c:v>44910</c:v>
                </c:pt>
                <c:pt idx="22">
                  <c:v>44909</c:v>
                </c:pt>
                <c:pt idx="23">
                  <c:v>44908</c:v>
                </c:pt>
                <c:pt idx="24">
                  <c:v>44907</c:v>
                </c:pt>
                <c:pt idx="25">
                  <c:v>44904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</c:numCache>
            </c:numRef>
          </c:cat>
          <c:val>
            <c:numRef>
              <c:f>'KOSPI200 선물옵션'!$Y$106:$Y$175</c:f>
              <c:numCache>
                <c:formatCode>General</c:formatCode>
                <c:ptCount val="70"/>
                <c:pt idx="0">
                  <c:v>316.04000000000002</c:v>
                </c:pt>
                <c:pt idx="1">
                  <c:v>313.77</c:v>
                </c:pt>
                <c:pt idx="2">
                  <c:v>310.7</c:v>
                </c:pt>
                <c:pt idx="3">
                  <c:v>310.38</c:v>
                </c:pt>
                <c:pt idx="4">
                  <c:v>309.57</c:v>
                </c:pt>
                <c:pt idx="5">
                  <c:v>309.69</c:v>
                </c:pt>
                <c:pt idx="6">
                  <c:v>301.52999999999997</c:v>
                </c:pt>
                <c:pt idx="7">
                  <c:v>297.87</c:v>
                </c:pt>
                <c:pt idx="8">
                  <c:v>295.98</c:v>
                </c:pt>
                <c:pt idx="9">
                  <c:v>289.58</c:v>
                </c:pt>
                <c:pt idx="10">
                  <c:v>289.79000000000002</c:v>
                </c:pt>
                <c:pt idx="11">
                  <c:v>291.10000000000002</c:v>
                </c:pt>
                <c:pt idx="12">
                  <c:v>297.08999999999997</c:v>
                </c:pt>
                <c:pt idx="13">
                  <c:v>304.22000000000003</c:v>
                </c:pt>
                <c:pt idx="14">
                  <c:v>302.27</c:v>
                </c:pt>
                <c:pt idx="15">
                  <c:v>302.07</c:v>
                </c:pt>
                <c:pt idx="16">
                  <c:v>307.48</c:v>
                </c:pt>
                <c:pt idx="17">
                  <c:v>303.23</c:v>
                </c:pt>
                <c:pt idx="18">
                  <c:v>304.05</c:v>
                </c:pt>
                <c:pt idx="19">
                  <c:v>306.77</c:v>
                </c:pt>
                <c:pt idx="20">
                  <c:v>307.48</c:v>
                </c:pt>
                <c:pt idx="21">
                  <c:v>307.73</c:v>
                </c:pt>
                <c:pt idx="22">
                  <c:v>313.23</c:v>
                </c:pt>
                <c:pt idx="23">
                  <c:v>309.56</c:v>
                </c:pt>
                <c:pt idx="24">
                  <c:v>309.64</c:v>
                </c:pt>
                <c:pt idx="25">
                  <c:v>311.63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6774-4B8C-A468-7CFF0FF255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6862848"/>
        <c:axId val="236861312"/>
      </c:lineChart>
      <c:dateAx>
        <c:axId val="236849792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6859776"/>
        <c:crosses val="autoZero"/>
        <c:auto val="1"/>
        <c:lblOffset val="100"/>
        <c:baseTimeUnit val="days"/>
        <c:majorUnit val="1"/>
        <c:majorTimeUnit val="months"/>
      </c:dateAx>
      <c:valAx>
        <c:axId val="2368597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6849792"/>
        <c:crosses val="autoZero"/>
        <c:crossBetween val="between"/>
      </c:valAx>
      <c:valAx>
        <c:axId val="23686131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6862848"/>
        <c:crosses val="max"/>
        <c:crossBetween val="between"/>
      </c:valAx>
      <c:dateAx>
        <c:axId val="23686284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36861312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0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콜옵션</c:v>
          </c:tx>
          <c:cat>
            <c:numRef>
              <c:f>'KOSPI200 선물옵션'!$J$44:$J$52</c:f>
              <c:numCache>
                <c:formatCode>General</c:formatCode>
                <c:ptCount val="9"/>
                <c:pt idx="0">
                  <c:v>325</c:v>
                </c:pt>
                <c:pt idx="1">
                  <c:v>322.5</c:v>
                </c:pt>
                <c:pt idx="2">
                  <c:v>320</c:v>
                </c:pt>
                <c:pt idx="3">
                  <c:v>317.5</c:v>
                </c:pt>
                <c:pt idx="4">
                  <c:v>315</c:v>
                </c:pt>
                <c:pt idx="5">
                  <c:v>312.5</c:v>
                </c:pt>
                <c:pt idx="6">
                  <c:v>310</c:v>
                </c:pt>
                <c:pt idx="7">
                  <c:v>307.5</c:v>
                </c:pt>
                <c:pt idx="8">
                  <c:v>305</c:v>
                </c:pt>
              </c:numCache>
            </c:numRef>
          </c:cat>
          <c:val>
            <c:numRef>
              <c:f>'KOSPI200 선물옵션'!$E$44:$E$52</c:f>
              <c:numCache>
                <c:formatCode>General</c:formatCode>
                <c:ptCount val="9"/>
                <c:pt idx="0">
                  <c:v>15.396800000000001</c:v>
                </c:pt>
                <c:pt idx="1">
                  <c:v>15.5563</c:v>
                </c:pt>
                <c:pt idx="2">
                  <c:v>15.5854</c:v>
                </c:pt>
                <c:pt idx="3">
                  <c:v>15.744400000000001</c:v>
                </c:pt>
                <c:pt idx="4">
                  <c:v>16.017199999999999</c:v>
                </c:pt>
                <c:pt idx="5">
                  <c:v>16.3062</c:v>
                </c:pt>
                <c:pt idx="6">
                  <c:v>16.524999999999999</c:v>
                </c:pt>
                <c:pt idx="7">
                  <c:v>17.2013</c:v>
                </c:pt>
                <c:pt idx="8">
                  <c:v>17.531400000000001</c:v>
                </c:pt>
              </c:numCache>
            </c:numRef>
          </c:val>
          <c:smooth val="0"/>
        </c:ser>
        <c:ser>
          <c:idx val="1"/>
          <c:order val="1"/>
          <c:tx>
            <c:v>풋옵션</c:v>
          </c:tx>
          <c:cat>
            <c:numRef>
              <c:f>'KOSPI200 선물옵션'!$J$44:$J$52</c:f>
              <c:numCache>
                <c:formatCode>General</c:formatCode>
                <c:ptCount val="9"/>
                <c:pt idx="0">
                  <c:v>325</c:v>
                </c:pt>
                <c:pt idx="1">
                  <c:v>322.5</c:v>
                </c:pt>
                <c:pt idx="2">
                  <c:v>320</c:v>
                </c:pt>
                <c:pt idx="3">
                  <c:v>317.5</c:v>
                </c:pt>
                <c:pt idx="4">
                  <c:v>315</c:v>
                </c:pt>
                <c:pt idx="5">
                  <c:v>312.5</c:v>
                </c:pt>
                <c:pt idx="6">
                  <c:v>310</c:v>
                </c:pt>
                <c:pt idx="7">
                  <c:v>307.5</c:v>
                </c:pt>
                <c:pt idx="8">
                  <c:v>305</c:v>
                </c:pt>
              </c:numCache>
            </c:numRef>
          </c:cat>
          <c:val>
            <c:numRef>
              <c:f>'KOSPI200 선물옵션'!$O$44:$O$52</c:f>
              <c:numCache>
                <c:formatCode>General</c:formatCode>
                <c:ptCount val="9"/>
                <c:pt idx="0">
                  <c:v>15.1494</c:v>
                </c:pt>
                <c:pt idx="1">
                  <c:v>15.2446</c:v>
                </c:pt>
                <c:pt idx="2">
                  <c:v>15.495799999999999</c:v>
                </c:pt>
                <c:pt idx="3">
                  <c:v>15.699299999999999</c:v>
                </c:pt>
                <c:pt idx="4">
                  <c:v>15.888999999999999</c:v>
                </c:pt>
                <c:pt idx="5">
                  <c:v>16.117699999999999</c:v>
                </c:pt>
                <c:pt idx="6">
                  <c:v>16.333200000000001</c:v>
                </c:pt>
                <c:pt idx="7">
                  <c:v>16.763500000000001</c:v>
                </c:pt>
                <c:pt idx="8">
                  <c:v>16.953399999999998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6880256"/>
        <c:axId val="236881792"/>
      </c:lineChart>
      <c:catAx>
        <c:axId val="236880256"/>
        <c:scaling>
          <c:orientation val="minMax"/>
        </c:scaling>
        <c:delete val="0"/>
        <c:axPos val="b"/>
        <c:numFmt formatCode="General" sourceLinked="1"/>
        <c:majorTickMark val="cross"/>
        <c:minorTickMark val="in"/>
        <c:tickLblPos val="nextTo"/>
        <c:spPr>
          <a:ln>
            <a:noFill/>
          </a:ln>
        </c:spPr>
        <c:crossAx val="236881792"/>
        <c:crosses val="autoZero"/>
        <c:auto val="1"/>
        <c:lblAlgn val="ctr"/>
        <c:lblOffset val="100"/>
        <c:noMultiLvlLbl val="0"/>
      </c:catAx>
      <c:valAx>
        <c:axId val="23688179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236880256"/>
        <c:crosses val="autoZero"/>
        <c:crossBetween val="between"/>
      </c:valAx>
    </c:plotArea>
    <c:legend>
      <c:legendPos val="t"/>
      <c:overlay val="0"/>
    </c:legend>
    <c:plotVisOnly val="0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K200(좌)</c:v>
          </c:tx>
          <c:marker>
            <c:symbol val="none"/>
          </c:marker>
          <c:cat>
            <c:numRef>
              <c:f>'KOSPI200 선물옵션'!$AM$121:$MN$121</c:f>
              <c:numCache>
                <c:formatCode>m/d/yyyy</c:formatCode>
                <c:ptCount val="314"/>
                <c:pt idx="0">
                  <c:v>44928</c:v>
                </c:pt>
                <c:pt idx="1">
                  <c:v>44929</c:v>
                </c:pt>
                <c:pt idx="2">
                  <c:v>44930</c:v>
                </c:pt>
                <c:pt idx="3">
                  <c:v>44931</c:v>
                </c:pt>
                <c:pt idx="4">
                  <c:v>44932</c:v>
                </c:pt>
                <c:pt idx="5">
                  <c:v>44935</c:v>
                </c:pt>
                <c:pt idx="6">
                  <c:v>44936</c:v>
                </c:pt>
                <c:pt idx="7">
                  <c:v>44937</c:v>
                </c:pt>
                <c:pt idx="8">
                  <c:v>44938</c:v>
                </c:pt>
                <c:pt idx="9">
                  <c:v>44939</c:v>
                </c:pt>
                <c:pt idx="10">
                  <c:v>44942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</c:numCache>
            </c:numRef>
          </c:cat>
          <c:val>
            <c:numRef>
              <c:f>'KOSPI200 선물옵션'!$AM$122:$MN$122</c:f>
              <c:numCache>
                <c:formatCode>General</c:formatCode>
                <c:ptCount val="314"/>
                <c:pt idx="0">
                  <c:v>289.79000000000002</c:v>
                </c:pt>
                <c:pt idx="1">
                  <c:v>289.58</c:v>
                </c:pt>
                <c:pt idx="2">
                  <c:v>295.98</c:v>
                </c:pt>
                <c:pt idx="3">
                  <c:v>297.87</c:v>
                </c:pt>
                <c:pt idx="4">
                  <c:v>301.52999999999997</c:v>
                </c:pt>
                <c:pt idx="5">
                  <c:v>309.69</c:v>
                </c:pt>
                <c:pt idx="6">
                  <c:v>309.57</c:v>
                </c:pt>
                <c:pt idx="7">
                  <c:v>310.38</c:v>
                </c:pt>
                <c:pt idx="8">
                  <c:v>310.7</c:v>
                </c:pt>
                <c:pt idx="9">
                  <c:v>313.77</c:v>
                </c:pt>
                <c:pt idx="10">
                  <c:v>316.04000000000002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7450368"/>
        <c:axId val="237451904"/>
      </c:lineChart>
      <c:lineChart>
        <c:grouping val="standard"/>
        <c:varyColors val="0"/>
        <c:ser>
          <c:idx val="1"/>
          <c:order val="1"/>
          <c:tx>
            <c:v>VKOSPI(우)</c:v>
          </c:tx>
          <c:marker>
            <c:symbol val="none"/>
          </c:marker>
          <c:cat>
            <c:numRef>
              <c:f>'KOSPI200 선물옵션'!$AM$121:$MN$121</c:f>
              <c:numCache>
                <c:formatCode>m/d/yyyy</c:formatCode>
                <c:ptCount val="314"/>
                <c:pt idx="0">
                  <c:v>44928</c:v>
                </c:pt>
                <c:pt idx="1">
                  <c:v>44929</c:v>
                </c:pt>
                <c:pt idx="2">
                  <c:v>44930</c:v>
                </c:pt>
                <c:pt idx="3">
                  <c:v>44931</c:v>
                </c:pt>
                <c:pt idx="4">
                  <c:v>44932</c:v>
                </c:pt>
                <c:pt idx="5">
                  <c:v>44935</c:v>
                </c:pt>
                <c:pt idx="6">
                  <c:v>44936</c:v>
                </c:pt>
                <c:pt idx="7">
                  <c:v>44937</c:v>
                </c:pt>
                <c:pt idx="8">
                  <c:v>44938</c:v>
                </c:pt>
                <c:pt idx="9">
                  <c:v>44939</c:v>
                </c:pt>
                <c:pt idx="10">
                  <c:v>44942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</c:numCache>
            </c:numRef>
          </c:cat>
          <c:val>
            <c:numRef>
              <c:f>'KOSPI200 선물옵션'!$AM$123:$MN$123</c:f>
              <c:numCache>
                <c:formatCode>General</c:formatCode>
                <c:ptCount val="314"/>
                <c:pt idx="0">
                  <c:v>18.850000000000001</c:v>
                </c:pt>
                <c:pt idx="1">
                  <c:v>18.96</c:v>
                </c:pt>
                <c:pt idx="2">
                  <c:v>18.170000000000002</c:v>
                </c:pt>
                <c:pt idx="3">
                  <c:v>17.850000000000001</c:v>
                </c:pt>
                <c:pt idx="4">
                  <c:v>17.739999999999998</c:v>
                </c:pt>
                <c:pt idx="5">
                  <c:v>18.48</c:v>
                </c:pt>
                <c:pt idx="6">
                  <c:v>18.22</c:v>
                </c:pt>
                <c:pt idx="7">
                  <c:v>17.98</c:v>
                </c:pt>
                <c:pt idx="8">
                  <c:v>18.34</c:v>
                </c:pt>
                <c:pt idx="9">
                  <c:v>17.190000000000001</c:v>
                </c:pt>
                <c:pt idx="10">
                  <c:v>16.88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7459328"/>
        <c:axId val="237457792"/>
      </c:lineChart>
      <c:dateAx>
        <c:axId val="237450368"/>
        <c:scaling>
          <c:orientation val="minMax"/>
        </c:scaling>
        <c:delete val="0"/>
        <c:axPos val="b"/>
        <c:numFmt formatCode="m/d/yyyy" sourceLinked="1"/>
        <c:majorTickMark val="cross"/>
        <c:minorTickMark val="cross"/>
        <c:tickLblPos val="nextTo"/>
        <c:crossAx val="237451904"/>
        <c:crosses val="autoZero"/>
        <c:auto val="1"/>
        <c:lblOffset val="100"/>
        <c:baseTimeUnit val="days"/>
      </c:dateAx>
      <c:valAx>
        <c:axId val="23745190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237450368"/>
        <c:crosses val="autoZero"/>
        <c:crossBetween val="between"/>
      </c:valAx>
      <c:valAx>
        <c:axId val="23745779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237459328"/>
        <c:crosses val="max"/>
        <c:crossBetween val="between"/>
      </c:valAx>
      <c:dateAx>
        <c:axId val="23745932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37457792"/>
        <c:crosses val="autoZero"/>
        <c:auto val="1"/>
        <c:lblOffset val="100"/>
        <c:baseTimeUnit val="days"/>
      </c:dateAx>
    </c:plotArea>
    <c:legend>
      <c:legendPos val="t"/>
      <c:overlay val="0"/>
    </c:legend>
    <c:plotVisOnly val="0"/>
    <c:dispBlanksAs val="span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314324</xdr:colOff>
      <xdr:row>23</xdr:row>
      <xdr:rowOff>0</xdr:rowOff>
    </xdr:from>
    <xdr:to>
      <xdr:col>7</xdr:col>
      <xdr:colOff>629774</xdr:colOff>
      <xdr:row>37</xdr:row>
      <xdr:rowOff>76200</xdr:rowOff>
    </xdr:to>
    <xdr:graphicFrame macro="">
      <xdr:nvGraphicFramePr>
        <xdr:cNvPr id="6" name="차트 5">
          <a:extLst>
            <a:ext uri="{FF2B5EF4-FFF2-40B4-BE49-F238E27FC236}">
              <a16:creationId xmlns="" xmlns:a16="http://schemas.microsoft.com/office/drawing/2014/main" id="{5DF0B5A5-E9C8-40C8-9D25-CE2DA97F05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419099</xdr:colOff>
      <xdr:row>23</xdr:row>
      <xdr:rowOff>0</xdr:rowOff>
    </xdr:from>
    <xdr:to>
      <xdr:col>14</xdr:col>
      <xdr:colOff>505949</xdr:colOff>
      <xdr:row>37</xdr:row>
      <xdr:rowOff>76200</xdr:rowOff>
    </xdr:to>
    <xdr:graphicFrame macro="">
      <xdr:nvGraphicFramePr>
        <xdr:cNvPr id="7" name="차트 6">
          <a:extLst>
            <a:ext uri="{FF2B5EF4-FFF2-40B4-BE49-F238E27FC236}">
              <a16:creationId xmlns="" xmlns:a16="http://schemas.microsoft.com/office/drawing/2014/main" id="{9C27B8F1-06DE-4977-A66D-177D5B4102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462643</xdr:colOff>
      <xdr:row>55</xdr:row>
      <xdr:rowOff>4762</xdr:rowOff>
    </xdr:from>
    <xdr:to>
      <xdr:col>14</xdr:col>
      <xdr:colOff>549493</xdr:colOff>
      <xdr:row>69</xdr:row>
      <xdr:rowOff>80962</xdr:rowOff>
    </xdr:to>
    <xdr:graphicFrame macro="">
      <xdr:nvGraphicFramePr>
        <xdr:cNvPr id="14" name="차트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123824</xdr:colOff>
      <xdr:row>55</xdr:row>
      <xdr:rowOff>4762</xdr:rowOff>
    </xdr:from>
    <xdr:to>
      <xdr:col>7</xdr:col>
      <xdr:colOff>434067</xdr:colOff>
      <xdr:row>69</xdr:row>
      <xdr:rowOff>80962</xdr:rowOff>
    </xdr:to>
    <xdr:graphicFrame macro="">
      <xdr:nvGraphicFramePr>
        <xdr:cNvPr id="15" name="차트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P483"/>
  <sheetViews>
    <sheetView showGridLines="0" tabSelected="1" topLeftCell="B1" zoomScaleNormal="100" workbookViewId="0">
      <selection activeCell="B1" sqref="B1"/>
    </sheetView>
  </sheetViews>
  <sheetFormatPr defaultColWidth="0" defaultRowHeight="15" customHeight="1" x14ac:dyDescent="0.25"/>
  <cols>
    <col min="1" max="1" width="12.7109375" style="1" hidden="1" customWidth="1"/>
    <col min="2" max="2" width="3.140625" customWidth="1"/>
    <col min="3" max="3" width="22" customWidth="1"/>
    <col min="4" max="15" width="12.7109375" customWidth="1"/>
    <col min="16" max="17" width="8.85546875" customWidth="1"/>
    <col min="18" max="19" width="8.85546875" style="1" customWidth="1"/>
    <col min="20" max="20" width="8.85546875" style="50" hidden="1" customWidth="1"/>
    <col min="21" max="21" width="11.42578125" style="1" hidden="1" customWidth="1"/>
    <col min="22" max="22" width="12.5703125" style="1" hidden="1" customWidth="1"/>
    <col min="23" max="23" width="13.85546875" style="1" hidden="1" customWidth="1"/>
    <col min="24" max="25" width="14.140625" style="1" hidden="1" customWidth="1"/>
    <col min="26" max="26" width="11.140625" style="1" hidden="1" customWidth="1"/>
    <col min="27" max="27" width="10.42578125" style="1" hidden="1" customWidth="1"/>
    <col min="28" max="28" width="13.42578125" style="1" hidden="1" customWidth="1"/>
    <col min="29" max="29" width="13.85546875" style="1" hidden="1" customWidth="1"/>
    <col min="30" max="30" width="13" style="1" hidden="1" customWidth="1"/>
    <col min="31" max="31" width="13.85546875" style="1" hidden="1" customWidth="1"/>
    <col min="32" max="33" width="14.140625" style="1" hidden="1" customWidth="1"/>
    <col min="34" max="34" width="13.85546875" style="1" hidden="1" customWidth="1"/>
    <col min="35" max="35" width="14.140625" style="1" hidden="1" customWidth="1"/>
    <col min="36" max="36" width="14.140625" style="57" hidden="1" customWidth="1"/>
    <col min="37" max="37" width="10.7109375" style="57" hidden="1" customWidth="1"/>
    <col min="38" max="38" width="14.140625" style="57" hidden="1" customWidth="1"/>
    <col min="39" max="39" width="13.85546875" style="57" hidden="1" customWidth="1"/>
    <col min="40" max="40" width="13.28515625" style="57" hidden="1" customWidth="1"/>
    <col min="41" max="41" width="13.85546875" style="57" hidden="1" customWidth="1"/>
    <col min="42" max="42" width="10.42578125" style="57" hidden="1" customWidth="1"/>
    <col min="43" max="43" width="11" style="57" hidden="1" customWidth="1"/>
    <col min="44" max="44" width="13.28515625" style="57" hidden="1" customWidth="1"/>
    <col min="45" max="45" width="13.85546875" style="57" hidden="1" customWidth="1"/>
    <col min="46" max="46" width="13.28515625" style="57" hidden="1" customWidth="1"/>
    <col min="47" max="50" width="13.85546875" style="57" hidden="1" customWidth="1"/>
    <col min="51" max="51" width="14.140625" style="57" hidden="1" customWidth="1"/>
    <col min="52" max="56" width="13.85546875" style="57" hidden="1" customWidth="1"/>
    <col min="57" max="57" width="13" style="57" hidden="1" customWidth="1"/>
    <col min="58" max="59" width="13.85546875" style="57" hidden="1" customWidth="1"/>
    <col min="60" max="60" width="12.7109375" style="57" hidden="1" customWidth="1"/>
    <col min="61" max="61" width="13.28515625" style="57" hidden="1" customWidth="1"/>
    <col min="62" max="62" width="13" style="57" hidden="1" customWidth="1"/>
    <col min="63" max="63" width="13.85546875" style="57" hidden="1" customWidth="1"/>
    <col min="64" max="64" width="12.7109375" style="57" hidden="1" customWidth="1"/>
    <col min="65" max="71" width="13.85546875" style="57" hidden="1" customWidth="1"/>
    <col min="72" max="72" width="13" style="57" hidden="1" customWidth="1"/>
    <col min="73" max="74" width="13.85546875" style="57" hidden="1" customWidth="1"/>
    <col min="75" max="75" width="13.28515625" style="57" hidden="1" customWidth="1"/>
    <col min="76" max="87" width="13.85546875" style="57" hidden="1" customWidth="1"/>
    <col min="88" max="88" width="13" style="57" hidden="1" customWidth="1"/>
    <col min="89" max="89" width="13.28515625" style="57" hidden="1" customWidth="1"/>
    <col min="90" max="92" width="13.85546875" style="57" hidden="1" customWidth="1"/>
    <col min="93" max="93" width="13.28515625" style="57" hidden="1" customWidth="1"/>
    <col min="94" max="94" width="13.85546875" style="57" hidden="1" customWidth="1"/>
    <col min="95" max="95" width="13.28515625" style="57" hidden="1" customWidth="1"/>
    <col min="96" max="96" width="13.85546875" style="57" hidden="1" customWidth="1"/>
    <col min="97" max="97" width="14.140625" style="57" hidden="1" customWidth="1"/>
    <col min="98" max="98" width="13.85546875" style="57" hidden="1" customWidth="1"/>
    <col min="99" max="99" width="13" style="57" hidden="1" customWidth="1"/>
    <col min="100" max="102" width="13.85546875" style="57" hidden="1" customWidth="1"/>
    <col min="103" max="103" width="13.28515625" style="57" hidden="1" customWidth="1"/>
    <col min="104" max="105" width="13.85546875" style="57" hidden="1" customWidth="1"/>
    <col min="106" max="106" width="13.28515625" style="57" hidden="1" customWidth="1"/>
    <col min="107" max="110" width="13.85546875" style="57" hidden="1" customWidth="1"/>
    <col min="111" max="111" width="13" style="57" hidden="1" customWidth="1"/>
    <col min="112" max="112" width="13.28515625" style="57" hidden="1" customWidth="1"/>
    <col min="113" max="113" width="13.85546875" style="57" hidden="1" customWidth="1"/>
    <col min="114" max="114" width="13.28515625" style="57" hidden="1" customWidth="1"/>
    <col min="115" max="115" width="13.85546875" style="57" hidden="1" customWidth="1"/>
    <col min="116" max="117" width="13" style="57" hidden="1" customWidth="1"/>
    <col min="118" max="118" width="13.85546875" style="57" hidden="1" customWidth="1"/>
    <col min="119" max="121" width="13.28515625" style="57" hidden="1" customWidth="1"/>
    <col min="122" max="125" width="13.85546875" style="57" hidden="1" customWidth="1"/>
    <col min="126" max="126" width="13.28515625" style="57" hidden="1" customWidth="1"/>
    <col min="127" max="128" width="13" style="57" hidden="1" customWidth="1"/>
    <col min="129" max="129" width="13.85546875" style="57" hidden="1" customWidth="1"/>
    <col min="130" max="130" width="13.28515625" style="57" hidden="1" customWidth="1"/>
    <col min="131" max="131" width="13" style="57" hidden="1" customWidth="1"/>
    <col min="132" max="132" width="13.28515625" style="57" hidden="1" customWidth="1"/>
    <col min="133" max="133" width="13" style="57" hidden="1" customWidth="1"/>
    <col min="134" max="134" width="14.140625" style="57" hidden="1" customWidth="1"/>
    <col min="135" max="135" width="13" style="57" hidden="1" customWidth="1"/>
    <col min="136" max="136" width="13.85546875" style="57" hidden="1" customWidth="1"/>
    <col min="137" max="139" width="14.140625" style="57" hidden="1" customWidth="1"/>
    <col min="140" max="140" width="13" style="57" hidden="1" customWidth="1"/>
    <col min="141" max="142" width="13.28515625" style="57" hidden="1" customWidth="1"/>
    <col min="143" max="143" width="14.140625" style="57" hidden="1" customWidth="1"/>
    <col min="144" max="144" width="13.28515625" style="57" hidden="1" customWidth="1"/>
    <col min="145" max="145" width="13" style="57" hidden="1" customWidth="1"/>
    <col min="146" max="146" width="13.85546875" style="57" hidden="1" customWidth="1"/>
    <col min="147" max="148" width="13" style="57" hidden="1" customWidth="1"/>
    <col min="149" max="149" width="13.85546875" style="57" hidden="1" customWidth="1"/>
    <col min="150" max="150" width="14.140625" style="57" hidden="1" customWidth="1"/>
    <col min="151" max="151" width="13.85546875" style="57" hidden="1" customWidth="1"/>
    <col min="152" max="152" width="13" style="57" hidden="1" customWidth="1"/>
    <col min="153" max="153" width="13.85546875" style="57" hidden="1" customWidth="1"/>
    <col min="154" max="154" width="13" style="57" hidden="1" customWidth="1"/>
    <col min="155" max="155" width="13.28515625" style="57" hidden="1" customWidth="1"/>
    <col min="156" max="156" width="13.85546875" style="57" hidden="1" customWidth="1"/>
    <col min="157" max="157" width="13.28515625" style="57" hidden="1" customWidth="1"/>
    <col min="158" max="158" width="13" style="57" hidden="1" customWidth="1"/>
    <col min="159" max="159" width="13.28515625" style="57" hidden="1" customWidth="1"/>
    <col min="160" max="160" width="13.85546875" style="57" hidden="1" customWidth="1"/>
    <col min="161" max="161" width="12.7109375" style="57" hidden="1" customWidth="1"/>
    <col min="162" max="162" width="13.85546875" style="57" hidden="1" customWidth="1"/>
    <col min="163" max="163" width="13.28515625" style="57" hidden="1" customWidth="1"/>
    <col min="164" max="165" width="13.85546875" style="57" hidden="1" customWidth="1"/>
    <col min="166" max="167" width="13.28515625" style="57" hidden="1" customWidth="1"/>
    <col min="168" max="168" width="13.85546875" style="57" hidden="1" customWidth="1"/>
    <col min="169" max="170" width="13" style="57" hidden="1" customWidth="1"/>
    <col min="171" max="171" width="13.85546875" style="57" hidden="1" customWidth="1"/>
    <col min="172" max="172" width="13.28515625" style="57" hidden="1" customWidth="1"/>
    <col min="173" max="173" width="13" style="57" hidden="1" customWidth="1"/>
    <col min="174" max="178" width="13.85546875" style="57" hidden="1" customWidth="1"/>
    <col min="179" max="179" width="14.140625" style="57" hidden="1" customWidth="1"/>
    <col min="180" max="182" width="13.85546875" style="57" hidden="1" customWidth="1"/>
    <col min="183" max="183" width="14.140625" style="57" hidden="1" customWidth="1"/>
    <col min="184" max="186" width="13.85546875" style="57" hidden="1" customWidth="1"/>
    <col min="187" max="188" width="13.28515625" style="57" hidden="1" customWidth="1"/>
    <col min="189" max="189" width="13" style="57" hidden="1" customWidth="1"/>
    <col min="190" max="190" width="13.85546875" style="57" hidden="1" customWidth="1"/>
    <col min="191" max="191" width="14.140625" style="57" hidden="1" customWidth="1"/>
    <col min="192" max="192" width="13.85546875" style="57" hidden="1" customWidth="1"/>
    <col min="193" max="193" width="13.28515625" style="57" hidden="1" customWidth="1"/>
    <col min="194" max="195" width="14.140625" style="57" hidden="1" customWidth="1"/>
    <col min="196" max="196" width="13" style="57" hidden="1" customWidth="1"/>
    <col min="197" max="197" width="13.85546875" style="57" hidden="1" customWidth="1"/>
    <col min="198" max="198" width="14.140625" style="57" hidden="1" customWidth="1"/>
    <col min="199" max="200" width="13.85546875" style="57" hidden="1" customWidth="1"/>
    <col min="201" max="201" width="13" style="57" hidden="1" customWidth="1"/>
    <col min="202" max="205" width="13.85546875" style="57" hidden="1" customWidth="1"/>
    <col min="206" max="206" width="13" style="57" hidden="1" customWidth="1"/>
    <col min="207" max="207" width="13.28515625" style="57" hidden="1" customWidth="1"/>
    <col min="208" max="208" width="13" style="57" hidden="1" customWidth="1"/>
    <col min="209" max="211" width="13.85546875" style="57" hidden="1" customWidth="1"/>
    <col min="212" max="212" width="13" style="57" hidden="1" customWidth="1"/>
    <col min="213" max="213" width="14.140625" style="57" hidden="1" customWidth="1"/>
    <col min="214" max="214" width="13.85546875" style="57" hidden="1" customWidth="1"/>
    <col min="215" max="215" width="13" style="57" hidden="1" customWidth="1"/>
    <col min="216" max="216" width="13.85546875" style="57" hidden="1" customWidth="1"/>
    <col min="217" max="218" width="13" style="57" hidden="1" customWidth="1"/>
    <col min="219" max="219" width="13.28515625" style="57" hidden="1" customWidth="1"/>
    <col min="220" max="221" width="13.85546875" style="57" hidden="1" customWidth="1"/>
    <col min="222" max="222" width="13.28515625" style="57" hidden="1" customWidth="1"/>
    <col min="223" max="223" width="13" style="57" hidden="1" customWidth="1"/>
    <col min="224" max="224" width="13.85546875" style="57" hidden="1" customWidth="1"/>
    <col min="225" max="225" width="13.28515625" style="57" hidden="1" customWidth="1"/>
    <col min="226" max="226" width="13.85546875" style="57" hidden="1" customWidth="1"/>
    <col min="227" max="227" width="13.28515625" style="57" hidden="1" customWidth="1"/>
    <col min="228" max="228" width="13.85546875" style="57" hidden="1" customWidth="1"/>
    <col min="229" max="230" width="13" style="57" hidden="1" customWidth="1"/>
    <col min="231" max="231" width="13.85546875" style="57" hidden="1" customWidth="1"/>
    <col min="232" max="232" width="14.140625" style="57" hidden="1" customWidth="1"/>
    <col min="233" max="238" width="13.85546875" style="57" hidden="1" customWidth="1"/>
    <col min="239" max="239" width="14.140625" style="57" hidden="1" customWidth="1"/>
    <col min="240" max="241" width="13.85546875" style="57" hidden="1" customWidth="1"/>
    <col min="242" max="242" width="13" style="57" hidden="1" customWidth="1"/>
    <col min="243" max="243" width="13.85546875" style="57" hidden="1" customWidth="1"/>
    <col min="244" max="244" width="14.140625" style="57" hidden="1" customWidth="1"/>
    <col min="245" max="245" width="13" style="57" hidden="1" customWidth="1"/>
    <col min="246" max="247" width="13.85546875" style="57" hidden="1" customWidth="1"/>
    <col min="248" max="248" width="14.140625" style="57" hidden="1" customWidth="1"/>
    <col min="249" max="249" width="13.85546875" style="57" hidden="1" customWidth="1"/>
    <col min="250" max="253" width="14.140625" style="57" hidden="1" customWidth="1"/>
    <col min="254" max="254" width="13.85546875" style="57" hidden="1" customWidth="1"/>
    <col min="255" max="255" width="14.140625" style="57" hidden="1" customWidth="1"/>
    <col min="256" max="256" width="13" style="57" hidden="1" customWidth="1"/>
    <col min="257" max="257" width="14.140625" style="57" hidden="1" customWidth="1"/>
    <col min="258" max="259" width="13.85546875" style="57" hidden="1" customWidth="1"/>
    <col min="260" max="260" width="13.28515625" style="57" hidden="1" customWidth="1"/>
    <col min="261" max="261" width="13.85546875" style="57" hidden="1" customWidth="1"/>
    <col min="262" max="262" width="13.28515625" style="57" hidden="1" customWidth="1"/>
    <col min="263" max="263" width="13.85546875" style="57" hidden="1" customWidth="1"/>
    <col min="264" max="264" width="13.28515625" style="57" hidden="1" customWidth="1"/>
    <col min="265" max="265" width="13.85546875" style="57" hidden="1" customWidth="1"/>
    <col min="266" max="269" width="14.140625" style="57" hidden="1" customWidth="1"/>
    <col min="270" max="273" width="13.85546875" style="57" hidden="1" customWidth="1"/>
    <col min="274" max="274" width="13" style="57" hidden="1" customWidth="1"/>
    <col min="275" max="275" width="14.140625" style="57" hidden="1" customWidth="1"/>
    <col min="276" max="278" width="13.85546875" style="57" hidden="1" customWidth="1"/>
    <col min="279" max="280" width="13.28515625" style="57" hidden="1" customWidth="1"/>
    <col min="281" max="282" width="14.140625" style="57" hidden="1" customWidth="1"/>
    <col min="283" max="283" width="13.85546875" style="57" hidden="1" customWidth="1"/>
    <col min="284" max="284" width="14.140625" style="57" hidden="1" customWidth="1"/>
    <col min="285" max="285" width="13.85546875" style="57" hidden="1" customWidth="1"/>
    <col min="286" max="286" width="13.28515625" style="57" hidden="1" customWidth="1"/>
    <col min="287" max="287" width="14.140625" style="57" hidden="1" customWidth="1"/>
    <col min="288" max="288" width="13" style="57" hidden="1" customWidth="1"/>
    <col min="289" max="290" width="14.140625" style="57" hidden="1" customWidth="1"/>
    <col min="291" max="291" width="13.85546875" style="57" hidden="1" customWidth="1"/>
    <col min="292" max="292" width="14.140625" style="57" hidden="1" customWidth="1"/>
    <col min="293" max="294" width="13.85546875" style="57" hidden="1" customWidth="1"/>
    <col min="295" max="295" width="14.140625" style="57" hidden="1" customWidth="1"/>
    <col min="296" max="296" width="12.7109375" style="57" hidden="1" customWidth="1"/>
    <col min="297" max="297" width="13" style="57" hidden="1" customWidth="1"/>
    <col min="298" max="299" width="13.85546875" style="57" hidden="1" customWidth="1"/>
    <col min="300" max="300" width="13" style="57" hidden="1" customWidth="1"/>
    <col min="301" max="301" width="13.28515625" style="57" hidden="1" customWidth="1"/>
    <col min="302" max="302" width="14.140625" style="57" hidden="1" customWidth="1"/>
    <col min="303" max="303" width="13.28515625" style="57" hidden="1" customWidth="1"/>
    <col min="304" max="306" width="13.85546875" style="57" hidden="1" customWidth="1"/>
    <col min="307" max="307" width="13" style="57" hidden="1" customWidth="1"/>
    <col min="308" max="310" width="13.85546875" style="57" hidden="1" customWidth="1"/>
    <col min="311" max="311" width="13.28515625" style="57" hidden="1" customWidth="1"/>
    <col min="312" max="312" width="14.140625" style="57" hidden="1" customWidth="1"/>
    <col min="313" max="313" width="13.85546875" style="57" hidden="1" customWidth="1"/>
    <col min="314" max="314" width="13" style="57" hidden="1" customWidth="1"/>
    <col min="315" max="318" width="13.85546875" style="57" hidden="1" customWidth="1"/>
    <col min="319" max="319" width="13" style="57" hidden="1" customWidth="1"/>
    <col min="320" max="320" width="13.85546875" style="57" hidden="1" customWidth="1"/>
    <col min="321" max="321" width="13" style="57" hidden="1" customWidth="1"/>
    <col min="322" max="322" width="13.28515625" style="57" hidden="1" customWidth="1"/>
    <col min="323" max="323" width="13.85546875" style="57" hidden="1" customWidth="1"/>
    <col min="324" max="324" width="14.140625" style="57" hidden="1" customWidth="1"/>
    <col min="325" max="325" width="12.7109375" style="57" hidden="1" customWidth="1"/>
    <col min="326" max="329" width="13.85546875" style="57" hidden="1" customWidth="1"/>
    <col min="330" max="330" width="14.140625" style="57" hidden="1" customWidth="1"/>
    <col min="331" max="331" width="13.28515625" style="57" hidden="1" customWidth="1"/>
    <col min="332" max="337" width="13.85546875" style="57" hidden="1" customWidth="1"/>
    <col min="338" max="338" width="13" style="57" hidden="1" customWidth="1"/>
    <col min="339" max="339" width="13.85546875" style="57" hidden="1" customWidth="1"/>
    <col min="340" max="340" width="14.140625" style="57" hidden="1" customWidth="1"/>
    <col min="341" max="341" width="13.85546875" style="57" hidden="1" customWidth="1"/>
    <col min="342" max="342" width="13" style="57" hidden="1" customWidth="1"/>
    <col min="343" max="343" width="13.85546875" style="57" hidden="1" customWidth="1"/>
    <col min="344" max="344" width="14.140625" style="57" hidden="1" customWidth="1"/>
    <col min="345" max="346" width="13.85546875" style="57" hidden="1" customWidth="1"/>
    <col min="347" max="347" width="14.140625" style="57" hidden="1" customWidth="1"/>
    <col min="348" max="348" width="13.85546875" style="57" hidden="1" customWidth="1"/>
    <col min="349" max="350" width="13.28515625" style="57" hidden="1" customWidth="1"/>
    <col min="351" max="352" width="13" style="57" hidden="1" customWidth="1"/>
    <col min="353" max="353" width="13.85546875" style="57" hidden="1" customWidth="1"/>
    <col min="354" max="354" width="13" style="57" hidden="1" customWidth="1"/>
    <col min="355" max="355" width="13.85546875" style="57" hidden="1" customWidth="1"/>
    <col min="356" max="356" width="13" style="57" hidden="1" customWidth="1"/>
    <col min="357" max="357" width="13.85546875" style="57" hidden="1" customWidth="1"/>
    <col min="358" max="358" width="13" style="57" hidden="1" customWidth="1"/>
    <col min="359" max="360" width="13.85546875" style="57" hidden="1" customWidth="1"/>
    <col min="361" max="361" width="13" style="57" hidden="1" customWidth="1"/>
    <col min="362" max="362" width="13.28515625" style="57" hidden="1" customWidth="1"/>
    <col min="363" max="363" width="13.85546875" style="57" hidden="1" customWidth="1"/>
    <col min="364" max="364" width="13.28515625" style="57" hidden="1" customWidth="1"/>
    <col min="365" max="365" width="13" style="57" hidden="1" customWidth="1"/>
    <col min="366" max="368" width="13.85546875" style="57" hidden="1" customWidth="1"/>
    <col min="369" max="369" width="14.140625" style="57" hidden="1" customWidth="1"/>
    <col min="370" max="371" width="13.28515625" style="57" hidden="1" customWidth="1"/>
    <col min="372" max="372" width="13" style="57" hidden="1" customWidth="1"/>
    <col min="373" max="374" width="13.28515625" style="57" hidden="1" customWidth="1"/>
    <col min="375" max="375" width="13.85546875" style="57" hidden="1" customWidth="1"/>
    <col min="376" max="376" width="13.28515625" style="57" hidden="1" customWidth="1"/>
    <col min="377" max="377" width="14.140625" style="57" hidden="1" customWidth="1"/>
    <col min="378" max="378" width="13.28515625" style="57" hidden="1" customWidth="1"/>
    <col min="379" max="381" width="13.85546875" style="57" hidden="1" customWidth="1"/>
    <col min="382" max="382" width="14.140625" style="57" hidden="1" customWidth="1"/>
    <col min="383" max="383" width="13.85546875" style="57" hidden="1" customWidth="1"/>
    <col min="384" max="384" width="13.28515625" style="57" hidden="1" customWidth="1"/>
    <col min="385" max="385" width="13.85546875" style="57" hidden="1" customWidth="1"/>
    <col min="386" max="386" width="14.140625" style="57" hidden="1" customWidth="1"/>
    <col min="387" max="16384" width="9.140625" style="57" hidden="1"/>
  </cols>
  <sheetData>
    <row r="1" spans="1:386" s="1" customFormat="1" ht="15" customHeight="1" x14ac:dyDescent="0.25">
      <c r="B1" s="145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T1" s="50"/>
    </row>
    <row r="2" spans="1:386" s="1" customFormat="1" ht="29.25" customHeight="1" x14ac:dyDescent="0.25">
      <c r="B2"/>
      <c r="C2" s="147" t="s">
        <v>4</v>
      </c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/>
      <c r="T2" s="50"/>
    </row>
    <row r="3" spans="1:386" s="6" customFormat="1" ht="6.75" customHeight="1" x14ac:dyDescent="0.25">
      <c r="B3" s="47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7"/>
      <c r="T3" s="51"/>
    </row>
    <row r="4" spans="1:386" s="1" customFormat="1" ht="15" customHeight="1" x14ac:dyDescent="0.25">
      <c r="A4" s="3">
        <f ca="1">WORKDAY(TODAY(),-1)</f>
        <v>44942</v>
      </c>
      <c r="B4"/>
      <c r="C4" s="4" t="s">
        <v>2</v>
      </c>
      <c r="D4" s="5">
        <f>$V$6</f>
        <v>44942</v>
      </c>
      <c r="E4"/>
      <c r="F4"/>
      <c r="G4"/>
      <c r="H4"/>
      <c r="I4"/>
      <c r="J4"/>
      <c r="K4"/>
      <c r="L4"/>
      <c r="M4"/>
      <c r="N4"/>
      <c r="O4"/>
      <c r="P4"/>
      <c r="Q4"/>
      <c r="T4" s="50"/>
    </row>
    <row r="5" spans="1:386" s="1" customFormat="1" ht="15" customHeight="1" thickBot="1" x14ac:dyDescent="0.3"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T5" s="50"/>
      <c r="U5" s="1" t="str">
        <f ca="1">_xll.IMDH("FUT","C01",U6:U18,TODAY()-2543,$A$4,365,"Per=일,sort=D,real=true,Bizday=0,Quote=종가,Pos=11,Orient=H,Title=코스피200선물,DtFmt=1,TmFmt=1")</f>
        <v>코스피200선물</v>
      </c>
    </row>
    <row r="6" spans="1:386" s="1" customFormat="1" ht="15" customHeight="1" x14ac:dyDescent="0.25">
      <c r="B6"/>
      <c r="C6" s="34" t="s">
        <v>5</v>
      </c>
      <c r="D6" s="28">
        <f>IF(V6="","",V6)</f>
        <v>44942</v>
      </c>
      <c r="E6" s="28">
        <f t="shared" ref="E6:O15" si="0">IF(W6="","",W6)</f>
        <v>44939</v>
      </c>
      <c r="F6" s="28">
        <f t="shared" si="0"/>
        <v>44938</v>
      </c>
      <c r="G6" s="28">
        <f t="shared" si="0"/>
        <v>44937</v>
      </c>
      <c r="H6" s="28">
        <f t="shared" si="0"/>
        <v>44936</v>
      </c>
      <c r="I6" s="28">
        <f t="shared" si="0"/>
        <v>44935</v>
      </c>
      <c r="J6" s="28">
        <f t="shared" si="0"/>
        <v>44932</v>
      </c>
      <c r="K6" s="28">
        <f t="shared" si="0"/>
        <v>44931</v>
      </c>
      <c r="L6" s="28">
        <f t="shared" si="0"/>
        <v>44930</v>
      </c>
      <c r="M6" s="28">
        <f t="shared" si="0"/>
        <v>44929</v>
      </c>
      <c r="N6" s="28">
        <f t="shared" si="0"/>
        <v>44928</v>
      </c>
      <c r="O6" s="29">
        <f t="shared" si="0"/>
        <v>44924</v>
      </c>
      <c r="P6"/>
      <c r="Q6"/>
      <c r="T6" s="50"/>
      <c r="U6" s="53" t="s">
        <v>1</v>
      </c>
      <c r="V6" s="54">
        <v>44942</v>
      </c>
      <c r="W6" s="54">
        <v>44939</v>
      </c>
      <c r="X6" s="54">
        <v>44938</v>
      </c>
      <c r="Y6" s="54">
        <v>44937</v>
      </c>
      <c r="Z6" s="54">
        <v>44936</v>
      </c>
      <c r="AA6" s="54">
        <v>44935</v>
      </c>
      <c r="AB6" s="54">
        <v>44932</v>
      </c>
      <c r="AC6" s="54">
        <v>44931</v>
      </c>
      <c r="AD6" s="54">
        <v>44930</v>
      </c>
      <c r="AE6" s="54">
        <v>44929</v>
      </c>
      <c r="AF6" s="54">
        <v>44928</v>
      </c>
      <c r="AG6" s="54">
        <v>44924</v>
      </c>
      <c r="AH6" s="54">
        <v>44923</v>
      </c>
      <c r="AI6" s="54">
        <v>44922</v>
      </c>
      <c r="AJ6" s="54">
        <v>44921</v>
      </c>
      <c r="AK6" s="54">
        <v>44918</v>
      </c>
      <c r="AL6" s="54">
        <v>44917</v>
      </c>
      <c r="AM6" s="54">
        <v>44916</v>
      </c>
      <c r="AN6" s="54">
        <v>44915</v>
      </c>
      <c r="AO6" s="54">
        <v>44914</v>
      </c>
      <c r="AP6" s="54">
        <v>44911</v>
      </c>
      <c r="AQ6" s="54">
        <v>44910</v>
      </c>
      <c r="AR6" s="54">
        <v>44909</v>
      </c>
      <c r="AS6" s="54">
        <v>44908</v>
      </c>
      <c r="AT6" s="54">
        <v>44907</v>
      </c>
      <c r="AU6" s="54">
        <v>44904</v>
      </c>
      <c r="AV6" s="54">
        <v>44903</v>
      </c>
      <c r="AW6" s="54">
        <v>44902</v>
      </c>
      <c r="AX6" s="54">
        <v>44901</v>
      </c>
      <c r="AY6" s="54">
        <v>44900</v>
      </c>
      <c r="AZ6" s="54">
        <v>44897</v>
      </c>
      <c r="BA6" s="54">
        <v>44896</v>
      </c>
      <c r="BB6" s="54">
        <v>44895</v>
      </c>
      <c r="BC6" s="54">
        <v>44894</v>
      </c>
      <c r="BD6" s="54">
        <v>44893</v>
      </c>
      <c r="BE6" s="54">
        <v>44890</v>
      </c>
      <c r="BF6" s="54">
        <v>44889</v>
      </c>
      <c r="BG6" s="54">
        <v>44888</v>
      </c>
      <c r="BH6" s="54">
        <v>44887</v>
      </c>
      <c r="BI6" s="54">
        <v>44886</v>
      </c>
      <c r="BJ6" s="54">
        <v>44883</v>
      </c>
      <c r="BK6" s="54">
        <v>44882</v>
      </c>
      <c r="BL6" s="54">
        <v>44881</v>
      </c>
      <c r="BM6" s="54">
        <v>44880</v>
      </c>
      <c r="BN6" s="54">
        <v>44879</v>
      </c>
      <c r="BO6" s="54">
        <v>44876</v>
      </c>
      <c r="BP6" s="54">
        <v>44875</v>
      </c>
      <c r="BQ6" s="54">
        <v>44874</v>
      </c>
      <c r="BR6" s="54">
        <v>44873</v>
      </c>
      <c r="BS6" s="54">
        <v>44872</v>
      </c>
      <c r="BT6" s="54">
        <v>44869</v>
      </c>
      <c r="BU6" s="54">
        <v>44868</v>
      </c>
      <c r="BV6" s="54">
        <v>44867</v>
      </c>
      <c r="BW6" s="54">
        <v>44866</v>
      </c>
      <c r="BX6" s="54">
        <v>44865</v>
      </c>
      <c r="BY6" s="54">
        <v>44862</v>
      </c>
      <c r="BZ6" s="54">
        <v>44861</v>
      </c>
      <c r="CA6" s="54">
        <v>44860</v>
      </c>
      <c r="CB6" s="54">
        <v>44859</v>
      </c>
      <c r="CC6" s="54">
        <v>44858</v>
      </c>
      <c r="CD6" s="54">
        <v>44855</v>
      </c>
      <c r="CE6" s="54">
        <v>44854</v>
      </c>
      <c r="CF6" s="54">
        <v>44853</v>
      </c>
      <c r="CG6" s="54">
        <v>44852</v>
      </c>
      <c r="CH6" s="54">
        <v>44851</v>
      </c>
      <c r="CI6" s="54">
        <v>44848</v>
      </c>
      <c r="CJ6" s="54">
        <v>44847</v>
      </c>
      <c r="CK6" s="54">
        <v>44846</v>
      </c>
      <c r="CL6" s="54">
        <v>44845</v>
      </c>
      <c r="CM6" s="54">
        <v>44841</v>
      </c>
      <c r="CN6" s="54">
        <v>44840</v>
      </c>
      <c r="CO6" s="54">
        <v>44839</v>
      </c>
      <c r="CP6" s="54">
        <v>44838</v>
      </c>
      <c r="CQ6" s="54">
        <v>44834</v>
      </c>
      <c r="CR6" s="54">
        <v>44833</v>
      </c>
      <c r="CS6" s="54">
        <v>44832</v>
      </c>
      <c r="CT6" s="54">
        <v>44831</v>
      </c>
      <c r="CU6" s="54">
        <v>44830</v>
      </c>
      <c r="CV6" s="54">
        <v>44827</v>
      </c>
      <c r="CW6" s="54">
        <v>44826</v>
      </c>
      <c r="CX6" s="54">
        <v>44825</v>
      </c>
      <c r="CY6" s="54">
        <v>44824</v>
      </c>
      <c r="CZ6" s="54">
        <v>44823</v>
      </c>
      <c r="DA6" s="54">
        <v>44820</v>
      </c>
      <c r="DB6" s="54">
        <v>44819</v>
      </c>
      <c r="DC6" s="54">
        <v>44818</v>
      </c>
      <c r="DD6" s="54">
        <v>44817</v>
      </c>
      <c r="DE6" s="54">
        <v>44812</v>
      </c>
      <c r="DF6" s="54">
        <v>44811</v>
      </c>
      <c r="DG6" s="54">
        <v>44810</v>
      </c>
      <c r="DH6" s="54">
        <v>44809</v>
      </c>
      <c r="DI6" s="54">
        <v>44806</v>
      </c>
      <c r="DJ6" s="54">
        <v>44805</v>
      </c>
      <c r="DK6" s="54">
        <v>44804</v>
      </c>
      <c r="DL6" s="54">
        <v>44803</v>
      </c>
      <c r="DM6" s="54">
        <v>44802</v>
      </c>
      <c r="DN6" s="54">
        <v>44799</v>
      </c>
      <c r="DO6" s="54">
        <v>44798</v>
      </c>
      <c r="DP6" s="54">
        <v>44797</v>
      </c>
      <c r="DQ6" s="54">
        <v>44796</v>
      </c>
      <c r="DR6" s="54">
        <v>44795</v>
      </c>
      <c r="DS6" s="54">
        <v>44792</v>
      </c>
      <c r="DT6" s="54">
        <v>44791</v>
      </c>
      <c r="DU6" s="54">
        <v>44790</v>
      </c>
      <c r="DV6" s="54">
        <v>44789</v>
      </c>
      <c r="DW6" s="54">
        <v>44785</v>
      </c>
      <c r="DX6" s="54">
        <v>44784</v>
      </c>
      <c r="DY6" s="54">
        <v>44783</v>
      </c>
      <c r="DZ6" s="54">
        <v>44782</v>
      </c>
      <c r="EA6" s="54">
        <v>44781</v>
      </c>
      <c r="EB6" s="54">
        <v>44778</v>
      </c>
      <c r="EC6" s="54">
        <v>44777</v>
      </c>
      <c r="ED6" s="54">
        <v>44776</v>
      </c>
      <c r="EE6" s="54">
        <v>44775</v>
      </c>
      <c r="EF6" s="54">
        <v>44774</v>
      </c>
      <c r="EG6" s="54">
        <v>44771</v>
      </c>
      <c r="EH6" s="54">
        <v>44770</v>
      </c>
      <c r="EI6" s="54">
        <v>44769</v>
      </c>
      <c r="EJ6" s="54">
        <v>44768</v>
      </c>
      <c r="EK6" s="54">
        <v>44767</v>
      </c>
      <c r="EL6" s="54">
        <v>44764</v>
      </c>
      <c r="EM6" s="54">
        <v>44763</v>
      </c>
      <c r="EN6" s="54">
        <v>44762</v>
      </c>
      <c r="EO6" s="54">
        <v>44761</v>
      </c>
      <c r="EP6" s="54">
        <v>44760</v>
      </c>
      <c r="EQ6" s="54">
        <v>44757</v>
      </c>
      <c r="ER6" s="54">
        <v>44756</v>
      </c>
      <c r="ES6" s="54">
        <v>44755</v>
      </c>
      <c r="ET6" s="54">
        <v>44754</v>
      </c>
      <c r="EU6" s="54">
        <v>44753</v>
      </c>
      <c r="EV6" s="54">
        <v>44750</v>
      </c>
      <c r="EW6" s="54">
        <v>44749</v>
      </c>
      <c r="EX6" s="54">
        <v>44748</v>
      </c>
      <c r="EY6" s="54">
        <v>44747</v>
      </c>
      <c r="EZ6" s="54">
        <v>44746</v>
      </c>
      <c r="FA6" s="54">
        <v>44743</v>
      </c>
      <c r="FB6" s="54">
        <v>44742</v>
      </c>
      <c r="FC6" s="54">
        <v>44741</v>
      </c>
      <c r="FD6" s="54">
        <v>44740</v>
      </c>
      <c r="FE6" s="54">
        <v>44739</v>
      </c>
      <c r="FF6" s="54">
        <v>44736</v>
      </c>
      <c r="FG6" s="54">
        <v>44735</v>
      </c>
      <c r="FH6" s="54">
        <v>44734</v>
      </c>
      <c r="FI6" s="54">
        <v>44733</v>
      </c>
      <c r="FJ6" s="54">
        <v>44732</v>
      </c>
      <c r="FK6" s="54">
        <v>44729</v>
      </c>
      <c r="FL6" s="54">
        <v>44728</v>
      </c>
      <c r="FM6" s="54">
        <v>44727</v>
      </c>
      <c r="FN6" s="54">
        <v>44726</v>
      </c>
      <c r="FO6" s="54">
        <v>44725</v>
      </c>
      <c r="FP6" s="54">
        <v>44722</v>
      </c>
      <c r="FQ6" s="54">
        <v>44721</v>
      </c>
      <c r="FR6" s="54">
        <v>44720</v>
      </c>
      <c r="FS6" s="54">
        <v>44719</v>
      </c>
      <c r="FT6" s="54">
        <v>44715</v>
      </c>
      <c r="FU6" s="54">
        <v>44714</v>
      </c>
      <c r="FV6" s="54">
        <v>44712</v>
      </c>
      <c r="FW6" s="54">
        <v>44711</v>
      </c>
      <c r="FX6" s="54">
        <v>44708</v>
      </c>
      <c r="FY6" s="54">
        <v>44707</v>
      </c>
      <c r="FZ6" s="54">
        <v>44706</v>
      </c>
      <c r="GA6" s="54">
        <v>44705</v>
      </c>
      <c r="GB6" s="54">
        <v>44704</v>
      </c>
      <c r="GC6" s="54">
        <v>44701</v>
      </c>
      <c r="GD6" s="54">
        <v>44700</v>
      </c>
      <c r="GE6" s="54">
        <v>44699</v>
      </c>
      <c r="GF6" s="54">
        <v>44698</v>
      </c>
      <c r="GG6" s="54">
        <v>44697</v>
      </c>
      <c r="GH6" s="54">
        <v>44694</v>
      </c>
      <c r="GI6" s="54">
        <v>44693</v>
      </c>
      <c r="GJ6" s="54">
        <v>44692</v>
      </c>
      <c r="GK6" s="54">
        <v>44691</v>
      </c>
      <c r="GL6" s="54">
        <v>44690</v>
      </c>
      <c r="GM6" s="54">
        <v>44687</v>
      </c>
      <c r="GN6" s="54">
        <v>44685</v>
      </c>
      <c r="GO6" s="54">
        <v>44684</v>
      </c>
      <c r="GP6" s="54">
        <v>44683</v>
      </c>
      <c r="GQ6" s="54">
        <v>44680</v>
      </c>
      <c r="GR6" s="54">
        <v>44679</v>
      </c>
      <c r="GS6" s="54">
        <v>44678</v>
      </c>
      <c r="GT6" s="54">
        <v>44677</v>
      </c>
      <c r="GU6" s="54">
        <v>44676</v>
      </c>
      <c r="GV6" s="54">
        <v>44673</v>
      </c>
      <c r="GW6" s="54">
        <v>44672</v>
      </c>
      <c r="GX6" s="54">
        <v>44671</v>
      </c>
      <c r="GY6" s="54">
        <v>44670</v>
      </c>
      <c r="GZ6" s="54">
        <v>44669</v>
      </c>
      <c r="HA6" s="54">
        <v>44666</v>
      </c>
      <c r="HB6" s="54">
        <v>44665</v>
      </c>
      <c r="HC6" s="54">
        <v>44664</v>
      </c>
      <c r="HD6" s="54">
        <v>44663</v>
      </c>
      <c r="HE6" s="54">
        <v>44662</v>
      </c>
      <c r="HF6" s="54">
        <v>44659</v>
      </c>
      <c r="HG6" s="54">
        <v>44658</v>
      </c>
      <c r="HH6" s="54">
        <v>44657</v>
      </c>
      <c r="HI6" s="54">
        <v>44656</v>
      </c>
      <c r="HJ6" s="54">
        <v>44655</v>
      </c>
      <c r="HK6" s="54">
        <v>44652</v>
      </c>
      <c r="HL6" s="54">
        <v>44651</v>
      </c>
      <c r="HM6" s="54">
        <v>44650</v>
      </c>
      <c r="HN6" s="54">
        <v>44649</v>
      </c>
      <c r="HO6" s="54">
        <v>44648</v>
      </c>
      <c r="HP6" s="54">
        <v>44645</v>
      </c>
      <c r="HQ6" s="54">
        <v>44644</v>
      </c>
      <c r="HR6" s="54">
        <v>44643</v>
      </c>
      <c r="HS6" s="54">
        <v>44642</v>
      </c>
      <c r="HT6" s="54">
        <v>44641</v>
      </c>
      <c r="HU6" s="54">
        <v>44638</v>
      </c>
      <c r="HV6" s="54">
        <v>44637</v>
      </c>
      <c r="HW6" s="54">
        <v>44636</v>
      </c>
      <c r="HX6" s="54">
        <v>44635</v>
      </c>
      <c r="HY6" s="54">
        <v>44634</v>
      </c>
      <c r="HZ6" s="54">
        <v>44631</v>
      </c>
      <c r="IA6" s="54">
        <v>44630</v>
      </c>
      <c r="IB6" s="54">
        <v>44628</v>
      </c>
      <c r="IC6" s="54">
        <v>44627</v>
      </c>
      <c r="ID6" s="54">
        <v>44624</v>
      </c>
      <c r="IE6" s="54">
        <v>44623</v>
      </c>
      <c r="IF6" s="54">
        <v>44622</v>
      </c>
      <c r="IG6" s="54">
        <v>44620</v>
      </c>
      <c r="IH6" s="54">
        <v>44617</v>
      </c>
      <c r="II6" s="54">
        <v>44616</v>
      </c>
      <c r="IJ6" s="54">
        <v>44615</v>
      </c>
      <c r="IK6" s="54">
        <v>44614</v>
      </c>
      <c r="IL6" s="54">
        <v>44613</v>
      </c>
      <c r="IM6" s="54">
        <v>44610</v>
      </c>
      <c r="IN6" s="54">
        <v>44609</v>
      </c>
      <c r="IO6" s="54">
        <v>44608</v>
      </c>
      <c r="IP6" s="54">
        <v>44607</v>
      </c>
      <c r="IQ6" s="54">
        <v>44606</v>
      </c>
      <c r="IR6" s="54">
        <v>44603</v>
      </c>
      <c r="IS6" s="54">
        <v>44602</v>
      </c>
      <c r="IT6" s="54">
        <v>44601</v>
      </c>
      <c r="IU6" s="54">
        <v>44600</v>
      </c>
      <c r="IV6" s="54">
        <v>44599</v>
      </c>
      <c r="IW6" s="54">
        <v>44596</v>
      </c>
      <c r="IX6" s="54">
        <v>44595</v>
      </c>
      <c r="IY6" s="54">
        <v>44589</v>
      </c>
      <c r="IZ6" s="54">
        <v>44588</v>
      </c>
      <c r="JA6" s="54">
        <v>44587</v>
      </c>
      <c r="JB6" s="54">
        <v>44586</v>
      </c>
      <c r="JC6" s="54">
        <v>44585</v>
      </c>
      <c r="JD6" s="54">
        <v>44582</v>
      </c>
      <c r="JE6" s="54">
        <v>44581</v>
      </c>
      <c r="JF6" s="54">
        <v>44580</v>
      </c>
      <c r="JG6" s="54">
        <v>44579</v>
      </c>
      <c r="JH6" s="54">
        <v>44578</v>
      </c>
      <c r="JI6" s="54">
        <v>44575</v>
      </c>
      <c r="JJ6" s="54">
        <v>44574</v>
      </c>
      <c r="JK6" s="54">
        <v>44573</v>
      </c>
      <c r="JL6" s="54">
        <v>44572</v>
      </c>
      <c r="JM6" s="54">
        <v>44571</v>
      </c>
      <c r="JN6" s="54">
        <v>44568</v>
      </c>
      <c r="JO6" s="54">
        <v>44567</v>
      </c>
      <c r="JP6" s="54">
        <v>44566</v>
      </c>
      <c r="JQ6" s="54">
        <v>44565</v>
      </c>
      <c r="JR6" s="54">
        <v>44564</v>
      </c>
      <c r="JS6" s="54">
        <v>44560</v>
      </c>
      <c r="JT6" s="54">
        <v>44559</v>
      </c>
      <c r="JU6" s="54">
        <v>44558</v>
      </c>
      <c r="JV6" s="54">
        <v>44557</v>
      </c>
      <c r="JW6" s="54">
        <v>44554</v>
      </c>
      <c r="JX6" s="54">
        <v>44553</v>
      </c>
      <c r="JY6" s="54">
        <v>44552</v>
      </c>
      <c r="JZ6" s="54">
        <v>44551</v>
      </c>
      <c r="KA6" s="54">
        <v>44550</v>
      </c>
      <c r="KB6" s="54">
        <v>44547</v>
      </c>
      <c r="KC6" s="54">
        <v>44546</v>
      </c>
      <c r="KD6" s="54">
        <v>44545</v>
      </c>
      <c r="KE6" s="54">
        <v>44544</v>
      </c>
      <c r="KF6" s="54">
        <v>44543</v>
      </c>
      <c r="KG6" s="54">
        <v>44540</v>
      </c>
      <c r="KH6" s="54">
        <v>44539</v>
      </c>
      <c r="KI6" s="54">
        <v>44538</v>
      </c>
      <c r="KJ6" s="54">
        <v>44537</v>
      </c>
      <c r="KK6" s="54">
        <v>44536</v>
      </c>
      <c r="KL6" s="54">
        <v>44533</v>
      </c>
      <c r="KM6" s="54">
        <v>44532</v>
      </c>
      <c r="KN6" s="54">
        <v>44531</v>
      </c>
      <c r="KO6" s="54">
        <v>44530</v>
      </c>
      <c r="KP6" s="54">
        <v>44529</v>
      </c>
      <c r="KQ6" s="54">
        <v>44526</v>
      </c>
      <c r="KR6" s="54">
        <v>44525</v>
      </c>
      <c r="KS6" s="54">
        <v>44524</v>
      </c>
      <c r="KT6" s="54">
        <v>44523</v>
      </c>
      <c r="KU6" s="54">
        <v>44522</v>
      </c>
      <c r="KV6" s="54">
        <v>44519</v>
      </c>
      <c r="KW6" s="54">
        <v>44518</v>
      </c>
      <c r="KX6" s="54">
        <v>44517</v>
      </c>
      <c r="KY6" s="54">
        <v>44516</v>
      </c>
      <c r="KZ6" s="54">
        <v>44515</v>
      </c>
      <c r="LA6" s="54">
        <v>44512</v>
      </c>
      <c r="LB6" s="54">
        <v>44511</v>
      </c>
      <c r="LC6" s="54">
        <v>44510</v>
      </c>
      <c r="LD6" s="54">
        <v>44509</v>
      </c>
      <c r="LE6" s="54">
        <v>44508</v>
      </c>
      <c r="LF6" s="54">
        <v>44505</v>
      </c>
      <c r="LG6" s="54">
        <v>44504</v>
      </c>
      <c r="LH6" s="54">
        <v>44503</v>
      </c>
      <c r="LI6" s="54">
        <v>44502</v>
      </c>
      <c r="LJ6" s="54">
        <v>44501</v>
      </c>
      <c r="LK6" s="54">
        <v>44498</v>
      </c>
      <c r="LL6" s="54">
        <v>44497</v>
      </c>
      <c r="LM6" s="54">
        <v>44496</v>
      </c>
      <c r="LN6" s="54">
        <v>44495</v>
      </c>
      <c r="LO6" s="54">
        <v>44494</v>
      </c>
      <c r="LP6" s="54">
        <v>44491</v>
      </c>
      <c r="LQ6" s="54">
        <v>44490</v>
      </c>
      <c r="LR6" s="54">
        <v>44489</v>
      </c>
      <c r="LS6" s="54">
        <v>44488</v>
      </c>
      <c r="LT6" s="54">
        <v>44487</v>
      </c>
      <c r="LU6" s="54">
        <v>44484</v>
      </c>
      <c r="LV6" s="54">
        <v>44483</v>
      </c>
      <c r="LW6" s="54">
        <v>44482</v>
      </c>
      <c r="LX6" s="54">
        <v>44481</v>
      </c>
      <c r="LY6" s="54">
        <v>44477</v>
      </c>
      <c r="LZ6" s="54">
        <v>44476</v>
      </c>
      <c r="MA6" s="54">
        <v>44475</v>
      </c>
      <c r="MB6" s="54">
        <v>44474</v>
      </c>
      <c r="MC6" s="54">
        <v>44470</v>
      </c>
      <c r="MD6" s="54">
        <v>44469</v>
      </c>
      <c r="ME6" s="54">
        <v>44468</v>
      </c>
      <c r="MF6" s="54">
        <v>44467</v>
      </c>
      <c r="MG6" s="54">
        <v>44466</v>
      </c>
      <c r="MH6" s="54">
        <v>44463</v>
      </c>
      <c r="MI6" s="54">
        <v>44462</v>
      </c>
      <c r="MJ6" s="54">
        <v>44456</v>
      </c>
      <c r="MK6" s="54">
        <v>44455</v>
      </c>
      <c r="ML6" s="54">
        <v>44454</v>
      </c>
      <c r="MM6" s="54">
        <v>44453</v>
      </c>
      <c r="MN6" s="54">
        <v>44452</v>
      </c>
      <c r="MO6" s="54">
        <v>44449</v>
      </c>
      <c r="MP6" s="54">
        <v>44448</v>
      </c>
      <c r="MQ6" s="54">
        <v>44447</v>
      </c>
      <c r="MR6" s="54">
        <v>44446</v>
      </c>
      <c r="MS6" s="54">
        <v>44445</v>
      </c>
      <c r="MT6" s="54">
        <v>44442</v>
      </c>
      <c r="MU6" s="54">
        <v>44441</v>
      </c>
      <c r="MV6" s="54">
        <v>44440</v>
      </c>
      <c r="MW6" s="54">
        <v>44439</v>
      </c>
      <c r="MX6" s="54">
        <v>44438</v>
      </c>
      <c r="MY6" s="54">
        <v>44435</v>
      </c>
      <c r="MZ6" s="54">
        <v>44434</v>
      </c>
      <c r="NA6" s="54">
        <v>44433</v>
      </c>
      <c r="NB6" s="54">
        <v>44432</v>
      </c>
      <c r="NC6" s="54">
        <v>44431</v>
      </c>
      <c r="ND6" s="54">
        <v>44428</v>
      </c>
      <c r="NE6" s="54">
        <v>44427</v>
      </c>
      <c r="NF6" s="54">
        <v>44426</v>
      </c>
      <c r="NG6" s="54">
        <v>44425</v>
      </c>
      <c r="NH6" s="54">
        <v>44421</v>
      </c>
      <c r="NI6" s="54">
        <v>44420</v>
      </c>
      <c r="NJ6" s="54">
        <v>44419</v>
      </c>
      <c r="NK6" s="54">
        <v>44418</v>
      </c>
      <c r="NL6" s="54">
        <v>44417</v>
      </c>
      <c r="NM6" s="54">
        <v>44414</v>
      </c>
      <c r="NN6" s="54">
        <v>44413</v>
      </c>
      <c r="NO6" s="54">
        <v>44412</v>
      </c>
      <c r="NP6" s="54">
        <v>44411</v>
      </c>
      <c r="NQ6" s="54">
        <v>44410</v>
      </c>
      <c r="NR6" s="54">
        <v>44407</v>
      </c>
      <c r="NS6" s="54">
        <v>44406</v>
      </c>
      <c r="NT6" s="54">
        <v>44405</v>
      </c>
      <c r="NU6" s="54">
        <v>44404</v>
      </c>
      <c r="NV6" s="54">
        <v>44403</v>
      </c>
    </row>
    <row r="7" spans="1:386" s="1" customFormat="1" ht="15" customHeight="1" x14ac:dyDescent="0.25">
      <c r="B7"/>
      <c r="C7" s="33" t="s">
        <v>3</v>
      </c>
      <c r="D7" s="35">
        <f>IF(V7="","",V7)</f>
        <v>317.7</v>
      </c>
      <c r="E7" s="36">
        <f t="shared" si="0"/>
        <v>315.3</v>
      </c>
      <c r="F7" s="36">
        <f t="shared" si="0"/>
        <v>313.3</v>
      </c>
      <c r="G7" s="36">
        <f t="shared" si="0"/>
        <v>312</v>
      </c>
      <c r="H7" s="36">
        <f t="shared" si="0"/>
        <v>310.89999999999998</v>
      </c>
      <c r="I7" s="36">
        <f t="shared" si="0"/>
        <v>311.5</v>
      </c>
      <c r="J7" s="36">
        <f t="shared" si="0"/>
        <v>303.25</v>
      </c>
      <c r="K7" s="36">
        <f t="shared" si="0"/>
        <v>298.45</v>
      </c>
      <c r="L7" s="36">
        <f t="shared" si="0"/>
        <v>297</v>
      </c>
      <c r="M7" s="36">
        <f t="shared" si="0"/>
        <v>290.95</v>
      </c>
      <c r="N7" s="36">
        <f t="shared" si="0"/>
        <v>291.25</v>
      </c>
      <c r="O7" s="37">
        <f t="shared" si="0"/>
        <v>292.85000000000002</v>
      </c>
      <c r="P7"/>
      <c r="Q7"/>
      <c r="T7" s="50"/>
      <c r="U7" s="55" t="s">
        <v>9</v>
      </c>
      <c r="V7" s="1">
        <v>317.7</v>
      </c>
      <c r="W7" s="1">
        <v>315.3</v>
      </c>
      <c r="X7" s="1">
        <v>313.3</v>
      </c>
      <c r="Y7" s="1">
        <v>312</v>
      </c>
      <c r="Z7" s="1">
        <v>310.89999999999998</v>
      </c>
      <c r="AA7" s="1">
        <v>311.5</v>
      </c>
      <c r="AB7" s="1">
        <v>303.25</v>
      </c>
      <c r="AC7" s="1">
        <v>298.45</v>
      </c>
      <c r="AD7" s="1">
        <v>297</v>
      </c>
      <c r="AE7" s="1">
        <v>290.95</v>
      </c>
      <c r="AF7" s="1">
        <v>291.25</v>
      </c>
      <c r="AG7" s="1">
        <v>292.85000000000002</v>
      </c>
      <c r="AH7" s="1">
        <v>298.45</v>
      </c>
      <c r="AI7" s="1">
        <v>302.3</v>
      </c>
      <c r="AJ7" s="1">
        <v>299.95</v>
      </c>
      <c r="AK7" s="1">
        <v>299.45</v>
      </c>
      <c r="AL7" s="1">
        <v>305.05</v>
      </c>
      <c r="AM7" s="1">
        <v>301</v>
      </c>
      <c r="AN7" s="1">
        <v>301.89999999999998</v>
      </c>
      <c r="AO7" s="1">
        <v>304.35000000000002</v>
      </c>
      <c r="AP7" s="1">
        <v>304.05</v>
      </c>
      <c r="AQ7" s="1">
        <v>306.14999999999998</v>
      </c>
      <c r="AR7" s="1">
        <v>311.39999999999998</v>
      </c>
      <c r="AS7" s="1">
        <v>308.3</v>
      </c>
      <c r="AT7" s="1">
        <v>308.05</v>
      </c>
      <c r="AU7" s="1">
        <v>310.64999999999998</v>
      </c>
      <c r="AV7" s="1">
        <v>307.60000000000002</v>
      </c>
      <c r="AW7" s="1">
        <v>308.2</v>
      </c>
      <c r="AX7" s="1">
        <v>310.14999999999998</v>
      </c>
      <c r="AY7" s="1">
        <v>314.35000000000002</v>
      </c>
      <c r="AZ7" s="1">
        <v>315</v>
      </c>
      <c r="BA7" s="1">
        <v>323.10000000000002</v>
      </c>
      <c r="BB7" s="1">
        <v>319.64999999999998</v>
      </c>
      <c r="BC7" s="1">
        <v>315.7</v>
      </c>
      <c r="BD7" s="1">
        <v>312.89999999999998</v>
      </c>
      <c r="BE7" s="1">
        <v>316.5</v>
      </c>
      <c r="BF7" s="1">
        <v>318.05</v>
      </c>
      <c r="BG7" s="1">
        <v>315.05</v>
      </c>
      <c r="BH7" s="1">
        <v>312.35000000000002</v>
      </c>
      <c r="BI7" s="1">
        <v>314.45</v>
      </c>
      <c r="BJ7" s="1">
        <v>317.45</v>
      </c>
      <c r="BK7" s="1">
        <v>319.25</v>
      </c>
      <c r="BL7" s="1">
        <v>322.95</v>
      </c>
      <c r="BM7" s="1">
        <v>323</v>
      </c>
      <c r="BN7" s="1">
        <v>322.60000000000002</v>
      </c>
      <c r="BO7" s="1">
        <v>324.95</v>
      </c>
      <c r="BP7" s="1">
        <v>311.45</v>
      </c>
      <c r="BQ7" s="1">
        <v>316.25</v>
      </c>
      <c r="BR7" s="1">
        <v>312.95</v>
      </c>
      <c r="BS7" s="1">
        <v>309</v>
      </c>
      <c r="BT7" s="1">
        <v>305.39999999999998</v>
      </c>
      <c r="BU7" s="1">
        <v>302.05</v>
      </c>
      <c r="BV7" s="1">
        <v>304.45</v>
      </c>
      <c r="BW7" s="1">
        <v>303.89999999999998</v>
      </c>
      <c r="BX7" s="1">
        <v>300.7</v>
      </c>
      <c r="BY7" s="1">
        <v>295.8</v>
      </c>
      <c r="BZ7" s="1">
        <v>299.64999999999998</v>
      </c>
      <c r="CA7" s="1">
        <v>294.7</v>
      </c>
      <c r="CB7" s="1">
        <v>292.45</v>
      </c>
      <c r="CC7" s="1">
        <v>292.89999999999998</v>
      </c>
      <c r="CD7" s="1">
        <v>289.55</v>
      </c>
      <c r="CE7" s="1">
        <v>288.60000000000002</v>
      </c>
      <c r="CF7" s="1">
        <v>291.3</v>
      </c>
      <c r="CG7" s="1">
        <v>294.5</v>
      </c>
      <c r="CH7" s="1">
        <v>289.35000000000002</v>
      </c>
      <c r="CI7" s="1">
        <v>290.89999999999998</v>
      </c>
      <c r="CJ7" s="1">
        <v>282.8</v>
      </c>
      <c r="CK7" s="1">
        <v>287.85000000000002</v>
      </c>
      <c r="CL7" s="1">
        <v>284.89999999999998</v>
      </c>
      <c r="CM7" s="1">
        <v>290.85000000000002</v>
      </c>
      <c r="CN7" s="1">
        <v>292.14999999999998</v>
      </c>
      <c r="CO7" s="1">
        <v>290.39999999999998</v>
      </c>
      <c r="CP7" s="1">
        <v>290</v>
      </c>
      <c r="CQ7" s="1">
        <v>282.45</v>
      </c>
      <c r="CR7" s="1">
        <v>284.75</v>
      </c>
      <c r="CS7" s="1">
        <v>283</v>
      </c>
      <c r="CT7" s="1">
        <v>290.60000000000002</v>
      </c>
      <c r="CU7" s="1">
        <v>290.3</v>
      </c>
      <c r="CV7" s="1">
        <v>297.85000000000002</v>
      </c>
      <c r="CW7" s="1">
        <v>301.05</v>
      </c>
      <c r="CX7" s="1">
        <v>304.39999999999998</v>
      </c>
      <c r="CY7" s="1">
        <v>307.55</v>
      </c>
      <c r="CZ7" s="1">
        <v>306.89999999999998</v>
      </c>
      <c r="DA7" s="1">
        <v>307.89999999999998</v>
      </c>
      <c r="DB7" s="1">
        <v>311.39999999999998</v>
      </c>
      <c r="DC7" s="1">
        <v>312.7</v>
      </c>
      <c r="DD7" s="1">
        <v>320.2</v>
      </c>
      <c r="DE7" s="1">
        <v>309.10000000000002</v>
      </c>
      <c r="DF7" s="1">
        <v>308.3</v>
      </c>
      <c r="DG7" s="1">
        <v>312.89999999999998</v>
      </c>
      <c r="DH7" s="1">
        <v>312.10000000000002</v>
      </c>
      <c r="DI7" s="1">
        <v>313.85000000000002</v>
      </c>
      <c r="DJ7" s="1">
        <v>314.5</v>
      </c>
      <c r="DK7" s="1">
        <v>321</v>
      </c>
      <c r="DL7" s="1">
        <v>319.45</v>
      </c>
      <c r="DM7" s="1">
        <v>315.7</v>
      </c>
      <c r="DN7" s="1">
        <v>324.5</v>
      </c>
      <c r="DO7" s="1">
        <v>323.85000000000002</v>
      </c>
      <c r="DP7" s="1">
        <v>319.60000000000002</v>
      </c>
      <c r="DQ7" s="1">
        <v>318.14999999999998</v>
      </c>
      <c r="DR7" s="1">
        <v>322.2</v>
      </c>
      <c r="DS7" s="1">
        <v>326.8</v>
      </c>
      <c r="DT7" s="1">
        <v>328.35</v>
      </c>
      <c r="DU7" s="1">
        <v>329.8</v>
      </c>
      <c r="DV7" s="1">
        <v>332.05</v>
      </c>
      <c r="DW7" s="1">
        <v>330.7</v>
      </c>
      <c r="DX7" s="1">
        <v>330.2</v>
      </c>
      <c r="DY7" s="1">
        <v>324.5</v>
      </c>
      <c r="DZ7" s="1">
        <v>328.2</v>
      </c>
      <c r="EA7" s="1">
        <v>326.85000000000002</v>
      </c>
      <c r="EB7" s="1">
        <v>327.35000000000002</v>
      </c>
      <c r="EC7" s="1">
        <v>325.75</v>
      </c>
      <c r="ED7" s="1">
        <v>324.14999999999998</v>
      </c>
      <c r="EE7" s="1">
        <v>321.5</v>
      </c>
      <c r="EF7" s="1">
        <v>323.89999999999998</v>
      </c>
      <c r="EG7" s="1">
        <v>323.45</v>
      </c>
      <c r="EH7" s="1">
        <v>322.8</v>
      </c>
      <c r="EI7" s="1">
        <v>320.25</v>
      </c>
      <c r="EJ7" s="1">
        <v>320.5</v>
      </c>
      <c r="EK7" s="1">
        <v>319.10000000000002</v>
      </c>
      <c r="EL7" s="1">
        <v>318.2</v>
      </c>
      <c r="EM7" s="1">
        <v>318.8</v>
      </c>
      <c r="EN7" s="1">
        <v>316.5</v>
      </c>
      <c r="EO7" s="1">
        <v>313.7</v>
      </c>
      <c r="EP7" s="1">
        <v>316</v>
      </c>
      <c r="EQ7" s="1">
        <v>308</v>
      </c>
      <c r="ER7" s="1">
        <v>306.60000000000002</v>
      </c>
      <c r="ES7" s="1">
        <v>307.89999999999998</v>
      </c>
      <c r="ET7" s="1">
        <v>305.55</v>
      </c>
      <c r="EU7" s="1">
        <v>309.10000000000002</v>
      </c>
      <c r="EV7" s="1">
        <v>310.8</v>
      </c>
      <c r="EW7" s="1">
        <v>308.95</v>
      </c>
      <c r="EX7" s="1">
        <v>303.3</v>
      </c>
      <c r="EY7" s="1">
        <v>309.95</v>
      </c>
      <c r="EZ7" s="1">
        <v>305.05</v>
      </c>
      <c r="FA7" s="1">
        <v>304.95</v>
      </c>
      <c r="FB7" s="1">
        <v>307.45</v>
      </c>
      <c r="FC7" s="1">
        <v>313.3</v>
      </c>
      <c r="FD7" s="1">
        <v>318.95</v>
      </c>
      <c r="FE7" s="1">
        <v>316.60000000000002</v>
      </c>
      <c r="FF7" s="1">
        <v>312.7</v>
      </c>
      <c r="FG7" s="1">
        <v>306.10000000000002</v>
      </c>
      <c r="FH7" s="1">
        <v>308.3</v>
      </c>
      <c r="FI7" s="1">
        <v>316.7</v>
      </c>
      <c r="FJ7" s="1">
        <v>313.85000000000002</v>
      </c>
      <c r="FK7" s="1">
        <v>319</v>
      </c>
      <c r="FL7" s="1">
        <v>321.60000000000002</v>
      </c>
      <c r="FM7" s="1">
        <v>321.39999999999998</v>
      </c>
      <c r="FN7" s="1">
        <v>327</v>
      </c>
      <c r="FO7" s="1">
        <v>329.25</v>
      </c>
      <c r="FP7" s="1">
        <v>341.1</v>
      </c>
      <c r="FQ7" s="1">
        <v>345.5</v>
      </c>
      <c r="FR7" s="1">
        <v>346.65</v>
      </c>
      <c r="FS7" s="1">
        <v>345.7</v>
      </c>
      <c r="FT7" s="1">
        <v>352.4</v>
      </c>
      <c r="FU7" s="1">
        <v>350</v>
      </c>
      <c r="FV7" s="1">
        <v>354.15</v>
      </c>
      <c r="FW7" s="1">
        <v>352.95</v>
      </c>
      <c r="FX7" s="1">
        <v>348.9</v>
      </c>
      <c r="FY7" s="1">
        <v>344.8</v>
      </c>
      <c r="FZ7" s="1">
        <v>346.15</v>
      </c>
      <c r="GA7" s="1">
        <v>344.2</v>
      </c>
      <c r="GB7" s="1">
        <v>350.7</v>
      </c>
      <c r="GC7" s="1">
        <v>349.65</v>
      </c>
      <c r="GD7" s="1">
        <v>342.1</v>
      </c>
      <c r="GE7" s="1">
        <v>348.4</v>
      </c>
      <c r="GF7" s="1">
        <v>347.6</v>
      </c>
      <c r="GG7" s="1">
        <v>344.15</v>
      </c>
      <c r="GH7" s="1">
        <v>345.7</v>
      </c>
      <c r="GI7" s="1">
        <v>337.8</v>
      </c>
      <c r="GJ7" s="1">
        <v>343.05</v>
      </c>
      <c r="GK7" s="1">
        <v>343.1</v>
      </c>
      <c r="GL7" s="1">
        <v>345.3</v>
      </c>
      <c r="GM7" s="1">
        <v>348.3</v>
      </c>
      <c r="GN7" s="1">
        <v>353.55</v>
      </c>
      <c r="GO7" s="1">
        <v>352.85</v>
      </c>
      <c r="GP7" s="1">
        <v>353.45</v>
      </c>
      <c r="GQ7" s="1">
        <v>355.6</v>
      </c>
      <c r="GR7" s="1">
        <v>349.9</v>
      </c>
      <c r="GS7" s="1">
        <v>345.4</v>
      </c>
      <c r="GT7" s="1">
        <v>350.05</v>
      </c>
      <c r="GU7" s="1">
        <v>348.35</v>
      </c>
      <c r="GV7" s="1">
        <v>354.55</v>
      </c>
      <c r="GW7" s="1">
        <v>358.9</v>
      </c>
      <c r="GX7" s="1">
        <v>356.95</v>
      </c>
      <c r="GY7" s="1">
        <v>357.2</v>
      </c>
      <c r="GZ7" s="1">
        <v>353.7</v>
      </c>
      <c r="HA7" s="1">
        <v>352.95</v>
      </c>
      <c r="HB7" s="1">
        <v>357.35</v>
      </c>
      <c r="HC7" s="1">
        <v>358.8</v>
      </c>
      <c r="HD7" s="1">
        <v>352.65</v>
      </c>
      <c r="HE7" s="1">
        <v>356.05</v>
      </c>
      <c r="HF7" s="1">
        <v>356.4</v>
      </c>
      <c r="HG7" s="1">
        <v>356.2</v>
      </c>
      <c r="HH7" s="1">
        <v>361.35</v>
      </c>
      <c r="HI7" s="1">
        <v>365.3</v>
      </c>
      <c r="HJ7" s="1">
        <v>365.5</v>
      </c>
      <c r="HK7" s="1">
        <v>363.5</v>
      </c>
      <c r="HL7" s="1">
        <v>365.7</v>
      </c>
      <c r="HM7" s="1">
        <v>364.75</v>
      </c>
      <c r="HN7" s="1">
        <v>363.55</v>
      </c>
      <c r="HO7" s="1">
        <v>362.45</v>
      </c>
      <c r="HP7" s="1">
        <v>361.75</v>
      </c>
      <c r="HQ7" s="1">
        <v>362.5</v>
      </c>
      <c r="HR7" s="1">
        <v>364.25</v>
      </c>
      <c r="HS7" s="1">
        <v>361.4</v>
      </c>
      <c r="HT7" s="1">
        <v>358.75</v>
      </c>
      <c r="HU7" s="1">
        <v>362</v>
      </c>
      <c r="HV7" s="1">
        <v>361.75</v>
      </c>
      <c r="HW7" s="1">
        <v>356.1</v>
      </c>
      <c r="HX7" s="1">
        <v>350.3</v>
      </c>
      <c r="HY7" s="1">
        <v>354</v>
      </c>
      <c r="HZ7" s="1">
        <v>354.15</v>
      </c>
      <c r="IA7" s="1">
        <v>355.45</v>
      </c>
      <c r="IB7" s="1">
        <v>347.9</v>
      </c>
      <c r="IC7" s="1">
        <v>352.8</v>
      </c>
      <c r="ID7" s="1">
        <v>361.15</v>
      </c>
      <c r="IE7" s="1">
        <v>366.45</v>
      </c>
      <c r="IF7" s="1">
        <v>360.2</v>
      </c>
      <c r="IG7" s="1">
        <v>361.2</v>
      </c>
      <c r="IH7" s="1">
        <v>359.4</v>
      </c>
      <c r="II7" s="1">
        <v>354.4</v>
      </c>
      <c r="IJ7" s="1">
        <v>364.05</v>
      </c>
      <c r="IK7" s="1">
        <v>363.6</v>
      </c>
      <c r="IL7" s="1">
        <v>369.05</v>
      </c>
      <c r="IM7" s="1">
        <v>368.4</v>
      </c>
      <c r="IN7" s="1">
        <v>370.2</v>
      </c>
      <c r="IO7" s="1">
        <v>367.35</v>
      </c>
      <c r="IP7" s="1">
        <v>360.55</v>
      </c>
      <c r="IQ7" s="1">
        <v>363.65</v>
      </c>
      <c r="IR7" s="1">
        <v>368</v>
      </c>
      <c r="IS7" s="1">
        <v>371.75</v>
      </c>
      <c r="IT7" s="1">
        <v>368.9</v>
      </c>
      <c r="IU7" s="1">
        <v>363.2</v>
      </c>
      <c r="IV7" s="1">
        <v>363.25</v>
      </c>
      <c r="IW7" s="1">
        <v>366.4</v>
      </c>
      <c r="IX7" s="1">
        <v>361.5</v>
      </c>
      <c r="IY7" s="1">
        <v>356.6</v>
      </c>
      <c r="IZ7" s="1">
        <v>347.45</v>
      </c>
      <c r="JA7" s="1">
        <v>360.7</v>
      </c>
      <c r="JB7" s="1">
        <v>361</v>
      </c>
      <c r="JC7" s="1">
        <v>370.85</v>
      </c>
      <c r="JD7" s="1">
        <v>376.35</v>
      </c>
      <c r="JE7" s="1">
        <v>380.05</v>
      </c>
      <c r="JF7" s="1">
        <v>378</v>
      </c>
      <c r="JG7" s="1">
        <v>380.65</v>
      </c>
      <c r="JH7" s="1">
        <v>384.3</v>
      </c>
      <c r="JI7" s="1">
        <v>386.5</v>
      </c>
      <c r="JJ7" s="1">
        <v>392.5</v>
      </c>
      <c r="JK7" s="1">
        <v>395</v>
      </c>
      <c r="JL7" s="1">
        <v>388.3</v>
      </c>
      <c r="JM7" s="1">
        <v>386.7</v>
      </c>
      <c r="JN7" s="1">
        <v>390.5</v>
      </c>
      <c r="JO7" s="1">
        <v>385.25</v>
      </c>
      <c r="JP7" s="1">
        <v>389.1</v>
      </c>
      <c r="JQ7" s="1">
        <v>394.65</v>
      </c>
      <c r="JR7" s="1">
        <v>395.3</v>
      </c>
      <c r="JS7" s="1">
        <v>394.25</v>
      </c>
      <c r="JT7" s="1">
        <v>396.3</v>
      </c>
      <c r="JU7" s="1">
        <v>398.3</v>
      </c>
      <c r="JV7" s="1">
        <v>394.3</v>
      </c>
      <c r="JW7" s="1">
        <v>397</v>
      </c>
      <c r="JX7" s="1">
        <v>393.6</v>
      </c>
      <c r="JY7" s="1">
        <v>391.6</v>
      </c>
      <c r="JZ7" s="1">
        <v>389.5</v>
      </c>
      <c r="KA7" s="1">
        <v>386.6</v>
      </c>
      <c r="KB7" s="1">
        <v>393.95</v>
      </c>
      <c r="KC7" s="1">
        <v>393.5</v>
      </c>
      <c r="KD7" s="1">
        <v>390.85</v>
      </c>
      <c r="KE7" s="1">
        <v>390.45</v>
      </c>
      <c r="KF7" s="1">
        <v>393.9</v>
      </c>
      <c r="KG7" s="1">
        <v>393</v>
      </c>
      <c r="KH7" s="1">
        <v>399.4</v>
      </c>
      <c r="KI7" s="1">
        <v>398.25</v>
      </c>
      <c r="KJ7" s="1">
        <v>396.15</v>
      </c>
      <c r="KK7" s="1">
        <v>392.3</v>
      </c>
      <c r="KL7" s="1">
        <v>392.25</v>
      </c>
      <c r="KM7" s="1">
        <v>389</v>
      </c>
      <c r="KN7" s="1">
        <v>383</v>
      </c>
      <c r="KO7" s="1">
        <v>373.35</v>
      </c>
      <c r="KP7" s="1">
        <v>381.95</v>
      </c>
      <c r="KQ7" s="1">
        <v>384.85</v>
      </c>
      <c r="KR7" s="1">
        <v>392.6</v>
      </c>
      <c r="KS7" s="1">
        <v>395.4</v>
      </c>
      <c r="KT7" s="1">
        <v>396.05</v>
      </c>
      <c r="KU7" s="1">
        <v>400</v>
      </c>
      <c r="KV7" s="1">
        <v>390.85</v>
      </c>
      <c r="KW7" s="1">
        <v>388.35</v>
      </c>
      <c r="KX7" s="1">
        <v>389.85</v>
      </c>
      <c r="KY7" s="1">
        <v>394.6</v>
      </c>
      <c r="KZ7" s="1">
        <v>395.3</v>
      </c>
      <c r="LA7" s="1">
        <v>391.15</v>
      </c>
      <c r="LB7" s="1">
        <v>386.55</v>
      </c>
      <c r="LC7" s="1">
        <v>386.45</v>
      </c>
      <c r="LD7" s="1">
        <v>390.5</v>
      </c>
      <c r="LE7" s="1">
        <v>389.95</v>
      </c>
      <c r="LF7" s="1">
        <v>390.65</v>
      </c>
      <c r="LG7" s="1">
        <v>392.45</v>
      </c>
      <c r="LH7" s="1">
        <v>389.05</v>
      </c>
      <c r="LI7" s="1">
        <v>395.6</v>
      </c>
      <c r="LJ7" s="1">
        <v>390.9</v>
      </c>
      <c r="LK7" s="1">
        <v>388.15</v>
      </c>
      <c r="LL7" s="1">
        <v>394.35</v>
      </c>
      <c r="LM7" s="1">
        <v>395.45</v>
      </c>
      <c r="LN7" s="1">
        <v>399.35</v>
      </c>
      <c r="LO7" s="1">
        <v>395.85</v>
      </c>
      <c r="LP7" s="1">
        <v>394.4</v>
      </c>
      <c r="LQ7" s="1">
        <v>393.4</v>
      </c>
      <c r="LR7" s="1">
        <v>394</v>
      </c>
      <c r="LS7" s="1">
        <v>395.8</v>
      </c>
      <c r="LT7" s="1">
        <v>392.9</v>
      </c>
      <c r="LU7" s="1">
        <v>394.6</v>
      </c>
      <c r="LV7" s="1">
        <v>389.4</v>
      </c>
      <c r="LW7" s="1">
        <v>384.6</v>
      </c>
      <c r="LX7" s="1">
        <v>380.25</v>
      </c>
      <c r="LY7" s="1">
        <v>388.05</v>
      </c>
      <c r="LZ7" s="1">
        <v>388.2</v>
      </c>
      <c r="MA7" s="1">
        <v>382.4</v>
      </c>
      <c r="MB7" s="1">
        <v>388.75</v>
      </c>
      <c r="MC7" s="1">
        <v>393.6</v>
      </c>
      <c r="MD7" s="1">
        <v>401.5</v>
      </c>
      <c r="ME7" s="1">
        <v>399.15</v>
      </c>
      <c r="MF7" s="1">
        <v>404.9</v>
      </c>
      <c r="MG7" s="1">
        <v>410.7</v>
      </c>
      <c r="MH7" s="1">
        <v>409.25</v>
      </c>
      <c r="MI7" s="1">
        <v>409.55</v>
      </c>
      <c r="MJ7" s="1">
        <v>410.75</v>
      </c>
      <c r="MK7" s="1">
        <v>409.1</v>
      </c>
      <c r="ML7" s="1">
        <v>413</v>
      </c>
      <c r="MM7" s="1">
        <v>412.6</v>
      </c>
      <c r="MN7" s="1">
        <v>409.7</v>
      </c>
      <c r="MO7" s="1">
        <v>408.2</v>
      </c>
      <c r="MP7" s="1">
        <v>407.4</v>
      </c>
      <c r="MQ7" s="1">
        <v>414.5</v>
      </c>
      <c r="MR7" s="1">
        <v>418.5</v>
      </c>
      <c r="MS7" s="1">
        <v>420.15</v>
      </c>
      <c r="MT7" s="1">
        <v>419.15</v>
      </c>
      <c r="MU7" s="1">
        <v>416.6</v>
      </c>
      <c r="MV7" s="1">
        <v>419.8</v>
      </c>
      <c r="MW7" s="1">
        <v>419.5</v>
      </c>
      <c r="MX7" s="1">
        <v>411.9</v>
      </c>
      <c r="MY7" s="1">
        <v>410.6</v>
      </c>
      <c r="MZ7" s="1">
        <v>410.5</v>
      </c>
      <c r="NA7" s="1">
        <v>413.45</v>
      </c>
      <c r="NB7" s="1">
        <v>413</v>
      </c>
      <c r="NC7" s="1">
        <v>405.15</v>
      </c>
      <c r="ND7" s="1">
        <v>400.9</v>
      </c>
      <c r="NE7" s="1">
        <v>404.85</v>
      </c>
      <c r="NF7" s="1">
        <v>413.05</v>
      </c>
      <c r="NG7" s="1">
        <v>411.75</v>
      </c>
      <c r="NH7" s="1">
        <v>416.1</v>
      </c>
      <c r="NI7" s="1">
        <v>423.35</v>
      </c>
      <c r="NJ7" s="1">
        <v>425</v>
      </c>
      <c r="NK7" s="1">
        <v>429</v>
      </c>
      <c r="NL7" s="1">
        <v>432</v>
      </c>
      <c r="NM7" s="1">
        <v>433.55</v>
      </c>
      <c r="NN7" s="1">
        <v>435.2</v>
      </c>
      <c r="NO7" s="1">
        <v>436.2</v>
      </c>
      <c r="NP7" s="1">
        <v>430.3</v>
      </c>
      <c r="NQ7" s="1">
        <v>426.45</v>
      </c>
      <c r="NR7" s="1">
        <v>424.4</v>
      </c>
      <c r="NS7" s="1">
        <v>429.4</v>
      </c>
      <c r="NT7" s="1">
        <v>428.65</v>
      </c>
      <c r="NU7" s="1">
        <v>428.15</v>
      </c>
      <c r="NV7" s="1">
        <v>428</v>
      </c>
    </row>
    <row r="8" spans="1:386" s="1" customFormat="1" ht="15" customHeight="1" x14ac:dyDescent="0.25">
      <c r="B8"/>
      <c r="C8" s="30" t="s">
        <v>6</v>
      </c>
      <c r="D8" s="38">
        <f t="shared" ref="D8:D15" si="1">IF(V8="","",V8)</f>
        <v>2.4</v>
      </c>
      <c r="E8" s="39">
        <f t="shared" si="0"/>
        <v>2</v>
      </c>
      <c r="F8" s="39">
        <f t="shared" si="0"/>
        <v>1.3</v>
      </c>
      <c r="G8" s="39">
        <f t="shared" si="0"/>
        <v>1.1000000000000001</v>
      </c>
      <c r="H8" s="39">
        <f t="shared" si="0"/>
        <v>-0.6</v>
      </c>
      <c r="I8" s="39">
        <f t="shared" si="0"/>
        <v>8.25</v>
      </c>
      <c r="J8" s="39">
        <f t="shared" si="0"/>
        <v>4.8</v>
      </c>
      <c r="K8" s="39">
        <f t="shared" si="0"/>
        <v>1.45</v>
      </c>
      <c r="L8" s="39">
        <f t="shared" si="0"/>
        <v>6.05</v>
      </c>
      <c r="M8" s="39">
        <f t="shared" si="0"/>
        <v>-0.3</v>
      </c>
      <c r="N8" s="39">
        <f t="shared" si="0"/>
        <v>-1.6</v>
      </c>
      <c r="O8" s="40">
        <f t="shared" si="0"/>
        <v>-5.6</v>
      </c>
      <c r="P8"/>
      <c r="Q8"/>
      <c r="T8" s="50"/>
      <c r="U8" s="55" t="s">
        <v>0</v>
      </c>
      <c r="V8" s="1">
        <v>2.4</v>
      </c>
      <c r="W8" s="1">
        <v>2</v>
      </c>
      <c r="X8" s="1">
        <v>1.3</v>
      </c>
      <c r="Y8" s="1">
        <v>1.1000000000000001</v>
      </c>
      <c r="Z8" s="1">
        <v>-0.6</v>
      </c>
      <c r="AA8" s="1">
        <v>8.25</v>
      </c>
      <c r="AB8" s="1">
        <v>4.8</v>
      </c>
      <c r="AC8" s="1">
        <v>1.45</v>
      </c>
      <c r="AD8" s="1">
        <v>6.05</v>
      </c>
      <c r="AE8" s="1">
        <v>-0.3</v>
      </c>
      <c r="AF8" s="1">
        <v>-1.6</v>
      </c>
      <c r="AG8" s="1">
        <v>-5.6</v>
      </c>
      <c r="AH8" s="1">
        <v>-3.85</v>
      </c>
      <c r="AI8" s="1">
        <v>2.35</v>
      </c>
      <c r="AJ8" s="1">
        <v>0.5</v>
      </c>
      <c r="AK8" s="1">
        <v>-5.6</v>
      </c>
      <c r="AL8" s="1">
        <v>4.05</v>
      </c>
      <c r="AM8" s="1">
        <v>-0.9</v>
      </c>
      <c r="AN8" s="1">
        <v>-2.4500000000000002</v>
      </c>
      <c r="AO8" s="1">
        <v>0.3</v>
      </c>
      <c r="AP8" s="1">
        <v>-2.1</v>
      </c>
      <c r="AQ8" s="1">
        <v>-5.25</v>
      </c>
      <c r="AR8" s="1">
        <v>3.1</v>
      </c>
      <c r="AS8" s="1">
        <v>0.25</v>
      </c>
      <c r="AT8" s="1">
        <v>-2.6</v>
      </c>
      <c r="AU8" s="1">
        <v>3.05</v>
      </c>
      <c r="AV8" s="1">
        <v>-0.6</v>
      </c>
      <c r="AW8" s="1">
        <v>-1.95</v>
      </c>
      <c r="AX8" s="1">
        <v>-4.2</v>
      </c>
      <c r="AY8" s="1">
        <v>-0.65</v>
      </c>
      <c r="AZ8" s="1">
        <v>-8.1</v>
      </c>
      <c r="BA8" s="1">
        <v>3.45</v>
      </c>
      <c r="BB8" s="1">
        <v>3.95</v>
      </c>
      <c r="BC8" s="1">
        <v>2.8</v>
      </c>
      <c r="BD8" s="1">
        <v>-3.6</v>
      </c>
      <c r="BE8" s="1">
        <v>-1.55</v>
      </c>
      <c r="BF8" s="1">
        <v>3</v>
      </c>
      <c r="BG8" s="1">
        <v>2.7</v>
      </c>
      <c r="BH8" s="1">
        <v>-2.1</v>
      </c>
      <c r="BI8" s="1">
        <v>-3</v>
      </c>
      <c r="BJ8" s="1">
        <v>-1.8</v>
      </c>
      <c r="BK8" s="1">
        <v>-3.7</v>
      </c>
      <c r="BL8" s="1">
        <v>-0.05</v>
      </c>
      <c r="BM8" s="1">
        <v>0.4</v>
      </c>
      <c r="BN8" s="1">
        <v>-2.35</v>
      </c>
      <c r="BO8" s="1">
        <v>13.5</v>
      </c>
      <c r="BP8" s="1">
        <v>-4.8</v>
      </c>
      <c r="BQ8" s="1">
        <v>3.3</v>
      </c>
      <c r="BR8" s="1">
        <v>3.95</v>
      </c>
      <c r="BS8" s="1">
        <v>3.6</v>
      </c>
      <c r="BT8" s="1">
        <v>3.35</v>
      </c>
      <c r="BU8" s="1">
        <v>-2.4</v>
      </c>
      <c r="BV8" s="1">
        <v>0.55000000000000004</v>
      </c>
      <c r="BW8" s="1">
        <v>3.2</v>
      </c>
      <c r="BX8" s="1">
        <v>4.9000000000000004</v>
      </c>
      <c r="BY8" s="1">
        <v>-3.85</v>
      </c>
      <c r="BZ8" s="1">
        <v>4.95</v>
      </c>
      <c r="CA8" s="1">
        <v>2.25</v>
      </c>
      <c r="CB8" s="1">
        <v>-0.45</v>
      </c>
      <c r="CC8" s="1">
        <v>3.35</v>
      </c>
      <c r="CD8" s="1">
        <v>0.95</v>
      </c>
      <c r="CE8" s="1">
        <v>-2.7</v>
      </c>
      <c r="CF8" s="1">
        <v>-3.2</v>
      </c>
      <c r="CG8" s="1">
        <v>5.15</v>
      </c>
      <c r="CH8" s="1">
        <v>-1.55</v>
      </c>
      <c r="CI8" s="1">
        <v>8.1</v>
      </c>
      <c r="CJ8" s="1">
        <v>-5.05</v>
      </c>
      <c r="CK8" s="1">
        <v>2.95</v>
      </c>
      <c r="CL8" s="1">
        <v>-5.95</v>
      </c>
      <c r="CM8" s="1">
        <v>-1.3</v>
      </c>
      <c r="CN8" s="1">
        <v>1.75</v>
      </c>
      <c r="CO8" s="1">
        <v>0.4</v>
      </c>
      <c r="CP8" s="1">
        <v>7.55</v>
      </c>
      <c r="CQ8" s="1">
        <v>-2.2999999999999998</v>
      </c>
      <c r="CR8" s="1">
        <v>1.75</v>
      </c>
      <c r="CS8" s="1">
        <v>-7.6</v>
      </c>
      <c r="CT8" s="1">
        <v>0.3</v>
      </c>
      <c r="CU8" s="1">
        <v>-7.55</v>
      </c>
      <c r="CV8" s="1">
        <v>-3.2</v>
      </c>
      <c r="CW8" s="1">
        <v>-3.35</v>
      </c>
      <c r="CX8" s="1">
        <v>-3.15</v>
      </c>
      <c r="CY8" s="1">
        <v>0.65</v>
      </c>
      <c r="CZ8" s="1">
        <v>-1</v>
      </c>
      <c r="DA8" s="1">
        <v>-3.5</v>
      </c>
      <c r="DB8" s="1">
        <v>-1.3</v>
      </c>
      <c r="DC8" s="1">
        <v>-7.5</v>
      </c>
      <c r="DD8" s="1">
        <v>10.85</v>
      </c>
      <c r="DE8" s="1">
        <v>0.8</v>
      </c>
      <c r="DF8" s="1">
        <v>-4.5999999999999996</v>
      </c>
      <c r="DG8" s="1">
        <v>0.8</v>
      </c>
      <c r="DH8" s="1">
        <v>-1.75</v>
      </c>
      <c r="DI8" s="1">
        <v>-0.65</v>
      </c>
      <c r="DJ8" s="1">
        <v>-6.5</v>
      </c>
      <c r="DK8" s="1">
        <v>1.55</v>
      </c>
      <c r="DL8" s="1">
        <v>3.75</v>
      </c>
      <c r="DM8" s="1">
        <v>-8.8000000000000007</v>
      </c>
      <c r="DN8" s="1">
        <v>0.65</v>
      </c>
      <c r="DO8" s="1">
        <v>4.25</v>
      </c>
      <c r="DP8" s="1">
        <v>1.45</v>
      </c>
      <c r="DQ8" s="1">
        <v>-4.05</v>
      </c>
      <c r="DR8" s="1">
        <v>-4.5999999999999996</v>
      </c>
      <c r="DS8" s="1">
        <v>-1.55</v>
      </c>
      <c r="DT8" s="1">
        <v>-1.45</v>
      </c>
      <c r="DU8" s="1">
        <v>-2.25</v>
      </c>
      <c r="DV8" s="1">
        <v>1.35</v>
      </c>
      <c r="DW8" s="1">
        <v>0.5</v>
      </c>
      <c r="DX8" s="1">
        <v>5.7</v>
      </c>
      <c r="DY8" s="1">
        <v>-3.7</v>
      </c>
      <c r="DZ8" s="1">
        <v>1.35</v>
      </c>
      <c r="EA8" s="1">
        <v>-0.5</v>
      </c>
      <c r="EB8" s="1">
        <v>1.6</v>
      </c>
      <c r="EC8" s="1">
        <v>1.6</v>
      </c>
      <c r="ED8" s="1">
        <v>2.65</v>
      </c>
      <c r="EE8" s="1">
        <v>-2.4</v>
      </c>
      <c r="EF8" s="1">
        <v>0.45</v>
      </c>
      <c r="EG8" s="1">
        <v>0.65</v>
      </c>
      <c r="EH8" s="1">
        <v>2.5499999999999998</v>
      </c>
      <c r="EI8" s="1">
        <v>-0.25</v>
      </c>
      <c r="EJ8" s="1">
        <v>1.4</v>
      </c>
      <c r="EK8" s="1">
        <v>0.9</v>
      </c>
      <c r="EL8" s="1">
        <v>-0.6</v>
      </c>
      <c r="EM8" s="1">
        <v>2.2999999999999998</v>
      </c>
      <c r="EN8" s="1">
        <v>2.8</v>
      </c>
      <c r="EO8" s="1">
        <v>-2.2999999999999998</v>
      </c>
      <c r="EP8" s="1">
        <v>8</v>
      </c>
      <c r="EQ8" s="1">
        <v>1.4</v>
      </c>
      <c r="ER8" s="1">
        <v>-1.3</v>
      </c>
      <c r="ES8" s="1">
        <v>2.35</v>
      </c>
      <c r="ET8" s="1">
        <v>-3.55</v>
      </c>
      <c r="EU8" s="1">
        <v>-1.7</v>
      </c>
      <c r="EV8" s="1">
        <v>1.85</v>
      </c>
      <c r="EW8" s="1">
        <v>5.65</v>
      </c>
      <c r="EX8" s="1">
        <v>-6.65</v>
      </c>
      <c r="EY8" s="1">
        <v>4.9000000000000004</v>
      </c>
      <c r="EZ8" s="1">
        <v>0.1</v>
      </c>
      <c r="FA8" s="1">
        <v>-2.5</v>
      </c>
      <c r="FB8" s="1">
        <v>-5.85</v>
      </c>
      <c r="FC8" s="1">
        <v>-5.65</v>
      </c>
      <c r="FD8" s="1">
        <v>2.35</v>
      </c>
      <c r="FE8" s="1">
        <v>3.9</v>
      </c>
      <c r="FF8" s="1">
        <v>6.6</v>
      </c>
      <c r="FG8" s="1">
        <v>-2.2000000000000002</v>
      </c>
      <c r="FH8" s="1">
        <v>-8.4</v>
      </c>
      <c r="FI8" s="1">
        <v>2.85</v>
      </c>
      <c r="FJ8" s="1">
        <v>-5.15</v>
      </c>
      <c r="FK8" s="1">
        <v>-2.6</v>
      </c>
      <c r="FL8" s="1">
        <v>0.2</v>
      </c>
      <c r="FM8" s="1">
        <v>-5.6</v>
      </c>
      <c r="FN8" s="1">
        <v>-2.25</v>
      </c>
      <c r="FO8" s="1">
        <v>-11.85</v>
      </c>
      <c r="FP8" s="1">
        <v>-3.9</v>
      </c>
      <c r="FQ8" s="1">
        <v>-1.1499999999999999</v>
      </c>
      <c r="FR8" s="1">
        <v>0.95</v>
      </c>
      <c r="FS8" s="1">
        <v>-6.7</v>
      </c>
      <c r="FT8" s="1">
        <v>2.4</v>
      </c>
      <c r="FU8" s="1">
        <v>-4.1500000000000004</v>
      </c>
      <c r="FV8" s="1">
        <v>1.2</v>
      </c>
      <c r="FW8" s="1">
        <v>4.05</v>
      </c>
      <c r="FX8" s="1">
        <v>4.0999999999999996</v>
      </c>
      <c r="FY8" s="1">
        <v>-1.35</v>
      </c>
      <c r="FZ8" s="1">
        <v>1.95</v>
      </c>
      <c r="GA8" s="1">
        <v>-6.5</v>
      </c>
      <c r="GB8" s="1">
        <v>1.05</v>
      </c>
      <c r="GC8" s="1">
        <v>7.55</v>
      </c>
      <c r="GD8" s="1">
        <v>-6.3</v>
      </c>
      <c r="GE8" s="1">
        <v>0.8</v>
      </c>
      <c r="GF8" s="1">
        <v>3.45</v>
      </c>
      <c r="GG8" s="1">
        <v>-1.55</v>
      </c>
      <c r="GH8" s="1">
        <v>7.9</v>
      </c>
      <c r="GI8" s="1">
        <v>-5.25</v>
      </c>
      <c r="GJ8" s="1">
        <v>-0.05</v>
      </c>
      <c r="GK8" s="1">
        <v>-2.2000000000000002</v>
      </c>
      <c r="GL8" s="1">
        <v>-3</v>
      </c>
      <c r="GM8" s="1">
        <v>-5.25</v>
      </c>
      <c r="GN8" s="1">
        <v>0.7</v>
      </c>
      <c r="GO8" s="1">
        <v>-0.6</v>
      </c>
      <c r="GP8" s="1">
        <v>-2.15</v>
      </c>
      <c r="GQ8" s="1">
        <v>5.7</v>
      </c>
      <c r="GR8" s="1">
        <v>4.5</v>
      </c>
      <c r="GS8" s="1">
        <v>-4.6500000000000004</v>
      </c>
      <c r="GT8" s="1">
        <v>1.7</v>
      </c>
      <c r="GU8" s="1">
        <v>-6.2</v>
      </c>
      <c r="GV8" s="1">
        <v>-4.3499999999999996</v>
      </c>
      <c r="GW8" s="1">
        <v>1.95</v>
      </c>
      <c r="GX8" s="1">
        <v>-0.25</v>
      </c>
      <c r="GY8" s="1">
        <v>3.5</v>
      </c>
      <c r="GZ8" s="1">
        <v>0.75</v>
      </c>
      <c r="HA8" s="1">
        <v>-4.4000000000000004</v>
      </c>
      <c r="HB8" s="1">
        <v>-1.45</v>
      </c>
      <c r="HC8" s="1">
        <v>6.15</v>
      </c>
      <c r="HD8" s="1">
        <v>-3.4</v>
      </c>
      <c r="HE8" s="1">
        <v>-0.35</v>
      </c>
      <c r="HF8" s="1">
        <v>0.2</v>
      </c>
      <c r="HG8" s="1">
        <v>-5.15</v>
      </c>
      <c r="HH8" s="1">
        <v>-3.95</v>
      </c>
      <c r="HI8" s="1">
        <v>-0.2</v>
      </c>
      <c r="HJ8" s="1">
        <v>2</v>
      </c>
      <c r="HK8" s="1">
        <v>-2.2000000000000002</v>
      </c>
      <c r="HL8" s="1">
        <v>0.95</v>
      </c>
      <c r="HM8" s="1">
        <v>1.2</v>
      </c>
      <c r="HN8" s="1">
        <v>1.1000000000000001</v>
      </c>
      <c r="HO8" s="1">
        <v>0.7</v>
      </c>
      <c r="HP8" s="1">
        <v>-0.75</v>
      </c>
      <c r="HQ8" s="1">
        <v>-1.75</v>
      </c>
      <c r="HR8" s="1">
        <v>2.85</v>
      </c>
      <c r="HS8" s="1">
        <v>2.65</v>
      </c>
      <c r="HT8" s="1">
        <v>-3.25</v>
      </c>
      <c r="HU8" s="1">
        <v>0.25</v>
      </c>
      <c r="HV8" s="1">
        <v>5.65</v>
      </c>
      <c r="HW8" s="1">
        <v>5.8</v>
      </c>
      <c r="HX8" s="1">
        <v>-3.7</v>
      </c>
      <c r="HY8" s="1">
        <v>-0.15</v>
      </c>
      <c r="HZ8" s="1">
        <v>-2.75</v>
      </c>
      <c r="IA8" s="1">
        <v>7.55</v>
      </c>
      <c r="IB8" s="1">
        <v>-4.9000000000000004</v>
      </c>
      <c r="IC8" s="1">
        <v>-8.35</v>
      </c>
      <c r="ID8" s="1">
        <v>-5.3</v>
      </c>
      <c r="IE8" s="1">
        <v>6.25</v>
      </c>
      <c r="IF8" s="1">
        <v>-1</v>
      </c>
      <c r="IG8" s="1">
        <v>1.8</v>
      </c>
      <c r="IH8" s="1">
        <v>5</v>
      </c>
      <c r="II8" s="1">
        <v>-9.65</v>
      </c>
      <c r="IJ8" s="1">
        <v>0.45</v>
      </c>
      <c r="IK8" s="1">
        <v>-5.45</v>
      </c>
      <c r="IL8" s="1">
        <v>0.65</v>
      </c>
      <c r="IM8" s="1">
        <v>-1.8</v>
      </c>
      <c r="IN8" s="1">
        <v>2.85</v>
      </c>
      <c r="IO8" s="1">
        <v>6.8</v>
      </c>
      <c r="IP8" s="1">
        <v>-3.1</v>
      </c>
      <c r="IQ8" s="1">
        <v>-4.3499999999999996</v>
      </c>
      <c r="IR8" s="1">
        <v>-3.75</v>
      </c>
      <c r="IS8" s="1">
        <v>2.85</v>
      </c>
      <c r="IT8" s="1">
        <v>5.7</v>
      </c>
      <c r="IU8" s="1">
        <v>-0.05</v>
      </c>
      <c r="IV8" s="1">
        <v>-3.15</v>
      </c>
      <c r="IW8" s="1">
        <v>4.9000000000000004</v>
      </c>
      <c r="IX8" s="1">
        <v>4.9000000000000004</v>
      </c>
      <c r="IY8" s="1">
        <v>9.15</v>
      </c>
      <c r="IZ8" s="1">
        <v>-13.25</v>
      </c>
      <c r="JA8" s="1">
        <v>-0.3</v>
      </c>
      <c r="JB8" s="1">
        <v>-9.85</v>
      </c>
      <c r="JC8" s="1">
        <v>-5.5</v>
      </c>
      <c r="JD8" s="1">
        <v>-3.7</v>
      </c>
      <c r="JE8" s="1">
        <v>2.0499999999999998</v>
      </c>
      <c r="JF8" s="1">
        <v>-2.65</v>
      </c>
      <c r="JG8" s="1">
        <v>-3.65</v>
      </c>
      <c r="JH8" s="1">
        <v>-2.2000000000000002</v>
      </c>
      <c r="JI8" s="1">
        <v>-6</v>
      </c>
      <c r="JJ8" s="1">
        <v>-2.5</v>
      </c>
      <c r="JK8" s="1">
        <v>6.7</v>
      </c>
      <c r="JL8" s="1">
        <v>1.6</v>
      </c>
      <c r="JM8" s="1">
        <v>-3.8</v>
      </c>
      <c r="JN8" s="1">
        <v>5.25</v>
      </c>
      <c r="JO8" s="1">
        <v>-3.85</v>
      </c>
      <c r="JP8" s="1">
        <v>-5.55</v>
      </c>
      <c r="JQ8" s="1">
        <v>-0.65</v>
      </c>
      <c r="JR8" s="1">
        <v>1.05</v>
      </c>
      <c r="JS8" s="1">
        <v>-2.0499999999999998</v>
      </c>
      <c r="JT8" s="1">
        <v>-2</v>
      </c>
      <c r="JU8" s="1">
        <v>4</v>
      </c>
      <c r="JV8" s="1">
        <v>-2.7</v>
      </c>
      <c r="JW8" s="1">
        <v>3.4</v>
      </c>
      <c r="JX8" s="1">
        <v>2</v>
      </c>
      <c r="JY8" s="1">
        <v>2.1</v>
      </c>
      <c r="JZ8" s="1">
        <v>2.9</v>
      </c>
      <c r="KA8" s="1">
        <v>-7.35</v>
      </c>
      <c r="KB8" s="1">
        <v>0.45</v>
      </c>
      <c r="KC8" s="1">
        <v>2.65</v>
      </c>
      <c r="KD8" s="1">
        <v>0.4</v>
      </c>
      <c r="KE8" s="1">
        <v>-3.45</v>
      </c>
      <c r="KF8" s="1">
        <v>0.9</v>
      </c>
      <c r="KG8" s="1">
        <v>-2.95</v>
      </c>
      <c r="KH8" s="1">
        <v>1.1499999999999999</v>
      </c>
      <c r="KI8" s="1">
        <v>2.1</v>
      </c>
      <c r="KJ8" s="1">
        <v>3.85</v>
      </c>
      <c r="KK8" s="1">
        <v>0.05</v>
      </c>
      <c r="KL8" s="1">
        <v>3.25</v>
      </c>
      <c r="KM8" s="1">
        <v>6</v>
      </c>
      <c r="KN8" s="1">
        <v>9.65</v>
      </c>
      <c r="KO8" s="1">
        <v>-8.6</v>
      </c>
      <c r="KP8" s="1">
        <v>-2.9</v>
      </c>
      <c r="KQ8" s="1">
        <v>-7.75</v>
      </c>
      <c r="KR8" s="1">
        <v>-2.8</v>
      </c>
      <c r="KS8" s="1">
        <v>-0.65</v>
      </c>
      <c r="KT8" s="1">
        <v>-3.95</v>
      </c>
      <c r="KU8" s="1">
        <v>9.15</v>
      </c>
      <c r="KV8" s="1">
        <v>2.5</v>
      </c>
      <c r="KW8" s="1">
        <v>-1.5</v>
      </c>
      <c r="KX8" s="1">
        <v>-4.75</v>
      </c>
      <c r="KY8" s="1">
        <v>-0.7</v>
      </c>
      <c r="KZ8" s="1">
        <v>4.1500000000000004</v>
      </c>
      <c r="LA8" s="1">
        <v>4.5999999999999996</v>
      </c>
      <c r="LB8" s="1">
        <v>0.1</v>
      </c>
      <c r="LC8" s="1">
        <v>-4.05</v>
      </c>
      <c r="LD8" s="1">
        <v>0.55000000000000004</v>
      </c>
      <c r="LE8" s="1">
        <v>-0.7</v>
      </c>
      <c r="LF8" s="1">
        <v>-1.8</v>
      </c>
      <c r="LG8" s="1">
        <v>3.4</v>
      </c>
      <c r="LH8" s="1">
        <v>-6.55</v>
      </c>
      <c r="LI8" s="1">
        <v>4.7</v>
      </c>
      <c r="LJ8" s="1">
        <v>2.75</v>
      </c>
      <c r="LK8" s="1">
        <v>-6.2</v>
      </c>
      <c r="LL8" s="1">
        <v>-1.1000000000000001</v>
      </c>
      <c r="LM8" s="1">
        <v>-3.9</v>
      </c>
      <c r="LN8" s="1">
        <v>3.5</v>
      </c>
      <c r="LO8" s="1">
        <v>1.45</v>
      </c>
      <c r="LP8" s="1">
        <v>1</v>
      </c>
      <c r="LQ8" s="1">
        <v>-0.6</v>
      </c>
      <c r="LR8" s="1">
        <v>-1.8</v>
      </c>
      <c r="LS8" s="1">
        <v>2.9</v>
      </c>
      <c r="LT8" s="1">
        <v>-1.7</v>
      </c>
      <c r="LU8" s="1">
        <v>5.2</v>
      </c>
      <c r="LV8" s="1">
        <v>4.8</v>
      </c>
      <c r="LW8" s="1">
        <v>4.3499999999999996</v>
      </c>
      <c r="LX8" s="1">
        <v>-7.8</v>
      </c>
      <c r="LY8" s="1">
        <v>-0.15</v>
      </c>
      <c r="LZ8" s="1">
        <v>5.8</v>
      </c>
      <c r="MA8" s="1">
        <v>-6.35</v>
      </c>
      <c r="MB8" s="1">
        <v>-4.8499999999999996</v>
      </c>
      <c r="MC8" s="1">
        <v>-7.9</v>
      </c>
      <c r="MD8" s="1">
        <v>2.35</v>
      </c>
      <c r="ME8" s="1">
        <v>-5.75</v>
      </c>
      <c r="MF8" s="1">
        <v>-5.8</v>
      </c>
      <c r="MG8" s="1">
        <v>1.45</v>
      </c>
      <c r="MH8" s="1">
        <v>-0.3</v>
      </c>
      <c r="MI8" s="1">
        <v>-1.2</v>
      </c>
      <c r="MJ8" s="1">
        <v>1.65</v>
      </c>
      <c r="MK8" s="1">
        <v>-3.9</v>
      </c>
      <c r="ML8" s="1">
        <v>0.4</v>
      </c>
      <c r="MM8" s="1">
        <v>2.9</v>
      </c>
      <c r="MN8" s="1">
        <v>1.5</v>
      </c>
      <c r="MO8" s="1">
        <v>1.75</v>
      </c>
      <c r="MP8" s="1">
        <v>-7.1</v>
      </c>
      <c r="MQ8" s="1">
        <v>-4</v>
      </c>
      <c r="MR8" s="1">
        <v>-1.65</v>
      </c>
      <c r="MS8" s="1">
        <v>1</v>
      </c>
      <c r="MT8" s="1">
        <v>2.5499999999999998</v>
      </c>
      <c r="MU8" s="1">
        <v>-3.2</v>
      </c>
      <c r="MV8" s="1">
        <v>0.3</v>
      </c>
      <c r="MW8" s="1">
        <v>7.6</v>
      </c>
      <c r="MX8" s="1">
        <v>1.3</v>
      </c>
      <c r="MY8" s="1">
        <v>0.1</v>
      </c>
      <c r="MZ8" s="1">
        <v>-2.95</v>
      </c>
      <c r="NA8" s="1">
        <v>0.45</v>
      </c>
      <c r="NB8" s="1">
        <v>7.85</v>
      </c>
      <c r="NC8" s="1">
        <v>4.25</v>
      </c>
      <c r="ND8" s="1">
        <v>-3.95</v>
      </c>
      <c r="NE8" s="1">
        <v>-8.1999999999999993</v>
      </c>
      <c r="NF8" s="1">
        <v>1.3</v>
      </c>
      <c r="NG8" s="1">
        <v>-4.3499999999999996</v>
      </c>
      <c r="NH8" s="1">
        <v>-7.25</v>
      </c>
      <c r="NI8" s="1">
        <v>-1.65</v>
      </c>
      <c r="NJ8" s="1">
        <v>-4</v>
      </c>
      <c r="NK8" s="1">
        <v>-3</v>
      </c>
      <c r="NL8" s="1">
        <v>-1.55</v>
      </c>
      <c r="NM8" s="1">
        <v>-1.65</v>
      </c>
      <c r="NN8" s="1">
        <v>-1</v>
      </c>
      <c r="NO8" s="1">
        <v>5.9</v>
      </c>
      <c r="NP8" s="1">
        <v>3.85</v>
      </c>
      <c r="NQ8" s="1">
        <v>2.0499999999999998</v>
      </c>
      <c r="NR8" s="1">
        <v>-5</v>
      </c>
      <c r="NS8" s="1">
        <v>0.75</v>
      </c>
      <c r="NT8" s="1">
        <v>0.5</v>
      </c>
      <c r="NU8" s="1">
        <v>0.15</v>
      </c>
      <c r="NV8" s="1">
        <v>-3.5</v>
      </c>
    </row>
    <row r="9" spans="1:386" s="1" customFormat="1" ht="15" customHeight="1" x14ac:dyDescent="0.25">
      <c r="B9"/>
      <c r="C9" s="30" t="s">
        <v>7</v>
      </c>
      <c r="D9" s="38">
        <f t="shared" si="1"/>
        <v>317.82</v>
      </c>
      <c r="E9" s="39">
        <f t="shared" si="0"/>
        <v>315.63</v>
      </c>
      <c r="F9" s="39">
        <f t="shared" si="0"/>
        <v>312.58999999999997</v>
      </c>
      <c r="G9" s="39">
        <f t="shared" si="0"/>
        <v>312.31</v>
      </c>
      <c r="H9" s="39">
        <f t="shared" si="0"/>
        <v>311.52999999999997</v>
      </c>
      <c r="I9" s="39">
        <f t="shared" si="0"/>
        <v>311.70999999999998</v>
      </c>
      <c r="J9" s="39">
        <f t="shared" si="0"/>
        <v>303.58999999999997</v>
      </c>
      <c r="K9" s="39">
        <f t="shared" si="0"/>
        <v>299.94</v>
      </c>
      <c r="L9" s="39">
        <f t="shared" si="0"/>
        <v>298.07</v>
      </c>
      <c r="M9" s="39">
        <f t="shared" si="0"/>
        <v>291.66000000000003</v>
      </c>
      <c r="N9" s="39">
        <f t="shared" si="0"/>
        <v>291.91000000000003</v>
      </c>
      <c r="O9" s="40">
        <f t="shared" si="0"/>
        <v>293.35000000000002</v>
      </c>
      <c r="P9"/>
      <c r="Q9"/>
      <c r="T9" s="50"/>
      <c r="U9" s="55" t="s">
        <v>10</v>
      </c>
      <c r="V9" s="1">
        <v>317.82</v>
      </c>
      <c r="W9" s="1">
        <v>315.63</v>
      </c>
      <c r="X9" s="1">
        <v>312.58999999999997</v>
      </c>
      <c r="Y9" s="1">
        <v>312.31</v>
      </c>
      <c r="Z9" s="1">
        <v>311.52999999999997</v>
      </c>
      <c r="AA9" s="1">
        <v>311.70999999999998</v>
      </c>
      <c r="AB9" s="1">
        <v>303.58999999999997</v>
      </c>
      <c r="AC9" s="1">
        <v>299.94</v>
      </c>
      <c r="AD9" s="1">
        <v>298.07</v>
      </c>
      <c r="AE9" s="1">
        <v>291.66000000000003</v>
      </c>
      <c r="AF9" s="1">
        <v>291.91000000000003</v>
      </c>
      <c r="AG9" s="1">
        <v>293.35000000000002</v>
      </c>
      <c r="AH9" s="1">
        <v>299.45</v>
      </c>
      <c r="AI9" s="1">
        <v>301.83</v>
      </c>
      <c r="AJ9" s="1">
        <v>299.89</v>
      </c>
      <c r="AK9" s="1">
        <v>299.79000000000002</v>
      </c>
      <c r="AL9" s="1">
        <v>305.27999999999997</v>
      </c>
      <c r="AM9" s="1">
        <v>301.02999999999997</v>
      </c>
      <c r="AN9" s="1">
        <v>301.89</v>
      </c>
      <c r="AO9" s="1">
        <v>304.67</v>
      </c>
      <c r="AP9" s="1">
        <v>305.49</v>
      </c>
      <c r="AQ9" s="1">
        <v>305.77</v>
      </c>
      <c r="AR9" s="1">
        <v>311.36</v>
      </c>
      <c r="AS9" s="1">
        <v>307.68</v>
      </c>
      <c r="AT9" s="1">
        <v>307.8</v>
      </c>
      <c r="AU9" s="1">
        <v>309.86</v>
      </c>
      <c r="AV9" s="1">
        <v>308.27</v>
      </c>
      <c r="AW9" s="1">
        <v>308.33999999999997</v>
      </c>
      <c r="AX9" s="1">
        <v>310.24</v>
      </c>
      <c r="AY9" s="1">
        <v>314.05</v>
      </c>
      <c r="AZ9" s="1">
        <v>315.26</v>
      </c>
      <c r="BA9" s="1">
        <v>322.3</v>
      </c>
      <c r="BB9" s="1">
        <v>321.32900000000001</v>
      </c>
      <c r="BC9" s="1">
        <v>315.93</v>
      </c>
      <c r="BD9" s="1">
        <v>312.58999999999997</v>
      </c>
      <c r="BE9" s="1">
        <v>316.56</v>
      </c>
      <c r="BF9" s="1">
        <v>317.82</v>
      </c>
      <c r="BG9" s="1">
        <v>314.66000000000003</v>
      </c>
      <c r="BH9" s="1">
        <v>312.60000000000002</v>
      </c>
      <c r="BI9" s="1">
        <v>315.29000000000002</v>
      </c>
      <c r="BJ9" s="1">
        <v>317.85000000000002</v>
      </c>
      <c r="BK9" s="1">
        <v>317.51</v>
      </c>
      <c r="BL9" s="1">
        <v>322.77</v>
      </c>
      <c r="BM9" s="1">
        <v>323.14999999999998</v>
      </c>
      <c r="BN9" s="1">
        <v>322.39999999999998</v>
      </c>
      <c r="BO9" s="1">
        <v>324.07</v>
      </c>
      <c r="BP9" s="1">
        <v>312.11</v>
      </c>
      <c r="BQ9" s="1">
        <v>316.26</v>
      </c>
      <c r="BR9" s="1">
        <v>313.06</v>
      </c>
      <c r="BS9" s="1">
        <v>308.94</v>
      </c>
      <c r="BT9" s="1">
        <v>305.49</v>
      </c>
      <c r="BU9" s="1">
        <v>302.83999999999997</v>
      </c>
      <c r="BV9" s="1">
        <v>305.08999999999997</v>
      </c>
      <c r="BW9" s="1">
        <v>305.13</v>
      </c>
      <c r="BX9" s="1">
        <v>300.83999999999997</v>
      </c>
      <c r="BY9" s="1">
        <v>296.39999999999998</v>
      </c>
      <c r="BZ9" s="1">
        <v>300.20999999999998</v>
      </c>
      <c r="CA9" s="1">
        <v>295.24</v>
      </c>
      <c r="CB9" s="1">
        <v>292.99</v>
      </c>
      <c r="CC9" s="1">
        <v>292.89999999999998</v>
      </c>
      <c r="CD9" s="1">
        <v>290.05</v>
      </c>
      <c r="CE9" s="1">
        <v>290.11</v>
      </c>
      <c r="CF9" s="1">
        <v>292.81</v>
      </c>
      <c r="CG9" s="1">
        <v>295.13</v>
      </c>
      <c r="CH9" s="1">
        <v>291.11</v>
      </c>
      <c r="CI9" s="1">
        <v>290.98</v>
      </c>
      <c r="CJ9" s="1">
        <v>284.14999999999998</v>
      </c>
      <c r="CK9" s="1">
        <v>288.60000000000002</v>
      </c>
      <c r="CL9" s="1">
        <v>286.49</v>
      </c>
      <c r="CM9" s="1">
        <v>292.07</v>
      </c>
      <c r="CN9" s="1">
        <v>292.95</v>
      </c>
      <c r="CO9" s="1">
        <v>290.73</v>
      </c>
      <c r="CP9" s="1">
        <v>289.95999999999998</v>
      </c>
      <c r="CQ9" s="1">
        <v>283.08</v>
      </c>
      <c r="CR9" s="1">
        <v>284.38</v>
      </c>
      <c r="CS9" s="1">
        <v>284.22000000000003</v>
      </c>
      <c r="CT9" s="1">
        <v>291.27999999999997</v>
      </c>
      <c r="CU9" s="1">
        <v>290.86</v>
      </c>
      <c r="CV9" s="1">
        <v>298.93</v>
      </c>
      <c r="CW9" s="1">
        <v>302.88</v>
      </c>
      <c r="CX9" s="1">
        <v>305.94</v>
      </c>
      <c r="CY9" s="1">
        <v>308.83</v>
      </c>
      <c r="CZ9" s="1">
        <v>307.8</v>
      </c>
      <c r="DA9" s="1">
        <v>310.07</v>
      </c>
      <c r="DB9" s="1">
        <v>312.04000000000002</v>
      </c>
      <c r="DC9" s="1">
        <v>314.19</v>
      </c>
      <c r="DD9" s="1">
        <v>320.08</v>
      </c>
      <c r="DE9" s="1">
        <v>309.14</v>
      </c>
      <c r="DF9" s="1">
        <v>308.20999999999998</v>
      </c>
      <c r="DG9" s="1">
        <v>313.08999999999997</v>
      </c>
      <c r="DH9" s="1">
        <v>312.57</v>
      </c>
      <c r="DI9" s="1">
        <v>313.10000000000002</v>
      </c>
      <c r="DJ9" s="1">
        <v>315.22000000000003</v>
      </c>
      <c r="DK9" s="1">
        <v>323.19</v>
      </c>
      <c r="DL9" s="1">
        <v>319.75</v>
      </c>
      <c r="DM9" s="1">
        <v>316.63</v>
      </c>
      <c r="DN9" s="1">
        <v>324.27</v>
      </c>
      <c r="DO9" s="1">
        <v>324</v>
      </c>
      <c r="DP9" s="1">
        <v>320.25</v>
      </c>
      <c r="DQ9" s="1">
        <v>319.10000000000002</v>
      </c>
      <c r="DR9" s="1">
        <v>323.20999999999998</v>
      </c>
      <c r="DS9" s="1">
        <v>327.31</v>
      </c>
      <c r="DT9" s="1">
        <v>329.35</v>
      </c>
      <c r="DU9" s="1">
        <v>330.48</v>
      </c>
      <c r="DV9" s="1">
        <v>332.38</v>
      </c>
      <c r="DW9" s="1">
        <v>331.37</v>
      </c>
      <c r="DX9" s="1">
        <v>330.64</v>
      </c>
      <c r="DY9" s="1">
        <v>325.08</v>
      </c>
      <c r="DZ9" s="1">
        <v>328.88</v>
      </c>
      <c r="EA9" s="1">
        <v>328.02</v>
      </c>
      <c r="EB9" s="1">
        <v>328.36</v>
      </c>
      <c r="EC9" s="1">
        <v>326.35000000000002</v>
      </c>
      <c r="ED9" s="1">
        <v>324.7</v>
      </c>
      <c r="EE9" s="1">
        <v>322.55</v>
      </c>
      <c r="EF9" s="1">
        <v>323.92</v>
      </c>
      <c r="EG9" s="1">
        <v>324.31</v>
      </c>
      <c r="EH9" s="1">
        <v>322.63</v>
      </c>
      <c r="EI9" s="1">
        <v>320.74</v>
      </c>
      <c r="EJ9" s="1">
        <v>320.63</v>
      </c>
      <c r="EK9" s="1">
        <v>319.38</v>
      </c>
      <c r="EL9" s="1">
        <v>318.39999999999998</v>
      </c>
      <c r="EM9" s="1">
        <v>320.77999999999997</v>
      </c>
      <c r="EN9" s="1">
        <v>317.13</v>
      </c>
      <c r="EO9" s="1">
        <v>315.02</v>
      </c>
      <c r="EP9" s="1">
        <v>316.02</v>
      </c>
      <c r="EQ9" s="1">
        <v>309.08999999999997</v>
      </c>
      <c r="ER9" s="1">
        <v>306.49</v>
      </c>
      <c r="ES9" s="1">
        <v>307.60000000000002</v>
      </c>
      <c r="ET9" s="1">
        <v>306.01</v>
      </c>
      <c r="EU9" s="1">
        <v>309.3</v>
      </c>
      <c r="EV9" s="1">
        <v>311.22000000000003</v>
      </c>
      <c r="EW9" s="1">
        <v>309.39</v>
      </c>
      <c r="EX9" s="1">
        <v>303.35000000000002</v>
      </c>
      <c r="EY9" s="1">
        <v>310.14</v>
      </c>
      <c r="EZ9" s="1">
        <v>305.12</v>
      </c>
      <c r="FA9" s="1">
        <v>305.18</v>
      </c>
      <c r="FB9" s="1">
        <v>308.38</v>
      </c>
      <c r="FC9" s="1">
        <v>314.06</v>
      </c>
      <c r="FD9" s="1">
        <v>319.39999999999998</v>
      </c>
      <c r="FE9" s="1">
        <v>316.49</v>
      </c>
      <c r="FF9" s="1">
        <v>312.39999999999998</v>
      </c>
      <c r="FG9" s="1">
        <v>305.76</v>
      </c>
      <c r="FH9" s="1">
        <v>308.42</v>
      </c>
      <c r="FI9" s="1">
        <v>316.77</v>
      </c>
      <c r="FJ9" s="1">
        <v>314.83999999999997</v>
      </c>
      <c r="FK9" s="1">
        <v>320.55</v>
      </c>
      <c r="FL9" s="1">
        <v>322.74</v>
      </c>
      <c r="FM9" s="1">
        <v>322.70999999999998</v>
      </c>
      <c r="FN9" s="1">
        <v>328.77</v>
      </c>
      <c r="FO9" s="1">
        <v>330.45</v>
      </c>
      <c r="FP9" s="1">
        <v>342.55</v>
      </c>
      <c r="FQ9" s="1">
        <v>346.64</v>
      </c>
      <c r="FR9" s="1">
        <v>346.26</v>
      </c>
      <c r="FS9" s="1">
        <v>345.73</v>
      </c>
      <c r="FT9" s="1">
        <v>352.14</v>
      </c>
      <c r="FU9" s="1">
        <v>350.66</v>
      </c>
      <c r="FV9" s="1">
        <v>354.73</v>
      </c>
      <c r="FW9" s="1">
        <v>352.7</v>
      </c>
      <c r="FX9" s="1">
        <v>348.3</v>
      </c>
      <c r="FY9" s="1">
        <v>344.51</v>
      </c>
      <c r="FZ9" s="1">
        <v>345.87</v>
      </c>
      <c r="GA9" s="1">
        <v>344.36</v>
      </c>
      <c r="GB9" s="1">
        <v>350.64</v>
      </c>
      <c r="GC9" s="1">
        <v>349.64</v>
      </c>
      <c r="GD9" s="1">
        <v>343.6</v>
      </c>
      <c r="GE9" s="1">
        <v>348.72</v>
      </c>
      <c r="GF9" s="1">
        <v>347.92</v>
      </c>
      <c r="GG9" s="1">
        <v>344.35</v>
      </c>
      <c r="GH9" s="1">
        <v>345.96</v>
      </c>
      <c r="GI9" s="1">
        <v>338.4</v>
      </c>
      <c r="GJ9" s="1">
        <v>343.93</v>
      </c>
      <c r="GK9" s="1">
        <v>344.17</v>
      </c>
      <c r="GL9" s="1">
        <v>345.93</v>
      </c>
      <c r="GM9" s="1">
        <v>349.58600000000001</v>
      </c>
      <c r="GN9" s="1">
        <v>354.47</v>
      </c>
      <c r="GO9" s="1">
        <v>353.95</v>
      </c>
      <c r="GP9" s="1">
        <v>354.67</v>
      </c>
      <c r="GQ9" s="1">
        <v>355.78</v>
      </c>
      <c r="GR9" s="1">
        <v>350.87</v>
      </c>
      <c r="GS9" s="1">
        <v>346.93</v>
      </c>
      <c r="GT9" s="1">
        <v>351.41</v>
      </c>
      <c r="GU9" s="1">
        <v>349.74</v>
      </c>
      <c r="GV9" s="1">
        <v>356.25</v>
      </c>
      <c r="GW9" s="1">
        <v>359.87</v>
      </c>
      <c r="GX9" s="1">
        <v>358.38</v>
      </c>
      <c r="GY9" s="1">
        <v>358.24</v>
      </c>
      <c r="GZ9" s="1">
        <v>354.51</v>
      </c>
      <c r="HA9" s="1">
        <v>354.77</v>
      </c>
      <c r="HB9" s="1">
        <v>358.22</v>
      </c>
      <c r="HC9" s="1">
        <v>359.86099999999999</v>
      </c>
      <c r="HD9" s="1">
        <v>353.18</v>
      </c>
      <c r="HE9" s="1">
        <v>356.66</v>
      </c>
      <c r="HF9" s="1">
        <v>356.94</v>
      </c>
      <c r="HG9" s="1">
        <v>356.67</v>
      </c>
      <c r="HH9" s="1">
        <v>361.98</v>
      </c>
      <c r="HI9" s="1">
        <v>365.74</v>
      </c>
      <c r="HJ9" s="1">
        <v>365.95</v>
      </c>
      <c r="HK9" s="1">
        <v>364.24</v>
      </c>
      <c r="HL9" s="1">
        <v>366.68</v>
      </c>
      <c r="HM9" s="1">
        <v>365.59</v>
      </c>
      <c r="HN9" s="1">
        <v>364.26</v>
      </c>
      <c r="HO9" s="1">
        <v>362.56</v>
      </c>
      <c r="HP9" s="1">
        <v>362.59</v>
      </c>
      <c r="HQ9" s="1">
        <v>363.93</v>
      </c>
      <c r="HR9" s="1">
        <v>365.41</v>
      </c>
      <c r="HS9" s="1">
        <v>362.24</v>
      </c>
      <c r="HT9" s="1">
        <v>359.35</v>
      </c>
      <c r="HU9" s="1">
        <v>362.97</v>
      </c>
      <c r="HV9" s="1">
        <v>362.11</v>
      </c>
      <c r="HW9" s="1">
        <v>356.74</v>
      </c>
      <c r="HX9" s="1">
        <v>351.67</v>
      </c>
      <c r="HY9" s="1">
        <v>355.28</v>
      </c>
      <c r="HZ9" s="1">
        <v>356.02</v>
      </c>
      <c r="IA9" s="1">
        <v>358.02</v>
      </c>
      <c r="IB9" s="1">
        <v>349.42</v>
      </c>
      <c r="IC9" s="1">
        <v>353.09</v>
      </c>
      <c r="ID9" s="1">
        <v>361.79</v>
      </c>
      <c r="IE9" s="1">
        <v>367.18</v>
      </c>
      <c r="IF9" s="1">
        <v>360.72</v>
      </c>
      <c r="IG9" s="1">
        <v>361.7</v>
      </c>
      <c r="IH9" s="1">
        <v>358.65</v>
      </c>
      <c r="II9" s="1">
        <v>355.26</v>
      </c>
      <c r="IJ9" s="1">
        <v>364.68</v>
      </c>
      <c r="IK9" s="1">
        <v>363.76</v>
      </c>
      <c r="IL9" s="1">
        <v>368.56</v>
      </c>
      <c r="IM9" s="1">
        <v>368.87</v>
      </c>
      <c r="IN9" s="1">
        <v>369.88</v>
      </c>
      <c r="IO9" s="1">
        <v>367.65</v>
      </c>
      <c r="IP9" s="1">
        <v>360.79</v>
      </c>
      <c r="IQ9" s="1">
        <v>363.35</v>
      </c>
      <c r="IR9" s="1">
        <v>369.03</v>
      </c>
      <c r="IS9" s="1">
        <v>372.01</v>
      </c>
      <c r="IT9" s="1">
        <v>369.1</v>
      </c>
      <c r="IU9" s="1">
        <v>363.94</v>
      </c>
      <c r="IV9" s="1">
        <v>363.4</v>
      </c>
      <c r="IW9" s="1">
        <v>366.87</v>
      </c>
      <c r="IX9" s="1">
        <v>362.13</v>
      </c>
      <c r="IY9" s="1">
        <v>358.59</v>
      </c>
      <c r="IZ9" s="1">
        <v>349.19</v>
      </c>
      <c r="JA9" s="1">
        <v>361.47</v>
      </c>
      <c r="JB9" s="1">
        <v>363.04</v>
      </c>
      <c r="JC9" s="1">
        <v>371.98</v>
      </c>
      <c r="JD9" s="1">
        <v>376.82</v>
      </c>
      <c r="JE9" s="1">
        <v>381.15</v>
      </c>
      <c r="JF9" s="1">
        <v>378.97</v>
      </c>
      <c r="JG9" s="1">
        <v>381.79</v>
      </c>
      <c r="JH9" s="1">
        <v>384.58</v>
      </c>
      <c r="JI9" s="1">
        <v>388.23</v>
      </c>
      <c r="JJ9" s="1">
        <v>393.8</v>
      </c>
      <c r="JK9" s="1">
        <v>395.48</v>
      </c>
      <c r="JL9" s="1">
        <v>389.79</v>
      </c>
      <c r="JM9" s="1">
        <v>388.35</v>
      </c>
      <c r="JN9" s="1">
        <v>391.73</v>
      </c>
      <c r="JO9" s="1">
        <v>387.1</v>
      </c>
      <c r="JP9" s="1">
        <v>391.29</v>
      </c>
      <c r="JQ9" s="1">
        <v>396.32</v>
      </c>
      <c r="JR9" s="1">
        <v>396.44</v>
      </c>
      <c r="JS9" s="1">
        <v>395.17</v>
      </c>
      <c r="JT9" s="1">
        <v>397.72</v>
      </c>
      <c r="JU9" s="1">
        <v>398.33</v>
      </c>
      <c r="JV9" s="1">
        <v>395.74</v>
      </c>
      <c r="JW9" s="1">
        <v>397.71</v>
      </c>
      <c r="JX9" s="1">
        <v>395.34</v>
      </c>
      <c r="JY9" s="1">
        <v>393.26</v>
      </c>
      <c r="JZ9" s="1">
        <v>391.15</v>
      </c>
      <c r="KA9" s="1">
        <v>388.58</v>
      </c>
      <c r="KB9" s="1">
        <v>396.23</v>
      </c>
      <c r="KC9" s="1">
        <v>394.96</v>
      </c>
      <c r="KD9" s="1">
        <v>392.95</v>
      </c>
      <c r="KE9" s="1">
        <v>392.71</v>
      </c>
      <c r="KF9" s="1">
        <v>394.59</v>
      </c>
      <c r="KG9" s="1">
        <v>395.26</v>
      </c>
      <c r="KH9" s="1">
        <v>401.14</v>
      </c>
      <c r="KI9" s="1">
        <v>397.3</v>
      </c>
      <c r="KJ9" s="1">
        <v>396.35</v>
      </c>
      <c r="KK9" s="1">
        <v>392.9</v>
      </c>
      <c r="KL9" s="1">
        <v>392.05</v>
      </c>
      <c r="KM9" s="1">
        <v>389.75</v>
      </c>
      <c r="KN9" s="1">
        <v>383.25</v>
      </c>
      <c r="KO9" s="1">
        <v>373.37</v>
      </c>
      <c r="KP9" s="1">
        <v>381.77</v>
      </c>
      <c r="KQ9" s="1">
        <v>385.25</v>
      </c>
      <c r="KR9" s="1">
        <v>392.12</v>
      </c>
      <c r="KS9" s="1">
        <v>395.61</v>
      </c>
      <c r="KT9" s="1">
        <v>396.66</v>
      </c>
      <c r="KU9" s="1">
        <v>399.3</v>
      </c>
      <c r="KV9" s="1">
        <v>390.79</v>
      </c>
      <c r="KW9" s="1">
        <v>387.71</v>
      </c>
      <c r="KX9" s="1">
        <v>389.72</v>
      </c>
      <c r="KY9" s="1">
        <v>394.37</v>
      </c>
      <c r="KZ9" s="1">
        <v>394.67</v>
      </c>
      <c r="LA9" s="1">
        <v>390.72</v>
      </c>
      <c r="LB9" s="1">
        <v>386.32</v>
      </c>
      <c r="LC9" s="1">
        <v>386.6</v>
      </c>
      <c r="LD9" s="1">
        <v>390.74</v>
      </c>
      <c r="LE9" s="1">
        <v>389.98</v>
      </c>
      <c r="LF9" s="1">
        <v>390.28</v>
      </c>
      <c r="LG9" s="1">
        <v>391.97</v>
      </c>
      <c r="LH9" s="1">
        <v>389.92</v>
      </c>
      <c r="LI9" s="1">
        <v>395.28</v>
      </c>
      <c r="LJ9" s="1">
        <v>390.27</v>
      </c>
      <c r="LK9" s="1">
        <v>388.97</v>
      </c>
      <c r="LL9" s="1">
        <v>394.4</v>
      </c>
      <c r="LM9" s="1">
        <v>396</v>
      </c>
      <c r="LN9" s="1">
        <v>399.61</v>
      </c>
      <c r="LO9" s="1">
        <v>395.55</v>
      </c>
      <c r="LP9" s="1">
        <v>393.92</v>
      </c>
      <c r="LQ9" s="1">
        <v>393.77</v>
      </c>
      <c r="LR9" s="1">
        <v>394.33</v>
      </c>
      <c r="LS9" s="1">
        <v>396.01</v>
      </c>
      <c r="LT9" s="1">
        <v>392.63</v>
      </c>
      <c r="LU9" s="1">
        <v>393.84</v>
      </c>
      <c r="LV9" s="1">
        <v>390.23</v>
      </c>
      <c r="LW9" s="1">
        <v>384.74</v>
      </c>
      <c r="LX9" s="1">
        <v>381.34</v>
      </c>
      <c r="LY9" s="1">
        <v>388.12</v>
      </c>
      <c r="LZ9" s="1">
        <v>388.85</v>
      </c>
      <c r="MA9" s="1">
        <v>382.64</v>
      </c>
      <c r="MB9" s="1">
        <v>388.74</v>
      </c>
      <c r="MC9" s="1">
        <v>395.58</v>
      </c>
      <c r="MD9" s="1">
        <v>402.11</v>
      </c>
      <c r="ME9" s="1">
        <v>400.9</v>
      </c>
      <c r="MF9" s="1">
        <v>406.44</v>
      </c>
      <c r="MG9" s="1">
        <v>411.23</v>
      </c>
      <c r="MH9" s="1">
        <v>410.12</v>
      </c>
      <c r="MI9" s="1">
        <v>410.76</v>
      </c>
      <c r="MJ9" s="1">
        <v>411.36</v>
      </c>
      <c r="MK9" s="1">
        <v>409.58</v>
      </c>
      <c r="ML9" s="1">
        <v>413.23</v>
      </c>
      <c r="MM9" s="1">
        <v>412.72</v>
      </c>
      <c r="MN9" s="1">
        <v>410.05</v>
      </c>
      <c r="MO9" s="1">
        <v>409.04</v>
      </c>
      <c r="MP9" s="1">
        <v>407.29</v>
      </c>
      <c r="MQ9" s="1">
        <v>414.56</v>
      </c>
      <c r="MR9" s="1">
        <v>417.83</v>
      </c>
      <c r="MS9" s="1">
        <v>420.41</v>
      </c>
      <c r="MT9" s="1">
        <v>419.29</v>
      </c>
      <c r="MU9" s="1">
        <v>415.97</v>
      </c>
      <c r="MV9" s="1">
        <v>420.02</v>
      </c>
      <c r="MW9" s="1">
        <v>419.9</v>
      </c>
      <c r="MX9" s="1">
        <v>411.61</v>
      </c>
      <c r="MY9" s="1">
        <v>410.38</v>
      </c>
      <c r="MZ9" s="1">
        <v>410.51</v>
      </c>
      <c r="NA9" s="1">
        <v>414.09</v>
      </c>
      <c r="NB9" s="1">
        <v>412.63</v>
      </c>
      <c r="NC9" s="1">
        <v>404.73</v>
      </c>
      <c r="ND9" s="1">
        <v>400.95</v>
      </c>
      <c r="NE9" s="1">
        <v>405.14</v>
      </c>
      <c r="NF9" s="1">
        <v>413.55</v>
      </c>
      <c r="NG9" s="1">
        <v>411.5</v>
      </c>
      <c r="NH9" s="1">
        <v>416.29</v>
      </c>
      <c r="NI9" s="1">
        <v>422.62</v>
      </c>
      <c r="NJ9" s="1">
        <v>424.99</v>
      </c>
      <c r="NK9" s="1">
        <v>428.81</v>
      </c>
      <c r="NL9" s="1">
        <v>431.91</v>
      </c>
      <c r="NM9" s="1">
        <v>433.58</v>
      </c>
      <c r="NN9" s="1">
        <v>435.04</v>
      </c>
      <c r="NO9" s="1">
        <v>436.36</v>
      </c>
      <c r="NP9" s="1">
        <v>430.29</v>
      </c>
      <c r="NQ9" s="1">
        <v>427.11</v>
      </c>
      <c r="NR9" s="1">
        <v>424.25</v>
      </c>
      <c r="NS9" s="1">
        <v>429.84</v>
      </c>
      <c r="NT9" s="1">
        <v>429.51</v>
      </c>
      <c r="NU9" s="1">
        <v>428.59</v>
      </c>
      <c r="NV9" s="1">
        <v>427.85</v>
      </c>
    </row>
    <row r="10" spans="1:386" s="1" customFormat="1" ht="15" customHeight="1" x14ac:dyDescent="0.25">
      <c r="B10"/>
      <c r="C10" s="30" t="s">
        <v>19</v>
      </c>
      <c r="D10" s="38">
        <f t="shared" si="1"/>
        <v>316.04000000000002</v>
      </c>
      <c r="E10" s="39">
        <f t="shared" si="0"/>
        <v>313.77</v>
      </c>
      <c r="F10" s="39">
        <f t="shared" si="0"/>
        <v>310.7</v>
      </c>
      <c r="G10" s="39">
        <f t="shared" si="0"/>
        <v>310.38</v>
      </c>
      <c r="H10" s="39">
        <f t="shared" si="0"/>
        <v>309.57</v>
      </c>
      <c r="I10" s="39">
        <f t="shared" si="0"/>
        <v>309.69</v>
      </c>
      <c r="J10" s="39">
        <f t="shared" si="0"/>
        <v>301.52999999999997</v>
      </c>
      <c r="K10" s="39">
        <f t="shared" si="0"/>
        <v>297.87</v>
      </c>
      <c r="L10" s="39">
        <f t="shared" si="0"/>
        <v>295.98</v>
      </c>
      <c r="M10" s="39">
        <f t="shared" si="0"/>
        <v>289.58</v>
      </c>
      <c r="N10" s="39">
        <f t="shared" si="0"/>
        <v>289.79000000000002</v>
      </c>
      <c r="O10" s="40">
        <f t="shared" si="0"/>
        <v>291.10000000000002</v>
      </c>
      <c r="P10"/>
      <c r="Q10"/>
      <c r="T10" s="50"/>
      <c r="U10" s="55" t="s">
        <v>11</v>
      </c>
      <c r="V10" s="1">
        <v>316.04000000000002</v>
      </c>
      <c r="W10" s="1">
        <v>313.77</v>
      </c>
      <c r="X10" s="1">
        <v>310.7</v>
      </c>
      <c r="Y10" s="1">
        <v>310.38</v>
      </c>
      <c r="Z10" s="1">
        <v>309.57</v>
      </c>
      <c r="AA10" s="1">
        <v>309.69</v>
      </c>
      <c r="AB10" s="1">
        <v>301.52999999999997</v>
      </c>
      <c r="AC10" s="1">
        <v>297.87</v>
      </c>
      <c r="AD10" s="1">
        <v>295.98</v>
      </c>
      <c r="AE10" s="1">
        <v>289.58</v>
      </c>
      <c r="AF10" s="1">
        <v>289.79000000000002</v>
      </c>
      <c r="AG10" s="1">
        <v>291.10000000000002</v>
      </c>
      <c r="AH10" s="1">
        <v>297.08999999999997</v>
      </c>
      <c r="AI10" s="1">
        <v>304.22000000000003</v>
      </c>
      <c r="AJ10" s="1">
        <v>302.27</v>
      </c>
      <c r="AK10" s="1">
        <v>302.07</v>
      </c>
      <c r="AL10" s="1">
        <v>307.48</v>
      </c>
      <c r="AM10" s="1">
        <v>303.23</v>
      </c>
      <c r="AN10" s="1">
        <v>304.05</v>
      </c>
      <c r="AO10" s="1">
        <v>306.77</v>
      </c>
      <c r="AP10" s="1">
        <v>307.48</v>
      </c>
      <c r="AQ10" s="1">
        <v>307.73</v>
      </c>
      <c r="AR10" s="1">
        <v>313.23</v>
      </c>
      <c r="AS10" s="1">
        <v>309.56</v>
      </c>
      <c r="AT10" s="1">
        <v>309.64</v>
      </c>
      <c r="AU10" s="1">
        <v>311.63</v>
      </c>
      <c r="AV10" s="1">
        <v>308.24</v>
      </c>
      <c r="AW10" s="1">
        <v>308.27</v>
      </c>
      <c r="AX10" s="1">
        <v>310.14</v>
      </c>
      <c r="AY10" s="1">
        <v>313.91000000000003</v>
      </c>
      <c r="AZ10" s="1">
        <v>315.02</v>
      </c>
      <c r="BA10" s="1">
        <v>322.02</v>
      </c>
      <c r="BB10" s="1">
        <v>321.01</v>
      </c>
      <c r="BC10" s="1">
        <v>315.58</v>
      </c>
      <c r="BD10" s="1">
        <v>312.20999999999998</v>
      </c>
      <c r="BE10" s="1">
        <v>316.07</v>
      </c>
      <c r="BF10" s="1">
        <v>317.3</v>
      </c>
      <c r="BG10" s="1">
        <v>314.11</v>
      </c>
      <c r="BH10" s="1">
        <v>312.02</v>
      </c>
      <c r="BI10" s="1">
        <v>314.67</v>
      </c>
      <c r="BJ10" s="1">
        <v>317.12</v>
      </c>
      <c r="BK10" s="1">
        <v>316.75</v>
      </c>
      <c r="BL10" s="1">
        <v>321.95999999999998</v>
      </c>
      <c r="BM10" s="1">
        <v>322.31</v>
      </c>
      <c r="BN10" s="1">
        <v>321.52999999999997</v>
      </c>
      <c r="BO10" s="1">
        <v>323.08999999999997</v>
      </c>
      <c r="BP10" s="1">
        <v>311.13</v>
      </c>
      <c r="BQ10" s="1">
        <v>315.23</v>
      </c>
      <c r="BR10" s="1">
        <v>312.01</v>
      </c>
      <c r="BS10" s="1">
        <v>307.87</v>
      </c>
      <c r="BT10" s="1">
        <v>304.33</v>
      </c>
      <c r="BU10" s="1">
        <v>301.66000000000003</v>
      </c>
      <c r="BV10" s="1">
        <v>303.87</v>
      </c>
      <c r="BW10" s="1">
        <v>303.88</v>
      </c>
      <c r="BX10" s="1">
        <v>299.58</v>
      </c>
      <c r="BY10" s="1">
        <v>295.06</v>
      </c>
      <c r="BZ10" s="1">
        <v>298.82</v>
      </c>
      <c r="CA10" s="1">
        <v>293.85000000000002</v>
      </c>
      <c r="CB10" s="1">
        <v>291.58</v>
      </c>
      <c r="CC10" s="1">
        <v>291.47000000000003</v>
      </c>
      <c r="CD10" s="1">
        <v>288.57</v>
      </c>
      <c r="CE10" s="1">
        <v>288.61</v>
      </c>
      <c r="CF10" s="1">
        <v>291.29000000000002</v>
      </c>
      <c r="CG10" s="1">
        <v>293.58999999999997</v>
      </c>
      <c r="CH10" s="1">
        <v>289.57</v>
      </c>
      <c r="CI10" s="1">
        <v>289.36</v>
      </c>
      <c r="CJ10" s="1">
        <v>282.57</v>
      </c>
      <c r="CK10" s="1">
        <v>287.08999999999997</v>
      </c>
      <c r="CL10" s="1">
        <v>284.95999999999998</v>
      </c>
      <c r="CM10" s="1">
        <v>290.41000000000003</v>
      </c>
      <c r="CN10" s="1">
        <v>291.26</v>
      </c>
      <c r="CO10" s="1">
        <v>289.05</v>
      </c>
      <c r="CP10" s="1">
        <v>288.27</v>
      </c>
      <c r="CQ10" s="1">
        <v>281.36</v>
      </c>
      <c r="CR10" s="1">
        <v>282.64999999999998</v>
      </c>
      <c r="CS10" s="1">
        <v>283.19</v>
      </c>
      <c r="CT10" s="1">
        <v>290.2</v>
      </c>
      <c r="CU10" s="1">
        <v>289.77</v>
      </c>
      <c r="CV10" s="1">
        <v>297.74</v>
      </c>
      <c r="CW10" s="1">
        <v>301.64999999999998</v>
      </c>
      <c r="CX10" s="1">
        <v>304.67</v>
      </c>
      <c r="CY10" s="1">
        <v>307.54000000000002</v>
      </c>
      <c r="CZ10" s="1">
        <v>306.49</v>
      </c>
      <c r="DA10" s="1">
        <v>308.69</v>
      </c>
      <c r="DB10" s="1">
        <v>310.63</v>
      </c>
      <c r="DC10" s="1">
        <v>312.74</v>
      </c>
      <c r="DD10" s="1">
        <v>318.56</v>
      </c>
      <c r="DE10" s="1">
        <v>309.12</v>
      </c>
      <c r="DF10" s="1">
        <v>308.16000000000003</v>
      </c>
      <c r="DG10" s="1">
        <v>313.01</v>
      </c>
      <c r="DH10" s="1">
        <v>312.47000000000003</v>
      </c>
      <c r="DI10" s="1">
        <v>312.92</v>
      </c>
      <c r="DJ10" s="1">
        <v>315.02</v>
      </c>
      <c r="DK10" s="1">
        <v>322.95999999999998</v>
      </c>
      <c r="DL10" s="1">
        <v>319.49</v>
      </c>
      <c r="DM10" s="1">
        <v>316.35000000000002</v>
      </c>
      <c r="DN10" s="1">
        <v>323.91000000000003</v>
      </c>
      <c r="DO10" s="1">
        <v>323.63</v>
      </c>
      <c r="DP10" s="1">
        <v>319.86</v>
      </c>
      <c r="DQ10" s="1">
        <v>318.69</v>
      </c>
      <c r="DR10" s="1">
        <v>322.77</v>
      </c>
      <c r="DS10" s="1">
        <v>326.79000000000002</v>
      </c>
      <c r="DT10" s="1">
        <v>328.8</v>
      </c>
      <c r="DU10" s="1">
        <v>329.91</v>
      </c>
      <c r="DV10" s="1">
        <v>331.78</v>
      </c>
      <c r="DW10" s="1">
        <v>330.67</v>
      </c>
      <c r="DX10" s="1">
        <v>329.92</v>
      </c>
      <c r="DY10" s="1">
        <v>324.35000000000002</v>
      </c>
      <c r="DZ10" s="1">
        <v>328.11</v>
      </c>
      <c r="EA10" s="1">
        <v>327.23</v>
      </c>
      <c r="EB10" s="1">
        <v>327.5</v>
      </c>
      <c r="EC10" s="1">
        <v>325.47000000000003</v>
      </c>
      <c r="ED10" s="1">
        <v>323.8</v>
      </c>
      <c r="EE10" s="1">
        <v>321.64</v>
      </c>
      <c r="EF10" s="1">
        <v>322.97000000000003</v>
      </c>
      <c r="EG10" s="1">
        <v>323.31</v>
      </c>
      <c r="EH10" s="1">
        <v>321.62</v>
      </c>
      <c r="EI10" s="1">
        <v>319.74</v>
      </c>
      <c r="EJ10" s="1">
        <v>319.61</v>
      </c>
      <c r="EK10" s="1">
        <v>318.33999999999997</v>
      </c>
      <c r="EL10" s="1">
        <v>317.33</v>
      </c>
      <c r="EM10" s="1">
        <v>319.68</v>
      </c>
      <c r="EN10" s="1">
        <v>316.02</v>
      </c>
      <c r="EO10" s="1">
        <v>313.89999999999998</v>
      </c>
      <c r="EP10" s="1">
        <v>314.87</v>
      </c>
      <c r="EQ10" s="1">
        <v>307.91000000000003</v>
      </c>
      <c r="ER10" s="1">
        <v>305.35000000000002</v>
      </c>
      <c r="ES10" s="1">
        <v>306.58999999999997</v>
      </c>
      <c r="ET10" s="1">
        <v>305.02999999999997</v>
      </c>
      <c r="EU10" s="1">
        <v>308.29000000000002</v>
      </c>
      <c r="EV10" s="1">
        <v>310.14999999999998</v>
      </c>
      <c r="EW10" s="1">
        <v>308.31</v>
      </c>
      <c r="EX10" s="1">
        <v>302.27999999999997</v>
      </c>
      <c r="EY10" s="1">
        <v>309.02999999999997</v>
      </c>
      <c r="EZ10" s="1">
        <v>304.01</v>
      </c>
      <c r="FA10" s="1">
        <v>304.02</v>
      </c>
      <c r="FB10" s="1">
        <v>307.2</v>
      </c>
      <c r="FC10" s="1">
        <v>312.86</v>
      </c>
      <c r="FD10" s="1">
        <v>319.11</v>
      </c>
      <c r="FE10" s="1">
        <v>316.2</v>
      </c>
      <c r="FF10" s="1">
        <v>312.07</v>
      </c>
      <c r="FG10" s="1">
        <v>305.45</v>
      </c>
      <c r="FH10" s="1">
        <v>308.08</v>
      </c>
      <c r="FI10" s="1">
        <v>316.38</v>
      </c>
      <c r="FJ10" s="1">
        <v>314.44</v>
      </c>
      <c r="FK10" s="1">
        <v>320.08999999999997</v>
      </c>
      <c r="FL10" s="1">
        <v>322.25</v>
      </c>
      <c r="FM10" s="1">
        <v>322.20999999999998</v>
      </c>
      <c r="FN10" s="1">
        <v>328.23</v>
      </c>
      <c r="FO10" s="1">
        <v>329.88</v>
      </c>
      <c r="FP10" s="1">
        <v>341.89</v>
      </c>
      <c r="FQ10" s="1">
        <v>346.62</v>
      </c>
      <c r="FR10" s="1">
        <v>346.22</v>
      </c>
      <c r="FS10" s="1">
        <v>345.67</v>
      </c>
      <c r="FT10" s="1">
        <v>352.01</v>
      </c>
      <c r="FU10" s="1">
        <v>350.51</v>
      </c>
      <c r="FV10" s="1">
        <v>354.54</v>
      </c>
      <c r="FW10" s="1">
        <v>352.49</v>
      </c>
      <c r="FX10" s="1">
        <v>348.04</v>
      </c>
      <c r="FY10" s="1">
        <v>344.26</v>
      </c>
      <c r="FZ10" s="1">
        <v>345.6</v>
      </c>
      <c r="GA10" s="1">
        <v>344.08</v>
      </c>
      <c r="GB10" s="1">
        <v>350.34</v>
      </c>
      <c r="GC10" s="1">
        <v>349.29</v>
      </c>
      <c r="GD10" s="1">
        <v>343.24</v>
      </c>
      <c r="GE10" s="1">
        <v>348.34</v>
      </c>
      <c r="GF10" s="1">
        <v>347.53</v>
      </c>
      <c r="GG10" s="1">
        <v>343.94</v>
      </c>
      <c r="GH10" s="1">
        <v>345.5</v>
      </c>
      <c r="GI10" s="1">
        <v>337.94</v>
      </c>
      <c r="GJ10" s="1">
        <v>343.44</v>
      </c>
      <c r="GK10" s="1">
        <v>343.67</v>
      </c>
      <c r="GL10" s="1">
        <v>345.41</v>
      </c>
      <c r="GM10" s="1">
        <v>349.01</v>
      </c>
      <c r="GN10" s="1">
        <v>353.85</v>
      </c>
      <c r="GO10" s="1">
        <v>353.32</v>
      </c>
      <c r="GP10" s="1">
        <v>354.02</v>
      </c>
      <c r="GQ10" s="1">
        <v>355.08</v>
      </c>
      <c r="GR10" s="1">
        <v>350.16</v>
      </c>
      <c r="GS10" s="1">
        <v>346.21</v>
      </c>
      <c r="GT10" s="1">
        <v>350.67</v>
      </c>
      <c r="GU10" s="1">
        <v>348.98</v>
      </c>
      <c r="GV10" s="1">
        <v>355.43</v>
      </c>
      <c r="GW10" s="1">
        <v>359.02</v>
      </c>
      <c r="GX10" s="1">
        <v>357.52</v>
      </c>
      <c r="GY10" s="1">
        <v>357.36</v>
      </c>
      <c r="GZ10" s="1">
        <v>353.63</v>
      </c>
      <c r="HA10" s="1">
        <v>353.84</v>
      </c>
      <c r="HB10" s="1">
        <v>357.38</v>
      </c>
      <c r="HC10" s="1">
        <v>359</v>
      </c>
      <c r="HD10" s="1">
        <v>352.32</v>
      </c>
      <c r="HE10" s="1">
        <v>355.78</v>
      </c>
      <c r="HF10" s="1">
        <v>356.01</v>
      </c>
      <c r="HG10" s="1">
        <v>355.73</v>
      </c>
      <c r="HH10" s="1">
        <v>361.01</v>
      </c>
      <c r="HI10" s="1">
        <v>364.74</v>
      </c>
      <c r="HJ10" s="1">
        <v>364.94</v>
      </c>
      <c r="HK10" s="1">
        <v>363.19</v>
      </c>
      <c r="HL10" s="1">
        <v>365.61</v>
      </c>
      <c r="HM10" s="1">
        <v>364.5</v>
      </c>
      <c r="HN10" s="1">
        <v>363.77</v>
      </c>
      <c r="HO10" s="1">
        <v>362.06</v>
      </c>
      <c r="HP10" s="1">
        <v>362.06</v>
      </c>
      <c r="HQ10" s="1">
        <v>363.38</v>
      </c>
      <c r="HR10" s="1">
        <v>364.84</v>
      </c>
      <c r="HS10" s="1">
        <v>361.66</v>
      </c>
      <c r="HT10" s="1">
        <v>358.77</v>
      </c>
      <c r="HU10" s="1">
        <v>362.33</v>
      </c>
      <c r="HV10" s="1">
        <v>361.46</v>
      </c>
      <c r="HW10" s="1">
        <v>356.09</v>
      </c>
      <c r="HX10" s="1">
        <v>351.03</v>
      </c>
      <c r="HY10" s="1">
        <v>354.61</v>
      </c>
      <c r="HZ10" s="1">
        <v>355.31</v>
      </c>
      <c r="IA10" s="1">
        <v>358.01</v>
      </c>
      <c r="IB10" s="1">
        <v>349.38</v>
      </c>
      <c r="IC10" s="1">
        <v>353.03</v>
      </c>
      <c r="ID10" s="1">
        <v>361.69</v>
      </c>
      <c r="IE10" s="1">
        <v>367.06</v>
      </c>
      <c r="IF10" s="1">
        <v>360.59</v>
      </c>
      <c r="IG10" s="1">
        <v>361.54</v>
      </c>
      <c r="IH10" s="1">
        <v>358.44</v>
      </c>
      <c r="II10" s="1">
        <v>355.04</v>
      </c>
      <c r="IJ10" s="1">
        <v>364.44</v>
      </c>
      <c r="IK10" s="1">
        <v>363.51</v>
      </c>
      <c r="IL10" s="1">
        <v>368.29</v>
      </c>
      <c r="IM10" s="1">
        <v>368.55</v>
      </c>
      <c r="IN10" s="1">
        <v>369.55</v>
      </c>
      <c r="IO10" s="1">
        <v>367.3</v>
      </c>
      <c r="IP10" s="1">
        <v>360.43</v>
      </c>
      <c r="IQ10" s="1">
        <v>362.98</v>
      </c>
      <c r="IR10" s="1">
        <v>368.61</v>
      </c>
      <c r="IS10" s="1">
        <v>371.57</v>
      </c>
      <c r="IT10" s="1">
        <v>368.65</v>
      </c>
      <c r="IU10" s="1">
        <v>363.48</v>
      </c>
      <c r="IV10" s="1">
        <v>362.92</v>
      </c>
      <c r="IW10" s="1">
        <v>366.34</v>
      </c>
      <c r="IX10" s="1">
        <v>361.6</v>
      </c>
      <c r="IY10" s="1">
        <v>357.98</v>
      </c>
      <c r="IZ10" s="1">
        <v>348.58</v>
      </c>
      <c r="JA10" s="1">
        <v>360.83</v>
      </c>
      <c r="JB10" s="1">
        <v>362.39</v>
      </c>
      <c r="JC10" s="1">
        <v>371.3</v>
      </c>
      <c r="JD10" s="1">
        <v>376.08</v>
      </c>
      <c r="JE10" s="1">
        <v>380.39</v>
      </c>
      <c r="JF10" s="1">
        <v>378.21</v>
      </c>
      <c r="JG10" s="1">
        <v>381.01</v>
      </c>
      <c r="JH10" s="1">
        <v>383.81</v>
      </c>
      <c r="JI10" s="1">
        <v>387.45</v>
      </c>
      <c r="JJ10" s="1">
        <v>393</v>
      </c>
      <c r="JK10" s="1">
        <v>394.66</v>
      </c>
      <c r="JL10" s="1">
        <v>388.97</v>
      </c>
      <c r="JM10" s="1">
        <v>387.52</v>
      </c>
      <c r="JN10" s="1">
        <v>390.85</v>
      </c>
      <c r="JO10" s="1">
        <v>386.22</v>
      </c>
      <c r="JP10" s="1">
        <v>390.39</v>
      </c>
      <c r="JQ10" s="1">
        <v>395.4</v>
      </c>
      <c r="JR10" s="1">
        <v>395.51</v>
      </c>
      <c r="JS10" s="1">
        <v>394.19</v>
      </c>
      <c r="JT10" s="1">
        <v>396.72</v>
      </c>
      <c r="JU10" s="1">
        <v>401.21</v>
      </c>
      <c r="JV10" s="1">
        <v>398.61</v>
      </c>
      <c r="JW10" s="1">
        <v>400.53</v>
      </c>
      <c r="JX10" s="1">
        <v>398.15</v>
      </c>
      <c r="JY10" s="1">
        <v>396.07</v>
      </c>
      <c r="JZ10" s="1">
        <v>393.95</v>
      </c>
      <c r="KA10" s="1">
        <v>391.37</v>
      </c>
      <c r="KB10" s="1">
        <v>398.96</v>
      </c>
      <c r="KC10" s="1">
        <v>397.68</v>
      </c>
      <c r="KD10" s="1">
        <v>395.66</v>
      </c>
      <c r="KE10" s="1">
        <v>395.41</v>
      </c>
      <c r="KF10" s="1">
        <v>397.27</v>
      </c>
      <c r="KG10" s="1">
        <v>397.97</v>
      </c>
      <c r="KH10" s="1">
        <v>401.13</v>
      </c>
      <c r="KI10" s="1">
        <v>397.27</v>
      </c>
      <c r="KJ10" s="1">
        <v>396.31</v>
      </c>
      <c r="KK10" s="1">
        <v>392.85</v>
      </c>
      <c r="KL10" s="1">
        <v>391.96</v>
      </c>
      <c r="KM10" s="1">
        <v>389.64</v>
      </c>
      <c r="KN10" s="1">
        <v>383.13</v>
      </c>
      <c r="KO10" s="1">
        <v>373.24</v>
      </c>
      <c r="KP10" s="1">
        <v>381.63</v>
      </c>
      <c r="KQ10" s="1">
        <v>385.07</v>
      </c>
      <c r="KR10" s="1">
        <v>391.93</v>
      </c>
      <c r="KS10" s="1">
        <v>395.4</v>
      </c>
      <c r="KT10" s="1">
        <v>396.44</v>
      </c>
      <c r="KU10" s="1">
        <v>399.07</v>
      </c>
      <c r="KV10" s="1">
        <v>390.53</v>
      </c>
      <c r="KW10" s="1">
        <v>387.44</v>
      </c>
      <c r="KX10" s="1">
        <v>389.44</v>
      </c>
      <c r="KY10" s="1">
        <v>394.07</v>
      </c>
      <c r="KZ10" s="1">
        <v>394.36</v>
      </c>
      <c r="LA10" s="1">
        <v>390.38</v>
      </c>
      <c r="LB10" s="1">
        <v>385.97</v>
      </c>
      <c r="LC10" s="1">
        <v>386.24</v>
      </c>
      <c r="LD10" s="1">
        <v>390.36</v>
      </c>
      <c r="LE10" s="1">
        <v>389.59</v>
      </c>
      <c r="LF10" s="1">
        <v>389.86</v>
      </c>
      <c r="LG10" s="1">
        <v>391.54</v>
      </c>
      <c r="LH10" s="1">
        <v>389.48</v>
      </c>
      <c r="LI10" s="1">
        <v>394.82</v>
      </c>
      <c r="LJ10" s="1">
        <v>389.81</v>
      </c>
      <c r="LK10" s="1">
        <v>388.47</v>
      </c>
      <c r="LL10" s="1">
        <v>393.89</v>
      </c>
      <c r="LM10" s="1">
        <v>395.48</v>
      </c>
      <c r="LN10" s="1">
        <v>399.07</v>
      </c>
      <c r="LO10" s="1">
        <v>395.01</v>
      </c>
      <c r="LP10" s="1">
        <v>393.34</v>
      </c>
      <c r="LQ10" s="1">
        <v>393.18</v>
      </c>
      <c r="LR10" s="1">
        <v>393.74</v>
      </c>
      <c r="LS10" s="1">
        <v>395.41</v>
      </c>
      <c r="LT10" s="1">
        <v>392.02</v>
      </c>
      <c r="LU10" s="1">
        <v>393.19</v>
      </c>
      <c r="LV10" s="1">
        <v>389.59</v>
      </c>
      <c r="LW10" s="1">
        <v>384.1</v>
      </c>
      <c r="LX10" s="1">
        <v>380.69</v>
      </c>
      <c r="LY10" s="1">
        <v>387.42</v>
      </c>
      <c r="LZ10" s="1">
        <v>388.14</v>
      </c>
      <c r="MA10" s="1">
        <v>381.93</v>
      </c>
      <c r="MB10" s="1">
        <v>388.01</v>
      </c>
      <c r="MC10" s="1">
        <v>394.79</v>
      </c>
      <c r="MD10" s="1">
        <v>401.3</v>
      </c>
      <c r="ME10" s="1">
        <v>400.09</v>
      </c>
      <c r="MF10" s="1">
        <v>406.2</v>
      </c>
      <c r="MG10" s="1">
        <v>410.97</v>
      </c>
      <c r="MH10" s="1">
        <v>409.84</v>
      </c>
      <c r="MI10" s="1">
        <v>410.46</v>
      </c>
      <c r="MJ10" s="1">
        <v>410.99</v>
      </c>
      <c r="MK10" s="1">
        <v>409.22</v>
      </c>
      <c r="ML10" s="1">
        <v>412.85</v>
      </c>
      <c r="MM10" s="1">
        <v>412.36</v>
      </c>
      <c r="MN10" s="1">
        <v>409.7</v>
      </c>
      <c r="MO10" s="1">
        <v>408.7</v>
      </c>
      <c r="MP10" s="1">
        <v>407.28</v>
      </c>
      <c r="MQ10" s="1">
        <v>414.54</v>
      </c>
      <c r="MR10" s="1">
        <v>417.8</v>
      </c>
      <c r="MS10" s="1">
        <v>420.37</v>
      </c>
      <c r="MT10" s="1">
        <v>419.22</v>
      </c>
      <c r="MU10" s="1">
        <v>415.89</v>
      </c>
      <c r="MV10" s="1">
        <v>419.92</v>
      </c>
      <c r="MW10" s="1">
        <v>419.79</v>
      </c>
      <c r="MX10" s="1">
        <v>411.5</v>
      </c>
      <c r="MY10" s="1">
        <v>410.24</v>
      </c>
      <c r="MZ10" s="1">
        <v>410.38</v>
      </c>
      <c r="NA10" s="1">
        <v>413.95</v>
      </c>
      <c r="NB10" s="1">
        <v>412.48</v>
      </c>
      <c r="NC10" s="1">
        <v>404.58</v>
      </c>
      <c r="ND10" s="1">
        <v>400.78</v>
      </c>
      <c r="NE10" s="1">
        <v>404.96</v>
      </c>
      <c r="NF10" s="1">
        <v>413.36</v>
      </c>
      <c r="NG10" s="1">
        <v>411.31</v>
      </c>
      <c r="NH10" s="1">
        <v>416.06</v>
      </c>
      <c r="NI10" s="1">
        <v>422.38</v>
      </c>
      <c r="NJ10" s="1">
        <v>424.74</v>
      </c>
      <c r="NK10" s="1">
        <v>428.56</v>
      </c>
      <c r="NL10" s="1">
        <v>431.65</v>
      </c>
      <c r="NM10" s="1">
        <v>433.29</v>
      </c>
      <c r="NN10" s="1">
        <v>434.74</v>
      </c>
      <c r="NO10" s="1">
        <v>436.05</v>
      </c>
      <c r="NP10" s="1">
        <v>429.98</v>
      </c>
      <c r="NQ10" s="1">
        <v>426.79</v>
      </c>
      <c r="NR10" s="1">
        <v>423.91</v>
      </c>
      <c r="NS10" s="1">
        <v>429.49</v>
      </c>
      <c r="NT10" s="1">
        <v>429.15</v>
      </c>
      <c r="NU10" s="1">
        <v>428.22</v>
      </c>
      <c r="NV10" s="1">
        <v>427.47</v>
      </c>
    </row>
    <row r="11" spans="1:386" s="1" customFormat="1" ht="15" customHeight="1" x14ac:dyDescent="0.25">
      <c r="B11"/>
      <c r="C11" s="30" t="s">
        <v>32</v>
      </c>
      <c r="D11" s="38">
        <f t="shared" si="1"/>
        <v>1.66</v>
      </c>
      <c r="E11" s="39">
        <f t="shared" si="0"/>
        <v>1.53</v>
      </c>
      <c r="F11" s="39">
        <f t="shared" si="0"/>
        <v>2.6</v>
      </c>
      <c r="G11" s="39">
        <f t="shared" si="0"/>
        <v>1.62</v>
      </c>
      <c r="H11" s="39">
        <f t="shared" si="0"/>
        <v>1.33</v>
      </c>
      <c r="I11" s="39">
        <f t="shared" si="0"/>
        <v>1.81</v>
      </c>
      <c r="J11" s="39">
        <f t="shared" si="0"/>
        <v>1.72</v>
      </c>
      <c r="K11" s="39">
        <f t="shared" si="0"/>
        <v>0.57999999999999996</v>
      </c>
      <c r="L11" s="39">
        <f t="shared" si="0"/>
        <v>1.02</v>
      </c>
      <c r="M11" s="39">
        <f t="shared" si="0"/>
        <v>1.37</v>
      </c>
      <c r="N11" s="39">
        <f t="shared" si="0"/>
        <v>1.46</v>
      </c>
      <c r="O11" s="40">
        <f t="shared" si="0"/>
        <v>1.75</v>
      </c>
      <c r="P11"/>
      <c r="Q11"/>
      <c r="T11" s="50"/>
      <c r="U11" s="56" t="s">
        <v>31</v>
      </c>
      <c r="V11" s="1">
        <v>1.66</v>
      </c>
      <c r="W11" s="1">
        <v>1.53</v>
      </c>
      <c r="X11" s="1">
        <v>2.6</v>
      </c>
      <c r="Y11" s="1">
        <v>1.62</v>
      </c>
      <c r="Z11" s="1">
        <v>1.33</v>
      </c>
      <c r="AA11" s="1">
        <v>1.81</v>
      </c>
      <c r="AB11" s="1">
        <v>1.72</v>
      </c>
      <c r="AC11" s="1">
        <v>0.57999999999999996</v>
      </c>
      <c r="AD11" s="1">
        <v>1.02</v>
      </c>
      <c r="AE11" s="1">
        <v>1.37</v>
      </c>
      <c r="AF11" s="1">
        <v>1.46</v>
      </c>
      <c r="AG11" s="1">
        <v>1.75</v>
      </c>
      <c r="AH11" s="1">
        <v>1.36</v>
      </c>
      <c r="AI11" s="1">
        <v>-1.92</v>
      </c>
      <c r="AJ11" s="1">
        <v>-2.3199999999999998</v>
      </c>
      <c r="AK11" s="1">
        <v>-2.62</v>
      </c>
      <c r="AL11" s="1">
        <v>-2.4300000000000002</v>
      </c>
      <c r="AM11" s="1">
        <v>-2.23</v>
      </c>
      <c r="AN11" s="1">
        <v>-2.15</v>
      </c>
      <c r="AO11" s="1">
        <v>-2.42</v>
      </c>
      <c r="AP11" s="1">
        <v>-3.43</v>
      </c>
      <c r="AQ11" s="1">
        <v>-1.58</v>
      </c>
      <c r="AR11" s="1">
        <v>-1.83</v>
      </c>
      <c r="AS11" s="1">
        <v>-1.26</v>
      </c>
      <c r="AT11" s="1">
        <v>-1.59</v>
      </c>
      <c r="AU11" s="1">
        <v>-0.98</v>
      </c>
      <c r="AV11" s="1">
        <v>-0.64</v>
      </c>
      <c r="AW11" s="1">
        <v>-7.0000000000000007E-2</v>
      </c>
      <c r="AX11" s="1">
        <v>0.01</v>
      </c>
      <c r="AY11" s="1">
        <v>0.44</v>
      </c>
      <c r="AZ11" s="1">
        <v>-0.02</v>
      </c>
      <c r="BA11" s="1">
        <v>1.08</v>
      </c>
      <c r="BB11" s="1">
        <v>-1.36</v>
      </c>
      <c r="BC11" s="1">
        <v>0.12</v>
      </c>
      <c r="BD11" s="1">
        <v>0.69</v>
      </c>
      <c r="BE11" s="1">
        <v>0.43</v>
      </c>
      <c r="BF11" s="1">
        <v>0.75</v>
      </c>
      <c r="BG11" s="1">
        <v>0.94</v>
      </c>
      <c r="BH11" s="1">
        <v>0.33</v>
      </c>
      <c r="BI11" s="1">
        <v>-0.22</v>
      </c>
      <c r="BJ11" s="1">
        <v>0.33</v>
      </c>
      <c r="BK11" s="1">
        <v>2.5</v>
      </c>
      <c r="BL11" s="1">
        <v>0.99</v>
      </c>
      <c r="BM11" s="1">
        <v>0.69</v>
      </c>
      <c r="BN11" s="1">
        <v>1.07</v>
      </c>
      <c r="BO11" s="1">
        <v>1.86</v>
      </c>
      <c r="BP11" s="1">
        <v>0.32</v>
      </c>
      <c r="BQ11" s="1">
        <v>1.02</v>
      </c>
      <c r="BR11" s="1">
        <v>0.94</v>
      </c>
      <c r="BS11" s="1">
        <v>1.1299999999999999</v>
      </c>
      <c r="BT11" s="1">
        <v>1.07</v>
      </c>
      <c r="BU11" s="1">
        <v>0.39</v>
      </c>
      <c r="BV11" s="1">
        <v>0.57999999999999996</v>
      </c>
      <c r="BW11" s="1">
        <v>0.02</v>
      </c>
      <c r="BX11" s="1">
        <v>1.1200000000000001</v>
      </c>
      <c r="BY11" s="1">
        <v>0.74</v>
      </c>
      <c r="BZ11" s="1">
        <v>0.83</v>
      </c>
      <c r="CA11" s="1">
        <v>0.85</v>
      </c>
      <c r="CB11" s="1">
        <v>0.87</v>
      </c>
      <c r="CC11" s="1">
        <v>1.43</v>
      </c>
      <c r="CD11" s="1">
        <v>0.98</v>
      </c>
      <c r="CE11" s="1">
        <v>-0.01</v>
      </c>
      <c r="CF11" s="1">
        <v>0.01</v>
      </c>
      <c r="CG11" s="1">
        <v>0.91</v>
      </c>
      <c r="CH11" s="1">
        <v>-0.22</v>
      </c>
      <c r="CI11" s="1">
        <v>1.54</v>
      </c>
      <c r="CJ11" s="1">
        <v>0.23</v>
      </c>
      <c r="CK11" s="1">
        <v>0.76</v>
      </c>
      <c r="CL11" s="1">
        <v>-0.06</v>
      </c>
      <c r="CM11" s="1">
        <v>0.44</v>
      </c>
      <c r="CN11" s="1">
        <v>0.89</v>
      </c>
      <c r="CO11" s="1">
        <v>1.35</v>
      </c>
      <c r="CP11" s="1">
        <v>1.73</v>
      </c>
      <c r="CQ11" s="1">
        <v>1.0900000000000001</v>
      </c>
      <c r="CR11" s="1">
        <v>2.1</v>
      </c>
      <c r="CS11" s="1">
        <v>-0.19</v>
      </c>
      <c r="CT11" s="1">
        <v>0.4</v>
      </c>
      <c r="CU11" s="1">
        <v>0.53</v>
      </c>
      <c r="CV11" s="1">
        <v>0.11</v>
      </c>
      <c r="CW11" s="1">
        <v>-0.6</v>
      </c>
      <c r="CX11" s="1">
        <v>-0.27</v>
      </c>
      <c r="CY11" s="1">
        <v>0.01</v>
      </c>
      <c r="CZ11" s="1">
        <v>0.41</v>
      </c>
      <c r="DA11" s="1">
        <v>-0.79</v>
      </c>
      <c r="DB11" s="1">
        <v>0.77</v>
      </c>
      <c r="DC11" s="1">
        <v>-0.04</v>
      </c>
      <c r="DD11" s="1">
        <v>1.64</v>
      </c>
      <c r="DE11" s="1">
        <v>-0.02</v>
      </c>
      <c r="DF11" s="1">
        <v>0.14000000000000001</v>
      </c>
      <c r="DG11" s="1">
        <v>-0.11</v>
      </c>
      <c r="DH11" s="1">
        <v>-0.37</v>
      </c>
      <c r="DI11" s="1">
        <v>0.93</v>
      </c>
      <c r="DJ11" s="1">
        <v>-0.52</v>
      </c>
      <c r="DK11" s="1">
        <v>-1.96</v>
      </c>
      <c r="DL11" s="1">
        <v>-0.04</v>
      </c>
      <c r="DM11" s="1">
        <v>-0.65</v>
      </c>
      <c r="DN11" s="1">
        <v>0.59</v>
      </c>
      <c r="DO11" s="1">
        <v>0.22</v>
      </c>
      <c r="DP11" s="1">
        <v>-0.26</v>
      </c>
      <c r="DQ11" s="1">
        <v>-0.54</v>
      </c>
      <c r="DR11" s="1">
        <v>-0.56999999999999995</v>
      </c>
      <c r="DS11" s="1">
        <v>0.01</v>
      </c>
      <c r="DT11" s="1">
        <v>-0.45</v>
      </c>
      <c r="DU11" s="1">
        <v>-0.11</v>
      </c>
      <c r="DV11" s="1">
        <v>0.27</v>
      </c>
      <c r="DW11" s="1">
        <v>0.03</v>
      </c>
      <c r="DX11" s="1">
        <v>0.28000000000000003</v>
      </c>
      <c r="DY11" s="1">
        <v>0.15</v>
      </c>
      <c r="DZ11" s="1">
        <v>0.09</v>
      </c>
      <c r="EA11" s="1">
        <v>-0.38</v>
      </c>
      <c r="EB11" s="1">
        <v>-0.15</v>
      </c>
      <c r="EC11" s="1">
        <v>0.28000000000000003</v>
      </c>
      <c r="ED11" s="1">
        <v>0.35</v>
      </c>
      <c r="EE11" s="1">
        <v>-0.14000000000000001</v>
      </c>
      <c r="EF11" s="1">
        <v>0.93</v>
      </c>
      <c r="EG11" s="1">
        <v>0.14000000000000001</v>
      </c>
      <c r="EH11" s="1">
        <v>1.18</v>
      </c>
      <c r="EI11" s="1">
        <v>0.51</v>
      </c>
      <c r="EJ11" s="1">
        <v>0.89</v>
      </c>
      <c r="EK11" s="1">
        <v>0.76</v>
      </c>
      <c r="EL11" s="1">
        <v>0.87</v>
      </c>
      <c r="EM11" s="1">
        <v>-0.88</v>
      </c>
      <c r="EN11" s="1">
        <v>0.48</v>
      </c>
      <c r="EO11" s="1">
        <v>-0.2</v>
      </c>
      <c r="EP11" s="1">
        <v>1.1299999999999999</v>
      </c>
      <c r="EQ11" s="1">
        <v>0.09</v>
      </c>
      <c r="ER11" s="1">
        <v>1.25</v>
      </c>
      <c r="ES11" s="1">
        <v>1.31</v>
      </c>
      <c r="ET11" s="1">
        <v>0.52</v>
      </c>
      <c r="EU11" s="1">
        <v>0.81</v>
      </c>
      <c r="EV11" s="1">
        <v>0.65</v>
      </c>
      <c r="EW11" s="1">
        <v>0.64</v>
      </c>
      <c r="EX11" s="1">
        <v>1.02</v>
      </c>
      <c r="EY11" s="1">
        <v>0.92</v>
      </c>
      <c r="EZ11" s="1">
        <v>1.04</v>
      </c>
      <c r="FA11" s="1">
        <v>0.93</v>
      </c>
      <c r="FB11" s="1">
        <v>0.25</v>
      </c>
      <c r="FC11" s="1">
        <v>0.44</v>
      </c>
      <c r="FD11" s="1">
        <v>-0.16</v>
      </c>
      <c r="FE11" s="1">
        <v>0.4</v>
      </c>
      <c r="FF11" s="1">
        <v>0.63</v>
      </c>
      <c r="FG11" s="1">
        <v>0.65</v>
      </c>
      <c r="FH11" s="1">
        <v>0.22</v>
      </c>
      <c r="FI11" s="1">
        <v>0.32</v>
      </c>
      <c r="FJ11" s="1">
        <v>-0.59</v>
      </c>
      <c r="FK11" s="1">
        <v>-1.0900000000000001</v>
      </c>
      <c r="FL11" s="1">
        <v>-0.65</v>
      </c>
      <c r="FM11" s="1">
        <v>-0.81</v>
      </c>
      <c r="FN11" s="1">
        <v>-1.23</v>
      </c>
      <c r="FO11" s="1">
        <v>-0.63</v>
      </c>
      <c r="FP11" s="1">
        <v>-0.79</v>
      </c>
      <c r="FQ11" s="1">
        <v>-1.1200000000000001</v>
      </c>
      <c r="FR11" s="1">
        <v>0.43</v>
      </c>
      <c r="FS11" s="1">
        <v>0.03</v>
      </c>
      <c r="FT11" s="1">
        <v>0.39</v>
      </c>
      <c r="FU11" s="1">
        <v>-0.51</v>
      </c>
      <c r="FV11" s="1">
        <v>-0.39</v>
      </c>
      <c r="FW11" s="1">
        <v>0.46</v>
      </c>
      <c r="FX11" s="1">
        <v>0.86</v>
      </c>
      <c r="FY11" s="1">
        <v>0.54</v>
      </c>
      <c r="FZ11" s="1">
        <v>0.55000000000000004</v>
      </c>
      <c r="GA11" s="1">
        <v>0.12</v>
      </c>
      <c r="GB11" s="1">
        <v>0.36</v>
      </c>
      <c r="GC11" s="1">
        <v>0.36</v>
      </c>
      <c r="GD11" s="1">
        <v>-1.1399999999999999</v>
      </c>
      <c r="GE11" s="1">
        <v>0.06</v>
      </c>
      <c r="GF11" s="1">
        <v>7.0000000000000007E-2</v>
      </c>
      <c r="GG11" s="1">
        <v>0.21</v>
      </c>
      <c r="GH11" s="1">
        <v>0.2</v>
      </c>
      <c r="GI11" s="1">
        <v>-0.14000000000000001</v>
      </c>
      <c r="GJ11" s="1">
        <v>-0.39</v>
      </c>
      <c r="GK11" s="1">
        <v>-0.56999999999999995</v>
      </c>
      <c r="GL11" s="1">
        <v>-0.11</v>
      </c>
      <c r="GM11" s="1">
        <v>-0.71</v>
      </c>
      <c r="GN11" s="1">
        <v>-0.3</v>
      </c>
      <c r="GO11" s="1">
        <v>-0.47</v>
      </c>
      <c r="GP11" s="1">
        <v>-0.56999999999999995</v>
      </c>
      <c r="GQ11" s="1">
        <v>0.52</v>
      </c>
      <c r="GR11" s="1">
        <v>-0.26</v>
      </c>
      <c r="GS11" s="1">
        <v>-0.81</v>
      </c>
      <c r="GT11" s="1">
        <v>-0.62</v>
      </c>
      <c r="GU11" s="1">
        <v>-0.63</v>
      </c>
      <c r="GV11" s="1">
        <v>-0.88</v>
      </c>
      <c r="GW11" s="1">
        <v>-0.12</v>
      </c>
      <c r="GX11" s="1">
        <v>-0.56999999999999995</v>
      </c>
      <c r="GY11" s="1">
        <v>-0.16</v>
      </c>
      <c r="GZ11" s="1">
        <v>7.0000000000000007E-2</v>
      </c>
      <c r="HA11" s="1">
        <v>-0.89</v>
      </c>
      <c r="HB11" s="1">
        <v>-0.03</v>
      </c>
      <c r="HC11" s="1">
        <v>-0.2</v>
      </c>
      <c r="HD11" s="1">
        <v>0.33</v>
      </c>
      <c r="HE11" s="1">
        <v>0.27</v>
      </c>
      <c r="HF11" s="1">
        <v>0.39</v>
      </c>
      <c r="HG11" s="1">
        <v>0.47</v>
      </c>
      <c r="HH11" s="1">
        <v>0.34</v>
      </c>
      <c r="HI11" s="1">
        <v>0.56000000000000005</v>
      </c>
      <c r="HJ11" s="1">
        <v>0.56000000000000005</v>
      </c>
      <c r="HK11" s="1">
        <v>0.31</v>
      </c>
      <c r="HL11" s="1">
        <v>0.09</v>
      </c>
      <c r="HM11" s="1">
        <v>0.25</v>
      </c>
      <c r="HN11" s="1">
        <v>-0.22</v>
      </c>
      <c r="HO11" s="1">
        <v>0.39</v>
      </c>
      <c r="HP11" s="1">
        <v>-0.31</v>
      </c>
      <c r="HQ11" s="1">
        <v>-0.88</v>
      </c>
      <c r="HR11" s="1">
        <v>-0.59</v>
      </c>
      <c r="HS11" s="1">
        <v>-0.26</v>
      </c>
      <c r="HT11" s="1">
        <v>-0.02</v>
      </c>
      <c r="HU11" s="1">
        <v>-0.33</v>
      </c>
      <c r="HV11" s="1">
        <v>0.28999999999999998</v>
      </c>
      <c r="HW11" s="1">
        <v>0.01</v>
      </c>
      <c r="HX11" s="1">
        <v>-0.73</v>
      </c>
      <c r="HY11" s="1">
        <v>-0.61</v>
      </c>
      <c r="HZ11" s="1">
        <v>-1.1599999999999999</v>
      </c>
      <c r="IA11" s="1">
        <v>-2.56</v>
      </c>
      <c r="IB11" s="1">
        <v>-1.48</v>
      </c>
      <c r="IC11" s="1">
        <v>-0.23</v>
      </c>
      <c r="ID11" s="1">
        <v>-0.54</v>
      </c>
      <c r="IE11" s="1">
        <v>-0.61</v>
      </c>
      <c r="IF11" s="1">
        <v>-0.39</v>
      </c>
      <c r="IG11" s="1">
        <v>-0.34</v>
      </c>
      <c r="IH11" s="1">
        <v>0.96</v>
      </c>
      <c r="II11" s="1">
        <v>-0.64</v>
      </c>
      <c r="IJ11" s="1">
        <v>-0.39</v>
      </c>
      <c r="IK11" s="1">
        <v>0.09</v>
      </c>
      <c r="IL11" s="1">
        <v>0.76</v>
      </c>
      <c r="IM11" s="1">
        <v>-0.15</v>
      </c>
      <c r="IN11" s="1">
        <v>0.65</v>
      </c>
      <c r="IO11" s="1">
        <v>0.05</v>
      </c>
      <c r="IP11" s="1">
        <v>0.12</v>
      </c>
      <c r="IQ11" s="1">
        <v>0.67</v>
      </c>
      <c r="IR11" s="1">
        <v>-0.61</v>
      </c>
      <c r="IS11" s="1">
        <v>0.18</v>
      </c>
      <c r="IT11" s="1">
        <v>0.25</v>
      </c>
      <c r="IU11" s="1">
        <v>-0.28000000000000003</v>
      </c>
      <c r="IV11" s="1">
        <v>0.33</v>
      </c>
      <c r="IW11" s="1">
        <v>0.06</v>
      </c>
      <c r="IX11" s="1">
        <v>-0.1</v>
      </c>
      <c r="IY11" s="1">
        <v>-1.38</v>
      </c>
      <c r="IZ11" s="1">
        <v>-1.1299999999999999</v>
      </c>
      <c r="JA11" s="1">
        <v>-0.13</v>
      </c>
      <c r="JB11" s="1">
        <v>-1.39</v>
      </c>
      <c r="JC11" s="1">
        <v>-0.45</v>
      </c>
      <c r="JD11" s="1">
        <v>0.27</v>
      </c>
      <c r="JE11" s="1">
        <v>-0.34</v>
      </c>
      <c r="JF11" s="1">
        <v>-0.21</v>
      </c>
      <c r="JG11" s="1">
        <v>-0.36</v>
      </c>
      <c r="JH11" s="1">
        <v>0.49</v>
      </c>
      <c r="JI11" s="1">
        <v>-0.95</v>
      </c>
      <c r="JJ11" s="1">
        <v>-0.5</v>
      </c>
      <c r="JK11" s="1">
        <v>0.34</v>
      </c>
      <c r="JL11" s="1">
        <v>-0.67</v>
      </c>
      <c r="JM11" s="1">
        <v>-0.82</v>
      </c>
      <c r="JN11" s="1">
        <v>-0.35</v>
      </c>
      <c r="JO11" s="1">
        <v>-0.97</v>
      </c>
      <c r="JP11" s="1">
        <v>-1.29</v>
      </c>
      <c r="JQ11" s="1">
        <v>-0.75</v>
      </c>
      <c r="JR11" s="1">
        <v>-0.21</v>
      </c>
      <c r="JS11" s="1">
        <v>0.06</v>
      </c>
      <c r="JT11" s="1">
        <v>-0.42</v>
      </c>
      <c r="JU11" s="1">
        <v>-2.91</v>
      </c>
      <c r="JV11" s="1">
        <v>-4.3099999999999996</v>
      </c>
      <c r="JW11" s="1">
        <v>-3.53</v>
      </c>
      <c r="JX11" s="1">
        <v>-4.55</v>
      </c>
      <c r="JY11" s="1">
        <v>-4.47</v>
      </c>
      <c r="JZ11" s="1">
        <v>-4.45</v>
      </c>
      <c r="KA11" s="1">
        <v>-4.7699999999999996</v>
      </c>
      <c r="KB11" s="1">
        <v>-5.01</v>
      </c>
      <c r="KC11" s="1">
        <v>-4.18</v>
      </c>
      <c r="KD11" s="1">
        <v>-4.8099999999999996</v>
      </c>
      <c r="KE11" s="1">
        <v>-4.96</v>
      </c>
      <c r="KF11" s="1">
        <v>-3.37</v>
      </c>
      <c r="KG11" s="1">
        <v>-4.97</v>
      </c>
      <c r="KH11" s="1">
        <v>-1.73</v>
      </c>
      <c r="KI11" s="1">
        <v>0.98</v>
      </c>
      <c r="KJ11" s="1">
        <v>-0.16</v>
      </c>
      <c r="KK11" s="1">
        <v>-0.55000000000000004</v>
      </c>
      <c r="KL11" s="1">
        <v>0.28999999999999998</v>
      </c>
      <c r="KM11" s="1">
        <v>-0.64</v>
      </c>
      <c r="KN11" s="1">
        <v>-0.13</v>
      </c>
      <c r="KO11" s="1">
        <v>0.11</v>
      </c>
      <c r="KP11" s="1">
        <v>0.32</v>
      </c>
      <c r="KQ11" s="1">
        <v>-0.22</v>
      </c>
      <c r="KR11" s="1">
        <v>0.67</v>
      </c>
      <c r="KS11" s="1">
        <v>0</v>
      </c>
      <c r="KT11" s="1">
        <v>-0.39</v>
      </c>
      <c r="KU11" s="1">
        <v>0.93</v>
      </c>
      <c r="KV11" s="1">
        <v>0.32</v>
      </c>
      <c r="KW11" s="1">
        <v>0.91</v>
      </c>
      <c r="KX11" s="1">
        <v>0.41</v>
      </c>
      <c r="KY11" s="1">
        <v>0.53</v>
      </c>
      <c r="KZ11" s="1">
        <v>0.94</v>
      </c>
      <c r="LA11" s="1">
        <v>0.77</v>
      </c>
      <c r="LB11" s="1">
        <v>0.57999999999999996</v>
      </c>
      <c r="LC11" s="1">
        <v>0.21</v>
      </c>
      <c r="LD11" s="1">
        <v>0.14000000000000001</v>
      </c>
      <c r="LE11" s="1">
        <v>0.36</v>
      </c>
      <c r="LF11" s="1">
        <v>0.79</v>
      </c>
      <c r="LG11" s="1">
        <v>0.91</v>
      </c>
      <c r="LH11" s="1">
        <v>-0.43</v>
      </c>
      <c r="LI11" s="1">
        <v>0.78</v>
      </c>
      <c r="LJ11" s="1">
        <v>1.0900000000000001</v>
      </c>
      <c r="LK11" s="1">
        <v>-0.32</v>
      </c>
      <c r="LL11" s="1">
        <v>0.46</v>
      </c>
      <c r="LM11" s="1">
        <v>-0.03</v>
      </c>
      <c r="LN11" s="1">
        <v>0.28000000000000003</v>
      </c>
      <c r="LO11" s="1">
        <v>0.84</v>
      </c>
      <c r="LP11" s="1">
        <v>1.06</v>
      </c>
      <c r="LQ11" s="1">
        <v>0.22</v>
      </c>
      <c r="LR11" s="1">
        <v>0.26</v>
      </c>
      <c r="LS11" s="1">
        <v>0.39</v>
      </c>
      <c r="LT11" s="1">
        <v>0.88</v>
      </c>
      <c r="LU11" s="1">
        <v>1.41</v>
      </c>
      <c r="LV11" s="1">
        <v>-0.19</v>
      </c>
      <c r="LW11" s="1">
        <v>0.5</v>
      </c>
      <c r="LX11" s="1">
        <v>-0.44</v>
      </c>
      <c r="LY11" s="1">
        <v>0.63</v>
      </c>
      <c r="LZ11" s="1">
        <v>0.06</v>
      </c>
      <c r="MA11" s="1">
        <v>0.47</v>
      </c>
      <c r="MB11" s="1">
        <v>0.74</v>
      </c>
      <c r="MC11" s="1">
        <v>-1.19</v>
      </c>
      <c r="MD11" s="1">
        <v>0.2</v>
      </c>
      <c r="ME11" s="1">
        <v>-0.94</v>
      </c>
      <c r="MF11" s="1">
        <v>-1.3</v>
      </c>
      <c r="MG11" s="1">
        <v>-0.27</v>
      </c>
      <c r="MH11" s="1">
        <v>-0.59</v>
      </c>
      <c r="MI11" s="1">
        <v>-0.91</v>
      </c>
      <c r="MJ11" s="1">
        <v>-0.24</v>
      </c>
      <c r="MK11" s="1">
        <v>-0.12</v>
      </c>
      <c r="ML11" s="1">
        <v>0.15</v>
      </c>
      <c r="MM11" s="1">
        <v>0.24</v>
      </c>
      <c r="MN11" s="1">
        <v>0</v>
      </c>
      <c r="MO11" s="1">
        <v>-0.5</v>
      </c>
      <c r="MP11" s="1">
        <v>0.12</v>
      </c>
      <c r="MQ11" s="1">
        <v>-0.04</v>
      </c>
      <c r="MR11" s="1">
        <v>0.7</v>
      </c>
      <c r="MS11" s="1">
        <v>-0.22</v>
      </c>
      <c r="MT11" s="1">
        <v>-7.0000000000000007E-2</v>
      </c>
      <c r="MU11" s="1">
        <v>0.71</v>
      </c>
      <c r="MV11" s="1">
        <v>-0.12</v>
      </c>
      <c r="MW11" s="1">
        <v>-0.28999999999999998</v>
      </c>
      <c r="MX11" s="1">
        <v>0.4</v>
      </c>
      <c r="MY11" s="1">
        <v>0.36</v>
      </c>
      <c r="MZ11" s="1">
        <v>0.12</v>
      </c>
      <c r="NA11" s="1">
        <v>-0.5</v>
      </c>
      <c r="NB11" s="1">
        <v>0.52</v>
      </c>
      <c r="NC11" s="1">
        <v>0.56999999999999995</v>
      </c>
      <c r="ND11" s="1">
        <v>0.12</v>
      </c>
      <c r="NE11" s="1">
        <v>-0.11</v>
      </c>
      <c r="NF11" s="1">
        <v>-0.31</v>
      </c>
      <c r="NG11" s="1">
        <v>0.44</v>
      </c>
      <c r="NH11" s="1">
        <v>0.04</v>
      </c>
      <c r="NI11" s="1">
        <v>0.97</v>
      </c>
      <c r="NJ11" s="1">
        <v>0.26</v>
      </c>
      <c r="NK11" s="1">
        <v>0.44</v>
      </c>
      <c r="NL11" s="1">
        <v>0.35</v>
      </c>
      <c r="NM11" s="1">
        <v>0.26</v>
      </c>
      <c r="NN11" s="1">
        <v>0.46</v>
      </c>
      <c r="NO11" s="1">
        <v>0.15</v>
      </c>
      <c r="NP11" s="1">
        <v>0.32</v>
      </c>
      <c r="NQ11" s="1">
        <v>-0.34</v>
      </c>
      <c r="NR11" s="1">
        <v>0.49</v>
      </c>
      <c r="NS11" s="1">
        <v>-0.09</v>
      </c>
      <c r="NT11" s="1">
        <v>-0.5</v>
      </c>
      <c r="NU11" s="1">
        <v>-7.0000000000000007E-2</v>
      </c>
      <c r="NV11" s="1">
        <v>0.53</v>
      </c>
    </row>
    <row r="12" spans="1:386" s="1" customFormat="1" ht="15" customHeight="1" x14ac:dyDescent="0.25">
      <c r="B12"/>
      <c r="C12" s="30" t="s">
        <v>33</v>
      </c>
      <c r="D12" s="38">
        <f t="shared" si="1"/>
        <v>1.78</v>
      </c>
      <c r="E12" s="39">
        <f t="shared" si="0"/>
        <v>1.86</v>
      </c>
      <c r="F12" s="39">
        <f t="shared" si="0"/>
        <v>1.89</v>
      </c>
      <c r="G12" s="39">
        <f t="shared" si="0"/>
        <v>1.93</v>
      </c>
      <c r="H12" s="39">
        <f t="shared" si="0"/>
        <v>1.96</v>
      </c>
      <c r="I12" s="39">
        <f t="shared" si="0"/>
        <v>2.02</v>
      </c>
      <c r="J12" s="39">
        <f t="shared" si="0"/>
        <v>2.06</v>
      </c>
      <c r="K12" s="39">
        <f t="shared" si="0"/>
        <v>2.0699999999999998</v>
      </c>
      <c r="L12" s="39">
        <f t="shared" si="0"/>
        <v>2.09</v>
      </c>
      <c r="M12" s="39">
        <f t="shared" si="0"/>
        <v>2.08</v>
      </c>
      <c r="N12" s="39">
        <f t="shared" si="0"/>
        <v>2.12</v>
      </c>
      <c r="O12" s="40">
        <f t="shared" si="0"/>
        <v>2.25</v>
      </c>
      <c r="P12"/>
      <c r="Q12"/>
      <c r="T12" s="50"/>
      <c r="U12" s="56" t="s">
        <v>34</v>
      </c>
      <c r="V12" s="1">
        <v>1.78</v>
      </c>
      <c r="W12" s="1">
        <v>1.86</v>
      </c>
      <c r="X12" s="1">
        <v>1.89</v>
      </c>
      <c r="Y12" s="1">
        <v>1.93</v>
      </c>
      <c r="Z12" s="1">
        <v>1.96</v>
      </c>
      <c r="AA12" s="1">
        <v>2.02</v>
      </c>
      <c r="AB12" s="1">
        <v>2.06</v>
      </c>
      <c r="AC12" s="1">
        <v>2.0699999999999998</v>
      </c>
      <c r="AD12" s="1">
        <v>2.09</v>
      </c>
      <c r="AE12" s="1">
        <v>2.08</v>
      </c>
      <c r="AF12" s="1">
        <v>2.12</v>
      </c>
      <c r="AG12" s="1">
        <v>2.25</v>
      </c>
      <c r="AH12" s="1">
        <v>2.36</v>
      </c>
      <c r="AI12" s="1">
        <v>-2.39</v>
      </c>
      <c r="AJ12" s="1">
        <v>-2.38</v>
      </c>
      <c r="AK12" s="1">
        <v>-2.2799999999999998</v>
      </c>
      <c r="AL12" s="1">
        <v>-2.2000000000000002</v>
      </c>
      <c r="AM12" s="1">
        <v>-2.2000000000000002</v>
      </c>
      <c r="AN12" s="1">
        <v>-2.16</v>
      </c>
      <c r="AO12" s="1">
        <v>-2.1</v>
      </c>
      <c r="AP12" s="1">
        <v>-1.99</v>
      </c>
      <c r="AQ12" s="1">
        <v>-1.96</v>
      </c>
      <c r="AR12" s="1">
        <v>-1.87</v>
      </c>
      <c r="AS12" s="1">
        <v>-1.88</v>
      </c>
      <c r="AT12" s="1">
        <v>-1.84</v>
      </c>
      <c r="AU12" s="1">
        <v>-1.77</v>
      </c>
      <c r="AV12" s="1">
        <v>0.03</v>
      </c>
      <c r="AW12" s="1">
        <v>7.0000000000000007E-2</v>
      </c>
      <c r="AX12" s="1">
        <v>0.1</v>
      </c>
      <c r="AY12" s="1">
        <v>0.14000000000000001</v>
      </c>
      <c r="AZ12" s="1">
        <v>0.24</v>
      </c>
      <c r="BA12" s="1">
        <v>0.28000000000000003</v>
      </c>
      <c r="BB12" s="1">
        <v>0.31900000000000001</v>
      </c>
      <c r="BC12" s="1">
        <v>0.35</v>
      </c>
      <c r="BD12" s="1">
        <v>0.38</v>
      </c>
      <c r="BE12" s="1">
        <v>0.49</v>
      </c>
      <c r="BF12" s="1">
        <v>0.52</v>
      </c>
      <c r="BG12" s="1">
        <v>0.55000000000000004</v>
      </c>
      <c r="BH12" s="1">
        <v>0.57999999999999996</v>
      </c>
      <c r="BI12" s="1">
        <v>0.62</v>
      </c>
      <c r="BJ12" s="1">
        <v>0.73</v>
      </c>
      <c r="BK12" s="1">
        <v>0.76</v>
      </c>
      <c r="BL12" s="1">
        <v>0.81</v>
      </c>
      <c r="BM12" s="1">
        <v>0.84</v>
      </c>
      <c r="BN12" s="1">
        <v>0.87</v>
      </c>
      <c r="BO12" s="1">
        <v>0.98</v>
      </c>
      <c r="BP12" s="1">
        <v>0.98</v>
      </c>
      <c r="BQ12" s="1">
        <v>1.03</v>
      </c>
      <c r="BR12" s="1">
        <v>1.05</v>
      </c>
      <c r="BS12" s="1">
        <v>1.07</v>
      </c>
      <c r="BT12" s="1">
        <v>1.1599999999999999</v>
      </c>
      <c r="BU12" s="1">
        <v>1.18</v>
      </c>
      <c r="BV12" s="1">
        <v>1.22</v>
      </c>
      <c r="BW12" s="1">
        <v>1.25</v>
      </c>
      <c r="BX12" s="1">
        <v>1.26</v>
      </c>
      <c r="BY12" s="1">
        <v>1.34</v>
      </c>
      <c r="BZ12" s="1">
        <v>1.39</v>
      </c>
      <c r="CA12" s="1">
        <v>1.39</v>
      </c>
      <c r="CB12" s="1">
        <v>1.41</v>
      </c>
      <c r="CC12" s="1">
        <v>1.43</v>
      </c>
      <c r="CD12" s="1">
        <v>1.48</v>
      </c>
      <c r="CE12" s="1">
        <v>1.5</v>
      </c>
      <c r="CF12" s="1">
        <v>1.52</v>
      </c>
      <c r="CG12" s="1">
        <v>1.54</v>
      </c>
      <c r="CH12" s="1">
        <v>1.54</v>
      </c>
      <c r="CI12" s="1">
        <v>1.62</v>
      </c>
      <c r="CJ12" s="1">
        <v>1.58</v>
      </c>
      <c r="CK12" s="1">
        <v>1.51</v>
      </c>
      <c r="CL12" s="1">
        <v>1.53</v>
      </c>
      <c r="CM12" s="1">
        <v>1.66</v>
      </c>
      <c r="CN12" s="1">
        <v>1.69</v>
      </c>
      <c r="CO12" s="1">
        <v>1.68</v>
      </c>
      <c r="CP12" s="1">
        <v>1.69</v>
      </c>
      <c r="CQ12" s="1">
        <v>1.72</v>
      </c>
      <c r="CR12" s="1">
        <v>1.73</v>
      </c>
      <c r="CS12" s="1">
        <v>1.03</v>
      </c>
      <c r="CT12" s="1">
        <v>1.08</v>
      </c>
      <c r="CU12" s="1">
        <v>1.0900000000000001</v>
      </c>
      <c r="CV12" s="1">
        <v>1.19</v>
      </c>
      <c r="CW12" s="1">
        <v>1.23</v>
      </c>
      <c r="CX12" s="1">
        <v>1.27</v>
      </c>
      <c r="CY12" s="1">
        <v>1.29</v>
      </c>
      <c r="CZ12" s="1">
        <v>1.31</v>
      </c>
      <c r="DA12" s="1">
        <v>1.38</v>
      </c>
      <c r="DB12" s="1">
        <v>1.41</v>
      </c>
      <c r="DC12" s="1">
        <v>1.45</v>
      </c>
      <c r="DD12" s="1">
        <v>1.52</v>
      </c>
      <c r="DE12" s="1">
        <v>0.02</v>
      </c>
      <c r="DF12" s="1">
        <v>0.05</v>
      </c>
      <c r="DG12" s="1">
        <v>0.08</v>
      </c>
      <c r="DH12" s="1">
        <v>0.1</v>
      </c>
      <c r="DI12" s="1">
        <v>0.18</v>
      </c>
      <c r="DJ12" s="1">
        <v>0.2</v>
      </c>
      <c r="DK12" s="1">
        <v>0.23</v>
      </c>
      <c r="DL12" s="1">
        <v>0.26</v>
      </c>
      <c r="DM12" s="1">
        <v>0.28000000000000003</v>
      </c>
      <c r="DN12" s="1">
        <v>0.36</v>
      </c>
      <c r="DO12" s="1">
        <v>0.37</v>
      </c>
      <c r="DP12" s="1">
        <v>0.39</v>
      </c>
      <c r="DQ12" s="1">
        <v>0.41</v>
      </c>
      <c r="DR12" s="1">
        <v>0.44</v>
      </c>
      <c r="DS12" s="1">
        <v>0.52</v>
      </c>
      <c r="DT12" s="1">
        <v>0.55000000000000004</v>
      </c>
      <c r="DU12" s="1">
        <v>0.56999999999999995</v>
      </c>
      <c r="DV12" s="1">
        <v>0.6</v>
      </c>
      <c r="DW12" s="1">
        <v>0.7</v>
      </c>
      <c r="DX12" s="1">
        <v>0.72</v>
      </c>
      <c r="DY12" s="1">
        <v>0.73</v>
      </c>
      <c r="DZ12" s="1">
        <v>0.77</v>
      </c>
      <c r="EA12" s="1">
        <v>0.79</v>
      </c>
      <c r="EB12" s="1">
        <v>0.86</v>
      </c>
      <c r="EC12" s="1">
        <v>0.88</v>
      </c>
      <c r="ED12" s="1">
        <v>0.9</v>
      </c>
      <c r="EE12" s="1">
        <v>0.91</v>
      </c>
      <c r="EF12" s="1">
        <v>0.95</v>
      </c>
      <c r="EG12" s="1">
        <v>1</v>
      </c>
      <c r="EH12" s="1">
        <v>1.01</v>
      </c>
      <c r="EI12" s="1">
        <v>1</v>
      </c>
      <c r="EJ12" s="1">
        <v>1.02</v>
      </c>
      <c r="EK12" s="1">
        <v>1.04</v>
      </c>
      <c r="EL12" s="1">
        <v>1.07</v>
      </c>
      <c r="EM12" s="1">
        <v>1.1000000000000001</v>
      </c>
      <c r="EN12" s="1">
        <v>1.1100000000000001</v>
      </c>
      <c r="EO12" s="1">
        <v>1.1200000000000001</v>
      </c>
      <c r="EP12" s="1">
        <v>1.1499999999999999</v>
      </c>
      <c r="EQ12" s="1">
        <v>1.18</v>
      </c>
      <c r="ER12" s="1">
        <v>1.1399999999999999</v>
      </c>
      <c r="ES12" s="1">
        <v>1.01</v>
      </c>
      <c r="ET12" s="1">
        <v>0.98</v>
      </c>
      <c r="EU12" s="1">
        <v>1.01</v>
      </c>
      <c r="EV12" s="1">
        <v>1.07</v>
      </c>
      <c r="EW12" s="1">
        <v>1.08</v>
      </c>
      <c r="EX12" s="1">
        <v>1.07</v>
      </c>
      <c r="EY12" s="1">
        <v>1.1100000000000001</v>
      </c>
      <c r="EZ12" s="1">
        <v>1.1100000000000001</v>
      </c>
      <c r="FA12" s="1">
        <v>1.1599999999999999</v>
      </c>
      <c r="FB12" s="1">
        <v>1.18</v>
      </c>
      <c r="FC12" s="1">
        <v>1.2</v>
      </c>
      <c r="FD12" s="1">
        <v>0.28999999999999998</v>
      </c>
      <c r="FE12" s="1">
        <v>0.28999999999999998</v>
      </c>
      <c r="FF12" s="1">
        <v>0.33</v>
      </c>
      <c r="FG12" s="1">
        <v>0.31</v>
      </c>
      <c r="FH12" s="1">
        <v>0.34</v>
      </c>
      <c r="FI12" s="1">
        <v>0.39</v>
      </c>
      <c r="FJ12" s="1">
        <v>0.4</v>
      </c>
      <c r="FK12" s="1">
        <v>0.46</v>
      </c>
      <c r="FL12" s="1">
        <v>0.49</v>
      </c>
      <c r="FM12" s="1">
        <v>0.5</v>
      </c>
      <c r="FN12" s="1">
        <v>0.54</v>
      </c>
      <c r="FO12" s="1">
        <v>0.56999999999999995</v>
      </c>
      <c r="FP12" s="1">
        <v>0.66</v>
      </c>
      <c r="FQ12" s="1">
        <v>0.02</v>
      </c>
      <c r="FR12" s="1">
        <v>0.04</v>
      </c>
      <c r="FS12" s="1">
        <v>0.06</v>
      </c>
      <c r="FT12" s="1">
        <v>0.13</v>
      </c>
      <c r="FU12" s="1">
        <v>0.15</v>
      </c>
      <c r="FV12" s="1">
        <v>0.19</v>
      </c>
      <c r="FW12" s="1">
        <v>0.21</v>
      </c>
      <c r="FX12" s="1">
        <v>0.26</v>
      </c>
      <c r="FY12" s="1">
        <v>0.25</v>
      </c>
      <c r="FZ12" s="1">
        <v>0.27</v>
      </c>
      <c r="GA12" s="1">
        <v>0.28000000000000003</v>
      </c>
      <c r="GB12" s="1">
        <v>0.3</v>
      </c>
      <c r="GC12" s="1">
        <v>0.35</v>
      </c>
      <c r="GD12" s="1">
        <v>0.36</v>
      </c>
      <c r="GE12" s="1">
        <v>0.38</v>
      </c>
      <c r="GF12" s="1">
        <v>0.39</v>
      </c>
      <c r="GG12" s="1">
        <v>0.41</v>
      </c>
      <c r="GH12" s="1">
        <v>0.46</v>
      </c>
      <c r="GI12" s="1">
        <v>0.46</v>
      </c>
      <c r="GJ12" s="1">
        <v>0.49</v>
      </c>
      <c r="GK12" s="1">
        <v>0.5</v>
      </c>
      <c r="GL12" s="1">
        <v>0.52</v>
      </c>
      <c r="GM12" s="1">
        <v>0.57599999999999996</v>
      </c>
      <c r="GN12" s="1">
        <v>0.62</v>
      </c>
      <c r="GO12" s="1">
        <v>0.63</v>
      </c>
      <c r="GP12" s="1">
        <v>0.65</v>
      </c>
      <c r="GQ12" s="1">
        <v>0.7</v>
      </c>
      <c r="GR12" s="1">
        <v>0.71</v>
      </c>
      <c r="GS12" s="1">
        <v>0.72</v>
      </c>
      <c r="GT12" s="1">
        <v>0.74</v>
      </c>
      <c r="GU12" s="1">
        <v>0.76</v>
      </c>
      <c r="GV12" s="1">
        <v>0.82</v>
      </c>
      <c r="GW12" s="1">
        <v>0.85</v>
      </c>
      <c r="GX12" s="1">
        <v>0.86</v>
      </c>
      <c r="GY12" s="1">
        <v>0.88</v>
      </c>
      <c r="GZ12" s="1">
        <v>0.88</v>
      </c>
      <c r="HA12" s="1">
        <v>0.93</v>
      </c>
      <c r="HB12" s="1">
        <v>0.84</v>
      </c>
      <c r="HC12" s="1">
        <v>0.86099999999999999</v>
      </c>
      <c r="HD12" s="1">
        <v>0.86</v>
      </c>
      <c r="HE12" s="1">
        <v>0.88</v>
      </c>
      <c r="HF12" s="1">
        <v>0.93</v>
      </c>
      <c r="HG12" s="1">
        <v>0.94</v>
      </c>
      <c r="HH12" s="1">
        <v>0.97</v>
      </c>
      <c r="HI12" s="1">
        <v>1</v>
      </c>
      <c r="HJ12" s="1">
        <v>1.01</v>
      </c>
      <c r="HK12" s="1">
        <v>1.05</v>
      </c>
      <c r="HL12" s="1">
        <v>1.07</v>
      </c>
      <c r="HM12" s="1">
        <v>1.0900000000000001</v>
      </c>
      <c r="HN12" s="1">
        <v>0.49</v>
      </c>
      <c r="HO12" s="1">
        <v>0.5</v>
      </c>
      <c r="HP12" s="1">
        <v>0.53</v>
      </c>
      <c r="HQ12" s="1">
        <v>0.55000000000000004</v>
      </c>
      <c r="HR12" s="1">
        <v>0.56999999999999995</v>
      </c>
      <c r="HS12" s="1">
        <v>0.57999999999999996</v>
      </c>
      <c r="HT12" s="1">
        <v>0.57999999999999996</v>
      </c>
      <c r="HU12" s="1">
        <v>0.64</v>
      </c>
      <c r="HV12" s="1">
        <v>0.65</v>
      </c>
      <c r="HW12" s="1">
        <v>0.65</v>
      </c>
      <c r="HX12" s="1">
        <v>0.64</v>
      </c>
      <c r="HY12" s="1">
        <v>0.67</v>
      </c>
      <c r="HZ12" s="1">
        <v>0.71</v>
      </c>
      <c r="IA12" s="1">
        <v>0.01</v>
      </c>
      <c r="IB12" s="1">
        <v>0.04</v>
      </c>
      <c r="IC12" s="1">
        <v>0.06</v>
      </c>
      <c r="ID12" s="1">
        <v>0.1</v>
      </c>
      <c r="IE12" s="1">
        <v>0.12</v>
      </c>
      <c r="IF12" s="1">
        <v>0.13</v>
      </c>
      <c r="IG12" s="1">
        <v>0.16</v>
      </c>
      <c r="IH12" s="1">
        <v>0.21</v>
      </c>
      <c r="II12" s="1">
        <v>0.22</v>
      </c>
      <c r="IJ12" s="1">
        <v>0.24</v>
      </c>
      <c r="IK12" s="1">
        <v>0.25</v>
      </c>
      <c r="IL12" s="1">
        <v>0.27</v>
      </c>
      <c r="IM12" s="1">
        <v>0.32</v>
      </c>
      <c r="IN12" s="1">
        <v>0.33</v>
      </c>
      <c r="IO12" s="1">
        <v>0.35</v>
      </c>
      <c r="IP12" s="1">
        <v>0.36</v>
      </c>
      <c r="IQ12" s="1">
        <v>0.37</v>
      </c>
      <c r="IR12" s="1">
        <v>0.42</v>
      </c>
      <c r="IS12" s="1">
        <v>0.44</v>
      </c>
      <c r="IT12" s="1">
        <v>0.45</v>
      </c>
      <c r="IU12" s="1">
        <v>0.46</v>
      </c>
      <c r="IV12" s="1">
        <v>0.48</v>
      </c>
      <c r="IW12" s="1">
        <v>0.53</v>
      </c>
      <c r="IX12" s="1">
        <v>0.53</v>
      </c>
      <c r="IY12" s="1">
        <v>0.61</v>
      </c>
      <c r="IZ12" s="1">
        <v>0.61</v>
      </c>
      <c r="JA12" s="1">
        <v>0.64</v>
      </c>
      <c r="JB12" s="1">
        <v>0.65</v>
      </c>
      <c r="JC12" s="1">
        <v>0.68</v>
      </c>
      <c r="JD12" s="1">
        <v>0.74</v>
      </c>
      <c r="JE12" s="1">
        <v>0.76</v>
      </c>
      <c r="JF12" s="1">
        <v>0.76</v>
      </c>
      <c r="JG12" s="1">
        <v>0.78</v>
      </c>
      <c r="JH12" s="1">
        <v>0.77</v>
      </c>
      <c r="JI12" s="1">
        <v>0.78</v>
      </c>
      <c r="JJ12" s="1">
        <v>0.8</v>
      </c>
      <c r="JK12" s="1">
        <v>0.82</v>
      </c>
      <c r="JL12" s="1">
        <v>0.82</v>
      </c>
      <c r="JM12" s="1">
        <v>0.83</v>
      </c>
      <c r="JN12" s="1">
        <v>0.88</v>
      </c>
      <c r="JO12" s="1">
        <v>0.88</v>
      </c>
      <c r="JP12" s="1">
        <v>0.9</v>
      </c>
      <c r="JQ12" s="1">
        <v>0.92</v>
      </c>
      <c r="JR12" s="1">
        <v>0.93</v>
      </c>
      <c r="JS12" s="1">
        <v>0.98</v>
      </c>
      <c r="JT12" s="1">
        <v>1</v>
      </c>
      <c r="JU12" s="1">
        <v>-2.88</v>
      </c>
      <c r="JV12" s="1">
        <v>-2.87</v>
      </c>
      <c r="JW12" s="1">
        <v>-2.82</v>
      </c>
      <c r="JX12" s="1">
        <v>-2.81</v>
      </c>
      <c r="JY12" s="1">
        <v>-2.81</v>
      </c>
      <c r="JZ12" s="1">
        <v>-2.8</v>
      </c>
      <c r="KA12" s="1">
        <v>-2.79</v>
      </c>
      <c r="KB12" s="1">
        <v>-2.73</v>
      </c>
      <c r="KC12" s="1">
        <v>-2.72</v>
      </c>
      <c r="KD12" s="1">
        <v>-2.71</v>
      </c>
      <c r="KE12" s="1">
        <v>-2.7</v>
      </c>
      <c r="KF12" s="1">
        <v>-2.68</v>
      </c>
      <c r="KG12" s="1">
        <v>-2.71</v>
      </c>
      <c r="KH12" s="1">
        <v>0.01</v>
      </c>
      <c r="KI12" s="1">
        <v>0.03</v>
      </c>
      <c r="KJ12" s="1">
        <v>0.04</v>
      </c>
      <c r="KK12" s="1">
        <v>0.05</v>
      </c>
      <c r="KL12" s="1">
        <v>0.09</v>
      </c>
      <c r="KM12" s="1">
        <v>0.11</v>
      </c>
      <c r="KN12" s="1">
        <v>0.12</v>
      </c>
      <c r="KO12" s="1">
        <v>0.13</v>
      </c>
      <c r="KP12" s="1">
        <v>0.14000000000000001</v>
      </c>
      <c r="KQ12" s="1">
        <v>0.18</v>
      </c>
      <c r="KR12" s="1">
        <v>0.19</v>
      </c>
      <c r="KS12" s="1">
        <v>0.21</v>
      </c>
      <c r="KT12" s="1">
        <v>0.22</v>
      </c>
      <c r="KU12" s="1">
        <v>0.23</v>
      </c>
      <c r="KV12" s="1">
        <v>0.26</v>
      </c>
      <c r="KW12" s="1">
        <v>0.27</v>
      </c>
      <c r="KX12" s="1">
        <v>0.28000000000000003</v>
      </c>
      <c r="KY12" s="1">
        <v>0.3</v>
      </c>
      <c r="KZ12" s="1">
        <v>0.31</v>
      </c>
      <c r="LA12" s="1">
        <v>0.34</v>
      </c>
      <c r="LB12" s="1">
        <v>0.35</v>
      </c>
      <c r="LC12" s="1">
        <v>0.36</v>
      </c>
      <c r="LD12" s="1">
        <v>0.38</v>
      </c>
      <c r="LE12" s="1">
        <v>0.39</v>
      </c>
      <c r="LF12" s="1">
        <v>0.42</v>
      </c>
      <c r="LG12" s="1">
        <v>0.43</v>
      </c>
      <c r="LH12" s="1">
        <v>0.44</v>
      </c>
      <c r="LI12" s="1">
        <v>0.46</v>
      </c>
      <c r="LJ12" s="1">
        <v>0.46</v>
      </c>
      <c r="LK12" s="1">
        <v>0.5</v>
      </c>
      <c r="LL12" s="1">
        <v>0.51</v>
      </c>
      <c r="LM12" s="1">
        <v>0.52</v>
      </c>
      <c r="LN12" s="1">
        <v>0.54</v>
      </c>
      <c r="LO12" s="1">
        <v>0.54</v>
      </c>
      <c r="LP12" s="1">
        <v>0.57999999999999996</v>
      </c>
      <c r="LQ12" s="1">
        <v>0.59</v>
      </c>
      <c r="LR12" s="1">
        <v>0.59</v>
      </c>
      <c r="LS12" s="1">
        <v>0.6</v>
      </c>
      <c r="LT12" s="1">
        <v>0.61</v>
      </c>
      <c r="LU12" s="1">
        <v>0.65</v>
      </c>
      <c r="LV12" s="1">
        <v>0.64</v>
      </c>
      <c r="LW12" s="1">
        <v>0.64</v>
      </c>
      <c r="LX12" s="1">
        <v>0.65</v>
      </c>
      <c r="LY12" s="1">
        <v>0.7</v>
      </c>
      <c r="LZ12" s="1">
        <v>0.71</v>
      </c>
      <c r="MA12" s="1">
        <v>0.71</v>
      </c>
      <c r="MB12" s="1">
        <v>0.73</v>
      </c>
      <c r="MC12" s="1">
        <v>0.79</v>
      </c>
      <c r="MD12" s="1">
        <v>0.81</v>
      </c>
      <c r="ME12" s="1">
        <v>0.81</v>
      </c>
      <c r="MF12" s="1">
        <v>0.24</v>
      </c>
      <c r="MG12" s="1">
        <v>0.26</v>
      </c>
      <c r="MH12" s="1">
        <v>0.28000000000000003</v>
      </c>
      <c r="MI12" s="1">
        <v>0.3</v>
      </c>
      <c r="MJ12" s="1">
        <v>0.37</v>
      </c>
      <c r="MK12" s="1">
        <v>0.36</v>
      </c>
      <c r="ML12" s="1">
        <v>0.38</v>
      </c>
      <c r="MM12" s="1">
        <v>0.36</v>
      </c>
      <c r="MN12" s="1">
        <v>0.35</v>
      </c>
      <c r="MO12" s="1">
        <v>0.34</v>
      </c>
      <c r="MP12" s="1">
        <v>0.01</v>
      </c>
      <c r="MQ12" s="1">
        <v>0.02</v>
      </c>
      <c r="MR12" s="1">
        <v>0.03</v>
      </c>
      <c r="MS12" s="1">
        <v>0.04</v>
      </c>
      <c r="MT12" s="1">
        <v>7.0000000000000007E-2</v>
      </c>
      <c r="MU12" s="1">
        <v>0.08</v>
      </c>
      <c r="MV12" s="1">
        <v>0.1</v>
      </c>
      <c r="MW12" s="1">
        <v>0.11</v>
      </c>
      <c r="MX12" s="1">
        <v>0.11</v>
      </c>
      <c r="MY12" s="1">
        <v>0.14000000000000001</v>
      </c>
      <c r="MZ12" s="1">
        <v>0.13</v>
      </c>
      <c r="NA12" s="1">
        <v>0.14000000000000001</v>
      </c>
      <c r="NB12" s="1">
        <v>0.15</v>
      </c>
      <c r="NC12" s="1">
        <v>0.15</v>
      </c>
      <c r="ND12" s="1">
        <v>0.17</v>
      </c>
      <c r="NE12" s="1">
        <v>0.18</v>
      </c>
      <c r="NF12" s="1">
        <v>0.19</v>
      </c>
      <c r="NG12" s="1">
        <v>0.19</v>
      </c>
      <c r="NH12" s="1">
        <v>0.23</v>
      </c>
      <c r="NI12" s="1">
        <v>0.24</v>
      </c>
      <c r="NJ12" s="1">
        <v>0.25</v>
      </c>
      <c r="NK12" s="1">
        <v>0.25</v>
      </c>
      <c r="NL12" s="1">
        <v>0.26</v>
      </c>
      <c r="NM12" s="1">
        <v>0.28999999999999998</v>
      </c>
      <c r="NN12" s="1">
        <v>0.3</v>
      </c>
      <c r="NO12" s="1">
        <v>0.31</v>
      </c>
      <c r="NP12" s="1">
        <v>0.31</v>
      </c>
      <c r="NQ12" s="1">
        <v>0.32</v>
      </c>
      <c r="NR12" s="1">
        <v>0.34</v>
      </c>
      <c r="NS12" s="1">
        <v>0.35</v>
      </c>
      <c r="NT12" s="1">
        <v>0.36</v>
      </c>
      <c r="NU12" s="1">
        <v>0.37</v>
      </c>
      <c r="NV12" s="1">
        <v>0.38</v>
      </c>
    </row>
    <row r="13" spans="1:386" s="1" customFormat="1" ht="15" customHeight="1" x14ac:dyDescent="0.25">
      <c r="B13"/>
      <c r="C13" s="30" t="s">
        <v>20</v>
      </c>
      <c r="D13" s="41">
        <f t="shared" si="1"/>
        <v>205415</v>
      </c>
      <c r="E13" s="42">
        <f t="shared" si="0"/>
        <v>282230</v>
      </c>
      <c r="F13" s="42">
        <f t="shared" si="0"/>
        <v>248769</v>
      </c>
      <c r="G13" s="42">
        <f t="shared" si="0"/>
        <v>269281</v>
      </c>
      <c r="H13" s="42">
        <f t="shared" si="0"/>
        <v>318493</v>
      </c>
      <c r="I13" s="42">
        <f t="shared" si="0"/>
        <v>357791</v>
      </c>
      <c r="J13" s="42">
        <f t="shared" si="0"/>
        <v>373232</v>
      </c>
      <c r="K13" s="42">
        <f t="shared" si="0"/>
        <v>344644</v>
      </c>
      <c r="L13" s="42">
        <f t="shared" si="0"/>
        <v>349292</v>
      </c>
      <c r="M13" s="42">
        <f t="shared" si="0"/>
        <v>380925</v>
      </c>
      <c r="N13" s="42">
        <f t="shared" si="0"/>
        <v>158197</v>
      </c>
      <c r="O13" s="43">
        <f t="shared" si="0"/>
        <v>231992</v>
      </c>
      <c r="P13"/>
      <c r="Q13"/>
      <c r="T13" s="50"/>
      <c r="U13" s="55" t="s">
        <v>12</v>
      </c>
      <c r="V13" s="1">
        <v>205415</v>
      </c>
      <c r="W13" s="1">
        <v>282230</v>
      </c>
      <c r="X13" s="1">
        <v>248769</v>
      </c>
      <c r="Y13" s="1">
        <v>269281</v>
      </c>
      <c r="Z13" s="1">
        <v>318493</v>
      </c>
      <c r="AA13" s="1">
        <v>357791</v>
      </c>
      <c r="AB13" s="1">
        <v>373232</v>
      </c>
      <c r="AC13" s="1">
        <v>344644</v>
      </c>
      <c r="AD13" s="1">
        <v>349292</v>
      </c>
      <c r="AE13" s="1">
        <v>380925</v>
      </c>
      <c r="AF13" s="1">
        <v>158197</v>
      </c>
      <c r="AG13" s="1">
        <v>231992</v>
      </c>
      <c r="AH13" s="1">
        <v>237868</v>
      </c>
      <c r="AI13" s="1">
        <v>214524</v>
      </c>
      <c r="AJ13" s="1">
        <v>129641</v>
      </c>
      <c r="AK13" s="1">
        <v>240940</v>
      </c>
      <c r="AL13" s="1">
        <v>229168</v>
      </c>
      <c r="AM13" s="1">
        <v>216414</v>
      </c>
      <c r="AN13" s="1">
        <v>317749</v>
      </c>
      <c r="AO13" s="1">
        <v>197025</v>
      </c>
      <c r="AP13" s="1">
        <v>254812</v>
      </c>
      <c r="AQ13" s="1">
        <v>261146</v>
      </c>
      <c r="AR13" s="1">
        <v>248475</v>
      </c>
      <c r="AS13" s="1">
        <v>256316</v>
      </c>
      <c r="AT13" s="1">
        <v>227602</v>
      </c>
      <c r="AU13" s="1">
        <v>293906</v>
      </c>
      <c r="AV13" s="1">
        <v>174795</v>
      </c>
      <c r="AW13" s="1">
        <v>278518</v>
      </c>
      <c r="AX13" s="1">
        <v>305465</v>
      </c>
      <c r="AY13" s="1">
        <v>329523</v>
      </c>
      <c r="AZ13" s="1">
        <v>300049</v>
      </c>
      <c r="BA13" s="1">
        <v>333481</v>
      </c>
      <c r="BB13" s="1">
        <v>288773</v>
      </c>
      <c r="BC13" s="1">
        <v>253618</v>
      </c>
      <c r="BD13" s="1">
        <v>270536</v>
      </c>
      <c r="BE13" s="1">
        <v>183174</v>
      </c>
      <c r="BF13" s="1">
        <v>226503</v>
      </c>
      <c r="BG13" s="1">
        <v>229596</v>
      </c>
      <c r="BH13" s="1">
        <v>265291</v>
      </c>
      <c r="BI13" s="1">
        <v>243130</v>
      </c>
      <c r="BJ13" s="1">
        <v>302971</v>
      </c>
      <c r="BK13" s="1">
        <v>286696</v>
      </c>
      <c r="BL13" s="1">
        <v>367562</v>
      </c>
      <c r="BM13" s="1">
        <v>283557</v>
      </c>
      <c r="BN13" s="1">
        <v>345955</v>
      </c>
      <c r="BO13" s="1">
        <v>400966</v>
      </c>
      <c r="BP13" s="1">
        <v>382915</v>
      </c>
      <c r="BQ13" s="1">
        <v>323356</v>
      </c>
      <c r="BR13" s="1">
        <v>340379</v>
      </c>
      <c r="BS13" s="1">
        <v>326749</v>
      </c>
      <c r="BT13" s="1">
        <v>333766</v>
      </c>
      <c r="BU13" s="1">
        <v>363672</v>
      </c>
      <c r="BV13" s="1">
        <v>249179</v>
      </c>
      <c r="BW13" s="1">
        <v>275607</v>
      </c>
      <c r="BX13" s="1">
        <v>306519</v>
      </c>
      <c r="BY13" s="1">
        <v>288035</v>
      </c>
      <c r="BZ13" s="1">
        <v>319832</v>
      </c>
      <c r="CA13" s="1">
        <v>290497</v>
      </c>
      <c r="CB13" s="1">
        <v>315678</v>
      </c>
      <c r="CC13" s="1">
        <v>320898</v>
      </c>
      <c r="CD13" s="1">
        <v>310210</v>
      </c>
      <c r="CE13" s="1">
        <v>391163</v>
      </c>
      <c r="CF13" s="1">
        <v>347327</v>
      </c>
      <c r="CG13" s="1">
        <v>327919</v>
      </c>
      <c r="CH13" s="1">
        <v>295858</v>
      </c>
      <c r="CI13" s="1">
        <v>303718</v>
      </c>
      <c r="CJ13" s="1">
        <v>372422</v>
      </c>
      <c r="CK13" s="1">
        <v>362663</v>
      </c>
      <c r="CL13" s="1">
        <v>356762</v>
      </c>
      <c r="CM13" s="1">
        <v>324437</v>
      </c>
      <c r="CN13" s="1">
        <v>328123</v>
      </c>
      <c r="CO13" s="1">
        <v>352192</v>
      </c>
      <c r="CP13" s="1">
        <v>324977</v>
      </c>
      <c r="CQ13" s="1">
        <v>514851</v>
      </c>
      <c r="CR13" s="1">
        <v>395453</v>
      </c>
      <c r="CS13" s="1">
        <v>545400</v>
      </c>
      <c r="CT13" s="1">
        <v>401787</v>
      </c>
      <c r="CU13" s="1">
        <v>383151</v>
      </c>
      <c r="CV13" s="1">
        <v>276747</v>
      </c>
      <c r="CW13" s="1">
        <v>287425</v>
      </c>
      <c r="CX13" s="1">
        <v>269119</v>
      </c>
      <c r="CY13" s="1">
        <v>238819</v>
      </c>
      <c r="CZ13" s="1">
        <v>239061</v>
      </c>
      <c r="DA13" s="1">
        <v>269437</v>
      </c>
      <c r="DB13" s="1">
        <v>266916</v>
      </c>
      <c r="DC13" s="1">
        <v>387476</v>
      </c>
      <c r="DD13" s="1">
        <v>305245</v>
      </c>
      <c r="DE13" s="1">
        <v>184169</v>
      </c>
      <c r="DF13" s="1">
        <v>277500</v>
      </c>
      <c r="DG13" s="1">
        <v>279087</v>
      </c>
      <c r="DH13" s="1">
        <v>283327</v>
      </c>
      <c r="DI13" s="1">
        <v>304744</v>
      </c>
      <c r="DJ13" s="1">
        <v>331008</v>
      </c>
      <c r="DK13" s="1">
        <v>298954</v>
      </c>
      <c r="DL13" s="1">
        <v>226519</v>
      </c>
      <c r="DM13" s="1">
        <v>234645</v>
      </c>
      <c r="DN13" s="1">
        <v>205932</v>
      </c>
      <c r="DO13" s="1">
        <v>224181</v>
      </c>
      <c r="DP13" s="1">
        <v>211083</v>
      </c>
      <c r="DQ13" s="1">
        <v>244012</v>
      </c>
      <c r="DR13" s="1">
        <v>205783</v>
      </c>
      <c r="DS13" s="1">
        <v>174029</v>
      </c>
      <c r="DT13" s="1">
        <v>225307</v>
      </c>
      <c r="DU13" s="1">
        <v>180827</v>
      </c>
      <c r="DV13" s="1">
        <v>168709</v>
      </c>
      <c r="DW13" s="1">
        <v>182636</v>
      </c>
      <c r="DX13" s="1">
        <v>268780</v>
      </c>
      <c r="DY13" s="1">
        <v>194914</v>
      </c>
      <c r="DZ13" s="1">
        <v>207321</v>
      </c>
      <c r="EA13" s="1">
        <v>177166</v>
      </c>
      <c r="EB13" s="1">
        <v>201548</v>
      </c>
      <c r="EC13" s="1">
        <v>249905</v>
      </c>
      <c r="ED13" s="1">
        <v>226947</v>
      </c>
      <c r="EE13" s="1">
        <v>224410</v>
      </c>
      <c r="EF13" s="1">
        <v>228608</v>
      </c>
      <c r="EG13" s="1">
        <v>246496</v>
      </c>
      <c r="EH13" s="1">
        <v>273253</v>
      </c>
      <c r="EI13" s="1">
        <v>196247</v>
      </c>
      <c r="EJ13" s="1">
        <v>208493</v>
      </c>
      <c r="EK13" s="1">
        <v>252746</v>
      </c>
      <c r="EL13" s="1">
        <v>256111</v>
      </c>
      <c r="EM13" s="1">
        <v>259724</v>
      </c>
      <c r="EN13" s="1">
        <v>277949</v>
      </c>
      <c r="EO13" s="1">
        <v>244401</v>
      </c>
      <c r="EP13" s="1">
        <v>274956</v>
      </c>
      <c r="EQ13" s="1">
        <v>390269</v>
      </c>
      <c r="ER13" s="1">
        <v>362167</v>
      </c>
      <c r="ES13" s="1">
        <v>314774</v>
      </c>
      <c r="ET13" s="1">
        <v>270440</v>
      </c>
      <c r="EU13" s="1">
        <v>275608</v>
      </c>
      <c r="EV13" s="1">
        <v>324460</v>
      </c>
      <c r="EW13" s="1">
        <v>333560</v>
      </c>
      <c r="EX13" s="1">
        <v>404853</v>
      </c>
      <c r="EY13" s="1">
        <v>328328</v>
      </c>
      <c r="EZ13" s="1">
        <v>334316</v>
      </c>
      <c r="FA13" s="1">
        <v>396349</v>
      </c>
      <c r="FB13" s="1">
        <v>345799</v>
      </c>
      <c r="FC13" s="1">
        <v>278784</v>
      </c>
      <c r="FD13" s="1">
        <v>325046</v>
      </c>
      <c r="FE13" s="1">
        <v>368095</v>
      </c>
      <c r="FF13" s="1">
        <v>381586</v>
      </c>
      <c r="FG13" s="1">
        <v>519534</v>
      </c>
      <c r="FH13" s="1">
        <v>374885</v>
      </c>
      <c r="FI13" s="1">
        <v>333578</v>
      </c>
      <c r="FJ13" s="1">
        <v>368638</v>
      </c>
      <c r="FK13" s="1">
        <v>388515</v>
      </c>
      <c r="FL13" s="1">
        <v>394339</v>
      </c>
      <c r="FM13" s="1">
        <v>350821</v>
      </c>
      <c r="FN13" s="1">
        <v>379727</v>
      </c>
      <c r="FO13" s="1">
        <v>286465</v>
      </c>
      <c r="FP13" s="1">
        <v>252633</v>
      </c>
      <c r="FQ13" s="1">
        <v>166497</v>
      </c>
      <c r="FR13" s="1">
        <v>214275</v>
      </c>
      <c r="FS13" s="1">
        <v>259087</v>
      </c>
      <c r="FT13" s="1">
        <v>206024</v>
      </c>
      <c r="FU13" s="1">
        <v>224584</v>
      </c>
      <c r="FV13" s="1">
        <v>239612</v>
      </c>
      <c r="FW13" s="1">
        <v>201861</v>
      </c>
      <c r="FX13" s="1">
        <v>224824</v>
      </c>
      <c r="FY13" s="1">
        <v>276489</v>
      </c>
      <c r="FZ13" s="1">
        <v>241078</v>
      </c>
      <c r="GA13" s="1">
        <v>225128</v>
      </c>
      <c r="GB13" s="1">
        <v>222987</v>
      </c>
      <c r="GC13" s="1">
        <v>256524</v>
      </c>
      <c r="GD13" s="1">
        <v>302469</v>
      </c>
      <c r="GE13" s="1">
        <v>241194</v>
      </c>
      <c r="GF13" s="1">
        <v>199731</v>
      </c>
      <c r="GG13" s="1">
        <v>280573</v>
      </c>
      <c r="GH13" s="1">
        <v>273651</v>
      </c>
      <c r="GI13" s="1">
        <v>406916</v>
      </c>
      <c r="GJ13" s="1">
        <v>245715</v>
      </c>
      <c r="GK13" s="1">
        <v>340305</v>
      </c>
      <c r="GL13" s="1">
        <v>227904</v>
      </c>
      <c r="GM13" s="1">
        <v>223303</v>
      </c>
      <c r="GN13" s="1">
        <v>191110</v>
      </c>
      <c r="GO13" s="1">
        <v>247418</v>
      </c>
      <c r="GP13" s="1">
        <v>216524</v>
      </c>
      <c r="GQ13" s="1">
        <v>237173</v>
      </c>
      <c r="GR13" s="1">
        <v>245617</v>
      </c>
      <c r="GS13" s="1">
        <v>262049</v>
      </c>
      <c r="GT13" s="1">
        <v>198462</v>
      </c>
      <c r="GU13" s="1">
        <v>255250</v>
      </c>
      <c r="GV13" s="1">
        <v>254384</v>
      </c>
      <c r="GW13" s="1">
        <v>216969</v>
      </c>
      <c r="GX13" s="1">
        <v>225319</v>
      </c>
      <c r="GY13" s="1">
        <v>216946</v>
      </c>
      <c r="GZ13" s="1">
        <v>197530</v>
      </c>
      <c r="HA13" s="1">
        <v>197807</v>
      </c>
      <c r="HB13" s="1">
        <v>275549</v>
      </c>
      <c r="HC13" s="1">
        <v>288713</v>
      </c>
      <c r="HD13" s="1">
        <v>277634</v>
      </c>
      <c r="HE13" s="1">
        <v>244155</v>
      </c>
      <c r="HF13" s="1">
        <v>201805</v>
      </c>
      <c r="HG13" s="1">
        <v>256843</v>
      </c>
      <c r="HH13" s="1">
        <v>193937</v>
      </c>
      <c r="HI13" s="1">
        <v>161315</v>
      </c>
      <c r="HJ13" s="1">
        <v>163180</v>
      </c>
      <c r="HK13" s="1">
        <v>180246</v>
      </c>
      <c r="HL13" s="1">
        <v>207244</v>
      </c>
      <c r="HM13" s="1">
        <v>201113</v>
      </c>
      <c r="HN13" s="1">
        <v>178843</v>
      </c>
      <c r="HO13" s="1">
        <v>191271</v>
      </c>
      <c r="HP13" s="1">
        <v>195764</v>
      </c>
      <c r="HQ13" s="1">
        <v>202860</v>
      </c>
      <c r="HR13" s="1">
        <v>199878</v>
      </c>
      <c r="HS13" s="1">
        <v>194926</v>
      </c>
      <c r="HT13" s="1">
        <v>184976</v>
      </c>
      <c r="HU13" s="1">
        <v>224911</v>
      </c>
      <c r="HV13" s="1">
        <v>260226</v>
      </c>
      <c r="HW13" s="1">
        <v>232074</v>
      </c>
      <c r="HX13" s="1">
        <v>236253</v>
      </c>
      <c r="HY13" s="1">
        <v>220691</v>
      </c>
      <c r="HZ13" s="1">
        <v>239901</v>
      </c>
      <c r="IA13" s="1">
        <v>147358</v>
      </c>
      <c r="IB13" s="1">
        <v>289959</v>
      </c>
      <c r="IC13" s="1">
        <v>331817</v>
      </c>
      <c r="ID13" s="1">
        <v>340827</v>
      </c>
      <c r="IE13" s="1">
        <v>233529</v>
      </c>
      <c r="IF13" s="1">
        <v>265064</v>
      </c>
      <c r="IG13" s="1">
        <v>282810</v>
      </c>
      <c r="IH13" s="1">
        <v>288104</v>
      </c>
      <c r="II13" s="1">
        <v>436419</v>
      </c>
      <c r="IJ13" s="1">
        <v>232368</v>
      </c>
      <c r="IK13" s="1">
        <v>325283</v>
      </c>
      <c r="IL13" s="1">
        <v>299940</v>
      </c>
      <c r="IM13" s="1">
        <v>299568</v>
      </c>
      <c r="IN13" s="1">
        <v>429053</v>
      </c>
      <c r="IO13" s="1">
        <v>218494</v>
      </c>
      <c r="IP13" s="1">
        <v>282277</v>
      </c>
      <c r="IQ13" s="1">
        <v>306428</v>
      </c>
      <c r="IR13" s="1">
        <v>292736</v>
      </c>
      <c r="IS13" s="1">
        <v>309561</v>
      </c>
      <c r="IT13" s="1">
        <v>225100</v>
      </c>
      <c r="IU13" s="1">
        <v>276140</v>
      </c>
      <c r="IV13" s="1">
        <v>311155</v>
      </c>
      <c r="IW13" s="1">
        <v>272888</v>
      </c>
      <c r="IX13" s="1">
        <v>308289</v>
      </c>
      <c r="IY13" s="1">
        <v>455766</v>
      </c>
      <c r="IZ13" s="1">
        <v>527472</v>
      </c>
      <c r="JA13" s="1">
        <v>332724</v>
      </c>
      <c r="JB13" s="1">
        <v>455134</v>
      </c>
      <c r="JC13" s="1">
        <v>268868</v>
      </c>
      <c r="JD13" s="1">
        <v>325644</v>
      </c>
      <c r="JE13" s="1">
        <v>270438</v>
      </c>
      <c r="JF13" s="1">
        <v>287649</v>
      </c>
      <c r="JG13" s="1">
        <v>278112</v>
      </c>
      <c r="JH13" s="1">
        <v>225035</v>
      </c>
      <c r="JI13" s="1">
        <v>275974</v>
      </c>
      <c r="JJ13" s="1">
        <v>256340</v>
      </c>
      <c r="JK13" s="1">
        <v>228046</v>
      </c>
      <c r="JL13" s="1">
        <v>302580</v>
      </c>
      <c r="JM13" s="1">
        <v>272934</v>
      </c>
      <c r="JN13" s="1">
        <v>247131</v>
      </c>
      <c r="JO13" s="1">
        <v>294420</v>
      </c>
      <c r="JP13" s="1">
        <v>273553</v>
      </c>
      <c r="JQ13" s="1">
        <v>230436</v>
      </c>
      <c r="JR13" s="1">
        <v>208717</v>
      </c>
      <c r="JS13" s="1">
        <v>224956</v>
      </c>
      <c r="JT13" s="1">
        <v>210353</v>
      </c>
      <c r="JU13" s="1">
        <v>200054</v>
      </c>
      <c r="JV13" s="1">
        <v>146340</v>
      </c>
      <c r="JW13" s="1">
        <v>147702</v>
      </c>
      <c r="JX13" s="1">
        <v>174429</v>
      </c>
      <c r="JY13" s="1">
        <v>185634</v>
      </c>
      <c r="JZ13" s="1">
        <v>238468</v>
      </c>
      <c r="KA13" s="1">
        <v>274973</v>
      </c>
      <c r="KB13" s="1">
        <v>240608</v>
      </c>
      <c r="KC13" s="1">
        <v>244887</v>
      </c>
      <c r="KD13" s="1">
        <v>195523</v>
      </c>
      <c r="KE13" s="1">
        <v>274680</v>
      </c>
      <c r="KF13" s="1">
        <v>248804</v>
      </c>
      <c r="KG13" s="1">
        <v>221521</v>
      </c>
      <c r="KH13" s="1">
        <v>165535</v>
      </c>
      <c r="KI13" s="1">
        <v>296967</v>
      </c>
      <c r="KJ13" s="1">
        <v>324675</v>
      </c>
      <c r="KK13" s="1">
        <v>349840</v>
      </c>
      <c r="KL13" s="1">
        <v>348373</v>
      </c>
      <c r="KM13" s="1">
        <v>371905</v>
      </c>
      <c r="KN13" s="1">
        <v>400206</v>
      </c>
      <c r="KO13" s="1">
        <v>419671</v>
      </c>
      <c r="KP13" s="1">
        <v>300663</v>
      </c>
      <c r="KQ13" s="1">
        <v>276279</v>
      </c>
      <c r="KR13" s="1">
        <v>190479</v>
      </c>
      <c r="KS13" s="1">
        <v>235398</v>
      </c>
      <c r="KT13" s="1">
        <v>215020</v>
      </c>
      <c r="KU13" s="1">
        <v>226794</v>
      </c>
      <c r="KV13" s="1">
        <v>227182</v>
      </c>
      <c r="KW13" s="1">
        <v>207635</v>
      </c>
      <c r="KX13" s="1">
        <v>202172</v>
      </c>
      <c r="KY13" s="1">
        <v>188627</v>
      </c>
      <c r="KZ13" s="1">
        <v>170885</v>
      </c>
      <c r="LA13" s="1">
        <v>202668</v>
      </c>
      <c r="LB13" s="1">
        <v>268528</v>
      </c>
      <c r="LC13" s="1">
        <v>276905</v>
      </c>
      <c r="LD13" s="1">
        <v>268181</v>
      </c>
      <c r="LE13" s="1">
        <v>249944</v>
      </c>
      <c r="LF13" s="1">
        <v>270053</v>
      </c>
      <c r="LG13" s="1">
        <v>266141</v>
      </c>
      <c r="LH13" s="1">
        <v>254199</v>
      </c>
      <c r="LI13" s="1">
        <v>260114</v>
      </c>
      <c r="LJ13" s="1">
        <v>201391</v>
      </c>
      <c r="LK13" s="1">
        <v>298265</v>
      </c>
      <c r="LL13" s="1">
        <v>231416</v>
      </c>
      <c r="LM13" s="1">
        <v>207136</v>
      </c>
      <c r="LN13" s="1">
        <v>193176</v>
      </c>
      <c r="LO13" s="1">
        <v>202886</v>
      </c>
      <c r="LP13" s="1">
        <v>228458</v>
      </c>
      <c r="LQ13" s="1">
        <v>230161</v>
      </c>
      <c r="LR13" s="1">
        <v>215015</v>
      </c>
      <c r="LS13" s="1">
        <v>200625</v>
      </c>
      <c r="LT13" s="1">
        <v>245932</v>
      </c>
      <c r="LU13" s="1">
        <v>240598</v>
      </c>
      <c r="LV13" s="1">
        <v>308263</v>
      </c>
      <c r="LW13" s="1">
        <v>285866</v>
      </c>
      <c r="LX13" s="1">
        <v>391420</v>
      </c>
      <c r="LY13" s="1">
        <v>362693</v>
      </c>
      <c r="LZ13" s="1">
        <v>393117</v>
      </c>
      <c r="MA13" s="1">
        <v>476463</v>
      </c>
      <c r="MB13" s="1">
        <v>454331</v>
      </c>
      <c r="MC13" s="1">
        <v>332491</v>
      </c>
      <c r="MD13" s="1">
        <v>314359</v>
      </c>
      <c r="ME13" s="1">
        <v>371077</v>
      </c>
      <c r="MF13" s="1">
        <v>253239</v>
      </c>
      <c r="MG13" s="1">
        <v>220229</v>
      </c>
      <c r="MH13" s="1">
        <v>251148</v>
      </c>
      <c r="MI13" s="1">
        <v>268192</v>
      </c>
      <c r="MJ13" s="1">
        <v>287131</v>
      </c>
      <c r="MK13" s="1">
        <v>267962</v>
      </c>
      <c r="ML13" s="1">
        <v>271072</v>
      </c>
      <c r="MM13" s="1">
        <v>240328</v>
      </c>
      <c r="MN13" s="1">
        <v>270450</v>
      </c>
      <c r="MO13" s="1">
        <v>260109</v>
      </c>
      <c r="MP13" s="1">
        <v>217196</v>
      </c>
      <c r="MQ13" s="1">
        <v>254775</v>
      </c>
      <c r="MR13" s="1">
        <v>271175</v>
      </c>
      <c r="MS13" s="1">
        <v>255895</v>
      </c>
      <c r="MT13" s="1">
        <v>281380</v>
      </c>
      <c r="MU13" s="1">
        <v>296703</v>
      </c>
      <c r="MV13" s="1">
        <v>318310</v>
      </c>
      <c r="MW13" s="1">
        <v>376891</v>
      </c>
      <c r="MX13" s="1">
        <v>247198</v>
      </c>
      <c r="MY13" s="1">
        <v>280225</v>
      </c>
      <c r="MZ13" s="1">
        <v>344861</v>
      </c>
      <c r="NA13" s="1">
        <v>326376</v>
      </c>
      <c r="NB13" s="1">
        <v>290070</v>
      </c>
      <c r="NC13" s="1">
        <v>292106</v>
      </c>
      <c r="ND13" s="1">
        <v>454951</v>
      </c>
      <c r="NE13" s="1">
        <v>393755</v>
      </c>
      <c r="NF13" s="1">
        <v>287135</v>
      </c>
      <c r="NG13" s="1">
        <v>301726</v>
      </c>
      <c r="NH13" s="1">
        <v>303986</v>
      </c>
      <c r="NI13" s="1">
        <v>251041</v>
      </c>
      <c r="NJ13" s="1">
        <v>245444</v>
      </c>
      <c r="NK13" s="1">
        <v>235817</v>
      </c>
      <c r="NL13" s="1">
        <v>211121</v>
      </c>
      <c r="NM13" s="1">
        <v>210085</v>
      </c>
      <c r="NN13" s="1">
        <v>224657</v>
      </c>
      <c r="NO13" s="1">
        <v>256843</v>
      </c>
      <c r="NP13" s="1">
        <v>236962</v>
      </c>
      <c r="NQ13" s="1">
        <v>206159</v>
      </c>
      <c r="NR13" s="1">
        <v>239462</v>
      </c>
      <c r="NS13" s="1">
        <v>224891</v>
      </c>
      <c r="NT13" s="1">
        <v>277167</v>
      </c>
      <c r="NU13" s="1">
        <v>196712</v>
      </c>
      <c r="NV13" s="1">
        <v>184886</v>
      </c>
    </row>
    <row r="14" spans="1:386" s="1" customFormat="1" ht="15" customHeight="1" x14ac:dyDescent="0.25">
      <c r="B14"/>
      <c r="C14" s="30" t="s">
        <v>8</v>
      </c>
      <c r="D14" s="41">
        <f t="shared" si="1"/>
        <v>303261</v>
      </c>
      <c r="E14" s="42">
        <f t="shared" si="0"/>
        <v>302805</v>
      </c>
      <c r="F14" s="42">
        <f t="shared" si="0"/>
        <v>304866</v>
      </c>
      <c r="G14" s="42">
        <f t="shared" si="0"/>
        <v>304906</v>
      </c>
      <c r="H14" s="42">
        <f t="shared" si="0"/>
        <v>302764</v>
      </c>
      <c r="I14" s="42">
        <f t="shared" si="0"/>
        <v>305275</v>
      </c>
      <c r="J14" s="42">
        <f t="shared" si="0"/>
        <v>305760</v>
      </c>
      <c r="K14" s="42">
        <f t="shared" si="0"/>
        <v>308294</v>
      </c>
      <c r="L14" s="42">
        <f t="shared" si="0"/>
        <v>307724</v>
      </c>
      <c r="M14" s="42">
        <f t="shared" si="0"/>
        <v>313578</v>
      </c>
      <c r="N14" s="42">
        <f t="shared" si="0"/>
        <v>307626</v>
      </c>
      <c r="O14" s="43">
        <f t="shared" si="0"/>
        <v>304599</v>
      </c>
      <c r="P14"/>
      <c r="Q14"/>
      <c r="T14" s="50"/>
      <c r="U14" s="55" t="s">
        <v>13</v>
      </c>
      <c r="V14" s="1">
        <v>303261</v>
      </c>
      <c r="W14" s="1">
        <v>302805</v>
      </c>
      <c r="X14" s="1">
        <v>304866</v>
      </c>
      <c r="Y14" s="1">
        <v>304906</v>
      </c>
      <c r="Z14" s="1">
        <v>302764</v>
      </c>
      <c r="AA14" s="1">
        <v>305275</v>
      </c>
      <c r="AB14" s="1">
        <v>305760</v>
      </c>
      <c r="AC14" s="1">
        <v>308294</v>
      </c>
      <c r="AD14" s="1">
        <v>307724</v>
      </c>
      <c r="AE14" s="1">
        <v>313578</v>
      </c>
      <c r="AF14" s="1">
        <v>307626</v>
      </c>
      <c r="AG14" s="1">
        <v>304599</v>
      </c>
      <c r="AH14" s="1">
        <v>295511</v>
      </c>
      <c r="AI14" s="1">
        <v>285573</v>
      </c>
      <c r="AJ14" s="1">
        <v>281938</v>
      </c>
      <c r="AK14" s="1">
        <v>283476</v>
      </c>
      <c r="AL14" s="1">
        <v>277204</v>
      </c>
      <c r="AM14" s="1">
        <v>283005</v>
      </c>
      <c r="AN14" s="1">
        <v>281130</v>
      </c>
      <c r="AO14" s="1">
        <v>281990</v>
      </c>
      <c r="AP14" s="1">
        <v>281297</v>
      </c>
      <c r="AQ14" s="1">
        <v>286881</v>
      </c>
      <c r="AR14" s="1">
        <v>277714</v>
      </c>
      <c r="AS14" s="1">
        <v>275304</v>
      </c>
      <c r="AT14" s="1">
        <v>269785</v>
      </c>
      <c r="AU14" s="1">
        <v>270621</v>
      </c>
      <c r="AV14" s="1">
        <v>0</v>
      </c>
      <c r="AW14" s="1">
        <v>129794</v>
      </c>
      <c r="AX14" s="1">
        <v>188896</v>
      </c>
      <c r="AY14" s="1">
        <v>248772</v>
      </c>
      <c r="AZ14" s="1">
        <v>304840</v>
      </c>
      <c r="BA14" s="1">
        <v>304342</v>
      </c>
      <c r="BB14" s="1">
        <v>298880</v>
      </c>
      <c r="BC14" s="1">
        <v>303108</v>
      </c>
      <c r="BD14" s="1">
        <v>303456</v>
      </c>
      <c r="BE14" s="1">
        <v>303185</v>
      </c>
      <c r="BF14" s="1">
        <v>305173</v>
      </c>
      <c r="BG14" s="1">
        <v>305810</v>
      </c>
      <c r="BH14" s="1">
        <v>310038</v>
      </c>
      <c r="BI14" s="1">
        <v>305709</v>
      </c>
      <c r="BJ14" s="1">
        <v>299827</v>
      </c>
      <c r="BK14" s="1">
        <v>300176</v>
      </c>
      <c r="BL14" s="1">
        <v>301855</v>
      </c>
      <c r="BM14" s="1">
        <v>307588</v>
      </c>
      <c r="BN14" s="1">
        <v>308543</v>
      </c>
      <c r="BO14" s="1">
        <v>318740</v>
      </c>
      <c r="BP14" s="1">
        <v>325317</v>
      </c>
      <c r="BQ14" s="1">
        <v>329597</v>
      </c>
      <c r="BR14" s="1">
        <v>334121</v>
      </c>
      <c r="BS14" s="1">
        <v>340216</v>
      </c>
      <c r="BT14" s="1">
        <v>341255</v>
      </c>
      <c r="BU14" s="1">
        <v>335712</v>
      </c>
      <c r="BV14" s="1">
        <v>336490</v>
      </c>
      <c r="BW14" s="1">
        <v>338199</v>
      </c>
      <c r="BX14" s="1">
        <v>337474</v>
      </c>
      <c r="BY14" s="1">
        <v>339232</v>
      </c>
      <c r="BZ14" s="1">
        <v>335913</v>
      </c>
      <c r="CA14" s="1">
        <v>341277</v>
      </c>
      <c r="CB14" s="1">
        <v>338854</v>
      </c>
      <c r="CC14" s="1">
        <v>342005</v>
      </c>
      <c r="CD14" s="1">
        <v>335975</v>
      </c>
      <c r="CE14" s="1">
        <v>338009</v>
      </c>
      <c r="CF14" s="1">
        <v>336361</v>
      </c>
      <c r="CG14" s="1">
        <v>332882</v>
      </c>
      <c r="CH14" s="1">
        <v>331197</v>
      </c>
      <c r="CI14" s="1">
        <v>330563</v>
      </c>
      <c r="CJ14" s="1">
        <v>333176</v>
      </c>
      <c r="CK14" s="1">
        <v>331991</v>
      </c>
      <c r="CL14" s="1">
        <v>338214</v>
      </c>
      <c r="CM14" s="1">
        <v>330160</v>
      </c>
      <c r="CN14" s="1">
        <v>332462</v>
      </c>
      <c r="CO14" s="1">
        <v>339693</v>
      </c>
      <c r="CP14" s="1">
        <v>346091</v>
      </c>
      <c r="CQ14" s="1">
        <v>353878</v>
      </c>
      <c r="CR14" s="1">
        <v>355306</v>
      </c>
      <c r="CS14" s="1">
        <v>362540</v>
      </c>
      <c r="CT14" s="1">
        <v>342653</v>
      </c>
      <c r="CU14" s="1">
        <v>333251</v>
      </c>
      <c r="CV14" s="1">
        <v>325773</v>
      </c>
      <c r="CW14" s="1">
        <v>314554</v>
      </c>
      <c r="CX14" s="1">
        <v>308284</v>
      </c>
      <c r="CY14" s="1">
        <v>300249</v>
      </c>
      <c r="CZ14" s="1">
        <v>301909</v>
      </c>
      <c r="DA14" s="1">
        <v>298371</v>
      </c>
      <c r="DB14" s="1">
        <v>294503</v>
      </c>
      <c r="DC14" s="1">
        <v>287782</v>
      </c>
      <c r="DD14" s="1">
        <v>297377</v>
      </c>
      <c r="DE14" s="1">
        <v>0</v>
      </c>
      <c r="DF14" s="1">
        <v>161640</v>
      </c>
      <c r="DG14" s="1">
        <v>222645</v>
      </c>
      <c r="DH14" s="1">
        <v>296308</v>
      </c>
      <c r="DI14" s="1">
        <v>333028</v>
      </c>
      <c r="DJ14" s="1">
        <v>327258</v>
      </c>
      <c r="DK14" s="1">
        <v>317029</v>
      </c>
      <c r="DL14" s="1">
        <v>307032</v>
      </c>
      <c r="DM14" s="1">
        <v>304975</v>
      </c>
      <c r="DN14" s="1">
        <v>302255</v>
      </c>
      <c r="DO14" s="1">
        <v>302154</v>
      </c>
      <c r="DP14" s="1">
        <v>301797</v>
      </c>
      <c r="DQ14" s="1">
        <v>305470</v>
      </c>
      <c r="DR14" s="1">
        <v>297284</v>
      </c>
      <c r="DS14" s="1">
        <v>295417</v>
      </c>
      <c r="DT14" s="1">
        <v>293989</v>
      </c>
      <c r="DU14" s="1">
        <v>298960</v>
      </c>
      <c r="DV14" s="1">
        <v>295326</v>
      </c>
      <c r="DW14" s="1">
        <v>293889</v>
      </c>
      <c r="DX14" s="1">
        <v>295982</v>
      </c>
      <c r="DY14" s="1">
        <v>314238</v>
      </c>
      <c r="DZ14" s="1">
        <v>308809</v>
      </c>
      <c r="EA14" s="1">
        <v>313113</v>
      </c>
      <c r="EB14" s="1">
        <v>308722</v>
      </c>
      <c r="EC14" s="1">
        <v>304539</v>
      </c>
      <c r="ED14" s="1">
        <v>304817</v>
      </c>
      <c r="EE14" s="1">
        <v>306425</v>
      </c>
      <c r="EF14" s="1">
        <v>303054</v>
      </c>
      <c r="EG14" s="1">
        <v>300159</v>
      </c>
      <c r="EH14" s="1">
        <v>295059</v>
      </c>
      <c r="EI14" s="1">
        <v>292980</v>
      </c>
      <c r="EJ14" s="1">
        <v>292943</v>
      </c>
      <c r="EK14" s="1">
        <v>294138</v>
      </c>
      <c r="EL14" s="1">
        <v>291900</v>
      </c>
      <c r="EM14" s="1">
        <v>290767</v>
      </c>
      <c r="EN14" s="1">
        <v>297616</v>
      </c>
      <c r="EO14" s="1">
        <v>293851</v>
      </c>
      <c r="EP14" s="1">
        <v>292300</v>
      </c>
      <c r="EQ14" s="1">
        <v>291739</v>
      </c>
      <c r="ER14" s="1">
        <v>294226</v>
      </c>
      <c r="ES14" s="1">
        <v>298559</v>
      </c>
      <c r="ET14" s="1">
        <v>305672</v>
      </c>
      <c r="EU14" s="1">
        <v>306949</v>
      </c>
      <c r="EV14" s="1">
        <v>306769</v>
      </c>
      <c r="EW14" s="1">
        <v>313267</v>
      </c>
      <c r="EX14" s="1">
        <v>318956</v>
      </c>
      <c r="EY14" s="1">
        <v>313688</v>
      </c>
      <c r="EZ14" s="1">
        <v>316422</v>
      </c>
      <c r="FA14" s="1">
        <v>317961</v>
      </c>
      <c r="FB14" s="1">
        <v>313343</v>
      </c>
      <c r="FC14" s="1">
        <v>305480</v>
      </c>
      <c r="FD14" s="1">
        <v>305042</v>
      </c>
      <c r="FE14" s="1">
        <v>310000</v>
      </c>
      <c r="FF14" s="1">
        <v>314148</v>
      </c>
      <c r="FG14" s="1">
        <v>319074</v>
      </c>
      <c r="FH14" s="1">
        <v>318411</v>
      </c>
      <c r="FI14" s="1">
        <v>308918</v>
      </c>
      <c r="FJ14" s="1">
        <v>306436</v>
      </c>
      <c r="FK14" s="1">
        <v>296574</v>
      </c>
      <c r="FL14" s="1">
        <v>297596</v>
      </c>
      <c r="FM14" s="1">
        <v>301442</v>
      </c>
      <c r="FN14" s="1">
        <v>288263</v>
      </c>
      <c r="FO14" s="1">
        <v>281454</v>
      </c>
      <c r="FP14" s="1">
        <v>265972</v>
      </c>
      <c r="FQ14" s="1">
        <v>0</v>
      </c>
      <c r="FR14" s="1">
        <v>110670</v>
      </c>
      <c r="FS14" s="1">
        <v>174916</v>
      </c>
      <c r="FT14" s="1">
        <v>268736</v>
      </c>
      <c r="FU14" s="1">
        <v>290464</v>
      </c>
      <c r="FV14" s="1">
        <v>292368</v>
      </c>
      <c r="FW14" s="1">
        <v>295355</v>
      </c>
      <c r="FX14" s="1">
        <v>295710</v>
      </c>
      <c r="FY14" s="1">
        <v>297562</v>
      </c>
      <c r="FZ14" s="1">
        <v>296572</v>
      </c>
      <c r="GA14" s="1">
        <v>297601</v>
      </c>
      <c r="GB14" s="1">
        <v>293553</v>
      </c>
      <c r="GC14" s="1">
        <v>296167</v>
      </c>
      <c r="GD14" s="1">
        <v>294862</v>
      </c>
      <c r="GE14" s="1">
        <v>292808</v>
      </c>
      <c r="GF14" s="1">
        <v>292778</v>
      </c>
      <c r="GG14" s="1">
        <v>287319</v>
      </c>
      <c r="GH14" s="1">
        <v>289464</v>
      </c>
      <c r="GI14" s="1">
        <v>301655</v>
      </c>
      <c r="GJ14" s="1">
        <v>299065</v>
      </c>
      <c r="GK14" s="1">
        <v>300478</v>
      </c>
      <c r="GL14" s="1">
        <v>290364</v>
      </c>
      <c r="GM14" s="1">
        <v>282303</v>
      </c>
      <c r="GN14" s="1">
        <v>276265</v>
      </c>
      <c r="GO14" s="1">
        <v>275009</v>
      </c>
      <c r="GP14" s="1">
        <v>273444</v>
      </c>
      <c r="GQ14" s="1">
        <v>274080</v>
      </c>
      <c r="GR14" s="1">
        <v>280638</v>
      </c>
      <c r="GS14" s="1">
        <v>287487</v>
      </c>
      <c r="GT14" s="1">
        <v>280041</v>
      </c>
      <c r="GU14" s="1">
        <v>287770</v>
      </c>
      <c r="GV14" s="1">
        <v>275831</v>
      </c>
      <c r="GW14" s="1">
        <v>267961</v>
      </c>
      <c r="GX14" s="1">
        <v>269734</v>
      </c>
      <c r="GY14" s="1">
        <v>267861</v>
      </c>
      <c r="GZ14" s="1">
        <v>272561</v>
      </c>
      <c r="HA14" s="1">
        <v>268107</v>
      </c>
      <c r="HB14" s="1">
        <v>262383</v>
      </c>
      <c r="HC14" s="1">
        <v>264373</v>
      </c>
      <c r="HD14" s="1">
        <v>263228</v>
      </c>
      <c r="HE14" s="1">
        <v>253786</v>
      </c>
      <c r="HF14" s="1">
        <v>257483</v>
      </c>
      <c r="HG14" s="1">
        <v>257999</v>
      </c>
      <c r="HH14" s="1">
        <v>253366</v>
      </c>
      <c r="HI14" s="1">
        <v>254414</v>
      </c>
      <c r="HJ14" s="1">
        <v>258073</v>
      </c>
      <c r="HK14" s="1">
        <v>253026</v>
      </c>
      <c r="HL14" s="1">
        <v>255090</v>
      </c>
      <c r="HM14" s="1">
        <v>253813</v>
      </c>
      <c r="HN14" s="1">
        <v>252202</v>
      </c>
      <c r="HO14" s="1">
        <v>254046</v>
      </c>
      <c r="HP14" s="1">
        <v>254298</v>
      </c>
      <c r="HQ14" s="1">
        <v>253481</v>
      </c>
      <c r="HR14" s="1">
        <v>254151</v>
      </c>
      <c r="HS14" s="1">
        <v>253986</v>
      </c>
      <c r="HT14" s="1">
        <v>252693</v>
      </c>
      <c r="HU14" s="1">
        <v>246893</v>
      </c>
      <c r="HV14" s="1">
        <v>243821</v>
      </c>
      <c r="HW14" s="1">
        <v>246458</v>
      </c>
      <c r="HX14" s="1">
        <v>251007</v>
      </c>
      <c r="HY14" s="1">
        <v>245643</v>
      </c>
      <c r="HZ14" s="1">
        <v>244632</v>
      </c>
      <c r="IA14" s="1">
        <v>0</v>
      </c>
      <c r="IB14" s="1">
        <v>126111</v>
      </c>
      <c r="IC14" s="1">
        <v>212828</v>
      </c>
      <c r="ID14" s="1">
        <v>256043</v>
      </c>
      <c r="IE14" s="1">
        <v>268787</v>
      </c>
      <c r="IF14" s="1">
        <v>278998</v>
      </c>
      <c r="IG14" s="1">
        <v>279631</v>
      </c>
      <c r="IH14" s="1">
        <v>281083</v>
      </c>
      <c r="II14" s="1">
        <v>288529</v>
      </c>
      <c r="IJ14" s="1">
        <v>274550</v>
      </c>
      <c r="IK14" s="1">
        <v>273647</v>
      </c>
      <c r="IL14" s="1">
        <v>269995</v>
      </c>
      <c r="IM14" s="1">
        <v>270674</v>
      </c>
      <c r="IN14" s="1">
        <v>271415</v>
      </c>
      <c r="IO14" s="1">
        <v>268557</v>
      </c>
      <c r="IP14" s="1">
        <v>266269</v>
      </c>
      <c r="IQ14" s="1">
        <v>264105</v>
      </c>
      <c r="IR14" s="1">
        <v>264857</v>
      </c>
      <c r="IS14" s="1">
        <v>263861</v>
      </c>
      <c r="IT14" s="1">
        <v>272403</v>
      </c>
      <c r="IU14" s="1">
        <v>276538</v>
      </c>
      <c r="IV14" s="1">
        <v>275053</v>
      </c>
      <c r="IW14" s="1">
        <v>266496</v>
      </c>
      <c r="IX14" s="1">
        <v>267932</v>
      </c>
      <c r="IY14" s="1">
        <v>278027</v>
      </c>
      <c r="IZ14" s="1">
        <v>284956</v>
      </c>
      <c r="JA14" s="1">
        <v>271534</v>
      </c>
      <c r="JB14" s="1">
        <v>277119</v>
      </c>
      <c r="JC14" s="1">
        <v>265423</v>
      </c>
      <c r="JD14" s="1">
        <v>259898</v>
      </c>
      <c r="JE14" s="1">
        <v>253667</v>
      </c>
      <c r="JF14" s="1">
        <v>254666</v>
      </c>
      <c r="JG14" s="1">
        <v>256871</v>
      </c>
      <c r="JH14" s="1">
        <v>253877</v>
      </c>
      <c r="JI14" s="1">
        <v>248725</v>
      </c>
      <c r="JJ14" s="1">
        <v>236490</v>
      </c>
      <c r="JK14" s="1">
        <v>247121</v>
      </c>
      <c r="JL14" s="1">
        <v>247713</v>
      </c>
      <c r="JM14" s="1">
        <v>253151</v>
      </c>
      <c r="JN14" s="1">
        <v>251752</v>
      </c>
      <c r="JO14" s="1">
        <v>258156</v>
      </c>
      <c r="JP14" s="1">
        <v>262705</v>
      </c>
      <c r="JQ14" s="1">
        <v>248274</v>
      </c>
      <c r="JR14" s="1">
        <v>244517</v>
      </c>
      <c r="JS14" s="1">
        <v>243343</v>
      </c>
      <c r="JT14" s="1">
        <v>238724</v>
      </c>
      <c r="JU14" s="1">
        <v>242197</v>
      </c>
      <c r="JV14" s="1">
        <v>236401</v>
      </c>
      <c r="JW14" s="1">
        <v>238406</v>
      </c>
      <c r="JX14" s="1">
        <v>231805</v>
      </c>
      <c r="JY14" s="1">
        <v>229899</v>
      </c>
      <c r="JZ14" s="1">
        <v>232491</v>
      </c>
      <c r="KA14" s="1">
        <v>232502</v>
      </c>
      <c r="KB14" s="1">
        <v>229287</v>
      </c>
      <c r="KC14" s="1">
        <v>228369</v>
      </c>
      <c r="KD14" s="1">
        <v>231981</v>
      </c>
      <c r="KE14" s="1">
        <v>231631</v>
      </c>
      <c r="KF14" s="1">
        <v>233538</v>
      </c>
      <c r="KG14" s="1">
        <v>226093</v>
      </c>
      <c r="KH14" s="1">
        <v>0</v>
      </c>
      <c r="KI14" s="1">
        <v>128307</v>
      </c>
      <c r="KJ14" s="1">
        <v>182285</v>
      </c>
      <c r="KK14" s="1">
        <v>234161</v>
      </c>
      <c r="KL14" s="1">
        <v>269865</v>
      </c>
      <c r="KM14" s="1">
        <v>277848</v>
      </c>
      <c r="KN14" s="1">
        <v>287641</v>
      </c>
      <c r="KO14" s="1">
        <v>292126</v>
      </c>
      <c r="KP14" s="1">
        <v>288919</v>
      </c>
      <c r="KQ14" s="1">
        <v>295945</v>
      </c>
      <c r="KR14" s="1">
        <v>284039</v>
      </c>
      <c r="KS14" s="1">
        <v>281333</v>
      </c>
      <c r="KT14" s="1">
        <v>283836</v>
      </c>
      <c r="KU14" s="1">
        <v>294882</v>
      </c>
      <c r="KV14" s="1">
        <v>281300</v>
      </c>
      <c r="KW14" s="1">
        <v>282825</v>
      </c>
      <c r="KX14" s="1">
        <v>283986</v>
      </c>
      <c r="KY14" s="1">
        <v>283089</v>
      </c>
      <c r="KZ14" s="1">
        <v>283677</v>
      </c>
      <c r="LA14" s="1">
        <v>279344</v>
      </c>
      <c r="LB14" s="1">
        <v>277619</v>
      </c>
      <c r="LC14" s="1">
        <v>273760</v>
      </c>
      <c r="LD14" s="1">
        <v>271193</v>
      </c>
      <c r="LE14" s="1">
        <v>270072</v>
      </c>
      <c r="LF14" s="1">
        <v>272032</v>
      </c>
      <c r="LG14" s="1">
        <v>271096</v>
      </c>
      <c r="LH14" s="1">
        <v>275445</v>
      </c>
      <c r="LI14" s="1">
        <v>275828</v>
      </c>
      <c r="LJ14" s="1">
        <v>272340</v>
      </c>
      <c r="LK14" s="1">
        <v>273967</v>
      </c>
      <c r="LL14" s="1">
        <v>267849</v>
      </c>
      <c r="LM14" s="1">
        <v>270136</v>
      </c>
      <c r="LN14" s="1">
        <v>272277</v>
      </c>
      <c r="LO14" s="1">
        <v>272587</v>
      </c>
      <c r="LP14" s="1">
        <v>271604</v>
      </c>
      <c r="LQ14" s="1">
        <v>269313</v>
      </c>
      <c r="LR14" s="1">
        <v>266435</v>
      </c>
      <c r="LS14" s="1">
        <v>269826</v>
      </c>
      <c r="LT14" s="1">
        <v>270191</v>
      </c>
      <c r="LU14" s="1">
        <v>273899</v>
      </c>
      <c r="LV14" s="1">
        <v>274387</v>
      </c>
      <c r="LW14" s="1">
        <v>279523</v>
      </c>
      <c r="LX14" s="1">
        <v>278662</v>
      </c>
      <c r="LY14" s="1">
        <v>272997</v>
      </c>
      <c r="LZ14" s="1">
        <v>274954</v>
      </c>
      <c r="MA14" s="1">
        <v>281660</v>
      </c>
      <c r="MB14" s="1">
        <v>279850</v>
      </c>
      <c r="MC14" s="1">
        <v>277902</v>
      </c>
      <c r="MD14" s="1">
        <v>272664</v>
      </c>
      <c r="ME14" s="1">
        <v>270270</v>
      </c>
      <c r="MF14" s="1">
        <v>266570</v>
      </c>
      <c r="MG14" s="1">
        <v>256818</v>
      </c>
      <c r="MH14" s="1">
        <v>255721</v>
      </c>
      <c r="MI14" s="1">
        <v>251407</v>
      </c>
      <c r="MJ14" s="1">
        <v>251732</v>
      </c>
      <c r="MK14" s="1">
        <v>256206</v>
      </c>
      <c r="ML14" s="1">
        <v>253057</v>
      </c>
      <c r="MM14" s="1">
        <v>259352</v>
      </c>
      <c r="MN14" s="1">
        <v>254309</v>
      </c>
      <c r="MO14" s="1">
        <v>252660</v>
      </c>
      <c r="MP14" s="1">
        <v>0</v>
      </c>
      <c r="MQ14" s="1">
        <v>94544</v>
      </c>
      <c r="MR14" s="1">
        <v>160253</v>
      </c>
      <c r="MS14" s="1">
        <v>204545</v>
      </c>
      <c r="MT14" s="1">
        <v>245673</v>
      </c>
      <c r="MU14" s="1">
        <v>250344</v>
      </c>
      <c r="MV14" s="1">
        <v>255878</v>
      </c>
      <c r="MW14" s="1">
        <v>261696</v>
      </c>
      <c r="MX14" s="1">
        <v>259553</v>
      </c>
      <c r="MY14" s="1">
        <v>257106</v>
      </c>
      <c r="MZ14" s="1">
        <v>256279</v>
      </c>
      <c r="NA14" s="1">
        <v>260954</v>
      </c>
      <c r="NB14" s="1">
        <v>265693</v>
      </c>
      <c r="NC14" s="1">
        <v>271161</v>
      </c>
      <c r="ND14" s="1">
        <v>273245</v>
      </c>
      <c r="NE14" s="1">
        <v>265729</v>
      </c>
      <c r="NF14" s="1">
        <v>262114</v>
      </c>
      <c r="NG14" s="1">
        <v>264934</v>
      </c>
      <c r="NH14" s="1">
        <v>267232</v>
      </c>
      <c r="NI14" s="1">
        <v>261564</v>
      </c>
      <c r="NJ14" s="1">
        <v>265848</v>
      </c>
      <c r="NK14" s="1">
        <v>263629</v>
      </c>
      <c r="NL14" s="1">
        <v>253363</v>
      </c>
      <c r="NM14" s="1">
        <v>257503</v>
      </c>
      <c r="NN14" s="1">
        <v>257564</v>
      </c>
      <c r="NO14" s="1">
        <v>257081</v>
      </c>
      <c r="NP14" s="1">
        <v>254052</v>
      </c>
      <c r="NQ14" s="1">
        <v>254502</v>
      </c>
      <c r="NR14" s="1">
        <v>257005</v>
      </c>
      <c r="NS14" s="1">
        <v>250221</v>
      </c>
      <c r="NT14" s="1">
        <v>249005</v>
      </c>
      <c r="NU14" s="1">
        <v>249414</v>
      </c>
      <c r="NV14" s="1">
        <v>251997</v>
      </c>
    </row>
    <row r="15" spans="1:386" s="1" customFormat="1" ht="15" customHeight="1" x14ac:dyDescent="0.25">
      <c r="B15"/>
      <c r="C15" s="30" t="s">
        <v>21</v>
      </c>
      <c r="D15" s="41">
        <f t="shared" si="1"/>
        <v>456</v>
      </c>
      <c r="E15" s="42">
        <f t="shared" si="0"/>
        <v>-2061</v>
      </c>
      <c r="F15" s="42">
        <f t="shared" si="0"/>
        <v>-40</v>
      </c>
      <c r="G15" s="42">
        <f t="shared" si="0"/>
        <v>2142</v>
      </c>
      <c r="H15" s="42">
        <f t="shared" si="0"/>
        <v>-2511</v>
      </c>
      <c r="I15" s="42">
        <f t="shared" si="0"/>
        <v>-485</v>
      </c>
      <c r="J15" s="42">
        <f t="shared" si="0"/>
        <v>-2534</v>
      </c>
      <c r="K15" s="42">
        <f t="shared" si="0"/>
        <v>570</v>
      </c>
      <c r="L15" s="42">
        <f t="shared" si="0"/>
        <v>-5854</v>
      </c>
      <c r="M15" s="42">
        <f t="shared" si="0"/>
        <v>5952</v>
      </c>
      <c r="N15" s="42">
        <f t="shared" si="0"/>
        <v>3027</v>
      </c>
      <c r="O15" s="43">
        <f t="shared" si="0"/>
        <v>9088</v>
      </c>
      <c r="P15"/>
      <c r="Q15"/>
      <c r="T15" s="50"/>
      <c r="U15" s="55" t="s">
        <v>14</v>
      </c>
      <c r="V15" s="1">
        <v>456</v>
      </c>
      <c r="W15" s="1">
        <v>-2061</v>
      </c>
      <c r="X15" s="1">
        <v>-40</v>
      </c>
      <c r="Y15" s="1">
        <v>2142</v>
      </c>
      <c r="Z15" s="1">
        <v>-2511</v>
      </c>
      <c r="AA15" s="1">
        <v>-485</v>
      </c>
      <c r="AB15" s="1">
        <v>-2534</v>
      </c>
      <c r="AC15" s="1">
        <v>570</v>
      </c>
      <c r="AD15" s="1">
        <v>-5854</v>
      </c>
      <c r="AE15" s="1">
        <v>5952</v>
      </c>
      <c r="AF15" s="1">
        <v>3027</v>
      </c>
      <c r="AG15" s="1">
        <v>9088</v>
      </c>
      <c r="AH15" s="1">
        <v>9938</v>
      </c>
      <c r="AI15" s="1">
        <v>3635</v>
      </c>
      <c r="AJ15" s="1">
        <v>-1538</v>
      </c>
      <c r="AK15" s="1">
        <v>6272</v>
      </c>
      <c r="AL15" s="1">
        <v>-5801</v>
      </c>
      <c r="AM15" s="1">
        <v>1875</v>
      </c>
      <c r="AN15" s="1">
        <v>-860</v>
      </c>
      <c r="AO15" s="1">
        <v>693</v>
      </c>
      <c r="AP15" s="1">
        <v>-5584</v>
      </c>
      <c r="AQ15" s="1">
        <v>9167</v>
      </c>
      <c r="AR15" s="1">
        <v>2410</v>
      </c>
      <c r="AS15" s="1">
        <v>5519</v>
      </c>
      <c r="AT15" s="1">
        <v>-836</v>
      </c>
      <c r="AU15" s="1">
        <v>2474</v>
      </c>
      <c r="AV15" s="1">
        <v>-129794</v>
      </c>
      <c r="AW15" s="1">
        <v>-59102</v>
      </c>
      <c r="AX15" s="1">
        <v>-59876</v>
      </c>
      <c r="AY15" s="1">
        <v>-56068</v>
      </c>
      <c r="AZ15" s="1">
        <v>498</v>
      </c>
      <c r="BA15" s="1">
        <v>5462</v>
      </c>
      <c r="BB15" s="1">
        <v>-4228</v>
      </c>
      <c r="BC15" s="1">
        <v>-348</v>
      </c>
      <c r="BD15" s="1">
        <v>271</v>
      </c>
      <c r="BE15" s="1">
        <v>-1988</v>
      </c>
      <c r="BF15" s="1">
        <v>-637</v>
      </c>
      <c r="BG15" s="1">
        <v>-4228</v>
      </c>
      <c r="BH15" s="1">
        <v>4329</v>
      </c>
      <c r="BI15" s="1">
        <v>5882</v>
      </c>
      <c r="BJ15" s="1">
        <v>-349</v>
      </c>
      <c r="BK15" s="1">
        <v>-1679</v>
      </c>
      <c r="BL15" s="1">
        <v>-5733</v>
      </c>
      <c r="BM15" s="1">
        <v>-955</v>
      </c>
      <c r="BN15" s="1">
        <v>-10197</v>
      </c>
      <c r="BO15" s="1">
        <v>-6577</v>
      </c>
      <c r="BP15" s="1">
        <v>-4280</v>
      </c>
      <c r="BQ15" s="1">
        <v>-4524</v>
      </c>
      <c r="BR15" s="1">
        <v>-6095</v>
      </c>
      <c r="BS15" s="1">
        <v>-1039</v>
      </c>
      <c r="BT15" s="1">
        <v>5543</v>
      </c>
      <c r="BU15" s="1">
        <v>-778</v>
      </c>
      <c r="BV15" s="1">
        <v>-1709</v>
      </c>
      <c r="BW15" s="1">
        <v>725</v>
      </c>
      <c r="BX15" s="1">
        <v>-1758</v>
      </c>
      <c r="BY15" s="1">
        <v>3319</v>
      </c>
      <c r="BZ15" s="1">
        <v>-5364</v>
      </c>
      <c r="CA15" s="1">
        <v>2423</v>
      </c>
      <c r="CB15" s="1">
        <v>-3151</v>
      </c>
      <c r="CC15" s="1">
        <v>6030</v>
      </c>
      <c r="CD15" s="1">
        <v>-2034</v>
      </c>
      <c r="CE15" s="1">
        <v>1648</v>
      </c>
      <c r="CF15" s="1">
        <v>3479</v>
      </c>
      <c r="CG15" s="1">
        <v>1685</v>
      </c>
      <c r="CH15" s="1">
        <v>634</v>
      </c>
      <c r="CI15" s="1">
        <v>-2613</v>
      </c>
      <c r="CJ15" s="1">
        <v>1185</v>
      </c>
      <c r="CK15" s="1">
        <v>-6223</v>
      </c>
      <c r="CL15" s="1">
        <v>8054</v>
      </c>
      <c r="CM15" s="1">
        <v>-2302</v>
      </c>
      <c r="CN15" s="1">
        <v>-7231</v>
      </c>
      <c r="CO15" s="1">
        <v>-6398</v>
      </c>
      <c r="CP15" s="1">
        <v>-7787</v>
      </c>
      <c r="CQ15" s="1">
        <v>-1428</v>
      </c>
      <c r="CR15" s="1">
        <v>-7234</v>
      </c>
      <c r="CS15" s="1">
        <v>19887</v>
      </c>
      <c r="CT15" s="1">
        <v>9402</v>
      </c>
      <c r="CU15" s="1">
        <v>7478</v>
      </c>
      <c r="CV15" s="1">
        <v>11219</v>
      </c>
      <c r="CW15" s="1">
        <v>6270</v>
      </c>
      <c r="CX15" s="1">
        <v>8035</v>
      </c>
      <c r="CY15" s="1">
        <v>-1660</v>
      </c>
      <c r="CZ15" s="1">
        <v>3538</v>
      </c>
      <c r="DA15" s="1">
        <v>3868</v>
      </c>
      <c r="DB15" s="1">
        <v>6721</v>
      </c>
      <c r="DC15" s="1">
        <v>-9595</v>
      </c>
      <c r="DD15" s="1">
        <v>19272</v>
      </c>
      <c r="DE15" s="1">
        <v>-161640</v>
      </c>
      <c r="DF15" s="1">
        <v>-61005</v>
      </c>
      <c r="DG15" s="1">
        <v>-73663</v>
      </c>
      <c r="DH15" s="1">
        <v>-36720</v>
      </c>
      <c r="DI15" s="1">
        <v>5770</v>
      </c>
      <c r="DJ15" s="1">
        <v>10229</v>
      </c>
      <c r="DK15" s="1">
        <v>9997</v>
      </c>
      <c r="DL15" s="1">
        <v>2057</v>
      </c>
      <c r="DM15" s="1">
        <v>2720</v>
      </c>
      <c r="DN15" s="1">
        <v>101</v>
      </c>
      <c r="DO15" s="1">
        <v>357</v>
      </c>
      <c r="DP15" s="1">
        <v>-3673</v>
      </c>
      <c r="DQ15" s="1">
        <v>8186</v>
      </c>
      <c r="DR15" s="1">
        <v>1867</v>
      </c>
      <c r="DS15" s="1">
        <v>1428</v>
      </c>
      <c r="DT15" s="1">
        <v>-4971</v>
      </c>
      <c r="DU15" s="1">
        <v>3634</v>
      </c>
      <c r="DV15" s="1">
        <v>1437</v>
      </c>
      <c r="DW15" s="1">
        <v>-2093</v>
      </c>
      <c r="DX15" s="1">
        <v>-18256</v>
      </c>
      <c r="DY15" s="1">
        <v>5429</v>
      </c>
      <c r="DZ15" s="1">
        <v>-4304</v>
      </c>
      <c r="EA15" s="1">
        <v>4391</v>
      </c>
      <c r="EB15" s="1">
        <v>4183</v>
      </c>
      <c r="EC15" s="1">
        <v>-278</v>
      </c>
      <c r="ED15" s="1">
        <v>-1608</v>
      </c>
      <c r="EE15" s="1">
        <v>3371</v>
      </c>
      <c r="EF15" s="1">
        <v>2895</v>
      </c>
      <c r="EG15" s="1">
        <v>5100</v>
      </c>
      <c r="EH15" s="1">
        <v>2079</v>
      </c>
      <c r="EI15" s="1">
        <v>37</v>
      </c>
      <c r="EJ15" s="1">
        <v>-1195</v>
      </c>
      <c r="EK15" s="1">
        <v>2238</v>
      </c>
      <c r="EL15" s="1">
        <v>1133</v>
      </c>
      <c r="EM15" s="1">
        <v>-6849</v>
      </c>
      <c r="EN15" s="1">
        <v>3765</v>
      </c>
      <c r="EO15" s="1">
        <v>1551</v>
      </c>
      <c r="EP15" s="1">
        <v>561</v>
      </c>
      <c r="EQ15" s="1">
        <v>-2487</v>
      </c>
      <c r="ER15" s="1">
        <v>-4333</v>
      </c>
      <c r="ES15" s="1">
        <v>-7113</v>
      </c>
      <c r="ET15" s="1">
        <v>-1277</v>
      </c>
      <c r="EU15" s="1">
        <v>180</v>
      </c>
      <c r="EV15" s="1">
        <v>-6498</v>
      </c>
      <c r="EW15" s="1">
        <v>-5689</v>
      </c>
      <c r="EX15" s="1">
        <v>5268</v>
      </c>
      <c r="EY15" s="1">
        <v>-2734</v>
      </c>
      <c r="EZ15" s="1">
        <v>-1539</v>
      </c>
      <c r="FA15" s="1">
        <v>4618</v>
      </c>
      <c r="FB15" s="1">
        <v>7863</v>
      </c>
      <c r="FC15" s="1">
        <v>438</v>
      </c>
      <c r="FD15" s="1">
        <v>-4958</v>
      </c>
      <c r="FE15" s="1">
        <v>-4148</v>
      </c>
      <c r="FF15" s="1">
        <v>-4926</v>
      </c>
      <c r="FG15" s="1">
        <v>663</v>
      </c>
      <c r="FH15" s="1">
        <v>9493</v>
      </c>
      <c r="FI15" s="1">
        <v>2482</v>
      </c>
      <c r="FJ15" s="1">
        <v>9862</v>
      </c>
      <c r="FK15" s="1">
        <v>-1022</v>
      </c>
      <c r="FL15" s="1">
        <v>-3846</v>
      </c>
      <c r="FM15" s="1">
        <v>13179</v>
      </c>
      <c r="FN15" s="1">
        <v>6809</v>
      </c>
      <c r="FO15" s="1">
        <v>15482</v>
      </c>
      <c r="FP15" s="1">
        <v>11188</v>
      </c>
      <c r="FQ15" s="1">
        <v>-110670</v>
      </c>
      <c r="FR15" s="1">
        <v>-64246</v>
      </c>
      <c r="FS15" s="1">
        <v>-93820</v>
      </c>
      <c r="FT15" s="1">
        <v>-21728</v>
      </c>
      <c r="FU15" s="1">
        <v>-1904</v>
      </c>
      <c r="FV15" s="1">
        <v>-2987</v>
      </c>
      <c r="FW15" s="1">
        <v>-355</v>
      </c>
      <c r="FX15" s="1">
        <v>-1852</v>
      </c>
      <c r="FY15" s="1">
        <v>990</v>
      </c>
      <c r="FZ15" s="1">
        <v>-1029</v>
      </c>
      <c r="GA15" s="1">
        <v>4048</v>
      </c>
      <c r="GB15" s="1">
        <v>-2614</v>
      </c>
      <c r="GC15" s="1">
        <v>1305</v>
      </c>
      <c r="GD15" s="1">
        <v>2054</v>
      </c>
      <c r="GE15" s="1">
        <v>30</v>
      </c>
      <c r="GF15" s="1">
        <v>5459</v>
      </c>
      <c r="GG15" s="1">
        <v>-2145</v>
      </c>
      <c r="GH15" s="1">
        <v>-12191</v>
      </c>
      <c r="GI15" s="1">
        <v>2590</v>
      </c>
      <c r="GJ15" s="1">
        <v>-1413</v>
      </c>
      <c r="GK15" s="1">
        <v>10114</v>
      </c>
      <c r="GL15" s="1">
        <v>8061</v>
      </c>
      <c r="GM15" s="1">
        <v>6038</v>
      </c>
      <c r="GN15" s="1">
        <v>1256</v>
      </c>
      <c r="GO15" s="1">
        <v>1565</v>
      </c>
      <c r="GP15" s="1">
        <v>-636</v>
      </c>
      <c r="GQ15" s="1">
        <v>-6558</v>
      </c>
      <c r="GR15" s="1">
        <v>-6849</v>
      </c>
      <c r="GS15" s="1">
        <v>7446</v>
      </c>
      <c r="GT15" s="1">
        <v>-7729</v>
      </c>
      <c r="GU15" s="1">
        <v>11939</v>
      </c>
      <c r="GV15" s="1">
        <v>7870</v>
      </c>
      <c r="GW15" s="1">
        <v>-1773</v>
      </c>
      <c r="GX15" s="1">
        <v>1873</v>
      </c>
      <c r="GY15" s="1">
        <v>-4700</v>
      </c>
      <c r="GZ15" s="1">
        <v>4454</v>
      </c>
      <c r="HA15" s="1">
        <v>5724</v>
      </c>
      <c r="HB15" s="1">
        <v>-1990</v>
      </c>
      <c r="HC15" s="1">
        <v>1145</v>
      </c>
      <c r="HD15" s="1">
        <v>9442</v>
      </c>
      <c r="HE15" s="1">
        <v>-3697</v>
      </c>
      <c r="HF15" s="1">
        <v>-516</v>
      </c>
      <c r="HG15" s="1">
        <v>4633</v>
      </c>
      <c r="HH15" s="1">
        <v>-1048</v>
      </c>
      <c r="HI15" s="1">
        <v>-3659</v>
      </c>
      <c r="HJ15" s="1">
        <v>5047</v>
      </c>
      <c r="HK15" s="1">
        <v>-2064</v>
      </c>
      <c r="HL15" s="1">
        <v>1277</v>
      </c>
      <c r="HM15" s="1">
        <v>1611</v>
      </c>
      <c r="HN15" s="1">
        <v>-1844</v>
      </c>
      <c r="HO15" s="1">
        <v>-252</v>
      </c>
      <c r="HP15" s="1">
        <v>817</v>
      </c>
      <c r="HQ15" s="1">
        <v>-670</v>
      </c>
      <c r="HR15" s="1">
        <v>165</v>
      </c>
      <c r="HS15" s="1">
        <v>1293</v>
      </c>
      <c r="HT15" s="1">
        <v>5800</v>
      </c>
      <c r="HU15" s="1">
        <v>3072</v>
      </c>
      <c r="HV15" s="1">
        <v>-2637</v>
      </c>
      <c r="HW15" s="1">
        <v>-4549</v>
      </c>
      <c r="HX15" s="1">
        <v>5364</v>
      </c>
      <c r="HY15" s="1">
        <v>1011</v>
      </c>
      <c r="HZ15" s="1">
        <v>8847</v>
      </c>
      <c r="IA15" s="1">
        <v>-126111</v>
      </c>
      <c r="IB15" s="1">
        <v>-86717</v>
      </c>
      <c r="IC15" s="1">
        <v>-43215</v>
      </c>
      <c r="ID15" s="1">
        <v>-12744</v>
      </c>
      <c r="IE15" s="1">
        <v>-10211</v>
      </c>
      <c r="IF15" s="1">
        <v>-633</v>
      </c>
      <c r="IG15" s="1">
        <v>-1452</v>
      </c>
      <c r="IH15" s="1">
        <v>-7446</v>
      </c>
      <c r="II15" s="1">
        <v>13979</v>
      </c>
      <c r="IJ15" s="1">
        <v>903</v>
      </c>
      <c r="IK15" s="1">
        <v>3652</v>
      </c>
      <c r="IL15" s="1">
        <v>-679</v>
      </c>
      <c r="IM15" s="1">
        <v>-741</v>
      </c>
      <c r="IN15" s="1">
        <v>2858</v>
      </c>
      <c r="IO15" s="1">
        <v>2288</v>
      </c>
      <c r="IP15" s="1">
        <v>2164</v>
      </c>
      <c r="IQ15" s="1">
        <v>-752</v>
      </c>
      <c r="IR15" s="1">
        <v>996</v>
      </c>
      <c r="IS15" s="1">
        <v>-8542</v>
      </c>
      <c r="IT15" s="1">
        <v>-4135</v>
      </c>
      <c r="IU15" s="1">
        <v>1485</v>
      </c>
      <c r="IV15" s="1">
        <v>8557</v>
      </c>
      <c r="IW15" s="1">
        <v>-1436</v>
      </c>
      <c r="IX15" s="1">
        <v>-10095</v>
      </c>
      <c r="IY15" s="1">
        <v>-6929</v>
      </c>
      <c r="IZ15" s="1">
        <v>13422</v>
      </c>
      <c r="JA15" s="1">
        <v>-5585</v>
      </c>
      <c r="JB15" s="1">
        <v>11696</v>
      </c>
      <c r="JC15" s="1">
        <v>5525</v>
      </c>
      <c r="JD15" s="1">
        <v>6231</v>
      </c>
      <c r="JE15" s="1">
        <v>-999</v>
      </c>
      <c r="JF15" s="1">
        <v>-2205</v>
      </c>
      <c r="JG15" s="1">
        <v>2994</v>
      </c>
      <c r="JH15" s="1">
        <v>5152</v>
      </c>
      <c r="JI15" s="1">
        <v>12235</v>
      </c>
      <c r="JJ15" s="1">
        <v>-10631</v>
      </c>
      <c r="JK15" s="1">
        <v>-592</v>
      </c>
      <c r="JL15" s="1">
        <v>-5438</v>
      </c>
      <c r="JM15" s="1">
        <v>1399</v>
      </c>
      <c r="JN15" s="1">
        <v>-6404</v>
      </c>
      <c r="JO15" s="1">
        <v>-4549</v>
      </c>
      <c r="JP15" s="1">
        <v>14431</v>
      </c>
      <c r="JQ15" s="1">
        <v>3757</v>
      </c>
      <c r="JR15" s="1">
        <v>1174</v>
      </c>
      <c r="JS15" s="1">
        <v>4619</v>
      </c>
      <c r="JT15" s="1">
        <v>-3473</v>
      </c>
      <c r="JU15" s="1">
        <v>5796</v>
      </c>
      <c r="JV15" s="1">
        <v>-2005</v>
      </c>
      <c r="JW15" s="1">
        <v>6601</v>
      </c>
      <c r="JX15" s="1">
        <v>1906</v>
      </c>
      <c r="JY15" s="1">
        <v>-2592</v>
      </c>
      <c r="JZ15" s="1">
        <v>-11</v>
      </c>
      <c r="KA15" s="1">
        <v>3215</v>
      </c>
      <c r="KB15" s="1">
        <v>918</v>
      </c>
      <c r="KC15" s="1">
        <v>-3612</v>
      </c>
      <c r="KD15" s="1">
        <v>350</v>
      </c>
      <c r="KE15" s="1">
        <v>-1907</v>
      </c>
      <c r="KF15" s="1">
        <v>7445</v>
      </c>
      <c r="KG15" s="1">
        <v>2067</v>
      </c>
      <c r="KH15" s="1">
        <v>-128307</v>
      </c>
      <c r="KI15" s="1">
        <v>-53978</v>
      </c>
      <c r="KJ15" s="1">
        <v>-51876</v>
      </c>
      <c r="KK15" s="1">
        <v>-35704</v>
      </c>
      <c r="KL15" s="1">
        <v>-7983</v>
      </c>
      <c r="KM15" s="1">
        <v>-9793</v>
      </c>
      <c r="KN15" s="1">
        <v>-4485</v>
      </c>
      <c r="KO15" s="1">
        <v>3207</v>
      </c>
      <c r="KP15" s="1">
        <v>-7026</v>
      </c>
      <c r="KQ15" s="1">
        <v>11906</v>
      </c>
      <c r="KR15" s="1">
        <v>2706</v>
      </c>
      <c r="KS15" s="1">
        <v>-2503</v>
      </c>
      <c r="KT15" s="1">
        <v>-11046</v>
      </c>
      <c r="KU15" s="1">
        <v>13582</v>
      </c>
      <c r="KV15" s="1">
        <v>-1525</v>
      </c>
      <c r="KW15" s="1">
        <v>-1161</v>
      </c>
      <c r="KX15" s="1">
        <v>897</v>
      </c>
      <c r="KY15" s="1">
        <v>-588</v>
      </c>
      <c r="KZ15" s="1">
        <v>4333</v>
      </c>
      <c r="LA15" s="1">
        <v>1725</v>
      </c>
      <c r="LB15" s="1">
        <v>3859</v>
      </c>
      <c r="LC15" s="1">
        <v>2567</v>
      </c>
      <c r="LD15" s="1">
        <v>1121</v>
      </c>
      <c r="LE15" s="1">
        <v>-1960</v>
      </c>
      <c r="LF15" s="1">
        <v>936</v>
      </c>
      <c r="LG15" s="1">
        <v>-4349</v>
      </c>
      <c r="LH15" s="1">
        <v>-383</v>
      </c>
      <c r="LI15" s="1">
        <v>3488</v>
      </c>
      <c r="LJ15" s="1">
        <v>-1627</v>
      </c>
      <c r="LK15" s="1">
        <v>6118</v>
      </c>
      <c r="LL15" s="1">
        <v>-2287</v>
      </c>
      <c r="LM15" s="1">
        <v>-2141</v>
      </c>
      <c r="LN15" s="1">
        <v>-310</v>
      </c>
      <c r="LO15" s="1">
        <v>983</v>
      </c>
      <c r="LP15" s="1">
        <v>2291</v>
      </c>
      <c r="LQ15" s="1">
        <v>2878</v>
      </c>
      <c r="LR15" s="1">
        <v>-3391</v>
      </c>
      <c r="LS15" s="1">
        <v>-365</v>
      </c>
      <c r="LT15" s="1">
        <v>-3708</v>
      </c>
      <c r="LU15" s="1">
        <v>-488</v>
      </c>
      <c r="LV15" s="1">
        <v>-5136</v>
      </c>
      <c r="LW15" s="1">
        <v>861</v>
      </c>
      <c r="LX15" s="1">
        <v>5665</v>
      </c>
      <c r="LY15" s="1">
        <v>-1957</v>
      </c>
      <c r="LZ15" s="1">
        <v>-6706</v>
      </c>
      <c r="MA15" s="1">
        <v>1810</v>
      </c>
      <c r="MB15" s="1">
        <v>1948</v>
      </c>
      <c r="MC15" s="1">
        <v>5238</v>
      </c>
      <c r="MD15" s="1">
        <v>2394</v>
      </c>
      <c r="ME15" s="1">
        <v>3700</v>
      </c>
      <c r="MF15" s="1">
        <v>9752</v>
      </c>
      <c r="MG15" s="1">
        <v>1097</v>
      </c>
      <c r="MH15" s="1">
        <v>4314</v>
      </c>
      <c r="MI15" s="1">
        <v>-325</v>
      </c>
      <c r="MJ15" s="1">
        <v>-4474</v>
      </c>
      <c r="MK15" s="1">
        <v>3149</v>
      </c>
      <c r="ML15" s="1">
        <v>-6295</v>
      </c>
      <c r="MM15" s="1">
        <v>5043</v>
      </c>
      <c r="MN15" s="1">
        <v>1649</v>
      </c>
      <c r="MO15" s="1">
        <v>2531</v>
      </c>
      <c r="MP15" s="1">
        <v>-94544</v>
      </c>
      <c r="MQ15" s="1">
        <v>-65709</v>
      </c>
      <c r="MR15" s="1">
        <v>-44292</v>
      </c>
      <c r="MS15" s="1">
        <v>-41128</v>
      </c>
      <c r="MT15" s="1">
        <v>-4671</v>
      </c>
      <c r="MU15" s="1">
        <v>-5534</v>
      </c>
      <c r="MV15" s="1">
        <v>-5818</v>
      </c>
      <c r="MW15" s="1">
        <v>2143</v>
      </c>
      <c r="MX15" s="1">
        <v>2447</v>
      </c>
      <c r="MY15" s="1">
        <v>827</v>
      </c>
      <c r="MZ15" s="1">
        <v>-4675</v>
      </c>
      <c r="NA15" s="1">
        <v>-4739</v>
      </c>
      <c r="NB15" s="1">
        <v>-5468</v>
      </c>
      <c r="NC15" s="1">
        <v>-2084</v>
      </c>
      <c r="ND15" s="1">
        <v>7516</v>
      </c>
      <c r="NE15" s="1">
        <v>3615</v>
      </c>
      <c r="NF15" s="1">
        <v>-2820</v>
      </c>
      <c r="NG15" s="1">
        <v>-2298</v>
      </c>
      <c r="NH15" s="1">
        <v>5668</v>
      </c>
      <c r="NI15" s="1">
        <v>-4284</v>
      </c>
      <c r="NJ15" s="1">
        <v>2219</v>
      </c>
      <c r="NK15" s="1">
        <v>10266</v>
      </c>
      <c r="NL15" s="1">
        <v>-4140</v>
      </c>
      <c r="NM15" s="1">
        <v>-61</v>
      </c>
      <c r="NN15" s="1">
        <v>483</v>
      </c>
      <c r="NO15" s="1">
        <v>3029</v>
      </c>
      <c r="NP15" s="1">
        <v>-450</v>
      </c>
      <c r="NQ15" s="1">
        <v>-2503</v>
      </c>
      <c r="NR15" s="1">
        <v>6784</v>
      </c>
      <c r="NS15" s="1">
        <v>1216</v>
      </c>
      <c r="NT15" s="1">
        <v>-409</v>
      </c>
      <c r="NU15" s="1">
        <v>-2583</v>
      </c>
      <c r="NV15" s="1">
        <v>4823</v>
      </c>
    </row>
    <row r="16" spans="1:386" s="1" customFormat="1" ht="15" customHeight="1" x14ac:dyDescent="0.25">
      <c r="B16"/>
      <c r="C16" s="30" t="s">
        <v>30</v>
      </c>
      <c r="D16" s="41">
        <f t="shared" ref="D16:O16" si="2">SUM(D17:D18)</f>
        <v>123836.80097699999</v>
      </c>
      <c r="E16" s="42">
        <f t="shared" si="2"/>
        <v>466984.298175</v>
      </c>
      <c r="F16" s="42">
        <f t="shared" si="2"/>
        <v>149445.624064</v>
      </c>
      <c r="G16" s="42">
        <f t="shared" si="2"/>
        <v>47060.754402999999</v>
      </c>
      <c r="H16" s="42">
        <f t="shared" si="2"/>
        <v>-53418.824477000002</v>
      </c>
      <c r="I16" s="42">
        <f t="shared" si="2"/>
        <v>471152.61147300003</v>
      </c>
      <c r="J16" s="42">
        <f t="shared" si="2"/>
        <v>236214.85522800003</v>
      </c>
      <c r="K16" s="42">
        <f t="shared" si="2"/>
        <v>287999.53424199997</v>
      </c>
      <c r="L16" s="42">
        <f t="shared" si="2"/>
        <v>218371.070985</v>
      </c>
      <c r="M16" s="42">
        <f t="shared" si="2"/>
        <v>49548.681400999994</v>
      </c>
      <c r="N16" s="42">
        <f t="shared" si="2"/>
        <v>-30183.280614999996</v>
      </c>
      <c r="O16" s="43">
        <f t="shared" si="2"/>
        <v>-195928.32754099998</v>
      </c>
      <c r="P16"/>
      <c r="Q16"/>
      <c r="T16" s="50"/>
      <c r="U16" s="55" t="s">
        <v>15</v>
      </c>
      <c r="V16" s="1">
        <v>3326</v>
      </c>
      <c r="W16" s="1">
        <v>178</v>
      </c>
      <c r="X16" s="1">
        <v>-820</v>
      </c>
      <c r="Y16" s="1">
        <v>2773</v>
      </c>
      <c r="Z16" s="1">
        <v>-1216</v>
      </c>
      <c r="AA16" s="1">
        <v>-3123</v>
      </c>
      <c r="AB16" s="1">
        <v>834</v>
      </c>
      <c r="AC16" s="1">
        <v>-113</v>
      </c>
      <c r="AD16" s="1">
        <v>1676</v>
      </c>
      <c r="AE16" s="1">
        <v>-5860</v>
      </c>
      <c r="AF16" s="1">
        <v>2460</v>
      </c>
      <c r="AG16" s="1">
        <v>-6327</v>
      </c>
      <c r="AH16" s="1">
        <v>-5728</v>
      </c>
      <c r="AI16" s="1">
        <v>6014</v>
      </c>
      <c r="AJ16" s="1">
        <v>5705</v>
      </c>
      <c r="AK16" s="1">
        <v>1360</v>
      </c>
      <c r="AL16" s="1">
        <v>6144</v>
      </c>
      <c r="AM16" s="1">
        <v>-4807</v>
      </c>
      <c r="AN16" s="1">
        <v>563</v>
      </c>
      <c r="AO16" s="1">
        <v>-621</v>
      </c>
      <c r="AP16" s="1">
        <v>7377</v>
      </c>
      <c r="AQ16" s="1">
        <v>-397</v>
      </c>
      <c r="AR16" s="1">
        <v>930</v>
      </c>
      <c r="AS16" s="1">
        <v>-7008</v>
      </c>
      <c r="AT16" s="1">
        <v>-2</v>
      </c>
      <c r="AU16" s="1">
        <v>-2849</v>
      </c>
      <c r="AV16" s="1">
        <v>2092</v>
      </c>
      <c r="AW16" s="1">
        <v>309</v>
      </c>
      <c r="AX16" s="1">
        <v>127</v>
      </c>
      <c r="AY16" s="1">
        <v>3145</v>
      </c>
      <c r="AZ16" s="1">
        <v>-3403</v>
      </c>
      <c r="BA16" s="1">
        <v>-10680</v>
      </c>
      <c r="BB16" s="1">
        <v>3760</v>
      </c>
      <c r="BC16" s="1">
        <v>2708</v>
      </c>
      <c r="BD16" s="1">
        <v>7444</v>
      </c>
      <c r="BE16" s="1">
        <v>-5159</v>
      </c>
      <c r="BF16" s="1">
        <v>1486</v>
      </c>
      <c r="BG16" s="1">
        <v>5240</v>
      </c>
      <c r="BH16" s="1">
        <v>-1219</v>
      </c>
      <c r="BI16" s="1">
        <v>-377</v>
      </c>
      <c r="BJ16" s="1">
        <v>691</v>
      </c>
      <c r="BK16" s="1">
        <v>5194</v>
      </c>
      <c r="BL16" s="1">
        <v>-1160</v>
      </c>
      <c r="BM16" s="1">
        <v>-1311</v>
      </c>
      <c r="BN16" s="1">
        <v>-2225</v>
      </c>
      <c r="BO16" s="1">
        <v>-5091</v>
      </c>
      <c r="BP16" s="1">
        <v>5571</v>
      </c>
      <c r="BQ16" s="1">
        <v>2759</v>
      </c>
      <c r="BR16" s="1">
        <v>-2089</v>
      </c>
      <c r="BS16" s="1">
        <v>-1847</v>
      </c>
      <c r="BT16" s="1">
        <v>2847</v>
      </c>
      <c r="BU16" s="1">
        <v>-841</v>
      </c>
      <c r="BV16" s="1">
        <v>1274</v>
      </c>
      <c r="BW16" s="1">
        <v>-710</v>
      </c>
      <c r="BX16" s="1">
        <v>1122</v>
      </c>
      <c r="BY16" s="1">
        <v>-1881</v>
      </c>
      <c r="BZ16" s="1">
        <v>2601</v>
      </c>
      <c r="CA16" s="1">
        <v>10131</v>
      </c>
      <c r="CB16" s="1">
        <v>-684</v>
      </c>
      <c r="CC16" s="1">
        <v>-2194</v>
      </c>
      <c r="CD16" s="1">
        <v>6249</v>
      </c>
      <c r="CE16" s="1">
        <v>11</v>
      </c>
      <c r="CF16" s="1">
        <v>-1926</v>
      </c>
      <c r="CG16" s="1">
        <v>-5727</v>
      </c>
      <c r="CH16" s="1">
        <v>2397</v>
      </c>
      <c r="CI16" s="1">
        <v>4016</v>
      </c>
      <c r="CJ16" s="1">
        <v>-16495</v>
      </c>
      <c r="CK16" s="1">
        <v>-2074</v>
      </c>
      <c r="CL16" s="1">
        <v>3708</v>
      </c>
      <c r="CM16" s="1">
        <v>3359</v>
      </c>
      <c r="CN16" s="1">
        <v>-1072</v>
      </c>
      <c r="CO16" s="1">
        <v>-17953</v>
      </c>
      <c r="CP16" s="1">
        <v>-1797</v>
      </c>
      <c r="CQ16" s="1">
        <v>3355</v>
      </c>
      <c r="CR16" s="1">
        <v>7949</v>
      </c>
      <c r="CS16" s="1">
        <v>7040</v>
      </c>
      <c r="CT16" s="1">
        <v>-351</v>
      </c>
      <c r="CU16" s="1">
        <v>11386</v>
      </c>
      <c r="CV16" s="1">
        <v>-5352</v>
      </c>
      <c r="CW16" s="1">
        <v>969</v>
      </c>
      <c r="CX16" s="1">
        <v>-2059</v>
      </c>
      <c r="CY16" s="1">
        <v>-563</v>
      </c>
      <c r="CZ16" s="1">
        <v>-4434</v>
      </c>
      <c r="DA16" s="1">
        <v>1374</v>
      </c>
      <c r="DB16" s="1">
        <v>-7394</v>
      </c>
      <c r="DC16" s="1">
        <v>6659</v>
      </c>
      <c r="DD16" s="1">
        <v>14807</v>
      </c>
      <c r="DE16" s="1">
        <v>3284</v>
      </c>
      <c r="DF16" s="1">
        <v>-7777</v>
      </c>
      <c r="DG16" s="1">
        <v>-2983</v>
      </c>
      <c r="DH16" s="1">
        <v>2699</v>
      </c>
      <c r="DI16" s="1">
        <v>-7659</v>
      </c>
      <c r="DJ16" s="1">
        <v>-8965</v>
      </c>
      <c r="DK16" s="1">
        <v>-4665</v>
      </c>
      <c r="DL16" s="1">
        <v>117</v>
      </c>
      <c r="DM16" s="1">
        <v>1567</v>
      </c>
      <c r="DN16" s="1">
        <v>-1188</v>
      </c>
      <c r="DO16" s="1">
        <v>1857</v>
      </c>
      <c r="DP16" s="1">
        <v>-50</v>
      </c>
      <c r="DQ16" s="1">
        <v>-2187</v>
      </c>
      <c r="DR16" s="1">
        <v>2409</v>
      </c>
      <c r="DS16" s="1">
        <v>-1208</v>
      </c>
      <c r="DT16" s="1">
        <v>5295</v>
      </c>
      <c r="DU16" s="1">
        <v>-5506</v>
      </c>
      <c r="DV16" s="1">
        <v>-589</v>
      </c>
      <c r="DW16" s="1">
        <v>5038</v>
      </c>
      <c r="DX16" s="1">
        <v>7780</v>
      </c>
      <c r="DY16" s="1">
        <v>-8306</v>
      </c>
      <c r="DZ16" s="1">
        <v>5918</v>
      </c>
      <c r="EA16" s="1">
        <v>-1250</v>
      </c>
      <c r="EB16" s="1">
        <v>2125</v>
      </c>
      <c r="EC16" s="1">
        <v>-6742</v>
      </c>
      <c r="ED16" s="1">
        <v>6512</v>
      </c>
      <c r="EE16" s="1">
        <v>-3514</v>
      </c>
      <c r="EF16" s="1">
        <v>4835</v>
      </c>
      <c r="EG16" s="1">
        <v>191</v>
      </c>
      <c r="EH16" s="1">
        <v>-1328</v>
      </c>
      <c r="EI16" s="1">
        <v>-7277</v>
      </c>
      <c r="EJ16" s="1">
        <v>3610</v>
      </c>
      <c r="EK16" s="1">
        <v>6181</v>
      </c>
      <c r="EL16" s="1">
        <v>1570</v>
      </c>
      <c r="EM16" s="1">
        <v>4393</v>
      </c>
      <c r="EN16" s="1">
        <v>-5742</v>
      </c>
      <c r="EO16" s="1">
        <v>-5569</v>
      </c>
      <c r="EP16" s="1">
        <v>-1506</v>
      </c>
      <c r="EQ16" s="1">
        <v>-2729</v>
      </c>
      <c r="ER16" s="1">
        <v>295</v>
      </c>
      <c r="ES16" s="1">
        <v>1074</v>
      </c>
      <c r="ET16" s="1">
        <v>-2726</v>
      </c>
      <c r="EU16" s="1">
        <v>1522</v>
      </c>
      <c r="EV16" s="1">
        <v>-66</v>
      </c>
      <c r="EW16" s="1">
        <v>4437</v>
      </c>
      <c r="EX16" s="1">
        <v>-2243</v>
      </c>
      <c r="EY16" s="1">
        <v>-4634</v>
      </c>
      <c r="EZ16" s="1">
        <v>2741</v>
      </c>
      <c r="FA16" s="1">
        <v>3517</v>
      </c>
      <c r="FB16" s="1">
        <v>367</v>
      </c>
      <c r="FC16" s="1">
        <v>-944</v>
      </c>
      <c r="FD16" s="1">
        <v>1934</v>
      </c>
      <c r="FE16" s="1">
        <v>-2263</v>
      </c>
      <c r="FF16" s="1">
        <v>3068</v>
      </c>
      <c r="FG16" s="1">
        <v>9718</v>
      </c>
      <c r="FH16" s="1">
        <v>-787</v>
      </c>
      <c r="FI16" s="1">
        <v>1880</v>
      </c>
      <c r="FJ16" s="1">
        <v>-673</v>
      </c>
      <c r="FK16" s="1">
        <v>2545</v>
      </c>
      <c r="FL16" s="1">
        <v>7959</v>
      </c>
      <c r="FM16" s="1">
        <v>-1424</v>
      </c>
      <c r="FN16" s="1">
        <v>-2686</v>
      </c>
      <c r="FO16" s="1">
        <v>-6953</v>
      </c>
      <c r="FP16" s="1">
        <v>-3667</v>
      </c>
      <c r="FQ16" s="1">
        <v>-2759</v>
      </c>
      <c r="FR16" s="1">
        <v>5941</v>
      </c>
      <c r="FS16" s="1">
        <v>-14610</v>
      </c>
      <c r="FT16" s="1">
        <v>2402</v>
      </c>
      <c r="FU16" s="1">
        <v>-5348</v>
      </c>
      <c r="FV16" s="1">
        <v>2257</v>
      </c>
      <c r="FW16" s="1">
        <v>3597</v>
      </c>
      <c r="FX16" s="1">
        <v>2345</v>
      </c>
      <c r="FY16" s="1">
        <v>-4197</v>
      </c>
      <c r="FZ16" s="1">
        <v>1293</v>
      </c>
      <c r="GA16" s="1">
        <v>-1479</v>
      </c>
      <c r="GB16" s="1">
        <v>-4231</v>
      </c>
      <c r="GC16" s="1">
        <v>10840</v>
      </c>
      <c r="GD16" s="1">
        <v>878</v>
      </c>
      <c r="GE16" s="1">
        <v>-2739</v>
      </c>
      <c r="GF16" s="1">
        <v>1231</v>
      </c>
      <c r="GG16" s="1">
        <v>-5518</v>
      </c>
      <c r="GH16" s="1">
        <v>11200</v>
      </c>
      <c r="GI16" s="1">
        <v>2647</v>
      </c>
      <c r="GJ16" s="1">
        <v>-1843</v>
      </c>
      <c r="GK16" s="1">
        <v>-9560</v>
      </c>
      <c r="GL16" s="1">
        <v>-3967</v>
      </c>
      <c r="GM16" s="1">
        <v>-4114</v>
      </c>
      <c r="GN16" s="1">
        <v>-3867</v>
      </c>
      <c r="GO16" s="1">
        <v>-6617</v>
      </c>
      <c r="GP16" s="1">
        <v>62</v>
      </c>
      <c r="GQ16" s="1">
        <v>7458</v>
      </c>
      <c r="GR16" s="1">
        <v>2399</v>
      </c>
      <c r="GS16" s="1">
        <v>259</v>
      </c>
      <c r="GT16" s="1">
        <v>1793</v>
      </c>
      <c r="GU16" s="1">
        <v>-3518</v>
      </c>
      <c r="GV16" s="1">
        <v>-12205</v>
      </c>
      <c r="GW16" s="1">
        <v>5000</v>
      </c>
      <c r="GX16" s="1">
        <v>408</v>
      </c>
      <c r="GY16" s="1">
        <v>2403</v>
      </c>
      <c r="GZ16" s="1">
        <v>4339</v>
      </c>
      <c r="HA16" s="1">
        <v>-10367</v>
      </c>
      <c r="HB16" s="1">
        <v>-3158</v>
      </c>
      <c r="HC16" s="1">
        <v>6006</v>
      </c>
      <c r="HD16" s="1">
        <v>-3921</v>
      </c>
      <c r="HE16" s="1">
        <v>3881</v>
      </c>
      <c r="HF16" s="1">
        <v>786</v>
      </c>
      <c r="HG16" s="1">
        <v>-10623</v>
      </c>
      <c r="HH16" s="1">
        <v>-7168</v>
      </c>
      <c r="HI16" s="1">
        <v>-3886</v>
      </c>
      <c r="HJ16" s="1">
        <v>1134</v>
      </c>
      <c r="HK16" s="1">
        <v>-5585</v>
      </c>
      <c r="HL16" s="1">
        <v>6248</v>
      </c>
      <c r="HM16" s="1">
        <v>3183</v>
      </c>
      <c r="HN16" s="1">
        <v>-1837</v>
      </c>
      <c r="HO16" s="1">
        <v>6791</v>
      </c>
      <c r="HP16" s="1">
        <v>-2218</v>
      </c>
      <c r="HQ16" s="1">
        <v>-2405</v>
      </c>
      <c r="HR16" s="1">
        <v>406</v>
      </c>
      <c r="HS16" s="1">
        <v>4685</v>
      </c>
      <c r="HT16" s="1">
        <v>-3055</v>
      </c>
      <c r="HU16" s="1">
        <v>2672</v>
      </c>
      <c r="HV16" s="1">
        <v>-975</v>
      </c>
      <c r="HW16" s="1">
        <v>-1429</v>
      </c>
      <c r="HX16" s="1">
        <v>-2608</v>
      </c>
      <c r="HY16" s="1">
        <v>2216</v>
      </c>
      <c r="HZ16" s="1">
        <v>-2874</v>
      </c>
      <c r="IA16" s="1">
        <v>-5851</v>
      </c>
      <c r="IB16" s="1">
        <v>-961</v>
      </c>
      <c r="IC16" s="1">
        <v>-1046</v>
      </c>
      <c r="ID16" s="1">
        <v>-2981</v>
      </c>
      <c r="IE16" s="1">
        <v>558</v>
      </c>
      <c r="IF16" s="1">
        <v>-1111</v>
      </c>
      <c r="IG16" s="1">
        <v>450</v>
      </c>
      <c r="IH16" s="1">
        <v>-633</v>
      </c>
      <c r="II16" s="1">
        <v>1006</v>
      </c>
      <c r="IJ16" s="1">
        <v>-3388</v>
      </c>
      <c r="IK16" s="1">
        <v>-2594</v>
      </c>
      <c r="IL16" s="1">
        <v>3536</v>
      </c>
      <c r="IM16" s="1">
        <v>-2360</v>
      </c>
      <c r="IN16" s="1">
        <v>3082</v>
      </c>
      <c r="IO16" s="1">
        <v>4621</v>
      </c>
      <c r="IP16" s="1">
        <v>-4312</v>
      </c>
      <c r="IQ16" s="1">
        <v>2705</v>
      </c>
      <c r="IR16" s="1">
        <v>2851</v>
      </c>
      <c r="IS16" s="1">
        <v>6668</v>
      </c>
      <c r="IT16" s="1">
        <v>3911</v>
      </c>
      <c r="IU16" s="1">
        <v>5292</v>
      </c>
      <c r="IV16" s="1">
        <v>-4120</v>
      </c>
      <c r="IW16" s="1">
        <v>280</v>
      </c>
      <c r="IX16" s="1">
        <v>-2326</v>
      </c>
      <c r="IY16" s="1">
        <v>1247</v>
      </c>
      <c r="IZ16" s="1">
        <v>-714</v>
      </c>
      <c r="JA16" s="1">
        <v>222</v>
      </c>
      <c r="JB16" s="1">
        <v>-8677</v>
      </c>
      <c r="JC16" s="1">
        <v>-8501</v>
      </c>
      <c r="JD16" s="1">
        <v>1748</v>
      </c>
      <c r="JE16" s="1">
        <v>-1888</v>
      </c>
      <c r="JF16" s="1">
        <v>100</v>
      </c>
      <c r="JG16" s="1">
        <v>-5583</v>
      </c>
      <c r="JH16" s="1">
        <v>-6810</v>
      </c>
      <c r="JI16" s="1">
        <v>-9800</v>
      </c>
      <c r="JJ16" s="1">
        <v>-7826</v>
      </c>
      <c r="JK16" s="1">
        <v>12908</v>
      </c>
      <c r="JL16" s="1">
        <v>163</v>
      </c>
      <c r="JM16" s="1">
        <v>-6868</v>
      </c>
      <c r="JN16" s="1">
        <v>6702</v>
      </c>
      <c r="JO16" s="1">
        <v>410</v>
      </c>
      <c r="JP16" s="1">
        <v>-10219</v>
      </c>
      <c r="JQ16" s="1">
        <v>-7169</v>
      </c>
      <c r="JR16" s="1">
        <v>2566</v>
      </c>
      <c r="JS16" s="1">
        <v>-7727</v>
      </c>
      <c r="JT16" s="1">
        <v>-1384</v>
      </c>
      <c r="JU16" s="1">
        <v>-907</v>
      </c>
      <c r="JV16" s="1">
        <v>-4373</v>
      </c>
      <c r="JW16" s="1">
        <v>6858</v>
      </c>
      <c r="JX16" s="1">
        <v>4109</v>
      </c>
      <c r="JY16" s="1">
        <v>-119</v>
      </c>
      <c r="JZ16" s="1">
        <v>2175</v>
      </c>
      <c r="KA16" s="1">
        <v>-6576</v>
      </c>
      <c r="KB16" s="1">
        <v>4743</v>
      </c>
      <c r="KC16" s="1">
        <v>-2015</v>
      </c>
      <c r="KD16" s="1">
        <v>-1818</v>
      </c>
      <c r="KE16" s="1">
        <v>-2669</v>
      </c>
      <c r="KF16" s="1">
        <v>743</v>
      </c>
      <c r="KG16" s="1">
        <v>5122</v>
      </c>
      <c r="KH16" s="1">
        <v>6186</v>
      </c>
      <c r="KI16" s="1">
        <v>5892</v>
      </c>
      <c r="KJ16" s="1">
        <v>-258</v>
      </c>
      <c r="KK16" s="1">
        <v>4168</v>
      </c>
      <c r="KL16" s="1">
        <v>3049</v>
      </c>
      <c r="KM16" s="1">
        <v>1672</v>
      </c>
      <c r="KN16" s="1">
        <v>5335</v>
      </c>
      <c r="KO16" s="1">
        <v>-1527</v>
      </c>
      <c r="KP16" s="1">
        <v>5293</v>
      </c>
      <c r="KQ16" s="1">
        <v>-2619</v>
      </c>
      <c r="KR16" s="1">
        <v>-4931</v>
      </c>
      <c r="KS16" s="1">
        <v>-3355</v>
      </c>
      <c r="KT16" s="1">
        <v>-4207</v>
      </c>
      <c r="KU16" s="1">
        <v>9930</v>
      </c>
      <c r="KV16" s="1">
        <v>1720</v>
      </c>
      <c r="KW16" s="1">
        <v>3084</v>
      </c>
      <c r="KX16" s="1">
        <v>-12457</v>
      </c>
      <c r="KY16" s="1">
        <v>581</v>
      </c>
      <c r="KZ16" s="1">
        <v>1883</v>
      </c>
      <c r="LA16" s="1">
        <v>4283</v>
      </c>
      <c r="LB16" s="1">
        <v>2476</v>
      </c>
      <c r="LC16" s="1">
        <v>-4990</v>
      </c>
      <c r="LD16" s="1">
        <v>5022</v>
      </c>
      <c r="LE16" s="1">
        <v>2514</v>
      </c>
      <c r="LF16" s="1">
        <v>-3209</v>
      </c>
      <c r="LG16" s="1">
        <v>8115</v>
      </c>
      <c r="LH16" s="1">
        <v>-9784</v>
      </c>
      <c r="LI16" s="1">
        <v>7661</v>
      </c>
      <c r="LJ16" s="1">
        <v>10130</v>
      </c>
      <c r="LK16" s="1">
        <v>-3230</v>
      </c>
      <c r="LL16" s="1">
        <v>3867</v>
      </c>
      <c r="LM16" s="1">
        <v>-7927</v>
      </c>
      <c r="LN16" s="1">
        <v>-3819</v>
      </c>
      <c r="LO16" s="1">
        <v>478</v>
      </c>
      <c r="LP16" s="1">
        <v>3160</v>
      </c>
      <c r="LQ16" s="1">
        <v>2799</v>
      </c>
      <c r="LR16" s="1">
        <v>-447</v>
      </c>
      <c r="LS16" s="1">
        <v>-442</v>
      </c>
      <c r="LT16" s="1">
        <v>1368</v>
      </c>
      <c r="LU16" s="1">
        <v>1516</v>
      </c>
      <c r="LV16" s="1">
        <v>1134</v>
      </c>
      <c r="LW16" s="1">
        <v>6091</v>
      </c>
      <c r="LX16" s="1">
        <v>642</v>
      </c>
      <c r="LY16" s="1">
        <v>2913</v>
      </c>
      <c r="LZ16" s="1">
        <v>-662</v>
      </c>
      <c r="MA16" s="1">
        <v>-2916</v>
      </c>
      <c r="MB16" s="1">
        <v>2365</v>
      </c>
      <c r="MC16" s="1">
        <v>-3198</v>
      </c>
      <c r="MD16" s="1">
        <v>883</v>
      </c>
      <c r="ME16" s="1">
        <v>-330</v>
      </c>
      <c r="MF16" s="1">
        <v>-11368</v>
      </c>
      <c r="MG16" s="1">
        <v>2714</v>
      </c>
      <c r="MH16" s="1">
        <v>-3413</v>
      </c>
      <c r="MI16" s="1">
        <v>-784</v>
      </c>
      <c r="MJ16" s="1">
        <v>1144</v>
      </c>
      <c r="MK16" s="1">
        <v>-9707</v>
      </c>
      <c r="ML16" s="1">
        <v>564</v>
      </c>
      <c r="MM16" s="1">
        <v>6188</v>
      </c>
      <c r="MN16" s="1">
        <v>5848</v>
      </c>
      <c r="MO16" s="1">
        <v>2305</v>
      </c>
      <c r="MP16" s="1">
        <v>-1292</v>
      </c>
      <c r="MQ16" s="1">
        <v>2156</v>
      </c>
      <c r="MR16" s="1">
        <v>-1526</v>
      </c>
      <c r="MS16" s="1">
        <v>697</v>
      </c>
      <c r="MT16" s="1">
        <v>341</v>
      </c>
      <c r="MU16" s="1">
        <v>-483</v>
      </c>
      <c r="MV16" s="1">
        <v>-4195</v>
      </c>
      <c r="MW16" s="1">
        <v>1989</v>
      </c>
      <c r="MX16" s="1">
        <v>-545</v>
      </c>
      <c r="MY16" s="1">
        <v>3561</v>
      </c>
      <c r="MZ16" s="1">
        <v>-828</v>
      </c>
      <c r="NA16" s="1">
        <v>-308</v>
      </c>
      <c r="NB16" s="1">
        <v>3421</v>
      </c>
      <c r="NC16" s="1">
        <v>1940</v>
      </c>
      <c r="ND16" s="1">
        <v>4103</v>
      </c>
      <c r="NE16" s="1">
        <v>-807</v>
      </c>
      <c r="NF16" s="1">
        <v>2555</v>
      </c>
      <c r="NG16" s="1">
        <v>1446</v>
      </c>
      <c r="NH16" s="1">
        <v>-7967</v>
      </c>
      <c r="NI16" s="1">
        <v>2248</v>
      </c>
      <c r="NJ16" s="1">
        <v>-6477</v>
      </c>
      <c r="NK16" s="1">
        <v>-15982</v>
      </c>
      <c r="NL16" s="1">
        <v>-3340</v>
      </c>
      <c r="NM16" s="1">
        <v>-10429</v>
      </c>
      <c r="NN16" s="1">
        <v>-1119</v>
      </c>
      <c r="NO16" s="1">
        <v>12699</v>
      </c>
      <c r="NP16" s="1">
        <v>14321</v>
      </c>
      <c r="NQ16" s="1">
        <v>9356</v>
      </c>
      <c r="NR16" s="1">
        <v>-12929</v>
      </c>
      <c r="NS16" s="1">
        <v>1275</v>
      </c>
      <c r="NT16" s="1">
        <v>2562</v>
      </c>
      <c r="NU16" s="1">
        <v>7912</v>
      </c>
      <c r="NV16" s="1">
        <v>-8588</v>
      </c>
    </row>
    <row r="17" spans="2:386" s="1" customFormat="1" ht="15" customHeight="1" x14ac:dyDescent="0.25">
      <c r="B17"/>
      <c r="C17" s="31" t="s">
        <v>23</v>
      </c>
      <c r="D17" s="41">
        <f>IF(V21="","",V21)/1000000</f>
        <v>9701.1078649999999</v>
      </c>
      <c r="E17" s="42">
        <f t="shared" ref="E17:O17" si="3">IF(W21="","",W21)/1000000</f>
        <v>39600.610704999999</v>
      </c>
      <c r="F17" s="42">
        <f t="shared" si="3"/>
        <v>98956.784994999995</v>
      </c>
      <c r="G17" s="42">
        <f t="shared" si="3"/>
        <v>-4244.8578500000003</v>
      </c>
      <c r="H17" s="42">
        <f t="shared" si="3"/>
        <v>-8695.3650099999995</v>
      </c>
      <c r="I17" s="42">
        <f t="shared" si="3"/>
        <v>-10616.21588</v>
      </c>
      <c r="J17" s="42">
        <f t="shared" si="3"/>
        <v>-42412.009789999996</v>
      </c>
      <c r="K17" s="42">
        <f t="shared" si="3"/>
        <v>-127606.231535</v>
      </c>
      <c r="L17" s="42">
        <f t="shared" si="3"/>
        <v>-44043.267415000002</v>
      </c>
      <c r="M17" s="42">
        <f t="shared" si="3"/>
        <v>-48084.739170000001</v>
      </c>
      <c r="N17" s="42">
        <f t="shared" si="3"/>
        <v>-37909.745454999997</v>
      </c>
      <c r="O17" s="43">
        <f t="shared" si="3"/>
        <v>-19313.464785</v>
      </c>
      <c r="P17"/>
      <c r="Q17"/>
      <c r="T17" s="50"/>
      <c r="U17" s="55" t="s">
        <v>16</v>
      </c>
      <c r="V17" s="1">
        <v>-1013</v>
      </c>
      <c r="W17" s="1">
        <v>-206</v>
      </c>
      <c r="X17" s="1">
        <v>656</v>
      </c>
      <c r="Y17" s="1">
        <v>785</v>
      </c>
      <c r="Z17" s="1">
        <v>2115</v>
      </c>
      <c r="AA17" s="1">
        <v>182</v>
      </c>
      <c r="AB17" s="1">
        <v>-1001</v>
      </c>
      <c r="AC17" s="1">
        <v>-1401</v>
      </c>
      <c r="AD17" s="1">
        <v>-1844</v>
      </c>
      <c r="AE17" s="1">
        <v>-3249</v>
      </c>
      <c r="AF17" s="1">
        <v>-1196</v>
      </c>
      <c r="AG17" s="1">
        <v>4943</v>
      </c>
      <c r="AH17" s="1">
        <v>2872</v>
      </c>
      <c r="AI17" s="1">
        <v>-1174</v>
      </c>
      <c r="AJ17" s="1">
        <v>-2081</v>
      </c>
      <c r="AK17" s="1">
        <v>3045</v>
      </c>
      <c r="AL17" s="1">
        <v>-5577</v>
      </c>
      <c r="AM17" s="1">
        <v>1693</v>
      </c>
      <c r="AN17" s="1">
        <v>118</v>
      </c>
      <c r="AO17" s="1">
        <v>229</v>
      </c>
      <c r="AP17" s="1">
        <v>-2793</v>
      </c>
      <c r="AQ17" s="1">
        <v>1675</v>
      </c>
      <c r="AR17" s="1">
        <v>-110</v>
      </c>
      <c r="AS17" s="1">
        <v>124</v>
      </c>
      <c r="AT17" s="1">
        <v>2453</v>
      </c>
      <c r="AU17" s="1">
        <v>-1370</v>
      </c>
      <c r="AV17" s="1">
        <v>-3106</v>
      </c>
      <c r="AW17" s="1">
        <v>-347</v>
      </c>
      <c r="AX17" s="1">
        <v>1197</v>
      </c>
      <c r="AY17" s="1">
        <v>-1351</v>
      </c>
      <c r="AZ17" s="1">
        <v>4112</v>
      </c>
      <c r="BA17" s="1">
        <v>4286</v>
      </c>
      <c r="BB17" s="1">
        <v>-1587</v>
      </c>
      <c r="BC17" s="1">
        <v>-2071</v>
      </c>
      <c r="BD17" s="1">
        <v>-1975</v>
      </c>
      <c r="BE17" s="1">
        <v>3667</v>
      </c>
      <c r="BF17" s="1">
        <v>-2592</v>
      </c>
      <c r="BG17" s="1">
        <v>-4624</v>
      </c>
      <c r="BH17" s="1">
        <v>1834</v>
      </c>
      <c r="BI17" s="1">
        <v>1677</v>
      </c>
      <c r="BJ17" s="1">
        <v>2159</v>
      </c>
      <c r="BK17" s="1">
        <v>415</v>
      </c>
      <c r="BL17" s="1">
        <v>-1080</v>
      </c>
      <c r="BM17" s="1">
        <v>1995</v>
      </c>
      <c r="BN17" s="1">
        <v>842</v>
      </c>
      <c r="BO17" s="1">
        <v>-1458</v>
      </c>
      <c r="BP17" s="1">
        <v>4054</v>
      </c>
      <c r="BQ17" s="1">
        <v>-231</v>
      </c>
      <c r="BR17" s="1">
        <v>1232</v>
      </c>
      <c r="BS17" s="1">
        <v>-1260</v>
      </c>
      <c r="BT17" s="1">
        <v>-2673</v>
      </c>
      <c r="BU17" s="1">
        <v>1930</v>
      </c>
      <c r="BV17" s="1">
        <v>-1394</v>
      </c>
      <c r="BW17" s="1">
        <v>971</v>
      </c>
      <c r="BX17" s="1">
        <v>-4088</v>
      </c>
      <c r="BY17" s="1">
        <v>5629</v>
      </c>
      <c r="BZ17" s="1">
        <v>-3145</v>
      </c>
      <c r="CA17" s="1">
        <v>-5918</v>
      </c>
      <c r="CB17" s="1">
        <v>1911</v>
      </c>
      <c r="CC17" s="1">
        <v>28</v>
      </c>
      <c r="CD17" s="1">
        <v>-1090</v>
      </c>
      <c r="CE17" s="1">
        <v>715</v>
      </c>
      <c r="CF17" s="1">
        <v>1671</v>
      </c>
      <c r="CG17" s="1">
        <v>631</v>
      </c>
      <c r="CH17" s="1">
        <v>937</v>
      </c>
      <c r="CI17" s="1">
        <v>-6653</v>
      </c>
      <c r="CJ17" s="1">
        <v>8521</v>
      </c>
      <c r="CK17" s="1">
        <v>-1599</v>
      </c>
      <c r="CL17" s="1">
        <v>-1422</v>
      </c>
      <c r="CM17" s="1">
        <v>873</v>
      </c>
      <c r="CN17" s="1">
        <v>201</v>
      </c>
      <c r="CO17" s="1">
        <v>5002</v>
      </c>
      <c r="CP17" s="1">
        <v>-1665</v>
      </c>
      <c r="CQ17" s="1">
        <v>3129</v>
      </c>
      <c r="CR17" s="1">
        <v>-4381</v>
      </c>
      <c r="CS17" s="1">
        <v>-875</v>
      </c>
      <c r="CT17" s="1">
        <v>-520</v>
      </c>
      <c r="CU17" s="1">
        <v>-2615</v>
      </c>
      <c r="CV17" s="1">
        <v>2796</v>
      </c>
      <c r="CW17" s="1">
        <v>1540</v>
      </c>
      <c r="CX17" s="1">
        <v>1053</v>
      </c>
      <c r="CY17" s="1">
        <v>618</v>
      </c>
      <c r="CZ17" s="1">
        <v>1658</v>
      </c>
      <c r="DA17" s="1">
        <v>-1741</v>
      </c>
      <c r="DB17" s="1">
        <v>3328</v>
      </c>
      <c r="DC17" s="1">
        <v>-1468</v>
      </c>
      <c r="DD17" s="1">
        <v>-7767</v>
      </c>
      <c r="DE17" s="1">
        <v>-2118</v>
      </c>
      <c r="DF17" s="1">
        <v>3402</v>
      </c>
      <c r="DG17" s="1">
        <v>1449</v>
      </c>
      <c r="DH17" s="1">
        <v>1020</v>
      </c>
      <c r="DI17" s="1">
        <v>900</v>
      </c>
      <c r="DJ17" s="1">
        <v>3115</v>
      </c>
      <c r="DK17" s="1">
        <v>1982</v>
      </c>
      <c r="DL17" s="1">
        <v>-538</v>
      </c>
      <c r="DM17" s="1">
        <v>920</v>
      </c>
      <c r="DN17" s="1">
        <v>719</v>
      </c>
      <c r="DO17" s="1">
        <v>-1983</v>
      </c>
      <c r="DP17" s="1">
        <v>-548</v>
      </c>
      <c r="DQ17" s="1">
        <v>1760</v>
      </c>
      <c r="DR17" s="1">
        <v>100</v>
      </c>
      <c r="DS17" s="1">
        <v>1033</v>
      </c>
      <c r="DT17" s="1">
        <v>-1826</v>
      </c>
      <c r="DU17" s="1">
        <v>3710</v>
      </c>
      <c r="DV17" s="1">
        <v>150</v>
      </c>
      <c r="DW17" s="1">
        <v>-1354</v>
      </c>
      <c r="DX17" s="1">
        <v>-3955</v>
      </c>
      <c r="DY17" s="1">
        <v>4208</v>
      </c>
      <c r="DZ17" s="1">
        <v>-2603</v>
      </c>
      <c r="EA17" s="1">
        <v>-956</v>
      </c>
      <c r="EB17" s="1">
        <v>51</v>
      </c>
      <c r="EC17" s="1">
        <v>1939</v>
      </c>
      <c r="ED17" s="1">
        <v>-3519</v>
      </c>
      <c r="EE17" s="1">
        <v>1380</v>
      </c>
      <c r="EF17" s="1">
        <v>-2434</v>
      </c>
      <c r="EG17" s="1">
        <v>1033</v>
      </c>
      <c r="EH17" s="1">
        <v>-203</v>
      </c>
      <c r="EI17" s="1">
        <v>1493</v>
      </c>
      <c r="EJ17" s="1">
        <v>-3134</v>
      </c>
      <c r="EK17" s="1">
        <v>-1929</v>
      </c>
      <c r="EL17" s="1">
        <v>-496</v>
      </c>
      <c r="EM17" s="1">
        <v>-1155</v>
      </c>
      <c r="EN17" s="1">
        <v>-1318</v>
      </c>
      <c r="EO17" s="1">
        <v>2172</v>
      </c>
      <c r="EP17" s="1">
        <v>-3012</v>
      </c>
      <c r="EQ17" s="1">
        <v>571</v>
      </c>
      <c r="ER17" s="1">
        <v>2319</v>
      </c>
      <c r="ES17" s="1">
        <v>2041</v>
      </c>
      <c r="ET17" s="1">
        <v>301</v>
      </c>
      <c r="EU17" s="1">
        <v>-2</v>
      </c>
      <c r="EV17" s="1">
        <v>-1127</v>
      </c>
      <c r="EW17" s="1">
        <v>-990</v>
      </c>
      <c r="EX17" s="1">
        <v>-352</v>
      </c>
      <c r="EY17" s="1">
        <v>3432</v>
      </c>
      <c r="EZ17" s="1">
        <v>-1735</v>
      </c>
      <c r="FA17" s="1">
        <v>-3169</v>
      </c>
      <c r="FB17" s="1">
        <v>2129</v>
      </c>
      <c r="FC17" s="1">
        <v>1535</v>
      </c>
      <c r="FD17" s="1">
        <v>-2169</v>
      </c>
      <c r="FE17" s="1">
        <v>-1194</v>
      </c>
      <c r="FF17" s="1">
        <v>814</v>
      </c>
      <c r="FG17" s="1">
        <v>-3169</v>
      </c>
      <c r="FH17" s="1">
        <v>-492</v>
      </c>
      <c r="FI17" s="1">
        <v>14</v>
      </c>
      <c r="FJ17" s="1">
        <v>2818</v>
      </c>
      <c r="FK17" s="1">
        <v>-2530</v>
      </c>
      <c r="FL17" s="1">
        <v>-6362</v>
      </c>
      <c r="FM17" s="1">
        <v>300</v>
      </c>
      <c r="FN17" s="1">
        <v>1648</v>
      </c>
      <c r="FO17" s="1">
        <v>3698</v>
      </c>
      <c r="FP17" s="1">
        <v>3212</v>
      </c>
      <c r="FQ17" s="1">
        <v>-647</v>
      </c>
      <c r="FR17" s="1">
        <v>-4186</v>
      </c>
      <c r="FS17" s="1">
        <v>7395</v>
      </c>
      <c r="FT17" s="1">
        <v>-2403</v>
      </c>
      <c r="FU17" s="1">
        <v>4619</v>
      </c>
      <c r="FV17" s="1">
        <v>65</v>
      </c>
      <c r="FW17" s="1">
        <v>-3730</v>
      </c>
      <c r="FX17" s="1">
        <v>-3129</v>
      </c>
      <c r="FY17" s="1">
        <v>1748</v>
      </c>
      <c r="FZ17" s="1">
        <v>-2833</v>
      </c>
      <c r="GA17" s="1">
        <v>3604</v>
      </c>
      <c r="GB17" s="1">
        <v>3024</v>
      </c>
      <c r="GC17" s="1">
        <v>-4720</v>
      </c>
      <c r="GD17" s="1">
        <v>-1253</v>
      </c>
      <c r="GE17" s="1">
        <v>834</v>
      </c>
      <c r="GF17" s="1">
        <v>-1479</v>
      </c>
      <c r="GG17" s="1">
        <v>3848</v>
      </c>
      <c r="GH17" s="1">
        <v>-7891</v>
      </c>
      <c r="GI17" s="1">
        <v>3157</v>
      </c>
      <c r="GJ17" s="1">
        <v>-157</v>
      </c>
      <c r="GK17" s="1">
        <v>2140</v>
      </c>
      <c r="GL17" s="1">
        <v>2639</v>
      </c>
      <c r="GM17" s="1">
        <v>338</v>
      </c>
      <c r="GN17" s="1">
        <v>1335</v>
      </c>
      <c r="GO17" s="1">
        <v>3801</v>
      </c>
      <c r="GP17" s="1">
        <v>1955</v>
      </c>
      <c r="GQ17" s="1">
        <v>-4411</v>
      </c>
      <c r="GR17" s="1">
        <v>-2872</v>
      </c>
      <c r="GS17" s="1">
        <v>-90</v>
      </c>
      <c r="GT17" s="1">
        <v>-652</v>
      </c>
      <c r="GU17" s="1">
        <v>894</v>
      </c>
      <c r="GV17" s="1">
        <v>4762</v>
      </c>
      <c r="GW17" s="1">
        <v>-1494</v>
      </c>
      <c r="GX17" s="1">
        <v>-490</v>
      </c>
      <c r="GY17" s="1">
        <v>27</v>
      </c>
      <c r="GZ17" s="1">
        <v>-3845</v>
      </c>
      <c r="HA17" s="1">
        <v>1473</v>
      </c>
      <c r="HB17" s="1">
        <v>732</v>
      </c>
      <c r="HC17" s="1">
        <v>-1757</v>
      </c>
      <c r="HD17" s="1">
        <v>2026</v>
      </c>
      <c r="HE17" s="1">
        <v>-1341</v>
      </c>
      <c r="HF17" s="1">
        <v>-1499</v>
      </c>
      <c r="HG17" s="1">
        <v>5286</v>
      </c>
      <c r="HH17" s="1">
        <v>2609</v>
      </c>
      <c r="HI17" s="1">
        <v>-36</v>
      </c>
      <c r="HJ17" s="1">
        <v>-1039</v>
      </c>
      <c r="HK17" s="1">
        <v>2481</v>
      </c>
      <c r="HL17" s="1">
        <v>-1436</v>
      </c>
      <c r="HM17" s="1">
        <v>-1372</v>
      </c>
      <c r="HN17" s="1">
        <v>2202</v>
      </c>
      <c r="HO17" s="1">
        <v>-3407</v>
      </c>
      <c r="HP17" s="1">
        <v>-612</v>
      </c>
      <c r="HQ17" s="1">
        <v>1602</v>
      </c>
      <c r="HR17" s="1">
        <v>-1043</v>
      </c>
      <c r="HS17" s="1">
        <v>-1984</v>
      </c>
      <c r="HT17" s="1">
        <v>1707</v>
      </c>
      <c r="HU17" s="1">
        <v>-1497</v>
      </c>
      <c r="HV17" s="1">
        <v>728</v>
      </c>
      <c r="HW17" s="1">
        <v>-3179</v>
      </c>
      <c r="HX17" s="1">
        <v>2711</v>
      </c>
      <c r="HY17" s="1">
        <v>-204</v>
      </c>
      <c r="HZ17" s="1">
        <v>1151</v>
      </c>
      <c r="IA17" s="1">
        <v>-2456</v>
      </c>
      <c r="IB17" s="1">
        <v>314</v>
      </c>
      <c r="IC17" s="1">
        <v>-1113</v>
      </c>
      <c r="ID17" s="1">
        <v>3390</v>
      </c>
      <c r="IE17" s="1">
        <v>-2741</v>
      </c>
      <c r="IF17" s="1">
        <v>3067</v>
      </c>
      <c r="IG17" s="1">
        <v>-17</v>
      </c>
      <c r="IH17" s="1">
        <v>-1818</v>
      </c>
      <c r="II17" s="1">
        <v>-360</v>
      </c>
      <c r="IJ17" s="1">
        <v>1752</v>
      </c>
      <c r="IK17" s="1">
        <v>2701</v>
      </c>
      <c r="IL17" s="1">
        <v>-2635</v>
      </c>
      <c r="IM17" s="1">
        <v>2599</v>
      </c>
      <c r="IN17" s="1">
        <v>-643</v>
      </c>
      <c r="IO17" s="1">
        <v>-5252</v>
      </c>
      <c r="IP17" s="1">
        <v>4200</v>
      </c>
      <c r="IQ17" s="1">
        <v>-294</v>
      </c>
      <c r="IR17" s="1">
        <v>878</v>
      </c>
      <c r="IS17" s="1">
        <v>-2217</v>
      </c>
      <c r="IT17" s="1">
        <v>-768</v>
      </c>
      <c r="IU17" s="1">
        <v>-606</v>
      </c>
      <c r="IV17" s="1">
        <v>423</v>
      </c>
      <c r="IW17" s="1">
        <v>-2670</v>
      </c>
      <c r="IX17" s="1">
        <v>-165</v>
      </c>
      <c r="IY17" s="1">
        <v>-4227</v>
      </c>
      <c r="IZ17" s="1">
        <v>349</v>
      </c>
      <c r="JA17" s="1">
        <v>684</v>
      </c>
      <c r="JB17" s="1">
        <v>927</v>
      </c>
      <c r="JC17" s="1">
        <v>4620</v>
      </c>
      <c r="JD17" s="1">
        <v>-1059</v>
      </c>
      <c r="JE17" s="1">
        <v>-878</v>
      </c>
      <c r="JF17" s="1">
        <v>-1175</v>
      </c>
      <c r="JG17" s="1">
        <v>1349</v>
      </c>
      <c r="JH17" s="1">
        <v>326</v>
      </c>
      <c r="JI17" s="1">
        <v>3499</v>
      </c>
      <c r="JJ17" s="1">
        <v>4753</v>
      </c>
      <c r="JK17" s="1">
        <v>-4008</v>
      </c>
      <c r="JL17" s="1">
        <v>-1111</v>
      </c>
      <c r="JM17" s="1">
        <v>2157</v>
      </c>
      <c r="JN17" s="1">
        <v>-4664</v>
      </c>
      <c r="JO17" s="1">
        <v>-754</v>
      </c>
      <c r="JP17" s="1">
        <v>2588</v>
      </c>
      <c r="JQ17" s="1">
        <v>-1269</v>
      </c>
      <c r="JR17" s="1">
        <v>-2489</v>
      </c>
      <c r="JS17" s="1">
        <v>873</v>
      </c>
      <c r="JT17" s="1">
        <v>1105</v>
      </c>
      <c r="JU17" s="1">
        <v>-777</v>
      </c>
      <c r="JV17" s="1">
        <v>3047</v>
      </c>
      <c r="JW17" s="1">
        <v>92</v>
      </c>
      <c r="JX17" s="1">
        <v>192</v>
      </c>
      <c r="JY17" s="1">
        <v>-1719</v>
      </c>
      <c r="JZ17" s="1">
        <v>1524</v>
      </c>
      <c r="KA17" s="1">
        <v>2077</v>
      </c>
      <c r="KB17" s="1">
        <v>-1460</v>
      </c>
      <c r="KC17" s="1">
        <v>-619</v>
      </c>
      <c r="KD17" s="1">
        <v>97</v>
      </c>
      <c r="KE17" s="1">
        <v>853</v>
      </c>
      <c r="KF17" s="1">
        <v>1013</v>
      </c>
      <c r="KG17" s="1">
        <v>161</v>
      </c>
      <c r="KH17" s="1">
        <v>-2821</v>
      </c>
      <c r="KI17" s="1">
        <v>1838</v>
      </c>
      <c r="KJ17" s="1">
        <v>-118</v>
      </c>
      <c r="KK17" s="1">
        <v>-505</v>
      </c>
      <c r="KL17" s="1">
        <v>-23</v>
      </c>
      <c r="KM17" s="1">
        <v>376</v>
      </c>
      <c r="KN17" s="1">
        <v>-3159</v>
      </c>
      <c r="KO17" s="1">
        <v>-3255</v>
      </c>
      <c r="KP17" s="1">
        <v>-476</v>
      </c>
      <c r="KQ17" s="1">
        <v>-1360</v>
      </c>
      <c r="KR17" s="1">
        <v>3637</v>
      </c>
      <c r="KS17" s="1">
        <v>1869</v>
      </c>
      <c r="KT17" s="1">
        <v>2148</v>
      </c>
      <c r="KU17" s="1">
        <v>-4296</v>
      </c>
      <c r="KV17" s="1">
        <v>-1482</v>
      </c>
      <c r="KW17" s="1">
        <v>-561</v>
      </c>
      <c r="KX17" s="1">
        <v>4684</v>
      </c>
      <c r="KY17" s="1">
        <v>957</v>
      </c>
      <c r="KZ17" s="1">
        <v>-1159</v>
      </c>
      <c r="LA17" s="1">
        <v>-2729</v>
      </c>
      <c r="LB17" s="1">
        <v>-3343</v>
      </c>
      <c r="LC17" s="1">
        <v>3555</v>
      </c>
      <c r="LD17" s="1">
        <v>-1898</v>
      </c>
      <c r="LE17" s="1">
        <v>-36</v>
      </c>
      <c r="LF17" s="1">
        <v>558</v>
      </c>
      <c r="LG17" s="1">
        <v>-3571</v>
      </c>
      <c r="LH17" s="1">
        <v>3957</v>
      </c>
      <c r="LI17" s="1">
        <v>2066</v>
      </c>
      <c r="LJ17" s="1">
        <v>-3070</v>
      </c>
      <c r="LK17" s="1">
        <v>-528</v>
      </c>
      <c r="LL17" s="1">
        <v>-1240</v>
      </c>
      <c r="LM17" s="1">
        <v>3732</v>
      </c>
      <c r="LN17" s="1">
        <v>936</v>
      </c>
      <c r="LO17" s="1">
        <v>-1593</v>
      </c>
      <c r="LP17" s="1">
        <v>-540</v>
      </c>
      <c r="LQ17" s="1">
        <v>-1115</v>
      </c>
      <c r="LR17" s="1">
        <v>1323</v>
      </c>
      <c r="LS17" s="1">
        <v>1522</v>
      </c>
      <c r="LT17" s="1">
        <v>93</v>
      </c>
      <c r="LU17" s="1">
        <v>-282</v>
      </c>
      <c r="LV17" s="1">
        <v>913</v>
      </c>
      <c r="LW17" s="1">
        <v>-790</v>
      </c>
      <c r="LX17" s="1">
        <v>-1369</v>
      </c>
      <c r="LY17" s="1">
        <v>-3772</v>
      </c>
      <c r="LZ17" s="1">
        <v>2860</v>
      </c>
      <c r="MA17" s="1">
        <v>2762</v>
      </c>
      <c r="MB17" s="1">
        <v>-1433</v>
      </c>
      <c r="MC17" s="1">
        <v>2052</v>
      </c>
      <c r="MD17" s="1">
        <v>-2374</v>
      </c>
      <c r="ME17" s="1">
        <v>-3986</v>
      </c>
      <c r="MF17" s="1">
        <v>5152</v>
      </c>
      <c r="MG17" s="1">
        <v>-1079</v>
      </c>
      <c r="MH17" s="1">
        <v>950</v>
      </c>
      <c r="MI17" s="1">
        <v>1817</v>
      </c>
      <c r="MJ17" s="1">
        <v>-2045</v>
      </c>
      <c r="MK17" s="1">
        <v>1690</v>
      </c>
      <c r="ML17" s="1">
        <v>-262</v>
      </c>
      <c r="MM17" s="1">
        <v>-746</v>
      </c>
      <c r="MN17" s="1">
        <v>-4336</v>
      </c>
      <c r="MO17" s="1">
        <v>-1427</v>
      </c>
      <c r="MP17" s="1">
        <v>-668</v>
      </c>
      <c r="MQ17" s="1">
        <v>-1469</v>
      </c>
      <c r="MR17" s="1">
        <v>968</v>
      </c>
      <c r="MS17" s="1">
        <v>829</v>
      </c>
      <c r="MT17" s="1">
        <v>963</v>
      </c>
      <c r="MU17" s="1">
        <v>1788</v>
      </c>
      <c r="MV17" s="1">
        <v>4212</v>
      </c>
      <c r="MW17" s="1">
        <v>-4575</v>
      </c>
      <c r="MX17" s="1">
        <v>-655</v>
      </c>
      <c r="MY17" s="1">
        <v>-1660</v>
      </c>
      <c r="MZ17" s="1">
        <v>1245</v>
      </c>
      <c r="NA17" s="1">
        <v>1669</v>
      </c>
      <c r="NB17" s="1">
        <v>-2612</v>
      </c>
      <c r="NC17" s="1">
        <v>-1380</v>
      </c>
      <c r="ND17" s="1">
        <v>-4247</v>
      </c>
      <c r="NE17" s="1">
        <v>1085</v>
      </c>
      <c r="NF17" s="1">
        <v>-2255</v>
      </c>
      <c r="NG17" s="1">
        <v>-124</v>
      </c>
      <c r="NH17" s="1">
        <v>-496</v>
      </c>
      <c r="NI17" s="1">
        <v>1970</v>
      </c>
      <c r="NJ17" s="1">
        <v>3846</v>
      </c>
      <c r="NK17" s="1">
        <v>8484</v>
      </c>
      <c r="NL17" s="1">
        <v>1172</v>
      </c>
      <c r="NM17" s="1">
        <v>6946</v>
      </c>
      <c r="NN17" s="1">
        <v>4865</v>
      </c>
      <c r="NO17" s="1">
        <v>-3825</v>
      </c>
      <c r="NP17" s="1">
        <v>-8388</v>
      </c>
      <c r="NQ17" s="1">
        <v>-3280</v>
      </c>
      <c r="NR17" s="1">
        <v>5074</v>
      </c>
      <c r="NS17" s="1">
        <v>90</v>
      </c>
      <c r="NT17" s="1">
        <v>-255</v>
      </c>
      <c r="NU17" s="1">
        <v>-3033</v>
      </c>
      <c r="NV17" s="1">
        <v>5225</v>
      </c>
    </row>
    <row r="18" spans="2:386" s="1" customFormat="1" ht="15" customHeight="1" x14ac:dyDescent="0.25">
      <c r="B18"/>
      <c r="C18" s="31" t="s">
        <v>22</v>
      </c>
      <c r="D18" s="41">
        <f>IF(V22="","",V22)/1000000</f>
        <v>114135.69311199999</v>
      </c>
      <c r="E18" s="42">
        <f t="shared" ref="E18:O18" si="4">IF(W22="","",W22)/1000000</f>
        <v>427383.68747</v>
      </c>
      <c r="F18" s="42">
        <f t="shared" si="4"/>
        <v>50488.839069000001</v>
      </c>
      <c r="G18" s="42">
        <f t="shared" si="4"/>
        <v>51305.612252999999</v>
      </c>
      <c r="H18" s="42">
        <f t="shared" si="4"/>
        <v>-44723.459467000001</v>
      </c>
      <c r="I18" s="42">
        <f t="shared" si="4"/>
        <v>481768.827353</v>
      </c>
      <c r="J18" s="42">
        <f t="shared" si="4"/>
        <v>278626.86501800001</v>
      </c>
      <c r="K18" s="42">
        <f t="shared" si="4"/>
        <v>415605.76577699999</v>
      </c>
      <c r="L18" s="42">
        <f t="shared" si="4"/>
        <v>262414.33840000001</v>
      </c>
      <c r="M18" s="42">
        <f t="shared" si="4"/>
        <v>97633.420570999995</v>
      </c>
      <c r="N18" s="42">
        <f t="shared" si="4"/>
        <v>7726.4648399999996</v>
      </c>
      <c r="O18" s="43">
        <f t="shared" si="4"/>
        <v>-176614.86275599999</v>
      </c>
      <c r="P18"/>
      <c r="Q18"/>
      <c r="T18" s="50"/>
      <c r="U18" s="55" t="s">
        <v>25</v>
      </c>
      <c r="V18" s="57">
        <v>-1943</v>
      </c>
      <c r="W18" s="57">
        <v>-718</v>
      </c>
      <c r="X18" s="57">
        <v>-667</v>
      </c>
      <c r="Y18" s="57">
        <v>-3015</v>
      </c>
      <c r="Z18" s="57">
        <v>-844</v>
      </c>
      <c r="AA18" s="57">
        <v>1920</v>
      </c>
      <c r="AB18" s="57">
        <v>1001</v>
      </c>
      <c r="AC18" s="57">
        <v>1309</v>
      </c>
      <c r="AD18" s="57">
        <v>842</v>
      </c>
      <c r="AE18" s="57">
        <v>9427</v>
      </c>
      <c r="AF18" s="57">
        <v>-701</v>
      </c>
      <c r="AG18" s="57">
        <v>-457</v>
      </c>
      <c r="AH18" s="57">
        <v>2605</v>
      </c>
      <c r="AI18" s="57">
        <v>-4269</v>
      </c>
      <c r="AJ18" s="57">
        <v>-3059</v>
      </c>
      <c r="AK18" s="1">
        <v>-4952</v>
      </c>
      <c r="AL18" s="1">
        <v>916</v>
      </c>
      <c r="AM18" s="1">
        <v>3053</v>
      </c>
      <c r="AN18" s="1">
        <v>-933</v>
      </c>
      <c r="AO18" s="1">
        <v>361</v>
      </c>
      <c r="AP18" s="1">
        <v>-4247</v>
      </c>
      <c r="AQ18" s="1">
        <v>-1716</v>
      </c>
      <c r="AR18" s="1">
        <v>-64</v>
      </c>
      <c r="AS18" s="1">
        <v>6875</v>
      </c>
      <c r="AT18" s="1">
        <v>-3259</v>
      </c>
      <c r="AU18" s="1">
        <v>5021</v>
      </c>
      <c r="AV18" s="1">
        <v>589</v>
      </c>
      <c r="AW18" s="1">
        <v>-294</v>
      </c>
      <c r="AX18" s="1">
        <v>-1827</v>
      </c>
      <c r="AY18" s="1">
        <v>-1757</v>
      </c>
      <c r="AZ18" s="1">
        <v>-959</v>
      </c>
      <c r="BA18" s="1">
        <v>5011</v>
      </c>
      <c r="BB18" s="1">
        <v>-1694</v>
      </c>
      <c r="BC18" s="1">
        <v>433</v>
      </c>
      <c r="BD18" s="1">
        <v>-6059</v>
      </c>
      <c r="BE18" s="1">
        <v>505</v>
      </c>
      <c r="BF18" s="1">
        <v>1627</v>
      </c>
      <c r="BG18" s="1">
        <v>355</v>
      </c>
      <c r="BH18" s="1">
        <v>-366</v>
      </c>
      <c r="BI18" s="1">
        <v>-1339</v>
      </c>
      <c r="BJ18" s="1">
        <v>-3030</v>
      </c>
      <c r="BK18" s="1">
        <v>-6034</v>
      </c>
      <c r="BL18" s="1">
        <v>2334</v>
      </c>
      <c r="BM18" s="1">
        <v>-164</v>
      </c>
      <c r="BN18" s="1">
        <v>985</v>
      </c>
      <c r="BO18" s="1">
        <v>7967</v>
      </c>
      <c r="BP18" s="1">
        <v>-10658</v>
      </c>
      <c r="BQ18" s="1">
        <v>-1636</v>
      </c>
      <c r="BR18" s="1">
        <v>799</v>
      </c>
      <c r="BS18" s="1">
        <v>579</v>
      </c>
      <c r="BT18" s="1">
        <v>170</v>
      </c>
      <c r="BU18" s="1">
        <v>-998</v>
      </c>
      <c r="BV18" s="1">
        <v>-77</v>
      </c>
      <c r="BW18" s="1">
        <v>-228</v>
      </c>
      <c r="BX18" s="1">
        <v>3151</v>
      </c>
      <c r="BY18" s="1">
        <v>-4466</v>
      </c>
      <c r="BZ18" s="1">
        <v>1718</v>
      </c>
      <c r="CA18" s="1">
        <v>-4395</v>
      </c>
      <c r="CB18" s="1">
        <v>-1080</v>
      </c>
      <c r="CC18" s="1">
        <v>2332</v>
      </c>
      <c r="CD18" s="1">
        <v>-5050</v>
      </c>
      <c r="CE18" s="1">
        <v>-529</v>
      </c>
      <c r="CF18" s="1">
        <v>149</v>
      </c>
      <c r="CG18" s="1">
        <v>5019</v>
      </c>
      <c r="CH18" s="1">
        <v>-2997</v>
      </c>
      <c r="CI18" s="1">
        <v>3052</v>
      </c>
      <c r="CJ18" s="1">
        <v>5802</v>
      </c>
      <c r="CK18" s="1">
        <v>3722</v>
      </c>
      <c r="CL18" s="1">
        <v>-1524</v>
      </c>
      <c r="CM18" s="1">
        <v>-4319</v>
      </c>
      <c r="CN18" s="1">
        <v>564</v>
      </c>
      <c r="CO18" s="1">
        <v>11244</v>
      </c>
      <c r="CP18" s="1">
        <v>3767</v>
      </c>
      <c r="CQ18" s="1">
        <v>-6849</v>
      </c>
      <c r="CR18" s="1">
        <v>-2820</v>
      </c>
      <c r="CS18" s="1">
        <v>-5526</v>
      </c>
      <c r="CT18" s="1">
        <v>598</v>
      </c>
      <c r="CU18" s="1">
        <v>-7650</v>
      </c>
      <c r="CV18" s="1">
        <v>2480</v>
      </c>
      <c r="CW18" s="1">
        <v>-2647</v>
      </c>
      <c r="CX18" s="1">
        <v>504</v>
      </c>
      <c r="CY18" s="1">
        <v>6</v>
      </c>
      <c r="CZ18" s="1">
        <v>2701</v>
      </c>
      <c r="DA18" s="1">
        <v>518</v>
      </c>
      <c r="DB18" s="1">
        <v>2637</v>
      </c>
      <c r="DC18" s="1">
        <v>-3062</v>
      </c>
      <c r="DD18" s="1">
        <v>-5924</v>
      </c>
      <c r="DE18" s="1">
        <v>2661</v>
      </c>
      <c r="DF18" s="1">
        <v>2289</v>
      </c>
      <c r="DG18" s="1">
        <v>1612</v>
      </c>
      <c r="DH18" s="1">
        <v>-3991</v>
      </c>
      <c r="DI18" s="1">
        <v>4835</v>
      </c>
      <c r="DJ18" s="1">
        <v>5037</v>
      </c>
      <c r="DK18" s="1">
        <v>2951</v>
      </c>
      <c r="DL18" s="1">
        <v>-127</v>
      </c>
      <c r="DM18" s="1">
        <v>-2070</v>
      </c>
      <c r="DN18" s="1">
        <v>349</v>
      </c>
      <c r="DO18" s="1">
        <v>468</v>
      </c>
      <c r="DP18" s="1">
        <v>530</v>
      </c>
      <c r="DQ18" s="1">
        <v>551</v>
      </c>
      <c r="DR18" s="1">
        <v>-2317</v>
      </c>
      <c r="DS18" s="1">
        <v>-76</v>
      </c>
      <c r="DT18" s="1">
        <v>-3715</v>
      </c>
      <c r="DU18" s="1">
        <v>1520</v>
      </c>
      <c r="DV18" s="1">
        <v>460</v>
      </c>
      <c r="DW18" s="1">
        <v>-2515</v>
      </c>
      <c r="DX18" s="1">
        <v>-3216</v>
      </c>
      <c r="DY18" s="1">
        <v>4401</v>
      </c>
      <c r="DZ18" s="1">
        <v>-3741</v>
      </c>
      <c r="EA18" s="1">
        <v>2589</v>
      </c>
      <c r="EB18" s="1">
        <v>-2499</v>
      </c>
      <c r="EC18" s="1">
        <v>5566</v>
      </c>
      <c r="ED18" s="1">
        <v>-2909</v>
      </c>
      <c r="EE18" s="1">
        <v>1890</v>
      </c>
      <c r="EF18" s="1">
        <v>-2648</v>
      </c>
      <c r="EG18" s="1">
        <v>-479</v>
      </c>
      <c r="EH18" s="1">
        <v>2110</v>
      </c>
      <c r="EI18" s="1">
        <v>5382</v>
      </c>
      <c r="EJ18" s="1">
        <v>-388</v>
      </c>
      <c r="EK18" s="1">
        <v>-3531</v>
      </c>
      <c r="EL18" s="1">
        <v>-1429</v>
      </c>
      <c r="EM18" s="1">
        <v>-2980</v>
      </c>
      <c r="EN18" s="1">
        <v>7621</v>
      </c>
      <c r="EO18" s="1">
        <v>3386</v>
      </c>
      <c r="EP18" s="1">
        <v>4568</v>
      </c>
      <c r="EQ18" s="1">
        <v>2353</v>
      </c>
      <c r="ER18" s="1">
        <v>-3151</v>
      </c>
      <c r="ES18" s="1">
        <v>-3892</v>
      </c>
      <c r="ET18" s="1">
        <v>2199</v>
      </c>
      <c r="EU18" s="1">
        <v>-1375</v>
      </c>
      <c r="EV18" s="1">
        <v>964</v>
      </c>
      <c r="EW18" s="1">
        <v>-1910</v>
      </c>
      <c r="EX18" s="1">
        <v>2048</v>
      </c>
      <c r="EY18" s="1">
        <v>1528</v>
      </c>
      <c r="EZ18" s="1">
        <v>-1004</v>
      </c>
      <c r="FA18" s="1">
        <v>-457</v>
      </c>
      <c r="FB18" s="1">
        <v>-3055</v>
      </c>
      <c r="FC18" s="1">
        <v>-348</v>
      </c>
      <c r="FD18" s="1">
        <v>-213</v>
      </c>
      <c r="FE18" s="1">
        <v>4443</v>
      </c>
      <c r="FF18" s="1">
        <v>-4033</v>
      </c>
      <c r="FG18" s="1">
        <v>-7067</v>
      </c>
      <c r="FH18" s="1">
        <v>-9</v>
      </c>
      <c r="FI18" s="1">
        <v>-1994</v>
      </c>
      <c r="FJ18" s="1">
        <v>-1471</v>
      </c>
      <c r="FK18" s="1">
        <v>1043</v>
      </c>
      <c r="FL18" s="1">
        <v>-2778</v>
      </c>
      <c r="FM18" s="1">
        <v>1770</v>
      </c>
      <c r="FN18" s="1">
        <v>115</v>
      </c>
      <c r="FO18" s="1">
        <v>3018</v>
      </c>
      <c r="FP18" s="1">
        <v>739</v>
      </c>
      <c r="FQ18" s="1">
        <v>40</v>
      </c>
      <c r="FR18" s="1">
        <v>262</v>
      </c>
      <c r="FS18" s="1">
        <v>5969</v>
      </c>
      <c r="FT18" s="1">
        <v>331</v>
      </c>
      <c r="FU18" s="1">
        <v>670</v>
      </c>
      <c r="FV18" s="1">
        <v>-2009</v>
      </c>
      <c r="FW18" s="1">
        <v>1157</v>
      </c>
      <c r="FX18" s="1">
        <v>1754</v>
      </c>
      <c r="FY18" s="1">
        <v>2329</v>
      </c>
      <c r="FZ18" s="1">
        <v>-406</v>
      </c>
      <c r="GA18" s="1">
        <v>-692</v>
      </c>
      <c r="GB18" s="1">
        <v>921</v>
      </c>
      <c r="GC18" s="1">
        <v>-5387</v>
      </c>
      <c r="GD18" s="1">
        <v>-262</v>
      </c>
      <c r="GE18" s="1">
        <v>2728</v>
      </c>
      <c r="GF18" s="1">
        <v>-271</v>
      </c>
      <c r="GG18" s="1">
        <v>438</v>
      </c>
      <c r="GH18" s="1">
        <v>-1888</v>
      </c>
      <c r="GI18" s="1">
        <v>-8388</v>
      </c>
      <c r="GJ18" s="1">
        <v>4082</v>
      </c>
      <c r="GK18" s="1">
        <v>5963</v>
      </c>
      <c r="GL18" s="1">
        <v>2230</v>
      </c>
      <c r="GM18" s="1">
        <v>4288</v>
      </c>
      <c r="GN18" s="1">
        <v>2270</v>
      </c>
      <c r="GO18" s="1">
        <v>3713</v>
      </c>
      <c r="GP18" s="1">
        <v>-2246</v>
      </c>
      <c r="GQ18" s="1">
        <v>-3026</v>
      </c>
      <c r="GR18" s="1">
        <v>1105</v>
      </c>
      <c r="GS18" s="1">
        <v>-592</v>
      </c>
      <c r="GT18" s="1">
        <v>-1249</v>
      </c>
      <c r="GU18" s="1">
        <v>2058</v>
      </c>
      <c r="GV18" s="1">
        <v>6917</v>
      </c>
      <c r="GW18" s="1">
        <v>-4153</v>
      </c>
      <c r="GX18" s="1">
        <v>1456</v>
      </c>
      <c r="GY18" s="1">
        <v>-1958</v>
      </c>
      <c r="GZ18" s="1">
        <v>-1191</v>
      </c>
      <c r="HA18" s="1">
        <v>8014</v>
      </c>
      <c r="HB18" s="1">
        <v>2261</v>
      </c>
      <c r="HC18" s="1">
        <v>-3934</v>
      </c>
      <c r="HD18" s="1">
        <v>1511</v>
      </c>
      <c r="HE18" s="1">
        <v>-3392</v>
      </c>
      <c r="HF18" s="1">
        <v>25</v>
      </c>
      <c r="HG18" s="1">
        <v>5724</v>
      </c>
      <c r="HH18" s="1">
        <v>4647</v>
      </c>
      <c r="HI18" s="1">
        <v>3738</v>
      </c>
      <c r="HJ18" s="1">
        <v>546</v>
      </c>
      <c r="HK18" s="1">
        <v>3211</v>
      </c>
      <c r="HL18" s="1">
        <v>-4853</v>
      </c>
      <c r="HM18" s="1">
        <v>-2327</v>
      </c>
      <c r="HN18" s="1">
        <v>509</v>
      </c>
      <c r="HO18" s="1">
        <v>-3271</v>
      </c>
      <c r="HP18" s="1">
        <v>2974</v>
      </c>
      <c r="HQ18" s="1">
        <v>174</v>
      </c>
      <c r="HR18" s="1">
        <v>1050</v>
      </c>
      <c r="HS18" s="1">
        <v>-2496</v>
      </c>
      <c r="HT18" s="1">
        <v>1106</v>
      </c>
      <c r="HU18" s="1">
        <v>-1047</v>
      </c>
      <c r="HV18" s="1">
        <v>677</v>
      </c>
      <c r="HW18" s="1">
        <v>5115</v>
      </c>
      <c r="HX18" s="1">
        <v>87</v>
      </c>
      <c r="HY18" s="1">
        <v>-1808</v>
      </c>
      <c r="HZ18" s="1">
        <v>1470</v>
      </c>
      <c r="IA18" s="1">
        <v>8233</v>
      </c>
      <c r="IB18" s="1">
        <v>-533</v>
      </c>
      <c r="IC18" s="1">
        <v>1958</v>
      </c>
      <c r="ID18" s="1">
        <v>-798</v>
      </c>
      <c r="IE18" s="1">
        <v>2977</v>
      </c>
      <c r="IF18" s="1">
        <v>-1588</v>
      </c>
      <c r="IG18" s="1">
        <v>-799</v>
      </c>
      <c r="IH18" s="1">
        <v>2624</v>
      </c>
      <c r="II18" s="1">
        <v>-639</v>
      </c>
      <c r="IJ18" s="1">
        <v>1852</v>
      </c>
      <c r="IK18" s="1">
        <v>-321</v>
      </c>
      <c r="IL18" s="1">
        <v>-297</v>
      </c>
      <c r="IM18" s="1">
        <v>16</v>
      </c>
      <c r="IN18" s="1">
        <v>-3130</v>
      </c>
      <c r="IO18" s="1">
        <v>1938</v>
      </c>
      <c r="IP18" s="1">
        <v>-703</v>
      </c>
      <c r="IQ18" s="1">
        <v>-2721</v>
      </c>
      <c r="IR18" s="1">
        <v>-4101</v>
      </c>
      <c r="IS18" s="1">
        <v>-4440</v>
      </c>
      <c r="IT18" s="1">
        <v>-2249</v>
      </c>
      <c r="IU18" s="1">
        <v>-5559</v>
      </c>
      <c r="IV18" s="1">
        <v>4881</v>
      </c>
      <c r="IW18" s="1">
        <v>2365</v>
      </c>
      <c r="IX18" s="1">
        <v>3217</v>
      </c>
      <c r="IY18" s="1">
        <v>2827</v>
      </c>
      <c r="IZ18" s="1">
        <v>169</v>
      </c>
      <c r="JA18" s="1">
        <v>-1375</v>
      </c>
      <c r="JB18" s="1">
        <v>7587</v>
      </c>
      <c r="JC18" s="1">
        <v>3689</v>
      </c>
      <c r="JD18" s="1">
        <v>-936</v>
      </c>
      <c r="JE18" s="1">
        <v>3190</v>
      </c>
      <c r="JF18" s="1">
        <v>266</v>
      </c>
      <c r="JG18" s="1">
        <v>4106</v>
      </c>
      <c r="JH18" s="1">
        <v>6467</v>
      </c>
      <c r="JI18" s="1">
        <v>6080</v>
      </c>
      <c r="JJ18" s="1">
        <v>2816</v>
      </c>
      <c r="JK18" s="1">
        <v>-8553</v>
      </c>
      <c r="JL18" s="1">
        <v>1454</v>
      </c>
      <c r="JM18" s="1">
        <v>4387</v>
      </c>
      <c r="JN18" s="1">
        <v>-1299</v>
      </c>
      <c r="JO18" s="1">
        <v>592</v>
      </c>
      <c r="JP18" s="1">
        <v>6764</v>
      </c>
      <c r="JQ18" s="1">
        <v>8304</v>
      </c>
      <c r="JR18" s="1">
        <v>137</v>
      </c>
      <c r="JS18" s="1">
        <v>6426</v>
      </c>
      <c r="JT18" s="1">
        <v>174</v>
      </c>
      <c r="JU18" s="1">
        <v>1996</v>
      </c>
      <c r="JV18" s="1">
        <v>682</v>
      </c>
      <c r="JW18" s="1">
        <v>-6454</v>
      </c>
      <c r="JX18" s="1">
        <v>-4251</v>
      </c>
      <c r="JY18" s="1">
        <v>2331</v>
      </c>
      <c r="JZ18" s="1">
        <v>-3659</v>
      </c>
      <c r="KA18" s="1">
        <v>3780</v>
      </c>
      <c r="KB18" s="1">
        <v>-3240</v>
      </c>
      <c r="KC18" s="1">
        <v>2779</v>
      </c>
      <c r="KD18" s="1">
        <v>1623</v>
      </c>
      <c r="KE18" s="1">
        <v>1764</v>
      </c>
      <c r="KF18" s="1">
        <v>-1635</v>
      </c>
      <c r="KG18" s="1">
        <v>-5346</v>
      </c>
      <c r="KH18" s="1">
        <v>-2657</v>
      </c>
      <c r="KI18" s="1">
        <v>-7442</v>
      </c>
      <c r="KJ18" s="1">
        <v>481</v>
      </c>
      <c r="KK18" s="1">
        <v>-3786</v>
      </c>
      <c r="KL18" s="1">
        <v>-3002</v>
      </c>
      <c r="KM18" s="1">
        <v>-2147</v>
      </c>
      <c r="KN18" s="1">
        <v>-2332</v>
      </c>
      <c r="KO18" s="1">
        <v>4601</v>
      </c>
      <c r="KP18" s="1">
        <v>-4862</v>
      </c>
      <c r="KQ18" s="1">
        <v>4132</v>
      </c>
      <c r="KR18" s="1">
        <v>556</v>
      </c>
      <c r="KS18" s="1">
        <v>1520</v>
      </c>
      <c r="KT18" s="1">
        <v>1721</v>
      </c>
      <c r="KU18" s="1">
        <v>-5085</v>
      </c>
      <c r="KV18" s="1">
        <v>287</v>
      </c>
      <c r="KW18" s="1">
        <v>-2692</v>
      </c>
      <c r="KX18" s="1">
        <v>7198</v>
      </c>
      <c r="KY18" s="1">
        <v>-1683</v>
      </c>
      <c r="KZ18" s="1">
        <v>-507</v>
      </c>
      <c r="LA18" s="1">
        <v>-1146</v>
      </c>
      <c r="LB18" s="1">
        <v>696</v>
      </c>
      <c r="LC18" s="1">
        <v>711</v>
      </c>
      <c r="LD18" s="1">
        <v>-2529</v>
      </c>
      <c r="LE18" s="1">
        <v>-2778</v>
      </c>
      <c r="LF18" s="1">
        <v>2169</v>
      </c>
      <c r="LG18" s="1">
        <v>-3831</v>
      </c>
      <c r="LH18" s="1">
        <v>5501</v>
      </c>
      <c r="LI18" s="1">
        <v>-9528</v>
      </c>
      <c r="LJ18" s="1">
        <v>-6383</v>
      </c>
      <c r="LK18" s="1">
        <v>3789</v>
      </c>
      <c r="LL18" s="1">
        <v>-2448</v>
      </c>
      <c r="LM18" s="1">
        <v>3790</v>
      </c>
      <c r="LN18" s="1">
        <v>3110</v>
      </c>
      <c r="LO18" s="1">
        <v>963</v>
      </c>
      <c r="LP18" s="1">
        <v>-2427</v>
      </c>
      <c r="LQ18" s="1">
        <v>-1669</v>
      </c>
      <c r="LR18" s="1">
        <v>-790</v>
      </c>
      <c r="LS18" s="1">
        <v>-971</v>
      </c>
      <c r="LT18" s="1">
        <v>-1736</v>
      </c>
      <c r="LU18" s="1">
        <v>-956</v>
      </c>
      <c r="LV18" s="1">
        <v>-1941</v>
      </c>
      <c r="LW18" s="1">
        <v>-4517</v>
      </c>
      <c r="LX18" s="1">
        <v>-237</v>
      </c>
      <c r="LY18" s="1">
        <v>1000</v>
      </c>
      <c r="LZ18" s="1">
        <v>-1859</v>
      </c>
      <c r="MA18" s="1">
        <v>74</v>
      </c>
      <c r="MB18" s="1">
        <v>-1091</v>
      </c>
      <c r="MC18" s="1">
        <v>1602</v>
      </c>
      <c r="MD18" s="1">
        <v>1670</v>
      </c>
      <c r="ME18" s="1">
        <v>4805</v>
      </c>
      <c r="MF18" s="1">
        <v>5395</v>
      </c>
      <c r="MG18" s="1">
        <v>-1496</v>
      </c>
      <c r="MH18" s="1">
        <v>2334</v>
      </c>
      <c r="MI18" s="1">
        <v>-911</v>
      </c>
      <c r="MJ18" s="1">
        <v>1059</v>
      </c>
      <c r="MK18" s="1">
        <v>7606</v>
      </c>
      <c r="ML18" s="1">
        <v>-463</v>
      </c>
      <c r="MM18" s="1">
        <v>-5273</v>
      </c>
      <c r="MN18" s="1">
        <v>-1507</v>
      </c>
      <c r="MO18" s="1">
        <v>602</v>
      </c>
      <c r="MP18" s="1">
        <v>474</v>
      </c>
      <c r="MQ18" s="1">
        <v>-616</v>
      </c>
      <c r="MR18" s="1">
        <v>404</v>
      </c>
      <c r="MS18" s="1">
        <v>-1591</v>
      </c>
      <c r="MT18" s="1">
        <v>-1814</v>
      </c>
      <c r="MU18" s="1">
        <v>-233</v>
      </c>
      <c r="MV18" s="1">
        <v>59</v>
      </c>
      <c r="MW18" s="1">
        <v>-675</v>
      </c>
      <c r="MX18" s="1">
        <v>1812</v>
      </c>
      <c r="MY18" s="1">
        <v>-1712</v>
      </c>
      <c r="MZ18" s="1">
        <v>-205</v>
      </c>
      <c r="NA18" s="1">
        <v>-1533</v>
      </c>
      <c r="NB18" s="1">
        <v>-467</v>
      </c>
      <c r="NC18" s="1">
        <v>-277</v>
      </c>
      <c r="ND18" s="1">
        <v>1022</v>
      </c>
      <c r="NE18" s="1">
        <v>-661</v>
      </c>
      <c r="NF18" s="1">
        <v>-232</v>
      </c>
      <c r="NG18" s="1">
        <v>-601</v>
      </c>
      <c r="NH18" s="1">
        <v>7762</v>
      </c>
      <c r="NI18" s="1">
        <v>-4533</v>
      </c>
      <c r="NJ18" s="1">
        <v>2962</v>
      </c>
      <c r="NK18" s="1">
        <v>8056</v>
      </c>
      <c r="NL18" s="1">
        <v>2766</v>
      </c>
      <c r="NM18" s="1">
        <v>3066</v>
      </c>
      <c r="NN18" s="1">
        <v>-4077</v>
      </c>
      <c r="NO18" s="1">
        <v>-8861</v>
      </c>
      <c r="NP18" s="1">
        <v>-6041</v>
      </c>
      <c r="NQ18" s="1">
        <v>-5802</v>
      </c>
      <c r="NR18" s="1">
        <v>7865</v>
      </c>
      <c r="NS18" s="1">
        <v>-1500</v>
      </c>
      <c r="NT18" s="1">
        <v>-2464</v>
      </c>
      <c r="NU18" s="1">
        <v>-4631</v>
      </c>
      <c r="NV18" s="1">
        <v>3748</v>
      </c>
    </row>
    <row r="19" spans="2:386" s="1" customFormat="1" ht="15" customHeight="1" x14ac:dyDescent="0.25">
      <c r="B19"/>
      <c r="C19" s="30" t="s">
        <v>26</v>
      </c>
      <c r="D19" s="41">
        <f>IF(V16="","",V16)</f>
        <v>3326</v>
      </c>
      <c r="E19" s="42">
        <f t="shared" ref="E19:O21" si="5">IF(W16="","",W16)</f>
        <v>178</v>
      </c>
      <c r="F19" s="42">
        <f t="shared" si="5"/>
        <v>-820</v>
      </c>
      <c r="G19" s="42">
        <f t="shared" si="5"/>
        <v>2773</v>
      </c>
      <c r="H19" s="42">
        <f t="shared" si="5"/>
        <v>-1216</v>
      </c>
      <c r="I19" s="42">
        <f t="shared" si="5"/>
        <v>-3123</v>
      </c>
      <c r="J19" s="42">
        <f t="shared" si="5"/>
        <v>834</v>
      </c>
      <c r="K19" s="42">
        <f t="shared" si="5"/>
        <v>-113</v>
      </c>
      <c r="L19" s="42">
        <f t="shared" si="5"/>
        <v>1676</v>
      </c>
      <c r="M19" s="42">
        <f t="shared" si="5"/>
        <v>-5860</v>
      </c>
      <c r="N19" s="42">
        <f t="shared" si="5"/>
        <v>2460</v>
      </c>
      <c r="O19" s="43">
        <f t="shared" si="5"/>
        <v>-6327</v>
      </c>
      <c r="P19"/>
      <c r="Q19"/>
      <c r="T19" s="50"/>
      <c r="U19" s="1" t="str">
        <f ca="1">_xll.IMDH("IDX","001",U20:U22,TODAY()-2543,$A$4,365,"Per=일,sort=D,real=true,Bizday=0,Quote=종가,Pos=11,Orient=H,Title=KOSPI,DtFmt=1,TmFmt=1,unit=true")</f>
        <v>KOSPI</v>
      </c>
    </row>
    <row r="20" spans="2:386" s="1" customFormat="1" ht="15" customHeight="1" x14ac:dyDescent="0.25">
      <c r="B20"/>
      <c r="C20" s="30" t="s">
        <v>27</v>
      </c>
      <c r="D20" s="41">
        <f>IF(V17="","",V17)</f>
        <v>-1013</v>
      </c>
      <c r="E20" s="42">
        <f t="shared" si="5"/>
        <v>-206</v>
      </c>
      <c r="F20" s="42">
        <f t="shared" si="5"/>
        <v>656</v>
      </c>
      <c r="G20" s="42">
        <f t="shared" si="5"/>
        <v>785</v>
      </c>
      <c r="H20" s="42">
        <f t="shared" si="5"/>
        <v>2115</v>
      </c>
      <c r="I20" s="42">
        <f t="shared" si="5"/>
        <v>182</v>
      </c>
      <c r="J20" s="42">
        <f t="shared" si="5"/>
        <v>-1001</v>
      </c>
      <c r="K20" s="42">
        <f t="shared" si="5"/>
        <v>-1401</v>
      </c>
      <c r="L20" s="42">
        <f t="shared" si="5"/>
        <v>-1844</v>
      </c>
      <c r="M20" s="42">
        <f t="shared" si="5"/>
        <v>-3249</v>
      </c>
      <c r="N20" s="42">
        <f t="shared" si="5"/>
        <v>-1196</v>
      </c>
      <c r="O20" s="43">
        <f t="shared" si="5"/>
        <v>4943</v>
      </c>
      <c r="P20"/>
      <c r="Q20"/>
      <c r="T20" s="50"/>
      <c r="U20" s="56" t="s">
        <v>29</v>
      </c>
      <c r="V20" s="54">
        <v>44942</v>
      </c>
      <c r="W20" s="54">
        <v>44939</v>
      </c>
      <c r="X20" s="54">
        <v>44938</v>
      </c>
      <c r="Y20" s="54">
        <v>44937</v>
      </c>
      <c r="Z20" s="54">
        <v>44936</v>
      </c>
      <c r="AA20" s="54">
        <v>44935</v>
      </c>
      <c r="AB20" s="54">
        <v>44932</v>
      </c>
      <c r="AC20" s="54">
        <v>44931</v>
      </c>
      <c r="AD20" s="54">
        <v>44930</v>
      </c>
      <c r="AE20" s="54">
        <v>44929</v>
      </c>
      <c r="AF20" s="54">
        <v>44928</v>
      </c>
      <c r="AG20" s="54">
        <v>44924</v>
      </c>
      <c r="AH20" s="54">
        <v>44923</v>
      </c>
      <c r="AI20" s="54">
        <v>44922</v>
      </c>
      <c r="AJ20" s="54">
        <v>44921</v>
      </c>
      <c r="AK20" s="54">
        <v>44918</v>
      </c>
      <c r="AL20" s="54">
        <v>44917</v>
      </c>
      <c r="AM20" s="54">
        <v>44916</v>
      </c>
      <c r="AN20" s="54">
        <v>44915</v>
      </c>
      <c r="AO20" s="54">
        <v>44914</v>
      </c>
      <c r="AP20" s="54">
        <v>44911</v>
      </c>
      <c r="AQ20" s="54">
        <v>44910</v>
      </c>
      <c r="AR20" s="54">
        <v>44909</v>
      </c>
      <c r="AS20" s="54">
        <v>44908</v>
      </c>
      <c r="AT20" s="54">
        <v>44907</v>
      </c>
      <c r="AU20" s="54">
        <v>44904</v>
      </c>
      <c r="AV20" s="54">
        <v>44903</v>
      </c>
      <c r="AW20" s="54">
        <v>44902</v>
      </c>
      <c r="AX20" s="54">
        <v>44901</v>
      </c>
      <c r="AY20" s="54">
        <v>44900</v>
      </c>
      <c r="AZ20" s="54">
        <v>44897</v>
      </c>
      <c r="BA20" s="54">
        <v>44896</v>
      </c>
      <c r="BB20" s="54">
        <v>44895</v>
      </c>
      <c r="BC20" s="54">
        <v>44894</v>
      </c>
      <c r="BD20" s="54">
        <v>44893</v>
      </c>
      <c r="BE20" s="54">
        <v>44890</v>
      </c>
      <c r="BF20" s="54">
        <v>44889</v>
      </c>
      <c r="BG20" s="54">
        <v>44888</v>
      </c>
      <c r="BH20" s="54">
        <v>44887</v>
      </c>
      <c r="BI20" s="54">
        <v>44886</v>
      </c>
      <c r="BJ20" s="54">
        <v>44883</v>
      </c>
      <c r="BK20" s="54">
        <v>44882</v>
      </c>
      <c r="BL20" s="54">
        <v>44881</v>
      </c>
      <c r="BM20" s="54">
        <v>44880</v>
      </c>
      <c r="BN20" s="54">
        <v>44879</v>
      </c>
      <c r="BO20" s="54">
        <v>44876</v>
      </c>
      <c r="BP20" s="54">
        <v>44875</v>
      </c>
      <c r="BQ20" s="54">
        <v>44874</v>
      </c>
      <c r="BR20" s="54">
        <v>44873</v>
      </c>
      <c r="BS20" s="54">
        <v>44872</v>
      </c>
      <c r="BT20" s="54">
        <v>44869</v>
      </c>
      <c r="BU20" s="54">
        <v>44868</v>
      </c>
      <c r="BV20" s="54">
        <v>44867</v>
      </c>
      <c r="BW20" s="54">
        <v>44866</v>
      </c>
      <c r="BX20" s="54">
        <v>44865</v>
      </c>
      <c r="BY20" s="54">
        <v>44862</v>
      </c>
      <c r="BZ20" s="54">
        <v>44861</v>
      </c>
      <c r="CA20" s="54">
        <v>44860</v>
      </c>
      <c r="CB20" s="54">
        <v>44859</v>
      </c>
      <c r="CC20" s="54">
        <v>44858</v>
      </c>
      <c r="CD20" s="54">
        <v>44855</v>
      </c>
      <c r="CE20" s="54">
        <v>44854</v>
      </c>
      <c r="CF20" s="54">
        <v>44853</v>
      </c>
      <c r="CG20" s="54">
        <v>44852</v>
      </c>
      <c r="CH20" s="54">
        <v>44851</v>
      </c>
      <c r="CI20" s="54">
        <v>44848</v>
      </c>
      <c r="CJ20" s="54">
        <v>44847</v>
      </c>
      <c r="CK20" s="54">
        <v>44846</v>
      </c>
      <c r="CL20" s="54">
        <v>44845</v>
      </c>
      <c r="CM20" s="54">
        <v>44841</v>
      </c>
      <c r="CN20" s="54">
        <v>44840</v>
      </c>
      <c r="CO20" s="54">
        <v>44839</v>
      </c>
      <c r="CP20" s="54">
        <v>44838</v>
      </c>
      <c r="CQ20" s="54">
        <v>44834</v>
      </c>
      <c r="CR20" s="54">
        <v>44833</v>
      </c>
      <c r="CS20" s="54">
        <v>44832</v>
      </c>
      <c r="CT20" s="54">
        <v>44831</v>
      </c>
      <c r="CU20" s="54">
        <v>44830</v>
      </c>
      <c r="CV20" s="54">
        <v>44827</v>
      </c>
      <c r="CW20" s="54">
        <v>44826</v>
      </c>
      <c r="CX20" s="54">
        <v>44825</v>
      </c>
      <c r="CY20" s="54">
        <v>44824</v>
      </c>
      <c r="CZ20" s="54">
        <v>44823</v>
      </c>
      <c r="DA20" s="54">
        <v>44820</v>
      </c>
      <c r="DB20" s="54">
        <v>44819</v>
      </c>
      <c r="DC20" s="54">
        <v>44818</v>
      </c>
      <c r="DD20" s="54">
        <v>44817</v>
      </c>
      <c r="DE20" s="54">
        <v>44812</v>
      </c>
      <c r="DF20" s="54">
        <v>44811</v>
      </c>
      <c r="DG20" s="54">
        <v>44810</v>
      </c>
      <c r="DH20" s="54">
        <v>44809</v>
      </c>
      <c r="DI20" s="54">
        <v>44806</v>
      </c>
      <c r="DJ20" s="54">
        <v>44805</v>
      </c>
      <c r="DK20" s="54">
        <v>44804</v>
      </c>
      <c r="DL20" s="54">
        <v>44803</v>
      </c>
      <c r="DM20" s="54">
        <v>44802</v>
      </c>
      <c r="DN20" s="54">
        <v>44799</v>
      </c>
      <c r="DO20" s="54">
        <v>44798</v>
      </c>
      <c r="DP20" s="54">
        <v>44797</v>
      </c>
      <c r="DQ20" s="54">
        <v>44796</v>
      </c>
      <c r="DR20" s="54">
        <v>44795</v>
      </c>
      <c r="DS20" s="54">
        <v>44792</v>
      </c>
      <c r="DT20" s="54">
        <v>44791</v>
      </c>
      <c r="DU20" s="54">
        <v>44790</v>
      </c>
      <c r="DV20" s="54">
        <v>44789</v>
      </c>
      <c r="DW20" s="54">
        <v>44785</v>
      </c>
      <c r="DX20" s="54">
        <v>44784</v>
      </c>
      <c r="DY20" s="54">
        <v>44783</v>
      </c>
      <c r="DZ20" s="54">
        <v>44782</v>
      </c>
      <c r="EA20" s="54">
        <v>44781</v>
      </c>
      <c r="EB20" s="54">
        <v>44778</v>
      </c>
      <c r="EC20" s="54">
        <v>44777</v>
      </c>
      <c r="ED20" s="54">
        <v>44776</v>
      </c>
      <c r="EE20" s="54">
        <v>44775</v>
      </c>
      <c r="EF20" s="54">
        <v>44774</v>
      </c>
      <c r="EG20" s="54">
        <v>44771</v>
      </c>
      <c r="EH20" s="54">
        <v>44770</v>
      </c>
      <c r="EI20" s="54">
        <v>44769</v>
      </c>
      <c r="EJ20" s="54">
        <v>44768</v>
      </c>
      <c r="EK20" s="54">
        <v>44767</v>
      </c>
      <c r="EL20" s="54">
        <v>44764</v>
      </c>
      <c r="EM20" s="54">
        <v>44763</v>
      </c>
      <c r="EN20" s="54">
        <v>44762</v>
      </c>
      <c r="EO20" s="54">
        <v>44761</v>
      </c>
      <c r="EP20" s="54">
        <v>44760</v>
      </c>
      <c r="EQ20" s="54">
        <v>44757</v>
      </c>
      <c r="ER20" s="54">
        <v>44756</v>
      </c>
      <c r="ES20" s="54">
        <v>44755</v>
      </c>
      <c r="ET20" s="54">
        <v>44754</v>
      </c>
      <c r="EU20" s="54">
        <v>44753</v>
      </c>
      <c r="EV20" s="54">
        <v>44750</v>
      </c>
      <c r="EW20" s="54">
        <v>44749</v>
      </c>
      <c r="EX20" s="54">
        <v>44748</v>
      </c>
      <c r="EY20" s="54">
        <v>44747</v>
      </c>
      <c r="EZ20" s="54">
        <v>44746</v>
      </c>
      <c r="FA20" s="54">
        <v>44743</v>
      </c>
      <c r="FB20" s="54">
        <v>44742</v>
      </c>
      <c r="FC20" s="54">
        <v>44741</v>
      </c>
      <c r="FD20" s="54">
        <v>44740</v>
      </c>
      <c r="FE20" s="54">
        <v>44739</v>
      </c>
      <c r="FF20" s="54">
        <v>44736</v>
      </c>
      <c r="FG20" s="54">
        <v>44735</v>
      </c>
      <c r="FH20" s="54">
        <v>44734</v>
      </c>
      <c r="FI20" s="54">
        <v>44733</v>
      </c>
      <c r="FJ20" s="54">
        <v>44732</v>
      </c>
      <c r="FK20" s="54">
        <v>44729</v>
      </c>
      <c r="FL20" s="54">
        <v>44728</v>
      </c>
      <c r="FM20" s="54">
        <v>44727</v>
      </c>
      <c r="FN20" s="54">
        <v>44726</v>
      </c>
      <c r="FO20" s="54">
        <v>44725</v>
      </c>
      <c r="FP20" s="54">
        <v>44722</v>
      </c>
      <c r="FQ20" s="54">
        <v>44721</v>
      </c>
      <c r="FR20" s="54">
        <v>44720</v>
      </c>
      <c r="FS20" s="54">
        <v>44719</v>
      </c>
      <c r="FT20" s="54">
        <v>44715</v>
      </c>
      <c r="FU20" s="54">
        <v>44714</v>
      </c>
      <c r="FV20" s="54">
        <v>44712</v>
      </c>
      <c r="FW20" s="54">
        <v>44711</v>
      </c>
      <c r="FX20" s="54">
        <v>44708</v>
      </c>
      <c r="FY20" s="54">
        <v>44707</v>
      </c>
      <c r="FZ20" s="54">
        <v>44706</v>
      </c>
      <c r="GA20" s="54">
        <v>44705</v>
      </c>
      <c r="GB20" s="54">
        <v>44704</v>
      </c>
      <c r="GC20" s="54">
        <v>44701</v>
      </c>
      <c r="GD20" s="54">
        <v>44700</v>
      </c>
      <c r="GE20" s="54">
        <v>44699</v>
      </c>
      <c r="GF20" s="54">
        <v>44698</v>
      </c>
      <c r="GG20" s="54">
        <v>44697</v>
      </c>
      <c r="GH20" s="54">
        <v>44694</v>
      </c>
      <c r="GI20" s="54">
        <v>44693</v>
      </c>
      <c r="GJ20" s="54">
        <v>44692</v>
      </c>
      <c r="GK20" s="54">
        <v>44691</v>
      </c>
      <c r="GL20" s="54">
        <v>44690</v>
      </c>
      <c r="GM20" s="54">
        <v>44687</v>
      </c>
      <c r="GN20" s="54">
        <v>44685</v>
      </c>
      <c r="GO20" s="54">
        <v>44684</v>
      </c>
      <c r="GP20" s="54">
        <v>44683</v>
      </c>
      <c r="GQ20" s="54">
        <v>44680</v>
      </c>
      <c r="GR20" s="54">
        <v>44679</v>
      </c>
      <c r="GS20" s="54">
        <v>44678</v>
      </c>
      <c r="GT20" s="54">
        <v>44677</v>
      </c>
      <c r="GU20" s="54">
        <v>44676</v>
      </c>
      <c r="GV20" s="54">
        <v>44673</v>
      </c>
      <c r="GW20" s="54">
        <v>44672</v>
      </c>
      <c r="GX20" s="54">
        <v>44671</v>
      </c>
      <c r="GY20" s="54">
        <v>44670</v>
      </c>
      <c r="GZ20" s="54">
        <v>44669</v>
      </c>
      <c r="HA20" s="54">
        <v>44666</v>
      </c>
      <c r="HB20" s="54">
        <v>44665</v>
      </c>
      <c r="HC20" s="54">
        <v>44664</v>
      </c>
      <c r="HD20" s="54">
        <v>44663</v>
      </c>
      <c r="HE20" s="54">
        <v>44662</v>
      </c>
      <c r="HF20" s="54">
        <v>44659</v>
      </c>
      <c r="HG20" s="54">
        <v>44658</v>
      </c>
      <c r="HH20" s="54">
        <v>44657</v>
      </c>
      <c r="HI20" s="54">
        <v>44656</v>
      </c>
      <c r="HJ20" s="54">
        <v>44655</v>
      </c>
      <c r="HK20" s="54">
        <v>44652</v>
      </c>
      <c r="HL20" s="54">
        <v>44651</v>
      </c>
      <c r="HM20" s="54">
        <v>44650</v>
      </c>
      <c r="HN20" s="54">
        <v>44649</v>
      </c>
      <c r="HO20" s="54">
        <v>44648</v>
      </c>
      <c r="HP20" s="54">
        <v>44645</v>
      </c>
      <c r="HQ20" s="54">
        <v>44644</v>
      </c>
      <c r="HR20" s="54">
        <v>44643</v>
      </c>
      <c r="HS20" s="54">
        <v>44642</v>
      </c>
      <c r="HT20" s="54">
        <v>44641</v>
      </c>
      <c r="HU20" s="54">
        <v>44638</v>
      </c>
      <c r="HV20" s="54">
        <v>44637</v>
      </c>
      <c r="HW20" s="54">
        <v>44636</v>
      </c>
      <c r="HX20" s="54">
        <v>44635</v>
      </c>
      <c r="HY20" s="54">
        <v>44634</v>
      </c>
      <c r="HZ20" s="54">
        <v>44631</v>
      </c>
      <c r="IA20" s="54">
        <v>44630</v>
      </c>
      <c r="IB20" s="54">
        <v>44628</v>
      </c>
      <c r="IC20" s="54">
        <v>44627</v>
      </c>
      <c r="ID20" s="54">
        <v>44624</v>
      </c>
      <c r="IE20" s="54">
        <v>44623</v>
      </c>
      <c r="IF20" s="54">
        <v>44622</v>
      </c>
      <c r="IG20" s="54">
        <v>44620</v>
      </c>
      <c r="IH20" s="54">
        <v>44617</v>
      </c>
      <c r="II20" s="54">
        <v>44616</v>
      </c>
      <c r="IJ20" s="54">
        <v>44615</v>
      </c>
      <c r="IK20" s="54">
        <v>44614</v>
      </c>
      <c r="IL20" s="54">
        <v>44613</v>
      </c>
      <c r="IM20" s="54">
        <v>44610</v>
      </c>
      <c r="IN20" s="54">
        <v>44609</v>
      </c>
      <c r="IO20" s="54">
        <v>44608</v>
      </c>
      <c r="IP20" s="54">
        <v>44607</v>
      </c>
      <c r="IQ20" s="54">
        <v>44606</v>
      </c>
      <c r="IR20" s="54">
        <v>44603</v>
      </c>
      <c r="IS20" s="54">
        <v>44602</v>
      </c>
      <c r="IT20" s="54">
        <v>44601</v>
      </c>
      <c r="IU20" s="54">
        <v>44600</v>
      </c>
      <c r="IV20" s="54">
        <v>44599</v>
      </c>
      <c r="IW20" s="54">
        <v>44596</v>
      </c>
      <c r="IX20" s="54">
        <v>44595</v>
      </c>
      <c r="IY20" s="54">
        <v>44589</v>
      </c>
      <c r="IZ20" s="54">
        <v>44588</v>
      </c>
      <c r="JA20" s="54">
        <v>44587</v>
      </c>
      <c r="JB20" s="54">
        <v>44586</v>
      </c>
      <c r="JC20" s="54">
        <v>44585</v>
      </c>
      <c r="JD20" s="54">
        <v>44582</v>
      </c>
      <c r="JE20" s="54">
        <v>44581</v>
      </c>
      <c r="JF20" s="54">
        <v>44580</v>
      </c>
      <c r="JG20" s="54">
        <v>44579</v>
      </c>
      <c r="JH20" s="54">
        <v>44578</v>
      </c>
      <c r="JI20" s="54">
        <v>44575</v>
      </c>
      <c r="JJ20" s="54">
        <v>44574</v>
      </c>
      <c r="JK20" s="54">
        <v>44573</v>
      </c>
      <c r="JL20" s="54">
        <v>44572</v>
      </c>
      <c r="JM20" s="54">
        <v>44571</v>
      </c>
      <c r="JN20" s="54">
        <v>44568</v>
      </c>
      <c r="JO20" s="54">
        <v>44567</v>
      </c>
      <c r="JP20" s="54">
        <v>44566</v>
      </c>
      <c r="JQ20" s="54">
        <v>44565</v>
      </c>
      <c r="JR20" s="54">
        <v>44564</v>
      </c>
      <c r="JS20" s="54">
        <v>44560</v>
      </c>
      <c r="JT20" s="54">
        <v>44559</v>
      </c>
      <c r="JU20" s="54">
        <v>44558</v>
      </c>
      <c r="JV20" s="54">
        <v>44557</v>
      </c>
      <c r="JW20" s="54">
        <v>44554</v>
      </c>
      <c r="JX20" s="54">
        <v>44553</v>
      </c>
      <c r="JY20" s="54">
        <v>44552</v>
      </c>
      <c r="JZ20" s="54">
        <v>44551</v>
      </c>
      <c r="KA20" s="54">
        <v>44550</v>
      </c>
      <c r="KB20" s="54">
        <v>44547</v>
      </c>
      <c r="KC20" s="54">
        <v>44546</v>
      </c>
      <c r="KD20" s="54">
        <v>44545</v>
      </c>
      <c r="KE20" s="54">
        <v>44544</v>
      </c>
      <c r="KF20" s="54">
        <v>44543</v>
      </c>
      <c r="KG20" s="54">
        <v>44540</v>
      </c>
      <c r="KH20" s="54">
        <v>44539</v>
      </c>
      <c r="KI20" s="54">
        <v>44538</v>
      </c>
      <c r="KJ20" s="54">
        <v>44537</v>
      </c>
      <c r="KK20" s="54">
        <v>44536</v>
      </c>
      <c r="KL20" s="54">
        <v>44533</v>
      </c>
      <c r="KM20" s="54">
        <v>44532</v>
      </c>
      <c r="KN20" s="54">
        <v>44531</v>
      </c>
      <c r="KO20" s="54">
        <v>44530</v>
      </c>
      <c r="KP20" s="54">
        <v>44529</v>
      </c>
      <c r="KQ20" s="54">
        <v>44526</v>
      </c>
      <c r="KR20" s="54">
        <v>44525</v>
      </c>
      <c r="KS20" s="54">
        <v>44524</v>
      </c>
      <c r="KT20" s="54">
        <v>44523</v>
      </c>
      <c r="KU20" s="54">
        <v>44522</v>
      </c>
      <c r="KV20" s="54">
        <v>44519</v>
      </c>
      <c r="KW20" s="54">
        <v>44518</v>
      </c>
      <c r="KX20" s="54">
        <v>44517</v>
      </c>
      <c r="KY20" s="54">
        <v>44516</v>
      </c>
      <c r="KZ20" s="54">
        <v>44515</v>
      </c>
      <c r="LA20" s="54">
        <v>44512</v>
      </c>
      <c r="LB20" s="54">
        <v>44511</v>
      </c>
      <c r="LC20" s="54">
        <v>44510</v>
      </c>
      <c r="LD20" s="54">
        <v>44509</v>
      </c>
      <c r="LE20" s="54">
        <v>44508</v>
      </c>
      <c r="LF20" s="54">
        <v>44505</v>
      </c>
      <c r="LG20" s="54">
        <v>44504</v>
      </c>
      <c r="LH20" s="54">
        <v>44503</v>
      </c>
      <c r="LI20" s="54">
        <v>44502</v>
      </c>
      <c r="LJ20" s="54">
        <v>44501</v>
      </c>
      <c r="LK20" s="54">
        <v>44498</v>
      </c>
      <c r="LL20" s="54">
        <v>44497</v>
      </c>
      <c r="LM20" s="54">
        <v>44496</v>
      </c>
      <c r="LN20" s="54">
        <v>44495</v>
      </c>
      <c r="LO20" s="54">
        <v>44494</v>
      </c>
      <c r="LP20" s="54">
        <v>44491</v>
      </c>
      <c r="LQ20" s="54">
        <v>44490</v>
      </c>
      <c r="LR20" s="54">
        <v>44489</v>
      </c>
      <c r="LS20" s="54">
        <v>44488</v>
      </c>
      <c r="LT20" s="54">
        <v>44487</v>
      </c>
      <c r="LU20" s="54">
        <v>44484</v>
      </c>
      <c r="LV20" s="54">
        <v>44483</v>
      </c>
      <c r="LW20" s="54">
        <v>44482</v>
      </c>
      <c r="LX20" s="54">
        <v>44481</v>
      </c>
      <c r="LY20" s="54">
        <v>44477</v>
      </c>
      <c r="LZ20" s="54">
        <v>44476</v>
      </c>
      <c r="MA20" s="54">
        <v>44475</v>
      </c>
      <c r="MB20" s="54">
        <v>44474</v>
      </c>
      <c r="MC20" s="54">
        <v>44470</v>
      </c>
      <c r="MD20" s="54">
        <v>44469</v>
      </c>
      <c r="ME20" s="54">
        <v>44468</v>
      </c>
      <c r="MF20" s="54">
        <v>44467</v>
      </c>
      <c r="MG20" s="54">
        <v>44466</v>
      </c>
      <c r="MH20" s="54">
        <v>44463</v>
      </c>
      <c r="MI20" s="54">
        <v>44462</v>
      </c>
      <c r="MJ20" s="54">
        <v>44456</v>
      </c>
      <c r="MK20" s="54">
        <v>44455</v>
      </c>
      <c r="ML20" s="54">
        <v>44454</v>
      </c>
      <c r="MM20" s="54">
        <v>44453</v>
      </c>
      <c r="MN20" s="54">
        <v>44452</v>
      </c>
      <c r="MO20" s="54">
        <v>44449</v>
      </c>
      <c r="MP20" s="54">
        <v>44448</v>
      </c>
      <c r="MQ20" s="54">
        <v>44447</v>
      </c>
      <c r="MR20" s="54">
        <v>44446</v>
      </c>
      <c r="MS20" s="54">
        <v>44445</v>
      </c>
      <c r="MT20" s="54">
        <v>44442</v>
      </c>
      <c r="MU20" s="54">
        <v>44441</v>
      </c>
      <c r="MV20" s="54">
        <v>44440</v>
      </c>
      <c r="MW20" s="54">
        <v>44439</v>
      </c>
      <c r="MX20" s="54">
        <v>44438</v>
      </c>
      <c r="MY20" s="54">
        <v>44435</v>
      </c>
      <c r="MZ20" s="54">
        <v>44434</v>
      </c>
      <c r="NA20" s="54">
        <v>44433</v>
      </c>
      <c r="NB20" s="54">
        <v>44432</v>
      </c>
      <c r="NC20" s="54">
        <v>44431</v>
      </c>
      <c r="ND20" s="54">
        <v>44428</v>
      </c>
      <c r="NE20" s="54">
        <v>44427</v>
      </c>
      <c r="NF20" s="54">
        <v>44426</v>
      </c>
      <c r="NG20" s="54">
        <v>44425</v>
      </c>
      <c r="NH20" s="54">
        <v>44421</v>
      </c>
      <c r="NI20" s="54">
        <v>44420</v>
      </c>
      <c r="NJ20" s="54">
        <v>44419</v>
      </c>
      <c r="NK20" s="54">
        <v>44418</v>
      </c>
      <c r="NL20" s="54">
        <v>44417</v>
      </c>
      <c r="NM20" s="54">
        <v>44414</v>
      </c>
      <c r="NN20" s="54">
        <v>44413</v>
      </c>
      <c r="NO20" s="54">
        <v>44412</v>
      </c>
      <c r="NP20" s="54">
        <v>44411</v>
      </c>
      <c r="NQ20" s="54">
        <v>44410</v>
      </c>
      <c r="NR20" s="54">
        <v>44407</v>
      </c>
      <c r="NS20" s="54">
        <v>44406</v>
      </c>
      <c r="NT20" s="54">
        <v>44405</v>
      </c>
      <c r="NU20" s="54">
        <v>44404</v>
      </c>
      <c r="NV20" s="54">
        <v>44403</v>
      </c>
    </row>
    <row r="21" spans="2:386" s="1" customFormat="1" ht="15" customHeight="1" thickBot="1" x14ac:dyDescent="0.3">
      <c r="B21"/>
      <c r="C21" s="32" t="s">
        <v>28</v>
      </c>
      <c r="D21" s="44">
        <f>IF(V18="","",V18)</f>
        <v>-1943</v>
      </c>
      <c r="E21" s="45">
        <f t="shared" si="5"/>
        <v>-718</v>
      </c>
      <c r="F21" s="45">
        <f t="shared" si="5"/>
        <v>-667</v>
      </c>
      <c r="G21" s="45">
        <f t="shared" si="5"/>
        <v>-3015</v>
      </c>
      <c r="H21" s="45">
        <f t="shared" si="5"/>
        <v>-844</v>
      </c>
      <c r="I21" s="45">
        <f t="shared" si="5"/>
        <v>1920</v>
      </c>
      <c r="J21" s="45">
        <f t="shared" si="5"/>
        <v>1001</v>
      </c>
      <c r="K21" s="45">
        <f t="shared" si="5"/>
        <v>1309</v>
      </c>
      <c r="L21" s="45">
        <f t="shared" si="5"/>
        <v>842</v>
      </c>
      <c r="M21" s="45">
        <f t="shared" si="5"/>
        <v>9427</v>
      </c>
      <c r="N21" s="45">
        <f t="shared" si="5"/>
        <v>-701</v>
      </c>
      <c r="O21" s="46">
        <f t="shared" si="5"/>
        <v>-457</v>
      </c>
      <c r="P21"/>
      <c r="Q21"/>
      <c r="T21" s="50"/>
      <c r="U21" s="55" t="s">
        <v>17</v>
      </c>
      <c r="V21" s="1">
        <v>9701107865</v>
      </c>
      <c r="W21" s="1">
        <v>39600610705</v>
      </c>
      <c r="X21" s="1">
        <v>98956784995</v>
      </c>
      <c r="Y21" s="1">
        <v>-4244857850</v>
      </c>
      <c r="Z21" s="1">
        <v>-8695365010</v>
      </c>
      <c r="AA21" s="1">
        <v>-10616215880</v>
      </c>
      <c r="AB21" s="1">
        <v>-42412009790</v>
      </c>
      <c r="AC21" s="1">
        <v>-127606231535</v>
      </c>
      <c r="AD21" s="1">
        <v>-44043267415</v>
      </c>
      <c r="AE21" s="1">
        <v>-48084739170</v>
      </c>
      <c r="AF21" s="1">
        <v>-37909745455</v>
      </c>
      <c r="AG21" s="1">
        <v>-19313464785</v>
      </c>
      <c r="AH21" s="1">
        <v>-52193382510</v>
      </c>
      <c r="AI21" s="1">
        <v>218832973660</v>
      </c>
      <c r="AJ21" s="1">
        <v>7403798185</v>
      </c>
      <c r="AK21" s="1">
        <v>9080442920</v>
      </c>
      <c r="AL21" s="1">
        <v>11534548855</v>
      </c>
      <c r="AM21" s="1">
        <v>-6847665040</v>
      </c>
      <c r="AN21" s="1">
        <v>-3197114890</v>
      </c>
      <c r="AO21" s="1">
        <v>-3902806705</v>
      </c>
      <c r="AP21" s="1">
        <v>12660944885</v>
      </c>
      <c r="AQ21" s="1">
        <v>-5480325400</v>
      </c>
      <c r="AR21" s="1">
        <v>30247228690</v>
      </c>
      <c r="AS21" s="1">
        <v>-1111684275</v>
      </c>
      <c r="AT21" s="1">
        <v>7986308630</v>
      </c>
      <c r="AU21" s="1">
        <v>16707483995</v>
      </c>
      <c r="AV21" s="1">
        <v>-3506726630</v>
      </c>
      <c r="AW21" s="1">
        <v>-17480239920</v>
      </c>
      <c r="AX21" s="1">
        <v>-14969308470</v>
      </c>
      <c r="AY21" s="1">
        <v>-4237682975</v>
      </c>
      <c r="AZ21" s="1">
        <v>-12032931320</v>
      </c>
      <c r="BA21" s="1">
        <v>-11329455605</v>
      </c>
      <c r="BB21" s="1">
        <v>-15967386625</v>
      </c>
      <c r="BC21" s="1">
        <v>-724774845</v>
      </c>
      <c r="BD21" s="1">
        <v>-12685224915</v>
      </c>
      <c r="BE21" s="1">
        <v>22989837510</v>
      </c>
      <c r="BF21" s="1">
        <v>-4084266100</v>
      </c>
      <c r="BG21" s="1">
        <v>31400199500</v>
      </c>
      <c r="BH21" s="1">
        <v>15195343715</v>
      </c>
      <c r="BI21" s="1">
        <v>25538485795</v>
      </c>
      <c r="BJ21" s="1">
        <v>1728489060</v>
      </c>
      <c r="BK21" s="1">
        <v>39359317505</v>
      </c>
      <c r="BL21" s="1">
        <v>46136701870</v>
      </c>
      <c r="BM21" s="1">
        <v>80370886140</v>
      </c>
      <c r="BN21" s="1">
        <v>37491181675</v>
      </c>
      <c r="BO21" s="1">
        <v>120426942430</v>
      </c>
      <c r="BP21" s="1">
        <v>-53628927890</v>
      </c>
      <c r="BQ21" s="1">
        <v>62192640145</v>
      </c>
      <c r="BR21" s="1">
        <v>9466831355</v>
      </c>
      <c r="BS21" s="1">
        <v>4503554825</v>
      </c>
      <c r="BT21" s="1">
        <v>-13058806190</v>
      </c>
      <c r="BU21" s="1">
        <v>-70123701120</v>
      </c>
      <c r="BV21" s="1">
        <v>-22139076565</v>
      </c>
      <c r="BW21" s="1">
        <v>7949014940</v>
      </c>
      <c r="BX21" s="1">
        <v>4160933475</v>
      </c>
      <c r="BY21" s="1">
        <v>14122395870</v>
      </c>
      <c r="BZ21" s="1">
        <v>21550916260</v>
      </c>
      <c r="CA21" s="1">
        <v>-6514721610</v>
      </c>
      <c r="CB21" s="1">
        <v>-1039147970</v>
      </c>
      <c r="CC21" s="1">
        <v>14355349385</v>
      </c>
      <c r="CD21" s="1">
        <v>-10299356815</v>
      </c>
      <c r="CE21" s="1">
        <v>-10940297785</v>
      </c>
      <c r="CF21" s="1">
        <v>-13774943640</v>
      </c>
      <c r="CG21" s="1">
        <v>2086259415</v>
      </c>
      <c r="CH21" s="1">
        <v>-40682083845</v>
      </c>
      <c r="CI21" s="1">
        <v>-1091494330</v>
      </c>
      <c r="CJ21" s="1">
        <v>-157473518285</v>
      </c>
      <c r="CK21" s="1">
        <v>-96805683205</v>
      </c>
      <c r="CL21" s="1">
        <v>-68853444945</v>
      </c>
      <c r="CM21" s="1">
        <v>-13469465915</v>
      </c>
      <c r="CN21" s="1">
        <v>-36858998420</v>
      </c>
      <c r="CO21" s="1">
        <v>-70617929935</v>
      </c>
      <c r="CP21" s="1">
        <v>-6367902730</v>
      </c>
      <c r="CQ21" s="1">
        <v>20440310940</v>
      </c>
      <c r="CR21" s="1">
        <v>9270215150</v>
      </c>
      <c r="CS21" s="1">
        <v>-9780654045</v>
      </c>
      <c r="CT21" s="1">
        <v>12419278710</v>
      </c>
      <c r="CU21" s="1">
        <v>13184978805</v>
      </c>
      <c r="CV21" s="1">
        <v>-26910454240</v>
      </c>
      <c r="CW21" s="1">
        <v>-58906851665</v>
      </c>
      <c r="CX21" s="1">
        <v>-3742906955</v>
      </c>
      <c r="CY21" s="1">
        <v>6333422665</v>
      </c>
      <c r="CZ21" s="1">
        <v>3136865440</v>
      </c>
      <c r="DA21" s="1">
        <v>-118297981765</v>
      </c>
      <c r="DB21" s="1">
        <v>-67049255925</v>
      </c>
      <c r="DC21" s="1">
        <v>-21748370210</v>
      </c>
      <c r="DD21" s="1">
        <v>29563393085</v>
      </c>
      <c r="DE21" s="1">
        <v>-113299861885</v>
      </c>
      <c r="DF21" s="1">
        <v>-58029497620</v>
      </c>
      <c r="DG21" s="1">
        <v>-9656212120</v>
      </c>
      <c r="DH21" s="1">
        <v>28542204045</v>
      </c>
      <c r="DI21" s="1">
        <v>-144466079005</v>
      </c>
      <c r="DJ21" s="1">
        <v>-421502689690</v>
      </c>
      <c r="DK21" s="1">
        <v>-79434259415</v>
      </c>
      <c r="DL21" s="1">
        <v>-8590695895</v>
      </c>
      <c r="DM21" s="1">
        <v>-16042441530</v>
      </c>
      <c r="DN21" s="1">
        <v>-7987049125</v>
      </c>
      <c r="DO21" s="1">
        <v>2798351340</v>
      </c>
      <c r="DP21" s="1">
        <v>-7082106265</v>
      </c>
      <c r="DQ21" s="1">
        <v>-12976852200</v>
      </c>
      <c r="DR21" s="1">
        <v>-940791825</v>
      </c>
      <c r="DS21" s="1">
        <v>-4502573305</v>
      </c>
      <c r="DT21" s="1">
        <v>-30226528080</v>
      </c>
      <c r="DU21" s="1">
        <v>5123110825</v>
      </c>
      <c r="DV21" s="1">
        <v>2827748805</v>
      </c>
      <c r="DW21" s="1">
        <v>11060494675</v>
      </c>
      <c r="DX21" s="1">
        <v>16836725945</v>
      </c>
      <c r="DY21" s="1">
        <v>-15930959160</v>
      </c>
      <c r="DZ21" s="1">
        <v>12659943135</v>
      </c>
      <c r="EA21" s="1">
        <v>-32611628785</v>
      </c>
      <c r="EB21" s="1">
        <v>-495886025</v>
      </c>
      <c r="EC21" s="1">
        <v>-25186268505</v>
      </c>
      <c r="ED21" s="1">
        <v>11329169640</v>
      </c>
      <c r="EE21" s="1">
        <v>-13745046935</v>
      </c>
      <c r="EF21" s="1">
        <v>-4650728880</v>
      </c>
      <c r="EG21" s="1">
        <v>12189328090</v>
      </c>
      <c r="EH21" s="1">
        <v>5923559970</v>
      </c>
      <c r="EI21" s="1">
        <v>13959263015</v>
      </c>
      <c r="EJ21" s="1">
        <v>-460294840</v>
      </c>
      <c r="EK21" s="1">
        <v>16278145855</v>
      </c>
      <c r="EL21" s="1">
        <v>-16699410615</v>
      </c>
      <c r="EM21" s="1">
        <v>-29667372145</v>
      </c>
      <c r="EN21" s="1">
        <v>-2904034510</v>
      </c>
      <c r="EO21" s="1">
        <v>-18712069405</v>
      </c>
      <c r="EP21" s="1">
        <v>-31332020790</v>
      </c>
      <c r="EQ21" s="1">
        <v>-11411416240</v>
      </c>
      <c r="ER21" s="1">
        <v>14560373060</v>
      </c>
      <c r="ES21" s="1">
        <v>-876361600</v>
      </c>
      <c r="ET21" s="1">
        <v>-2665408535</v>
      </c>
      <c r="EU21" s="1">
        <v>-9328480040</v>
      </c>
      <c r="EV21" s="1">
        <v>-11140480130</v>
      </c>
      <c r="EW21" s="1">
        <v>16059932725</v>
      </c>
      <c r="EX21" s="1">
        <v>-35573326155</v>
      </c>
      <c r="EY21" s="1">
        <v>7491781380</v>
      </c>
      <c r="EZ21" s="1">
        <v>43203137595</v>
      </c>
      <c r="FA21" s="1">
        <v>10493805610</v>
      </c>
      <c r="FB21" s="1">
        <v>-9682383075</v>
      </c>
      <c r="FC21" s="1">
        <v>-23549100110</v>
      </c>
      <c r="FD21" s="1">
        <v>-449760515</v>
      </c>
      <c r="FE21" s="1">
        <v>-27259928745</v>
      </c>
      <c r="FF21" s="1">
        <v>164624789120</v>
      </c>
      <c r="FG21" s="1">
        <v>184600944430</v>
      </c>
      <c r="FH21" s="1">
        <v>11194838925</v>
      </c>
      <c r="FI21" s="1">
        <v>46089697185</v>
      </c>
      <c r="FJ21" s="1">
        <v>51862443335</v>
      </c>
      <c r="FK21" s="1">
        <v>12008100470</v>
      </c>
      <c r="FL21" s="1">
        <v>31276261150</v>
      </c>
      <c r="FM21" s="1">
        <v>-9663975365</v>
      </c>
      <c r="FN21" s="1">
        <v>21771684485</v>
      </c>
      <c r="FO21" s="1">
        <v>3043135760</v>
      </c>
      <c r="FP21" s="1">
        <v>-41368444945</v>
      </c>
      <c r="FQ21" s="1">
        <v>1074743835</v>
      </c>
      <c r="FR21" s="1">
        <v>9255757075</v>
      </c>
      <c r="FS21" s="1">
        <v>-23591128840</v>
      </c>
      <c r="FT21" s="1">
        <v>24006068935</v>
      </c>
      <c r="FU21" s="1">
        <v>-29031581365</v>
      </c>
      <c r="FV21" s="1">
        <v>-15613891495</v>
      </c>
      <c r="FW21" s="1">
        <v>21236056440</v>
      </c>
      <c r="FX21" s="1">
        <v>20501095900</v>
      </c>
      <c r="FY21" s="1">
        <v>11356812995</v>
      </c>
      <c r="FZ21" s="1">
        <v>19110990985</v>
      </c>
      <c r="GA21" s="1">
        <v>-803353055</v>
      </c>
      <c r="GB21" s="1">
        <v>18149752070</v>
      </c>
      <c r="GC21" s="1">
        <v>35634603530</v>
      </c>
      <c r="GD21" s="1">
        <v>-8243883840</v>
      </c>
      <c r="GE21" s="1">
        <v>2403984355</v>
      </c>
      <c r="GF21" s="1">
        <v>11513314500</v>
      </c>
      <c r="GG21" s="1">
        <v>8504922550</v>
      </c>
      <c r="GH21" s="1">
        <v>42715072290</v>
      </c>
      <c r="GI21" s="1">
        <v>-2294974715</v>
      </c>
      <c r="GJ21" s="1">
        <v>-38994176140</v>
      </c>
      <c r="GK21" s="1">
        <v>734264590</v>
      </c>
      <c r="GL21" s="1">
        <v>-9597907100</v>
      </c>
      <c r="GM21" s="1">
        <v>-64534462015</v>
      </c>
      <c r="GN21" s="1">
        <v>643732005</v>
      </c>
      <c r="GO21" s="1">
        <v>-26121395430</v>
      </c>
      <c r="GP21" s="1">
        <v>-14839851050</v>
      </c>
      <c r="GQ21" s="1">
        <v>22981172880</v>
      </c>
      <c r="GR21" s="1">
        <v>-33190876560</v>
      </c>
      <c r="GS21" s="1">
        <v>-1241190825</v>
      </c>
      <c r="GT21" s="1">
        <v>-3119764205</v>
      </c>
      <c r="GU21" s="1">
        <v>-117975760990</v>
      </c>
      <c r="GV21" s="1">
        <v>-74792410025</v>
      </c>
      <c r="GW21" s="1">
        <v>23706034010</v>
      </c>
      <c r="GX21" s="1">
        <v>-29298617190</v>
      </c>
      <c r="GY21" s="1">
        <v>18852348255</v>
      </c>
      <c r="GZ21" s="1">
        <v>-31073377215</v>
      </c>
      <c r="HA21" s="1">
        <v>-85417531760</v>
      </c>
      <c r="HB21" s="1">
        <v>-33858924465</v>
      </c>
      <c r="HC21" s="1">
        <v>22165796385</v>
      </c>
      <c r="HD21" s="1">
        <v>-19837478010</v>
      </c>
      <c r="HE21" s="1">
        <v>-1927100180</v>
      </c>
      <c r="HF21" s="1">
        <v>11718429475</v>
      </c>
      <c r="HG21" s="1">
        <v>-87292004040</v>
      </c>
      <c r="HH21" s="1">
        <v>-41199774465</v>
      </c>
      <c r="HI21" s="1">
        <v>-4266504895</v>
      </c>
      <c r="HJ21" s="1">
        <v>12365282555</v>
      </c>
      <c r="HK21" s="1">
        <v>-37165299770</v>
      </c>
      <c r="HL21" s="1">
        <v>3553096975</v>
      </c>
      <c r="HM21" s="1">
        <v>13751012360</v>
      </c>
      <c r="HN21" s="1">
        <v>8193005950</v>
      </c>
      <c r="HO21" s="1">
        <v>1165686420</v>
      </c>
      <c r="HP21" s="1">
        <v>-3477627940</v>
      </c>
      <c r="HQ21" s="1">
        <v>-28202642690</v>
      </c>
      <c r="HR21" s="1">
        <v>5941524420</v>
      </c>
      <c r="HS21" s="1">
        <v>23128455030</v>
      </c>
      <c r="HT21" s="1">
        <v>-10402699495</v>
      </c>
      <c r="HU21" s="1">
        <v>-4237795270</v>
      </c>
      <c r="HV21" s="1">
        <v>9140019790</v>
      </c>
      <c r="HW21" s="1">
        <v>30671934940</v>
      </c>
      <c r="HX21" s="1">
        <v>-10170453035</v>
      </c>
      <c r="HY21" s="1">
        <v>-3225213140</v>
      </c>
      <c r="HZ21" s="1">
        <v>-37903518915</v>
      </c>
      <c r="IA21" s="1">
        <v>18124084505</v>
      </c>
      <c r="IB21" s="1">
        <v>-19357111460</v>
      </c>
      <c r="IC21" s="1">
        <v>-326254375615</v>
      </c>
      <c r="ID21" s="1">
        <v>-117932622290</v>
      </c>
      <c r="IE21" s="1">
        <v>-5326076320</v>
      </c>
      <c r="IF21" s="1">
        <v>-14752760815</v>
      </c>
      <c r="IG21" s="1">
        <v>-10963983560</v>
      </c>
      <c r="IH21" s="1">
        <v>19403953485</v>
      </c>
      <c r="II21" s="1">
        <v>-16961151265</v>
      </c>
      <c r="IJ21" s="1">
        <v>846045520</v>
      </c>
      <c r="IK21" s="1">
        <v>-277511925</v>
      </c>
      <c r="IL21" s="1">
        <v>-2833933045</v>
      </c>
      <c r="IM21" s="1">
        <v>-5210190245</v>
      </c>
      <c r="IN21" s="1">
        <v>7586108010</v>
      </c>
      <c r="IO21" s="1">
        <v>3269530160</v>
      </c>
      <c r="IP21" s="1">
        <v>4213590170</v>
      </c>
      <c r="IQ21" s="1">
        <v>47141569590</v>
      </c>
      <c r="IR21" s="1">
        <v>-79139195550</v>
      </c>
      <c r="IS21" s="1">
        <v>-10963900440</v>
      </c>
      <c r="IT21" s="1">
        <v>3171267465</v>
      </c>
      <c r="IU21" s="1">
        <v>11368899205</v>
      </c>
      <c r="IV21" s="1">
        <v>-33270437815</v>
      </c>
      <c r="IW21" s="1">
        <v>-7396436465</v>
      </c>
      <c r="IX21" s="1">
        <v>24260010080</v>
      </c>
      <c r="IY21" s="1">
        <v>6415310625</v>
      </c>
      <c r="IZ21" s="1">
        <v>-9371542895</v>
      </c>
      <c r="JA21" s="1">
        <v>14315774095</v>
      </c>
      <c r="JB21" s="1">
        <v>-12876667245</v>
      </c>
      <c r="JC21" s="1">
        <v>27650565535</v>
      </c>
      <c r="JD21" s="1">
        <v>-5373889915</v>
      </c>
      <c r="JE21" s="1">
        <v>5977885100</v>
      </c>
      <c r="JF21" s="1">
        <v>4326109115</v>
      </c>
      <c r="JG21" s="1">
        <v>-10730353015</v>
      </c>
      <c r="JH21" s="1">
        <v>-17469258615</v>
      </c>
      <c r="JI21" s="1">
        <v>-97684013915</v>
      </c>
      <c r="JJ21" s="1">
        <v>-35770219005</v>
      </c>
      <c r="JK21" s="1">
        <v>46633602185</v>
      </c>
      <c r="JL21" s="1">
        <v>-30457474160</v>
      </c>
      <c r="JM21" s="1">
        <v>-77366510990</v>
      </c>
      <c r="JN21" s="1">
        <v>-22739135940</v>
      </c>
      <c r="JO21" s="1">
        <v>-60744654415</v>
      </c>
      <c r="JP21" s="1">
        <v>-524193422890</v>
      </c>
      <c r="JQ21" s="1">
        <v>-198869465425</v>
      </c>
      <c r="JR21" s="1">
        <v>-36200121845</v>
      </c>
      <c r="JS21" s="1">
        <v>-26627464340</v>
      </c>
      <c r="JT21" s="1">
        <v>-29664903215</v>
      </c>
      <c r="JU21" s="1">
        <v>17401939435</v>
      </c>
      <c r="JV21" s="1">
        <v>6699497025</v>
      </c>
      <c r="JW21" s="1">
        <v>42681854775</v>
      </c>
      <c r="JX21" s="1">
        <v>40989168170</v>
      </c>
      <c r="JY21" s="1">
        <v>-15421568880</v>
      </c>
      <c r="JZ21" s="1">
        <v>40440494620</v>
      </c>
      <c r="KA21" s="1">
        <v>-34406271570</v>
      </c>
      <c r="KB21" s="1">
        <v>5239398325</v>
      </c>
      <c r="KC21" s="1">
        <v>16364975975</v>
      </c>
      <c r="KD21" s="1">
        <v>9650660675</v>
      </c>
      <c r="KE21" s="1">
        <v>-19288864845</v>
      </c>
      <c r="KF21" s="1">
        <v>30273914795</v>
      </c>
      <c r="KG21" s="1">
        <v>-8458686595</v>
      </c>
      <c r="KH21" s="1">
        <v>93083539465</v>
      </c>
      <c r="KI21" s="1">
        <v>287810199210</v>
      </c>
      <c r="KJ21" s="1">
        <v>-12178171970</v>
      </c>
      <c r="KK21" s="1">
        <v>23044490810</v>
      </c>
      <c r="KL21" s="1">
        <v>15555967105</v>
      </c>
      <c r="KM21" s="1">
        <v>63327034445</v>
      </c>
      <c r="KN21" s="1">
        <v>55705690845</v>
      </c>
      <c r="KO21" s="1">
        <v>23299853975</v>
      </c>
      <c r="KP21" s="1">
        <v>97260398950</v>
      </c>
      <c r="KQ21" s="1">
        <v>-357303270</v>
      </c>
      <c r="KR21" s="1">
        <v>8720843265</v>
      </c>
      <c r="KS21" s="1">
        <v>3875494205</v>
      </c>
      <c r="KT21" s="1">
        <v>-21298854735</v>
      </c>
      <c r="KU21" s="1">
        <v>134475851265</v>
      </c>
      <c r="KV21" s="1">
        <v>3781387985</v>
      </c>
      <c r="KW21" s="1">
        <v>16391042315</v>
      </c>
      <c r="KX21" s="1">
        <v>-34396025440</v>
      </c>
      <c r="KY21" s="1">
        <v>-3583934725</v>
      </c>
      <c r="KZ21" s="1">
        <v>15595088875</v>
      </c>
      <c r="LA21" s="1">
        <v>19904849720</v>
      </c>
      <c r="LB21" s="1">
        <v>10201068890</v>
      </c>
      <c r="LC21" s="1">
        <v>-16445865520</v>
      </c>
      <c r="LD21" s="1">
        <v>11250720480</v>
      </c>
      <c r="LE21" s="1">
        <v>1368669720</v>
      </c>
      <c r="LF21" s="1">
        <v>1651315490</v>
      </c>
      <c r="LG21" s="1">
        <v>22749528045</v>
      </c>
      <c r="LH21" s="1">
        <v>-21269866750</v>
      </c>
      <c r="LI21" s="1">
        <v>33165037420</v>
      </c>
      <c r="LJ21" s="1">
        <v>28703782980</v>
      </c>
      <c r="LK21" s="1">
        <v>-16839071300</v>
      </c>
      <c r="LL21" s="1">
        <v>4301312155</v>
      </c>
      <c r="LM21" s="1">
        <v>2035633600</v>
      </c>
      <c r="LN21" s="1">
        <v>-1453993025</v>
      </c>
      <c r="LO21" s="1">
        <v>-3372300595</v>
      </c>
      <c r="LP21" s="1">
        <v>-1928760420</v>
      </c>
      <c r="LQ21" s="1">
        <v>-23354373445</v>
      </c>
      <c r="LR21" s="1">
        <v>2006459945</v>
      </c>
      <c r="LS21" s="1">
        <v>3637957900</v>
      </c>
      <c r="LT21" s="1">
        <v>-9885561070</v>
      </c>
      <c r="LU21" s="1">
        <v>-13019315390</v>
      </c>
      <c r="LV21" s="1">
        <v>-90735865760</v>
      </c>
      <c r="LW21" s="1">
        <v>44269817290</v>
      </c>
      <c r="LX21" s="1">
        <v>-8034579975</v>
      </c>
      <c r="LY21" s="1">
        <v>-1924172780</v>
      </c>
      <c r="LZ21" s="1">
        <v>23290281070</v>
      </c>
      <c r="MA21" s="1">
        <v>-18317647595</v>
      </c>
      <c r="MB21" s="1">
        <v>17417657495</v>
      </c>
      <c r="MC21" s="1">
        <v>-77980153655</v>
      </c>
      <c r="MD21" s="1">
        <v>-90116448380</v>
      </c>
      <c r="ME21" s="1">
        <v>-58858937360</v>
      </c>
      <c r="MF21" s="1">
        <v>-37892338440</v>
      </c>
      <c r="MG21" s="1">
        <v>1893698550</v>
      </c>
      <c r="MH21" s="1">
        <v>-1510212790</v>
      </c>
      <c r="MI21" s="1">
        <v>-6173788210</v>
      </c>
      <c r="MJ21" s="1">
        <v>-23922636095</v>
      </c>
      <c r="MK21" s="1">
        <v>-9699285645</v>
      </c>
      <c r="ML21" s="1">
        <v>5459269300</v>
      </c>
      <c r="MM21" s="1">
        <v>85453421350</v>
      </c>
      <c r="MN21" s="1">
        <v>20482131375</v>
      </c>
      <c r="MO21" s="1">
        <v>14772683720</v>
      </c>
      <c r="MP21" s="1">
        <v>-73166410805</v>
      </c>
      <c r="MQ21" s="1">
        <v>63256704790</v>
      </c>
      <c r="MR21" s="1">
        <v>14867522150</v>
      </c>
      <c r="MS21" s="1">
        <v>11777509700</v>
      </c>
      <c r="MT21" s="1">
        <v>32194635790</v>
      </c>
      <c r="MU21" s="1">
        <v>1460349390</v>
      </c>
      <c r="MV21" s="1">
        <v>-81799280</v>
      </c>
      <c r="MW21" s="1">
        <v>23477045360</v>
      </c>
      <c r="MX21" s="1">
        <v>17277938560</v>
      </c>
      <c r="MY21" s="1">
        <v>34387105700</v>
      </c>
      <c r="MZ21" s="1">
        <v>16410881405</v>
      </c>
      <c r="NA21" s="1">
        <v>-1081789655</v>
      </c>
      <c r="NB21" s="1">
        <v>4509394205</v>
      </c>
      <c r="NC21" s="1">
        <v>46617482875</v>
      </c>
      <c r="ND21" s="1">
        <v>20237340025</v>
      </c>
      <c r="NE21" s="1">
        <v>84791528370</v>
      </c>
      <c r="NF21" s="1">
        <v>3760813295</v>
      </c>
      <c r="NG21" s="1">
        <v>-84479036520</v>
      </c>
      <c r="NH21" s="1">
        <v>32524539835</v>
      </c>
      <c r="NI21" s="1">
        <v>66597928890</v>
      </c>
      <c r="NJ21" s="1">
        <v>6983902545</v>
      </c>
      <c r="NK21" s="1">
        <v>-11511116020</v>
      </c>
      <c r="NL21" s="1">
        <v>-14934016395</v>
      </c>
      <c r="NM21" s="1">
        <v>-7607462215</v>
      </c>
      <c r="NN21" s="1">
        <v>49676041855</v>
      </c>
      <c r="NO21" s="1">
        <v>89499414840</v>
      </c>
      <c r="NP21" s="1">
        <v>25063042565</v>
      </c>
      <c r="NQ21" s="1">
        <v>-11658379820</v>
      </c>
      <c r="NR21" s="1">
        <v>-19752492570</v>
      </c>
      <c r="NS21" s="1">
        <v>6353622775</v>
      </c>
      <c r="NT21" s="1">
        <v>9663309505</v>
      </c>
      <c r="NU21" s="1">
        <v>12740509530</v>
      </c>
      <c r="NV21" s="1">
        <v>-14390941205</v>
      </c>
    </row>
    <row r="22" spans="2:386" s="1" customFormat="1" ht="15" customHeight="1" x14ac:dyDescent="0.25"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T22" s="50"/>
      <c r="U22" s="55" t="s">
        <v>18</v>
      </c>
      <c r="V22" s="1">
        <v>114135693112</v>
      </c>
      <c r="W22" s="1">
        <v>427383687470</v>
      </c>
      <c r="X22" s="1">
        <v>50488839069</v>
      </c>
      <c r="Y22" s="1">
        <v>51305612253</v>
      </c>
      <c r="Z22" s="1">
        <v>-44723459467</v>
      </c>
      <c r="AA22" s="1">
        <v>481768827353</v>
      </c>
      <c r="AB22" s="1">
        <v>278626865018</v>
      </c>
      <c r="AC22" s="1">
        <v>415605765777</v>
      </c>
      <c r="AD22" s="1">
        <v>262414338400</v>
      </c>
      <c r="AE22" s="1">
        <v>97633420571</v>
      </c>
      <c r="AF22" s="1">
        <v>7726464840</v>
      </c>
      <c r="AG22" s="1">
        <v>-176614862756</v>
      </c>
      <c r="AH22" s="1">
        <v>-118365646175</v>
      </c>
      <c r="AI22" s="1">
        <v>60029900673</v>
      </c>
      <c r="AJ22" s="1">
        <v>68954681468</v>
      </c>
      <c r="AK22" s="1">
        <v>1571177785</v>
      </c>
      <c r="AL22" s="1">
        <v>181317872086</v>
      </c>
      <c r="AM22" s="1">
        <v>-74153889087</v>
      </c>
      <c r="AN22" s="1">
        <v>-115396519427</v>
      </c>
      <c r="AO22" s="1">
        <v>-117700685809</v>
      </c>
      <c r="AP22" s="1">
        <v>150641626066</v>
      </c>
      <c r="AQ22" s="1">
        <v>-37913058684</v>
      </c>
      <c r="AR22" s="1">
        <v>224911867460</v>
      </c>
      <c r="AS22" s="1">
        <v>-112749066190</v>
      </c>
      <c r="AT22" s="1">
        <v>49622371588</v>
      </c>
      <c r="AU22" s="1">
        <v>68290741546</v>
      </c>
      <c r="AV22" s="1">
        <v>13545286580</v>
      </c>
      <c r="AW22" s="1">
        <v>-67461002654</v>
      </c>
      <c r="AX22" s="1">
        <v>100277708150</v>
      </c>
      <c r="AY22" s="1">
        <v>-252066220504</v>
      </c>
      <c r="AZ22" s="1">
        <v>-337790138216</v>
      </c>
      <c r="BA22" s="1">
        <v>-20447743419</v>
      </c>
      <c r="BB22" s="1">
        <v>940684758844</v>
      </c>
      <c r="BC22" s="1">
        <v>117410639380</v>
      </c>
      <c r="BD22" s="1">
        <v>-145355875667</v>
      </c>
      <c r="BE22" s="1">
        <v>95075134129</v>
      </c>
      <c r="BF22" s="1">
        <v>156427890627</v>
      </c>
      <c r="BG22" s="1">
        <v>95830752922</v>
      </c>
      <c r="BH22" s="1">
        <v>62543995292</v>
      </c>
      <c r="BI22" s="1">
        <v>34708944338</v>
      </c>
      <c r="BJ22" s="1">
        <v>345793041976</v>
      </c>
      <c r="BK22" s="1">
        <v>-174103333091</v>
      </c>
      <c r="BL22" s="1">
        <v>240812239432</v>
      </c>
      <c r="BM22" s="1">
        <v>-104274323337</v>
      </c>
      <c r="BN22" s="1">
        <v>98958417498</v>
      </c>
      <c r="BO22" s="1">
        <v>599937716173</v>
      </c>
      <c r="BP22" s="1">
        <v>-219778738651</v>
      </c>
      <c r="BQ22" s="1">
        <v>198961223842</v>
      </c>
      <c r="BR22" s="1">
        <v>184635840736</v>
      </c>
      <c r="BS22" s="1">
        <v>48835755854</v>
      </c>
      <c r="BT22" s="1">
        <v>-17596189551</v>
      </c>
      <c r="BU22" s="1">
        <v>195951424251</v>
      </c>
      <c r="BV22" s="1">
        <v>354924202130</v>
      </c>
      <c r="BW22" s="1">
        <v>391836621941</v>
      </c>
      <c r="BX22" s="1">
        <v>109441575972</v>
      </c>
      <c r="BY22" s="1">
        <v>-86851620726</v>
      </c>
      <c r="BZ22" s="1">
        <v>337859522451</v>
      </c>
      <c r="CA22" s="1">
        <v>439432519039</v>
      </c>
      <c r="CB22" s="1">
        <v>-72690464548</v>
      </c>
      <c r="CC22" s="1">
        <v>54426677198</v>
      </c>
      <c r="CD22" s="1">
        <v>73650675665</v>
      </c>
      <c r="CE22" s="1">
        <v>-182421547538</v>
      </c>
      <c r="CF22" s="1">
        <v>109211310780</v>
      </c>
      <c r="CG22" s="1">
        <v>-132205822206</v>
      </c>
      <c r="CH22" s="1">
        <v>203184902112</v>
      </c>
      <c r="CI22" s="1">
        <v>209096390934</v>
      </c>
      <c r="CJ22" s="1">
        <v>-101972009855</v>
      </c>
      <c r="CK22" s="1">
        <v>59795646861</v>
      </c>
      <c r="CL22" s="1">
        <v>246341289842</v>
      </c>
      <c r="CM22" s="1">
        <v>-158522251298</v>
      </c>
      <c r="CN22" s="1">
        <v>61556119059</v>
      </c>
      <c r="CO22" s="1">
        <v>-226924680252</v>
      </c>
      <c r="CP22" s="1">
        <v>167372860460</v>
      </c>
      <c r="CQ22" s="1">
        <v>283128874312</v>
      </c>
      <c r="CR22" s="1">
        <v>96653544781</v>
      </c>
      <c r="CS22" s="1">
        <v>-240084893162</v>
      </c>
      <c r="CT22" s="1">
        <v>-261939426633</v>
      </c>
      <c r="CU22" s="1">
        <v>-163325558262</v>
      </c>
      <c r="CV22" s="1">
        <v>-168590220897</v>
      </c>
      <c r="CW22" s="1">
        <v>-56148230751</v>
      </c>
      <c r="CX22" s="1">
        <v>-137242942286</v>
      </c>
      <c r="CY22" s="1">
        <v>87635033617</v>
      </c>
      <c r="CZ22" s="1">
        <v>109034227276</v>
      </c>
      <c r="DA22" s="1">
        <v>-139882678941</v>
      </c>
      <c r="DB22" s="1">
        <v>-218174937688</v>
      </c>
      <c r="DC22" s="1">
        <v>-155480181545</v>
      </c>
      <c r="DD22" s="1">
        <v>325634871893</v>
      </c>
      <c r="DE22" s="1">
        <v>-302062491916</v>
      </c>
      <c r="DF22" s="1">
        <v>-346058538406</v>
      </c>
      <c r="DG22" s="1">
        <v>-64430161169</v>
      </c>
      <c r="DH22" s="1">
        <v>-58964831496</v>
      </c>
      <c r="DI22" s="1">
        <v>-124466007843</v>
      </c>
      <c r="DJ22" s="1">
        <v>-429221851169</v>
      </c>
      <c r="DK22" s="1">
        <v>370970185985</v>
      </c>
      <c r="DL22" s="1">
        <v>8916189577</v>
      </c>
      <c r="DM22" s="1">
        <v>-145707634634</v>
      </c>
      <c r="DN22" s="1">
        <v>-16439890513</v>
      </c>
      <c r="DO22" s="1">
        <v>63978706878</v>
      </c>
      <c r="DP22" s="1">
        <v>74677488667</v>
      </c>
      <c r="DQ22" s="1">
        <v>33585770257</v>
      </c>
      <c r="DR22" s="1">
        <v>93399940252</v>
      </c>
      <c r="DS22" s="1">
        <v>-66001157433</v>
      </c>
      <c r="DT22" s="1">
        <v>234163583536</v>
      </c>
      <c r="DU22" s="1">
        <v>11529646365</v>
      </c>
      <c r="DV22" s="1">
        <v>-138392293502</v>
      </c>
      <c r="DW22" s="1">
        <v>43022550701</v>
      </c>
      <c r="DX22" s="1">
        <v>430519793896</v>
      </c>
      <c r="DY22" s="1">
        <v>-99840737212</v>
      </c>
      <c r="DZ22" s="1">
        <v>181912946316</v>
      </c>
      <c r="EA22" s="1">
        <v>205214130696</v>
      </c>
      <c r="EB22" s="1">
        <v>380216246842</v>
      </c>
      <c r="EC22" s="1">
        <v>220945147090</v>
      </c>
      <c r="ED22" s="1">
        <v>364969128240</v>
      </c>
      <c r="EE22" s="1">
        <v>117373379167</v>
      </c>
      <c r="EF22" s="1">
        <v>121613338800</v>
      </c>
      <c r="EG22" s="1">
        <v>212879447562</v>
      </c>
      <c r="EH22" s="1">
        <v>302537658718</v>
      </c>
      <c r="EI22" s="1">
        <v>-42925692676</v>
      </c>
      <c r="EJ22" s="1">
        <v>17460953900</v>
      </c>
      <c r="EK22" s="1">
        <v>93231080110</v>
      </c>
      <c r="EL22" s="1">
        <v>-102101813821</v>
      </c>
      <c r="EM22" s="1">
        <v>398414849765</v>
      </c>
      <c r="EN22" s="1">
        <v>1138295483</v>
      </c>
      <c r="EO22" s="1">
        <v>-12136925262</v>
      </c>
      <c r="EP22" s="1">
        <v>317385843972</v>
      </c>
      <c r="EQ22" s="1">
        <v>86972495608</v>
      </c>
      <c r="ER22" s="1">
        <v>89841427737</v>
      </c>
      <c r="ES22" s="1">
        <v>9833879168</v>
      </c>
      <c r="ET22" s="1">
        <v>13064235174</v>
      </c>
      <c r="EU22" s="1">
        <v>-36749261534</v>
      </c>
      <c r="EV22" s="1">
        <v>100218148834</v>
      </c>
      <c r="EW22" s="1">
        <v>123305010332</v>
      </c>
      <c r="EX22" s="1">
        <v>-104338124242</v>
      </c>
      <c r="EY22" s="1">
        <v>111815106660</v>
      </c>
      <c r="EZ22" s="1">
        <v>-175885460345</v>
      </c>
      <c r="FA22" s="1">
        <v>-370943607175</v>
      </c>
      <c r="FB22" s="1">
        <v>-448226972499</v>
      </c>
      <c r="FC22" s="1">
        <v>-265696564779</v>
      </c>
      <c r="FD22" s="1">
        <v>-113254814804</v>
      </c>
      <c r="FE22" s="1">
        <v>64445353082</v>
      </c>
      <c r="FF22" s="1">
        <v>65520626346</v>
      </c>
      <c r="FG22" s="1">
        <v>-63925503647</v>
      </c>
      <c r="FH22" s="1">
        <v>-178129738194</v>
      </c>
      <c r="FI22" s="1">
        <v>-183753039522</v>
      </c>
      <c r="FJ22" s="1">
        <v>-468929349237</v>
      </c>
      <c r="FK22" s="1">
        <v>-427879706254</v>
      </c>
      <c r="FL22" s="1">
        <v>145481667310</v>
      </c>
      <c r="FM22" s="1">
        <v>-427094548817</v>
      </c>
      <c r="FN22" s="1">
        <v>34295192536</v>
      </c>
      <c r="FO22" s="1">
        <v>-284447600553</v>
      </c>
      <c r="FP22" s="1">
        <v>-550793292144</v>
      </c>
      <c r="FQ22" s="1">
        <v>-284950180846</v>
      </c>
      <c r="FR22" s="1">
        <v>14048670112</v>
      </c>
      <c r="FS22" s="1">
        <v>-142830699718</v>
      </c>
      <c r="FT22" s="1">
        <v>-65766834846</v>
      </c>
      <c r="FU22" s="1">
        <v>30031509734</v>
      </c>
      <c r="FV22" s="1">
        <v>1150945704067</v>
      </c>
      <c r="FW22" s="1">
        <v>339699716799</v>
      </c>
      <c r="FX22" s="1">
        <v>116872649196</v>
      </c>
      <c r="FY22" s="1">
        <v>220061846916</v>
      </c>
      <c r="FZ22" s="1">
        <v>33789573209</v>
      </c>
      <c r="GA22" s="1">
        <v>-146301326835</v>
      </c>
      <c r="GB22" s="1">
        <v>-53804627204</v>
      </c>
      <c r="GC22" s="1">
        <v>254814670128</v>
      </c>
      <c r="GD22" s="1">
        <v>-62765228810</v>
      </c>
      <c r="GE22" s="1">
        <v>142439743271</v>
      </c>
      <c r="GF22" s="1">
        <v>-142670569912</v>
      </c>
      <c r="GG22" s="1">
        <v>-122776394336</v>
      </c>
      <c r="GH22" s="1">
        <v>131263909224</v>
      </c>
      <c r="GI22" s="1">
        <v>-126298322867</v>
      </c>
      <c r="GJ22" s="1">
        <v>-244053439342</v>
      </c>
      <c r="GK22" s="1">
        <v>-235334239031</v>
      </c>
      <c r="GL22" s="1">
        <v>-349610511320</v>
      </c>
      <c r="GM22" s="1">
        <v>-345409056793</v>
      </c>
      <c r="GN22" s="1">
        <v>8700801655</v>
      </c>
      <c r="GO22" s="1">
        <v>88332567414</v>
      </c>
      <c r="GP22" s="1">
        <v>11960970867</v>
      </c>
      <c r="GQ22" s="1">
        <v>81482848956</v>
      </c>
      <c r="GR22" s="1">
        <v>58167271471</v>
      </c>
      <c r="GS22" s="1">
        <v>-368441540019</v>
      </c>
      <c r="GT22" s="1">
        <v>-92300407509</v>
      </c>
      <c r="GU22" s="1">
        <v>-437853286046</v>
      </c>
      <c r="GV22" s="1">
        <v>-32452422404</v>
      </c>
      <c r="GW22" s="1">
        <v>-51821402983</v>
      </c>
      <c r="GX22" s="1">
        <v>150409132962</v>
      </c>
      <c r="GY22" s="1">
        <v>94575768612</v>
      </c>
      <c r="GZ22" s="1">
        <v>-27250939186</v>
      </c>
      <c r="HA22" s="1">
        <v>-110965119627</v>
      </c>
      <c r="HB22" s="1">
        <v>-46129423292</v>
      </c>
      <c r="HC22" s="1">
        <v>67416541440</v>
      </c>
      <c r="HD22" s="1">
        <v>-310340743089</v>
      </c>
      <c r="HE22" s="1">
        <v>-143535674589</v>
      </c>
      <c r="HF22" s="1">
        <v>-381449316043</v>
      </c>
      <c r="HG22" s="1">
        <v>-568039195023</v>
      </c>
      <c r="HH22" s="1">
        <v>-259423433304</v>
      </c>
      <c r="HI22" s="1">
        <v>-39475273981</v>
      </c>
      <c r="HJ22" s="1">
        <v>171690205270</v>
      </c>
      <c r="HK22" s="1">
        <v>47194683171</v>
      </c>
      <c r="HL22" s="1">
        <v>-177189169719</v>
      </c>
      <c r="HM22" s="1">
        <v>-51105573309</v>
      </c>
      <c r="HN22" s="1">
        <v>-105253245390</v>
      </c>
      <c r="HO22" s="1">
        <v>-55353076115</v>
      </c>
      <c r="HP22" s="1">
        <v>-295656246965</v>
      </c>
      <c r="HQ22" s="1">
        <v>-297322326062</v>
      </c>
      <c r="HR22" s="1">
        <v>83150584655</v>
      </c>
      <c r="HS22" s="1">
        <v>28735596073</v>
      </c>
      <c r="HT22" s="1">
        <v>-432894547093</v>
      </c>
      <c r="HU22" s="1">
        <v>-66783660386</v>
      </c>
      <c r="HV22" s="1">
        <v>654974094217</v>
      </c>
      <c r="HW22" s="1">
        <v>39437404085</v>
      </c>
      <c r="HX22" s="1">
        <v>-556354338916</v>
      </c>
      <c r="HY22" s="1">
        <v>-412522441066</v>
      </c>
      <c r="HZ22" s="1">
        <v>-685354637962</v>
      </c>
      <c r="IA22" s="1">
        <v>-183404875439</v>
      </c>
      <c r="IB22" s="1">
        <v>-365101524448</v>
      </c>
      <c r="IC22" s="1">
        <v>-751838494318</v>
      </c>
      <c r="ID22" s="1">
        <v>-341374514403</v>
      </c>
      <c r="IE22" s="1">
        <v>202330369250</v>
      </c>
      <c r="IF22" s="1">
        <v>-194399598286</v>
      </c>
      <c r="IG22" s="1">
        <v>312043184666</v>
      </c>
      <c r="IH22" s="1">
        <v>-209706096188</v>
      </c>
      <c r="II22" s="1">
        <v>-334535549302</v>
      </c>
      <c r="IJ22" s="1">
        <v>-195688173893</v>
      </c>
      <c r="IK22" s="1">
        <v>-244189343892</v>
      </c>
      <c r="IL22" s="1">
        <v>32662103022</v>
      </c>
      <c r="IM22" s="1">
        <v>-17923375457</v>
      </c>
      <c r="IN22" s="1">
        <v>488898444428</v>
      </c>
      <c r="IO22" s="1">
        <v>-24899022507</v>
      </c>
      <c r="IP22" s="1">
        <v>-134000684881</v>
      </c>
      <c r="IQ22" s="1">
        <v>86735342557</v>
      </c>
      <c r="IR22" s="1">
        <v>92961409315</v>
      </c>
      <c r="IS22" s="1">
        <v>651499960732</v>
      </c>
      <c r="IT22" s="1">
        <v>148444110324</v>
      </c>
      <c r="IU22" s="1">
        <v>-32540652581</v>
      </c>
      <c r="IV22" s="1">
        <v>-100763699205</v>
      </c>
      <c r="IW22" s="1">
        <v>289461080942</v>
      </c>
      <c r="IX22" s="1">
        <v>85972255436</v>
      </c>
      <c r="IY22" s="1">
        <v>-180424117097</v>
      </c>
      <c r="IZ22" s="1">
        <v>-758182940665</v>
      </c>
      <c r="JA22" s="1">
        <v>-357759488863</v>
      </c>
      <c r="JB22" s="1">
        <v>-127533786134</v>
      </c>
      <c r="JC22" s="1">
        <v>-376501084631</v>
      </c>
      <c r="JD22" s="1">
        <v>-124011917224</v>
      </c>
      <c r="JE22" s="1">
        <v>-345651832060</v>
      </c>
      <c r="JF22" s="1">
        <v>-25251634318</v>
      </c>
      <c r="JG22" s="1">
        <v>-56943946882</v>
      </c>
      <c r="JH22" s="1">
        <v>-234332318341</v>
      </c>
      <c r="JI22" s="1">
        <v>-311008248545</v>
      </c>
      <c r="JJ22" s="1">
        <v>45730375082</v>
      </c>
      <c r="JK22" s="1">
        <v>59208738923</v>
      </c>
      <c r="JL22" s="1">
        <v>132685702101</v>
      </c>
      <c r="JM22" s="1">
        <v>120215388972</v>
      </c>
      <c r="JN22" s="1">
        <v>227578649531</v>
      </c>
      <c r="JO22" s="1">
        <v>192377020989</v>
      </c>
      <c r="JP22" s="1">
        <v>-6240277637</v>
      </c>
      <c r="JQ22" s="1">
        <v>-94917182955</v>
      </c>
      <c r="JR22" s="1">
        <v>157797889567</v>
      </c>
      <c r="JS22" s="1">
        <v>-158132348788</v>
      </c>
      <c r="JT22" s="1">
        <v>-46025858697</v>
      </c>
      <c r="JU22" s="1">
        <v>506820938763</v>
      </c>
      <c r="JV22" s="1">
        <v>68229741491</v>
      </c>
      <c r="JW22" s="1">
        <v>81664467528</v>
      </c>
      <c r="JX22" s="1">
        <v>183186215588</v>
      </c>
      <c r="JY22" s="1">
        <v>140133948322</v>
      </c>
      <c r="JZ22" s="1">
        <v>58866308103</v>
      </c>
      <c r="KA22" s="1">
        <v>-337992314893</v>
      </c>
      <c r="KB22" s="1">
        <v>427994899403</v>
      </c>
      <c r="KC22" s="1">
        <v>80002632247</v>
      </c>
      <c r="KD22" s="1">
        <v>119285955036</v>
      </c>
      <c r="KE22" s="1">
        <v>-252590706747</v>
      </c>
      <c r="KF22" s="1">
        <v>-150847481665</v>
      </c>
      <c r="KG22" s="1">
        <v>-293900969828</v>
      </c>
      <c r="KH22" s="1">
        <v>715263653873</v>
      </c>
      <c r="KI22" s="1">
        <v>-48377120704</v>
      </c>
      <c r="KJ22" s="1">
        <v>-18049401600</v>
      </c>
      <c r="KK22" s="1">
        <v>173335895186</v>
      </c>
      <c r="KL22" s="1">
        <v>127125338806</v>
      </c>
      <c r="KM22" s="1">
        <v>655497172915</v>
      </c>
      <c r="KN22" s="1">
        <v>711406366716</v>
      </c>
      <c r="KO22" s="1">
        <v>-331724738419</v>
      </c>
      <c r="KP22" s="1">
        <v>154673593666</v>
      </c>
      <c r="KQ22" s="1">
        <v>-121745178424</v>
      </c>
      <c r="KR22" s="1">
        <v>-97569716777</v>
      </c>
      <c r="KS22" s="1">
        <v>28499404477</v>
      </c>
      <c r="KT22" s="1">
        <v>-131671891843</v>
      </c>
      <c r="KU22" s="1">
        <v>460368648473</v>
      </c>
      <c r="KV22" s="1">
        <v>74977015742</v>
      </c>
      <c r="KW22" s="1">
        <v>25674710748</v>
      </c>
      <c r="KX22" s="1">
        <v>13891279599</v>
      </c>
      <c r="KY22" s="1">
        <v>149123263849</v>
      </c>
      <c r="KZ22" s="1">
        <v>255521206024</v>
      </c>
      <c r="LA22" s="1">
        <v>474866428837</v>
      </c>
      <c r="LB22" s="1">
        <v>186826943043</v>
      </c>
      <c r="LC22" s="1">
        <v>-154408643371</v>
      </c>
      <c r="LD22" s="1">
        <v>-268760983408</v>
      </c>
      <c r="LE22" s="1">
        <v>-197403829545</v>
      </c>
      <c r="LF22" s="1">
        <v>-119536231601</v>
      </c>
      <c r="LG22" s="1">
        <v>69231754266</v>
      </c>
      <c r="LH22" s="1">
        <v>-281496556983</v>
      </c>
      <c r="LI22" s="1">
        <v>72450478893</v>
      </c>
      <c r="LJ22" s="1">
        <v>-378025473258</v>
      </c>
      <c r="LK22" s="1">
        <v>-707949157878</v>
      </c>
      <c r="LL22" s="1">
        <v>-156403853013</v>
      </c>
      <c r="LM22" s="1">
        <v>-258677773883</v>
      </c>
      <c r="LN22" s="1">
        <v>76977433345</v>
      </c>
      <c r="LO22" s="1">
        <v>155821334630</v>
      </c>
      <c r="LP22" s="1">
        <v>-9428331246</v>
      </c>
      <c r="LQ22" s="1">
        <v>161926258940</v>
      </c>
      <c r="LR22" s="1">
        <v>-137169853944</v>
      </c>
      <c r="LS22" s="1">
        <v>223023408602</v>
      </c>
      <c r="LT22" s="1">
        <v>-26003682001</v>
      </c>
      <c r="LU22" s="1">
        <v>137446471033</v>
      </c>
      <c r="LV22" s="1">
        <v>-71907279068</v>
      </c>
      <c r="LW22" s="1">
        <v>48781126036</v>
      </c>
      <c r="LX22" s="1">
        <v>-416353840923</v>
      </c>
      <c r="LY22" s="1">
        <v>-184049536275</v>
      </c>
      <c r="LZ22" s="1">
        <v>178706788249</v>
      </c>
      <c r="MA22" s="1">
        <v>-229855557059</v>
      </c>
      <c r="MB22" s="1">
        <v>-296672919524</v>
      </c>
      <c r="MC22" s="1">
        <v>-67637702612</v>
      </c>
      <c r="MD22" s="1">
        <v>-126693842491</v>
      </c>
      <c r="ME22" s="1">
        <v>-435518656643</v>
      </c>
      <c r="MF22" s="1">
        <v>-76334207200</v>
      </c>
      <c r="MG22" s="1">
        <v>29502363195</v>
      </c>
      <c r="MH22" s="1">
        <v>-110525922531</v>
      </c>
      <c r="MI22" s="1">
        <v>183082082821</v>
      </c>
      <c r="MJ22" s="1">
        <v>250624522905</v>
      </c>
      <c r="MK22" s="1">
        <v>26675144919</v>
      </c>
      <c r="ML22" s="1">
        <v>250921085318</v>
      </c>
      <c r="MM22" s="1">
        <v>434201548210</v>
      </c>
      <c r="MN22" s="1">
        <v>202770545236</v>
      </c>
      <c r="MO22" s="1">
        <v>-544301438038</v>
      </c>
      <c r="MP22" s="1">
        <v>-417588727674</v>
      </c>
      <c r="MQ22" s="1">
        <v>-24079677218</v>
      </c>
      <c r="MR22" s="1">
        <v>-198183845925</v>
      </c>
      <c r="MS22" s="1">
        <v>29322699942</v>
      </c>
      <c r="MT22" s="1">
        <v>180865909893</v>
      </c>
      <c r="MU22" s="1">
        <v>-262836929446</v>
      </c>
      <c r="MV22" s="1">
        <v>132714134043</v>
      </c>
      <c r="MW22" s="1">
        <v>1065678859777</v>
      </c>
      <c r="MX22" s="1">
        <v>-68841792901</v>
      </c>
      <c r="MY22" s="1">
        <v>-14382475694</v>
      </c>
      <c r="MZ22" s="1">
        <v>-164873327977</v>
      </c>
      <c r="NA22" s="1">
        <v>-34031912488</v>
      </c>
      <c r="NB22" s="1">
        <v>356499517689</v>
      </c>
      <c r="NC22" s="1">
        <v>296915732336</v>
      </c>
      <c r="ND22" s="1">
        <v>-53043097230</v>
      </c>
      <c r="NE22" s="1">
        <v>-210175679985</v>
      </c>
      <c r="NF22" s="1">
        <v>320905190842</v>
      </c>
      <c r="NG22" s="1">
        <v>22921039181</v>
      </c>
      <c r="NH22" s="1">
        <v>-1356790269739</v>
      </c>
      <c r="NI22" s="1">
        <v>-187532711245</v>
      </c>
      <c r="NJ22" s="1">
        <v>-836926310345</v>
      </c>
      <c r="NK22" s="1">
        <v>-353333532044</v>
      </c>
      <c r="NL22" s="1">
        <v>-319711838184</v>
      </c>
      <c r="NM22" s="1">
        <v>-519970194560</v>
      </c>
      <c r="NN22" s="1">
        <v>-334205581882</v>
      </c>
      <c r="NO22" s="1">
        <v>512444118739</v>
      </c>
      <c r="NP22" s="1">
        <v>191474122284</v>
      </c>
      <c r="NQ22" s="1">
        <v>-264036857947</v>
      </c>
      <c r="NR22" s="1">
        <v>-742553678078</v>
      </c>
      <c r="NS22" s="1">
        <v>-251422062176</v>
      </c>
      <c r="NT22" s="1">
        <v>-116403632774</v>
      </c>
      <c r="NU22" s="1">
        <v>211724264055</v>
      </c>
      <c r="NV22" s="1">
        <v>-400175478261</v>
      </c>
    </row>
    <row r="23" spans="2:386" s="1" customFormat="1" ht="15" customHeight="1" x14ac:dyDescent="0.25"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T23" s="50"/>
      <c r="U23" s="1" t="str">
        <f ca="1">_xll.IMDH("FUT","C01",U24:U25,TODAY()-2543,$A$4,250,"Per=일,sort=D,real=true,Bizday=0,Quote=종가,Pos=11,Orient=H,Title=코스피200 연결,DtFmt=1,TmFmt=1")</f>
        <v>코스피200 연결</v>
      </c>
    </row>
    <row r="24" spans="2:386" s="1" customFormat="1" ht="15" customHeight="1" x14ac:dyDescent="0.25"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T24" s="50"/>
      <c r="U24" s="56" t="s">
        <v>29</v>
      </c>
      <c r="V24" s="54">
        <v>44942</v>
      </c>
      <c r="W24" s="54">
        <v>44939</v>
      </c>
      <c r="X24" s="54">
        <v>44938</v>
      </c>
      <c r="Y24" s="54">
        <v>44937</v>
      </c>
      <c r="Z24" s="54">
        <v>44936</v>
      </c>
      <c r="AA24" s="54">
        <v>44935</v>
      </c>
      <c r="AB24" s="54">
        <v>44932</v>
      </c>
      <c r="AC24" s="54">
        <v>44931</v>
      </c>
      <c r="AD24" s="54">
        <v>44930</v>
      </c>
      <c r="AE24" s="54">
        <v>44929</v>
      </c>
      <c r="AF24" s="54">
        <v>44928</v>
      </c>
      <c r="AG24" s="54">
        <v>44924</v>
      </c>
      <c r="AH24" s="54">
        <v>44923</v>
      </c>
      <c r="AI24" s="54">
        <v>44922</v>
      </c>
      <c r="AJ24" s="54">
        <v>44921</v>
      </c>
      <c r="AK24" s="54">
        <v>44918</v>
      </c>
      <c r="AL24" s="54">
        <v>44917</v>
      </c>
      <c r="AM24" s="54">
        <v>44916</v>
      </c>
      <c r="AN24" s="54">
        <v>44915</v>
      </c>
      <c r="AO24" s="54">
        <v>44914</v>
      </c>
      <c r="AP24" s="54">
        <v>44911</v>
      </c>
      <c r="AQ24" s="54">
        <v>44910</v>
      </c>
      <c r="AR24" s="54">
        <v>44909</v>
      </c>
      <c r="AS24" s="54">
        <v>44908</v>
      </c>
      <c r="AT24" s="54">
        <v>44907</v>
      </c>
      <c r="AU24" s="54">
        <v>44904</v>
      </c>
      <c r="AV24" s="54">
        <v>44903</v>
      </c>
      <c r="AW24" s="54">
        <v>44902</v>
      </c>
      <c r="AX24" s="54">
        <v>44901</v>
      </c>
      <c r="AY24" s="54">
        <v>44900</v>
      </c>
      <c r="AZ24" s="54">
        <v>44897</v>
      </c>
      <c r="BA24" s="54">
        <v>44896</v>
      </c>
      <c r="BB24" s="54">
        <v>44895</v>
      </c>
      <c r="BC24" s="54">
        <v>44894</v>
      </c>
      <c r="BD24" s="54">
        <v>44893</v>
      </c>
      <c r="BE24" s="54">
        <v>44890</v>
      </c>
      <c r="BF24" s="54">
        <v>44889</v>
      </c>
      <c r="BG24" s="54">
        <v>44888</v>
      </c>
      <c r="BH24" s="54">
        <v>44887</v>
      </c>
      <c r="BI24" s="54">
        <v>44886</v>
      </c>
      <c r="BJ24" s="54">
        <v>44883</v>
      </c>
      <c r="BK24" s="54">
        <v>44882</v>
      </c>
      <c r="BL24" s="54">
        <v>44881</v>
      </c>
      <c r="BM24" s="54">
        <v>44880</v>
      </c>
      <c r="BN24" s="54">
        <v>44879</v>
      </c>
      <c r="BO24" s="54">
        <v>44876</v>
      </c>
      <c r="BP24" s="54">
        <v>44875</v>
      </c>
      <c r="BQ24" s="54">
        <v>44874</v>
      </c>
      <c r="BR24" s="54">
        <v>44873</v>
      </c>
      <c r="BS24" s="54">
        <v>44872</v>
      </c>
      <c r="BT24" s="54">
        <v>44869</v>
      </c>
      <c r="BU24" s="54">
        <v>44868</v>
      </c>
      <c r="BV24" s="54">
        <v>44867</v>
      </c>
      <c r="BW24" s="54">
        <v>44866</v>
      </c>
      <c r="BX24" s="54">
        <v>44865</v>
      </c>
      <c r="BY24" s="54">
        <v>44862</v>
      </c>
      <c r="BZ24" s="54">
        <v>44861</v>
      </c>
      <c r="CA24" s="54">
        <v>44860</v>
      </c>
      <c r="CB24" s="54">
        <v>44859</v>
      </c>
      <c r="CC24" s="54">
        <v>44858</v>
      </c>
      <c r="CD24" s="54">
        <v>44855</v>
      </c>
      <c r="CE24" s="54">
        <v>44854</v>
      </c>
      <c r="CF24" s="54">
        <v>44853</v>
      </c>
      <c r="CG24" s="54">
        <v>44852</v>
      </c>
      <c r="CH24" s="54">
        <v>44851</v>
      </c>
      <c r="CI24" s="54">
        <v>44848</v>
      </c>
      <c r="CJ24" s="54">
        <v>44847</v>
      </c>
      <c r="CK24" s="54">
        <v>44846</v>
      </c>
      <c r="CL24" s="54">
        <v>44845</v>
      </c>
      <c r="CM24" s="54">
        <v>44841</v>
      </c>
      <c r="CN24" s="54">
        <v>44840</v>
      </c>
      <c r="CO24" s="54">
        <v>44839</v>
      </c>
      <c r="CP24" s="54">
        <v>44838</v>
      </c>
      <c r="CQ24" s="54">
        <v>44834</v>
      </c>
      <c r="CR24" s="54">
        <v>44833</v>
      </c>
      <c r="CS24" s="54">
        <v>44832</v>
      </c>
      <c r="CT24" s="54">
        <v>44831</v>
      </c>
      <c r="CU24" s="54">
        <v>44830</v>
      </c>
      <c r="CV24" s="54">
        <v>44827</v>
      </c>
      <c r="CW24" s="54">
        <v>44826</v>
      </c>
      <c r="CX24" s="54">
        <v>44825</v>
      </c>
      <c r="CY24" s="54">
        <v>44824</v>
      </c>
      <c r="CZ24" s="54">
        <v>44823</v>
      </c>
      <c r="DA24" s="54">
        <v>44820</v>
      </c>
      <c r="DB24" s="54">
        <v>44819</v>
      </c>
      <c r="DC24" s="54">
        <v>44818</v>
      </c>
      <c r="DD24" s="54">
        <v>44817</v>
      </c>
      <c r="DE24" s="54">
        <v>44812</v>
      </c>
      <c r="DF24" s="54">
        <v>44811</v>
      </c>
      <c r="DG24" s="54">
        <v>44810</v>
      </c>
      <c r="DH24" s="54">
        <v>44809</v>
      </c>
      <c r="DI24" s="54">
        <v>44806</v>
      </c>
      <c r="DJ24" s="54">
        <v>44805</v>
      </c>
      <c r="DK24" s="54">
        <v>44804</v>
      </c>
      <c r="DL24" s="54">
        <v>44803</v>
      </c>
      <c r="DM24" s="54">
        <v>44802</v>
      </c>
      <c r="DN24" s="54">
        <v>44799</v>
      </c>
      <c r="DO24" s="54">
        <v>44798</v>
      </c>
      <c r="DP24" s="54">
        <v>44797</v>
      </c>
      <c r="DQ24" s="54">
        <v>44796</v>
      </c>
      <c r="DR24" s="54">
        <v>44795</v>
      </c>
      <c r="DS24" s="54">
        <v>44792</v>
      </c>
      <c r="DT24" s="54">
        <v>44791</v>
      </c>
      <c r="DU24" s="54">
        <v>44790</v>
      </c>
      <c r="DV24" s="54">
        <v>44789</v>
      </c>
      <c r="DW24" s="54">
        <v>44785</v>
      </c>
      <c r="DX24" s="54">
        <v>44784</v>
      </c>
      <c r="DY24" s="54">
        <v>44783</v>
      </c>
      <c r="DZ24" s="54">
        <v>44782</v>
      </c>
      <c r="EA24" s="54">
        <v>44781</v>
      </c>
      <c r="EB24" s="54">
        <v>44778</v>
      </c>
      <c r="EC24" s="54">
        <v>44777</v>
      </c>
      <c r="ED24" s="54">
        <v>44776</v>
      </c>
      <c r="EE24" s="54">
        <v>44775</v>
      </c>
      <c r="EF24" s="54">
        <v>44774</v>
      </c>
      <c r="EG24" s="54">
        <v>44771</v>
      </c>
      <c r="EH24" s="54">
        <v>44770</v>
      </c>
      <c r="EI24" s="54">
        <v>44769</v>
      </c>
      <c r="EJ24" s="54">
        <v>44768</v>
      </c>
      <c r="EK24" s="54">
        <v>44767</v>
      </c>
      <c r="EL24" s="54">
        <v>44764</v>
      </c>
      <c r="EM24" s="54">
        <v>44763</v>
      </c>
      <c r="EN24" s="54">
        <v>44762</v>
      </c>
      <c r="EO24" s="54">
        <v>44761</v>
      </c>
      <c r="EP24" s="54">
        <v>44760</v>
      </c>
      <c r="EQ24" s="54">
        <v>44757</v>
      </c>
      <c r="ER24" s="54">
        <v>44756</v>
      </c>
      <c r="ES24" s="54">
        <v>44755</v>
      </c>
      <c r="ET24" s="54">
        <v>44754</v>
      </c>
      <c r="EU24" s="54">
        <v>44753</v>
      </c>
      <c r="EV24" s="54">
        <v>44750</v>
      </c>
      <c r="EW24" s="54">
        <v>44749</v>
      </c>
      <c r="EX24" s="54">
        <v>44748</v>
      </c>
      <c r="EY24" s="54">
        <v>44747</v>
      </c>
      <c r="EZ24" s="54">
        <v>44746</v>
      </c>
      <c r="FA24" s="54">
        <v>44743</v>
      </c>
      <c r="FB24" s="54">
        <v>44742</v>
      </c>
      <c r="FC24" s="54">
        <v>44741</v>
      </c>
      <c r="FD24" s="54">
        <v>44740</v>
      </c>
      <c r="FE24" s="54">
        <v>44739</v>
      </c>
      <c r="FF24" s="54">
        <v>44736</v>
      </c>
      <c r="FG24" s="54">
        <v>44735</v>
      </c>
      <c r="FH24" s="54">
        <v>44734</v>
      </c>
      <c r="FI24" s="54">
        <v>44733</v>
      </c>
      <c r="FJ24" s="54">
        <v>44732</v>
      </c>
      <c r="FK24" s="54">
        <v>44729</v>
      </c>
      <c r="FL24" s="54">
        <v>44728</v>
      </c>
      <c r="FM24" s="54">
        <v>44727</v>
      </c>
      <c r="FN24" s="54">
        <v>44726</v>
      </c>
      <c r="FO24" s="54">
        <v>44725</v>
      </c>
      <c r="FP24" s="54">
        <v>44722</v>
      </c>
      <c r="FQ24" s="54">
        <v>44721</v>
      </c>
      <c r="FR24" s="54">
        <v>44720</v>
      </c>
      <c r="FS24" s="54">
        <v>44719</v>
      </c>
      <c r="FT24" s="54">
        <v>44715</v>
      </c>
      <c r="FU24" s="54">
        <v>44714</v>
      </c>
      <c r="FV24" s="54">
        <v>44712</v>
      </c>
      <c r="FW24" s="54">
        <v>44711</v>
      </c>
      <c r="FX24" s="54">
        <v>44708</v>
      </c>
      <c r="FY24" s="54">
        <v>44707</v>
      </c>
      <c r="FZ24" s="54">
        <v>44706</v>
      </c>
      <c r="GA24" s="54">
        <v>44705</v>
      </c>
      <c r="GB24" s="54">
        <v>44704</v>
      </c>
      <c r="GC24" s="54">
        <v>44701</v>
      </c>
      <c r="GD24" s="54">
        <v>44700</v>
      </c>
      <c r="GE24" s="54">
        <v>44699</v>
      </c>
      <c r="GF24" s="54">
        <v>44698</v>
      </c>
      <c r="GG24" s="54">
        <v>44697</v>
      </c>
      <c r="GH24" s="54">
        <v>44694</v>
      </c>
      <c r="GI24" s="54">
        <v>44693</v>
      </c>
      <c r="GJ24" s="54">
        <v>44692</v>
      </c>
      <c r="GK24" s="54">
        <v>44691</v>
      </c>
      <c r="GL24" s="54">
        <v>44690</v>
      </c>
      <c r="GM24" s="54">
        <v>44687</v>
      </c>
      <c r="GN24" s="54">
        <v>44685</v>
      </c>
      <c r="GO24" s="54">
        <v>44684</v>
      </c>
      <c r="GP24" s="54">
        <v>44683</v>
      </c>
      <c r="GQ24" s="54">
        <v>44680</v>
      </c>
      <c r="GR24" s="54">
        <v>44679</v>
      </c>
      <c r="GS24" s="54">
        <v>44678</v>
      </c>
      <c r="GT24" s="54">
        <v>44677</v>
      </c>
      <c r="GU24" s="54">
        <v>44676</v>
      </c>
      <c r="GV24" s="54">
        <v>44673</v>
      </c>
      <c r="GW24" s="54">
        <v>44672</v>
      </c>
      <c r="GX24" s="54">
        <v>44671</v>
      </c>
      <c r="GY24" s="54">
        <v>44670</v>
      </c>
      <c r="GZ24" s="54">
        <v>44669</v>
      </c>
      <c r="HA24" s="54">
        <v>44666</v>
      </c>
      <c r="HB24" s="54">
        <v>44665</v>
      </c>
      <c r="HC24" s="54">
        <v>44664</v>
      </c>
      <c r="HD24" s="54">
        <v>44663</v>
      </c>
      <c r="HE24" s="54">
        <v>44662</v>
      </c>
      <c r="HF24" s="54">
        <v>44659</v>
      </c>
      <c r="HG24" s="54">
        <v>44658</v>
      </c>
      <c r="HH24" s="54">
        <v>44657</v>
      </c>
      <c r="HI24" s="54">
        <v>44656</v>
      </c>
      <c r="HJ24" s="54">
        <v>44655</v>
      </c>
      <c r="HK24" s="54">
        <v>44652</v>
      </c>
      <c r="HL24" s="54">
        <v>44651</v>
      </c>
      <c r="HM24" s="54">
        <v>44650</v>
      </c>
      <c r="HN24" s="54">
        <v>44649</v>
      </c>
      <c r="HO24" s="54">
        <v>44648</v>
      </c>
      <c r="HP24" s="54">
        <v>44645</v>
      </c>
      <c r="HQ24" s="54">
        <v>44644</v>
      </c>
      <c r="HR24" s="54">
        <v>44643</v>
      </c>
      <c r="HS24" s="54">
        <v>44642</v>
      </c>
      <c r="HT24" s="54">
        <v>44641</v>
      </c>
      <c r="HU24" s="54">
        <v>44638</v>
      </c>
      <c r="HV24" s="54">
        <v>44637</v>
      </c>
      <c r="HW24" s="54">
        <v>44636</v>
      </c>
      <c r="HX24" s="54">
        <v>44635</v>
      </c>
      <c r="HY24" s="54">
        <v>44634</v>
      </c>
      <c r="HZ24" s="54">
        <v>44631</v>
      </c>
      <c r="IA24" s="54">
        <v>44630</v>
      </c>
      <c r="IB24" s="54">
        <v>44628</v>
      </c>
      <c r="IC24" s="54">
        <v>44627</v>
      </c>
      <c r="ID24" s="54">
        <v>44624</v>
      </c>
      <c r="IE24" s="54">
        <v>44623</v>
      </c>
      <c r="IF24" s="54">
        <v>44622</v>
      </c>
      <c r="IG24" s="54">
        <v>44620</v>
      </c>
      <c r="IH24" s="54">
        <v>44617</v>
      </c>
      <c r="II24" s="54">
        <v>44616</v>
      </c>
      <c r="IJ24" s="54">
        <v>44615</v>
      </c>
      <c r="IK24" s="54">
        <v>44614</v>
      </c>
      <c r="IL24" s="54">
        <v>44613</v>
      </c>
      <c r="IM24" s="54">
        <v>44610</v>
      </c>
      <c r="IN24" s="54">
        <v>44609</v>
      </c>
      <c r="IO24" s="54">
        <v>44608</v>
      </c>
      <c r="IP24" s="54">
        <v>44607</v>
      </c>
      <c r="IQ24" s="54">
        <v>44606</v>
      </c>
      <c r="IR24" s="54">
        <v>44603</v>
      </c>
      <c r="IS24" s="54">
        <v>44602</v>
      </c>
      <c r="IT24" s="54">
        <v>44601</v>
      </c>
      <c r="IU24" s="54">
        <v>44600</v>
      </c>
      <c r="IV24" s="54">
        <v>44599</v>
      </c>
      <c r="IW24" s="54">
        <v>44596</v>
      </c>
      <c r="IX24" s="54">
        <v>44595</v>
      </c>
      <c r="IY24" s="54">
        <v>44589</v>
      </c>
      <c r="IZ24" s="54">
        <v>44588</v>
      </c>
      <c r="JA24" s="54">
        <v>44587</v>
      </c>
      <c r="JB24" s="54">
        <v>44586</v>
      </c>
      <c r="JC24" s="54">
        <v>44585</v>
      </c>
      <c r="JD24" s="54">
        <v>44582</v>
      </c>
      <c r="JE24" s="54">
        <v>44581</v>
      </c>
      <c r="JF24" s="54">
        <v>44580</v>
      </c>
      <c r="JG24" s="54">
        <v>44579</v>
      </c>
      <c r="JH24" s="54">
        <v>44578</v>
      </c>
      <c r="JI24" s="54">
        <v>44575</v>
      </c>
      <c r="JJ24" s="54">
        <v>44574</v>
      </c>
      <c r="JK24" s="54">
        <v>44573</v>
      </c>
    </row>
    <row r="25" spans="2:386" s="1" customFormat="1" ht="15" customHeight="1" x14ac:dyDescent="0.25"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T25" s="50"/>
      <c r="U25" s="56" t="s">
        <v>35</v>
      </c>
      <c r="V25" s="1">
        <v>0.12</v>
      </c>
      <c r="W25" s="1">
        <v>0.33</v>
      </c>
      <c r="X25" s="1">
        <v>-0.71</v>
      </c>
      <c r="Y25" s="1">
        <v>0.31</v>
      </c>
      <c r="Z25" s="1">
        <v>0.63</v>
      </c>
      <c r="AA25" s="1">
        <v>0.21</v>
      </c>
      <c r="AB25" s="1">
        <v>0.34</v>
      </c>
      <c r="AC25" s="1">
        <v>1.49</v>
      </c>
      <c r="AD25" s="1">
        <v>1.07</v>
      </c>
      <c r="AE25" s="1">
        <v>0.71</v>
      </c>
      <c r="AF25" s="1">
        <v>0.66</v>
      </c>
      <c r="AG25" s="1">
        <v>0.5</v>
      </c>
      <c r="AH25" s="1">
        <v>1</v>
      </c>
      <c r="AI25" s="1">
        <v>-0.47</v>
      </c>
      <c r="AJ25" s="1">
        <v>-0.06</v>
      </c>
      <c r="AK25" s="1">
        <v>0.34</v>
      </c>
      <c r="AL25" s="1">
        <v>0.23</v>
      </c>
      <c r="AM25" s="1">
        <v>0.03</v>
      </c>
      <c r="AN25" s="1">
        <v>-0.01</v>
      </c>
      <c r="AO25" s="1">
        <v>0.32</v>
      </c>
      <c r="AP25" s="1">
        <v>1.44</v>
      </c>
      <c r="AQ25" s="1">
        <v>-0.38</v>
      </c>
      <c r="AR25" s="1">
        <v>-0.04</v>
      </c>
      <c r="AS25" s="1">
        <v>-0.62</v>
      </c>
      <c r="AT25" s="1">
        <v>-0.25</v>
      </c>
      <c r="AU25" s="1">
        <v>-0.79</v>
      </c>
      <c r="AV25" s="1">
        <v>0.67</v>
      </c>
      <c r="AW25" s="1">
        <v>0.14000000000000001</v>
      </c>
      <c r="AX25" s="1">
        <v>0.09</v>
      </c>
      <c r="AY25" s="1">
        <v>-0.3</v>
      </c>
      <c r="AZ25" s="1">
        <v>0.26</v>
      </c>
      <c r="BA25" s="1">
        <v>-0.8</v>
      </c>
      <c r="BB25" s="1">
        <v>1.679</v>
      </c>
      <c r="BC25" s="1">
        <v>0.23</v>
      </c>
      <c r="BD25" s="1">
        <v>-0.31</v>
      </c>
      <c r="BE25" s="1">
        <v>0.06</v>
      </c>
      <c r="BF25" s="1">
        <v>-0.23</v>
      </c>
      <c r="BG25" s="1">
        <v>-0.39</v>
      </c>
      <c r="BH25" s="1">
        <v>0.25</v>
      </c>
      <c r="BI25" s="1">
        <v>0.84</v>
      </c>
      <c r="BJ25" s="1">
        <v>0.4</v>
      </c>
      <c r="BK25" s="1">
        <v>-1.74</v>
      </c>
      <c r="BL25" s="1">
        <v>-0.18</v>
      </c>
      <c r="BM25" s="1">
        <v>0.15</v>
      </c>
      <c r="BN25" s="1">
        <v>-0.2</v>
      </c>
      <c r="BO25" s="1">
        <v>-0.88</v>
      </c>
      <c r="BP25" s="1">
        <v>0.66</v>
      </c>
      <c r="BQ25" s="1">
        <v>0.01</v>
      </c>
      <c r="BR25" s="1">
        <v>0.11</v>
      </c>
      <c r="BS25" s="1">
        <v>-0.06</v>
      </c>
      <c r="BT25" s="1">
        <v>0.09</v>
      </c>
      <c r="BU25" s="1">
        <v>0.79</v>
      </c>
      <c r="BV25" s="1">
        <v>0.64</v>
      </c>
      <c r="BW25" s="1">
        <v>1.23</v>
      </c>
      <c r="BX25" s="1">
        <v>0.14000000000000001</v>
      </c>
      <c r="BY25" s="1">
        <v>0.6</v>
      </c>
      <c r="BZ25" s="1">
        <v>0.56000000000000005</v>
      </c>
      <c r="CA25" s="1">
        <v>0.54</v>
      </c>
      <c r="CB25" s="1">
        <v>0.54</v>
      </c>
      <c r="CC25" s="1">
        <v>0</v>
      </c>
      <c r="CD25" s="1">
        <v>0.5</v>
      </c>
      <c r="CE25" s="1">
        <v>1.51</v>
      </c>
      <c r="CF25" s="1">
        <v>1.51</v>
      </c>
      <c r="CG25" s="1">
        <v>0.63</v>
      </c>
      <c r="CH25" s="1">
        <v>1.76</v>
      </c>
      <c r="CI25" s="1">
        <v>0.08</v>
      </c>
      <c r="CJ25" s="1">
        <v>1.35</v>
      </c>
      <c r="CK25" s="1">
        <v>0.75</v>
      </c>
      <c r="CL25" s="1">
        <v>1.59</v>
      </c>
      <c r="CM25" s="1">
        <v>1.22</v>
      </c>
      <c r="CN25" s="1">
        <v>0.8</v>
      </c>
      <c r="CO25" s="1">
        <v>0.33</v>
      </c>
      <c r="CP25" s="1">
        <v>-0.04</v>
      </c>
      <c r="CQ25" s="1">
        <v>0.63</v>
      </c>
      <c r="CR25" s="1">
        <v>-0.37</v>
      </c>
      <c r="CS25" s="1">
        <v>1.22</v>
      </c>
      <c r="CT25" s="1">
        <v>0.68</v>
      </c>
      <c r="CU25" s="1">
        <v>0.56000000000000005</v>
      </c>
      <c r="CV25" s="1">
        <v>1.08</v>
      </c>
      <c r="CW25" s="1">
        <v>1.83</v>
      </c>
      <c r="CX25" s="1">
        <v>1.54</v>
      </c>
      <c r="CY25" s="1">
        <v>1.28</v>
      </c>
      <c r="CZ25" s="1">
        <v>0.9</v>
      </c>
      <c r="DA25" s="1">
        <v>2.17</v>
      </c>
      <c r="DB25" s="1">
        <v>0.64</v>
      </c>
      <c r="DC25" s="1">
        <v>1.49</v>
      </c>
      <c r="DD25" s="1">
        <v>-0.12</v>
      </c>
      <c r="DE25" s="1">
        <v>0.04</v>
      </c>
      <c r="DF25" s="1">
        <v>-0.09</v>
      </c>
      <c r="DG25" s="1">
        <v>0.19</v>
      </c>
      <c r="DH25" s="1">
        <v>0.47</v>
      </c>
      <c r="DI25" s="1">
        <v>-0.75</v>
      </c>
      <c r="DJ25" s="1">
        <v>0.72</v>
      </c>
      <c r="DK25" s="1">
        <v>2.19</v>
      </c>
      <c r="DL25" s="1">
        <v>0.3</v>
      </c>
      <c r="DM25" s="1">
        <v>0.93</v>
      </c>
      <c r="DN25" s="1">
        <v>-0.23</v>
      </c>
      <c r="DO25" s="1">
        <v>0.15</v>
      </c>
      <c r="DP25" s="1">
        <v>0.65</v>
      </c>
      <c r="DQ25" s="1">
        <v>0.95</v>
      </c>
      <c r="DR25" s="1">
        <v>1.01</v>
      </c>
      <c r="DS25" s="1">
        <v>0.51</v>
      </c>
      <c r="DT25" s="1">
        <v>1</v>
      </c>
      <c r="DU25" s="1">
        <v>0.68</v>
      </c>
      <c r="DV25" s="1">
        <v>0.33</v>
      </c>
      <c r="DW25" s="1">
        <v>0.67</v>
      </c>
      <c r="DX25" s="1">
        <v>0.44</v>
      </c>
      <c r="DY25" s="1">
        <v>0.57999999999999996</v>
      </c>
      <c r="DZ25" s="1">
        <v>0.68</v>
      </c>
      <c r="EA25" s="1">
        <v>1.17</v>
      </c>
      <c r="EB25" s="1">
        <v>1.01</v>
      </c>
      <c r="EC25" s="1">
        <v>0.6</v>
      </c>
      <c r="ED25" s="1">
        <v>0.55000000000000004</v>
      </c>
      <c r="EE25" s="1">
        <v>1.05</v>
      </c>
      <c r="EF25" s="1">
        <v>0.02</v>
      </c>
      <c r="EG25" s="1">
        <v>0.86</v>
      </c>
      <c r="EH25" s="1">
        <v>-0.17</v>
      </c>
      <c r="EI25" s="1">
        <v>0.49</v>
      </c>
      <c r="EJ25" s="1">
        <v>0.13</v>
      </c>
      <c r="EK25" s="1">
        <v>0.28000000000000003</v>
      </c>
      <c r="EL25" s="1">
        <v>0.2</v>
      </c>
      <c r="EM25" s="1">
        <v>1.98</v>
      </c>
      <c r="EN25" s="1">
        <v>0.63</v>
      </c>
      <c r="EO25" s="1">
        <v>1.32</v>
      </c>
      <c r="EP25" s="1">
        <v>0.02</v>
      </c>
      <c r="EQ25" s="1">
        <v>1.0900000000000001</v>
      </c>
      <c r="ER25" s="1">
        <v>-0.11</v>
      </c>
      <c r="ES25" s="1">
        <v>-0.3</v>
      </c>
      <c r="ET25" s="1">
        <v>0.46</v>
      </c>
      <c r="EU25" s="1">
        <v>0.2</v>
      </c>
      <c r="EV25" s="1">
        <v>0.42</v>
      </c>
      <c r="EW25" s="1">
        <v>0.44</v>
      </c>
      <c r="EX25" s="1">
        <v>0.05</v>
      </c>
      <c r="EY25" s="1">
        <v>0.19</v>
      </c>
      <c r="EZ25" s="1">
        <v>7.0000000000000007E-2</v>
      </c>
      <c r="FA25" s="1">
        <v>0.23</v>
      </c>
      <c r="FB25" s="1">
        <v>0.93</v>
      </c>
      <c r="FC25" s="1">
        <v>0.76</v>
      </c>
      <c r="FD25" s="1">
        <v>0.45</v>
      </c>
      <c r="FE25" s="1">
        <v>-0.11</v>
      </c>
      <c r="FF25" s="1">
        <v>-0.3</v>
      </c>
      <c r="FG25" s="1">
        <v>-0.34</v>
      </c>
      <c r="FH25" s="1">
        <v>0.12</v>
      </c>
      <c r="FI25" s="1">
        <v>7.0000000000000007E-2</v>
      </c>
      <c r="FJ25" s="1">
        <v>0.99</v>
      </c>
      <c r="FK25" s="1">
        <v>1.55</v>
      </c>
      <c r="FL25" s="1">
        <v>1.1399999999999999</v>
      </c>
      <c r="FM25" s="1">
        <v>1.31</v>
      </c>
      <c r="FN25" s="1">
        <v>1.77</v>
      </c>
      <c r="FO25" s="1">
        <v>1.2</v>
      </c>
      <c r="FP25" s="1">
        <v>1.45</v>
      </c>
      <c r="FQ25" s="1">
        <v>1.1399999999999999</v>
      </c>
      <c r="FR25" s="1">
        <v>-0.39</v>
      </c>
      <c r="FS25" s="1">
        <v>0.03</v>
      </c>
      <c r="FT25" s="1">
        <v>-0.26</v>
      </c>
      <c r="FU25" s="1">
        <v>0.66</v>
      </c>
      <c r="FV25" s="1">
        <v>0.57999999999999996</v>
      </c>
      <c r="FW25" s="1">
        <v>-0.25</v>
      </c>
      <c r="FX25" s="1">
        <v>-0.6</v>
      </c>
      <c r="FY25" s="1">
        <v>-0.28999999999999998</v>
      </c>
      <c r="FZ25" s="1">
        <v>-0.28000000000000003</v>
      </c>
      <c r="GA25" s="1">
        <v>0.16</v>
      </c>
      <c r="GB25" s="1">
        <v>-0.06</v>
      </c>
      <c r="GC25" s="1">
        <v>-0.01</v>
      </c>
      <c r="GD25" s="1">
        <v>1.5</v>
      </c>
      <c r="GE25" s="1">
        <v>0.32</v>
      </c>
      <c r="GF25" s="1">
        <v>0.32</v>
      </c>
      <c r="GG25" s="1">
        <v>0.2</v>
      </c>
      <c r="GH25" s="1">
        <v>0.26</v>
      </c>
      <c r="GI25" s="1">
        <v>0.6</v>
      </c>
      <c r="GJ25" s="1">
        <v>0.88</v>
      </c>
      <c r="GK25" s="1">
        <v>1.07</v>
      </c>
      <c r="GL25" s="1">
        <v>0.63</v>
      </c>
      <c r="GM25" s="1">
        <v>1.286</v>
      </c>
      <c r="GN25" s="1">
        <v>0.92</v>
      </c>
      <c r="GO25" s="1">
        <v>1.1000000000000001</v>
      </c>
      <c r="GP25" s="1">
        <v>1.22</v>
      </c>
      <c r="GQ25" s="1">
        <v>0.18</v>
      </c>
      <c r="GR25" s="1">
        <v>0.97</v>
      </c>
      <c r="GS25" s="1">
        <v>1.53</v>
      </c>
      <c r="GT25" s="1">
        <v>1.36</v>
      </c>
      <c r="GU25" s="1">
        <v>1.39</v>
      </c>
      <c r="GV25" s="1">
        <v>1.7</v>
      </c>
      <c r="GW25" s="1">
        <v>0.97</v>
      </c>
      <c r="GX25" s="1">
        <v>1.43</v>
      </c>
      <c r="GY25" s="1">
        <v>1.04</v>
      </c>
      <c r="GZ25" s="1">
        <v>0.81</v>
      </c>
      <c r="HA25" s="1">
        <v>1.82</v>
      </c>
      <c r="HB25" s="1">
        <v>0.87</v>
      </c>
      <c r="HC25" s="1">
        <v>1.0609999999999999</v>
      </c>
      <c r="HD25" s="1">
        <v>0.53</v>
      </c>
      <c r="HE25" s="1">
        <v>0.61</v>
      </c>
      <c r="HF25" s="1">
        <v>0.54</v>
      </c>
      <c r="HG25" s="1">
        <v>0.47</v>
      </c>
      <c r="HH25" s="1">
        <v>0.63</v>
      </c>
      <c r="HI25" s="1">
        <v>0.44</v>
      </c>
      <c r="HJ25" s="1">
        <v>0.45</v>
      </c>
      <c r="HK25" s="1">
        <v>0.74</v>
      </c>
      <c r="HL25" s="1">
        <v>0.98</v>
      </c>
      <c r="HM25" s="1">
        <v>0.84</v>
      </c>
      <c r="HN25" s="1">
        <v>0.71</v>
      </c>
      <c r="HO25" s="1">
        <v>0.11</v>
      </c>
      <c r="HP25" s="1">
        <v>0.84</v>
      </c>
      <c r="HQ25" s="1">
        <v>1.43</v>
      </c>
      <c r="HR25" s="1">
        <v>1.1599999999999999</v>
      </c>
      <c r="HS25" s="1">
        <v>0.84</v>
      </c>
      <c r="HT25" s="1">
        <v>0.6</v>
      </c>
      <c r="HU25" s="1">
        <v>0.97</v>
      </c>
      <c r="HV25" s="1">
        <v>0.36</v>
      </c>
      <c r="HW25" s="1">
        <v>0.64</v>
      </c>
      <c r="HX25" s="1">
        <v>1.37</v>
      </c>
      <c r="HY25" s="1">
        <v>1.28</v>
      </c>
      <c r="HZ25" s="1">
        <v>1.87</v>
      </c>
      <c r="IA25" s="1">
        <v>2.57</v>
      </c>
      <c r="IB25" s="1">
        <v>1.52</v>
      </c>
      <c r="IC25" s="1">
        <v>0.28999999999999998</v>
      </c>
      <c r="ID25" s="1">
        <v>0.64</v>
      </c>
      <c r="IE25" s="1">
        <v>0.73</v>
      </c>
      <c r="IF25" s="1">
        <v>0.52</v>
      </c>
      <c r="IG25" s="1">
        <v>0.5</v>
      </c>
      <c r="IH25" s="1">
        <v>-0.75</v>
      </c>
      <c r="II25" s="1">
        <v>0.86</v>
      </c>
      <c r="IJ25" s="1">
        <v>0.63</v>
      </c>
      <c r="IK25" s="1">
        <v>0.16</v>
      </c>
      <c r="IL25" s="1">
        <v>-0.49</v>
      </c>
      <c r="IM25" s="1">
        <v>0.47</v>
      </c>
      <c r="IN25" s="1">
        <v>-0.32</v>
      </c>
      <c r="IO25" s="1">
        <v>0.3</v>
      </c>
      <c r="IP25" s="1">
        <v>0.24</v>
      </c>
      <c r="IQ25" s="1">
        <v>-0.3</v>
      </c>
      <c r="IR25" s="1">
        <v>1.03</v>
      </c>
      <c r="IS25" s="1">
        <v>0.26</v>
      </c>
      <c r="IT25" s="1">
        <v>0.2</v>
      </c>
      <c r="IU25" s="1">
        <v>0.74</v>
      </c>
      <c r="IV25" s="1">
        <v>0.15</v>
      </c>
      <c r="IW25" s="1">
        <v>0.47</v>
      </c>
      <c r="IX25" s="1">
        <v>0.63</v>
      </c>
      <c r="IY25" s="1">
        <v>1.99</v>
      </c>
      <c r="IZ25" s="1">
        <v>1.74</v>
      </c>
      <c r="JA25" s="1">
        <v>0.77</v>
      </c>
      <c r="JB25" s="1">
        <v>2.04</v>
      </c>
      <c r="JC25" s="1">
        <v>1.1299999999999999</v>
      </c>
      <c r="JD25" s="1">
        <v>0.47</v>
      </c>
      <c r="JE25" s="1">
        <v>1.1000000000000001</v>
      </c>
      <c r="JF25" s="1">
        <v>0.97</v>
      </c>
      <c r="JG25" s="1">
        <v>1.1399999999999999</v>
      </c>
      <c r="JH25" s="1">
        <v>0.28000000000000003</v>
      </c>
      <c r="JI25" s="1">
        <v>1.73</v>
      </c>
      <c r="JJ25" s="1">
        <v>1.3</v>
      </c>
      <c r="JK25" s="1">
        <v>0.48</v>
      </c>
    </row>
    <row r="26" spans="2:386" s="1" customFormat="1" ht="15" customHeight="1" x14ac:dyDescent="0.25">
      <c r="B26"/>
      <c r="C26"/>
      <c r="D26"/>
      <c r="E26"/>
      <c r="F26"/>
      <c r="G26"/>
      <c r="H26" s="8"/>
      <c r="I26" s="2"/>
      <c r="J26"/>
      <c r="K26"/>
      <c r="L26"/>
      <c r="M26"/>
      <c r="N26"/>
      <c r="O26"/>
      <c r="P26"/>
      <c r="Q26"/>
      <c r="T26" s="50"/>
    </row>
    <row r="27" spans="2:386" ht="15" customHeight="1" thickBot="1" x14ac:dyDescent="0.3">
      <c r="H27" s="9"/>
      <c r="I27" s="10"/>
      <c r="U27" s="56"/>
      <c r="W27" s="57"/>
      <c r="X27" s="54"/>
      <c r="Y27" s="54"/>
      <c r="Z27" s="58"/>
      <c r="AA27" s="58"/>
      <c r="AB27" s="58"/>
      <c r="AC27" s="58"/>
      <c r="AE27" s="59"/>
      <c r="AF27" s="58"/>
      <c r="AG27" s="58"/>
      <c r="AH27" s="58"/>
      <c r="AI27" s="58"/>
      <c r="AN27" s="59" t="s">
        <v>37</v>
      </c>
      <c r="AO27" s="59">
        <f>Y34</f>
        <v>316.04000000000002</v>
      </c>
      <c r="AP27" s="57" t="s">
        <v>29</v>
      </c>
      <c r="AQ27" s="54">
        <f>V6</f>
        <v>44942</v>
      </c>
      <c r="AR27" s="57" t="s">
        <v>50</v>
      </c>
      <c r="AS27" s="57">
        <f t="array" ref="AS27">INDEX(AK31:AK113,MATCH(MIN(ABS(AK31:AK113-AO27)),ABS(AK31:AK113-AO27),0))</f>
        <v>315</v>
      </c>
      <c r="AT27" s="57">
        <f>MATCH(AS27,AK31:AK111,0)</f>
        <v>35</v>
      </c>
      <c r="BJ27" s="64"/>
    </row>
    <row r="28" spans="2:386" ht="15" customHeight="1" thickBot="1" x14ac:dyDescent="0.3">
      <c r="H28" s="9"/>
      <c r="I28" s="11"/>
      <c r="U28" s="65">
        <v>2018</v>
      </c>
      <c r="V28" s="66" t="s">
        <v>82</v>
      </c>
      <c r="W28" s="67">
        <v>1</v>
      </c>
      <c r="X28" s="68">
        <v>3</v>
      </c>
      <c r="Z28" s="69" t="s">
        <v>53</v>
      </c>
      <c r="AA28" s="70"/>
      <c r="AB28" s="70"/>
      <c r="AC28" s="71"/>
      <c r="AD28" s="72">
        <f>_xll.IMDP(Z28,AD30,"현재가",$V$6)</f>
        <v>317.7</v>
      </c>
      <c r="AE28" s="70"/>
      <c r="AF28" s="70"/>
      <c r="AG28" s="73"/>
      <c r="AH28" s="57"/>
      <c r="AN28" s="74"/>
      <c r="AO28" s="74"/>
      <c r="AP28" s="75"/>
      <c r="AQ28" s="75"/>
      <c r="AR28" s="74"/>
      <c r="AS28" s="74"/>
      <c r="AT28" s="74"/>
      <c r="AU28" s="74"/>
      <c r="AV28" s="74"/>
      <c r="AW28" s="74"/>
      <c r="AX28" s="74"/>
      <c r="AY28" s="74"/>
      <c r="AZ28" s="74"/>
    </row>
    <row r="29" spans="2:386" ht="15" customHeight="1" x14ac:dyDescent="0.25">
      <c r="H29" s="9"/>
      <c r="I29" s="11"/>
      <c r="U29" s="79">
        <v>2019</v>
      </c>
      <c r="V29" s="80" t="s">
        <v>81</v>
      </c>
      <c r="W29" s="81">
        <v>2</v>
      </c>
      <c r="X29" s="82">
        <v>3</v>
      </c>
      <c r="Z29" s="83"/>
      <c r="AA29" s="49" t="s">
        <v>42</v>
      </c>
      <c r="AB29" s="49" t="s">
        <v>52</v>
      </c>
      <c r="AC29" s="49" t="s">
        <v>54</v>
      </c>
      <c r="AD29" s="84" t="s">
        <v>56</v>
      </c>
      <c r="AE29" s="49" t="s">
        <v>55</v>
      </c>
      <c r="AF29" s="49" t="s">
        <v>47</v>
      </c>
      <c r="AG29" s="78" t="s">
        <v>64</v>
      </c>
      <c r="AH29" s="57"/>
      <c r="AI29" s="58"/>
      <c r="AN29" s="134"/>
      <c r="AO29" s="134"/>
      <c r="AP29" s="134"/>
      <c r="AQ29" s="134"/>
      <c r="AR29" s="134"/>
      <c r="AS29" s="134"/>
      <c r="AT29" s="133"/>
      <c r="AU29" s="134"/>
      <c r="AV29" s="134"/>
      <c r="AW29" s="134"/>
      <c r="AX29" s="134"/>
      <c r="AY29" s="134"/>
      <c r="AZ29" s="134"/>
    </row>
    <row r="30" spans="2:386" ht="15" customHeight="1" thickBot="1" x14ac:dyDescent="0.3">
      <c r="H30" s="9"/>
      <c r="I30" s="11"/>
      <c r="U30" s="79">
        <v>2020</v>
      </c>
      <c r="V30" s="80" t="s">
        <v>80</v>
      </c>
      <c r="W30" s="81">
        <v>3</v>
      </c>
      <c r="X30" s="82">
        <v>3</v>
      </c>
      <c r="Z30" s="89">
        <v>101</v>
      </c>
      <c r="AA30" s="90" t="str">
        <f>VLOOKUP(YEAR($V$6),$U$28:$V$46,2,0)</f>
        <v>T</v>
      </c>
      <c r="AB30" s="91">
        <f>VLOOKUP(MONTH($V$6),W28:X39,2,0)</f>
        <v>3</v>
      </c>
      <c r="AC30" s="92" t="s">
        <v>51</v>
      </c>
      <c r="AD30" s="93" t="str">
        <f>Z30&amp;AA30&amp;AB30&amp;AC30</f>
        <v>101T3000</v>
      </c>
      <c r="AE30" s="91" t="str">
        <f>IF(AD28="",AB30,IF(AB30=3,"C",AB30-3))</f>
        <v>C</v>
      </c>
      <c r="AF30" s="90" t="str">
        <f>IF(AB30=3,VLOOKUP(YEAR($V$6)-1,$U$28:$V$46,2,0),AA30)</f>
        <v>S</v>
      </c>
      <c r="AG30" s="93" t="str">
        <f>Z30&amp;AF30&amp;AE30&amp;AC30</f>
        <v>101SC000</v>
      </c>
      <c r="AH30" s="57"/>
      <c r="AI30" s="54"/>
      <c r="AN30" s="133"/>
      <c r="AO30" s="133"/>
      <c r="AP30" s="133"/>
      <c r="AQ30" s="133"/>
      <c r="AR30" s="133"/>
      <c r="AS30" s="133"/>
      <c r="AT30" s="133"/>
      <c r="AU30" s="133"/>
      <c r="AV30" s="133"/>
      <c r="AW30" s="133"/>
      <c r="AX30" s="133"/>
      <c r="AY30" s="133"/>
      <c r="AZ30" s="133"/>
    </row>
    <row r="31" spans="2:386" ht="15" customHeight="1" thickBot="1" x14ac:dyDescent="0.3">
      <c r="H31" s="9"/>
      <c r="I31" s="11"/>
      <c r="U31" s="79">
        <v>2021</v>
      </c>
      <c r="V31" s="80" t="s">
        <v>79</v>
      </c>
      <c r="W31" s="81">
        <v>4</v>
      </c>
      <c r="X31" s="82">
        <v>6</v>
      </c>
      <c r="Y31" s="1" t="str">
        <f ca="1">_xll.IMDH(Z28,"C01",Y33,TODAY()-2543,$A$4,70,"Per=일,sort=D,real=true,Bizday=0,Quote=종가,Pos=30,Orient=V,Title=K200,DtFmt=1,TmFmt=1,unit=true")</f>
        <v>K200</v>
      </c>
      <c r="Z31" s="1" t="str">
        <f ca="1">_xll.IMDH(Z28,AG30,Z33:AD33,TODAY()-2543,$A$4,70,"Per=일,sort=D,real=true,Bizday=0,Quote=종가,Pos=30,Orient=V,Title="&amp;AG30&amp;",DtFmt=1,TmFmt=1,unit=true")</f>
        <v>101SC000</v>
      </c>
      <c r="AH31" s="57"/>
      <c r="AI31" s="54"/>
      <c r="AK31" s="85">
        <v>400</v>
      </c>
      <c r="AL31" s="57" t="str">
        <f t="shared" ref="AL31:AL62" si="6">LEFT(AK31,3)</f>
        <v>400</v>
      </c>
      <c r="AM31" s="74"/>
      <c r="AN31" s="60" t="s">
        <v>49</v>
      </c>
      <c r="AO31" s="61"/>
      <c r="AP31" s="61"/>
      <c r="AQ31" s="61"/>
      <c r="AR31" s="62" t="str">
        <f>_xll.IMDP(AN31,AR33,"현재가",$V$6)</f>
        <v/>
      </c>
      <c r="AS31" s="61"/>
      <c r="AT31" s="61"/>
      <c r="AU31" s="63"/>
      <c r="AV31" s="77"/>
      <c r="AW31" s="77"/>
      <c r="AX31" s="77"/>
      <c r="AY31" s="77"/>
      <c r="AZ31" s="77"/>
    </row>
    <row r="32" spans="2:386" ht="15" customHeight="1" x14ac:dyDescent="0.25">
      <c r="H32" s="9"/>
      <c r="I32" s="11"/>
      <c r="U32" s="79">
        <v>2022</v>
      </c>
      <c r="V32" s="80" t="s">
        <v>78</v>
      </c>
      <c r="W32" s="97">
        <v>5</v>
      </c>
      <c r="X32" s="98">
        <v>6</v>
      </c>
      <c r="AH32" s="57"/>
      <c r="AI32" s="54"/>
      <c r="AK32" s="99">
        <v>397.5</v>
      </c>
      <c r="AL32" s="57" t="str">
        <f t="shared" si="6"/>
        <v>397</v>
      </c>
      <c r="AM32" s="74"/>
      <c r="AN32" s="76" t="s">
        <v>41</v>
      </c>
      <c r="AO32" s="77" t="s">
        <v>42</v>
      </c>
      <c r="AP32" s="77" t="s">
        <v>43</v>
      </c>
      <c r="AQ32" s="77" t="s">
        <v>45</v>
      </c>
      <c r="AR32" s="77" t="s">
        <v>44</v>
      </c>
      <c r="AS32" s="77" t="s">
        <v>46</v>
      </c>
      <c r="AT32" s="77" t="s">
        <v>47</v>
      </c>
      <c r="AU32" s="78" t="s">
        <v>48</v>
      </c>
      <c r="AV32" s="77"/>
      <c r="AW32" s="77"/>
      <c r="AX32" s="77"/>
      <c r="AY32" s="77"/>
      <c r="AZ32" s="77"/>
    </row>
    <row r="33" spans="1:52" ht="15" customHeight="1" x14ac:dyDescent="0.25">
      <c r="U33" s="79">
        <v>2023</v>
      </c>
      <c r="V33" s="80" t="s">
        <v>77</v>
      </c>
      <c r="W33" s="81">
        <v>6</v>
      </c>
      <c r="X33" s="98">
        <v>6</v>
      </c>
      <c r="Y33" s="1" t="s">
        <v>60</v>
      </c>
      <c r="Z33" s="57" t="s">
        <v>1</v>
      </c>
      <c r="AA33" s="56" t="s">
        <v>36</v>
      </c>
      <c r="AB33" s="55" t="s">
        <v>15</v>
      </c>
      <c r="AC33" s="55" t="s">
        <v>16</v>
      </c>
      <c r="AD33" s="55" t="s">
        <v>24</v>
      </c>
      <c r="AK33" s="99">
        <v>395</v>
      </c>
      <c r="AL33" s="57" t="str">
        <f t="shared" si="6"/>
        <v>395</v>
      </c>
      <c r="AM33" s="74"/>
      <c r="AN33" s="86">
        <v>201</v>
      </c>
      <c r="AO33" s="64" t="str">
        <f>VLOOKUP(YEAR($V$6),$AN$36:$AO$54,2,0)</f>
        <v>T</v>
      </c>
      <c r="AP33" s="64">
        <f>VLOOKUP(MONTH($V$6),$AP$36:$AQ$47,2,0)</f>
        <v>1</v>
      </c>
      <c r="AQ33" s="64">
        <v>265</v>
      </c>
      <c r="AR33" s="87" t="str">
        <f>AN33&amp;AO33&amp;AP33&amp;AQ33</f>
        <v>201T1265</v>
      </c>
      <c r="AS33" s="64">
        <f>IF($AR$31="",VLOOKUP(IF(MONTH($V$6)+1&gt;12,MONTH($V$6)-11,MONTH($V$6)+1),$AP$36:$AQ$47,2,0),AP33)</f>
        <v>2</v>
      </c>
      <c r="AT33" s="64" t="str">
        <f>IF(MONTH($V$6)+1&gt;12, VLOOKUP(YEAR($V$6)+1,$AN$36:$AO$54,2,0),AO33)</f>
        <v>T</v>
      </c>
      <c r="AU33" s="88" t="str">
        <f>AN33&amp;AT33&amp;AS33</f>
        <v>201T2</v>
      </c>
      <c r="AV33" s="77"/>
      <c r="AW33" s="77"/>
      <c r="AX33" s="77"/>
      <c r="AY33" s="77"/>
      <c r="AZ33" s="77"/>
    </row>
    <row r="34" spans="1:52" ht="15" customHeight="1" thickBot="1" x14ac:dyDescent="0.3">
      <c r="U34" s="79">
        <v>2024</v>
      </c>
      <c r="V34" s="80" t="s">
        <v>76</v>
      </c>
      <c r="W34" s="81">
        <v>7</v>
      </c>
      <c r="X34" s="98">
        <v>9</v>
      </c>
      <c r="Y34" s="1">
        <v>316.04000000000002</v>
      </c>
      <c r="Z34" s="54">
        <v>44942</v>
      </c>
      <c r="AB34" s="1">
        <v>3326</v>
      </c>
      <c r="AC34" s="1">
        <v>-1013</v>
      </c>
      <c r="AD34" s="1">
        <v>-1943</v>
      </c>
      <c r="AE34" s="100">
        <f t="shared" ref="AE34:AE65" si="7">IF($AA34="",AB34,NA())</f>
        <v>3326</v>
      </c>
      <c r="AF34" s="101">
        <f t="shared" ref="AF34:AF65" si="8">IF($AA34="",AC34,NA())</f>
        <v>-1013</v>
      </c>
      <c r="AG34" s="102">
        <f t="shared" ref="AG34:AG65" si="9">IF($AA34="",AD34,NA())</f>
        <v>-1943</v>
      </c>
      <c r="AK34" s="99">
        <v>392.5</v>
      </c>
      <c r="AL34" s="57" t="str">
        <f t="shared" si="6"/>
        <v>392</v>
      </c>
      <c r="AM34" s="74"/>
      <c r="AN34" s="94">
        <v>301</v>
      </c>
      <c r="AO34" s="95" t="str">
        <f>AO33</f>
        <v>T</v>
      </c>
      <c r="AP34" s="95">
        <f>AP33</f>
        <v>1</v>
      </c>
      <c r="AQ34" s="95">
        <f>AQ33</f>
        <v>265</v>
      </c>
      <c r="AR34" s="95" t="str">
        <f>AN34&amp;AO34&amp;AP34&amp;AQ34</f>
        <v>301T1265</v>
      </c>
      <c r="AS34" s="95">
        <f>AS33</f>
        <v>2</v>
      </c>
      <c r="AT34" s="95" t="str">
        <f>AT33</f>
        <v>T</v>
      </c>
      <c r="AU34" s="96" t="str">
        <f>AN34&amp;AT34&amp;AS34</f>
        <v>301T2</v>
      </c>
      <c r="AV34" s="77"/>
      <c r="AW34" s="77"/>
      <c r="AX34" s="77"/>
      <c r="AY34" s="77"/>
      <c r="AZ34" s="77"/>
    </row>
    <row r="35" spans="1:52" ht="15" customHeight="1" x14ac:dyDescent="0.25">
      <c r="U35" s="79">
        <v>2025</v>
      </c>
      <c r="V35" s="80" t="s">
        <v>75</v>
      </c>
      <c r="W35" s="81">
        <v>8</v>
      </c>
      <c r="X35" s="98">
        <v>9</v>
      </c>
      <c r="Y35" s="1">
        <v>313.77</v>
      </c>
      <c r="Z35" s="54">
        <v>44939</v>
      </c>
      <c r="AB35" s="1">
        <v>178</v>
      </c>
      <c r="AC35" s="1">
        <v>-206</v>
      </c>
      <c r="AD35" s="1">
        <v>-718</v>
      </c>
      <c r="AE35" s="103">
        <f t="shared" si="7"/>
        <v>178</v>
      </c>
      <c r="AF35" s="104">
        <f t="shared" si="8"/>
        <v>-206</v>
      </c>
      <c r="AG35" s="105">
        <f t="shared" si="9"/>
        <v>-718</v>
      </c>
      <c r="AK35" s="99">
        <v>390</v>
      </c>
      <c r="AL35" s="57" t="str">
        <f t="shared" si="6"/>
        <v>390</v>
      </c>
      <c r="AM35" s="74"/>
      <c r="AV35" s="77"/>
      <c r="AW35" s="77"/>
      <c r="AX35" s="77"/>
      <c r="AY35" s="77"/>
      <c r="AZ35" s="77"/>
    </row>
    <row r="36" spans="1:52" ht="15" customHeight="1" x14ac:dyDescent="0.25">
      <c r="U36" s="79">
        <v>2026</v>
      </c>
      <c r="V36" s="80">
        <v>6</v>
      </c>
      <c r="W36" s="81">
        <v>9</v>
      </c>
      <c r="X36" s="98">
        <v>9</v>
      </c>
      <c r="Y36" s="1">
        <v>310.7</v>
      </c>
      <c r="Z36" s="54">
        <v>44938</v>
      </c>
      <c r="AB36" s="1">
        <v>-820</v>
      </c>
      <c r="AC36" s="1">
        <v>656</v>
      </c>
      <c r="AD36" s="1">
        <v>-667</v>
      </c>
      <c r="AE36" s="103">
        <f t="shared" si="7"/>
        <v>-820</v>
      </c>
      <c r="AF36" s="104">
        <f t="shared" si="8"/>
        <v>656</v>
      </c>
      <c r="AG36" s="105">
        <f t="shared" si="9"/>
        <v>-667</v>
      </c>
      <c r="AK36" s="99">
        <v>387.5</v>
      </c>
      <c r="AL36" s="57" t="str">
        <f t="shared" si="6"/>
        <v>387</v>
      </c>
      <c r="AM36" s="74"/>
      <c r="AN36" s="65">
        <v>2018</v>
      </c>
      <c r="AO36" s="66" t="s">
        <v>82</v>
      </c>
      <c r="AP36" s="67">
        <v>1</v>
      </c>
      <c r="AQ36" s="66">
        <v>1</v>
      </c>
      <c r="AR36" s="128">
        <v>2018</v>
      </c>
      <c r="AV36" s="77"/>
      <c r="AW36" s="77"/>
      <c r="AX36" s="77"/>
      <c r="AY36" s="77"/>
      <c r="AZ36" s="77"/>
    </row>
    <row r="37" spans="1:52" ht="15" customHeight="1" x14ac:dyDescent="0.25">
      <c r="U37" s="79">
        <v>2027</v>
      </c>
      <c r="V37" s="80">
        <v>7</v>
      </c>
      <c r="W37" s="97">
        <v>10</v>
      </c>
      <c r="X37" s="98" t="s">
        <v>62</v>
      </c>
      <c r="Y37" s="1">
        <v>310.38</v>
      </c>
      <c r="Z37" s="54">
        <v>44937</v>
      </c>
      <c r="AB37" s="1">
        <v>2773</v>
      </c>
      <c r="AC37" s="1">
        <v>785</v>
      </c>
      <c r="AD37" s="1">
        <v>-3015</v>
      </c>
      <c r="AE37" s="103">
        <f t="shared" si="7"/>
        <v>2773</v>
      </c>
      <c r="AF37" s="104">
        <f t="shared" si="8"/>
        <v>785</v>
      </c>
      <c r="AG37" s="105">
        <f t="shared" si="9"/>
        <v>-3015</v>
      </c>
      <c r="AK37" s="99">
        <v>385</v>
      </c>
      <c r="AL37" s="57" t="str">
        <f t="shared" si="6"/>
        <v>385</v>
      </c>
      <c r="AM37" s="74"/>
      <c r="AN37" s="79">
        <v>2019</v>
      </c>
      <c r="AO37" s="80" t="s">
        <v>81</v>
      </c>
      <c r="AP37" s="81">
        <v>2</v>
      </c>
      <c r="AQ37" s="80">
        <v>2</v>
      </c>
      <c r="AR37" s="129">
        <v>2019</v>
      </c>
      <c r="AV37" s="77"/>
      <c r="AW37" s="77"/>
      <c r="AX37" s="77"/>
      <c r="AY37" s="77"/>
      <c r="AZ37" s="77"/>
    </row>
    <row r="38" spans="1:52" ht="15" customHeight="1" x14ac:dyDescent="0.25">
      <c r="U38" s="79">
        <v>2028</v>
      </c>
      <c r="V38" s="80">
        <v>8</v>
      </c>
      <c r="W38" s="81">
        <v>11</v>
      </c>
      <c r="X38" s="82" t="s">
        <v>63</v>
      </c>
      <c r="Y38" s="58">
        <v>309.57</v>
      </c>
      <c r="Z38" s="54">
        <v>44936</v>
      </c>
      <c r="AB38" s="1">
        <v>-1216</v>
      </c>
      <c r="AC38" s="1">
        <v>2115</v>
      </c>
      <c r="AD38" s="1">
        <v>-844</v>
      </c>
      <c r="AE38" s="103">
        <f t="shared" si="7"/>
        <v>-1216</v>
      </c>
      <c r="AF38" s="104">
        <f t="shared" si="8"/>
        <v>2115</v>
      </c>
      <c r="AG38" s="105">
        <f t="shared" si="9"/>
        <v>-844</v>
      </c>
      <c r="AK38" s="99">
        <v>382.5</v>
      </c>
      <c r="AL38" s="57" t="str">
        <f t="shared" si="6"/>
        <v>382</v>
      </c>
      <c r="AM38" s="74"/>
      <c r="AN38" s="79">
        <v>2020</v>
      </c>
      <c r="AO38" s="80" t="s">
        <v>80</v>
      </c>
      <c r="AP38" s="81">
        <v>3</v>
      </c>
      <c r="AQ38" s="80">
        <v>3</v>
      </c>
      <c r="AR38" s="129">
        <v>2020</v>
      </c>
      <c r="AV38" s="77"/>
      <c r="AW38" s="77"/>
      <c r="AX38" s="77"/>
      <c r="AY38" s="77"/>
      <c r="AZ38" s="77"/>
    </row>
    <row r="39" spans="1:52" ht="15" customHeight="1" x14ac:dyDescent="0.25">
      <c r="U39" s="123">
        <v>2029</v>
      </c>
      <c r="V39" s="120">
        <v>9</v>
      </c>
      <c r="W39" s="81">
        <v>12</v>
      </c>
      <c r="X39" s="98" t="s">
        <v>62</v>
      </c>
      <c r="Y39" s="58">
        <v>309.69</v>
      </c>
      <c r="Z39" s="54">
        <v>44935</v>
      </c>
      <c r="AB39" s="1">
        <v>-3123</v>
      </c>
      <c r="AC39" s="1">
        <v>182</v>
      </c>
      <c r="AD39" s="1">
        <v>1920</v>
      </c>
      <c r="AE39" s="103">
        <f t="shared" si="7"/>
        <v>-3123</v>
      </c>
      <c r="AF39" s="104">
        <f t="shared" si="8"/>
        <v>182</v>
      </c>
      <c r="AG39" s="105">
        <f t="shared" si="9"/>
        <v>1920</v>
      </c>
      <c r="AK39" s="99">
        <v>380</v>
      </c>
      <c r="AL39" s="57" t="str">
        <f t="shared" si="6"/>
        <v>380</v>
      </c>
      <c r="AM39" s="74"/>
      <c r="AN39" s="79">
        <v>2021</v>
      </c>
      <c r="AO39" s="80" t="s">
        <v>79</v>
      </c>
      <c r="AP39" s="81">
        <v>4</v>
      </c>
      <c r="AQ39" s="80">
        <v>4</v>
      </c>
      <c r="AR39" s="129">
        <v>2021</v>
      </c>
      <c r="AV39" s="77"/>
      <c r="AW39" s="77"/>
      <c r="AX39" s="77"/>
      <c r="AY39" s="77"/>
      <c r="AZ39" s="77"/>
    </row>
    <row r="40" spans="1:52" ht="15" customHeight="1" x14ac:dyDescent="0.25">
      <c r="U40" s="123">
        <v>2030</v>
      </c>
      <c r="V40" s="121">
        <v>0</v>
      </c>
      <c r="W40" s="122"/>
      <c r="X40" s="124"/>
      <c r="Y40" s="58">
        <v>301.52999999999997</v>
      </c>
      <c r="Z40" s="54">
        <v>44932</v>
      </c>
      <c r="AB40" s="1">
        <v>834</v>
      </c>
      <c r="AC40" s="1">
        <v>-1001</v>
      </c>
      <c r="AD40" s="1">
        <v>1001</v>
      </c>
      <c r="AE40" s="103">
        <f t="shared" si="7"/>
        <v>834</v>
      </c>
      <c r="AF40" s="104">
        <f t="shared" si="8"/>
        <v>-1001</v>
      </c>
      <c r="AG40" s="105">
        <f t="shared" si="9"/>
        <v>1001</v>
      </c>
      <c r="AK40" s="99">
        <v>377.5</v>
      </c>
      <c r="AL40" s="57" t="str">
        <f t="shared" si="6"/>
        <v>377</v>
      </c>
      <c r="AM40" s="74"/>
      <c r="AN40" s="79">
        <v>2022</v>
      </c>
      <c r="AO40" s="80" t="s">
        <v>78</v>
      </c>
      <c r="AP40" s="81">
        <v>5</v>
      </c>
      <c r="AQ40" s="80">
        <v>5</v>
      </c>
      <c r="AR40" s="129">
        <v>2022</v>
      </c>
      <c r="AV40" s="77"/>
      <c r="AW40" s="77"/>
      <c r="AX40" s="77"/>
      <c r="AY40" s="77"/>
      <c r="AZ40" s="77"/>
    </row>
    <row r="41" spans="1:52" ht="15" customHeight="1" thickBot="1" x14ac:dyDescent="0.3">
      <c r="C41" s="27" t="s">
        <v>68</v>
      </c>
      <c r="U41" s="123">
        <v>2031</v>
      </c>
      <c r="V41" s="121">
        <v>1</v>
      </c>
      <c r="W41" s="122"/>
      <c r="X41" s="124"/>
      <c r="Y41" s="58">
        <v>297.87</v>
      </c>
      <c r="Z41" s="54">
        <v>44931</v>
      </c>
      <c r="AB41" s="1">
        <v>-113</v>
      </c>
      <c r="AC41" s="1">
        <v>-1401</v>
      </c>
      <c r="AD41" s="1">
        <v>1309</v>
      </c>
      <c r="AE41" s="103">
        <f t="shared" si="7"/>
        <v>-113</v>
      </c>
      <c r="AF41" s="104">
        <f t="shared" si="8"/>
        <v>-1401</v>
      </c>
      <c r="AG41" s="105">
        <f t="shared" si="9"/>
        <v>1309</v>
      </c>
      <c r="AK41" s="99">
        <v>375</v>
      </c>
      <c r="AL41" s="57" t="str">
        <f t="shared" si="6"/>
        <v>375</v>
      </c>
      <c r="AM41" s="74"/>
      <c r="AN41" s="79">
        <v>2023</v>
      </c>
      <c r="AO41" s="80" t="s">
        <v>77</v>
      </c>
      <c r="AP41" s="81">
        <v>6</v>
      </c>
      <c r="AQ41" s="80">
        <v>6</v>
      </c>
      <c r="AR41" s="129">
        <v>2023</v>
      </c>
      <c r="AV41" s="77"/>
      <c r="AW41" s="77"/>
      <c r="AX41" s="77"/>
      <c r="AY41" s="77"/>
      <c r="AZ41" s="77"/>
    </row>
    <row r="42" spans="1:52" ht="15" customHeight="1" thickBot="1" x14ac:dyDescent="0.3">
      <c r="C42" s="26" t="str">
        <f>VLOOKUP(AT33,AO36:AR54,4,0)&amp;"년 "&amp;MATCH(AS33,$AQ$36:$AQ$47,0)&amp;"월물"</f>
        <v>2023년 2월물</v>
      </c>
      <c r="D42" s="148" t="s">
        <v>65</v>
      </c>
      <c r="E42" s="149"/>
      <c r="F42" s="149"/>
      <c r="G42" s="149"/>
      <c r="H42" s="149"/>
      <c r="I42" s="149"/>
      <c r="J42" s="151" t="s">
        <v>85</v>
      </c>
      <c r="K42" s="149" t="s">
        <v>66</v>
      </c>
      <c r="L42" s="149"/>
      <c r="M42" s="149"/>
      <c r="N42" s="149"/>
      <c r="O42" s="149"/>
      <c r="P42" s="150"/>
      <c r="U42" s="123">
        <v>2032</v>
      </c>
      <c r="V42" s="121">
        <v>2</v>
      </c>
      <c r="W42" s="122"/>
      <c r="X42" s="124"/>
      <c r="Y42" s="58">
        <v>295.98</v>
      </c>
      <c r="Z42" s="54">
        <v>44930</v>
      </c>
      <c r="AB42" s="1">
        <v>1676</v>
      </c>
      <c r="AC42" s="1">
        <v>-1844</v>
      </c>
      <c r="AD42" s="1">
        <v>842</v>
      </c>
      <c r="AE42" s="103">
        <f t="shared" si="7"/>
        <v>1676</v>
      </c>
      <c r="AF42" s="104">
        <f t="shared" si="8"/>
        <v>-1844</v>
      </c>
      <c r="AG42" s="105">
        <f t="shared" si="9"/>
        <v>842</v>
      </c>
      <c r="AK42" s="99">
        <v>372.5</v>
      </c>
      <c r="AL42" s="57" t="str">
        <f t="shared" si="6"/>
        <v>372</v>
      </c>
      <c r="AM42" s="74"/>
      <c r="AN42" s="79">
        <v>2024</v>
      </c>
      <c r="AO42" s="80" t="s">
        <v>76</v>
      </c>
      <c r="AP42" s="81">
        <v>7</v>
      </c>
      <c r="AQ42" s="80">
        <v>7</v>
      </c>
      <c r="AR42" s="129">
        <v>2024</v>
      </c>
      <c r="AV42" s="77"/>
      <c r="AW42" s="77"/>
      <c r="AX42" s="77"/>
      <c r="AY42" s="77"/>
      <c r="AZ42" s="77"/>
    </row>
    <row r="43" spans="1:52" ht="15" customHeight="1" thickBot="1" x14ac:dyDescent="0.3">
      <c r="C43" s="25" t="s">
        <v>67</v>
      </c>
      <c r="D43" s="141" t="s">
        <v>86</v>
      </c>
      <c r="E43" s="142" t="s">
        <v>87</v>
      </c>
      <c r="F43" s="142" t="s">
        <v>88</v>
      </c>
      <c r="G43" s="142" t="s">
        <v>89</v>
      </c>
      <c r="H43" s="142" t="s">
        <v>90</v>
      </c>
      <c r="I43" s="142" t="s">
        <v>91</v>
      </c>
      <c r="J43" s="152"/>
      <c r="K43" s="142" t="s">
        <v>92</v>
      </c>
      <c r="L43" s="142" t="s">
        <v>90</v>
      </c>
      <c r="M43" s="142" t="s">
        <v>93</v>
      </c>
      <c r="N43" s="142" t="s">
        <v>88</v>
      </c>
      <c r="O43" s="142" t="s">
        <v>87</v>
      </c>
      <c r="P43" s="143" t="s">
        <v>94</v>
      </c>
      <c r="U43" s="123">
        <v>2033</v>
      </c>
      <c r="V43" s="121">
        <v>3</v>
      </c>
      <c r="W43" s="122"/>
      <c r="X43" s="124"/>
      <c r="Y43" s="58">
        <v>289.58</v>
      </c>
      <c r="Z43" s="54">
        <v>44929</v>
      </c>
      <c r="AB43" s="1">
        <v>-5860</v>
      </c>
      <c r="AC43" s="1">
        <v>-3249</v>
      </c>
      <c r="AD43" s="1">
        <v>9427</v>
      </c>
      <c r="AE43" s="103">
        <f t="shared" si="7"/>
        <v>-5860</v>
      </c>
      <c r="AF43" s="104">
        <f t="shared" si="8"/>
        <v>-3249</v>
      </c>
      <c r="AG43" s="105">
        <f t="shared" si="9"/>
        <v>9427</v>
      </c>
      <c r="AK43" s="99">
        <v>370</v>
      </c>
      <c r="AL43" s="57" t="str">
        <f t="shared" si="6"/>
        <v>370</v>
      </c>
      <c r="AM43" s="74"/>
      <c r="AN43" s="79">
        <v>2025</v>
      </c>
      <c r="AO43" s="80" t="s">
        <v>75</v>
      </c>
      <c r="AP43" s="81">
        <v>8</v>
      </c>
      <c r="AQ43" s="80">
        <v>8</v>
      </c>
      <c r="AR43" s="129">
        <v>2025</v>
      </c>
      <c r="AV43" s="77"/>
      <c r="AW43" s="77"/>
      <c r="AX43" s="77"/>
      <c r="AY43" s="77"/>
      <c r="AZ43" s="77"/>
    </row>
    <row r="44" spans="1:52" ht="15" customHeight="1" x14ac:dyDescent="0.25">
      <c r="A44" s="1">
        <v>-4</v>
      </c>
      <c r="C44" s="138">
        <f>I44-K44</f>
        <v>-8.07</v>
      </c>
      <c r="D44" s="135">
        <f>_xll.IMDP($AN$31,$AU$33&amp;INDEX($AL$31:$AL$113,$AT$27+$A44),D$43,$AQ$27)</f>
        <v>0.31309999999999999</v>
      </c>
      <c r="E44" s="136">
        <f>_xll.IMDP($AN$31,$AU$33&amp;INDEX($AL$31:$AL$113,$AT$27+$A44),E$43,$AQ$27)</f>
        <v>15.396800000000001</v>
      </c>
      <c r="F44" s="136">
        <f>_xll.IMDP($AN$31,$AU$33&amp;INDEX($AL$31:$AL$113,$AT$27+$A44),F$43,$AQ$27)</f>
        <v>2744</v>
      </c>
      <c r="G44" s="136">
        <f>_xll.IMDP($AN$31,$AU$33&amp;INDEX($AL$31:$AL$113,$AT$27+$A44),G$43,$AQ$27)</f>
        <v>20005</v>
      </c>
      <c r="H44" s="136">
        <f>_xll.IMDP($AN$31,$AU$33&amp;INDEX($AL$31:$AL$113,$AT$27+$A44),H$43,$AQ$27)</f>
        <v>15.79</v>
      </c>
      <c r="I44" s="137">
        <f>_xll.IMDP($AN$31,$AU$33&amp;INDEX($AL$31:$AL$113,$AT$27+$A44),I$43,$AQ$27)</f>
        <v>1.98</v>
      </c>
      <c r="J44" s="144">
        <f>J45+2.5</f>
        <v>325</v>
      </c>
      <c r="K44" s="136">
        <f>_xll.IMDP($AN$31,$AU$34&amp;INDEX($AL$31:$AL$113,$AT$27+$A44),K$43,$AQ$27)</f>
        <v>10.050000000000001</v>
      </c>
      <c r="L44" s="136">
        <f>_xll.IMDP($AN$31,$AU$34&amp;INDEX($AL$31:$AL$113,$AT$27+$A44),L$43,$AQ$27)</f>
        <v>-18.95</v>
      </c>
      <c r="M44" s="136">
        <f>_xll.IMDP($AN$31,$AU$34&amp;INDEX($AL$31:$AL$113,$AT$27+$A44),M$43,$AQ$27)</f>
        <v>486</v>
      </c>
      <c r="N44" s="136">
        <f>_xll.IMDP($AN$31,$AU$34&amp;INDEX($AL$31:$AL$113,$AT$27+$A44),N$43,$AQ$27)</f>
        <v>217</v>
      </c>
      <c r="O44" s="136">
        <f>_xll.IMDP($AN$31,$AU$34&amp;INDEX($AL$31:$AL$113,$AT$27+$A44),O$43,$AQ$27)</f>
        <v>15.1494</v>
      </c>
      <c r="P44" s="137">
        <f>_xll.IMDP($AN$31,$AU$34&amp;INDEX($AL$31:$AL$113,$AT$27+$A44),P$43,$AQ$27)</f>
        <v>-0.68689999999999996</v>
      </c>
      <c r="U44" s="123">
        <v>2034</v>
      </c>
      <c r="V44" s="121">
        <v>4</v>
      </c>
      <c r="W44" s="122"/>
      <c r="X44" s="124"/>
      <c r="Y44" s="58">
        <v>289.79000000000002</v>
      </c>
      <c r="Z44" s="54">
        <v>44928</v>
      </c>
      <c r="AB44" s="1">
        <v>2460</v>
      </c>
      <c r="AC44" s="1">
        <v>-1196</v>
      </c>
      <c r="AD44" s="1">
        <v>-701</v>
      </c>
      <c r="AE44" s="103">
        <f t="shared" si="7"/>
        <v>2460</v>
      </c>
      <c r="AF44" s="104">
        <f t="shared" si="8"/>
        <v>-1196</v>
      </c>
      <c r="AG44" s="105">
        <f t="shared" si="9"/>
        <v>-701</v>
      </c>
      <c r="AK44" s="99">
        <v>367.5</v>
      </c>
      <c r="AL44" s="57" t="str">
        <f t="shared" si="6"/>
        <v>367</v>
      </c>
      <c r="AM44" s="74"/>
      <c r="AN44" s="79">
        <v>2026</v>
      </c>
      <c r="AO44" s="80">
        <v>6</v>
      </c>
      <c r="AP44" s="81">
        <v>9</v>
      </c>
      <c r="AQ44" s="80">
        <v>9</v>
      </c>
      <c r="AR44" s="129">
        <v>2026</v>
      </c>
      <c r="AV44" s="77"/>
      <c r="AW44" s="77"/>
      <c r="AX44" s="77"/>
      <c r="AY44" s="77"/>
      <c r="AZ44" s="77"/>
    </row>
    <row r="45" spans="1:52" ht="15" customHeight="1" x14ac:dyDescent="0.25">
      <c r="A45" s="1">
        <v>-3</v>
      </c>
      <c r="C45" s="138">
        <f t="shared" ref="C45:C52" si="10">I45-K45</f>
        <v>-5.5499999999999989</v>
      </c>
      <c r="D45" s="14">
        <f>_xll.IMDP($AN$31,$AU$33&amp;INDEX($AL$31:$AL$113,$AT$27+$A45),D$43,$AQ$27)</f>
        <v>0.37009999999999998</v>
      </c>
      <c r="E45" s="13">
        <f>_xll.IMDP($AN$31,$AU$33&amp;INDEX($AL$31:$AL$113,$AT$27+$A45),E$43,$AQ$27)</f>
        <v>15.5563</v>
      </c>
      <c r="F45" s="13">
        <f>_xll.IMDP($AN$31,$AU$33&amp;INDEX($AL$31:$AL$113,$AT$27+$A45),F$43,$AQ$27)</f>
        <v>696</v>
      </c>
      <c r="G45" s="13">
        <f>_xll.IMDP($AN$31,$AU$33&amp;INDEX($AL$31:$AL$113,$AT$27+$A45),G$43,$AQ$27)</f>
        <v>12642</v>
      </c>
      <c r="H45" s="13">
        <f>_xll.IMDP($AN$31,$AU$33&amp;INDEX($AL$31:$AL$113,$AT$27+$A45),H$43,$AQ$27)</f>
        <v>17.600000000000001</v>
      </c>
      <c r="I45" s="15">
        <f>_xll.IMDP($AN$31,$AU$33&amp;INDEX($AL$31:$AL$113,$AT$27+$A45),I$43,$AQ$27)</f>
        <v>2.74</v>
      </c>
      <c r="J45" s="19">
        <f>J46+2.5</f>
        <v>322.5</v>
      </c>
      <c r="K45" s="13">
        <f>_xll.IMDP($AN$31,$AU$34&amp;INDEX($AL$31:$AL$113,$AT$27+$A45),K$43,$AQ$27)</f>
        <v>8.2899999999999991</v>
      </c>
      <c r="L45" s="13">
        <f>_xll.IMDP($AN$31,$AU$34&amp;INDEX($AL$31:$AL$113,$AT$27+$A45),L$43,$AQ$27)</f>
        <v>-19.899999999999999</v>
      </c>
      <c r="M45" s="13">
        <f>_xll.IMDP($AN$31,$AU$34&amp;INDEX($AL$31:$AL$113,$AT$27+$A45),M$43,$AQ$27)</f>
        <v>441</v>
      </c>
      <c r="N45" s="13">
        <f>_xll.IMDP($AN$31,$AU$34&amp;INDEX($AL$31:$AL$113,$AT$27+$A45),N$43,$AQ$27)</f>
        <v>255</v>
      </c>
      <c r="O45" s="13">
        <f>_xll.IMDP($AN$31,$AU$34&amp;INDEX($AL$31:$AL$113,$AT$27+$A45),O$43,$AQ$27)</f>
        <v>15.2446</v>
      </c>
      <c r="P45" s="15">
        <f>_xll.IMDP($AN$31,$AU$34&amp;INDEX($AL$31:$AL$113,$AT$27+$A45),P$43,$AQ$27)</f>
        <v>-0.62990000000000002</v>
      </c>
      <c r="U45" s="123">
        <v>2035</v>
      </c>
      <c r="V45" s="121">
        <v>5</v>
      </c>
      <c r="W45" s="122"/>
      <c r="X45" s="124"/>
      <c r="Y45" s="58">
        <v>291.10000000000002</v>
      </c>
      <c r="Z45" s="54">
        <v>44924</v>
      </c>
      <c r="AB45" s="1">
        <v>-6327</v>
      </c>
      <c r="AC45" s="1">
        <v>4943</v>
      </c>
      <c r="AD45" s="1">
        <v>-457</v>
      </c>
      <c r="AE45" s="103">
        <f t="shared" si="7"/>
        <v>-6327</v>
      </c>
      <c r="AF45" s="104">
        <f t="shared" si="8"/>
        <v>4943</v>
      </c>
      <c r="AG45" s="105">
        <f t="shared" si="9"/>
        <v>-457</v>
      </c>
      <c r="AK45" s="99">
        <v>365</v>
      </c>
      <c r="AL45" s="57" t="str">
        <f t="shared" si="6"/>
        <v>365</v>
      </c>
      <c r="AM45" s="74"/>
      <c r="AN45" s="79">
        <v>2027</v>
      </c>
      <c r="AO45" s="80">
        <v>7</v>
      </c>
      <c r="AP45" s="81">
        <v>10</v>
      </c>
      <c r="AQ45" s="80" t="s">
        <v>38</v>
      </c>
      <c r="AR45" s="129">
        <v>2027</v>
      </c>
      <c r="AV45" s="77"/>
      <c r="AW45" s="77"/>
      <c r="AX45" s="77"/>
      <c r="AY45" s="77"/>
      <c r="AZ45" s="77"/>
    </row>
    <row r="46" spans="1:52" ht="15" customHeight="1" x14ac:dyDescent="0.25">
      <c r="A46" s="1">
        <v>-2</v>
      </c>
      <c r="C46" s="138">
        <f t="shared" si="10"/>
        <v>-3.1199999999999997</v>
      </c>
      <c r="D46" s="14">
        <f>_xll.IMDP($AN$31,$AU$33&amp;INDEX($AL$31:$AL$113,$AT$27+$A46),D$43,$AQ$27)</f>
        <v>0.43059999999999998</v>
      </c>
      <c r="E46" s="13">
        <f>_xll.IMDP($AN$31,$AU$33&amp;INDEX($AL$31:$AL$113,$AT$27+$A46),E$43,$AQ$27)</f>
        <v>15.5854</v>
      </c>
      <c r="F46" s="13">
        <f>_xll.IMDP($AN$31,$AU$33&amp;INDEX($AL$31:$AL$113,$AT$27+$A46),F$43,$AQ$27)</f>
        <v>-60</v>
      </c>
      <c r="G46" s="13">
        <f>_xll.IMDP($AN$31,$AU$33&amp;INDEX($AL$31:$AL$113,$AT$27+$A46),G$43,$AQ$27)</f>
        <v>17111</v>
      </c>
      <c r="H46" s="13">
        <f>_xll.IMDP($AN$31,$AU$33&amp;INDEX($AL$31:$AL$113,$AT$27+$A46),H$43,$AQ$27)</f>
        <v>15.92</v>
      </c>
      <c r="I46" s="15">
        <f>_xll.IMDP($AN$31,$AU$33&amp;INDEX($AL$31:$AL$113,$AT$27+$A46),I$43,$AQ$27)</f>
        <v>3.64</v>
      </c>
      <c r="J46" s="19">
        <f>J47+2.5</f>
        <v>320</v>
      </c>
      <c r="K46" s="13">
        <f>_xll.IMDP($AN$31,$AU$34&amp;INDEX($AL$31:$AL$113,$AT$27+$A46),K$43,$AQ$27)</f>
        <v>6.76</v>
      </c>
      <c r="L46" s="13">
        <f>_xll.IMDP($AN$31,$AU$34&amp;INDEX($AL$31:$AL$113,$AT$27+$A46),L$43,$AQ$27)</f>
        <v>-21.58</v>
      </c>
      <c r="M46" s="13">
        <f>_xll.IMDP($AN$31,$AU$34&amp;INDEX($AL$31:$AL$113,$AT$27+$A46),M$43,$AQ$27)</f>
        <v>1692</v>
      </c>
      <c r="N46" s="13">
        <f>_xll.IMDP($AN$31,$AU$34&amp;INDEX($AL$31:$AL$113,$AT$27+$A46),N$43,$AQ$27)</f>
        <v>482</v>
      </c>
      <c r="O46" s="13">
        <f>_xll.IMDP($AN$31,$AU$34&amp;INDEX($AL$31:$AL$113,$AT$27+$A46),O$43,$AQ$27)</f>
        <v>15.495799999999999</v>
      </c>
      <c r="P46" s="15">
        <f>_xll.IMDP($AN$31,$AU$34&amp;INDEX($AL$31:$AL$113,$AT$27+$A46),P$43,$AQ$27)</f>
        <v>-0.56940000000000002</v>
      </c>
      <c r="Q46" s="13"/>
      <c r="R46" s="49"/>
      <c r="S46" s="49"/>
      <c r="T46" s="52"/>
      <c r="U46" s="106">
        <v>2036</v>
      </c>
      <c r="V46" s="125" t="s">
        <v>83</v>
      </c>
      <c r="W46" s="126"/>
      <c r="X46" s="127"/>
      <c r="Y46" s="58">
        <v>297.08999999999997</v>
      </c>
      <c r="Z46" s="54">
        <v>44923</v>
      </c>
      <c r="AB46" s="1">
        <v>-5728</v>
      </c>
      <c r="AC46" s="1">
        <v>2872</v>
      </c>
      <c r="AD46" s="1">
        <v>2605</v>
      </c>
      <c r="AE46" s="103">
        <f t="shared" si="7"/>
        <v>-5728</v>
      </c>
      <c r="AF46" s="104">
        <f t="shared" si="8"/>
        <v>2872</v>
      </c>
      <c r="AG46" s="105">
        <f t="shared" si="9"/>
        <v>2605</v>
      </c>
      <c r="AK46" s="99">
        <v>362.5</v>
      </c>
      <c r="AL46" s="57" t="str">
        <f t="shared" si="6"/>
        <v>362</v>
      </c>
      <c r="AM46" s="74"/>
      <c r="AN46" s="79">
        <v>2028</v>
      </c>
      <c r="AO46" s="80">
        <v>8</v>
      </c>
      <c r="AP46" s="81">
        <v>11</v>
      </c>
      <c r="AQ46" s="80" t="s">
        <v>39</v>
      </c>
      <c r="AR46" s="129">
        <v>2028</v>
      </c>
      <c r="AV46" s="77"/>
      <c r="AW46" s="77"/>
      <c r="AX46" s="77"/>
      <c r="AY46" s="77"/>
      <c r="AZ46" s="77"/>
    </row>
    <row r="47" spans="1:52" ht="15" customHeight="1" x14ac:dyDescent="0.25">
      <c r="A47" s="1">
        <v>-1</v>
      </c>
      <c r="C47" s="138">
        <f t="shared" si="10"/>
        <v>-0.64000000000000057</v>
      </c>
      <c r="D47" s="14">
        <f>_xll.IMDP($AN$31,$AU$33&amp;INDEX($AL$31:$AL$113,$AT$27+$A47),D$43,$AQ$27)</f>
        <v>0.49330000000000002</v>
      </c>
      <c r="E47" s="13">
        <f>_xll.IMDP($AN$31,$AU$33&amp;INDEX($AL$31:$AL$113,$AT$27+$A47),E$43,$AQ$27)</f>
        <v>15.744400000000001</v>
      </c>
      <c r="F47" s="13">
        <f>_xll.IMDP($AN$31,$AU$33&amp;INDEX($AL$31:$AL$113,$AT$27+$A47),F$43,$AQ$27)</f>
        <v>471</v>
      </c>
      <c r="G47" s="13">
        <f>_xll.IMDP($AN$31,$AU$33&amp;INDEX($AL$31:$AL$113,$AT$27+$A47),G$43,$AQ$27)</f>
        <v>7259</v>
      </c>
      <c r="H47" s="13">
        <f>_xll.IMDP($AN$31,$AU$33&amp;INDEX($AL$31:$AL$113,$AT$27+$A47),H$43,$AQ$27)</f>
        <v>17.489999999999998</v>
      </c>
      <c r="I47" s="15">
        <f>_xll.IMDP($AN$31,$AU$33&amp;INDEX($AL$31:$AL$113,$AT$27+$A47),I$43,$AQ$27)</f>
        <v>4.7699999999999996</v>
      </c>
      <c r="J47" s="19">
        <f>J48+2.5</f>
        <v>317.5</v>
      </c>
      <c r="K47" s="13">
        <f>_xll.IMDP($AN$31,$AU$34&amp;INDEX($AL$31:$AL$113,$AT$27+$A47),K$43,$AQ$27)</f>
        <v>5.41</v>
      </c>
      <c r="L47" s="13">
        <f>_xll.IMDP($AN$31,$AU$34&amp;INDEX($AL$31:$AL$113,$AT$27+$A47),L$43,$AQ$27)</f>
        <v>-23.7</v>
      </c>
      <c r="M47" s="13">
        <f>_xll.IMDP($AN$31,$AU$34&amp;INDEX($AL$31:$AL$113,$AT$27+$A47),M$43,$AQ$27)</f>
        <v>2192</v>
      </c>
      <c r="N47" s="13">
        <f>_xll.IMDP($AN$31,$AU$34&amp;INDEX($AL$31:$AL$113,$AT$27+$A47),N$43,$AQ$27)</f>
        <v>1169</v>
      </c>
      <c r="O47" s="13">
        <f>_xll.IMDP($AN$31,$AU$34&amp;INDEX($AL$31:$AL$113,$AT$27+$A47),O$43,$AQ$27)</f>
        <v>15.699299999999999</v>
      </c>
      <c r="P47" s="15">
        <f>_xll.IMDP($AN$31,$AU$34&amp;INDEX($AL$31:$AL$113,$AT$27+$A47),P$43,$AQ$27)</f>
        <v>-0.50670000000000004</v>
      </c>
      <c r="U47" s="54"/>
      <c r="Y47" s="58">
        <v>304.22000000000003</v>
      </c>
      <c r="Z47" s="54">
        <v>44922</v>
      </c>
      <c r="AB47" s="1">
        <v>6014</v>
      </c>
      <c r="AC47" s="1">
        <v>-1174</v>
      </c>
      <c r="AD47" s="1">
        <v>-4269</v>
      </c>
      <c r="AE47" s="103">
        <f t="shared" si="7"/>
        <v>6014</v>
      </c>
      <c r="AF47" s="104">
        <f t="shared" si="8"/>
        <v>-1174</v>
      </c>
      <c r="AG47" s="105">
        <f t="shared" si="9"/>
        <v>-4269</v>
      </c>
      <c r="AK47" s="99">
        <v>360</v>
      </c>
      <c r="AL47" s="57" t="str">
        <f t="shared" si="6"/>
        <v>360</v>
      </c>
      <c r="AM47" s="74"/>
      <c r="AN47" s="123">
        <v>2029</v>
      </c>
      <c r="AO47" s="120">
        <v>9</v>
      </c>
      <c r="AP47" s="81">
        <v>12</v>
      </c>
      <c r="AQ47" s="80" t="s">
        <v>40</v>
      </c>
      <c r="AR47" s="130">
        <v>2029</v>
      </c>
      <c r="AV47" s="77"/>
      <c r="AW47" s="77"/>
      <c r="AX47" s="77"/>
      <c r="AY47" s="77"/>
      <c r="AZ47" s="77"/>
    </row>
    <row r="48" spans="1:52" ht="15" customHeight="1" x14ac:dyDescent="0.25">
      <c r="A48" s="1">
        <v>0</v>
      </c>
      <c r="C48" s="139">
        <f t="shared" si="10"/>
        <v>1.88</v>
      </c>
      <c r="D48" s="21">
        <f>_xll.IMDP($AN$31,$AU$33&amp;INDEX($AL$31:$AL$113,$AT$27+$A48),D$43,$AQ$27)</f>
        <v>0.55659999999999998</v>
      </c>
      <c r="E48" s="22">
        <f>_xll.IMDP($AN$31,$AU$33&amp;INDEX($AL$31:$AL$113,$AT$27+$A48),E$43,$AQ$27)</f>
        <v>16.017199999999999</v>
      </c>
      <c r="F48" s="22">
        <f>_xll.IMDP($AN$31,$AU$33&amp;INDEX($AL$31:$AL$113,$AT$27+$A48),F$43,$AQ$27)</f>
        <v>66</v>
      </c>
      <c r="G48" s="22">
        <f>_xll.IMDP($AN$31,$AU$33&amp;INDEX($AL$31:$AL$113,$AT$27+$A48),G$43,$AQ$27)</f>
        <v>11093</v>
      </c>
      <c r="H48" s="22">
        <f>_xll.IMDP($AN$31,$AU$33&amp;INDEX($AL$31:$AL$113,$AT$27+$A48),H$43,$AQ$27)</f>
        <v>17.66</v>
      </c>
      <c r="I48" s="24">
        <f>_xll.IMDP($AN$31,$AU$33&amp;INDEX($AL$31:$AL$113,$AT$27+$A48),I$43,$AQ$27)</f>
        <v>6.13</v>
      </c>
      <c r="J48" s="23">
        <f>AS27</f>
        <v>315</v>
      </c>
      <c r="K48" s="22">
        <f>_xll.IMDP($AN$31,$AU$34&amp;INDEX($AL$31:$AL$113,$AT$27+$A48),K$43,$AQ$27)</f>
        <v>4.25</v>
      </c>
      <c r="L48" s="22">
        <f>_xll.IMDP($AN$31,$AU$34&amp;INDEX($AL$31:$AL$113,$AT$27+$A48),L$43,$AQ$27)</f>
        <v>-26.22</v>
      </c>
      <c r="M48" s="22">
        <f>_xll.IMDP($AN$31,$AU$34&amp;INDEX($AL$31:$AL$113,$AT$27+$A48),M$43,$AQ$27)</f>
        <v>3522</v>
      </c>
      <c r="N48" s="22">
        <f>_xll.IMDP($AN$31,$AU$34&amp;INDEX($AL$31:$AL$113,$AT$27+$A48),N$43,$AQ$27)</f>
        <v>849</v>
      </c>
      <c r="O48" s="22">
        <f>_xll.IMDP($AN$31,$AU$34&amp;INDEX($AL$31:$AL$113,$AT$27+$A48),O$43,$AQ$27)</f>
        <v>15.888999999999999</v>
      </c>
      <c r="P48" s="24">
        <f>_xll.IMDP($AN$31,$AU$34&amp;INDEX($AL$31:$AL$113,$AT$27+$A48),P$43,$AQ$27)</f>
        <v>-0.44340000000000002</v>
      </c>
      <c r="U48" s="54"/>
      <c r="Y48" s="58">
        <v>302.27</v>
      </c>
      <c r="Z48" s="54">
        <v>44921</v>
      </c>
      <c r="AB48" s="1">
        <v>5705</v>
      </c>
      <c r="AC48" s="1">
        <v>-2081</v>
      </c>
      <c r="AD48" s="1">
        <v>-3059</v>
      </c>
      <c r="AE48" s="103">
        <f t="shared" si="7"/>
        <v>5705</v>
      </c>
      <c r="AF48" s="104">
        <f t="shared" si="8"/>
        <v>-2081</v>
      </c>
      <c r="AG48" s="105">
        <f t="shared" si="9"/>
        <v>-3059</v>
      </c>
      <c r="AK48" s="99">
        <v>357.5</v>
      </c>
      <c r="AL48" s="57" t="str">
        <f t="shared" si="6"/>
        <v>357</v>
      </c>
      <c r="AM48" s="74"/>
      <c r="AN48" s="123">
        <v>2030</v>
      </c>
      <c r="AO48" s="121">
        <v>0</v>
      </c>
      <c r="AP48" s="64"/>
      <c r="AQ48" s="64"/>
      <c r="AR48" s="130">
        <v>2030</v>
      </c>
      <c r="AV48" s="77"/>
      <c r="AW48" s="77"/>
      <c r="AX48" s="77"/>
      <c r="AY48" s="77"/>
      <c r="AZ48" s="77"/>
    </row>
    <row r="49" spans="1:52" ht="15" customHeight="1" x14ac:dyDescent="0.25">
      <c r="A49" s="1">
        <v>1</v>
      </c>
      <c r="C49" s="138">
        <f t="shared" si="10"/>
        <v>4.3899999999999997</v>
      </c>
      <c r="D49" s="14">
        <f>_xll.IMDP($AN$31,$AU$33&amp;INDEX($AL$31:$AL$113,$AT$27+$A49),D$43,$AQ$27)</f>
        <v>0.61899999999999999</v>
      </c>
      <c r="E49" s="13">
        <f>_xll.IMDP($AN$31,$AU$33&amp;INDEX($AL$31:$AL$113,$AT$27+$A49),E$43,$AQ$27)</f>
        <v>16.3062</v>
      </c>
      <c r="F49" s="13">
        <f>_xll.IMDP($AN$31,$AU$33&amp;INDEX($AL$31:$AL$113,$AT$27+$A49),F$43,$AQ$27)</f>
        <v>151</v>
      </c>
      <c r="G49" s="13">
        <f>_xll.IMDP($AN$31,$AU$33&amp;INDEX($AL$31:$AL$113,$AT$27+$A49),G$43,$AQ$27)</f>
        <v>11329</v>
      </c>
      <c r="H49" s="13">
        <f>_xll.IMDP($AN$31,$AU$33&amp;INDEX($AL$31:$AL$113,$AT$27+$A49),H$43,$AQ$27)</f>
        <v>17.07</v>
      </c>
      <c r="I49" s="15">
        <f>_xll.IMDP($AN$31,$AU$33&amp;INDEX($AL$31:$AL$113,$AT$27+$A49),I$43,$AQ$27)</f>
        <v>7.68</v>
      </c>
      <c r="J49" s="19">
        <f>J48-2.5</f>
        <v>312.5</v>
      </c>
      <c r="K49" s="13">
        <f>_xll.IMDP($AN$31,$AU$34&amp;INDEX($AL$31:$AL$113,$AT$27+$A49),K$43,$AQ$27)</f>
        <v>3.29</v>
      </c>
      <c r="L49" s="13">
        <f>_xll.IMDP($AN$31,$AU$34&amp;INDEX($AL$31:$AL$113,$AT$27+$A49),L$43,$AQ$27)</f>
        <v>-30.15</v>
      </c>
      <c r="M49" s="13">
        <f>_xll.IMDP($AN$31,$AU$34&amp;INDEX($AL$31:$AL$113,$AT$27+$A49),M$43,$AQ$27)</f>
        <v>8889</v>
      </c>
      <c r="N49" s="13">
        <f>_xll.IMDP($AN$31,$AU$34&amp;INDEX($AL$31:$AL$113,$AT$27+$A49),N$43,$AQ$27)</f>
        <v>333</v>
      </c>
      <c r="O49" s="13">
        <f>_xll.IMDP($AN$31,$AU$34&amp;INDEX($AL$31:$AL$113,$AT$27+$A49),O$43,$AQ$27)</f>
        <v>16.117699999999999</v>
      </c>
      <c r="P49" s="15">
        <f>_xll.IMDP($AN$31,$AU$34&amp;INDEX($AL$31:$AL$113,$AT$27+$A49),P$43,$AQ$27)</f>
        <v>-0.38100000000000001</v>
      </c>
      <c r="U49" s="54"/>
      <c r="Y49" s="58">
        <v>302.07</v>
      </c>
      <c r="Z49" s="54">
        <v>44918</v>
      </c>
      <c r="AB49" s="1">
        <v>1360</v>
      </c>
      <c r="AC49" s="1">
        <v>3045</v>
      </c>
      <c r="AD49" s="1">
        <v>-4952</v>
      </c>
      <c r="AE49" s="103">
        <f t="shared" si="7"/>
        <v>1360</v>
      </c>
      <c r="AF49" s="104">
        <f t="shared" si="8"/>
        <v>3045</v>
      </c>
      <c r="AG49" s="105">
        <f t="shared" si="9"/>
        <v>-4952</v>
      </c>
      <c r="AK49" s="99">
        <v>355</v>
      </c>
      <c r="AL49" s="57" t="str">
        <f t="shared" si="6"/>
        <v>355</v>
      </c>
      <c r="AM49" s="74"/>
      <c r="AN49" s="123">
        <v>2031</v>
      </c>
      <c r="AO49" s="121">
        <v>1</v>
      </c>
      <c r="AP49" s="64"/>
      <c r="AQ49" s="64"/>
      <c r="AR49" s="130">
        <v>2031</v>
      </c>
      <c r="AV49" s="77"/>
      <c r="AW49" s="77"/>
      <c r="AX49" s="77"/>
      <c r="AY49" s="77"/>
      <c r="AZ49" s="77"/>
    </row>
    <row r="50" spans="1:52" ht="15" customHeight="1" x14ac:dyDescent="0.25">
      <c r="A50" s="1">
        <v>2</v>
      </c>
      <c r="C50" s="138">
        <f t="shared" si="10"/>
        <v>6.8800000000000008</v>
      </c>
      <c r="D50" s="14">
        <f>_xll.IMDP($AN$31,$AU$33&amp;INDEX($AL$31:$AL$113,$AT$27+$A50),D$43,$AQ$27)</f>
        <v>0.67889999999999995</v>
      </c>
      <c r="E50" s="13">
        <f>_xll.IMDP($AN$31,$AU$33&amp;INDEX($AL$31:$AL$113,$AT$27+$A50),E$43,$AQ$27)</f>
        <v>16.524999999999999</v>
      </c>
      <c r="F50" s="13">
        <f>_xll.IMDP($AN$31,$AU$33&amp;INDEX($AL$31:$AL$113,$AT$27+$A50),F$43,$AQ$27)</f>
        <v>84</v>
      </c>
      <c r="G50" s="13">
        <f>_xll.IMDP($AN$31,$AU$33&amp;INDEX($AL$31:$AL$113,$AT$27+$A50),G$43,$AQ$27)</f>
        <v>7510</v>
      </c>
      <c r="H50" s="13">
        <f>_xll.IMDP($AN$31,$AU$33&amp;INDEX($AL$31:$AL$113,$AT$27+$A50),H$43,$AQ$27)</f>
        <v>16.52</v>
      </c>
      <c r="I50" s="15">
        <f>_xll.IMDP($AN$31,$AU$33&amp;INDEX($AL$31:$AL$113,$AT$27+$A50),I$43,$AQ$27)</f>
        <v>9.3800000000000008</v>
      </c>
      <c r="J50" s="19">
        <f>J49-2.5</f>
        <v>310</v>
      </c>
      <c r="K50" s="13">
        <f>_xll.IMDP($AN$31,$AU$34&amp;INDEX($AL$31:$AL$113,$AT$27+$A50),K$43,$AQ$27)</f>
        <v>2.5</v>
      </c>
      <c r="L50" s="13">
        <f>_xll.IMDP($AN$31,$AU$34&amp;INDEX($AL$31:$AL$113,$AT$27+$A50),L$43,$AQ$27)</f>
        <v>-32.07</v>
      </c>
      <c r="M50" s="13">
        <f>_xll.IMDP($AN$31,$AU$34&amp;INDEX($AL$31:$AL$113,$AT$27+$A50),M$43,$AQ$27)</f>
        <v>11327</v>
      </c>
      <c r="N50" s="13">
        <f>_xll.IMDP($AN$31,$AU$34&amp;INDEX($AL$31:$AL$113,$AT$27+$A50),N$43,$AQ$27)</f>
        <v>2573</v>
      </c>
      <c r="O50" s="13">
        <f>_xll.IMDP($AN$31,$AU$34&amp;INDEX($AL$31:$AL$113,$AT$27+$A50),O$43,$AQ$27)</f>
        <v>16.333200000000001</v>
      </c>
      <c r="P50" s="15">
        <f>_xll.IMDP($AN$31,$AU$34&amp;INDEX($AL$31:$AL$113,$AT$27+$A50),P$43,$AQ$27)</f>
        <v>-0.3211</v>
      </c>
      <c r="U50" s="54"/>
      <c r="Y50" s="58">
        <v>307.48</v>
      </c>
      <c r="Z50" s="54">
        <v>44917</v>
      </c>
      <c r="AB50" s="1">
        <v>6144</v>
      </c>
      <c r="AC50" s="1">
        <v>-5577</v>
      </c>
      <c r="AD50" s="1">
        <v>916</v>
      </c>
      <c r="AE50" s="103">
        <f t="shared" si="7"/>
        <v>6144</v>
      </c>
      <c r="AF50" s="104">
        <f t="shared" si="8"/>
        <v>-5577</v>
      </c>
      <c r="AG50" s="105">
        <f t="shared" si="9"/>
        <v>916</v>
      </c>
      <c r="AK50" s="99">
        <v>352.5</v>
      </c>
      <c r="AL50" s="57" t="str">
        <f t="shared" si="6"/>
        <v>352</v>
      </c>
      <c r="AM50" s="74"/>
      <c r="AN50" s="123">
        <v>2032</v>
      </c>
      <c r="AO50" s="121">
        <v>2</v>
      </c>
      <c r="AP50" s="64"/>
      <c r="AQ50" s="64"/>
      <c r="AR50" s="130">
        <v>2032</v>
      </c>
      <c r="AV50" s="77"/>
      <c r="AW50" s="77"/>
      <c r="AX50" s="77"/>
      <c r="AY50" s="77"/>
      <c r="AZ50" s="77"/>
    </row>
    <row r="51" spans="1:52" ht="15" customHeight="1" x14ac:dyDescent="0.25">
      <c r="A51" s="1">
        <v>3</v>
      </c>
      <c r="C51" s="138">
        <f t="shared" si="10"/>
        <v>9.43</v>
      </c>
      <c r="D51" s="14">
        <f>_xll.IMDP($AN$31,$AU$33&amp;INDEX($AL$31:$AL$113,$AT$27+$A51),D$43,$AQ$27)</f>
        <v>0.7349</v>
      </c>
      <c r="E51" s="13">
        <f>_xll.IMDP($AN$31,$AU$33&amp;INDEX($AL$31:$AL$113,$AT$27+$A51),E$43,$AQ$27)</f>
        <v>17.2013</v>
      </c>
      <c r="F51" s="13">
        <f>_xll.IMDP($AN$31,$AU$33&amp;INDEX($AL$31:$AL$113,$AT$27+$A51),F$43,$AQ$27)</f>
        <v>-41</v>
      </c>
      <c r="G51" s="13">
        <f>_xll.IMDP($AN$31,$AU$33&amp;INDEX($AL$31:$AL$113,$AT$27+$A51),G$43,$AQ$27)</f>
        <v>4188</v>
      </c>
      <c r="H51" s="13">
        <f>_xll.IMDP($AN$31,$AU$33&amp;INDEX($AL$31:$AL$113,$AT$27+$A51),H$43,$AQ$27)</f>
        <v>15.58</v>
      </c>
      <c r="I51" s="15">
        <f>_xll.IMDP($AN$31,$AU$33&amp;INDEX($AL$31:$AL$113,$AT$27+$A51),I$43,$AQ$27)</f>
        <v>11.35</v>
      </c>
      <c r="J51" s="19">
        <f>J50-2.5</f>
        <v>307.5</v>
      </c>
      <c r="K51" s="13">
        <f>_xll.IMDP($AN$31,$AU$34&amp;INDEX($AL$31:$AL$113,$AT$27+$A51),K$43,$AQ$27)</f>
        <v>1.92</v>
      </c>
      <c r="L51" s="13">
        <f>_xll.IMDP($AN$31,$AU$34&amp;INDEX($AL$31:$AL$113,$AT$27+$A51),L$43,$AQ$27)</f>
        <v>-33.1</v>
      </c>
      <c r="M51" s="13">
        <f>_xll.IMDP($AN$31,$AU$34&amp;INDEX($AL$31:$AL$113,$AT$27+$A51),M$43,$AQ$27)</f>
        <v>8029</v>
      </c>
      <c r="N51" s="13">
        <f>_xll.IMDP($AN$31,$AU$34&amp;INDEX($AL$31:$AL$113,$AT$27+$A51),N$43,$AQ$27)</f>
        <v>1742</v>
      </c>
      <c r="O51" s="13">
        <f>_xll.IMDP($AN$31,$AU$34&amp;INDEX($AL$31:$AL$113,$AT$27+$A51),O$43,$AQ$27)</f>
        <v>16.763500000000001</v>
      </c>
      <c r="P51" s="15">
        <f>_xll.IMDP($AN$31,$AU$34&amp;INDEX($AL$31:$AL$113,$AT$27+$A51),P$43,$AQ$27)</f>
        <v>-0.2651</v>
      </c>
      <c r="U51" s="54"/>
      <c r="Y51" s="58">
        <v>303.23</v>
      </c>
      <c r="Z51" s="54">
        <v>44916</v>
      </c>
      <c r="AB51" s="1">
        <v>-4807</v>
      </c>
      <c r="AC51" s="1">
        <v>1693</v>
      </c>
      <c r="AD51" s="1">
        <v>3053</v>
      </c>
      <c r="AE51" s="103">
        <f t="shared" si="7"/>
        <v>-4807</v>
      </c>
      <c r="AF51" s="104">
        <f t="shared" si="8"/>
        <v>1693</v>
      </c>
      <c r="AG51" s="105">
        <f t="shared" si="9"/>
        <v>3053</v>
      </c>
      <c r="AK51" s="99">
        <v>350</v>
      </c>
      <c r="AL51" s="57" t="str">
        <f t="shared" si="6"/>
        <v>350</v>
      </c>
      <c r="AM51" s="74"/>
      <c r="AN51" s="123">
        <v>2033</v>
      </c>
      <c r="AO51" s="121">
        <v>3</v>
      </c>
      <c r="AP51" s="64"/>
      <c r="AQ51" s="64"/>
      <c r="AR51" s="130">
        <v>2033</v>
      </c>
      <c r="AV51" s="77"/>
      <c r="AW51" s="77"/>
      <c r="AX51" s="77"/>
      <c r="AY51" s="77"/>
      <c r="AZ51" s="77"/>
    </row>
    <row r="52" spans="1:52" ht="15" customHeight="1" thickBot="1" x14ac:dyDescent="0.3">
      <c r="A52" s="1">
        <v>4</v>
      </c>
      <c r="C52" s="140">
        <f t="shared" si="10"/>
        <v>11.94</v>
      </c>
      <c r="D52" s="16">
        <f>_xll.IMDP($AN$31,$AU$33&amp;INDEX($AL$31:$AL$113,$AT$27+$A52),D$43,$AQ$27)</f>
        <v>0.78590000000000004</v>
      </c>
      <c r="E52" s="17">
        <f>_xll.IMDP($AN$31,$AU$33&amp;INDEX($AL$31:$AL$113,$AT$27+$A52),E$43,$AQ$27)</f>
        <v>17.531400000000001</v>
      </c>
      <c r="F52" s="17">
        <f>_xll.IMDP($AN$31,$AU$33&amp;INDEX($AL$31:$AL$113,$AT$27+$A52),F$43,$AQ$27)</f>
        <v>-15</v>
      </c>
      <c r="G52" s="17">
        <f>_xll.IMDP($AN$31,$AU$33&amp;INDEX($AL$31:$AL$113,$AT$27+$A52),G$43,$AQ$27)</f>
        <v>4567</v>
      </c>
      <c r="H52" s="17">
        <f>_xll.IMDP($AN$31,$AU$33&amp;INDEX($AL$31:$AL$113,$AT$27+$A52),H$43,$AQ$27)</f>
        <v>16.59</v>
      </c>
      <c r="I52" s="18">
        <f>_xll.IMDP($AN$31,$AU$33&amp;INDEX($AL$31:$AL$113,$AT$27+$A52),I$43,$AQ$27)</f>
        <v>13.35</v>
      </c>
      <c r="J52" s="20">
        <f>J51-2.5</f>
        <v>305</v>
      </c>
      <c r="K52" s="17">
        <f>_xll.IMDP($AN$31,$AU$34&amp;INDEX($AL$31:$AL$113,$AT$27+$A52),K$43,$AQ$27)</f>
        <v>1.41</v>
      </c>
      <c r="L52" s="17">
        <f>_xll.IMDP($AN$31,$AU$34&amp;INDEX($AL$31:$AL$113,$AT$27+$A52),L$43,$AQ$27)</f>
        <v>-35.32</v>
      </c>
      <c r="M52" s="17">
        <f>_xll.IMDP($AN$31,$AU$34&amp;INDEX($AL$31:$AL$113,$AT$27+$A52),M$43,$AQ$27)</f>
        <v>10739</v>
      </c>
      <c r="N52" s="17">
        <f>_xll.IMDP($AN$31,$AU$34&amp;INDEX($AL$31:$AL$113,$AT$27+$A52),N$43,$AQ$27)</f>
        <v>2841</v>
      </c>
      <c r="O52" s="17">
        <f>_xll.IMDP($AN$31,$AU$34&amp;INDEX($AL$31:$AL$113,$AT$27+$A52),O$43,$AQ$27)</f>
        <v>16.953399999999998</v>
      </c>
      <c r="P52" s="18">
        <f>_xll.IMDP($AN$31,$AU$34&amp;INDEX($AL$31:$AL$113,$AT$27+$A52),P$43,$AQ$27)</f>
        <v>-0.21410000000000001</v>
      </c>
      <c r="U52" s="54"/>
      <c r="Y52" s="58">
        <v>304.05</v>
      </c>
      <c r="Z52" s="54">
        <v>44915</v>
      </c>
      <c r="AB52" s="1">
        <v>563</v>
      </c>
      <c r="AC52" s="1">
        <v>118</v>
      </c>
      <c r="AD52" s="1">
        <v>-933</v>
      </c>
      <c r="AE52" s="103">
        <f t="shared" si="7"/>
        <v>563</v>
      </c>
      <c r="AF52" s="104">
        <f t="shared" si="8"/>
        <v>118</v>
      </c>
      <c r="AG52" s="105">
        <f t="shared" si="9"/>
        <v>-933</v>
      </c>
      <c r="AK52" s="99">
        <v>347.5</v>
      </c>
      <c r="AL52" s="57" t="str">
        <f t="shared" si="6"/>
        <v>347</v>
      </c>
      <c r="AM52" s="74"/>
      <c r="AN52" s="123">
        <v>2034</v>
      </c>
      <c r="AO52" s="121">
        <v>4</v>
      </c>
      <c r="AP52" s="64"/>
      <c r="AQ52" s="64"/>
      <c r="AR52" s="130">
        <v>2034</v>
      </c>
      <c r="AV52" s="77"/>
      <c r="AW52" s="77"/>
      <c r="AX52" s="77"/>
      <c r="AY52" s="77"/>
      <c r="AZ52" s="77"/>
    </row>
    <row r="53" spans="1:52" ht="15" customHeight="1" x14ac:dyDescent="0.25">
      <c r="D53" s="7"/>
      <c r="E53" s="7"/>
      <c r="F53" s="7"/>
      <c r="G53" s="7"/>
      <c r="H53" s="7"/>
      <c r="I53" s="7"/>
      <c r="J53" s="12"/>
      <c r="K53" s="7"/>
      <c r="L53" s="7"/>
      <c r="M53" s="7"/>
      <c r="N53" s="7"/>
      <c r="O53" s="7"/>
      <c r="P53" s="7"/>
      <c r="U53" s="54"/>
      <c r="Y53" s="58">
        <v>306.77</v>
      </c>
      <c r="Z53" s="54">
        <v>44914</v>
      </c>
      <c r="AB53" s="1">
        <v>-621</v>
      </c>
      <c r="AC53" s="1">
        <v>229</v>
      </c>
      <c r="AD53" s="1">
        <v>361</v>
      </c>
      <c r="AE53" s="103">
        <f t="shared" si="7"/>
        <v>-621</v>
      </c>
      <c r="AF53" s="104">
        <f t="shared" si="8"/>
        <v>229</v>
      </c>
      <c r="AG53" s="105">
        <f t="shared" si="9"/>
        <v>361</v>
      </c>
      <c r="AK53" s="99">
        <v>345</v>
      </c>
      <c r="AL53" s="57" t="str">
        <f t="shared" si="6"/>
        <v>345</v>
      </c>
      <c r="AM53" s="74"/>
      <c r="AN53" s="123">
        <v>2035</v>
      </c>
      <c r="AO53" s="121">
        <v>5</v>
      </c>
      <c r="AP53" s="64"/>
      <c r="AQ53" s="64"/>
      <c r="AR53" s="130">
        <v>2035</v>
      </c>
      <c r="AV53" s="77"/>
      <c r="AW53" s="77"/>
      <c r="AX53" s="77"/>
      <c r="AY53" s="77"/>
      <c r="AZ53" s="77"/>
    </row>
    <row r="54" spans="1:52" ht="15" customHeight="1" x14ac:dyDescent="0.25">
      <c r="D54" s="153" t="s">
        <v>73</v>
      </c>
      <c r="E54" s="153"/>
      <c r="F54" s="153"/>
      <c r="G54" s="146"/>
      <c r="H54" s="146"/>
      <c r="I54" s="7"/>
      <c r="J54" s="12"/>
      <c r="K54" s="153" t="s">
        <v>74</v>
      </c>
      <c r="L54" s="153"/>
      <c r="M54" s="153"/>
      <c r="N54" s="146"/>
      <c r="O54" s="146"/>
      <c r="P54" s="7"/>
      <c r="U54" s="54"/>
      <c r="Y54" s="58">
        <v>307.48</v>
      </c>
      <c r="Z54" s="54">
        <v>44911</v>
      </c>
      <c r="AB54" s="1">
        <v>7377</v>
      </c>
      <c r="AC54" s="1">
        <v>-2793</v>
      </c>
      <c r="AD54" s="1">
        <v>-4247</v>
      </c>
      <c r="AE54" s="103">
        <f t="shared" si="7"/>
        <v>7377</v>
      </c>
      <c r="AF54" s="104">
        <f t="shared" si="8"/>
        <v>-2793</v>
      </c>
      <c r="AG54" s="105">
        <f t="shared" si="9"/>
        <v>-4247</v>
      </c>
      <c r="AK54" s="99">
        <v>342.5</v>
      </c>
      <c r="AL54" s="57" t="str">
        <f t="shared" si="6"/>
        <v>342</v>
      </c>
      <c r="AM54" s="74"/>
      <c r="AN54" s="106">
        <v>2036</v>
      </c>
      <c r="AO54" s="125" t="s">
        <v>83</v>
      </c>
      <c r="AP54" s="131"/>
      <c r="AQ54" s="131"/>
      <c r="AR54" s="132">
        <v>2036</v>
      </c>
      <c r="AV54" s="77"/>
      <c r="AW54" s="77"/>
      <c r="AX54" s="77"/>
      <c r="AY54" s="77"/>
      <c r="AZ54" s="77"/>
    </row>
    <row r="55" spans="1:52" ht="15" customHeight="1" x14ac:dyDescent="0.25">
      <c r="D55" s="153"/>
      <c r="E55" s="153"/>
      <c r="F55" s="153"/>
      <c r="G55" s="146"/>
      <c r="H55" s="146"/>
      <c r="I55" s="7"/>
      <c r="J55" s="12"/>
      <c r="K55" s="153"/>
      <c r="L55" s="153"/>
      <c r="M55" s="153"/>
      <c r="N55" s="146"/>
      <c r="O55" s="146"/>
      <c r="P55" s="7"/>
      <c r="Y55" s="58">
        <v>307.73</v>
      </c>
      <c r="Z55" s="54">
        <v>44910</v>
      </c>
      <c r="AB55" s="1">
        <v>-397</v>
      </c>
      <c r="AC55" s="1">
        <v>1675</v>
      </c>
      <c r="AD55" s="1">
        <v>-1716</v>
      </c>
      <c r="AE55" s="103">
        <f t="shared" si="7"/>
        <v>-397</v>
      </c>
      <c r="AF55" s="104">
        <f t="shared" si="8"/>
        <v>1675</v>
      </c>
      <c r="AG55" s="105">
        <f t="shared" si="9"/>
        <v>-1716</v>
      </c>
      <c r="AK55" s="99">
        <v>340</v>
      </c>
      <c r="AL55" s="57" t="str">
        <f t="shared" si="6"/>
        <v>340</v>
      </c>
      <c r="AM55" s="74"/>
      <c r="AN55" s="77"/>
      <c r="AO55" s="77"/>
      <c r="AP55" s="77"/>
      <c r="AQ55" s="77"/>
      <c r="AR55" s="77"/>
      <c r="AS55" s="77"/>
      <c r="AT55" s="64"/>
      <c r="AU55" s="77"/>
      <c r="AV55" s="77"/>
      <c r="AW55" s="77"/>
      <c r="AX55" s="77"/>
      <c r="AY55" s="77"/>
      <c r="AZ55" s="77"/>
    </row>
    <row r="56" spans="1:52" ht="15" customHeight="1" x14ac:dyDescent="0.25">
      <c r="D56" s="7"/>
      <c r="E56" s="7"/>
      <c r="F56" s="7"/>
      <c r="G56" s="7"/>
      <c r="H56" s="7"/>
      <c r="I56" s="7"/>
      <c r="J56" s="12"/>
      <c r="K56" s="7"/>
      <c r="L56" s="7"/>
      <c r="M56" s="7"/>
      <c r="N56" s="7"/>
      <c r="O56" s="7"/>
      <c r="P56" s="7"/>
      <c r="Y56" s="58">
        <v>313.23</v>
      </c>
      <c r="Z56" s="54">
        <v>44909</v>
      </c>
      <c r="AB56" s="1">
        <v>930</v>
      </c>
      <c r="AC56" s="1">
        <v>-110</v>
      </c>
      <c r="AD56" s="1">
        <v>-64</v>
      </c>
      <c r="AE56" s="103">
        <f t="shared" si="7"/>
        <v>930</v>
      </c>
      <c r="AF56" s="104">
        <f t="shared" si="8"/>
        <v>-110</v>
      </c>
      <c r="AG56" s="105">
        <f t="shared" si="9"/>
        <v>-64</v>
      </c>
      <c r="AK56" s="99">
        <v>337.5</v>
      </c>
      <c r="AL56" s="57" t="str">
        <f t="shared" si="6"/>
        <v>337</v>
      </c>
      <c r="AM56" s="74"/>
      <c r="AN56" s="77"/>
      <c r="AO56" s="77"/>
      <c r="AP56" s="77"/>
      <c r="AQ56" s="77"/>
      <c r="AR56" s="77"/>
      <c r="AS56" s="77"/>
      <c r="AT56" s="64"/>
      <c r="AU56" s="77"/>
      <c r="AV56" s="77"/>
      <c r="AW56" s="77"/>
      <c r="AX56" s="77"/>
      <c r="AY56" s="77"/>
      <c r="AZ56" s="77"/>
    </row>
    <row r="57" spans="1:52" ht="15" customHeight="1" x14ac:dyDescent="0.25">
      <c r="D57" s="7"/>
      <c r="E57" s="7"/>
      <c r="F57" s="7"/>
      <c r="G57" s="7"/>
      <c r="H57" s="7"/>
      <c r="I57" s="7"/>
      <c r="J57" s="12"/>
      <c r="K57" s="7"/>
      <c r="L57" s="7"/>
      <c r="M57" s="7"/>
      <c r="N57" s="7"/>
      <c r="O57" s="7"/>
      <c r="P57" s="7"/>
      <c r="Y57" s="58">
        <v>309.56</v>
      </c>
      <c r="Z57" s="54">
        <v>44908</v>
      </c>
      <c r="AB57" s="1">
        <v>-7008</v>
      </c>
      <c r="AC57" s="1">
        <v>124</v>
      </c>
      <c r="AD57" s="1">
        <v>6875</v>
      </c>
      <c r="AE57" s="103">
        <f t="shared" si="7"/>
        <v>-7008</v>
      </c>
      <c r="AF57" s="104">
        <f t="shared" si="8"/>
        <v>124</v>
      </c>
      <c r="AG57" s="105">
        <f t="shared" si="9"/>
        <v>6875</v>
      </c>
      <c r="AK57" s="99">
        <v>335</v>
      </c>
      <c r="AL57" s="57" t="str">
        <f t="shared" si="6"/>
        <v>335</v>
      </c>
      <c r="AM57" s="74"/>
      <c r="AN57" s="77"/>
      <c r="AO57" s="77"/>
      <c r="AP57" s="77"/>
      <c r="AQ57" s="77"/>
      <c r="AR57" s="77"/>
      <c r="AS57" s="77"/>
      <c r="AT57" s="64"/>
      <c r="AU57" s="77"/>
      <c r="AV57" s="77"/>
      <c r="AW57" s="77"/>
      <c r="AX57" s="77"/>
      <c r="AY57" s="77"/>
      <c r="AZ57" s="77"/>
    </row>
    <row r="58" spans="1:52" ht="15" customHeight="1" x14ac:dyDescent="0.25">
      <c r="D58" s="7"/>
      <c r="E58" s="7"/>
      <c r="F58" s="7"/>
      <c r="G58" s="7"/>
      <c r="H58" s="7"/>
      <c r="I58" s="7"/>
      <c r="J58" s="12"/>
      <c r="K58" s="7"/>
      <c r="L58" s="7"/>
      <c r="M58" s="7"/>
      <c r="N58" s="7"/>
      <c r="O58" s="7"/>
      <c r="P58" s="7"/>
      <c r="Y58" s="58">
        <v>309.64</v>
      </c>
      <c r="Z58" s="54">
        <v>44907</v>
      </c>
      <c r="AB58" s="1">
        <v>-2</v>
      </c>
      <c r="AC58" s="1">
        <v>2453</v>
      </c>
      <c r="AD58" s="1">
        <v>-3259</v>
      </c>
      <c r="AE58" s="103">
        <f t="shared" si="7"/>
        <v>-2</v>
      </c>
      <c r="AF58" s="104">
        <f t="shared" si="8"/>
        <v>2453</v>
      </c>
      <c r="AG58" s="105">
        <f t="shared" si="9"/>
        <v>-3259</v>
      </c>
      <c r="AK58" s="99">
        <v>332.5</v>
      </c>
      <c r="AL58" s="57" t="str">
        <f t="shared" si="6"/>
        <v>332</v>
      </c>
      <c r="AM58" s="74"/>
      <c r="AN58" s="77"/>
      <c r="AO58" s="77"/>
      <c r="AP58" s="77"/>
      <c r="AQ58" s="77"/>
      <c r="AR58" s="77"/>
      <c r="AS58" s="77"/>
      <c r="AT58" s="64"/>
      <c r="AU58" s="77"/>
      <c r="AV58" s="77"/>
      <c r="AW58" s="77"/>
      <c r="AX58" s="77"/>
      <c r="AY58" s="77"/>
      <c r="AZ58" s="77"/>
    </row>
    <row r="59" spans="1:52" ht="15" customHeight="1" x14ac:dyDescent="0.25">
      <c r="D59" s="7"/>
      <c r="E59" s="7"/>
      <c r="F59" s="7"/>
      <c r="G59" s="7"/>
      <c r="H59" s="7"/>
      <c r="I59" s="7"/>
      <c r="J59" s="12"/>
      <c r="K59" s="7"/>
      <c r="L59" s="7"/>
      <c r="M59" s="7"/>
      <c r="N59" s="7"/>
      <c r="O59" s="7"/>
      <c r="P59" s="7"/>
      <c r="Y59" s="58">
        <v>311.63</v>
      </c>
      <c r="Z59" s="54">
        <v>44904</v>
      </c>
      <c r="AB59" s="1">
        <v>-2849</v>
      </c>
      <c r="AC59" s="1">
        <v>-1370</v>
      </c>
      <c r="AD59" s="1">
        <v>5021</v>
      </c>
      <c r="AE59" s="103">
        <f t="shared" si="7"/>
        <v>-2849</v>
      </c>
      <c r="AF59" s="104">
        <f t="shared" si="8"/>
        <v>-1370</v>
      </c>
      <c r="AG59" s="105">
        <f t="shared" si="9"/>
        <v>5021</v>
      </c>
      <c r="AK59" s="99">
        <v>330</v>
      </c>
      <c r="AL59" s="57" t="str">
        <f t="shared" si="6"/>
        <v>330</v>
      </c>
      <c r="AM59" s="74"/>
      <c r="AN59" s="77"/>
      <c r="AO59" s="77"/>
      <c r="AP59" s="77"/>
      <c r="AQ59" s="77"/>
      <c r="AR59" s="77"/>
      <c r="AS59" s="77"/>
      <c r="AT59" s="64"/>
      <c r="AU59" s="77"/>
      <c r="AV59" s="77"/>
      <c r="AW59" s="77"/>
      <c r="AX59" s="77"/>
      <c r="AY59" s="77"/>
      <c r="AZ59" s="77"/>
    </row>
    <row r="60" spans="1:52" ht="15" customHeight="1" x14ac:dyDescent="0.25">
      <c r="D60" s="7"/>
      <c r="E60" s="7"/>
      <c r="F60" s="7"/>
      <c r="G60" s="7"/>
      <c r="H60" s="7"/>
      <c r="I60" s="7"/>
      <c r="J60" s="12"/>
      <c r="K60" s="7"/>
      <c r="L60" s="7"/>
      <c r="M60" s="7"/>
      <c r="N60" s="7"/>
      <c r="O60" s="7"/>
      <c r="P60" s="7"/>
      <c r="Y60" s="58">
        <v>308.24</v>
      </c>
      <c r="Z60" s="54">
        <v>44903</v>
      </c>
      <c r="AA60" s="1">
        <v>308.24</v>
      </c>
      <c r="AB60" s="1">
        <v>2092</v>
      </c>
      <c r="AC60" s="1">
        <v>-3106</v>
      </c>
      <c r="AD60" s="1">
        <v>589</v>
      </c>
      <c r="AE60" s="103" t="e">
        <f t="shared" si="7"/>
        <v>#N/A</v>
      </c>
      <c r="AF60" s="104" t="e">
        <f t="shared" si="8"/>
        <v>#N/A</v>
      </c>
      <c r="AG60" s="105" t="e">
        <f t="shared" si="9"/>
        <v>#N/A</v>
      </c>
      <c r="AK60" s="99">
        <v>327.5</v>
      </c>
      <c r="AL60" s="57" t="str">
        <f t="shared" si="6"/>
        <v>327</v>
      </c>
      <c r="AM60" s="74"/>
      <c r="AN60" s="77"/>
      <c r="AO60" s="77"/>
      <c r="AP60" s="77"/>
      <c r="AQ60" s="77"/>
      <c r="AR60" s="77"/>
      <c r="AS60" s="77"/>
      <c r="AT60" s="64"/>
      <c r="AU60" s="77"/>
      <c r="AV60" s="77"/>
      <c r="AW60" s="77"/>
      <c r="AX60" s="77"/>
      <c r="AY60" s="77"/>
      <c r="AZ60" s="77"/>
    </row>
    <row r="61" spans="1:52" ht="15" customHeight="1" x14ac:dyDescent="0.25">
      <c r="D61" s="7"/>
      <c r="E61" s="7"/>
      <c r="F61" s="7"/>
      <c r="G61" s="7"/>
      <c r="H61" s="7"/>
      <c r="I61" s="7"/>
      <c r="J61" s="12"/>
      <c r="K61" s="7"/>
      <c r="L61" s="7"/>
      <c r="M61" s="7"/>
      <c r="N61" s="7"/>
      <c r="O61" s="7"/>
      <c r="P61" s="7"/>
      <c r="Y61" s="58">
        <v>308.27</v>
      </c>
      <c r="Z61" s="54">
        <v>44902</v>
      </c>
      <c r="AA61" s="1">
        <v>308.27</v>
      </c>
      <c r="AB61" s="1">
        <v>309</v>
      </c>
      <c r="AC61" s="1">
        <v>-347</v>
      </c>
      <c r="AD61" s="1">
        <v>-294</v>
      </c>
      <c r="AE61" s="103" t="e">
        <f t="shared" si="7"/>
        <v>#N/A</v>
      </c>
      <c r="AF61" s="104" t="e">
        <f t="shared" si="8"/>
        <v>#N/A</v>
      </c>
      <c r="AG61" s="105" t="e">
        <f t="shared" si="9"/>
        <v>#N/A</v>
      </c>
      <c r="AK61" s="99">
        <v>325</v>
      </c>
      <c r="AL61" s="57" t="str">
        <f t="shared" si="6"/>
        <v>325</v>
      </c>
      <c r="AM61" s="74"/>
      <c r="AN61" s="77"/>
      <c r="AO61" s="77"/>
      <c r="AP61" s="77"/>
      <c r="AQ61" s="77"/>
      <c r="AR61" s="77"/>
      <c r="AS61" s="77"/>
      <c r="AT61" s="64"/>
      <c r="AU61" s="77"/>
      <c r="AV61" s="77"/>
      <c r="AW61" s="77"/>
      <c r="AX61" s="77"/>
      <c r="AY61" s="77"/>
      <c r="AZ61" s="77"/>
    </row>
    <row r="62" spans="1:52" ht="15" customHeight="1" x14ac:dyDescent="0.25">
      <c r="D62" s="7"/>
      <c r="E62" s="7"/>
      <c r="F62" s="7"/>
      <c r="G62" s="7"/>
      <c r="H62" s="7"/>
      <c r="I62" s="7"/>
      <c r="J62" s="12"/>
      <c r="K62" s="7"/>
      <c r="L62" s="7"/>
      <c r="M62" s="7"/>
      <c r="N62" s="7"/>
      <c r="O62" s="7"/>
      <c r="P62" s="7"/>
      <c r="Y62" s="58">
        <v>310.14</v>
      </c>
      <c r="Z62" s="54">
        <v>44901</v>
      </c>
      <c r="AA62" s="1">
        <v>310.14</v>
      </c>
      <c r="AB62" s="1">
        <v>127</v>
      </c>
      <c r="AC62" s="1">
        <v>1197</v>
      </c>
      <c r="AD62" s="1">
        <v>-1827</v>
      </c>
      <c r="AE62" s="103" t="e">
        <f t="shared" si="7"/>
        <v>#N/A</v>
      </c>
      <c r="AF62" s="104" t="e">
        <f t="shared" si="8"/>
        <v>#N/A</v>
      </c>
      <c r="AG62" s="105" t="e">
        <f t="shared" si="9"/>
        <v>#N/A</v>
      </c>
      <c r="AK62" s="99">
        <v>322.5</v>
      </c>
      <c r="AL62" s="57" t="str">
        <f t="shared" si="6"/>
        <v>322</v>
      </c>
      <c r="AM62" s="74"/>
      <c r="AN62" s="77"/>
      <c r="AO62" s="77"/>
      <c r="AP62" s="77"/>
      <c r="AQ62" s="77"/>
      <c r="AR62" s="77"/>
      <c r="AS62" s="77"/>
      <c r="AT62" s="64"/>
      <c r="AU62" s="77"/>
      <c r="AV62" s="77"/>
      <c r="AW62" s="77"/>
      <c r="AX62" s="77"/>
      <c r="AY62" s="77"/>
      <c r="AZ62" s="77"/>
    </row>
    <row r="63" spans="1:52" ht="15" customHeight="1" x14ac:dyDescent="0.25">
      <c r="D63" s="7"/>
      <c r="E63" s="7"/>
      <c r="F63" s="7"/>
      <c r="G63" s="7"/>
      <c r="H63" s="7"/>
      <c r="I63" s="7"/>
      <c r="J63" s="12"/>
      <c r="K63" s="7"/>
      <c r="L63" s="7"/>
      <c r="M63" s="7"/>
      <c r="N63" s="7"/>
      <c r="O63" s="7"/>
      <c r="P63" s="7"/>
      <c r="Y63" s="58">
        <v>313.91000000000003</v>
      </c>
      <c r="Z63" s="54">
        <v>44900</v>
      </c>
      <c r="AA63" s="1">
        <v>313.91000000000003</v>
      </c>
      <c r="AB63" s="1">
        <v>3145</v>
      </c>
      <c r="AC63" s="1">
        <v>-1351</v>
      </c>
      <c r="AD63" s="1">
        <v>-1757</v>
      </c>
      <c r="AE63" s="103" t="e">
        <f t="shared" si="7"/>
        <v>#N/A</v>
      </c>
      <c r="AF63" s="104" t="e">
        <f t="shared" si="8"/>
        <v>#N/A</v>
      </c>
      <c r="AG63" s="105" t="e">
        <f t="shared" si="9"/>
        <v>#N/A</v>
      </c>
      <c r="AK63" s="99">
        <v>320</v>
      </c>
      <c r="AL63" s="57" t="str">
        <f t="shared" ref="AL63:AL94" si="11">LEFT(AK63,3)</f>
        <v>320</v>
      </c>
      <c r="AM63" s="74"/>
      <c r="AN63" s="77"/>
      <c r="AO63" s="77"/>
      <c r="AP63" s="77"/>
      <c r="AQ63" s="77"/>
      <c r="AR63" s="77"/>
      <c r="AS63" s="77"/>
      <c r="AT63" s="64"/>
      <c r="AU63" s="77"/>
      <c r="AV63" s="77"/>
      <c r="AW63" s="77"/>
      <c r="AX63" s="77"/>
      <c r="AY63" s="77"/>
      <c r="AZ63" s="77"/>
    </row>
    <row r="64" spans="1:52" ht="15" customHeight="1" x14ac:dyDescent="0.25">
      <c r="D64" s="7"/>
      <c r="E64" s="7"/>
      <c r="F64" s="7"/>
      <c r="G64" s="7"/>
      <c r="H64" s="7"/>
      <c r="I64" s="7"/>
      <c r="J64" s="12"/>
      <c r="K64" s="7"/>
      <c r="L64" s="7"/>
      <c r="M64" s="7"/>
      <c r="N64" s="7"/>
      <c r="O64" s="7"/>
      <c r="P64" s="7"/>
      <c r="Y64" s="58">
        <v>315.02</v>
      </c>
      <c r="Z64" s="54">
        <v>44897</v>
      </c>
      <c r="AA64" s="1">
        <v>315.02</v>
      </c>
      <c r="AB64" s="1">
        <v>-3403</v>
      </c>
      <c r="AC64" s="1">
        <v>4112</v>
      </c>
      <c r="AD64" s="1">
        <v>-959</v>
      </c>
      <c r="AE64" s="103" t="e">
        <f t="shared" si="7"/>
        <v>#N/A</v>
      </c>
      <c r="AF64" s="104" t="e">
        <f t="shared" si="8"/>
        <v>#N/A</v>
      </c>
      <c r="AG64" s="105" t="e">
        <f t="shared" si="9"/>
        <v>#N/A</v>
      </c>
      <c r="AK64" s="99">
        <v>317.5</v>
      </c>
      <c r="AL64" s="57" t="str">
        <f t="shared" si="11"/>
        <v>317</v>
      </c>
      <c r="AM64" s="74"/>
      <c r="AN64" s="77"/>
      <c r="AO64" s="77"/>
      <c r="AP64" s="77"/>
      <c r="AQ64" s="77"/>
      <c r="AR64" s="77"/>
      <c r="AS64" s="77"/>
      <c r="AT64" s="64"/>
      <c r="AU64" s="77"/>
      <c r="AV64" s="77"/>
      <c r="AW64" s="77"/>
      <c r="AX64" s="77"/>
      <c r="AY64" s="77"/>
      <c r="AZ64" s="77"/>
    </row>
    <row r="65" spans="4:52" ht="15" customHeight="1" x14ac:dyDescent="0.25">
      <c r="D65" s="7"/>
      <c r="E65" s="7"/>
      <c r="F65" s="7"/>
      <c r="G65" s="7"/>
      <c r="H65" s="7"/>
      <c r="I65" s="7"/>
      <c r="J65" s="12"/>
      <c r="K65" s="7"/>
      <c r="L65" s="7"/>
      <c r="M65" s="7"/>
      <c r="N65" s="7"/>
      <c r="O65" s="7"/>
      <c r="P65" s="7"/>
      <c r="Y65" s="58">
        <v>322.02</v>
      </c>
      <c r="Z65" s="54">
        <v>44896</v>
      </c>
      <c r="AA65" s="1">
        <v>322.02</v>
      </c>
      <c r="AB65" s="1">
        <v>-10680</v>
      </c>
      <c r="AC65" s="1">
        <v>4286</v>
      </c>
      <c r="AD65" s="1">
        <v>5011</v>
      </c>
      <c r="AE65" s="103" t="e">
        <f t="shared" si="7"/>
        <v>#N/A</v>
      </c>
      <c r="AF65" s="104" t="e">
        <f t="shared" si="8"/>
        <v>#N/A</v>
      </c>
      <c r="AG65" s="105" t="e">
        <f t="shared" si="9"/>
        <v>#N/A</v>
      </c>
      <c r="AK65" s="99">
        <v>315</v>
      </c>
      <c r="AL65" s="57" t="str">
        <f t="shared" si="11"/>
        <v>315</v>
      </c>
      <c r="AM65" s="74"/>
      <c r="AN65" s="77"/>
      <c r="AO65" s="77"/>
      <c r="AP65" s="77"/>
      <c r="AQ65" s="77"/>
      <c r="AR65" s="77"/>
      <c r="AS65" s="77"/>
      <c r="AT65" s="64"/>
      <c r="AU65" s="77"/>
      <c r="AV65" s="77"/>
      <c r="AW65" s="77"/>
      <c r="AX65" s="77"/>
      <c r="AY65" s="77"/>
      <c r="AZ65" s="77"/>
    </row>
    <row r="66" spans="4:52" ht="15" customHeight="1" x14ac:dyDescent="0.25">
      <c r="D66" s="7"/>
      <c r="E66" s="7"/>
      <c r="F66" s="7"/>
      <c r="G66" s="7"/>
      <c r="H66" s="7"/>
      <c r="I66" s="7"/>
      <c r="J66" s="12"/>
      <c r="K66" s="7"/>
      <c r="L66" s="7"/>
      <c r="M66" s="7"/>
      <c r="N66" s="7"/>
      <c r="O66" s="7"/>
      <c r="P66" s="7"/>
      <c r="Y66" s="58">
        <v>321.01</v>
      </c>
      <c r="Z66" s="54">
        <v>44895</v>
      </c>
      <c r="AA66" s="1">
        <v>321.01</v>
      </c>
      <c r="AB66" s="1">
        <v>3760</v>
      </c>
      <c r="AC66" s="1">
        <v>-1587</v>
      </c>
      <c r="AD66" s="1">
        <v>-1694</v>
      </c>
      <c r="AE66" s="103" t="e">
        <f t="shared" ref="AE66:AE87" si="12">IF($AA66="",AB66,NA())</f>
        <v>#N/A</v>
      </c>
      <c r="AF66" s="104" t="e">
        <f t="shared" ref="AF66:AF87" si="13">IF($AA66="",AC66,NA())</f>
        <v>#N/A</v>
      </c>
      <c r="AG66" s="105" t="e">
        <f t="shared" ref="AG66:AG87" si="14">IF($AA66="",AD66,NA())</f>
        <v>#N/A</v>
      </c>
      <c r="AK66" s="99">
        <v>312.5</v>
      </c>
      <c r="AL66" s="57" t="str">
        <f t="shared" si="11"/>
        <v>312</v>
      </c>
      <c r="AM66" s="74"/>
      <c r="AN66" s="77"/>
      <c r="AO66" s="77"/>
      <c r="AP66" s="77"/>
      <c r="AQ66" s="77"/>
      <c r="AR66" s="77"/>
      <c r="AS66" s="77"/>
      <c r="AT66" s="64"/>
      <c r="AU66" s="77"/>
      <c r="AV66" s="77"/>
      <c r="AW66" s="77"/>
      <c r="AX66" s="77"/>
      <c r="AY66" s="77"/>
      <c r="AZ66" s="77"/>
    </row>
    <row r="67" spans="4:52" ht="15" customHeight="1" x14ac:dyDescent="0.25">
      <c r="D67" s="7"/>
      <c r="E67" s="7"/>
      <c r="F67" s="7"/>
      <c r="G67" s="7"/>
      <c r="H67" s="7"/>
      <c r="I67" s="7"/>
      <c r="J67" s="12"/>
      <c r="K67" s="7"/>
      <c r="L67" s="7"/>
      <c r="M67" s="7"/>
      <c r="N67" s="7"/>
      <c r="O67" s="7"/>
      <c r="P67" s="7"/>
      <c r="Y67" s="58">
        <v>315.58</v>
      </c>
      <c r="Z67" s="54">
        <v>44894</v>
      </c>
      <c r="AA67" s="1">
        <v>315.58</v>
      </c>
      <c r="AB67" s="1">
        <v>2708</v>
      </c>
      <c r="AC67" s="1">
        <v>-2071</v>
      </c>
      <c r="AD67" s="1">
        <v>433</v>
      </c>
      <c r="AE67" s="103" t="e">
        <f t="shared" si="12"/>
        <v>#N/A</v>
      </c>
      <c r="AF67" s="104" t="e">
        <f t="shared" si="13"/>
        <v>#N/A</v>
      </c>
      <c r="AG67" s="105" t="e">
        <f t="shared" si="14"/>
        <v>#N/A</v>
      </c>
      <c r="AK67" s="99">
        <v>310</v>
      </c>
      <c r="AL67" s="57" t="str">
        <f t="shared" si="11"/>
        <v>310</v>
      </c>
      <c r="AM67" s="74"/>
      <c r="AN67" s="77"/>
      <c r="AO67" s="77"/>
      <c r="AP67" s="77"/>
      <c r="AQ67" s="77"/>
      <c r="AR67" s="77"/>
      <c r="AS67" s="77"/>
      <c r="AT67" s="64"/>
      <c r="AU67" s="77"/>
      <c r="AV67" s="77"/>
      <c r="AW67" s="77"/>
      <c r="AX67" s="77"/>
      <c r="AY67" s="77"/>
      <c r="AZ67" s="77"/>
    </row>
    <row r="68" spans="4:52" ht="15" customHeight="1" x14ac:dyDescent="0.25">
      <c r="D68" s="7"/>
      <c r="E68" s="7"/>
      <c r="F68" s="7"/>
      <c r="G68" s="7"/>
      <c r="H68" s="7"/>
      <c r="I68" s="7"/>
      <c r="J68" s="12"/>
      <c r="K68" s="7"/>
      <c r="L68" s="7"/>
      <c r="M68" s="7"/>
      <c r="N68" s="7"/>
      <c r="O68" s="7"/>
      <c r="P68" s="7"/>
      <c r="Y68" s="58">
        <v>312.20999999999998</v>
      </c>
      <c r="Z68" s="54">
        <v>44893</v>
      </c>
      <c r="AA68" s="1">
        <v>312.20999999999998</v>
      </c>
      <c r="AB68" s="1">
        <v>7444</v>
      </c>
      <c r="AC68" s="1">
        <v>-1975</v>
      </c>
      <c r="AD68" s="1">
        <v>-6059</v>
      </c>
      <c r="AE68" s="103" t="e">
        <f t="shared" si="12"/>
        <v>#N/A</v>
      </c>
      <c r="AF68" s="104" t="e">
        <f t="shared" si="13"/>
        <v>#N/A</v>
      </c>
      <c r="AG68" s="105" t="e">
        <f t="shared" si="14"/>
        <v>#N/A</v>
      </c>
      <c r="AK68" s="99">
        <v>307.5</v>
      </c>
      <c r="AL68" s="57" t="str">
        <f t="shared" si="11"/>
        <v>307</v>
      </c>
      <c r="AM68" s="74"/>
      <c r="AN68" s="77"/>
      <c r="AO68" s="77"/>
      <c r="AP68" s="77"/>
      <c r="AQ68" s="77"/>
      <c r="AR68" s="77"/>
      <c r="AS68" s="77"/>
      <c r="AT68" s="64"/>
      <c r="AU68" s="77"/>
      <c r="AV68" s="77"/>
      <c r="AW68" s="77"/>
      <c r="AX68" s="77"/>
      <c r="AY68" s="77"/>
      <c r="AZ68" s="77"/>
    </row>
    <row r="69" spans="4:52" ht="15" customHeight="1" x14ac:dyDescent="0.25">
      <c r="D69" s="7"/>
      <c r="E69" s="7"/>
      <c r="F69" s="7"/>
      <c r="G69" s="7"/>
      <c r="H69" s="7"/>
      <c r="I69" s="7"/>
      <c r="J69" s="12"/>
      <c r="K69" s="7"/>
      <c r="L69" s="7"/>
      <c r="M69" s="7"/>
      <c r="N69" s="7"/>
      <c r="O69" s="7"/>
      <c r="P69" s="7"/>
      <c r="Y69" s="58">
        <v>316.07</v>
      </c>
      <c r="Z69" s="54">
        <v>44890</v>
      </c>
      <c r="AA69" s="1">
        <v>316.07</v>
      </c>
      <c r="AB69" s="1">
        <v>-5159</v>
      </c>
      <c r="AC69" s="1">
        <v>3667</v>
      </c>
      <c r="AD69" s="1">
        <v>505</v>
      </c>
      <c r="AE69" s="103" t="e">
        <f t="shared" si="12"/>
        <v>#N/A</v>
      </c>
      <c r="AF69" s="104" t="e">
        <f t="shared" si="13"/>
        <v>#N/A</v>
      </c>
      <c r="AG69" s="105" t="e">
        <f t="shared" si="14"/>
        <v>#N/A</v>
      </c>
      <c r="AK69" s="99">
        <v>305</v>
      </c>
      <c r="AL69" s="57" t="str">
        <f t="shared" si="11"/>
        <v>305</v>
      </c>
      <c r="AM69" s="74"/>
      <c r="AN69" s="77"/>
      <c r="AO69" s="77"/>
      <c r="AP69" s="77"/>
      <c r="AQ69" s="77"/>
      <c r="AR69" s="77"/>
      <c r="AS69" s="77"/>
      <c r="AT69" s="64"/>
      <c r="AU69" s="77"/>
      <c r="AV69" s="77"/>
      <c r="AW69" s="77"/>
      <c r="AX69" s="77"/>
      <c r="AY69" s="77"/>
      <c r="AZ69" s="77"/>
    </row>
    <row r="70" spans="4:52" ht="15" customHeight="1" x14ac:dyDescent="0.25">
      <c r="D70" s="7"/>
      <c r="E70" s="7"/>
      <c r="F70" s="7"/>
      <c r="G70" s="7"/>
      <c r="H70" s="7"/>
      <c r="I70" s="7"/>
      <c r="J70" s="12"/>
      <c r="K70" s="7"/>
      <c r="L70" s="7"/>
      <c r="M70" s="7"/>
      <c r="N70" s="7"/>
      <c r="O70" s="7"/>
      <c r="P70" s="7"/>
      <c r="Y70" s="58">
        <v>317.3</v>
      </c>
      <c r="Z70" s="54">
        <v>44889</v>
      </c>
      <c r="AA70" s="1">
        <v>317.3</v>
      </c>
      <c r="AB70" s="1">
        <v>1486</v>
      </c>
      <c r="AC70" s="1">
        <v>-2592</v>
      </c>
      <c r="AD70" s="1">
        <v>1627</v>
      </c>
      <c r="AE70" s="103" t="e">
        <f t="shared" si="12"/>
        <v>#N/A</v>
      </c>
      <c r="AF70" s="104" t="e">
        <f t="shared" si="13"/>
        <v>#N/A</v>
      </c>
      <c r="AG70" s="105" t="e">
        <f t="shared" si="14"/>
        <v>#N/A</v>
      </c>
      <c r="AK70" s="99">
        <v>302.5</v>
      </c>
      <c r="AL70" s="57" t="str">
        <f t="shared" si="11"/>
        <v>302</v>
      </c>
      <c r="AM70" s="74"/>
      <c r="AN70" s="77"/>
      <c r="AO70" s="77"/>
      <c r="AP70" s="77"/>
      <c r="AQ70" s="77"/>
      <c r="AR70" s="77"/>
      <c r="AS70" s="77"/>
      <c r="AT70" s="64"/>
      <c r="AU70" s="77"/>
      <c r="AV70" s="77"/>
      <c r="AW70" s="77"/>
      <c r="AX70" s="77"/>
      <c r="AY70" s="77"/>
      <c r="AZ70" s="77"/>
    </row>
    <row r="71" spans="4:52" ht="15" customHeight="1" x14ac:dyDescent="0.25">
      <c r="D71" s="7"/>
      <c r="E71" s="7"/>
      <c r="F71" s="7"/>
      <c r="G71" s="7"/>
      <c r="H71" s="7"/>
      <c r="I71" s="7"/>
      <c r="J71" s="12"/>
      <c r="K71" s="7"/>
      <c r="L71" s="7"/>
      <c r="M71" s="7"/>
      <c r="N71" s="7"/>
      <c r="O71" s="7"/>
      <c r="P71" s="7"/>
      <c r="Y71" s="58">
        <v>314.11</v>
      </c>
      <c r="Z71" s="54">
        <v>44888</v>
      </c>
      <c r="AA71" s="1">
        <v>314.11</v>
      </c>
      <c r="AB71" s="1">
        <v>5240</v>
      </c>
      <c r="AC71" s="1">
        <v>-4624</v>
      </c>
      <c r="AD71" s="1">
        <v>355</v>
      </c>
      <c r="AE71" s="103" t="e">
        <f t="shared" si="12"/>
        <v>#N/A</v>
      </c>
      <c r="AF71" s="104" t="e">
        <f t="shared" si="13"/>
        <v>#N/A</v>
      </c>
      <c r="AG71" s="105" t="e">
        <f t="shared" si="14"/>
        <v>#N/A</v>
      </c>
      <c r="AK71" s="99">
        <v>300</v>
      </c>
      <c r="AL71" s="57" t="str">
        <f t="shared" si="11"/>
        <v>300</v>
      </c>
      <c r="AM71" s="74"/>
      <c r="AN71" s="77"/>
      <c r="AO71" s="77"/>
      <c r="AP71" s="77"/>
      <c r="AQ71" s="77"/>
      <c r="AR71" s="77"/>
      <c r="AS71" s="77"/>
      <c r="AT71" s="64"/>
      <c r="AU71" s="77"/>
      <c r="AV71" s="77"/>
      <c r="AW71" s="77"/>
      <c r="AX71" s="77"/>
      <c r="AY71" s="77"/>
      <c r="AZ71" s="77"/>
    </row>
    <row r="72" spans="4:52" ht="15" customHeight="1" x14ac:dyDescent="0.25">
      <c r="D72" s="7"/>
      <c r="E72" s="7"/>
      <c r="F72" s="7"/>
      <c r="G72" s="7"/>
      <c r="H72" s="7"/>
      <c r="I72" s="7"/>
      <c r="J72" s="12"/>
      <c r="K72" s="7"/>
      <c r="L72" s="7"/>
      <c r="M72" s="7"/>
      <c r="N72" s="7"/>
      <c r="O72" s="7"/>
      <c r="P72" s="7"/>
      <c r="Y72" s="58">
        <v>312.02</v>
      </c>
      <c r="Z72" s="54">
        <v>44887</v>
      </c>
      <c r="AA72" s="1">
        <v>312.02</v>
      </c>
      <c r="AB72" s="1">
        <v>-1219</v>
      </c>
      <c r="AC72" s="1">
        <v>1834</v>
      </c>
      <c r="AD72" s="1">
        <v>-366</v>
      </c>
      <c r="AE72" s="103" t="e">
        <f t="shared" si="12"/>
        <v>#N/A</v>
      </c>
      <c r="AF72" s="104" t="e">
        <f t="shared" si="13"/>
        <v>#N/A</v>
      </c>
      <c r="AG72" s="105" t="e">
        <f t="shared" si="14"/>
        <v>#N/A</v>
      </c>
      <c r="AK72" s="99">
        <v>297.5</v>
      </c>
      <c r="AL72" s="57" t="str">
        <f t="shared" si="11"/>
        <v>297</v>
      </c>
      <c r="AM72" s="74"/>
      <c r="AN72" s="77"/>
      <c r="AO72" s="77"/>
      <c r="AP72" s="77"/>
      <c r="AQ72" s="77"/>
      <c r="AR72" s="77"/>
      <c r="AS72" s="77"/>
      <c r="AT72" s="64"/>
      <c r="AU72" s="77"/>
      <c r="AV72" s="77"/>
      <c r="AW72" s="77"/>
      <c r="AX72" s="77"/>
      <c r="AY72" s="77"/>
      <c r="AZ72" s="77"/>
    </row>
    <row r="73" spans="4:52" ht="15" customHeight="1" x14ac:dyDescent="0.25">
      <c r="D73" s="7"/>
      <c r="E73" s="7"/>
      <c r="F73" s="7"/>
      <c r="G73" s="7"/>
      <c r="H73" s="7"/>
      <c r="I73" s="7"/>
      <c r="J73" s="12"/>
      <c r="K73" s="7"/>
      <c r="L73" s="7"/>
      <c r="M73" s="7"/>
      <c r="N73" s="7"/>
      <c r="O73" s="7"/>
      <c r="P73" s="7"/>
      <c r="Y73" s="58">
        <v>314.67</v>
      </c>
      <c r="Z73" s="54">
        <v>44886</v>
      </c>
      <c r="AA73" s="1">
        <v>314.67</v>
      </c>
      <c r="AB73" s="1">
        <v>-377</v>
      </c>
      <c r="AC73" s="1">
        <v>1677</v>
      </c>
      <c r="AD73" s="1">
        <v>-1339</v>
      </c>
      <c r="AE73" s="103" t="e">
        <f t="shared" si="12"/>
        <v>#N/A</v>
      </c>
      <c r="AF73" s="104" t="e">
        <f t="shared" si="13"/>
        <v>#N/A</v>
      </c>
      <c r="AG73" s="105" t="e">
        <f t="shared" si="14"/>
        <v>#N/A</v>
      </c>
      <c r="AK73" s="99">
        <v>295</v>
      </c>
      <c r="AL73" s="57" t="str">
        <f t="shared" si="11"/>
        <v>295</v>
      </c>
      <c r="AM73" s="74"/>
      <c r="AN73" s="77"/>
      <c r="AO73" s="77"/>
      <c r="AP73" s="77"/>
      <c r="AQ73" s="77"/>
      <c r="AR73" s="77"/>
      <c r="AS73" s="77"/>
      <c r="AT73" s="64"/>
      <c r="AU73" s="77"/>
      <c r="AV73" s="77"/>
      <c r="AW73" s="77"/>
      <c r="AX73" s="77"/>
      <c r="AY73" s="77"/>
      <c r="AZ73" s="77"/>
    </row>
    <row r="74" spans="4:52" ht="15" customHeight="1" x14ac:dyDescent="0.25">
      <c r="D74" s="7"/>
      <c r="E74" s="7"/>
      <c r="F74" s="7"/>
      <c r="G74" s="7"/>
      <c r="H74" s="7"/>
      <c r="I74" s="7"/>
      <c r="J74" s="12"/>
      <c r="K74" s="7"/>
      <c r="L74" s="7"/>
      <c r="M74" s="7"/>
      <c r="N74" s="7"/>
      <c r="O74" s="7"/>
      <c r="P74" s="7"/>
      <c r="Y74" s="58">
        <v>317.12</v>
      </c>
      <c r="Z74" s="54">
        <v>44883</v>
      </c>
      <c r="AA74" s="1">
        <v>317.12</v>
      </c>
      <c r="AB74" s="1">
        <v>691</v>
      </c>
      <c r="AC74" s="1">
        <v>2159</v>
      </c>
      <c r="AD74" s="1">
        <v>-3030</v>
      </c>
      <c r="AE74" s="103" t="e">
        <f t="shared" si="12"/>
        <v>#N/A</v>
      </c>
      <c r="AF74" s="104" t="e">
        <f t="shared" si="13"/>
        <v>#N/A</v>
      </c>
      <c r="AG74" s="105" t="e">
        <f t="shared" si="14"/>
        <v>#N/A</v>
      </c>
      <c r="AK74" s="99">
        <v>292.5</v>
      </c>
      <c r="AL74" s="57" t="str">
        <f t="shared" si="11"/>
        <v>292</v>
      </c>
      <c r="AM74" s="74"/>
      <c r="AN74" s="77"/>
      <c r="AO74" s="77"/>
      <c r="AP74" s="77"/>
      <c r="AQ74" s="77"/>
      <c r="AR74" s="77"/>
      <c r="AS74" s="77"/>
      <c r="AT74" s="64"/>
      <c r="AU74" s="77"/>
      <c r="AV74" s="77"/>
      <c r="AW74" s="77"/>
      <c r="AX74" s="77"/>
      <c r="AY74" s="77"/>
      <c r="AZ74" s="77"/>
    </row>
    <row r="75" spans="4:52" ht="15" customHeight="1" x14ac:dyDescent="0.25">
      <c r="D75" s="7"/>
      <c r="E75" s="7"/>
      <c r="F75" s="7"/>
      <c r="G75" s="7"/>
      <c r="H75" s="7"/>
      <c r="I75" s="7"/>
      <c r="J75" s="12"/>
      <c r="K75" s="7"/>
      <c r="L75" s="7"/>
      <c r="M75" s="7"/>
      <c r="N75" s="7"/>
      <c r="O75" s="7"/>
      <c r="P75" s="7"/>
      <c r="Y75" s="58">
        <v>316.75</v>
      </c>
      <c r="Z75" s="54">
        <v>44882</v>
      </c>
      <c r="AA75" s="1">
        <v>316.75</v>
      </c>
      <c r="AB75" s="1">
        <v>5194</v>
      </c>
      <c r="AC75" s="1">
        <v>415</v>
      </c>
      <c r="AD75" s="1">
        <v>-6034</v>
      </c>
      <c r="AE75" s="103" t="e">
        <f t="shared" si="12"/>
        <v>#N/A</v>
      </c>
      <c r="AF75" s="104" t="e">
        <f t="shared" si="13"/>
        <v>#N/A</v>
      </c>
      <c r="AG75" s="105" t="e">
        <f t="shared" si="14"/>
        <v>#N/A</v>
      </c>
      <c r="AK75" s="99">
        <v>290</v>
      </c>
      <c r="AL75" s="57" t="str">
        <f t="shared" si="11"/>
        <v>290</v>
      </c>
      <c r="AM75" s="74"/>
      <c r="AN75" s="77"/>
      <c r="AO75" s="77"/>
      <c r="AP75" s="77"/>
      <c r="AQ75" s="77"/>
      <c r="AR75" s="77"/>
      <c r="AS75" s="77"/>
      <c r="AT75" s="64"/>
      <c r="AU75" s="77"/>
      <c r="AV75" s="77"/>
      <c r="AW75" s="77"/>
      <c r="AX75" s="77"/>
      <c r="AY75" s="77"/>
      <c r="AZ75" s="77"/>
    </row>
    <row r="76" spans="4:52" ht="15" customHeight="1" x14ac:dyDescent="0.25">
      <c r="D76" s="7"/>
      <c r="E76" s="7"/>
      <c r="F76" s="7"/>
      <c r="G76" s="7"/>
      <c r="H76" s="7"/>
      <c r="I76" s="7"/>
      <c r="J76" s="12"/>
      <c r="K76" s="7"/>
      <c r="L76" s="7"/>
      <c r="M76" s="7"/>
      <c r="N76" s="7"/>
      <c r="O76" s="7"/>
      <c r="P76" s="7"/>
      <c r="Y76" s="58">
        <v>321.95999999999998</v>
      </c>
      <c r="Z76" s="54">
        <v>44881</v>
      </c>
      <c r="AA76" s="1">
        <v>321.95999999999998</v>
      </c>
      <c r="AB76" s="1">
        <v>-1160</v>
      </c>
      <c r="AC76" s="1">
        <v>-1080</v>
      </c>
      <c r="AD76" s="1">
        <v>2334</v>
      </c>
      <c r="AE76" s="103" t="e">
        <f t="shared" si="12"/>
        <v>#N/A</v>
      </c>
      <c r="AF76" s="104" t="e">
        <f t="shared" si="13"/>
        <v>#N/A</v>
      </c>
      <c r="AG76" s="105" t="e">
        <f t="shared" si="14"/>
        <v>#N/A</v>
      </c>
      <c r="AK76" s="99">
        <v>287.5</v>
      </c>
      <c r="AL76" s="57" t="str">
        <f t="shared" si="11"/>
        <v>287</v>
      </c>
      <c r="AM76" s="74"/>
      <c r="AN76" s="77"/>
      <c r="AO76" s="77"/>
      <c r="AP76" s="77"/>
      <c r="AQ76" s="77"/>
      <c r="AR76" s="77"/>
      <c r="AS76" s="77"/>
      <c r="AT76" s="64"/>
      <c r="AU76" s="77"/>
      <c r="AV76" s="77"/>
      <c r="AW76" s="77"/>
      <c r="AX76" s="77"/>
      <c r="AY76" s="77"/>
      <c r="AZ76" s="77"/>
    </row>
    <row r="77" spans="4:52" ht="15" customHeight="1" x14ac:dyDescent="0.25">
      <c r="D77" s="7"/>
      <c r="E77" s="7"/>
      <c r="F77" s="7"/>
      <c r="G77" s="7"/>
      <c r="H77" s="7"/>
      <c r="I77" s="7"/>
      <c r="J77" s="12"/>
      <c r="K77" s="7"/>
      <c r="L77" s="7"/>
      <c r="M77" s="7"/>
      <c r="N77" s="7"/>
      <c r="O77" s="7"/>
      <c r="P77" s="7"/>
      <c r="Y77" s="58">
        <v>322.31</v>
      </c>
      <c r="Z77" s="54">
        <v>44880</v>
      </c>
      <c r="AA77" s="1">
        <v>322.31</v>
      </c>
      <c r="AB77" s="1">
        <v>-1311</v>
      </c>
      <c r="AC77" s="1">
        <v>1995</v>
      </c>
      <c r="AD77" s="1">
        <v>-164</v>
      </c>
      <c r="AE77" s="103" t="e">
        <f t="shared" si="12"/>
        <v>#N/A</v>
      </c>
      <c r="AF77" s="104" t="e">
        <f t="shared" si="13"/>
        <v>#N/A</v>
      </c>
      <c r="AG77" s="105" t="e">
        <f t="shared" si="14"/>
        <v>#N/A</v>
      </c>
      <c r="AK77" s="99">
        <v>285</v>
      </c>
      <c r="AL77" s="57" t="str">
        <f t="shared" si="11"/>
        <v>285</v>
      </c>
      <c r="AM77" s="74"/>
      <c r="AN77" s="77"/>
      <c r="AO77" s="77"/>
      <c r="AP77" s="77"/>
      <c r="AQ77" s="77"/>
      <c r="AR77" s="77"/>
      <c r="AS77" s="77"/>
      <c r="AT77" s="64"/>
      <c r="AU77" s="77"/>
      <c r="AV77" s="77"/>
      <c r="AW77" s="77"/>
      <c r="AX77" s="77"/>
      <c r="AY77" s="77"/>
      <c r="AZ77" s="77"/>
    </row>
    <row r="78" spans="4:52" ht="15" customHeight="1" x14ac:dyDescent="0.25">
      <c r="D78" s="7"/>
      <c r="E78" s="7"/>
      <c r="F78" s="7"/>
      <c r="G78" s="7"/>
      <c r="H78" s="7"/>
      <c r="I78" s="7"/>
      <c r="J78" s="12"/>
      <c r="K78" s="7"/>
      <c r="L78" s="7"/>
      <c r="M78" s="7"/>
      <c r="N78" s="7"/>
      <c r="O78" s="7"/>
      <c r="P78" s="7"/>
      <c r="Y78" s="58">
        <v>321.52999999999997</v>
      </c>
      <c r="Z78" s="54">
        <v>44879</v>
      </c>
      <c r="AA78" s="1">
        <v>321.52999999999997</v>
      </c>
      <c r="AB78" s="1">
        <v>-2225</v>
      </c>
      <c r="AC78" s="1">
        <v>842</v>
      </c>
      <c r="AD78" s="1">
        <v>985</v>
      </c>
      <c r="AE78" s="103" t="e">
        <f t="shared" si="12"/>
        <v>#N/A</v>
      </c>
      <c r="AF78" s="104" t="e">
        <f t="shared" si="13"/>
        <v>#N/A</v>
      </c>
      <c r="AG78" s="105" t="e">
        <f t="shared" si="14"/>
        <v>#N/A</v>
      </c>
      <c r="AK78" s="99">
        <v>282.5</v>
      </c>
      <c r="AL78" s="57" t="str">
        <f t="shared" si="11"/>
        <v>282</v>
      </c>
      <c r="AM78" s="74"/>
      <c r="AN78" s="77"/>
      <c r="AO78" s="77"/>
      <c r="AP78" s="77"/>
      <c r="AQ78" s="77"/>
      <c r="AR78" s="77"/>
      <c r="AS78" s="77"/>
      <c r="AT78" s="64"/>
      <c r="AU78" s="77"/>
      <c r="AV78" s="77"/>
      <c r="AW78" s="77"/>
      <c r="AX78" s="77"/>
      <c r="AY78" s="77"/>
      <c r="AZ78" s="77"/>
    </row>
    <row r="79" spans="4:52" ht="15" customHeight="1" x14ac:dyDescent="0.25">
      <c r="D79" s="7"/>
      <c r="E79" s="7"/>
      <c r="F79" s="7"/>
      <c r="G79" s="7"/>
      <c r="H79" s="7"/>
      <c r="I79" s="7"/>
      <c r="J79" s="12"/>
      <c r="K79" s="7"/>
      <c r="L79" s="7"/>
      <c r="M79" s="7"/>
      <c r="N79" s="7"/>
      <c r="O79" s="7"/>
      <c r="P79" s="7"/>
      <c r="Y79" s="58">
        <v>323.08999999999997</v>
      </c>
      <c r="Z79" s="54">
        <v>44876</v>
      </c>
      <c r="AA79" s="1">
        <v>323.08999999999997</v>
      </c>
      <c r="AB79" s="1">
        <v>-5091</v>
      </c>
      <c r="AC79" s="1">
        <v>-1458</v>
      </c>
      <c r="AD79" s="1">
        <v>7967</v>
      </c>
      <c r="AE79" s="103" t="e">
        <f t="shared" si="12"/>
        <v>#N/A</v>
      </c>
      <c r="AF79" s="104" t="e">
        <f t="shared" si="13"/>
        <v>#N/A</v>
      </c>
      <c r="AG79" s="105" t="e">
        <f t="shared" si="14"/>
        <v>#N/A</v>
      </c>
      <c r="AK79" s="99">
        <v>280</v>
      </c>
      <c r="AL79" s="57" t="str">
        <f t="shared" si="11"/>
        <v>280</v>
      </c>
      <c r="AM79" s="74"/>
      <c r="AN79" s="77"/>
      <c r="AO79" s="77"/>
      <c r="AP79" s="77"/>
      <c r="AQ79" s="77"/>
      <c r="AR79" s="77"/>
      <c r="AS79" s="77"/>
      <c r="AT79" s="64"/>
      <c r="AU79" s="77"/>
      <c r="AV79" s="77"/>
      <c r="AW79" s="77"/>
      <c r="AX79" s="77"/>
      <c r="AY79" s="77"/>
      <c r="AZ79" s="77"/>
    </row>
    <row r="80" spans="4:52" ht="15" customHeight="1" x14ac:dyDescent="0.25">
      <c r="D80" s="7"/>
      <c r="E80" s="7"/>
      <c r="F80" s="7"/>
      <c r="G80" s="7"/>
      <c r="H80" s="7"/>
      <c r="I80" s="7"/>
      <c r="J80" s="12"/>
      <c r="K80" s="7"/>
      <c r="L80" s="7"/>
      <c r="M80" s="7"/>
      <c r="N80" s="7"/>
      <c r="O80" s="7"/>
      <c r="P80" s="7"/>
      <c r="Y80" s="58">
        <v>311.13</v>
      </c>
      <c r="Z80" s="54">
        <v>44875</v>
      </c>
      <c r="AA80" s="1">
        <v>311.13</v>
      </c>
      <c r="AB80" s="1">
        <v>5571</v>
      </c>
      <c r="AC80" s="1">
        <v>4054</v>
      </c>
      <c r="AD80" s="1">
        <v>-10658</v>
      </c>
      <c r="AE80" s="103" t="e">
        <f t="shared" si="12"/>
        <v>#N/A</v>
      </c>
      <c r="AF80" s="104" t="e">
        <f t="shared" si="13"/>
        <v>#N/A</v>
      </c>
      <c r="AG80" s="105" t="e">
        <f t="shared" si="14"/>
        <v>#N/A</v>
      </c>
      <c r="AK80" s="99">
        <v>277.5</v>
      </c>
      <c r="AL80" s="57" t="str">
        <f t="shared" si="11"/>
        <v>277</v>
      </c>
      <c r="AM80" s="74"/>
      <c r="AN80" s="77"/>
      <c r="AO80" s="77"/>
      <c r="AP80" s="77"/>
      <c r="AQ80" s="77"/>
      <c r="AR80" s="77"/>
      <c r="AS80" s="77"/>
      <c r="AT80" s="64"/>
      <c r="AU80" s="77"/>
      <c r="AV80" s="77"/>
      <c r="AW80" s="77"/>
      <c r="AX80" s="77"/>
      <c r="AY80" s="77"/>
      <c r="AZ80" s="77"/>
    </row>
    <row r="81" spans="4:52" ht="15" customHeight="1" x14ac:dyDescent="0.25">
      <c r="D81" s="7"/>
      <c r="E81" s="7"/>
      <c r="F81" s="7"/>
      <c r="G81" s="7"/>
      <c r="H81" s="7"/>
      <c r="I81" s="7"/>
      <c r="J81" s="12"/>
      <c r="K81" s="7"/>
      <c r="L81" s="7"/>
      <c r="M81" s="7"/>
      <c r="N81" s="7"/>
      <c r="O81" s="7"/>
      <c r="P81" s="7"/>
      <c r="Y81" s="58">
        <v>315.23</v>
      </c>
      <c r="Z81" s="54">
        <v>44874</v>
      </c>
      <c r="AA81" s="1">
        <v>315.23</v>
      </c>
      <c r="AB81" s="1">
        <v>2759</v>
      </c>
      <c r="AC81" s="1">
        <v>-231</v>
      </c>
      <c r="AD81" s="1">
        <v>-1636</v>
      </c>
      <c r="AE81" s="103" t="e">
        <f t="shared" si="12"/>
        <v>#N/A</v>
      </c>
      <c r="AF81" s="104" t="e">
        <f t="shared" si="13"/>
        <v>#N/A</v>
      </c>
      <c r="AG81" s="105" t="e">
        <f t="shared" si="14"/>
        <v>#N/A</v>
      </c>
      <c r="AK81" s="99">
        <v>275</v>
      </c>
      <c r="AL81" s="57" t="str">
        <f t="shared" si="11"/>
        <v>275</v>
      </c>
      <c r="AM81" s="74"/>
      <c r="AN81" s="77"/>
      <c r="AO81" s="77"/>
      <c r="AP81" s="77"/>
      <c r="AQ81" s="77"/>
      <c r="AR81" s="77"/>
      <c r="AS81" s="77"/>
      <c r="AT81" s="64"/>
      <c r="AU81" s="77"/>
      <c r="AV81" s="77"/>
      <c r="AW81" s="77"/>
      <c r="AX81" s="77"/>
      <c r="AY81" s="77"/>
      <c r="AZ81" s="77"/>
    </row>
    <row r="82" spans="4:52" ht="15" customHeight="1" x14ac:dyDescent="0.25">
      <c r="D82" s="7"/>
      <c r="E82" s="7"/>
      <c r="F82" s="7"/>
      <c r="G82" s="7"/>
      <c r="H82" s="7"/>
      <c r="I82" s="7"/>
      <c r="J82" s="12"/>
      <c r="K82" s="7"/>
      <c r="L82" s="7"/>
      <c r="M82" s="7"/>
      <c r="N82" s="7"/>
      <c r="O82" s="7"/>
      <c r="P82" s="7"/>
      <c r="Y82" s="58">
        <v>312.01</v>
      </c>
      <c r="Z82" s="54">
        <v>44873</v>
      </c>
      <c r="AA82" s="1">
        <v>312.01</v>
      </c>
      <c r="AB82" s="1">
        <v>-2089</v>
      </c>
      <c r="AC82" s="1">
        <v>1232</v>
      </c>
      <c r="AD82" s="1">
        <v>799</v>
      </c>
      <c r="AE82" s="103" t="e">
        <f t="shared" si="12"/>
        <v>#N/A</v>
      </c>
      <c r="AF82" s="104" t="e">
        <f t="shared" si="13"/>
        <v>#N/A</v>
      </c>
      <c r="AG82" s="105" t="e">
        <f t="shared" si="14"/>
        <v>#N/A</v>
      </c>
      <c r="AK82" s="99">
        <v>272.5</v>
      </c>
      <c r="AL82" s="57" t="str">
        <f t="shared" si="11"/>
        <v>272</v>
      </c>
      <c r="AM82" s="74"/>
      <c r="AN82" s="77"/>
      <c r="AO82" s="77"/>
      <c r="AP82" s="77"/>
      <c r="AQ82" s="77"/>
      <c r="AR82" s="77"/>
      <c r="AS82" s="77"/>
      <c r="AT82" s="64"/>
      <c r="AU82" s="77"/>
      <c r="AV82" s="77"/>
      <c r="AW82" s="77"/>
      <c r="AX82" s="77"/>
      <c r="AY82" s="77"/>
      <c r="AZ82" s="77"/>
    </row>
    <row r="83" spans="4:52" ht="15" customHeight="1" x14ac:dyDescent="0.25">
      <c r="D83" s="7"/>
      <c r="E83" s="7"/>
      <c r="F83" s="7"/>
      <c r="G83" s="7"/>
      <c r="H83" s="7"/>
      <c r="I83" s="7"/>
      <c r="J83" s="12"/>
      <c r="K83" s="7"/>
      <c r="L83" s="7"/>
      <c r="M83" s="7"/>
      <c r="N83" s="7"/>
      <c r="O83" s="7"/>
      <c r="P83" s="7"/>
      <c r="Y83" s="58">
        <v>307.87</v>
      </c>
      <c r="Z83" s="54">
        <v>44872</v>
      </c>
      <c r="AA83" s="1">
        <v>307.87</v>
      </c>
      <c r="AB83" s="1">
        <v>-1847</v>
      </c>
      <c r="AC83" s="1">
        <v>-1260</v>
      </c>
      <c r="AD83" s="1">
        <v>579</v>
      </c>
      <c r="AE83" s="103" t="e">
        <f t="shared" si="12"/>
        <v>#N/A</v>
      </c>
      <c r="AF83" s="104" t="e">
        <f t="shared" si="13"/>
        <v>#N/A</v>
      </c>
      <c r="AG83" s="105" t="e">
        <f t="shared" si="14"/>
        <v>#N/A</v>
      </c>
      <c r="AK83" s="99">
        <v>270</v>
      </c>
      <c r="AL83" s="57" t="str">
        <f t="shared" si="11"/>
        <v>270</v>
      </c>
      <c r="AM83" s="74"/>
      <c r="AN83" s="77"/>
      <c r="AO83" s="77"/>
      <c r="AP83" s="77"/>
      <c r="AQ83" s="77"/>
      <c r="AR83" s="77"/>
      <c r="AS83" s="77"/>
      <c r="AT83" s="64"/>
      <c r="AU83" s="77"/>
      <c r="AV83" s="77"/>
      <c r="AW83" s="77"/>
      <c r="AX83" s="77"/>
      <c r="AY83" s="77"/>
      <c r="AZ83" s="77"/>
    </row>
    <row r="84" spans="4:52" ht="15" customHeight="1" x14ac:dyDescent="0.25">
      <c r="D84" s="7"/>
      <c r="E84" s="7"/>
      <c r="F84" s="7"/>
      <c r="G84" s="7"/>
      <c r="H84" s="7"/>
      <c r="I84" s="7"/>
      <c r="J84" s="12"/>
      <c r="K84" s="7"/>
      <c r="L84" s="7"/>
      <c r="M84" s="7"/>
      <c r="N84" s="7"/>
      <c r="O84" s="7"/>
      <c r="P84" s="7"/>
      <c r="Y84" s="58">
        <v>304.33</v>
      </c>
      <c r="Z84" s="54">
        <v>44869</v>
      </c>
      <c r="AA84" s="1">
        <v>304.33</v>
      </c>
      <c r="AB84" s="1">
        <v>2847</v>
      </c>
      <c r="AC84" s="1">
        <v>-2673</v>
      </c>
      <c r="AD84" s="1">
        <v>170</v>
      </c>
      <c r="AE84" s="103" t="e">
        <f t="shared" si="12"/>
        <v>#N/A</v>
      </c>
      <c r="AF84" s="104" t="e">
        <f t="shared" si="13"/>
        <v>#N/A</v>
      </c>
      <c r="AG84" s="105" t="e">
        <f t="shared" si="14"/>
        <v>#N/A</v>
      </c>
      <c r="AK84" s="99">
        <v>267.5</v>
      </c>
      <c r="AL84" s="57" t="str">
        <f t="shared" si="11"/>
        <v>267</v>
      </c>
      <c r="AM84" s="74"/>
      <c r="AN84" s="77"/>
      <c r="AO84" s="77"/>
      <c r="AP84" s="77"/>
      <c r="AQ84" s="77"/>
      <c r="AR84" s="77"/>
      <c r="AS84" s="77"/>
      <c r="AT84" s="64"/>
      <c r="AU84" s="77"/>
      <c r="AV84" s="77"/>
      <c r="AW84" s="77"/>
      <c r="AX84" s="77"/>
      <c r="AY84" s="77"/>
      <c r="AZ84" s="77"/>
    </row>
    <row r="85" spans="4:52" ht="15" customHeight="1" x14ac:dyDescent="0.25">
      <c r="D85" s="7"/>
      <c r="E85" s="7"/>
      <c r="F85" s="7"/>
      <c r="G85" s="7"/>
      <c r="H85" s="7"/>
      <c r="I85" s="7"/>
      <c r="J85" s="12"/>
      <c r="K85" s="7"/>
      <c r="L85" s="7"/>
      <c r="M85" s="7"/>
      <c r="N85" s="7"/>
      <c r="O85" s="7"/>
      <c r="P85" s="7"/>
      <c r="Y85" s="58">
        <v>301.66000000000003</v>
      </c>
      <c r="Z85" s="54">
        <v>44868</v>
      </c>
      <c r="AA85" s="1">
        <v>301.66000000000003</v>
      </c>
      <c r="AB85" s="1">
        <v>-841</v>
      </c>
      <c r="AC85" s="1">
        <v>1930</v>
      </c>
      <c r="AD85" s="1">
        <v>-998</v>
      </c>
      <c r="AE85" s="103" t="e">
        <f t="shared" si="12"/>
        <v>#N/A</v>
      </c>
      <c r="AF85" s="104" t="e">
        <f t="shared" si="13"/>
        <v>#N/A</v>
      </c>
      <c r="AG85" s="105" t="e">
        <f t="shared" si="14"/>
        <v>#N/A</v>
      </c>
      <c r="AK85" s="99">
        <v>265</v>
      </c>
      <c r="AL85" s="57" t="str">
        <f t="shared" si="11"/>
        <v>265</v>
      </c>
      <c r="AM85" s="74"/>
      <c r="AN85" s="77"/>
      <c r="AO85" s="77"/>
      <c r="AP85" s="77"/>
      <c r="AQ85" s="77"/>
      <c r="AR85" s="77"/>
      <c r="AS85" s="77"/>
      <c r="AT85" s="64"/>
      <c r="AU85" s="77"/>
      <c r="AV85" s="77"/>
      <c r="AW85" s="77"/>
      <c r="AX85" s="77"/>
      <c r="AY85" s="77"/>
      <c r="AZ85" s="77"/>
    </row>
    <row r="86" spans="4:52" ht="15" customHeight="1" x14ac:dyDescent="0.25">
      <c r="D86" s="7"/>
      <c r="E86" s="7"/>
      <c r="F86" s="7"/>
      <c r="G86" s="7"/>
      <c r="H86" s="7"/>
      <c r="I86" s="7"/>
      <c r="J86" s="12"/>
      <c r="K86" s="7"/>
      <c r="L86" s="7"/>
      <c r="M86" s="7"/>
      <c r="N86" s="7"/>
      <c r="O86" s="7"/>
      <c r="P86" s="7"/>
      <c r="Y86" s="58">
        <v>303.87</v>
      </c>
      <c r="Z86" s="54">
        <v>44867</v>
      </c>
      <c r="AA86" s="1">
        <v>303.87</v>
      </c>
      <c r="AB86" s="1">
        <v>1274</v>
      </c>
      <c r="AC86" s="1">
        <v>-1394</v>
      </c>
      <c r="AD86" s="1">
        <v>-77</v>
      </c>
      <c r="AE86" s="103" t="e">
        <f t="shared" si="12"/>
        <v>#N/A</v>
      </c>
      <c r="AF86" s="104" t="e">
        <f t="shared" si="13"/>
        <v>#N/A</v>
      </c>
      <c r="AG86" s="105" t="e">
        <f t="shared" si="14"/>
        <v>#N/A</v>
      </c>
      <c r="AK86" s="99">
        <v>262.5</v>
      </c>
      <c r="AL86" s="57" t="str">
        <f t="shared" si="11"/>
        <v>262</v>
      </c>
      <c r="AM86" s="74"/>
      <c r="AN86" s="77"/>
      <c r="AO86" s="77"/>
      <c r="AP86" s="77"/>
      <c r="AQ86" s="77"/>
      <c r="AR86" s="77"/>
      <c r="AS86" s="77"/>
      <c r="AT86" s="64"/>
      <c r="AU86" s="77"/>
      <c r="AV86" s="77"/>
      <c r="AW86" s="77"/>
      <c r="AX86" s="77"/>
      <c r="AY86" s="77"/>
      <c r="AZ86" s="77"/>
    </row>
    <row r="87" spans="4:52" ht="15" customHeight="1" x14ac:dyDescent="0.25">
      <c r="D87" s="7"/>
      <c r="E87" s="7"/>
      <c r="F87" s="7"/>
      <c r="G87" s="7"/>
      <c r="H87" s="7"/>
      <c r="I87" s="7"/>
      <c r="J87" s="12"/>
      <c r="K87" s="7"/>
      <c r="L87" s="7"/>
      <c r="M87" s="7"/>
      <c r="N87" s="7"/>
      <c r="O87" s="7"/>
      <c r="P87" s="7"/>
      <c r="Y87" s="58">
        <v>303.88</v>
      </c>
      <c r="Z87" s="54">
        <v>44866</v>
      </c>
      <c r="AA87" s="1">
        <v>303.88</v>
      </c>
      <c r="AB87" s="1">
        <v>-710</v>
      </c>
      <c r="AC87" s="1">
        <v>971</v>
      </c>
      <c r="AD87" s="1">
        <v>-228</v>
      </c>
      <c r="AE87" s="103" t="e">
        <f t="shared" si="12"/>
        <v>#N/A</v>
      </c>
      <c r="AF87" s="104" t="e">
        <f t="shared" si="13"/>
        <v>#N/A</v>
      </c>
      <c r="AG87" s="105" t="e">
        <f t="shared" si="14"/>
        <v>#N/A</v>
      </c>
      <c r="AK87" s="99">
        <v>260</v>
      </c>
      <c r="AL87" s="57" t="str">
        <f t="shared" si="11"/>
        <v>260</v>
      </c>
      <c r="AM87" s="74"/>
      <c r="AN87" s="77"/>
      <c r="AO87" s="77"/>
      <c r="AP87" s="77"/>
      <c r="AQ87" s="77"/>
      <c r="AR87" s="77"/>
      <c r="AS87" s="77"/>
      <c r="AT87" s="64"/>
      <c r="AU87" s="77"/>
      <c r="AV87" s="77"/>
      <c r="AW87" s="77"/>
      <c r="AX87" s="77"/>
      <c r="AY87" s="77"/>
      <c r="AZ87" s="77"/>
    </row>
    <row r="88" spans="4:52" ht="15" customHeight="1" x14ac:dyDescent="0.25">
      <c r="D88" s="7"/>
      <c r="E88" s="7"/>
      <c r="F88" s="7"/>
      <c r="G88" s="7"/>
      <c r="H88" s="7"/>
      <c r="I88" s="7"/>
      <c r="J88" s="12"/>
      <c r="K88" s="7"/>
      <c r="L88" s="7"/>
      <c r="M88" s="7"/>
      <c r="N88" s="7"/>
      <c r="O88" s="7"/>
      <c r="P88" s="7"/>
      <c r="Y88" s="58">
        <v>299.58</v>
      </c>
      <c r="Z88" s="54">
        <v>44865</v>
      </c>
      <c r="AA88" s="1">
        <v>299.58</v>
      </c>
      <c r="AB88" s="1">
        <v>1122</v>
      </c>
      <c r="AC88" s="1">
        <v>-4088</v>
      </c>
      <c r="AD88" s="1">
        <v>3151</v>
      </c>
      <c r="AE88" s="103" t="str">
        <f>IF($AA88="",AB88,"")</f>
        <v/>
      </c>
      <c r="AF88" s="104" t="str">
        <f>IF($AA88="",AC88,"")</f>
        <v/>
      </c>
      <c r="AG88" s="105" t="str">
        <f>IF($AA88="",AD88,"")</f>
        <v/>
      </c>
      <c r="AK88" s="99">
        <v>257.5</v>
      </c>
      <c r="AL88" s="57" t="str">
        <f t="shared" si="11"/>
        <v>257</v>
      </c>
      <c r="AM88" s="74"/>
      <c r="AN88" s="77"/>
      <c r="AO88" s="77"/>
      <c r="AP88" s="77"/>
      <c r="AQ88" s="77"/>
      <c r="AR88" s="77"/>
      <c r="AS88" s="77"/>
      <c r="AT88" s="64"/>
      <c r="AU88" s="77"/>
      <c r="AV88" s="77"/>
      <c r="AW88" s="77"/>
      <c r="AX88" s="77"/>
      <c r="AY88" s="77"/>
      <c r="AZ88" s="77"/>
    </row>
    <row r="89" spans="4:52" ht="15" customHeight="1" x14ac:dyDescent="0.25">
      <c r="D89" s="7"/>
      <c r="E89" s="7"/>
      <c r="F89" s="7"/>
      <c r="G89" s="7"/>
      <c r="H89" s="7"/>
      <c r="I89" s="7"/>
      <c r="J89" s="12"/>
      <c r="K89" s="7"/>
      <c r="L89" s="7"/>
      <c r="M89" s="7"/>
      <c r="N89" s="7"/>
      <c r="O89" s="7"/>
      <c r="P89" s="7"/>
      <c r="Y89" s="58">
        <v>295.06</v>
      </c>
      <c r="Z89" s="54">
        <v>44862</v>
      </c>
      <c r="AA89" s="1">
        <v>295.06</v>
      </c>
      <c r="AB89" s="1">
        <v>-1881</v>
      </c>
      <c r="AC89" s="1">
        <v>5629</v>
      </c>
      <c r="AD89" s="1">
        <v>-4466</v>
      </c>
      <c r="AE89" s="103" t="str">
        <f t="shared" ref="AE89:AE103" si="15">IF($AA89="",AB89,"")</f>
        <v/>
      </c>
      <c r="AF89" s="104" t="str">
        <f t="shared" ref="AF89:AF103" si="16">IF($AA89="",AC89,"")</f>
        <v/>
      </c>
      <c r="AG89" s="105" t="str">
        <f t="shared" ref="AG89:AG103" si="17">IF($AA89="",AD89,"")</f>
        <v/>
      </c>
      <c r="AK89" s="99">
        <v>255</v>
      </c>
      <c r="AL89" s="57" t="str">
        <f t="shared" si="11"/>
        <v>255</v>
      </c>
      <c r="AM89" s="74"/>
      <c r="AN89" s="77"/>
      <c r="AO89" s="77"/>
      <c r="AP89" s="77"/>
      <c r="AQ89" s="77"/>
      <c r="AR89" s="77"/>
      <c r="AS89" s="77"/>
      <c r="AT89" s="64"/>
      <c r="AU89" s="77"/>
      <c r="AV89" s="77"/>
      <c r="AW89" s="77"/>
      <c r="AX89" s="77"/>
      <c r="AY89" s="77"/>
      <c r="AZ89" s="77"/>
    </row>
    <row r="90" spans="4:52" ht="15" customHeight="1" x14ac:dyDescent="0.25">
      <c r="D90" s="7"/>
      <c r="E90" s="7"/>
      <c r="F90" s="7"/>
      <c r="G90" s="7"/>
      <c r="H90" s="7"/>
      <c r="I90" s="7"/>
      <c r="J90" s="12"/>
      <c r="K90" s="7"/>
      <c r="L90" s="7"/>
      <c r="M90" s="7"/>
      <c r="N90" s="7"/>
      <c r="O90" s="7"/>
      <c r="P90" s="7"/>
      <c r="Y90" s="58">
        <v>298.82</v>
      </c>
      <c r="Z90" s="54">
        <v>44861</v>
      </c>
      <c r="AA90" s="1">
        <v>298.82</v>
      </c>
      <c r="AB90" s="1">
        <v>2601</v>
      </c>
      <c r="AC90" s="1">
        <v>-3145</v>
      </c>
      <c r="AD90" s="1">
        <v>1718</v>
      </c>
      <c r="AE90" s="103" t="str">
        <f t="shared" si="15"/>
        <v/>
      </c>
      <c r="AF90" s="104" t="str">
        <f t="shared" si="16"/>
        <v/>
      </c>
      <c r="AG90" s="105" t="str">
        <f t="shared" si="17"/>
        <v/>
      </c>
      <c r="AK90" s="99">
        <v>252.5</v>
      </c>
      <c r="AL90" s="57" t="str">
        <f t="shared" si="11"/>
        <v>252</v>
      </c>
      <c r="AM90" s="74"/>
      <c r="AN90" s="77"/>
      <c r="AO90" s="77"/>
      <c r="AP90" s="77"/>
      <c r="AQ90" s="77"/>
      <c r="AR90" s="77"/>
      <c r="AS90" s="77"/>
      <c r="AT90" s="64"/>
      <c r="AU90" s="77"/>
      <c r="AV90" s="77"/>
      <c r="AW90" s="77"/>
      <c r="AX90" s="77"/>
      <c r="AY90" s="77"/>
      <c r="AZ90" s="77"/>
    </row>
    <row r="91" spans="4:52" ht="15" customHeight="1" x14ac:dyDescent="0.25">
      <c r="D91" s="7"/>
      <c r="E91" s="7"/>
      <c r="F91" s="7"/>
      <c r="G91" s="7"/>
      <c r="H91" s="7"/>
      <c r="I91" s="7"/>
      <c r="J91" s="12"/>
      <c r="K91" s="7"/>
      <c r="L91" s="7"/>
      <c r="M91" s="7"/>
      <c r="N91" s="7"/>
      <c r="O91" s="7"/>
      <c r="P91" s="7"/>
      <c r="Y91" s="58">
        <v>293.85000000000002</v>
      </c>
      <c r="Z91" s="54">
        <v>44860</v>
      </c>
      <c r="AA91" s="1">
        <v>293.85000000000002</v>
      </c>
      <c r="AB91" s="1">
        <v>10131</v>
      </c>
      <c r="AC91" s="1">
        <v>-5918</v>
      </c>
      <c r="AD91" s="1">
        <v>-4395</v>
      </c>
      <c r="AE91" s="103" t="str">
        <f t="shared" si="15"/>
        <v/>
      </c>
      <c r="AF91" s="104" t="str">
        <f t="shared" si="16"/>
        <v/>
      </c>
      <c r="AG91" s="105" t="str">
        <f t="shared" si="17"/>
        <v/>
      </c>
      <c r="AK91" s="99">
        <v>250</v>
      </c>
      <c r="AL91" s="57" t="str">
        <f t="shared" si="11"/>
        <v>250</v>
      </c>
      <c r="AM91" s="74"/>
      <c r="AN91" s="77"/>
      <c r="AO91" s="77"/>
      <c r="AP91" s="77"/>
      <c r="AQ91" s="77"/>
      <c r="AR91" s="77"/>
      <c r="AS91" s="77"/>
      <c r="AT91" s="64"/>
      <c r="AU91" s="77"/>
      <c r="AV91" s="77"/>
      <c r="AW91" s="77"/>
      <c r="AX91" s="77"/>
      <c r="AY91" s="77"/>
      <c r="AZ91" s="77"/>
    </row>
    <row r="92" spans="4:52" ht="15" customHeight="1" x14ac:dyDescent="0.25">
      <c r="D92" s="7"/>
      <c r="E92" s="7"/>
      <c r="F92" s="7"/>
      <c r="G92" s="7"/>
      <c r="H92" s="7"/>
      <c r="I92" s="7"/>
      <c r="J92" s="12"/>
      <c r="K92" s="7"/>
      <c r="L92" s="7"/>
      <c r="M92" s="7"/>
      <c r="N92" s="7"/>
      <c r="O92" s="7"/>
      <c r="P92" s="7"/>
      <c r="Y92" s="58">
        <v>291.58</v>
      </c>
      <c r="Z92" s="54">
        <v>44859</v>
      </c>
      <c r="AA92" s="1">
        <v>291.58</v>
      </c>
      <c r="AB92" s="1">
        <v>-684</v>
      </c>
      <c r="AC92" s="1">
        <v>1911</v>
      </c>
      <c r="AD92" s="1">
        <v>-1080</v>
      </c>
      <c r="AE92" s="103" t="str">
        <f t="shared" si="15"/>
        <v/>
      </c>
      <c r="AF92" s="104" t="str">
        <f t="shared" si="16"/>
        <v/>
      </c>
      <c r="AG92" s="105" t="str">
        <f t="shared" si="17"/>
        <v/>
      </c>
      <c r="AK92" s="99">
        <v>247.5</v>
      </c>
      <c r="AL92" s="57" t="str">
        <f t="shared" si="11"/>
        <v>247</v>
      </c>
      <c r="AM92" s="74"/>
      <c r="AN92" s="77"/>
      <c r="AO92" s="77"/>
      <c r="AP92" s="77"/>
      <c r="AQ92" s="77"/>
      <c r="AR92" s="77"/>
      <c r="AS92" s="77"/>
      <c r="AT92" s="64"/>
      <c r="AU92" s="77"/>
      <c r="AV92" s="77"/>
      <c r="AW92" s="77"/>
      <c r="AX92" s="77"/>
      <c r="AY92" s="77"/>
      <c r="AZ92" s="77"/>
    </row>
    <row r="93" spans="4:52" ht="15" customHeight="1" x14ac:dyDescent="0.25">
      <c r="D93" s="7"/>
      <c r="E93" s="7"/>
      <c r="F93" s="7"/>
      <c r="G93" s="7"/>
      <c r="H93" s="7"/>
      <c r="I93" s="7"/>
      <c r="J93" s="12"/>
      <c r="K93" s="7"/>
      <c r="L93" s="7"/>
      <c r="M93" s="7"/>
      <c r="N93" s="7"/>
      <c r="O93" s="7"/>
      <c r="P93" s="7"/>
      <c r="Y93" s="58">
        <v>291.47000000000003</v>
      </c>
      <c r="Z93" s="54">
        <v>44858</v>
      </c>
      <c r="AA93" s="1">
        <v>291.47000000000003</v>
      </c>
      <c r="AB93" s="1">
        <v>-2194</v>
      </c>
      <c r="AC93" s="1">
        <v>28</v>
      </c>
      <c r="AD93" s="1">
        <v>2332</v>
      </c>
      <c r="AE93" s="103" t="str">
        <f t="shared" si="15"/>
        <v/>
      </c>
      <c r="AF93" s="104" t="str">
        <f t="shared" si="16"/>
        <v/>
      </c>
      <c r="AG93" s="105" t="str">
        <f t="shared" si="17"/>
        <v/>
      </c>
      <c r="AK93" s="99">
        <v>245</v>
      </c>
      <c r="AL93" s="57" t="str">
        <f t="shared" si="11"/>
        <v>245</v>
      </c>
      <c r="AM93" s="74"/>
      <c r="AN93" s="77"/>
      <c r="AO93" s="77"/>
      <c r="AP93" s="77"/>
      <c r="AQ93" s="77"/>
      <c r="AR93" s="77"/>
      <c r="AS93" s="77"/>
      <c r="AT93" s="64"/>
      <c r="AU93" s="77"/>
      <c r="AV93" s="77"/>
      <c r="AW93" s="77"/>
      <c r="AX93" s="77"/>
      <c r="AY93" s="77"/>
      <c r="AZ93" s="77"/>
    </row>
    <row r="94" spans="4:52" ht="15" customHeight="1" x14ac:dyDescent="0.25">
      <c r="D94" s="7"/>
      <c r="E94" s="7"/>
      <c r="F94" s="7"/>
      <c r="G94" s="7"/>
      <c r="H94" s="7"/>
      <c r="I94" s="7"/>
      <c r="J94" s="12"/>
      <c r="K94" s="7"/>
      <c r="L94" s="7"/>
      <c r="M94" s="7"/>
      <c r="N94" s="7"/>
      <c r="O94" s="7"/>
      <c r="P94" s="7"/>
      <c r="Y94" s="58">
        <v>288.57</v>
      </c>
      <c r="Z94" s="54">
        <v>44855</v>
      </c>
      <c r="AA94" s="1">
        <v>288.57</v>
      </c>
      <c r="AB94" s="1">
        <v>6249</v>
      </c>
      <c r="AC94" s="1">
        <v>-1090</v>
      </c>
      <c r="AD94" s="1">
        <v>-5050</v>
      </c>
      <c r="AE94" s="103" t="str">
        <f t="shared" si="15"/>
        <v/>
      </c>
      <c r="AF94" s="104" t="str">
        <f t="shared" si="16"/>
        <v/>
      </c>
      <c r="AG94" s="105" t="str">
        <f t="shared" si="17"/>
        <v/>
      </c>
      <c r="AK94" s="99">
        <v>242.5</v>
      </c>
      <c r="AL94" s="57" t="str">
        <f t="shared" si="11"/>
        <v>242</v>
      </c>
      <c r="AM94" s="74"/>
      <c r="AN94" s="77"/>
      <c r="AO94" s="77"/>
      <c r="AP94" s="77"/>
      <c r="AQ94" s="77"/>
      <c r="AR94" s="77"/>
      <c r="AS94" s="77"/>
      <c r="AT94" s="64"/>
      <c r="AU94" s="77"/>
      <c r="AV94" s="77"/>
      <c r="AW94" s="77"/>
      <c r="AX94" s="77"/>
      <c r="AY94" s="77"/>
      <c r="AZ94" s="77"/>
    </row>
    <row r="95" spans="4:52" ht="15" customHeight="1" x14ac:dyDescent="0.25">
      <c r="D95" s="7"/>
      <c r="E95" s="7"/>
      <c r="F95" s="7"/>
      <c r="G95" s="7"/>
      <c r="H95" s="7"/>
      <c r="I95" s="7"/>
      <c r="J95" s="12"/>
      <c r="K95" s="7"/>
      <c r="L95" s="7"/>
      <c r="M95" s="7"/>
      <c r="N95" s="7"/>
      <c r="O95" s="7"/>
      <c r="P95" s="7"/>
      <c r="Y95" s="58">
        <v>288.61</v>
      </c>
      <c r="Z95" s="54">
        <v>44854</v>
      </c>
      <c r="AA95" s="1">
        <v>288.61</v>
      </c>
      <c r="AB95" s="1">
        <v>11</v>
      </c>
      <c r="AC95" s="1">
        <v>715</v>
      </c>
      <c r="AD95" s="1">
        <v>-529</v>
      </c>
      <c r="AE95" s="103" t="str">
        <f t="shared" si="15"/>
        <v/>
      </c>
      <c r="AF95" s="104" t="str">
        <f t="shared" si="16"/>
        <v/>
      </c>
      <c r="AG95" s="105" t="str">
        <f t="shared" si="17"/>
        <v/>
      </c>
      <c r="AK95" s="99">
        <v>240</v>
      </c>
      <c r="AL95" s="57" t="str">
        <f t="shared" ref="AL95:AL113" si="18">LEFT(AK95,3)</f>
        <v>240</v>
      </c>
      <c r="AM95" s="74"/>
      <c r="AN95" s="77"/>
      <c r="AO95" s="77"/>
      <c r="AP95" s="77"/>
      <c r="AQ95" s="77"/>
      <c r="AR95" s="77"/>
      <c r="AS95" s="77"/>
      <c r="AT95" s="64"/>
      <c r="AU95" s="77"/>
      <c r="AV95" s="77"/>
      <c r="AW95" s="77"/>
      <c r="AX95" s="77"/>
      <c r="AY95" s="77"/>
      <c r="AZ95" s="77"/>
    </row>
    <row r="96" spans="4:52" ht="15" customHeight="1" x14ac:dyDescent="0.25">
      <c r="D96" s="7"/>
      <c r="E96" s="7"/>
      <c r="F96" s="7"/>
      <c r="G96" s="7"/>
      <c r="H96" s="7"/>
      <c r="I96" s="7"/>
      <c r="J96" s="12"/>
      <c r="K96" s="7"/>
      <c r="L96" s="7"/>
      <c r="M96" s="7"/>
      <c r="N96" s="7"/>
      <c r="O96" s="7"/>
      <c r="P96" s="7"/>
      <c r="Y96" s="58">
        <v>291.29000000000002</v>
      </c>
      <c r="Z96" s="54">
        <v>44853</v>
      </c>
      <c r="AA96" s="1">
        <v>291.29000000000002</v>
      </c>
      <c r="AB96" s="1">
        <v>-1926</v>
      </c>
      <c r="AC96" s="1">
        <v>1671</v>
      </c>
      <c r="AD96" s="1">
        <v>149</v>
      </c>
      <c r="AE96" s="103" t="str">
        <f t="shared" si="15"/>
        <v/>
      </c>
      <c r="AF96" s="104" t="str">
        <f t="shared" si="16"/>
        <v/>
      </c>
      <c r="AG96" s="105" t="str">
        <f t="shared" si="17"/>
        <v/>
      </c>
      <c r="AK96" s="99">
        <v>237.5</v>
      </c>
      <c r="AL96" s="57" t="str">
        <f t="shared" si="18"/>
        <v>237</v>
      </c>
      <c r="AM96" s="74"/>
      <c r="AN96" s="77"/>
      <c r="AO96" s="77"/>
      <c r="AP96" s="77"/>
      <c r="AQ96" s="77"/>
      <c r="AR96" s="77"/>
      <c r="AS96" s="77"/>
      <c r="AT96" s="64"/>
      <c r="AU96" s="77"/>
      <c r="AV96" s="77"/>
      <c r="AW96" s="77"/>
      <c r="AX96" s="77"/>
      <c r="AY96" s="77"/>
      <c r="AZ96" s="77"/>
    </row>
    <row r="97" spans="4:52" ht="15" customHeight="1" x14ac:dyDescent="0.25">
      <c r="D97" s="7"/>
      <c r="E97" s="7"/>
      <c r="F97" s="7"/>
      <c r="G97" s="7"/>
      <c r="H97" s="7"/>
      <c r="I97" s="7"/>
      <c r="J97" s="12"/>
      <c r="K97" s="7"/>
      <c r="L97" s="7"/>
      <c r="M97" s="7"/>
      <c r="N97" s="7"/>
      <c r="O97" s="7"/>
      <c r="P97" s="7"/>
      <c r="Y97" s="58">
        <v>293.58999999999997</v>
      </c>
      <c r="Z97" s="54">
        <v>44852</v>
      </c>
      <c r="AA97" s="1">
        <v>293.58999999999997</v>
      </c>
      <c r="AB97" s="1">
        <v>-5727</v>
      </c>
      <c r="AC97" s="1">
        <v>631</v>
      </c>
      <c r="AD97" s="1">
        <v>5019</v>
      </c>
      <c r="AE97" s="103" t="str">
        <f t="shared" si="15"/>
        <v/>
      </c>
      <c r="AF97" s="104" t="str">
        <f t="shared" si="16"/>
        <v/>
      </c>
      <c r="AG97" s="105" t="str">
        <f t="shared" si="17"/>
        <v/>
      </c>
      <c r="AK97" s="99">
        <v>235</v>
      </c>
      <c r="AL97" s="57" t="str">
        <f t="shared" si="18"/>
        <v>235</v>
      </c>
      <c r="AM97" s="74"/>
      <c r="AN97" s="77"/>
      <c r="AO97" s="77"/>
      <c r="AP97" s="77"/>
      <c r="AQ97" s="77"/>
      <c r="AR97" s="77"/>
      <c r="AS97" s="77"/>
      <c r="AT97" s="64"/>
      <c r="AU97" s="77"/>
      <c r="AV97" s="77"/>
      <c r="AW97" s="77"/>
      <c r="AX97" s="77"/>
      <c r="AY97" s="77"/>
      <c r="AZ97" s="77"/>
    </row>
    <row r="98" spans="4:52" ht="15" customHeight="1" x14ac:dyDescent="0.25">
      <c r="D98" s="7"/>
      <c r="E98" s="7"/>
      <c r="F98" s="7"/>
      <c r="G98" s="7"/>
      <c r="H98" s="7"/>
      <c r="I98" s="7"/>
      <c r="J98" s="12"/>
      <c r="K98" s="7"/>
      <c r="L98" s="7"/>
      <c r="M98" s="7"/>
      <c r="N98" s="7"/>
      <c r="O98" s="7"/>
      <c r="P98" s="7"/>
      <c r="Y98" s="58">
        <v>289.57</v>
      </c>
      <c r="Z98" s="54">
        <v>44851</v>
      </c>
      <c r="AA98" s="1">
        <v>289.57</v>
      </c>
      <c r="AB98" s="1">
        <v>2397</v>
      </c>
      <c r="AC98" s="1">
        <v>937</v>
      </c>
      <c r="AD98" s="1">
        <v>-2997</v>
      </c>
      <c r="AE98" s="103" t="str">
        <f t="shared" si="15"/>
        <v/>
      </c>
      <c r="AF98" s="104" t="str">
        <f t="shared" si="16"/>
        <v/>
      </c>
      <c r="AG98" s="105" t="str">
        <f t="shared" si="17"/>
        <v/>
      </c>
      <c r="AK98" s="99">
        <v>232.5</v>
      </c>
      <c r="AL98" s="57" t="str">
        <f t="shared" si="18"/>
        <v>232</v>
      </c>
      <c r="AM98" s="74"/>
      <c r="AN98" s="77"/>
      <c r="AO98" s="77"/>
      <c r="AP98" s="77"/>
      <c r="AQ98" s="77"/>
      <c r="AR98" s="77"/>
      <c r="AS98" s="77"/>
      <c r="AT98" s="64"/>
      <c r="AU98" s="77"/>
      <c r="AV98" s="77"/>
      <c r="AW98" s="77"/>
      <c r="AX98" s="77"/>
      <c r="AY98" s="77"/>
      <c r="AZ98" s="77"/>
    </row>
    <row r="99" spans="4:52" ht="15" customHeight="1" x14ac:dyDescent="0.25">
      <c r="D99" s="7"/>
      <c r="E99" s="7"/>
      <c r="F99" s="7"/>
      <c r="G99" s="7"/>
      <c r="H99" s="7"/>
      <c r="I99" s="7"/>
      <c r="J99" s="12"/>
      <c r="K99" s="7"/>
      <c r="L99" s="7"/>
      <c r="M99" s="7"/>
      <c r="N99" s="7"/>
      <c r="O99" s="7"/>
      <c r="P99" s="7"/>
      <c r="Y99" s="58">
        <v>289.36</v>
      </c>
      <c r="Z99" s="54">
        <v>44848</v>
      </c>
      <c r="AA99" s="1">
        <v>289.36</v>
      </c>
      <c r="AB99" s="1">
        <v>4016</v>
      </c>
      <c r="AC99" s="1">
        <v>-6653</v>
      </c>
      <c r="AD99" s="1">
        <v>3052</v>
      </c>
      <c r="AE99" s="103" t="str">
        <f t="shared" si="15"/>
        <v/>
      </c>
      <c r="AF99" s="104" t="str">
        <f t="shared" si="16"/>
        <v/>
      </c>
      <c r="AG99" s="105" t="str">
        <f t="shared" si="17"/>
        <v/>
      </c>
      <c r="AK99" s="99">
        <v>230</v>
      </c>
      <c r="AL99" s="57" t="str">
        <f t="shared" si="18"/>
        <v>230</v>
      </c>
      <c r="AM99" s="74"/>
      <c r="AN99" s="77"/>
      <c r="AO99" s="77"/>
      <c r="AP99" s="77"/>
      <c r="AQ99" s="77"/>
      <c r="AR99" s="77"/>
      <c r="AS99" s="77"/>
      <c r="AT99" s="64"/>
      <c r="AU99" s="77"/>
      <c r="AV99" s="77"/>
      <c r="AW99" s="77"/>
      <c r="AX99" s="77"/>
      <c r="AY99" s="77"/>
      <c r="AZ99" s="77"/>
    </row>
    <row r="100" spans="4:52" ht="15" customHeight="1" x14ac:dyDescent="0.25">
      <c r="D100" s="7"/>
      <c r="E100" s="7"/>
      <c r="F100" s="7"/>
      <c r="G100" s="7"/>
      <c r="H100" s="7"/>
      <c r="I100" s="7"/>
      <c r="J100" s="12"/>
      <c r="K100" s="7"/>
      <c r="L100" s="7"/>
      <c r="M100" s="7"/>
      <c r="N100" s="7"/>
      <c r="O100" s="7"/>
      <c r="P100" s="7"/>
      <c r="Y100" s="58">
        <v>282.57</v>
      </c>
      <c r="Z100" s="54">
        <v>44847</v>
      </c>
      <c r="AA100" s="1">
        <v>282.57</v>
      </c>
      <c r="AB100" s="1">
        <v>-16495</v>
      </c>
      <c r="AC100" s="1">
        <v>8521</v>
      </c>
      <c r="AD100" s="1">
        <v>5802</v>
      </c>
      <c r="AE100" s="103" t="str">
        <f t="shared" si="15"/>
        <v/>
      </c>
      <c r="AF100" s="104" t="str">
        <f t="shared" si="16"/>
        <v/>
      </c>
      <c r="AG100" s="105" t="str">
        <f t="shared" si="17"/>
        <v/>
      </c>
      <c r="AK100" s="99">
        <v>227.5</v>
      </c>
      <c r="AL100" s="57" t="str">
        <f t="shared" si="18"/>
        <v>227</v>
      </c>
      <c r="AM100" s="74"/>
      <c r="AN100" s="77"/>
      <c r="AO100" s="77"/>
      <c r="AP100" s="77"/>
      <c r="AQ100" s="77"/>
      <c r="AR100" s="77"/>
      <c r="AS100" s="77"/>
      <c r="AT100" s="64"/>
      <c r="AU100" s="77"/>
      <c r="AV100" s="77"/>
      <c r="AW100" s="77"/>
      <c r="AX100" s="77"/>
      <c r="AY100" s="77"/>
      <c r="AZ100" s="77"/>
    </row>
    <row r="101" spans="4:52" ht="15" customHeight="1" x14ac:dyDescent="0.25">
      <c r="D101" s="7"/>
      <c r="E101" s="7"/>
      <c r="F101" s="7"/>
      <c r="G101" s="7"/>
      <c r="H101" s="7"/>
      <c r="I101" s="7"/>
      <c r="J101" s="12"/>
      <c r="K101" s="7"/>
      <c r="L101" s="7"/>
      <c r="M101" s="7"/>
      <c r="N101" s="7"/>
      <c r="O101" s="7"/>
      <c r="P101" s="7"/>
      <c r="Y101" s="58">
        <v>287.08999999999997</v>
      </c>
      <c r="Z101" s="54">
        <v>44846</v>
      </c>
      <c r="AA101" s="1">
        <v>287.08999999999997</v>
      </c>
      <c r="AB101" s="1">
        <v>-2074</v>
      </c>
      <c r="AC101" s="1">
        <v>-1599</v>
      </c>
      <c r="AD101" s="1">
        <v>3722</v>
      </c>
      <c r="AE101" s="103" t="str">
        <f t="shared" si="15"/>
        <v/>
      </c>
      <c r="AF101" s="104" t="str">
        <f t="shared" si="16"/>
        <v/>
      </c>
      <c r="AG101" s="105" t="str">
        <f t="shared" si="17"/>
        <v/>
      </c>
      <c r="AK101" s="99">
        <v>225</v>
      </c>
      <c r="AL101" s="57" t="str">
        <f t="shared" si="18"/>
        <v>225</v>
      </c>
      <c r="AM101" s="74"/>
      <c r="AN101" s="77"/>
      <c r="AO101" s="77"/>
      <c r="AP101" s="77"/>
      <c r="AQ101" s="77"/>
      <c r="AR101" s="77"/>
      <c r="AS101" s="77"/>
      <c r="AT101" s="64"/>
      <c r="AU101" s="77"/>
      <c r="AV101" s="77"/>
      <c r="AW101" s="77"/>
      <c r="AX101" s="77"/>
      <c r="AY101" s="77"/>
      <c r="AZ101" s="77"/>
    </row>
    <row r="102" spans="4:52" ht="15" customHeight="1" x14ac:dyDescent="0.25">
      <c r="D102" s="7"/>
      <c r="E102" s="7"/>
      <c r="F102" s="7"/>
      <c r="G102" s="7"/>
      <c r="H102" s="7"/>
      <c r="I102" s="7"/>
      <c r="J102" s="12"/>
      <c r="K102" s="7"/>
      <c r="L102" s="7"/>
      <c r="M102" s="7"/>
      <c r="N102" s="7"/>
      <c r="O102" s="7"/>
      <c r="P102" s="7"/>
      <c r="Y102" s="58">
        <v>284.95999999999998</v>
      </c>
      <c r="Z102" s="54">
        <v>44845</v>
      </c>
      <c r="AA102" s="1">
        <v>284.95999999999998</v>
      </c>
      <c r="AB102" s="1">
        <v>3708</v>
      </c>
      <c r="AC102" s="1">
        <v>-1422</v>
      </c>
      <c r="AD102" s="1">
        <v>-1524</v>
      </c>
      <c r="AE102" s="103" t="str">
        <f t="shared" si="15"/>
        <v/>
      </c>
      <c r="AF102" s="104" t="str">
        <f t="shared" si="16"/>
        <v/>
      </c>
      <c r="AG102" s="105" t="str">
        <f t="shared" si="17"/>
        <v/>
      </c>
      <c r="AK102" s="99">
        <v>222.5</v>
      </c>
      <c r="AL102" s="57" t="str">
        <f t="shared" si="18"/>
        <v>222</v>
      </c>
      <c r="AM102" s="74"/>
      <c r="AN102" s="77"/>
      <c r="AO102" s="77"/>
      <c r="AP102" s="77"/>
      <c r="AQ102" s="77"/>
      <c r="AR102" s="77"/>
      <c r="AS102" s="77"/>
      <c r="AT102" s="64"/>
      <c r="AU102" s="77"/>
      <c r="AV102" s="77"/>
      <c r="AW102" s="77"/>
      <c r="AX102" s="77"/>
      <c r="AY102" s="77"/>
      <c r="AZ102" s="77"/>
    </row>
    <row r="103" spans="4:52" ht="15" customHeight="1" x14ac:dyDescent="0.25">
      <c r="D103" s="7"/>
      <c r="E103" s="7"/>
      <c r="F103" s="7"/>
      <c r="G103" s="7"/>
      <c r="H103" s="7"/>
      <c r="I103" s="7"/>
      <c r="J103" s="12"/>
      <c r="K103" s="7"/>
      <c r="L103" s="7"/>
      <c r="M103" s="7"/>
      <c r="N103" s="7"/>
      <c r="O103" s="7"/>
      <c r="P103" s="7"/>
      <c r="Y103" s="58">
        <v>290.41000000000003</v>
      </c>
      <c r="Z103" s="54">
        <v>44841</v>
      </c>
      <c r="AA103" s="1">
        <v>290.41000000000003</v>
      </c>
      <c r="AB103" s="1">
        <v>3359</v>
      </c>
      <c r="AC103" s="1">
        <v>873</v>
      </c>
      <c r="AD103" s="1">
        <v>-4319</v>
      </c>
      <c r="AE103" s="108" t="str">
        <f t="shared" si="15"/>
        <v/>
      </c>
      <c r="AF103" s="107" t="str">
        <f t="shared" si="16"/>
        <v/>
      </c>
      <c r="AG103" s="109" t="str">
        <f t="shared" si="17"/>
        <v/>
      </c>
      <c r="AK103" s="99">
        <v>220</v>
      </c>
      <c r="AL103" s="57" t="str">
        <f t="shared" si="18"/>
        <v>220</v>
      </c>
      <c r="AM103" s="74"/>
      <c r="AN103" s="77"/>
      <c r="AO103" s="77"/>
      <c r="AP103" s="77"/>
      <c r="AQ103" s="77"/>
      <c r="AR103" s="77"/>
      <c r="AS103" s="77"/>
      <c r="AT103" s="64"/>
      <c r="AU103" s="77"/>
      <c r="AV103" s="77"/>
      <c r="AW103" s="77"/>
      <c r="AX103" s="77"/>
      <c r="AY103" s="77"/>
      <c r="AZ103" s="77"/>
    </row>
    <row r="104" spans="4:52" ht="15" customHeight="1" thickBot="1" x14ac:dyDescent="0.3">
      <c r="D104" s="7"/>
      <c r="E104" s="7"/>
      <c r="F104" s="7"/>
      <c r="G104" s="7"/>
      <c r="H104" s="7"/>
      <c r="I104" s="7"/>
      <c r="J104" s="12"/>
      <c r="K104" s="7"/>
      <c r="L104" s="7"/>
      <c r="M104" s="7"/>
      <c r="N104" s="7"/>
      <c r="O104" s="7"/>
      <c r="P104" s="7"/>
      <c r="AI104" s="58"/>
      <c r="AJ104" s="58"/>
      <c r="AK104" s="99">
        <v>217.5</v>
      </c>
      <c r="AL104" s="57" t="str">
        <f t="shared" si="18"/>
        <v>217</v>
      </c>
      <c r="AM104" s="74"/>
      <c r="AN104" s="77"/>
      <c r="AO104" s="77"/>
      <c r="AP104" s="77"/>
      <c r="AQ104" s="77"/>
      <c r="AR104" s="77"/>
      <c r="AS104" s="77"/>
      <c r="AT104" s="64"/>
      <c r="AU104" s="77"/>
      <c r="AV104" s="77"/>
      <c r="AW104" s="77"/>
      <c r="AX104" s="77"/>
      <c r="AY104" s="77"/>
      <c r="AZ104" s="77"/>
    </row>
    <row r="105" spans="4:52" ht="15" customHeight="1" thickBot="1" x14ac:dyDescent="0.3">
      <c r="D105" s="7"/>
      <c r="E105" s="7"/>
      <c r="F105" s="7"/>
      <c r="G105" s="7"/>
      <c r="H105" s="7"/>
      <c r="I105" s="7"/>
      <c r="J105" s="12"/>
      <c r="K105" s="7"/>
      <c r="L105" s="7"/>
      <c r="M105" s="7"/>
      <c r="N105" s="7"/>
      <c r="O105" s="7"/>
      <c r="P105" s="7"/>
      <c r="Y105" s="1" t="s">
        <v>61</v>
      </c>
      <c r="AA105" s="110" t="s">
        <v>57</v>
      </c>
      <c r="AB105" s="111" t="s">
        <v>58</v>
      </c>
      <c r="AC105" s="112" t="s">
        <v>59</v>
      </c>
      <c r="AI105" s="58"/>
      <c r="AJ105" s="58"/>
      <c r="AK105" s="99">
        <v>215</v>
      </c>
      <c r="AL105" s="57" t="str">
        <f t="shared" si="18"/>
        <v>215</v>
      </c>
      <c r="AM105" s="74"/>
      <c r="AN105" s="77"/>
      <c r="AO105" s="77"/>
      <c r="AP105" s="77"/>
      <c r="AQ105" s="77"/>
      <c r="AR105" s="77"/>
      <c r="AS105" s="77"/>
      <c r="AT105" s="64"/>
      <c r="AU105" s="77"/>
      <c r="AV105" s="77"/>
      <c r="AW105" s="77"/>
      <c r="AX105" s="77"/>
      <c r="AY105" s="77"/>
      <c r="AZ105" s="77"/>
    </row>
    <row r="106" spans="4:52" ht="15" customHeight="1" x14ac:dyDescent="0.25">
      <c r="D106" s="7"/>
      <c r="E106" s="7"/>
      <c r="F106" s="7"/>
      <c r="G106" s="7"/>
      <c r="H106" s="7"/>
      <c r="I106" s="7"/>
      <c r="J106" s="12"/>
      <c r="K106" s="7"/>
      <c r="L106" s="7"/>
      <c r="M106" s="7"/>
      <c r="N106" s="7"/>
      <c r="O106" s="7"/>
      <c r="P106" s="7"/>
      <c r="Y106" s="1">
        <f>IF(AA34="",Y34,NA())</f>
        <v>316.04000000000002</v>
      </c>
      <c r="Z106" s="54">
        <f>IF(AA34="",Z34,NA())</f>
        <v>44942</v>
      </c>
      <c r="AA106" s="113" t="e">
        <f>IF(SUM(AE34:$AE$103)=0,NA(),SUM(AE34:$AE$103))</f>
        <v>#N/A</v>
      </c>
      <c r="AB106" s="70" t="e">
        <f>IF(SUM(AF34:$AF$103)=0,NA(),SUM(AF34:$AF$103))</f>
        <v>#N/A</v>
      </c>
      <c r="AC106" s="73" t="e">
        <f>IF(SUM(AG34:$AG$103)=0,NA(),SUM(AG34:$AG$103))</f>
        <v>#N/A</v>
      </c>
      <c r="AI106" s="58"/>
      <c r="AJ106" s="58"/>
      <c r="AK106" s="99">
        <v>212.5</v>
      </c>
      <c r="AL106" s="57" t="str">
        <f t="shared" si="18"/>
        <v>212</v>
      </c>
      <c r="AM106" s="74"/>
      <c r="AN106" s="77"/>
      <c r="AO106" s="77"/>
      <c r="AP106" s="77"/>
      <c r="AQ106" s="77"/>
      <c r="AR106" s="77"/>
      <c r="AS106" s="77"/>
      <c r="AT106" s="64"/>
      <c r="AU106" s="77"/>
      <c r="AV106" s="77"/>
      <c r="AW106" s="77"/>
      <c r="AX106" s="77"/>
      <c r="AY106" s="77"/>
      <c r="AZ106" s="77"/>
    </row>
    <row r="107" spans="4:52" ht="15" customHeight="1" x14ac:dyDescent="0.25">
      <c r="D107" s="7"/>
      <c r="E107" s="7"/>
      <c r="F107" s="7"/>
      <c r="G107" s="7"/>
      <c r="H107" s="7"/>
      <c r="I107" s="7"/>
      <c r="J107" s="12"/>
      <c r="K107" s="7"/>
      <c r="L107" s="7"/>
      <c r="M107" s="7"/>
      <c r="N107" s="7"/>
      <c r="O107" s="7"/>
      <c r="P107" s="7"/>
      <c r="Y107" s="58">
        <f t="shared" ref="Y107:Y170" si="19">IF(AA35="",Y35,NA())</f>
        <v>313.77</v>
      </c>
      <c r="Z107" s="54">
        <f t="shared" ref="Z107:Z170" si="20">IF(AA35="",Z35,NA())</f>
        <v>44939</v>
      </c>
      <c r="AA107" s="83" t="e">
        <f>IF(SUM(AE35:$AE$103)=0,NA(),SUM(AE35:$AE$103))</f>
        <v>#N/A</v>
      </c>
      <c r="AB107" s="104" t="e">
        <f>IF(SUM(AF35:$AF$103)=0,NA(),SUM(AF35:$AF$103))</f>
        <v>#N/A</v>
      </c>
      <c r="AC107" s="114" t="e">
        <f>IF(SUM(AG35:$AG$103)=0,NA(),SUM(AG35:$AG$103))</f>
        <v>#N/A</v>
      </c>
      <c r="AI107" s="58"/>
      <c r="AJ107" s="58"/>
      <c r="AK107" s="99">
        <v>210</v>
      </c>
      <c r="AL107" s="57" t="str">
        <f t="shared" si="18"/>
        <v>210</v>
      </c>
      <c r="AM107" s="74"/>
      <c r="AN107" s="77"/>
      <c r="AO107" s="77"/>
      <c r="AP107" s="77"/>
      <c r="AQ107" s="77"/>
      <c r="AR107" s="77"/>
      <c r="AS107" s="77"/>
      <c r="AT107" s="64"/>
      <c r="AU107" s="77"/>
      <c r="AV107" s="77"/>
      <c r="AW107" s="77"/>
      <c r="AX107" s="77"/>
      <c r="AY107" s="77"/>
      <c r="AZ107" s="77"/>
    </row>
    <row r="108" spans="4:52" ht="15" customHeight="1" x14ac:dyDescent="0.25">
      <c r="D108" s="7"/>
      <c r="E108" s="7"/>
      <c r="F108" s="7"/>
      <c r="G108" s="7"/>
      <c r="H108" s="7"/>
      <c r="I108" s="7"/>
      <c r="J108" s="12"/>
      <c r="K108" s="7"/>
      <c r="L108" s="7"/>
      <c r="M108" s="7"/>
      <c r="N108" s="7"/>
      <c r="O108" s="7"/>
      <c r="P108" s="7"/>
      <c r="Y108" s="58">
        <f t="shared" si="19"/>
        <v>310.7</v>
      </c>
      <c r="Z108" s="54">
        <f t="shared" si="20"/>
        <v>44938</v>
      </c>
      <c r="AA108" s="83" t="e">
        <f>IF(SUM(AE36:$AE$103)=0,NA(),SUM(AE36:$AE$103))</f>
        <v>#N/A</v>
      </c>
      <c r="AB108" s="104" t="e">
        <f>IF(SUM(AF36:$AF$103)=0,NA(),SUM(AF36:$AF$103))</f>
        <v>#N/A</v>
      </c>
      <c r="AC108" s="114" t="e">
        <f>IF(SUM(AG36:$AG$103)=0,NA(),SUM(AG36:$AG$103))</f>
        <v>#N/A</v>
      </c>
      <c r="AI108" s="58"/>
      <c r="AJ108" s="58"/>
      <c r="AK108" s="99">
        <v>207.5</v>
      </c>
      <c r="AL108" s="57" t="str">
        <f t="shared" si="18"/>
        <v>207</v>
      </c>
      <c r="AM108" s="74"/>
      <c r="AN108" s="77"/>
      <c r="AO108" s="77"/>
      <c r="AP108" s="77"/>
      <c r="AQ108" s="77"/>
      <c r="AR108" s="77"/>
      <c r="AS108" s="77"/>
      <c r="AT108" s="64"/>
      <c r="AU108" s="77"/>
      <c r="AV108" s="77"/>
      <c r="AW108" s="77"/>
      <c r="AX108" s="77"/>
      <c r="AY108" s="77"/>
      <c r="AZ108" s="77"/>
    </row>
    <row r="109" spans="4:52" ht="15" customHeight="1" x14ac:dyDescent="0.25">
      <c r="D109" s="7"/>
      <c r="E109" s="7"/>
      <c r="F109" s="7"/>
      <c r="G109" s="7"/>
      <c r="H109" s="7"/>
      <c r="I109" s="7"/>
      <c r="J109" s="12"/>
      <c r="K109" s="7"/>
      <c r="L109" s="7"/>
      <c r="M109" s="7"/>
      <c r="N109" s="7"/>
      <c r="O109" s="7"/>
      <c r="P109" s="7"/>
      <c r="Y109" s="58">
        <f t="shared" si="19"/>
        <v>310.38</v>
      </c>
      <c r="Z109" s="54">
        <f t="shared" si="20"/>
        <v>44937</v>
      </c>
      <c r="AA109" s="83" t="e">
        <f>IF(SUM(AE37:$AE$103)=0,NA(),SUM(AE37:$AE$103))</f>
        <v>#N/A</v>
      </c>
      <c r="AB109" s="104" t="e">
        <f>IF(SUM(AF37:$AF$103)=0,NA(),SUM(AF37:$AF$103))</f>
        <v>#N/A</v>
      </c>
      <c r="AC109" s="114" t="e">
        <f>IF(SUM(AG37:$AG$103)=0,NA(),SUM(AG37:$AG$103))</f>
        <v>#N/A</v>
      </c>
      <c r="AI109" s="58"/>
      <c r="AJ109" s="58"/>
      <c r="AK109" s="99">
        <v>205</v>
      </c>
      <c r="AL109" s="57" t="str">
        <f t="shared" si="18"/>
        <v>205</v>
      </c>
      <c r="AM109" s="74"/>
      <c r="AN109" s="77"/>
      <c r="AO109" s="77"/>
      <c r="AP109" s="77"/>
      <c r="AQ109" s="77"/>
      <c r="AR109" s="77"/>
      <c r="AS109" s="77"/>
      <c r="AT109" s="64"/>
      <c r="AU109" s="77"/>
      <c r="AV109" s="77"/>
      <c r="AW109" s="77"/>
      <c r="AX109" s="77"/>
      <c r="AY109" s="77"/>
      <c r="AZ109" s="77"/>
    </row>
    <row r="110" spans="4:52" ht="15" customHeight="1" x14ac:dyDescent="0.25">
      <c r="D110" s="7"/>
      <c r="E110" s="7"/>
      <c r="F110" s="7"/>
      <c r="G110" s="7"/>
      <c r="H110" s="7"/>
      <c r="I110" s="7"/>
      <c r="J110" s="12"/>
      <c r="K110" s="7"/>
      <c r="L110" s="7"/>
      <c r="M110" s="7"/>
      <c r="N110" s="7"/>
      <c r="O110" s="7"/>
      <c r="P110" s="7"/>
      <c r="Y110" s="58">
        <f t="shared" si="19"/>
        <v>309.57</v>
      </c>
      <c r="Z110" s="54">
        <f t="shared" si="20"/>
        <v>44936</v>
      </c>
      <c r="AA110" s="83" t="e">
        <f>IF(SUM(AE38:$AE$103)=0,NA(),SUM(AE38:$AE$103))</f>
        <v>#N/A</v>
      </c>
      <c r="AB110" s="104" t="e">
        <f>IF(SUM(AF38:$AF$103)=0,NA(),SUM(AF38:$AF$103))</f>
        <v>#N/A</v>
      </c>
      <c r="AC110" s="114" t="e">
        <f>IF(SUM(AG38:$AG$103)=0,NA(),SUM(AG38:$AG$103))</f>
        <v>#N/A</v>
      </c>
      <c r="AI110" s="58"/>
      <c r="AJ110" s="58"/>
      <c r="AK110" s="99">
        <v>202.5</v>
      </c>
      <c r="AL110" s="57" t="str">
        <f t="shared" si="18"/>
        <v>202</v>
      </c>
      <c r="AM110" s="74"/>
      <c r="AN110" s="77"/>
      <c r="AO110" s="77"/>
      <c r="AP110" s="77"/>
      <c r="AQ110" s="77"/>
      <c r="AR110" s="77"/>
      <c r="AS110" s="77"/>
      <c r="AT110" s="64"/>
      <c r="AU110" s="77"/>
      <c r="AV110" s="77"/>
      <c r="AW110" s="77"/>
      <c r="AX110" s="77"/>
      <c r="AY110" s="77"/>
      <c r="AZ110" s="77"/>
    </row>
    <row r="111" spans="4:52" ht="15" customHeight="1" x14ac:dyDescent="0.25">
      <c r="Y111" s="58">
        <f t="shared" si="19"/>
        <v>309.69</v>
      </c>
      <c r="Z111" s="54">
        <f t="shared" si="20"/>
        <v>44935</v>
      </c>
      <c r="AA111" s="83" t="e">
        <f>IF(SUM(AE39:$AE$103)=0,NA(),SUM(AE39:$AE$103))</f>
        <v>#N/A</v>
      </c>
      <c r="AB111" s="104" t="e">
        <f>IF(SUM(AF39:$AF$103)=0,NA(),SUM(AF39:$AF$103))</f>
        <v>#N/A</v>
      </c>
      <c r="AC111" s="114" t="e">
        <f>IF(SUM(AG39:$AG$103)=0,NA(),SUM(AG39:$AG$103))</f>
        <v>#N/A</v>
      </c>
      <c r="AI111" s="58"/>
      <c r="AJ111" s="58"/>
      <c r="AK111" s="99">
        <v>200</v>
      </c>
      <c r="AL111" s="57" t="str">
        <f t="shared" si="18"/>
        <v>200</v>
      </c>
      <c r="AM111" s="74"/>
      <c r="AN111" s="77"/>
      <c r="AO111" s="77"/>
      <c r="AP111" s="77"/>
      <c r="AQ111" s="77"/>
      <c r="AR111" s="77"/>
      <c r="AS111" s="77"/>
      <c r="AT111" s="64"/>
      <c r="AU111" s="77"/>
      <c r="AV111" s="77"/>
      <c r="AW111" s="77"/>
      <c r="AX111" s="77"/>
      <c r="AY111" s="77"/>
      <c r="AZ111" s="77"/>
    </row>
    <row r="112" spans="4:52" ht="15" customHeight="1" x14ac:dyDescent="0.25">
      <c r="Y112" s="58">
        <f t="shared" si="19"/>
        <v>301.52999999999997</v>
      </c>
      <c r="Z112" s="54">
        <f t="shared" si="20"/>
        <v>44932</v>
      </c>
      <c r="AA112" s="83" t="e">
        <f>IF(SUM(AE40:$AE$103)=0,NA(),SUM(AE40:$AE$103))</f>
        <v>#N/A</v>
      </c>
      <c r="AB112" s="104" t="e">
        <f>IF(SUM(AF40:$AF$103)=0,NA(),SUM(AF40:$AF$103))</f>
        <v>#N/A</v>
      </c>
      <c r="AC112" s="114" t="e">
        <f>IF(SUM(AG40:$AG$103)=0,NA(),SUM(AG40:$AG$103))</f>
        <v>#N/A</v>
      </c>
      <c r="AI112" s="58"/>
      <c r="AJ112" s="58"/>
      <c r="AK112" s="99">
        <v>197.5</v>
      </c>
      <c r="AL112" s="57" t="str">
        <f t="shared" si="18"/>
        <v>197</v>
      </c>
      <c r="AM112" s="74"/>
      <c r="AN112" s="77"/>
      <c r="AO112" s="77"/>
      <c r="AP112" s="77"/>
      <c r="AQ112" s="77"/>
      <c r="AR112" s="77"/>
      <c r="AS112" s="77"/>
      <c r="AT112" s="64"/>
      <c r="AU112" s="77"/>
      <c r="AV112" s="77"/>
      <c r="AW112" s="77"/>
      <c r="AX112" s="77"/>
      <c r="AY112" s="77"/>
      <c r="AZ112" s="77"/>
    </row>
    <row r="113" spans="25:406" ht="15" customHeight="1" thickBot="1" x14ac:dyDescent="0.3">
      <c r="Y113" s="58">
        <f t="shared" si="19"/>
        <v>297.87</v>
      </c>
      <c r="Z113" s="54">
        <f t="shared" si="20"/>
        <v>44931</v>
      </c>
      <c r="AA113" s="83" t="e">
        <f>IF(SUM(AE41:$AE$103)=0,NA(),SUM(AE41:$AE$103))</f>
        <v>#N/A</v>
      </c>
      <c r="AB113" s="104" t="e">
        <f>IF(SUM(AF41:$AF$103)=0,NA(),SUM(AF41:$AF$103))</f>
        <v>#N/A</v>
      </c>
      <c r="AC113" s="114" t="e">
        <f>IF(SUM(AG41:$AG$103)=0,NA(),SUM(AG41:$AG$103))</f>
        <v>#N/A</v>
      </c>
      <c r="AI113" s="58"/>
      <c r="AJ113" s="58"/>
      <c r="AK113" s="115">
        <v>195</v>
      </c>
      <c r="AL113" s="57" t="str">
        <f t="shared" si="18"/>
        <v>195</v>
      </c>
      <c r="AM113" s="74"/>
      <c r="AN113" s="77"/>
      <c r="AO113" s="77"/>
      <c r="AP113" s="77"/>
      <c r="AQ113" s="77"/>
      <c r="AR113" s="77"/>
      <c r="AS113" s="77"/>
      <c r="AT113" s="64"/>
      <c r="AU113" s="77"/>
      <c r="AV113" s="77"/>
      <c r="AW113" s="77"/>
      <c r="AX113" s="77"/>
      <c r="AY113" s="77"/>
      <c r="AZ113" s="77"/>
    </row>
    <row r="114" spans="25:406" ht="15" customHeight="1" x14ac:dyDescent="0.25">
      <c r="Y114" s="58">
        <f t="shared" si="19"/>
        <v>295.98</v>
      </c>
      <c r="Z114" s="54">
        <f t="shared" si="20"/>
        <v>44930</v>
      </c>
      <c r="AA114" s="83" t="e">
        <f>IF(SUM(AE42:$AE$103)=0,NA(),SUM(AE42:$AE$103))</f>
        <v>#N/A</v>
      </c>
      <c r="AB114" s="104" t="e">
        <f>IF(SUM(AF42:$AF$103)=0,NA(),SUM(AF42:$AF$103))</f>
        <v>#N/A</v>
      </c>
      <c r="AC114" s="114" t="e">
        <f>IF(SUM(AG42:$AG$103)=0,NA(),SUM(AG42:$AG$103))</f>
        <v>#N/A</v>
      </c>
      <c r="AF114" s="116"/>
      <c r="AG114" s="116"/>
    </row>
    <row r="115" spans="25:406" ht="15" customHeight="1" x14ac:dyDescent="0.25">
      <c r="Y115" s="58">
        <f t="shared" si="19"/>
        <v>289.58</v>
      </c>
      <c r="Z115" s="54">
        <f t="shared" si="20"/>
        <v>44929</v>
      </c>
      <c r="AA115" s="83" t="e">
        <f>IF(SUM(AE43:$AE$103)=0,NA(),SUM(AE43:$AE$103))</f>
        <v>#N/A</v>
      </c>
      <c r="AB115" s="104" t="e">
        <f>IF(SUM(AF43:$AF$103)=0,NA(),SUM(AF43:$AF$103))</f>
        <v>#N/A</v>
      </c>
      <c r="AC115" s="114" t="e">
        <f>IF(SUM(AG43:$AG$103)=0,NA(),SUM(AG43:$AG$103))</f>
        <v>#N/A</v>
      </c>
      <c r="AF115" s="58"/>
    </row>
    <row r="116" spans="25:406" ht="15" customHeight="1" x14ac:dyDescent="0.25">
      <c r="Y116" s="58">
        <f t="shared" si="19"/>
        <v>289.79000000000002</v>
      </c>
      <c r="Z116" s="54">
        <f t="shared" si="20"/>
        <v>44928</v>
      </c>
      <c r="AA116" s="83" t="e">
        <f>IF(SUM(AE44:$AE$103)=0,NA(),SUM(AE44:$AE$103))</f>
        <v>#N/A</v>
      </c>
      <c r="AB116" s="104" t="e">
        <f>IF(SUM(AF44:$AF$103)=0,NA(),SUM(AF44:$AF$103))</f>
        <v>#N/A</v>
      </c>
      <c r="AC116" s="114" t="e">
        <f>IF(SUM(AG44:$AG$103)=0,NA(),SUM(AG44:$AG$103))</f>
        <v>#N/A</v>
      </c>
      <c r="AF116" s="116"/>
      <c r="AG116" s="116"/>
      <c r="AK116" s="57" t="str">
        <f>YEAR($V$6)&amp;"-01-01"</f>
        <v>2023-01-01</v>
      </c>
    </row>
    <row r="117" spans="25:406" ht="15" customHeight="1" x14ac:dyDescent="0.25">
      <c r="Y117" s="58">
        <f t="shared" si="19"/>
        <v>291.10000000000002</v>
      </c>
      <c r="Z117" s="54">
        <f t="shared" si="20"/>
        <v>44924</v>
      </c>
      <c r="AA117" s="83" t="e">
        <f>IF(SUM(AE45:$AE$103)=0,NA(),SUM(AE45:$AE$103))</f>
        <v>#N/A</v>
      </c>
      <c r="AB117" s="104" t="e">
        <f>IF(SUM(AF45:$AF$103)=0,NA(),SUM(AF45:$AF$103))</f>
        <v>#N/A</v>
      </c>
      <c r="AC117" s="114" t="e">
        <f>IF(SUM(AG45:$AG$103)=0,NA(),SUM(AG45:$AG$103))</f>
        <v>#N/A</v>
      </c>
      <c r="AF117" s="116"/>
      <c r="AG117" s="116"/>
      <c r="AH117" s="116"/>
      <c r="AK117" s="57" t="str">
        <f>_xll.IMDH("IDX","211",AL117:AL118,AK116,V6,365,"Per=일,sort=A,real=true,Bizday=0,Quote=종가,Pos=20,Orient=H,DtFmt=1,TmFmt=1,unit=true")</f>
        <v>조회[211]</v>
      </c>
      <c r="AL117" s="57" t="s">
        <v>69</v>
      </c>
      <c r="AM117" s="54">
        <v>44928</v>
      </c>
      <c r="AN117" s="54">
        <v>44929</v>
      </c>
      <c r="AO117" s="54">
        <v>44930</v>
      </c>
      <c r="AP117" s="54">
        <v>44931</v>
      </c>
      <c r="AQ117" s="54">
        <v>44932</v>
      </c>
      <c r="AR117" s="54">
        <v>44935</v>
      </c>
      <c r="AS117" s="54">
        <v>44936</v>
      </c>
      <c r="AT117" s="54">
        <v>44937</v>
      </c>
      <c r="AU117" s="54">
        <v>44938</v>
      </c>
      <c r="AV117" s="54">
        <v>44939</v>
      </c>
      <c r="AW117" s="54">
        <v>44942</v>
      </c>
      <c r="AX117" s="54"/>
      <c r="AY117" s="54"/>
      <c r="AZ117" s="54"/>
      <c r="BA117" s="54"/>
      <c r="BB117" s="54"/>
      <c r="BC117" s="54"/>
      <c r="BD117" s="54"/>
      <c r="BE117" s="54"/>
      <c r="BF117" s="54"/>
      <c r="BG117" s="54"/>
      <c r="BH117" s="54"/>
      <c r="BI117" s="54"/>
      <c r="BJ117" s="54"/>
      <c r="BK117" s="54"/>
      <c r="BL117" s="54"/>
      <c r="BM117" s="54"/>
      <c r="BN117" s="54"/>
      <c r="BO117" s="54"/>
      <c r="BP117" s="54"/>
      <c r="BQ117" s="54"/>
      <c r="BR117" s="54"/>
      <c r="BS117" s="54"/>
      <c r="BT117" s="54"/>
      <c r="BU117" s="54"/>
      <c r="BV117" s="54"/>
      <c r="BW117" s="54"/>
      <c r="BX117" s="54"/>
      <c r="BY117" s="54"/>
      <c r="BZ117" s="54"/>
      <c r="CA117" s="54"/>
      <c r="CB117" s="54"/>
      <c r="CC117" s="54"/>
      <c r="CD117" s="54"/>
      <c r="CE117" s="54"/>
      <c r="CF117" s="54"/>
      <c r="CG117" s="54"/>
      <c r="CH117" s="54"/>
      <c r="CI117" s="54"/>
      <c r="CJ117" s="54"/>
      <c r="CK117" s="54"/>
      <c r="CL117" s="54"/>
      <c r="CM117" s="54"/>
      <c r="CN117" s="54"/>
      <c r="CO117" s="54"/>
      <c r="CP117" s="54"/>
      <c r="CQ117" s="54"/>
      <c r="CR117" s="54"/>
      <c r="CS117" s="54"/>
      <c r="CT117" s="54"/>
      <c r="CU117" s="54"/>
      <c r="CV117" s="54"/>
      <c r="CW117" s="54"/>
      <c r="CX117" s="54"/>
      <c r="CY117" s="54"/>
      <c r="CZ117" s="54"/>
      <c r="DA117" s="54"/>
      <c r="DB117" s="54"/>
      <c r="DC117" s="54"/>
      <c r="DD117" s="54"/>
      <c r="DE117" s="54"/>
      <c r="DF117" s="54"/>
      <c r="DG117" s="54"/>
      <c r="DH117" s="54"/>
      <c r="DI117" s="54"/>
      <c r="DJ117" s="54"/>
      <c r="DK117" s="54"/>
      <c r="DL117" s="54"/>
      <c r="DM117" s="54"/>
      <c r="DN117" s="54"/>
      <c r="DO117" s="54"/>
      <c r="DP117" s="54"/>
      <c r="DQ117" s="54"/>
      <c r="DR117" s="54"/>
      <c r="DS117" s="54"/>
      <c r="DT117" s="54"/>
      <c r="DU117" s="54"/>
      <c r="DV117" s="54"/>
      <c r="DW117" s="54"/>
      <c r="DX117" s="54"/>
      <c r="DY117" s="54"/>
      <c r="DZ117" s="54"/>
      <c r="EA117" s="54"/>
      <c r="EB117" s="54"/>
      <c r="EC117" s="54"/>
      <c r="ED117" s="54"/>
      <c r="EE117" s="54"/>
      <c r="EF117" s="54"/>
      <c r="EG117" s="54"/>
      <c r="EH117" s="54"/>
      <c r="EI117" s="54"/>
      <c r="EJ117" s="54"/>
      <c r="EK117" s="54"/>
      <c r="EL117" s="54"/>
      <c r="EM117" s="54"/>
      <c r="EN117" s="54"/>
      <c r="EO117" s="54"/>
      <c r="EP117" s="54"/>
      <c r="EQ117" s="54"/>
      <c r="ER117" s="54"/>
      <c r="ES117" s="54"/>
      <c r="ET117" s="54"/>
      <c r="EU117" s="54"/>
      <c r="EV117" s="54"/>
      <c r="EW117" s="54"/>
      <c r="EX117" s="54"/>
      <c r="EY117" s="54"/>
      <c r="EZ117" s="54"/>
      <c r="FA117" s="54"/>
      <c r="FB117" s="54"/>
      <c r="FC117" s="54"/>
      <c r="FD117" s="54"/>
      <c r="FE117" s="54"/>
      <c r="FF117" s="54"/>
      <c r="FG117" s="54"/>
      <c r="FH117" s="54"/>
      <c r="FI117" s="54"/>
      <c r="FJ117" s="54"/>
      <c r="FK117" s="54"/>
      <c r="FL117" s="54"/>
      <c r="FM117" s="54"/>
      <c r="FN117" s="54"/>
      <c r="FO117" s="54"/>
      <c r="FP117" s="54"/>
      <c r="FQ117" s="54"/>
      <c r="FR117" s="54"/>
      <c r="FS117" s="54"/>
      <c r="FT117" s="54"/>
      <c r="FU117" s="54"/>
      <c r="FV117" s="54"/>
      <c r="FW117" s="54"/>
      <c r="FX117" s="54"/>
      <c r="FY117" s="54"/>
      <c r="FZ117" s="54"/>
      <c r="GA117" s="54"/>
      <c r="GB117" s="54"/>
      <c r="GC117" s="54"/>
      <c r="GD117" s="54"/>
      <c r="GE117" s="54"/>
      <c r="GF117" s="54"/>
      <c r="GG117" s="54"/>
      <c r="GH117" s="54"/>
      <c r="GI117" s="54"/>
      <c r="GJ117" s="54"/>
      <c r="GK117" s="54"/>
      <c r="GL117" s="54"/>
      <c r="GM117" s="54"/>
      <c r="GN117" s="54"/>
      <c r="GO117" s="54"/>
      <c r="GP117" s="54"/>
      <c r="GQ117" s="54"/>
      <c r="GR117" s="54"/>
      <c r="GS117" s="54"/>
      <c r="GT117" s="54"/>
      <c r="GU117" s="54"/>
      <c r="GV117" s="54"/>
      <c r="GW117" s="54"/>
      <c r="GX117" s="54"/>
      <c r="GY117" s="54"/>
      <c r="GZ117" s="54"/>
      <c r="HA117" s="54"/>
      <c r="HB117" s="54"/>
      <c r="HC117" s="54"/>
      <c r="HD117" s="54"/>
      <c r="HE117" s="54"/>
      <c r="HF117" s="54"/>
      <c r="HG117" s="54"/>
      <c r="HH117" s="54"/>
      <c r="HI117" s="54"/>
      <c r="HJ117" s="54"/>
      <c r="HK117" s="54"/>
      <c r="HL117" s="54"/>
      <c r="HM117" s="54"/>
      <c r="HN117" s="54"/>
      <c r="HO117" s="54"/>
      <c r="HP117" s="54"/>
      <c r="HQ117" s="54"/>
      <c r="HR117" s="54"/>
      <c r="HS117" s="54"/>
      <c r="HT117" s="54"/>
      <c r="HU117" s="54"/>
      <c r="HV117" s="54"/>
      <c r="HW117" s="54"/>
      <c r="HX117" s="54"/>
      <c r="HY117" s="54"/>
      <c r="HZ117" s="54"/>
      <c r="IA117" s="54"/>
      <c r="IB117" s="54"/>
      <c r="IC117" s="54"/>
      <c r="ID117" s="54"/>
      <c r="IE117" s="54"/>
      <c r="IF117" s="54"/>
      <c r="IG117" s="54"/>
      <c r="IH117" s="54"/>
      <c r="II117" s="54"/>
      <c r="IJ117" s="54"/>
      <c r="IK117" s="54"/>
      <c r="IL117" s="54"/>
      <c r="IM117" s="54"/>
      <c r="IN117" s="54"/>
      <c r="IO117" s="54"/>
      <c r="IP117" s="54"/>
      <c r="IQ117" s="54"/>
      <c r="IR117" s="54"/>
      <c r="IS117" s="54"/>
      <c r="IT117" s="54"/>
      <c r="IU117" s="54"/>
      <c r="IV117" s="54"/>
      <c r="IW117" s="54"/>
      <c r="IX117" s="54"/>
      <c r="IY117" s="54"/>
      <c r="IZ117" s="54"/>
      <c r="JA117" s="54"/>
      <c r="JB117" s="54"/>
      <c r="JC117" s="54"/>
      <c r="JD117" s="54"/>
      <c r="JE117" s="54"/>
      <c r="JF117" s="54"/>
      <c r="JG117" s="54"/>
      <c r="JH117" s="54"/>
      <c r="JI117" s="54"/>
      <c r="JJ117" s="54"/>
      <c r="JK117" s="54"/>
      <c r="JL117" s="54"/>
      <c r="JM117" s="54"/>
      <c r="JN117" s="54"/>
      <c r="JO117" s="54"/>
      <c r="JP117" s="54"/>
      <c r="JQ117" s="54"/>
      <c r="JR117" s="54"/>
      <c r="JS117" s="54"/>
      <c r="JT117" s="54"/>
      <c r="JU117" s="54"/>
      <c r="JV117" s="54"/>
      <c r="JW117" s="54"/>
      <c r="JX117" s="54"/>
      <c r="JY117" s="54"/>
      <c r="JZ117" s="54"/>
      <c r="KA117" s="54"/>
      <c r="KB117" s="54"/>
      <c r="KC117" s="54"/>
      <c r="KD117" s="54"/>
      <c r="KE117" s="54"/>
      <c r="KF117" s="54"/>
      <c r="KG117" s="54"/>
      <c r="KH117" s="54"/>
      <c r="KI117" s="54"/>
      <c r="KJ117" s="54"/>
      <c r="KK117" s="54"/>
      <c r="KL117" s="54"/>
      <c r="KM117" s="54"/>
      <c r="KN117" s="54"/>
      <c r="KO117" s="54"/>
      <c r="KP117" s="54"/>
      <c r="KQ117" s="54"/>
      <c r="KR117" s="54"/>
      <c r="KS117" s="54"/>
      <c r="KT117" s="54"/>
      <c r="KU117" s="54"/>
      <c r="KV117" s="54"/>
      <c r="KW117" s="54"/>
      <c r="KX117" s="54"/>
      <c r="KY117" s="54"/>
      <c r="KZ117" s="54"/>
      <c r="LA117" s="54"/>
      <c r="LB117" s="54"/>
      <c r="LC117" s="54"/>
      <c r="LD117" s="54"/>
      <c r="LE117" s="54"/>
      <c r="LF117" s="54"/>
      <c r="LG117" s="54"/>
      <c r="LH117" s="54"/>
      <c r="LI117" s="54"/>
      <c r="LJ117" s="54"/>
      <c r="LK117" s="54"/>
      <c r="LL117" s="54"/>
      <c r="LM117" s="54"/>
      <c r="LN117" s="54"/>
      <c r="LO117" s="54"/>
      <c r="LP117" s="54"/>
      <c r="LQ117" s="54"/>
      <c r="LR117" s="54"/>
      <c r="LS117" s="54"/>
      <c r="LT117" s="54"/>
      <c r="LU117" s="54"/>
      <c r="LV117" s="54"/>
      <c r="LW117" s="54"/>
      <c r="LX117" s="54"/>
      <c r="LY117" s="54"/>
      <c r="LZ117" s="54"/>
      <c r="MA117" s="54"/>
      <c r="MB117" s="54"/>
      <c r="MC117" s="54"/>
      <c r="MD117" s="54"/>
      <c r="ME117" s="54"/>
      <c r="MF117" s="54"/>
      <c r="MG117" s="54"/>
      <c r="MH117" s="54"/>
      <c r="MI117" s="54"/>
      <c r="MJ117" s="54"/>
      <c r="MK117" s="54"/>
      <c r="ML117" s="54"/>
      <c r="MM117" s="54"/>
      <c r="MN117" s="54"/>
      <c r="MO117" s="54"/>
      <c r="MP117" s="54"/>
      <c r="MQ117" s="54"/>
      <c r="MR117" s="54"/>
      <c r="MS117" s="54"/>
      <c r="MT117" s="54"/>
      <c r="MU117" s="54"/>
      <c r="MV117" s="54"/>
      <c r="MW117" s="54"/>
      <c r="MX117" s="54"/>
      <c r="MY117" s="54"/>
      <c r="MZ117" s="54"/>
      <c r="NA117" s="54"/>
      <c r="NB117" s="54"/>
      <c r="NC117" s="54"/>
      <c r="ND117" s="54"/>
      <c r="NE117" s="54"/>
      <c r="NF117" s="54"/>
      <c r="NG117" s="54"/>
      <c r="NH117" s="54"/>
      <c r="NI117" s="54"/>
      <c r="NJ117" s="54"/>
      <c r="NK117" s="54"/>
      <c r="NL117" s="54"/>
      <c r="NM117" s="54"/>
      <c r="NN117" s="54"/>
      <c r="NO117" s="54"/>
      <c r="NP117" s="54"/>
      <c r="NQ117" s="54"/>
      <c r="NR117" s="54"/>
      <c r="NS117" s="54"/>
      <c r="NT117" s="54"/>
      <c r="NU117" s="54"/>
      <c r="NV117" s="54"/>
      <c r="NW117" s="54"/>
      <c r="NX117" s="54"/>
      <c r="NY117" s="54"/>
      <c r="NZ117" s="54"/>
      <c r="OA117" s="54"/>
      <c r="OB117" s="54"/>
      <c r="OC117" s="54"/>
      <c r="OD117" s="54"/>
      <c r="OE117" s="54"/>
      <c r="OF117" s="54"/>
      <c r="OG117" s="54"/>
      <c r="OH117" s="54"/>
      <c r="OI117" s="54"/>
      <c r="OJ117" s="54"/>
      <c r="OK117" s="54"/>
      <c r="OL117" s="54"/>
      <c r="OM117" s="54"/>
      <c r="ON117" s="54"/>
      <c r="OO117" s="54"/>
      <c r="OP117" s="54"/>
    </row>
    <row r="118" spans="25:406" ht="15" customHeight="1" x14ac:dyDescent="0.25">
      <c r="Y118" s="58">
        <f t="shared" si="19"/>
        <v>297.08999999999997</v>
      </c>
      <c r="Z118" s="54">
        <f t="shared" si="20"/>
        <v>44923</v>
      </c>
      <c r="AA118" s="83" t="e">
        <f>IF(SUM(AE46:$AE$103)=0,NA(),SUM(AE46:$AE$103))</f>
        <v>#N/A</v>
      </c>
      <c r="AB118" s="104" t="e">
        <f>IF(SUM(AF46:$AF$103)=0,NA(),SUM(AF46:$AF$103))</f>
        <v>#N/A</v>
      </c>
      <c r="AC118" s="114" t="e">
        <f>IF(SUM(AG46:$AG$103)=0,NA(),SUM(AG46:$AG$103))</f>
        <v>#N/A</v>
      </c>
      <c r="AF118" s="116"/>
      <c r="AG118" s="116"/>
      <c r="AH118" s="116"/>
      <c r="AL118" s="57" t="s">
        <v>70</v>
      </c>
      <c r="AM118" s="57">
        <v>289.79000000000002</v>
      </c>
      <c r="AN118" s="57">
        <v>289.58</v>
      </c>
      <c r="AO118" s="57">
        <v>295.98</v>
      </c>
      <c r="AP118" s="57">
        <v>297.87</v>
      </c>
      <c r="AQ118" s="57">
        <v>301.52999999999997</v>
      </c>
      <c r="AR118" s="57">
        <v>309.69</v>
      </c>
      <c r="AS118" s="57">
        <v>309.57</v>
      </c>
      <c r="AT118" s="57">
        <v>310.38</v>
      </c>
      <c r="AU118" s="57">
        <v>310.7</v>
      </c>
      <c r="AV118" s="57">
        <v>313.77</v>
      </c>
      <c r="AW118" s="57">
        <v>316.04000000000002</v>
      </c>
    </row>
    <row r="119" spans="25:406" ht="15" customHeight="1" x14ac:dyDescent="0.25">
      <c r="Y119" s="58">
        <f t="shared" si="19"/>
        <v>304.22000000000003</v>
      </c>
      <c r="Z119" s="54">
        <f t="shared" si="20"/>
        <v>44922</v>
      </c>
      <c r="AA119" s="83" t="e">
        <f>IF(SUM(AE47:$AE$103)=0,NA(),SUM(AE47:$AE$103))</f>
        <v>#N/A</v>
      </c>
      <c r="AB119" s="104" t="e">
        <f>IF(SUM(AF47:$AF$103)=0,NA(),SUM(AF47:$AF$103))</f>
        <v>#N/A</v>
      </c>
      <c r="AC119" s="114" t="e">
        <f>IF(SUM(AG47:$AG$103)=0,NA(),SUM(AG47:$AG$103))</f>
        <v>#N/A</v>
      </c>
      <c r="AF119" s="116"/>
      <c r="AG119" s="116"/>
      <c r="AH119" s="116"/>
      <c r="AK119" s="54" t="str">
        <f>_xll.IMDH("IDX","VKOSPI",AL119,AK116,V6,365,"Per=일,sort=A,real=true,Bizday=0,Quote=종가,Pos=20,Orient=H,DtFmt=1,TmFmt=1,unit=true")</f>
        <v>조회[VKOSPI]</v>
      </c>
      <c r="AL119" s="57" t="s">
        <v>70</v>
      </c>
      <c r="AM119" s="57">
        <v>18.850000000000001</v>
      </c>
      <c r="AN119" s="57">
        <v>18.96</v>
      </c>
      <c r="AO119" s="57">
        <v>18.170000000000002</v>
      </c>
      <c r="AP119" s="57">
        <v>17.850000000000001</v>
      </c>
      <c r="AQ119" s="57">
        <v>17.739999999999998</v>
      </c>
      <c r="AR119" s="57">
        <v>18.48</v>
      </c>
      <c r="AS119" s="57">
        <v>18.22</v>
      </c>
      <c r="AT119" s="57">
        <v>17.98</v>
      </c>
      <c r="AU119" s="57">
        <v>18.34</v>
      </c>
      <c r="AV119" s="57">
        <v>17.190000000000001</v>
      </c>
      <c r="AW119" s="57">
        <v>16.88</v>
      </c>
    </row>
    <row r="120" spans="25:406" ht="15" customHeight="1" x14ac:dyDescent="0.25">
      <c r="Y120" s="58">
        <f t="shared" si="19"/>
        <v>302.27</v>
      </c>
      <c r="Z120" s="54">
        <f t="shared" si="20"/>
        <v>44921</v>
      </c>
      <c r="AA120" s="83" t="e">
        <f>IF(SUM(AE48:$AE$103)=0,NA(),SUM(AE48:$AE$103))</f>
        <v>#N/A</v>
      </c>
      <c r="AB120" s="104" t="e">
        <f>IF(SUM(AF48:$AF$103)=0,NA(),SUM(AF48:$AF$103))</f>
        <v>#N/A</v>
      </c>
      <c r="AC120" s="114" t="e">
        <f>IF(SUM(AG48:$AG$103)=0,NA(),SUM(AG48:$AG$103))</f>
        <v>#N/A</v>
      </c>
      <c r="AF120" s="116"/>
      <c r="AG120" s="116"/>
      <c r="AH120" s="116"/>
      <c r="AI120" s="58"/>
      <c r="AK120" s="54"/>
      <c r="AN120" s="54"/>
    </row>
    <row r="121" spans="25:406" ht="15" customHeight="1" x14ac:dyDescent="0.25">
      <c r="Y121" s="58">
        <f t="shared" si="19"/>
        <v>302.07</v>
      </c>
      <c r="Z121" s="54">
        <f t="shared" si="20"/>
        <v>44918</v>
      </c>
      <c r="AA121" s="83" t="e">
        <f>IF(SUM(AE49:$AE$103)=0,NA(),SUM(AE49:$AE$103))</f>
        <v>#N/A</v>
      </c>
      <c r="AB121" s="104" t="e">
        <f>IF(SUM(AF49:$AF$103)=0,NA(),SUM(AF49:$AF$103))</f>
        <v>#N/A</v>
      </c>
      <c r="AC121" s="114" t="e">
        <f>IF(SUM(AG49:$AG$103)=0,NA(),SUM(AG49:$AG$103))</f>
        <v>#N/A</v>
      </c>
      <c r="AF121" s="116"/>
      <c r="AG121" s="116"/>
      <c r="AK121" s="54" t="s">
        <v>84</v>
      </c>
      <c r="AM121" s="54">
        <f>IF(AM117="",NA(),AM117)</f>
        <v>44928</v>
      </c>
      <c r="AN121" s="54">
        <f t="shared" ref="AN121:CY121" si="21">IF(AN117="",NA(),AN117)</f>
        <v>44929</v>
      </c>
      <c r="AO121" s="54">
        <f t="shared" si="21"/>
        <v>44930</v>
      </c>
      <c r="AP121" s="54">
        <f t="shared" si="21"/>
        <v>44931</v>
      </c>
      <c r="AQ121" s="54">
        <f t="shared" si="21"/>
        <v>44932</v>
      </c>
      <c r="AR121" s="54">
        <f t="shared" si="21"/>
        <v>44935</v>
      </c>
      <c r="AS121" s="54">
        <f t="shared" si="21"/>
        <v>44936</v>
      </c>
      <c r="AT121" s="54">
        <f t="shared" si="21"/>
        <v>44937</v>
      </c>
      <c r="AU121" s="54">
        <f t="shared" si="21"/>
        <v>44938</v>
      </c>
      <c r="AV121" s="54">
        <f t="shared" si="21"/>
        <v>44939</v>
      </c>
      <c r="AW121" s="54">
        <f t="shared" si="21"/>
        <v>44942</v>
      </c>
      <c r="AX121" s="54" t="e">
        <f t="shared" si="21"/>
        <v>#N/A</v>
      </c>
      <c r="AY121" s="54" t="e">
        <f t="shared" si="21"/>
        <v>#N/A</v>
      </c>
      <c r="AZ121" s="54" t="e">
        <f t="shared" si="21"/>
        <v>#N/A</v>
      </c>
      <c r="BA121" s="54" t="e">
        <f t="shared" si="21"/>
        <v>#N/A</v>
      </c>
      <c r="BB121" s="54" t="e">
        <f t="shared" si="21"/>
        <v>#N/A</v>
      </c>
      <c r="BC121" s="54" t="e">
        <f t="shared" si="21"/>
        <v>#N/A</v>
      </c>
      <c r="BD121" s="54" t="e">
        <f t="shared" si="21"/>
        <v>#N/A</v>
      </c>
      <c r="BE121" s="54" t="e">
        <f t="shared" si="21"/>
        <v>#N/A</v>
      </c>
      <c r="BF121" s="54" t="e">
        <f t="shared" si="21"/>
        <v>#N/A</v>
      </c>
      <c r="BG121" s="54" t="e">
        <f t="shared" si="21"/>
        <v>#N/A</v>
      </c>
      <c r="BH121" s="54" t="e">
        <f t="shared" si="21"/>
        <v>#N/A</v>
      </c>
      <c r="BI121" s="54" t="e">
        <f t="shared" si="21"/>
        <v>#N/A</v>
      </c>
      <c r="BJ121" s="54" t="e">
        <f t="shared" si="21"/>
        <v>#N/A</v>
      </c>
      <c r="BK121" s="54" t="e">
        <f t="shared" si="21"/>
        <v>#N/A</v>
      </c>
      <c r="BL121" s="54" t="e">
        <f t="shared" si="21"/>
        <v>#N/A</v>
      </c>
      <c r="BM121" s="54" t="e">
        <f t="shared" si="21"/>
        <v>#N/A</v>
      </c>
      <c r="BN121" s="54" t="e">
        <f t="shared" si="21"/>
        <v>#N/A</v>
      </c>
      <c r="BO121" s="54" t="e">
        <f t="shared" si="21"/>
        <v>#N/A</v>
      </c>
      <c r="BP121" s="54" t="e">
        <f t="shared" si="21"/>
        <v>#N/A</v>
      </c>
      <c r="BQ121" s="54" t="e">
        <f t="shared" si="21"/>
        <v>#N/A</v>
      </c>
      <c r="BR121" s="54" t="e">
        <f t="shared" si="21"/>
        <v>#N/A</v>
      </c>
      <c r="BS121" s="54" t="e">
        <f t="shared" si="21"/>
        <v>#N/A</v>
      </c>
      <c r="BT121" s="54" t="e">
        <f t="shared" si="21"/>
        <v>#N/A</v>
      </c>
      <c r="BU121" s="54" t="e">
        <f t="shared" si="21"/>
        <v>#N/A</v>
      </c>
      <c r="BV121" s="54" t="e">
        <f t="shared" si="21"/>
        <v>#N/A</v>
      </c>
      <c r="BW121" s="54" t="e">
        <f t="shared" si="21"/>
        <v>#N/A</v>
      </c>
      <c r="BX121" s="54" t="e">
        <f t="shared" si="21"/>
        <v>#N/A</v>
      </c>
      <c r="BY121" s="54" t="e">
        <f t="shared" si="21"/>
        <v>#N/A</v>
      </c>
      <c r="BZ121" s="54" t="e">
        <f t="shared" si="21"/>
        <v>#N/A</v>
      </c>
      <c r="CA121" s="54" t="e">
        <f t="shared" si="21"/>
        <v>#N/A</v>
      </c>
      <c r="CB121" s="54" t="e">
        <f t="shared" si="21"/>
        <v>#N/A</v>
      </c>
      <c r="CC121" s="54" t="e">
        <f t="shared" si="21"/>
        <v>#N/A</v>
      </c>
      <c r="CD121" s="54" t="e">
        <f t="shared" si="21"/>
        <v>#N/A</v>
      </c>
      <c r="CE121" s="54" t="e">
        <f t="shared" si="21"/>
        <v>#N/A</v>
      </c>
      <c r="CF121" s="54" t="e">
        <f t="shared" si="21"/>
        <v>#N/A</v>
      </c>
      <c r="CG121" s="54" t="e">
        <f t="shared" si="21"/>
        <v>#N/A</v>
      </c>
      <c r="CH121" s="54" t="e">
        <f t="shared" si="21"/>
        <v>#N/A</v>
      </c>
      <c r="CI121" s="54" t="e">
        <f t="shared" si="21"/>
        <v>#N/A</v>
      </c>
      <c r="CJ121" s="54" t="e">
        <f t="shared" si="21"/>
        <v>#N/A</v>
      </c>
      <c r="CK121" s="54" t="e">
        <f t="shared" si="21"/>
        <v>#N/A</v>
      </c>
      <c r="CL121" s="54" t="e">
        <f t="shared" si="21"/>
        <v>#N/A</v>
      </c>
      <c r="CM121" s="54" t="e">
        <f t="shared" si="21"/>
        <v>#N/A</v>
      </c>
      <c r="CN121" s="54" t="e">
        <f t="shared" si="21"/>
        <v>#N/A</v>
      </c>
      <c r="CO121" s="54" t="e">
        <f t="shared" si="21"/>
        <v>#N/A</v>
      </c>
      <c r="CP121" s="54" t="e">
        <f t="shared" si="21"/>
        <v>#N/A</v>
      </c>
      <c r="CQ121" s="54" t="e">
        <f t="shared" si="21"/>
        <v>#N/A</v>
      </c>
      <c r="CR121" s="54" t="e">
        <f t="shared" si="21"/>
        <v>#N/A</v>
      </c>
      <c r="CS121" s="54" t="e">
        <f t="shared" si="21"/>
        <v>#N/A</v>
      </c>
      <c r="CT121" s="54" t="e">
        <f t="shared" si="21"/>
        <v>#N/A</v>
      </c>
      <c r="CU121" s="54" t="e">
        <f t="shared" si="21"/>
        <v>#N/A</v>
      </c>
      <c r="CV121" s="54" t="e">
        <f t="shared" si="21"/>
        <v>#N/A</v>
      </c>
      <c r="CW121" s="54" t="e">
        <f t="shared" si="21"/>
        <v>#N/A</v>
      </c>
      <c r="CX121" s="54" t="e">
        <f t="shared" si="21"/>
        <v>#N/A</v>
      </c>
      <c r="CY121" s="54" t="e">
        <f t="shared" si="21"/>
        <v>#N/A</v>
      </c>
      <c r="CZ121" s="54" t="e">
        <f t="shared" ref="CZ121:FK121" si="22">IF(CZ117="",NA(),CZ117)</f>
        <v>#N/A</v>
      </c>
      <c r="DA121" s="54" t="e">
        <f t="shared" si="22"/>
        <v>#N/A</v>
      </c>
      <c r="DB121" s="54" t="e">
        <f t="shared" si="22"/>
        <v>#N/A</v>
      </c>
      <c r="DC121" s="54" t="e">
        <f t="shared" si="22"/>
        <v>#N/A</v>
      </c>
      <c r="DD121" s="54" t="e">
        <f t="shared" si="22"/>
        <v>#N/A</v>
      </c>
      <c r="DE121" s="54" t="e">
        <f t="shared" si="22"/>
        <v>#N/A</v>
      </c>
      <c r="DF121" s="54" t="e">
        <f t="shared" si="22"/>
        <v>#N/A</v>
      </c>
      <c r="DG121" s="54" t="e">
        <f t="shared" si="22"/>
        <v>#N/A</v>
      </c>
      <c r="DH121" s="54" t="e">
        <f t="shared" si="22"/>
        <v>#N/A</v>
      </c>
      <c r="DI121" s="54" t="e">
        <f t="shared" si="22"/>
        <v>#N/A</v>
      </c>
      <c r="DJ121" s="54" t="e">
        <f t="shared" si="22"/>
        <v>#N/A</v>
      </c>
      <c r="DK121" s="54" t="e">
        <f t="shared" si="22"/>
        <v>#N/A</v>
      </c>
      <c r="DL121" s="54" t="e">
        <f t="shared" si="22"/>
        <v>#N/A</v>
      </c>
      <c r="DM121" s="54" t="e">
        <f t="shared" si="22"/>
        <v>#N/A</v>
      </c>
      <c r="DN121" s="54" t="e">
        <f t="shared" si="22"/>
        <v>#N/A</v>
      </c>
      <c r="DO121" s="54" t="e">
        <f t="shared" si="22"/>
        <v>#N/A</v>
      </c>
      <c r="DP121" s="54" t="e">
        <f t="shared" si="22"/>
        <v>#N/A</v>
      </c>
      <c r="DQ121" s="54" t="e">
        <f t="shared" si="22"/>
        <v>#N/A</v>
      </c>
      <c r="DR121" s="54" t="e">
        <f t="shared" si="22"/>
        <v>#N/A</v>
      </c>
      <c r="DS121" s="54" t="e">
        <f t="shared" si="22"/>
        <v>#N/A</v>
      </c>
      <c r="DT121" s="54" t="e">
        <f t="shared" si="22"/>
        <v>#N/A</v>
      </c>
      <c r="DU121" s="54" t="e">
        <f t="shared" si="22"/>
        <v>#N/A</v>
      </c>
      <c r="DV121" s="54" t="e">
        <f t="shared" si="22"/>
        <v>#N/A</v>
      </c>
      <c r="DW121" s="54" t="e">
        <f t="shared" si="22"/>
        <v>#N/A</v>
      </c>
      <c r="DX121" s="54" t="e">
        <f t="shared" si="22"/>
        <v>#N/A</v>
      </c>
      <c r="DY121" s="54" t="e">
        <f t="shared" si="22"/>
        <v>#N/A</v>
      </c>
      <c r="DZ121" s="54" t="e">
        <f t="shared" si="22"/>
        <v>#N/A</v>
      </c>
      <c r="EA121" s="54" t="e">
        <f t="shared" si="22"/>
        <v>#N/A</v>
      </c>
      <c r="EB121" s="54" t="e">
        <f t="shared" si="22"/>
        <v>#N/A</v>
      </c>
      <c r="EC121" s="54" t="e">
        <f t="shared" si="22"/>
        <v>#N/A</v>
      </c>
      <c r="ED121" s="54" t="e">
        <f t="shared" si="22"/>
        <v>#N/A</v>
      </c>
      <c r="EE121" s="54" t="e">
        <f t="shared" si="22"/>
        <v>#N/A</v>
      </c>
      <c r="EF121" s="54" t="e">
        <f t="shared" si="22"/>
        <v>#N/A</v>
      </c>
      <c r="EG121" s="54" t="e">
        <f t="shared" si="22"/>
        <v>#N/A</v>
      </c>
      <c r="EH121" s="54" t="e">
        <f t="shared" si="22"/>
        <v>#N/A</v>
      </c>
      <c r="EI121" s="54" t="e">
        <f t="shared" si="22"/>
        <v>#N/A</v>
      </c>
      <c r="EJ121" s="54" t="e">
        <f t="shared" si="22"/>
        <v>#N/A</v>
      </c>
      <c r="EK121" s="54" t="e">
        <f t="shared" si="22"/>
        <v>#N/A</v>
      </c>
      <c r="EL121" s="54" t="e">
        <f t="shared" si="22"/>
        <v>#N/A</v>
      </c>
      <c r="EM121" s="54" t="e">
        <f t="shared" si="22"/>
        <v>#N/A</v>
      </c>
      <c r="EN121" s="54" t="e">
        <f t="shared" si="22"/>
        <v>#N/A</v>
      </c>
      <c r="EO121" s="54" t="e">
        <f t="shared" si="22"/>
        <v>#N/A</v>
      </c>
      <c r="EP121" s="54" t="e">
        <f t="shared" si="22"/>
        <v>#N/A</v>
      </c>
      <c r="EQ121" s="54" t="e">
        <f t="shared" si="22"/>
        <v>#N/A</v>
      </c>
      <c r="ER121" s="54" t="e">
        <f t="shared" si="22"/>
        <v>#N/A</v>
      </c>
      <c r="ES121" s="54" t="e">
        <f t="shared" si="22"/>
        <v>#N/A</v>
      </c>
      <c r="ET121" s="54" t="e">
        <f t="shared" si="22"/>
        <v>#N/A</v>
      </c>
      <c r="EU121" s="54" t="e">
        <f t="shared" si="22"/>
        <v>#N/A</v>
      </c>
      <c r="EV121" s="54" t="e">
        <f t="shared" si="22"/>
        <v>#N/A</v>
      </c>
      <c r="EW121" s="54" t="e">
        <f t="shared" si="22"/>
        <v>#N/A</v>
      </c>
      <c r="EX121" s="54" t="e">
        <f t="shared" si="22"/>
        <v>#N/A</v>
      </c>
      <c r="EY121" s="54" t="e">
        <f t="shared" si="22"/>
        <v>#N/A</v>
      </c>
      <c r="EZ121" s="54" t="e">
        <f t="shared" si="22"/>
        <v>#N/A</v>
      </c>
      <c r="FA121" s="54" t="e">
        <f t="shared" si="22"/>
        <v>#N/A</v>
      </c>
      <c r="FB121" s="54" t="e">
        <f t="shared" si="22"/>
        <v>#N/A</v>
      </c>
      <c r="FC121" s="54" t="e">
        <f t="shared" si="22"/>
        <v>#N/A</v>
      </c>
      <c r="FD121" s="54" t="e">
        <f t="shared" si="22"/>
        <v>#N/A</v>
      </c>
      <c r="FE121" s="54" t="e">
        <f t="shared" si="22"/>
        <v>#N/A</v>
      </c>
      <c r="FF121" s="54" t="e">
        <f t="shared" si="22"/>
        <v>#N/A</v>
      </c>
      <c r="FG121" s="54" t="e">
        <f t="shared" si="22"/>
        <v>#N/A</v>
      </c>
      <c r="FH121" s="54" t="e">
        <f t="shared" si="22"/>
        <v>#N/A</v>
      </c>
      <c r="FI121" s="54" t="e">
        <f t="shared" si="22"/>
        <v>#N/A</v>
      </c>
      <c r="FJ121" s="54" t="e">
        <f t="shared" si="22"/>
        <v>#N/A</v>
      </c>
      <c r="FK121" s="54" t="e">
        <f t="shared" si="22"/>
        <v>#N/A</v>
      </c>
      <c r="FL121" s="54" t="e">
        <f t="shared" ref="FL121:HW121" si="23">IF(FL117="",NA(),FL117)</f>
        <v>#N/A</v>
      </c>
      <c r="FM121" s="54" t="e">
        <f t="shared" si="23"/>
        <v>#N/A</v>
      </c>
      <c r="FN121" s="54" t="e">
        <f t="shared" si="23"/>
        <v>#N/A</v>
      </c>
      <c r="FO121" s="54" t="e">
        <f t="shared" si="23"/>
        <v>#N/A</v>
      </c>
      <c r="FP121" s="54" t="e">
        <f t="shared" si="23"/>
        <v>#N/A</v>
      </c>
      <c r="FQ121" s="54" t="e">
        <f t="shared" si="23"/>
        <v>#N/A</v>
      </c>
      <c r="FR121" s="54" t="e">
        <f t="shared" si="23"/>
        <v>#N/A</v>
      </c>
      <c r="FS121" s="54" t="e">
        <f t="shared" si="23"/>
        <v>#N/A</v>
      </c>
      <c r="FT121" s="54" t="e">
        <f t="shared" si="23"/>
        <v>#N/A</v>
      </c>
      <c r="FU121" s="54" t="e">
        <f t="shared" si="23"/>
        <v>#N/A</v>
      </c>
      <c r="FV121" s="54" t="e">
        <f t="shared" si="23"/>
        <v>#N/A</v>
      </c>
      <c r="FW121" s="54" t="e">
        <f t="shared" si="23"/>
        <v>#N/A</v>
      </c>
      <c r="FX121" s="54" t="e">
        <f t="shared" si="23"/>
        <v>#N/A</v>
      </c>
      <c r="FY121" s="54" t="e">
        <f t="shared" si="23"/>
        <v>#N/A</v>
      </c>
      <c r="FZ121" s="54" t="e">
        <f t="shared" si="23"/>
        <v>#N/A</v>
      </c>
      <c r="GA121" s="54" t="e">
        <f t="shared" si="23"/>
        <v>#N/A</v>
      </c>
      <c r="GB121" s="54" t="e">
        <f t="shared" si="23"/>
        <v>#N/A</v>
      </c>
      <c r="GC121" s="54" t="e">
        <f t="shared" si="23"/>
        <v>#N/A</v>
      </c>
      <c r="GD121" s="54" t="e">
        <f t="shared" si="23"/>
        <v>#N/A</v>
      </c>
      <c r="GE121" s="54" t="e">
        <f t="shared" si="23"/>
        <v>#N/A</v>
      </c>
      <c r="GF121" s="54" t="e">
        <f t="shared" si="23"/>
        <v>#N/A</v>
      </c>
      <c r="GG121" s="54" t="e">
        <f t="shared" si="23"/>
        <v>#N/A</v>
      </c>
      <c r="GH121" s="54" t="e">
        <f t="shared" si="23"/>
        <v>#N/A</v>
      </c>
      <c r="GI121" s="54" t="e">
        <f t="shared" si="23"/>
        <v>#N/A</v>
      </c>
      <c r="GJ121" s="54" t="e">
        <f t="shared" si="23"/>
        <v>#N/A</v>
      </c>
      <c r="GK121" s="54" t="e">
        <f t="shared" si="23"/>
        <v>#N/A</v>
      </c>
      <c r="GL121" s="54" t="e">
        <f t="shared" si="23"/>
        <v>#N/A</v>
      </c>
      <c r="GM121" s="54" t="e">
        <f t="shared" si="23"/>
        <v>#N/A</v>
      </c>
      <c r="GN121" s="54" t="e">
        <f t="shared" si="23"/>
        <v>#N/A</v>
      </c>
      <c r="GO121" s="54" t="e">
        <f t="shared" si="23"/>
        <v>#N/A</v>
      </c>
      <c r="GP121" s="54" t="e">
        <f t="shared" si="23"/>
        <v>#N/A</v>
      </c>
      <c r="GQ121" s="54" t="e">
        <f t="shared" si="23"/>
        <v>#N/A</v>
      </c>
      <c r="GR121" s="54" t="e">
        <f t="shared" si="23"/>
        <v>#N/A</v>
      </c>
      <c r="GS121" s="54" t="e">
        <f t="shared" si="23"/>
        <v>#N/A</v>
      </c>
      <c r="GT121" s="54" t="e">
        <f t="shared" si="23"/>
        <v>#N/A</v>
      </c>
      <c r="GU121" s="54" t="e">
        <f t="shared" si="23"/>
        <v>#N/A</v>
      </c>
      <c r="GV121" s="54" t="e">
        <f t="shared" si="23"/>
        <v>#N/A</v>
      </c>
      <c r="GW121" s="54" t="e">
        <f t="shared" si="23"/>
        <v>#N/A</v>
      </c>
      <c r="GX121" s="54" t="e">
        <f t="shared" si="23"/>
        <v>#N/A</v>
      </c>
      <c r="GY121" s="54" t="e">
        <f t="shared" si="23"/>
        <v>#N/A</v>
      </c>
      <c r="GZ121" s="54" t="e">
        <f t="shared" si="23"/>
        <v>#N/A</v>
      </c>
      <c r="HA121" s="54" t="e">
        <f t="shared" si="23"/>
        <v>#N/A</v>
      </c>
      <c r="HB121" s="54" t="e">
        <f t="shared" si="23"/>
        <v>#N/A</v>
      </c>
      <c r="HC121" s="54" t="e">
        <f t="shared" si="23"/>
        <v>#N/A</v>
      </c>
      <c r="HD121" s="54" t="e">
        <f t="shared" si="23"/>
        <v>#N/A</v>
      </c>
      <c r="HE121" s="54" t="e">
        <f t="shared" si="23"/>
        <v>#N/A</v>
      </c>
      <c r="HF121" s="54" t="e">
        <f t="shared" si="23"/>
        <v>#N/A</v>
      </c>
      <c r="HG121" s="54" t="e">
        <f t="shared" si="23"/>
        <v>#N/A</v>
      </c>
      <c r="HH121" s="54" t="e">
        <f t="shared" si="23"/>
        <v>#N/A</v>
      </c>
      <c r="HI121" s="54" t="e">
        <f t="shared" si="23"/>
        <v>#N/A</v>
      </c>
      <c r="HJ121" s="54" t="e">
        <f t="shared" si="23"/>
        <v>#N/A</v>
      </c>
      <c r="HK121" s="54" t="e">
        <f t="shared" si="23"/>
        <v>#N/A</v>
      </c>
      <c r="HL121" s="54" t="e">
        <f t="shared" si="23"/>
        <v>#N/A</v>
      </c>
      <c r="HM121" s="54" t="e">
        <f t="shared" si="23"/>
        <v>#N/A</v>
      </c>
      <c r="HN121" s="54" t="e">
        <f t="shared" si="23"/>
        <v>#N/A</v>
      </c>
      <c r="HO121" s="54" t="e">
        <f t="shared" si="23"/>
        <v>#N/A</v>
      </c>
      <c r="HP121" s="54" t="e">
        <f t="shared" si="23"/>
        <v>#N/A</v>
      </c>
      <c r="HQ121" s="54" t="e">
        <f t="shared" si="23"/>
        <v>#N/A</v>
      </c>
      <c r="HR121" s="54" t="e">
        <f t="shared" si="23"/>
        <v>#N/A</v>
      </c>
      <c r="HS121" s="54" t="e">
        <f t="shared" si="23"/>
        <v>#N/A</v>
      </c>
      <c r="HT121" s="54" t="e">
        <f t="shared" si="23"/>
        <v>#N/A</v>
      </c>
      <c r="HU121" s="54" t="e">
        <f t="shared" si="23"/>
        <v>#N/A</v>
      </c>
      <c r="HV121" s="54" t="e">
        <f t="shared" si="23"/>
        <v>#N/A</v>
      </c>
      <c r="HW121" s="54" t="e">
        <f t="shared" si="23"/>
        <v>#N/A</v>
      </c>
      <c r="HX121" s="54" t="e">
        <f t="shared" ref="HX121:KI121" si="24">IF(HX117="",NA(),HX117)</f>
        <v>#N/A</v>
      </c>
      <c r="HY121" s="54" t="e">
        <f t="shared" si="24"/>
        <v>#N/A</v>
      </c>
      <c r="HZ121" s="54" t="e">
        <f t="shared" si="24"/>
        <v>#N/A</v>
      </c>
      <c r="IA121" s="54" t="e">
        <f t="shared" si="24"/>
        <v>#N/A</v>
      </c>
      <c r="IB121" s="54" t="e">
        <f t="shared" si="24"/>
        <v>#N/A</v>
      </c>
      <c r="IC121" s="54" t="e">
        <f t="shared" si="24"/>
        <v>#N/A</v>
      </c>
      <c r="ID121" s="54" t="e">
        <f t="shared" si="24"/>
        <v>#N/A</v>
      </c>
      <c r="IE121" s="54" t="e">
        <f t="shared" si="24"/>
        <v>#N/A</v>
      </c>
      <c r="IF121" s="54" t="e">
        <f t="shared" si="24"/>
        <v>#N/A</v>
      </c>
      <c r="IG121" s="54" t="e">
        <f t="shared" si="24"/>
        <v>#N/A</v>
      </c>
      <c r="IH121" s="54" t="e">
        <f t="shared" si="24"/>
        <v>#N/A</v>
      </c>
      <c r="II121" s="54" t="e">
        <f t="shared" si="24"/>
        <v>#N/A</v>
      </c>
      <c r="IJ121" s="54" t="e">
        <f t="shared" si="24"/>
        <v>#N/A</v>
      </c>
      <c r="IK121" s="54" t="e">
        <f t="shared" si="24"/>
        <v>#N/A</v>
      </c>
      <c r="IL121" s="54" t="e">
        <f t="shared" si="24"/>
        <v>#N/A</v>
      </c>
      <c r="IM121" s="54" t="e">
        <f t="shared" si="24"/>
        <v>#N/A</v>
      </c>
      <c r="IN121" s="54" t="e">
        <f t="shared" si="24"/>
        <v>#N/A</v>
      </c>
      <c r="IO121" s="54" t="e">
        <f t="shared" si="24"/>
        <v>#N/A</v>
      </c>
      <c r="IP121" s="54" t="e">
        <f t="shared" si="24"/>
        <v>#N/A</v>
      </c>
      <c r="IQ121" s="54" t="e">
        <f t="shared" si="24"/>
        <v>#N/A</v>
      </c>
      <c r="IR121" s="54" t="e">
        <f t="shared" si="24"/>
        <v>#N/A</v>
      </c>
      <c r="IS121" s="54" t="e">
        <f t="shared" si="24"/>
        <v>#N/A</v>
      </c>
      <c r="IT121" s="54" t="e">
        <f t="shared" si="24"/>
        <v>#N/A</v>
      </c>
      <c r="IU121" s="54" t="e">
        <f t="shared" si="24"/>
        <v>#N/A</v>
      </c>
      <c r="IV121" s="54" t="e">
        <f t="shared" si="24"/>
        <v>#N/A</v>
      </c>
      <c r="IW121" s="54" t="e">
        <f t="shared" si="24"/>
        <v>#N/A</v>
      </c>
      <c r="IX121" s="54" t="e">
        <f t="shared" si="24"/>
        <v>#N/A</v>
      </c>
      <c r="IY121" s="54" t="e">
        <f t="shared" si="24"/>
        <v>#N/A</v>
      </c>
      <c r="IZ121" s="54" t="e">
        <f t="shared" si="24"/>
        <v>#N/A</v>
      </c>
      <c r="JA121" s="54" t="e">
        <f t="shared" si="24"/>
        <v>#N/A</v>
      </c>
      <c r="JB121" s="54" t="e">
        <f t="shared" si="24"/>
        <v>#N/A</v>
      </c>
      <c r="JC121" s="54" t="e">
        <f t="shared" si="24"/>
        <v>#N/A</v>
      </c>
      <c r="JD121" s="54" t="e">
        <f t="shared" si="24"/>
        <v>#N/A</v>
      </c>
      <c r="JE121" s="54" t="e">
        <f t="shared" si="24"/>
        <v>#N/A</v>
      </c>
      <c r="JF121" s="54" t="e">
        <f t="shared" si="24"/>
        <v>#N/A</v>
      </c>
      <c r="JG121" s="54" t="e">
        <f t="shared" si="24"/>
        <v>#N/A</v>
      </c>
      <c r="JH121" s="54" t="e">
        <f t="shared" si="24"/>
        <v>#N/A</v>
      </c>
      <c r="JI121" s="54" t="e">
        <f t="shared" si="24"/>
        <v>#N/A</v>
      </c>
      <c r="JJ121" s="54" t="e">
        <f t="shared" si="24"/>
        <v>#N/A</v>
      </c>
      <c r="JK121" s="54" t="e">
        <f t="shared" si="24"/>
        <v>#N/A</v>
      </c>
      <c r="JL121" s="54" t="e">
        <f t="shared" si="24"/>
        <v>#N/A</v>
      </c>
      <c r="JM121" s="54" t="e">
        <f t="shared" si="24"/>
        <v>#N/A</v>
      </c>
      <c r="JN121" s="54" t="e">
        <f t="shared" si="24"/>
        <v>#N/A</v>
      </c>
      <c r="JO121" s="54" t="e">
        <f t="shared" si="24"/>
        <v>#N/A</v>
      </c>
      <c r="JP121" s="54" t="e">
        <f t="shared" si="24"/>
        <v>#N/A</v>
      </c>
      <c r="JQ121" s="54" t="e">
        <f t="shared" si="24"/>
        <v>#N/A</v>
      </c>
      <c r="JR121" s="54" t="e">
        <f t="shared" si="24"/>
        <v>#N/A</v>
      </c>
      <c r="JS121" s="54" t="e">
        <f t="shared" si="24"/>
        <v>#N/A</v>
      </c>
      <c r="JT121" s="54" t="e">
        <f t="shared" si="24"/>
        <v>#N/A</v>
      </c>
      <c r="JU121" s="54" t="e">
        <f t="shared" si="24"/>
        <v>#N/A</v>
      </c>
      <c r="JV121" s="54" t="e">
        <f t="shared" si="24"/>
        <v>#N/A</v>
      </c>
      <c r="JW121" s="54" t="e">
        <f t="shared" si="24"/>
        <v>#N/A</v>
      </c>
      <c r="JX121" s="54" t="e">
        <f t="shared" si="24"/>
        <v>#N/A</v>
      </c>
      <c r="JY121" s="54" t="e">
        <f t="shared" si="24"/>
        <v>#N/A</v>
      </c>
      <c r="JZ121" s="54" t="e">
        <f t="shared" si="24"/>
        <v>#N/A</v>
      </c>
      <c r="KA121" s="54" t="e">
        <f t="shared" si="24"/>
        <v>#N/A</v>
      </c>
      <c r="KB121" s="54" t="e">
        <f t="shared" si="24"/>
        <v>#N/A</v>
      </c>
      <c r="KC121" s="54" t="e">
        <f t="shared" si="24"/>
        <v>#N/A</v>
      </c>
      <c r="KD121" s="54" t="e">
        <f t="shared" si="24"/>
        <v>#N/A</v>
      </c>
      <c r="KE121" s="54" t="e">
        <f t="shared" si="24"/>
        <v>#N/A</v>
      </c>
      <c r="KF121" s="54" t="e">
        <f t="shared" si="24"/>
        <v>#N/A</v>
      </c>
      <c r="KG121" s="54" t="e">
        <f t="shared" si="24"/>
        <v>#N/A</v>
      </c>
      <c r="KH121" s="54" t="e">
        <f t="shared" si="24"/>
        <v>#N/A</v>
      </c>
      <c r="KI121" s="54" t="e">
        <f t="shared" si="24"/>
        <v>#N/A</v>
      </c>
      <c r="KJ121" s="54" t="e">
        <f t="shared" ref="KJ121:MN121" si="25">IF(KJ117="",NA(),KJ117)</f>
        <v>#N/A</v>
      </c>
      <c r="KK121" s="54" t="e">
        <f t="shared" si="25"/>
        <v>#N/A</v>
      </c>
      <c r="KL121" s="54" t="e">
        <f t="shared" si="25"/>
        <v>#N/A</v>
      </c>
      <c r="KM121" s="54" t="e">
        <f t="shared" si="25"/>
        <v>#N/A</v>
      </c>
      <c r="KN121" s="54" t="e">
        <f t="shared" si="25"/>
        <v>#N/A</v>
      </c>
      <c r="KO121" s="54" t="e">
        <f t="shared" si="25"/>
        <v>#N/A</v>
      </c>
      <c r="KP121" s="54" t="e">
        <f t="shared" si="25"/>
        <v>#N/A</v>
      </c>
      <c r="KQ121" s="54" t="e">
        <f t="shared" si="25"/>
        <v>#N/A</v>
      </c>
      <c r="KR121" s="54" t="e">
        <f t="shared" si="25"/>
        <v>#N/A</v>
      </c>
      <c r="KS121" s="54" t="e">
        <f t="shared" si="25"/>
        <v>#N/A</v>
      </c>
      <c r="KT121" s="54" t="e">
        <f t="shared" si="25"/>
        <v>#N/A</v>
      </c>
      <c r="KU121" s="54" t="e">
        <f t="shared" si="25"/>
        <v>#N/A</v>
      </c>
      <c r="KV121" s="54" t="e">
        <f t="shared" si="25"/>
        <v>#N/A</v>
      </c>
      <c r="KW121" s="54" t="e">
        <f t="shared" si="25"/>
        <v>#N/A</v>
      </c>
      <c r="KX121" s="54" t="e">
        <f t="shared" si="25"/>
        <v>#N/A</v>
      </c>
      <c r="KY121" s="54" t="e">
        <f t="shared" si="25"/>
        <v>#N/A</v>
      </c>
      <c r="KZ121" s="54" t="e">
        <f t="shared" si="25"/>
        <v>#N/A</v>
      </c>
      <c r="LA121" s="54" t="e">
        <f t="shared" si="25"/>
        <v>#N/A</v>
      </c>
      <c r="LB121" s="54" t="e">
        <f t="shared" si="25"/>
        <v>#N/A</v>
      </c>
      <c r="LC121" s="54" t="e">
        <f t="shared" si="25"/>
        <v>#N/A</v>
      </c>
      <c r="LD121" s="54" t="e">
        <f t="shared" si="25"/>
        <v>#N/A</v>
      </c>
      <c r="LE121" s="54" t="e">
        <f t="shared" si="25"/>
        <v>#N/A</v>
      </c>
      <c r="LF121" s="54" t="e">
        <f t="shared" si="25"/>
        <v>#N/A</v>
      </c>
      <c r="LG121" s="54" t="e">
        <f t="shared" si="25"/>
        <v>#N/A</v>
      </c>
      <c r="LH121" s="54" t="e">
        <f t="shared" si="25"/>
        <v>#N/A</v>
      </c>
      <c r="LI121" s="54" t="e">
        <f t="shared" si="25"/>
        <v>#N/A</v>
      </c>
      <c r="LJ121" s="54" t="e">
        <f t="shared" si="25"/>
        <v>#N/A</v>
      </c>
      <c r="LK121" s="54" t="e">
        <f t="shared" si="25"/>
        <v>#N/A</v>
      </c>
      <c r="LL121" s="54" t="e">
        <f t="shared" si="25"/>
        <v>#N/A</v>
      </c>
      <c r="LM121" s="54" t="e">
        <f t="shared" si="25"/>
        <v>#N/A</v>
      </c>
      <c r="LN121" s="54" t="e">
        <f t="shared" si="25"/>
        <v>#N/A</v>
      </c>
      <c r="LO121" s="54" t="e">
        <f t="shared" si="25"/>
        <v>#N/A</v>
      </c>
      <c r="LP121" s="54" t="e">
        <f t="shared" si="25"/>
        <v>#N/A</v>
      </c>
      <c r="LQ121" s="54" t="e">
        <f t="shared" si="25"/>
        <v>#N/A</v>
      </c>
      <c r="LR121" s="54" t="e">
        <f t="shared" si="25"/>
        <v>#N/A</v>
      </c>
      <c r="LS121" s="54" t="e">
        <f t="shared" si="25"/>
        <v>#N/A</v>
      </c>
      <c r="LT121" s="54" t="e">
        <f t="shared" si="25"/>
        <v>#N/A</v>
      </c>
      <c r="LU121" s="54" t="e">
        <f t="shared" si="25"/>
        <v>#N/A</v>
      </c>
      <c r="LV121" s="54" t="e">
        <f t="shared" si="25"/>
        <v>#N/A</v>
      </c>
      <c r="LW121" s="54" t="e">
        <f t="shared" si="25"/>
        <v>#N/A</v>
      </c>
      <c r="LX121" s="54" t="e">
        <f t="shared" si="25"/>
        <v>#N/A</v>
      </c>
      <c r="LY121" s="54" t="e">
        <f t="shared" si="25"/>
        <v>#N/A</v>
      </c>
      <c r="LZ121" s="54" t="e">
        <f t="shared" si="25"/>
        <v>#N/A</v>
      </c>
      <c r="MA121" s="54" t="e">
        <f t="shared" si="25"/>
        <v>#N/A</v>
      </c>
      <c r="MB121" s="54" t="e">
        <f t="shared" si="25"/>
        <v>#N/A</v>
      </c>
      <c r="MC121" s="54" t="e">
        <f t="shared" si="25"/>
        <v>#N/A</v>
      </c>
      <c r="MD121" s="54" t="e">
        <f t="shared" si="25"/>
        <v>#N/A</v>
      </c>
      <c r="ME121" s="54" t="e">
        <f t="shared" si="25"/>
        <v>#N/A</v>
      </c>
      <c r="MF121" s="54" t="e">
        <f t="shared" si="25"/>
        <v>#N/A</v>
      </c>
      <c r="MG121" s="54" t="e">
        <f t="shared" si="25"/>
        <v>#N/A</v>
      </c>
      <c r="MH121" s="54" t="e">
        <f t="shared" si="25"/>
        <v>#N/A</v>
      </c>
      <c r="MI121" s="54" t="e">
        <f t="shared" si="25"/>
        <v>#N/A</v>
      </c>
      <c r="MJ121" s="54" t="e">
        <f t="shared" si="25"/>
        <v>#N/A</v>
      </c>
      <c r="MK121" s="54" t="e">
        <f t="shared" si="25"/>
        <v>#N/A</v>
      </c>
      <c r="ML121" s="54" t="e">
        <f t="shared" si="25"/>
        <v>#N/A</v>
      </c>
      <c r="MM121" s="54" t="e">
        <f t="shared" si="25"/>
        <v>#N/A</v>
      </c>
      <c r="MN121" s="54" t="e">
        <f t="shared" si="25"/>
        <v>#N/A</v>
      </c>
    </row>
    <row r="122" spans="25:406" ht="15" customHeight="1" x14ac:dyDescent="0.25">
      <c r="Y122" s="58">
        <f t="shared" si="19"/>
        <v>307.48</v>
      </c>
      <c r="Z122" s="54">
        <f t="shared" si="20"/>
        <v>44917</v>
      </c>
      <c r="AA122" s="83" t="e">
        <f>IF(SUM(AE50:$AE$103)=0,NA(),SUM(AE50:$AE$103))</f>
        <v>#N/A</v>
      </c>
      <c r="AB122" s="104" t="e">
        <f>IF(SUM(AF50:$AF$103)=0,NA(),SUM(AF50:$AF$103))</f>
        <v>#N/A</v>
      </c>
      <c r="AC122" s="114" t="e">
        <f>IF(SUM(AG50:$AG$103)=0,NA(),SUM(AG50:$AG$103))</f>
        <v>#N/A</v>
      </c>
      <c r="AK122" s="54"/>
      <c r="AL122" s="57" t="s">
        <v>71</v>
      </c>
      <c r="AM122" s="57">
        <f>IF(AM118="",NA(),AM118)</f>
        <v>289.79000000000002</v>
      </c>
      <c r="AN122" s="57">
        <f t="shared" ref="AN122:CY122" si="26">IF(AN118="",NA(),AN118)</f>
        <v>289.58</v>
      </c>
      <c r="AO122" s="57">
        <f t="shared" si="26"/>
        <v>295.98</v>
      </c>
      <c r="AP122" s="57">
        <f t="shared" si="26"/>
        <v>297.87</v>
      </c>
      <c r="AQ122" s="57">
        <f t="shared" si="26"/>
        <v>301.52999999999997</v>
      </c>
      <c r="AR122" s="57">
        <f t="shared" si="26"/>
        <v>309.69</v>
      </c>
      <c r="AS122" s="57">
        <f t="shared" si="26"/>
        <v>309.57</v>
      </c>
      <c r="AT122" s="57">
        <f t="shared" si="26"/>
        <v>310.38</v>
      </c>
      <c r="AU122" s="57">
        <f t="shared" si="26"/>
        <v>310.7</v>
      </c>
      <c r="AV122" s="57">
        <f t="shared" si="26"/>
        <v>313.77</v>
      </c>
      <c r="AW122" s="57">
        <f t="shared" si="26"/>
        <v>316.04000000000002</v>
      </c>
      <c r="AX122" s="57" t="e">
        <f t="shared" si="26"/>
        <v>#N/A</v>
      </c>
      <c r="AY122" s="57" t="e">
        <f t="shared" si="26"/>
        <v>#N/A</v>
      </c>
      <c r="AZ122" s="57" t="e">
        <f t="shared" si="26"/>
        <v>#N/A</v>
      </c>
      <c r="BA122" s="57" t="e">
        <f t="shared" si="26"/>
        <v>#N/A</v>
      </c>
      <c r="BB122" s="57" t="e">
        <f t="shared" si="26"/>
        <v>#N/A</v>
      </c>
      <c r="BC122" s="57" t="e">
        <f t="shared" si="26"/>
        <v>#N/A</v>
      </c>
      <c r="BD122" s="57" t="e">
        <f t="shared" si="26"/>
        <v>#N/A</v>
      </c>
      <c r="BE122" s="57" t="e">
        <f t="shared" si="26"/>
        <v>#N/A</v>
      </c>
      <c r="BF122" s="57" t="e">
        <f t="shared" si="26"/>
        <v>#N/A</v>
      </c>
      <c r="BG122" s="57" t="e">
        <f t="shared" si="26"/>
        <v>#N/A</v>
      </c>
      <c r="BH122" s="57" t="e">
        <f t="shared" si="26"/>
        <v>#N/A</v>
      </c>
      <c r="BI122" s="57" t="e">
        <f t="shared" si="26"/>
        <v>#N/A</v>
      </c>
      <c r="BJ122" s="57" t="e">
        <f t="shared" si="26"/>
        <v>#N/A</v>
      </c>
      <c r="BK122" s="57" t="e">
        <f t="shared" si="26"/>
        <v>#N/A</v>
      </c>
      <c r="BL122" s="57" t="e">
        <f t="shared" si="26"/>
        <v>#N/A</v>
      </c>
      <c r="BM122" s="57" t="e">
        <f t="shared" si="26"/>
        <v>#N/A</v>
      </c>
      <c r="BN122" s="57" t="e">
        <f t="shared" si="26"/>
        <v>#N/A</v>
      </c>
      <c r="BO122" s="57" t="e">
        <f t="shared" si="26"/>
        <v>#N/A</v>
      </c>
      <c r="BP122" s="57" t="e">
        <f t="shared" si="26"/>
        <v>#N/A</v>
      </c>
      <c r="BQ122" s="57" t="e">
        <f t="shared" si="26"/>
        <v>#N/A</v>
      </c>
      <c r="BR122" s="57" t="e">
        <f t="shared" si="26"/>
        <v>#N/A</v>
      </c>
      <c r="BS122" s="57" t="e">
        <f t="shared" si="26"/>
        <v>#N/A</v>
      </c>
      <c r="BT122" s="57" t="e">
        <f t="shared" si="26"/>
        <v>#N/A</v>
      </c>
      <c r="BU122" s="57" t="e">
        <f t="shared" si="26"/>
        <v>#N/A</v>
      </c>
      <c r="BV122" s="57" t="e">
        <f t="shared" si="26"/>
        <v>#N/A</v>
      </c>
      <c r="BW122" s="57" t="e">
        <f t="shared" si="26"/>
        <v>#N/A</v>
      </c>
      <c r="BX122" s="57" t="e">
        <f t="shared" si="26"/>
        <v>#N/A</v>
      </c>
      <c r="BY122" s="57" t="e">
        <f t="shared" si="26"/>
        <v>#N/A</v>
      </c>
      <c r="BZ122" s="57" t="e">
        <f t="shared" si="26"/>
        <v>#N/A</v>
      </c>
      <c r="CA122" s="57" t="e">
        <f t="shared" si="26"/>
        <v>#N/A</v>
      </c>
      <c r="CB122" s="57" t="e">
        <f t="shared" si="26"/>
        <v>#N/A</v>
      </c>
      <c r="CC122" s="57" t="e">
        <f t="shared" si="26"/>
        <v>#N/A</v>
      </c>
      <c r="CD122" s="57" t="e">
        <f t="shared" si="26"/>
        <v>#N/A</v>
      </c>
      <c r="CE122" s="57" t="e">
        <f t="shared" si="26"/>
        <v>#N/A</v>
      </c>
      <c r="CF122" s="57" t="e">
        <f t="shared" si="26"/>
        <v>#N/A</v>
      </c>
      <c r="CG122" s="57" t="e">
        <f t="shared" si="26"/>
        <v>#N/A</v>
      </c>
      <c r="CH122" s="57" t="e">
        <f t="shared" si="26"/>
        <v>#N/A</v>
      </c>
      <c r="CI122" s="57" t="e">
        <f t="shared" si="26"/>
        <v>#N/A</v>
      </c>
      <c r="CJ122" s="57" t="e">
        <f t="shared" si="26"/>
        <v>#N/A</v>
      </c>
      <c r="CK122" s="57" t="e">
        <f t="shared" si="26"/>
        <v>#N/A</v>
      </c>
      <c r="CL122" s="57" t="e">
        <f t="shared" si="26"/>
        <v>#N/A</v>
      </c>
      <c r="CM122" s="57" t="e">
        <f t="shared" si="26"/>
        <v>#N/A</v>
      </c>
      <c r="CN122" s="57" t="e">
        <f t="shared" si="26"/>
        <v>#N/A</v>
      </c>
      <c r="CO122" s="57" t="e">
        <f t="shared" si="26"/>
        <v>#N/A</v>
      </c>
      <c r="CP122" s="57" t="e">
        <f t="shared" si="26"/>
        <v>#N/A</v>
      </c>
      <c r="CQ122" s="57" t="e">
        <f t="shared" si="26"/>
        <v>#N/A</v>
      </c>
      <c r="CR122" s="57" t="e">
        <f t="shared" si="26"/>
        <v>#N/A</v>
      </c>
      <c r="CS122" s="57" t="e">
        <f t="shared" si="26"/>
        <v>#N/A</v>
      </c>
      <c r="CT122" s="57" t="e">
        <f t="shared" si="26"/>
        <v>#N/A</v>
      </c>
      <c r="CU122" s="57" t="e">
        <f t="shared" si="26"/>
        <v>#N/A</v>
      </c>
      <c r="CV122" s="57" t="e">
        <f t="shared" si="26"/>
        <v>#N/A</v>
      </c>
      <c r="CW122" s="57" t="e">
        <f t="shared" si="26"/>
        <v>#N/A</v>
      </c>
      <c r="CX122" s="57" t="e">
        <f t="shared" si="26"/>
        <v>#N/A</v>
      </c>
      <c r="CY122" s="57" t="e">
        <f t="shared" si="26"/>
        <v>#N/A</v>
      </c>
      <c r="CZ122" s="57" t="e">
        <f t="shared" ref="CZ122:FK122" si="27">IF(CZ118="",NA(),CZ118)</f>
        <v>#N/A</v>
      </c>
      <c r="DA122" s="57" t="e">
        <f t="shared" si="27"/>
        <v>#N/A</v>
      </c>
      <c r="DB122" s="57" t="e">
        <f t="shared" si="27"/>
        <v>#N/A</v>
      </c>
      <c r="DC122" s="57" t="e">
        <f t="shared" si="27"/>
        <v>#N/A</v>
      </c>
      <c r="DD122" s="57" t="e">
        <f t="shared" si="27"/>
        <v>#N/A</v>
      </c>
      <c r="DE122" s="57" t="e">
        <f t="shared" si="27"/>
        <v>#N/A</v>
      </c>
      <c r="DF122" s="57" t="e">
        <f t="shared" si="27"/>
        <v>#N/A</v>
      </c>
      <c r="DG122" s="57" t="e">
        <f t="shared" si="27"/>
        <v>#N/A</v>
      </c>
      <c r="DH122" s="57" t="e">
        <f t="shared" si="27"/>
        <v>#N/A</v>
      </c>
      <c r="DI122" s="57" t="e">
        <f t="shared" si="27"/>
        <v>#N/A</v>
      </c>
      <c r="DJ122" s="57" t="e">
        <f t="shared" si="27"/>
        <v>#N/A</v>
      </c>
      <c r="DK122" s="57" t="e">
        <f t="shared" si="27"/>
        <v>#N/A</v>
      </c>
      <c r="DL122" s="57" t="e">
        <f t="shared" si="27"/>
        <v>#N/A</v>
      </c>
      <c r="DM122" s="57" t="e">
        <f t="shared" si="27"/>
        <v>#N/A</v>
      </c>
      <c r="DN122" s="57" t="e">
        <f t="shared" si="27"/>
        <v>#N/A</v>
      </c>
      <c r="DO122" s="57" t="e">
        <f t="shared" si="27"/>
        <v>#N/A</v>
      </c>
      <c r="DP122" s="57" t="e">
        <f t="shared" si="27"/>
        <v>#N/A</v>
      </c>
      <c r="DQ122" s="57" t="e">
        <f t="shared" si="27"/>
        <v>#N/A</v>
      </c>
      <c r="DR122" s="57" t="e">
        <f t="shared" si="27"/>
        <v>#N/A</v>
      </c>
      <c r="DS122" s="57" t="e">
        <f t="shared" si="27"/>
        <v>#N/A</v>
      </c>
      <c r="DT122" s="57" t="e">
        <f t="shared" si="27"/>
        <v>#N/A</v>
      </c>
      <c r="DU122" s="57" t="e">
        <f t="shared" si="27"/>
        <v>#N/A</v>
      </c>
      <c r="DV122" s="57" t="e">
        <f t="shared" si="27"/>
        <v>#N/A</v>
      </c>
      <c r="DW122" s="57" t="e">
        <f t="shared" si="27"/>
        <v>#N/A</v>
      </c>
      <c r="DX122" s="57" t="e">
        <f t="shared" si="27"/>
        <v>#N/A</v>
      </c>
      <c r="DY122" s="57" t="e">
        <f t="shared" si="27"/>
        <v>#N/A</v>
      </c>
      <c r="DZ122" s="57" t="e">
        <f t="shared" si="27"/>
        <v>#N/A</v>
      </c>
      <c r="EA122" s="57" t="e">
        <f t="shared" si="27"/>
        <v>#N/A</v>
      </c>
      <c r="EB122" s="57" t="e">
        <f t="shared" si="27"/>
        <v>#N/A</v>
      </c>
      <c r="EC122" s="57" t="e">
        <f t="shared" si="27"/>
        <v>#N/A</v>
      </c>
      <c r="ED122" s="57" t="e">
        <f t="shared" si="27"/>
        <v>#N/A</v>
      </c>
      <c r="EE122" s="57" t="e">
        <f t="shared" si="27"/>
        <v>#N/A</v>
      </c>
      <c r="EF122" s="57" t="e">
        <f t="shared" si="27"/>
        <v>#N/A</v>
      </c>
      <c r="EG122" s="57" t="e">
        <f t="shared" si="27"/>
        <v>#N/A</v>
      </c>
      <c r="EH122" s="57" t="e">
        <f t="shared" si="27"/>
        <v>#N/A</v>
      </c>
      <c r="EI122" s="57" t="e">
        <f t="shared" si="27"/>
        <v>#N/A</v>
      </c>
      <c r="EJ122" s="57" t="e">
        <f t="shared" si="27"/>
        <v>#N/A</v>
      </c>
      <c r="EK122" s="57" t="e">
        <f t="shared" si="27"/>
        <v>#N/A</v>
      </c>
      <c r="EL122" s="57" t="e">
        <f t="shared" si="27"/>
        <v>#N/A</v>
      </c>
      <c r="EM122" s="57" t="e">
        <f t="shared" si="27"/>
        <v>#N/A</v>
      </c>
      <c r="EN122" s="57" t="e">
        <f t="shared" si="27"/>
        <v>#N/A</v>
      </c>
      <c r="EO122" s="57" t="e">
        <f t="shared" si="27"/>
        <v>#N/A</v>
      </c>
      <c r="EP122" s="57" t="e">
        <f t="shared" si="27"/>
        <v>#N/A</v>
      </c>
      <c r="EQ122" s="57" t="e">
        <f t="shared" si="27"/>
        <v>#N/A</v>
      </c>
      <c r="ER122" s="57" t="e">
        <f t="shared" si="27"/>
        <v>#N/A</v>
      </c>
      <c r="ES122" s="57" t="e">
        <f t="shared" si="27"/>
        <v>#N/A</v>
      </c>
      <c r="ET122" s="57" t="e">
        <f t="shared" si="27"/>
        <v>#N/A</v>
      </c>
      <c r="EU122" s="57" t="e">
        <f t="shared" si="27"/>
        <v>#N/A</v>
      </c>
      <c r="EV122" s="57" t="e">
        <f t="shared" si="27"/>
        <v>#N/A</v>
      </c>
      <c r="EW122" s="57" t="e">
        <f t="shared" si="27"/>
        <v>#N/A</v>
      </c>
      <c r="EX122" s="57" t="e">
        <f t="shared" si="27"/>
        <v>#N/A</v>
      </c>
      <c r="EY122" s="57" t="e">
        <f t="shared" si="27"/>
        <v>#N/A</v>
      </c>
      <c r="EZ122" s="57" t="e">
        <f t="shared" si="27"/>
        <v>#N/A</v>
      </c>
      <c r="FA122" s="57" t="e">
        <f t="shared" si="27"/>
        <v>#N/A</v>
      </c>
      <c r="FB122" s="57" t="e">
        <f t="shared" si="27"/>
        <v>#N/A</v>
      </c>
      <c r="FC122" s="57" t="e">
        <f t="shared" si="27"/>
        <v>#N/A</v>
      </c>
      <c r="FD122" s="57" t="e">
        <f t="shared" si="27"/>
        <v>#N/A</v>
      </c>
      <c r="FE122" s="57" t="e">
        <f t="shared" si="27"/>
        <v>#N/A</v>
      </c>
      <c r="FF122" s="57" t="e">
        <f t="shared" si="27"/>
        <v>#N/A</v>
      </c>
      <c r="FG122" s="57" t="e">
        <f t="shared" si="27"/>
        <v>#N/A</v>
      </c>
      <c r="FH122" s="57" t="e">
        <f t="shared" si="27"/>
        <v>#N/A</v>
      </c>
      <c r="FI122" s="57" t="e">
        <f t="shared" si="27"/>
        <v>#N/A</v>
      </c>
      <c r="FJ122" s="57" t="e">
        <f t="shared" si="27"/>
        <v>#N/A</v>
      </c>
      <c r="FK122" s="57" t="e">
        <f t="shared" si="27"/>
        <v>#N/A</v>
      </c>
      <c r="FL122" s="57" t="e">
        <f t="shared" ref="FL122:HW122" si="28">IF(FL118="",NA(),FL118)</f>
        <v>#N/A</v>
      </c>
      <c r="FM122" s="57" t="e">
        <f t="shared" si="28"/>
        <v>#N/A</v>
      </c>
      <c r="FN122" s="57" t="e">
        <f t="shared" si="28"/>
        <v>#N/A</v>
      </c>
      <c r="FO122" s="57" t="e">
        <f t="shared" si="28"/>
        <v>#N/A</v>
      </c>
      <c r="FP122" s="57" t="e">
        <f t="shared" si="28"/>
        <v>#N/A</v>
      </c>
      <c r="FQ122" s="57" t="e">
        <f t="shared" si="28"/>
        <v>#N/A</v>
      </c>
      <c r="FR122" s="57" t="e">
        <f t="shared" si="28"/>
        <v>#N/A</v>
      </c>
      <c r="FS122" s="57" t="e">
        <f t="shared" si="28"/>
        <v>#N/A</v>
      </c>
      <c r="FT122" s="57" t="e">
        <f t="shared" si="28"/>
        <v>#N/A</v>
      </c>
      <c r="FU122" s="57" t="e">
        <f t="shared" si="28"/>
        <v>#N/A</v>
      </c>
      <c r="FV122" s="57" t="e">
        <f t="shared" si="28"/>
        <v>#N/A</v>
      </c>
      <c r="FW122" s="57" t="e">
        <f t="shared" si="28"/>
        <v>#N/A</v>
      </c>
      <c r="FX122" s="57" t="e">
        <f t="shared" si="28"/>
        <v>#N/A</v>
      </c>
      <c r="FY122" s="57" t="e">
        <f t="shared" si="28"/>
        <v>#N/A</v>
      </c>
      <c r="FZ122" s="57" t="e">
        <f t="shared" si="28"/>
        <v>#N/A</v>
      </c>
      <c r="GA122" s="57" t="e">
        <f t="shared" si="28"/>
        <v>#N/A</v>
      </c>
      <c r="GB122" s="57" t="e">
        <f t="shared" si="28"/>
        <v>#N/A</v>
      </c>
      <c r="GC122" s="57" t="e">
        <f t="shared" si="28"/>
        <v>#N/A</v>
      </c>
      <c r="GD122" s="57" t="e">
        <f t="shared" si="28"/>
        <v>#N/A</v>
      </c>
      <c r="GE122" s="57" t="e">
        <f t="shared" si="28"/>
        <v>#N/A</v>
      </c>
      <c r="GF122" s="57" t="e">
        <f t="shared" si="28"/>
        <v>#N/A</v>
      </c>
      <c r="GG122" s="57" t="e">
        <f t="shared" si="28"/>
        <v>#N/A</v>
      </c>
      <c r="GH122" s="57" t="e">
        <f t="shared" si="28"/>
        <v>#N/A</v>
      </c>
      <c r="GI122" s="57" t="e">
        <f t="shared" si="28"/>
        <v>#N/A</v>
      </c>
      <c r="GJ122" s="57" t="e">
        <f t="shared" si="28"/>
        <v>#N/A</v>
      </c>
      <c r="GK122" s="57" t="e">
        <f t="shared" si="28"/>
        <v>#N/A</v>
      </c>
      <c r="GL122" s="57" t="e">
        <f t="shared" si="28"/>
        <v>#N/A</v>
      </c>
      <c r="GM122" s="57" t="e">
        <f t="shared" si="28"/>
        <v>#N/A</v>
      </c>
      <c r="GN122" s="57" t="e">
        <f t="shared" si="28"/>
        <v>#N/A</v>
      </c>
      <c r="GO122" s="57" t="e">
        <f t="shared" si="28"/>
        <v>#N/A</v>
      </c>
      <c r="GP122" s="57" t="e">
        <f t="shared" si="28"/>
        <v>#N/A</v>
      </c>
      <c r="GQ122" s="57" t="e">
        <f t="shared" si="28"/>
        <v>#N/A</v>
      </c>
      <c r="GR122" s="57" t="e">
        <f t="shared" si="28"/>
        <v>#N/A</v>
      </c>
      <c r="GS122" s="57" t="e">
        <f t="shared" si="28"/>
        <v>#N/A</v>
      </c>
      <c r="GT122" s="57" t="e">
        <f t="shared" si="28"/>
        <v>#N/A</v>
      </c>
      <c r="GU122" s="57" t="e">
        <f t="shared" si="28"/>
        <v>#N/A</v>
      </c>
      <c r="GV122" s="57" t="e">
        <f t="shared" si="28"/>
        <v>#N/A</v>
      </c>
      <c r="GW122" s="57" t="e">
        <f t="shared" si="28"/>
        <v>#N/A</v>
      </c>
      <c r="GX122" s="57" t="e">
        <f t="shared" si="28"/>
        <v>#N/A</v>
      </c>
      <c r="GY122" s="57" t="e">
        <f t="shared" si="28"/>
        <v>#N/A</v>
      </c>
      <c r="GZ122" s="57" t="e">
        <f t="shared" si="28"/>
        <v>#N/A</v>
      </c>
      <c r="HA122" s="57" t="e">
        <f t="shared" si="28"/>
        <v>#N/A</v>
      </c>
      <c r="HB122" s="57" t="e">
        <f t="shared" si="28"/>
        <v>#N/A</v>
      </c>
      <c r="HC122" s="57" t="e">
        <f t="shared" si="28"/>
        <v>#N/A</v>
      </c>
      <c r="HD122" s="57" t="e">
        <f t="shared" si="28"/>
        <v>#N/A</v>
      </c>
      <c r="HE122" s="57" t="e">
        <f t="shared" si="28"/>
        <v>#N/A</v>
      </c>
      <c r="HF122" s="57" t="e">
        <f t="shared" si="28"/>
        <v>#N/A</v>
      </c>
      <c r="HG122" s="57" t="e">
        <f t="shared" si="28"/>
        <v>#N/A</v>
      </c>
      <c r="HH122" s="57" t="e">
        <f t="shared" si="28"/>
        <v>#N/A</v>
      </c>
      <c r="HI122" s="57" t="e">
        <f t="shared" si="28"/>
        <v>#N/A</v>
      </c>
      <c r="HJ122" s="57" t="e">
        <f t="shared" si="28"/>
        <v>#N/A</v>
      </c>
      <c r="HK122" s="57" t="e">
        <f t="shared" si="28"/>
        <v>#N/A</v>
      </c>
      <c r="HL122" s="57" t="e">
        <f t="shared" si="28"/>
        <v>#N/A</v>
      </c>
      <c r="HM122" s="57" t="e">
        <f t="shared" si="28"/>
        <v>#N/A</v>
      </c>
      <c r="HN122" s="57" t="e">
        <f t="shared" si="28"/>
        <v>#N/A</v>
      </c>
      <c r="HO122" s="57" t="e">
        <f t="shared" si="28"/>
        <v>#N/A</v>
      </c>
      <c r="HP122" s="57" t="e">
        <f t="shared" si="28"/>
        <v>#N/A</v>
      </c>
      <c r="HQ122" s="57" t="e">
        <f t="shared" si="28"/>
        <v>#N/A</v>
      </c>
      <c r="HR122" s="57" t="e">
        <f t="shared" si="28"/>
        <v>#N/A</v>
      </c>
      <c r="HS122" s="57" t="e">
        <f t="shared" si="28"/>
        <v>#N/A</v>
      </c>
      <c r="HT122" s="57" t="e">
        <f t="shared" si="28"/>
        <v>#N/A</v>
      </c>
      <c r="HU122" s="57" t="e">
        <f t="shared" si="28"/>
        <v>#N/A</v>
      </c>
      <c r="HV122" s="57" t="e">
        <f t="shared" si="28"/>
        <v>#N/A</v>
      </c>
      <c r="HW122" s="57" t="e">
        <f t="shared" si="28"/>
        <v>#N/A</v>
      </c>
      <c r="HX122" s="57" t="e">
        <f t="shared" ref="HX122:KI122" si="29">IF(HX118="",NA(),HX118)</f>
        <v>#N/A</v>
      </c>
      <c r="HY122" s="57" t="e">
        <f t="shared" si="29"/>
        <v>#N/A</v>
      </c>
      <c r="HZ122" s="57" t="e">
        <f t="shared" si="29"/>
        <v>#N/A</v>
      </c>
      <c r="IA122" s="57" t="e">
        <f t="shared" si="29"/>
        <v>#N/A</v>
      </c>
      <c r="IB122" s="57" t="e">
        <f t="shared" si="29"/>
        <v>#N/A</v>
      </c>
      <c r="IC122" s="57" t="e">
        <f t="shared" si="29"/>
        <v>#N/A</v>
      </c>
      <c r="ID122" s="57" t="e">
        <f t="shared" si="29"/>
        <v>#N/A</v>
      </c>
      <c r="IE122" s="57" t="e">
        <f t="shared" si="29"/>
        <v>#N/A</v>
      </c>
      <c r="IF122" s="57" t="e">
        <f t="shared" si="29"/>
        <v>#N/A</v>
      </c>
      <c r="IG122" s="57" t="e">
        <f t="shared" si="29"/>
        <v>#N/A</v>
      </c>
      <c r="IH122" s="57" t="e">
        <f t="shared" si="29"/>
        <v>#N/A</v>
      </c>
      <c r="II122" s="57" t="e">
        <f t="shared" si="29"/>
        <v>#N/A</v>
      </c>
      <c r="IJ122" s="57" t="e">
        <f t="shared" si="29"/>
        <v>#N/A</v>
      </c>
      <c r="IK122" s="57" t="e">
        <f t="shared" si="29"/>
        <v>#N/A</v>
      </c>
      <c r="IL122" s="57" t="e">
        <f t="shared" si="29"/>
        <v>#N/A</v>
      </c>
      <c r="IM122" s="57" t="e">
        <f t="shared" si="29"/>
        <v>#N/A</v>
      </c>
      <c r="IN122" s="57" t="e">
        <f t="shared" si="29"/>
        <v>#N/A</v>
      </c>
      <c r="IO122" s="57" t="e">
        <f t="shared" si="29"/>
        <v>#N/A</v>
      </c>
      <c r="IP122" s="57" t="e">
        <f t="shared" si="29"/>
        <v>#N/A</v>
      </c>
      <c r="IQ122" s="57" t="e">
        <f t="shared" si="29"/>
        <v>#N/A</v>
      </c>
      <c r="IR122" s="57" t="e">
        <f t="shared" si="29"/>
        <v>#N/A</v>
      </c>
      <c r="IS122" s="57" t="e">
        <f t="shared" si="29"/>
        <v>#N/A</v>
      </c>
      <c r="IT122" s="57" t="e">
        <f t="shared" si="29"/>
        <v>#N/A</v>
      </c>
      <c r="IU122" s="57" t="e">
        <f t="shared" si="29"/>
        <v>#N/A</v>
      </c>
      <c r="IV122" s="57" t="e">
        <f t="shared" si="29"/>
        <v>#N/A</v>
      </c>
      <c r="IW122" s="57" t="e">
        <f t="shared" si="29"/>
        <v>#N/A</v>
      </c>
      <c r="IX122" s="57" t="e">
        <f t="shared" si="29"/>
        <v>#N/A</v>
      </c>
      <c r="IY122" s="57" t="e">
        <f t="shared" si="29"/>
        <v>#N/A</v>
      </c>
      <c r="IZ122" s="57" t="e">
        <f t="shared" si="29"/>
        <v>#N/A</v>
      </c>
      <c r="JA122" s="57" t="e">
        <f t="shared" si="29"/>
        <v>#N/A</v>
      </c>
      <c r="JB122" s="57" t="e">
        <f t="shared" si="29"/>
        <v>#N/A</v>
      </c>
      <c r="JC122" s="57" t="e">
        <f t="shared" si="29"/>
        <v>#N/A</v>
      </c>
      <c r="JD122" s="57" t="e">
        <f t="shared" si="29"/>
        <v>#N/A</v>
      </c>
      <c r="JE122" s="57" t="e">
        <f t="shared" si="29"/>
        <v>#N/A</v>
      </c>
      <c r="JF122" s="57" t="e">
        <f t="shared" si="29"/>
        <v>#N/A</v>
      </c>
      <c r="JG122" s="57" t="e">
        <f t="shared" si="29"/>
        <v>#N/A</v>
      </c>
      <c r="JH122" s="57" t="e">
        <f t="shared" si="29"/>
        <v>#N/A</v>
      </c>
      <c r="JI122" s="57" t="e">
        <f t="shared" si="29"/>
        <v>#N/A</v>
      </c>
      <c r="JJ122" s="57" t="e">
        <f t="shared" si="29"/>
        <v>#N/A</v>
      </c>
      <c r="JK122" s="57" t="e">
        <f t="shared" si="29"/>
        <v>#N/A</v>
      </c>
      <c r="JL122" s="57" t="e">
        <f t="shared" si="29"/>
        <v>#N/A</v>
      </c>
      <c r="JM122" s="57" t="e">
        <f t="shared" si="29"/>
        <v>#N/A</v>
      </c>
      <c r="JN122" s="57" t="e">
        <f t="shared" si="29"/>
        <v>#N/A</v>
      </c>
      <c r="JO122" s="57" t="e">
        <f t="shared" si="29"/>
        <v>#N/A</v>
      </c>
      <c r="JP122" s="57" t="e">
        <f t="shared" si="29"/>
        <v>#N/A</v>
      </c>
      <c r="JQ122" s="57" t="e">
        <f t="shared" si="29"/>
        <v>#N/A</v>
      </c>
      <c r="JR122" s="57" t="e">
        <f t="shared" si="29"/>
        <v>#N/A</v>
      </c>
      <c r="JS122" s="57" t="e">
        <f t="shared" si="29"/>
        <v>#N/A</v>
      </c>
      <c r="JT122" s="57" t="e">
        <f t="shared" si="29"/>
        <v>#N/A</v>
      </c>
      <c r="JU122" s="57" t="e">
        <f t="shared" si="29"/>
        <v>#N/A</v>
      </c>
      <c r="JV122" s="57" t="e">
        <f t="shared" si="29"/>
        <v>#N/A</v>
      </c>
      <c r="JW122" s="57" t="e">
        <f t="shared" si="29"/>
        <v>#N/A</v>
      </c>
      <c r="JX122" s="57" t="e">
        <f t="shared" si="29"/>
        <v>#N/A</v>
      </c>
      <c r="JY122" s="57" t="e">
        <f t="shared" si="29"/>
        <v>#N/A</v>
      </c>
      <c r="JZ122" s="57" t="e">
        <f t="shared" si="29"/>
        <v>#N/A</v>
      </c>
      <c r="KA122" s="57" t="e">
        <f t="shared" si="29"/>
        <v>#N/A</v>
      </c>
      <c r="KB122" s="57" t="e">
        <f t="shared" si="29"/>
        <v>#N/A</v>
      </c>
      <c r="KC122" s="57" t="e">
        <f t="shared" si="29"/>
        <v>#N/A</v>
      </c>
      <c r="KD122" s="57" t="e">
        <f t="shared" si="29"/>
        <v>#N/A</v>
      </c>
      <c r="KE122" s="57" t="e">
        <f t="shared" si="29"/>
        <v>#N/A</v>
      </c>
      <c r="KF122" s="57" t="e">
        <f t="shared" si="29"/>
        <v>#N/A</v>
      </c>
      <c r="KG122" s="57" t="e">
        <f t="shared" si="29"/>
        <v>#N/A</v>
      </c>
      <c r="KH122" s="57" t="e">
        <f t="shared" si="29"/>
        <v>#N/A</v>
      </c>
      <c r="KI122" s="57" t="e">
        <f t="shared" si="29"/>
        <v>#N/A</v>
      </c>
      <c r="KJ122" s="57" t="e">
        <f t="shared" ref="KJ122:MN122" si="30">IF(KJ118="",NA(),KJ118)</f>
        <v>#N/A</v>
      </c>
      <c r="KK122" s="57" t="e">
        <f t="shared" si="30"/>
        <v>#N/A</v>
      </c>
      <c r="KL122" s="57" t="e">
        <f t="shared" si="30"/>
        <v>#N/A</v>
      </c>
      <c r="KM122" s="57" t="e">
        <f t="shared" si="30"/>
        <v>#N/A</v>
      </c>
      <c r="KN122" s="57" t="e">
        <f t="shared" si="30"/>
        <v>#N/A</v>
      </c>
      <c r="KO122" s="57" t="e">
        <f t="shared" si="30"/>
        <v>#N/A</v>
      </c>
      <c r="KP122" s="57" t="e">
        <f t="shared" si="30"/>
        <v>#N/A</v>
      </c>
      <c r="KQ122" s="57" t="e">
        <f t="shared" si="30"/>
        <v>#N/A</v>
      </c>
      <c r="KR122" s="57" t="e">
        <f t="shared" si="30"/>
        <v>#N/A</v>
      </c>
      <c r="KS122" s="57" t="e">
        <f t="shared" si="30"/>
        <v>#N/A</v>
      </c>
      <c r="KT122" s="57" t="e">
        <f t="shared" si="30"/>
        <v>#N/A</v>
      </c>
      <c r="KU122" s="57" t="e">
        <f t="shared" si="30"/>
        <v>#N/A</v>
      </c>
      <c r="KV122" s="57" t="e">
        <f t="shared" si="30"/>
        <v>#N/A</v>
      </c>
      <c r="KW122" s="57" t="e">
        <f t="shared" si="30"/>
        <v>#N/A</v>
      </c>
      <c r="KX122" s="57" t="e">
        <f t="shared" si="30"/>
        <v>#N/A</v>
      </c>
      <c r="KY122" s="57" t="e">
        <f t="shared" si="30"/>
        <v>#N/A</v>
      </c>
      <c r="KZ122" s="57" t="e">
        <f t="shared" si="30"/>
        <v>#N/A</v>
      </c>
      <c r="LA122" s="57" t="e">
        <f t="shared" si="30"/>
        <v>#N/A</v>
      </c>
      <c r="LB122" s="57" t="e">
        <f t="shared" si="30"/>
        <v>#N/A</v>
      </c>
      <c r="LC122" s="57" t="e">
        <f t="shared" si="30"/>
        <v>#N/A</v>
      </c>
      <c r="LD122" s="57" t="e">
        <f t="shared" si="30"/>
        <v>#N/A</v>
      </c>
      <c r="LE122" s="57" t="e">
        <f t="shared" si="30"/>
        <v>#N/A</v>
      </c>
      <c r="LF122" s="57" t="e">
        <f t="shared" si="30"/>
        <v>#N/A</v>
      </c>
      <c r="LG122" s="57" t="e">
        <f t="shared" si="30"/>
        <v>#N/A</v>
      </c>
      <c r="LH122" s="57" t="e">
        <f t="shared" si="30"/>
        <v>#N/A</v>
      </c>
      <c r="LI122" s="57" t="e">
        <f t="shared" si="30"/>
        <v>#N/A</v>
      </c>
      <c r="LJ122" s="57" t="e">
        <f t="shared" si="30"/>
        <v>#N/A</v>
      </c>
      <c r="LK122" s="57" t="e">
        <f t="shared" si="30"/>
        <v>#N/A</v>
      </c>
      <c r="LL122" s="57" t="e">
        <f t="shared" si="30"/>
        <v>#N/A</v>
      </c>
      <c r="LM122" s="57" t="e">
        <f t="shared" si="30"/>
        <v>#N/A</v>
      </c>
      <c r="LN122" s="57" t="e">
        <f t="shared" si="30"/>
        <v>#N/A</v>
      </c>
      <c r="LO122" s="57" t="e">
        <f t="shared" si="30"/>
        <v>#N/A</v>
      </c>
      <c r="LP122" s="57" t="e">
        <f t="shared" si="30"/>
        <v>#N/A</v>
      </c>
      <c r="LQ122" s="57" t="e">
        <f t="shared" si="30"/>
        <v>#N/A</v>
      </c>
      <c r="LR122" s="57" t="e">
        <f t="shared" si="30"/>
        <v>#N/A</v>
      </c>
      <c r="LS122" s="57" t="e">
        <f t="shared" si="30"/>
        <v>#N/A</v>
      </c>
      <c r="LT122" s="57" t="e">
        <f t="shared" si="30"/>
        <v>#N/A</v>
      </c>
      <c r="LU122" s="57" t="e">
        <f t="shared" si="30"/>
        <v>#N/A</v>
      </c>
      <c r="LV122" s="57" t="e">
        <f t="shared" si="30"/>
        <v>#N/A</v>
      </c>
      <c r="LW122" s="57" t="e">
        <f t="shared" si="30"/>
        <v>#N/A</v>
      </c>
      <c r="LX122" s="57" t="e">
        <f t="shared" si="30"/>
        <v>#N/A</v>
      </c>
      <c r="LY122" s="57" t="e">
        <f t="shared" si="30"/>
        <v>#N/A</v>
      </c>
      <c r="LZ122" s="57" t="e">
        <f t="shared" si="30"/>
        <v>#N/A</v>
      </c>
      <c r="MA122" s="57" t="e">
        <f t="shared" si="30"/>
        <v>#N/A</v>
      </c>
      <c r="MB122" s="57" t="e">
        <f t="shared" si="30"/>
        <v>#N/A</v>
      </c>
      <c r="MC122" s="57" t="e">
        <f t="shared" si="30"/>
        <v>#N/A</v>
      </c>
      <c r="MD122" s="57" t="e">
        <f t="shared" si="30"/>
        <v>#N/A</v>
      </c>
      <c r="ME122" s="57" t="e">
        <f t="shared" si="30"/>
        <v>#N/A</v>
      </c>
      <c r="MF122" s="57" t="e">
        <f t="shared" si="30"/>
        <v>#N/A</v>
      </c>
      <c r="MG122" s="57" t="e">
        <f t="shared" si="30"/>
        <v>#N/A</v>
      </c>
      <c r="MH122" s="57" t="e">
        <f t="shared" si="30"/>
        <v>#N/A</v>
      </c>
      <c r="MI122" s="57" t="e">
        <f t="shared" si="30"/>
        <v>#N/A</v>
      </c>
      <c r="MJ122" s="57" t="e">
        <f t="shared" si="30"/>
        <v>#N/A</v>
      </c>
      <c r="MK122" s="57" t="e">
        <f t="shared" si="30"/>
        <v>#N/A</v>
      </c>
      <c r="ML122" s="57" t="e">
        <f t="shared" si="30"/>
        <v>#N/A</v>
      </c>
      <c r="MM122" s="57" t="e">
        <f t="shared" si="30"/>
        <v>#N/A</v>
      </c>
      <c r="MN122" s="57" t="e">
        <f t="shared" si="30"/>
        <v>#N/A</v>
      </c>
    </row>
    <row r="123" spans="25:406" ht="15" customHeight="1" x14ac:dyDescent="0.25">
      <c r="Y123" s="58">
        <f t="shared" si="19"/>
        <v>303.23</v>
      </c>
      <c r="Z123" s="54">
        <f t="shared" si="20"/>
        <v>44916</v>
      </c>
      <c r="AA123" s="83" t="e">
        <f>IF(SUM(AE51:$AE$103)=0,NA(),SUM(AE51:$AE$103))</f>
        <v>#N/A</v>
      </c>
      <c r="AB123" s="104" t="e">
        <f>IF(SUM(AF51:$AF$103)=0,NA(),SUM(AF51:$AF$103))</f>
        <v>#N/A</v>
      </c>
      <c r="AC123" s="114" t="e">
        <f>IF(SUM(AG51:$AG$103)=0,NA(),SUM(AG51:$AG$103))</f>
        <v>#N/A</v>
      </c>
      <c r="AG123" s="58"/>
      <c r="AK123" s="54"/>
      <c r="AL123" s="57" t="s">
        <v>72</v>
      </c>
      <c r="AM123" s="57">
        <f>IF(AM119="",NA(),AM119)</f>
        <v>18.850000000000001</v>
      </c>
      <c r="AN123" s="57">
        <f t="shared" ref="AN123:CY123" si="31">IF(AN119="",NA(),AN119)</f>
        <v>18.96</v>
      </c>
      <c r="AO123" s="57">
        <f t="shared" si="31"/>
        <v>18.170000000000002</v>
      </c>
      <c r="AP123" s="57">
        <f t="shared" si="31"/>
        <v>17.850000000000001</v>
      </c>
      <c r="AQ123" s="57">
        <f t="shared" si="31"/>
        <v>17.739999999999998</v>
      </c>
      <c r="AR123" s="57">
        <f t="shared" si="31"/>
        <v>18.48</v>
      </c>
      <c r="AS123" s="57">
        <f t="shared" si="31"/>
        <v>18.22</v>
      </c>
      <c r="AT123" s="57">
        <f t="shared" si="31"/>
        <v>17.98</v>
      </c>
      <c r="AU123" s="57">
        <f t="shared" si="31"/>
        <v>18.34</v>
      </c>
      <c r="AV123" s="57">
        <f t="shared" si="31"/>
        <v>17.190000000000001</v>
      </c>
      <c r="AW123" s="57">
        <f t="shared" si="31"/>
        <v>16.88</v>
      </c>
      <c r="AX123" s="57" t="e">
        <f t="shared" si="31"/>
        <v>#N/A</v>
      </c>
      <c r="AY123" s="57" t="e">
        <f t="shared" si="31"/>
        <v>#N/A</v>
      </c>
      <c r="AZ123" s="57" t="e">
        <f t="shared" si="31"/>
        <v>#N/A</v>
      </c>
      <c r="BA123" s="57" t="e">
        <f t="shared" si="31"/>
        <v>#N/A</v>
      </c>
      <c r="BB123" s="57" t="e">
        <f t="shared" si="31"/>
        <v>#N/A</v>
      </c>
      <c r="BC123" s="57" t="e">
        <f t="shared" si="31"/>
        <v>#N/A</v>
      </c>
      <c r="BD123" s="57" t="e">
        <f t="shared" si="31"/>
        <v>#N/A</v>
      </c>
      <c r="BE123" s="57" t="e">
        <f t="shared" si="31"/>
        <v>#N/A</v>
      </c>
      <c r="BF123" s="57" t="e">
        <f t="shared" si="31"/>
        <v>#N/A</v>
      </c>
      <c r="BG123" s="57" t="e">
        <f t="shared" si="31"/>
        <v>#N/A</v>
      </c>
      <c r="BH123" s="57" t="e">
        <f t="shared" si="31"/>
        <v>#N/A</v>
      </c>
      <c r="BI123" s="57" t="e">
        <f t="shared" si="31"/>
        <v>#N/A</v>
      </c>
      <c r="BJ123" s="57" t="e">
        <f t="shared" si="31"/>
        <v>#N/A</v>
      </c>
      <c r="BK123" s="57" t="e">
        <f t="shared" si="31"/>
        <v>#N/A</v>
      </c>
      <c r="BL123" s="57" t="e">
        <f t="shared" si="31"/>
        <v>#N/A</v>
      </c>
      <c r="BM123" s="57" t="e">
        <f t="shared" si="31"/>
        <v>#N/A</v>
      </c>
      <c r="BN123" s="57" t="e">
        <f t="shared" si="31"/>
        <v>#N/A</v>
      </c>
      <c r="BO123" s="57" t="e">
        <f t="shared" si="31"/>
        <v>#N/A</v>
      </c>
      <c r="BP123" s="57" t="e">
        <f t="shared" si="31"/>
        <v>#N/A</v>
      </c>
      <c r="BQ123" s="57" t="e">
        <f t="shared" si="31"/>
        <v>#N/A</v>
      </c>
      <c r="BR123" s="57" t="e">
        <f t="shared" si="31"/>
        <v>#N/A</v>
      </c>
      <c r="BS123" s="57" t="e">
        <f t="shared" si="31"/>
        <v>#N/A</v>
      </c>
      <c r="BT123" s="57" t="e">
        <f t="shared" si="31"/>
        <v>#N/A</v>
      </c>
      <c r="BU123" s="57" t="e">
        <f t="shared" si="31"/>
        <v>#N/A</v>
      </c>
      <c r="BV123" s="57" t="e">
        <f t="shared" si="31"/>
        <v>#N/A</v>
      </c>
      <c r="BW123" s="57" t="e">
        <f t="shared" si="31"/>
        <v>#N/A</v>
      </c>
      <c r="BX123" s="57" t="e">
        <f t="shared" si="31"/>
        <v>#N/A</v>
      </c>
      <c r="BY123" s="57" t="e">
        <f t="shared" si="31"/>
        <v>#N/A</v>
      </c>
      <c r="BZ123" s="57" t="e">
        <f t="shared" si="31"/>
        <v>#N/A</v>
      </c>
      <c r="CA123" s="57" t="e">
        <f t="shared" si="31"/>
        <v>#N/A</v>
      </c>
      <c r="CB123" s="57" t="e">
        <f t="shared" si="31"/>
        <v>#N/A</v>
      </c>
      <c r="CC123" s="57" t="e">
        <f t="shared" si="31"/>
        <v>#N/A</v>
      </c>
      <c r="CD123" s="57" t="e">
        <f t="shared" si="31"/>
        <v>#N/A</v>
      </c>
      <c r="CE123" s="57" t="e">
        <f t="shared" si="31"/>
        <v>#N/A</v>
      </c>
      <c r="CF123" s="57" t="e">
        <f t="shared" si="31"/>
        <v>#N/A</v>
      </c>
      <c r="CG123" s="57" t="e">
        <f t="shared" si="31"/>
        <v>#N/A</v>
      </c>
      <c r="CH123" s="57" t="e">
        <f t="shared" si="31"/>
        <v>#N/A</v>
      </c>
      <c r="CI123" s="57" t="e">
        <f t="shared" si="31"/>
        <v>#N/A</v>
      </c>
      <c r="CJ123" s="57" t="e">
        <f t="shared" si="31"/>
        <v>#N/A</v>
      </c>
      <c r="CK123" s="57" t="e">
        <f t="shared" si="31"/>
        <v>#N/A</v>
      </c>
      <c r="CL123" s="57" t="e">
        <f t="shared" si="31"/>
        <v>#N/A</v>
      </c>
      <c r="CM123" s="57" t="e">
        <f t="shared" si="31"/>
        <v>#N/A</v>
      </c>
      <c r="CN123" s="57" t="e">
        <f t="shared" si="31"/>
        <v>#N/A</v>
      </c>
      <c r="CO123" s="57" t="e">
        <f t="shared" si="31"/>
        <v>#N/A</v>
      </c>
      <c r="CP123" s="57" t="e">
        <f t="shared" si="31"/>
        <v>#N/A</v>
      </c>
      <c r="CQ123" s="57" t="e">
        <f t="shared" si="31"/>
        <v>#N/A</v>
      </c>
      <c r="CR123" s="57" t="e">
        <f t="shared" si="31"/>
        <v>#N/A</v>
      </c>
      <c r="CS123" s="57" t="e">
        <f t="shared" si="31"/>
        <v>#N/A</v>
      </c>
      <c r="CT123" s="57" t="e">
        <f t="shared" si="31"/>
        <v>#N/A</v>
      </c>
      <c r="CU123" s="57" t="e">
        <f t="shared" si="31"/>
        <v>#N/A</v>
      </c>
      <c r="CV123" s="57" t="e">
        <f t="shared" si="31"/>
        <v>#N/A</v>
      </c>
      <c r="CW123" s="57" t="e">
        <f t="shared" si="31"/>
        <v>#N/A</v>
      </c>
      <c r="CX123" s="57" t="e">
        <f t="shared" si="31"/>
        <v>#N/A</v>
      </c>
      <c r="CY123" s="57" t="e">
        <f t="shared" si="31"/>
        <v>#N/A</v>
      </c>
      <c r="CZ123" s="57" t="e">
        <f t="shared" ref="CZ123:FK123" si="32">IF(CZ119="",NA(),CZ119)</f>
        <v>#N/A</v>
      </c>
      <c r="DA123" s="57" t="e">
        <f t="shared" si="32"/>
        <v>#N/A</v>
      </c>
      <c r="DB123" s="57" t="e">
        <f t="shared" si="32"/>
        <v>#N/A</v>
      </c>
      <c r="DC123" s="57" t="e">
        <f t="shared" si="32"/>
        <v>#N/A</v>
      </c>
      <c r="DD123" s="57" t="e">
        <f t="shared" si="32"/>
        <v>#N/A</v>
      </c>
      <c r="DE123" s="57" t="e">
        <f t="shared" si="32"/>
        <v>#N/A</v>
      </c>
      <c r="DF123" s="57" t="e">
        <f t="shared" si="32"/>
        <v>#N/A</v>
      </c>
      <c r="DG123" s="57" t="e">
        <f t="shared" si="32"/>
        <v>#N/A</v>
      </c>
      <c r="DH123" s="57" t="e">
        <f t="shared" si="32"/>
        <v>#N/A</v>
      </c>
      <c r="DI123" s="57" t="e">
        <f t="shared" si="32"/>
        <v>#N/A</v>
      </c>
      <c r="DJ123" s="57" t="e">
        <f t="shared" si="32"/>
        <v>#N/A</v>
      </c>
      <c r="DK123" s="57" t="e">
        <f t="shared" si="32"/>
        <v>#N/A</v>
      </c>
      <c r="DL123" s="57" t="e">
        <f t="shared" si="32"/>
        <v>#N/A</v>
      </c>
      <c r="DM123" s="57" t="e">
        <f t="shared" si="32"/>
        <v>#N/A</v>
      </c>
      <c r="DN123" s="57" t="e">
        <f t="shared" si="32"/>
        <v>#N/A</v>
      </c>
      <c r="DO123" s="57" t="e">
        <f t="shared" si="32"/>
        <v>#N/A</v>
      </c>
      <c r="DP123" s="57" t="e">
        <f t="shared" si="32"/>
        <v>#N/A</v>
      </c>
      <c r="DQ123" s="57" t="e">
        <f t="shared" si="32"/>
        <v>#N/A</v>
      </c>
      <c r="DR123" s="57" t="e">
        <f t="shared" si="32"/>
        <v>#N/A</v>
      </c>
      <c r="DS123" s="57" t="e">
        <f t="shared" si="32"/>
        <v>#N/A</v>
      </c>
      <c r="DT123" s="57" t="e">
        <f t="shared" si="32"/>
        <v>#N/A</v>
      </c>
      <c r="DU123" s="57" t="e">
        <f t="shared" si="32"/>
        <v>#N/A</v>
      </c>
      <c r="DV123" s="57" t="e">
        <f t="shared" si="32"/>
        <v>#N/A</v>
      </c>
      <c r="DW123" s="57" t="e">
        <f t="shared" si="32"/>
        <v>#N/A</v>
      </c>
      <c r="DX123" s="57" t="e">
        <f t="shared" si="32"/>
        <v>#N/A</v>
      </c>
      <c r="DY123" s="57" t="e">
        <f t="shared" si="32"/>
        <v>#N/A</v>
      </c>
      <c r="DZ123" s="57" t="e">
        <f t="shared" si="32"/>
        <v>#N/A</v>
      </c>
      <c r="EA123" s="57" t="e">
        <f t="shared" si="32"/>
        <v>#N/A</v>
      </c>
      <c r="EB123" s="57" t="e">
        <f t="shared" si="32"/>
        <v>#N/A</v>
      </c>
      <c r="EC123" s="57" t="e">
        <f t="shared" si="32"/>
        <v>#N/A</v>
      </c>
      <c r="ED123" s="57" t="e">
        <f t="shared" si="32"/>
        <v>#N/A</v>
      </c>
      <c r="EE123" s="57" t="e">
        <f t="shared" si="32"/>
        <v>#N/A</v>
      </c>
      <c r="EF123" s="57" t="e">
        <f t="shared" si="32"/>
        <v>#N/A</v>
      </c>
      <c r="EG123" s="57" t="e">
        <f t="shared" si="32"/>
        <v>#N/A</v>
      </c>
      <c r="EH123" s="57" t="e">
        <f t="shared" si="32"/>
        <v>#N/A</v>
      </c>
      <c r="EI123" s="57" t="e">
        <f t="shared" si="32"/>
        <v>#N/A</v>
      </c>
      <c r="EJ123" s="57" t="e">
        <f t="shared" si="32"/>
        <v>#N/A</v>
      </c>
      <c r="EK123" s="57" t="e">
        <f t="shared" si="32"/>
        <v>#N/A</v>
      </c>
      <c r="EL123" s="57" t="e">
        <f t="shared" si="32"/>
        <v>#N/A</v>
      </c>
      <c r="EM123" s="57" t="e">
        <f t="shared" si="32"/>
        <v>#N/A</v>
      </c>
      <c r="EN123" s="57" t="e">
        <f t="shared" si="32"/>
        <v>#N/A</v>
      </c>
      <c r="EO123" s="57" t="e">
        <f t="shared" si="32"/>
        <v>#N/A</v>
      </c>
      <c r="EP123" s="57" t="e">
        <f t="shared" si="32"/>
        <v>#N/A</v>
      </c>
      <c r="EQ123" s="57" t="e">
        <f t="shared" si="32"/>
        <v>#N/A</v>
      </c>
      <c r="ER123" s="57" t="e">
        <f t="shared" si="32"/>
        <v>#N/A</v>
      </c>
      <c r="ES123" s="57" t="e">
        <f t="shared" si="32"/>
        <v>#N/A</v>
      </c>
      <c r="ET123" s="57" t="e">
        <f t="shared" si="32"/>
        <v>#N/A</v>
      </c>
      <c r="EU123" s="57" t="e">
        <f t="shared" si="32"/>
        <v>#N/A</v>
      </c>
      <c r="EV123" s="57" t="e">
        <f t="shared" si="32"/>
        <v>#N/A</v>
      </c>
      <c r="EW123" s="57" t="e">
        <f t="shared" si="32"/>
        <v>#N/A</v>
      </c>
      <c r="EX123" s="57" t="e">
        <f t="shared" si="32"/>
        <v>#N/A</v>
      </c>
      <c r="EY123" s="57" t="e">
        <f t="shared" si="32"/>
        <v>#N/A</v>
      </c>
      <c r="EZ123" s="57" t="e">
        <f t="shared" si="32"/>
        <v>#N/A</v>
      </c>
      <c r="FA123" s="57" t="e">
        <f t="shared" si="32"/>
        <v>#N/A</v>
      </c>
      <c r="FB123" s="57" t="e">
        <f t="shared" si="32"/>
        <v>#N/A</v>
      </c>
      <c r="FC123" s="57" t="e">
        <f t="shared" si="32"/>
        <v>#N/A</v>
      </c>
      <c r="FD123" s="57" t="e">
        <f t="shared" si="32"/>
        <v>#N/A</v>
      </c>
      <c r="FE123" s="57" t="e">
        <f t="shared" si="32"/>
        <v>#N/A</v>
      </c>
      <c r="FF123" s="57" t="e">
        <f t="shared" si="32"/>
        <v>#N/A</v>
      </c>
      <c r="FG123" s="57" t="e">
        <f t="shared" si="32"/>
        <v>#N/A</v>
      </c>
      <c r="FH123" s="57" t="e">
        <f t="shared" si="32"/>
        <v>#N/A</v>
      </c>
      <c r="FI123" s="57" t="e">
        <f t="shared" si="32"/>
        <v>#N/A</v>
      </c>
      <c r="FJ123" s="57" t="e">
        <f t="shared" si="32"/>
        <v>#N/A</v>
      </c>
      <c r="FK123" s="57" t="e">
        <f t="shared" si="32"/>
        <v>#N/A</v>
      </c>
      <c r="FL123" s="57" t="e">
        <f t="shared" ref="FL123:HW123" si="33">IF(FL119="",NA(),FL119)</f>
        <v>#N/A</v>
      </c>
      <c r="FM123" s="57" t="e">
        <f t="shared" si="33"/>
        <v>#N/A</v>
      </c>
      <c r="FN123" s="57" t="e">
        <f t="shared" si="33"/>
        <v>#N/A</v>
      </c>
      <c r="FO123" s="57" t="e">
        <f t="shared" si="33"/>
        <v>#N/A</v>
      </c>
      <c r="FP123" s="57" t="e">
        <f t="shared" si="33"/>
        <v>#N/A</v>
      </c>
      <c r="FQ123" s="57" t="e">
        <f t="shared" si="33"/>
        <v>#N/A</v>
      </c>
      <c r="FR123" s="57" t="e">
        <f t="shared" si="33"/>
        <v>#N/A</v>
      </c>
      <c r="FS123" s="57" t="e">
        <f t="shared" si="33"/>
        <v>#N/A</v>
      </c>
      <c r="FT123" s="57" t="e">
        <f t="shared" si="33"/>
        <v>#N/A</v>
      </c>
      <c r="FU123" s="57" t="e">
        <f t="shared" si="33"/>
        <v>#N/A</v>
      </c>
      <c r="FV123" s="57" t="e">
        <f t="shared" si="33"/>
        <v>#N/A</v>
      </c>
      <c r="FW123" s="57" t="e">
        <f t="shared" si="33"/>
        <v>#N/A</v>
      </c>
      <c r="FX123" s="57" t="e">
        <f t="shared" si="33"/>
        <v>#N/A</v>
      </c>
      <c r="FY123" s="57" t="e">
        <f t="shared" si="33"/>
        <v>#N/A</v>
      </c>
      <c r="FZ123" s="57" t="e">
        <f t="shared" si="33"/>
        <v>#N/A</v>
      </c>
      <c r="GA123" s="57" t="e">
        <f t="shared" si="33"/>
        <v>#N/A</v>
      </c>
      <c r="GB123" s="57" t="e">
        <f t="shared" si="33"/>
        <v>#N/A</v>
      </c>
      <c r="GC123" s="57" t="e">
        <f t="shared" si="33"/>
        <v>#N/A</v>
      </c>
      <c r="GD123" s="57" t="e">
        <f t="shared" si="33"/>
        <v>#N/A</v>
      </c>
      <c r="GE123" s="57" t="e">
        <f t="shared" si="33"/>
        <v>#N/A</v>
      </c>
      <c r="GF123" s="57" t="e">
        <f t="shared" si="33"/>
        <v>#N/A</v>
      </c>
      <c r="GG123" s="57" t="e">
        <f t="shared" si="33"/>
        <v>#N/A</v>
      </c>
      <c r="GH123" s="57" t="e">
        <f t="shared" si="33"/>
        <v>#N/A</v>
      </c>
      <c r="GI123" s="57" t="e">
        <f t="shared" si="33"/>
        <v>#N/A</v>
      </c>
      <c r="GJ123" s="57" t="e">
        <f t="shared" si="33"/>
        <v>#N/A</v>
      </c>
      <c r="GK123" s="57" t="e">
        <f t="shared" si="33"/>
        <v>#N/A</v>
      </c>
      <c r="GL123" s="57" t="e">
        <f t="shared" si="33"/>
        <v>#N/A</v>
      </c>
      <c r="GM123" s="57" t="e">
        <f t="shared" si="33"/>
        <v>#N/A</v>
      </c>
      <c r="GN123" s="57" t="e">
        <f t="shared" si="33"/>
        <v>#N/A</v>
      </c>
      <c r="GO123" s="57" t="e">
        <f t="shared" si="33"/>
        <v>#N/A</v>
      </c>
      <c r="GP123" s="57" t="e">
        <f t="shared" si="33"/>
        <v>#N/A</v>
      </c>
      <c r="GQ123" s="57" t="e">
        <f t="shared" si="33"/>
        <v>#N/A</v>
      </c>
      <c r="GR123" s="57" t="e">
        <f t="shared" si="33"/>
        <v>#N/A</v>
      </c>
      <c r="GS123" s="57" t="e">
        <f t="shared" si="33"/>
        <v>#N/A</v>
      </c>
      <c r="GT123" s="57" t="e">
        <f t="shared" si="33"/>
        <v>#N/A</v>
      </c>
      <c r="GU123" s="57" t="e">
        <f t="shared" si="33"/>
        <v>#N/A</v>
      </c>
      <c r="GV123" s="57" t="e">
        <f t="shared" si="33"/>
        <v>#N/A</v>
      </c>
      <c r="GW123" s="57" t="e">
        <f t="shared" si="33"/>
        <v>#N/A</v>
      </c>
      <c r="GX123" s="57" t="e">
        <f t="shared" si="33"/>
        <v>#N/A</v>
      </c>
      <c r="GY123" s="57" t="e">
        <f t="shared" si="33"/>
        <v>#N/A</v>
      </c>
      <c r="GZ123" s="57" t="e">
        <f t="shared" si="33"/>
        <v>#N/A</v>
      </c>
      <c r="HA123" s="57" t="e">
        <f t="shared" si="33"/>
        <v>#N/A</v>
      </c>
      <c r="HB123" s="57" t="e">
        <f t="shared" si="33"/>
        <v>#N/A</v>
      </c>
      <c r="HC123" s="57" t="e">
        <f t="shared" si="33"/>
        <v>#N/A</v>
      </c>
      <c r="HD123" s="57" t="e">
        <f t="shared" si="33"/>
        <v>#N/A</v>
      </c>
      <c r="HE123" s="57" t="e">
        <f t="shared" si="33"/>
        <v>#N/A</v>
      </c>
      <c r="HF123" s="57" t="e">
        <f t="shared" si="33"/>
        <v>#N/A</v>
      </c>
      <c r="HG123" s="57" t="e">
        <f t="shared" si="33"/>
        <v>#N/A</v>
      </c>
      <c r="HH123" s="57" t="e">
        <f t="shared" si="33"/>
        <v>#N/A</v>
      </c>
      <c r="HI123" s="57" t="e">
        <f t="shared" si="33"/>
        <v>#N/A</v>
      </c>
      <c r="HJ123" s="57" t="e">
        <f t="shared" si="33"/>
        <v>#N/A</v>
      </c>
      <c r="HK123" s="57" t="e">
        <f t="shared" si="33"/>
        <v>#N/A</v>
      </c>
      <c r="HL123" s="57" t="e">
        <f t="shared" si="33"/>
        <v>#N/A</v>
      </c>
      <c r="HM123" s="57" t="e">
        <f t="shared" si="33"/>
        <v>#N/A</v>
      </c>
      <c r="HN123" s="57" t="e">
        <f t="shared" si="33"/>
        <v>#N/A</v>
      </c>
      <c r="HO123" s="57" t="e">
        <f t="shared" si="33"/>
        <v>#N/A</v>
      </c>
      <c r="HP123" s="57" t="e">
        <f t="shared" si="33"/>
        <v>#N/A</v>
      </c>
      <c r="HQ123" s="57" t="e">
        <f t="shared" si="33"/>
        <v>#N/A</v>
      </c>
      <c r="HR123" s="57" t="e">
        <f t="shared" si="33"/>
        <v>#N/A</v>
      </c>
      <c r="HS123" s="57" t="e">
        <f t="shared" si="33"/>
        <v>#N/A</v>
      </c>
      <c r="HT123" s="57" t="e">
        <f t="shared" si="33"/>
        <v>#N/A</v>
      </c>
      <c r="HU123" s="57" t="e">
        <f t="shared" si="33"/>
        <v>#N/A</v>
      </c>
      <c r="HV123" s="57" t="e">
        <f t="shared" si="33"/>
        <v>#N/A</v>
      </c>
      <c r="HW123" s="57" t="e">
        <f t="shared" si="33"/>
        <v>#N/A</v>
      </c>
      <c r="HX123" s="57" t="e">
        <f t="shared" ref="HX123:KI123" si="34">IF(HX119="",NA(),HX119)</f>
        <v>#N/A</v>
      </c>
      <c r="HY123" s="57" t="e">
        <f t="shared" si="34"/>
        <v>#N/A</v>
      </c>
      <c r="HZ123" s="57" t="e">
        <f t="shared" si="34"/>
        <v>#N/A</v>
      </c>
      <c r="IA123" s="57" t="e">
        <f t="shared" si="34"/>
        <v>#N/A</v>
      </c>
      <c r="IB123" s="57" t="e">
        <f t="shared" si="34"/>
        <v>#N/A</v>
      </c>
      <c r="IC123" s="57" t="e">
        <f t="shared" si="34"/>
        <v>#N/A</v>
      </c>
      <c r="ID123" s="57" t="e">
        <f t="shared" si="34"/>
        <v>#N/A</v>
      </c>
      <c r="IE123" s="57" t="e">
        <f t="shared" si="34"/>
        <v>#N/A</v>
      </c>
      <c r="IF123" s="57" t="e">
        <f t="shared" si="34"/>
        <v>#N/A</v>
      </c>
      <c r="IG123" s="57" t="e">
        <f t="shared" si="34"/>
        <v>#N/A</v>
      </c>
      <c r="IH123" s="57" t="e">
        <f t="shared" si="34"/>
        <v>#N/A</v>
      </c>
      <c r="II123" s="57" t="e">
        <f t="shared" si="34"/>
        <v>#N/A</v>
      </c>
      <c r="IJ123" s="57" t="e">
        <f t="shared" si="34"/>
        <v>#N/A</v>
      </c>
      <c r="IK123" s="57" t="e">
        <f t="shared" si="34"/>
        <v>#N/A</v>
      </c>
      <c r="IL123" s="57" t="e">
        <f t="shared" si="34"/>
        <v>#N/A</v>
      </c>
      <c r="IM123" s="57" t="e">
        <f t="shared" si="34"/>
        <v>#N/A</v>
      </c>
      <c r="IN123" s="57" t="e">
        <f t="shared" si="34"/>
        <v>#N/A</v>
      </c>
      <c r="IO123" s="57" t="e">
        <f t="shared" si="34"/>
        <v>#N/A</v>
      </c>
      <c r="IP123" s="57" t="e">
        <f t="shared" si="34"/>
        <v>#N/A</v>
      </c>
      <c r="IQ123" s="57" t="e">
        <f t="shared" si="34"/>
        <v>#N/A</v>
      </c>
      <c r="IR123" s="57" t="e">
        <f t="shared" si="34"/>
        <v>#N/A</v>
      </c>
      <c r="IS123" s="57" t="e">
        <f t="shared" si="34"/>
        <v>#N/A</v>
      </c>
      <c r="IT123" s="57" t="e">
        <f t="shared" si="34"/>
        <v>#N/A</v>
      </c>
      <c r="IU123" s="57" t="e">
        <f t="shared" si="34"/>
        <v>#N/A</v>
      </c>
      <c r="IV123" s="57" t="e">
        <f t="shared" si="34"/>
        <v>#N/A</v>
      </c>
      <c r="IW123" s="57" t="e">
        <f t="shared" si="34"/>
        <v>#N/A</v>
      </c>
      <c r="IX123" s="57" t="e">
        <f t="shared" si="34"/>
        <v>#N/A</v>
      </c>
      <c r="IY123" s="57" t="e">
        <f t="shared" si="34"/>
        <v>#N/A</v>
      </c>
      <c r="IZ123" s="57" t="e">
        <f t="shared" si="34"/>
        <v>#N/A</v>
      </c>
      <c r="JA123" s="57" t="e">
        <f t="shared" si="34"/>
        <v>#N/A</v>
      </c>
      <c r="JB123" s="57" t="e">
        <f t="shared" si="34"/>
        <v>#N/A</v>
      </c>
      <c r="JC123" s="57" t="e">
        <f t="shared" si="34"/>
        <v>#N/A</v>
      </c>
      <c r="JD123" s="57" t="e">
        <f t="shared" si="34"/>
        <v>#N/A</v>
      </c>
      <c r="JE123" s="57" t="e">
        <f t="shared" si="34"/>
        <v>#N/A</v>
      </c>
      <c r="JF123" s="57" t="e">
        <f t="shared" si="34"/>
        <v>#N/A</v>
      </c>
      <c r="JG123" s="57" t="e">
        <f t="shared" si="34"/>
        <v>#N/A</v>
      </c>
      <c r="JH123" s="57" t="e">
        <f t="shared" si="34"/>
        <v>#N/A</v>
      </c>
      <c r="JI123" s="57" t="e">
        <f t="shared" si="34"/>
        <v>#N/A</v>
      </c>
      <c r="JJ123" s="57" t="e">
        <f t="shared" si="34"/>
        <v>#N/A</v>
      </c>
      <c r="JK123" s="57" t="e">
        <f t="shared" si="34"/>
        <v>#N/A</v>
      </c>
      <c r="JL123" s="57" t="e">
        <f t="shared" si="34"/>
        <v>#N/A</v>
      </c>
      <c r="JM123" s="57" t="e">
        <f t="shared" si="34"/>
        <v>#N/A</v>
      </c>
      <c r="JN123" s="57" t="e">
        <f t="shared" si="34"/>
        <v>#N/A</v>
      </c>
      <c r="JO123" s="57" t="e">
        <f t="shared" si="34"/>
        <v>#N/A</v>
      </c>
      <c r="JP123" s="57" t="e">
        <f t="shared" si="34"/>
        <v>#N/A</v>
      </c>
      <c r="JQ123" s="57" t="e">
        <f t="shared" si="34"/>
        <v>#N/A</v>
      </c>
      <c r="JR123" s="57" t="e">
        <f t="shared" si="34"/>
        <v>#N/A</v>
      </c>
      <c r="JS123" s="57" t="e">
        <f t="shared" si="34"/>
        <v>#N/A</v>
      </c>
      <c r="JT123" s="57" t="e">
        <f t="shared" si="34"/>
        <v>#N/A</v>
      </c>
      <c r="JU123" s="57" t="e">
        <f t="shared" si="34"/>
        <v>#N/A</v>
      </c>
      <c r="JV123" s="57" t="e">
        <f t="shared" si="34"/>
        <v>#N/A</v>
      </c>
      <c r="JW123" s="57" t="e">
        <f t="shared" si="34"/>
        <v>#N/A</v>
      </c>
      <c r="JX123" s="57" t="e">
        <f t="shared" si="34"/>
        <v>#N/A</v>
      </c>
      <c r="JY123" s="57" t="e">
        <f t="shared" si="34"/>
        <v>#N/A</v>
      </c>
      <c r="JZ123" s="57" t="e">
        <f t="shared" si="34"/>
        <v>#N/A</v>
      </c>
      <c r="KA123" s="57" t="e">
        <f t="shared" si="34"/>
        <v>#N/A</v>
      </c>
      <c r="KB123" s="57" t="e">
        <f t="shared" si="34"/>
        <v>#N/A</v>
      </c>
      <c r="KC123" s="57" t="e">
        <f t="shared" si="34"/>
        <v>#N/A</v>
      </c>
      <c r="KD123" s="57" t="e">
        <f t="shared" si="34"/>
        <v>#N/A</v>
      </c>
      <c r="KE123" s="57" t="e">
        <f t="shared" si="34"/>
        <v>#N/A</v>
      </c>
      <c r="KF123" s="57" t="e">
        <f t="shared" si="34"/>
        <v>#N/A</v>
      </c>
      <c r="KG123" s="57" t="e">
        <f t="shared" si="34"/>
        <v>#N/A</v>
      </c>
      <c r="KH123" s="57" t="e">
        <f t="shared" si="34"/>
        <v>#N/A</v>
      </c>
      <c r="KI123" s="57" t="e">
        <f t="shared" si="34"/>
        <v>#N/A</v>
      </c>
      <c r="KJ123" s="57" t="e">
        <f t="shared" ref="KJ123:MN123" si="35">IF(KJ119="",NA(),KJ119)</f>
        <v>#N/A</v>
      </c>
      <c r="KK123" s="57" t="e">
        <f t="shared" si="35"/>
        <v>#N/A</v>
      </c>
      <c r="KL123" s="57" t="e">
        <f t="shared" si="35"/>
        <v>#N/A</v>
      </c>
      <c r="KM123" s="57" t="e">
        <f t="shared" si="35"/>
        <v>#N/A</v>
      </c>
      <c r="KN123" s="57" t="e">
        <f t="shared" si="35"/>
        <v>#N/A</v>
      </c>
      <c r="KO123" s="57" t="e">
        <f t="shared" si="35"/>
        <v>#N/A</v>
      </c>
      <c r="KP123" s="57" t="e">
        <f t="shared" si="35"/>
        <v>#N/A</v>
      </c>
      <c r="KQ123" s="57" t="e">
        <f t="shared" si="35"/>
        <v>#N/A</v>
      </c>
      <c r="KR123" s="57" t="e">
        <f t="shared" si="35"/>
        <v>#N/A</v>
      </c>
      <c r="KS123" s="57" t="e">
        <f t="shared" si="35"/>
        <v>#N/A</v>
      </c>
      <c r="KT123" s="57" t="e">
        <f t="shared" si="35"/>
        <v>#N/A</v>
      </c>
      <c r="KU123" s="57" t="e">
        <f t="shared" si="35"/>
        <v>#N/A</v>
      </c>
      <c r="KV123" s="57" t="e">
        <f t="shared" si="35"/>
        <v>#N/A</v>
      </c>
      <c r="KW123" s="57" t="e">
        <f t="shared" si="35"/>
        <v>#N/A</v>
      </c>
      <c r="KX123" s="57" t="e">
        <f t="shared" si="35"/>
        <v>#N/A</v>
      </c>
      <c r="KY123" s="57" t="e">
        <f t="shared" si="35"/>
        <v>#N/A</v>
      </c>
      <c r="KZ123" s="57" t="e">
        <f t="shared" si="35"/>
        <v>#N/A</v>
      </c>
      <c r="LA123" s="57" t="e">
        <f t="shared" si="35"/>
        <v>#N/A</v>
      </c>
      <c r="LB123" s="57" t="e">
        <f t="shared" si="35"/>
        <v>#N/A</v>
      </c>
      <c r="LC123" s="57" t="e">
        <f t="shared" si="35"/>
        <v>#N/A</v>
      </c>
      <c r="LD123" s="57" t="e">
        <f t="shared" si="35"/>
        <v>#N/A</v>
      </c>
      <c r="LE123" s="57" t="e">
        <f t="shared" si="35"/>
        <v>#N/A</v>
      </c>
      <c r="LF123" s="57" t="e">
        <f t="shared" si="35"/>
        <v>#N/A</v>
      </c>
      <c r="LG123" s="57" t="e">
        <f t="shared" si="35"/>
        <v>#N/A</v>
      </c>
      <c r="LH123" s="57" t="e">
        <f t="shared" si="35"/>
        <v>#N/A</v>
      </c>
      <c r="LI123" s="57" t="e">
        <f t="shared" si="35"/>
        <v>#N/A</v>
      </c>
      <c r="LJ123" s="57" t="e">
        <f t="shared" si="35"/>
        <v>#N/A</v>
      </c>
      <c r="LK123" s="57" t="e">
        <f t="shared" si="35"/>
        <v>#N/A</v>
      </c>
      <c r="LL123" s="57" t="e">
        <f t="shared" si="35"/>
        <v>#N/A</v>
      </c>
      <c r="LM123" s="57" t="e">
        <f t="shared" si="35"/>
        <v>#N/A</v>
      </c>
      <c r="LN123" s="57" t="e">
        <f t="shared" si="35"/>
        <v>#N/A</v>
      </c>
      <c r="LO123" s="57" t="e">
        <f t="shared" si="35"/>
        <v>#N/A</v>
      </c>
      <c r="LP123" s="57" t="e">
        <f t="shared" si="35"/>
        <v>#N/A</v>
      </c>
      <c r="LQ123" s="57" t="e">
        <f t="shared" si="35"/>
        <v>#N/A</v>
      </c>
      <c r="LR123" s="57" t="e">
        <f t="shared" si="35"/>
        <v>#N/A</v>
      </c>
      <c r="LS123" s="57" t="e">
        <f t="shared" si="35"/>
        <v>#N/A</v>
      </c>
      <c r="LT123" s="57" t="e">
        <f t="shared" si="35"/>
        <v>#N/A</v>
      </c>
      <c r="LU123" s="57" t="e">
        <f t="shared" si="35"/>
        <v>#N/A</v>
      </c>
      <c r="LV123" s="57" t="e">
        <f t="shared" si="35"/>
        <v>#N/A</v>
      </c>
      <c r="LW123" s="57" t="e">
        <f t="shared" si="35"/>
        <v>#N/A</v>
      </c>
      <c r="LX123" s="57" t="e">
        <f t="shared" si="35"/>
        <v>#N/A</v>
      </c>
      <c r="LY123" s="57" t="e">
        <f t="shared" si="35"/>
        <v>#N/A</v>
      </c>
      <c r="LZ123" s="57" t="e">
        <f t="shared" si="35"/>
        <v>#N/A</v>
      </c>
      <c r="MA123" s="57" t="e">
        <f t="shared" si="35"/>
        <v>#N/A</v>
      </c>
      <c r="MB123" s="57" t="e">
        <f t="shared" si="35"/>
        <v>#N/A</v>
      </c>
      <c r="MC123" s="57" t="e">
        <f t="shared" si="35"/>
        <v>#N/A</v>
      </c>
      <c r="MD123" s="57" t="e">
        <f t="shared" si="35"/>
        <v>#N/A</v>
      </c>
      <c r="ME123" s="57" t="e">
        <f t="shared" si="35"/>
        <v>#N/A</v>
      </c>
      <c r="MF123" s="57" t="e">
        <f t="shared" si="35"/>
        <v>#N/A</v>
      </c>
      <c r="MG123" s="57" t="e">
        <f t="shared" si="35"/>
        <v>#N/A</v>
      </c>
      <c r="MH123" s="57" t="e">
        <f t="shared" si="35"/>
        <v>#N/A</v>
      </c>
      <c r="MI123" s="57" t="e">
        <f t="shared" si="35"/>
        <v>#N/A</v>
      </c>
      <c r="MJ123" s="57" t="e">
        <f t="shared" si="35"/>
        <v>#N/A</v>
      </c>
      <c r="MK123" s="57" t="e">
        <f t="shared" si="35"/>
        <v>#N/A</v>
      </c>
      <c r="ML123" s="57" t="e">
        <f t="shared" si="35"/>
        <v>#N/A</v>
      </c>
      <c r="MM123" s="57" t="e">
        <f t="shared" si="35"/>
        <v>#N/A</v>
      </c>
      <c r="MN123" s="57" t="e">
        <f t="shared" si="35"/>
        <v>#N/A</v>
      </c>
    </row>
    <row r="124" spans="25:406" ht="15" customHeight="1" x14ac:dyDescent="0.25">
      <c r="Y124" s="58">
        <f t="shared" si="19"/>
        <v>304.05</v>
      </c>
      <c r="Z124" s="54">
        <f t="shared" si="20"/>
        <v>44915</v>
      </c>
      <c r="AA124" s="83" t="e">
        <f>IF(SUM(AE52:$AE$103)=0,NA(),SUM(AE52:$AE$103))</f>
        <v>#N/A</v>
      </c>
      <c r="AB124" s="104" t="e">
        <f>IF(SUM(AF52:$AF$103)=0,NA(),SUM(AF52:$AF$103))</f>
        <v>#N/A</v>
      </c>
      <c r="AC124" s="114" t="e">
        <f>IF(SUM(AG52:$AG$103)=0,NA(),SUM(AG52:$AG$103))</f>
        <v>#N/A</v>
      </c>
      <c r="AK124" s="54"/>
      <c r="AN124" s="54"/>
    </row>
    <row r="125" spans="25:406" ht="15" customHeight="1" x14ac:dyDescent="0.25">
      <c r="Y125" s="58">
        <f t="shared" si="19"/>
        <v>306.77</v>
      </c>
      <c r="Z125" s="54">
        <f t="shared" si="20"/>
        <v>44914</v>
      </c>
      <c r="AA125" s="83" t="e">
        <f>IF(SUM(AE53:$AE$103)=0,NA(),SUM(AE53:$AE$103))</f>
        <v>#N/A</v>
      </c>
      <c r="AB125" s="104" t="e">
        <f>IF(SUM(AF53:$AF$103)=0,NA(),SUM(AF53:$AF$103))</f>
        <v>#N/A</v>
      </c>
      <c r="AC125" s="114" t="e">
        <f>IF(SUM(AG53:$AG$103)=0,NA(),SUM(AG53:$AG$103))</f>
        <v>#N/A</v>
      </c>
      <c r="AG125" s="58"/>
      <c r="AK125" s="54"/>
      <c r="AN125" s="54"/>
    </row>
    <row r="126" spans="25:406" ht="15" customHeight="1" x14ac:dyDescent="0.25">
      <c r="Y126" s="58">
        <f t="shared" si="19"/>
        <v>307.48</v>
      </c>
      <c r="Z126" s="54">
        <f t="shared" si="20"/>
        <v>44911</v>
      </c>
      <c r="AA126" s="83" t="e">
        <f>IF(SUM(AE54:$AE$103)=0,NA(),SUM(AE54:$AE$103))</f>
        <v>#N/A</v>
      </c>
      <c r="AB126" s="104" t="e">
        <f>IF(SUM(AF54:$AF$103)=0,NA(),SUM(AF54:$AF$103))</f>
        <v>#N/A</v>
      </c>
      <c r="AC126" s="114" t="e">
        <f>IF(SUM(AG54:$AG$103)=0,NA(),SUM(AG54:$AG$103))</f>
        <v>#N/A</v>
      </c>
      <c r="AK126" s="54"/>
      <c r="AN126" s="54"/>
    </row>
    <row r="127" spans="25:406" ht="15" customHeight="1" x14ac:dyDescent="0.25">
      <c r="Y127" s="58">
        <f t="shared" si="19"/>
        <v>307.73</v>
      </c>
      <c r="Z127" s="54">
        <f t="shared" si="20"/>
        <v>44910</v>
      </c>
      <c r="AA127" s="83" t="e">
        <f>IF(SUM(AE55:$AE$103)=0,NA(),SUM(AE55:$AE$103))</f>
        <v>#N/A</v>
      </c>
      <c r="AB127" s="104" t="e">
        <f>IF(SUM(AF55:$AF$103)=0,NA(),SUM(AF55:$AF$103))</f>
        <v>#N/A</v>
      </c>
      <c r="AC127" s="114" t="e">
        <f>IF(SUM(AG55:$AG$103)=0,NA(),SUM(AG55:$AG$103))</f>
        <v>#N/A</v>
      </c>
      <c r="AK127" s="54"/>
      <c r="AN127" s="54"/>
    </row>
    <row r="128" spans="25:406" ht="15" customHeight="1" x14ac:dyDescent="0.25">
      <c r="Y128" s="58">
        <f t="shared" si="19"/>
        <v>313.23</v>
      </c>
      <c r="Z128" s="54">
        <f t="shared" si="20"/>
        <v>44909</v>
      </c>
      <c r="AA128" s="83" t="e">
        <f>IF(SUM(AE56:$AE$103)=0,NA(),SUM(AE56:$AE$103))</f>
        <v>#N/A</v>
      </c>
      <c r="AB128" s="104" t="e">
        <f>IF(SUM(AF56:$AF$103)=0,NA(),SUM(AF56:$AF$103))</f>
        <v>#N/A</v>
      </c>
      <c r="AC128" s="114" t="e">
        <f>IF(SUM(AG56:$AG$103)=0,NA(),SUM(AG56:$AG$103))</f>
        <v>#N/A</v>
      </c>
      <c r="AK128" s="54"/>
      <c r="AN128" s="54"/>
    </row>
    <row r="129" spans="25:40" ht="15" customHeight="1" x14ac:dyDescent="0.25">
      <c r="Y129" s="58">
        <f t="shared" si="19"/>
        <v>309.56</v>
      </c>
      <c r="Z129" s="54">
        <f t="shared" si="20"/>
        <v>44908</v>
      </c>
      <c r="AA129" s="83" t="e">
        <f>IF(SUM(AE57:$AE$103)=0,NA(),SUM(AE57:$AE$103))</f>
        <v>#N/A</v>
      </c>
      <c r="AB129" s="104" t="e">
        <f>IF(SUM(AF57:$AF$103)=0,NA(),SUM(AF57:$AF$103))</f>
        <v>#N/A</v>
      </c>
      <c r="AC129" s="114" t="e">
        <f>IF(SUM(AG57:$AG$103)=0,NA(),SUM(AG57:$AG$103))</f>
        <v>#N/A</v>
      </c>
      <c r="AK129" s="54"/>
      <c r="AN129" s="54"/>
    </row>
    <row r="130" spans="25:40" ht="15" customHeight="1" x14ac:dyDescent="0.25">
      <c r="Y130" s="58">
        <f t="shared" si="19"/>
        <v>309.64</v>
      </c>
      <c r="Z130" s="54">
        <f t="shared" si="20"/>
        <v>44907</v>
      </c>
      <c r="AA130" s="83" t="e">
        <f>IF(SUM(AE58:$AE$103)=0,NA(),SUM(AE58:$AE$103))</f>
        <v>#N/A</v>
      </c>
      <c r="AB130" s="104" t="e">
        <f>IF(SUM(AF58:$AF$103)=0,NA(),SUM(AF58:$AF$103))</f>
        <v>#N/A</v>
      </c>
      <c r="AC130" s="114" t="e">
        <f>IF(SUM(AG58:$AG$103)=0,NA(),SUM(AG58:$AG$103))</f>
        <v>#N/A</v>
      </c>
      <c r="AK130" s="54"/>
      <c r="AN130" s="54"/>
    </row>
    <row r="131" spans="25:40" ht="15" customHeight="1" x14ac:dyDescent="0.25">
      <c r="Y131" s="58">
        <f t="shared" si="19"/>
        <v>311.63</v>
      </c>
      <c r="Z131" s="54">
        <f t="shared" si="20"/>
        <v>44904</v>
      </c>
      <c r="AA131" s="83" t="e">
        <f>IF(SUM(AE59:$AE$103)=0,NA(),SUM(AE59:$AE$103))</f>
        <v>#N/A</v>
      </c>
      <c r="AB131" s="104" t="e">
        <f>IF(SUM(AF59:$AF$103)=0,NA(),SUM(AF59:$AF$103))</f>
        <v>#N/A</v>
      </c>
      <c r="AC131" s="114" t="e">
        <f>IF(SUM(AG59:$AG$103)=0,NA(),SUM(AG59:$AG$103))</f>
        <v>#N/A</v>
      </c>
      <c r="AK131" s="54"/>
      <c r="AN131" s="54"/>
    </row>
    <row r="132" spans="25:40" ht="15" customHeight="1" x14ac:dyDescent="0.25">
      <c r="Y132" s="58" t="e">
        <f t="shared" si="19"/>
        <v>#N/A</v>
      </c>
      <c r="Z132" s="54" t="e">
        <f t="shared" si="20"/>
        <v>#N/A</v>
      </c>
      <c r="AA132" s="83" t="e">
        <f>IF(SUM(AE60:$AE$103)=0,NA(),SUM(AE60:$AE$103))</f>
        <v>#N/A</v>
      </c>
      <c r="AB132" s="104" t="e">
        <f>IF(SUM(AF60:$AF$103)=0,NA(),SUM(AF60:$AF$103))</f>
        <v>#N/A</v>
      </c>
      <c r="AC132" s="114" t="e">
        <f>IF(SUM(AG60:$AG$103)=0,NA(),SUM(AG60:$AG$103))</f>
        <v>#N/A</v>
      </c>
      <c r="AK132" s="54"/>
      <c r="AN132" s="54"/>
    </row>
    <row r="133" spans="25:40" ht="15" customHeight="1" x14ac:dyDescent="0.25">
      <c r="Y133" s="58" t="e">
        <f t="shared" si="19"/>
        <v>#N/A</v>
      </c>
      <c r="Z133" s="54" t="e">
        <f t="shared" si="20"/>
        <v>#N/A</v>
      </c>
      <c r="AA133" s="83" t="e">
        <f>IF(SUM(AE61:$AE$103)=0,NA(),SUM(AE61:$AE$103))</f>
        <v>#N/A</v>
      </c>
      <c r="AB133" s="104" t="e">
        <f>IF(SUM(AF61:$AF$103)=0,NA(),SUM(AF61:$AF$103))</f>
        <v>#N/A</v>
      </c>
      <c r="AC133" s="114" t="e">
        <f>IF(SUM(AG61:$AG$103)=0,NA(),SUM(AG61:$AG$103))</f>
        <v>#N/A</v>
      </c>
      <c r="AK133" s="54"/>
      <c r="AN133" s="54"/>
    </row>
    <row r="134" spans="25:40" ht="15" customHeight="1" x14ac:dyDescent="0.25">
      <c r="Y134" s="58" t="e">
        <f t="shared" si="19"/>
        <v>#N/A</v>
      </c>
      <c r="Z134" s="54" t="e">
        <f t="shared" si="20"/>
        <v>#N/A</v>
      </c>
      <c r="AA134" s="83" t="e">
        <f>IF(SUM(AE62:$AE$103)=0,NA(),SUM(AE62:$AE$103))</f>
        <v>#N/A</v>
      </c>
      <c r="AB134" s="104" t="e">
        <f>IF(SUM(AF62:$AF$103)=0,NA(),SUM(AF62:$AF$103))</f>
        <v>#N/A</v>
      </c>
      <c r="AC134" s="114" t="e">
        <f>IF(SUM(AG62:$AG$103)=0,NA(),SUM(AG62:$AG$103))</f>
        <v>#N/A</v>
      </c>
      <c r="AK134" s="54"/>
      <c r="AN134" s="54"/>
    </row>
    <row r="135" spans="25:40" ht="15" customHeight="1" x14ac:dyDescent="0.25">
      <c r="Y135" s="58" t="e">
        <f t="shared" si="19"/>
        <v>#N/A</v>
      </c>
      <c r="Z135" s="54" t="e">
        <f t="shared" si="20"/>
        <v>#N/A</v>
      </c>
      <c r="AA135" s="83" t="e">
        <f>IF(SUM(AE63:$AE$103)=0,NA(),SUM(AE63:$AE$103))</f>
        <v>#N/A</v>
      </c>
      <c r="AB135" s="104" t="e">
        <f>IF(SUM(AF63:$AF$103)=0,NA(),SUM(AF63:$AF$103))</f>
        <v>#N/A</v>
      </c>
      <c r="AC135" s="114" t="e">
        <f>IF(SUM(AG63:$AG$103)=0,NA(),SUM(AG63:$AG$103))</f>
        <v>#N/A</v>
      </c>
      <c r="AK135" s="54"/>
      <c r="AN135" s="54"/>
    </row>
    <row r="136" spans="25:40" ht="15" customHeight="1" x14ac:dyDescent="0.25">
      <c r="Y136" s="58" t="e">
        <f t="shared" si="19"/>
        <v>#N/A</v>
      </c>
      <c r="Z136" s="54" t="e">
        <f t="shared" si="20"/>
        <v>#N/A</v>
      </c>
      <c r="AA136" s="83" t="e">
        <f>IF(SUM(AE64:$AE$103)=0,NA(),SUM(AE64:$AE$103))</f>
        <v>#N/A</v>
      </c>
      <c r="AB136" s="104" t="e">
        <f>IF(SUM(AF64:$AF$103)=0,NA(),SUM(AF64:$AF$103))</f>
        <v>#N/A</v>
      </c>
      <c r="AC136" s="114" t="e">
        <f>IF(SUM(AG64:$AG$103)=0,NA(),SUM(AG64:$AG$103))</f>
        <v>#N/A</v>
      </c>
      <c r="AK136" s="54"/>
      <c r="AN136" s="54"/>
    </row>
    <row r="137" spans="25:40" ht="15" customHeight="1" x14ac:dyDescent="0.25">
      <c r="Y137" s="58" t="e">
        <f t="shared" si="19"/>
        <v>#N/A</v>
      </c>
      <c r="Z137" s="54" t="e">
        <f t="shared" si="20"/>
        <v>#N/A</v>
      </c>
      <c r="AA137" s="83" t="e">
        <f>IF(SUM(AE65:$AE$103)=0,NA(),SUM(AE65:$AE$103))</f>
        <v>#N/A</v>
      </c>
      <c r="AB137" s="104" t="e">
        <f>IF(SUM(AF65:$AF$103)=0,NA(),SUM(AF65:$AF$103))</f>
        <v>#N/A</v>
      </c>
      <c r="AC137" s="114" t="e">
        <f>IF(SUM(AG65:$AG$103)=0,NA(),SUM(AG65:$AG$103))</f>
        <v>#N/A</v>
      </c>
      <c r="AK137" s="54"/>
      <c r="AN137" s="54"/>
    </row>
    <row r="138" spans="25:40" ht="15" customHeight="1" x14ac:dyDescent="0.25">
      <c r="Y138" s="58" t="e">
        <f t="shared" si="19"/>
        <v>#N/A</v>
      </c>
      <c r="Z138" s="54" t="e">
        <f t="shared" si="20"/>
        <v>#N/A</v>
      </c>
      <c r="AA138" s="83" t="e">
        <f>IF(SUM(AE66:$AE$103)=0,NA(),SUM(AE66:$AE$103))</f>
        <v>#N/A</v>
      </c>
      <c r="AB138" s="104" t="e">
        <f>IF(SUM(AF66:$AF$103)=0,NA(),SUM(AF66:$AF$103))</f>
        <v>#N/A</v>
      </c>
      <c r="AC138" s="114" t="e">
        <f>IF(SUM(AG66:$AG$103)=0,NA(),SUM(AG66:$AG$103))</f>
        <v>#N/A</v>
      </c>
      <c r="AK138" s="54"/>
      <c r="AN138" s="54"/>
    </row>
    <row r="139" spans="25:40" ht="15" customHeight="1" x14ac:dyDescent="0.25">
      <c r="Y139" s="58" t="e">
        <f t="shared" si="19"/>
        <v>#N/A</v>
      </c>
      <c r="Z139" s="54" t="e">
        <f t="shared" si="20"/>
        <v>#N/A</v>
      </c>
      <c r="AA139" s="83" t="e">
        <f>IF(SUM(AE67:$AE$103)=0,NA(),SUM(AE67:$AE$103))</f>
        <v>#N/A</v>
      </c>
      <c r="AB139" s="104" t="e">
        <f>IF(SUM(AF67:$AF$103)=0,NA(),SUM(AF67:$AF$103))</f>
        <v>#N/A</v>
      </c>
      <c r="AC139" s="114" t="e">
        <f>IF(SUM(AG67:$AG$103)=0,NA(),SUM(AG67:$AG$103))</f>
        <v>#N/A</v>
      </c>
      <c r="AK139" s="54"/>
      <c r="AN139" s="54"/>
    </row>
    <row r="140" spans="25:40" ht="15" customHeight="1" x14ac:dyDescent="0.25">
      <c r="Y140" s="58" t="e">
        <f t="shared" si="19"/>
        <v>#N/A</v>
      </c>
      <c r="Z140" s="54" t="e">
        <f t="shared" si="20"/>
        <v>#N/A</v>
      </c>
      <c r="AA140" s="83" t="e">
        <f>IF(SUM(AE68:$AE$103)=0,NA(),SUM(AE68:$AE$103))</f>
        <v>#N/A</v>
      </c>
      <c r="AB140" s="104" t="e">
        <f>IF(SUM(AF68:$AF$103)=0,NA(),SUM(AF68:$AF$103))</f>
        <v>#N/A</v>
      </c>
      <c r="AC140" s="114" t="e">
        <f>IF(SUM(AG68:$AG$103)=0,NA(),SUM(AG68:$AG$103))</f>
        <v>#N/A</v>
      </c>
      <c r="AK140" s="54"/>
      <c r="AN140" s="54"/>
    </row>
    <row r="141" spans="25:40" ht="15" customHeight="1" x14ac:dyDescent="0.25">
      <c r="Y141" s="58" t="e">
        <f t="shared" si="19"/>
        <v>#N/A</v>
      </c>
      <c r="Z141" s="54" t="e">
        <f t="shared" si="20"/>
        <v>#N/A</v>
      </c>
      <c r="AA141" s="83" t="e">
        <f>IF(SUM(AE69:$AE$103)=0,NA(),SUM(AE69:$AE$103))</f>
        <v>#N/A</v>
      </c>
      <c r="AB141" s="104" t="e">
        <f>IF(SUM(AF69:$AF$103)=0,NA(),SUM(AF69:$AF$103))</f>
        <v>#N/A</v>
      </c>
      <c r="AC141" s="114" t="e">
        <f>IF(SUM(AG69:$AG$103)=0,NA(),SUM(AG69:$AG$103))</f>
        <v>#N/A</v>
      </c>
      <c r="AK141" s="54"/>
      <c r="AN141" s="54"/>
    </row>
    <row r="142" spans="25:40" ht="15" customHeight="1" x14ac:dyDescent="0.25">
      <c r="Y142" s="58" t="e">
        <f t="shared" si="19"/>
        <v>#N/A</v>
      </c>
      <c r="Z142" s="54" t="e">
        <f t="shared" si="20"/>
        <v>#N/A</v>
      </c>
      <c r="AA142" s="83" t="e">
        <f>IF(SUM(AE70:$AE$103)=0,NA(),SUM(AE70:$AE$103))</f>
        <v>#N/A</v>
      </c>
      <c r="AB142" s="104" t="e">
        <f>IF(SUM(AF70:$AF$103)=0,NA(),SUM(AF70:$AF$103))</f>
        <v>#N/A</v>
      </c>
      <c r="AC142" s="114" t="e">
        <f>IF(SUM(AG70:$AG$103)=0,NA(),SUM(AG70:$AG$103))</f>
        <v>#N/A</v>
      </c>
      <c r="AK142" s="54"/>
      <c r="AN142" s="54"/>
    </row>
    <row r="143" spans="25:40" ht="15" customHeight="1" x14ac:dyDescent="0.25">
      <c r="Y143" s="58" t="e">
        <f t="shared" si="19"/>
        <v>#N/A</v>
      </c>
      <c r="Z143" s="54" t="e">
        <f t="shared" si="20"/>
        <v>#N/A</v>
      </c>
      <c r="AA143" s="83" t="e">
        <f>IF(SUM(AE71:$AE$103)=0,NA(),SUM(AE71:$AE$103))</f>
        <v>#N/A</v>
      </c>
      <c r="AB143" s="104" t="e">
        <f>IF(SUM(AF71:$AF$103)=0,NA(),SUM(AF71:$AF$103))</f>
        <v>#N/A</v>
      </c>
      <c r="AC143" s="114" t="e">
        <f>IF(SUM(AG71:$AG$103)=0,NA(),SUM(AG71:$AG$103))</f>
        <v>#N/A</v>
      </c>
      <c r="AK143" s="54"/>
      <c r="AN143" s="54"/>
    </row>
    <row r="144" spans="25:40" ht="15" customHeight="1" x14ac:dyDescent="0.25">
      <c r="Y144" s="58" t="e">
        <f t="shared" si="19"/>
        <v>#N/A</v>
      </c>
      <c r="Z144" s="54" t="e">
        <f t="shared" si="20"/>
        <v>#N/A</v>
      </c>
      <c r="AA144" s="83" t="e">
        <f>IF(SUM(AE72:$AE$103)=0,NA(),SUM(AE72:$AE$103))</f>
        <v>#N/A</v>
      </c>
      <c r="AB144" s="104" t="e">
        <f>IF(SUM(AF72:$AF$103)=0,NA(),SUM(AF72:$AF$103))</f>
        <v>#N/A</v>
      </c>
      <c r="AC144" s="114" t="e">
        <f>IF(SUM(AG72:$AG$103)=0,NA(),SUM(AG72:$AG$103))</f>
        <v>#N/A</v>
      </c>
      <c r="AK144" s="54"/>
      <c r="AN144" s="54"/>
    </row>
    <row r="145" spans="25:40" ht="15" customHeight="1" x14ac:dyDescent="0.25">
      <c r="Y145" s="58" t="e">
        <f t="shared" si="19"/>
        <v>#N/A</v>
      </c>
      <c r="Z145" s="54" t="e">
        <f t="shared" si="20"/>
        <v>#N/A</v>
      </c>
      <c r="AA145" s="83" t="e">
        <f>IF(SUM(AE73:$AE$103)=0,NA(),SUM(AE73:$AE$103))</f>
        <v>#N/A</v>
      </c>
      <c r="AB145" s="104" t="e">
        <f>IF(SUM(AF73:$AF$103)=0,NA(),SUM(AF73:$AF$103))</f>
        <v>#N/A</v>
      </c>
      <c r="AC145" s="114" t="e">
        <f>IF(SUM(AG73:$AG$103)=0,NA(),SUM(AG73:$AG$103))</f>
        <v>#N/A</v>
      </c>
      <c r="AK145" s="54"/>
      <c r="AN145" s="54"/>
    </row>
    <row r="146" spans="25:40" ht="15" customHeight="1" x14ac:dyDescent="0.25">
      <c r="Y146" s="58" t="e">
        <f t="shared" si="19"/>
        <v>#N/A</v>
      </c>
      <c r="Z146" s="54" t="e">
        <f t="shared" si="20"/>
        <v>#N/A</v>
      </c>
      <c r="AA146" s="83" t="e">
        <f>IF(SUM(AE74:$AE$103)=0,NA(),SUM(AE74:$AE$103))</f>
        <v>#N/A</v>
      </c>
      <c r="AB146" s="104" t="e">
        <f>IF(SUM(AF74:$AF$103)=0,NA(),SUM(AF74:$AF$103))</f>
        <v>#N/A</v>
      </c>
      <c r="AC146" s="114" t="e">
        <f>IF(SUM(AG74:$AG$103)=0,NA(),SUM(AG74:$AG$103))</f>
        <v>#N/A</v>
      </c>
      <c r="AK146" s="54"/>
      <c r="AN146" s="54"/>
    </row>
    <row r="147" spans="25:40" ht="15" customHeight="1" x14ac:dyDescent="0.25">
      <c r="Y147" s="58" t="e">
        <f t="shared" si="19"/>
        <v>#N/A</v>
      </c>
      <c r="Z147" s="54" t="e">
        <f t="shared" si="20"/>
        <v>#N/A</v>
      </c>
      <c r="AA147" s="83" t="e">
        <f>IF(SUM(AE75:$AE$103)=0,NA(),SUM(AE75:$AE$103))</f>
        <v>#N/A</v>
      </c>
      <c r="AB147" s="104" t="e">
        <f>IF(SUM(AF75:$AF$103)=0,NA(),SUM(AF75:$AF$103))</f>
        <v>#N/A</v>
      </c>
      <c r="AC147" s="114" t="e">
        <f>IF(SUM(AG75:$AG$103)=0,NA(),SUM(AG75:$AG$103))</f>
        <v>#N/A</v>
      </c>
      <c r="AK147" s="54"/>
      <c r="AN147" s="54"/>
    </row>
    <row r="148" spans="25:40" ht="15" customHeight="1" x14ac:dyDescent="0.25">
      <c r="Y148" s="58" t="e">
        <f t="shared" si="19"/>
        <v>#N/A</v>
      </c>
      <c r="Z148" s="54" t="e">
        <f t="shared" si="20"/>
        <v>#N/A</v>
      </c>
      <c r="AA148" s="83" t="e">
        <f>IF(SUM(AE76:$AE$103)=0,NA(),SUM(AE76:$AE$103))</f>
        <v>#N/A</v>
      </c>
      <c r="AB148" s="104" t="e">
        <f>IF(SUM(AF76:$AF$103)=0,NA(),SUM(AF76:$AF$103))</f>
        <v>#N/A</v>
      </c>
      <c r="AC148" s="114" t="e">
        <f>IF(SUM(AG76:$AG$103)=0,NA(),SUM(AG76:$AG$103))</f>
        <v>#N/A</v>
      </c>
      <c r="AK148" s="54"/>
      <c r="AN148" s="54"/>
    </row>
    <row r="149" spans="25:40" ht="15" customHeight="1" x14ac:dyDescent="0.25">
      <c r="Y149" s="58" t="e">
        <f t="shared" si="19"/>
        <v>#N/A</v>
      </c>
      <c r="Z149" s="54" t="e">
        <f t="shared" si="20"/>
        <v>#N/A</v>
      </c>
      <c r="AA149" s="83" t="e">
        <f>IF(SUM(AE77:$AE$103)=0,NA(),SUM(AE77:$AE$103))</f>
        <v>#N/A</v>
      </c>
      <c r="AB149" s="104" t="e">
        <f>IF(SUM(AF77:$AF$103)=0,NA(),SUM(AF77:$AF$103))</f>
        <v>#N/A</v>
      </c>
      <c r="AC149" s="114" t="e">
        <f>IF(SUM(AG77:$AG$103)=0,NA(),SUM(AG77:$AG$103))</f>
        <v>#N/A</v>
      </c>
      <c r="AK149" s="54"/>
      <c r="AN149" s="54"/>
    </row>
    <row r="150" spans="25:40" ht="15" customHeight="1" x14ac:dyDescent="0.25">
      <c r="Y150" s="58" t="e">
        <f t="shared" si="19"/>
        <v>#N/A</v>
      </c>
      <c r="Z150" s="54" t="e">
        <f t="shared" si="20"/>
        <v>#N/A</v>
      </c>
      <c r="AA150" s="83" t="e">
        <f>IF(SUM(AE78:$AE$103)=0,NA(),SUM(AE78:$AE$103))</f>
        <v>#N/A</v>
      </c>
      <c r="AB150" s="104" t="e">
        <f>IF(SUM(AF78:$AF$103)=0,NA(),SUM(AF78:$AF$103))</f>
        <v>#N/A</v>
      </c>
      <c r="AC150" s="114" t="e">
        <f>IF(SUM(AG78:$AG$103)=0,NA(),SUM(AG78:$AG$103))</f>
        <v>#N/A</v>
      </c>
      <c r="AK150" s="54"/>
      <c r="AN150" s="54"/>
    </row>
    <row r="151" spans="25:40" ht="15" customHeight="1" x14ac:dyDescent="0.25">
      <c r="Y151" s="58" t="e">
        <f t="shared" si="19"/>
        <v>#N/A</v>
      </c>
      <c r="Z151" s="54" t="e">
        <f t="shared" si="20"/>
        <v>#N/A</v>
      </c>
      <c r="AA151" s="83" t="e">
        <f>IF(SUM(AE79:$AE$103)=0,NA(),SUM(AE79:$AE$103))</f>
        <v>#N/A</v>
      </c>
      <c r="AB151" s="104" t="e">
        <f>IF(SUM(AF79:$AF$103)=0,NA(),SUM(AF79:$AF$103))</f>
        <v>#N/A</v>
      </c>
      <c r="AC151" s="114" t="e">
        <f>IF(SUM(AG79:$AG$103)=0,NA(),SUM(AG79:$AG$103))</f>
        <v>#N/A</v>
      </c>
      <c r="AK151" s="54"/>
      <c r="AN151" s="54"/>
    </row>
    <row r="152" spans="25:40" ht="15" customHeight="1" x14ac:dyDescent="0.25">
      <c r="Y152" s="58" t="e">
        <f t="shared" si="19"/>
        <v>#N/A</v>
      </c>
      <c r="Z152" s="54" t="e">
        <f t="shared" si="20"/>
        <v>#N/A</v>
      </c>
      <c r="AA152" s="83" t="e">
        <f>IF(SUM(AE80:$AE$103)=0,NA(),SUM(AE80:$AE$103))</f>
        <v>#N/A</v>
      </c>
      <c r="AB152" s="104" t="e">
        <f>IF(SUM(AF80:$AF$103)=0,NA(),SUM(AF80:$AF$103))</f>
        <v>#N/A</v>
      </c>
      <c r="AC152" s="114" t="e">
        <f>IF(SUM(AG80:$AG$103)=0,NA(),SUM(AG80:$AG$103))</f>
        <v>#N/A</v>
      </c>
      <c r="AK152" s="54"/>
      <c r="AN152" s="54"/>
    </row>
    <row r="153" spans="25:40" ht="15" customHeight="1" x14ac:dyDescent="0.25">
      <c r="Y153" s="58" t="e">
        <f t="shared" si="19"/>
        <v>#N/A</v>
      </c>
      <c r="Z153" s="54" t="e">
        <f t="shared" si="20"/>
        <v>#N/A</v>
      </c>
      <c r="AA153" s="83" t="e">
        <f>IF(SUM(AE81:$AE$103)=0,NA(),SUM(AE81:$AE$103))</f>
        <v>#N/A</v>
      </c>
      <c r="AB153" s="104" t="e">
        <f>IF(SUM(AF81:$AF$103)=0,NA(),SUM(AF81:$AF$103))</f>
        <v>#N/A</v>
      </c>
      <c r="AC153" s="114" t="e">
        <f>IF(SUM(AG81:$AG$103)=0,NA(),SUM(AG81:$AG$103))</f>
        <v>#N/A</v>
      </c>
      <c r="AK153" s="54"/>
      <c r="AN153" s="54"/>
    </row>
    <row r="154" spans="25:40" ht="15" customHeight="1" x14ac:dyDescent="0.25">
      <c r="Y154" s="58" t="e">
        <f t="shared" si="19"/>
        <v>#N/A</v>
      </c>
      <c r="Z154" s="54" t="e">
        <f t="shared" si="20"/>
        <v>#N/A</v>
      </c>
      <c r="AA154" s="83" t="e">
        <f>IF(SUM(AE82:$AE$103)=0,NA(),SUM(AE82:$AE$103))</f>
        <v>#N/A</v>
      </c>
      <c r="AB154" s="104" t="e">
        <f>IF(SUM(AF82:$AF$103)=0,NA(),SUM(AF82:$AF$103))</f>
        <v>#N/A</v>
      </c>
      <c r="AC154" s="114" t="e">
        <f>IF(SUM(AG82:$AG$103)=0,NA(),SUM(AG82:$AG$103))</f>
        <v>#N/A</v>
      </c>
      <c r="AK154" s="54"/>
      <c r="AN154" s="54"/>
    </row>
    <row r="155" spans="25:40" ht="15" customHeight="1" x14ac:dyDescent="0.25">
      <c r="Y155" s="58" t="e">
        <f t="shared" si="19"/>
        <v>#N/A</v>
      </c>
      <c r="Z155" s="54" t="e">
        <f t="shared" si="20"/>
        <v>#N/A</v>
      </c>
      <c r="AA155" s="83" t="e">
        <f>IF(SUM(AE83:$AE$103)=0,NA(),SUM(AE83:$AE$103))</f>
        <v>#N/A</v>
      </c>
      <c r="AB155" s="104" t="e">
        <f>IF(SUM(AF83:$AF$103)=0,NA(),SUM(AF83:$AF$103))</f>
        <v>#N/A</v>
      </c>
      <c r="AC155" s="114" t="e">
        <f>IF(SUM(AG83:$AG$103)=0,NA(),SUM(AG83:$AG$103))</f>
        <v>#N/A</v>
      </c>
      <c r="AK155" s="54"/>
      <c r="AN155" s="54"/>
    </row>
    <row r="156" spans="25:40" ht="15" customHeight="1" x14ac:dyDescent="0.25">
      <c r="Y156" s="58" t="e">
        <f t="shared" si="19"/>
        <v>#N/A</v>
      </c>
      <c r="Z156" s="54" t="e">
        <f t="shared" si="20"/>
        <v>#N/A</v>
      </c>
      <c r="AA156" s="83" t="e">
        <f>IF(SUM(AE84:$AE$103)=0,NA(),SUM(AE84:$AE$103))</f>
        <v>#N/A</v>
      </c>
      <c r="AB156" s="104" t="e">
        <f>IF(SUM(AF84:$AF$103)=0,NA(),SUM(AF84:$AF$103))</f>
        <v>#N/A</v>
      </c>
      <c r="AC156" s="114" t="e">
        <f>IF(SUM(AG84:$AG$103)=0,NA(),SUM(AG84:$AG$103))</f>
        <v>#N/A</v>
      </c>
      <c r="AK156" s="54"/>
      <c r="AN156" s="54"/>
    </row>
    <row r="157" spans="25:40" ht="15" customHeight="1" x14ac:dyDescent="0.25">
      <c r="Y157" s="58" t="e">
        <f t="shared" si="19"/>
        <v>#N/A</v>
      </c>
      <c r="Z157" s="54" t="e">
        <f t="shared" si="20"/>
        <v>#N/A</v>
      </c>
      <c r="AA157" s="83" t="e">
        <f>IF(SUM(AE85:$AE$103)=0,NA(),SUM(AE85:$AE$103))</f>
        <v>#N/A</v>
      </c>
      <c r="AB157" s="104" t="e">
        <f>IF(SUM(AF85:$AF$103)=0,NA(),SUM(AF85:$AF$103))</f>
        <v>#N/A</v>
      </c>
      <c r="AC157" s="114" t="e">
        <f>IF(SUM(AG85:$AG$103)=0,NA(),SUM(AG85:$AG$103))</f>
        <v>#N/A</v>
      </c>
      <c r="AK157" s="54"/>
      <c r="AN157" s="54"/>
    </row>
    <row r="158" spans="25:40" ht="15" customHeight="1" x14ac:dyDescent="0.25">
      <c r="Y158" s="58" t="e">
        <f t="shared" si="19"/>
        <v>#N/A</v>
      </c>
      <c r="Z158" s="54" t="e">
        <f t="shared" si="20"/>
        <v>#N/A</v>
      </c>
      <c r="AA158" s="83" t="e">
        <f>IF(SUM(AE86:$AE$103)=0,NA(),SUM(AE86:$AE$103))</f>
        <v>#N/A</v>
      </c>
      <c r="AB158" s="104" t="e">
        <f>IF(SUM(AF86:$AF$103)=0,NA(),SUM(AF86:$AF$103))</f>
        <v>#N/A</v>
      </c>
      <c r="AC158" s="114" t="e">
        <f>IF(SUM(AG86:$AG$103)=0,NA(),SUM(AG86:$AG$103))</f>
        <v>#N/A</v>
      </c>
      <c r="AK158" s="54"/>
      <c r="AN158" s="54"/>
    </row>
    <row r="159" spans="25:40" ht="15" customHeight="1" x14ac:dyDescent="0.25">
      <c r="Y159" s="58" t="e">
        <f t="shared" si="19"/>
        <v>#N/A</v>
      </c>
      <c r="Z159" s="54" t="e">
        <f t="shared" si="20"/>
        <v>#N/A</v>
      </c>
      <c r="AA159" s="83" t="e">
        <f>IF(SUM(AE87:$AE$103)=0,NA(),SUM(AE87:$AE$103))</f>
        <v>#N/A</v>
      </c>
      <c r="AB159" s="104" t="e">
        <f>IF(SUM(AF87:$AF$103)=0,NA(),SUM(AF87:$AF$103))</f>
        <v>#N/A</v>
      </c>
      <c r="AC159" s="114" t="e">
        <f>IF(SUM(AG87:$AG$103)=0,NA(),SUM(AG87:$AG$103))</f>
        <v>#N/A</v>
      </c>
      <c r="AK159" s="54"/>
      <c r="AN159" s="54"/>
    </row>
    <row r="160" spans="25:40" ht="15" customHeight="1" x14ac:dyDescent="0.25">
      <c r="Y160" s="58" t="e">
        <f t="shared" si="19"/>
        <v>#N/A</v>
      </c>
      <c r="Z160" s="54" t="e">
        <f t="shared" si="20"/>
        <v>#N/A</v>
      </c>
      <c r="AA160" s="83" t="e">
        <f>IF(SUM(AE88:$AE$103)=0,NA(),SUM(AE88:$AE$103))</f>
        <v>#N/A</v>
      </c>
      <c r="AB160" s="104" t="e">
        <f>IF(SUM(AF88:$AF$103)=0,NA(),SUM(AF88:$AF$103))</f>
        <v>#N/A</v>
      </c>
      <c r="AC160" s="114" t="e">
        <f>IF(SUM(AG88:$AG$103)=0,NA(),SUM(AG88:$AG$103))</f>
        <v>#N/A</v>
      </c>
      <c r="AK160" s="54"/>
      <c r="AN160" s="54"/>
    </row>
    <row r="161" spans="25:40" ht="15" customHeight="1" x14ac:dyDescent="0.25">
      <c r="Y161" s="58" t="e">
        <f t="shared" si="19"/>
        <v>#N/A</v>
      </c>
      <c r="Z161" s="54" t="e">
        <f t="shared" si="20"/>
        <v>#N/A</v>
      </c>
      <c r="AA161" s="83" t="e">
        <f>IF(SUM(AE89:$AE$103)=0,NA(),SUM(AE89:$AE$103))</f>
        <v>#N/A</v>
      </c>
      <c r="AB161" s="104" t="e">
        <f>IF(SUM(AF89:$AF$103)=0,NA(),SUM(AF89:$AF$103))</f>
        <v>#N/A</v>
      </c>
      <c r="AC161" s="114" t="e">
        <f>IF(SUM(AG89:$AG$103)=0,NA(),SUM(AG89:$AG$103))</f>
        <v>#N/A</v>
      </c>
      <c r="AK161" s="54"/>
      <c r="AN161" s="54"/>
    </row>
    <row r="162" spans="25:40" ht="15" customHeight="1" x14ac:dyDescent="0.25">
      <c r="Y162" s="58" t="e">
        <f t="shared" si="19"/>
        <v>#N/A</v>
      </c>
      <c r="Z162" s="54" t="e">
        <f t="shared" si="20"/>
        <v>#N/A</v>
      </c>
      <c r="AA162" s="83" t="e">
        <f>IF(SUM(AE90:$AE$103)=0,NA(),SUM(AE90:$AE$103))</f>
        <v>#N/A</v>
      </c>
      <c r="AB162" s="104" t="e">
        <f>IF(SUM(AF90:$AF$103)=0,NA(),SUM(AF90:$AF$103))</f>
        <v>#N/A</v>
      </c>
      <c r="AC162" s="114" t="e">
        <f>IF(SUM(AG90:$AG$103)=0,NA(),SUM(AG90:$AG$103))</f>
        <v>#N/A</v>
      </c>
      <c r="AK162" s="54"/>
      <c r="AN162" s="54"/>
    </row>
    <row r="163" spans="25:40" ht="15" customHeight="1" x14ac:dyDescent="0.25">
      <c r="Y163" s="58" t="e">
        <f t="shared" si="19"/>
        <v>#N/A</v>
      </c>
      <c r="Z163" s="54" t="e">
        <f t="shared" si="20"/>
        <v>#N/A</v>
      </c>
      <c r="AA163" s="83" t="e">
        <f>IF(SUM(AE91:$AE$103)=0,NA(),SUM(AE91:$AE$103))</f>
        <v>#N/A</v>
      </c>
      <c r="AB163" s="104" t="e">
        <f>IF(SUM(AF91:$AF$103)=0,NA(),SUM(AF91:$AF$103))</f>
        <v>#N/A</v>
      </c>
      <c r="AC163" s="114" t="e">
        <f>IF(SUM(AG91:$AG$103)=0,NA(),SUM(AG91:$AG$103))</f>
        <v>#N/A</v>
      </c>
      <c r="AK163" s="54"/>
      <c r="AN163" s="54"/>
    </row>
    <row r="164" spans="25:40" ht="15" customHeight="1" x14ac:dyDescent="0.25">
      <c r="Y164" s="58" t="e">
        <f t="shared" si="19"/>
        <v>#N/A</v>
      </c>
      <c r="Z164" s="54" t="e">
        <f t="shared" si="20"/>
        <v>#N/A</v>
      </c>
      <c r="AA164" s="83" t="e">
        <f>IF(SUM(AE92:$AE$103)=0,NA(),SUM(AE92:$AE$103))</f>
        <v>#N/A</v>
      </c>
      <c r="AB164" s="104" t="e">
        <f>IF(SUM(AF92:$AF$103)=0,NA(),SUM(AF92:$AF$103))</f>
        <v>#N/A</v>
      </c>
      <c r="AC164" s="114" t="e">
        <f>IF(SUM(AG92:$AG$103)=0,NA(),SUM(AG92:$AG$103))</f>
        <v>#N/A</v>
      </c>
      <c r="AK164" s="54"/>
      <c r="AN164" s="54"/>
    </row>
    <row r="165" spans="25:40" ht="15" customHeight="1" x14ac:dyDescent="0.25">
      <c r="Y165" s="58" t="e">
        <f t="shared" si="19"/>
        <v>#N/A</v>
      </c>
      <c r="Z165" s="54" t="e">
        <f t="shared" si="20"/>
        <v>#N/A</v>
      </c>
      <c r="AA165" s="83" t="e">
        <f>IF(SUM(AE93:$AE$103)=0,NA(),SUM(AE93:$AE$103))</f>
        <v>#N/A</v>
      </c>
      <c r="AB165" s="104" t="e">
        <f>IF(SUM(AF93:$AF$103)=0,NA(),SUM(AF93:$AF$103))</f>
        <v>#N/A</v>
      </c>
      <c r="AC165" s="114" t="e">
        <f>IF(SUM(AG93:$AG$103)=0,NA(),SUM(AG93:$AG$103))</f>
        <v>#N/A</v>
      </c>
      <c r="AK165" s="54"/>
      <c r="AN165" s="54"/>
    </row>
    <row r="166" spans="25:40" ht="15" customHeight="1" x14ac:dyDescent="0.25">
      <c r="Y166" s="58" t="e">
        <f t="shared" si="19"/>
        <v>#N/A</v>
      </c>
      <c r="Z166" s="54" t="e">
        <f t="shared" si="20"/>
        <v>#N/A</v>
      </c>
      <c r="AA166" s="83" t="e">
        <f>IF(SUM(AE94:$AE$103)=0,NA(),SUM(AE94:$AE$103))</f>
        <v>#N/A</v>
      </c>
      <c r="AB166" s="104" t="e">
        <f>IF(SUM(AF94:$AF$103)=0,NA(),SUM(AF94:$AF$103))</f>
        <v>#N/A</v>
      </c>
      <c r="AC166" s="114" t="e">
        <f>IF(SUM(AG94:$AG$103)=0,NA(),SUM(AG94:$AG$103))</f>
        <v>#N/A</v>
      </c>
      <c r="AK166" s="54"/>
      <c r="AN166" s="54"/>
    </row>
    <row r="167" spans="25:40" ht="15" customHeight="1" x14ac:dyDescent="0.25">
      <c r="Y167" s="58" t="e">
        <f t="shared" si="19"/>
        <v>#N/A</v>
      </c>
      <c r="Z167" s="54" t="e">
        <f t="shared" si="20"/>
        <v>#N/A</v>
      </c>
      <c r="AA167" s="83" t="e">
        <f>IF(SUM(AE95:$AE$103)=0,NA(),SUM(AE95:$AE$103))</f>
        <v>#N/A</v>
      </c>
      <c r="AB167" s="104" t="e">
        <f>IF(SUM(AF95:$AF$103)=0,NA(),SUM(AF95:$AF$103))</f>
        <v>#N/A</v>
      </c>
      <c r="AC167" s="114" t="e">
        <f>IF(SUM(AG95:$AG$103)=0,NA(),SUM(AG95:$AG$103))</f>
        <v>#N/A</v>
      </c>
      <c r="AK167" s="54"/>
      <c r="AN167" s="54"/>
    </row>
    <row r="168" spans="25:40" ht="15" customHeight="1" x14ac:dyDescent="0.25">
      <c r="Y168" s="58" t="e">
        <f t="shared" si="19"/>
        <v>#N/A</v>
      </c>
      <c r="Z168" s="54" t="e">
        <f t="shared" si="20"/>
        <v>#N/A</v>
      </c>
      <c r="AA168" s="83" t="e">
        <f>IF(SUM(AE96:$AE$103)=0,NA(),SUM(AE96:$AE$103))</f>
        <v>#N/A</v>
      </c>
      <c r="AB168" s="104" t="e">
        <f>IF(SUM(AF96:$AF$103)=0,NA(),SUM(AF96:$AF$103))</f>
        <v>#N/A</v>
      </c>
      <c r="AC168" s="114" t="e">
        <f>IF(SUM(AG96:$AG$103)=0,NA(),SUM(AG96:$AG$103))</f>
        <v>#N/A</v>
      </c>
      <c r="AK168" s="54"/>
      <c r="AN168" s="54"/>
    </row>
    <row r="169" spans="25:40" ht="15" customHeight="1" x14ac:dyDescent="0.25">
      <c r="Y169" s="58" t="e">
        <f t="shared" si="19"/>
        <v>#N/A</v>
      </c>
      <c r="Z169" s="54" t="e">
        <f t="shared" si="20"/>
        <v>#N/A</v>
      </c>
      <c r="AA169" s="83" t="e">
        <f>IF(SUM(AE97:$AE$103)=0,NA(),SUM(AE97:$AE$103))</f>
        <v>#N/A</v>
      </c>
      <c r="AB169" s="104" t="e">
        <f>IF(SUM(AF97:$AF$103)=0,NA(),SUM(AF97:$AF$103))</f>
        <v>#N/A</v>
      </c>
      <c r="AC169" s="114" t="e">
        <f>IF(SUM(AG97:$AG$103)=0,NA(),SUM(AG97:$AG$103))</f>
        <v>#N/A</v>
      </c>
      <c r="AK169" s="54"/>
      <c r="AN169" s="54"/>
    </row>
    <row r="170" spans="25:40" ht="15" customHeight="1" x14ac:dyDescent="0.25">
      <c r="Y170" s="58" t="e">
        <f t="shared" si="19"/>
        <v>#N/A</v>
      </c>
      <c r="Z170" s="54" t="e">
        <f t="shared" si="20"/>
        <v>#N/A</v>
      </c>
      <c r="AA170" s="83" t="e">
        <f>IF(SUM(AE98:$AE$103)=0,NA(),SUM(AE98:$AE$103))</f>
        <v>#N/A</v>
      </c>
      <c r="AB170" s="104" t="e">
        <f>IF(SUM(AF98:$AF$103)=0,NA(),SUM(AF98:$AF$103))</f>
        <v>#N/A</v>
      </c>
      <c r="AC170" s="114" t="e">
        <f>IF(SUM(AG98:$AG$103)=0,NA(),SUM(AG98:$AG$103))</f>
        <v>#N/A</v>
      </c>
      <c r="AK170" s="54"/>
      <c r="AN170" s="54"/>
    </row>
    <row r="171" spans="25:40" ht="15" customHeight="1" x14ac:dyDescent="0.25">
      <c r="Y171" s="58" t="e">
        <f>IF(AA99="",Y99,NA())</f>
        <v>#N/A</v>
      </c>
      <c r="Z171" s="54" t="e">
        <f>IF(AA99="",Z99,NA())</f>
        <v>#N/A</v>
      </c>
      <c r="AA171" s="83" t="e">
        <f>IF(SUM(AE99:$AE$103)=0,NA(),SUM(AE99:$AE$103))</f>
        <v>#N/A</v>
      </c>
      <c r="AB171" s="104" t="e">
        <f>IF(SUM(AF99:$AF$103)=0,NA(),SUM(AF99:$AF$103))</f>
        <v>#N/A</v>
      </c>
      <c r="AC171" s="114" t="e">
        <f>IF(SUM(AG99:$AG$103)=0,NA(),SUM(AG99:$AG$103))</f>
        <v>#N/A</v>
      </c>
      <c r="AK171" s="54"/>
      <c r="AN171" s="54"/>
    </row>
    <row r="172" spans="25:40" ht="15" customHeight="1" x14ac:dyDescent="0.25">
      <c r="Y172" s="58" t="e">
        <f>IF(AA100="",Y100,NA())</f>
        <v>#N/A</v>
      </c>
      <c r="Z172" s="54" t="e">
        <f>IF(AA100="",Z100,NA())</f>
        <v>#N/A</v>
      </c>
      <c r="AA172" s="83" t="e">
        <f>IF(SUM(AE100:$AE$103)=0,NA(),SUM(AE100:$AE$103))</f>
        <v>#N/A</v>
      </c>
      <c r="AB172" s="104" t="e">
        <f>IF(SUM(AF100:$AF$103)=0,NA(),SUM(AF100:$AF$103))</f>
        <v>#N/A</v>
      </c>
      <c r="AC172" s="114" t="e">
        <f>IF(SUM(AG100:$AG$103)=0,NA(),SUM(AG100:$AG$103))</f>
        <v>#N/A</v>
      </c>
      <c r="AK172" s="54"/>
      <c r="AN172" s="54"/>
    </row>
    <row r="173" spans="25:40" ht="15" customHeight="1" x14ac:dyDescent="0.25">
      <c r="Y173" s="58" t="e">
        <f>IF(AA101="",Y101,NA())</f>
        <v>#N/A</v>
      </c>
      <c r="Z173" s="54" t="e">
        <f>IF(AA101="",Z101,NA())</f>
        <v>#N/A</v>
      </c>
      <c r="AA173" s="83" t="e">
        <f>IF(SUM(AE101:$AE$103)=0,NA(),SUM(AE101:$AE$103))</f>
        <v>#N/A</v>
      </c>
      <c r="AB173" s="104" t="e">
        <f>IF(SUM(AF101:$AF$103)=0,NA(),SUM(AF101:$AF$103))</f>
        <v>#N/A</v>
      </c>
      <c r="AC173" s="114" t="e">
        <f>IF(SUM(AG101:$AG$103)=0,NA(),SUM(AG101:$AG$103))</f>
        <v>#N/A</v>
      </c>
      <c r="AK173" s="54"/>
      <c r="AN173" s="54"/>
    </row>
    <row r="174" spans="25:40" ht="15" customHeight="1" x14ac:dyDescent="0.25">
      <c r="Y174" s="58" t="e">
        <f>IF(AA102="",Y102,NA())</f>
        <v>#N/A</v>
      </c>
      <c r="Z174" s="54" t="e">
        <f>IF(AA102="",Z102,NA())</f>
        <v>#N/A</v>
      </c>
      <c r="AA174" s="83" t="e">
        <f>IF(SUM(AE102:$AE$103)=0,NA(),SUM(AE102:$AE$103))</f>
        <v>#N/A</v>
      </c>
      <c r="AB174" s="104" t="e">
        <f>IF(SUM(AF102:$AF$103)=0,NA(),SUM(AF102:$AF$103))</f>
        <v>#N/A</v>
      </c>
      <c r="AC174" s="114" t="e">
        <f>IF(SUM(AG102:$AG$103)=0,NA(),SUM(AG102:$AG$103))</f>
        <v>#N/A</v>
      </c>
      <c r="AK174" s="54"/>
      <c r="AN174" s="54"/>
    </row>
    <row r="175" spans="25:40" ht="15" customHeight="1" thickBot="1" x14ac:dyDescent="0.3">
      <c r="Y175" s="58" t="e">
        <f>IF(AA103="",Y103,NA())</f>
        <v>#N/A</v>
      </c>
      <c r="Z175" s="54" t="e">
        <f>IF(AA103="",Z103,NA())</f>
        <v>#N/A</v>
      </c>
      <c r="AA175" s="117" t="e">
        <f>IF(SUM(AE103:$AE$103)=0,NA(),SUM(AE103:$AE$103))</f>
        <v>#N/A</v>
      </c>
      <c r="AB175" s="118" t="e">
        <f>IF(SUM(AF103:$AF$103)=0,NA(),SUM(AF103:$AF$103))</f>
        <v>#N/A</v>
      </c>
      <c r="AC175" s="119" t="e">
        <f>IF(SUM(AG103:$AG$103)=0,NA(),SUM(AG103:$AG$103))</f>
        <v>#N/A</v>
      </c>
      <c r="AK175" s="54"/>
      <c r="AN175" s="54"/>
    </row>
    <row r="176" spans="25:40" ht="15" customHeight="1" x14ac:dyDescent="0.25">
      <c r="AK176" s="54"/>
      <c r="AN176" s="54"/>
    </row>
    <row r="177" spans="37:40" ht="15" customHeight="1" x14ac:dyDescent="0.25">
      <c r="AK177" s="54"/>
      <c r="AN177" s="54"/>
    </row>
    <row r="178" spans="37:40" ht="15" customHeight="1" x14ac:dyDescent="0.25">
      <c r="AK178" s="54"/>
      <c r="AN178" s="54"/>
    </row>
    <row r="179" spans="37:40" ht="15" customHeight="1" x14ac:dyDescent="0.25">
      <c r="AK179" s="54"/>
      <c r="AN179" s="54"/>
    </row>
    <row r="180" spans="37:40" ht="15" customHeight="1" x14ac:dyDescent="0.25">
      <c r="AK180" s="54"/>
      <c r="AN180" s="54"/>
    </row>
    <row r="181" spans="37:40" ht="15" customHeight="1" x14ac:dyDescent="0.25">
      <c r="AK181" s="54"/>
      <c r="AN181" s="54"/>
    </row>
    <row r="182" spans="37:40" ht="15" customHeight="1" x14ac:dyDescent="0.25">
      <c r="AK182" s="54"/>
      <c r="AN182" s="54"/>
    </row>
    <row r="183" spans="37:40" ht="15" customHeight="1" x14ac:dyDescent="0.25">
      <c r="AK183" s="54"/>
      <c r="AN183" s="54"/>
    </row>
    <row r="184" spans="37:40" ht="15" customHeight="1" x14ac:dyDescent="0.25">
      <c r="AK184" s="54"/>
      <c r="AN184" s="54"/>
    </row>
    <row r="185" spans="37:40" ht="15" customHeight="1" x14ac:dyDescent="0.25">
      <c r="AK185" s="54"/>
      <c r="AN185" s="54"/>
    </row>
    <row r="186" spans="37:40" ht="15" customHeight="1" x14ac:dyDescent="0.25">
      <c r="AK186" s="54"/>
      <c r="AN186" s="54"/>
    </row>
    <row r="187" spans="37:40" ht="15" customHeight="1" x14ac:dyDescent="0.25">
      <c r="AK187" s="54"/>
      <c r="AN187" s="54"/>
    </row>
    <row r="188" spans="37:40" ht="15" customHeight="1" x14ac:dyDescent="0.25">
      <c r="AK188" s="54"/>
      <c r="AN188" s="54"/>
    </row>
    <row r="189" spans="37:40" ht="15" customHeight="1" x14ac:dyDescent="0.25">
      <c r="AK189" s="54"/>
      <c r="AN189" s="54"/>
    </row>
    <row r="190" spans="37:40" ht="15" customHeight="1" x14ac:dyDescent="0.25">
      <c r="AK190" s="54"/>
      <c r="AN190" s="54"/>
    </row>
    <row r="191" spans="37:40" ht="15" customHeight="1" x14ac:dyDescent="0.25">
      <c r="AK191" s="54"/>
      <c r="AN191" s="54"/>
    </row>
    <row r="192" spans="37:40" ht="15" customHeight="1" x14ac:dyDescent="0.25">
      <c r="AK192" s="54"/>
      <c r="AN192" s="54"/>
    </row>
    <row r="193" spans="37:40" ht="15" customHeight="1" x14ac:dyDescent="0.25">
      <c r="AK193" s="54"/>
      <c r="AN193" s="54"/>
    </row>
    <row r="194" spans="37:40" ht="15" customHeight="1" x14ac:dyDescent="0.25">
      <c r="AK194" s="54"/>
      <c r="AN194" s="54"/>
    </row>
    <row r="195" spans="37:40" ht="15" customHeight="1" x14ac:dyDescent="0.25">
      <c r="AK195" s="54"/>
      <c r="AN195" s="54"/>
    </row>
    <row r="196" spans="37:40" ht="15" customHeight="1" x14ac:dyDescent="0.25">
      <c r="AK196" s="54"/>
      <c r="AN196" s="54"/>
    </row>
    <row r="197" spans="37:40" ht="15" customHeight="1" x14ac:dyDescent="0.25">
      <c r="AK197" s="54"/>
      <c r="AN197" s="54"/>
    </row>
    <row r="198" spans="37:40" ht="15" customHeight="1" x14ac:dyDescent="0.25">
      <c r="AK198" s="54"/>
      <c r="AN198" s="54"/>
    </row>
    <row r="199" spans="37:40" ht="15" customHeight="1" x14ac:dyDescent="0.25">
      <c r="AK199" s="54"/>
      <c r="AN199" s="54"/>
    </row>
    <row r="200" spans="37:40" ht="15" customHeight="1" x14ac:dyDescent="0.25">
      <c r="AK200" s="54"/>
      <c r="AN200" s="54"/>
    </row>
    <row r="201" spans="37:40" ht="15" customHeight="1" x14ac:dyDescent="0.25">
      <c r="AK201" s="54"/>
      <c r="AN201" s="54"/>
    </row>
    <row r="202" spans="37:40" ht="15" customHeight="1" x14ac:dyDescent="0.25">
      <c r="AK202" s="54"/>
      <c r="AN202" s="54"/>
    </row>
    <row r="203" spans="37:40" ht="15" customHeight="1" x14ac:dyDescent="0.25">
      <c r="AK203" s="54"/>
      <c r="AN203" s="54"/>
    </row>
    <row r="204" spans="37:40" ht="15" customHeight="1" x14ac:dyDescent="0.25">
      <c r="AK204" s="54"/>
      <c r="AN204" s="54"/>
    </row>
    <row r="205" spans="37:40" ht="15" customHeight="1" x14ac:dyDescent="0.25">
      <c r="AK205" s="54"/>
      <c r="AN205" s="54"/>
    </row>
    <row r="206" spans="37:40" ht="15" customHeight="1" x14ac:dyDescent="0.25">
      <c r="AK206" s="54"/>
      <c r="AN206" s="54"/>
    </row>
    <row r="207" spans="37:40" ht="15" customHeight="1" x14ac:dyDescent="0.25">
      <c r="AK207" s="54"/>
      <c r="AN207" s="54"/>
    </row>
    <row r="208" spans="37:40" ht="15" customHeight="1" x14ac:dyDescent="0.25">
      <c r="AK208" s="54"/>
      <c r="AN208" s="54"/>
    </row>
    <row r="209" spans="37:40" ht="15" customHeight="1" x14ac:dyDescent="0.25">
      <c r="AK209" s="54"/>
      <c r="AN209" s="54"/>
    </row>
    <row r="210" spans="37:40" ht="15" customHeight="1" x14ac:dyDescent="0.25">
      <c r="AK210" s="54"/>
      <c r="AN210" s="54"/>
    </row>
    <row r="211" spans="37:40" ht="15" customHeight="1" x14ac:dyDescent="0.25">
      <c r="AK211" s="54"/>
      <c r="AN211" s="54"/>
    </row>
    <row r="212" spans="37:40" ht="15" customHeight="1" x14ac:dyDescent="0.25">
      <c r="AK212" s="54"/>
      <c r="AN212" s="54"/>
    </row>
    <row r="213" spans="37:40" ht="15" customHeight="1" x14ac:dyDescent="0.25">
      <c r="AK213" s="54"/>
      <c r="AN213" s="54"/>
    </row>
    <row r="214" spans="37:40" ht="15" customHeight="1" x14ac:dyDescent="0.25">
      <c r="AK214" s="54"/>
      <c r="AN214" s="54"/>
    </row>
    <row r="215" spans="37:40" ht="15" customHeight="1" x14ac:dyDescent="0.25">
      <c r="AK215" s="54"/>
      <c r="AN215" s="54"/>
    </row>
    <row r="216" spans="37:40" ht="15" customHeight="1" x14ac:dyDescent="0.25">
      <c r="AK216" s="54"/>
      <c r="AN216" s="54"/>
    </row>
    <row r="217" spans="37:40" ht="15" customHeight="1" x14ac:dyDescent="0.25">
      <c r="AK217" s="54"/>
      <c r="AN217" s="54"/>
    </row>
    <row r="218" spans="37:40" ht="15" customHeight="1" x14ac:dyDescent="0.25">
      <c r="AK218" s="54"/>
      <c r="AN218" s="54"/>
    </row>
    <row r="219" spans="37:40" ht="15" customHeight="1" x14ac:dyDescent="0.25">
      <c r="AK219" s="54"/>
      <c r="AN219" s="54"/>
    </row>
    <row r="220" spans="37:40" ht="15" customHeight="1" x14ac:dyDescent="0.25">
      <c r="AK220" s="54"/>
      <c r="AN220" s="54"/>
    </row>
    <row r="221" spans="37:40" ht="15" customHeight="1" x14ac:dyDescent="0.25">
      <c r="AK221" s="54"/>
      <c r="AN221" s="54"/>
    </row>
    <row r="222" spans="37:40" ht="15" customHeight="1" x14ac:dyDescent="0.25">
      <c r="AK222" s="54"/>
      <c r="AN222" s="54"/>
    </row>
    <row r="223" spans="37:40" ht="15" customHeight="1" x14ac:dyDescent="0.25">
      <c r="AK223" s="54"/>
      <c r="AN223" s="54"/>
    </row>
    <row r="224" spans="37:40" ht="15" customHeight="1" x14ac:dyDescent="0.25">
      <c r="AK224" s="54"/>
      <c r="AN224" s="54"/>
    </row>
    <row r="225" spans="37:40" ht="15" customHeight="1" x14ac:dyDescent="0.25">
      <c r="AK225" s="54"/>
      <c r="AN225" s="54"/>
    </row>
    <row r="226" spans="37:40" ht="15" customHeight="1" x14ac:dyDescent="0.25">
      <c r="AK226" s="54"/>
      <c r="AN226" s="54"/>
    </row>
    <row r="227" spans="37:40" ht="15" customHeight="1" x14ac:dyDescent="0.25">
      <c r="AK227" s="54"/>
      <c r="AN227" s="54"/>
    </row>
    <row r="228" spans="37:40" ht="15" customHeight="1" x14ac:dyDescent="0.25">
      <c r="AK228" s="54"/>
      <c r="AN228" s="54"/>
    </row>
    <row r="229" spans="37:40" ht="15" customHeight="1" x14ac:dyDescent="0.25">
      <c r="AK229" s="54"/>
      <c r="AN229" s="54"/>
    </row>
    <row r="230" spans="37:40" ht="15" customHeight="1" x14ac:dyDescent="0.25">
      <c r="AK230" s="54"/>
      <c r="AN230" s="54"/>
    </row>
    <row r="231" spans="37:40" ht="15" customHeight="1" x14ac:dyDescent="0.25">
      <c r="AK231" s="54"/>
      <c r="AN231" s="54"/>
    </row>
    <row r="232" spans="37:40" ht="15" customHeight="1" x14ac:dyDescent="0.25">
      <c r="AK232" s="54"/>
      <c r="AN232" s="54"/>
    </row>
    <row r="233" spans="37:40" ht="15" customHeight="1" x14ac:dyDescent="0.25">
      <c r="AK233" s="54"/>
      <c r="AN233" s="54"/>
    </row>
    <row r="234" spans="37:40" ht="15" customHeight="1" x14ac:dyDescent="0.25">
      <c r="AK234" s="54"/>
      <c r="AN234" s="54"/>
    </row>
    <row r="235" spans="37:40" ht="15" customHeight="1" x14ac:dyDescent="0.25">
      <c r="AK235" s="54"/>
      <c r="AN235" s="54"/>
    </row>
    <row r="236" spans="37:40" ht="15" customHeight="1" x14ac:dyDescent="0.25">
      <c r="AK236" s="54"/>
      <c r="AN236" s="54"/>
    </row>
    <row r="237" spans="37:40" ht="15" customHeight="1" x14ac:dyDescent="0.25">
      <c r="AK237" s="54"/>
      <c r="AN237" s="54"/>
    </row>
    <row r="238" spans="37:40" ht="15" customHeight="1" x14ac:dyDescent="0.25">
      <c r="AK238" s="54"/>
      <c r="AN238" s="54"/>
    </row>
    <row r="239" spans="37:40" ht="15" customHeight="1" x14ac:dyDescent="0.25">
      <c r="AK239" s="54"/>
      <c r="AN239" s="54"/>
    </row>
    <row r="240" spans="37:40" ht="15" customHeight="1" x14ac:dyDescent="0.25">
      <c r="AK240" s="54"/>
      <c r="AN240" s="54"/>
    </row>
    <row r="241" spans="37:40" ht="15" customHeight="1" x14ac:dyDescent="0.25">
      <c r="AK241" s="54"/>
      <c r="AN241" s="54"/>
    </row>
    <row r="242" spans="37:40" ht="15" customHeight="1" x14ac:dyDescent="0.25">
      <c r="AK242" s="54"/>
      <c r="AN242" s="54"/>
    </row>
    <row r="243" spans="37:40" ht="15" customHeight="1" x14ac:dyDescent="0.25">
      <c r="AK243" s="54"/>
      <c r="AN243" s="54"/>
    </row>
    <row r="244" spans="37:40" ht="15" customHeight="1" x14ac:dyDescent="0.25">
      <c r="AK244" s="54"/>
      <c r="AN244" s="54"/>
    </row>
    <row r="245" spans="37:40" ht="15" customHeight="1" x14ac:dyDescent="0.25">
      <c r="AK245" s="54"/>
      <c r="AN245" s="54"/>
    </row>
    <row r="246" spans="37:40" ht="15" customHeight="1" x14ac:dyDescent="0.25">
      <c r="AK246" s="54"/>
      <c r="AN246" s="54"/>
    </row>
    <row r="247" spans="37:40" ht="15" customHeight="1" x14ac:dyDescent="0.25">
      <c r="AK247" s="54"/>
      <c r="AN247" s="54"/>
    </row>
    <row r="248" spans="37:40" ht="15" customHeight="1" x14ac:dyDescent="0.25">
      <c r="AK248" s="54"/>
      <c r="AN248" s="54"/>
    </row>
    <row r="249" spans="37:40" ht="15" customHeight="1" x14ac:dyDescent="0.25">
      <c r="AK249" s="54"/>
      <c r="AN249" s="54"/>
    </row>
    <row r="250" spans="37:40" ht="15" customHeight="1" x14ac:dyDescent="0.25">
      <c r="AK250" s="54"/>
      <c r="AN250" s="54"/>
    </row>
    <row r="251" spans="37:40" ht="15" customHeight="1" x14ac:dyDescent="0.25">
      <c r="AK251" s="54"/>
      <c r="AN251" s="54"/>
    </row>
    <row r="252" spans="37:40" ht="15" customHeight="1" x14ac:dyDescent="0.25">
      <c r="AK252" s="54"/>
      <c r="AN252" s="54"/>
    </row>
    <row r="253" spans="37:40" ht="15" customHeight="1" x14ac:dyDescent="0.25">
      <c r="AK253" s="54"/>
      <c r="AN253" s="54"/>
    </row>
    <row r="254" spans="37:40" ht="15" customHeight="1" x14ac:dyDescent="0.25">
      <c r="AK254" s="54"/>
      <c r="AN254" s="54"/>
    </row>
    <row r="255" spans="37:40" ht="15" customHeight="1" x14ac:dyDescent="0.25">
      <c r="AK255" s="54"/>
      <c r="AN255" s="54"/>
    </row>
    <row r="256" spans="37:40" ht="15" customHeight="1" x14ac:dyDescent="0.25">
      <c r="AK256" s="54"/>
      <c r="AN256" s="54"/>
    </row>
    <row r="257" spans="37:40" ht="15" customHeight="1" x14ac:dyDescent="0.25">
      <c r="AK257" s="54"/>
      <c r="AN257" s="54"/>
    </row>
    <row r="258" spans="37:40" ht="15" customHeight="1" x14ac:dyDescent="0.25">
      <c r="AK258" s="54"/>
      <c r="AN258" s="54"/>
    </row>
    <row r="259" spans="37:40" ht="15" customHeight="1" x14ac:dyDescent="0.25">
      <c r="AK259" s="54"/>
      <c r="AN259" s="54"/>
    </row>
    <row r="260" spans="37:40" ht="15" customHeight="1" x14ac:dyDescent="0.25">
      <c r="AK260" s="54"/>
      <c r="AN260" s="54"/>
    </row>
    <row r="261" spans="37:40" ht="15" customHeight="1" x14ac:dyDescent="0.25">
      <c r="AK261" s="54"/>
      <c r="AN261" s="54"/>
    </row>
    <row r="262" spans="37:40" ht="15" customHeight="1" x14ac:dyDescent="0.25">
      <c r="AK262" s="54"/>
      <c r="AN262" s="54"/>
    </row>
    <row r="263" spans="37:40" ht="15" customHeight="1" x14ac:dyDescent="0.25">
      <c r="AK263" s="54"/>
      <c r="AN263" s="54"/>
    </row>
    <row r="264" spans="37:40" ht="15" customHeight="1" x14ac:dyDescent="0.25">
      <c r="AK264" s="54"/>
      <c r="AN264" s="54"/>
    </row>
    <row r="265" spans="37:40" ht="15" customHeight="1" x14ac:dyDescent="0.25">
      <c r="AK265" s="54"/>
      <c r="AN265" s="54"/>
    </row>
    <row r="266" spans="37:40" ht="15" customHeight="1" x14ac:dyDescent="0.25">
      <c r="AK266" s="54"/>
      <c r="AN266" s="54"/>
    </row>
    <row r="267" spans="37:40" ht="15" customHeight="1" x14ac:dyDescent="0.25">
      <c r="AK267" s="54"/>
      <c r="AN267" s="54"/>
    </row>
    <row r="268" spans="37:40" ht="15" customHeight="1" x14ac:dyDescent="0.25">
      <c r="AK268" s="54"/>
      <c r="AN268" s="54"/>
    </row>
    <row r="269" spans="37:40" ht="15" customHeight="1" x14ac:dyDescent="0.25">
      <c r="AK269" s="54"/>
      <c r="AN269" s="54"/>
    </row>
    <row r="270" spans="37:40" ht="15" customHeight="1" x14ac:dyDescent="0.25">
      <c r="AK270" s="54"/>
      <c r="AN270" s="54"/>
    </row>
    <row r="271" spans="37:40" ht="15" customHeight="1" x14ac:dyDescent="0.25">
      <c r="AK271" s="54"/>
      <c r="AN271" s="54"/>
    </row>
    <row r="272" spans="37:40" ht="15" customHeight="1" x14ac:dyDescent="0.25">
      <c r="AK272" s="54"/>
      <c r="AN272" s="54"/>
    </row>
    <row r="273" spans="37:40" ht="15" customHeight="1" x14ac:dyDescent="0.25">
      <c r="AK273" s="54"/>
      <c r="AN273" s="54"/>
    </row>
    <row r="274" spans="37:40" ht="15" customHeight="1" x14ac:dyDescent="0.25">
      <c r="AK274" s="54"/>
      <c r="AN274" s="54"/>
    </row>
    <row r="275" spans="37:40" ht="15" customHeight="1" x14ac:dyDescent="0.25">
      <c r="AK275" s="54"/>
      <c r="AN275" s="54"/>
    </row>
    <row r="276" spans="37:40" ht="15" customHeight="1" x14ac:dyDescent="0.25">
      <c r="AK276" s="54"/>
      <c r="AN276" s="54"/>
    </row>
    <row r="277" spans="37:40" ht="15" customHeight="1" x14ac:dyDescent="0.25">
      <c r="AK277" s="54"/>
      <c r="AN277" s="54"/>
    </row>
    <row r="278" spans="37:40" ht="15" customHeight="1" x14ac:dyDescent="0.25">
      <c r="AK278" s="54"/>
      <c r="AN278" s="54"/>
    </row>
    <row r="279" spans="37:40" ht="15" customHeight="1" x14ac:dyDescent="0.25">
      <c r="AK279" s="54"/>
      <c r="AN279" s="54"/>
    </row>
    <row r="280" spans="37:40" ht="15" customHeight="1" x14ac:dyDescent="0.25">
      <c r="AK280" s="54"/>
      <c r="AN280" s="54"/>
    </row>
    <row r="281" spans="37:40" ht="15" customHeight="1" x14ac:dyDescent="0.25">
      <c r="AK281" s="54"/>
      <c r="AN281" s="54"/>
    </row>
    <row r="282" spans="37:40" ht="15" customHeight="1" x14ac:dyDescent="0.25">
      <c r="AK282" s="54"/>
      <c r="AN282" s="54"/>
    </row>
    <row r="283" spans="37:40" ht="15" customHeight="1" x14ac:dyDescent="0.25">
      <c r="AK283" s="54"/>
      <c r="AN283" s="54"/>
    </row>
    <row r="284" spans="37:40" ht="15" customHeight="1" x14ac:dyDescent="0.25">
      <c r="AK284" s="54"/>
      <c r="AN284" s="54"/>
    </row>
    <row r="285" spans="37:40" ht="15" customHeight="1" x14ac:dyDescent="0.25">
      <c r="AK285" s="54"/>
      <c r="AN285" s="54"/>
    </row>
    <row r="286" spans="37:40" ht="15" customHeight="1" x14ac:dyDescent="0.25">
      <c r="AK286" s="54"/>
      <c r="AN286" s="54"/>
    </row>
    <row r="287" spans="37:40" ht="15" customHeight="1" x14ac:dyDescent="0.25">
      <c r="AK287" s="54"/>
      <c r="AN287" s="54"/>
    </row>
    <row r="288" spans="37:40" ht="15" customHeight="1" x14ac:dyDescent="0.25">
      <c r="AK288" s="54"/>
      <c r="AN288" s="54"/>
    </row>
    <row r="289" spans="37:40" ht="15" customHeight="1" x14ac:dyDescent="0.25">
      <c r="AK289" s="54"/>
      <c r="AN289" s="54"/>
    </row>
    <row r="290" spans="37:40" ht="15" customHeight="1" x14ac:dyDescent="0.25">
      <c r="AK290" s="54"/>
      <c r="AN290" s="54"/>
    </row>
    <row r="291" spans="37:40" ht="15" customHeight="1" x14ac:dyDescent="0.25">
      <c r="AK291" s="54"/>
      <c r="AN291" s="54"/>
    </row>
    <row r="292" spans="37:40" ht="15" customHeight="1" x14ac:dyDescent="0.25">
      <c r="AK292" s="54"/>
      <c r="AN292" s="54"/>
    </row>
    <row r="293" spans="37:40" ht="15" customHeight="1" x14ac:dyDescent="0.25">
      <c r="AK293" s="54"/>
      <c r="AN293" s="54"/>
    </row>
    <row r="294" spans="37:40" ht="15" customHeight="1" x14ac:dyDescent="0.25">
      <c r="AK294" s="54"/>
      <c r="AN294" s="54"/>
    </row>
    <row r="295" spans="37:40" ht="15" customHeight="1" x14ac:dyDescent="0.25">
      <c r="AK295" s="54"/>
      <c r="AN295" s="54"/>
    </row>
    <row r="296" spans="37:40" ht="15" customHeight="1" x14ac:dyDescent="0.25">
      <c r="AK296" s="54"/>
      <c r="AN296" s="54"/>
    </row>
    <row r="297" spans="37:40" ht="15" customHeight="1" x14ac:dyDescent="0.25">
      <c r="AK297" s="54"/>
      <c r="AN297" s="54"/>
    </row>
    <row r="298" spans="37:40" ht="15" customHeight="1" x14ac:dyDescent="0.25">
      <c r="AK298" s="54"/>
      <c r="AN298" s="54"/>
    </row>
    <row r="299" spans="37:40" ht="15" customHeight="1" x14ac:dyDescent="0.25">
      <c r="AK299" s="54"/>
      <c r="AN299" s="54"/>
    </row>
    <row r="300" spans="37:40" ht="15" customHeight="1" x14ac:dyDescent="0.25">
      <c r="AK300" s="54"/>
      <c r="AN300" s="54"/>
    </row>
    <row r="301" spans="37:40" ht="15" customHeight="1" x14ac:dyDescent="0.25">
      <c r="AK301" s="54"/>
      <c r="AN301" s="54"/>
    </row>
    <row r="302" spans="37:40" ht="15" customHeight="1" x14ac:dyDescent="0.25">
      <c r="AK302" s="54"/>
      <c r="AN302" s="54"/>
    </row>
    <row r="303" spans="37:40" ht="15" customHeight="1" x14ac:dyDescent="0.25">
      <c r="AK303" s="54"/>
      <c r="AN303" s="54"/>
    </row>
    <row r="304" spans="37:40" ht="15" customHeight="1" x14ac:dyDescent="0.25">
      <c r="AK304" s="54"/>
      <c r="AN304" s="54"/>
    </row>
    <row r="305" spans="37:40" ht="15" customHeight="1" x14ac:dyDescent="0.25">
      <c r="AK305" s="54"/>
      <c r="AN305" s="54"/>
    </row>
    <row r="306" spans="37:40" ht="15" customHeight="1" x14ac:dyDescent="0.25">
      <c r="AK306" s="54"/>
      <c r="AN306" s="54"/>
    </row>
    <row r="307" spans="37:40" ht="15" customHeight="1" x14ac:dyDescent="0.25">
      <c r="AK307" s="54"/>
      <c r="AN307" s="54"/>
    </row>
    <row r="308" spans="37:40" ht="15" customHeight="1" x14ac:dyDescent="0.25">
      <c r="AK308" s="54"/>
      <c r="AN308" s="54"/>
    </row>
    <row r="309" spans="37:40" ht="15" customHeight="1" x14ac:dyDescent="0.25">
      <c r="AK309" s="54"/>
      <c r="AN309" s="54"/>
    </row>
    <row r="310" spans="37:40" ht="15" customHeight="1" x14ac:dyDescent="0.25">
      <c r="AK310" s="54"/>
      <c r="AN310" s="54"/>
    </row>
    <row r="311" spans="37:40" ht="15" customHeight="1" x14ac:dyDescent="0.25">
      <c r="AK311" s="54"/>
      <c r="AN311" s="54"/>
    </row>
    <row r="312" spans="37:40" ht="15" customHeight="1" x14ac:dyDescent="0.25">
      <c r="AK312" s="54"/>
      <c r="AN312" s="54"/>
    </row>
    <row r="313" spans="37:40" ht="15" customHeight="1" x14ac:dyDescent="0.25">
      <c r="AK313" s="54"/>
      <c r="AN313" s="54"/>
    </row>
    <row r="314" spans="37:40" ht="15" customHeight="1" x14ac:dyDescent="0.25">
      <c r="AK314" s="54"/>
      <c r="AN314" s="54"/>
    </row>
    <row r="315" spans="37:40" ht="15" customHeight="1" x14ac:dyDescent="0.25">
      <c r="AK315" s="54"/>
      <c r="AN315" s="54"/>
    </row>
    <row r="316" spans="37:40" ht="15" customHeight="1" x14ac:dyDescent="0.25">
      <c r="AK316" s="54"/>
      <c r="AN316" s="54"/>
    </row>
    <row r="317" spans="37:40" ht="15" customHeight="1" x14ac:dyDescent="0.25">
      <c r="AK317" s="54"/>
      <c r="AN317" s="54"/>
    </row>
    <row r="318" spans="37:40" ht="15" customHeight="1" x14ac:dyDescent="0.25">
      <c r="AK318" s="54"/>
      <c r="AN318" s="54"/>
    </row>
    <row r="319" spans="37:40" ht="15" customHeight="1" x14ac:dyDescent="0.25">
      <c r="AK319" s="54"/>
      <c r="AN319" s="54"/>
    </row>
    <row r="320" spans="37:40" ht="15" customHeight="1" x14ac:dyDescent="0.25">
      <c r="AK320" s="54"/>
      <c r="AN320" s="54"/>
    </row>
    <row r="321" spans="37:40" ht="15" customHeight="1" x14ac:dyDescent="0.25">
      <c r="AK321" s="54"/>
      <c r="AN321" s="54"/>
    </row>
    <row r="322" spans="37:40" ht="15" customHeight="1" x14ac:dyDescent="0.25">
      <c r="AK322" s="54"/>
      <c r="AN322" s="54"/>
    </row>
    <row r="323" spans="37:40" ht="15" customHeight="1" x14ac:dyDescent="0.25">
      <c r="AK323" s="54"/>
      <c r="AN323" s="54"/>
    </row>
    <row r="324" spans="37:40" ht="15" customHeight="1" x14ac:dyDescent="0.25">
      <c r="AK324" s="54"/>
      <c r="AN324" s="54"/>
    </row>
    <row r="325" spans="37:40" ht="15" customHeight="1" x14ac:dyDescent="0.25">
      <c r="AK325" s="54"/>
      <c r="AN325" s="54"/>
    </row>
    <row r="326" spans="37:40" ht="15" customHeight="1" x14ac:dyDescent="0.25">
      <c r="AK326" s="54"/>
      <c r="AN326" s="54"/>
    </row>
    <row r="327" spans="37:40" ht="15" customHeight="1" x14ac:dyDescent="0.25">
      <c r="AK327" s="54"/>
      <c r="AN327" s="54"/>
    </row>
    <row r="328" spans="37:40" ht="15" customHeight="1" x14ac:dyDescent="0.25">
      <c r="AK328" s="54"/>
      <c r="AN328" s="54"/>
    </row>
    <row r="329" spans="37:40" ht="15" customHeight="1" x14ac:dyDescent="0.25">
      <c r="AK329" s="54"/>
      <c r="AN329" s="54"/>
    </row>
    <row r="330" spans="37:40" ht="15" customHeight="1" x14ac:dyDescent="0.25">
      <c r="AK330" s="54"/>
      <c r="AN330" s="54"/>
    </row>
    <row r="331" spans="37:40" ht="15" customHeight="1" x14ac:dyDescent="0.25">
      <c r="AK331" s="54"/>
      <c r="AN331" s="54"/>
    </row>
    <row r="332" spans="37:40" ht="15" customHeight="1" x14ac:dyDescent="0.25">
      <c r="AK332" s="54"/>
      <c r="AN332" s="54"/>
    </row>
    <row r="333" spans="37:40" ht="15" customHeight="1" x14ac:dyDescent="0.25">
      <c r="AK333" s="54"/>
      <c r="AN333" s="54"/>
    </row>
    <row r="334" spans="37:40" ht="15" customHeight="1" x14ac:dyDescent="0.25">
      <c r="AK334" s="54"/>
      <c r="AN334" s="54"/>
    </row>
    <row r="335" spans="37:40" ht="15" customHeight="1" x14ac:dyDescent="0.25">
      <c r="AK335" s="54"/>
      <c r="AN335" s="54"/>
    </row>
    <row r="336" spans="37:40" ht="15" customHeight="1" x14ac:dyDescent="0.25">
      <c r="AK336" s="54"/>
      <c r="AN336" s="54"/>
    </row>
    <row r="337" spans="37:40" ht="15" customHeight="1" x14ac:dyDescent="0.25">
      <c r="AK337" s="54"/>
      <c r="AN337" s="54"/>
    </row>
    <row r="338" spans="37:40" ht="15" customHeight="1" x14ac:dyDescent="0.25">
      <c r="AK338" s="54"/>
      <c r="AN338" s="54"/>
    </row>
    <row r="339" spans="37:40" ht="15" customHeight="1" x14ac:dyDescent="0.25">
      <c r="AK339" s="54"/>
      <c r="AN339" s="54"/>
    </row>
    <row r="340" spans="37:40" ht="15" customHeight="1" x14ac:dyDescent="0.25">
      <c r="AK340" s="54"/>
      <c r="AN340" s="54"/>
    </row>
    <row r="341" spans="37:40" ht="15" customHeight="1" x14ac:dyDescent="0.25">
      <c r="AK341" s="54"/>
      <c r="AN341" s="54"/>
    </row>
    <row r="342" spans="37:40" ht="15" customHeight="1" x14ac:dyDescent="0.25">
      <c r="AK342" s="54"/>
      <c r="AN342" s="54"/>
    </row>
    <row r="343" spans="37:40" ht="15" customHeight="1" x14ac:dyDescent="0.25">
      <c r="AK343" s="54"/>
      <c r="AN343" s="54"/>
    </row>
    <row r="344" spans="37:40" ht="15" customHeight="1" x14ac:dyDescent="0.25">
      <c r="AK344" s="54"/>
      <c r="AN344" s="54"/>
    </row>
    <row r="345" spans="37:40" ht="15" customHeight="1" x14ac:dyDescent="0.25">
      <c r="AK345" s="54"/>
      <c r="AN345" s="54"/>
    </row>
    <row r="346" spans="37:40" ht="15" customHeight="1" x14ac:dyDescent="0.25">
      <c r="AK346" s="54"/>
      <c r="AN346" s="54"/>
    </row>
    <row r="347" spans="37:40" ht="15" customHeight="1" x14ac:dyDescent="0.25">
      <c r="AK347" s="54"/>
      <c r="AN347" s="54"/>
    </row>
    <row r="348" spans="37:40" ht="15" customHeight="1" x14ac:dyDescent="0.25">
      <c r="AK348" s="54"/>
      <c r="AN348" s="54"/>
    </row>
    <row r="349" spans="37:40" ht="15" customHeight="1" x14ac:dyDescent="0.25">
      <c r="AK349" s="54"/>
      <c r="AN349" s="54"/>
    </row>
    <row r="350" spans="37:40" ht="15" customHeight="1" x14ac:dyDescent="0.25">
      <c r="AK350" s="54"/>
      <c r="AN350" s="54"/>
    </row>
    <row r="351" spans="37:40" ht="15" customHeight="1" x14ac:dyDescent="0.25">
      <c r="AK351" s="54"/>
      <c r="AN351" s="54"/>
    </row>
    <row r="352" spans="37:40" ht="15" customHeight="1" x14ac:dyDescent="0.25">
      <c r="AK352" s="54"/>
      <c r="AN352" s="54"/>
    </row>
    <row r="353" spans="37:40" ht="15" customHeight="1" x14ac:dyDescent="0.25">
      <c r="AK353" s="54"/>
      <c r="AN353" s="54"/>
    </row>
    <row r="354" spans="37:40" ht="15" customHeight="1" x14ac:dyDescent="0.25">
      <c r="AK354" s="54"/>
      <c r="AN354" s="54"/>
    </row>
    <row r="355" spans="37:40" ht="15" customHeight="1" x14ac:dyDescent="0.25">
      <c r="AK355" s="54"/>
      <c r="AN355" s="54"/>
    </row>
    <row r="356" spans="37:40" ht="15" customHeight="1" x14ac:dyDescent="0.25">
      <c r="AK356" s="54"/>
      <c r="AN356" s="54"/>
    </row>
    <row r="357" spans="37:40" ht="15" customHeight="1" x14ac:dyDescent="0.25">
      <c r="AK357" s="54"/>
      <c r="AN357" s="54"/>
    </row>
    <row r="358" spans="37:40" ht="15" customHeight="1" x14ac:dyDescent="0.25">
      <c r="AK358" s="54"/>
      <c r="AN358" s="54"/>
    </row>
    <row r="359" spans="37:40" ht="15" customHeight="1" x14ac:dyDescent="0.25">
      <c r="AK359" s="54"/>
      <c r="AN359" s="54"/>
    </row>
    <row r="360" spans="37:40" ht="15" customHeight="1" x14ac:dyDescent="0.25">
      <c r="AK360" s="54"/>
      <c r="AN360" s="54"/>
    </row>
    <row r="361" spans="37:40" ht="15" customHeight="1" x14ac:dyDescent="0.25">
      <c r="AK361" s="54"/>
      <c r="AN361" s="54"/>
    </row>
    <row r="362" spans="37:40" ht="15" customHeight="1" x14ac:dyDescent="0.25">
      <c r="AK362" s="54"/>
      <c r="AN362" s="54"/>
    </row>
    <row r="363" spans="37:40" ht="15" customHeight="1" x14ac:dyDescent="0.25">
      <c r="AK363" s="54"/>
      <c r="AN363" s="54"/>
    </row>
    <row r="364" spans="37:40" ht="15" customHeight="1" x14ac:dyDescent="0.25">
      <c r="AK364" s="54"/>
      <c r="AN364" s="54"/>
    </row>
    <row r="365" spans="37:40" ht="15" customHeight="1" x14ac:dyDescent="0.25">
      <c r="AK365" s="54"/>
      <c r="AN365" s="54"/>
    </row>
    <row r="366" spans="37:40" ht="15" customHeight="1" x14ac:dyDescent="0.25">
      <c r="AK366" s="54"/>
      <c r="AN366" s="54"/>
    </row>
    <row r="367" spans="37:40" ht="15" customHeight="1" x14ac:dyDescent="0.25">
      <c r="AK367" s="54"/>
      <c r="AN367" s="54"/>
    </row>
    <row r="368" spans="37:40" ht="15" customHeight="1" x14ac:dyDescent="0.25">
      <c r="AK368" s="54"/>
      <c r="AN368" s="54"/>
    </row>
    <row r="369" spans="37:40" ht="15" customHeight="1" x14ac:dyDescent="0.25">
      <c r="AK369" s="54"/>
      <c r="AN369" s="54"/>
    </row>
    <row r="370" spans="37:40" ht="15" customHeight="1" x14ac:dyDescent="0.25">
      <c r="AK370" s="54"/>
      <c r="AN370" s="54"/>
    </row>
    <row r="371" spans="37:40" ht="15" customHeight="1" x14ac:dyDescent="0.25">
      <c r="AK371" s="54"/>
      <c r="AN371" s="54"/>
    </row>
    <row r="372" spans="37:40" ht="15" customHeight="1" x14ac:dyDescent="0.25">
      <c r="AK372" s="54"/>
      <c r="AN372" s="54"/>
    </row>
    <row r="373" spans="37:40" ht="15" customHeight="1" x14ac:dyDescent="0.25">
      <c r="AK373" s="54"/>
      <c r="AN373" s="54"/>
    </row>
    <row r="374" spans="37:40" ht="15" customHeight="1" x14ac:dyDescent="0.25">
      <c r="AK374" s="54"/>
      <c r="AN374" s="54"/>
    </row>
    <row r="375" spans="37:40" ht="15" customHeight="1" x14ac:dyDescent="0.25">
      <c r="AK375" s="54"/>
      <c r="AN375" s="54"/>
    </row>
    <row r="376" spans="37:40" ht="15" customHeight="1" x14ac:dyDescent="0.25">
      <c r="AK376" s="54"/>
      <c r="AN376" s="54"/>
    </row>
    <row r="377" spans="37:40" ht="15" customHeight="1" x14ac:dyDescent="0.25">
      <c r="AK377" s="54"/>
      <c r="AN377" s="54"/>
    </row>
    <row r="378" spans="37:40" ht="15" customHeight="1" x14ac:dyDescent="0.25">
      <c r="AK378" s="54"/>
      <c r="AN378" s="54"/>
    </row>
    <row r="379" spans="37:40" ht="15" customHeight="1" x14ac:dyDescent="0.25">
      <c r="AK379" s="54"/>
      <c r="AN379" s="54"/>
    </row>
    <row r="380" spans="37:40" ht="15" customHeight="1" x14ac:dyDescent="0.25">
      <c r="AK380" s="54"/>
      <c r="AN380" s="54"/>
    </row>
    <row r="381" spans="37:40" ht="15" customHeight="1" x14ac:dyDescent="0.25">
      <c r="AK381" s="54"/>
      <c r="AN381" s="54"/>
    </row>
    <row r="382" spans="37:40" ht="15" customHeight="1" x14ac:dyDescent="0.25">
      <c r="AK382" s="54"/>
      <c r="AN382" s="54"/>
    </row>
    <row r="383" spans="37:40" ht="15" customHeight="1" x14ac:dyDescent="0.25">
      <c r="AK383" s="54"/>
      <c r="AN383" s="54"/>
    </row>
    <row r="384" spans="37:40" ht="15" customHeight="1" x14ac:dyDescent="0.25">
      <c r="AK384" s="54"/>
      <c r="AN384" s="54"/>
    </row>
    <row r="385" spans="37:40" ht="15" customHeight="1" x14ac:dyDescent="0.25">
      <c r="AK385" s="54"/>
      <c r="AN385" s="54"/>
    </row>
    <row r="386" spans="37:40" ht="15" customHeight="1" x14ac:dyDescent="0.25">
      <c r="AK386" s="54"/>
      <c r="AN386" s="54"/>
    </row>
    <row r="387" spans="37:40" ht="15" customHeight="1" x14ac:dyDescent="0.25">
      <c r="AK387" s="54"/>
      <c r="AN387" s="54"/>
    </row>
    <row r="388" spans="37:40" ht="15" customHeight="1" x14ac:dyDescent="0.25">
      <c r="AK388" s="54"/>
      <c r="AN388" s="54"/>
    </row>
    <row r="389" spans="37:40" ht="15" customHeight="1" x14ac:dyDescent="0.25">
      <c r="AK389" s="54"/>
      <c r="AN389" s="54"/>
    </row>
    <row r="390" spans="37:40" ht="15" customHeight="1" x14ac:dyDescent="0.25">
      <c r="AK390" s="54"/>
      <c r="AN390" s="54"/>
    </row>
    <row r="391" spans="37:40" ht="15" customHeight="1" x14ac:dyDescent="0.25">
      <c r="AK391" s="54"/>
      <c r="AN391" s="54"/>
    </row>
    <row r="392" spans="37:40" ht="15" customHeight="1" x14ac:dyDescent="0.25">
      <c r="AK392" s="54"/>
      <c r="AN392" s="54"/>
    </row>
    <row r="393" spans="37:40" ht="15" customHeight="1" x14ac:dyDescent="0.25">
      <c r="AK393" s="54"/>
      <c r="AN393" s="54"/>
    </row>
    <row r="394" spans="37:40" ht="15" customHeight="1" x14ac:dyDescent="0.25">
      <c r="AK394" s="54"/>
      <c r="AN394" s="54"/>
    </row>
    <row r="395" spans="37:40" ht="15" customHeight="1" x14ac:dyDescent="0.25">
      <c r="AK395" s="54"/>
      <c r="AN395" s="54"/>
    </row>
    <row r="396" spans="37:40" ht="15" customHeight="1" x14ac:dyDescent="0.25">
      <c r="AK396" s="54"/>
      <c r="AN396" s="54"/>
    </row>
    <row r="397" spans="37:40" ht="15" customHeight="1" x14ac:dyDescent="0.25">
      <c r="AK397" s="54"/>
      <c r="AN397" s="54"/>
    </row>
    <row r="398" spans="37:40" ht="15" customHeight="1" x14ac:dyDescent="0.25">
      <c r="AK398" s="54"/>
      <c r="AN398" s="54"/>
    </row>
    <row r="399" spans="37:40" ht="15" customHeight="1" x14ac:dyDescent="0.25">
      <c r="AK399" s="54"/>
      <c r="AN399" s="54"/>
    </row>
    <row r="400" spans="37:40" ht="15" customHeight="1" x14ac:dyDescent="0.25">
      <c r="AK400" s="54"/>
      <c r="AN400" s="54"/>
    </row>
    <row r="401" spans="37:40" ht="15" customHeight="1" x14ac:dyDescent="0.25">
      <c r="AK401" s="54"/>
      <c r="AN401" s="54"/>
    </row>
    <row r="402" spans="37:40" ht="15" customHeight="1" x14ac:dyDescent="0.25">
      <c r="AK402" s="54"/>
      <c r="AN402" s="54"/>
    </row>
    <row r="403" spans="37:40" ht="15" customHeight="1" x14ac:dyDescent="0.25">
      <c r="AK403" s="54"/>
      <c r="AN403" s="54"/>
    </row>
    <row r="404" spans="37:40" ht="15" customHeight="1" x14ac:dyDescent="0.25">
      <c r="AK404" s="54"/>
      <c r="AN404" s="54"/>
    </row>
    <row r="405" spans="37:40" ht="15" customHeight="1" x14ac:dyDescent="0.25">
      <c r="AK405" s="54"/>
      <c r="AN405" s="54"/>
    </row>
    <row r="406" spans="37:40" ht="15" customHeight="1" x14ac:dyDescent="0.25">
      <c r="AK406" s="54"/>
      <c r="AN406" s="54"/>
    </row>
    <row r="407" spans="37:40" ht="15" customHeight="1" x14ac:dyDescent="0.25">
      <c r="AK407" s="54"/>
      <c r="AN407" s="54"/>
    </row>
    <row r="408" spans="37:40" ht="15" customHeight="1" x14ac:dyDescent="0.25">
      <c r="AK408" s="54"/>
      <c r="AN408" s="54"/>
    </row>
    <row r="409" spans="37:40" ht="15" customHeight="1" x14ac:dyDescent="0.25">
      <c r="AK409" s="54"/>
      <c r="AN409" s="54"/>
    </row>
    <row r="410" spans="37:40" ht="15" customHeight="1" x14ac:dyDescent="0.25">
      <c r="AK410" s="54"/>
      <c r="AN410" s="54"/>
    </row>
    <row r="411" spans="37:40" ht="15" customHeight="1" x14ac:dyDescent="0.25">
      <c r="AK411" s="54"/>
      <c r="AN411" s="54"/>
    </row>
    <row r="412" spans="37:40" ht="15" customHeight="1" x14ac:dyDescent="0.25">
      <c r="AK412" s="54"/>
      <c r="AN412" s="54"/>
    </row>
    <row r="413" spans="37:40" ht="15" customHeight="1" x14ac:dyDescent="0.25">
      <c r="AK413" s="54"/>
      <c r="AN413" s="54"/>
    </row>
    <row r="414" spans="37:40" ht="15" customHeight="1" x14ac:dyDescent="0.25">
      <c r="AK414" s="54"/>
      <c r="AN414" s="54"/>
    </row>
    <row r="415" spans="37:40" ht="15" customHeight="1" x14ac:dyDescent="0.25">
      <c r="AK415" s="54"/>
      <c r="AN415" s="54"/>
    </row>
    <row r="416" spans="37:40" ht="15" customHeight="1" x14ac:dyDescent="0.25">
      <c r="AK416" s="54"/>
      <c r="AN416" s="54"/>
    </row>
    <row r="417" spans="37:40" ht="15" customHeight="1" x14ac:dyDescent="0.25">
      <c r="AK417" s="54"/>
      <c r="AN417" s="54"/>
    </row>
    <row r="418" spans="37:40" ht="15" customHeight="1" x14ac:dyDescent="0.25">
      <c r="AK418" s="54"/>
      <c r="AN418" s="54"/>
    </row>
    <row r="419" spans="37:40" ht="15" customHeight="1" x14ac:dyDescent="0.25">
      <c r="AK419" s="54"/>
      <c r="AN419" s="54"/>
    </row>
    <row r="420" spans="37:40" ht="15" customHeight="1" x14ac:dyDescent="0.25">
      <c r="AK420" s="54"/>
      <c r="AN420" s="54"/>
    </row>
    <row r="421" spans="37:40" ht="15" customHeight="1" x14ac:dyDescent="0.25">
      <c r="AK421" s="54"/>
      <c r="AN421" s="54"/>
    </row>
    <row r="422" spans="37:40" ht="15" customHeight="1" x14ac:dyDescent="0.25">
      <c r="AK422" s="54"/>
      <c r="AN422" s="54"/>
    </row>
    <row r="423" spans="37:40" ht="15" customHeight="1" x14ac:dyDescent="0.25">
      <c r="AK423" s="54"/>
      <c r="AN423" s="54"/>
    </row>
    <row r="424" spans="37:40" ht="15" customHeight="1" x14ac:dyDescent="0.25">
      <c r="AK424" s="54"/>
      <c r="AN424" s="54"/>
    </row>
    <row r="425" spans="37:40" ht="15" customHeight="1" x14ac:dyDescent="0.25">
      <c r="AK425" s="54"/>
      <c r="AN425" s="54"/>
    </row>
    <row r="426" spans="37:40" ht="15" customHeight="1" x14ac:dyDescent="0.25">
      <c r="AK426" s="54"/>
      <c r="AN426" s="54"/>
    </row>
    <row r="427" spans="37:40" ht="15" customHeight="1" x14ac:dyDescent="0.25">
      <c r="AK427" s="54"/>
      <c r="AN427" s="54"/>
    </row>
    <row r="428" spans="37:40" ht="15" customHeight="1" x14ac:dyDescent="0.25">
      <c r="AK428" s="54"/>
      <c r="AN428" s="54"/>
    </row>
    <row r="429" spans="37:40" ht="15" customHeight="1" x14ac:dyDescent="0.25">
      <c r="AK429" s="54"/>
      <c r="AN429" s="54"/>
    </row>
    <row r="430" spans="37:40" ht="15" customHeight="1" x14ac:dyDescent="0.25">
      <c r="AK430" s="54"/>
      <c r="AN430" s="54"/>
    </row>
    <row r="431" spans="37:40" ht="15" customHeight="1" x14ac:dyDescent="0.25">
      <c r="AK431" s="54"/>
      <c r="AN431" s="54"/>
    </row>
    <row r="432" spans="37:40" ht="15" customHeight="1" x14ac:dyDescent="0.25">
      <c r="AK432" s="54"/>
      <c r="AN432" s="54"/>
    </row>
    <row r="433" spans="37:40" ht="15" customHeight="1" x14ac:dyDescent="0.25">
      <c r="AK433" s="54"/>
      <c r="AN433" s="54"/>
    </row>
    <row r="434" spans="37:40" ht="15" customHeight="1" x14ac:dyDescent="0.25">
      <c r="AK434" s="54"/>
      <c r="AN434" s="54"/>
    </row>
    <row r="435" spans="37:40" ht="15" customHeight="1" x14ac:dyDescent="0.25">
      <c r="AK435" s="54"/>
      <c r="AN435" s="54"/>
    </row>
    <row r="436" spans="37:40" ht="15" customHeight="1" x14ac:dyDescent="0.25">
      <c r="AK436" s="54"/>
      <c r="AN436" s="54"/>
    </row>
    <row r="437" spans="37:40" ht="15" customHeight="1" x14ac:dyDescent="0.25">
      <c r="AK437" s="54"/>
      <c r="AN437" s="54"/>
    </row>
    <row r="438" spans="37:40" ht="15" customHeight="1" x14ac:dyDescent="0.25">
      <c r="AK438" s="54"/>
      <c r="AN438" s="54"/>
    </row>
    <row r="439" spans="37:40" ht="15" customHeight="1" x14ac:dyDescent="0.25">
      <c r="AK439" s="54"/>
      <c r="AN439" s="54"/>
    </row>
    <row r="440" spans="37:40" ht="15" customHeight="1" x14ac:dyDescent="0.25">
      <c r="AK440" s="54"/>
      <c r="AN440" s="54"/>
    </row>
    <row r="441" spans="37:40" ht="15" customHeight="1" x14ac:dyDescent="0.25">
      <c r="AK441" s="54"/>
      <c r="AN441" s="54"/>
    </row>
    <row r="442" spans="37:40" ht="15" customHeight="1" x14ac:dyDescent="0.25">
      <c r="AK442" s="54"/>
      <c r="AN442" s="54"/>
    </row>
    <row r="443" spans="37:40" ht="15" customHeight="1" x14ac:dyDescent="0.25">
      <c r="AK443" s="54"/>
      <c r="AN443" s="54"/>
    </row>
    <row r="444" spans="37:40" ht="15" customHeight="1" x14ac:dyDescent="0.25">
      <c r="AK444" s="54"/>
      <c r="AN444" s="54"/>
    </row>
    <row r="445" spans="37:40" ht="15" customHeight="1" x14ac:dyDescent="0.25">
      <c r="AK445" s="54"/>
      <c r="AN445" s="54"/>
    </row>
    <row r="446" spans="37:40" ht="15" customHeight="1" x14ac:dyDescent="0.25">
      <c r="AK446" s="54"/>
      <c r="AN446" s="54"/>
    </row>
    <row r="447" spans="37:40" ht="15" customHeight="1" x14ac:dyDescent="0.25">
      <c r="AK447" s="54"/>
      <c r="AN447" s="54"/>
    </row>
    <row r="448" spans="37:40" ht="15" customHeight="1" x14ac:dyDescent="0.25">
      <c r="AK448" s="54"/>
      <c r="AN448" s="54"/>
    </row>
    <row r="449" spans="37:40" ht="15" customHeight="1" x14ac:dyDescent="0.25">
      <c r="AK449" s="54"/>
      <c r="AN449" s="54"/>
    </row>
    <row r="450" spans="37:40" ht="15" customHeight="1" x14ac:dyDescent="0.25">
      <c r="AK450" s="54"/>
      <c r="AN450" s="54"/>
    </row>
    <row r="451" spans="37:40" ht="15" customHeight="1" x14ac:dyDescent="0.25">
      <c r="AK451" s="54"/>
      <c r="AN451" s="54"/>
    </row>
    <row r="452" spans="37:40" ht="15" customHeight="1" x14ac:dyDescent="0.25">
      <c r="AK452" s="54"/>
      <c r="AN452" s="54"/>
    </row>
    <row r="453" spans="37:40" ht="15" customHeight="1" x14ac:dyDescent="0.25">
      <c r="AK453" s="54"/>
      <c r="AN453" s="54"/>
    </row>
    <row r="454" spans="37:40" ht="15" customHeight="1" x14ac:dyDescent="0.25">
      <c r="AK454" s="54"/>
      <c r="AN454" s="54"/>
    </row>
    <row r="455" spans="37:40" ht="15" customHeight="1" x14ac:dyDescent="0.25">
      <c r="AK455" s="54"/>
      <c r="AN455" s="54"/>
    </row>
    <row r="456" spans="37:40" ht="15" customHeight="1" x14ac:dyDescent="0.25">
      <c r="AK456" s="54"/>
      <c r="AN456" s="54"/>
    </row>
    <row r="457" spans="37:40" ht="15" customHeight="1" x14ac:dyDescent="0.25">
      <c r="AK457" s="54"/>
      <c r="AN457" s="54"/>
    </row>
    <row r="458" spans="37:40" ht="15" customHeight="1" x14ac:dyDescent="0.25">
      <c r="AK458" s="54"/>
      <c r="AN458" s="54"/>
    </row>
    <row r="459" spans="37:40" ht="15" customHeight="1" x14ac:dyDescent="0.25">
      <c r="AK459" s="54"/>
      <c r="AN459" s="54"/>
    </row>
    <row r="460" spans="37:40" ht="15" customHeight="1" x14ac:dyDescent="0.25">
      <c r="AK460" s="54"/>
      <c r="AN460" s="54"/>
    </row>
    <row r="461" spans="37:40" ht="15" customHeight="1" x14ac:dyDescent="0.25">
      <c r="AK461" s="54"/>
      <c r="AN461" s="54"/>
    </row>
    <row r="462" spans="37:40" ht="15" customHeight="1" x14ac:dyDescent="0.25">
      <c r="AK462" s="54"/>
      <c r="AN462" s="54"/>
    </row>
    <row r="463" spans="37:40" ht="15" customHeight="1" x14ac:dyDescent="0.25">
      <c r="AK463" s="54"/>
      <c r="AN463" s="54"/>
    </row>
    <row r="464" spans="37:40" ht="15" customHeight="1" x14ac:dyDescent="0.25">
      <c r="AK464" s="54"/>
      <c r="AN464" s="54"/>
    </row>
    <row r="465" spans="37:40" ht="15" customHeight="1" x14ac:dyDescent="0.25">
      <c r="AK465" s="54"/>
      <c r="AN465" s="54"/>
    </row>
    <row r="466" spans="37:40" ht="15" customHeight="1" x14ac:dyDescent="0.25">
      <c r="AK466" s="54"/>
      <c r="AN466" s="54"/>
    </row>
    <row r="467" spans="37:40" ht="15" customHeight="1" x14ac:dyDescent="0.25">
      <c r="AK467" s="54"/>
      <c r="AN467" s="54"/>
    </row>
    <row r="468" spans="37:40" ht="15" customHeight="1" x14ac:dyDescent="0.25">
      <c r="AK468" s="54"/>
      <c r="AN468" s="54"/>
    </row>
    <row r="469" spans="37:40" ht="15" customHeight="1" x14ac:dyDescent="0.25">
      <c r="AK469" s="54"/>
      <c r="AN469" s="54"/>
    </row>
    <row r="470" spans="37:40" ht="15" customHeight="1" x14ac:dyDescent="0.25">
      <c r="AK470" s="54"/>
      <c r="AN470" s="54"/>
    </row>
    <row r="471" spans="37:40" ht="15" customHeight="1" x14ac:dyDescent="0.25">
      <c r="AK471" s="54"/>
      <c r="AN471" s="54"/>
    </row>
    <row r="472" spans="37:40" ht="15" customHeight="1" x14ac:dyDescent="0.25">
      <c r="AK472" s="54"/>
      <c r="AN472" s="54"/>
    </row>
    <row r="473" spans="37:40" ht="15" customHeight="1" x14ac:dyDescent="0.25">
      <c r="AK473" s="54"/>
      <c r="AN473" s="54"/>
    </row>
    <row r="474" spans="37:40" ht="15" customHeight="1" x14ac:dyDescent="0.25">
      <c r="AK474" s="54"/>
      <c r="AN474" s="54"/>
    </row>
    <row r="475" spans="37:40" ht="15" customHeight="1" x14ac:dyDescent="0.25">
      <c r="AK475" s="54"/>
      <c r="AN475" s="54"/>
    </row>
    <row r="476" spans="37:40" ht="15" customHeight="1" x14ac:dyDescent="0.25">
      <c r="AK476" s="54"/>
      <c r="AN476" s="54"/>
    </row>
    <row r="477" spans="37:40" ht="15" customHeight="1" x14ac:dyDescent="0.25">
      <c r="AK477" s="54"/>
      <c r="AN477" s="54"/>
    </row>
    <row r="478" spans="37:40" ht="15" customHeight="1" x14ac:dyDescent="0.25">
      <c r="AK478" s="54"/>
      <c r="AN478" s="54"/>
    </row>
    <row r="479" spans="37:40" ht="15" customHeight="1" x14ac:dyDescent="0.25">
      <c r="AK479" s="54"/>
      <c r="AN479" s="54"/>
    </row>
    <row r="480" spans="37:40" ht="15" customHeight="1" x14ac:dyDescent="0.25">
      <c r="AK480" s="54"/>
      <c r="AN480" s="54"/>
    </row>
    <row r="481" spans="37:40" ht="15" customHeight="1" x14ac:dyDescent="0.25">
      <c r="AK481" s="54"/>
      <c r="AN481" s="54"/>
    </row>
    <row r="482" spans="37:40" ht="15" customHeight="1" x14ac:dyDescent="0.25">
      <c r="AK482" s="54"/>
      <c r="AN482" s="54"/>
    </row>
    <row r="483" spans="37:40" ht="15" customHeight="1" x14ac:dyDescent="0.25">
      <c r="AN483" s="54"/>
    </row>
  </sheetData>
  <mergeCells count="6">
    <mergeCell ref="C2:P2"/>
    <mergeCell ref="D42:I42"/>
    <mergeCell ref="K42:P42"/>
    <mergeCell ref="J42:J43"/>
    <mergeCell ref="D54:F55"/>
    <mergeCell ref="K54:M55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KOSPI200 선물옵션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infomax</dc:creator>
  <cp:lastModifiedBy>infomax</cp:lastModifiedBy>
  <dcterms:created xsi:type="dcterms:W3CDTF">2015-05-14T23:42:35Z</dcterms:created>
  <dcterms:modified xsi:type="dcterms:W3CDTF">2023-01-17T06:13:57Z</dcterms:modified>
</cp:coreProperties>
</file>