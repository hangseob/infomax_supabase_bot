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\0승환\템플릿\"/>
    </mc:Choice>
  </mc:AlternateContent>
  <xr:revisionPtr revIDLastSave="0" documentId="13_ncr:1_{8806AEFF-7724-442D-9353-F1182532DD3F}" xr6:coauthVersionLast="47" xr6:coauthVersionMax="47" xr10:uidLastSave="{00000000-0000-0000-0000-000000000000}"/>
  <bookViews>
    <workbookView xWindow="1275" yWindow="750" windowWidth="27120" windowHeight="14265" xr2:uid="{00000000-000D-0000-FFFF-FFFF00000000}"/>
  </bookViews>
  <sheets>
    <sheet name="연결선물" sheetId="1" r:id="rId1"/>
  </sheets>
  <definedNames>
    <definedName name="_xlnm._FilterDatabase" localSheetId="0" hidden="1">#REF!</definedName>
    <definedName name="_xlnm.Criteria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M30" i="1"/>
  <c r="M29" i="1" l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D5" i="1" l="1"/>
  <c r="D4" i="1" l="1"/>
  <c r="C8" i="1"/>
</calcChain>
</file>

<file path=xl/sharedStrings.xml><?xml version="1.0" encoding="utf-8"?>
<sst xmlns="http://schemas.openxmlformats.org/spreadsheetml/2006/main" count="71" uniqueCount="70">
  <si>
    <t>코스피200</t>
  </si>
  <si>
    <t>미니코스피</t>
  </si>
  <si>
    <t>KRX300</t>
  </si>
  <si>
    <t>코스닥150</t>
  </si>
  <si>
    <t>유로스톡스50</t>
  </si>
  <si>
    <t>변동성지수</t>
  </si>
  <si>
    <t>고배당50</t>
  </si>
  <si>
    <t>배당성장50</t>
  </si>
  <si>
    <t>미국달러</t>
  </si>
  <si>
    <t>유로</t>
  </si>
  <si>
    <t>엔</t>
  </si>
  <si>
    <t>위안</t>
  </si>
  <si>
    <t>건설</t>
  </si>
  <si>
    <t>금융지수</t>
  </si>
  <si>
    <t>산업재</t>
  </si>
  <si>
    <t>생활소비재</t>
  </si>
  <si>
    <t>에너지화학</t>
  </si>
  <si>
    <t>경기소비재</t>
  </si>
  <si>
    <t>정보기술</t>
  </si>
  <si>
    <t>일자</t>
    <phoneticPr fontId="2" type="noConversion"/>
  </si>
  <si>
    <t>시가</t>
    <phoneticPr fontId="2" type="noConversion"/>
  </si>
  <si>
    <t>고가</t>
    <phoneticPr fontId="2" type="noConversion"/>
  </si>
  <si>
    <t>저가</t>
    <phoneticPr fontId="2" type="noConversion"/>
  </si>
  <si>
    <t>종가</t>
    <phoneticPr fontId="2" type="noConversion"/>
  </si>
  <si>
    <t>체결가 평균</t>
    <phoneticPr fontId="2" type="noConversion"/>
  </si>
  <si>
    <t>체결건수</t>
    <phoneticPr fontId="2" type="noConversion"/>
  </si>
  <si>
    <t>약정수</t>
    <phoneticPr fontId="2" type="noConversion"/>
  </si>
  <si>
    <t>일자</t>
  </si>
  <si>
    <t>시가</t>
    <phoneticPr fontId="2" type="noConversion"/>
  </si>
  <si>
    <t>고가</t>
    <phoneticPr fontId="2" type="noConversion"/>
  </si>
  <si>
    <t>저가</t>
    <phoneticPr fontId="2" type="noConversion"/>
  </si>
  <si>
    <t>현재가</t>
    <phoneticPr fontId="2" type="noConversion"/>
  </si>
  <si>
    <t>고-저폭</t>
    <phoneticPr fontId="2" type="noConversion"/>
  </si>
  <si>
    <t>평균체결가</t>
    <phoneticPr fontId="2" type="noConversion"/>
  </si>
  <si>
    <t>체결건수</t>
    <phoneticPr fontId="2" type="noConversion"/>
  </si>
  <si>
    <t>일반체결약정수량</t>
    <phoneticPr fontId="2" type="noConversion"/>
  </si>
  <si>
    <t>일중 변동폭</t>
    <phoneticPr fontId="2" type="noConversion"/>
  </si>
  <si>
    <t>C01</t>
  </si>
  <si>
    <t>조회</t>
    <phoneticPr fontId="2" type="noConversion"/>
  </si>
  <si>
    <t>기초자산</t>
    <phoneticPr fontId="2" type="noConversion"/>
  </si>
  <si>
    <t>C65</t>
  </si>
  <si>
    <t>C66</t>
  </si>
  <si>
    <t>C67</t>
  </si>
  <si>
    <t>C05</t>
  </si>
  <si>
    <t>C08</t>
  </si>
  <si>
    <t>C06</t>
  </si>
  <si>
    <t>C07</t>
  </si>
  <si>
    <t>C09</t>
  </si>
  <si>
    <t>CA4</t>
  </si>
  <si>
    <t>CA5</t>
  </si>
  <si>
    <t>C75</t>
  </si>
  <si>
    <t>C70</t>
  </si>
  <si>
    <t>C77</t>
  </si>
  <si>
    <t>C76</t>
  </si>
  <si>
    <t>C78</t>
  </si>
  <si>
    <t>CA6</t>
  </si>
  <si>
    <t>CA2</t>
  </si>
  <si>
    <t>CAB</t>
  </si>
  <si>
    <t>CAA</t>
  </si>
  <si>
    <t>CA0</t>
  </si>
  <si>
    <t>CA3</t>
  </si>
  <si>
    <t>CA1</t>
  </si>
  <si>
    <t>(연율화: 250일 / KTB 연결: 최근월물)</t>
    <phoneticPr fontId="2" type="noConversion"/>
  </si>
  <si>
    <t>연결선물 일중 변동</t>
    <phoneticPr fontId="2" type="noConversion"/>
  </si>
  <si>
    <t>변동성</t>
    <phoneticPr fontId="2" type="noConversion"/>
  </si>
  <si>
    <t>표준편차</t>
    <phoneticPr fontId="2" type="noConversion"/>
  </si>
  <si>
    <t>KTB03</t>
  </si>
  <si>
    <t>KTB05</t>
  </si>
  <si>
    <t>KTB10</t>
  </si>
  <si>
    <t>KTB30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</si>
</sst>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5" formatCode="0.000"/>
  </numFmts>
  <fonts count="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0"/>
      <name val="Calibri"/>
      <family val="3"/>
      <charset val="129"/>
      <scheme val="minor"/>
    </font>
    <font>
      <b/>
      <sz val="20"/>
      <color theme="0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5" xfId="0" applyBorder="1">
      <alignment vertical="center"/>
    </xf>
    <xf numFmtId="41" fontId="0" fillId="0" borderId="7" xfId="1" applyFont="1" applyBorder="1">
      <alignment vertical="center"/>
    </xf>
    <xf numFmtId="0" fontId="3" fillId="3" borderId="9" xfId="0" applyFont="1" applyFill="1" applyBorder="1" applyAlignment="1">
      <alignment horizontal="center" vertical="center"/>
    </xf>
    <xf numFmtId="49" fontId="3" fillId="3" borderId="10" xfId="0" applyNumberFormat="1" applyFont="1" applyFill="1" applyBorder="1" applyAlignment="1">
      <alignment horizontal="center" vertical="center"/>
    </xf>
    <xf numFmtId="49" fontId="3" fillId="3" borderId="11" xfId="0" applyNumberFormat="1" applyFont="1" applyFill="1" applyBorder="1" applyAlignment="1">
      <alignment horizontal="center" vertical="center"/>
    </xf>
    <xf numFmtId="41" fontId="0" fillId="0" borderId="13" xfId="1" applyFont="1" applyBorder="1">
      <alignment vertical="center"/>
    </xf>
    <xf numFmtId="2" fontId="0" fillId="0" borderId="7" xfId="0" applyNumberFormat="1" applyBorder="1">
      <alignment vertical="center"/>
    </xf>
    <xf numFmtId="2" fontId="0" fillId="0" borderId="2" xfId="0" applyNumberFormat="1" applyBorder="1">
      <alignment vertical="center"/>
    </xf>
    <xf numFmtId="164" fontId="0" fillId="0" borderId="7" xfId="1" applyNumberFormat="1" applyFont="1" applyBorder="1">
      <alignment vertical="center"/>
    </xf>
    <xf numFmtId="41" fontId="0" fillId="0" borderId="2" xfId="1" applyFont="1" applyBorder="1">
      <alignment vertical="center"/>
    </xf>
    <xf numFmtId="2" fontId="0" fillId="0" borderId="5" xfId="0" applyNumberFormat="1" applyBorder="1">
      <alignment vertical="center"/>
    </xf>
    <xf numFmtId="2" fontId="0" fillId="0" borderId="13" xfId="0" applyNumberFormat="1" applyBorder="1">
      <alignment vertical="center"/>
    </xf>
    <xf numFmtId="164" fontId="0" fillId="0" borderId="13" xfId="1" applyNumberFormat="1" applyFont="1" applyBorder="1">
      <alignment vertical="center"/>
    </xf>
    <xf numFmtId="41" fontId="0" fillId="0" borderId="5" xfId="1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4" fontId="0" fillId="4" borderId="12" xfId="0" applyNumberForma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4" fillId="2" borderId="0" xfId="0" applyFont="1" applyFill="1">
      <alignment vertical="center"/>
    </xf>
    <xf numFmtId="14" fontId="0" fillId="0" borderId="6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65" fontId="0" fillId="0" borderId="8" xfId="1" applyNumberFormat="1" applyFont="1" applyBorder="1">
      <alignment vertical="center"/>
    </xf>
    <xf numFmtId="165" fontId="0" fillId="0" borderId="14" xfId="1" applyNumberFormat="1" applyFont="1" applyBorder="1">
      <alignment vertical="center"/>
    </xf>
    <xf numFmtId="2" fontId="0" fillId="0" borderId="7" xfId="1" applyNumberFormat="1" applyFont="1" applyBorder="1">
      <alignment vertical="center"/>
    </xf>
    <xf numFmtId="2" fontId="0" fillId="0" borderId="13" xfId="1" applyNumberFormat="1" applyFont="1" applyBorder="1">
      <alignment vertical="center"/>
    </xf>
  </cellXfs>
  <cellStyles count="8">
    <cellStyle name="쉼표 [0]" xfId="1" builtinId="6"/>
    <cellStyle name="쉼표 [0] 2" xfId="7" xr:uid="{00000000-0005-0000-0000-000001000000}"/>
    <cellStyle name="쉼표 [0] 3" xfId="3" xr:uid="{00000000-0005-0000-0000-000002000000}"/>
    <cellStyle name="표준" xfId="0" builtinId="0"/>
    <cellStyle name="표준 2" xfId="4" xr:uid="{00000000-0005-0000-0000-000004000000}"/>
    <cellStyle name="표준 3" xfId="5" xr:uid="{00000000-0005-0000-0000-000005000000}"/>
    <cellStyle name="표준 4" xfId="6" xr:uid="{00000000-0005-0000-0000-000006000000}"/>
    <cellStyle name="표준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x1.nfom</stp>
        <stp>98</stp>
        <stp>788862</stp>
        <tr r="C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15" fmlaLink="$A$8" fmlaRange="$S$10:$S$32" noThreeD="1" sel="1" val="0"/>
</file>

<file path=xl/ctrlProps/ctrlProp2.xml><?xml version="1.0" encoding="utf-8"?>
<formControlPr xmlns="http://schemas.microsoft.com/office/spreadsheetml/2009/9/main" objectType="Scroll" dx="15" fmlaLink="$A$9" max="1000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3</xdr:row>
          <xdr:rowOff>9525</xdr:rowOff>
        </xdr:from>
        <xdr:to>
          <xdr:col>4</xdr:col>
          <xdr:colOff>323850</xdr:colOff>
          <xdr:row>4</xdr:row>
          <xdr:rowOff>0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9</xdr:row>
          <xdr:rowOff>209550</xdr:rowOff>
        </xdr:from>
        <xdr:to>
          <xdr:col>13</xdr:col>
          <xdr:colOff>228600</xdr:colOff>
          <xdr:row>31</xdr:row>
          <xdr:rowOff>0</xdr:rowOff>
        </xdr:to>
        <xdr:sp macro="" textlink="">
          <xdr:nvSpPr>
            <xdr:cNvPr id="1034" name="Scroll Bar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2"/>
  <sheetViews>
    <sheetView showGridLines="0" showRowColHeaders="0" tabSelected="1" topLeftCell="B1" workbookViewId="0">
      <selection activeCell="I5" sqref="I5"/>
    </sheetView>
  </sheetViews>
  <sheetFormatPr defaultColWidth="0" defaultRowHeight="15" zeroHeight="1"/>
  <cols>
    <col min="1" max="1" width="9" hidden="1" customWidth="1"/>
    <col min="2" max="2" width="2.28515625" customWidth="1"/>
    <col min="3" max="3" width="12.7109375" customWidth="1"/>
    <col min="4" max="4" width="12.140625" customWidth="1"/>
    <col min="5" max="9" width="11.5703125" customWidth="1"/>
    <col min="10" max="13" width="13.5703125" customWidth="1"/>
    <col min="14" max="14" width="14" customWidth="1"/>
    <col min="15" max="15" width="7.42578125" hidden="1"/>
    <col min="16" max="16" width="7.140625" hidden="1"/>
    <col min="17" max="22" width="9" hidden="1"/>
    <col min="23" max="23" width="11.140625" hidden="1"/>
    <col min="24" max="24" width="11.28515625" hidden="1"/>
    <col min="25" max="30" width="9.140625" hidden="1"/>
    <col min="31" max="31" width="12.7109375" hidden="1"/>
    <col min="32" max="37" width="9.140625" hidden="1"/>
    <col min="38" max="16384" width="9" hidden="1"/>
  </cols>
  <sheetData>
    <row r="1" spans="1:20" ht="5.25" customHeight="1"/>
    <row r="2" spans="1:20" ht="33" customHeight="1">
      <c r="C2" s="20" t="s">
        <v>63</v>
      </c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20" ht="15.75" thickBot="1"/>
    <row r="4" spans="1:20" ht="15.75" thickBot="1">
      <c r="C4" s="17" t="s">
        <v>39</v>
      </c>
      <c r="D4" t="str">
        <f>INDEX($T$10:$T$32,$A$8)</f>
        <v>C65</v>
      </c>
    </row>
    <row r="5" spans="1:20" ht="15.75" thickBot="1">
      <c r="C5" s="16" t="s">
        <v>38</v>
      </c>
      <c r="D5" s="18">
        <f ca="1">TODAY()-1</f>
        <v>45341</v>
      </c>
    </row>
    <row r="6" spans="1:20">
      <c r="C6" s="2"/>
    </row>
    <row r="7" spans="1:20" ht="15.75" thickBot="1">
      <c r="M7" s="1" t="s">
        <v>62</v>
      </c>
    </row>
    <row r="8" spans="1:20" hidden="1">
      <c r="A8">
        <v>1</v>
      </c>
      <c r="C8" t="str">
        <f ca="1">_xll.IMDH("FUT",$D$4,$C$9:$L$9,$D$5-$A$9-50,$D$5-$A$9,21,"Per=일,sort=D,real=true,Bizday=0,Quote=종가,Pos=30,Orient=V,DtFmt=1,TmFmt=1")</f>
        <v>조회[C65]</v>
      </c>
    </row>
    <row r="9" spans="1:20" ht="15.75" hidden="1" thickBot="1">
      <c r="A9">
        <v>0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64</v>
      </c>
    </row>
    <row r="10" spans="1:20" ht="15.75" thickBot="1">
      <c r="C10" s="4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36</v>
      </c>
      <c r="I10" s="5" t="s">
        <v>24</v>
      </c>
      <c r="J10" s="5" t="s">
        <v>25</v>
      </c>
      <c r="K10" s="5" t="s">
        <v>26</v>
      </c>
      <c r="L10" s="5" t="s">
        <v>64</v>
      </c>
      <c r="M10" s="6" t="s">
        <v>65</v>
      </c>
      <c r="S10" t="s">
        <v>66</v>
      </c>
      <c r="T10" t="s">
        <v>40</v>
      </c>
    </row>
    <row r="11" spans="1:20">
      <c r="C11" s="21">
        <v>45341</v>
      </c>
      <c r="D11" s="8">
        <v>104.43</v>
      </c>
      <c r="E11" s="8">
        <v>104.53</v>
      </c>
      <c r="F11" s="8">
        <v>104.42</v>
      </c>
      <c r="G11" s="8">
        <v>104.51</v>
      </c>
      <c r="H11" s="8">
        <v>0.11</v>
      </c>
      <c r="I11" s="10">
        <v>104.46</v>
      </c>
      <c r="J11" s="3">
        <v>3745</v>
      </c>
      <c r="K11" s="3">
        <v>80221</v>
      </c>
      <c r="L11" s="26">
        <v>0.43</v>
      </c>
      <c r="M11" s="24">
        <f>L11/SQRT(250)</f>
        <v>2.7195587877448062E-2</v>
      </c>
      <c r="S11" t="s">
        <v>67</v>
      </c>
      <c r="T11" t="s">
        <v>41</v>
      </c>
    </row>
    <row r="12" spans="1:20">
      <c r="C12" s="22">
        <v>45338</v>
      </c>
      <c r="D12" s="9">
        <v>104.4</v>
      </c>
      <c r="E12" s="9">
        <v>104.51</v>
      </c>
      <c r="F12" s="8">
        <v>104.39</v>
      </c>
      <c r="G12" s="8">
        <v>104.46</v>
      </c>
      <c r="H12" s="8">
        <v>0.12</v>
      </c>
      <c r="I12" s="10">
        <v>104.45</v>
      </c>
      <c r="J12" s="3">
        <v>4407</v>
      </c>
      <c r="K12" s="11">
        <v>104907</v>
      </c>
      <c r="L12" s="26">
        <v>0.53</v>
      </c>
      <c r="M12" s="24">
        <f t="shared" ref="M12:M31" si="0">L12/SQRT(250)</f>
        <v>3.3520143197784825E-2</v>
      </c>
      <c r="S12" t="s">
        <v>68</v>
      </c>
      <c r="T12" t="s">
        <v>42</v>
      </c>
    </row>
    <row r="13" spans="1:20">
      <c r="C13" s="22">
        <v>45337</v>
      </c>
      <c r="D13" s="9">
        <v>104.5</v>
      </c>
      <c r="E13" s="9">
        <v>104.57</v>
      </c>
      <c r="F13" s="8">
        <v>104.45</v>
      </c>
      <c r="G13" s="8">
        <v>104.45</v>
      </c>
      <c r="H13" s="8">
        <v>0.12</v>
      </c>
      <c r="I13" s="10">
        <v>104.52</v>
      </c>
      <c r="J13" s="3">
        <v>6154</v>
      </c>
      <c r="K13" s="11">
        <v>156463</v>
      </c>
      <c r="L13" s="26">
        <v>0.37</v>
      </c>
      <c r="M13" s="24">
        <f t="shared" si="0"/>
        <v>2.3400854685246008E-2</v>
      </c>
      <c r="S13" t="s">
        <v>69</v>
      </c>
      <c r="T13" t="s">
        <v>51</v>
      </c>
    </row>
    <row r="14" spans="1:20">
      <c r="C14" s="22">
        <v>45336</v>
      </c>
      <c r="D14" s="9">
        <v>104.36</v>
      </c>
      <c r="E14" s="9">
        <v>104.43</v>
      </c>
      <c r="F14" s="8">
        <v>104.25</v>
      </c>
      <c r="G14" s="8">
        <v>104.43</v>
      </c>
      <c r="H14" s="8">
        <v>0.18</v>
      </c>
      <c r="I14" s="10">
        <v>104.32</v>
      </c>
      <c r="J14" s="3">
        <v>7631</v>
      </c>
      <c r="K14" s="11">
        <v>213090</v>
      </c>
      <c r="L14" s="26">
        <v>0.52</v>
      </c>
      <c r="M14" s="24">
        <f t="shared" si="0"/>
        <v>3.2887687665751147E-2</v>
      </c>
      <c r="S14" t="s">
        <v>0</v>
      </c>
      <c r="T14" t="s">
        <v>37</v>
      </c>
    </row>
    <row r="15" spans="1:20">
      <c r="C15" s="22">
        <v>45335</v>
      </c>
      <c r="D15" s="9">
        <v>104.72</v>
      </c>
      <c r="E15" s="9">
        <v>104.72</v>
      </c>
      <c r="F15" s="8">
        <v>104.6</v>
      </c>
      <c r="G15" s="8">
        <v>104.64</v>
      </c>
      <c r="H15" s="8">
        <v>0.12</v>
      </c>
      <c r="I15" s="10">
        <v>104.65</v>
      </c>
      <c r="J15" s="3">
        <v>6302</v>
      </c>
      <c r="K15" s="11">
        <v>147682</v>
      </c>
      <c r="L15" s="26">
        <v>0.45</v>
      </c>
      <c r="M15" s="24">
        <f t="shared" si="0"/>
        <v>2.8460498941515415E-2</v>
      </c>
      <c r="S15" t="s">
        <v>1</v>
      </c>
      <c r="T15" t="s">
        <v>43</v>
      </c>
    </row>
    <row r="16" spans="1:20">
      <c r="C16" s="22">
        <v>45330</v>
      </c>
      <c r="D16" s="9">
        <v>104.82</v>
      </c>
      <c r="E16" s="9">
        <v>104.86</v>
      </c>
      <c r="F16" s="8">
        <v>104.78</v>
      </c>
      <c r="G16" s="8">
        <v>104.78</v>
      </c>
      <c r="H16" s="8">
        <v>0.08</v>
      </c>
      <c r="I16" s="10">
        <v>104.83</v>
      </c>
      <c r="J16" s="3">
        <v>3618</v>
      </c>
      <c r="K16" s="11">
        <v>75657</v>
      </c>
      <c r="L16" s="26">
        <v>0.17</v>
      </c>
      <c r="M16" s="24">
        <f t="shared" si="0"/>
        <v>1.075174404457249E-2</v>
      </c>
      <c r="S16" t="s">
        <v>2</v>
      </c>
      <c r="T16" t="s">
        <v>44</v>
      </c>
    </row>
    <row r="17" spans="3:20">
      <c r="C17" s="22">
        <v>45329</v>
      </c>
      <c r="D17" s="9">
        <v>104.88</v>
      </c>
      <c r="E17" s="9">
        <v>104.91</v>
      </c>
      <c r="F17" s="8">
        <v>104.84</v>
      </c>
      <c r="G17" s="8">
        <v>104.84</v>
      </c>
      <c r="H17" s="8">
        <v>7.0000000000000007E-2</v>
      </c>
      <c r="I17" s="10">
        <v>104.87</v>
      </c>
      <c r="J17" s="3">
        <v>3197</v>
      </c>
      <c r="K17" s="11">
        <v>83356</v>
      </c>
      <c r="L17" s="26">
        <v>0.22</v>
      </c>
      <c r="M17" s="24">
        <f t="shared" si="0"/>
        <v>1.391402170474087E-2</v>
      </c>
      <c r="S17" t="s">
        <v>3</v>
      </c>
      <c r="T17" t="s">
        <v>45</v>
      </c>
    </row>
    <row r="18" spans="3:20">
      <c r="C18" s="22">
        <v>45328</v>
      </c>
      <c r="D18" s="9">
        <v>104.73</v>
      </c>
      <c r="E18" s="9">
        <v>104.88</v>
      </c>
      <c r="F18" s="8">
        <v>104.7</v>
      </c>
      <c r="G18" s="8">
        <v>104.85</v>
      </c>
      <c r="H18" s="8">
        <v>0.18</v>
      </c>
      <c r="I18" s="10">
        <v>104.78</v>
      </c>
      <c r="J18" s="3">
        <v>6225</v>
      </c>
      <c r="K18" s="11">
        <v>128166</v>
      </c>
      <c r="L18" s="26">
        <v>0.62</v>
      </c>
      <c r="M18" s="24">
        <f t="shared" si="0"/>
        <v>3.9212242986087907E-2</v>
      </c>
      <c r="S18" t="s">
        <v>4</v>
      </c>
      <c r="T18" t="s">
        <v>46</v>
      </c>
    </row>
    <row r="19" spans="3:20">
      <c r="C19" s="22">
        <v>45327</v>
      </c>
      <c r="D19" s="9">
        <v>104.76</v>
      </c>
      <c r="E19" s="9">
        <v>104.84</v>
      </c>
      <c r="F19" s="8">
        <v>104.74</v>
      </c>
      <c r="G19" s="8">
        <v>104.78</v>
      </c>
      <c r="H19" s="8">
        <v>0.1</v>
      </c>
      <c r="I19" s="10">
        <v>104.79</v>
      </c>
      <c r="J19" s="3">
        <v>6737</v>
      </c>
      <c r="K19" s="11">
        <v>164661</v>
      </c>
      <c r="L19" s="26">
        <v>0.32</v>
      </c>
      <c r="M19" s="24">
        <f t="shared" si="0"/>
        <v>2.0238577025077628E-2</v>
      </c>
      <c r="S19" t="s">
        <v>5</v>
      </c>
      <c r="T19" t="s">
        <v>47</v>
      </c>
    </row>
    <row r="20" spans="3:20">
      <c r="C20" s="22">
        <v>45324</v>
      </c>
      <c r="D20" s="9">
        <v>105.04</v>
      </c>
      <c r="E20" s="9">
        <v>105.07</v>
      </c>
      <c r="F20" s="8">
        <v>104.97</v>
      </c>
      <c r="G20" s="8">
        <v>105.03</v>
      </c>
      <c r="H20" s="8">
        <v>0.1</v>
      </c>
      <c r="I20" s="10">
        <v>105.02</v>
      </c>
      <c r="J20" s="3">
        <v>5223</v>
      </c>
      <c r="K20" s="11">
        <v>131484</v>
      </c>
      <c r="L20" s="26">
        <v>0.4</v>
      </c>
      <c r="M20" s="24">
        <f t="shared" si="0"/>
        <v>2.5298221281347035E-2</v>
      </c>
      <c r="S20" t="s">
        <v>6</v>
      </c>
      <c r="T20" t="s">
        <v>48</v>
      </c>
    </row>
    <row r="21" spans="3:20">
      <c r="C21" s="22">
        <v>45323</v>
      </c>
      <c r="D21" s="9">
        <v>105.1</v>
      </c>
      <c r="E21" s="9">
        <v>105.11</v>
      </c>
      <c r="F21" s="8">
        <v>104.93</v>
      </c>
      <c r="G21" s="8">
        <v>104.93</v>
      </c>
      <c r="H21" s="8">
        <v>0.18</v>
      </c>
      <c r="I21" s="10">
        <v>105.02</v>
      </c>
      <c r="J21" s="3">
        <v>4933</v>
      </c>
      <c r="K21" s="11">
        <v>142379</v>
      </c>
      <c r="L21" s="26">
        <v>0.56999999999999995</v>
      </c>
      <c r="M21" s="24">
        <f t="shared" si="0"/>
        <v>3.6049965325919524E-2</v>
      </c>
      <c r="S21" t="s">
        <v>7</v>
      </c>
      <c r="T21" t="s">
        <v>49</v>
      </c>
    </row>
    <row r="22" spans="3:20">
      <c r="C22" s="22">
        <v>45322</v>
      </c>
      <c r="D22" s="9">
        <v>104.89</v>
      </c>
      <c r="E22" s="9">
        <v>105</v>
      </c>
      <c r="F22" s="8">
        <v>104.85</v>
      </c>
      <c r="G22" s="8">
        <v>104.95</v>
      </c>
      <c r="H22" s="8">
        <v>0.15</v>
      </c>
      <c r="I22" s="10">
        <v>104.94</v>
      </c>
      <c r="J22" s="3">
        <v>4292</v>
      </c>
      <c r="K22" s="11">
        <v>133308</v>
      </c>
      <c r="L22" s="26">
        <v>0.62</v>
      </c>
      <c r="M22" s="24">
        <f t="shared" si="0"/>
        <v>3.9212242986087907E-2</v>
      </c>
      <c r="S22" t="s">
        <v>8</v>
      </c>
      <c r="T22" t="s">
        <v>50</v>
      </c>
    </row>
    <row r="23" spans="3:20">
      <c r="C23" s="22">
        <v>45321</v>
      </c>
      <c r="D23" s="9">
        <v>104.89</v>
      </c>
      <c r="E23" s="9">
        <v>104.94</v>
      </c>
      <c r="F23" s="8">
        <v>104.88</v>
      </c>
      <c r="G23" s="8">
        <v>104.91</v>
      </c>
      <c r="H23" s="8">
        <v>0.06</v>
      </c>
      <c r="I23" s="10">
        <v>104.9</v>
      </c>
      <c r="J23" s="3">
        <v>4901</v>
      </c>
      <c r="K23" s="11">
        <v>129040</v>
      </c>
      <c r="L23" s="26">
        <v>0.18</v>
      </c>
      <c r="M23" s="24">
        <f t="shared" si="0"/>
        <v>1.1384199576606165E-2</v>
      </c>
      <c r="S23" t="s">
        <v>9</v>
      </c>
      <c r="T23" t="s">
        <v>52</v>
      </c>
    </row>
    <row r="24" spans="3:20">
      <c r="C24" s="22">
        <v>45320</v>
      </c>
      <c r="D24" s="9">
        <v>104.81</v>
      </c>
      <c r="E24" s="9">
        <v>104.84</v>
      </c>
      <c r="F24" s="8">
        <v>104.79</v>
      </c>
      <c r="G24" s="8">
        <v>104.79</v>
      </c>
      <c r="H24" s="8">
        <v>0.05</v>
      </c>
      <c r="I24" s="10">
        <v>104.82</v>
      </c>
      <c r="J24" s="3">
        <v>3424</v>
      </c>
      <c r="K24" s="11">
        <v>91049</v>
      </c>
      <c r="L24" s="26">
        <v>0.15</v>
      </c>
      <c r="M24" s="24">
        <f t="shared" si="0"/>
        <v>9.4868329805051377E-3</v>
      </c>
      <c r="S24" t="s">
        <v>10</v>
      </c>
      <c r="T24" t="s">
        <v>53</v>
      </c>
    </row>
    <row r="25" spans="3:20">
      <c r="C25" s="22">
        <v>45317</v>
      </c>
      <c r="D25" s="9">
        <v>104.92</v>
      </c>
      <c r="E25" s="9">
        <v>104.96</v>
      </c>
      <c r="F25" s="8">
        <v>104.91</v>
      </c>
      <c r="G25" s="8">
        <v>104.96</v>
      </c>
      <c r="H25" s="8">
        <v>0.05</v>
      </c>
      <c r="I25" s="10">
        <v>104.93</v>
      </c>
      <c r="J25" s="3">
        <v>4007</v>
      </c>
      <c r="K25" s="11">
        <v>89051</v>
      </c>
      <c r="L25" s="26">
        <v>0.14000000000000001</v>
      </c>
      <c r="M25" s="24">
        <f t="shared" si="0"/>
        <v>8.8543774484714632E-3</v>
      </c>
      <c r="S25" t="s">
        <v>11</v>
      </c>
      <c r="T25" t="s">
        <v>54</v>
      </c>
    </row>
    <row r="26" spans="3:20">
      <c r="C26" s="22">
        <v>45316</v>
      </c>
      <c r="D26" s="9">
        <v>104.72</v>
      </c>
      <c r="E26" s="9">
        <v>104.81</v>
      </c>
      <c r="F26" s="8">
        <v>104.69</v>
      </c>
      <c r="G26" s="8">
        <v>104.81</v>
      </c>
      <c r="H26" s="8">
        <v>0.12</v>
      </c>
      <c r="I26" s="10">
        <v>104.76</v>
      </c>
      <c r="J26" s="3">
        <v>4405</v>
      </c>
      <c r="K26" s="11">
        <v>108016</v>
      </c>
      <c r="L26" s="26">
        <v>0.36</v>
      </c>
      <c r="M26" s="24">
        <f t="shared" si="0"/>
        <v>2.276839915321233E-2</v>
      </c>
      <c r="S26" t="s">
        <v>12</v>
      </c>
      <c r="T26" t="s">
        <v>55</v>
      </c>
    </row>
    <row r="27" spans="3:20">
      <c r="C27" s="22">
        <v>45315</v>
      </c>
      <c r="D27" s="9">
        <v>104.81</v>
      </c>
      <c r="E27" s="9">
        <v>104.84</v>
      </c>
      <c r="F27" s="8">
        <v>104.77</v>
      </c>
      <c r="G27" s="8">
        <v>104.83</v>
      </c>
      <c r="H27" s="8">
        <v>7.0000000000000007E-2</v>
      </c>
      <c r="I27" s="10">
        <v>104.81</v>
      </c>
      <c r="J27" s="3">
        <v>3817</v>
      </c>
      <c r="K27" s="11">
        <v>99698</v>
      </c>
      <c r="L27" s="26">
        <v>0.2</v>
      </c>
      <c r="M27" s="24">
        <f t="shared" si="0"/>
        <v>1.2649110640673518E-2</v>
      </c>
      <c r="S27" t="s">
        <v>13</v>
      </c>
      <c r="T27" t="s">
        <v>56</v>
      </c>
    </row>
    <row r="28" spans="3:20">
      <c r="C28" s="22">
        <v>45314</v>
      </c>
      <c r="D28" s="9">
        <v>104.92</v>
      </c>
      <c r="E28" s="9">
        <v>104.93</v>
      </c>
      <c r="F28" s="8">
        <v>104.84</v>
      </c>
      <c r="G28" s="8">
        <v>104.88</v>
      </c>
      <c r="H28" s="8">
        <v>0.09</v>
      </c>
      <c r="I28" s="10">
        <v>104.88</v>
      </c>
      <c r="J28" s="3">
        <v>4613</v>
      </c>
      <c r="K28" s="11">
        <v>110467</v>
      </c>
      <c r="L28" s="26">
        <v>0.32</v>
      </c>
      <c r="M28" s="24">
        <f t="shared" si="0"/>
        <v>2.0238577025077628E-2</v>
      </c>
      <c r="S28" t="s">
        <v>14</v>
      </c>
      <c r="T28" t="s">
        <v>57</v>
      </c>
    </row>
    <row r="29" spans="3:20">
      <c r="C29" s="22">
        <v>45313</v>
      </c>
      <c r="D29" s="9">
        <v>104.84</v>
      </c>
      <c r="E29" s="9">
        <v>104.93</v>
      </c>
      <c r="F29" s="8">
        <v>104.82</v>
      </c>
      <c r="G29" s="8">
        <v>104.89</v>
      </c>
      <c r="H29" s="8">
        <v>0.11</v>
      </c>
      <c r="I29" s="10">
        <v>104.89</v>
      </c>
      <c r="J29" s="3">
        <v>4824</v>
      </c>
      <c r="K29" s="11">
        <v>98739</v>
      </c>
      <c r="L29" s="26">
        <v>0.31</v>
      </c>
      <c r="M29" s="24">
        <f t="shared" si="0"/>
        <v>1.9606121493043954E-2</v>
      </c>
      <c r="S29" t="s">
        <v>15</v>
      </c>
      <c r="T29" t="s">
        <v>58</v>
      </c>
    </row>
    <row r="30" spans="3:20">
      <c r="C30" s="22">
        <v>45310</v>
      </c>
      <c r="D30" s="9">
        <v>104.81</v>
      </c>
      <c r="E30" s="9">
        <v>104.85</v>
      </c>
      <c r="F30" s="8">
        <v>104.76</v>
      </c>
      <c r="G30" s="8">
        <v>104.8</v>
      </c>
      <c r="H30" s="8">
        <v>0.09</v>
      </c>
      <c r="I30" s="10">
        <v>104.81</v>
      </c>
      <c r="J30" s="3">
        <v>4364</v>
      </c>
      <c r="K30" s="11">
        <v>109013</v>
      </c>
      <c r="L30" s="26">
        <v>0.33</v>
      </c>
      <c r="M30" s="24">
        <f t="shared" si="0"/>
        <v>2.0871032557111306E-2</v>
      </c>
      <c r="S30" t="s">
        <v>16</v>
      </c>
      <c r="T30" t="s">
        <v>59</v>
      </c>
    </row>
    <row r="31" spans="3:20" ht="15.75" thickBot="1">
      <c r="C31" s="23">
        <v>45309</v>
      </c>
      <c r="D31" s="12">
        <v>104.76</v>
      </c>
      <c r="E31" s="12">
        <v>104.9</v>
      </c>
      <c r="F31" s="13">
        <v>104.75</v>
      </c>
      <c r="G31" s="13">
        <v>104.9</v>
      </c>
      <c r="H31" s="13">
        <v>0.15</v>
      </c>
      <c r="I31" s="14">
        <v>104.83</v>
      </c>
      <c r="J31" s="7">
        <v>6469</v>
      </c>
      <c r="K31" s="15">
        <v>137530</v>
      </c>
      <c r="L31" s="27">
        <v>0.59</v>
      </c>
      <c r="M31" s="25">
        <f t="shared" si="0"/>
        <v>3.7314876389986873E-2</v>
      </c>
      <c r="S31" t="s">
        <v>17</v>
      </c>
      <c r="T31" t="s">
        <v>60</v>
      </c>
    </row>
    <row r="32" spans="3:20">
      <c r="C32" s="19"/>
      <c r="S32" t="s">
        <v>18</v>
      </c>
      <c r="T32" t="s">
        <v>61</v>
      </c>
    </row>
  </sheetData>
  <sortState xmlns:xlrd2="http://schemas.microsoft.com/office/spreadsheetml/2017/richdata2" ref="F2:G22">
    <sortCondition descending="1" ref="G22"/>
  </sortState>
  <phoneticPr fontId="2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Drop Down 9">
              <controlPr defaultSize="0" autoLine="0" autoPict="0">
                <anchor moveWithCells="1">
                  <from>
                    <xdr:col>3</xdr:col>
                    <xdr:colOff>28575</xdr:colOff>
                    <xdr:row>3</xdr:row>
                    <xdr:rowOff>9525</xdr:rowOff>
                  </from>
                  <to>
                    <xdr:col>4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Scroll Bar 10">
              <controlPr defaultSize="0" autoPict="0">
                <anchor moveWithCells="1">
                  <from>
                    <xdr:col>13</xdr:col>
                    <xdr:colOff>28575</xdr:colOff>
                    <xdr:row>9</xdr:row>
                    <xdr:rowOff>209550</xdr:rowOff>
                  </from>
                  <to>
                    <xdr:col>13</xdr:col>
                    <xdr:colOff>228600</xdr:colOff>
                    <xdr:row>31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연결선물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Snow Jung</cp:lastModifiedBy>
  <dcterms:created xsi:type="dcterms:W3CDTF">2019-06-25T23:02:59Z</dcterms:created>
  <dcterms:modified xsi:type="dcterms:W3CDTF">2024-02-20T06:55:58Z</dcterms:modified>
</cp:coreProperties>
</file>